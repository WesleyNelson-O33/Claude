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2.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3.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Roster Check" sheetId="5" state="visible" r:id="rId5"/>
    <sheet name="EH Timesheets" sheetId="6" state="visible" r:id="rId6"/>
    <sheet name="EH Roster" sheetId="7" state="visible" r:id="rId7"/>
    <sheet name="Shared Calendar" sheetId="8" state="visible" r:id="rId8"/>
    <sheet name="Timesheet Check" sheetId="9" state="hidden" r:id="rId9"/>
    <sheet name="Staff Expenses" sheetId="10" state="hidden" r:id="rId10"/>
    <sheet name="Backpay" sheetId="11" state="hidden" r:id="rId11"/>
    <sheet name="Sheet2" sheetId="12" state="hidden" r:id="rId12"/>
    <sheet name="Bonuses" sheetId="13" state="hidden" r:id="rId13"/>
    <sheet name="Lookup" sheetId="14" state="visible" r:id="rId14"/>
    <sheet name="CBA TFR" sheetId="15" state="hidden" r:id="rId15"/>
    <sheet name="Anna A" sheetId="16" state="hidden" r:id="rId16"/>
    <sheet name="Sal Sacrifice" sheetId="17" state="hidden" r:id="rId17"/>
    <sheet name="JN Calculations" sheetId="18" state="hidden" r:id="rId18"/>
    <sheet name="PAYG Adj" sheetId="19" state="hidden" r:id="rId19"/>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'Roster Check'!$A$40:$L$460</definedName>
    <definedName name="_xlnm._FilterDatabase" localSheetId="5" hidden="1">'EH Timesheets'!$A$5:$H$1005</definedName>
    <definedName name="_xlnm._FilterDatabase" localSheetId="6" hidden="1">'EH Roster'!$A$5:$H$1005</definedName>
    <definedName name="_xlnm._FilterDatabase" localSheetId="7" hidden="1">'Shared Calendar'!$A$1:$G$36</definedName>
  </definedNames>
  <calcPr calcId="191029" fullCalcOnLoad="1"/>
</workbook>
</file>

<file path=xl/styles.xml><?xml version="1.0" encoding="utf-8"?>
<styleSheet xmlns="http://schemas.openxmlformats.org/spreadsheetml/2006/main">
  <numFmts count="27">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12">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51" fillId="23" borderId="0" applyAlignment="1" pivotButton="0" quotePrefix="0" xfId="0">
      <alignment vertical="center"/>
    </xf>
    <xf numFmtId="0" fontId="47" fillId="19" borderId="47"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0" fontId="48" fillId="0" borderId="0" applyAlignment="1" pivotButton="0" quotePrefix="0" xfId="0">
      <alignment vertical="center"/>
    </xf>
    <xf numFmtId="0" fontId="51"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0" fontId="47" fillId="19" borderId="47" applyAlignment="1" pivotButton="0" quotePrefix="0" xfId="0">
      <alignment vertical="center" wrapText="1"/>
    </xf>
    <xf numFmtId="174" fontId="0" fillId="0" borderId="0" pivotButton="0" quotePrefix="0" xfId="0"/>
    <xf numFmtId="174" fontId="47" fillId="19" borderId="47" applyAlignment="1" pivotButton="0" quotePrefix="0" xfId="0">
      <alignment vertical="center" wrapText="1"/>
    </xf>
    <xf numFmtId="0" fontId="49" fillId="20" borderId="0" applyAlignment="1" pivotButton="0" quotePrefix="0" xfId="0">
      <alignment vertical="center"/>
    </xf>
    <xf numFmtId="185" fontId="49" fillId="20" borderId="0" applyAlignment="1" pivotButton="0" quotePrefix="0" xfId="0">
      <alignment vertical="center"/>
    </xf>
    <xf numFmtId="186" fontId="49" fillId="20" borderId="0" applyAlignment="1" pivotButton="0" quotePrefix="0" xfId="0">
      <alignment vertical="center"/>
    </xf>
    <xf numFmtId="187"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3">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
      <font>
        <name val="Arial"/>
        <b val="1"/>
        <color rgb="FF9C0006"/>
        <sz val="10"/>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3.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6.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0"/>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calculated, do not type over</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9" t="n"/>
      <c r="B10" s="9" t="n"/>
      <c r="C10" s="213">
        <f>IF($D10="","",IF($B10="Casual",$D10/(1+Lookup!$H$2),$D10))</f>
        <v/>
      </c>
      <c r="D10" s="214" t="n"/>
      <c r="E10" s="215">
        <f>0-SUM(F10:S10)</f>
        <v/>
      </c>
      <c r="F10" s="215" t="n"/>
      <c r="G10" s="215" t="n"/>
      <c r="H10" s="215" t="n"/>
      <c r="I10" s="215" t="n"/>
      <c r="J10" s="215" t="n"/>
      <c r="K10" s="215" t="n"/>
      <c r="L10" s="215" t="n"/>
      <c r="M10" s="215" t="n"/>
      <c r="N10" s="215" t="n"/>
      <c r="O10" s="215" t="n"/>
      <c r="P10" s="215" t="n"/>
      <c r="Q10" s="215" t="n"/>
      <c r="R10" s="215" t="n"/>
      <c r="S10" s="215" t="n"/>
      <c r="T10" s="216">
        <f>SUM(E10:S10)</f>
        <v/>
      </c>
      <c r="U10" s="217" t="n"/>
      <c r="V10" s="217" t="n"/>
      <c r="W10" s="218">
        <f>ROUND(N($D10)*(SUM($E10:$H10)+SUM($N10:$R10))+IF(AND($B10="Casual",Lookup!$H$8="No"),N($C10),N($D10))*($I10*Lookup!$H$3+$J10*Lookup!$H$4+$K10*Lookup!$H$5+$L10*Lookup!$H$6+$M10*Lookup!$H$7)+N($U10)+N($V10),2)</f>
        <v/>
      </c>
      <c r="X10" s="9" t="n"/>
      <c r="Y10" s="217" t="n"/>
      <c r="Z10" s="217" t="n"/>
      <c r="AA10" s="9" t="n"/>
      <c r="AB10" s="219">
        <f>MAX(0,$W10-N($Z10))</f>
        <v/>
      </c>
      <c r="AC10" s="9" t="inlineStr">
        <is>
          <t>2 - Tax-free threshold claimed</t>
        </is>
      </c>
      <c r="AD10" s="219">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8">
        <f>$AB10-$AD10</f>
        <v/>
      </c>
      <c r="AF10" s="219">
        <f>ROUND((N($D10)*(SUM($E10:$H10)+SUM($N10:$R10))+IF(Lookup!$H$10="Yes",N($U10),0))*Lookup!$H$9,2)+N($Y10)</f>
        <v/>
      </c>
    </row>
    <row r="11" ht="18" customHeight="1">
      <c r="A11" s="9" t="n"/>
      <c r="B11" s="9" t="n"/>
      <c r="C11" s="213">
        <f>IF($D11="","",IF($B11="Casual",$D11/(1+Lookup!$H$2),$D11))</f>
        <v/>
      </c>
      <c r="D11" s="214" t="n"/>
      <c r="E11" s="215">
        <f>0-SUM(F11:S11)</f>
        <v/>
      </c>
      <c r="F11" s="215" t="n"/>
      <c r="G11" s="215" t="n"/>
      <c r="H11" s="215" t="n"/>
      <c r="I11" s="215" t="n"/>
      <c r="J11" s="215" t="n"/>
      <c r="K11" s="215" t="n"/>
      <c r="L11" s="215" t="n"/>
      <c r="M11" s="215" t="n"/>
      <c r="N11" s="215" t="n"/>
      <c r="O11" s="215" t="n"/>
      <c r="P11" s="215" t="n"/>
      <c r="Q11" s="215" t="n"/>
      <c r="R11" s="215" t="n"/>
      <c r="S11" s="215" t="n"/>
      <c r="T11" s="216">
        <f>SUM(E11:S11)</f>
        <v/>
      </c>
      <c r="U11" s="217" t="n"/>
      <c r="V11" s="217" t="n"/>
      <c r="W11" s="218">
        <f>ROUND(N($D11)*(SUM($E11:$H11)+SUM($N11:$R11))+IF(AND($B11="Casual",Lookup!$H$8="No"),N($C11),N($D11))*($I11*Lookup!$H$3+$J11*Lookup!$H$4+$K11*Lookup!$H$5+$L11*Lookup!$H$6+$M11*Lookup!$H$7)+N($U11)+N($V11),2)</f>
        <v/>
      </c>
      <c r="X11" s="9" t="n"/>
      <c r="Y11" s="217" t="n"/>
      <c r="Z11" s="217" t="n"/>
      <c r="AA11" s="9" t="n"/>
      <c r="AB11" s="219">
        <f>MAX(0,$W11-N($Z11))</f>
        <v/>
      </c>
      <c r="AC11" s="9" t="inlineStr">
        <is>
          <t>2 - Tax-free threshold claimed</t>
        </is>
      </c>
      <c r="AD11" s="219">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8">
        <f>$AB11-$AD11</f>
        <v/>
      </c>
      <c r="AF11" s="219">
        <f>ROUND((N($D11)*(SUM($E11:$H11)+SUM($N11:$R11))+IF(Lookup!$H$10="Yes",N($U11),0))*Lookup!$H$9,2)+N($Y11)</f>
        <v/>
      </c>
    </row>
    <row r="12" ht="18" customHeight="1">
      <c r="A12" s="9" t="n"/>
      <c r="B12" s="9" t="n"/>
      <c r="C12" s="213">
        <f>IF($D12="","",IF($B12="Casual",$D12/(1+Lookup!$H$2),$D12))</f>
        <v/>
      </c>
      <c r="D12" s="214" t="n"/>
      <c r="E12" s="215">
        <f>0-SUM(F12:S12)</f>
        <v/>
      </c>
      <c r="F12" s="215" t="n"/>
      <c r="G12" s="215" t="n"/>
      <c r="H12" s="215" t="n"/>
      <c r="I12" s="215" t="n"/>
      <c r="J12" s="215" t="n"/>
      <c r="K12" s="215" t="n"/>
      <c r="L12" s="215" t="n"/>
      <c r="M12" s="215" t="n"/>
      <c r="N12" s="215" t="n"/>
      <c r="O12" s="215" t="n"/>
      <c r="P12" s="215" t="n"/>
      <c r="Q12" s="215" t="n"/>
      <c r="R12" s="215" t="n"/>
      <c r="S12" s="215" t="n"/>
      <c r="T12" s="216">
        <f>SUM(E12:S12)</f>
        <v/>
      </c>
      <c r="U12" s="217" t="n"/>
      <c r="V12" s="217" t="n"/>
      <c r="W12" s="218">
        <f>ROUND(N($D12)*(SUM($E12:$H12)+SUM($N12:$R12))+IF(AND($B12="Casual",Lookup!$H$8="No"),N($C12),N($D12))*($I12*Lookup!$H$3+$J12*Lookup!$H$4+$K12*Lookup!$H$5+$L12*Lookup!$H$6+$M12*Lookup!$H$7)+N($U12)+N($V12),2)</f>
        <v/>
      </c>
      <c r="X12" s="9" t="n"/>
      <c r="Y12" s="217" t="n"/>
      <c r="Z12" s="217" t="n"/>
      <c r="AA12" s="9" t="n"/>
      <c r="AB12" s="219">
        <f>MAX(0,$W12-N($Z12))</f>
        <v/>
      </c>
      <c r="AC12" s="9" t="inlineStr">
        <is>
          <t>2 - Tax-free threshold claimed</t>
        </is>
      </c>
      <c r="AD12" s="219">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8">
        <f>$AB12-$AD12</f>
        <v/>
      </c>
      <c r="AF12" s="219">
        <f>ROUND((N($D12)*(SUM($E12:$H12)+SUM($N12:$R12))+IF(Lookup!$H$10="Yes",N($U12),0))*Lookup!$H$9,2)+N($Y12)</f>
        <v/>
      </c>
    </row>
    <row r="13" ht="18" customHeight="1">
      <c r="A13" s="9" t="n"/>
      <c r="B13" s="9" t="n"/>
      <c r="C13" s="213">
        <f>IF($D13="","",IF($B13="Casual",$D13/(1+Lookup!$H$2),$D13))</f>
        <v/>
      </c>
      <c r="D13" s="214" t="n"/>
      <c r="E13" s="215">
        <f>0-SUM(F13:S13)</f>
        <v/>
      </c>
      <c r="F13" s="215" t="n"/>
      <c r="G13" s="215" t="n"/>
      <c r="H13" s="215" t="n"/>
      <c r="I13" s="215" t="n"/>
      <c r="J13" s="215" t="n"/>
      <c r="K13" s="215" t="n"/>
      <c r="L13" s="215" t="n"/>
      <c r="M13" s="215" t="n"/>
      <c r="N13" s="215" t="n"/>
      <c r="O13" s="215" t="n"/>
      <c r="P13" s="215" t="n"/>
      <c r="Q13" s="215" t="n"/>
      <c r="R13" s="215" t="n"/>
      <c r="S13" s="215" t="n"/>
      <c r="T13" s="216">
        <f>SUM(E13:S13)</f>
        <v/>
      </c>
      <c r="U13" s="217" t="n"/>
      <c r="V13" s="217" t="n"/>
      <c r="W13" s="218">
        <f>ROUND(N($D13)*(SUM($E13:$H13)+SUM($N13:$R13))+IF(AND($B13="Casual",Lookup!$H$8="No"),N($C13),N($D13))*($I13*Lookup!$H$3+$J13*Lookup!$H$4+$K13*Lookup!$H$5+$L13*Lookup!$H$6+$M13*Lookup!$H$7)+N($U13)+N($V13),2)</f>
        <v/>
      </c>
      <c r="X13" s="9" t="n"/>
      <c r="Y13" s="217" t="n"/>
      <c r="Z13" s="217" t="n"/>
      <c r="AA13" s="9" t="n"/>
      <c r="AB13" s="219">
        <f>MAX(0,$W13-N($Z13))</f>
        <v/>
      </c>
      <c r="AC13" s="9" t="inlineStr">
        <is>
          <t>2 - Tax-free threshold claimed</t>
        </is>
      </c>
      <c r="AD13" s="219">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8">
        <f>$AB13-$AD13</f>
        <v/>
      </c>
      <c r="AF13" s="219">
        <f>ROUND((N($D13)*(SUM($E13:$H13)+SUM($N13:$R13))+IF(Lookup!$H$10="Yes",N($U13),0))*Lookup!$H$9,2)+N($Y13)</f>
        <v/>
      </c>
    </row>
    <row r="14" ht="18" customHeight="1">
      <c r="A14" s="9" t="n"/>
      <c r="B14" s="9" t="n"/>
      <c r="C14" s="213">
        <f>IF($D14="","",IF($B14="Casual",$D14/(1+Lookup!$H$2),$D14))</f>
        <v/>
      </c>
      <c r="D14" s="214" t="n"/>
      <c r="E14" s="215">
        <f>0-SUM(F14:S14)</f>
        <v/>
      </c>
      <c r="F14" s="215" t="n"/>
      <c r="G14" s="215" t="n"/>
      <c r="H14" s="215" t="n"/>
      <c r="I14" s="215" t="n"/>
      <c r="J14" s="215" t="n"/>
      <c r="K14" s="215" t="n"/>
      <c r="L14" s="215" t="n"/>
      <c r="M14" s="215" t="n"/>
      <c r="N14" s="215" t="n"/>
      <c r="O14" s="215" t="n"/>
      <c r="P14" s="215" t="n"/>
      <c r="Q14" s="215" t="n"/>
      <c r="R14" s="215" t="n"/>
      <c r="S14" s="215" t="n"/>
      <c r="T14" s="216">
        <f>SUM(E14:S14)</f>
        <v/>
      </c>
      <c r="U14" s="217" t="n"/>
      <c r="V14" s="217" t="n"/>
      <c r="W14" s="218">
        <f>ROUND(N($D14)*(SUM($E14:$H14)+SUM($N14:$R14))+IF(AND($B14="Casual",Lookup!$H$8="No"),N($C14),N($D14))*($I14*Lookup!$H$3+$J14*Lookup!$H$4+$K14*Lookup!$H$5+$L14*Lookup!$H$6+$M14*Lookup!$H$7)+N($U14)+N($V14),2)</f>
        <v/>
      </c>
      <c r="X14" s="9" t="n"/>
      <c r="Y14" s="217" t="n"/>
      <c r="Z14" s="217" t="n"/>
      <c r="AA14" s="9" t="n"/>
      <c r="AB14" s="219">
        <f>MAX(0,$W14-N($Z14))</f>
        <v/>
      </c>
      <c r="AC14" s="9" t="inlineStr">
        <is>
          <t>2 - Tax-free threshold claimed</t>
        </is>
      </c>
      <c r="AD14" s="219">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8">
        <f>$AB14-$AD14</f>
        <v/>
      </c>
      <c r="AF14" s="219">
        <f>ROUND((N($D14)*(SUM($E14:$H14)+SUM($N14:$R14))+IF(Lookup!$H$10="Yes",N($U14),0))*Lookup!$H$9,2)+N($Y14)</f>
        <v/>
      </c>
    </row>
    <row r="15" ht="18" customHeight="1">
      <c r="A15" s="9" t="n"/>
      <c r="B15" s="9" t="n"/>
      <c r="C15" s="213">
        <f>IF($D15="","",IF($B15="Casual",$D15/(1+Lookup!$H$2),$D15))</f>
        <v/>
      </c>
      <c r="D15" s="214" t="n"/>
      <c r="E15" s="215">
        <f>0-SUM(F15:S15)</f>
        <v/>
      </c>
      <c r="F15" s="215" t="n"/>
      <c r="G15" s="215" t="n"/>
      <c r="H15" s="215" t="n"/>
      <c r="I15" s="215" t="n"/>
      <c r="J15" s="215" t="n"/>
      <c r="K15" s="215" t="n"/>
      <c r="L15" s="215" t="n"/>
      <c r="M15" s="215" t="n"/>
      <c r="N15" s="215" t="n"/>
      <c r="O15" s="215" t="n"/>
      <c r="P15" s="215" t="n"/>
      <c r="Q15" s="215" t="n"/>
      <c r="R15" s="215" t="n"/>
      <c r="S15" s="215" t="n"/>
      <c r="T15" s="216">
        <f>SUM(E15:S15)</f>
        <v/>
      </c>
      <c r="U15" s="217" t="n"/>
      <c r="V15" s="217" t="n"/>
      <c r="W15" s="218">
        <f>ROUND(N($D15)*(SUM($E15:$H15)+SUM($N15:$R15))+IF(AND($B15="Casual",Lookup!$H$8="No"),N($C15),N($D15))*($I15*Lookup!$H$3+$J15*Lookup!$H$4+$K15*Lookup!$H$5+$L15*Lookup!$H$6+$M15*Lookup!$H$7)+N($U15)+N($V15),2)</f>
        <v/>
      </c>
      <c r="X15" s="9" t="n"/>
      <c r="Y15" s="217" t="n"/>
      <c r="Z15" s="217" t="n"/>
      <c r="AA15" s="9" t="n"/>
      <c r="AB15" s="219">
        <f>MAX(0,$W15-N($Z15))</f>
        <v/>
      </c>
      <c r="AC15" s="9" t="inlineStr">
        <is>
          <t>2 - Tax-free threshold claimed</t>
        </is>
      </c>
      <c r="AD15" s="219">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8">
        <f>$AB15-$AD15</f>
        <v/>
      </c>
      <c r="AF15" s="219">
        <f>ROUND((N($D15)*(SUM($E15:$H15)+SUM($N15:$R15))+IF(Lookup!$H$10="Yes",N($U15),0))*Lookup!$H$9,2)+N($Y15)</f>
        <v/>
      </c>
    </row>
    <row r="16" ht="18" customHeight="1">
      <c r="A16" s="9" t="n"/>
      <c r="B16" s="9" t="n"/>
      <c r="C16" s="213">
        <f>IF($D16="","",IF($B16="Casual",$D16/(1+Lookup!$H$2),$D16))</f>
        <v/>
      </c>
      <c r="D16" s="214" t="n"/>
      <c r="E16" s="215">
        <f>0-SUM(F16:S16)</f>
        <v/>
      </c>
      <c r="F16" s="215" t="n"/>
      <c r="G16" s="215" t="n"/>
      <c r="H16" s="215" t="n"/>
      <c r="I16" s="215" t="n"/>
      <c r="J16" s="215" t="n"/>
      <c r="K16" s="215" t="n"/>
      <c r="L16" s="215" t="n"/>
      <c r="M16" s="215" t="n"/>
      <c r="N16" s="215" t="n"/>
      <c r="O16" s="215" t="n"/>
      <c r="P16" s="215" t="n"/>
      <c r="Q16" s="215" t="n"/>
      <c r="R16" s="215" t="n"/>
      <c r="S16" s="215" t="n"/>
      <c r="T16" s="216">
        <f>SUM(E16:S16)</f>
        <v/>
      </c>
      <c r="U16" s="217" t="n"/>
      <c r="V16" s="217" t="n"/>
      <c r="W16" s="218">
        <f>ROUND(N($D16)*(SUM($E16:$H16)+SUM($N16:$R16))+IF(AND($B16="Casual",Lookup!$H$8="No"),N($C16),N($D16))*($I16*Lookup!$H$3+$J16*Lookup!$H$4+$K16*Lookup!$H$5+$L16*Lookup!$H$6+$M16*Lookup!$H$7)+N($U16)+N($V16),2)</f>
        <v/>
      </c>
      <c r="X16" s="9" t="n"/>
      <c r="Y16" s="217" t="n"/>
      <c r="Z16" s="217" t="n"/>
      <c r="AA16" s="9" t="n"/>
      <c r="AB16" s="219">
        <f>MAX(0,$W16-N($Z16))</f>
        <v/>
      </c>
      <c r="AC16" s="9" t="inlineStr">
        <is>
          <t>2 - Tax-free threshold claimed</t>
        </is>
      </c>
      <c r="AD16" s="219">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8">
        <f>$AB16-$AD16</f>
        <v/>
      </c>
      <c r="AF16" s="219">
        <f>ROUND((N($D16)*(SUM($E16:$H16)+SUM($N16:$R16))+IF(Lookup!$H$10="Yes",N($U16),0))*Lookup!$H$9,2)+N($Y16)</f>
        <v/>
      </c>
    </row>
    <row r="17" ht="18" customHeight="1">
      <c r="A17" s="9" t="n"/>
      <c r="B17" s="9" t="n"/>
      <c r="C17" s="213">
        <f>IF($D17="","",IF($B17="Casual",$D17/(1+Lookup!$H$2),$D17))</f>
        <v/>
      </c>
      <c r="D17" s="214" t="n"/>
      <c r="E17" s="215">
        <f>0-SUM(F17:S17)</f>
        <v/>
      </c>
      <c r="F17" s="215" t="n"/>
      <c r="G17" s="215" t="n"/>
      <c r="H17" s="215" t="n"/>
      <c r="I17" s="215" t="n"/>
      <c r="J17" s="215" t="n"/>
      <c r="K17" s="215" t="n"/>
      <c r="L17" s="215" t="n"/>
      <c r="M17" s="215" t="n"/>
      <c r="N17" s="215" t="n"/>
      <c r="O17" s="215" t="n"/>
      <c r="P17" s="215" t="n"/>
      <c r="Q17" s="215" t="n"/>
      <c r="R17" s="215" t="n"/>
      <c r="S17" s="215" t="n"/>
      <c r="T17" s="216">
        <f>SUM(E17:S17)</f>
        <v/>
      </c>
      <c r="U17" s="217" t="n"/>
      <c r="V17" s="217" t="n"/>
      <c r="W17" s="218">
        <f>ROUND(N($D17)*(SUM($E17:$H17)+SUM($N17:$R17))+IF(AND($B17="Casual",Lookup!$H$8="No"),N($C17),N($D17))*($I17*Lookup!$H$3+$J17*Lookup!$H$4+$K17*Lookup!$H$5+$L17*Lookup!$H$6+$M17*Lookup!$H$7)+N($U17)+N($V17),2)</f>
        <v/>
      </c>
      <c r="X17" s="9" t="n"/>
      <c r="Y17" s="217" t="n"/>
      <c r="Z17" s="217" t="n"/>
      <c r="AA17" s="9" t="n"/>
      <c r="AB17" s="219">
        <f>MAX(0,$W17-N($Z17))</f>
        <v/>
      </c>
      <c r="AC17" s="9" t="inlineStr">
        <is>
          <t>2 - Tax-free threshold claimed</t>
        </is>
      </c>
      <c r="AD17" s="219">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8">
        <f>$AB17-$AD17</f>
        <v/>
      </c>
      <c r="AF17" s="219">
        <f>ROUND((N($D17)*(SUM($E17:$H17)+SUM($N17:$R17))+IF(Lookup!$H$10="Yes",N($U17),0))*Lookup!$H$9,2)+N($Y17)</f>
        <v/>
      </c>
    </row>
    <row r="18" ht="18" customHeight="1">
      <c r="A18" s="9" t="n"/>
      <c r="B18" s="9" t="n"/>
      <c r="C18" s="213">
        <f>IF($D18="","",IF($B18="Casual",$D18/(1+Lookup!$H$2),$D18))</f>
        <v/>
      </c>
      <c r="D18" s="214" t="n"/>
      <c r="E18" s="215">
        <f>0-SUM(F18:S18)</f>
        <v/>
      </c>
      <c r="F18" s="215" t="n"/>
      <c r="G18" s="215" t="n"/>
      <c r="H18" s="215" t="n"/>
      <c r="I18" s="215" t="n"/>
      <c r="J18" s="215" t="n"/>
      <c r="K18" s="215" t="n"/>
      <c r="L18" s="215" t="n"/>
      <c r="M18" s="215" t="n"/>
      <c r="N18" s="215" t="n"/>
      <c r="O18" s="215" t="n"/>
      <c r="P18" s="215" t="n"/>
      <c r="Q18" s="215" t="n"/>
      <c r="R18" s="215" t="n"/>
      <c r="S18" s="215" t="n"/>
      <c r="T18" s="216">
        <f>SUM(E18:S18)</f>
        <v/>
      </c>
      <c r="U18" s="217" t="n"/>
      <c r="V18" s="217" t="n"/>
      <c r="W18" s="218">
        <f>ROUND(N($D18)*(SUM($E18:$H18)+SUM($N18:$R18))+IF(AND($B18="Casual",Lookup!$H$8="No"),N($C18),N($D18))*($I18*Lookup!$H$3+$J18*Lookup!$H$4+$K18*Lookup!$H$5+$L18*Lookup!$H$6+$M18*Lookup!$H$7)+N($U18)+N($V18),2)</f>
        <v/>
      </c>
      <c r="X18" s="9" t="n"/>
      <c r="Y18" s="217" t="n"/>
      <c r="Z18" s="217" t="n"/>
      <c r="AA18" s="9" t="n"/>
      <c r="AB18" s="219">
        <f>MAX(0,$W18-N($Z18))</f>
        <v/>
      </c>
      <c r="AC18" s="9" t="inlineStr">
        <is>
          <t>2 - Tax-free threshold claimed</t>
        </is>
      </c>
      <c r="AD18" s="219">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8">
        <f>$AB18-$AD18</f>
        <v/>
      </c>
      <c r="AF18" s="219">
        <f>ROUND((N($D18)*(SUM($E18:$H18)+SUM($N18:$R18))+IF(Lookup!$H$10="Yes",N($U18),0))*Lookup!$H$9,2)+N($Y18)</f>
        <v/>
      </c>
    </row>
    <row r="19" ht="18" customHeight="1">
      <c r="A19" s="9" t="n"/>
      <c r="B19" s="9" t="n"/>
      <c r="C19" s="213">
        <f>IF($D19="","",IF($B19="Casual",$D19/(1+Lookup!$H$2),$D19))</f>
        <v/>
      </c>
      <c r="D19" s="214" t="n"/>
      <c r="E19" s="215">
        <f>0-SUM(F19:S19)</f>
        <v/>
      </c>
      <c r="F19" s="215" t="n"/>
      <c r="G19" s="215" t="n"/>
      <c r="H19" s="215" t="n"/>
      <c r="I19" s="215" t="n"/>
      <c r="J19" s="215" t="n"/>
      <c r="K19" s="215" t="n"/>
      <c r="L19" s="215" t="n"/>
      <c r="M19" s="215" t="n"/>
      <c r="N19" s="215" t="n"/>
      <c r="O19" s="215" t="n"/>
      <c r="P19" s="215" t="n"/>
      <c r="Q19" s="215" t="n"/>
      <c r="R19" s="215" t="n"/>
      <c r="S19" s="215" t="n"/>
      <c r="T19" s="216">
        <f>SUM(E19:S19)</f>
        <v/>
      </c>
      <c r="U19" s="217" t="n"/>
      <c r="V19" s="217" t="n"/>
      <c r="W19" s="218">
        <f>ROUND(N($D19)*(SUM($E19:$H19)+SUM($N19:$R19))+IF(AND($B19="Casual",Lookup!$H$8="No"),N($C19),N($D19))*($I19*Lookup!$H$3+$J19*Lookup!$H$4+$K19*Lookup!$H$5+$L19*Lookup!$H$6+$M19*Lookup!$H$7)+N($U19)+N($V19),2)</f>
        <v/>
      </c>
      <c r="X19" s="9" t="n"/>
      <c r="Y19" s="217" t="n"/>
      <c r="Z19" s="217" t="n"/>
      <c r="AA19" s="9" t="n"/>
      <c r="AB19" s="219">
        <f>MAX(0,$W19-N($Z19))</f>
        <v/>
      </c>
      <c r="AC19" s="9" t="inlineStr">
        <is>
          <t>2 - Tax-free threshold claimed</t>
        </is>
      </c>
      <c r="AD19" s="219">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8">
        <f>$AB19-$AD19</f>
        <v/>
      </c>
      <c r="AF19" s="219">
        <f>ROUND((N($D19)*(SUM($E19:$H19)+SUM($N19:$R19))+IF(Lookup!$H$10="Yes",N($U19),0))*Lookup!$H$9,2)+N($Y19)</f>
        <v/>
      </c>
    </row>
    <row r="20" ht="18" customHeight="1">
      <c r="A20" s="9" t="n"/>
      <c r="B20" s="9" t="n"/>
      <c r="C20" s="213">
        <f>IF($D20="","",IF($B20="Casual",$D20/(1+Lookup!$H$2),$D20))</f>
        <v/>
      </c>
      <c r="D20" s="214" t="n"/>
      <c r="E20" s="215">
        <f>0-SUM(F20:S20)</f>
        <v/>
      </c>
      <c r="F20" s="215" t="n"/>
      <c r="G20" s="215" t="n"/>
      <c r="H20" s="215" t="n"/>
      <c r="I20" s="215" t="n"/>
      <c r="J20" s="215" t="n"/>
      <c r="K20" s="215" t="n"/>
      <c r="L20" s="215" t="n"/>
      <c r="M20" s="215" t="n"/>
      <c r="N20" s="215" t="n"/>
      <c r="O20" s="215" t="n"/>
      <c r="P20" s="215" t="n"/>
      <c r="Q20" s="215" t="n"/>
      <c r="R20" s="215" t="n"/>
      <c r="S20" s="215" t="n"/>
      <c r="T20" s="216">
        <f>SUM(E20:S20)</f>
        <v/>
      </c>
      <c r="U20" s="217" t="n"/>
      <c r="V20" s="217" t="n"/>
      <c r="W20" s="218">
        <f>ROUND(N($D20)*(SUM($E20:$H20)+SUM($N20:$R20))+IF(AND($B20="Casual",Lookup!$H$8="No"),N($C20),N($D20))*($I20*Lookup!$H$3+$J20*Lookup!$H$4+$K20*Lookup!$H$5+$L20*Lookup!$H$6+$M20*Lookup!$H$7)+N($U20)+N($V20),2)</f>
        <v/>
      </c>
      <c r="X20" s="9" t="n"/>
      <c r="Y20" s="217" t="n"/>
      <c r="Z20" s="217" t="n"/>
      <c r="AA20" s="9" t="n"/>
      <c r="AB20" s="219">
        <f>MAX(0,$W20-N($Z20))</f>
        <v/>
      </c>
      <c r="AC20" s="9" t="inlineStr">
        <is>
          <t>2 - Tax-free threshold claimed</t>
        </is>
      </c>
      <c r="AD20" s="219">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8">
        <f>$AB20-$AD20</f>
        <v/>
      </c>
      <c r="AF20" s="219">
        <f>ROUND((N($D20)*(SUM($E20:$H20)+SUM($N20:$R20))+IF(Lookup!$H$10="Yes",N($U20),0))*Lookup!$H$9,2)+N($Y20)</f>
        <v/>
      </c>
    </row>
    <row r="21" ht="18" customHeight="1">
      <c r="A21" s="9" t="n"/>
      <c r="B21" s="9" t="n"/>
      <c r="C21" s="213">
        <f>IF($D21="","",IF($B21="Casual",$D21/(1+Lookup!$H$2),$D21))</f>
        <v/>
      </c>
      <c r="D21" s="214" t="n"/>
      <c r="E21" s="215">
        <f>0-SUM(F21:S21)</f>
        <v/>
      </c>
      <c r="F21" s="215" t="n"/>
      <c r="G21" s="215" t="n"/>
      <c r="H21" s="215" t="n"/>
      <c r="I21" s="215" t="n"/>
      <c r="J21" s="215" t="n"/>
      <c r="K21" s="215" t="n"/>
      <c r="L21" s="215" t="n"/>
      <c r="M21" s="215" t="n"/>
      <c r="N21" s="215" t="n"/>
      <c r="O21" s="215" t="n"/>
      <c r="P21" s="215" t="n"/>
      <c r="Q21" s="215" t="n"/>
      <c r="R21" s="215" t="n"/>
      <c r="S21" s="215" t="n"/>
      <c r="T21" s="216">
        <f>SUM(E21:S21)</f>
        <v/>
      </c>
      <c r="U21" s="217" t="n"/>
      <c r="V21" s="217" t="n"/>
      <c r="W21" s="218">
        <f>ROUND(N($D21)*(SUM($E21:$H21)+SUM($N21:$R21))+IF(AND($B21="Casual",Lookup!$H$8="No"),N($C21),N($D21))*($I21*Lookup!$H$3+$J21*Lookup!$H$4+$K21*Lookup!$H$5+$L21*Lookup!$H$6+$M21*Lookup!$H$7)+N($U21)+N($V21),2)</f>
        <v/>
      </c>
      <c r="X21" s="9" t="n"/>
      <c r="Y21" s="217" t="n"/>
      <c r="Z21" s="217" t="n"/>
      <c r="AA21" s="9" t="n"/>
      <c r="AB21" s="219">
        <f>MAX(0,$W21-N($Z21))</f>
        <v/>
      </c>
      <c r="AC21" s="9" t="inlineStr">
        <is>
          <t>2 - Tax-free threshold claimed</t>
        </is>
      </c>
      <c r="AD21" s="219">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8">
        <f>$AB21-$AD21</f>
        <v/>
      </c>
      <c r="AF21" s="219">
        <f>ROUND((N($D21)*(SUM($E21:$H21)+SUM($N21:$R21))+IF(Lookup!$H$10="Yes",N($U21),0))*Lookup!$H$9,2)+N($Y21)</f>
        <v/>
      </c>
    </row>
    <row r="22" ht="18" customHeight="1">
      <c r="A22" s="9" t="n"/>
      <c r="B22" s="9" t="n"/>
      <c r="C22" s="213">
        <f>IF($D22="","",IF($B22="Casual",$D22/(1+Lookup!$H$2),$D22))</f>
        <v/>
      </c>
      <c r="D22" s="214" t="n"/>
      <c r="E22" s="215">
        <f>0-SUM(F22:S22)</f>
        <v/>
      </c>
      <c r="F22" s="215" t="n"/>
      <c r="G22" s="215" t="n"/>
      <c r="H22" s="215" t="n"/>
      <c r="I22" s="215" t="n"/>
      <c r="J22" s="215" t="n"/>
      <c r="K22" s="215" t="n"/>
      <c r="L22" s="215" t="n"/>
      <c r="M22" s="215" t="n"/>
      <c r="N22" s="215" t="n"/>
      <c r="O22" s="215" t="n"/>
      <c r="P22" s="215" t="n"/>
      <c r="Q22" s="215" t="n"/>
      <c r="R22" s="215" t="n"/>
      <c r="S22" s="215" t="n"/>
      <c r="T22" s="216">
        <f>SUM(E22:S22)</f>
        <v/>
      </c>
      <c r="U22" s="217" t="n"/>
      <c r="V22" s="217" t="n"/>
      <c r="W22" s="218">
        <f>ROUND(N($D22)*(SUM($E22:$H22)+SUM($N22:$R22))+IF(AND($B22="Casual",Lookup!$H$8="No"),N($C22),N($D22))*($I22*Lookup!$H$3+$J22*Lookup!$H$4+$K22*Lookup!$H$5+$L22*Lookup!$H$6+$M22*Lookup!$H$7)+N($U22)+N($V22),2)</f>
        <v/>
      </c>
      <c r="X22" s="9" t="n"/>
      <c r="Y22" s="217" t="n"/>
      <c r="Z22" s="217" t="n"/>
      <c r="AA22" s="9" t="n"/>
      <c r="AB22" s="219">
        <f>MAX(0,$W22-N($Z22))</f>
        <v/>
      </c>
      <c r="AC22" s="9" t="inlineStr">
        <is>
          <t>2 - Tax-free threshold claimed</t>
        </is>
      </c>
      <c r="AD22" s="219">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8">
        <f>$AB22-$AD22</f>
        <v/>
      </c>
      <c r="AF22" s="219">
        <f>ROUND((N($D22)*(SUM($E22:$H22)+SUM($N22:$R22))+IF(Lookup!$H$10="Yes",N($U22),0))*Lookup!$H$9,2)+N($Y22)</f>
        <v/>
      </c>
    </row>
    <row r="23" ht="18" customHeight="1">
      <c r="A23" s="9" t="n"/>
      <c r="B23" s="9" t="n"/>
      <c r="C23" s="213">
        <f>IF($D23="","",IF($B23="Casual",$D23/(1+Lookup!$H$2),$D23))</f>
        <v/>
      </c>
      <c r="D23" s="214" t="n"/>
      <c r="E23" s="215">
        <f>0-SUM(F23:S23)</f>
        <v/>
      </c>
      <c r="F23" s="215" t="n"/>
      <c r="G23" s="215" t="n"/>
      <c r="H23" s="215" t="n"/>
      <c r="I23" s="215" t="n"/>
      <c r="J23" s="215" t="n"/>
      <c r="K23" s="215" t="n"/>
      <c r="L23" s="215" t="n"/>
      <c r="M23" s="215" t="n"/>
      <c r="N23" s="215" t="n"/>
      <c r="O23" s="215" t="n"/>
      <c r="P23" s="215" t="n"/>
      <c r="Q23" s="215" t="n"/>
      <c r="R23" s="215" t="n"/>
      <c r="S23" s="215" t="n"/>
      <c r="T23" s="216">
        <f>SUM(E23:S23)</f>
        <v/>
      </c>
      <c r="U23" s="217" t="n"/>
      <c r="V23" s="217" t="n"/>
      <c r="W23" s="218">
        <f>ROUND(N($D23)*(SUM($E23:$H23)+SUM($N23:$R23))+IF(AND($B23="Casual",Lookup!$H$8="No"),N($C23),N($D23))*($I23*Lookup!$H$3+$J23*Lookup!$H$4+$K23*Lookup!$H$5+$L23*Lookup!$H$6+$M23*Lookup!$H$7)+N($U23)+N($V23),2)</f>
        <v/>
      </c>
      <c r="X23" s="9" t="n"/>
      <c r="Y23" s="217" t="n"/>
      <c r="Z23" s="217" t="n"/>
      <c r="AA23" s="9" t="n"/>
      <c r="AB23" s="219">
        <f>MAX(0,$W23-N($Z23))</f>
        <v/>
      </c>
      <c r="AC23" s="9" t="inlineStr">
        <is>
          <t>2 - Tax-free threshold claimed</t>
        </is>
      </c>
      <c r="AD23" s="219">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8">
        <f>$AB23-$AD23</f>
        <v/>
      </c>
      <c r="AF23" s="219">
        <f>ROUND((N($D23)*(SUM($E23:$H23)+SUM($N23:$R23))+IF(Lookup!$H$10="Yes",N($U23),0))*Lookup!$H$9,2)+N($Y23)</f>
        <v/>
      </c>
    </row>
    <row r="24" ht="18" customHeight="1">
      <c r="A24" s="9" t="n"/>
      <c r="B24" s="9" t="n"/>
      <c r="C24" s="213">
        <f>IF($D24="","",IF($B24="Casual",$D24/(1+Lookup!$H$2),$D24))</f>
        <v/>
      </c>
      <c r="D24" s="214" t="n"/>
      <c r="E24" s="215">
        <f>0-SUM(F24:S24)</f>
        <v/>
      </c>
      <c r="F24" s="215" t="n"/>
      <c r="G24" s="215" t="n"/>
      <c r="H24" s="215" t="n"/>
      <c r="I24" s="215" t="n"/>
      <c r="J24" s="215" t="n"/>
      <c r="K24" s="215" t="n"/>
      <c r="L24" s="215" t="n"/>
      <c r="M24" s="215" t="n"/>
      <c r="N24" s="215" t="n"/>
      <c r="O24" s="215" t="n"/>
      <c r="P24" s="215" t="n"/>
      <c r="Q24" s="215" t="n"/>
      <c r="R24" s="215" t="n"/>
      <c r="S24" s="215" t="n"/>
      <c r="T24" s="216">
        <f>SUM(E24:S24)</f>
        <v/>
      </c>
      <c r="U24" s="217" t="n"/>
      <c r="V24" s="217" t="n"/>
      <c r="W24" s="218">
        <f>ROUND(N($D24)*(SUM($E24:$H24)+SUM($N24:$R24))+IF(AND($B24="Casual",Lookup!$H$8="No"),N($C24),N($D24))*($I24*Lookup!$H$3+$J24*Lookup!$H$4+$K24*Lookup!$H$5+$L24*Lookup!$H$6+$M24*Lookup!$H$7)+N($U24)+N($V24),2)</f>
        <v/>
      </c>
      <c r="X24" s="9" t="n"/>
      <c r="Y24" s="217" t="n"/>
      <c r="Z24" s="217" t="n"/>
      <c r="AA24" s="9" t="n"/>
      <c r="AB24" s="219">
        <f>MAX(0,$W24-N($Z24))</f>
        <v/>
      </c>
      <c r="AC24" s="9" t="inlineStr">
        <is>
          <t>2 - Tax-free threshold claimed</t>
        </is>
      </c>
      <c r="AD24" s="219">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8">
        <f>$AB24-$AD24</f>
        <v/>
      </c>
      <c r="AF24" s="219">
        <f>ROUND((N($D24)*(SUM($E24:$H24)+SUM($N24:$R24))+IF(Lookup!$H$10="Yes",N($U24),0))*Lookup!$H$9,2)+N($Y24)</f>
        <v/>
      </c>
    </row>
    <row r="25" ht="18" customHeight="1">
      <c r="A25" s="9" t="n"/>
      <c r="B25" s="9" t="n"/>
      <c r="C25" s="213">
        <f>IF($D25="","",IF($B25="Casual",$D25/(1+Lookup!$H$2),$D25))</f>
        <v/>
      </c>
      <c r="D25" s="214" t="n"/>
      <c r="E25" s="215">
        <f>0-SUM(F25:S25)</f>
        <v/>
      </c>
      <c r="F25" s="215" t="n"/>
      <c r="G25" s="215" t="n"/>
      <c r="H25" s="215" t="n"/>
      <c r="I25" s="215" t="n"/>
      <c r="J25" s="215" t="n"/>
      <c r="K25" s="215" t="n"/>
      <c r="L25" s="215" t="n"/>
      <c r="M25" s="215" t="n"/>
      <c r="N25" s="215" t="n"/>
      <c r="O25" s="215" t="n"/>
      <c r="P25" s="215" t="n"/>
      <c r="Q25" s="215" t="n"/>
      <c r="R25" s="215" t="n"/>
      <c r="S25" s="215" t="n"/>
      <c r="T25" s="216">
        <f>SUM(E25:S25)</f>
        <v/>
      </c>
      <c r="U25" s="217" t="n"/>
      <c r="V25" s="217" t="n"/>
      <c r="W25" s="218">
        <f>ROUND(N($D25)*(SUM($E25:$H25)+SUM($N25:$R25))+IF(AND($B25="Casual",Lookup!$H$8="No"),N($C25),N($D25))*($I25*Lookup!$H$3+$J25*Lookup!$H$4+$K25*Lookup!$H$5+$L25*Lookup!$H$6+$M25*Lookup!$H$7)+N($U25)+N($V25),2)</f>
        <v/>
      </c>
      <c r="X25" s="9" t="n"/>
      <c r="Y25" s="217" t="n"/>
      <c r="Z25" s="217" t="n"/>
      <c r="AA25" s="9" t="n"/>
      <c r="AB25" s="219">
        <f>MAX(0,$W25-N($Z25))</f>
        <v/>
      </c>
      <c r="AC25" s="9" t="inlineStr">
        <is>
          <t>2 - Tax-free threshold claimed</t>
        </is>
      </c>
      <c r="AD25" s="219">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8">
        <f>$AB25-$AD25</f>
        <v/>
      </c>
      <c r="AF25" s="219">
        <f>ROUND((N($D25)*(SUM($E25:$H25)+SUM($N25:$R25))+IF(Lookup!$H$10="Yes",N($U25),0))*Lookup!$H$9,2)+N($Y25)</f>
        <v/>
      </c>
    </row>
    <row r="26" ht="18" customHeight="1">
      <c r="A26" s="9" t="n"/>
      <c r="B26" s="9" t="n"/>
      <c r="C26" s="213">
        <f>IF($D26="","",IF($B26="Casual",$D26/(1+Lookup!$H$2),$D26))</f>
        <v/>
      </c>
      <c r="D26" s="214" t="n"/>
      <c r="E26" s="215">
        <f>0-SUM(F26:S26)</f>
        <v/>
      </c>
      <c r="F26" s="215" t="n"/>
      <c r="G26" s="215" t="n"/>
      <c r="H26" s="215" t="n"/>
      <c r="I26" s="215" t="n"/>
      <c r="J26" s="215" t="n"/>
      <c r="K26" s="215" t="n"/>
      <c r="L26" s="215" t="n"/>
      <c r="M26" s="215" t="n"/>
      <c r="N26" s="215" t="n"/>
      <c r="O26" s="215" t="n"/>
      <c r="P26" s="215" t="n"/>
      <c r="Q26" s="215" t="n"/>
      <c r="R26" s="215" t="n"/>
      <c r="S26" s="215" t="n"/>
      <c r="T26" s="216">
        <f>SUM(E26:S26)</f>
        <v/>
      </c>
      <c r="U26" s="217" t="n"/>
      <c r="V26" s="217" t="n"/>
      <c r="W26" s="218">
        <f>ROUND(N($D26)*(SUM($E26:$H26)+SUM($N26:$R26))+IF(AND($B26="Casual",Lookup!$H$8="No"),N($C26),N($D26))*($I26*Lookup!$H$3+$J26*Lookup!$H$4+$K26*Lookup!$H$5+$L26*Lookup!$H$6+$M26*Lookup!$H$7)+N($U26)+N($V26),2)</f>
        <v/>
      </c>
      <c r="X26" s="9" t="n"/>
      <c r="Y26" s="217" t="n"/>
      <c r="Z26" s="217" t="n"/>
      <c r="AA26" s="9" t="n"/>
      <c r="AB26" s="219">
        <f>MAX(0,$W26-N($Z26))</f>
        <v/>
      </c>
      <c r="AC26" s="9" t="inlineStr">
        <is>
          <t>2 - Tax-free threshold claimed</t>
        </is>
      </c>
      <c r="AD26" s="219">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8">
        <f>$AB26-$AD26</f>
        <v/>
      </c>
      <c r="AF26" s="219">
        <f>ROUND((N($D26)*(SUM($E26:$H26)+SUM($N26:$R26))+IF(Lookup!$H$10="Yes",N($U26),0))*Lookup!$H$9,2)+N($Y26)</f>
        <v/>
      </c>
    </row>
    <row r="27" ht="18" customHeight="1">
      <c r="A27" s="9" t="n"/>
      <c r="B27" s="9" t="n"/>
      <c r="C27" s="213">
        <f>IF($D27="","",IF($B27="Casual",$D27/(1+Lookup!$H$2),$D27))</f>
        <v/>
      </c>
      <c r="D27" s="214" t="n"/>
      <c r="E27" s="215">
        <f>0-SUM(F27:S27)</f>
        <v/>
      </c>
      <c r="F27" s="215" t="n"/>
      <c r="G27" s="215" t="n"/>
      <c r="H27" s="215" t="n"/>
      <c r="I27" s="215" t="n"/>
      <c r="J27" s="215" t="n"/>
      <c r="K27" s="215" t="n"/>
      <c r="L27" s="215" t="n"/>
      <c r="M27" s="215" t="n"/>
      <c r="N27" s="215" t="n"/>
      <c r="O27" s="215" t="n"/>
      <c r="P27" s="215" t="n"/>
      <c r="Q27" s="215" t="n"/>
      <c r="R27" s="215" t="n"/>
      <c r="S27" s="215" t="n"/>
      <c r="T27" s="216">
        <f>SUM(E27:S27)</f>
        <v/>
      </c>
      <c r="U27" s="217" t="n"/>
      <c r="V27" s="217" t="n"/>
      <c r="W27" s="218">
        <f>ROUND(N($D27)*(SUM($E27:$H27)+SUM($N27:$R27))+IF(AND($B27="Casual",Lookup!$H$8="No"),N($C27),N($D27))*($I27*Lookup!$H$3+$J27*Lookup!$H$4+$K27*Lookup!$H$5+$L27*Lookup!$H$6+$M27*Lookup!$H$7)+N($U27)+N($V27),2)</f>
        <v/>
      </c>
      <c r="X27" s="9" t="n"/>
      <c r="Y27" s="217" t="n"/>
      <c r="Z27" s="217" t="n"/>
      <c r="AA27" s="9" t="n"/>
      <c r="AB27" s="219">
        <f>MAX(0,$W27-N($Z27))</f>
        <v/>
      </c>
      <c r="AC27" s="9" t="inlineStr">
        <is>
          <t>2 - Tax-free threshold claimed</t>
        </is>
      </c>
      <c r="AD27" s="219">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8">
        <f>$AB27-$AD27</f>
        <v/>
      </c>
      <c r="AF27" s="219">
        <f>ROUND((N($D27)*(SUM($E27:$H27)+SUM($N27:$R27))+IF(Lookup!$H$10="Yes",N($U27),0))*Lookup!$H$9,2)+N($Y27)</f>
        <v/>
      </c>
    </row>
    <row r="28" ht="18" customHeight="1">
      <c r="A28" s="9" t="n"/>
      <c r="B28" s="9" t="n"/>
      <c r="C28" s="213">
        <f>IF($D28="","",IF($B28="Casual",$D28/(1+Lookup!$H$2),$D28))</f>
        <v/>
      </c>
      <c r="D28" s="214" t="n"/>
      <c r="E28" s="215">
        <f>0-SUM(F28:S28)</f>
        <v/>
      </c>
      <c r="F28" s="215" t="n"/>
      <c r="G28" s="215" t="n"/>
      <c r="H28" s="215" t="n"/>
      <c r="I28" s="215" t="n"/>
      <c r="J28" s="215" t="n"/>
      <c r="K28" s="215" t="n"/>
      <c r="L28" s="215" t="n"/>
      <c r="M28" s="215" t="n"/>
      <c r="N28" s="215" t="n"/>
      <c r="O28" s="215" t="n"/>
      <c r="P28" s="215" t="n"/>
      <c r="Q28" s="215" t="n"/>
      <c r="R28" s="215" t="n"/>
      <c r="S28" s="215" t="n"/>
      <c r="T28" s="216">
        <f>SUM(E28:S28)</f>
        <v/>
      </c>
      <c r="U28" s="217" t="n"/>
      <c r="V28" s="217" t="n"/>
      <c r="W28" s="218">
        <f>ROUND(N($D28)*(SUM($E28:$H28)+SUM($N28:$R28))+IF(AND($B28="Casual",Lookup!$H$8="No"),N($C28),N($D28))*($I28*Lookup!$H$3+$J28*Lookup!$H$4+$K28*Lookup!$H$5+$L28*Lookup!$H$6+$M28*Lookup!$H$7)+N($U28)+N($V28),2)</f>
        <v/>
      </c>
      <c r="X28" s="9" t="n"/>
      <c r="Y28" s="217" t="n"/>
      <c r="Z28" s="217" t="n"/>
      <c r="AA28" s="9" t="n"/>
      <c r="AB28" s="219">
        <f>MAX(0,$W28-N($Z28))</f>
        <v/>
      </c>
      <c r="AC28" s="9" t="inlineStr">
        <is>
          <t>2 - Tax-free threshold claimed</t>
        </is>
      </c>
      <c r="AD28" s="219">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8">
        <f>$AB28-$AD28</f>
        <v/>
      </c>
      <c r="AF28" s="219">
        <f>ROUND((N($D28)*(SUM($E28:$H28)+SUM($N28:$R28))+IF(Lookup!$H$10="Yes",N($U28),0))*Lookup!$H$9,2)+N($Y28)</f>
        <v/>
      </c>
    </row>
    <row r="29" ht="18" customHeight="1">
      <c r="A29" s="9" t="n"/>
      <c r="B29" s="9" t="n"/>
      <c r="C29" s="213">
        <f>IF($D29="","",IF($B29="Casual",$D29/(1+Lookup!$H$2),$D29))</f>
        <v/>
      </c>
      <c r="D29" s="214" t="n"/>
      <c r="E29" s="215">
        <f>0-SUM(F29:S29)</f>
        <v/>
      </c>
      <c r="F29" s="215" t="n"/>
      <c r="G29" s="215" t="n"/>
      <c r="H29" s="215" t="n"/>
      <c r="I29" s="215" t="n"/>
      <c r="J29" s="215" t="n"/>
      <c r="K29" s="215" t="n"/>
      <c r="L29" s="215" t="n"/>
      <c r="M29" s="215" t="n"/>
      <c r="N29" s="215" t="n"/>
      <c r="O29" s="215" t="n"/>
      <c r="P29" s="215" t="n"/>
      <c r="Q29" s="215" t="n"/>
      <c r="R29" s="215" t="n"/>
      <c r="S29" s="215" t="n"/>
      <c r="T29" s="216">
        <f>SUM(E29:S29)</f>
        <v/>
      </c>
      <c r="U29" s="217" t="n"/>
      <c r="V29" s="217" t="n"/>
      <c r="W29" s="218">
        <f>ROUND(N($D29)*(SUM($E29:$H29)+SUM($N29:$R29))+IF(AND($B29="Casual",Lookup!$H$8="No"),N($C29),N($D29))*($I29*Lookup!$H$3+$J29*Lookup!$H$4+$K29*Lookup!$H$5+$L29*Lookup!$H$6+$M29*Lookup!$H$7)+N($U29)+N($V29),2)</f>
        <v/>
      </c>
      <c r="X29" s="9" t="n"/>
      <c r="Y29" s="217" t="n"/>
      <c r="Z29" s="217" t="n"/>
      <c r="AA29" s="9" t="n"/>
      <c r="AB29" s="219">
        <f>MAX(0,$W29-N($Z29))</f>
        <v/>
      </c>
      <c r="AC29" s="9" t="inlineStr">
        <is>
          <t>2 - Tax-free threshold claimed</t>
        </is>
      </c>
      <c r="AD29" s="219">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8">
        <f>$AB29-$AD29</f>
        <v/>
      </c>
      <c r="AF29" s="219">
        <f>ROUND((N($D29)*(SUM($E29:$H29)+SUM($N29:$R29))+IF(Lookup!$H$10="Yes",N($U29),0))*Lookup!$H$9,2)+N($Y29)</f>
        <v/>
      </c>
    </row>
    <row r="30" ht="18" customHeight="1">
      <c r="A30" s="9" t="n"/>
      <c r="B30" s="9" t="n"/>
      <c r="C30" s="213">
        <f>IF($D30="","",IF($B30="Casual",$D30/(1+Lookup!$H$2),$D30))</f>
        <v/>
      </c>
      <c r="D30" s="214" t="n"/>
      <c r="E30" s="215">
        <f>0-SUM(F30:S30)</f>
        <v/>
      </c>
      <c r="F30" s="215" t="n"/>
      <c r="G30" s="215" t="n"/>
      <c r="H30" s="215" t="n"/>
      <c r="I30" s="215" t="n"/>
      <c r="J30" s="215" t="n"/>
      <c r="K30" s="215" t="n"/>
      <c r="L30" s="215" t="n"/>
      <c r="M30" s="215" t="n"/>
      <c r="N30" s="215" t="n"/>
      <c r="O30" s="215" t="n"/>
      <c r="P30" s="215" t="n"/>
      <c r="Q30" s="215" t="n"/>
      <c r="R30" s="215" t="n"/>
      <c r="S30" s="215" t="n"/>
      <c r="T30" s="216">
        <f>SUM(E30:S30)</f>
        <v/>
      </c>
      <c r="U30" s="217" t="n"/>
      <c r="V30" s="217" t="n"/>
      <c r="W30" s="218">
        <f>ROUND(N($D30)*(SUM($E30:$H30)+SUM($N30:$R30))+IF(AND($B30="Casual",Lookup!$H$8="No"),N($C30),N($D30))*($I30*Lookup!$H$3+$J30*Lookup!$H$4+$K30*Lookup!$H$5+$L30*Lookup!$H$6+$M30*Lookup!$H$7)+N($U30)+N($V30),2)</f>
        <v/>
      </c>
      <c r="X30" s="9" t="n"/>
      <c r="Y30" s="217" t="n"/>
      <c r="Z30" s="217" t="n"/>
      <c r="AA30" s="9" t="n"/>
      <c r="AB30" s="219">
        <f>MAX(0,$W30-N($Z30))</f>
        <v/>
      </c>
      <c r="AC30" s="9" t="inlineStr">
        <is>
          <t>2 - Tax-free threshold claimed</t>
        </is>
      </c>
      <c r="AD30" s="219">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8">
        <f>$AB30-$AD30</f>
        <v/>
      </c>
      <c r="AF30" s="219">
        <f>ROUND((N($D30)*(SUM($E30:$H30)+SUM($N30:$R30))+IF(Lookup!$H$10="Yes",N($U30),0))*Lookup!$H$9,2)+N($Y30)</f>
        <v/>
      </c>
    </row>
    <row r="31" ht="18" customHeight="1">
      <c r="A31" s="9" t="n"/>
      <c r="B31" s="9" t="n"/>
      <c r="C31" s="213">
        <f>IF($D31="","",IF($B31="Casual",$D31/(1+Lookup!$H$2),$D31))</f>
        <v/>
      </c>
      <c r="D31" s="214" t="n"/>
      <c r="E31" s="215">
        <f>0-SUM(F31:S31)</f>
        <v/>
      </c>
      <c r="F31" s="215" t="n"/>
      <c r="G31" s="215" t="n"/>
      <c r="H31" s="215" t="n"/>
      <c r="I31" s="215" t="n"/>
      <c r="J31" s="215" t="n"/>
      <c r="K31" s="215" t="n"/>
      <c r="L31" s="215" t="n"/>
      <c r="M31" s="215" t="n"/>
      <c r="N31" s="215" t="n"/>
      <c r="O31" s="215" t="n"/>
      <c r="P31" s="215" t="n"/>
      <c r="Q31" s="215" t="n"/>
      <c r="R31" s="215" t="n"/>
      <c r="S31" s="215" t="n"/>
      <c r="T31" s="216">
        <f>SUM(E31:S31)</f>
        <v/>
      </c>
      <c r="U31" s="217" t="n"/>
      <c r="V31" s="217" t="n"/>
      <c r="W31" s="218">
        <f>ROUND(N($D31)*(SUM($E31:$H31)+SUM($N31:$R31))+IF(AND($B31="Casual",Lookup!$H$8="No"),N($C31),N($D31))*($I31*Lookup!$H$3+$J31*Lookup!$H$4+$K31*Lookup!$H$5+$L31*Lookup!$H$6+$M31*Lookup!$H$7)+N($U31)+N($V31),2)</f>
        <v/>
      </c>
      <c r="X31" s="9" t="n"/>
      <c r="Y31" s="217" t="n"/>
      <c r="Z31" s="217" t="n"/>
      <c r="AA31" s="9" t="n"/>
      <c r="AB31" s="219">
        <f>MAX(0,$W31-N($Z31))</f>
        <v/>
      </c>
      <c r="AC31" s="9" t="inlineStr">
        <is>
          <t>2 - Tax-free threshold claimed</t>
        </is>
      </c>
      <c r="AD31" s="219">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8">
        <f>$AB31-$AD31</f>
        <v/>
      </c>
      <c r="AF31" s="219">
        <f>ROUND((N($D31)*(SUM($E31:$H31)+SUM($N31:$R31))+IF(Lookup!$H$10="Yes",N($U31),0))*Lookup!$H$9,2)+N($Y31)</f>
        <v/>
      </c>
    </row>
    <row r="32" ht="18" customHeight="1">
      <c r="A32" s="9" t="n"/>
      <c r="B32" s="9" t="n"/>
      <c r="C32" s="213">
        <f>IF($D32="","",IF($B32="Casual",$D32/(1+Lookup!$H$2),$D32))</f>
        <v/>
      </c>
      <c r="D32" s="214" t="n"/>
      <c r="E32" s="215">
        <f>0-SUM(F32:S32)</f>
        <v/>
      </c>
      <c r="F32" s="215" t="n"/>
      <c r="G32" s="215" t="n"/>
      <c r="H32" s="215" t="n"/>
      <c r="I32" s="215" t="n"/>
      <c r="J32" s="215" t="n"/>
      <c r="K32" s="215" t="n"/>
      <c r="L32" s="215" t="n"/>
      <c r="M32" s="215" t="n"/>
      <c r="N32" s="215" t="n"/>
      <c r="O32" s="215" t="n"/>
      <c r="P32" s="215" t="n"/>
      <c r="Q32" s="215" t="n"/>
      <c r="R32" s="215" t="n"/>
      <c r="S32" s="215" t="n"/>
      <c r="T32" s="216">
        <f>SUM(E32:S32)</f>
        <v/>
      </c>
      <c r="U32" s="217" t="n"/>
      <c r="V32" s="217" t="n"/>
      <c r="W32" s="218">
        <f>ROUND(N($D32)*(SUM($E32:$H32)+SUM($N32:$R32))+IF(AND($B32="Casual",Lookup!$H$8="No"),N($C32),N($D32))*($I32*Lookup!$H$3+$J32*Lookup!$H$4+$K32*Lookup!$H$5+$L32*Lookup!$H$6+$M32*Lookup!$H$7)+N($U32)+N($V32),2)</f>
        <v/>
      </c>
      <c r="X32" s="9" t="n"/>
      <c r="Y32" s="217" t="n"/>
      <c r="Z32" s="217" t="n"/>
      <c r="AA32" s="9" t="n"/>
      <c r="AB32" s="219">
        <f>MAX(0,$W32-N($Z32))</f>
        <v/>
      </c>
      <c r="AC32" s="9" t="inlineStr">
        <is>
          <t>2 - Tax-free threshold claimed</t>
        </is>
      </c>
      <c r="AD32" s="219">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8">
        <f>$AB32-$AD32</f>
        <v/>
      </c>
      <c r="AF32" s="219">
        <f>ROUND((N($D32)*(SUM($E32:$H32)+SUM($N32:$R32))+IF(Lookup!$H$10="Yes",N($U32),0))*Lookup!$H$9,2)+N($Y32)</f>
        <v/>
      </c>
    </row>
    <row r="33" ht="18" customHeight="1">
      <c r="A33" s="9" t="n"/>
      <c r="B33" s="9" t="n"/>
      <c r="C33" s="213">
        <f>IF($D33="","",IF($B33="Casual",$D33/(1+Lookup!$H$2),$D33))</f>
        <v/>
      </c>
      <c r="D33" s="214" t="n"/>
      <c r="E33" s="215">
        <f>0-SUM(F33:S33)</f>
        <v/>
      </c>
      <c r="F33" s="215" t="n"/>
      <c r="G33" s="215" t="n"/>
      <c r="H33" s="215" t="n"/>
      <c r="I33" s="215" t="n"/>
      <c r="J33" s="215" t="n"/>
      <c r="K33" s="215" t="n"/>
      <c r="L33" s="215" t="n"/>
      <c r="M33" s="215" t="n"/>
      <c r="N33" s="215" t="n"/>
      <c r="O33" s="215" t="n"/>
      <c r="P33" s="215" t="n"/>
      <c r="Q33" s="215" t="n"/>
      <c r="R33" s="215" t="n"/>
      <c r="S33" s="215" t="n"/>
      <c r="T33" s="216">
        <f>SUM(E33:S33)</f>
        <v/>
      </c>
      <c r="U33" s="217" t="n"/>
      <c r="V33" s="217" t="n"/>
      <c r="W33" s="218">
        <f>ROUND(N($D33)*(SUM($E33:$H33)+SUM($N33:$R33))+IF(AND($B33="Casual",Lookup!$H$8="No"),N($C33),N($D33))*($I33*Lookup!$H$3+$J33*Lookup!$H$4+$K33*Lookup!$H$5+$L33*Lookup!$H$6+$M33*Lookup!$H$7)+N($U33)+N($V33),2)</f>
        <v/>
      </c>
      <c r="X33" s="9" t="n"/>
      <c r="Y33" s="217" t="n"/>
      <c r="Z33" s="217" t="n"/>
      <c r="AA33" s="9" t="n"/>
      <c r="AB33" s="219">
        <f>MAX(0,$W33-N($Z33))</f>
        <v/>
      </c>
      <c r="AC33" s="9" t="inlineStr">
        <is>
          <t>2 - Tax-free threshold claimed</t>
        </is>
      </c>
      <c r="AD33" s="219">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8">
        <f>$AB33-$AD33</f>
        <v/>
      </c>
      <c r="AF33" s="219">
        <f>ROUND((N($D33)*(SUM($E33:$H33)+SUM($N33:$R33))+IF(Lookup!$H$10="Yes",N($U33),0))*Lookup!$H$9,2)+N($Y33)</f>
        <v/>
      </c>
    </row>
    <row r="34" ht="18" customHeight="1">
      <c r="A34" s="9" t="n"/>
      <c r="B34" s="9" t="n"/>
      <c r="C34" s="213">
        <f>IF($D34="","",IF($B34="Casual",$D34/(1+Lookup!$H$2),$D34))</f>
        <v/>
      </c>
      <c r="D34" s="214" t="n"/>
      <c r="E34" s="215">
        <f>0-SUM(F34:S34)</f>
        <v/>
      </c>
      <c r="F34" s="215" t="n"/>
      <c r="G34" s="215" t="n"/>
      <c r="H34" s="215" t="n"/>
      <c r="I34" s="215" t="n"/>
      <c r="J34" s="215" t="n"/>
      <c r="K34" s="215" t="n"/>
      <c r="L34" s="215" t="n"/>
      <c r="M34" s="215" t="n"/>
      <c r="N34" s="215" t="n"/>
      <c r="O34" s="215" t="n"/>
      <c r="P34" s="215" t="n"/>
      <c r="Q34" s="215" t="n"/>
      <c r="R34" s="215" t="n"/>
      <c r="S34" s="215" t="n"/>
      <c r="T34" s="216">
        <f>SUM(E34:S34)</f>
        <v/>
      </c>
      <c r="U34" s="217" t="n"/>
      <c r="V34" s="217" t="n"/>
      <c r="W34" s="218">
        <f>ROUND(N($D34)*(SUM($E34:$H34)+SUM($N34:$R34))+IF(AND($B34="Casual",Lookup!$H$8="No"),N($C34),N($D34))*($I34*Lookup!$H$3+$J34*Lookup!$H$4+$K34*Lookup!$H$5+$L34*Lookup!$H$6+$M34*Lookup!$H$7)+N($U34)+N($V34),2)</f>
        <v/>
      </c>
      <c r="X34" s="9" t="n"/>
      <c r="Y34" s="217" t="n"/>
      <c r="Z34" s="217" t="n"/>
      <c r="AA34" s="9" t="n"/>
      <c r="AB34" s="219">
        <f>MAX(0,$W34-N($Z34))</f>
        <v/>
      </c>
      <c r="AC34" s="9" t="inlineStr">
        <is>
          <t>2 - Tax-free threshold claimed</t>
        </is>
      </c>
      <c r="AD34" s="219">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8">
        <f>$AB34-$AD34</f>
        <v/>
      </c>
      <c r="AF34" s="219">
        <f>ROUND((N($D34)*(SUM($E34:$H34)+SUM($N34:$R34))+IF(Lookup!$H$10="Yes",N($U34),0))*Lookup!$H$9,2)+N($Y34)</f>
        <v/>
      </c>
    </row>
    <row r="35" ht="18" customHeight="1">
      <c r="A35" s="9" t="n"/>
      <c r="B35" s="9" t="n"/>
      <c r="C35" s="213">
        <f>IF($D35="","",IF($B35="Casual",$D35/(1+Lookup!$H$2),$D35))</f>
        <v/>
      </c>
      <c r="D35" s="214" t="n"/>
      <c r="E35" s="215">
        <f>0-SUM(F35:S35)</f>
        <v/>
      </c>
      <c r="F35" s="215" t="n"/>
      <c r="G35" s="215" t="n"/>
      <c r="H35" s="215" t="n"/>
      <c r="I35" s="215" t="n"/>
      <c r="J35" s="215" t="n"/>
      <c r="K35" s="215" t="n"/>
      <c r="L35" s="215" t="n"/>
      <c r="M35" s="215" t="n"/>
      <c r="N35" s="215" t="n"/>
      <c r="O35" s="215" t="n"/>
      <c r="P35" s="215" t="n"/>
      <c r="Q35" s="215" t="n"/>
      <c r="R35" s="215" t="n"/>
      <c r="S35" s="215" t="n"/>
      <c r="T35" s="216">
        <f>SUM(E35:S35)</f>
        <v/>
      </c>
      <c r="U35" s="217" t="n"/>
      <c r="V35" s="217" t="n"/>
      <c r="W35" s="218">
        <f>ROUND(N($D35)*(SUM($E35:$H35)+SUM($N35:$R35))+IF(AND($B35="Casual",Lookup!$H$8="No"),N($C35),N($D35))*($I35*Lookup!$H$3+$J35*Lookup!$H$4+$K35*Lookup!$H$5+$L35*Lookup!$H$6+$M35*Lookup!$H$7)+N($U35)+N($V35),2)</f>
        <v/>
      </c>
      <c r="X35" s="9" t="n"/>
      <c r="Y35" s="217" t="n"/>
      <c r="Z35" s="217" t="n"/>
      <c r="AA35" s="9" t="n"/>
      <c r="AB35" s="219">
        <f>MAX(0,$W35-N($Z35))</f>
        <v/>
      </c>
      <c r="AC35" s="9" t="inlineStr">
        <is>
          <t>2 - Tax-free threshold claimed</t>
        </is>
      </c>
      <c r="AD35" s="219">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8">
        <f>$AB35-$AD35</f>
        <v/>
      </c>
      <c r="AF35" s="219">
        <f>ROUND((N($D35)*(SUM($E35:$H35)+SUM($N35:$R35))+IF(Lookup!$H$10="Yes",N($U35),0))*Lookup!$H$9,2)+N($Y35)</f>
        <v/>
      </c>
    </row>
    <row r="36" ht="18" customHeight="1">
      <c r="A36" s="9" t="n"/>
      <c r="B36" s="9" t="n"/>
      <c r="C36" s="213">
        <f>IF($D36="","",IF($B36="Casual",$D36/(1+Lookup!$H$2),$D36))</f>
        <v/>
      </c>
      <c r="D36" s="214" t="n"/>
      <c r="E36" s="215">
        <f>0-SUM(F36:S36)</f>
        <v/>
      </c>
      <c r="F36" s="215" t="n"/>
      <c r="G36" s="215" t="n"/>
      <c r="H36" s="215" t="n"/>
      <c r="I36" s="215" t="n"/>
      <c r="J36" s="215" t="n"/>
      <c r="K36" s="215" t="n"/>
      <c r="L36" s="215" t="n"/>
      <c r="M36" s="215" t="n"/>
      <c r="N36" s="215" t="n"/>
      <c r="O36" s="215" t="n"/>
      <c r="P36" s="215" t="n"/>
      <c r="Q36" s="215" t="n"/>
      <c r="R36" s="215" t="n"/>
      <c r="S36" s="215" t="n"/>
      <c r="T36" s="216">
        <f>SUM(E36:S36)</f>
        <v/>
      </c>
      <c r="U36" s="217" t="n"/>
      <c r="V36" s="217" t="n"/>
      <c r="W36" s="218">
        <f>ROUND(N($D36)*(SUM($E36:$H36)+SUM($N36:$R36))+IF(AND($B36="Casual",Lookup!$H$8="No"),N($C36),N($D36))*($I36*Lookup!$H$3+$J36*Lookup!$H$4+$K36*Lookup!$H$5+$L36*Lookup!$H$6+$M36*Lookup!$H$7)+N($U36)+N($V36),2)</f>
        <v/>
      </c>
      <c r="X36" s="9" t="n"/>
      <c r="Y36" s="217" t="n"/>
      <c r="Z36" s="217" t="n"/>
      <c r="AA36" s="9" t="n"/>
      <c r="AB36" s="219">
        <f>MAX(0,$W36-N($Z36))</f>
        <v/>
      </c>
      <c r="AC36" s="9" t="inlineStr">
        <is>
          <t>2 - Tax-free threshold claimed</t>
        </is>
      </c>
      <c r="AD36" s="219">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8">
        <f>$AB36-$AD36</f>
        <v/>
      </c>
      <c r="AF36" s="219">
        <f>ROUND((N($D36)*(SUM($E36:$H36)+SUM($N36:$R36))+IF(Lookup!$H$10="Yes",N($U36),0))*Lookup!$H$9,2)+N($Y36)</f>
        <v/>
      </c>
    </row>
    <row r="37" ht="18" customHeight="1">
      <c r="A37" s="9" t="n"/>
      <c r="B37" s="9" t="n"/>
      <c r="C37" s="213">
        <f>IF($D37="","",IF($B37="Casual",$D37/(1+Lookup!$H$2),$D37))</f>
        <v/>
      </c>
      <c r="D37" s="214" t="n"/>
      <c r="E37" s="215">
        <f>0-SUM(F37:S37)</f>
        <v/>
      </c>
      <c r="F37" s="215" t="n"/>
      <c r="G37" s="215" t="n"/>
      <c r="H37" s="215" t="n"/>
      <c r="I37" s="215" t="n"/>
      <c r="J37" s="215" t="n"/>
      <c r="K37" s="215" t="n"/>
      <c r="L37" s="215" t="n"/>
      <c r="M37" s="215" t="n"/>
      <c r="N37" s="215" t="n"/>
      <c r="O37" s="215" t="n"/>
      <c r="P37" s="215" t="n"/>
      <c r="Q37" s="215" t="n"/>
      <c r="R37" s="215" t="n"/>
      <c r="S37" s="215" t="n"/>
      <c r="T37" s="216">
        <f>SUM(E37:S37)</f>
        <v/>
      </c>
      <c r="U37" s="217" t="n"/>
      <c r="V37" s="217" t="n"/>
      <c r="W37" s="218">
        <f>ROUND(N($D37)*(SUM($E37:$H37)+SUM($N37:$R37))+IF(AND($B37="Casual",Lookup!$H$8="No"),N($C37),N($D37))*($I37*Lookup!$H$3+$J37*Lookup!$H$4+$K37*Lookup!$H$5+$L37*Lookup!$H$6+$M37*Lookup!$H$7)+N($U37)+N($V37),2)</f>
        <v/>
      </c>
      <c r="X37" s="9" t="n"/>
      <c r="Y37" s="217" t="n"/>
      <c r="Z37" s="217" t="n"/>
      <c r="AA37" s="9" t="n"/>
      <c r="AB37" s="219">
        <f>MAX(0,$W37-N($Z37))</f>
        <v/>
      </c>
      <c r="AC37" s="9" t="inlineStr">
        <is>
          <t>2 - Tax-free threshold claimed</t>
        </is>
      </c>
      <c r="AD37" s="219">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8">
        <f>$AB37-$AD37</f>
        <v/>
      </c>
      <c r="AF37" s="219">
        <f>ROUND((N($D37)*(SUM($E37:$H37)+SUM($N37:$R37))+IF(Lookup!$H$10="Yes",N($U37),0))*Lookup!$H$9,2)+N($Y37)</f>
        <v/>
      </c>
    </row>
    <row r="38" ht="18" customHeight="1">
      <c r="A38" s="9" t="n"/>
      <c r="B38" s="9" t="n"/>
      <c r="C38" s="213">
        <f>IF($D38="","",IF($B38="Casual",$D38/(1+Lookup!$H$2),$D38))</f>
        <v/>
      </c>
      <c r="D38" s="214" t="n"/>
      <c r="E38" s="215">
        <f>0-SUM(F38:S38)</f>
        <v/>
      </c>
      <c r="F38" s="215" t="n"/>
      <c r="G38" s="215" t="n"/>
      <c r="H38" s="215" t="n"/>
      <c r="I38" s="215" t="n"/>
      <c r="J38" s="215" t="n"/>
      <c r="K38" s="215" t="n"/>
      <c r="L38" s="215" t="n"/>
      <c r="M38" s="215" t="n"/>
      <c r="N38" s="215" t="n"/>
      <c r="O38" s="215" t="n"/>
      <c r="P38" s="215" t="n"/>
      <c r="Q38" s="215" t="n"/>
      <c r="R38" s="215" t="n"/>
      <c r="S38" s="215" t="n"/>
      <c r="T38" s="216">
        <f>SUM(E38:S38)</f>
        <v/>
      </c>
      <c r="U38" s="217" t="n"/>
      <c r="V38" s="217" t="n"/>
      <c r="W38" s="218">
        <f>ROUND(N($D38)*(SUM($E38:$H38)+SUM($N38:$R38))+IF(AND($B38="Casual",Lookup!$H$8="No"),N($C38),N($D38))*($I38*Lookup!$H$3+$J38*Lookup!$H$4+$K38*Lookup!$H$5+$L38*Lookup!$H$6+$M38*Lookup!$H$7)+N($U38)+N($V38),2)</f>
        <v/>
      </c>
      <c r="X38" s="9" t="n"/>
      <c r="Y38" s="217" t="n"/>
      <c r="Z38" s="217" t="n"/>
      <c r="AA38" s="9" t="n"/>
      <c r="AB38" s="219">
        <f>MAX(0,$W38-N($Z38))</f>
        <v/>
      </c>
      <c r="AC38" s="9" t="inlineStr">
        <is>
          <t>2 - Tax-free threshold claimed</t>
        </is>
      </c>
      <c r="AD38" s="219">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8">
        <f>$AB38-$AD38</f>
        <v/>
      </c>
      <c r="AF38" s="219">
        <f>ROUND((N($D38)*(SUM($E38:$H38)+SUM($N38:$R38))+IF(Lookup!$H$10="Yes",N($U38),0))*Lookup!$H$9,2)+N($Y38)</f>
        <v/>
      </c>
    </row>
    <row r="39" ht="18" customHeight="1">
      <c r="A39" s="9" t="n"/>
      <c r="B39" s="9" t="n"/>
      <c r="C39" s="213">
        <f>IF($D39="","",IF($B39="Casual",$D39/(1+Lookup!$H$2),$D39))</f>
        <v/>
      </c>
      <c r="D39" s="214" t="n"/>
      <c r="E39" s="215">
        <f>0-SUM(F39:S39)</f>
        <v/>
      </c>
      <c r="F39" s="215" t="n"/>
      <c r="G39" s="215" t="n"/>
      <c r="H39" s="215" t="n"/>
      <c r="I39" s="215" t="n"/>
      <c r="J39" s="215" t="n"/>
      <c r="K39" s="215" t="n"/>
      <c r="L39" s="215" t="n"/>
      <c r="M39" s="215" t="n"/>
      <c r="N39" s="215" t="n"/>
      <c r="O39" s="215" t="n"/>
      <c r="P39" s="215" t="n"/>
      <c r="Q39" s="215" t="n"/>
      <c r="R39" s="215" t="n"/>
      <c r="S39" s="215" t="n"/>
      <c r="T39" s="216">
        <f>SUM(E39:S39)</f>
        <v/>
      </c>
      <c r="U39" s="217" t="n"/>
      <c r="V39" s="217" t="n"/>
      <c r="W39" s="218">
        <f>ROUND(N($D39)*(SUM($E39:$H39)+SUM($N39:$R39))+IF(AND($B39="Casual",Lookup!$H$8="No"),N($C39),N($D39))*($I39*Lookup!$H$3+$J39*Lookup!$H$4+$K39*Lookup!$H$5+$L39*Lookup!$H$6+$M39*Lookup!$H$7)+N($U39)+N($V39),2)</f>
        <v/>
      </c>
      <c r="X39" s="9" t="n"/>
      <c r="Y39" s="217" t="n"/>
      <c r="Z39" s="217" t="n"/>
      <c r="AA39" s="9" t="n"/>
      <c r="AB39" s="219">
        <f>MAX(0,$W39-N($Z39))</f>
        <v/>
      </c>
      <c r="AC39" s="9" t="inlineStr">
        <is>
          <t>2 - Tax-free threshold claimed</t>
        </is>
      </c>
      <c r="AD39" s="219">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8">
        <f>$AB39-$AD39</f>
        <v/>
      </c>
      <c r="AF39" s="219">
        <f>ROUND((N($D39)*(SUM($E39:$H39)+SUM($N39:$R39))+IF(Lookup!$H$10="Yes",N($U39),0))*Lookup!$H$9,2)+N($Y39)</f>
        <v/>
      </c>
    </row>
    <row r="40" ht="18" customHeight="1">
      <c r="A40" s="9" t="n"/>
      <c r="B40" s="9" t="n"/>
      <c r="C40" s="213">
        <f>IF($D40="","",IF($B40="Casual",$D40/(1+Lookup!$H$2),$D40))</f>
        <v/>
      </c>
      <c r="D40" s="214" t="n"/>
      <c r="E40" s="215">
        <f>0-SUM(F40:S40)</f>
        <v/>
      </c>
      <c r="F40" s="215" t="n"/>
      <c r="G40" s="215" t="n"/>
      <c r="H40" s="215" t="n"/>
      <c r="I40" s="215" t="n"/>
      <c r="J40" s="215" t="n"/>
      <c r="K40" s="215" t="n"/>
      <c r="L40" s="215" t="n"/>
      <c r="M40" s="215" t="n"/>
      <c r="N40" s="215" t="n"/>
      <c r="O40" s="215" t="n"/>
      <c r="P40" s="215" t="n"/>
      <c r="Q40" s="215" t="n"/>
      <c r="R40" s="215" t="n"/>
      <c r="S40" s="215" t="n"/>
      <c r="T40" s="216">
        <f>SUM(E40:S40)</f>
        <v/>
      </c>
      <c r="U40" s="217" t="n"/>
      <c r="V40" s="217" t="n"/>
      <c r="W40" s="218">
        <f>ROUND(N($D40)*(SUM($E40:$H40)+SUM($N40:$R40))+IF(AND($B40="Casual",Lookup!$H$8="No"),N($C40),N($D40))*($I40*Lookup!$H$3+$J40*Lookup!$H$4+$K40*Lookup!$H$5+$L40*Lookup!$H$6+$M40*Lookup!$H$7)+N($U40)+N($V40),2)</f>
        <v/>
      </c>
      <c r="X40" s="9" t="n"/>
      <c r="Y40" s="217" t="n"/>
      <c r="Z40" s="217" t="n"/>
      <c r="AA40" s="9" t="n"/>
      <c r="AB40" s="219">
        <f>MAX(0,$W40-N($Z40))</f>
        <v/>
      </c>
      <c r="AC40" s="9" t="inlineStr">
        <is>
          <t>2 - Tax-free threshold claimed</t>
        </is>
      </c>
      <c r="AD40" s="219">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8">
        <f>$AB40-$AD40</f>
        <v/>
      </c>
      <c r="AF40" s="219">
        <f>ROUND((N($D40)*(SUM($E40:$H40)+SUM($N40:$R40))+IF(Lookup!$H$10="Yes",N($U40),0))*Lookup!$H$9,2)+N($Y40)</f>
        <v/>
      </c>
    </row>
    <row r="41" ht="18" customHeight="1">
      <c r="A41" s="9" t="n"/>
      <c r="B41" s="9" t="n"/>
      <c r="C41" s="213">
        <f>IF($D41="","",IF($B41="Casual",$D41/(1+Lookup!$H$2),$D41))</f>
        <v/>
      </c>
      <c r="D41" s="214" t="n"/>
      <c r="E41" s="215">
        <f>0-SUM(F41:S41)</f>
        <v/>
      </c>
      <c r="F41" s="215" t="n"/>
      <c r="G41" s="215" t="n"/>
      <c r="H41" s="215" t="n"/>
      <c r="I41" s="215" t="n"/>
      <c r="J41" s="215" t="n"/>
      <c r="K41" s="215" t="n"/>
      <c r="L41" s="215" t="n"/>
      <c r="M41" s="215" t="n"/>
      <c r="N41" s="215" t="n"/>
      <c r="O41" s="215" t="n"/>
      <c r="P41" s="215" t="n"/>
      <c r="Q41" s="215" t="n"/>
      <c r="R41" s="215" t="n"/>
      <c r="S41" s="215" t="n"/>
      <c r="T41" s="216">
        <f>SUM(E41:S41)</f>
        <v/>
      </c>
      <c r="U41" s="217" t="n"/>
      <c r="V41" s="217" t="n"/>
      <c r="W41" s="218">
        <f>ROUND(N($D41)*(SUM($E41:$H41)+SUM($N41:$R41))+IF(AND($B41="Casual",Lookup!$H$8="No"),N($C41),N($D41))*($I41*Lookup!$H$3+$J41*Lookup!$H$4+$K41*Lookup!$H$5+$L41*Lookup!$H$6+$M41*Lookup!$H$7)+N($U41)+N($V41),2)</f>
        <v/>
      </c>
      <c r="X41" s="9" t="n"/>
      <c r="Y41" s="217" t="n"/>
      <c r="Z41" s="217" t="n"/>
      <c r="AA41" s="9" t="n"/>
      <c r="AB41" s="219">
        <f>MAX(0,$W41-N($Z41))</f>
        <v/>
      </c>
      <c r="AC41" s="9" t="inlineStr">
        <is>
          <t>2 - Tax-free threshold claimed</t>
        </is>
      </c>
      <c r="AD41" s="219">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8">
        <f>$AB41-$AD41</f>
        <v/>
      </c>
      <c r="AF41" s="219">
        <f>ROUND((N($D41)*(SUM($E41:$H41)+SUM($N41:$R41))+IF(Lookup!$H$10="Yes",N($U41),0))*Lookup!$H$9,2)+N($Y41)</f>
        <v/>
      </c>
    </row>
    <row r="42" ht="18" customHeight="1">
      <c r="A42" s="9" t="n"/>
      <c r="B42" s="9" t="n"/>
      <c r="C42" s="213">
        <f>IF($D42="","",IF($B42="Casual",$D42/(1+Lookup!$H$2),$D42))</f>
        <v/>
      </c>
      <c r="D42" s="214" t="n"/>
      <c r="E42" s="215">
        <f>0-SUM(F42:S42)</f>
        <v/>
      </c>
      <c r="F42" s="215" t="n"/>
      <c r="G42" s="215" t="n"/>
      <c r="H42" s="215" t="n"/>
      <c r="I42" s="215" t="n"/>
      <c r="J42" s="215" t="n"/>
      <c r="K42" s="215" t="n"/>
      <c r="L42" s="215" t="n"/>
      <c r="M42" s="215" t="n"/>
      <c r="N42" s="215" t="n"/>
      <c r="O42" s="215" t="n"/>
      <c r="P42" s="215" t="n"/>
      <c r="Q42" s="215" t="n"/>
      <c r="R42" s="215" t="n"/>
      <c r="S42" s="215" t="n"/>
      <c r="T42" s="216">
        <f>SUM(E42:S42)</f>
        <v/>
      </c>
      <c r="U42" s="217" t="n"/>
      <c r="V42" s="217" t="n"/>
      <c r="W42" s="218">
        <f>ROUND(N($D42)*(SUM($E42:$H42)+SUM($N42:$R42))+IF(AND($B42="Casual",Lookup!$H$8="No"),N($C42),N($D42))*($I42*Lookup!$H$3+$J42*Lookup!$H$4+$K42*Lookup!$H$5+$L42*Lookup!$H$6+$M42*Lookup!$H$7)+N($U42)+N($V42),2)</f>
        <v/>
      </c>
      <c r="X42" s="9" t="n"/>
      <c r="Y42" s="217" t="n"/>
      <c r="Z42" s="217" t="n"/>
      <c r="AA42" s="9" t="n"/>
      <c r="AB42" s="219">
        <f>MAX(0,$W42-N($Z42))</f>
        <v/>
      </c>
      <c r="AC42" s="9" t="inlineStr">
        <is>
          <t>2 - Tax-free threshold claimed</t>
        </is>
      </c>
      <c r="AD42" s="219">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8">
        <f>$AB42-$AD42</f>
        <v/>
      </c>
      <c r="AF42" s="219">
        <f>ROUND((N($D42)*(SUM($E42:$H42)+SUM($N42:$R42))+IF(Lookup!$H$10="Yes",N($U42),0))*Lookup!$H$9,2)+N($Y42)</f>
        <v/>
      </c>
    </row>
    <row r="43" ht="18" customHeight="1">
      <c r="A43" s="9" t="n"/>
      <c r="B43" s="9" t="n"/>
      <c r="C43" s="213">
        <f>IF($D43="","",IF($B43="Casual",$D43/(1+Lookup!$H$2),$D43))</f>
        <v/>
      </c>
      <c r="D43" s="214" t="n"/>
      <c r="E43" s="215">
        <f>0-SUM(F43:S43)</f>
        <v/>
      </c>
      <c r="F43" s="215" t="n"/>
      <c r="G43" s="215" t="n"/>
      <c r="H43" s="215" t="n"/>
      <c r="I43" s="215" t="n"/>
      <c r="J43" s="215" t="n"/>
      <c r="K43" s="215" t="n"/>
      <c r="L43" s="215" t="n"/>
      <c r="M43" s="215" t="n"/>
      <c r="N43" s="215" t="n"/>
      <c r="O43" s="215" t="n"/>
      <c r="P43" s="215" t="n"/>
      <c r="Q43" s="215" t="n"/>
      <c r="R43" s="215" t="n"/>
      <c r="S43" s="215" t="n"/>
      <c r="T43" s="216">
        <f>SUM(E43:S43)</f>
        <v/>
      </c>
      <c r="U43" s="217" t="n"/>
      <c r="V43" s="217" t="n"/>
      <c r="W43" s="218">
        <f>ROUND(N($D43)*(SUM($E43:$H43)+SUM($N43:$R43))+IF(AND($B43="Casual",Lookup!$H$8="No"),N($C43),N($D43))*($I43*Lookup!$H$3+$J43*Lookup!$H$4+$K43*Lookup!$H$5+$L43*Lookup!$H$6+$M43*Lookup!$H$7)+N($U43)+N($V43),2)</f>
        <v/>
      </c>
      <c r="X43" s="9" t="n"/>
      <c r="Y43" s="217" t="n"/>
      <c r="Z43" s="217" t="n"/>
      <c r="AA43" s="9" t="n"/>
      <c r="AB43" s="219">
        <f>MAX(0,$W43-N($Z43))</f>
        <v/>
      </c>
      <c r="AC43" s="9" t="inlineStr">
        <is>
          <t>2 - Tax-free threshold claimed</t>
        </is>
      </c>
      <c r="AD43" s="219">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8">
        <f>$AB43-$AD43</f>
        <v/>
      </c>
      <c r="AF43" s="219">
        <f>ROUND((N($D43)*(SUM($E43:$H43)+SUM($N43:$R43))+IF(Lookup!$H$10="Yes",N($U43),0))*Lookup!$H$9,2)+N($Y43)</f>
        <v/>
      </c>
    </row>
    <row r="44" ht="18" customHeight="1">
      <c r="A44" s="9" t="n"/>
      <c r="B44" s="9" t="n"/>
      <c r="C44" s="213">
        <f>IF($D44="","",IF($B44="Casual",$D44/(1+Lookup!$H$2),$D44))</f>
        <v/>
      </c>
      <c r="D44" s="214" t="n"/>
      <c r="E44" s="215">
        <f>0-SUM(F44:S44)</f>
        <v/>
      </c>
      <c r="F44" s="215" t="n"/>
      <c r="G44" s="215" t="n"/>
      <c r="H44" s="215" t="n"/>
      <c r="I44" s="215" t="n"/>
      <c r="J44" s="215" t="n"/>
      <c r="K44" s="215" t="n"/>
      <c r="L44" s="215" t="n"/>
      <c r="M44" s="215" t="n"/>
      <c r="N44" s="215" t="n"/>
      <c r="O44" s="215" t="n"/>
      <c r="P44" s="215" t="n"/>
      <c r="Q44" s="215" t="n"/>
      <c r="R44" s="215" t="n"/>
      <c r="S44" s="215" t="n"/>
      <c r="T44" s="216">
        <f>SUM(E44:S44)</f>
        <v/>
      </c>
      <c r="U44" s="217" t="n"/>
      <c r="V44" s="217" t="n"/>
      <c r="W44" s="218">
        <f>ROUND(N($D44)*(SUM($E44:$H44)+SUM($N44:$R44))+IF(AND($B44="Casual",Lookup!$H$8="No"),N($C44),N($D44))*($I44*Lookup!$H$3+$J44*Lookup!$H$4+$K44*Lookup!$H$5+$L44*Lookup!$H$6+$M44*Lookup!$H$7)+N($U44)+N($V44),2)</f>
        <v/>
      </c>
      <c r="X44" s="9" t="n"/>
      <c r="Y44" s="217" t="n"/>
      <c r="Z44" s="217" t="n"/>
      <c r="AA44" s="9" t="n"/>
      <c r="AB44" s="219">
        <f>MAX(0,$W44-N($Z44))</f>
        <v/>
      </c>
      <c r="AC44" s="9" t="inlineStr">
        <is>
          <t>2 - Tax-free threshold claimed</t>
        </is>
      </c>
      <c r="AD44" s="219">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8">
        <f>$AB44-$AD44</f>
        <v/>
      </c>
      <c r="AF44" s="219">
        <f>ROUND((N($D44)*(SUM($E44:$H44)+SUM($N44:$R44))+IF(Lookup!$H$10="Yes",N($U44),0))*Lookup!$H$9,2)+N($Y44)</f>
        <v/>
      </c>
    </row>
    <row r="45" ht="18" customHeight="1">
      <c r="A45" s="9" t="n"/>
      <c r="B45" s="9" t="n"/>
      <c r="C45" s="213">
        <f>IF($D45="","",IF($B45="Casual",$D45/(1+Lookup!$H$2),$D45))</f>
        <v/>
      </c>
      <c r="D45" s="214" t="n"/>
      <c r="E45" s="215">
        <f>0-SUM(F45:S45)</f>
        <v/>
      </c>
      <c r="F45" s="215" t="n"/>
      <c r="G45" s="215" t="n"/>
      <c r="H45" s="215" t="n"/>
      <c r="I45" s="215" t="n"/>
      <c r="J45" s="215" t="n"/>
      <c r="K45" s="215" t="n"/>
      <c r="L45" s="215" t="n"/>
      <c r="M45" s="215" t="n"/>
      <c r="N45" s="215" t="n"/>
      <c r="O45" s="215" t="n"/>
      <c r="P45" s="215" t="n"/>
      <c r="Q45" s="215" t="n"/>
      <c r="R45" s="215" t="n"/>
      <c r="S45" s="215" t="n"/>
      <c r="T45" s="216">
        <f>SUM(E45:S45)</f>
        <v/>
      </c>
      <c r="U45" s="217" t="n"/>
      <c r="V45" s="217" t="n"/>
      <c r="W45" s="218">
        <f>ROUND(N($D45)*(SUM($E45:$H45)+SUM($N45:$R45))+IF(AND($B45="Casual",Lookup!$H$8="No"),N($C45),N($D45))*($I45*Lookup!$H$3+$J45*Lookup!$H$4+$K45*Lookup!$H$5+$L45*Lookup!$H$6+$M45*Lookup!$H$7)+N($U45)+N($V45),2)</f>
        <v/>
      </c>
      <c r="X45" s="9" t="n"/>
      <c r="Y45" s="217" t="n"/>
      <c r="Z45" s="217" t="n"/>
      <c r="AA45" s="9" t="n"/>
      <c r="AB45" s="219">
        <f>MAX(0,$W45-N($Z45))</f>
        <v/>
      </c>
      <c r="AC45" s="9" t="inlineStr">
        <is>
          <t>2 - Tax-free threshold claimed</t>
        </is>
      </c>
      <c r="AD45" s="219">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8">
        <f>$AB45-$AD45</f>
        <v/>
      </c>
      <c r="AF45" s="219">
        <f>ROUND((N($D45)*(SUM($E45:$H45)+SUM($N45:$R45))+IF(Lookup!$H$10="Yes",N($U45),0))*Lookup!$H$9,2)+N($Y45)</f>
        <v/>
      </c>
    </row>
    <row r="46" ht="18" customHeight="1">
      <c r="A46" s="9" t="n"/>
      <c r="B46" s="9" t="n"/>
      <c r="C46" s="213">
        <f>IF($D46="","",IF($B46="Casual",$D46/(1+Lookup!$H$2),$D46))</f>
        <v/>
      </c>
      <c r="D46" s="214" t="n"/>
      <c r="E46" s="215">
        <f>0-SUM(F46:S46)</f>
        <v/>
      </c>
      <c r="F46" s="215" t="n"/>
      <c r="G46" s="215" t="n"/>
      <c r="H46" s="215" t="n"/>
      <c r="I46" s="215" t="n"/>
      <c r="J46" s="215" t="n"/>
      <c r="K46" s="215" t="n"/>
      <c r="L46" s="215" t="n"/>
      <c r="M46" s="215" t="n"/>
      <c r="N46" s="215" t="n"/>
      <c r="O46" s="215" t="n"/>
      <c r="P46" s="215" t="n"/>
      <c r="Q46" s="215" t="n"/>
      <c r="R46" s="215" t="n"/>
      <c r="S46" s="215" t="n"/>
      <c r="T46" s="216">
        <f>SUM(E46:S46)</f>
        <v/>
      </c>
      <c r="U46" s="217" t="n"/>
      <c r="V46" s="217" t="n"/>
      <c r="W46" s="218">
        <f>ROUND(N($D46)*(SUM($E46:$H46)+SUM($N46:$R46))+IF(AND($B46="Casual",Lookup!$H$8="No"),N($C46),N($D46))*($I46*Lookup!$H$3+$J46*Lookup!$H$4+$K46*Lookup!$H$5+$L46*Lookup!$H$6+$M46*Lookup!$H$7)+N($U46)+N($V46),2)</f>
        <v/>
      </c>
      <c r="X46" s="9" t="n"/>
      <c r="Y46" s="217" t="n"/>
      <c r="Z46" s="217" t="n"/>
      <c r="AA46" s="9" t="n"/>
      <c r="AB46" s="219">
        <f>MAX(0,$W46-N($Z46))</f>
        <v/>
      </c>
      <c r="AC46" s="9" t="inlineStr">
        <is>
          <t>2 - Tax-free threshold claimed</t>
        </is>
      </c>
      <c r="AD46" s="219">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8">
        <f>$AB46-$AD46</f>
        <v/>
      </c>
      <c r="AF46" s="219">
        <f>ROUND((N($D46)*(SUM($E46:$H46)+SUM($N46:$R46))+IF(Lookup!$H$10="Yes",N($U46),0))*Lookup!$H$9,2)+N($Y46)</f>
        <v/>
      </c>
    </row>
    <row r="47" ht="18" customHeight="1">
      <c r="A47" s="9" t="n"/>
      <c r="B47" s="9" t="n"/>
      <c r="C47" s="213">
        <f>IF($D47="","",IF($B47="Casual",$D47/(1+Lookup!$H$2),$D47))</f>
        <v/>
      </c>
      <c r="D47" s="214" t="n"/>
      <c r="E47" s="215">
        <f>0-SUM(F47:S47)</f>
        <v/>
      </c>
      <c r="F47" s="215" t="n"/>
      <c r="G47" s="215" t="n"/>
      <c r="H47" s="215" t="n"/>
      <c r="I47" s="215" t="n"/>
      <c r="J47" s="215" t="n"/>
      <c r="K47" s="215" t="n"/>
      <c r="L47" s="215" t="n"/>
      <c r="M47" s="215" t="n"/>
      <c r="N47" s="215" t="n"/>
      <c r="O47" s="215" t="n"/>
      <c r="P47" s="215" t="n"/>
      <c r="Q47" s="215" t="n"/>
      <c r="R47" s="215" t="n"/>
      <c r="S47" s="215" t="n"/>
      <c r="T47" s="216">
        <f>SUM(E47:S47)</f>
        <v/>
      </c>
      <c r="U47" s="217" t="n"/>
      <c r="V47" s="217" t="n"/>
      <c r="W47" s="218">
        <f>ROUND(N($D47)*(SUM($E47:$H47)+SUM($N47:$R47))+IF(AND($B47="Casual",Lookup!$H$8="No"),N($C47),N($D47))*($I47*Lookup!$H$3+$J47*Lookup!$H$4+$K47*Lookup!$H$5+$L47*Lookup!$H$6+$M47*Lookup!$H$7)+N($U47)+N($V47),2)</f>
        <v/>
      </c>
      <c r="X47" s="9" t="n"/>
      <c r="Y47" s="217" t="n"/>
      <c r="Z47" s="217" t="n"/>
      <c r="AA47" s="9" t="n"/>
      <c r="AB47" s="219">
        <f>MAX(0,$W47-N($Z47))</f>
        <v/>
      </c>
      <c r="AC47" s="9" t="inlineStr">
        <is>
          <t>2 - Tax-free threshold claimed</t>
        </is>
      </c>
      <c r="AD47" s="219">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8">
        <f>$AB47-$AD47</f>
        <v/>
      </c>
      <c r="AF47" s="219">
        <f>ROUND((N($D47)*(SUM($E47:$H47)+SUM($N47:$R47))+IF(Lookup!$H$10="Yes",N($U47),0))*Lookup!$H$9,2)+N($Y47)</f>
        <v/>
      </c>
    </row>
    <row r="48" ht="18" customHeight="1">
      <c r="A48" s="9" t="n"/>
      <c r="B48" s="9" t="n"/>
      <c r="C48" s="213">
        <f>IF($D48="","",IF($B48="Casual",$D48/(1+Lookup!$H$2),$D48))</f>
        <v/>
      </c>
      <c r="D48" s="214" t="n"/>
      <c r="E48" s="215">
        <f>0-SUM(F48:S48)</f>
        <v/>
      </c>
      <c r="F48" s="215" t="n"/>
      <c r="G48" s="215" t="n"/>
      <c r="H48" s="215" t="n"/>
      <c r="I48" s="215" t="n"/>
      <c r="J48" s="215" t="n"/>
      <c r="K48" s="215" t="n"/>
      <c r="L48" s="215" t="n"/>
      <c r="M48" s="215" t="n"/>
      <c r="N48" s="215" t="n"/>
      <c r="O48" s="215" t="n"/>
      <c r="P48" s="215" t="n"/>
      <c r="Q48" s="215" t="n"/>
      <c r="R48" s="215" t="n"/>
      <c r="S48" s="215" t="n"/>
      <c r="T48" s="216">
        <f>SUM(E48:S48)</f>
        <v/>
      </c>
      <c r="U48" s="217" t="n"/>
      <c r="V48" s="217" t="n"/>
      <c r="W48" s="218">
        <f>ROUND(N($D48)*(SUM($E48:$H48)+SUM($N48:$R48))+IF(AND($B48="Casual",Lookup!$H$8="No"),N($C48),N($D48))*($I48*Lookup!$H$3+$J48*Lookup!$H$4+$K48*Lookup!$H$5+$L48*Lookup!$H$6+$M48*Lookup!$H$7)+N($U48)+N($V48),2)</f>
        <v/>
      </c>
      <c r="X48" s="9" t="n"/>
      <c r="Y48" s="217" t="n"/>
      <c r="Z48" s="217" t="n"/>
      <c r="AA48" s="9" t="n"/>
      <c r="AB48" s="219">
        <f>MAX(0,$W48-N($Z48))</f>
        <v/>
      </c>
      <c r="AC48" s="9" t="inlineStr">
        <is>
          <t>2 - Tax-free threshold claimed</t>
        </is>
      </c>
      <c r="AD48" s="219">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8">
        <f>$AB48-$AD48</f>
        <v/>
      </c>
      <c r="AF48" s="219">
        <f>ROUND((N($D48)*(SUM($E48:$H48)+SUM($N48:$R48))+IF(Lookup!$H$10="Yes",N($U48),0))*Lookup!$H$9,2)+N($Y48)</f>
        <v/>
      </c>
    </row>
    <row r="49" ht="18" customHeight="1">
      <c r="A49" s="9" t="n"/>
      <c r="B49" s="9" t="n"/>
      <c r="C49" s="213">
        <f>IF($D49="","",IF($B49="Casual",$D49/(1+Lookup!$H$2),$D49))</f>
        <v/>
      </c>
      <c r="D49" s="214" t="n"/>
      <c r="E49" s="215">
        <f>0-SUM(F49:S49)</f>
        <v/>
      </c>
      <c r="F49" s="215" t="n"/>
      <c r="G49" s="215" t="n"/>
      <c r="H49" s="215" t="n"/>
      <c r="I49" s="215" t="n"/>
      <c r="J49" s="215" t="n"/>
      <c r="K49" s="215" t="n"/>
      <c r="L49" s="215" t="n"/>
      <c r="M49" s="215" t="n"/>
      <c r="N49" s="215" t="n"/>
      <c r="O49" s="215" t="n"/>
      <c r="P49" s="215" t="n"/>
      <c r="Q49" s="215" t="n"/>
      <c r="R49" s="215" t="n"/>
      <c r="S49" s="215" t="n"/>
      <c r="T49" s="216">
        <f>SUM(E49:S49)</f>
        <v/>
      </c>
      <c r="U49" s="217" t="n"/>
      <c r="V49" s="217" t="n"/>
      <c r="W49" s="218">
        <f>ROUND(N($D49)*(SUM($E49:$H49)+SUM($N49:$R49))+IF(AND($B49="Casual",Lookup!$H$8="No"),N($C49),N($D49))*($I49*Lookup!$H$3+$J49*Lookup!$H$4+$K49*Lookup!$H$5+$L49*Lookup!$H$6+$M49*Lookup!$H$7)+N($U49)+N($V49),2)</f>
        <v/>
      </c>
      <c r="X49" s="9" t="n"/>
      <c r="Y49" s="217" t="n"/>
      <c r="Z49" s="217" t="n"/>
      <c r="AA49" s="9" t="n"/>
      <c r="AB49" s="219">
        <f>MAX(0,$W49-N($Z49))</f>
        <v/>
      </c>
      <c r="AC49" s="9" t="inlineStr">
        <is>
          <t>2 - Tax-free threshold claimed</t>
        </is>
      </c>
      <c r="AD49" s="219">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8">
        <f>$AB49-$AD49</f>
        <v/>
      </c>
      <c r="AF49" s="219">
        <f>ROUND((N($D49)*(SUM($E49:$H49)+SUM($N49:$R49))+IF(Lookup!$H$10="Yes",N($U49),0))*Lookup!$H$9,2)+N($Y49)</f>
        <v/>
      </c>
    </row>
    <row r="50" ht="18" customHeight="1">
      <c r="A50" s="9" t="n"/>
      <c r="B50" s="9" t="n"/>
      <c r="C50" s="213">
        <f>IF($D50="","",IF($B50="Casual",$D50/(1+Lookup!$H$2),$D50))</f>
        <v/>
      </c>
      <c r="D50" s="214" t="n"/>
      <c r="E50" s="215">
        <f>0-SUM(F50:S50)</f>
        <v/>
      </c>
      <c r="F50" s="215" t="n"/>
      <c r="G50" s="215" t="n"/>
      <c r="H50" s="215" t="n"/>
      <c r="I50" s="215" t="n"/>
      <c r="J50" s="215" t="n"/>
      <c r="K50" s="215" t="n"/>
      <c r="L50" s="215" t="n"/>
      <c r="M50" s="215" t="n"/>
      <c r="N50" s="215" t="n"/>
      <c r="O50" s="215" t="n"/>
      <c r="P50" s="215" t="n"/>
      <c r="Q50" s="215" t="n"/>
      <c r="R50" s="215" t="n"/>
      <c r="S50" s="215" t="n"/>
      <c r="T50" s="216">
        <f>SUM(E50:S50)</f>
        <v/>
      </c>
      <c r="U50" s="217" t="n"/>
      <c r="V50" s="217" t="n"/>
      <c r="W50" s="218">
        <f>ROUND(N($D50)*(SUM($E50:$H50)+SUM($N50:$R50))+IF(AND($B50="Casual",Lookup!$H$8="No"),N($C50),N($D50))*($I50*Lookup!$H$3+$J50*Lookup!$H$4+$K50*Lookup!$H$5+$L50*Lookup!$H$6+$M50*Lookup!$H$7)+N($U50)+N($V50),2)</f>
        <v/>
      </c>
      <c r="X50" s="9" t="n"/>
      <c r="Y50" s="217" t="n"/>
      <c r="Z50" s="217" t="n"/>
      <c r="AA50" s="9" t="n"/>
      <c r="AB50" s="219">
        <f>MAX(0,$W50-N($Z50))</f>
        <v/>
      </c>
      <c r="AC50" s="9" t="inlineStr">
        <is>
          <t>2 - Tax-free threshold claimed</t>
        </is>
      </c>
      <c r="AD50" s="219">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8">
        <f>$AB50-$AD50</f>
        <v/>
      </c>
      <c r="AF50" s="219">
        <f>ROUND((N($D50)*(SUM($E50:$H50)+SUM($N50:$R50))+IF(Lookup!$H$10="Yes",N($U50),0))*Lookup!$H$9,2)+N($Y50)</f>
        <v/>
      </c>
    </row>
    <row r="51" ht="18" customHeight="1">
      <c r="A51" s="9" t="n"/>
      <c r="B51" s="9" t="n"/>
      <c r="C51" s="213">
        <f>IF($D51="","",IF($B51="Casual",$D51/(1+Lookup!$H$2),$D51))</f>
        <v/>
      </c>
      <c r="D51" s="214" t="n"/>
      <c r="E51" s="215">
        <f>0-SUM(F51:S51)</f>
        <v/>
      </c>
      <c r="F51" s="215" t="n"/>
      <c r="G51" s="215" t="n"/>
      <c r="H51" s="215" t="n"/>
      <c r="I51" s="215" t="n"/>
      <c r="J51" s="215" t="n"/>
      <c r="K51" s="215" t="n"/>
      <c r="L51" s="215" t="n"/>
      <c r="M51" s="215" t="n"/>
      <c r="N51" s="215" t="n"/>
      <c r="O51" s="215" t="n"/>
      <c r="P51" s="215" t="n"/>
      <c r="Q51" s="215" t="n"/>
      <c r="R51" s="215" t="n"/>
      <c r="S51" s="215" t="n"/>
      <c r="T51" s="216">
        <f>SUM(E51:S51)</f>
        <v/>
      </c>
      <c r="U51" s="217" t="n"/>
      <c r="V51" s="217" t="n"/>
      <c r="W51" s="218">
        <f>ROUND(N($D51)*(SUM($E51:$H51)+SUM($N51:$R51))+IF(AND($B51="Casual",Lookup!$H$8="No"),N($C51),N($D51))*($I51*Lookup!$H$3+$J51*Lookup!$H$4+$K51*Lookup!$H$5+$L51*Lookup!$H$6+$M51*Lookup!$H$7)+N($U51)+N($V51),2)</f>
        <v/>
      </c>
      <c r="X51" s="9" t="n"/>
      <c r="Y51" s="217" t="n"/>
      <c r="Z51" s="217" t="n"/>
      <c r="AA51" s="9" t="n"/>
      <c r="AB51" s="219">
        <f>MAX(0,$W51-N($Z51))</f>
        <v/>
      </c>
      <c r="AC51" s="9" t="inlineStr">
        <is>
          <t>2 - Tax-free threshold claimed</t>
        </is>
      </c>
      <c r="AD51" s="219">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8">
        <f>$AB51-$AD51</f>
        <v/>
      </c>
      <c r="AF51" s="219">
        <f>ROUND((N($D51)*(SUM($E51:$H51)+SUM($N51:$R51))+IF(Lookup!$H$10="Yes",N($U51),0))*Lookup!$H$9,2)+N($Y51)</f>
        <v/>
      </c>
    </row>
    <row r="52" ht="18" customHeight="1">
      <c r="A52" s="9" t="n"/>
      <c r="B52" s="9" t="n"/>
      <c r="C52" s="213">
        <f>IF($D52="","",IF($B52="Casual",$D52/(1+Lookup!$H$2),$D52))</f>
        <v/>
      </c>
      <c r="D52" s="214" t="n"/>
      <c r="E52" s="215">
        <f>0-SUM(F52:S52)</f>
        <v/>
      </c>
      <c r="F52" s="215" t="n"/>
      <c r="G52" s="215" t="n"/>
      <c r="H52" s="215" t="n"/>
      <c r="I52" s="215" t="n"/>
      <c r="J52" s="215" t="n"/>
      <c r="K52" s="215" t="n"/>
      <c r="L52" s="215" t="n"/>
      <c r="M52" s="215" t="n"/>
      <c r="N52" s="215" t="n"/>
      <c r="O52" s="215" t="n"/>
      <c r="P52" s="215" t="n"/>
      <c r="Q52" s="215" t="n"/>
      <c r="R52" s="215" t="n"/>
      <c r="S52" s="215" t="n"/>
      <c r="T52" s="216">
        <f>SUM(E52:S52)</f>
        <v/>
      </c>
      <c r="U52" s="217" t="n"/>
      <c r="V52" s="217" t="n"/>
      <c r="W52" s="218">
        <f>ROUND(N($D52)*(SUM($E52:$H52)+SUM($N52:$R52))+IF(AND($B52="Casual",Lookup!$H$8="No"),N($C52),N($D52))*($I52*Lookup!$H$3+$J52*Lookup!$H$4+$K52*Lookup!$H$5+$L52*Lookup!$H$6+$M52*Lookup!$H$7)+N($U52)+N($V52),2)</f>
        <v/>
      </c>
      <c r="X52" s="9" t="n"/>
      <c r="Y52" s="217" t="n"/>
      <c r="Z52" s="217" t="n"/>
      <c r="AA52" s="9" t="n"/>
      <c r="AB52" s="219">
        <f>MAX(0,$W52-N($Z52))</f>
        <v/>
      </c>
      <c r="AC52" s="9" t="inlineStr">
        <is>
          <t>2 - Tax-free threshold claimed</t>
        </is>
      </c>
      <c r="AD52" s="219">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8">
        <f>$AB52-$AD52</f>
        <v/>
      </c>
      <c r="AF52" s="219">
        <f>ROUND((N($D52)*(SUM($E52:$H52)+SUM($N52:$R52))+IF(Lookup!$H$10="Yes",N($U52),0))*Lookup!$H$9,2)+N($Y52)</f>
        <v/>
      </c>
    </row>
    <row r="53" ht="18" customHeight="1">
      <c r="A53" s="9" t="n"/>
      <c r="B53" s="9" t="n"/>
      <c r="C53" s="213">
        <f>IF($D53="","",IF($B53="Casual",$D53/(1+Lookup!$H$2),$D53))</f>
        <v/>
      </c>
      <c r="D53" s="214" t="n"/>
      <c r="E53" s="215">
        <f>0-SUM(F53:S53)</f>
        <v/>
      </c>
      <c r="F53" s="215" t="n"/>
      <c r="G53" s="215" t="n"/>
      <c r="H53" s="215" t="n"/>
      <c r="I53" s="215" t="n"/>
      <c r="J53" s="215" t="n"/>
      <c r="K53" s="215" t="n"/>
      <c r="L53" s="215" t="n"/>
      <c r="M53" s="215" t="n"/>
      <c r="N53" s="215" t="n"/>
      <c r="O53" s="215" t="n"/>
      <c r="P53" s="215" t="n"/>
      <c r="Q53" s="215" t="n"/>
      <c r="R53" s="215" t="n"/>
      <c r="S53" s="215" t="n"/>
      <c r="T53" s="216">
        <f>SUM(E53:S53)</f>
        <v/>
      </c>
      <c r="U53" s="217" t="n"/>
      <c r="V53" s="217" t="n"/>
      <c r="W53" s="218">
        <f>ROUND(N($D53)*(SUM($E53:$H53)+SUM($N53:$R53))+IF(AND($B53="Casual",Lookup!$H$8="No"),N($C53),N($D53))*($I53*Lookup!$H$3+$J53*Lookup!$H$4+$K53*Lookup!$H$5+$L53*Lookup!$H$6+$M53*Lookup!$H$7)+N($U53)+N($V53),2)</f>
        <v/>
      </c>
      <c r="X53" s="9" t="n"/>
      <c r="Y53" s="217" t="n"/>
      <c r="Z53" s="217" t="n"/>
      <c r="AA53" s="9" t="n"/>
      <c r="AB53" s="219">
        <f>MAX(0,$W53-N($Z53))</f>
        <v/>
      </c>
      <c r="AC53" s="9" t="inlineStr">
        <is>
          <t>2 - Tax-free threshold claimed</t>
        </is>
      </c>
      <c r="AD53" s="219">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8">
        <f>$AB53-$AD53</f>
        <v/>
      </c>
      <c r="AF53" s="219">
        <f>ROUND((N($D53)*(SUM($E53:$H53)+SUM($N53:$R53))+IF(Lookup!$H$10="Yes",N($U53),0))*Lookup!$H$9,2)+N($Y53)</f>
        <v/>
      </c>
    </row>
    <row r="54" ht="18" customHeight="1">
      <c r="A54" s="9" t="n"/>
      <c r="B54" s="9" t="n"/>
      <c r="C54" s="213">
        <f>IF($D54="","",IF($B54="Casual",$D54/(1+Lookup!$H$2),$D54))</f>
        <v/>
      </c>
      <c r="D54" s="214" t="n"/>
      <c r="E54" s="215">
        <f>0-SUM(F54:S54)</f>
        <v/>
      </c>
      <c r="F54" s="215" t="n"/>
      <c r="G54" s="215" t="n"/>
      <c r="H54" s="215" t="n"/>
      <c r="I54" s="215" t="n"/>
      <c r="J54" s="215" t="n"/>
      <c r="K54" s="215" t="n"/>
      <c r="L54" s="215" t="n"/>
      <c r="M54" s="215" t="n"/>
      <c r="N54" s="215" t="n"/>
      <c r="O54" s="215" t="n"/>
      <c r="P54" s="215" t="n"/>
      <c r="Q54" s="215" t="n"/>
      <c r="R54" s="215" t="n"/>
      <c r="S54" s="215" t="n"/>
      <c r="T54" s="216">
        <f>SUM(E54:S54)</f>
        <v/>
      </c>
      <c r="U54" s="217" t="n"/>
      <c r="V54" s="217" t="n"/>
      <c r="W54" s="218">
        <f>ROUND(N($D54)*(SUM($E54:$H54)+SUM($N54:$R54))+IF(AND($B54="Casual",Lookup!$H$8="No"),N($C54),N($D54))*($I54*Lookup!$H$3+$J54*Lookup!$H$4+$K54*Lookup!$H$5+$L54*Lookup!$H$6+$M54*Lookup!$H$7)+N($U54)+N($V54),2)</f>
        <v/>
      </c>
      <c r="X54" s="9" t="n"/>
      <c r="Y54" s="217" t="n"/>
      <c r="Z54" s="217" t="n"/>
      <c r="AA54" s="9" t="n"/>
      <c r="AB54" s="219">
        <f>MAX(0,$W54-N($Z54))</f>
        <v/>
      </c>
      <c r="AC54" s="9" t="inlineStr">
        <is>
          <t>2 - Tax-free threshold claimed</t>
        </is>
      </c>
      <c r="AD54" s="219">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8">
        <f>$AB54-$AD54</f>
        <v/>
      </c>
      <c r="AF54" s="219">
        <f>ROUND((N($D54)*(SUM($E54:$H54)+SUM($N54:$R54))+IF(Lookup!$H$10="Yes",N($U54),0))*Lookup!$H$9,2)+N($Y54)</f>
        <v/>
      </c>
    </row>
    <row r="55" ht="18" customHeight="1">
      <c r="A55" s="9" t="n"/>
      <c r="B55" s="9" t="n"/>
      <c r="C55" s="213">
        <f>IF($D55="","",IF($B55="Casual",$D55/(1+Lookup!$H$2),$D55))</f>
        <v/>
      </c>
      <c r="D55" s="214" t="n"/>
      <c r="E55" s="215">
        <f>0-SUM(F55:S55)</f>
        <v/>
      </c>
      <c r="F55" s="215" t="n"/>
      <c r="G55" s="215" t="n"/>
      <c r="H55" s="215" t="n"/>
      <c r="I55" s="215" t="n"/>
      <c r="J55" s="215" t="n"/>
      <c r="K55" s="215" t="n"/>
      <c r="L55" s="215" t="n"/>
      <c r="M55" s="215" t="n"/>
      <c r="N55" s="215" t="n"/>
      <c r="O55" s="215" t="n"/>
      <c r="P55" s="215" t="n"/>
      <c r="Q55" s="215" t="n"/>
      <c r="R55" s="215" t="n"/>
      <c r="S55" s="215" t="n"/>
      <c r="T55" s="216">
        <f>SUM(E55:S55)</f>
        <v/>
      </c>
      <c r="U55" s="217" t="n"/>
      <c r="V55" s="217" t="n"/>
      <c r="W55" s="218">
        <f>ROUND(N($D55)*(SUM($E55:$H55)+SUM($N55:$R55))+IF(AND($B55="Casual",Lookup!$H$8="No"),N($C55),N($D55))*($I55*Lookup!$H$3+$J55*Lookup!$H$4+$K55*Lookup!$H$5+$L55*Lookup!$H$6+$M55*Lookup!$H$7)+N($U55)+N($V55),2)</f>
        <v/>
      </c>
      <c r="X55" s="9" t="n"/>
      <c r="Y55" s="217" t="n"/>
      <c r="Z55" s="217" t="n"/>
      <c r="AA55" s="9" t="n"/>
      <c r="AB55" s="219">
        <f>MAX(0,$W55-N($Z55))</f>
        <v/>
      </c>
      <c r="AC55" s="9" t="inlineStr">
        <is>
          <t>2 - Tax-free threshold claimed</t>
        </is>
      </c>
      <c r="AD55" s="219">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8">
        <f>$AB55-$AD55</f>
        <v/>
      </c>
      <c r="AF55" s="219">
        <f>ROUND((N($D55)*(SUM($E55:$H55)+SUM($N55:$R55))+IF(Lookup!$H$10="Yes",N($U55),0))*Lookup!$H$9,2)+N($Y55)</f>
        <v/>
      </c>
    </row>
    <row r="56" ht="18" customHeight="1">
      <c r="A56" s="9" t="n"/>
      <c r="B56" s="9" t="n"/>
      <c r="C56" s="213">
        <f>IF($D56="","",IF($B56="Casual",$D56/(1+Lookup!$H$2),$D56))</f>
        <v/>
      </c>
      <c r="D56" s="214" t="n"/>
      <c r="E56" s="215">
        <f>0-SUM(F56:S56)</f>
        <v/>
      </c>
      <c r="F56" s="215" t="n"/>
      <c r="G56" s="215" t="n"/>
      <c r="H56" s="215" t="n"/>
      <c r="I56" s="215" t="n"/>
      <c r="J56" s="215" t="n"/>
      <c r="K56" s="215" t="n"/>
      <c r="L56" s="215" t="n"/>
      <c r="M56" s="215" t="n"/>
      <c r="N56" s="215" t="n"/>
      <c r="O56" s="215" t="n"/>
      <c r="P56" s="215" t="n"/>
      <c r="Q56" s="215" t="n"/>
      <c r="R56" s="215" t="n"/>
      <c r="S56" s="215" t="n"/>
      <c r="T56" s="216">
        <f>SUM(E56:S56)</f>
        <v/>
      </c>
      <c r="U56" s="217" t="n"/>
      <c r="V56" s="217" t="n"/>
      <c r="W56" s="218">
        <f>ROUND(N($D56)*(SUM($E56:$H56)+SUM($N56:$R56))+IF(AND($B56="Casual",Lookup!$H$8="No"),N($C56),N($D56))*($I56*Lookup!$H$3+$J56*Lookup!$H$4+$K56*Lookup!$H$5+$L56*Lookup!$H$6+$M56*Lookup!$H$7)+N($U56)+N($V56),2)</f>
        <v/>
      </c>
      <c r="X56" s="9" t="n"/>
      <c r="Y56" s="217" t="n"/>
      <c r="Z56" s="217" t="n"/>
      <c r="AA56" s="9" t="n"/>
      <c r="AB56" s="219">
        <f>MAX(0,$W56-N($Z56))</f>
        <v/>
      </c>
      <c r="AC56" s="9" t="inlineStr">
        <is>
          <t>2 - Tax-free threshold claimed</t>
        </is>
      </c>
      <c r="AD56" s="219">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8">
        <f>$AB56-$AD56</f>
        <v/>
      </c>
      <c r="AF56" s="219">
        <f>ROUND((N($D56)*(SUM($E56:$H56)+SUM($N56:$R56))+IF(Lookup!$H$10="Yes",N($U56),0))*Lookup!$H$9,2)+N($Y56)</f>
        <v/>
      </c>
    </row>
    <row r="57" ht="18" customHeight="1">
      <c r="A57" s="9" t="n"/>
      <c r="B57" s="9" t="n"/>
      <c r="C57" s="213">
        <f>IF($D57="","",IF($B57="Casual",$D57/(1+Lookup!$H$2),$D57))</f>
        <v/>
      </c>
      <c r="D57" s="214" t="n"/>
      <c r="E57" s="215">
        <f>0-SUM(F57:S57)</f>
        <v/>
      </c>
      <c r="F57" s="215" t="n"/>
      <c r="G57" s="215" t="n"/>
      <c r="H57" s="215" t="n"/>
      <c r="I57" s="215" t="n"/>
      <c r="J57" s="215" t="n"/>
      <c r="K57" s="215" t="n"/>
      <c r="L57" s="215" t="n"/>
      <c r="M57" s="215" t="n"/>
      <c r="N57" s="215" t="n"/>
      <c r="O57" s="215" t="n"/>
      <c r="P57" s="215" t="n"/>
      <c r="Q57" s="215" t="n"/>
      <c r="R57" s="215" t="n"/>
      <c r="S57" s="215" t="n"/>
      <c r="T57" s="216">
        <f>SUM(E57:S57)</f>
        <v/>
      </c>
      <c r="U57" s="217" t="n"/>
      <c r="V57" s="217" t="n"/>
      <c r="W57" s="218">
        <f>ROUND(N($D57)*(SUM($E57:$H57)+SUM($N57:$R57))+IF(AND($B57="Casual",Lookup!$H$8="No"),N($C57),N($D57))*($I57*Lookup!$H$3+$J57*Lookup!$H$4+$K57*Lookup!$H$5+$L57*Lookup!$H$6+$M57*Lookup!$H$7)+N($U57)+N($V57),2)</f>
        <v/>
      </c>
      <c r="X57" s="9" t="n"/>
      <c r="Y57" s="217" t="n"/>
      <c r="Z57" s="217" t="n"/>
      <c r="AA57" s="9" t="n"/>
      <c r="AB57" s="219">
        <f>MAX(0,$W57-N($Z57))</f>
        <v/>
      </c>
      <c r="AC57" s="9" t="inlineStr">
        <is>
          <t>2 - Tax-free threshold claimed</t>
        </is>
      </c>
      <c r="AD57" s="219">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8">
        <f>$AB57-$AD57</f>
        <v/>
      </c>
      <c r="AF57" s="219">
        <f>ROUND((N($D57)*(SUM($E57:$H57)+SUM($N57:$R57))+IF(Lookup!$H$10="Yes",N($U57),0))*Lookup!$H$9,2)+N($Y57)</f>
        <v/>
      </c>
    </row>
    <row r="58" ht="18" customHeight="1">
      <c r="A58" s="9" t="n"/>
      <c r="B58" s="9" t="n"/>
      <c r="C58" s="213">
        <f>IF($D58="","",IF($B58="Casual",$D58/(1+Lookup!$H$2),$D58))</f>
        <v/>
      </c>
      <c r="D58" s="214" t="n"/>
      <c r="E58" s="215">
        <f>0-SUM(F58:S58)</f>
        <v/>
      </c>
      <c r="F58" s="215" t="n"/>
      <c r="G58" s="215" t="n"/>
      <c r="H58" s="215" t="n"/>
      <c r="I58" s="215" t="n"/>
      <c r="J58" s="215" t="n"/>
      <c r="K58" s="215" t="n"/>
      <c r="L58" s="215" t="n"/>
      <c r="M58" s="215" t="n"/>
      <c r="N58" s="215" t="n"/>
      <c r="O58" s="215" t="n"/>
      <c r="P58" s="215" t="n"/>
      <c r="Q58" s="215" t="n"/>
      <c r="R58" s="215" t="n"/>
      <c r="S58" s="215" t="n"/>
      <c r="T58" s="216">
        <f>SUM(E58:S58)</f>
        <v/>
      </c>
      <c r="U58" s="217" t="n"/>
      <c r="V58" s="217" t="n"/>
      <c r="W58" s="218">
        <f>ROUND(N($D58)*(SUM($E58:$H58)+SUM($N58:$R58))+IF(AND($B58="Casual",Lookup!$H$8="No"),N($C58),N($D58))*($I58*Lookup!$H$3+$J58*Lookup!$H$4+$K58*Lookup!$H$5+$L58*Lookup!$H$6+$M58*Lookup!$H$7)+N($U58)+N($V58),2)</f>
        <v/>
      </c>
      <c r="X58" s="9" t="n"/>
      <c r="Y58" s="217" t="n"/>
      <c r="Z58" s="217" t="n"/>
      <c r="AA58" s="9" t="n"/>
      <c r="AB58" s="219">
        <f>MAX(0,$W58-N($Z58))</f>
        <v/>
      </c>
      <c r="AC58" s="9" t="inlineStr">
        <is>
          <t>2 - Tax-free threshold claimed</t>
        </is>
      </c>
      <c r="AD58" s="219">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8">
        <f>$AB58-$AD58</f>
        <v/>
      </c>
      <c r="AF58" s="219">
        <f>ROUND((N($D58)*(SUM($E58:$H58)+SUM($N58:$R58))+IF(Lookup!$H$10="Yes",N($U58),0))*Lookup!$H$9,2)+N($Y58)</f>
        <v/>
      </c>
    </row>
    <row r="59" ht="18" customHeight="1">
      <c r="A59" s="9" t="n"/>
      <c r="B59" s="9" t="n"/>
      <c r="C59" s="213">
        <f>IF($D59="","",IF($B59="Casual",$D59/(1+Lookup!$H$2),$D59))</f>
        <v/>
      </c>
      <c r="D59" s="214" t="n"/>
      <c r="E59" s="215">
        <f>0-SUM(F59:S59)</f>
        <v/>
      </c>
      <c r="F59" s="215" t="n"/>
      <c r="G59" s="215" t="n"/>
      <c r="H59" s="215" t="n"/>
      <c r="I59" s="215" t="n"/>
      <c r="J59" s="215" t="n"/>
      <c r="K59" s="215" t="n"/>
      <c r="L59" s="215" t="n"/>
      <c r="M59" s="215" t="n"/>
      <c r="N59" s="215" t="n"/>
      <c r="O59" s="215" t="n"/>
      <c r="P59" s="215" t="n"/>
      <c r="Q59" s="215" t="n"/>
      <c r="R59" s="215" t="n"/>
      <c r="S59" s="215" t="n"/>
      <c r="T59" s="216">
        <f>SUM(E59:S59)</f>
        <v/>
      </c>
      <c r="U59" s="217" t="n"/>
      <c r="V59" s="217" t="n"/>
      <c r="W59" s="218">
        <f>ROUND(N($D59)*(SUM($E59:$H59)+SUM($N59:$R59))+IF(AND($B59="Casual",Lookup!$H$8="No"),N($C59),N($D59))*($I59*Lookup!$H$3+$J59*Lookup!$H$4+$K59*Lookup!$H$5+$L59*Lookup!$H$6+$M59*Lookup!$H$7)+N($U59)+N($V59),2)</f>
        <v/>
      </c>
      <c r="X59" s="9" t="n"/>
      <c r="Y59" s="217" t="n"/>
      <c r="Z59" s="217" t="n"/>
      <c r="AA59" s="9" t="n"/>
      <c r="AB59" s="219">
        <f>MAX(0,$W59-N($Z59))</f>
        <v/>
      </c>
      <c r="AC59" s="9" t="inlineStr">
        <is>
          <t>2 - Tax-free threshold claimed</t>
        </is>
      </c>
      <c r="AD59" s="219">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8">
        <f>$AB59-$AD59</f>
        <v/>
      </c>
      <c r="AF59" s="219">
        <f>ROUND((N($D59)*(SUM($E59:$H59)+SUM($N59:$R59))+IF(Lookup!$H$10="Yes",N($U59),0))*Lookup!$H$9,2)+N($Y59)</f>
        <v/>
      </c>
    </row>
    <row r="60" ht="18" customHeight="1">
      <c r="A60" s="9" t="n"/>
      <c r="B60" s="9" t="n"/>
      <c r="C60" s="213">
        <f>IF($D60="","",IF($B60="Casual",$D60/(1+Lookup!$H$2),$D60))</f>
        <v/>
      </c>
      <c r="D60" s="214" t="n"/>
      <c r="E60" s="215">
        <f>0-SUM(F60:S60)</f>
        <v/>
      </c>
      <c r="F60" s="215" t="n"/>
      <c r="G60" s="215" t="n"/>
      <c r="H60" s="215" t="n"/>
      <c r="I60" s="215" t="n"/>
      <c r="J60" s="215" t="n"/>
      <c r="K60" s="215" t="n"/>
      <c r="L60" s="215" t="n"/>
      <c r="M60" s="215" t="n"/>
      <c r="N60" s="215" t="n"/>
      <c r="O60" s="215" t="n"/>
      <c r="P60" s="215" t="n"/>
      <c r="Q60" s="215" t="n"/>
      <c r="R60" s="215" t="n"/>
      <c r="S60" s="215" t="n"/>
      <c r="T60" s="216">
        <f>SUM(E60:S60)</f>
        <v/>
      </c>
      <c r="U60" s="217" t="n"/>
      <c r="V60" s="217" t="n"/>
      <c r="W60" s="218">
        <f>ROUND(N($D60)*(SUM($E60:$H60)+SUM($N60:$R60))+IF(AND($B60="Casual",Lookup!$H$8="No"),N($C60),N($D60))*($I60*Lookup!$H$3+$J60*Lookup!$H$4+$K60*Lookup!$H$5+$L60*Lookup!$H$6+$M60*Lookup!$H$7)+N($U60)+N($V60),2)</f>
        <v/>
      </c>
      <c r="X60" s="9" t="n"/>
      <c r="Y60" s="217" t="n"/>
      <c r="Z60" s="217" t="n"/>
      <c r="AA60" s="9" t="n"/>
      <c r="AB60" s="219">
        <f>MAX(0,$W60-N($Z60))</f>
        <v/>
      </c>
      <c r="AC60" s="9" t="inlineStr">
        <is>
          <t>2 - Tax-free threshold claimed</t>
        </is>
      </c>
      <c r="AD60" s="219">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8">
        <f>$AB60-$AD60</f>
        <v/>
      </c>
      <c r="AF60" s="219">
        <f>ROUND((N($D60)*(SUM($E60:$H60)+SUM($N60:$R60))+IF(Lookup!$H$10="Yes",N($U60),0))*Lookup!$H$9,2)+N($Y60)</f>
        <v/>
      </c>
    </row>
    <row r="61" ht="18" customHeight="1">
      <c r="A61" s="9" t="n"/>
      <c r="B61" s="9" t="n"/>
      <c r="C61" s="213">
        <f>IF($D61="","",IF($B61="Casual",$D61/(1+Lookup!$H$2),$D61))</f>
        <v/>
      </c>
      <c r="D61" s="214" t="n"/>
      <c r="E61" s="215">
        <f>0-SUM(F61:S61)</f>
        <v/>
      </c>
      <c r="F61" s="215" t="n"/>
      <c r="G61" s="215" t="n"/>
      <c r="H61" s="215" t="n"/>
      <c r="I61" s="215" t="n"/>
      <c r="J61" s="215" t="n"/>
      <c r="K61" s="215" t="n"/>
      <c r="L61" s="215" t="n"/>
      <c r="M61" s="215" t="n"/>
      <c r="N61" s="215" t="n"/>
      <c r="O61" s="215" t="n"/>
      <c r="P61" s="215" t="n"/>
      <c r="Q61" s="215" t="n"/>
      <c r="R61" s="215" t="n"/>
      <c r="S61" s="215" t="n"/>
      <c r="T61" s="216">
        <f>SUM(E61:S61)</f>
        <v/>
      </c>
      <c r="U61" s="217" t="n"/>
      <c r="V61" s="217" t="n"/>
      <c r="W61" s="218">
        <f>ROUND(N($D61)*(SUM($E61:$H61)+SUM($N61:$R61))+IF(AND($B61="Casual",Lookup!$H$8="No"),N($C61),N($D61))*($I61*Lookup!$H$3+$J61*Lookup!$H$4+$K61*Lookup!$H$5+$L61*Lookup!$H$6+$M61*Lookup!$H$7)+N($U61)+N($V61),2)</f>
        <v/>
      </c>
      <c r="X61" s="9" t="n"/>
      <c r="Y61" s="217" t="n"/>
      <c r="Z61" s="217" t="n"/>
      <c r="AA61" s="9" t="n"/>
      <c r="AB61" s="219">
        <f>MAX(0,$W61-N($Z61))</f>
        <v/>
      </c>
      <c r="AC61" s="9" t="inlineStr">
        <is>
          <t>2 - Tax-free threshold claimed</t>
        </is>
      </c>
      <c r="AD61" s="219">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8">
        <f>$AB61-$AD61</f>
        <v/>
      </c>
      <c r="AF61" s="219">
        <f>ROUND((N($D61)*(SUM($E61:$H61)+SUM($N61:$R61))+IF(Lookup!$H$10="Yes",N($U61),0))*Lookup!$H$9,2)+N($Y61)</f>
        <v/>
      </c>
    </row>
    <row r="62" ht="18" customHeight="1">
      <c r="A62" s="9" t="n"/>
      <c r="B62" s="9" t="n"/>
      <c r="C62" s="213">
        <f>IF($D62="","",IF($B62="Casual",$D62/(1+Lookup!$H$2),$D62))</f>
        <v/>
      </c>
      <c r="D62" s="214" t="n"/>
      <c r="E62" s="215">
        <f>0-SUM(F62:S62)</f>
        <v/>
      </c>
      <c r="F62" s="215" t="n"/>
      <c r="G62" s="215" t="n"/>
      <c r="H62" s="215" t="n"/>
      <c r="I62" s="215" t="n"/>
      <c r="J62" s="215" t="n"/>
      <c r="K62" s="215" t="n"/>
      <c r="L62" s="215" t="n"/>
      <c r="M62" s="215" t="n"/>
      <c r="N62" s="215" t="n"/>
      <c r="O62" s="215" t="n"/>
      <c r="P62" s="215" t="n"/>
      <c r="Q62" s="215" t="n"/>
      <c r="R62" s="215" t="n"/>
      <c r="S62" s="215" t="n"/>
      <c r="T62" s="216">
        <f>SUM(E62:S62)</f>
        <v/>
      </c>
      <c r="U62" s="217" t="n"/>
      <c r="V62" s="217" t="n"/>
      <c r="W62" s="218">
        <f>ROUND(N($D62)*(SUM($E62:$H62)+SUM($N62:$R62))+IF(AND($B62="Casual",Lookup!$H$8="No"),N($C62),N($D62))*($I62*Lookup!$H$3+$J62*Lookup!$H$4+$K62*Lookup!$H$5+$L62*Lookup!$H$6+$M62*Lookup!$H$7)+N($U62)+N($V62),2)</f>
        <v/>
      </c>
      <c r="X62" s="9" t="n"/>
      <c r="Y62" s="217" t="n"/>
      <c r="Z62" s="217" t="n"/>
      <c r="AA62" s="9" t="n"/>
      <c r="AB62" s="219">
        <f>MAX(0,$W62-N($Z62))</f>
        <v/>
      </c>
      <c r="AC62" s="9" t="inlineStr">
        <is>
          <t>2 - Tax-free threshold claimed</t>
        </is>
      </c>
      <c r="AD62" s="219">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8">
        <f>$AB62-$AD62</f>
        <v/>
      </c>
      <c r="AF62" s="219">
        <f>ROUND((N($D62)*(SUM($E62:$H62)+SUM($N62:$R62))+IF(Lookup!$H$10="Yes",N($U62),0))*Lookup!$H$9,2)+N($Y62)</f>
        <v/>
      </c>
    </row>
    <row r="63" ht="18" customHeight="1">
      <c r="A63" s="9" t="n"/>
      <c r="B63" s="9" t="n"/>
      <c r="C63" s="213">
        <f>IF($D63="","",IF($B63="Casual",$D63/(1+Lookup!$H$2),$D63))</f>
        <v/>
      </c>
      <c r="D63" s="214" t="n"/>
      <c r="E63" s="215">
        <f>0-SUM(F63:S63)</f>
        <v/>
      </c>
      <c r="F63" s="215" t="n"/>
      <c r="G63" s="215" t="n"/>
      <c r="H63" s="215" t="n"/>
      <c r="I63" s="215" t="n"/>
      <c r="J63" s="215" t="n"/>
      <c r="K63" s="215" t="n"/>
      <c r="L63" s="215" t="n"/>
      <c r="M63" s="215" t="n"/>
      <c r="N63" s="215" t="n"/>
      <c r="O63" s="215" t="n"/>
      <c r="P63" s="215" t="n"/>
      <c r="Q63" s="215" t="n"/>
      <c r="R63" s="215" t="n"/>
      <c r="S63" s="215" t="n"/>
      <c r="T63" s="216">
        <f>SUM(E63:S63)</f>
        <v/>
      </c>
      <c r="U63" s="217" t="n"/>
      <c r="V63" s="217" t="n"/>
      <c r="W63" s="218">
        <f>ROUND(N($D63)*(SUM($E63:$H63)+SUM($N63:$R63))+IF(AND($B63="Casual",Lookup!$H$8="No"),N($C63),N($D63))*($I63*Lookup!$H$3+$J63*Lookup!$H$4+$K63*Lookup!$H$5+$L63*Lookup!$H$6+$M63*Lookup!$H$7)+N($U63)+N($V63),2)</f>
        <v/>
      </c>
      <c r="X63" s="9" t="n"/>
      <c r="Y63" s="217" t="n"/>
      <c r="Z63" s="217" t="n"/>
      <c r="AA63" s="9" t="n"/>
      <c r="AB63" s="219">
        <f>MAX(0,$W63-N($Z63))</f>
        <v/>
      </c>
      <c r="AC63" s="9" t="inlineStr">
        <is>
          <t>2 - Tax-free threshold claimed</t>
        </is>
      </c>
      <c r="AD63" s="219">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8">
        <f>$AB63-$AD63</f>
        <v/>
      </c>
      <c r="AF63" s="219">
        <f>ROUND((N($D63)*(SUM($E63:$H63)+SUM($N63:$R63))+IF(Lookup!$H$10="Yes",N($U63),0))*Lookup!$H$9,2)+N($Y63)</f>
        <v/>
      </c>
    </row>
    <row r="64" ht="18" customHeight="1">
      <c r="A64" s="9" t="n"/>
      <c r="B64" s="9" t="n"/>
      <c r="C64" s="213">
        <f>IF($D64="","",IF($B64="Casual",$D64/(1+Lookup!$H$2),$D64))</f>
        <v/>
      </c>
      <c r="D64" s="214" t="n"/>
      <c r="E64" s="215">
        <f>0-SUM(F64:S64)</f>
        <v/>
      </c>
      <c r="F64" s="215" t="n"/>
      <c r="G64" s="215" t="n"/>
      <c r="H64" s="215" t="n"/>
      <c r="I64" s="215" t="n"/>
      <c r="J64" s="215" t="n"/>
      <c r="K64" s="215" t="n"/>
      <c r="L64" s="215" t="n"/>
      <c r="M64" s="215" t="n"/>
      <c r="N64" s="215" t="n"/>
      <c r="O64" s="215" t="n"/>
      <c r="P64" s="215" t="n"/>
      <c r="Q64" s="215" t="n"/>
      <c r="R64" s="215" t="n"/>
      <c r="S64" s="215" t="n"/>
      <c r="T64" s="216">
        <f>SUM(E64:S64)</f>
        <v/>
      </c>
      <c r="U64" s="217" t="n"/>
      <c r="V64" s="217" t="n"/>
      <c r="W64" s="218">
        <f>ROUND(N($D64)*(SUM($E64:$H64)+SUM($N64:$R64))+IF(AND($B64="Casual",Lookup!$H$8="No"),N($C64),N($D64))*($I64*Lookup!$H$3+$J64*Lookup!$H$4+$K64*Lookup!$H$5+$L64*Lookup!$H$6+$M64*Lookup!$H$7)+N($U64)+N($V64),2)</f>
        <v/>
      </c>
      <c r="X64" s="9" t="n"/>
      <c r="Y64" s="217" t="n"/>
      <c r="Z64" s="217" t="n"/>
      <c r="AA64" s="9" t="n"/>
      <c r="AB64" s="219">
        <f>MAX(0,$W64-N($Z64))</f>
        <v/>
      </c>
      <c r="AC64" s="9" t="inlineStr">
        <is>
          <t>2 - Tax-free threshold claimed</t>
        </is>
      </c>
      <c r="AD64" s="219">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8">
        <f>$AB64-$AD64</f>
        <v/>
      </c>
      <c r="AF64" s="219">
        <f>ROUND((N($D64)*(SUM($E64:$H64)+SUM($N64:$R64))+IF(Lookup!$H$10="Yes",N($U64),0))*Lookup!$H$9,2)+N($Y64)</f>
        <v/>
      </c>
    </row>
    <row r="65" ht="18" customHeight="1">
      <c r="A65" s="9" t="n"/>
      <c r="B65" s="9" t="n"/>
      <c r="C65" s="213">
        <f>IF($D65="","",IF($B65="Casual",$D65/(1+Lookup!$H$2),$D65))</f>
        <v/>
      </c>
      <c r="D65" s="214" t="n"/>
      <c r="E65" s="215">
        <f>0-SUM(F65:S65)</f>
        <v/>
      </c>
      <c r="F65" s="215" t="n"/>
      <c r="G65" s="215" t="n"/>
      <c r="H65" s="215" t="n"/>
      <c r="I65" s="215" t="n"/>
      <c r="J65" s="215" t="n"/>
      <c r="K65" s="215" t="n"/>
      <c r="L65" s="215" t="n"/>
      <c r="M65" s="215" t="n"/>
      <c r="N65" s="215" t="n"/>
      <c r="O65" s="215" t="n"/>
      <c r="P65" s="215" t="n"/>
      <c r="Q65" s="215" t="n"/>
      <c r="R65" s="215" t="n"/>
      <c r="S65" s="215" t="n"/>
      <c r="T65" s="216">
        <f>SUM(E65:S65)</f>
        <v/>
      </c>
      <c r="U65" s="217" t="n"/>
      <c r="V65" s="217" t="n"/>
      <c r="W65" s="218">
        <f>ROUND(N($D65)*(SUM($E65:$H65)+SUM($N65:$R65))+IF(AND($B65="Casual",Lookup!$H$8="No"),N($C65),N($D65))*($I65*Lookup!$H$3+$J65*Lookup!$H$4+$K65*Lookup!$H$5+$L65*Lookup!$H$6+$M65*Lookup!$H$7)+N($U65)+N($V65),2)</f>
        <v/>
      </c>
      <c r="X65" s="9" t="n"/>
      <c r="Y65" s="217" t="n"/>
      <c r="Z65" s="217" t="n"/>
      <c r="AA65" s="9" t="n"/>
      <c r="AB65" s="219">
        <f>MAX(0,$W65-N($Z65))</f>
        <v/>
      </c>
      <c r="AC65" s="9" t="inlineStr">
        <is>
          <t>2 - Tax-free threshold claimed</t>
        </is>
      </c>
      <c r="AD65" s="219">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8">
        <f>$AB65-$AD65</f>
        <v/>
      </c>
      <c r="AF65" s="219">
        <f>ROUND((N($D65)*(SUM($E65:$H65)+SUM($N65:$R65))+IF(Lookup!$H$10="Yes",N($U65),0))*Lookup!$H$9,2)+N($Y65)</f>
        <v/>
      </c>
    </row>
    <row r="66" ht="18" customHeight="1">
      <c r="A66" s="9" t="n"/>
      <c r="B66" s="9" t="n"/>
      <c r="C66" s="213">
        <f>IF($D66="","",IF($B66="Casual",$D66/(1+Lookup!$H$2),$D66))</f>
        <v/>
      </c>
      <c r="D66" s="214" t="n"/>
      <c r="E66" s="215">
        <f>0-SUM(F66:S66)</f>
        <v/>
      </c>
      <c r="F66" s="215" t="n"/>
      <c r="G66" s="215" t="n"/>
      <c r="H66" s="215" t="n"/>
      <c r="I66" s="215" t="n"/>
      <c r="J66" s="215" t="n"/>
      <c r="K66" s="215" t="n"/>
      <c r="L66" s="215" t="n"/>
      <c r="M66" s="215" t="n"/>
      <c r="N66" s="215" t="n"/>
      <c r="O66" s="215" t="n"/>
      <c r="P66" s="215" t="n"/>
      <c r="Q66" s="215" t="n"/>
      <c r="R66" s="215" t="n"/>
      <c r="S66" s="215" t="n"/>
      <c r="T66" s="216">
        <f>SUM(E66:S66)</f>
        <v/>
      </c>
      <c r="U66" s="217" t="n"/>
      <c r="V66" s="217" t="n"/>
      <c r="W66" s="218">
        <f>ROUND(N($D66)*(SUM($E66:$H66)+SUM($N66:$R66))+IF(AND($B66="Casual",Lookup!$H$8="No"),N($C66),N($D66))*($I66*Lookup!$H$3+$J66*Lookup!$H$4+$K66*Lookup!$H$5+$L66*Lookup!$H$6+$M66*Lookup!$H$7)+N($U66)+N($V66),2)</f>
        <v/>
      </c>
      <c r="X66" s="9" t="n"/>
      <c r="Y66" s="217" t="n"/>
      <c r="Z66" s="217" t="n"/>
      <c r="AA66" s="9" t="n"/>
      <c r="AB66" s="219">
        <f>MAX(0,$W66-N($Z66))</f>
        <v/>
      </c>
      <c r="AC66" s="9" t="inlineStr">
        <is>
          <t>2 - Tax-free threshold claimed</t>
        </is>
      </c>
      <c r="AD66" s="219">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8">
        <f>$AB66-$AD66</f>
        <v/>
      </c>
      <c r="AF66" s="219">
        <f>ROUND((N($D66)*(SUM($E66:$H66)+SUM($N66:$R66))+IF(Lookup!$H$10="Yes",N($U66),0))*Lookup!$H$9,2)+N($Y66)</f>
        <v/>
      </c>
    </row>
    <row r="67" ht="18" customHeight="1">
      <c r="A67" s="9" t="n"/>
      <c r="B67" s="9" t="n"/>
      <c r="C67" s="213">
        <f>IF($D67="","",IF($B67="Casual",$D67/(1+Lookup!$H$2),$D67))</f>
        <v/>
      </c>
      <c r="D67" s="214" t="n"/>
      <c r="E67" s="215">
        <f>0-SUM(F67:S67)</f>
        <v/>
      </c>
      <c r="F67" s="215" t="n"/>
      <c r="G67" s="215" t="n"/>
      <c r="H67" s="215" t="n"/>
      <c r="I67" s="215" t="n"/>
      <c r="J67" s="215" t="n"/>
      <c r="K67" s="215" t="n"/>
      <c r="L67" s="215" t="n"/>
      <c r="M67" s="215" t="n"/>
      <c r="N67" s="215" t="n"/>
      <c r="O67" s="215" t="n"/>
      <c r="P67" s="215" t="n"/>
      <c r="Q67" s="215" t="n"/>
      <c r="R67" s="215" t="n"/>
      <c r="S67" s="215" t="n"/>
      <c r="T67" s="216">
        <f>SUM(E67:S67)</f>
        <v/>
      </c>
      <c r="U67" s="217" t="n"/>
      <c r="V67" s="217" t="n"/>
      <c r="W67" s="218">
        <f>ROUND(N($D67)*(SUM($E67:$H67)+SUM($N67:$R67))+IF(AND($B67="Casual",Lookup!$H$8="No"),N($C67),N($D67))*($I67*Lookup!$H$3+$J67*Lookup!$H$4+$K67*Lookup!$H$5+$L67*Lookup!$H$6+$M67*Lookup!$H$7)+N($U67)+N($V67),2)</f>
        <v/>
      </c>
      <c r="X67" s="9" t="n"/>
      <c r="Y67" s="217" t="n"/>
      <c r="Z67" s="217" t="n"/>
      <c r="AA67" s="9" t="n"/>
      <c r="AB67" s="219">
        <f>MAX(0,$W67-N($Z67))</f>
        <v/>
      </c>
      <c r="AC67" s="9" t="inlineStr">
        <is>
          <t>2 - Tax-free threshold claimed</t>
        </is>
      </c>
      <c r="AD67" s="219">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8">
        <f>$AB67-$AD67</f>
        <v/>
      </c>
      <c r="AF67" s="219">
        <f>ROUND((N($D67)*(SUM($E67:$H67)+SUM($N67:$R67))+IF(Lookup!$H$10="Yes",N($U67),0))*Lookup!$H$9,2)+N($Y67)</f>
        <v/>
      </c>
    </row>
    <row r="68" ht="18" customHeight="1">
      <c r="A68" s="9" t="n"/>
      <c r="B68" s="9" t="n"/>
      <c r="C68" s="213">
        <f>IF($D68="","",IF($B68="Casual",$D68/(1+Lookup!$H$2),$D68))</f>
        <v/>
      </c>
      <c r="D68" s="214" t="n"/>
      <c r="E68" s="215">
        <f>0-SUM(F68:S68)</f>
        <v/>
      </c>
      <c r="F68" s="215" t="n"/>
      <c r="G68" s="215" t="n"/>
      <c r="H68" s="215" t="n"/>
      <c r="I68" s="215" t="n"/>
      <c r="J68" s="215" t="n"/>
      <c r="K68" s="215" t="n"/>
      <c r="L68" s="215" t="n"/>
      <c r="M68" s="215" t="n"/>
      <c r="N68" s="215" t="n"/>
      <c r="O68" s="215" t="n"/>
      <c r="P68" s="215" t="n"/>
      <c r="Q68" s="215" t="n"/>
      <c r="R68" s="215" t="n"/>
      <c r="S68" s="215" t="n"/>
      <c r="T68" s="216">
        <f>SUM(E68:S68)</f>
        <v/>
      </c>
      <c r="U68" s="217" t="n"/>
      <c r="V68" s="217" t="n"/>
      <c r="W68" s="218">
        <f>ROUND(N($D68)*(SUM($E68:$H68)+SUM($N68:$R68))+IF(AND($B68="Casual",Lookup!$H$8="No"),N($C68),N($D68))*($I68*Lookup!$H$3+$J68*Lookup!$H$4+$K68*Lookup!$H$5+$L68*Lookup!$H$6+$M68*Lookup!$H$7)+N($U68)+N($V68),2)</f>
        <v/>
      </c>
      <c r="X68" s="9" t="n"/>
      <c r="Y68" s="217" t="n"/>
      <c r="Z68" s="217" t="n"/>
      <c r="AA68" s="9" t="n"/>
      <c r="AB68" s="219">
        <f>MAX(0,$W68-N($Z68))</f>
        <v/>
      </c>
      <c r="AC68" s="9" t="inlineStr">
        <is>
          <t>2 - Tax-free threshold claimed</t>
        </is>
      </c>
      <c r="AD68" s="219">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8">
        <f>$AB68-$AD68</f>
        <v/>
      </c>
      <c r="AF68" s="219">
        <f>ROUND((N($D68)*(SUM($E68:$H68)+SUM($N68:$R68))+IF(Lookup!$H$10="Yes",N($U68),0))*Lookup!$H$9,2)+N($Y68)</f>
        <v/>
      </c>
    </row>
    <row r="69" ht="18" customHeight="1">
      <c r="A69" s="9" t="n"/>
      <c r="B69" s="9" t="n"/>
      <c r="C69" s="213">
        <f>IF($D69="","",IF($B69="Casual",$D69/(1+Lookup!$H$2),$D69))</f>
        <v/>
      </c>
      <c r="D69" s="214" t="n"/>
      <c r="E69" s="215">
        <f>0-SUM(F69:S69)</f>
        <v/>
      </c>
      <c r="F69" s="215" t="n"/>
      <c r="G69" s="215" t="n"/>
      <c r="H69" s="215" t="n"/>
      <c r="I69" s="215" t="n"/>
      <c r="J69" s="215" t="n"/>
      <c r="K69" s="215" t="n"/>
      <c r="L69" s="215" t="n"/>
      <c r="M69" s="215" t="n"/>
      <c r="N69" s="215" t="n"/>
      <c r="O69" s="215" t="n"/>
      <c r="P69" s="215" t="n"/>
      <c r="Q69" s="215" t="n"/>
      <c r="R69" s="215" t="n"/>
      <c r="S69" s="215" t="n"/>
      <c r="T69" s="216">
        <f>SUM(E69:S69)</f>
        <v/>
      </c>
      <c r="U69" s="217" t="n"/>
      <c r="V69" s="217" t="n"/>
      <c r="W69" s="218">
        <f>ROUND(N($D69)*(SUM($E69:$H69)+SUM($N69:$R69))+IF(AND($B69="Casual",Lookup!$H$8="No"),N($C69),N($D69))*($I69*Lookup!$H$3+$J69*Lookup!$H$4+$K69*Lookup!$H$5+$L69*Lookup!$H$6+$M69*Lookup!$H$7)+N($U69)+N($V69),2)</f>
        <v/>
      </c>
      <c r="X69" s="9" t="n"/>
      <c r="Y69" s="217" t="n"/>
      <c r="Z69" s="217" t="n"/>
      <c r="AA69" s="9" t="n"/>
      <c r="AB69" s="219">
        <f>MAX(0,$W69-N($Z69))</f>
        <v/>
      </c>
      <c r="AC69" s="9" t="inlineStr">
        <is>
          <t>2 - Tax-free threshold claimed</t>
        </is>
      </c>
      <c r="AD69" s="219">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8">
        <f>$AB69-$AD69</f>
        <v/>
      </c>
      <c r="AF69" s="219">
        <f>ROUND((N($D69)*(SUM($E69:$H69)+SUM($N69:$R69))+IF(Lookup!$H$10="Yes",N($U69),0))*Lookup!$H$9,2)+N($Y69)</f>
        <v/>
      </c>
    </row>
    <row r="70" ht="18" customHeight="1">
      <c r="A70" s="9" t="n"/>
      <c r="B70" s="9" t="n"/>
      <c r="C70" s="213">
        <f>IF($D70="","",IF($B70="Casual",$D70/(1+Lookup!$H$2),$D70))</f>
        <v/>
      </c>
      <c r="D70" s="214" t="n"/>
      <c r="E70" s="215">
        <f>0-SUM(F70:S70)</f>
        <v/>
      </c>
      <c r="F70" s="215" t="n"/>
      <c r="G70" s="215" t="n"/>
      <c r="H70" s="215" t="n"/>
      <c r="I70" s="215" t="n"/>
      <c r="J70" s="215" t="n"/>
      <c r="K70" s="215" t="n"/>
      <c r="L70" s="215" t="n"/>
      <c r="M70" s="215" t="n"/>
      <c r="N70" s="215" t="n"/>
      <c r="O70" s="215" t="n"/>
      <c r="P70" s="215" t="n"/>
      <c r="Q70" s="215" t="n"/>
      <c r="R70" s="215" t="n"/>
      <c r="S70" s="215" t="n"/>
      <c r="T70" s="216">
        <f>SUM(E70:S70)</f>
        <v/>
      </c>
      <c r="U70" s="217" t="n"/>
      <c r="V70" s="217" t="n"/>
      <c r="W70" s="218">
        <f>ROUND(N($D70)*(SUM($E70:$H70)+SUM($N70:$R70))+IF(AND($B70="Casual",Lookup!$H$8="No"),N($C70),N($D70))*($I70*Lookup!$H$3+$J70*Lookup!$H$4+$K70*Lookup!$H$5+$L70*Lookup!$H$6+$M70*Lookup!$H$7)+N($U70)+N($V70),2)</f>
        <v/>
      </c>
      <c r="X70" s="9" t="n"/>
      <c r="Y70" s="217" t="n"/>
      <c r="Z70" s="217" t="n"/>
      <c r="AA70" s="9" t="n"/>
      <c r="AB70" s="219">
        <f>MAX(0,$W70-N($Z70))</f>
        <v/>
      </c>
      <c r="AC70" s="9" t="inlineStr">
        <is>
          <t>2 - Tax-free threshold claimed</t>
        </is>
      </c>
      <c r="AD70" s="219">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8">
        <f>$AB70-$AD70</f>
        <v/>
      </c>
      <c r="AF70" s="219">
        <f>ROUND((N($D70)*(SUM($E70:$H70)+SUM($N70:$R70))+IF(Lookup!$H$10="Yes",N($U70),0))*Lookup!$H$9,2)+N($Y70)</f>
        <v/>
      </c>
    </row>
    <row r="71" ht="18" customHeight="1">
      <c r="A71" s="9" t="n"/>
      <c r="B71" s="9" t="n"/>
      <c r="C71" s="213">
        <f>IF($D71="","",IF($B71="Casual",$D71/(1+Lookup!$H$2),$D71))</f>
        <v/>
      </c>
      <c r="D71" s="214" t="n"/>
      <c r="E71" s="215">
        <f>0-SUM(F71:S71)</f>
        <v/>
      </c>
      <c r="F71" s="215" t="n"/>
      <c r="G71" s="215" t="n"/>
      <c r="H71" s="215" t="n"/>
      <c r="I71" s="215" t="n"/>
      <c r="J71" s="215" t="n"/>
      <c r="K71" s="215" t="n"/>
      <c r="L71" s="215" t="n"/>
      <c r="M71" s="215" t="n"/>
      <c r="N71" s="215" t="n"/>
      <c r="O71" s="215" t="n"/>
      <c r="P71" s="215" t="n"/>
      <c r="Q71" s="215" t="n"/>
      <c r="R71" s="215" t="n"/>
      <c r="S71" s="215" t="n"/>
      <c r="T71" s="216">
        <f>SUM(E71:S71)</f>
        <v/>
      </c>
      <c r="U71" s="217" t="n"/>
      <c r="V71" s="217" t="n"/>
      <c r="W71" s="218">
        <f>ROUND(N($D71)*(SUM($E71:$H71)+SUM($N71:$R71))+IF(AND($B71="Casual",Lookup!$H$8="No"),N($C71),N($D71))*($I71*Lookup!$H$3+$J71*Lookup!$H$4+$K71*Lookup!$H$5+$L71*Lookup!$H$6+$M71*Lookup!$H$7)+N($U71)+N($V71),2)</f>
        <v/>
      </c>
      <c r="X71" s="9" t="n"/>
      <c r="Y71" s="217" t="n"/>
      <c r="Z71" s="217" t="n"/>
      <c r="AA71" s="9" t="n"/>
      <c r="AB71" s="219">
        <f>MAX(0,$W71-N($Z71))</f>
        <v/>
      </c>
      <c r="AC71" s="9" t="inlineStr">
        <is>
          <t>2 - Tax-free threshold claimed</t>
        </is>
      </c>
      <c r="AD71" s="219">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8">
        <f>$AB71-$AD71</f>
        <v/>
      </c>
      <c r="AF71" s="219">
        <f>ROUND((N($D71)*(SUM($E71:$H71)+SUM($N71:$R71))+IF(Lookup!$H$10="Yes",N($U71),0))*Lookup!$H$9,2)+N($Y71)</f>
        <v/>
      </c>
    </row>
    <row r="72" ht="18" customHeight="1">
      <c r="A72" s="9" t="n"/>
      <c r="B72" s="9" t="n"/>
      <c r="C72" s="213">
        <f>IF($D72="","",IF($B72="Casual",$D72/(1+Lookup!$H$2),$D72))</f>
        <v/>
      </c>
      <c r="D72" s="214" t="n"/>
      <c r="E72" s="215">
        <f>0-SUM(F72:S72)</f>
        <v/>
      </c>
      <c r="F72" s="215" t="n"/>
      <c r="G72" s="215" t="n"/>
      <c r="H72" s="215" t="n"/>
      <c r="I72" s="215" t="n"/>
      <c r="J72" s="215" t="n"/>
      <c r="K72" s="215" t="n"/>
      <c r="L72" s="215" t="n"/>
      <c r="M72" s="215" t="n"/>
      <c r="N72" s="215" t="n"/>
      <c r="O72" s="215" t="n"/>
      <c r="P72" s="215" t="n"/>
      <c r="Q72" s="215" t="n"/>
      <c r="R72" s="215" t="n"/>
      <c r="S72" s="215" t="n"/>
      <c r="T72" s="216">
        <f>SUM(E72:S72)</f>
        <v/>
      </c>
      <c r="U72" s="217" t="n"/>
      <c r="V72" s="217" t="n"/>
      <c r="W72" s="218">
        <f>ROUND(N($D72)*(SUM($E72:$H72)+SUM($N72:$R72))+IF(AND($B72="Casual",Lookup!$H$8="No"),N($C72),N($D72))*($I72*Lookup!$H$3+$J72*Lookup!$H$4+$K72*Lookup!$H$5+$L72*Lookup!$H$6+$M72*Lookup!$H$7)+N($U72)+N($V72),2)</f>
        <v/>
      </c>
      <c r="X72" s="9" t="n"/>
      <c r="Y72" s="217" t="n"/>
      <c r="Z72" s="217" t="n"/>
      <c r="AA72" s="9" t="n"/>
      <c r="AB72" s="219">
        <f>MAX(0,$W72-N($Z72))</f>
        <v/>
      </c>
      <c r="AC72" s="9" t="inlineStr">
        <is>
          <t>2 - Tax-free threshold claimed</t>
        </is>
      </c>
      <c r="AD72" s="219">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8">
        <f>$AB72-$AD72</f>
        <v/>
      </c>
      <c r="AF72" s="219">
        <f>ROUND((N($D72)*(SUM($E72:$H72)+SUM($N72:$R72))+IF(Lookup!$H$10="Yes",N($U72),0))*Lookup!$H$9,2)+N($Y72)</f>
        <v/>
      </c>
    </row>
    <row r="73" ht="18" customHeight="1">
      <c r="A73" s="9" t="n"/>
      <c r="B73" s="9" t="n"/>
      <c r="C73" s="213">
        <f>IF($D73="","",IF($B73="Casual",$D73/(1+Lookup!$H$2),$D73))</f>
        <v/>
      </c>
      <c r="D73" s="214" t="n"/>
      <c r="E73" s="215">
        <f>0-SUM(F73:S73)</f>
        <v/>
      </c>
      <c r="F73" s="215" t="n"/>
      <c r="G73" s="215" t="n"/>
      <c r="H73" s="215" t="n"/>
      <c r="I73" s="215" t="n"/>
      <c r="J73" s="215" t="n"/>
      <c r="K73" s="215" t="n"/>
      <c r="L73" s="215" t="n"/>
      <c r="M73" s="215" t="n"/>
      <c r="N73" s="215" t="n"/>
      <c r="O73" s="215" t="n"/>
      <c r="P73" s="215" t="n"/>
      <c r="Q73" s="215" t="n"/>
      <c r="R73" s="215" t="n"/>
      <c r="S73" s="215" t="n"/>
      <c r="T73" s="216">
        <f>SUM(E73:S73)</f>
        <v/>
      </c>
      <c r="U73" s="217" t="n"/>
      <c r="V73" s="217" t="n"/>
      <c r="W73" s="218">
        <f>ROUND(N($D73)*(SUM($E73:$H73)+SUM($N73:$R73))+IF(AND($B73="Casual",Lookup!$H$8="No"),N($C73),N($D73))*($I73*Lookup!$H$3+$J73*Lookup!$H$4+$K73*Lookup!$H$5+$L73*Lookup!$H$6+$M73*Lookup!$H$7)+N($U73)+N($V73),2)</f>
        <v/>
      </c>
      <c r="X73" s="9" t="n"/>
      <c r="Y73" s="217" t="n"/>
      <c r="Z73" s="217" t="n"/>
      <c r="AA73" s="9" t="n"/>
      <c r="AB73" s="219">
        <f>MAX(0,$W73-N($Z73))</f>
        <v/>
      </c>
      <c r="AC73" s="9" t="inlineStr">
        <is>
          <t>2 - Tax-free threshold claimed</t>
        </is>
      </c>
      <c r="AD73" s="219">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8">
        <f>$AB73-$AD73</f>
        <v/>
      </c>
      <c r="AF73" s="219">
        <f>ROUND((N($D73)*(SUM($E73:$H73)+SUM($N73:$R73))+IF(Lookup!$H$10="Yes",N($U73),0))*Lookup!$H$9,2)+N($Y73)</f>
        <v/>
      </c>
    </row>
    <row r="74" ht="18" customHeight="1">
      <c r="A74" s="9" t="n"/>
      <c r="B74" s="9" t="n"/>
      <c r="C74" s="213">
        <f>IF($D74="","",IF($B74="Casual",$D74/(1+Lookup!$H$2),$D74))</f>
        <v/>
      </c>
      <c r="D74" s="214" t="n"/>
      <c r="E74" s="215">
        <f>0-SUM(F74:S74)</f>
        <v/>
      </c>
      <c r="F74" s="215" t="n"/>
      <c r="G74" s="215" t="n"/>
      <c r="H74" s="215" t="n"/>
      <c r="I74" s="215" t="n"/>
      <c r="J74" s="215" t="n"/>
      <c r="K74" s="215" t="n"/>
      <c r="L74" s="215" t="n"/>
      <c r="M74" s="215" t="n"/>
      <c r="N74" s="215" t="n"/>
      <c r="O74" s="215" t="n"/>
      <c r="P74" s="215" t="n"/>
      <c r="Q74" s="215" t="n"/>
      <c r="R74" s="215" t="n"/>
      <c r="S74" s="215" t="n"/>
      <c r="T74" s="216">
        <f>SUM(E74:S74)</f>
        <v/>
      </c>
      <c r="U74" s="217" t="n"/>
      <c r="V74" s="217" t="n"/>
      <c r="W74" s="218">
        <f>ROUND(N($D74)*(SUM($E74:$H74)+SUM($N74:$R74))+IF(AND($B74="Casual",Lookup!$H$8="No"),N($C74),N($D74))*($I74*Lookup!$H$3+$J74*Lookup!$H$4+$K74*Lookup!$H$5+$L74*Lookup!$H$6+$M74*Lookup!$H$7)+N($U74)+N($V74),2)</f>
        <v/>
      </c>
      <c r="X74" s="9" t="n"/>
      <c r="Y74" s="217" t="n"/>
      <c r="Z74" s="217" t="n"/>
      <c r="AA74" s="9" t="n"/>
      <c r="AB74" s="219">
        <f>MAX(0,$W74-N($Z74))</f>
        <v/>
      </c>
      <c r="AC74" s="9" t="inlineStr">
        <is>
          <t>2 - Tax-free threshold claimed</t>
        </is>
      </c>
      <c r="AD74" s="219">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8">
        <f>$AB74-$AD74</f>
        <v/>
      </c>
      <c r="AF74" s="219">
        <f>ROUND((N($D74)*(SUM($E74:$H74)+SUM($N74:$R74))+IF(Lookup!$H$10="Yes",N($U74),0))*Lookup!$H$9,2)+N($Y74)</f>
        <v/>
      </c>
    </row>
    <row r="75" ht="18" customHeight="1">
      <c r="A75" s="9" t="n"/>
      <c r="B75" s="9" t="n"/>
      <c r="C75" s="213">
        <f>IF($D75="","",IF($B75="Casual",$D75/(1+Lookup!$H$2),$D75))</f>
        <v/>
      </c>
      <c r="D75" s="214" t="n"/>
      <c r="E75" s="215">
        <f>0-SUM(F75:S75)</f>
        <v/>
      </c>
      <c r="F75" s="215" t="n"/>
      <c r="G75" s="215" t="n"/>
      <c r="H75" s="215" t="n"/>
      <c r="I75" s="215" t="n"/>
      <c r="J75" s="215" t="n"/>
      <c r="K75" s="215" t="n"/>
      <c r="L75" s="215" t="n"/>
      <c r="M75" s="215" t="n"/>
      <c r="N75" s="215" t="n"/>
      <c r="O75" s="215" t="n"/>
      <c r="P75" s="215" t="n"/>
      <c r="Q75" s="215" t="n"/>
      <c r="R75" s="215" t="n"/>
      <c r="S75" s="215" t="n"/>
      <c r="T75" s="216">
        <f>SUM(E75:S75)</f>
        <v/>
      </c>
      <c r="U75" s="217" t="n"/>
      <c r="V75" s="217" t="n"/>
      <c r="W75" s="218">
        <f>ROUND(N($D75)*(SUM($E75:$H75)+SUM($N75:$R75))+IF(AND($B75="Casual",Lookup!$H$8="No"),N($C75),N($D75))*($I75*Lookup!$H$3+$J75*Lookup!$H$4+$K75*Lookup!$H$5+$L75*Lookup!$H$6+$M75*Lookup!$H$7)+N($U75)+N($V75),2)</f>
        <v/>
      </c>
      <c r="X75" s="9" t="n"/>
      <c r="Y75" s="217" t="n"/>
      <c r="Z75" s="217" t="n"/>
      <c r="AA75" s="9" t="n"/>
      <c r="AB75" s="219">
        <f>MAX(0,$W75-N($Z75))</f>
        <v/>
      </c>
      <c r="AC75" s="9" t="inlineStr">
        <is>
          <t>2 - Tax-free threshold claimed</t>
        </is>
      </c>
      <c r="AD75" s="219">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8">
        <f>$AB75-$AD75</f>
        <v/>
      </c>
      <c r="AF75" s="219">
        <f>ROUND((N($D75)*(SUM($E75:$H75)+SUM($N75:$R75))+IF(Lookup!$H$10="Yes",N($U75),0))*Lookup!$H$9,2)+N($Y75)</f>
        <v/>
      </c>
    </row>
    <row r="76" ht="18" customHeight="1">
      <c r="A76" s="9" t="n"/>
      <c r="B76" s="9" t="n"/>
      <c r="C76" s="213">
        <f>IF($D76="","",IF($B76="Casual",$D76/(1+Lookup!$H$2),$D76))</f>
        <v/>
      </c>
      <c r="D76" s="214" t="n"/>
      <c r="E76" s="215">
        <f>0-SUM(F76:S76)</f>
        <v/>
      </c>
      <c r="F76" s="215" t="n"/>
      <c r="G76" s="215" t="n"/>
      <c r="H76" s="215" t="n"/>
      <c r="I76" s="215" t="n"/>
      <c r="J76" s="215" t="n"/>
      <c r="K76" s="215" t="n"/>
      <c r="L76" s="215" t="n"/>
      <c r="M76" s="215" t="n"/>
      <c r="N76" s="215" t="n"/>
      <c r="O76" s="215" t="n"/>
      <c r="P76" s="215" t="n"/>
      <c r="Q76" s="215" t="n"/>
      <c r="R76" s="215" t="n"/>
      <c r="S76" s="215" t="n"/>
      <c r="T76" s="216">
        <f>SUM(E76:S76)</f>
        <v/>
      </c>
      <c r="U76" s="217" t="n"/>
      <c r="V76" s="217" t="n"/>
      <c r="W76" s="218">
        <f>ROUND(N($D76)*(SUM($E76:$H76)+SUM($N76:$R76))+IF(AND($B76="Casual",Lookup!$H$8="No"),N($C76),N($D76))*($I76*Lookup!$H$3+$J76*Lookup!$H$4+$K76*Lookup!$H$5+$L76*Lookup!$H$6+$M76*Lookup!$H$7)+N($U76)+N($V76),2)</f>
        <v/>
      </c>
      <c r="X76" s="9" t="n"/>
      <c r="Y76" s="217" t="n"/>
      <c r="Z76" s="217" t="n"/>
      <c r="AA76" s="9" t="n"/>
      <c r="AB76" s="219">
        <f>MAX(0,$W76-N($Z76))</f>
        <v/>
      </c>
      <c r="AC76" s="9" t="inlineStr">
        <is>
          <t>2 - Tax-free threshold claimed</t>
        </is>
      </c>
      <c r="AD76" s="219">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8">
        <f>$AB76-$AD76</f>
        <v/>
      </c>
      <c r="AF76" s="219">
        <f>ROUND((N($D76)*(SUM($E76:$H76)+SUM($N76:$R76))+IF(Lookup!$H$10="Yes",N($U76),0))*Lookup!$H$9,2)+N($Y76)</f>
        <v/>
      </c>
    </row>
    <row r="77" ht="18" customHeight="1">
      <c r="A77" s="9" t="n"/>
      <c r="B77" s="9" t="n"/>
      <c r="C77" s="213">
        <f>IF($D77="","",IF($B77="Casual",$D77/(1+Lookup!$H$2),$D77))</f>
        <v/>
      </c>
      <c r="D77" s="214" t="n"/>
      <c r="E77" s="215">
        <f>0-SUM(F77:S77)</f>
        <v/>
      </c>
      <c r="F77" s="215" t="n"/>
      <c r="G77" s="215" t="n"/>
      <c r="H77" s="215" t="n"/>
      <c r="I77" s="215" t="n"/>
      <c r="J77" s="215" t="n"/>
      <c r="K77" s="215" t="n"/>
      <c r="L77" s="215" t="n"/>
      <c r="M77" s="215" t="n"/>
      <c r="N77" s="215" t="n"/>
      <c r="O77" s="215" t="n"/>
      <c r="P77" s="215" t="n"/>
      <c r="Q77" s="215" t="n"/>
      <c r="R77" s="215" t="n"/>
      <c r="S77" s="215" t="n"/>
      <c r="T77" s="216">
        <f>SUM(E77:S77)</f>
        <v/>
      </c>
      <c r="U77" s="217" t="n"/>
      <c r="V77" s="217" t="n"/>
      <c r="W77" s="218">
        <f>ROUND(N($D77)*(SUM($E77:$H77)+SUM($N77:$R77))+IF(AND($B77="Casual",Lookup!$H$8="No"),N($C77),N($D77))*($I77*Lookup!$H$3+$J77*Lookup!$H$4+$K77*Lookup!$H$5+$L77*Lookup!$H$6+$M77*Lookup!$H$7)+N($U77)+N($V77),2)</f>
        <v/>
      </c>
      <c r="X77" s="9" t="n"/>
      <c r="Y77" s="217" t="n"/>
      <c r="Z77" s="217" t="n"/>
      <c r="AA77" s="9" t="n"/>
      <c r="AB77" s="219">
        <f>MAX(0,$W77-N($Z77))</f>
        <v/>
      </c>
      <c r="AC77" s="9" t="inlineStr">
        <is>
          <t>2 - Tax-free threshold claimed</t>
        </is>
      </c>
      <c r="AD77" s="219">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8">
        <f>$AB77-$AD77</f>
        <v/>
      </c>
      <c r="AF77" s="219">
        <f>ROUND((N($D77)*(SUM($E77:$H77)+SUM($N77:$R77))+IF(Lookup!$H$10="Yes",N($U77),0))*Lookup!$H$9,2)+N($Y77)</f>
        <v/>
      </c>
    </row>
    <row r="78" ht="18" customHeight="1">
      <c r="A78" s="9" t="n"/>
      <c r="B78" s="9" t="n"/>
      <c r="C78" s="213">
        <f>IF($D78="","",IF($B78="Casual",$D78/(1+Lookup!$H$2),$D78))</f>
        <v/>
      </c>
      <c r="D78" s="214" t="n"/>
      <c r="E78" s="215">
        <f>0-SUM(F78:S78)</f>
        <v/>
      </c>
      <c r="F78" s="215" t="n"/>
      <c r="G78" s="215" t="n"/>
      <c r="H78" s="215" t="n"/>
      <c r="I78" s="215" t="n"/>
      <c r="J78" s="215" t="n"/>
      <c r="K78" s="215" t="n"/>
      <c r="L78" s="215" t="n"/>
      <c r="M78" s="215" t="n"/>
      <c r="N78" s="215" t="n"/>
      <c r="O78" s="215" t="n"/>
      <c r="P78" s="215" t="n"/>
      <c r="Q78" s="215" t="n"/>
      <c r="R78" s="215" t="n"/>
      <c r="S78" s="215" t="n"/>
      <c r="T78" s="216">
        <f>SUM(E78:S78)</f>
        <v/>
      </c>
      <c r="U78" s="217" t="n"/>
      <c r="V78" s="217" t="n"/>
      <c r="W78" s="218">
        <f>ROUND(N($D78)*(SUM($E78:$H78)+SUM($N78:$R78))+IF(AND($B78="Casual",Lookup!$H$8="No"),N($C78),N($D78))*($I78*Lookup!$H$3+$J78*Lookup!$H$4+$K78*Lookup!$H$5+$L78*Lookup!$H$6+$M78*Lookup!$H$7)+N($U78)+N($V78),2)</f>
        <v/>
      </c>
      <c r="X78" s="9" t="n"/>
      <c r="Y78" s="217" t="n"/>
      <c r="Z78" s="217" t="n"/>
      <c r="AA78" s="9" t="n"/>
      <c r="AB78" s="219">
        <f>MAX(0,$W78-N($Z78))</f>
        <v/>
      </c>
      <c r="AC78" s="9" t="inlineStr">
        <is>
          <t>2 - Tax-free threshold claimed</t>
        </is>
      </c>
      <c r="AD78" s="219">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8">
        <f>$AB78-$AD78</f>
        <v/>
      </c>
      <c r="AF78" s="219">
        <f>ROUND((N($D78)*(SUM($E78:$H78)+SUM($N78:$R78))+IF(Lookup!$H$10="Yes",N($U78),0))*Lookup!$H$9,2)+N($Y78)</f>
        <v/>
      </c>
    </row>
    <row r="79" ht="18" customHeight="1">
      <c r="A79" s="9" t="n"/>
      <c r="B79" s="9" t="n"/>
      <c r="C79" s="213">
        <f>IF($D79="","",IF($B79="Casual",$D79/(1+Lookup!$H$2),$D79))</f>
        <v/>
      </c>
      <c r="D79" s="214" t="n"/>
      <c r="E79" s="215">
        <f>0-SUM(F79:S79)</f>
        <v/>
      </c>
      <c r="F79" s="215" t="n"/>
      <c r="G79" s="215" t="n"/>
      <c r="H79" s="215" t="n"/>
      <c r="I79" s="215" t="n"/>
      <c r="J79" s="215" t="n"/>
      <c r="K79" s="215" t="n"/>
      <c r="L79" s="215" t="n"/>
      <c r="M79" s="215" t="n"/>
      <c r="N79" s="215" t="n"/>
      <c r="O79" s="215" t="n"/>
      <c r="P79" s="215" t="n"/>
      <c r="Q79" s="215" t="n"/>
      <c r="R79" s="215" t="n"/>
      <c r="S79" s="215" t="n"/>
      <c r="T79" s="216">
        <f>SUM(E79:S79)</f>
        <v/>
      </c>
      <c r="U79" s="217" t="n"/>
      <c r="V79" s="217" t="n"/>
      <c r="W79" s="218">
        <f>ROUND(N($D79)*(SUM($E79:$H79)+SUM($N79:$R79))+IF(AND($B79="Casual",Lookup!$H$8="No"),N($C79),N($D79))*($I79*Lookup!$H$3+$J79*Lookup!$H$4+$K79*Lookup!$H$5+$L79*Lookup!$H$6+$M79*Lookup!$H$7)+N($U79)+N($V79),2)</f>
        <v/>
      </c>
      <c r="X79" s="9" t="n"/>
      <c r="Y79" s="217" t="n"/>
      <c r="Z79" s="217" t="n"/>
      <c r="AA79" s="9" t="n"/>
      <c r="AB79" s="219">
        <f>MAX(0,$W79-N($Z79))</f>
        <v/>
      </c>
      <c r="AC79" s="9" t="inlineStr">
        <is>
          <t>2 - Tax-free threshold claimed</t>
        </is>
      </c>
      <c r="AD79" s="219">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8">
        <f>$AB79-$AD79</f>
        <v/>
      </c>
      <c r="AF79" s="219">
        <f>ROUND((N($D79)*(SUM($E79:$H79)+SUM($N79:$R79))+IF(Lookup!$H$10="Yes",N($U79),0))*Lookup!$H$9,2)+N($Y79)</f>
        <v/>
      </c>
    </row>
    <row r="80" ht="18" customHeight="1">
      <c r="A80" s="9" t="n"/>
      <c r="B80" s="9" t="n"/>
      <c r="C80" s="213">
        <f>IF($D80="","",IF($B80="Casual",$D80/(1+Lookup!$H$2),$D80))</f>
        <v/>
      </c>
      <c r="D80" s="214" t="n"/>
      <c r="E80" s="215">
        <f>0-SUM(F80:S80)</f>
        <v/>
      </c>
      <c r="F80" s="215" t="n"/>
      <c r="G80" s="215" t="n"/>
      <c r="H80" s="215" t="n"/>
      <c r="I80" s="215" t="n"/>
      <c r="J80" s="215" t="n"/>
      <c r="K80" s="215" t="n"/>
      <c r="L80" s="215" t="n"/>
      <c r="M80" s="215" t="n"/>
      <c r="N80" s="215" t="n"/>
      <c r="O80" s="215" t="n"/>
      <c r="P80" s="215" t="n"/>
      <c r="Q80" s="215" t="n"/>
      <c r="R80" s="215" t="n"/>
      <c r="S80" s="215" t="n"/>
      <c r="T80" s="216">
        <f>SUM(E80:S80)</f>
        <v/>
      </c>
      <c r="U80" s="217" t="n"/>
      <c r="V80" s="217" t="n"/>
      <c r="W80" s="218">
        <f>ROUND(N($D80)*(SUM($E80:$H80)+SUM($N80:$R80))+IF(AND($B80="Casual",Lookup!$H$8="No"),N($C80),N($D80))*($I80*Lookup!$H$3+$J80*Lookup!$H$4+$K80*Lookup!$H$5+$L80*Lookup!$H$6+$M80*Lookup!$H$7)+N($U80)+N($V80),2)</f>
        <v/>
      </c>
      <c r="X80" s="9" t="n"/>
      <c r="Y80" s="217" t="n"/>
      <c r="Z80" s="217" t="n"/>
      <c r="AA80" s="9" t="n"/>
      <c r="AB80" s="219">
        <f>MAX(0,$W80-N($Z80))</f>
        <v/>
      </c>
      <c r="AC80" s="9" t="inlineStr">
        <is>
          <t>2 - Tax-free threshold claimed</t>
        </is>
      </c>
      <c r="AD80" s="219">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8">
        <f>$AB80-$AD80</f>
        <v/>
      </c>
      <c r="AF80" s="219">
        <f>ROUND((N($D80)*(SUM($E80:$H80)+SUM($N80:$R80))+IF(Lookup!$H$10="Yes",N($U80),0))*Lookup!$H$9,2)+N($Y80)</f>
        <v/>
      </c>
    </row>
    <row r="81" ht="18" customHeight="1">
      <c r="A81" s="9" t="n"/>
      <c r="B81" s="9" t="n"/>
      <c r="C81" s="213">
        <f>IF($D81="","",IF($B81="Casual",$D81/(1+Lookup!$H$2),$D81))</f>
        <v/>
      </c>
      <c r="D81" s="214" t="n"/>
      <c r="E81" s="215">
        <f>0-SUM(F81:S81)</f>
        <v/>
      </c>
      <c r="F81" s="215" t="n"/>
      <c r="G81" s="215" t="n"/>
      <c r="H81" s="215" t="n"/>
      <c r="I81" s="215" t="n"/>
      <c r="J81" s="215" t="n"/>
      <c r="K81" s="215" t="n"/>
      <c r="L81" s="215" t="n"/>
      <c r="M81" s="215" t="n"/>
      <c r="N81" s="215" t="n"/>
      <c r="O81" s="215" t="n"/>
      <c r="P81" s="215" t="n"/>
      <c r="Q81" s="215" t="n"/>
      <c r="R81" s="215" t="n"/>
      <c r="S81" s="215" t="n"/>
      <c r="T81" s="216">
        <f>SUM(E81:S81)</f>
        <v/>
      </c>
      <c r="U81" s="217" t="n"/>
      <c r="V81" s="217" t="n"/>
      <c r="W81" s="218">
        <f>ROUND(N($D81)*(SUM($E81:$H81)+SUM($N81:$R81))+IF(AND($B81="Casual",Lookup!$H$8="No"),N($C81),N($D81))*($I81*Lookup!$H$3+$J81*Lookup!$H$4+$K81*Lookup!$H$5+$L81*Lookup!$H$6+$M81*Lookup!$H$7)+N($U81)+N($V81),2)</f>
        <v/>
      </c>
      <c r="X81" s="9" t="n"/>
      <c r="Y81" s="217" t="n"/>
      <c r="Z81" s="217" t="n"/>
      <c r="AA81" s="9" t="n"/>
      <c r="AB81" s="219">
        <f>MAX(0,$W81-N($Z81))</f>
        <v/>
      </c>
      <c r="AC81" s="9" t="inlineStr">
        <is>
          <t>2 - Tax-free threshold claimed</t>
        </is>
      </c>
      <c r="AD81" s="219">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8">
        <f>$AB81-$AD81</f>
        <v/>
      </c>
      <c r="AF81" s="219">
        <f>ROUND((N($D81)*(SUM($E81:$H81)+SUM($N81:$R81))+IF(Lookup!$H$10="Yes",N($U81),0))*Lookup!$H$9,2)+N($Y81)</f>
        <v/>
      </c>
    </row>
    <row r="82" ht="18" customHeight="1">
      <c r="A82" s="9" t="n"/>
      <c r="B82" s="9" t="n"/>
      <c r="C82" s="213">
        <f>IF($D82="","",IF($B82="Casual",$D82/(1+Lookup!$H$2),$D82))</f>
        <v/>
      </c>
      <c r="D82" s="214" t="n"/>
      <c r="E82" s="215">
        <f>0-SUM(F82:S82)</f>
        <v/>
      </c>
      <c r="F82" s="215" t="n"/>
      <c r="G82" s="215" t="n"/>
      <c r="H82" s="215" t="n"/>
      <c r="I82" s="215" t="n"/>
      <c r="J82" s="215" t="n"/>
      <c r="K82" s="215" t="n"/>
      <c r="L82" s="215" t="n"/>
      <c r="M82" s="215" t="n"/>
      <c r="N82" s="215" t="n"/>
      <c r="O82" s="215" t="n"/>
      <c r="P82" s="215" t="n"/>
      <c r="Q82" s="215" t="n"/>
      <c r="R82" s="215" t="n"/>
      <c r="S82" s="215" t="n"/>
      <c r="T82" s="216">
        <f>SUM(E82:S82)</f>
        <v/>
      </c>
      <c r="U82" s="217" t="n"/>
      <c r="V82" s="217" t="n"/>
      <c r="W82" s="218">
        <f>ROUND(N($D82)*(SUM($E82:$H82)+SUM($N82:$R82))+IF(AND($B82="Casual",Lookup!$H$8="No"),N($C82),N($D82))*($I82*Lookup!$H$3+$J82*Lookup!$H$4+$K82*Lookup!$H$5+$L82*Lookup!$H$6+$M82*Lookup!$H$7)+N($U82)+N($V82),2)</f>
        <v/>
      </c>
      <c r="X82" s="9" t="n"/>
      <c r="Y82" s="217" t="n"/>
      <c r="Z82" s="217" t="n"/>
      <c r="AA82" s="9" t="n"/>
      <c r="AB82" s="219">
        <f>MAX(0,$W82-N($Z82))</f>
        <v/>
      </c>
      <c r="AC82" s="9" t="inlineStr">
        <is>
          <t>2 - Tax-free threshold claimed</t>
        </is>
      </c>
      <c r="AD82" s="219">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8">
        <f>$AB82-$AD82</f>
        <v/>
      </c>
      <c r="AF82" s="219">
        <f>ROUND((N($D82)*(SUM($E82:$H82)+SUM($N82:$R82))+IF(Lookup!$H$10="Yes",N($U82),0))*Lookup!$H$9,2)+N($Y82)</f>
        <v/>
      </c>
    </row>
    <row r="83" ht="18" customHeight="1">
      <c r="A83" s="9" t="n"/>
      <c r="B83" s="9" t="n"/>
      <c r="C83" s="213">
        <f>IF($D83="","",IF($B83="Casual",$D83/(1+Lookup!$H$2),$D83))</f>
        <v/>
      </c>
      <c r="D83" s="214" t="n"/>
      <c r="E83" s="215">
        <f>0-SUM(F83:S83)</f>
        <v/>
      </c>
      <c r="F83" s="215" t="n"/>
      <c r="G83" s="215" t="n"/>
      <c r="H83" s="215" t="n"/>
      <c r="I83" s="215" t="n"/>
      <c r="J83" s="215" t="n"/>
      <c r="K83" s="215" t="n"/>
      <c r="L83" s="215" t="n"/>
      <c r="M83" s="215" t="n"/>
      <c r="N83" s="215" t="n"/>
      <c r="O83" s="215" t="n"/>
      <c r="P83" s="215" t="n"/>
      <c r="Q83" s="215" t="n"/>
      <c r="R83" s="215" t="n"/>
      <c r="S83" s="215" t="n"/>
      <c r="T83" s="216">
        <f>SUM(E83:S83)</f>
        <v/>
      </c>
      <c r="U83" s="217" t="n"/>
      <c r="V83" s="217" t="n"/>
      <c r="W83" s="218">
        <f>ROUND(N($D83)*(SUM($E83:$H83)+SUM($N83:$R83))+IF(AND($B83="Casual",Lookup!$H$8="No"),N($C83),N($D83))*($I83*Lookup!$H$3+$J83*Lookup!$H$4+$K83*Lookup!$H$5+$L83*Lookup!$H$6+$M83*Lookup!$H$7)+N($U83)+N($V83),2)</f>
        <v/>
      </c>
      <c r="X83" s="9" t="n"/>
      <c r="Y83" s="217" t="n"/>
      <c r="Z83" s="217" t="n"/>
      <c r="AA83" s="9" t="n"/>
      <c r="AB83" s="219">
        <f>MAX(0,$W83-N($Z83))</f>
        <v/>
      </c>
      <c r="AC83" s="9" t="inlineStr">
        <is>
          <t>2 - Tax-free threshold claimed</t>
        </is>
      </c>
      <c r="AD83" s="219">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8">
        <f>$AB83-$AD83</f>
        <v/>
      </c>
      <c r="AF83" s="219">
        <f>ROUND((N($D83)*(SUM($E83:$H83)+SUM($N83:$R83))+IF(Lookup!$H$10="Yes",N($U83),0))*Lookup!$H$9,2)+N($Y83)</f>
        <v/>
      </c>
    </row>
    <row r="84" ht="18" customHeight="1">
      <c r="A84" s="9" t="n"/>
      <c r="B84" s="9" t="n"/>
      <c r="C84" s="213">
        <f>IF($D84="","",IF($B84="Casual",$D84/(1+Lookup!$H$2),$D84))</f>
        <v/>
      </c>
      <c r="D84" s="214" t="n"/>
      <c r="E84" s="215">
        <f>0-SUM(F84:S84)</f>
        <v/>
      </c>
      <c r="F84" s="215" t="n"/>
      <c r="G84" s="215" t="n"/>
      <c r="H84" s="215" t="n"/>
      <c r="I84" s="215" t="n"/>
      <c r="J84" s="215" t="n"/>
      <c r="K84" s="215" t="n"/>
      <c r="L84" s="215" t="n"/>
      <c r="M84" s="215" t="n"/>
      <c r="N84" s="215" t="n"/>
      <c r="O84" s="215" t="n"/>
      <c r="P84" s="215" t="n"/>
      <c r="Q84" s="215" t="n"/>
      <c r="R84" s="215" t="n"/>
      <c r="S84" s="215" t="n"/>
      <c r="T84" s="216">
        <f>SUM(E84:S84)</f>
        <v/>
      </c>
      <c r="U84" s="217" t="n"/>
      <c r="V84" s="217" t="n"/>
      <c r="W84" s="218">
        <f>ROUND(N($D84)*(SUM($E84:$H84)+SUM($N84:$R84))+IF(AND($B84="Casual",Lookup!$H$8="No"),N($C84),N($D84))*($I84*Lookup!$H$3+$J84*Lookup!$H$4+$K84*Lookup!$H$5+$L84*Lookup!$H$6+$M84*Lookup!$H$7)+N($U84)+N($V84),2)</f>
        <v/>
      </c>
      <c r="X84" s="9" t="n"/>
      <c r="Y84" s="217" t="n"/>
      <c r="Z84" s="217" t="n"/>
      <c r="AA84" s="9" t="n"/>
      <c r="AB84" s="219">
        <f>MAX(0,$W84-N($Z84))</f>
        <v/>
      </c>
      <c r="AC84" s="9" t="inlineStr">
        <is>
          <t>2 - Tax-free threshold claimed</t>
        </is>
      </c>
      <c r="AD84" s="219">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8">
        <f>$AB84-$AD84</f>
        <v/>
      </c>
      <c r="AF84" s="219">
        <f>ROUND((N($D84)*(SUM($E84:$H84)+SUM($N84:$R84))+IF(Lookup!$H$10="Yes",N($U84),0))*Lookup!$H$9,2)+N($Y84)</f>
        <v/>
      </c>
    </row>
    <row r="85" ht="18" customHeight="1">
      <c r="A85" s="9" t="n"/>
      <c r="B85" s="9" t="n"/>
      <c r="C85" s="213">
        <f>IF($D85="","",IF($B85="Casual",$D85/(1+Lookup!$H$2),$D85))</f>
        <v/>
      </c>
      <c r="D85" s="214" t="n"/>
      <c r="E85" s="215">
        <f>0-SUM(F85:S85)</f>
        <v/>
      </c>
      <c r="F85" s="215" t="n"/>
      <c r="G85" s="215" t="n"/>
      <c r="H85" s="215" t="n"/>
      <c r="I85" s="215" t="n"/>
      <c r="J85" s="215" t="n"/>
      <c r="K85" s="215" t="n"/>
      <c r="L85" s="215" t="n"/>
      <c r="M85" s="215" t="n"/>
      <c r="N85" s="215" t="n"/>
      <c r="O85" s="215" t="n"/>
      <c r="P85" s="215" t="n"/>
      <c r="Q85" s="215" t="n"/>
      <c r="R85" s="215" t="n"/>
      <c r="S85" s="215" t="n"/>
      <c r="T85" s="216">
        <f>SUM(E85:S85)</f>
        <v/>
      </c>
      <c r="U85" s="217" t="n"/>
      <c r="V85" s="217" t="n"/>
      <c r="W85" s="218">
        <f>ROUND(N($D85)*(SUM($E85:$H85)+SUM($N85:$R85))+IF(AND($B85="Casual",Lookup!$H$8="No"),N($C85),N($D85))*($I85*Lookup!$H$3+$J85*Lookup!$H$4+$K85*Lookup!$H$5+$L85*Lookup!$H$6+$M85*Lookup!$H$7)+N($U85)+N($V85),2)</f>
        <v/>
      </c>
      <c r="X85" s="9" t="n"/>
      <c r="Y85" s="217" t="n"/>
      <c r="Z85" s="217" t="n"/>
      <c r="AA85" s="9" t="n"/>
      <c r="AB85" s="219">
        <f>MAX(0,$W85-N($Z85))</f>
        <v/>
      </c>
      <c r="AC85" s="9" t="inlineStr">
        <is>
          <t>2 - Tax-free threshold claimed</t>
        </is>
      </c>
      <c r="AD85" s="219">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8">
        <f>$AB85-$AD85</f>
        <v/>
      </c>
      <c r="AF85" s="219">
        <f>ROUND((N($D85)*(SUM($E85:$H85)+SUM($N85:$R85))+IF(Lookup!$H$10="Yes",N($U85),0))*Lookup!$H$9,2)+N($Y85)</f>
        <v/>
      </c>
    </row>
    <row r="86" ht="18" customHeight="1">
      <c r="A86" s="9" t="n"/>
      <c r="B86" s="9" t="n"/>
      <c r="C86" s="213">
        <f>IF($D86="","",IF($B86="Casual",$D86/(1+Lookup!$H$2),$D86))</f>
        <v/>
      </c>
      <c r="D86" s="214" t="n"/>
      <c r="E86" s="215">
        <f>0-SUM(F86:S86)</f>
        <v/>
      </c>
      <c r="F86" s="215" t="n"/>
      <c r="G86" s="215" t="n"/>
      <c r="H86" s="215" t="n"/>
      <c r="I86" s="215" t="n"/>
      <c r="J86" s="215" t="n"/>
      <c r="K86" s="215" t="n"/>
      <c r="L86" s="215" t="n"/>
      <c r="M86" s="215" t="n"/>
      <c r="N86" s="215" t="n"/>
      <c r="O86" s="215" t="n"/>
      <c r="P86" s="215" t="n"/>
      <c r="Q86" s="215" t="n"/>
      <c r="R86" s="215" t="n"/>
      <c r="S86" s="215" t="n"/>
      <c r="T86" s="216">
        <f>SUM(E86:S86)</f>
        <v/>
      </c>
      <c r="U86" s="217" t="n"/>
      <c r="V86" s="217" t="n"/>
      <c r="W86" s="218">
        <f>ROUND(N($D86)*(SUM($E86:$H86)+SUM($N86:$R86))+IF(AND($B86="Casual",Lookup!$H$8="No"),N($C86),N($D86))*($I86*Lookup!$H$3+$J86*Lookup!$H$4+$K86*Lookup!$H$5+$L86*Lookup!$H$6+$M86*Lookup!$H$7)+N($U86)+N($V86),2)</f>
        <v/>
      </c>
      <c r="X86" s="9" t="n"/>
      <c r="Y86" s="217" t="n"/>
      <c r="Z86" s="217" t="n"/>
      <c r="AA86" s="9" t="n"/>
      <c r="AB86" s="219">
        <f>MAX(0,$W86-N($Z86))</f>
        <v/>
      </c>
      <c r="AC86" s="9" t="inlineStr">
        <is>
          <t>2 - Tax-free threshold claimed</t>
        </is>
      </c>
      <c r="AD86" s="219">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8">
        <f>$AB86-$AD86</f>
        <v/>
      </c>
      <c r="AF86" s="219">
        <f>ROUND((N($D86)*(SUM($E86:$H86)+SUM($N86:$R86))+IF(Lookup!$H$10="Yes",N($U86),0))*Lookup!$H$9,2)+N($Y86)</f>
        <v/>
      </c>
    </row>
    <row r="87" ht="18" customHeight="1">
      <c r="A87" s="9" t="n"/>
      <c r="B87" s="9" t="n"/>
      <c r="C87" s="213">
        <f>IF($D87="","",IF($B87="Casual",$D87/(1+Lookup!$H$2),$D87))</f>
        <v/>
      </c>
      <c r="D87" s="214" t="n"/>
      <c r="E87" s="215">
        <f>0-SUM(F87:S87)</f>
        <v/>
      </c>
      <c r="F87" s="215" t="n"/>
      <c r="G87" s="215" t="n"/>
      <c r="H87" s="215" t="n"/>
      <c r="I87" s="215" t="n"/>
      <c r="J87" s="215" t="n"/>
      <c r="K87" s="215" t="n"/>
      <c r="L87" s="215" t="n"/>
      <c r="M87" s="215" t="n"/>
      <c r="N87" s="215" t="n"/>
      <c r="O87" s="215" t="n"/>
      <c r="P87" s="215" t="n"/>
      <c r="Q87" s="215" t="n"/>
      <c r="R87" s="215" t="n"/>
      <c r="S87" s="215" t="n"/>
      <c r="T87" s="216">
        <f>SUM(E87:S87)</f>
        <v/>
      </c>
      <c r="U87" s="217" t="n"/>
      <c r="V87" s="217" t="n"/>
      <c r="W87" s="218">
        <f>ROUND(N($D87)*(SUM($E87:$H87)+SUM($N87:$R87))+IF(AND($B87="Casual",Lookup!$H$8="No"),N($C87),N($D87))*($I87*Lookup!$H$3+$J87*Lookup!$H$4+$K87*Lookup!$H$5+$L87*Lookup!$H$6+$M87*Lookup!$H$7)+N($U87)+N($V87),2)</f>
        <v/>
      </c>
      <c r="X87" s="9" t="n"/>
      <c r="Y87" s="217" t="n"/>
      <c r="Z87" s="217" t="n"/>
      <c r="AA87" s="9" t="n"/>
      <c r="AB87" s="219">
        <f>MAX(0,$W87-N($Z87))</f>
        <v/>
      </c>
      <c r="AC87" s="9" t="inlineStr">
        <is>
          <t>2 - Tax-free threshold claimed</t>
        </is>
      </c>
      <c r="AD87" s="219">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8">
        <f>$AB87-$AD87</f>
        <v/>
      </c>
      <c r="AF87" s="219">
        <f>ROUND((N($D87)*(SUM($E87:$H87)+SUM($N87:$R87))+IF(Lookup!$H$10="Yes",N($U87),0))*Lookup!$H$9,2)+N($Y87)</f>
        <v/>
      </c>
    </row>
    <row r="88" ht="18" customHeight="1">
      <c r="A88" s="9" t="n"/>
      <c r="B88" s="9" t="n"/>
      <c r="C88" s="213">
        <f>IF($D88="","",IF($B88="Casual",$D88/(1+Lookup!$H$2),$D88))</f>
        <v/>
      </c>
      <c r="D88" s="214" t="n"/>
      <c r="E88" s="215">
        <f>0-SUM(F88:S88)</f>
        <v/>
      </c>
      <c r="F88" s="215" t="n"/>
      <c r="G88" s="215" t="n"/>
      <c r="H88" s="215" t="n"/>
      <c r="I88" s="215" t="n"/>
      <c r="J88" s="215" t="n"/>
      <c r="K88" s="215" t="n"/>
      <c r="L88" s="215" t="n"/>
      <c r="M88" s="215" t="n"/>
      <c r="N88" s="215" t="n"/>
      <c r="O88" s="215" t="n"/>
      <c r="P88" s="215" t="n"/>
      <c r="Q88" s="215" t="n"/>
      <c r="R88" s="215" t="n"/>
      <c r="S88" s="215" t="n"/>
      <c r="T88" s="216">
        <f>SUM(E88:S88)</f>
        <v/>
      </c>
      <c r="U88" s="217" t="n"/>
      <c r="V88" s="217" t="n"/>
      <c r="W88" s="218">
        <f>ROUND(N($D88)*(SUM($E88:$H88)+SUM($N88:$R88))+IF(AND($B88="Casual",Lookup!$H$8="No"),N($C88),N($D88))*($I88*Lookup!$H$3+$J88*Lookup!$H$4+$K88*Lookup!$H$5+$L88*Lookup!$H$6+$M88*Lookup!$H$7)+N($U88)+N($V88),2)</f>
        <v/>
      </c>
      <c r="X88" s="9" t="n"/>
      <c r="Y88" s="217" t="n"/>
      <c r="Z88" s="217" t="n"/>
      <c r="AA88" s="9" t="n"/>
      <c r="AB88" s="219">
        <f>MAX(0,$W88-N($Z88))</f>
        <v/>
      </c>
      <c r="AC88" s="9" t="inlineStr">
        <is>
          <t>2 - Tax-free threshold claimed</t>
        </is>
      </c>
      <c r="AD88" s="219">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8">
        <f>$AB88-$AD88</f>
        <v/>
      </c>
      <c r="AF88" s="219">
        <f>ROUND((N($D88)*(SUM($E88:$H88)+SUM($N88:$R88))+IF(Lookup!$H$10="Yes",N($U88),0))*Lookup!$H$9,2)+N($Y88)</f>
        <v/>
      </c>
    </row>
    <row r="89" ht="18" customHeight="1">
      <c r="A89" s="9" t="n"/>
      <c r="B89" s="9" t="n"/>
      <c r="C89" s="213">
        <f>IF($D89="","",IF($B89="Casual",$D89/(1+Lookup!$H$2),$D89))</f>
        <v/>
      </c>
      <c r="D89" s="214" t="n"/>
      <c r="E89" s="215">
        <f>0-SUM(F89:S89)</f>
        <v/>
      </c>
      <c r="F89" s="215" t="n"/>
      <c r="G89" s="215" t="n"/>
      <c r="H89" s="215" t="n"/>
      <c r="I89" s="215" t="n"/>
      <c r="J89" s="215" t="n"/>
      <c r="K89" s="215" t="n"/>
      <c r="L89" s="215" t="n"/>
      <c r="M89" s="215" t="n"/>
      <c r="N89" s="215" t="n"/>
      <c r="O89" s="215" t="n"/>
      <c r="P89" s="215" t="n"/>
      <c r="Q89" s="215" t="n"/>
      <c r="R89" s="215" t="n"/>
      <c r="S89" s="215" t="n"/>
      <c r="T89" s="216">
        <f>SUM(E89:S89)</f>
        <v/>
      </c>
      <c r="U89" s="217" t="n"/>
      <c r="V89" s="217" t="n"/>
      <c r="W89" s="218">
        <f>ROUND(N($D89)*(SUM($E89:$H89)+SUM($N89:$R89))+IF(AND($B89="Casual",Lookup!$H$8="No"),N($C89),N($D89))*($I89*Lookup!$H$3+$J89*Lookup!$H$4+$K89*Lookup!$H$5+$L89*Lookup!$H$6+$M89*Lookup!$H$7)+N($U89)+N($V89),2)</f>
        <v/>
      </c>
      <c r="X89" s="9" t="n"/>
      <c r="Y89" s="217" t="n"/>
      <c r="Z89" s="217" t="n"/>
      <c r="AA89" s="9" t="n"/>
      <c r="AB89" s="219">
        <f>MAX(0,$W89-N($Z89))</f>
        <v/>
      </c>
      <c r="AC89" s="9" t="inlineStr">
        <is>
          <t>2 - Tax-free threshold claimed</t>
        </is>
      </c>
      <c r="AD89" s="219">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8">
        <f>$AB89-$AD89</f>
        <v/>
      </c>
      <c r="AF89" s="219">
        <f>ROUND((N($D89)*(SUM($E89:$H89)+SUM($N89:$R89))+IF(Lookup!$H$10="Yes",N($U89),0))*Lookup!$H$9,2)+N($Y89)</f>
        <v/>
      </c>
    </row>
    <row r="90" ht="18" customHeight="1">
      <c r="A90" s="9" t="n"/>
      <c r="B90" s="9" t="n"/>
      <c r="C90" s="213">
        <f>IF($D90="","",IF($B90="Casual",$D90/(1+Lookup!$H$2),$D90))</f>
        <v/>
      </c>
      <c r="D90" s="214" t="n"/>
      <c r="E90" s="215">
        <f>0-SUM(F90:S90)</f>
        <v/>
      </c>
      <c r="F90" s="215" t="n"/>
      <c r="G90" s="215" t="n"/>
      <c r="H90" s="215" t="n"/>
      <c r="I90" s="215" t="n"/>
      <c r="J90" s="215" t="n"/>
      <c r="K90" s="215" t="n"/>
      <c r="L90" s="215" t="n"/>
      <c r="M90" s="215" t="n"/>
      <c r="N90" s="215" t="n"/>
      <c r="O90" s="215" t="n"/>
      <c r="P90" s="215" t="n"/>
      <c r="Q90" s="215" t="n"/>
      <c r="R90" s="215" t="n"/>
      <c r="S90" s="215" t="n"/>
      <c r="T90" s="216">
        <f>SUM(E90:S90)</f>
        <v/>
      </c>
      <c r="U90" s="217" t="n"/>
      <c r="V90" s="217" t="n"/>
      <c r="W90" s="218">
        <f>ROUND(N($D90)*(SUM($E90:$H90)+SUM($N90:$R90))+IF(AND($B90="Casual",Lookup!$H$8="No"),N($C90),N($D90))*($I90*Lookup!$H$3+$J90*Lookup!$H$4+$K90*Lookup!$H$5+$L90*Lookup!$H$6+$M90*Lookup!$H$7)+N($U90)+N($V90),2)</f>
        <v/>
      </c>
      <c r="X90" s="9" t="n"/>
      <c r="Y90" s="217" t="n"/>
      <c r="Z90" s="217" t="n"/>
      <c r="AA90" s="9" t="n"/>
      <c r="AB90" s="219">
        <f>MAX(0,$W90-N($Z90))</f>
        <v/>
      </c>
      <c r="AC90" s="9" t="inlineStr">
        <is>
          <t>2 - Tax-free threshold claimed</t>
        </is>
      </c>
      <c r="AD90" s="219">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8">
        <f>$AB90-$AD90</f>
        <v/>
      </c>
      <c r="AF90" s="219">
        <f>ROUND((N($D90)*(SUM($E90:$H90)+SUM($N90:$R90))+IF(Lookup!$H$10="Yes",N($U90),0))*Lookup!$H$9,2)+N($Y90)</f>
        <v/>
      </c>
    </row>
    <row r="91" ht="18" customHeight="1">
      <c r="A91" s="9" t="n"/>
      <c r="B91" s="9" t="n"/>
      <c r="C91" s="213">
        <f>IF($D91="","",IF($B91="Casual",$D91/(1+Lookup!$H$2),$D91))</f>
        <v/>
      </c>
      <c r="D91" s="214" t="n"/>
      <c r="E91" s="215">
        <f>0-SUM(F91:S91)</f>
        <v/>
      </c>
      <c r="F91" s="215" t="n"/>
      <c r="G91" s="215" t="n"/>
      <c r="H91" s="215" t="n"/>
      <c r="I91" s="215" t="n"/>
      <c r="J91" s="215" t="n"/>
      <c r="K91" s="215" t="n"/>
      <c r="L91" s="215" t="n"/>
      <c r="M91" s="215" t="n"/>
      <c r="N91" s="215" t="n"/>
      <c r="O91" s="215" t="n"/>
      <c r="P91" s="215" t="n"/>
      <c r="Q91" s="215" t="n"/>
      <c r="R91" s="215" t="n"/>
      <c r="S91" s="215" t="n"/>
      <c r="T91" s="216">
        <f>SUM(E91:S91)</f>
        <v/>
      </c>
      <c r="U91" s="217" t="n"/>
      <c r="V91" s="217" t="n"/>
      <c r="W91" s="218">
        <f>ROUND(N($D91)*(SUM($E91:$H91)+SUM($N91:$R91))+IF(AND($B91="Casual",Lookup!$H$8="No"),N($C91),N($D91))*($I91*Lookup!$H$3+$J91*Lookup!$H$4+$K91*Lookup!$H$5+$L91*Lookup!$H$6+$M91*Lookup!$H$7)+N($U91)+N($V91),2)</f>
        <v/>
      </c>
      <c r="X91" s="9" t="n"/>
      <c r="Y91" s="217" t="n"/>
      <c r="Z91" s="217" t="n"/>
      <c r="AA91" s="9" t="n"/>
      <c r="AB91" s="219">
        <f>MAX(0,$W91-N($Z91))</f>
        <v/>
      </c>
      <c r="AC91" s="9" t="inlineStr">
        <is>
          <t>2 - Tax-free threshold claimed</t>
        </is>
      </c>
      <c r="AD91" s="219">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8">
        <f>$AB91-$AD91</f>
        <v/>
      </c>
      <c r="AF91" s="219">
        <f>ROUND((N($D91)*(SUM($E91:$H91)+SUM($N91:$R91))+IF(Lookup!$H$10="Yes",N($U91),0))*Lookup!$H$9,2)+N($Y91)</f>
        <v/>
      </c>
    </row>
    <row r="92" ht="18" customHeight="1">
      <c r="A92" s="9" t="n"/>
      <c r="B92" s="9" t="n"/>
      <c r="C92" s="213">
        <f>IF($D92="","",IF($B92="Casual",$D92/(1+Lookup!$H$2),$D92))</f>
        <v/>
      </c>
      <c r="D92" s="214" t="n"/>
      <c r="E92" s="215">
        <f>0-SUM(F92:S92)</f>
        <v/>
      </c>
      <c r="F92" s="215" t="n"/>
      <c r="G92" s="215" t="n"/>
      <c r="H92" s="215" t="n"/>
      <c r="I92" s="215" t="n"/>
      <c r="J92" s="215" t="n"/>
      <c r="K92" s="215" t="n"/>
      <c r="L92" s="215" t="n"/>
      <c r="M92" s="215" t="n"/>
      <c r="N92" s="215" t="n"/>
      <c r="O92" s="215" t="n"/>
      <c r="P92" s="215" t="n"/>
      <c r="Q92" s="215" t="n"/>
      <c r="R92" s="215" t="n"/>
      <c r="S92" s="215" t="n"/>
      <c r="T92" s="216">
        <f>SUM(E92:S92)</f>
        <v/>
      </c>
      <c r="U92" s="217" t="n"/>
      <c r="V92" s="217" t="n"/>
      <c r="W92" s="218">
        <f>ROUND(N($D92)*(SUM($E92:$H92)+SUM($N92:$R92))+IF(AND($B92="Casual",Lookup!$H$8="No"),N($C92),N($D92))*($I92*Lookup!$H$3+$J92*Lookup!$H$4+$K92*Lookup!$H$5+$L92*Lookup!$H$6+$M92*Lookup!$H$7)+N($U92)+N($V92),2)</f>
        <v/>
      </c>
      <c r="X92" s="9" t="n"/>
      <c r="Y92" s="217" t="n"/>
      <c r="Z92" s="217" t="n"/>
      <c r="AA92" s="9" t="n"/>
      <c r="AB92" s="219">
        <f>MAX(0,$W92-N($Z92))</f>
        <v/>
      </c>
      <c r="AC92" s="9" t="inlineStr">
        <is>
          <t>2 - Tax-free threshold claimed</t>
        </is>
      </c>
      <c r="AD92" s="219">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8">
        <f>$AB92-$AD92</f>
        <v/>
      </c>
      <c r="AF92" s="219">
        <f>ROUND((N($D92)*(SUM($E92:$H92)+SUM($N92:$R92))+IF(Lookup!$H$10="Yes",N($U92),0))*Lookup!$H$9,2)+N($Y92)</f>
        <v/>
      </c>
    </row>
    <row r="93" ht="18" customHeight="1">
      <c r="A93" s="9" t="n"/>
      <c r="B93" s="9" t="n"/>
      <c r="C93" s="213">
        <f>IF($D93="","",IF($B93="Casual",$D93/(1+Lookup!$H$2),$D93))</f>
        <v/>
      </c>
      <c r="D93" s="214" t="n"/>
      <c r="E93" s="215">
        <f>0-SUM(F93:S93)</f>
        <v/>
      </c>
      <c r="F93" s="215" t="n"/>
      <c r="G93" s="215" t="n"/>
      <c r="H93" s="215" t="n"/>
      <c r="I93" s="215" t="n"/>
      <c r="J93" s="215" t="n"/>
      <c r="K93" s="215" t="n"/>
      <c r="L93" s="215" t="n"/>
      <c r="M93" s="215" t="n"/>
      <c r="N93" s="215" t="n"/>
      <c r="O93" s="215" t="n"/>
      <c r="P93" s="215" t="n"/>
      <c r="Q93" s="215" t="n"/>
      <c r="R93" s="215" t="n"/>
      <c r="S93" s="215" t="n"/>
      <c r="T93" s="216">
        <f>SUM(E93:S93)</f>
        <v/>
      </c>
      <c r="U93" s="217" t="n"/>
      <c r="V93" s="217" t="n"/>
      <c r="W93" s="218">
        <f>ROUND(N($D93)*(SUM($E93:$H93)+SUM($N93:$R93))+IF(AND($B93="Casual",Lookup!$H$8="No"),N($C93),N($D93))*($I93*Lookup!$H$3+$J93*Lookup!$H$4+$K93*Lookup!$H$5+$L93*Lookup!$H$6+$M93*Lookup!$H$7)+N($U93)+N($V93),2)</f>
        <v/>
      </c>
      <c r="X93" s="9" t="n"/>
      <c r="Y93" s="217" t="n"/>
      <c r="Z93" s="217" t="n"/>
      <c r="AA93" s="9" t="n"/>
      <c r="AB93" s="219">
        <f>MAX(0,$W93-N($Z93))</f>
        <v/>
      </c>
      <c r="AC93" s="9" t="inlineStr">
        <is>
          <t>2 - Tax-free threshold claimed</t>
        </is>
      </c>
      <c r="AD93" s="219">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8">
        <f>$AB93-$AD93</f>
        <v/>
      </c>
      <c r="AF93" s="219">
        <f>ROUND((N($D93)*(SUM($E93:$H93)+SUM($N93:$R93))+IF(Lookup!$H$10="Yes",N($U93),0))*Lookup!$H$9,2)+N($Y93)</f>
        <v/>
      </c>
    </row>
    <row r="94" ht="18" customHeight="1">
      <c r="A94" s="9" t="n"/>
      <c r="B94" s="9" t="n"/>
      <c r="C94" s="213">
        <f>IF($D94="","",IF($B94="Casual",$D94/(1+Lookup!$H$2),$D94))</f>
        <v/>
      </c>
      <c r="D94" s="214" t="n"/>
      <c r="E94" s="215">
        <f>0-SUM(F94:S94)</f>
        <v/>
      </c>
      <c r="F94" s="215" t="n"/>
      <c r="G94" s="215" t="n"/>
      <c r="H94" s="215" t="n"/>
      <c r="I94" s="215" t="n"/>
      <c r="J94" s="215" t="n"/>
      <c r="K94" s="215" t="n"/>
      <c r="L94" s="215" t="n"/>
      <c r="M94" s="215" t="n"/>
      <c r="N94" s="215" t="n"/>
      <c r="O94" s="215" t="n"/>
      <c r="P94" s="215" t="n"/>
      <c r="Q94" s="215" t="n"/>
      <c r="R94" s="215" t="n"/>
      <c r="S94" s="215" t="n"/>
      <c r="T94" s="216">
        <f>SUM(E94:S94)</f>
        <v/>
      </c>
      <c r="U94" s="217" t="n"/>
      <c r="V94" s="217" t="n"/>
      <c r="W94" s="218">
        <f>ROUND(N($D94)*(SUM($E94:$H94)+SUM($N94:$R94))+IF(AND($B94="Casual",Lookup!$H$8="No"),N($C94),N($D94))*($I94*Lookup!$H$3+$J94*Lookup!$H$4+$K94*Lookup!$H$5+$L94*Lookup!$H$6+$M94*Lookup!$H$7)+N($U94)+N($V94),2)</f>
        <v/>
      </c>
      <c r="X94" s="9" t="n"/>
      <c r="Y94" s="217" t="n"/>
      <c r="Z94" s="217" t="n"/>
      <c r="AA94" s="9" t="n"/>
      <c r="AB94" s="219">
        <f>MAX(0,$W94-N($Z94))</f>
        <v/>
      </c>
      <c r="AC94" s="9" t="inlineStr">
        <is>
          <t>2 - Tax-free threshold claimed</t>
        </is>
      </c>
      <c r="AD94" s="219">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8">
        <f>$AB94-$AD94</f>
        <v/>
      </c>
      <c r="AF94" s="219">
        <f>ROUND((N($D94)*(SUM($E94:$H94)+SUM($N94:$R94))+IF(Lookup!$H$10="Yes",N($U94),0))*Lookup!$H$9,2)+N($Y94)</f>
        <v/>
      </c>
    </row>
    <row r="95" ht="18" customHeight="1">
      <c r="A95" s="9" t="n"/>
      <c r="B95" s="9" t="n"/>
      <c r="C95" s="213">
        <f>IF($D95="","",IF($B95="Casual",$D95/(1+Lookup!$H$2),$D95))</f>
        <v/>
      </c>
      <c r="D95" s="214" t="n"/>
      <c r="E95" s="215">
        <f>0-SUM(F95:S95)</f>
        <v/>
      </c>
      <c r="F95" s="215" t="n"/>
      <c r="G95" s="215" t="n"/>
      <c r="H95" s="215" t="n"/>
      <c r="I95" s="215" t="n"/>
      <c r="J95" s="215" t="n"/>
      <c r="K95" s="215" t="n"/>
      <c r="L95" s="215" t="n"/>
      <c r="M95" s="215" t="n"/>
      <c r="N95" s="215" t="n"/>
      <c r="O95" s="215" t="n"/>
      <c r="P95" s="215" t="n"/>
      <c r="Q95" s="215" t="n"/>
      <c r="R95" s="215" t="n"/>
      <c r="S95" s="215" t="n"/>
      <c r="T95" s="216">
        <f>SUM(E95:S95)</f>
        <v/>
      </c>
      <c r="U95" s="217" t="n"/>
      <c r="V95" s="217" t="n"/>
      <c r="W95" s="218">
        <f>ROUND(N($D95)*(SUM($E95:$H95)+SUM($N95:$R95))+IF(AND($B95="Casual",Lookup!$H$8="No"),N($C95),N($D95))*($I95*Lookup!$H$3+$J95*Lookup!$H$4+$K95*Lookup!$H$5+$L95*Lookup!$H$6+$M95*Lookup!$H$7)+N($U95)+N($V95),2)</f>
        <v/>
      </c>
      <c r="X95" s="9" t="n"/>
      <c r="Y95" s="217" t="n"/>
      <c r="Z95" s="217" t="n"/>
      <c r="AA95" s="9" t="n"/>
      <c r="AB95" s="219">
        <f>MAX(0,$W95-N($Z95))</f>
        <v/>
      </c>
      <c r="AC95" s="9" t="inlineStr">
        <is>
          <t>2 - Tax-free threshold claimed</t>
        </is>
      </c>
      <c r="AD95" s="219">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8">
        <f>$AB95-$AD95</f>
        <v/>
      </c>
      <c r="AF95" s="219">
        <f>ROUND((N($D95)*(SUM($E95:$H95)+SUM($N95:$R95))+IF(Lookup!$H$10="Yes",N($U95),0))*Lookup!$H$9,2)+N($Y95)</f>
        <v/>
      </c>
    </row>
    <row r="96" ht="18" customHeight="1">
      <c r="A96" s="9" t="n"/>
      <c r="B96" s="9" t="n"/>
      <c r="C96" s="213">
        <f>IF($D96="","",IF($B96="Casual",$D96/(1+Lookup!$H$2),$D96))</f>
        <v/>
      </c>
      <c r="D96" s="214" t="n"/>
      <c r="E96" s="215">
        <f>0-SUM(F96:S96)</f>
        <v/>
      </c>
      <c r="F96" s="215" t="n"/>
      <c r="G96" s="215" t="n"/>
      <c r="H96" s="215" t="n"/>
      <c r="I96" s="215" t="n"/>
      <c r="J96" s="215" t="n"/>
      <c r="K96" s="215" t="n"/>
      <c r="L96" s="215" t="n"/>
      <c r="M96" s="215" t="n"/>
      <c r="N96" s="215" t="n"/>
      <c r="O96" s="215" t="n"/>
      <c r="P96" s="215" t="n"/>
      <c r="Q96" s="215" t="n"/>
      <c r="R96" s="215" t="n"/>
      <c r="S96" s="215" t="n"/>
      <c r="T96" s="216">
        <f>SUM(E96:S96)</f>
        <v/>
      </c>
      <c r="U96" s="217" t="n"/>
      <c r="V96" s="217" t="n"/>
      <c r="W96" s="218">
        <f>ROUND(N($D96)*(SUM($E96:$H96)+SUM($N96:$R96))+IF(AND($B96="Casual",Lookup!$H$8="No"),N($C96),N($D96))*($I96*Lookup!$H$3+$J96*Lookup!$H$4+$K96*Lookup!$H$5+$L96*Lookup!$H$6+$M96*Lookup!$H$7)+N($U96)+N($V96),2)</f>
        <v/>
      </c>
      <c r="X96" s="9" t="n"/>
      <c r="Y96" s="217" t="n"/>
      <c r="Z96" s="217" t="n"/>
      <c r="AA96" s="9" t="n"/>
      <c r="AB96" s="219">
        <f>MAX(0,$W96-N($Z96))</f>
        <v/>
      </c>
      <c r="AC96" s="9" t="inlineStr">
        <is>
          <t>2 - Tax-free threshold claimed</t>
        </is>
      </c>
      <c r="AD96" s="219">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8">
        <f>$AB96-$AD96</f>
        <v/>
      </c>
      <c r="AF96" s="219">
        <f>ROUND((N($D96)*(SUM($E96:$H96)+SUM($N96:$R96))+IF(Lookup!$H$10="Yes",N($U96),0))*Lookup!$H$9,2)+N($Y96)</f>
        <v/>
      </c>
    </row>
    <row r="97" ht="18" customHeight="1">
      <c r="A97" s="9" t="n"/>
      <c r="B97" s="9" t="n"/>
      <c r="C97" s="213">
        <f>IF($D97="","",IF($B97="Casual",$D97/(1+Lookup!$H$2),$D97))</f>
        <v/>
      </c>
      <c r="D97" s="214" t="n"/>
      <c r="E97" s="215">
        <f>0-SUM(F97:S97)</f>
        <v/>
      </c>
      <c r="F97" s="215" t="n"/>
      <c r="G97" s="215" t="n"/>
      <c r="H97" s="215" t="n"/>
      <c r="I97" s="215" t="n"/>
      <c r="J97" s="215" t="n"/>
      <c r="K97" s="215" t="n"/>
      <c r="L97" s="215" t="n"/>
      <c r="M97" s="215" t="n"/>
      <c r="N97" s="215" t="n"/>
      <c r="O97" s="215" t="n"/>
      <c r="P97" s="215" t="n"/>
      <c r="Q97" s="215" t="n"/>
      <c r="R97" s="215" t="n"/>
      <c r="S97" s="215" t="n"/>
      <c r="T97" s="216">
        <f>SUM(E97:S97)</f>
        <v/>
      </c>
      <c r="U97" s="217" t="n"/>
      <c r="V97" s="217" t="n"/>
      <c r="W97" s="218">
        <f>ROUND(N($D97)*(SUM($E97:$H97)+SUM($N97:$R97))+IF(AND($B97="Casual",Lookup!$H$8="No"),N($C97),N($D97))*($I97*Lookup!$H$3+$J97*Lookup!$H$4+$K97*Lookup!$H$5+$L97*Lookup!$H$6+$M97*Lookup!$H$7)+N($U97)+N($V97),2)</f>
        <v/>
      </c>
      <c r="X97" s="9" t="n"/>
      <c r="Y97" s="217" t="n"/>
      <c r="Z97" s="217" t="n"/>
      <c r="AA97" s="9" t="n"/>
      <c r="AB97" s="219">
        <f>MAX(0,$W97-N($Z97))</f>
        <v/>
      </c>
      <c r="AC97" s="9" t="inlineStr">
        <is>
          <t>2 - Tax-free threshold claimed</t>
        </is>
      </c>
      <c r="AD97" s="219">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8">
        <f>$AB97-$AD97</f>
        <v/>
      </c>
      <c r="AF97" s="219">
        <f>ROUND((N($D97)*(SUM($E97:$H97)+SUM($N97:$R97))+IF(Lookup!$H$10="Yes",N($U97),0))*Lookup!$H$9,2)+N($Y97)</f>
        <v/>
      </c>
    </row>
    <row r="98" ht="18" customHeight="1">
      <c r="A98" s="9" t="n"/>
      <c r="B98" s="9" t="n"/>
      <c r="C98" s="213">
        <f>IF($D98="","",IF($B98="Casual",$D98/(1+Lookup!$H$2),$D98))</f>
        <v/>
      </c>
      <c r="D98" s="214" t="n"/>
      <c r="E98" s="215">
        <f>0-SUM(F98:S98)</f>
        <v/>
      </c>
      <c r="F98" s="215" t="n"/>
      <c r="G98" s="215" t="n"/>
      <c r="H98" s="215" t="n"/>
      <c r="I98" s="215" t="n"/>
      <c r="J98" s="215" t="n"/>
      <c r="K98" s="215" t="n"/>
      <c r="L98" s="215" t="n"/>
      <c r="M98" s="215" t="n"/>
      <c r="N98" s="215" t="n"/>
      <c r="O98" s="215" t="n"/>
      <c r="P98" s="215" t="n"/>
      <c r="Q98" s="215" t="n"/>
      <c r="R98" s="215" t="n"/>
      <c r="S98" s="215" t="n"/>
      <c r="T98" s="216">
        <f>SUM(E98:S98)</f>
        <v/>
      </c>
      <c r="U98" s="217" t="n"/>
      <c r="V98" s="217" t="n"/>
      <c r="W98" s="218">
        <f>ROUND(N($D98)*(SUM($E98:$H98)+SUM($N98:$R98))+IF(AND($B98="Casual",Lookup!$H$8="No"),N($C98),N($D98))*($I98*Lookup!$H$3+$J98*Lookup!$H$4+$K98*Lookup!$H$5+$L98*Lookup!$H$6+$M98*Lookup!$H$7)+N($U98)+N($V98),2)</f>
        <v/>
      </c>
      <c r="X98" s="9" t="n"/>
      <c r="Y98" s="217" t="n"/>
      <c r="Z98" s="217" t="n"/>
      <c r="AA98" s="9" t="n"/>
      <c r="AB98" s="219">
        <f>MAX(0,$W98-N($Z98))</f>
        <v/>
      </c>
      <c r="AC98" s="9" t="inlineStr">
        <is>
          <t>2 - Tax-free threshold claimed</t>
        </is>
      </c>
      <c r="AD98" s="219">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8">
        <f>$AB98-$AD98</f>
        <v/>
      </c>
      <c r="AF98" s="219">
        <f>ROUND((N($D98)*(SUM($E98:$H98)+SUM($N98:$R98))+IF(Lookup!$H$10="Yes",N($U98),0))*Lookup!$H$9,2)+N($Y98)</f>
        <v/>
      </c>
    </row>
    <row r="99" ht="18" customHeight="1">
      <c r="A99" s="9" t="n"/>
      <c r="B99" s="9" t="n"/>
      <c r="C99" s="213">
        <f>IF($D99="","",IF($B99="Casual",$D99/(1+Lookup!$H$2),$D99))</f>
        <v/>
      </c>
      <c r="D99" s="214" t="n"/>
      <c r="E99" s="215">
        <f>0-SUM(F99:S99)</f>
        <v/>
      </c>
      <c r="F99" s="215" t="n"/>
      <c r="G99" s="215" t="n"/>
      <c r="H99" s="215" t="n"/>
      <c r="I99" s="215" t="n"/>
      <c r="J99" s="215" t="n"/>
      <c r="K99" s="215" t="n"/>
      <c r="L99" s="215" t="n"/>
      <c r="M99" s="215" t="n"/>
      <c r="N99" s="215" t="n"/>
      <c r="O99" s="215" t="n"/>
      <c r="P99" s="215" t="n"/>
      <c r="Q99" s="215" t="n"/>
      <c r="R99" s="215" t="n"/>
      <c r="S99" s="215" t="n"/>
      <c r="T99" s="216">
        <f>SUM(E99:S99)</f>
        <v/>
      </c>
      <c r="U99" s="217" t="n"/>
      <c r="V99" s="217" t="n"/>
      <c r="W99" s="218">
        <f>ROUND(N($D99)*(SUM($E99:$H99)+SUM($N99:$R99))+IF(AND($B99="Casual",Lookup!$H$8="No"),N($C99),N($D99))*($I99*Lookup!$H$3+$J99*Lookup!$H$4+$K99*Lookup!$H$5+$L99*Lookup!$H$6+$M99*Lookup!$H$7)+N($U99)+N($V99),2)</f>
        <v/>
      </c>
      <c r="X99" s="9" t="n"/>
      <c r="Y99" s="217" t="n"/>
      <c r="Z99" s="217" t="n"/>
      <c r="AA99" s="9" t="n"/>
      <c r="AB99" s="219">
        <f>MAX(0,$W99-N($Z99))</f>
        <v/>
      </c>
      <c r="AC99" s="9" t="inlineStr">
        <is>
          <t>2 - Tax-free threshold claimed</t>
        </is>
      </c>
      <c r="AD99" s="219">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8">
        <f>$AB99-$AD99</f>
        <v/>
      </c>
      <c r="AF99" s="219">
        <f>ROUND((N($D99)*(SUM($E99:$H99)+SUM($N99:$R99))+IF(Lookup!$H$10="Yes",N($U99),0))*Lookup!$H$9,2)+N($Y99)</f>
        <v/>
      </c>
    </row>
    <row r="100" ht="18" customHeight="1">
      <c r="A100" s="9" t="n"/>
      <c r="B100" s="9" t="n"/>
      <c r="C100" s="213">
        <f>IF($D100="","",IF($B100="Casual",$D100/(1+Lookup!$H$2),$D100))</f>
        <v/>
      </c>
      <c r="D100" s="214" t="n"/>
      <c r="E100" s="215">
        <f>0-SUM(F100:S100)</f>
        <v/>
      </c>
      <c r="F100" s="215" t="n"/>
      <c r="G100" s="215" t="n"/>
      <c r="H100" s="215" t="n"/>
      <c r="I100" s="215" t="n"/>
      <c r="J100" s="215" t="n"/>
      <c r="K100" s="215" t="n"/>
      <c r="L100" s="215" t="n"/>
      <c r="M100" s="215" t="n"/>
      <c r="N100" s="215" t="n"/>
      <c r="O100" s="215" t="n"/>
      <c r="P100" s="215" t="n"/>
      <c r="Q100" s="215" t="n"/>
      <c r="R100" s="215" t="n"/>
      <c r="S100" s="215" t="n"/>
      <c r="T100" s="216">
        <f>SUM(E100:S100)</f>
        <v/>
      </c>
      <c r="U100" s="217" t="n"/>
      <c r="V100" s="217" t="n"/>
      <c r="W100" s="218">
        <f>ROUND(N($D100)*(SUM($E100:$H100)+SUM($N100:$R100))+IF(AND($B100="Casual",Lookup!$H$8="No"),N($C100),N($D100))*($I100*Lookup!$H$3+$J100*Lookup!$H$4+$K100*Lookup!$H$5+$L100*Lookup!$H$6+$M100*Lookup!$H$7)+N($U100)+N($V100),2)</f>
        <v/>
      </c>
      <c r="X100" s="9" t="n"/>
      <c r="Y100" s="217" t="n"/>
      <c r="Z100" s="217" t="n"/>
      <c r="AA100" s="9" t="n"/>
      <c r="AB100" s="219">
        <f>MAX(0,$W100-N($Z100))</f>
        <v/>
      </c>
      <c r="AC100" s="9" t="inlineStr">
        <is>
          <t>2 - Tax-free threshold claimed</t>
        </is>
      </c>
      <c r="AD100" s="219">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8">
        <f>$AB100-$AD100</f>
        <v/>
      </c>
      <c r="AF100" s="219">
        <f>ROUND((N($D100)*(SUM($E100:$H100)+SUM($N100:$R100))+IF(Lookup!$H$10="Yes",N($U100),0))*Lookup!$H$9,2)+N($Y100)</f>
        <v/>
      </c>
    </row>
    <row r="101" ht="18" customHeight="1">
      <c r="A101" s="9" t="n"/>
      <c r="B101" s="9" t="n"/>
      <c r="C101" s="213">
        <f>IF($D101="","",IF($B101="Casual",$D101/(1+Lookup!$H$2),$D101))</f>
        <v/>
      </c>
      <c r="D101" s="214" t="n"/>
      <c r="E101" s="215">
        <f>0-SUM(F101:S101)</f>
        <v/>
      </c>
      <c r="F101" s="215" t="n"/>
      <c r="G101" s="215" t="n"/>
      <c r="H101" s="215" t="n"/>
      <c r="I101" s="215" t="n"/>
      <c r="J101" s="215" t="n"/>
      <c r="K101" s="215" t="n"/>
      <c r="L101" s="215" t="n"/>
      <c r="M101" s="215" t="n"/>
      <c r="N101" s="215" t="n"/>
      <c r="O101" s="215" t="n"/>
      <c r="P101" s="215" t="n"/>
      <c r="Q101" s="215" t="n"/>
      <c r="R101" s="215" t="n"/>
      <c r="S101" s="215" t="n"/>
      <c r="T101" s="216">
        <f>SUM(E101:S101)</f>
        <v/>
      </c>
      <c r="U101" s="217" t="n"/>
      <c r="V101" s="217" t="n"/>
      <c r="W101" s="218">
        <f>ROUND(N($D101)*(SUM($E101:$H101)+SUM($N101:$R101))+IF(AND($B101="Casual",Lookup!$H$8="No"),N($C101),N($D101))*($I101*Lookup!$H$3+$J101*Lookup!$H$4+$K101*Lookup!$H$5+$L101*Lookup!$H$6+$M101*Lookup!$H$7)+N($U101)+N($V101),2)</f>
        <v/>
      </c>
      <c r="X101" s="9" t="n"/>
      <c r="Y101" s="217" t="n"/>
      <c r="Z101" s="217" t="n"/>
      <c r="AA101" s="9" t="n"/>
      <c r="AB101" s="219">
        <f>MAX(0,$W101-N($Z101))</f>
        <v/>
      </c>
      <c r="AC101" s="9" t="inlineStr">
        <is>
          <t>2 - Tax-free threshold claimed</t>
        </is>
      </c>
      <c r="AD101" s="219">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8">
        <f>$AB101-$AD101</f>
        <v/>
      </c>
      <c r="AF101" s="219">
        <f>ROUND((N($D101)*(SUM($E101:$H101)+SUM($N101:$R101))+IF(Lookup!$H$10="Yes",N($U101),0))*Lookup!$H$9,2)+N($Y101)</f>
        <v/>
      </c>
    </row>
    <row r="102" ht="18" customHeight="1">
      <c r="A102" s="9" t="n"/>
      <c r="B102" s="9" t="n"/>
      <c r="C102" s="213">
        <f>IF($D102="","",IF($B102="Casual",$D102/(1+Lookup!$H$2),$D102))</f>
        <v/>
      </c>
      <c r="D102" s="214" t="n"/>
      <c r="E102" s="215">
        <f>0-SUM(F102:S102)</f>
        <v/>
      </c>
      <c r="F102" s="215" t="n"/>
      <c r="G102" s="215" t="n"/>
      <c r="H102" s="215" t="n"/>
      <c r="I102" s="215" t="n"/>
      <c r="J102" s="215" t="n"/>
      <c r="K102" s="215" t="n"/>
      <c r="L102" s="215" t="n"/>
      <c r="M102" s="215" t="n"/>
      <c r="N102" s="215" t="n"/>
      <c r="O102" s="215" t="n"/>
      <c r="P102" s="215" t="n"/>
      <c r="Q102" s="215" t="n"/>
      <c r="R102" s="215" t="n"/>
      <c r="S102" s="215" t="n"/>
      <c r="T102" s="216">
        <f>SUM(E102:S102)</f>
        <v/>
      </c>
      <c r="U102" s="217" t="n"/>
      <c r="V102" s="217" t="n"/>
      <c r="W102" s="218">
        <f>ROUND(N($D102)*(SUM($E102:$H102)+SUM($N102:$R102))+IF(AND($B102="Casual",Lookup!$H$8="No"),N($C102),N($D102))*($I102*Lookup!$H$3+$J102*Lookup!$H$4+$K102*Lookup!$H$5+$L102*Lookup!$H$6+$M102*Lookup!$H$7)+N($U102)+N($V102),2)</f>
        <v/>
      </c>
      <c r="X102" s="9" t="n"/>
      <c r="Y102" s="217" t="n"/>
      <c r="Z102" s="217" t="n"/>
      <c r="AA102" s="9" t="n"/>
      <c r="AB102" s="219">
        <f>MAX(0,$W102-N($Z102))</f>
        <v/>
      </c>
      <c r="AC102" s="9" t="inlineStr">
        <is>
          <t>2 - Tax-free threshold claimed</t>
        </is>
      </c>
      <c r="AD102" s="219">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8">
        <f>$AB102-$AD102</f>
        <v/>
      </c>
      <c r="AF102" s="219">
        <f>ROUND((N($D102)*(SUM($E102:$H102)+SUM($N102:$R102))+IF(Lookup!$H$10="Yes",N($U102),0))*Lookup!$H$9,2)+N($Y102)</f>
        <v/>
      </c>
    </row>
    <row r="103" ht="18" customHeight="1">
      <c r="A103" s="9" t="n"/>
      <c r="B103" s="9" t="n"/>
      <c r="C103" s="213">
        <f>IF($D103="","",IF($B103="Casual",$D103/(1+Lookup!$H$2),$D103))</f>
        <v/>
      </c>
      <c r="D103" s="214" t="n"/>
      <c r="E103" s="215">
        <f>0-SUM(F103:S103)</f>
        <v/>
      </c>
      <c r="F103" s="215" t="n"/>
      <c r="G103" s="215" t="n"/>
      <c r="H103" s="215" t="n"/>
      <c r="I103" s="215" t="n"/>
      <c r="J103" s="215" t="n"/>
      <c r="K103" s="215" t="n"/>
      <c r="L103" s="215" t="n"/>
      <c r="M103" s="215" t="n"/>
      <c r="N103" s="215" t="n"/>
      <c r="O103" s="215" t="n"/>
      <c r="P103" s="215" t="n"/>
      <c r="Q103" s="215" t="n"/>
      <c r="R103" s="215" t="n"/>
      <c r="S103" s="215" t="n"/>
      <c r="T103" s="216">
        <f>SUM(E103:S103)</f>
        <v/>
      </c>
      <c r="U103" s="217" t="n"/>
      <c r="V103" s="217" t="n"/>
      <c r="W103" s="218">
        <f>ROUND(N($D103)*(SUM($E103:$H103)+SUM($N103:$R103))+IF(AND($B103="Casual",Lookup!$H$8="No"),N($C103),N($D103))*($I103*Lookup!$H$3+$J103*Lookup!$H$4+$K103*Lookup!$H$5+$L103*Lookup!$H$6+$M103*Lookup!$H$7)+N($U103)+N($V103),2)</f>
        <v/>
      </c>
      <c r="X103" s="9" t="n"/>
      <c r="Y103" s="217" t="n"/>
      <c r="Z103" s="217" t="n"/>
      <c r="AA103" s="9" t="n"/>
      <c r="AB103" s="219">
        <f>MAX(0,$W103-N($Z103))</f>
        <v/>
      </c>
      <c r="AC103" s="9" t="inlineStr">
        <is>
          <t>2 - Tax-free threshold claimed</t>
        </is>
      </c>
      <c r="AD103" s="219">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8">
        <f>$AB103-$AD103</f>
        <v/>
      </c>
      <c r="AF103" s="219">
        <f>ROUND((N($D103)*(SUM($E103:$H103)+SUM($N103:$R103))+IF(Lookup!$H$10="Yes",N($U103),0))*Lookup!$H$9,2)+N($Y103)</f>
        <v/>
      </c>
    </row>
    <row r="104" ht="18" customHeight="1">
      <c r="A104" s="9" t="n"/>
      <c r="B104" s="9" t="n"/>
      <c r="C104" s="213">
        <f>IF($D104="","",IF($B104="Casual",$D104/(1+Lookup!$H$2),$D104))</f>
        <v/>
      </c>
      <c r="D104" s="214" t="n"/>
      <c r="E104" s="215">
        <f>0-SUM(F104:S104)</f>
        <v/>
      </c>
      <c r="F104" s="215" t="n"/>
      <c r="G104" s="215" t="n"/>
      <c r="H104" s="215" t="n"/>
      <c r="I104" s="215" t="n"/>
      <c r="J104" s="215" t="n"/>
      <c r="K104" s="215" t="n"/>
      <c r="L104" s="215" t="n"/>
      <c r="M104" s="215" t="n"/>
      <c r="N104" s="215" t="n"/>
      <c r="O104" s="215" t="n"/>
      <c r="P104" s="215" t="n"/>
      <c r="Q104" s="215" t="n"/>
      <c r="R104" s="215" t="n"/>
      <c r="S104" s="215" t="n"/>
      <c r="T104" s="216">
        <f>SUM(E104:S104)</f>
        <v/>
      </c>
      <c r="U104" s="217" t="n"/>
      <c r="V104" s="217" t="n"/>
      <c r="W104" s="218">
        <f>ROUND(N($D104)*(SUM($E104:$H104)+SUM($N104:$R104))+IF(AND($B104="Casual",Lookup!$H$8="No"),N($C104),N($D104))*($I104*Lookup!$H$3+$J104*Lookup!$H$4+$K104*Lookup!$H$5+$L104*Lookup!$H$6+$M104*Lookup!$H$7)+N($U104)+N($V104),2)</f>
        <v/>
      </c>
      <c r="X104" s="9" t="n"/>
      <c r="Y104" s="217" t="n"/>
      <c r="Z104" s="217" t="n"/>
      <c r="AA104" s="9" t="n"/>
      <c r="AB104" s="219">
        <f>MAX(0,$W104-N($Z104))</f>
        <v/>
      </c>
      <c r="AC104" s="9" t="inlineStr">
        <is>
          <t>2 - Tax-free threshold claimed</t>
        </is>
      </c>
      <c r="AD104" s="219">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8">
        <f>$AB104-$AD104</f>
        <v/>
      </c>
      <c r="AF104" s="219">
        <f>ROUND((N($D104)*(SUM($E104:$H104)+SUM($N104:$R104))+IF(Lookup!$H$10="Yes",N($U104),0))*Lookup!$H$9,2)+N($Y104)</f>
        <v/>
      </c>
    </row>
    <row r="105" ht="18" customHeight="1">
      <c r="A105" s="9" t="n"/>
      <c r="B105" s="9" t="n"/>
      <c r="C105" s="213">
        <f>IF($D105="","",IF($B105="Casual",$D105/(1+Lookup!$H$2),$D105))</f>
        <v/>
      </c>
      <c r="D105" s="214" t="n"/>
      <c r="E105" s="215">
        <f>0-SUM(F105:S105)</f>
        <v/>
      </c>
      <c r="F105" s="215" t="n"/>
      <c r="G105" s="215" t="n"/>
      <c r="H105" s="215" t="n"/>
      <c r="I105" s="215" t="n"/>
      <c r="J105" s="215" t="n"/>
      <c r="K105" s="215" t="n"/>
      <c r="L105" s="215" t="n"/>
      <c r="M105" s="215" t="n"/>
      <c r="N105" s="215" t="n"/>
      <c r="O105" s="215" t="n"/>
      <c r="P105" s="215" t="n"/>
      <c r="Q105" s="215" t="n"/>
      <c r="R105" s="215" t="n"/>
      <c r="S105" s="215" t="n"/>
      <c r="T105" s="216">
        <f>SUM(E105:S105)</f>
        <v/>
      </c>
      <c r="U105" s="217" t="n"/>
      <c r="V105" s="217" t="n"/>
      <c r="W105" s="218">
        <f>ROUND(N($D105)*(SUM($E105:$H105)+SUM($N105:$R105))+IF(AND($B105="Casual",Lookup!$H$8="No"),N($C105),N($D105))*($I105*Lookup!$H$3+$J105*Lookup!$H$4+$K105*Lookup!$H$5+$L105*Lookup!$H$6+$M105*Lookup!$H$7)+N($U105)+N($V105),2)</f>
        <v/>
      </c>
      <c r="X105" s="9" t="n"/>
      <c r="Y105" s="217" t="n"/>
      <c r="Z105" s="217" t="n"/>
      <c r="AA105" s="9" t="n"/>
      <c r="AB105" s="219">
        <f>MAX(0,$W105-N($Z105))</f>
        <v/>
      </c>
      <c r="AC105" s="9" t="inlineStr">
        <is>
          <t>2 - Tax-free threshold claimed</t>
        </is>
      </c>
      <c r="AD105" s="219">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8">
        <f>$AB105-$AD105</f>
        <v/>
      </c>
      <c r="AF105" s="219">
        <f>ROUND((N($D105)*(SUM($E105:$H105)+SUM($N105:$R105))+IF(Lookup!$H$10="Yes",N($U105),0))*Lookup!$H$9,2)+N($Y105)</f>
        <v/>
      </c>
    </row>
    <row r="106" ht="18" customHeight="1">
      <c r="A106" s="9" t="n"/>
      <c r="B106" s="9" t="n"/>
      <c r="C106" s="213">
        <f>IF($D106="","",IF($B106="Casual",$D106/(1+Lookup!$H$2),$D106))</f>
        <v/>
      </c>
      <c r="D106" s="214" t="n"/>
      <c r="E106" s="215">
        <f>0-SUM(F106:S106)</f>
        <v/>
      </c>
      <c r="F106" s="215" t="n"/>
      <c r="G106" s="215" t="n"/>
      <c r="H106" s="215" t="n"/>
      <c r="I106" s="215" t="n"/>
      <c r="J106" s="215" t="n"/>
      <c r="K106" s="215" t="n"/>
      <c r="L106" s="215" t="n"/>
      <c r="M106" s="215" t="n"/>
      <c r="N106" s="215" t="n"/>
      <c r="O106" s="215" t="n"/>
      <c r="P106" s="215" t="n"/>
      <c r="Q106" s="215" t="n"/>
      <c r="R106" s="215" t="n"/>
      <c r="S106" s="215" t="n"/>
      <c r="T106" s="216">
        <f>SUM(E106:S106)</f>
        <v/>
      </c>
      <c r="U106" s="217" t="n"/>
      <c r="V106" s="217" t="n"/>
      <c r="W106" s="218">
        <f>ROUND(N($D106)*(SUM($E106:$H106)+SUM($N106:$R106))+IF(AND($B106="Casual",Lookup!$H$8="No"),N($C106),N($D106))*($I106*Lookup!$H$3+$J106*Lookup!$H$4+$K106*Lookup!$H$5+$L106*Lookup!$H$6+$M106*Lookup!$H$7)+N($U106)+N($V106),2)</f>
        <v/>
      </c>
      <c r="X106" s="9" t="n"/>
      <c r="Y106" s="217" t="n"/>
      <c r="Z106" s="217" t="n"/>
      <c r="AA106" s="9" t="n"/>
      <c r="AB106" s="219">
        <f>MAX(0,$W106-N($Z106))</f>
        <v/>
      </c>
      <c r="AC106" s="9" t="inlineStr">
        <is>
          <t>2 - Tax-free threshold claimed</t>
        </is>
      </c>
      <c r="AD106" s="219">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8">
        <f>$AB106-$AD106</f>
        <v/>
      </c>
      <c r="AF106" s="219">
        <f>ROUND((N($D106)*(SUM($E106:$H106)+SUM($N106:$R106))+IF(Lookup!$H$10="Yes",N($U106),0))*Lookup!$H$9,2)+N($Y106)</f>
        <v/>
      </c>
    </row>
    <row r="107" ht="18" customHeight="1">
      <c r="A107" s="9" t="n"/>
      <c r="B107" s="9" t="n"/>
      <c r="C107" s="213">
        <f>IF($D107="","",IF($B107="Casual",$D107/(1+Lookup!$H$2),$D107))</f>
        <v/>
      </c>
      <c r="D107" s="214" t="n"/>
      <c r="E107" s="215">
        <f>0-SUM(F107:S107)</f>
        <v/>
      </c>
      <c r="F107" s="215" t="n"/>
      <c r="G107" s="215" t="n"/>
      <c r="H107" s="215" t="n"/>
      <c r="I107" s="215" t="n"/>
      <c r="J107" s="215" t="n"/>
      <c r="K107" s="215" t="n"/>
      <c r="L107" s="215" t="n"/>
      <c r="M107" s="215" t="n"/>
      <c r="N107" s="215" t="n"/>
      <c r="O107" s="215" t="n"/>
      <c r="P107" s="215" t="n"/>
      <c r="Q107" s="215" t="n"/>
      <c r="R107" s="215" t="n"/>
      <c r="S107" s="215" t="n"/>
      <c r="T107" s="216">
        <f>SUM(E107:S107)</f>
        <v/>
      </c>
      <c r="U107" s="217" t="n"/>
      <c r="V107" s="217" t="n"/>
      <c r="W107" s="218">
        <f>ROUND(N($D107)*(SUM($E107:$H107)+SUM($N107:$R107))+IF(AND($B107="Casual",Lookup!$H$8="No"),N($C107),N($D107))*($I107*Lookup!$H$3+$J107*Lookup!$H$4+$K107*Lookup!$H$5+$L107*Lookup!$H$6+$M107*Lookup!$H$7)+N($U107)+N($V107),2)</f>
        <v/>
      </c>
      <c r="X107" s="9" t="n"/>
      <c r="Y107" s="217" t="n"/>
      <c r="Z107" s="217" t="n"/>
      <c r="AA107" s="9" t="n"/>
      <c r="AB107" s="219">
        <f>MAX(0,$W107-N($Z107))</f>
        <v/>
      </c>
      <c r="AC107" s="9" t="inlineStr">
        <is>
          <t>2 - Tax-free threshold claimed</t>
        </is>
      </c>
      <c r="AD107" s="219">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8">
        <f>$AB107-$AD107</f>
        <v/>
      </c>
      <c r="AF107" s="219">
        <f>ROUND((N($D107)*(SUM($E107:$H107)+SUM($N107:$R107))+IF(Lookup!$H$10="Yes",N($U107),0))*Lookup!$H$9,2)+N($Y107)</f>
        <v/>
      </c>
    </row>
    <row r="108" ht="18" customHeight="1">
      <c r="A108" s="9" t="n"/>
      <c r="B108" s="9" t="n"/>
      <c r="C108" s="213">
        <f>IF($D108="","",IF($B108="Casual",$D108/(1+Lookup!$H$2),$D108))</f>
        <v/>
      </c>
      <c r="D108" s="214" t="n"/>
      <c r="E108" s="215">
        <f>0-SUM(F108:S108)</f>
        <v/>
      </c>
      <c r="F108" s="215" t="n"/>
      <c r="G108" s="215" t="n"/>
      <c r="H108" s="215" t="n"/>
      <c r="I108" s="215" t="n"/>
      <c r="J108" s="215" t="n"/>
      <c r="K108" s="215" t="n"/>
      <c r="L108" s="215" t="n"/>
      <c r="M108" s="215" t="n"/>
      <c r="N108" s="215" t="n"/>
      <c r="O108" s="215" t="n"/>
      <c r="P108" s="215" t="n"/>
      <c r="Q108" s="215" t="n"/>
      <c r="R108" s="215" t="n"/>
      <c r="S108" s="215" t="n"/>
      <c r="T108" s="216">
        <f>SUM(E108:S108)</f>
        <v/>
      </c>
      <c r="U108" s="217" t="n"/>
      <c r="V108" s="217" t="n"/>
      <c r="W108" s="218">
        <f>ROUND(N($D108)*(SUM($E108:$H108)+SUM($N108:$R108))+IF(AND($B108="Casual",Lookup!$H$8="No"),N($C108),N($D108))*($I108*Lookup!$H$3+$J108*Lookup!$H$4+$K108*Lookup!$H$5+$L108*Lookup!$H$6+$M108*Lookup!$H$7)+N($U108)+N($V108),2)</f>
        <v/>
      </c>
      <c r="X108" s="9" t="n"/>
      <c r="Y108" s="217" t="n"/>
      <c r="Z108" s="217" t="n"/>
      <c r="AA108" s="9" t="n"/>
      <c r="AB108" s="219">
        <f>MAX(0,$W108-N($Z108))</f>
        <v/>
      </c>
      <c r="AC108" s="9" t="inlineStr">
        <is>
          <t>2 - Tax-free threshold claimed</t>
        </is>
      </c>
      <c r="AD108" s="219">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8">
        <f>$AB108-$AD108</f>
        <v/>
      </c>
      <c r="AF108" s="219">
        <f>ROUND((N($D108)*(SUM($E108:$H108)+SUM($N108:$R108))+IF(Lookup!$H$10="Yes",N($U108),0))*Lookup!$H$9,2)+N($Y108)</f>
        <v/>
      </c>
    </row>
    <row r="109" ht="18" customHeight="1">
      <c r="A109" s="9" t="n"/>
      <c r="B109" s="9" t="n"/>
      <c r="C109" s="213">
        <f>IF($D109="","",IF($B109="Casual",$D109/(1+Lookup!$H$2),$D109))</f>
        <v/>
      </c>
      <c r="D109" s="214" t="n"/>
      <c r="E109" s="215">
        <f>0-SUM(F109:S109)</f>
        <v/>
      </c>
      <c r="F109" s="215" t="n"/>
      <c r="G109" s="215" t="n"/>
      <c r="H109" s="215" t="n"/>
      <c r="I109" s="215" t="n"/>
      <c r="J109" s="215" t="n"/>
      <c r="K109" s="215" t="n"/>
      <c r="L109" s="215" t="n"/>
      <c r="M109" s="215" t="n"/>
      <c r="N109" s="215" t="n"/>
      <c r="O109" s="215" t="n"/>
      <c r="P109" s="215" t="n"/>
      <c r="Q109" s="215" t="n"/>
      <c r="R109" s="215" t="n"/>
      <c r="S109" s="215" t="n"/>
      <c r="T109" s="216">
        <f>SUM(E109:S109)</f>
        <v/>
      </c>
      <c r="U109" s="217" t="n"/>
      <c r="V109" s="217" t="n"/>
      <c r="W109" s="218">
        <f>ROUND(N($D109)*(SUM($E109:$H109)+SUM($N109:$R109))+IF(AND($B109="Casual",Lookup!$H$8="No"),N($C109),N($D109))*($I109*Lookup!$H$3+$J109*Lookup!$H$4+$K109*Lookup!$H$5+$L109*Lookup!$H$6+$M109*Lookup!$H$7)+N($U109)+N($V109),2)</f>
        <v/>
      </c>
      <c r="X109" s="9" t="n"/>
      <c r="Y109" s="217" t="n"/>
      <c r="Z109" s="217" t="n"/>
      <c r="AA109" s="9" t="n"/>
      <c r="AB109" s="219">
        <f>MAX(0,$W109-N($Z109))</f>
        <v/>
      </c>
      <c r="AC109" s="9" t="inlineStr">
        <is>
          <t>2 - Tax-free threshold claimed</t>
        </is>
      </c>
      <c r="AD109" s="219">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8">
        <f>$AB109-$AD109</f>
        <v/>
      </c>
      <c r="AF109" s="219">
        <f>ROUND((N($D109)*(SUM($E109:$H109)+SUM($N109:$R109))+IF(Lookup!$H$10="Yes",N($U109),0))*Lookup!$H$9,2)+N($Y109)</f>
        <v/>
      </c>
    </row>
    <row r="110" ht="18" customHeight="1">
      <c r="A110" s="9" t="n"/>
      <c r="B110" s="9" t="n"/>
      <c r="C110" s="213">
        <f>IF($D110="","",IF($B110="Casual",$D110/(1+Lookup!$H$2),$D110))</f>
        <v/>
      </c>
      <c r="D110" s="214" t="n"/>
      <c r="E110" s="215">
        <f>0-SUM(F110:S110)</f>
        <v/>
      </c>
      <c r="F110" s="215" t="n"/>
      <c r="G110" s="215" t="n"/>
      <c r="H110" s="215" t="n"/>
      <c r="I110" s="215" t="n"/>
      <c r="J110" s="215" t="n"/>
      <c r="K110" s="215" t="n"/>
      <c r="L110" s="215" t="n"/>
      <c r="M110" s="215" t="n"/>
      <c r="N110" s="215" t="n"/>
      <c r="O110" s="215" t="n"/>
      <c r="P110" s="215" t="n"/>
      <c r="Q110" s="215" t="n"/>
      <c r="R110" s="215" t="n"/>
      <c r="S110" s="215" t="n"/>
      <c r="T110" s="216">
        <f>SUM(E110:S110)</f>
        <v/>
      </c>
      <c r="U110" s="217" t="n"/>
      <c r="V110" s="217" t="n"/>
      <c r="W110" s="218">
        <f>ROUND(N($D110)*(SUM($E110:$H110)+SUM($N110:$R110))+IF(AND($B110="Casual",Lookup!$H$8="No"),N($C110),N($D110))*($I110*Lookup!$H$3+$J110*Lookup!$H$4+$K110*Lookup!$H$5+$L110*Lookup!$H$6+$M110*Lookup!$H$7)+N($U110)+N($V110),2)</f>
        <v/>
      </c>
      <c r="X110" s="9" t="n"/>
      <c r="Y110" s="217" t="n"/>
      <c r="Z110" s="217" t="n"/>
      <c r="AA110" s="9" t="n"/>
      <c r="AB110" s="219">
        <f>MAX(0,$W110-N($Z110))</f>
        <v/>
      </c>
      <c r="AC110" s="9" t="inlineStr">
        <is>
          <t>2 - Tax-free threshold claimed</t>
        </is>
      </c>
      <c r="AD110" s="219">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8">
        <f>$AB110-$AD110</f>
        <v/>
      </c>
      <c r="AF110" s="219">
        <f>ROUND((N($D110)*(SUM($E110:$H110)+SUM($N110:$R110))+IF(Lookup!$H$10="Yes",N($U110),0))*Lookup!$H$9,2)+N($Y110)</f>
        <v/>
      </c>
    </row>
    <row r="111" ht="18" customHeight="1">
      <c r="A111" s="9" t="n"/>
      <c r="B111" s="9" t="n"/>
      <c r="C111" s="213">
        <f>IF($D111="","",IF($B111="Casual",$D111/(1+Lookup!$H$2),$D111))</f>
        <v/>
      </c>
      <c r="D111" s="214" t="n"/>
      <c r="E111" s="215">
        <f>0-SUM(F111:S111)</f>
        <v/>
      </c>
      <c r="F111" s="215" t="n"/>
      <c r="G111" s="215" t="n"/>
      <c r="H111" s="215" t="n"/>
      <c r="I111" s="215" t="n"/>
      <c r="J111" s="215" t="n"/>
      <c r="K111" s="215" t="n"/>
      <c r="L111" s="215" t="n"/>
      <c r="M111" s="215" t="n"/>
      <c r="N111" s="215" t="n"/>
      <c r="O111" s="215" t="n"/>
      <c r="P111" s="215" t="n"/>
      <c r="Q111" s="215" t="n"/>
      <c r="R111" s="215" t="n"/>
      <c r="S111" s="215" t="n"/>
      <c r="T111" s="216">
        <f>SUM(E111:S111)</f>
        <v/>
      </c>
      <c r="U111" s="217" t="n"/>
      <c r="V111" s="217" t="n"/>
      <c r="W111" s="218">
        <f>ROUND(N($D111)*(SUM($E111:$H111)+SUM($N111:$R111))+IF(AND($B111="Casual",Lookup!$H$8="No"),N($C111),N($D111))*($I111*Lookup!$H$3+$J111*Lookup!$H$4+$K111*Lookup!$H$5+$L111*Lookup!$H$6+$M111*Lookup!$H$7)+N($U111)+N($V111),2)</f>
        <v/>
      </c>
      <c r="X111" s="9" t="n"/>
      <c r="Y111" s="217" t="n"/>
      <c r="Z111" s="217" t="n"/>
      <c r="AA111" s="9" t="n"/>
      <c r="AB111" s="219">
        <f>MAX(0,$W111-N($Z111))</f>
        <v/>
      </c>
      <c r="AC111" s="9" t="inlineStr">
        <is>
          <t>2 - Tax-free threshold claimed</t>
        </is>
      </c>
      <c r="AD111" s="219">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8">
        <f>$AB111-$AD111</f>
        <v/>
      </c>
      <c r="AF111" s="219">
        <f>ROUND((N($D111)*(SUM($E111:$H111)+SUM($N111:$R111))+IF(Lookup!$H$10="Yes",N($U111),0))*Lookup!$H$9,2)+N($Y111)</f>
        <v/>
      </c>
    </row>
    <row r="112" ht="18" customHeight="1">
      <c r="A112" s="9" t="n"/>
      <c r="B112" s="9" t="n"/>
      <c r="C112" s="213">
        <f>IF($D112="","",IF($B112="Casual",$D112/(1+Lookup!$H$2),$D112))</f>
        <v/>
      </c>
      <c r="D112" s="214" t="n"/>
      <c r="E112" s="215">
        <f>0-SUM(F112:S112)</f>
        <v/>
      </c>
      <c r="F112" s="215" t="n"/>
      <c r="G112" s="215" t="n"/>
      <c r="H112" s="215" t="n"/>
      <c r="I112" s="215" t="n"/>
      <c r="J112" s="215" t="n"/>
      <c r="K112" s="215" t="n"/>
      <c r="L112" s="215" t="n"/>
      <c r="M112" s="215" t="n"/>
      <c r="N112" s="215" t="n"/>
      <c r="O112" s="215" t="n"/>
      <c r="P112" s="215" t="n"/>
      <c r="Q112" s="215" t="n"/>
      <c r="R112" s="215" t="n"/>
      <c r="S112" s="215" t="n"/>
      <c r="T112" s="216">
        <f>SUM(E112:S112)</f>
        <v/>
      </c>
      <c r="U112" s="217" t="n"/>
      <c r="V112" s="217" t="n"/>
      <c r="W112" s="218">
        <f>ROUND(N($D112)*(SUM($E112:$H112)+SUM($N112:$R112))+IF(AND($B112="Casual",Lookup!$H$8="No"),N($C112),N($D112))*($I112*Lookup!$H$3+$J112*Lookup!$H$4+$K112*Lookup!$H$5+$L112*Lookup!$H$6+$M112*Lookup!$H$7)+N($U112)+N($V112),2)</f>
        <v/>
      </c>
      <c r="X112" s="9" t="n"/>
      <c r="Y112" s="217" t="n"/>
      <c r="Z112" s="217" t="n"/>
      <c r="AA112" s="9" t="n"/>
      <c r="AB112" s="219">
        <f>MAX(0,$W112-N($Z112))</f>
        <v/>
      </c>
      <c r="AC112" s="9" t="inlineStr">
        <is>
          <t>2 - Tax-free threshold claimed</t>
        </is>
      </c>
      <c r="AD112" s="219">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8">
        <f>$AB112-$AD112</f>
        <v/>
      </c>
      <c r="AF112" s="219">
        <f>ROUND((N($D112)*(SUM($E112:$H112)+SUM($N112:$R112))+IF(Lookup!$H$10="Yes",N($U112),0))*Lookup!$H$9,2)+N($Y112)</f>
        <v/>
      </c>
    </row>
    <row r="113" ht="18" customHeight="1">
      <c r="A113" s="9" t="n"/>
      <c r="B113" s="9" t="n"/>
      <c r="C113" s="213">
        <f>IF($D113="","",IF($B113="Casual",$D113/(1+Lookup!$H$2),$D113))</f>
        <v/>
      </c>
      <c r="D113" s="214" t="n"/>
      <c r="E113" s="215">
        <f>0-SUM(F113:S113)</f>
        <v/>
      </c>
      <c r="F113" s="215" t="n"/>
      <c r="G113" s="215" t="n"/>
      <c r="H113" s="215" t="n"/>
      <c r="I113" s="215" t="n"/>
      <c r="J113" s="215" t="n"/>
      <c r="K113" s="215" t="n"/>
      <c r="L113" s="215" t="n"/>
      <c r="M113" s="215" t="n"/>
      <c r="N113" s="215" t="n"/>
      <c r="O113" s="215" t="n"/>
      <c r="P113" s="215" t="n"/>
      <c r="Q113" s="215" t="n"/>
      <c r="R113" s="215" t="n"/>
      <c r="S113" s="215" t="n"/>
      <c r="T113" s="216">
        <f>SUM(E113:S113)</f>
        <v/>
      </c>
      <c r="U113" s="217" t="n"/>
      <c r="V113" s="217" t="n"/>
      <c r="W113" s="218">
        <f>ROUND(N($D113)*(SUM($E113:$H113)+SUM($N113:$R113))+IF(AND($B113="Casual",Lookup!$H$8="No"),N($C113),N($D113))*($I113*Lookup!$H$3+$J113*Lookup!$H$4+$K113*Lookup!$H$5+$L113*Lookup!$H$6+$M113*Lookup!$H$7)+N($U113)+N($V113),2)</f>
        <v/>
      </c>
      <c r="X113" s="9" t="n"/>
      <c r="Y113" s="217" t="n"/>
      <c r="Z113" s="217" t="n"/>
      <c r="AA113" s="9" t="n"/>
      <c r="AB113" s="219">
        <f>MAX(0,$W113-N($Z113))</f>
        <v/>
      </c>
      <c r="AC113" s="9" t="inlineStr">
        <is>
          <t>2 - Tax-free threshold claimed</t>
        </is>
      </c>
      <c r="AD113" s="219">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8">
        <f>$AB113-$AD113</f>
        <v/>
      </c>
      <c r="AF113" s="219">
        <f>ROUND((N($D113)*(SUM($E113:$H113)+SUM($N113:$R113))+IF(Lookup!$H$10="Yes",N($U113),0))*Lookup!$H$9,2)+N($Y113)</f>
        <v/>
      </c>
    </row>
    <row r="114" ht="18" customHeight="1">
      <c r="A114" s="9" t="n"/>
      <c r="B114" s="9" t="n"/>
      <c r="C114" s="213">
        <f>IF($D114="","",IF($B114="Casual",$D114/(1+Lookup!$H$2),$D114))</f>
        <v/>
      </c>
      <c r="D114" s="214" t="n"/>
      <c r="E114" s="215">
        <f>0-SUM(F114:S114)</f>
        <v/>
      </c>
      <c r="F114" s="215" t="n"/>
      <c r="G114" s="215" t="n"/>
      <c r="H114" s="215" t="n"/>
      <c r="I114" s="215" t="n"/>
      <c r="J114" s="215" t="n"/>
      <c r="K114" s="215" t="n"/>
      <c r="L114" s="215" t="n"/>
      <c r="M114" s="215" t="n"/>
      <c r="N114" s="215" t="n"/>
      <c r="O114" s="215" t="n"/>
      <c r="P114" s="215" t="n"/>
      <c r="Q114" s="215" t="n"/>
      <c r="R114" s="215" t="n"/>
      <c r="S114" s="215" t="n"/>
      <c r="T114" s="216">
        <f>SUM(E114:S114)</f>
        <v/>
      </c>
      <c r="U114" s="217" t="n"/>
      <c r="V114" s="217" t="n"/>
      <c r="W114" s="218">
        <f>ROUND(N($D114)*(SUM($E114:$H114)+SUM($N114:$R114))+IF(AND($B114="Casual",Lookup!$H$8="No"),N($C114),N($D114))*($I114*Lookup!$H$3+$J114*Lookup!$H$4+$K114*Lookup!$H$5+$L114*Lookup!$H$6+$M114*Lookup!$H$7)+N($U114)+N($V114),2)</f>
        <v/>
      </c>
      <c r="X114" s="9" t="n"/>
      <c r="Y114" s="217" t="n"/>
      <c r="Z114" s="217" t="n"/>
      <c r="AA114" s="9" t="n"/>
      <c r="AB114" s="219">
        <f>MAX(0,$W114-N($Z114))</f>
        <v/>
      </c>
      <c r="AC114" s="9" t="inlineStr">
        <is>
          <t>2 - Tax-free threshold claimed</t>
        </is>
      </c>
      <c r="AD114" s="219">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8">
        <f>$AB114-$AD114</f>
        <v/>
      </c>
      <c r="AF114" s="219">
        <f>ROUND((N($D114)*(SUM($E114:$H114)+SUM($N114:$R114))+IF(Lookup!$H$10="Yes",N($U114),0))*Lookup!$H$9,2)+N($Y114)</f>
        <v/>
      </c>
    </row>
    <row r="115" ht="18" customHeight="1">
      <c r="A115" s="9" t="n"/>
      <c r="B115" s="9" t="n"/>
      <c r="C115" s="213">
        <f>IF($D115="","",IF($B115="Casual",$D115/(1+Lookup!$H$2),$D115))</f>
        <v/>
      </c>
      <c r="D115" s="214" t="n"/>
      <c r="E115" s="215">
        <f>0-SUM(F115:S115)</f>
        <v/>
      </c>
      <c r="F115" s="215" t="n"/>
      <c r="G115" s="215" t="n"/>
      <c r="H115" s="215" t="n"/>
      <c r="I115" s="215" t="n"/>
      <c r="J115" s="215" t="n"/>
      <c r="K115" s="215" t="n"/>
      <c r="L115" s="215" t="n"/>
      <c r="M115" s="215" t="n"/>
      <c r="N115" s="215" t="n"/>
      <c r="O115" s="215" t="n"/>
      <c r="P115" s="215" t="n"/>
      <c r="Q115" s="215" t="n"/>
      <c r="R115" s="215" t="n"/>
      <c r="S115" s="215" t="n"/>
      <c r="T115" s="216">
        <f>SUM(E115:S115)</f>
        <v/>
      </c>
      <c r="U115" s="217" t="n"/>
      <c r="V115" s="217" t="n"/>
      <c r="W115" s="218">
        <f>ROUND(N($D115)*(SUM($E115:$H115)+SUM($N115:$R115))+IF(AND($B115="Casual",Lookup!$H$8="No"),N($C115),N($D115))*($I115*Lookup!$H$3+$J115*Lookup!$H$4+$K115*Lookup!$H$5+$L115*Lookup!$H$6+$M115*Lookup!$H$7)+N($U115)+N($V115),2)</f>
        <v/>
      </c>
      <c r="X115" s="9" t="n"/>
      <c r="Y115" s="217" t="n"/>
      <c r="Z115" s="217" t="n"/>
      <c r="AA115" s="9" t="n"/>
      <c r="AB115" s="219">
        <f>MAX(0,$W115-N($Z115))</f>
        <v/>
      </c>
      <c r="AC115" s="9" t="inlineStr">
        <is>
          <t>2 - Tax-free threshold claimed</t>
        </is>
      </c>
      <c r="AD115" s="219">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8">
        <f>$AB115-$AD115</f>
        <v/>
      </c>
      <c r="AF115" s="219">
        <f>ROUND((N($D115)*(SUM($E115:$H115)+SUM($N115:$R115))+IF(Lookup!$H$10="Yes",N($U115),0))*Lookup!$H$9,2)+N($Y115)</f>
        <v/>
      </c>
    </row>
    <row r="116" ht="18" customHeight="1">
      <c r="A116" s="9" t="n"/>
      <c r="B116" s="9" t="n"/>
      <c r="C116" s="213">
        <f>IF($D116="","",IF($B116="Casual",$D116/(1+Lookup!$H$2),$D116))</f>
        <v/>
      </c>
      <c r="D116" s="214" t="n"/>
      <c r="E116" s="215">
        <f>0-SUM(F116:S116)</f>
        <v/>
      </c>
      <c r="F116" s="215" t="n"/>
      <c r="G116" s="215" t="n"/>
      <c r="H116" s="215" t="n"/>
      <c r="I116" s="215" t="n"/>
      <c r="J116" s="215" t="n"/>
      <c r="K116" s="215" t="n"/>
      <c r="L116" s="215" t="n"/>
      <c r="M116" s="215" t="n"/>
      <c r="N116" s="215" t="n"/>
      <c r="O116" s="215" t="n"/>
      <c r="P116" s="215" t="n"/>
      <c r="Q116" s="215" t="n"/>
      <c r="R116" s="215" t="n"/>
      <c r="S116" s="215" t="n"/>
      <c r="T116" s="216">
        <f>SUM(E116:S116)</f>
        <v/>
      </c>
      <c r="U116" s="217" t="n"/>
      <c r="V116" s="217" t="n"/>
      <c r="W116" s="218">
        <f>ROUND(N($D116)*(SUM($E116:$H116)+SUM($N116:$R116))+IF(AND($B116="Casual",Lookup!$H$8="No"),N($C116),N($D116))*($I116*Lookup!$H$3+$J116*Lookup!$H$4+$K116*Lookup!$H$5+$L116*Lookup!$H$6+$M116*Lookup!$H$7)+N($U116)+N($V116),2)</f>
        <v/>
      </c>
      <c r="X116" s="9" t="n"/>
      <c r="Y116" s="217" t="n"/>
      <c r="Z116" s="217" t="n"/>
      <c r="AA116" s="9" t="n"/>
      <c r="AB116" s="219">
        <f>MAX(0,$W116-N($Z116))</f>
        <v/>
      </c>
      <c r="AC116" s="9" t="inlineStr">
        <is>
          <t>2 - Tax-free threshold claimed</t>
        </is>
      </c>
      <c r="AD116" s="219">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8">
        <f>$AB116-$AD116</f>
        <v/>
      </c>
      <c r="AF116" s="219">
        <f>ROUND((N($D116)*(SUM($E116:$H116)+SUM($N116:$R116))+IF(Lookup!$H$10="Yes",N($U116),0))*Lookup!$H$9,2)+N($Y116)</f>
        <v/>
      </c>
    </row>
    <row r="117" ht="18" customHeight="1">
      <c r="A117" s="9" t="n"/>
      <c r="B117" s="9" t="n"/>
      <c r="C117" s="213">
        <f>IF($D117="","",IF($B117="Casual",$D117/(1+Lookup!$H$2),$D117))</f>
        <v/>
      </c>
      <c r="D117" s="214" t="n"/>
      <c r="E117" s="215">
        <f>0-SUM(F117:S117)</f>
        <v/>
      </c>
      <c r="F117" s="215" t="n"/>
      <c r="G117" s="215" t="n"/>
      <c r="H117" s="215" t="n"/>
      <c r="I117" s="215" t="n"/>
      <c r="J117" s="215" t="n"/>
      <c r="K117" s="215" t="n"/>
      <c r="L117" s="215" t="n"/>
      <c r="M117" s="215" t="n"/>
      <c r="N117" s="215" t="n"/>
      <c r="O117" s="215" t="n"/>
      <c r="P117" s="215" t="n"/>
      <c r="Q117" s="215" t="n"/>
      <c r="R117" s="215" t="n"/>
      <c r="S117" s="215" t="n"/>
      <c r="T117" s="216">
        <f>SUM(E117:S117)</f>
        <v/>
      </c>
      <c r="U117" s="217" t="n"/>
      <c r="V117" s="217" t="n"/>
      <c r="W117" s="218">
        <f>ROUND(N($D117)*(SUM($E117:$H117)+SUM($N117:$R117))+IF(AND($B117="Casual",Lookup!$H$8="No"),N($C117),N($D117))*($I117*Lookup!$H$3+$J117*Lookup!$H$4+$K117*Lookup!$H$5+$L117*Lookup!$H$6+$M117*Lookup!$H$7)+N($U117)+N($V117),2)</f>
        <v/>
      </c>
      <c r="X117" s="9" t="n"/>
      <c r="Y117" s="217" t="n"/>
      <c r="Z117" s="217" t="n"/>
      <c r="AA117" s="9" t="n"/>
      <c r="AB117" s="219">
        <f>MAX(0,$W117-N($Z117))</f>
        <v/>
      </c>
      <c r="AC117" s="9" t="inlineStr">
        <is>
          <t>2 - Tax-free threshold claimed</t>
        </is>
      </c>
      <c r="AD117" s="219">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8">
        <f>$AB117-$AD117</f>
        <v/>
      </c>
      <c r="AF117" s="219">
        <f>ROUND((N($D117)*(SUM($E117:$H117)+SUM($N117:$R117))+IF(Lookup!$H$10="Yes",N($U117),0))*Lookup!$H$9,2)+N($Y117)</f>
        <v/>
      </c>
    </row>
    <row r="118" ht="18" customHeight="1">
      <c r="A118" s="9" t="n"/>
      <c r="B118" s="9" t="n"/>
      <c r="C118" s="213">
        <f>IF($D118="","",IF($B118="Casual",$D118/(1+Lookup!$H$2),$D118))</f>
        <v/>
      </c>
      <c r="D118" s="214" t="n"/>
      <c r="E118" s="215">
        <f>0-SUM(F118:S118)</f>
        <v/>
      </c>
      <c r="F118" s="215" t="n"/>
      <c r="G118" s="215" t="n"/>
      <c r="H118" s="215" t="n"/>
      <c r="I118" s="215" t="n"/>
      <c r="J118" s="215" t="n"/>
      <c r="K118" s="215" t="n"/>
      <c r="L118" s="215" t="n"/>
      <c r="M118" s="215" t="n"/>
      <c r="N118" s="215" t="n"/>
      <c r="O118" s="215" t="n"/>
      <c r="P118" s="215" t="n"/>
      <c r="Q118" s="215" t="n"/>
      <c r="R118" s="215" t="n"/>
      <c r="S118" s="215" t="n"/>
      <c r="T118" s="216">
        <f>SUM(E118:S118)</f>
        <v/>
      </c>
      <c r="U118" s="217" t="n"/>
      <c r="V118" s="217" t="n"/>
      <c r="W118" s="218">
        <f>ROUND(N($D118)*(SUM($E118:$H118)+SUM($N118:$R118))+IF(AND($B118="Casual",Lookup!$H$8="No"),N($C118),N($D118))*($I118*Lookup!$H$3+$J118*Lookup!$H$4+$K118*Lookup!$H$5+$L118*Lookup!$H$6+$M118*Lookup!$H$7)+N($U118)+N($V118),2)</f>
        <v/>
      </c>
      <c r="X118" s="9" t="n"/>
      <c r="Y118" s="217" t="n"/>
      <c r="Z118" s="217" t="n"/>
      <c r="AA118" s="9" t="n"/>
      <c r="AB118" s="219">
        <f>MAX(0,$W118-N($Z118))</f>
        <v/>
      </c>
      <c r="AC118" s="9" t="inlineStr">
        <is>
          <t>2 - Tax-free threshold claimed</t>
        </is>
      </c>
      <c r="AD118" s="219">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8">
        <f>$AB118-$AD118</f>
        <v/>
      </c>
      <c r="AF118" s="219">
        <f>ROUND((N($D118)*(SUM($E118:$H118)+SUM($N118:$R118))+IF(Lookup!$H$10="Yes",N($U118),0))*Lookup!$H$9,2)+N($Y118)</f>
        <v/>
      </c>
    </row>
    <row r="119" ht="18" customHeight="1">
      <c r="A119" s="9" t="n"/>
      <c r="B119" s="9" t="n"/>
      <c r="C119" s="213">
        <f>IF($D119="","",IF($B119="Casual",$D119/(1+Lookup!$H$2),$D119))</f>
        <v/>
      </c>
      <c r="D119" s="214" t="n"/>
      <c r="E119" s="215">
        <f>0-SUM(F119:S119)</f>
        <v/>
      </c>
      <c r="F119" s="215" t="n"/>
      <c r="G119" s="215" t="n"/>
      <c r="H119" s="215" t="n"/>
      <c r="I119" s="215" t="n"/>
      <c r="J119" s="215" t="n"/>
      <c r="K119" s="215" t="n"/>
      <c r="L119" s="215" t="n"/>
      <c r="M119" s="215" t="n"/>
      <c r="N119" s="215" t="n"/>
      <c r="O119" s="215" t="n"/>
      <c r="P119" s="215" t="n"/>
      <c r="Q119" s="215" t="n"/>
      <c r="R119" s="215" t="n"/>
      <c r="S119" s="215" t="n"/>
      <c r="T119" s="216">
        <f>SUM(E119:S119)</f>
        <v/>
      </c>
      <c r="U119" s="217" t="n"/>
      <c r="V119" s="217" t="n"/>
      <c r="W119" s="218">
        <f>ROUND(N($D119)*(SUM($E119:$H119)+SUM($N119:$R119))+IF(AND($B119="Casual",Lookup!$H$8="No"),N($C119),N($D119))*($I119*Lookup!$H$3+$J119*Lookup!$H$4+$K119*Lookup!$H$5+$L119*Lookup!$H$6+$M119*Lookup!$H$7)+N($U119)+N($V119),2)</f>
        <v/>
      </c>
      <c r="X119" s="9" t="n"/>
      <c r="Y119" s="217" t="n"/>
      <c r="Z119" s="217" t="n"/>
      <c r="AA119" s="9" t="n"/>
      <c r="AB119" s="219">
        <f>MAX(0,$W119-N($Z119))</f>
        <v/>
      </c>
      <c r="AC119" s="9" t="inlineStr">
        <is>
          <t>2 - Tax-free threshold claimed</t>
        </is>
      </c>
      <c r="AD119" s="219">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8">
        <f>$AB119-$AD119</f>
        <v/>
      </c>
      <c r="AF119" s="219">
        <f>ROUND((N($D119)*(SUM($E119:$H119)+SUM($N119:$R119))+IF(Lookup!$H$10="Yes",N($U119),0))*Lookup!$H$9,2)+N($Y119)</f>
        <v/>
      </c>
    </row>
    <row r="120" ht="18" customHeight="1">
      <c r="A120" s="9" t="n"/>
      <c r="B120" s="9" t="n"/>
      <c r="C120" s="213">
        <f>IF($D120="","",IF($B120="Casual",$D120/(1+Lookup!$H$2),$D120))</f>
        <v/>
      </c>
      <c r="D120" s="214" t="n"/>
      <c r="E120" s="215">
        <f>0-SUM(F120:S120)</f>
        <v/>
      </c>
      <c r="F120" s="215" t="n"/>
      <c r="G120" s="215" t="n"/>
      <c r="H120" s="215" t="n"/>
      <c r="I120" s="215" t="n"/>
      <c r="J120" s="215" t="n"/>
      <c r="K120" s="215" t="n"/>
      <c r="L120" s="215" t="n"/>
      <c r="M120" s="215" t="n"/>
      <c r="N120" s="215" t="n"/>
      <c r="O120" s="215" t="n"/>
      <c r="P120" s="215" t="n"/>
      <c r="Q120" s="215" t="n"/>
      <c r="R120" s="215" t="n"/>
      <c r="S120" s="215" t="n"/>
      <c r="T120" s="216">
        <f>SUM(E120:S120)</f>
        <v/>
      </c>
      <c r="U120" s="217" t="n"/>
      <c r="V120" s="217" t="n"/>
      <c r="W120" s="218">
        <f>ROUND(N($D120)*(SUM($E120:$H120)+SUM($N120:$R120))+IF(AND($B120="Casual",Lookup!$H$8="No"),N($C120),N($D120))*($I120*Lookup!$H$3+$J120*Lookup!$H$4+$K120*Lookup!$H$5+$L120*Lookup!$H$6+$M120*Lookup!$H$7)+N($U120)+N($V120),2)</f>
        <v/>
      </c>
      <c r="X120" s="9" t="n"/>
      <c r="Y120" s="217" t="n"/>
      <c r="Z120" s="217" t="n"/>
      <c r="AA120" s="9" t="n"/>
      <c r="AB120" s="219">
        <f>MAX(0,$W120-N($Z120))</f>
        <v/>
      </c>
      <c r="AC120" s="9" t="inlineStr">
        <is>
          <t>2 - Tax-free threshold claimed</t>
        </is>
      </c>
      <c r="AD120" s="219">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8">
        <f>$AB120-$AD120</f>
        <v/>
      </c>
      <c r="AF120" s="219">
        <f>ROUND((N($D120)*(SUM($E120:$H120)+SUM($N120:$R120))+IF(Lookup!$H$10="Yes",N($U120),0))*Lookup!$H$9,2)+N($Y120)</f>
        <v/>
      </c>
    </row>
    <row r="121" ht="18" customHeight="1">
      <c r="A121" s="9" t="n"/>
      <c r="B121" s="9" t="n"/>
      <c r="C121" s="213">
        <f>IF($D121="","",IF($B121="Casual",$D121/(1+Lookup!$H$2),$D121))</f>
        <v/>
      </c>
      <c r="D121" s="214" t="n"/>
      <c r="E121" s="215">
        <f>0-SUM(F121:S121)</f>
        <v/>
      </c>
      <c r="F121" s="215" t="n"/>
      <c r="G121" s="215" t="n"/>
      <c r="H121" s="215" t="n"/>
      <c r="I121" s="215" t="n"/>
      <c r="J121" s="215" t="n"/>
      <c r="K121" s="215" t="n"/>
      <c r="L121" s="215" t="n"/>
      <c r="M121" s="215" t="n"/>
      <c r="N121" s="215" t="n"/>
      <c r="O121" s="215" t="n"/>
      <c r="P121" s="215" t="n"/>
      <c r="Q121" s="215" t="n"/>
      <c r="R121" s="215" t="n"/>
      <c r="S121" s="215" t="n"/>
      <c r="T121" s="216">
        <f>SUM(E121:S121)</f>
        <v/>
      </c>
      <c r="U121" s="217" t="n"/>
      <c r="V121" s="217" t="n"/>
      <c r="W121" s="218">
        <f>ROUND(N($D121)*(SUM($E121:$H121)+SUM($N121:$R121))+IF(AND($B121="Casual",Lookup!$H$8="No"),N($C121),N($D121))*($I121*Lookup!$H$3+$J121*Lookup!$H$4+$K121*Lookup!$H$5+$L121*Lookup!$H$6+$M121*Lookup!$H$7)+N($U121)+N($V121),2)</f>
        <v/>
      </c>
      <c r="X121" s="9" t="n"/>
      <c r="Y121" s="217" t="n"/>
      <c r="Z121" s="217" t="n"/>
      <c r="AA121" s="9" t="n"/>
      <c r="AB121" s="219">
        <f>MAX(0,$W121-N($Z121))</f>
        <v/>
      </c>
      <c r="AC121" s="9" t="inlineStr">
        <is>
          <t>2 - Tax-free threshold claimed</t>
        </is>
      </c>
      <c r="AD121" s="219">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8">
        <f>$AB121-$AD121</f>
        <v/>
      </c>
      <c r="AF121" s="219">
        <f>ROUND((N($D121)*(SUM($E121:$H121)+SUM($N121:$R121))+IF(Lookup!$H$10="Yes",N($U121),0))*Lookup!$H$9,2)+N($Y121)</f>
        <v/>
      </c>
    </row>
    <row r="122" ht="18" customHeight="1">
      <c r="A122" s="9" t="n"/>
      <c r="B122" s="9" t="n"/>
      <c r="C122" s="213">
        <f>IF($D122="","",IF($B122="Casual",$D122/(1+Lookup!$H$2),$D122))</f>
        <v/>
      </c>
      <c r="D122" s="214" t="n"/>
      <c r="E122" s="215">
        <f>0-SUM(F122:S122)</f>
        <v/>
      </c>
      <c r="F122" s="215" t="n"/>
      <c r="G122" s="215" t="n"/>
      <c r="H122" s="215" t="n"/>
      <c r="I122" s="215" t="n"/>
      <c r="J122" s="215" t="n"/>
      <c r="K122" s="215" t="n"/>
      <c r="L122" s="215" t="n"/>
      <c r="M122" s="215" t="n"/>
      <c r="N122" s="215" t="n"/>
      <c r="O122" s="215" t="n"/>
      <c r="P122" s="215" t="n"/>
      <c r="Q122" s="215" t="n"/>
      <c r="R122" s="215" t="n"/>
      <c r="S122" s="215" t="n"/>
      <c r="T122" s="216">
        <f>SUM(E122:S122)</f>
        <v/>
      </c>
      <c r="U122" s="217" t="n"/>
      <c r="V122" s="217" t="n"/>
      <c r="W122" s="218">
        <f>ROUND(N($D122)*(SUM($E122:$H122)+SUM($N122:$R122))+IF(AND($B122="Casual",Lookup!$H$8="No"),N($C122),N($D122))*($I122*Lookup!$H$3+$J122*Lookup!$H$4+$K122*Lookup!$H$5+$L122*Lookup!$H$6+$M122*Lookup!$H$7)+N($U122)+N($V122),2)</f>
        <v/>
      </c>
      <c r="X122" s="9" t="n"/>
      <c r="Y122" s="217" t="n"/>
      <c r="Z122" s="217" t="n"/>
      <c r="AA122" s="9" t="n"/>
      <c r="AB122" s="219">
        <f>MAX(0,$W122-N($Z122))</f>
        <v/>
      </c>
      <c r="AC122" s="9" t="inlineStr">
        <is>
          <t>2 - Tax-free threshold claimed</t>
        </is>
      </c>
      <c r="AD122" s="219">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8">
        <f>$AB122-$AD122</f>
        <v/>
      </c>
      <c r="AF122" s="219">
        <f>ROUND((N($D122)*(SUM($E122:$H122)+SUM($N122:$R122))+IF(Lookup!$H$10="Yes",N($U122),0))*Lookup!$H$9,2)+N($Y122)</f>
        <v/>
      </c>
    </row>
    <row r="123" ht="18" customHeight="1">
      <c r="A123" s="9" t="n"/>
      <c r="B123" s="9" t="n"/>
      <c r="C123" s="213">
        <f>IF($D123="","",IF($B123="Casual",$D123/(1+Lookup!$H$2),$D123))</f>
        <v/>
      </c>
      <c r="D123" s="214" t="n"/>
      <c r="E123" s="215">
        <f>0-SUM(F123:S123)</f>
        <v/>
      </c>
      <c r="F123" s="215" t="n"/>
      <c r="G123" s="215" t="n"/>
      <c r="H123" s="215" t="n"/>
      <c r="I123" s="215" t="n"/>
      <c r="J123" s="215" t="n"/>
      <c r="K123" s="215" t="n"/>
      <c r="L123" s="215" t="n"/>
      <c r="M123" s="215" t="n"/>
      <c r="N123" s="215" t="n"/>
      <c r="O123" s="215" t="n"/>
      <c r="P123" s="215" t="n"/>
      <c r="Q123" s="215" t="n"/>
      <c r="R123" s="215" t="n"/>
      <c r="S123" s="215" t="n"/>
      <c r="T123" s="216">
        <f>SUM(E123:S123)</f>
        <v/>
      </c>
      <c r="U123" s="217" t="n"/>
      <c r="V123" s="217" t="n"/>
      <c r="W123" s="218">
        <f>ROUND(N($D123)*(SUM($E123:$H123)+SUM($N123:$R123))+IF(AND($B123="Casual",Lookup!$H$8="No"),N($C123),N($D123))*($I123*Lookup!$H$3+$J123*Lookup!$H$4+$K123*Lookup!$H$5+$L123*Lookup!$H$6+$M123*Lookup!$H$7)+N($U123)+N($V123),2)</f>
        <v/>
      </c>
      <c r="X123" s="9" t="n"/>
      <c r="Y123" s="217" t="n"/>
      <c r="Z123" s="217" t="n"/>
      <c r="AA123" s="9" t="n"/>
      <c r="AB123" s="219">
        <f>MAX(0,$W123-N($Z123))</f>
        <v/>
      </c>
      <c r="AC123" s="9" t="inlineStr">
        <is>
          <t>2 - Tax-free threshold claimed</t>
        </is>
      </c>
      <c r="AD123" s="219">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8">
        <f>$AB123-$AD123</f>
        <v/>
      </c>
      <c r="AF123" s="219">
        <f>ROUND((N($D123)*(SUM($E123:$H123)+SUM($N123:$R123))+IF(Lookup!$H$10="Yes",N($U123),0))*Lookup!$H$9,2)+N($Y123)</f>
        <v/>
      </c>
    </row>
    <row r="124" ht="18" customHeight="1">
      <c r="A124" s="9" t="n"/>
      <c r="B124" s="9" t="n"/>
      <c r="C124" s="213">
        <f>IF($D124="","",IF($B124="Casual",$D124/(1+Lookup!$H$2),$D124))</f>
        <v/>
      </c>
      <c r="D124" s="214" t="n"/>
      <c r="E124" s="215">
        <f>0-SUM(F124:S124)</f>
        <v/>
      </c>
      <c r="F124" s="215" t="n"/>
      <c r="G124" s="215" t="n"/>
      <c r="H124" s="215" t="n"/>
      <c r="I124" s="215" t="n"/>
      <c r="J124" s="215" t="n"/>
      <c r="K124" s="215" t="n"/>
      <c r="L124" s="215" t="n"/>
      <c r="M124" s="215" t="n"/>
      <c r="N124" s="215" t="n"/>
      <c r="O124" s="215" t="n"/>
      <c r="P124" s="215" t="n"/>
      <c r="Q124" s="215" t="n"/>
      <c r="R124" s="215" t="n"/>
      <c r="S124" s="215" t="n"/>
      <c r="T124" s="216">
        <f>SUM(E124:S124)</f>
        <v/>
      </c>
      <c r="U124" s="217" t="n"/>
      <c r="V124" s="217" t="n"/>
      <c r="W124" s="218">
        <f>ROUND(N($D124)*(SUM($E124:$H124)+SUM($N124:$R124))+IF(AND($B124="Casual",Lookup!$H$8="No"),N($C124),N($D124))*($I124*Lookup!$H$3+$J124*Lookup!$H$4+$K124*Lookup!$H$5+$L124*Lookup!$H$6+$M124*Lookup!$H$7)+N($U124)+N($V124),2)</f>
        <v/>
      </c>
      <c r="X124" s="9" t="n"/>
      <c r="Y124" s="217" t="n"/>
      <c r="Z124" s="217" t="n"/>
      <c r="AA124" s="9" t="n"/>
      <c r="AB124" s="219">
        <f>MAX(0,$W124-N($Z124))</f>
        <v/>
      </c>
      <c r="AC124" s="9" t="inlineStr">
        <is>
          <t>2 - Tax-free threshold claimed</t>
        </is>
      </c>
      <c r="AD124" s="219">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8">
        <f>$AB124-$AD124</f>
        <v/>
      </c>
      <c r="AF124" s="219">
        <f>ROUND((N($D124)*(SUM($E124:$H124)+SUM($N124:$R124))+IF(Lookup!$H$10="Yes",N($U124),0))*Lookup!$H$9,2)+N($Y124)</f>
        <v/>
      </c>
    </row>
    <row r="125" ht="18" customHeight="1">
      <c r="A125" s="9" t="n"/>
      <c r="B125" s="9" t="n"/>
      <c r="C125" s="213">
        <f>IF($D125="","",IF($B125="Casual",$D125/(1+Lookup!$H$2),$D125))</f>
        <v/>
      </c>
      <c r="D125" s="214" t="n"/>
      <c r="E125" s="215">
        <f>0-SUM(F125:S125)</f>
        <v/>
      </c>
      <c r="F125" s="215" t="n"/>
      <c r="G125" s="215" t="n"/>
      <c r="H125" s="215" t="n"/>
      <c r="I125" s="215" t="n"/>
      <c r="J125" s="215" t="n"/>
      <c r="K125" s="215" t="n"/>
      <c r="L125" s="215" t="n"/>
      <c r="M125" s="215" t="n"/>
      <c r="N125" s="215" t="n"/>
      <c r="O125" s="215" t="n"/>
      <c r="P125" s="215" t="n"/>
      <c r="Q125" s="215" t="n"/>
      <c r="R125" s="215" t="n"/>
      <c r="S125" s="215" t="n"/>
      <c r="T125" s="216">
        <f>SUM(E125:S125)</f>
        <v/>
      </c>
      <c r="U125" s="217" t="n"/>
      <c r="V125" s="217" t="n"/>
      <c r="W125" s="218">
        <f>ROUND(N($D125)*(SUM($E125:$H125)+SUM($N125:$R125))+IF(AND($B125="Casual",Lookup!$H$8="No"),N($C125),N($D125))*($I125*Lookup!$H$3+$J125*Lookup!$H$4+$K125*Lookup!$H$5+$L125*Lookup!$H$6+$M125*Lookup!$H$7)+N($U125)+N($V125),2)</f>
        <v/>
      </c>
      <c r="X125" s="9" t="n"/>
      <c r="Y125" s="217" t="n"/>
      <c r="Z125" s="217" t="n"/>
      <c r="AA125" s="9" t="n"/>
      <c r="AB125" s="219">
        <f>MAX(0,$W125-N($Z125))</f>
        <v/>
      </c>
      <c r="AC125" s="9" t="inlineStr">
        <is>
          <t>2 - Tax-free threshold claimed</t>
        </is>
      </c>
      <c r="AD125" s="219">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8">
        <f>$AB125-$AD125</f>
        <v/>
      </c>
      <c r="AF125" s="219">
        <f>ROUND((N($D125)*(SUM($E125:$H125)+SUM($N125:$R125))+IF(Lookup!$H$10="Yes",N($U125),0))*Lookup!$H$9,2)+N($Y125)</f>
        <v/>
      </c>
    </row>
    <row r="126" ht="18" customHeight="1">
      <c r="A126" s="9" t="n"/>
      <c r="B126" s="9" t="n"/>
      <c r="C126" s="213">
        <f>IF($D126="","",IF($B126="Casual",$D126/(1+Lookup!$H$2),$D126))</f>
        <v/>
      </c>
      <c r="D126" s="214" t="n"/>
      <c r="E126" s="215">
        <f>0-SUM(F126:S126)</f>
        <v/>
      </c>
      <c r="F126" s="215" t="n"/>
      <c r="G126" s="215" t="n"/>
      <c r="H126" s="215" t="n"/>
      <c r="I126" s="215" t="n"/>
      <c r="J126" s="215" t="n"/>
      <c r="K126" s="215" t="n"/>
      <c r="L126" s="215" t="n"/>
      <c r="M126" s="215" t="n"/>
      <c r="N126" s="215" t="n"/>
      <c r="O126" s="215" t="n"/>
      <c r="P126" s="215" t="n"/>
      <c r="Q126" s="215" t="n"/>
      <c r="R126" s="215" t="n"/>
      <c r="S126" s="215" t="n"/>
      <c r="T126" s="216">
        <f>SUM(E126:S126)</f>
        <v/>
      </c>
      <c r="U126" s="217" t="n"/>
      <c r="V126" s="217" t="n"/>
      <c r="W126" s="218">
        <f>ROUND(N($D126)*(SUM($E126:$H126)+SUM($N126:$R126))+IF(AND($B126="Casual",Lookup!$H$8="No"),N($C126),N($D126))*($I126*Lookup!$H$3+$J126*Lookup!$H$4+$K126*Lookup!$H$5+$L126*Lookup!$H$6+$M126*Lookup!$H$7)+N($U126)+N($V126),2)</f>
        <v/>
      </c>
      <c r="X126" s="9" t="n"/>
      <c r="Y126" s="217" t="n"/>
      <c r="Z126" s="217" t="n"/>
      <c r="AA126" s="9" t="n"/>
      <c r="AB126" s="219">
        <f>MAX(0,$W126-N($Z126))</f>
        <v/>
      </c>
      <c r="AC126" s="9" t="inlineStr">
        <is>
          <t>2 - Tax-free threshold claimed</t>
        </is>
      </c>
      <c r="AD126" s="219">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8">
        <f>$AB126-$AD126</f>
        <v/>
      </c>
      <c r="AF126" s="219">
        <f>ROUND((N($D126)*(SUM($E126:$H126)+SUM($N126:$R126))+IF(Lookup!$H$10="Yes",N($U126),0))*Lookup!$H$9,2)+N($Y126)</f>
        <v/>
      </c>
    </row>
    <row r="127" ht="18" customHeight="1">
      <c r="A127" s="9" t="n"/>
      <c r="B127" s="9" t="n"/>
      <c r="C127" s="213">
        <f>IF($D127="","",IF($B127="Casual",$D127/(1+Lookup!$H$2),$D127))</f>
        <v/>
      </c>
      <c r="D127" s="214" t="n"/>
      <c r="E127" s="215">
        <f>0-SUM(F127:S127)</f>
        <v/>
      </c>
      <c r="F127" s="215" t="n"/>
      <c r="G127" s="215" t="n"/>
      <c r="H127" s="215" t="n"/>
      <c r="I127" s="215" t="n"/>
      <c r="J127" s="215" t="n"/>
      <c r="K127" s="215" t="n"/>
      <c r="L127" s="215" t="n"/>
      <c r="M127" s="215" t="n"/>
      <c r="N127" s="215" t="n"/>
      <c r="O127" s="215" t="n"/>
      <c r="P127" s="215" t="n"/>
      <c r="Q127" s="215" t="n"/>
      <c r="R127" s="215" t="n"/>
      <c r="S127" s="215" t="n"/>
      <c r="T127" s="216">
        <f>SUM(E127:S127)</f>
        <v/>
      </c>
      <c r="U127" s="217" t="n"/>
      <c r="V127" s="217" t="n"/>
      <c r="W127" s="218">
        <f>ROUND(N($D127)*(SUM($E127:$H127)+SUM($N127:$R127))+IF(AND($B127="Casual",Lookup!$H$8="No"),N($C127),N($D127))*($I127*Lookup!$H$3+$J127*Lookup!$H$4+$K127*Lookup!$H$5+$L127*Lookup!$H$6+$M127*Lookup!$H$7)+N($U127)+N($V127),2)</f>
        <v/>
      </c>
      <c r="X127" s="9" t="n"/>
      <c r="Y127" s="217" t="n"/>
      <c r="Z127" s="217" t="n"/>
      <c r="AA127" s="9" t="n"/>
      <c r="AB127" s="219">
        <f>MAX(0,$W127-N($Z127))</f>
        <v/>
      </c>
      <c r="AC127" s="9" t="inlineStr">
        <is>
          <t>2 - Tax-free threshold claimed</t>
        </is>
      </c>
      <c r="AD127" s="219">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8">
        <f>$AB127-$AD127</f>
        <v/>
      </c>
      <c r="AF127" s="219">
        <f>ROUND((N($D127)*(SUM($E127:$H127)+SUM($N127:$R127))+IF(Lookup!$H$10="Yes",N($U127),0))*Lookup!$H$9,2)+N($Y127)</f>
        <v/>
      </c>
    </row>
    <row r="128" ht="18" customHeight="1">
      <c r="A128" s="9" t="n"/>
      <c r="B128" s="9" t="n"/>
      <c r="C128" s="213">
        <f>IF($D128="","",IF($B128="Casual",$D128/(1+Lookup!$H$2),$D128))</f>
        <v/>
      </c>
      <c r="D128" s="214" t="n"/>
      <c r="E128" s="215">
        <f>0-SUM(F128:S128)</f>
        <v/>
      </c>
      <c r="F128" s="215" t="n"/>
      <c r="G128" s="215" t="n"/>
      <c r="H128" s="215" t="n"/>
      <c r="I128" s="215" t="n"/>
      <c r="J128" s="215" t="n"/>
      <c r="K128" s="215" t="n"/>
      <c r="L128" s="215" t="n"/>
      <c r="M128" s="215" t="n"/>
      <c r="N128" s="215" t="n"/>
      <c r="O128" s="215" t="n"/>
      <c r="P128" s="215" t="n"/>
      <c r="Q128" s="215" t="n"/>
      <c r="R128" s="215" t="n"/>
      <c r="S128" s="215" t="n"/>
      <c r="T128" s="216">
        <f>SUM(E128:S128)</f>
        <v/>
      </c>
      <c r="U128" s="217" t="n"/>
      <c r="V128" s="217" t="n"/>
      <c r="W128" s="218">
        <f>ROUND(N($D128)*(SUM($E128:$H128)+SUM($N128:$R128))+IF(AND($B128="Casual",Lookup!$H$8="No"),N($C128),N($D128))*($I128*Lookup!$H$3+$J128*Lookup!$H$4+$K128*Lookup!$H$5+$L128*Lookup!$H$6+$M128*Lookup!$H$7)+N($U128)+N($V128),2)</f>
        <v/>
      </c>
      <c r="X128" s="9" t="n"/>
      <c r="Y128" s="217" t="n"/>
      <c r="Z128" s="217" t="n"/>
      <c r="AA128" s="9" t="n"/>
      <c r="AB128" s="219">
        <f>MAX(0,$W128-N($Z128))</f>
        <v/>
      </c>
      <c r="AC128" s="9" t="inlineStr">
        <is>
          <t>2 - Tax-free threshold claimed</t>
        </is>
      </c>
      <c r="AD128" s="219">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8">
        <f>$AB128-$AD128</f>
        <v/>
      </c>
      <c r="AF128" s="219">
        <f>ROUND((N($D128)*(SUM($E128:$H128)+SUM($N128:$R128))+IF(Lookup!$H$10="Yes",N($U128),0))*Lookup!$H$9,2)+N($Y128)</f>
        <v/>
      </c>
    </row>
    <row r="129" ht="18" customHeight="1">
      <c r="A129" s="9" t="n"/>
      <c r="B129" s="9" t="n"/>
      <c r="C129" s="213">
        <f>IF($D129="","",IF($B129="Casual",$D129/(1+Lookup!$H$2),$D129))</f>
        <v/>
      </c>
      <c r="D129" s="214" t="n"/>
      <c r="E129" s="215">
        <f>0-SUM(F129:S129)</f>
        <v/>
      </c>
      <c r="F129" s="215" t="n"/>
      <c r="G129" s="215" t="n"/>
      <c r="H129" s="215" t="n"/>
      <c r="I129" s="215" t="n"/>
      <c r="J129" s="215" t="n"/>
      <c r="K129" s="215" t="n"/>
      <c r="L129" s="215" t="n"/>
      <c r="M129" s="215" t="n"/>
      <c r="N129" s="215" t="n"/>
      <c r="O129" s="215" t="n"/>
      <c r="P129" s="215" t="n"/>
      <c r="Q129" s="215" t="n"/>
      <c r="R129" s="215" t="n"/>
      <c r="S129" s="215" t="n"/>
      <c r="T129" s="216">
        <f>SUM(E129:S129)</f>
        <v/>
      </c>
      <c r="U129" s="217" t="n"/>
      <c r="V129" s="217" t="n"/>
      <c r="W129" s="218">
        <f>ROUND(N($D129)*(SUM($E129:$H129)+SUM($N129:$R129))+IF(AND($B129="Casual",Lookup!$H$8="No"),N($C129),N($D129))*($I129*Lookup!$H$3+$J129*Lookup!$H$4+$K129*Lookup!$H$5+$L129*Lookup!$H$6+$M129*Lookup!$H$7)+N($U129)+N($V129),2)</f>
        <v/>
      </c>
      <c r="X129" s="9" t="n"/>
      <c r="Y129" s="217" t="n"/>
      <c r="Z129" s="217" t="n"/>
      <c r="AA129" s="9" t="n"/>
      <c r="AB129" s="219">
        <f>MAX(0,$W129-N($Z129))</f>
        <v/>
      </c>
      <c r="AC129" s="9" t="inlineStr">
        <is>
          <t>2 - Tax-free threshold claimed</t>
        </is>
      </c>
      <c r="AD129" s="219">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8">
        <f>$AB129-$AD129</f>
        <v/>
      </c>
      <c r="AF129" s="219">
        <f>ROUND((N($D129)*(SUM($E129:$H129)+SUM($N129:$R129))+IF(Lookup!$H$10="Yes",N($U129),0))*Lookup!$H$9,2)+N($Y129)</f>
        <v/>
      </c>
    </row>
    <row r="130" ht="18" customHeight="1">
      <c r="A130" s="9" t="n"/>
      <c r="B130" s="9" t="n"/>
      <c r="C130" s="213">
        <f>IF($D130="","",IF($B130="Casual",$D130/(1+Lookup!$H$2),$D130))</f>
        <v/>
      </c>
      <c r="D130" s="214" t="n"/>
      <c r="E130" s="215">
        <f>0-SUM(F130:S130)</f>
        <v/>
      </c>
      <c r="F130" s="215" t="n"/>
      <c r="G130" s="215" t="n"/>
      <c r="H130" s="215" t="n"/>
      <c r="I130" s="215" t="n"/>
      <c r="J130" s="215" t="n"/>
      <c r="K130" s="215" t="n"/>
      <c r="L130" s="215" t="n"/>
      <c r="M130" s="215" t="n"/>
      <c r="N130" s="215" t="n"/>
      <c r="O130" s="215" t="n"/>
      <c r="P130" s="215" t="n"/>
      <c r="Q130" s="215" t="n"/>
      <c r="R130" s="215" t="n"/>
      <c r="S130" s="215" t="n"/>
      <c r="T130" s="216">
        <f>SUM(E130:S130)</f>
        <v/>
      </c>
      <c r="U130" s="217" t="n"/>
      <c r="V130" s="217" t="n"/>
      <c r="W130" s="218">
        <f>ROUND(N($D130)*(SUM($E130:$H130)+SUM($N130:$R130))+IF(AND($B130="Casual",Lookup!$H$8="No"),N($C130),N($D130))*($I130*Lookup!$H$3+$J130*Lookup!$H$4+$K130*Lookup!$H$5+$L130*Lookup!$H$6+$M130*Lookup!$H$7)+N($U130)+N($V130),2)</f>
        <v/>
      </c>
      <c r="X130" s="9" t="n"/>
      <c r="Y130" s="217" t="n"/>
      <c r="Z130" s="217" t="n"/>
      <c r="AA130" s="9" t="n"/>
      <c r="AB130" s="219">
        <f>MAX(0,$W130-N($Z130))</f>
        <v/>
      </c>
      <c r="AC130" s="9" t="inlineStr">
        <is>
          <t>2 - Tax-free threshold claimed</t>
        </is>
      </c>
      <c r="AD130" s="219">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8">
        <f>$AB130-$AD130</f>
        <v/>
      </c>
      <c r="AF130" s="219">
        <f>ROUND((N($D130)*(SUM($E130:$H130)+SUM($N130:$R130))+IF(Lookup!$H$10="Yes",N($U130),0))*Lookup!$H$9,2)+N($Y130)</f>
        <v/>
      </c>
    </row>
    <row r="131" ht="18" customHeight="1">
      <c r="A131" s="9" t="n"/>
      <c r="B131" s="9" t="n"/>
      <c r="C131" s="213">
        <f>IF($D131="","",IF($B131="Casual",$D131/(1+Lookup!$H$2),$D131))</f>
        <v/>
      </c>
      <c r="D131" s="214" t="n"/>
      <c r="E131" s="215">
        <f>0-SUM(F131:S131)</f>
        <v/>
      </c>
      <c r="F131" s="215" t="n"/>
      <c r="G131" s="215" t="n"/>
      <c r="H131" s="215" t="n"/>
      <c r="I131" s="215" t="n"/>
      <c r="J131" s="215" t="n"/>
      <c r="K131" s="215" t="n"/>
      <c r="L131" s="215" t="n"/>
      <c r="M131" s="215" t="n"/>
      <c r="N131" s="215" t="n"/>
      <c r="O131" s="215" t="n"/>
      <c r="P131" s="215" t="n"/>
      <c r="Q131" s="215" t="n"/>
      <c r="R131" s="215" t="n"/>
      <c r="S131" s="215" t="n"/>
      <c r="T131" s="216">
        <f>SUM(E131:S131)</f>
        <v/>
      </c>
      <c r="U131" s="217" t="n"/>
      <c r="V131" s="217" t="n"/>
      <c r="W131" s="218">
        <f>ROUND(N($D131)*(SUM($E131:$H131)+SUM($N131:$R131))+IF(AND($B131="Casual",Lookup!$H$8="No"),N($C131),N($D131))*($I131*Lookup!$H$3+$J131*Lookup!$H$4+$K131*Lookup!$H$5+$L131*Lookup!$H$6+$M131*Lookup!$H$7)+N($U131)+N($V131),2)</f>
        <v/>
      </c>
      <c r="X131" s="9" t="n"/>
      <c r="Y131" s="217" t="n"/>
      <c r="Z131" s="217" t="n"/>
      <c r="AA131" s="9" t="n"/>
      <c r="AB131" s="219">
        <f>MAX(0,$W131-N($Z131))</f>
        <v/>
      </c>
      <c r="AC131" s="9" t="inlineStr">
        <is>
          <t>2 - Tax-free threshold claimed</t>
        </is>
      </c>
      <c r="AD131" s="219">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8">
        <f>$AB131-$AD131</f>
        <v/>
      </c>
      <c r="AF131" s="219">
        <f>ROUND((N($D131)*(SUM($E131:$H131)+SUM($N131:$R131))+IF(Lookup!$H$10="Yes",N($U131),0))*Lookup!$H$9,2)+N($Y131)</f>
        <v/>
      </c>
    </row>
    <row r="132" ht="18" customHeight="1">
      <c r="A132" s="9" t="n"/>
      <c r="B132" s="9" t="n"/>
      <c r="C132" s="213">
        <f>IF($D132="","",IF($B132="Casual",$D132/(1+Lookup!$H$2),$D132))</f>
        <v/>
      </c>
      <c r="D132" s="214" t="n"/>
      <c r="E132" s="215">
        <f>0-SUM(F132:S132)</f>
        <v/>
      </c>
      <c r="F132" s="215" t="n"/>
      <c r="G132" s="215" t="n"/>
      <c r="H132" s="215" t="n"/>
      <c r="I132" s="215" t="n"/>
      <c r="J132" s="215" t="n"/>
      <c r="K132" s="215" t="n"/>
      <c r="L132" s="215" t="n"/>
      <c r="M132" s="215" t="n"/>
      <c r="N132" s="215" t="n"/>
      <c r="O132" s="215" t="n"/>
      <c r="P132" s="215" t="n"/>
      <c r="Q132" s="215" t="n"/>
      <c r="R132" s="215" t="n"/>
      <c r="S132" s="215" t="n"/>
      <c r="T132" s="216">
        <f>SUM(E132:S132)</f>
        <v/>
      </c>
      <c r="U132" s="217" t="n"/>
      <c r="V132" s="217" t="n"/>
      <c r="W132" s="218">
        <f>ROUND(N($D132)*(SUM($E132:$H132)+SUM($N132:$R132))+IF(AND($B132="Casual",Lookup!$H$8="No"),N($C132),N($D132))*($I132*Lookup!$H$3+$J132*Lookup!$H$4+$K132*Lookup!$H$5+$L132*Lookup!$H$6+$M132*Lookup!$H$7)+N($U132)+N($V132),2)</f>
        <v/>
      </c>
      <c r="X132" s="9" t="n"/>
      <c r="Y132" s="217" t="n"/>
      <c r="Z132" s="217" t="n"/>
      <c r="AA132" s="9" t="n"/>
      <c r="AB132" s="219">
        <f>MAX(0,$W132-N($Z132))</f>
        <v/>
      </c>
      <c r="AC132" s="9" t="inlineStr">
        <is>
          <t>2 - Tax-free threshold claimed</t>
        </is>
      </c>
      <c r="AD132" s="219">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8">
        <f>$AB132-$AD132</f>
        <v/>
      </c>
      <c r="AF132" s="219">
        <f>ROUND((N($D132)*(SUM($E132:$H132)+SUM($N132:$R132))+IF(Lookup!$H$10="Yes",N($U132),0))*Lookup!$H$9,2)+N($Y132)</f>
        <v/>
      </c>
    </row>
    <row r="133" ht="18" customHeight="1">
      <c r="A133" s="9" t="n"/>
      <c r="B133" s="9" t="n"/>
      <c r="C133" s="213">
        <f>IF($D133="","",IF($B133="Casual",$D133/(1+Lookup!$H$2),$D133))</f>
        <v/>
      </c>
      <c r="D133" s="214" t="n"/>
      <c r="E133" s="215">
        <f>0-SUM(F133:S133)</f>
        <v/>
      </c>
      <c r="F133" s="215" t="n"/>
      <c r="G133" s="215" t="n"/>
      <c r="H133" s="215" t="n"/>
      <c r="I133" s="215" t="n"/>
      <c r="J133" s="215" t="n"/>
      <c r="K133" s="215" t="n"/>
      <c r="L133" s="215" t="n"/>
      <c r="M133" s="215" t="n"/>
      <c r="N133" s="215" t="n"/>
      <c r="O133" s="215" t="n"/>
      <c r="P133" s="215" t="n"/>
      <c r="Q133" s="215" t="n"/>
      <c r="R133" s="215" t="n"/>
      <c r="S133" s="215" t="n"/>
      <c r="T133" s="216">
        <f>SUM(E133:S133)</f>
        <v/>
      </c>
      <c r="U133" s="217" t="n"/>
      <c r="V133" s="217" t="n"/>
      <c r="W133" s="218">
        <f>ROUND(N($D133)*(SUM($E133:$H133)+SUM($N133:$R133))+IF(AND($B133="Casual",Lookup!$H$8="No"),N($C133),N($D133))*($I133*Lookup!$H$3+$J133*Lookup!$H$4+$K133*Lookup!$H$5+$L133*Lookup!$H$6+$M133*Lookup!$H$7)+N($U133)+N($V133),2)</f>
        <v/>
      </c>
      <c r="X133" s="9" t="n"/>
      <c r="Y133" s="217" t="n"/>
      <c r="Z133" s="217" t="n"/>
      <c r="AA133" s="9" t="n"/>
      <c r="AB133" s="219">
        <f>MAX(0,$W133-N($Z133))</f>
        <v/>
      </c>
      <c r="AC133" s="9" t="inlineStr">
        <is>
          <t>2 - Tax-free threshold claimed</t>
        </is>
      </c>
      <c r="AD133" s="219">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8">
        <f>$AB133-$AD133</f>
        <v/>
      </c>
      <c r="AF133" s="219">
        <f>ROUND((N($D133)*(SUM($E133:$H133)+SUM($N133:$R133))+IF(Lookup!$H$10="Yes",N($U133),0))*Lookup!$H$9,2)+N($Y133)</f>
        <v/>
      </c>
    </row>
    <row r="134" ht="18" customHeight="1">
      <c r="A134" s="9" t="n"/>
      <c r="B134" s="9" t="n"/>
      <c r="C134" s="213">
        <f>IF($D134="","",IF($B134="Casual",$D134/(1+Lookup!$H$2),$D134))</f>
        <v/>
      </c>
      <c r="D134" s="214" t="n"/>
      <c r="E134" s="215">
        <f>0-SUM(F134:S134)</f>
        <v/>
      </c>
      <c r="F134" s="215" t="n"/>
      <c r="G134" s="215" t="n"/>
      <c r="H134" s="215" t="n"/>
      <c r="I134" s="215" t="n"/>
      <c r="J134" s="215" t="n"/>
      <c r="K134" s="215" t="n"/>
      <c r="L134" s="215" t="n"/>
      <c r="M134" s="215" t="n"/>
      <c r="N134" s="215" t="n"/>
      <c r="O134" s="215" t="n"/>
      <c r="P134" s="215" t="n"/>
      <c r="Q134" s="215" t="n"/>
      <c r="R134" s="215" t="n"/>
      <c r="S134" s="215" t="n"/>
      <c r="T134" s="216">
        <f>SUM(E134:S134)</f>
        <v/>
      </c>
      <c r="U134" s="217" t="n"/>
      <c r="V134" s="217" t="n"/>
      <c r="W134" s="218">
        <f>ROUND(N($D134)*(SUM($E134:$H134)+SUM($N134:$R134))+IF(AND($B134="Casual",Lookup!$H$8="No"),N($C134),N($D134))*($I134*Lookup!$H$3+$J134*Lookup!$H$4+$K134*Lookup!$H$5+$L134*Lookup!$H$6+$M134*Lookup!$H$7)+N($U134)+N($V134),2)</f>
        <v/>
      </c>
      <c r="X134" s="9" t="n"/>
      <c r="Y134" s="217" t="n"/>
      <c r="Z134" s="217" t="n"/>
      <c r="AA134" s="9" t="n"/>
      <c r="AB134" s="219">
        <f>MAX(0,$W134-N($Z134))</f>
        <v/>
      </c>
      <c r="AC134" s="9" t="inlineStr">
        <is>
          <t>2 - Tax-free threshold claimed</t>
        </is>
      </c>
      <c r="AD134" s="219">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8">
        <f>$AB134-$AD134</f>
        <v/>
      </c>
      <c r="AF134" s="219">
        <f>ROUND((N($D134)*(SUM($E134:$H134)+SUM($N134:$R134))+IF(Lookup!$H$10="Yes",N($U134),0))*Lookup!$H$9,2)+N($Y134)</f>
        <v/>
      </c>
    </row>
    <row r="135" ht="18" customHeight="1">
      <c r="A135" s="9" t="n"/>
      <c r="B135" s="9" t="n"/>
      <c r="C135" s="213">
        <f>IF($D135="","",IF($B135="Casual",$D135/(1+Lookup!$H$2),$D135))</f>
        <v/>
      </c>
      <c r="D135" s="214" t="n"/>
      <c r="E135" s="215">
        <f>0-SUM(F135:S135)</f>
        <v/>
      </c>
      <c r="F135" s="215" t="n"/>
      <c r="G135" s="215" t="n"/>
      <c r="H135" s="215" t="n"/>
      <c r="I135" s="215" t="n"/>
      <c r="J135" s="215" t="n"/>
      <c r="K135" s="215" t="n"/>
      <c r="L135" s="215" t="n"/>
      <c r="M135" s="215" t="n"/>
      <c r="N135" s="215" t="n"/>
      <c r="O135" s="215" t="n"/>
      <c r="P135" s="215" t="n"/>
      <c r="Q135" s="215" t="n"/>
      <c r="R135" s="215" t="n"/>
      <c r="S135" s="215" t="n"/>
      <c r="T135" s="216">
        <f>SUM(E135:S135)</f>
        <v/>
      </c>
      <c r="U135" s="217" t="n"/>
      <c r="V135" s="217" t="n"/>
      <c r="W135" s="218">
        <f>ROUND(N($D135)*(SUM($E135:$H135)+SUM($N135:$R135))+IF(AND($B135="Casual",Lookup!$H$8="No"),N($C135),N($D135))*($I135*Lookup!$H$3+$J135*Lookup!$H$4+$K135*Lookup!$H$5+$L135*Lookup!$H$6+$M135*Lookup!$H$7)+N($U135)+N($V135),2)</f>
        <v/>
      </c>
      <c r="X135" s="9" t="n"/>
      <c r="Y135" s="217" t="n"/>
      <c r="Z135" s="217" t="n"/>
      <c r="AA135" s="9" t="n"/>
      <c r="AB135" s="219">
        <f>MAX(0,$W135-N($Z135))</f>
        <v/>
      </c>
      <c r="AC135" s="9" t="inlineStr">
        <is>
          <t>2 - Tax-free threshold claimed</t>
        </is>
      </c>
      <c r="AD135" s="219">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8">
        <f>$AB135-$AD135</f>
        <v/>
      </c>
      <c r="AF135" s="219">
        <f>ROUND((N($D135)*(SUM($E135:$H135)+SUM($N135:$R135))+IF(Lookup!$H$10="Yes",N($U135),0))*Lookup!$H$9,2)+N($Y135)</f>
        <v/>
      </c>
    </row>
    <row r="136" ht="19.5" customHeight="1">
      <c r="A136" s="17" t="inlineStr">
        <is>
          <t>TOTALS</t>
        </is>
      </c>
      <c r="B136" s="17" t="n"/>
      <c r="C136" s="17" t="n"/>
      <c r="D136" s="17" t="n"/>
      <c r="E136" s="220">
        <f>SUM(E10:E135)</f>
        <v/>
      </c>
      <c r="F136" s="220">
        <f>SUM(F10:F135)</f>
        <v/>
      </c>
      <c r="G136" s="220">
        <f>SUM(G10:G135)</f>
        <v/>
      </c>
      <c r="H136" s="220">
        <f>SUM(H10:H135)</f>
        <v/>
      </c>
      <c r="I136" s="220">
        <f>SUM(I10:I135)</f>
        <v/>
      </c>
      <c r="J136" s="220">
        <f>SUM(J10:J135)</f>
        <v/>
      </c>
      <c r="K136" s="220">
        <f>SUM(K10:K135)</f>
        <v/>
      </c>
      <c r="L136" s="220">
        <f>SUM(L10:L135)</f>
        <v/>
      </c>
      <c r="M136" s="220">
        <f>SUM(M10:M135)</f>
        <v/>
      </c>
      <c r="N136" s="220">
        <f>SUM(N10:N135)</f>
        <v/>
      </c>
      <c r="O136" s="220">
        <f>SUM(O10:O135)</f>
        <v/>
      </c>
      <c r="P136" s="220">
        <f>SUM(P10:P135)</f>
        <v/>
      </c>
      <c r="Q136" s="220">
        <f>SUM(Q10:Q135)</f>
        <v/>
      </c>
      <c r="R136" s="220">
        <f>SUM(R10:R135)</f>
        <v/>
      </c>
      <c r="S136" s="220">
        <f>SUM(S10:S135)</f>
        <v/>
      </c>
      <c r="T136" s="220">
        <f>SUM(T10:T135)</f>
        <v/>
      </c>
      <c r="U136" s="221">
        <f>SUM(U10:U135)</f>
        <v/>
      </c>
      <c r="V136" s="221">
        <f>SUM(V10:V135)</f>
        <v/>
      </c>
      <c r="W136" s="221">
        <f>SUM(W10:W135)</f>
        <v/>
      </c>
      <c r="X136" s="17" t="n"/>
      <c r="Y136" s="221">
        <f>SUM(Y10:Y135)</f>
        <v/>
      </c>
      <c r="Z136" s="221">
        <f>SUM(Z10:Z135)</f>
        <v/>
      </c>
      <c r="AA136" s="17" t="n"/>
      <c r="AB136" s="221">
        <f>SUM(AB10:AB135)</f>
        <v/>
      </c>
      <c r="AC136" s="17" t="n"/>
      <c r="AD136" s="221">
        <f>SUM(AD10:AD135)</f>
        <v/>
      </c>
      <c r="AE136" s="221">
        <f>SUM(AE10:AE135)</f>
        <v/>
      </c>
      <c r="AF136" s="221">
        <f>SUM(AF10:AF135)</f>
        <v/>
      </c>
    </row>
    <row r="138" ht="15" customHeight="1">
      <c r="R138" s="20" t="inlineStr">
        <is>
          <t>Per EH Payroll &gt;&gt;&gt;</t>
        </is>
      </c>
      <c r="T138" s="222" t="n">
        <v>0</v>
      </c>
      <c r="W138" s="223" t="n">
        <v>0</v>
      </c>
      <c r="AB138" s="223" t="n">
        <v>0</v>
      </c>
      <c r="AD138" s="223" t="n">
        <v>0</v>
      </c>
      <c r="AE138" s="223" t="n">
        <v>0</v>
      </c>
      <c r="AF138" s="223" t="n">
        <v>0</v>
      </c>
    </row>
    <row r="139" ht="15" customHeight="1">
      <c r="R139" s="20" t="inlineStr">
        <is>
          <t>Difference (should be 0) &gt;&gt;&gt;</t>
        </is>
      </c>
      <c r="T139" s="224">
        <f>T136-T138</f>
        <v/>
      </c>
      <c r="W139" s="225">
        <f>W136-W138</f>
        <v/>
      </c>
      <c r="AB139" s="225">
        <f>AB136-AB138</f>
        <v/>
      </c>
      <c r="AD139" s="225">
        <f>AD136-AD138</f>
        <v/>
      </c>
      <c r="AE139" s="225">
        <f>AE136-AE138</f>
        <v/>
      </c>
      <c r="AF139" s="225">
        <f>AF136-AF138</f>
        <v/>
      </c>
    </row>
    <row r="141" ht="15" customHeight="1">
      <c r="A141" s="25" t="inlineStr">
        <is>
          <t>How the maths works</t>
        </is>
      </c>
    </row>
    <row r="142" ht="15" customHeight="1">
      <c r="A142" s="26" t="inlineStr">
        <is>
          <t>Normal Hours (E) = timesheet total you type into the formula, minus all other hours columns (F to S).</t>
        </is>
      </c>
    </row>
    <row r="143" ht="15" customHeight="1">
      <c r="A143" s="26" t="inlineStr">
        <is>
          <t>Total Hours (T) = E to S added up, so it equals the timesheet total. LWOP (S) is counted here but never paid.</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6">
        <f>Fortnightly!$B$1</f>
        <v/>
      </c>
      <c r="D3" s="227">
        <f>INDEX(Lookup!$B$2:$B$27,MATCH(Fortnightly!$B$1,Lookup!$A$2:$A$27,0))</f>
        <v/>
      </c>
      <c r="E3" s="34" t="inlineStr">
        <is>
          <t>to</t>
        </is>
      </c>
      <c r="F3" s="227">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28"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29"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28"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29"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28"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29"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28"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29"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28"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29"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28"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29"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28"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29"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28"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29"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28"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29"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28"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29"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28"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29"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28"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29"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28"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29"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28"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29"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28"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29"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28"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29"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28"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0" t="n">
        <v>0</v>
      </c>
      <c r="F7" s="230" t="n">
        <v>0</v>
      </c>
      <c r="G7" s="45" t="inlineStr">
        <is>
          <t>2026-27</t>
        </is>
      </c>
    </row>
    <row r="8" ht="15" customHeight="1">
      <c r="A8" s="45" t="n">
        <v>2</v>
      </c>
      <c r="B8" s="45" t="inlineStr">
        <is>
          <t>2 - Tax-free threshold claimed</t>
        </is>
      </c>
      <c r="C8" s="46" t="n">
        <v>362</v>
      </c>
      <c r="D8" s="46" t="n">
        <v>538</v>
      </c>
      <c r="E8" s="230" t="n">
        <v>0.15</v>
      </c>
      <c r="F8" s="230" t="n">
        <v>54.3462</v>
      </c>
      <c r="G8" s="45" t="inlineStr">
        <is>
          <t>2026-27</t>
        </is>
      </c>
    </row>
    <row r="9" ht="15" customHeight="1">
      <c r="A9" s="45" t="n">
        <v>2</v>
      </c>
      <c r="B9" s="45" t="inlineStr">
        <is>
          <t>2 - Tax-free threshold claimed</t>
        </is>
      </c>
      <c r="C9" s="46" t="n">
        <v>538</v>
      </c>
      <c r="D9" s="46" t="n">
        <v>673</v>
      </c>
      <c r="E9" s="230" t="n">
        <v>0.25</v>
      </c>
      <c r="F9" s="230" t="n">
        <v>108.2135</v>
      </c>
      <c r="G9" s="45" t="inlineStr">
        <is>
          <t>2026-27</t>
        </is>
      </c>
    </row>
    <row r="10" ht="15" customHeight="1">
      <c r="A10" s="45" t="n">
        <v>2</v>
      </c>
      <c r="B10" s="45" t="inlineStr">
        <is>
          <t>2 - Tax-free threshold claimed</t>
        </is>
      </c>
      <c r="C10" s="46" t="n">
        <v>673</v>
      </c>
      <c r="D10" s="46" t="n">
        <v>721</v>
      </c>
      <c r="E10" s="230" t="n">
        <v>0.17</v>
      </c>
      <c r="F10" s="230" t="n">
        <v>54.3473</v>
      </c>
      <c r="G10" s="45" t="inlineStr">
        <is>
          <t>2026-27</t>
        </is>
      </c>
    </row>
    <row r="11" ht="15" customHeight="1">
      <c r="A11" s="45" t="n">
        <v>2</v>
      </c>
      <c r="B11" s="45" t="inlineStr">
        <is>
          <t>2 - Tax-free threshold claimed</t>
        </is>
      </c>
      <c r="C11" s="46" t="n">
        <v>721</v>
      </c>
      <c r="D11" s="46" t="n">
        <v>865</v>
      </c>
      <c r="E11" s="230" t="n">
        <v>0.179</v>
      </c>
      <c r="F11" s="230" t="n">
        <v>60.8377</v>
      </c>
      <c r="G11" s="45" t="inlineStr">
        <is>
          <t>2026-27</t>
        </is>
      </c>
    </row>
    <row r="12" ht="15" customHeight="1">
      <c r="A12" s="45" t="n">
        <v>2</v>
      </c>
      <c r="B12" s="45" t="inlineStr">
        <is>
          <t>2 - Tax-free threshold claimed</t>
        </is>
      </c>
      <c r="C12" s="46" t="n">
        <v>865</v>
      </c>
      <c r="D12" s="46" t="n">
        <v>1282</v>
      </c>
      <c r="E12" s="230" t="n">
        <v>0.3227</v>
      </c>
      <c r="F12" s="230" t="n">
        <v>185.1935</v>
      </c>
      <c r="G12" s="45" t="inlineStr">
        <is>
          <t>2026-27</t>
        </is>
      </c>
    </row>
    <row r="13" ht="15" customHeight="1">
      <c r="A13" s="45" t="n">
        <v>2</v>
      </c>
      <c r="B13" s="45" t="inlineStr">
        <is>
          <t>2 - Tax-free threshold claimed</t>
        </is>
      </c>
      <c r="C13" s="46" t="n">
        <v>1282</v>
      </c>
      <c r="D13" s="46" t="n">
        <v>2596</v>
      </c>
      <c r="E13" s="230" t="n">
        <v>0.32</v>
      </c>
      <c r="F13" s="230" t="n">
        <v>181.7319</v>
      </c>
      <c r="G13" s="45" t="inlineStr">
        <is>
          <t>2026-27</t>
        </is>
      </c>
    </row>
    <row r="14" ht="15" customHeight="1">
      <c r="A14" s="45" t="n">
        <v>2</v>
      </c>
      <c r="B14" s="45" t="inlineStr">
        <is>
          <t>2 - Tax-free threshold claimed</t>
        </is>
      </c>
      <c r="C14" s="46" t="n">
        <v>2596</v>
      </c>
      <c r="D14" s="46" t="n">
        <v>3653</v>
      </c>
      <c r="E14" s="230" t="n">
        <v>0.39</v>
      </c>
      <c r="F14" s="230" t="n">
        <v>363.4627</v>
      </c>
      <c r="G14" s="45" t="inlineStr">
        <is>
          <t>2026-27</t>
        </is>
      </c>
    </row>
    <row r="15" ht="15" customHeight="1">
      <c r="A15" s="45" t="n">
        <v>2</v>
      </c>
      <c r="B15" s="45" t="inlineStr">
        <is>
          <t>2 - Tax-free threshold claimed</t>
        </is>
      </c>
      <c r="C15" s="46" t="n">
        <v>3653</v>
      </c>
      <c r="D15" s="46" t="n">
        <v>999999</v>
      </c>
      <c r="E15" s="230" t="n">
        <v>0.47</v>
      </c>
      <c r="F15" s="230" t="n">
        <v>655.7704</v>
      </c>
      <c r="G15" s="45" t="inlineStr">
        <is>
          <t>2026-27</t>
        </is>
      </c>
    </row>
    <row r="16" ht="15" customHeight="1">
      <c r="A16" s="48" t="n">
        <v>1</v>
      </c>
      <c r="B16" s="48" t="inlineStr">
        <is>
          <t>1 - No tax-free threshold</t>
        </is>
      </c>
      <c r="C16" s="49" t="n">
        <v>0</v>
      </c>
      <c r="D16" s="49" t="n">
        <v>150</v>
      </c>
      <c r="E16" s="231" t="n">
        <v>0.16</v>
      </c>
      <c r="F16" s="231" t="n">
        <v>0.16</v>
      </c>
      <c r="G16" s="48" t="inlineStr">
        <is>
          <t>2024-26 values - UPDATE for 2026-27</t>
        </is>
      </c>
    </row>
    <row r="17" ht="15" customHeight="1">
      <c r="A17" s="48" t="n">
        <v>1</v>
      </c>
      <c r="B17" s="48" t="inlineStr">
        <is>
          <t>1 - No tax-free threshold</t>
        </is>
      </c>
      <c r="C17" s="49" t="n">
        <v>150</v>
      </c>
      <c r="D17" s="49" t="n">
        <v>371</v>
      </c>
      <c r="E17" s="231" t="n">
        <v>0.2117</v>
      </c>
      <c r="F17" s="231" t="n">
        <v>7.755</v>
      </c>
      <c r="G17" s="48" t="inlineStr">
        <is>
          <t>2024-26 values - UPDATE for 2026-27</t>
        </is>
      </c>
    </row>
    <row r="18" ht="15" customHeight="1">
      <c r="A18" s="48" t="n">
        <v>1</v>
      </c>
      <c r="B18" s="48" t="inlineStr">
        <is>
          <t>1 - No tax-free threshold</t>
        </is>
      </c>
      <c r="C18" s="49" t="n">
        <v>371</v>
      </c>
      <c r="D18" s="49" t="n">
        <v>515</v>
      </c>
      <c r="E18" s="231" t="n">
        <v>0.189</v>
      </c>
      <c r="F18" s="231" t="n">
        <v>-0.6702</v>
      </c>
      <c r="G18" s="48" t="inlineStr">
        <is>
          <t>2024-26 values - UPDATE for 2026-27</t>
        </is>
      </c>
    </row>
    <row r="19" ht="15" customHeight="1">
      <c r="A19" s="48" t="n">
        <v>1</v>
      </c>
      <c r="B19" s="48" t="inlineStr">
        <is>
          <t>1 - No tax-free threshold</t>
        </is>
      </c>
      <c r="C19" s="49" t="n">
        <v>515</v>
      </c>
      <c r="D19" s="49" t="n">
        <v>932</v>
      </c>
      <c r="E19" s="231" t="n">
        <v>0.3227</v>
      </c>
      <c r="F19" s="231" t="n">
        <v>68.2367</v>
      </c>
      <c r="G19" s="48" t="inlineStr">
        <is>
          <t>2024-26 values - UPDATE for 2026-27</t>
        </is>
      </c>
    </row>
    <row r="20" ht="15" customHeight="1">
      <c r="A20" s="48" t="n">
        <v>1</v>
      </c>
      <c r="B20" s="48" t="inlineStr">
        <is>
          <t>1 - No tax-free threshold</t>
        </is>
      </c>
      <c r="C20" s="49" t="n">
        <v>932</v>
      </c>
      <c r="D20" s="49" t="n">
        <v>2246</v>
      </c>
      <c r="E20" s="231" t="n">
        <v>0.32</v>
      </c>
      <c r="F20" s="231" t="n">
        <v>65.72020000000001</v>
      </c>
      <c r="G20" s="48" t="inlineStr">
        <is>
          <t>2024-26 values - UPDATE for 2026-27</t>
        </is>
      </c>
    </row>
    <row r="21" ht="15" customHeight="1">
      <c r="A21" s="48" t="n">
        <v>1</v>
      </c>
      <c r="B21" s="48" t="inlineStr">
        <is>
          <t>1 - No tax-free threshold</t>
        </is>
      </c>
      <c r="C21" s="49" t="n">
        <v>2246</v>
      </c>
      <c r="D21" s="49" t="n">
        <v>3303</v>
      </c>
      <c r="E21" s="231" t="n">
        <v>0.39</v>
      </c>
      <c r="F21" s="231" t="n">
        <v>222.951</v>
      </c>
      <c r="G21" s="48" t="inlineStr">
        <is>
          <t>2024-26 values - UPDATE for 2026-27</t>
        </is>
      </c>
    </row>
    <row r="22" ht="15" customHeight="1">
      <c r="A22" s="48" t="n">
        <v>1</v>
      </c>
      <c r="B22" s="48" t="inlineStr">
        <is>
          <t>1 - No tax-free threshold</t>
        </is>
      </c>
      <c r="C22" s="49" t="n">
        <v>3303</v>
      </c>
      <c r="D22" s="49" t="n">
        <v>999999</v>
      </c>
      <c r="E22" s="231" t="n">
        <v>0.47</v>
      </c>
      <c r="F22" s="231" t="n">
        <v>487.2587</v>
      </c>
      <c r="G22" s="48" t="inlineStr">
        <is>
          <t>2024-26 values - UPDATE for 2026-27</t>
        </is>
      </c>
    </row>
    <row r="23" ht="15" customHeight="1">
      <c r="A23" s="48" t="n">
        <v>3</v>
      </c>
      <c r="B23" s="48" t="inlineStr">
        <is>
          <t>3 - Foreign resident</t>
        </is>
      </c>
      <c r="C23" s="49" t="n">
        <v>0</v>
      </c>
      <c r="D23" s="49" t="n">
        <v>2596</v>
      </c>
      <c r="E23" s="231" t="n">
        <v>0.3</v>
      </c>
      <c r="F23" s="231" t="n">
        <v>0.3</v>
      </c>
      <c r="G23" s="48" t="inlineStr">
        <is>
          <t>2024-26 values - foreign resident rates unchanged, but VERIFY</t>
        </is>
      </c>
    </row>
    <row r="24" ht="15" customHeight="1">
      <c r="A24" s="48" t="n">
        <v>3</v>
      </c>
      <c r="B24" s="48" t="inlineStr">
        <is>
          <t>3 - Foreign resident</t>
        </is>
      </c>
      <c r="C24" s="49" t="n">
        <v>2596</v>
      </c>
      <c r="D24" s="49" t="n">
        <v>3653</v>
      </c>
      <c r="E24" s="231" t="n">
        <v>0.37</v>
      </c>
      <c r="F24" s="231" t="n">
        <v>181.7308</v>
      </c>
      <c r="G24" s="48" t="inlineStr">
        <is>
          <t>2024-26 values - foreign resident rates unchanged, but VERIFY</t>
        </is>
      </c>
    </row>
    <row r="25" ht="15" customHeight="1">
      <c r="A25" s="48" t="n">
        <v>3</v>
      </c>
      <c r="B25" s="48" t="inlineStr">
        <is>
          <t>3 - Foreign resident</t>
        </is>
      </c>
      <c r="C25" s="49" t="n">
        <v>3653</v>
      </c>
      <c r="D25" s="49" t="n">
        <v>999999</v>
      </c>
      <c r="E25" s="231" t="n">
        <v>0.45</v>
      </c>
      <c r="F25" s="231"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L460"/>
  <sheetViews>
    <sheetView workbookViewId="0">
      <pane ySplit="40" topLeftCell="A4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2" t="inlineStr">
        <is>
          <t>TIMESHEET CHECK - Employment Hero timesheets vs EH roster vs shared calendar</t>
        </is>
      </c>
      <c r="B1" s="232" t="n"/>
      <c r="C1" s="232" t="n"/>
      <c r="D1" s="232" t="n"/>
      <c r="E1" s="232" t="n"/>
      <c r="F1" s="232" t="n"/>
      <c r="G1" s="232" t="n"/>
      <c r="H1" s="232" t="n"/>
      <c r="I1" s="232" t="n"/>
      <c r="J1" s="232" t="n"/>
      <c r="K1" s="232" t="n"/>
      <c r="L1" s="232" t="n"/>
    </row>
    <row r="2">
      <c r="A2" s="233">
        <f>"Pay run "&amp;Fortnightly!$B$1&amp;":  "&amp;TEXT($B$3,"ddd d mmm yyyy")&amp;"  to  "&amp;TEXT($D$3,"ddd d mmm yyyy")&amp;"   (change the pay run in Fortnightly!B1)"</f>
        <v/>
      </c>
    </row>
    <row r="3">
      <c r="A3" s="234" t="inlineStr">
        <is>
          <t>Period start</t>
        </is>
      </c>
      <c r="B3" s="235">
        <f>INDEX(Lookup!$B$2:$B$27,MATCH(Fortnightly!$B$1,Lookup!$A$2:$A$27,0))</f>
        <v/>
      </c>
      <c r="C3" s="234" t="inlineStr">
        <is>
          <t>Period end</t>
        </is>
      </c>
      <c r="D3" s="235">
        <f>INDEX(Lookup!$C$2:$C$27,MATCH(Fortnightly!$B$1,Lookup!$A$2:$A$27,0))</f>
        <v/>
      </c>
      <c r="E3" s="234" t="inlineStr">
        <is>
          <t>Tolerance (hrs)</t>
        </is>
      </c>
      <c r="F3" s="236" t="n">
        <v>0.25</v>
      </c>
      <c r="G3" s="234" t="inlineStr">
        <is>
          <t>Days flagged</t>
        </is>
      </c>
      <c r="H3" s="237">
        <f>SUMPRODUCT(($K$41:$K$460&lt;&gt;"OK")*($K$41:$K$460&lt;&gt;""))</f>
        <v/>
      </c>
    </row>
    <row r="4">
      <c r="A4" s="238" t="inlineStr">
        <is>
          <t>White = you type here. Grey = calculated. Steps: 1) paste the EH timesheet export into 'EH Timesheets', 2) paste the EH roster into 'EH Roster', 3) paste the Outlook shared calendar into 'Shared Calendar', 4) list staff below, 5) read the Flag column in the day-by-day table (filter it to hide 'OK').</t>
        </is>
      </c>
    </row>
    <row r="5">
      <c r="A5" s="239" t="inlineStr">
        <is>
          <t>STAFF LIST - one row per person. Employee = name exactly as it appears in the EH exports. Calendar name = how they are written in the shared calendar brackets, e.g. 'Milo'.</t>
        </is>
      </c>
    </row>
    <row r="6" ht="30" customHeight="1">
      <c r="A6" s="240" t="inlineStr">
        <is>
          <t>Employee (EH name)</t>
        </is>
      </c>
      <c r="B6" s="240" t="inlineStr">
        <is>
          <t>Calendar name</t>
        </is>
      </c>
      <c r="C6" s="240" t="inlineStr">
        <is>
          <t>Timesheet hrs</t>
        </is>
      </c>
      <c r="D6" s="240" t="inlineStr">
        <is>
          <t>Roster hrs</t>
        </is>
      </c>
      <c r="E6" s="240" t="inlineStr">
        <is>
          <t>Calendar event hrs</t>
        </is>
      </c>
      <c r="F6" s="240" t="inlineStr">
        <is>
          <t>Days flagged</t>
        </is>
      </c>
      <c r="G6" s="240" t="inlineStr">
        <is>
          <t>Days on leave (calendar)</t>
        </is>
      </c>
    </row>
    <row r="7">
      <c r="A7" s="241" t="inlineStr">
        <is>
          <t>Blake</t>
        </is>
      </c>
      <c r="B7" s="241" t="inlineStr">
        <is>
          <t>Blake</t>
        </is>
      </c>
      <c r="C7" s="242">
        <f>IF($A7="","",SUMIFS($D$41:$D$460,$A$41:$A$460,$A7))</f>
        <v/>
      </c>
      <c r="D7" s="242">
        <f>IF($A7="","",SUMIFS($E$41:$E$460,$A$41:$A$460,$A7))</f>
        <v/>
      </c>
      <c r="E7" s="242">
        <f>IF($A7="","",SUMIFS($G$41:$G$460,$A$41:$A$460,$A7))</f>
        <v/>
      </c>
      <c r="F7" s="243">
        <f>IF($A7="","",SUMPRODUCT(($A$41:$A$460=$A7)*($K$41:$K$460&lt;&gt;"OK")*($K$41:$K$460&lt;&gt;"")))</f>
        <v/>
      </c>
      <c r="G7" s="243">
        <f>IF($A7="","",COUNTIFS($A$41:$A$460,$A7,$I$41:$I$460,"Leave"))</f>
        <v/>
      </c>
    </row>
    <row r="8">
      <c r="A8" s="241" t="inlineStr">
        <is>
          <t>Emily</t>
        </is>
      </c>
      <c r="B8" s="241" t="inlineStr">
        <is>
          <t>Emily</t>
        </is>
      </c>
      <c r="C8" s="242">
        <f>IF($A8="","",SUMIFS($D$41:$D$460,$A$41:$A$460,$A8))</f>
        <v/>
      </c>
      <c r="D8" s="242">
        <f>IF($A8="","",SUMIFS($E$41:$E$460,$A$41:$A$460,$A8))</f>
        <v/>
      </c>
      <c r="E8" s="242">
        <f>IF($A8="","",SUMIFS($G$41:$G$460,$A$41:$A$460,$A8))</f>
        <v/>
      </c>
      <c r="F8" s="243">
        <f>IF($A8="","",SUMPRODUCT(($A$41:$A$460=$A8)*($K$41:$K$460&lt;&gt;"OK")*($K$41:$K$460&lt;&gt;"")))</f>
        <v/>
      </c>
      <c r="G8" s="243">
        <f>IF($A8="","",COUNTIFS($A$41:$A$460,$A8,$I$41:$I$460,"Leave"))</f>
        <v/>
      </c>
    </row>
    <row r="9">
      <c r="A9" s="241" t="inlineStr">
        <is>
          <t>James B</t>
        </is>
      </c>
      <c r="B9" s="241" t="inlineStr">
        <is>
          <t>James</t>
        </is>
      </c>
      <c r="C9" s="242">
        <f>IF($A9="","",SUMIFS($D$41:$D$460,$A$41:$A$460,$A9))</f>
        <v/>
      </c>
      <c r="D9" s="242">
        <f>IF($A9="","",SUMIFS($E$41:$E$460,$A$41:$A$460,$A9))</f>
        <v/>
      </c>
      <c r="E9" s="242">
        <f>IF($A9="","",SUMIFS($G$41:$G$460,$A$41:$A$460,$A9))</f>
        <v/>
      </c>
      <c r="F9" s="243">
        <f>IF($A9="","",SUMPRODUCT(($A$41:$A$460=$A9)*($K$41:$K$460&lt;&gt;"OK")*($K$41:$K$460&lt;&gt;"")))</f>
        <v/>
      </c>
      <c r="G9" s="243">
        <f>IF($A9="","",COUNTIFS($A$41:$A$460,$A9,$I$41:$I$460,"Leave"))</f>
        <v/>
      </c>
    </row>
    <row r="10">
      <c r="A10" s="241" t="inlineStr">
        <is>
          <t>John R</t>
        </is>
      </c>
      <c r="B10" s="241" t="inlineStr">
        <is>
          <t>John</t>
        </is>
      </c>
      <c r="C10" s="242">
        <f>IF($A10="","",SUMIFS($D$41:$D$460,$A$41:$A$460,$A10))</f>
        <v/>
      </c>
      <c r="D10" s="242">
        <f>IF($A10="","",SUMIFS($E$41:$E$460,$A$41:$A$460,$A10))</f>
        <v/>
      </c>
      <c r="E10" s="242">
        <f>IF($A10="","",SUMIFS($G$41:$G$460,$A$41:$A$460,$A10))</f>
        <v/>
      </c>
      <c r="F10" s="243">
        <f>IF($A10="","",SUMPRODUCT(($A$41:$A$460=$A10)*($K$41:$K$460&lt;&gt;"OK")*($K$41:$K$460&lt;&gt;"")))</f>
        <v/>
      </c>
      <c r="G10" s="243">
        <f>IF($A10="","",COUNTIFS($A$41:$A$460,$A10,$I$41:$I$460,"Leave"))</f>
        <v/>
      </c>
    </row>
    <row r="11">
      <c r="A11" s="241" t="inlineStr">
        <is>
          <t>Milo</t>
        </is>
      </c>
      <c r="B11" s="241" t="inlineStr">
        <is>
          <t>Milo</t>
        </is>
      </c>
      <c r="C11" s="242">
        <f>IF($A11="","",SUMIFS($D$41:$D$460,$A$41:$A$460,$A11))</f>
        <v/>
      </c>
      <c r="D11" s="242">
        <f>IF($A11="","",SUMIFS($E$41:$E$460,$A$41:$A$460,$A11))</f>
        <v/>
      </c>
      <c r="E11" s="242">
        <f>IF($A11="","",SUMIFS($G$41:$G$460,$A$41:$A$460,$A11))</f>
        <v/>
      </c>
      <c r="F11" s="243">
        <f>IF($A11="","",SUMPRODUCT(($A$41:$A$460=$A11)*($K$41:$K$460&lt;&gt;"OK")*($K$41:$K$460&lt;&gt;"")))</f>
        <v/>
      </c>
      <c r="G11" s="243">
        <f>IF($A11="","",COUNTIFS($A$41:$A$460,$A11,$I$41:$I$460,"Leave"))</f>
        <v/>
      </c>
    </row>
    <row r="12">
      <c r="A12" s="241" t="inlineStr">
        <is>
          <t>Ruairidh</t>
        </is>
      </c>
      <c r="B12" s="241" t="inlineStr">
        <is>
          <t>Ruairidh</t>
        </is>
      </c>
      <c r="C12" s="242">
        <f>IF($A12="","",SUMIFS($D$41:$D$460,$A$41:$A$460,$A12))</f>
        <v/>
      </c>
      <c r="D12" s="242">
        <f>IF($A12="","",SUMIFS($E$41:$E$460,$A$41:$A$460,$A12))</f>
        <v/>
      </c>
      <c r="E12" s="242">
        <f>IF($A12="","",SUMIFS($G$41:$G$460,$A$41:$A$460,$A12))</f>
        <v/>
      </c>
      <c r="F12" s="243">
        <f>IF($A12="","",SUMPRODUCT(($A$41:$A$460=$A12)*($K$41:$K$460&lt;&gt;"OK")*($K$41:$K$460&lt;&gt;"")))</f>
        <v/>
      </c>
      <c r="G12" s="243">
        <f>IF($A12="","",COUNTIFS($A$41:$A$460,$A12,$I$41:$I$460,"Leave"))</f>
        <v/>
      </c>
    </row>
    <row r="13">
      <c r="A13" s="241" t="inlineStr">
        <is>
          <t>Tyler</t>
        </is>
      </c>
      <c r="B13" s="241" t="inlineStr">
        <is>
          <t>Tyler</t>
        </is>
      </c>
      <c r="C13" s="242">
        <f>IF($A13="","",SUMIFS($D$41:$D$460,$A$41:$A$460,$A13))</f>
        <v/>
      </c>
      <c r="D13" s="242">
        <f>IF($A13="","",SUMIFS($E$41:$E$460,$A$41:$A$460,$A13))</f>
        <v/>
      </c>
      <c r="E13" s="242">
        <f>IF($A13="","",SUMIFS($G$41:$G$460,$A$41:$A$460,$A13))</f>
        <v/>
      </c>
      <c r="F13" s="243">
        <f>IF($A13="","",SUMPRODUCT(($A$41:$A$460=$A13)*($K$41:$K$460&lt;&gt;"OK")*($K$41:$K$460&lt;&gt;"")))</f>
        <v/>
      </c>
      <c r="G13" s="243">
        <f>IF($A13="","",COUNTIFS($A$41:$A$460,$A13,$I$41:$I$460,"Leave"))</f>
        <v/>
      </c>
    </row>
    <row r="14">
      <c r="A14" s="241" t="n"/>
      <c r="B14" s="241" t="n"/>
      <c r="C14" s="242">
        <f>IF($A14="","",SUMIFS($D$41:$D$460,$A$41:$A$460,$A14))</f>
        <v/>
      </c>
      <c r="D14" s="242">
        <f>IF($A14="","",SUMIFS($E$41:$E$460,$A$41:$A$460,$A14))</f>
        <v/>
      </c>
      <c r="E14" s="242">
        <f>IF($A14="","",SUMIFS($G$41:$G$460,$A$41:$A$460,$A14))</f>
        <v/>
      </c>
      <c r="F14" s="243">
        <f>IF($A14="","",SUMPRODUCT(($A$41:$A$460=$A14)*($K$41:$K$460&lt;&gt;"OK")*($K$41:$K$460&lt;&gt;"")))</f>
        <v/>
      </c>
      <c r="G14" s="243">
        <f>IF($A14="","",COUNTIFS($A$41:$A$460,$A14,$I$41:$I$460,"Leave"))</f>
        <v/>
      </c>
    </row>
    <row r="15">
      <c r="A15" s="241" t="n"/>
      <c r="B15" s="241" t="n"/>
      <c r="C15" s="242">
        <f>IF($A15="","",SUMIFS($D$41:$D$460,$A$41:$A$460,$A15))</f>
        <v/>
      </c>
      <c r="D15" s="242">
        <f>IF($A15="","",SUMIFS($E$41:$E$460,$A$41:$A$460,$A15))</f>
        <v/>
      </c>
      <c r="E15" s="242">
        <f>IF($A15="","",SUMIFS($G$41:$G$460,$A$41:$A$460,$A15))</f>
        <v/>
      </c>
      <c r="F15" s="243">
        <f>IF($A15="","",SUMPRODUCT(($A$41:$A$460=$A15)*($K$41:$K$460&lt;&gt;"OK")*($K$41:$K$460&lt;&gt;"")))</f>
        <v/>
      </c>
      <c r="G15" s="243">
        <f>IF($A15="","",COUNTIFS($A$41:$A$460,$A15,$I$41:$I$460,"Leave"))</f>
        <v/>
      </c>
    </row>
    <row r="16">
      <c r="A16" s="241" t="n"/>
      <c r="B16" s="241" t="n"/>
      <c r="C16" s="242">
        <f>IF($A16="","",SUMIFS($D$41:$D$460,$A$41:$A$460,$A16))</f>
        <v/>
      </c>
      <c r="D16" s="242">
        <f>IF($A16="","",SUMIFS($E$41:$E$460,$A$41:$A$460,$A16))</f>
        <v/>
      </c>
      <c r="E16" s="242">
        <f>IF($A16="","",SUMIFS($G$41:$G$460,$A$41:$A$460,$A16))</f>
        <v/>
      </c>
      <c r="F16" s="243">
        <f>IF($A16="","",SUMPRODUCT(($A$41:$A$460=$A16)*($K$41:$K$460&lt;&gt;"OK")*($K$41:$K$460&lt;&gt;"")))</f>
        <v/>
      </c>
      <c r="G16" s="243">
        <f>IF($A16="","",COUNTIFS($A$41:$A$460,$A16,$I$41:$I$460,"Leave"))</f>
        <v/>
      </c>
    </row>
    <row r="17">
      <c r="A17" s="241" t="n"/>
      <c r="B17" s="241" t="n"/>
      <c r="C17" s="242">
        <f>IF($A17="","",SUMIFS($D$41:$D$460,$A$41:$A$460,$A17))</f>
        <v/>
      </c>
      <c r="D17" s="242">
        <f>IF($A17="","",SUMIFS($E$41:$E$460,$A$41:$A$460,$A17))</f>
        <v/>
      </c>
      <c r="E17" s="242">
        <f>IF($A17="","",SUMIFS($G$41:$G$460,$A$41:$A$460,$A17))</f>
        <v/>
      </c>
      <c r="F17" s="243">
        <f>IF($A17="","",SUMPRODUCT(($A$41:$A$460=$A17)*($K$41:$K$460&lt;&gt;"OK")*($K$41:$K$460&lt;&gt;"")))</f>
        <v/>
      </c>
      <c r="G17" s="243">
        <f>IF($A17="","",COUNTIFS($A$41:$A$460,$A17,$I$41:$I$460,"Leave"))</f>
        <v/>
      </c>
    </row>
    <row r="18">
      <c r="A18" s="241" t="n"/>
      <c r="B18" s="241" t="n"/>
      <c r="C18" s="242">
        <f>IF($A18="","",SUMIFS($D$41:$D$460,$A$41:$A$460,$A18))</f>
        <v/>
      </c>
      <c r="D18" s="242">
        <f>IF($A18="","",SUMIFS($E$41:$E$460,$A$41:$A$460,$A18))</f>
        <v/>
      </c>
      <c r="E18" s="242">
        <f>IF($A18="","",SUMIFS($G$41:$G$460,$A$41:$A$460,$A18))</f>
        <v/>
      </c>
      <c r="F18" s="243">
        <f>IF($A18="","",SUMPRODUCT(($A$41:$A$460=$A18)*($K$41:$K$460&lt;&gt;"OK")*($K$41:$K$460&lt;&gt;"")))</f>
        <v/>
      </c>
      <c r="G18" s="243">
        <f>IF($A18="","",COUNTIFS($A$41:$A$460,$A18,$I$41:$I$460,"Leave"))</f>
        <v/>
      </c>
    </row>
    <row r="19">
      <c r="A19" s="241" t="n"/>
      <c r="B19" s="241" t="n"/>
      <c r="C19" s="242">
        <f>IF($A19="","",SUMIFS($D$41:$D$460,$A$41:$A$460,$A19))</f>
        <v/>
      </c>
      <c r="D19" s="242">
        <f>IF($A19="","",SUMIFS($E$41:$E$460,$A$41:$A$460,$A19))</f>
        <v/>
      </c>
      <c r="E19" s="242">
        <f>IF($A19="","",SUMIFS($G$41:$G$460,$A$41:$A$460,$A19))</f>
        <v/>
      </c>
      <c r="F19" s="243">
        <f>IF($A19="","",SUMPRODUCT(($A$41:$A$460=$A19)*($K$41:$K$460&lt;&gt;"OK")*($K$41:$K$460&lt;&gt;"")))</f>
        <v/>
      </c>
      <c r="G19" s="243">
        <f>IF($A19="","",COUNTIFS($A$41:$A$460,$A19,$I$41:$I$460,"Leave"))</f>
        <v/>
      </c>
    </row>
    <row r="20">
      <c r="A20" s="241" t="n"/>
      <c r="B20" s="241" t="n"/>
      <c r="C20" s="242">
        <f>IF($A20="","",SUMIFS($D$41:$D$460,$A$41:$A$460,$A20))</f>
        <v/>
      </c>
      <c r="D20" s="242">
        <f>IF($A20="","",SUMIFS($E$41:$E$460,$A$41:$A$460,$A20))</f>
        <v/>
      </c>
      <c r="E20" s="242">
        <f>IF($A20="","",SUMIFS($G$41:$G$460,$A$41:$A$460,$A20))</f>
        <v/>
      </c>
      <c r="F20" s="243">
        <f>IF($A20="","",SUMPRODUCT(($A$41:$A$460=$A20)*($K$41:$K$460&lt;&gt;"OK")*($K$41:$K$460&lt;&gt;"")))</f>
        <v/>
      </c>
      <c r="G20" s="243">
        <f>IF($A20="","",COUNTIFS($A$41:$A$460,$A20,$I$41:$I$460,"Leave"))</f>
        <v/>
      </c>
    </row>
    <row r="21">
      <c r="A21" s="241" t="n"/>
      <c r="B21" s="241" t="n"/>
      <c r="C21" s="242">
        <f>IF($A21="","",SUMIFS($D$41:$D$460,$A$41:$A$460,$A21))</f>
        <v/>
      </c>
      <c r="D21" s="242">
        <f>IF($A21="","",SUMIFS($E$41:$E$460,$A$41:$A$460,$A21))</f>
        <v/>
      </c>
      <c r="E21" s="242">
        <f>IF($A21="","",SUMIFS($G$41:$G$460,$A$41:$A$460,$A21))</f>
        <v/>
      </c>
      <c r="F21" s="243">
        <f>IF($A21="","",SUMPRODUCT(($A$41:$A$460=$A21)*($K$41:$K$460&lt;&gt;"OK")*($K$41:$K$460&lt;&gt;"")))</f>
        <v/>
      </c>
      <c r="G21" s="243">
        <f>IF($A21="","",COUNTIFS($A$41:$A$460,$A21,$I$41:$I$460,"Leave"))</f>
        <v/>
      </c>
    </row>
    <row r="22">
      <c r="A22" s="241" t="n"/>
      <c r="B22" s="241" t="n"/>
      <c r="C22" s="242">
        <f>IF($A22="","",SUMIFS($D$41:$D$460,$A$41:$A$460,$A22))</f>
        <v/>
      </c>
      <c r="D22" s="242">
        <f>IF($A22="","",SUMIFS($E$41:$E$460,$A$41:$A$460,$A22))</f>
        <v/>
      </c>
      <c r="E22" s="242">
        <f>IF($A22="","",SUMIFS($G$41:$G$460,$A$41:$A$460,$A22))</f>
        <v/>
      </c>
      <c r="F22" s="243">
        <f>IF($A22="","",SUMPRODUCT(($A$41:$A$460=$A22)*($K$41:$K$460&lt;&gt;"OK")*($K$41:$K$460&lt;&gt;"")))</f>
        <v/>
      </c>
      <c r="G22" s="243">
        <f>IF($A22="","",COUNTIFS($A$41:$A$460,$A22,$I$41:$I$460,"Leave"))</f>
        <v/>
      </c>
    </row>
    <row r="23">
      <c r="A23" s="241" t="n"/>
      <c r="B23" s="241" t="n"/>
      <c r="C23" s="242">
        <f>IF($A23="","",SUMIFS($D$41:$D$460,$A$41:$A$460,$A23))</f>
        <v/>
      </c>
      <c r="D23" s="242">
        <f>IF($A23="","",SUMIFS($E$41:$E$460,$A$41:$A$460,$A23))</f>
        <v/>
      </c>
      <c r="E23" s="242">
        <f>IF($A23="","",SUMIFS($G$41:$G$460,$A$41:$A$460,$A23))</f>
        <v/>
      </c>
      <c r="F23" s="243">
        <f>IF($A23="","",SUMPRODUCT(($A$41:$A$460=$A23)*($K$41:$K$460&lt;&gt;"OK")*($K$41:$K$460&lt;&gt;"")))</f>
        <v/>
      </c>
      <c r="G23" s="243">
        <f>IF($A23="","",COUNTIFS($A$41:$A$460,$A23,$I$41:$I$460,"Leave"))</f>
        <v/>
      </c>
    </row>
    <row r="24">
      <c r="A24" s="241" t="n"/>
      <c r="B24" s="241" t="n"/>
      <c r="C24" s="242">
        <f>IF($A24="","",SUMIFS($D$41:$D$460,$A$41:$A$460,$A24))</f>
        <v/>
      </c>
      <c r="D24" s="242">
        <f>IF($A24="","",SUMIFS($E$41:$E$460,$A$41:$A$460,$A24))</f>
        <v/>
      </c>
      <c r="E24" s="242">
        <f>IF($A24="","",SUMIFS($G$41:$G$460,$A$41:$A$460,$A24))</f>
        <v/>
      </c>
      <c r="F24" s="243">
        <f>IF($A24="","",SUMPRODUCT(($A$41:$A$460=$A24)*($K$41:$K$460&lt;&gt;"OK")*($K$41:$K$460&lt;&gt;"")))</f>
        <v/>
      </c>
      <c r="G24" s="243">
        <f>IF($A24="","",COUNTIFS($A$41:$A$460,$A24,$I$41:$I$460,"Leave"))</f>
        <v/>
      </c>
    </row>
    <row r="25">
      <c r="A25" s="241" t="n"/>
      <c r="B25" s="241" t="n"/>
      <c r="C25" s="242">
        <f>IF($A25="","",SUMIFS($D$41:$D$460,$A$41:$A$460,$A25))</f>
        <v/>
      </c>
      <c r="D25" s="242">
        <f>IF($A25="","",SUMIFS($E$41:$E$460,$A$41:$A$460,$A25))</f>
        <v/>
      </c>
      <c r="E25" s="242">
        <f>IF($A25="","",SUMIFS($G$41:$G$460,$A$41:$A$460,$A25))</f>
        <v/>
      </c>
      <c r="F25" s="243">
        <f>IF($A25="","",SUMPRODUCT(($A$41:$A$460=$A25)*($K$41:$K$460&lt;&gt;"OK")*($K$41:$K$460&lt;&gt;"")))</f>
        <v/>
      </c>
      <c r="G25" s="243">
        <f>IF($A25="","",COUNTIFS($A$41:$A$460,$A25,$I$41:$I$460,"Leave"))</f>
        <v/>
      </c>
    </row>
    <row r="26">
      <c r="A26" s="241" t="n"/>
      <c r="B26" s="241" t="n"/>
      <c r="C26" s="242">
        <f>IF($A26="","",SUMIFS($D$41:$D$460,$A$41:$A$460,$A26))</f>
        <v/>
      </c>
      <c r="D26" s="242">
        <f>IF($A26="","",SUMIFS($E$41:$E$460,$A$41:$A$460,$A26))</f>
        <v/>
      </c>
      <c r="E26" s="242">
        <f>IF($A26="","",SUMIFS($G$41:$G$460,$A$41:$A$460,$A26))</f>
        <v/>
      </c>
      <c r="F26" s="243">
        <f>IF($A26="","",SUMPRODUCT(($A$41:$A$460=$A26)*($K$41:$K$460&lt;&gt;"OK")*($K$41:$K$460&lt;&gt;"")))</f>
        <v/>
      </c>
      <c r="G26" s="243">
        <f>IF($A26="","",COUNTIFS($A$41:$A$460,$A26,$I$41:$I$460,"Leave"))</f>
        <v/>
      </c>
    </row>
    <row r="27">
      <c r="A27" s="241" t="n"/>
      <c r="B27" s="241" t="n"/>
      <c r="C27" s="242">
        <f>IF($A27="","",SUMIFS($D$41:$D$460,$A$41:$A$460,$A27))</f>
        <v/>
      </c>
      <c r="D27" s="242">
        <f>IF($A27="","",SUMIFS($E$41:$E$460,$A$41:$A$460,$A27))</f>
        <v/>
      </c>
      <c r="E27" s="242">
        <f>IF($A27="","",SUMIFS($G$41:$G$460,$A$41:$A$460,$A27))</f>
        <v/>
      </c>
      <c r="F27" s="243">
        <f>IF($A27="","",SUMPRODUCT(($A$41:$A$460=$A27)*($K$41:$K$460&lt;&gt;"OK")*($K$41:$K$460&lt;&gt;"")))</f>
        <v/>
      </c>
      <c r="G27" s="243">
        <f>IF($A27="","",COUNTIFS($A$41:$A$460,$A27,$I$41:$I$460,"Leave"))</f>
        <v/>
      </c>
    </row>
    <row r="28">
      <c r="A28" s="241" t="n"/>
      <c r="B28" s="241" t="n"/>
      <c r="C28" s="242">
        <f>IF($A28="","",SUMIFS($D$41:$D$460,$A$41:$A$460,$A28))</f>
        <v/>
      </c>
      <c r="D28" s="242">
        <f>IF($A28="","",SUMIFS($E$41:$E$460,$A$41:$A$460,$A28))</f>
        <v/>
      </c>
      <c r="E28" s="242">
        <f>IF($A28="","",SUMIFS($G$41:$G$460,$A$41:$A$460,$A28))</f>
        <v/>
      </c>
      <c r="F28" s="243">
        <f>IF($A28="","",SUMPRODUCT(($A$41:$A$460=$A28)*($K$41:$K$460&lt;&gt;"OK")*($K$41:$K$460&lt;&gt;"")))</f>
        <v/>
      </c>
      <c r="G28" s="243">
        <f>IF($A28="","",COUNTIFS($A$41:$A$460,$A28,$I$41:$I$460,"Leave"))</f>
        <v/>
      </c>
    </row>
    <row r="29">
      <c r="A29" s="241" t="n"/>
      <c r="B29" s="241" t="n"/>
      <c r="C29" s="242">
        <f>IF($A29="","",SUMIFS($D$41:$D$460,$A$41:$A$460,$A29))</f>
        <v/>
      </c>
      <c r="D29" s="242">
        <f>IF($A29="","",SUMIFS($E$41:$E$460,$A$41:$A$460,$A29))</f>
        <v/>
      </c>
      <c r="E29" s="242">
        <f>IF($A29="","",SUMIFS($G$41:$G$460,$A$41:$A$460,$A29))</f>
        <v/>
      </c>
      <c r="F29" s="243">
        <f>IF($A29="","",SUMPRODUCT(($A$41:$A$460=$A29)*($K$41:$K$460&lt;&gt;"OK")*($K$41:$K$460&lt;&gt;"")))</f>
        <v/>
      </c>
      <c r="G29" s="243">
        <f>IF($A29="","",COUNTIFS($A$41:$A$460,$A29,$I$41:$I$460,"Leave"))</f>
        <v/>
      </c>
    </row>
    <row r="30">
      <c r="A30" s="241" t="n"/>
      <c r="B30" s="241" t="n"/>
      <c r="C30" s="242">
        <f>IF($A30="","",SUMIFS($D$41:$D$460,$A$41:$A$460,$A30))</f>
        <v/>
      </c>
      <c r="D30" s="242">
        <f>IF($A30="","",SUMIFS($E$41:$E$460,$A$41:$A$460,$A30))</f>
        <v/>
      </c>
      <c r="E30" s="242">
        <f>IF($A30="","",SUMIFS($G$41:$G$460,$A$41:$A$460,$A30))</f>
        <v/>
      </c>
      <c r="F30" s="243">
        <f>IF($A30="","",SUMPRODUCT(($A$41:$A$460=$A30)*($K$41:$K$460&lt;&gt;"OK")*($K$41:$K$460&lt;&gt;"")))</f>
        <v/>
      </c>
      <c r="G30" s="243">
        <f>IF($A30="","",COUNTIFS($A$41:$A$460,$A30,$I$41:$I$460,"Leave"))</f>
        <v/>
      </c>
    </row>
    <row r="31">
      <c r="A31" s="241" t="n"/>
      <c r="B31" s="241" t="n"/>
      <c r="C31" s="242">
        <f>IF($A31="","",SUMIFS($D$41:$D$460,$A$41:$A$460,$A31))</f>
        <v/>
      </c>
      <c r="D31" s="242">
        <f>IF($A31="","",SUMIFS($E$41:$E$460,$A$41:$A$460,$A31))</f>
        <v/>
      </c>
      <c r="E31" s="242">
        <f>IF($A31="","",SUMIFS($G$41:$G$460,$A$41:$A$460,$A31))</f>
        <v/>
      </c>
      <c r="F31" s="243">
        <f>IF($A31="","",SUMPRODUCT(($A$41:$A$460=$A31)*($K$41:$K$460&lt;&gt;"OK")*($K$41:$K$460&lt;&gt;"")))</f>
        <v/>
      </c>
      <c r="G31" s="243">
        <f>IF($A31="","",COUNTIFS($A$41:$A$460,$A31,$I$41:$I$460,"Leave"))</f>
        <v/>
      </c>
    </row>
    <row r="32">
      <c r="A32" s="241" t="n"/>
      <c r="B32" s="241" t="n"/>
      <c r="C32" s="242">
        <f>IF($A32="","",SUMIFS($D$41:$D$460,$A$41:$A$460,$A32))</f>
        <v/>
      </c>
      <c r="D32" s="242">
        <f>IF($A32="","",SUMIFS($E$41:$E$460,$A$41:$A$460,$A32))</f>
        <v/>
      </c>
      <c r="E32" s="242">
        <f>IF($A32="","",SUMIFS($G$41:$G$460,$A$41:$A$460,$A32))</f>
        <v/>
      </c>
      <c r="F32" s="243">
        <f>IF($A32="","",SUMPRODUCT(($A$41:$A$460=$A32)*($K$41:$K$460&lt;&gt;"OK")*($K$41:$K$460&lt;&gt;"")))</f>
        <v/>
      </c>
      <c r="G32" s="243">
        <f>IF($A32="","",COUNTIFS($A$41:$A$460,$A32,$I$41:$I$460,"Leave"))</f>
        <v/>
      </c>
    </row>
    <row r="33">
      <c r="A33" s="241" t="n"/>
      <c r="B33" s="241" t="n"/>
      <c r="C33" s="242">
        <f>IF($A33="","",SUMIFS($D$41:$D$460,$A$41:$A$460,$A33))</f>
        <v/>
      </c>
      <c r="D33" s="242">
        <f>IF($A33="","",SUMIFS($E$41:$E$460,$A$41:$A$460,$A33))</f>
        <v/>
      </c>
      <c r="E33" s="242">
        <f>IF($A33="","",SUMIFS($G$41:$G$460,$A$41:$A$460,$A33))</f>
        <v/>
      </c>
      <c r="F33" s="243">
        <f>IF($A33="","",SUMPRODUCT(($A$41:$A$460=$A33)*($K$41:$K$460&lt;&gt;"OK")*($K$41:$K$460&lt;&gt;"")))</f>
        <v/>
      </c>
      <c r="G33" s="243">
        <f>IF($A33="","",COUNTIFS($A$41:$A$460,$A33,$I$41:$I$460,"Leave"))</f>
        <v/>
      </c>
    </row>
    <row r="34">
      <c r="A34" s="241" t="n"/>
      <c r="B34" s="241" t="n"/>
      <c r="C34" s="242">
        <f>IF($A34="","",SUMIFS($D$41:$D$460,$A$41:$A$460,$A34))</f>
        <v/>
      </c>
      <c r="D34" s="242">
        <f>IF($A34="","",SUMIFS($E$41:$E$460,$A$41:$A$460,$A34))</f>
        <v/>
      </c>
      <c r="E34" s="242">
        <f>IF($A34="","",SUMIFS($G$41:$G$460,$A$41:$A$460,$A34))</f>
        <v/>
      </c>
      <c r="F34" s="243">
        <f>IF($A34="","",SUMPRODUCT(($A$41:$A$460=$A34)*($K$41:$K$460&lt;&gt;"OK")*($K$41:$K$460&lt;&gt;"")))</f>
        <v/>
      </c>
      <c r="G34" s="243">
        <f>IF($A34="","",COUNTIFS($A$41:$A$460,$A34,$I$41:$I$460,"Leave"))</f>
        <v/>
      </c>
    </row>
    <row r="35">
      <c r="A35" s="241" t="n"/>
      <c r="B35" s="241" t="n"/>
      <c r="C35" s="242">
        <f>IF($A35="","",SUMIFS($D$41:$D$460,$A$41:$A$460,$A35))</f>
        <v/>
      </c>
      <c r="D35" s="242">
        <f>IF($A35="","",SUMIFS($E$41:$E$460,$A$41:$A$460,$A35))</f>
        <v/>
      </c>
      <c r="E35" s="242">
        <f>IF($A35="","",SUMIFS($G$41:$G$460,$A$41:$A$460,$A35))</f>
        <v/>
      </c>
      <c r="F35" s="243">
        <f>IF($A35="","",SUMPRODUCT(($A$41:$A$460=$A35)*($K$41:$K$460&lt;&gt;"OK")*($K$41:$K$460&lt;&gt;"")))</f>
        <v/>
      </c>
      <c r="G35" s="243">
        <f>IF($A35="","",COUNTIFS($A$41:$A$460,$A35,$I$41:$I$460,"Leave"))</f>
        <v/>
      </c>
    </row>
    <row r="36">
      <c r="A36" s="241" t="n"/>
      <c r="B36" s="241" t="n"/>
      <c r="C36" s="242">
        <f>IF($A36="","",SUMIFS($D$41:$D$460,$A$41:$A$460,$A36))</f>
        <v/>
      </c>
      <c r="D36" s="242">
        <f>IF($A36="","",SUMIFS($E$41:$E$460,$A$41:$A$460,$A36))</f>
        <v/>
      </c>
      <c r="E36" s="242">
        <f>IF($A36="","",SUMIFS($G$41:$G$460,$A$41:$A$460,$A36))</f>
        <v/>
      </c>
      <c r="F36" s="243">
        <f>IF($A36="","",SUMPRODUCT(($A$41:$A$460=$A36)*($K$41:$K$460&lt;&gt;"OK")*($K$41:$K$460&lt;&gt;"")))</f>
        <v/>
      </c>
      <c r="G36" s="243">
        <f>IF($A36="","",COUNTIFS($A$41:$A$460,$A36,$I$41:$I$460,"Leave"))</f>
        <v/>
      </c>
    </row>
    <row r="39">
      <c r="A39" s="239" t="inlineStr">
        <is>
          <t>DAY-BY-DAY CHECK - one row per person per day of the pay run. Use the filter on 'Flag' to show only problems.</t>
        </is>
      </c>
    </row>
    <row r="40" ht="42" customHeight="1">
      <c r="A40" s="240" t="inlineStr">
        <is>
          <t>Employee</t>
        </is>
      </c>
      <c r="B40" s="240" t="inlineStr">
        <is>
          <t>Date</t>
        </is>
      </c>
      <c r="C40" s="240" t="inlineStr">
        <is>
          <t>Day</t>
        </is>
      </c>
      <c r="D40" s="240" t="inlineStr">
        <is>
          <t>Timesheet hrs</t>
        </is>
      </c>
      <c r="E40" s="240" t="inlineStr">
        <is>
          <t>Roster hrs</t>
        </is>
      </c>
      <c r="F40" s="240" t="inlineStr">
        <is>
          <t>Timesheet - Roster</t>
        </is>
      </c>
      <c r="G40" s="240" t="inlineStr">
        <is>
          <t>Calendar event hrs</t>
        </is>
      </c>
      <c r="H40" s="240" t="inlineStr">
        <is>
          <t>Calendar entry (first match)</t>
        </is>
      </c>
      <c r="I40" s="240" t="inlineStr">
        <is>
          <t>Leave in calendar?</t>
        </is>
      </c>
      <c r="J40" s="240" t="inlineStr">
        <is>
          <t>Public holiday</t>
        </is>
      </c>
      <c r="K40" s="240" t="inlineStr">
        <is>
          <t>Flag</t>
        </is>
      </c>
      <c r="L40" s="240" t="inlineStr">
        <is>
          <t>Calendar name (helper)</t>
        </is>
      </c>
    </row>
    <row r="41">
      <c r="A41" s="244">
        <f>IF(INDEX($A$7:$A$36,INT((ROW()-41)/14)+1)="","",INDEX($A$7:$A$36,INT((ROW()-41)/14)+1))</f>
        <v/>
      </c>
      <c r="B41" s="245">
        <f>IF($A41="","",$B$3+MOD(ROW()-41,14))</f>
        <v/>
      </c>
      <c r="C41" s="244">
        <f>IF($A41="","",TEXT($B41,"ddd"))</f>
        <v/>
      </c>
      <c r="D41" s="242">
        <f>IF($A41="","",SUMIFS('EH Timesheets'!$G$6:$G$1005,'EH Timesheets'!$A$6:$A$1005,$A41,'EH Timesheets'!$B$6:$B$1005,$B41))</f>
        <v/>
      </c>
      <c r="E41" s="242">
        <f>IF($A41="","",SUMIFS('EH Roster'!$G$6:$G$1005,'EH Roster'!$A$6:$A$1005,$A41,'EH Roster'!$B$6:$B$1005,$B41))</f>
        <v/>
      </c>
      <c r="F41" s="242">
        <f>IF($A41="","",$D41-$E41)</f>
        <v/>
      </c>
      <c r="G41" s="242">
        <f>IF($A41="","",IF($L41="",0,SUMPRODUCT(('Shared Calendar'!$K$2:$K$1000&gt;0)*('Shared Calendar'!$K$2:$K$1000&lt;=$B41)*('Shared Calendar'!$J$2:$J$1000&gt;$B41)*ISNUMBER(SEARCH($L41,'Shared Calendar'!$M$2:$M$1000))*('Shared Calendar'!$N$2:$N$1000="Event"),'Shared Calendar'!$L$2:$L$1000)))</f>
        <v/>
      </c>
      <c r="H41" s="246">
        <f>IF(OR($A41="",$L41=""),"",IF(SUMPRODUCT(MAX(('Shared Calendar'!$K$2:$K$1000&gt;0)*('Shared Calendar'!$K$2:$K$1000&lt;=$B41)*('Shared Calendar'!$J$2:$J$1000&gt;$B41)*ISNUMBER(SEARCH($L41,'Shared Calendar'!$M$2:$M$1000))*ROW('Shared Calendar'!$A$2:$A$1000)))=0,"",INDEX('Shared Calendar'!$A:$A,SUMPRODUCT(MAX(('Shared Calendar'!$K$2:$K$1000&gt;0)*('Shared Calendar'!$K$2:$K$1000&lt;=$B41)*('Shared Calendar'!$J$2:$J$1000&gt;$B41)*ISNUMBER(SEARCH($L41,'Shared Calendar'!$M$2:$M$1000))*ROW('Shared Calendar'!$A$2:$A$1000))))))</f>
        <v/>
      </c>
      <c r="I41" s="244">
        <f>IF(OR($A41="",$L41=""),"",IF(SUMPRODUCT(('Shared Calendar'!$K$2:$K$1000&gt;0)*('Shared Calendar'!$K$2:$K$1000&lt;=$B41)*('Shared Calendar'!$J$2:$J$1000&gt;$B41)*ISNUMBER(SEARCH($L41,'Shared Calendar'!$M$2:$M$1000))*('Shared Calendar'!$N$2:$N$1000="Leave"))&gt;0,"Leave",""))</f>
        <v/>
      </c>
      <c r="J41" s="244">
        <f>IF($A41="","",IFERROR(INDEX('Public Holidays'!$C$6:$C$38,MATCH($B41,'Public Holidays'!$A$6:$A$38,0))&amp;" ("&amp;INDEX('Public Holidays'!$L$6:$L$38,MATCH($B41,'Public Holidays'!$A$6:$A$38,0))&amp;")",""))</f>
        <v/>
      </c>
      <c r="K41" s="246">
        <f>IF($A41="","",IF(AND($D41=0,$E41=0,$G41=0),IF($I41="Leave","On leave (calendar), no shift",""),IF(AND($I41="Leave",$D41&gt;0),"On leave per calendar but timesheet has hours",IF(AND($I41="Leave",$E41&gt;0),"Rostered but on leave per calendar",IF(AND($D41=0,$E41&gt;0),"Rostered, no timesheet",IF(AND($D41&gt;0,$E41=0,$G41=0),"Timesheet but not rostered",IF(AND($D41&gt;0,$E41=0,$G41&gt;0),IF($G41&gt;$D41+$F$3,"Calendar event, no roster, timesheet short","Calendar event, no roster"),IF(ABS($D41-$E41)&gt;$F$3,"Timesheet differs from roster",IF(AND($G41&gt;0,$D41=0),"Calendar event, no timesheet",IF($G41&gt;$D41+$F$3,"Timesheet less than calendar event","OK"))))))))))</f>
        <v/>
      </c>
      <c r="L41" s="244">
        <f>IF($A41="","",INDEX($B$7:$B$36,INT((ROW()-41)/14)+1)&amp;"")</f>
        <v/>
      </c>
    </row>
    <row r="42">
      <c r="A42" s="244">
        <f>IF(INDEX($A$7:$A$36,INT((ROW()-41)/14)+1)="","",INDEX($A$7:$A$36,INT((ROW()-41)/14)+1))</f>
        <v/>
      </c>
      <c r="B42" s="245">
        <f>IF($A42="","",$B$3+MOD(ROW()-41,14))</f>
        <v/>
      </c>
      <c r="C42" s="244">
        <f>IF($A42="","",TEXT($B42,"ddd"))</f>
        <v/>
      </c>
      <c r="D42" s="242">
        <f>IF($A42="","",SUMIFS('EH Timesheets'!$G$6:$G$1005,'EH Timesheets'!$A$6:$A$1005,$A42,'EH Timesheets'!$B$6:$B$1005,$B42))</f>
        <v/>
      </c>
      <c r="E42" s="242">
        <f>IF($A42="","",SUMIFS('EH Roster'!$G$6:$G$1005,'EH Roster'!$A$6:$A$1005,$A42,'EH Roster'!$B$6:$B$1005,$B42))</f>
        <v/>
      </c>
      <c r="F42" s="242">
        <f>IF($A42="","",$D42-$E42)</f>
        <v/>
      </c>
      <c r="G42" s="242">
        <f>IF($A42="","",IF($L42="",0,SUMPRODUCT(('Shared Calendar'!$K$2:$K$1000&gt;0)*('Shared Calendar'!$K$2:$K$1000&lt;=$B42)*('Shared Calendar'!$J$2:$J$1000&gt;$B42)*ISNUMBER(SEARCH($L42,'Shared Calendar'!$M$2:$M$1000))*('Shared Calendar'!$N$2:$N$1000="Event"),'Shared Calendar'!$L$2:$L$1000)))</f>
        <v/>
      </c>
      <c r="H42" s="246">
        <f>IF(OR($A42="",$L42=""),"",IF(SUMPRODUCT(MAX(('Shared Calendar'!$K$2:$K$1000&gt;0)*('Shared Calendar'!$K$2:$K$1000&lt;=$B42)*('Shared Calendar'!$J$2:$J$1000&gt;$B42)*ISNUMBER(SEARCH($L42,'Shared Calendar'!$M$2:$M$1000))*ROW('Shared Calendar'!$A$2:$A$1000)))=0,"",INDEX('Shared Calendar'!$A:$A,SUMPRODUCT(MAX(('Shared Calendar'!$K$2:$K$1000&gt;0)*('Shared Calendar'!$K$2:$K$1000&lt;=$B42)*('Shared Calendar'!$J$2:$J$1000&gt;$B42)*ISNUMBER(SEARCH($L42,'Shared Calendar'!$M$2:$M$1000))*ROW('Shared Calendar'!$A$2:$A$1000))))))</f>
        <v/>
      </c>
      <c r="I42" s="244">
        <f>IF(OR($A42="",$L42=""),"",IF(SUMPRODUCT(('Shared Calendar'!$K$2:$K$1000&gt;0)*('Shared Calendar'!$K$2:$K$1000&lt;=$B42)*('Shared Calendar'!$J$2:$J$1000&gt;$B42)*ISNUMBER(SEARCH($L42,'Shared Calendar'!$M$2:$M$1000))*('Shared Calendar'!$N$2:$N$1000="Leave"))&gt;0,"Leave",""))</f>
        <v/>
      </c>
      <c r="J42" s="244">
        <f>IF($A42="","",IFERROR(INDEX('Public Holidays'!$C$6:$C$38,MATCH($B42,'Public Holidays'!$A$6:$A$38,0))&amp;" ("&amp;INDEX('Public Holidays'!$L$6:$L$38,MATCH($B42,'Public Holidays'!$A$6:$A$38,0))&amp;")",""))</f>
        <v/>
      </c>
      <c r="K42" s="246">
        <f>IF($A42="","",IF(AND($D42=0,$E42=0,$G42=0),IF($I42="Leave","On leave (calendar), no shift",""),IF(AND($I42="Leave",$D42&gt;0),"On leave per calendar but timesheet has hours",IF(AND($I42="Leave",$E42&gt;0),"Rostered but on leave per calendar",IF(AND($D42=0,$E42&gt;0),"Rostered, no timesheet",IF(AND($D42&gt;0,$E42=0,$G42=0),"Timesheet but not rostered",IF(AND($D42&gt;0,$E42=0,$G42&gt;0),IF($G42&gt;$D42+$F$3,"Calendar event, no roster, timesheet short","Calendar event, no roster"),IF(ABS($D42-$E42)&gt;$F$3,"Timesheet differs from roster",IF(AND($G42&gt;0,$D42=0),"Calendar event, no timesheet",IF($G42&gt;$D42+$F$3,"Timesheet less than calendar event","OK"))))))))))</f>
        <v/>
      </c>
      <c r="L42" s="244">
        <f>IF($A42="","",INDEX($B$7:$B$36,INT((ROW()-41)/14)+1)&amp;"")</f>
        <v/>
      </c>
    </row>
    <row r="43">
      <c r="A43" s="244">
        <f>IF(INDEX($A$7:$A$36,INT((ROW()-41)/14)+1)="","",INDEX($A$7:$A$36,INT((ROW()-41)/14)+1))</f>
        <v/>
      </c>
      <c r="B43" s="245">
        <f>IF($A43="","",$B$3+MOD(ROW()-41,14))</f>
        <v/>
      </c>
      <c r="C43" s="244">
        <f>IF($A43="","",TEXT($B43,"ddd"))</f>
        <v/>
      </c>
      <c r="D43" s="242">
        <f>IF($A43="","",SUMIFS('EH Timesheets'!$G$6:$G$1005,'EH Timesheets'!$A$6:$A$1005,$A43,'EH Timesheets'!$B$6:$B$1005,$B43))</f>
        <v/>
      </c>
      <c r="E43" s="242">
        <f>IF($A43="","",SUMIFS('EH Roster'!$G$6:$G$1005,'EH Roster'!$A$6:$A$1005,$A43,'EH Roster'!$B$6:$B$1005,$B43))</f>
        <v/>
      </c>
      <c r="F43" s="242">
        <f>IF($A43="","",$D43-$E43)</f>
        <v/>
      </c>
      <c r="G43" s="242">
        <f>IF($A43="","",IF($L43="",0,SUMPRODUCT(('Shared Calendar'!$K$2:$K$1000&gt;0)*('Shared Calendar'!$K$2:$K$1000&lt;=$B43)*('Shared Calendar'!$J$2:$J$1000&gt;$B43)*ISNUMBER(SEARCH($L43,'Shared Calendar'!$M$2:$M$1000))*('Shared Calendar'!$N$2:$N$1000="Event"),'Shared Calendar'!$L$2:$L$1000)))</f>
        <v/>
      </c>
      <c r="H43" s="246">
        <f>IF(OR($A43="",$L43=""),"",IF(SUMPRODUCT(MAX(('Shared Calendar'!$K$2:$K$1000&gt;0)*('Shared Calendar'!$K$2:$K$1000&lt;=$B43)*('Shared Calendar'!$J$2:$J$1000&gt;$B43)*ISNUMBER(SEARCH($L43,'Shared Calendar'!$M$2:$M$1000))*ROW('Shared Calendar'!$A$2:$A$1000)))=0,"",INDEX('Shared Calendar'!$A:$A,SUMPRODUCT(MAX(('Shared Calendar'!$K$2:$K$1000&gt;0)*('Shared Calendar'!$K$2:$K$1000&lt;=$B43)*('Shared Calendar'!$J$2:$J$1000&gt;$B43)*ISNUMBER(SEARCH($L43,'Shared Calendar'!$M$2:$M$1000))*ROW('Shared Calendar'!$A$2:$A$1000))))))</f>
        <v/>
      </c>
      <c r="I43" s="244">
        <f>IF(OR($A43="",$L43=""),"",IF(SUMPRODUCT(('Shared Calendar'!$K$2:$K$1000&gt;0)*('Shared Calendar'!$K$2:$K$1000&lt;=$B43)*('Shared Calendar'!$J$2:$J$1000&gt;$B43)*ISNUMBER(SEARCH($L43,'Shared Calendar'!$M$2:$M$1000))*('Shared Calendar'!$N$2:$N$1000="Leave"))&gt;0,"Leave",""))</f>
        <v/>
      </c>
      <c r="J43" s="244">
        <f>IF($A43="","",IFERROR(INDEX('Public Holidays'!$C$6:$C$38,MATCH($B43,'Public Holidays'!$A$6:$A$38,0))&amp;" ("&amp;INDEX('Public Holidays'!$L$6:$L$38,MATCH($B43,'Public Holidays'!$A$6:$A$38,0))&amp;")",""))</f>
        <v/>
      </c>
      <c r="K43" s="246">
        <f>IF($A43="","",IF(AND($D43=0,$E43=0,$G43=0),IF($I43="Leave","On leave (calendar), no shift",""),IF(AND($I43="Leave",$D43&gt;0),"On leave per calendar but timesheet has hours",IF(AND($I43="Leave",$E43&gt;0),"Rostered but on leave per calendar",IF(AND($D43=0,$E43&gt;0),"Rostered, no timesheet",IF(AND($D43&gt;0,$E43=0,$G43=0),"Timesheet but not rostered",IF(AND($D43&gt;0,$E43=0,$G43&gt;0),IF($G43&gt;$D43+$F$3,"Calendar event, no roster, timesheet short","Calendar event, no roster"),IF(ABS($D43-$E43)&gt;$F$3,"Timesheet differs from roster",IF(AND($G43&gt;0,$D43=0),"Calendar event, no timesheet",IF($G43&gt;$D43+$F$3,"Timesheet less than calendar event","OK"))))))))))</f>
        <v/>
      </c>
      <c r="L43" s="244">
        <f>IF($A43="","",INDEX($B$7:$B$36,INT((ROW()-41)/14)+1)&amp;"")</f>
        <v/>
      </c>
    </row>
    <row r="44">
      <c r="A44" s="244">
        <f>IF(INDEX($A$7:$A$36,INT((ROW()-41)/14)+1)="","",INDEX($A$7:$A$36,INT((ROW()-41)/14)+1))</f>
        <v/>
      </c>
      <c r="B44" s="245">
        <f>IF($A44="","",$B$3+MOD(ROW()-41,14))</f>
        <v/>
      </c>
      <c r="C44" s="244">
        <f>IF($A44="","",TEXT($B44,"ddd"))</f>
        <v/>
      </c>
      <c r="D44" s="242">
        <f>IF($A44="","",SUMIFS('EH Timesheets'!$G$6:$G$1005,'EH Timesheets'!$A$6:$A$1005,$A44,'EH Timesheets'!$B$6:$B$1005,$B44))</f>
        <v/>
      </c>
      <c r="E44" s="242">
        <f>IF($A44="","",SUMIFS('EH Roster'!$G$6:$G$1005,'EH Roster'!$A$6:$A$1005,$A44,'EH Roster'!$B$6:$B$1005,$B44))</f>
        <v/>
      </c>
      <c r="F44" s="242">
        <f>IF($A44="","",$D44-$E44)</f>
        <v/>
      </c>
      <c r="G44" s="242">
        <f>IF($A44="","",IF($L44="",0,SUMPRODUCT(('Shared Calendar'!$K$2:$K$1000&gt;0)*('Shared Calendar'!$K$2:$K$1000&lt;=$B44)*('Shared Calendar'!$J$2:$J$1000&gt;$B44)*ISNUMBER(SEARCH($L44,'Shared Calendar'!$M$2:$M$1000))*('Shared Calendar'!$N$2:$N$1000="Event"),'Shared Calendar'!$L$2:$L$1000)))</f>
        <v/>
      </c>
      <c r="H44" s="246">
        <f>IF(OR($A44="",$L44=""),"",IF(SUMPRODUCT(MAX(('Shared Calendar'!$K$2:$K$1000&gt;0)*('Shared Calendar'!$K$2:$K$1000&lt;=$B44)*('Shared Calendar'!$J$2:$J$1000&gt;$B44)*ISNUMBER(SEARCH($L44,'Shared Calendar'!$M$2:$M$1000))*ROW('Shared Calendar'!$A$2:$A$1000)))=0,"",INDEX('Shared Calendar'!$A:$A,SUMPRODUCT(MAX(('Shared Calendar'!$K$2:$K$1000&gt;0)*('Shared Calendar'!$K$2:$K$1000&lt;=$B44)*('Shared Calendar'!$J$2:$J$1000&gt;$B44)*ISNUMBER(SEARCH($L44,'Shared Calendar'!$M$2:$M$1000))*ROW('Shared Calendar'!$A$2:$A$1000))))))</f>
        <v/>
      </c>
      <c r="I44" s="244">
        <f>IF(OR($A44="",$L44=""),"",IF(SUMPRODUCT(('Shared Calendar'!$K$2:$K$1000&gt;0)*('Shared Calendar'!$K$2:$K$1000&lt;=$B44)*('Shared Calendar'!$J$2:$J$1000&gt;$B44)*ISNUMBER(SEARCH($L44,'Shared Calendar'!$M$2:$M$1000))*('Shared Calendar'!$N$2:$N$1000="Leave"))&gt;0,"Leave",""))</f>
        <v/>
      </c>
      <c r="J44" s="244">
        <f>IF($A44="","",IFERROR(INDEX('Public Holidays'!$C$6:$C$38,MATCH($B44,'Public Holidays'!$A$6:$A$38,0))&amp;" ("&amp;INDEX('Public Holidays'!$L$6:$L$38,MATCH($B44,'Public Holidays'!$A$6:$A$38,0))&amp;")",""))</f>
        <v/>
      </c>
      <c r="K44" s="246">
        <f>IF($A44="","",IF(AND($D44=0,$E44=0,$G44=0),IF($I44="Leave","On leave (calendar), no shift",""),IF(AND($I44="Leave",$D44&gt;0),"On leave per calendar but timesheet has hours",IF(AND($I44="Leave",$E44&gt;0),"Rostered but on leave per calendar",IF(AND($D44=0,$E44&gt;0),"Rostered, no timesheet",IF(AND($D44&gt;0,$E44=0,$G44=0),"Timesheet but not rostered",IF(AND($D44&gt;0,$E44=0,$G44&gt;0),IF($G44&gt;$D44+$F$3,"Calendar event, no roster, timesheet short","Calendar event, no roster"),IF(ABS($D44-$E44)&gt;$F$3,"Timesheet differs from roster",IF(AND($G44&gt;0,$D44=0),"Calendar event, no timesheet",IF($G44&gt;$D44+$F$3,"Timesheet less than calendar event","OK"))))))))))</f>
        <v/>
      </c>
      <c r="L44" s="244">
        <f>IF($A44="","",INDEX($B$7:$B$36,INT((ROW()-41)/14)+1)&amp;"")</f>
        <v/>
      </c>
    </row>
    <row r="45">
      <c r="A45" s="244">
        <f>IF(INDEX($A$7:$A$36,INT((ROW()-41)/14)+1)="","",INDEX($A$7:$A$36,INT((ROW()-41)/14)+1))</f>
        <v/>
      </c>
      <c r="B45" s="245">
        <f>IF($A45="","",$B$3+MOD(ROW()-41,14))</f>
        <v/>
      </c>
      <c r="C45" s="244">
        <f>IF($A45="","",TEXT($B45,"ddd"))</f>
        <v/>
      </c>
      <c r="D45" s="242">
        <f>IF($A45="","",SUMIFS('EH Timesheets'!$G$6:$G$1005,'EH Timesheets'!$A$6:$A$1005,$A45,'EH Timesheets'!$B$6:$B$1005,$B45))</f>
        <v/>
      </c>
      <c r="E45" s="242">
        <f>IF($A45="","",SUMIFS('EH Roster'!$G$6:$G$1005,'EH Roster'!$A$6:$A$1005,$A45,'EH Roster'!$B$6:$B$1005,$B45))</f>
        <v/>
      </c>
      <c r="F45" s="242">
        <f>IF($A45="","",$D45-$E45)</f>
        <v/>
      </c>
      <c r="G45" s="242">
        <f>IF($A45="","",IF($L45="",0,SUMPRODUCT(('Shared Calendar'!$K$2:$K$1000&gt;0)*('Shared Calendar'!$K$2:$K$1000&lt;=$B45)*('Shared Calendar'!$J$2:$J$1000&gt;$B45)*ISNUMBER(SEARCH($L45,'Shared Calendar'!$M$2:$M$1000))*('Shared Calendar'!$N$2:$N$1000="Event"),'Shared Calendar'!$L$2:$L$1000)))</f>
        <v/>
      </c>
      <c r="H45" s="246">
        <f>IF(OR($A45="",$L45=""),"",IF(SUMPRODUCT(MAX(('Shared Calendar'!$K$2:$K$1000&gt;0)*('Shared Calendar'!$K$2:$K$1000&lt;=$B45)*('Shared Calendar'!$J$2:$J$1000&gt;$B45)*ISNUMBER(SEARCH($L45,'Shared Calendar'!$M$2:$M$1000))*ROW('Shared Calendar'!$A$2:$A$1000)))=0,"",INDEX('Shared Calendar'!$A:$A,SUMPRODUCT(MAX(('Shared Calendar'!$K$2:$K$1000&gt;0)*('Shared Calendar'!$K$2:$K$1000&lt;=$B45)*('Shared Calendar'!$J$2:$J$1000&gt;$B45)*ISNUMBER(SEARCH($L45,'Shared Calendar'!$M$2:$M$1000))*ROW('Shared Calendar'!$A$2:$A$1000))))))</f>
        <v/>
      </c>
      <c r="I45" s="244">
        <f>IF(OR($A45="",$L45=""),"",IF(SUMPRODUCT(('Shared Calendar'!$K$2:$K$1000&gt;0)*('Shared Calendar'!$K$2:$K$1000&lt;=$B45)*('Shared Calendar'!$J$2:$J$1000&gt;$B45)*ISNUMBER(SEARCH($L45,'Shared Calendar'!$M$2:$M$1000))*('Shared Calendar'!$N$2:$N$1000="Leave"))&gt;0,"Leave",""))</f>
        <v/>
      </c>
      <c r="J45" s="244">
        <f>IF($A45="","",IFERROR(INDEX('Public Holidays'!$C$6:$C$38,MATCH($B45,'Public Holidays'!$A$6:$A$38,0))&amp;" ("&amp;INDEX('Public Holidays'!$L$6:$L$38,MATCH($B45,'Public Holidays'!$A$6:$A$38,0))&amp;")",""))</f>
        <v/>
      </c>
      <c r="K45" s="246">
        <f>IF($A45="","",IF(AND($D45=0,$E45=0,$G45=0),IF($I45="Leave","On leave (calendar), no shift",""),IF(AND($I45="Leave",$D45&gt;0),"On leave per calendar but timesheet has hours",IF(AND($I45="Leave",$E45&gt;0),"Rostered but on leave per calendar",IF(AND($D45=0,$E45&gt;0),"Rostered, no timesheet",IF(AND($D45&gt;0,$E45=0,$G45=0),"Timesheet but not rostered",IF(AND($D45&gt;0,$E45=0,$G45&gt;0),IF($G45&gt;$D45+$F$3,"Calendar event, no roster, timesheet short","Calendar event, no roster"),IF(ABS($D45-$E45)&gt;$F$3,"Timesheet differs from roster",IF(AND($G45&gt;0,$D45=0),"Calendar event, no timesheet",IF($G45&gt;$D45+$F$3,"Timesheet less than calendar event","OK"))))))))))</f>
        <v/>
      </c>
      <c r="L45" s="244">
        <f>IF($A45="","",INDEX($B$7:$B$36,INT((ROW()-41)/14)+1)&amp;"")</f>
        <v/>
      </c>
    </row>
    <row r="46">
      <c r="A46" s="244">
        <f>IF(INDEX($A$7:$A$36,INT((ROW()-41)/14)+1)="","",INDEX($A$7:$A$36,INT((ROW()-41)/14)+1))</f>
        <v/>
      </c>
      <c r="B46" s="245">
        <f>IF($A46="","",$B$3+MOD(ROW()-41,14))</f>
        <v/>
      </c>
      <c r="C46" s="244">
        <f>IF($A46="","",TEXT($B46,"ddd"))</f>
        <v/>
      </c>
      <c r="D46" s="242">
        <f>IF($A46="","",SUMIFS('EH Timesheets'!$G$6:$G$1005,'EH Timesheets'!$A$6:$A$1005,$A46,'EH Timesheets'!$B$6:$B$1005,$B46))</f>
        <v/>
      </c>
      <c r="E46" s="242">
        <f>IF($A46="","",SUMIFS('EH Roster'!$G$6:$G$1005,'EH Roster'!$A$6:$A$1005,$A46,'EH Roster'!$B$6:$B$1005,$B46))</f>
        <v/>
      </c>
      <c r="F46" s="242">
        <f>IF($A46="","",$D46-$E46)</f>
        <v/>
      </c>
      <c r="G46" s="242">
        <f>IF($A46="","",IF($L46="",0,SUMPRODUCT(('Shared Calendar'!$K$2:$K$1000&gt;0)*('Shared Calendar'!$K$2:$K$1000&lt;=$B46)*('Shared Calendar'!$J$2:$J$1000&gt;$B46)*ISNUMBER(SEARCH($L46,'Shared Calendar'!$M$2:$M$1000))*('Shared Calendar'!$N$2:$N$1000="Event"),'Shared Calendar'!$L$2:$L$1000)))</f>
        <v/>
      </c>
      <c r="H46" s="246">
        <f>IF(OR($A46="",$L46=""),"",IF(SUMPRODUCT(MAX(('Shared Calendar'!$K$2:$K$1000&gt;0)*('Shared Calendar'!$K$2:$K$1000&lt;=$B46)*('Shared Calendar'!$J$2:$J$1000&gt;$B46)*ISNUMBER(SEARCH($L46,'Shared Calendar'!$M$2:$M$1000))*ROW('Shared Calendar'!$A$2:$A$1000)))=0,"",INDEX('Shared Calendar'!$A:$A,SUMPRODUCT(MAX(('Shared Calendar'!$K$2:$K$1000&gt;0)*('Shared Calendar'!$K$2:$K$1000&lt;=$B46)*('Shared Calendar'!$J$2:$J$1000&gt;$B46)*ISNUMBER(SEARCH($L46,'Shared Calendar'!$M$2:$M$1000))*ROW('Shared Calendar'!$A$2:$A$1000))))))</f>
        <v/>
      </c>
      <c r="I46" s="244">
        <f>IF(OR($A46="",$L46=""),"",IF(SUMPRODUCT(('Shared Calendar'!$K$2:$K$1000&gt;0)*('Shared Calendar'!$K$2:$K$1000&lt;=$B46)*('Shared Calendar'!$J$2:$J$1000&gt;$B46)*ISNUMBER(SEARCH($L46,'Shared Calendar'!$M$2:$M$1000))*('Shared Calendar'!$N$2:$N$1000="Leave"))&gt;0,"Leave",""))</f>
        <v/>
      </c>
      <c r="J46" s="244">
        <f>IF($A46="","",IFERROR(INDEX('Public Holidays'!$C$6:$C$38,MATCH($B46,'Public Holidays'!$A$6:$A$38,0))&amp;" ("&amp;INDEX('Public Holidays'!$L$6:$L$38,MATCH($B46,'Public Holidays'!$A$6:$A$38,0))&amp;")",""))</f>
        <v/>
      </c>
      <c r="K46" s="246">
        <f>IF($A46="","",IF(AND($D46=0,$E46=0,$G46=0),IF($I46="Leave","On leave (calendar), no shift",""),IF(AND($I46="Leave",$D46&gt;0),"On leave per calendar but timesheet has hours",IF(AND($I46="Leave",$E46&gt;0),"Rostered but on leave per calendar",IF(AND($D46=0,$E46&gt;0),"Rostered, no timesheet",IF(AND($D46&gt;0,$E46=0,$G46=0),"Timesheet but not rostered",IF(AND($D46&gt;0,$E46=0,$G46&gt;0),IF($G46&gt;$D46+$F$3,"Calendar event, no roster, timesheet short","Calendar event, no roster"),IF(ABS($D46-$E46)&gt;$F$3,"Timesheet differs from roster",IF(AND($G46&gt;0,$D46=0),"Calendar event, no timesheet",IF($G46&gt;$D46+$F$3,"Timesheet less than calendar event","OK"))))))))))</f>
        <v/>
      </c>
      <c r="L46" s="244">
        <f>IF($A46="","",INDEX($B$7:$B$36,INT((ROW()-41)/14)+1)&amp;"")</f>
        <v/>
      </c>
    </row>
    <row r="47">
      <c r="A47" s="244">
        <f>IF(INDEX($A$7:$A$36,INT((ROW()-41)/14)+1)="","",INDEX($A$7:$A$36,INT((ROW()-41)/14)+1))</f>
        <v/>
      </c>
      <c r="B47" s="245">
        <f>IF($A47="","",$B$3+MOD(ROW()-41,14))</f>
        <v/>
      </c>
      <c r="C47" s="244">
        <f>IF($A47="","",TEXT($B47,"ddd"))</f>
        <v/>
      </c>
      <c r="D47" s="242">
        <f>IF($A47="","",SUMIFS('EH Timesheets'!$G$6:$G$1005,'EH Timesheets'!$A$6:$A$1005,$A47,'EH Timesheets'!$B$6:$B$1005,$B47))</f>
        <v/>
      </c>
      <c r="E47" s="242">
        <f>IF($A47="","",SUMIFS('EH Roster'!$G$6:$G$1005,'EH Roster'!$A$6:$A$1005,$A47,'EH Roster'!$B$6:$B$1005,$B47))</f>
        <v/>
      </c>
      <c r="F47" s="242">
        <f>IF($A47="","",$D47-$E47)</f>
        <v/>
      </c>
      <c r="G47" s="242">
        <f>IF($A47="","",IF($L47="",0,SUMPRODUCT(('Shared Calendar'!$K$2:$K$1000&gt;0)*('Shared Calendar'!$K$2:$K$1000&lt;=$B47)*('Shared Calendar'!$J$2:$J$1000&gt;$B47)*ISNUMBER(SEARCH($L47,'Shared Calendar'!$M$2:$M$1000))*('Shared Calendar'!$N$2:$N$1000="Event"),'Shared Calendar'!$L$2:$L$1000)))</f>
        <v/>
      </c>
      <c r="H47" s="246">
        <f>IF(OR($A47="",$L47=""),"",IF(SUMPRODUCT(MAX(('Shared Calendar'!$K$2:$K$1000&gt;0)*('Shared Calendar'!$K$2:$K$1000&lt;=$B47)*('Shared Calendar'!$J$2:$J$1000&gt;$B47)*ISNUMBER(SEARCH($L47,'Shared Calendar'!$M$2:$M$1000))*ROW('Shared Calendar'!$A$2:$A$1000)))=0,"",INDEX('Shared Calendar'!$A:$A,SUMPRODUCT(MAX(('Shared Calendar'!$K$2:$K$1000&gt;0)*('Shared Calendar'!$K$2:$K$1000&lt;=$B47)*('Shared Calendar'!$J$2:$J$1000&gt;$B47)*ISNUMBER(SEARCH($L47,'Shared Calendar'!$M$2:$M$1000))*ROW('Shared Calendar'!$A$2:$A$1000))))))</f>
        <v/>
      </c>
      <c r="I47" s="244">
        <f>IF(OR($A47="",$L47=""),"",IF(SUMPRODUCT(('Shared Calendar'!$K$2:$K$1000&gt;0)*('Shared Calendar'!$K$2:$K$1000&lt;=$B47)*('Shared Calendar'!$J$2:$J$1000&gt;$B47)*ISNUMBER(SEARCH($L47,'Shared Calendar'!$M$2:$M$1000))*('Shared Calendar'!$N$2:$N$1000="Leave"))&gt;0,"Leave",""))</f>
        <v/>
      </c>
      <c r="J47" s="244">
        <f>IF($A47="","",IFERROR(INDEX('Public Holidays'!$C$6:$C$38,MATCH($B47,'Public Holidays'!$A$6:$A$38,0))&amp;" ("&amp;INDEX('Public Holidays'!$L$6:$L$38,MATCH($B47,'Public Holidays'!$A$6:$A$38,0))&amp;")",""))</f>
        <v/>
      </c>
      <c r="K47" s="246">
        <f>IF($A47="","",IF(AND($D47=0,$E47=0,$G47=0),IF($I47="Leave","On leave (calendar), no shift",""),IF(AND($I47="Leave",$D47&gt;0),"On leave per calendar but timesheet has hours",IF(AND($I47="Leave",$E47&gt;0),"Rostered but on leave per calendar",IF(AND($D47=0,$E47&gt;0),"Rostered, no timesheet",IF(AND($D47&gt;0,$E47=0,$G47=0),"Timesheet but not rostered",IF(AND($D47&gt;0,$E47=0,$G47&gt;0),IF($G47&gt;$D47+$F$3,"Calendar event, no roster, timesheet short","Calendar event, no roster"),IF(ABS($D47-$E47)&gt;$F$3,"Timesheet differs from roster",IF(AND($G47&gt;0,$D47=0),"Calendar event, no timesheet",IF($G47&gt;$D47+$F$3,"Timesheet less than calendar event","OK"))))))))))</f>
        <v/>
      </c>
      <c r="L47" s="244">
        <f>IF($A47="","",INDEX($B$7:$B$36,INT((ROW()-41)/14)+1)&amp;"")</f>
        <v/>
      </c>
    </row>
    <row r="48">
      <c r="A48" s="244">
        <f>IF(INDEX($A$7:$A$36,INT((ROW()-41)/14)+1)="","",INDEX($A$7:$A$36,INT((ROW()-41)/14)+1))</f>
        <v/>
      </c>
      <c r="B48" s="245">
        <f>IF($A48="","",$B$3+MOD(ROW()-41,14))</f>
        <v/>
      </c>
      <c r="C48" s="244">
        <f>IF($A48="","",TEXT($B48,"ddd"))</f>
        <v/>
      </c>
      <c r="D48" s="242">
        <f>IF($A48="","",SUMIFS('EH Timesheets'!$G$6:$G$1005,'EH Timesheets'!$A$6:$A$1005,$A48,'EH Timesheets'!$B$6:$B$1005,$B48))</f>
        <v/>
      </c>
      <c r="E48" s="242">
        <f>IF($A48="","",SUMIFS('EH Roster'!$G$6:$G$1005,'EH Roster'!$A$6:$A$1005,$A48,'EH Roster'!$B$6:$B$1005,$B48))</f>
        <v/>
      </c>
      <c r="F48" s="242">
        <f>IF($A48="","",$D48-$E48)</f>
        <v/>
      </c>
      <c r="G48" s="242">
        <f>IF($A48="","",IF($L48="",0,SUMPRODUCT(('Shared Calendar'!$K$2:$K$1000&gt;0)*('Shared Calendar'!$K$2:$K$1000&lt;=$B48)*('Shared Calendar'!$J$2:$J$1000&gt;$B48)*ISNUMBER(SEARCH($L48,'Shared Calendar'!$M$2:$M$1000))*('Shared Calendar'!$N$2:$N$1000="Event"),'Shared Calendar'!$L$2:$L$1000)))</f>
        <v/>
      </c>
      <c r="H48" s="246">
        <f>IF(OR($A48="",$L48=""),"",IF(SUMPRODUCT(MAX(('Shared Calendar'!$K$2:$K$1000&gt;0)*('Shared Calendar'!$K$2:$K$1000&lt;=$B48)*('Shared Calendar'!$J$2:$J$1000&gt;$B48)*ISNUMBER(SEARCH($L48,'Shared Calendar'!$M$2:$M$1000))*ROW('Shared Calendar'!$A$2:$A$1000)))=0,"",INDEX('Shared Calendar'!$A:$A,SUMPRODUCT(MAX(('Shared Calendar'!$K$2:$K$1000&gt;0)*('Shared Calendar'!$K$2:$K$1000&lt;=$B48)*('Shared Calendar'!$J$2:$J$1000&gt;$B48)*ISNUMBER(SEARCH($L48,'Shared Calendar'!$M$2:$M$1000))*ROW('Shared Calendar'!$A$2:$A$1000))))))</f>
        <v/>
      </c>
      <c r="I48" s="244">
        <f>IF(OR($A48="",$L48=""),"",IF(SUMPRODUCT(('Shared Calendar'!$K$2:$K$1000&gt;0)*('Shared Calendar'!$K$2:$K$1000&lt;=$B48)*('Shared Calendar'!$J$2:$J$1000&gt;$B48)*ISNUMBER(SEARCH($L48,'Shared Calendar'!$M$2:$M$1000))*('Shared Calendar'!$N$2:$N$1000="Leave"))&gt;0,"Leave",""))</f>
        <v/>
      </c>
      <c r="J48" s="244">
        <f>IF($A48="","",IFERROR(INDEX('Public Holidays'!$C$6:$C$38,MATCH($B48,'Public Holidays'!$A$6:$A$38,0))&amp;" ("&amp;INDEX('Public Holidays'!$L$6:$L$38,MATCH($B48,'Public Holidays'!$A$6:$A$38,0))&amp;")",""))</f>
        <v/>
      </c>
      <c r="K48" s="246">
        <f>IF($A48="","",IF(AND($D48=0,$E48=0,$G48=0),IF($I48="Leave","On leave (calendar), no shift",""),IF(AND($I48="Leave",$D48&gt;0),"On leave per calendar but timesheet has hours",IF(AND($I48="Leave",$E48&gt;0),"Rostered but on leave per calendar",IF(AND($D48=0,$E48&gt;0),"Rostered, no timesheet",IF(AND($D48&gt;0,$E48=0,$G48=0),"Timesheet but not rostered",IF(AND($D48&gt;0,$E48=0,$G48&gt;0),IF($G48&gt;$D48+$F$3,"Calendar event, no roster, timesheet short","Calendar event, no roster"),IF(ABS($D48-$E48)&gt;$F$3,"Timesheet differs from roster",IF(AND($G48&gt;0,$D48=0),"Calendar event, no timesheet",IF($G48&gt;$D48+$F$3,"Timesheet less than calendar event","OK"))))))))))</f>
        <v/>
      </c>
      <c r="L48" s="244">
        <f>IF($A48="","",INDEX($B$7:$B$36,INT((ROW()-41)/14)+1)&amp;"")</f>
        <v/>
      </c>
    </row>
    <row r="49">
      <c r="A49" s="244">
        <f>IF(INDEX($A$7:$A$36,INT((ROW()-41)/14)+1)="","",INDEX($A$7:$A$36,INT((ROW()-41)/14)+1))</f>
        <v/>
      </c>
      <c r="B49" s="245">
        <f>IF($A49="","",$B$3+MOD(ROW()-41,14))</f>
        <v/>
      </c>
      <c r="C49" s="244">
        <f>IF($A49="","",TEXT($B49,"ddd"))</f>
        <v/>
      </c>
      <c r="D49" s="242">
        <f>IF($A49="","",SUMIFS('EH Timesheets'!$G$6:$G$1005,'EH Timesheets'!$A$6:$A$1005,$A49,'EH Timesheets'!$B$6:$B$1005,$B49))</f>
        <v/>
      </c>
      <c r="E49" s="242">
        <f>IF($A49="","",SUMIFS('EH Roster'!$G$6:$G$1005,'EH Roster'!$A$6:$A$1005,$A49,'EH Roster'!$B$6:$B$1005,$B49))</f>
        <v/>
      </c>
      <c r="F49" s="242">
        <f>IF($A49="","",$D49-$E49)</f>
        <v/>
      </c>
      <c r="G49" s="242">
        <f>IF($A49="","",IF($L49="",0,SUMPRODUCT(('Shared Calendar'!$K$2:$K$1000&gt;0)*('Shared Calendar'!$K$2:$K$1000&lt;=$B49)*('Shared Calendar'!$J$2:$J$1000&gt;$B49)*ISNUMBER(SEARCH($L49,'Shared Calendar'!$M$2:$M$1000))*('Shared Calendar'!$N$2:$N$1000="Event"),'Shared Calendar'!$L$2:$L$1000)))</f>
        <v/>
      </c>
      <c r="H49" s="246">
        <f>IF(OR($A49="",$L49=""),"",IF(SUMPRODUCT(MAX(('Shared Calendar'!$K$2:$K$1000&gt;0)*('Shared Calendar'!$K$2:$K$1000&lt;=$B49)*('Shared Calendar'!$J$2:$J$1000&gt;$B49)*ISNUMBER(SEARCH($L49,'Shared Calendar'!$M$2:$M$1000))*ROW('Shared Calendar'!$A$2:$A$1000)))=0,"",INDEX('Shared Calendar'!$A:$A,SUMPRODUCT(MAX(('Shared Calendar'!$K$2:$K$1000&gt;0)*('Shared Calendar'!$K$2:$K$1000&lt;=$B49)*('Shared Calendar'!$J$2:$J$1000&gt;$B49)*ISNUMBER(SEARCH($L49,'Shared Calendar'!$M$2:$M$1000))*ROW('Shared Calendar'!$A$2:$A$1000))))))</f>
        <v/>
      </c>
      <c r="I49" s="244">
        <f>IF(OR($A49="",$L49=""),"",IF(SUMPRODUCT(('Shared Calendar'!$K$2:$K$1000&gt;0)*('Shared Calendar'!$K$2:$K$1000&lt;=$B49)*('Shared Calendar'!$J$2:$J$1000&gt;$B49)*ISNUMBER(SEARCH($L49,'Shared Calendar'!$M$2:$M$1000))*('Shared Calendar'!$N$2:$N$1000="Leave"))&gt;0,"Leave",""))</f>
        <v/>
      </c>
      <c r="J49" s="244">
        <f>IF($A49="","",IFERROR(INDEX('Public Holidays'!$C$6:$C$38,MATCH($B49,'Public Holidays'!$A$6:$A$38,0))&amp;" ("&amp;INDEX('Public Holidays'!$L$6:$L$38,MATCH($B49,'Public Holidays'!$A$6:$A$38,0))&amp;")",""))</f>
        <v/>
      </c>
      <c r="K49" s="246">
        <f>IF($A49="","",IF(AND($D49=0,$E49=0,$G49=0),IF($I49="Leave","On leave (calendar), no shift",""),IF(AND($I49="Leave",$D49&gt;0),"On leave per calendar but timesheet has hours",IF(AND($I49="Leave",$E49&gt;0),"Rostered but on leave per calendar",IF(AND($D49=0,$E49&gt;0),"Rostered, no timesheet",IF(AND($D49&gt;0,$E49=0,$G49=0),"Timesheet but not rostered",IF(AND($D49&gt;0,$E49=0,$G49&gt;0),IF($G49&gt;$D49+$F$3,"Calendar event, no roster, timesheet short","Calendar event, no roster"),IF(ABS($D49-$E49)&gt;$F$3,"Timesheet differs from roster",IF(AND($G49&gt;0,$D49=0),"Calendar event, no timesheet",IF($G49&gt;$D49+$F$3,"Timesheet less than calendar event","OK"))))))))))</f>
        <v/>
      </c>
      <c r="L49" s="244">
        <f>IF($A49="","",INDEX($B$7:$B$36,INT((ROW()-41)/14)+1)&amp;"")</f>
        <v/>
      </c>
    </row>
    <row r="50">
      <c r="A50" s="244">
        <f>IF(INDEX($A$7:$A$36,INT((ROW()-41)/14)+1)="","",INDEX($A$7:$A$36,INT((ROW()-41)/14)+1))</f>
        <v/>
      </c>
      <c r="B50" s="245">
        <f>IF($A50="","",$B$3+MOD(ROW()-41,14))</f>
        <v/>
      </c>
      <c r="C50" s="244">
        <f>IF($A50="","",TEXT($B50,"ddd"))</f>
        <v/>
      </c>
      <c r="D50" s="242">
        <f>IF($A50="","",SUMIFS('EH Timesheets'!$G$6:$G$1005,'EH Timesheets'!$A$6:$A$1005,$A50,'EH Timesheets'!$B$6:$B$1005,$B50))</f>
        <v/>
      </c>
      <c r="E50" s="242">
        <f>IF($A50="","",SUMIFS('EH Roster'!$G$6:$G$1005,'EH Roster'!$A$6:$A$1005,$A50,'EH Roster'!$B$6:$B$1005,$B50))</f>
        <v/>
      </c>
      <c r="F50" s="242">
        <f>IF($A50="","",$D50-$E50)</f>
        <v/>
      </c>
      <c r="G50" s="242">
        <f>IF($A50="","",IF($L50="",0,SUMPRODUCT(('Shared Calendar'!$K$2:$K$1000&gt;0)*('Shared Calendar'!$K$2:$K$1000&lt;=$B50)*('Shared Calendar'!$J$2:$J$1000&gt;$B50)*ISNUMBER(SEARCH($L50,'Shared Calendar'!$M$2:$M$1000))*('Shared Calendar'!$N$2:$N$1000="Event"),'Shared Calendar'!$L$2:$L$1000)))</f>
        <v/>
      </c>
      <c r="H50" s="246">
        <f>IF(OR($A50="",$L50=""),"",IF(SUMPRODUCT(MAX(('Shared Calendar'!$K$2:$K$1000&gt;0)*('Shared Calendar'!$K$2:$K$1000&lt;=$B50)*('Shared Calendar'!$J$2:$J$1000&gt;$B50)*ISNUMBER(SEARCH($L50,'Shared Calendar'!$M$2:$M$1000))*ROW('Shared Calendar'!$A$2:$A$1000)))=0,"",INDEX('Shared Calendar'!$A:$A,SUMPRODUCT(MAX(('Shared Calendar'!$K$2:$K$1000&gt;0)*('Shared Calendar'!$K$2:$K$1000&lt;=$B50)*('Shared Calendar'!$J$2:$J$1000&gt;$B50)*ISNUMBER(SEARCH($L50,'Shared Calendar'!$M$2:$M$1000))*ROW('Shared Calendar'!$A$2:$A$1000))))))</f>
        <v/>
      </c>
      <c r="I50" s="244">
        <f>IF(OR($A50="",$L50=""),"",IF(SUMPRODUCT(('Shared Calendar'!$K$2:$K$1000&gt;0)*('Shared Calendar'!$K$2:$K$1000&lt;=$B50)*('Shared Calendar'!$J$2:$J$1000&gt;$B50)*ISNUMBER(SEARCH($L50,'Shared Calendar'!$M$2:$M$1000))*('Shared Calendar'!$N$2:$N$1000="Leave"))&gt;0,"Leave",""))</f>
        <v/>
      </c>
      <c r="J50" s="244">
        <f>IF($A50="","",IFERROR(INDEX('Public Holidays'!$C$6:$C$38,MATCH($B50,'Public Holidays'!$A$6:$A$38,0))&amp;" ("&amp;INDEX('Public Holidays'!$L$6:$L$38,MATCH($B50,'Public Holidays'!$A$6:$A$38,0))&amp;")",""))</f>
        <v/>
      </c>
      <c r="K50" s="246">
        <f>IF($A50="","",IF(AND($D50=0,$E50=0,$G50=0),IF($I50="Leave","On leave (calendar), no shift",""),IF(AND($I50="Leave",$D50&gt;0),"On leave per calendar but timesheet has hours",IF(AND($I50="Leave",$E50&gt;0),"Rostered but on leave per calendar",IF(AND($D50=0,$E50&gt;0),"Rostered, no timesheet",IF(AND($D50&gt;0,$E50=0,$G50=0),"Timesheet but not rostered",IF(AND($D50&gt;0,$E50=0,$G50&gt;0),IF($G50&gt;$D50+$F$3,"Calendar event, no roster, timesheet short","Calendar event, no roster"),IF(ABS($D50-$E50)&gt;$F$3,"Timesheet differs from roster",IF(AND($G50&gt;0,$D50=0),"Calendar event, no timesheet",IF($G50&gt;$D50+$F$3,"Timesheet less than calendar event","OK"))))))))))</f>
        <v/>
      </c>
      <c r="L50" s="244">
        <f>IF($A50="","",INDEX($B$7:$B$36,INT((ROW()-41)/14)+1)&amp;"")</f>
        <v/>
      </c>
    </row>
    <row r="51">
      <c r="A51" s="244">
        <f>IF(INDEX($A$7:$A$36,INT((ROW()-41)/14)+1)="","",INDEX($A$7:$A$36,INT((ROW()-41)/14)+1))</f>
        <v/>
      </c>
      <c r="B51" s="245">
        <f>IF($A51="","",$B$3+MOD(ROW()-41,14))</f>
        <v/>
      </c>
      <c r="C51" s="244">
        <f>IF($A51="","",TEXT($B51,"ddd"))</f>
        <v/>
      </c>
      <c r="D51" s="242">
        <f>IF($A51="","",SUMIFS('EH Timesheets'!$G$6:$G$1005,'EH Timesheets'!$A$6:$A$1005,$A51,'EH Timesheets'!$B$6:$B$1005,$B51))</f>
        <v/>
      </c>
      <c r="E51" s="242">
        <f>IF($A51="","",SUMIFS('EH Roster'!$G$6:$G$1005,'EH Roster'!$A$6:$A$1005,$A51,'EH Roster'!$B$6:$B$1005,$B51))</f>
        <v/>
      </c>
      <c r="F51" s="242">
        <f>IF($A51="","",$D51-$E51)</f>
        <v/>
      </c>
      <c r="G51" s="242">
        <f>IF($A51="","",IF($L51="",0,SUMPRODUCT(('Shared Calendar'!$K$2:$K$1000&gt;0)*('Shared Calendar'!$K$2:$K$1000&lt;=$B51)*('Shared Calendar'!$J$2:$J$1000&gt;$B51)*ISNUMBER(SEARCH($L51,'Shared Calendar'!$M$2:$M$1000))*('Shared Calendar'!$N$2:$N$1000="Event"),'Shared Calendar'!$L$2:$L$1000)))</f>
        <v/>
      </c>
      <c r="H51" s="246">
        <f>IF(OR($A51="",$L51=""),"",IF(SUMPRODUCT(MAX(('Shared Calendar'!$K$2:$K$1000&gt;0)*('Shared Calendar'!$K$2:$K$1000&lt;=$B51)*('Shared Calendar'!$J$2:$J$1000&gt;$B51)*ISNUMBER(SEARCH($L51,'Shared Calendar'!$M$2:$M$1000))*ROW('Shared Calendar'!$A$2:$A$1000)))=0,"",INDEX('Shared Calendar'!$A:$A,SUMPRODUCT(MAX(('Shared Calendar'!$K$2:$K$1000&gt;0)*('Shared Calendar'!$K$2:$K$1000&lt;=$B51)*('Shared Calendar'!$J$2:$J$1000&gt;$B51)*ISNUMBER(SEARCH($L51,'Shared Calendar'!$M$2:$M$1000))*ROW('Shared Calendar'!$A$2:$A$1000))))))</f>
        <v/>
      </c>
      <c r="I51" s="244">
        <f>IF(OR($A51="",$L51=""),"",IF(SUMPRODUCT(('Shared Calendar'!$K$2:$K$1000&gt;0)*('Shared Calendar'!$K$2:$K$1000&lt;=$B51)*('Shared Calendar'!$J$2:$J$1000&gt;$B51)*ISNUMBER(SEARCH($L51,'Shared Calendar'!$M$2:$M$1000))*('Shared Calendar'!$N$2:$N$1000="Leave"))&gt;0,"Leave",""))</f>
        <v/>
      </c>
      <c r="J51" s="244">
        <f>IF($A51="","",IFERROR(INDEX('Public Holidays'!$C$6:$C$38,MATCH($B51,'Public Holidays'!$A$6:$A$38,0))&amp;" ("&amp;INDEX('Public Holidays'!$L$6:$L$38,MATCH($B51,'Public Holidays'!$A$6:$A$38,0))&amp;")",""))</f>
        <v/>
      </c>
      <c r="K51" s="246">
        <f>IF($A51="","",IF(AND($D51=0,$E51=0,$G51=0),IF($I51="Leave","On leave (calendar), no shift",""),IF(AND($I51="Leave",$D51&gt;0),"On leave per calendar but timesheet has hours",IF(AND($I51="Leave",$E51&gt;0),"Rostered but on leave per calendar",IF(AND($D51=0,$E51&gt;0),"Rostered, no timesheet",IF(AND($D51&gt;0,$E51=0,$G51=0),"Timesheet but not rostered",IF(AND($D51&gt;0,$E51=0,$G51&gt;0),IF($G51&gt;$D51+$F$3,"Calendar event, no roster, timesheet short","Calendar event, no roster"),IF(ABS($D51-$E51)&gt;$F$3,"Timesheet differs from roster",IF(AND($G51&gt;0,$D51=0),"Calendar event, no timesheet",IF($G51&gt;$D51+$F$3,"Timesheet less than calendar event","OK"))))))))))</f>
        <v/>
      </c>
      <c r="L51" s="244">
        <f>IF($A51="","",INDEX($B$7:$B$36,INT((ROW()-41)/14)+1)&amp;"")</f>
        <v/>
      </c>
    </row>
    <row r="52">
      <c r="A52" s="244">
        <f>IF(INDEX($A$7:$A$36,INT((ROW()-41)/14)+1)="","",INDEX($A$7:$A$36,INT((ROW()-41)/14)+1))</f>
        <v/>
      </c>
      <c r="B52" s="245">
        <f>IF($A52="","",$B$3+MOD(ROW()-41,14))</f>
        <v/>
      </c>
      <c r="C52" s="244">
        <f>IF($A52="","",TEXT($B52,"ddd"))</f>
        <v/>
      </c>
      <c r="D52" s="242">
        <f>IF($A52="","",SUMIFS('EH Timesheets'!$G$6:$G$1005,'EH Timesheets'!$A$6:$A$1005,$A52,'EH Timesheets'!$B$6:$B$1005,$B52))</f>
        <v/>
      </c>
      <c r="E52" s="242">
        <f>IF($A52="","",SUMIFS('EH Roster'!$G$6:$G$1005,'EH Roster'!$A$6:$A$1005,$A52,'EH Roster'!$B$6:$B$1005,$B52))</f>
        <v/>
      </c>
      <c r="F52" s="242">
        <f>IF($A52="","",$D52-$E52)</f>
        <v/>
      </c>
      <c r="G52" s="242">
        <f>IF($A52="","",IF($L52="",0,SUMPRODUCT(('Shared Calendar'!$K$2:$K$1000&gt;0)*('Shared Calendar'!$K$2:$K$1000&lt;=$B52)*('Shared Calendar'!$J$2:$J$1000&gt;$B52)*ISNUMBER(SEARCH($L52,'Shared Calendar'!$M$2:$M$1000))*('Shared Calendar'!$N$2:$N$1000="Event"),'Shared Calendar'!$L$2:$L$1000)))</f>
        <v/>
      </c>
      <c r="H52" s="246">
        <f>IF(OR($A52="",$L52=""),"",IF(SUMPRODUCT(MAX(('Shared Calendar'!$K$2:$K$1000&gt;0)*('Shared Calendar'!$K$2:$K$1000&lt;=$B52)*('Shared Calendar'!$J$2:$J$1000&gt;$B52)*ISNUMBER(SEARCH($L52,'Shared Calendar'!$M$2:$M$1000))*ROW('Shared Calendar'!$A$2:$A$1000)))=0,"",INDEX('Shared Calendar'!$A:$A,SUMPRODUCT(MAX(('Shared Calendar'!$K$2:$K$1000&gt;0)*('Shared Calendar'!$K$2:$K$1000&lt;=$B52)*('Shared Calendar'!$J$2:$J$1000&gt;$B52)*ISNUMBER(SEARCH($L52,'Shared Calendar'!$M$2:$M$1000))*ROW('Shared Calendar'!$A$2:$A$1000))))))</f>
        <v/>
      </c>
      <c r="I52" s="244">
        <f>IF(OR($A52="",$L52=""),"",IF(SUMPRODUCT(('Shared Calendar'!$K$2:$K$1000&gt;0)*('Shared Calendar'!$K$2:$K$1000&lt;=$B52)*('Shared Calendar'!$J$2:$J$1000&gt;$B52)*ISNUMBER(SEARCH($L52,'Shared Calendar'!$M$2:$M$1000))*('Shared Calendar'!$N$2:$N$1000="Leave"))&gt;0,"Leave",""))</f>
        <v/>
      </c>
      <c r="J52" s="244">
        <f>IF($A52="","",IFERROR(INDEX('Public Holidays'!$C$6:$C$38,MATCH($B52,'Public Holidays'!$A$6:$A$38,0))&amp;" ("&amp;INDEX('Public Holidays'!$L$6:$L$38,MATCH($B52,'Public Holidays'!$A$6:$A$38,0))&amp;")",""))</f>
        <v/>
      </c>
      <c r="K52" s="246">
        <f>IF($A52="","",IF(AND($D52=0,$E52=0,$G52=0),IF($I52="Leave","On leave (calendar), no shift",""),IF(AND($I52="Leave",$D52&gt;0),"On leave per calendar but timesheet has hours",IF(AND($I52="Leave",$E52&gt;0),"Rostered but on leave per calendar",IF(AND($D52=0,$E52&gt;0),"Rostered, no timesheet",IF(AND($D52&gt;0,$E52=0,$G52=0),"Timesheet but not rostered",IF(AND($D52&gt;0,$E52=0,$G52&gt;0),IF($G52&gt;$D52+$F$3,"Calendar event, no roster, timesheet short","Calendar event, no roster"),IF(ABS($D52-$E52)&gt;$F$3,"Timesheet differs from roster",IF(AND($G52&gt;0,$D52=0),"Calendar event, no timesheet",IF($G52&gt;$D52+$F$3,"Timesheet less than calendar event","OK"))))))))))</f>
        <v/>
      </c>
      <c r="L52" s="244">
        <f>IF($A52="","",INDEX($B$7:$B$36,INT((ROW()-41)/14)+1)&amp;"")</f>
        <v/>
      </c>
    </row>
    <row r="53">
      <c r="A53" s="244">
        <f>IF(INDEX($A$7:$A$36,INT((ROW()-41)/14)+1)="","",INDEX($A$7:$A$36,INT((ROW()-41)/14)+1))</f>
        <v/>
      </c>
      <c r="B53" s="245">
        <f>IF($A53="","",$B$3+MOD(ROW()-41,14))</f>
        <v/>
      </c>
      <c r="C53" s="244">
        <f>IF($A53="","",TEXT($B53,"ddd"))</f>
        <v/>
      </c>
      <c r="D53" s="242">
        <f>IF($A53="","",SUMIFS('EH Timesheets'!$G$6:$G$1005,'EH Timesheets'!$A$6:$A$1005,$A53,'EH Timesheets'!$B$6:$B$1005,$B53))</f>
        <v/>
      </c>
      <c r="E53" s="242">
        <f>IF($A53="","",SUMIFS('EH Roster'!$G$6:$G$1005,'EH Roster'!$A$6:$A$1005,$A53,'EH Roster'!$B$6:$B$1005,$B53))</f>
        <v/>
      </c>
      <c r="F53" s="242">
        <f>IF($A53="","",$D53-$E53)</f>
        <v/>
      </c>
      <c r="G53" s="242">
        <f>IF($A53="","",IF($L53="",0,SUMPRODUCT(('Shared Calendar'!$K$2:$K$1000&gt;0)*('Shared Calendar'!$K$2:$K$1000&lt;=$B53)*('Shared Calendar'!$J$2:$J$1000&gt;$B53)*ISNUMBER(SEARCH($L53,'Shared Calendar'!$M$2:$M$1000))*('Shared Calendar'!$N$2:$N$1000="Event"),'Shared Calendar'!$L$2:$L$1000)))</f>
        <v/>
      </c>
      <c r="H53" s="246">
        <f>IF(OR($A53="",$L53=""),"",IF(SUMPRODUCT(MAX(('Shared Calendar'!$K$2:$K$1000&gt;0)*('Shared Calendar'!$K$2:$K$1000&lt;=$B53)*('Shared Calendar'!$J$2:$J$1000&gt;$B53)*ISNUMBER(SEARCH($L53,'Shared Calendar'!$M$2:$M$1000))*ROW('Shared Calendar'!$A$2:$A$1000)))=0,"",INDEX('Shared Calendar'!$A:$A,SUMPRODUCT(MAX(('Shared Calendar'!$K$2:$K$1000&gt;0)*('Shared Calendar'!$K$2:$K$1000&lt;=$B53)*('Shared Calendar'!$J$2:$J$1000&gt;$B53)*ISNUMBER(SEARCH($L53,'Shared Calendar'!$M$2:$M$1000))*ROW('Shared Calendar'!$A$2:$A$1000))))))</f>
        <v/>
      </c>
      <c r="I53" s="244">
        <f>IF(OR($A53="",$L53=""),"",IF(SUMPRODUCT(('Shared Calendar'!$K$2:$K$1000&gt;0)*('Shared Calendar'!$K$2:$K$1000&lt;=$B53)*('Shared Calendar'!$J$2:$J$1000&gt;$B53)*ISNUMBER(SEARCH($L53,'Shared Calendar'!$M$2:$M$1000))*('Shared Calendar'!$N$2:$N$1000="Leave"))&gt;0,"Leave",""))</f>
        <v/>
      </c>
      <c r="J53" s="244">
        <f>IF($A53="","",IFERROR(INDEX('Public Holidays'!$C$6:$C$38,MATCH($B53,'Public Holidays'!$A$6:$A$38,0))&amp;" ("&amp;INDEX('Public Holidays'!$L$6:$L$38,MATCH($B53,'Public Holidays'!$A$6:$A$38,0))&amp;")",""))</f>
        <v/>
      </c>
      <c r="K53" s="246">
        <f>IF($A53="","",IF(AND($D53=0,$E53=0,$G53=0),IF($I53="Leave","On leave (calendar), no shift",""),IF(AND($I53="Leave",$D53&gt;0),"On leave per calendar but timesheet has hours",IF(AND($I53="Leave",$E53&gt;0),"Rostered but on leave per calendar",IF(AND($D53=0,$E53&gt;0),"Rostered, no timesheet",IF(AND($D53&gt;0,$E53=0,$G53=0),"Timesheet but not rostered",IF(AND($D53&gt;0,$E53=0,$G53&gt;0),IF($G53&gt;$D53+$F$3,"Calendar event, no roster, timesheet short","Calendar event, no roster"),IF(ABS($D53-$E53)&gt;$F$3,"Timesheet differs from roster",IF(AND($G53&gt;0,$D53=0),"Calendar event, no timesheet",IF($G53&gt;$D53+$F$3,"Timesheet less than calendar event","OK"))))))))))</f>
        <v/>
      </c>
      <c r="L53" s="244">
        <f>IF($A53="","",INDEX($B$7:$B$36,INT((ROW()-41)/14)+1)&amp;"")</f>
        <v/>
      </c>
    </row>
    <row r="54">
      <c r="A54" s="244">
        <f>IF(INDEX($A$7:$A$36,INT((ROW()-41)/14)+1)="","",INDEX($A$7:$A$36,INT((ROW()-41)/14)+1))</f>
        <v/>
      </c>
      <c r="B54" s="245">
        <f>IF($A54="","",$B$3+MOD(ROW()-41,14))</f>
        <v/>
      </c>
      <c r="C54" s="244">
        <f>IF($A54="","",TEXT($B54,"ddd"))</f>
        <v/>
      </c>
      <c r="D54" s="242">
        <f>IF($A54="","",SUMIFS('EH Timesheets'!$G$6:$G$1005,'EH Timesheets'!$A$6:$A$1005,$A54,'EH Timesheets'!$B$6:$B$1005,$B54))</f>
        <v/>
      </c>
      <c r="E54" s="242">
        <f>IF($A54="","",SUMIFS('EH Roster'!$G$6:$G$1005,'EH Roster'!$A$6:$A$1005,$A54,'EH Roster'!$B$6:$B$1005,$B54))</f>
        <v/>
      </c>
      <c r="F54" s="242">
        <f>IF($A54="","",$D54-$E54)</f>
        <v/>
      </c>
      <c r="G54" s="242">
        <f>IF($A54="","",IF($L54="",0,SUMPRODUCT(('Shared Calendar'!$K$2:$K$1000&gt;0)*('Shared Calendar'!$K$2:$K$1000&lt;=$B54)*('Shared Calendar'!$J$2:$J$1000&gt;$B54)*ISNUMBER(SEARCH($L54,'Shared Calendar'!$M$2:$M$1000))*('Shared Calendar'!$N$2:$N$1000="Event"),'Shared Calendar'!$L$2:$L$1000)))</f>
        <v/>
      </c>
      <c r="H54" s="246">
        <f>IF(OR($A54="",$L54=""),"",IF(SUMPRODUCT(MAX(('Shared Calendar'!$K$2:$K$1000&gt;0)*('Shared Calendar'!$K$2:$K$1000&lt;=$B54)*('Shared Calendar'!$J$2:$J$1000&gt;$B54)*ISNUMBER(SEARCH($L54,'Shared Calendar'!$M$2:$M$1000))*ROW('Shared Calendar'!$A$2:$A$1000)))=0,"",INDEX('Shared Calendar'!$A:$A,SUMPRODUCT(MAX(('Shared Calendar'!$K$2:$K$1000&gt;0)*('Shared Calendar'!$K$2:$K$1000&lt;=$B54)*('Shared Calendar'!$J$2:$J$1000&gt;$B54)*ISNUMBER(SEARCH($L54,'Shared Calendar'!$M$2:$M$1000))*ROW('Shared Calendar'!$A$2:$A$1000))))))</f>
        <v/>
      </c>
      <c r="I54" s="244">
        <f>IF(OR($A54="",$L54=""),"",IF(SUMPRODUCT(('Shared Calendar'!$K$2:$K$1000&gt;0)*('Shared Calendar'!$K$2:$K$1000&lt;=$B54)*('Shared Calendar'!$J$2:$J$1000&gt;$B54)*ISNUMBER(SEARCH($L54,'Shared Calendar'!$M$2:$M$1000))*('Shared Calendar'!$N$2:$N$1000="Leave"))&gt;0,"Leave",""))</f>
        <v/>
      </c>
      <c r="J54" s="244">
        <f>IF($A54="","",IFERROR(INDEX('Public Holidays'!$C$6:$C$38,MATCH($B54,'Public Holidays'!$A$6:$A$38,0))&amp;" ("&amp;INDEX('Public Holidays'!$L$6:$L$38,MATCH($B54,'Public Holidays'!$A$6:$A$38,0))&amp;")",""))</f>
        <v/>
      </c>
      <c r="K54" s="246">
        <f>IF($A54="","",IF(AND($D54=0,$E54=0,$G54=0),IF($I54="Leave","On leave (calendar), no shift",""),IF(AND($I54="Leave",$D54&gt;0),"On leave per calendar but timesheet has hours",IF(AND($I54="Leave",$E54&gt;0),"Rostered but on leave per calendar",IF(AND($D54=0,$E54&gt;0),"Rostered, no timesheet",IF(AND($D54&gt;0,$E54=0,$G54=0),"Timesheet but not rostered",IF(AND($D54&gt;0,$E54=0,$G54&gt;0),IF($G54&gt;$D54+$F$3,"Calendar event, no roster, timesheet short","Calendar event, no roster"),IF(ABS($D54-$E54)&gt;$F$3,"Timesheet differs from roster",IF(AND($G54&gt;0,$D54=0),"Calendar event, no timesheet",IF($G54&gt;$D54+$F$3,"Timesheet less than calendar event","OK"))))))))))</f>
        <v/>
      </c>
      <c r="L54" s="244">
        <f>IF($A54="","",INDEX($B$7:$B$36,INT((ROW()-41)/14)+1)&amp;"")</f>
        <v/>
      </c>
    </row>
    <row r="55">
      <c r="A55" s="244">
        <f>IF(INDEX($A$7:$A$36,INT((ROW()-41)/14)+1)="","",INDEX($A$7:$A$36,INT((ROW()-41)/14)+1))</f>
        <v/>
      </c>
      <c r="B55" s="245">
        <f>IF($A55="","",$B$3+MOD(ROW()-41,14))</f>
        <v/>
      </c>
      <c r="C55" s="244">
        <f>IF($A55="","",TEXT($B55,"ddd"))</f>
        <v/>
      </c>
      <c r="D55" s="242">
        <f>IF($A55="","",SUMIFS('EH Timesheets'!$G$6:$G$1005,'EH Timesheets'!$A$6:$A$1005,$A55,'EH Timesheets'!$B$6:$B$1005,$B55))</f>
        <v/>
      </c>
      <c r="E55" s="242">
        <f>IF($A55="","",SUMIFS('EH Roster'!$G$6:$G$1005,'EH Roster'!$A$6:$A$1005,$A55,'EH Roster'!$B$6:$B$1005,$B55))</f>
        <v/>
      </c>
      <c r="F55" s="242">
        <f>IF($A55="","",$D55-$E55)</f>
        <v/>
      </c>
      <c r="G55" s="242">
        <f>IF($A55="","",IF($L55="",0,SUMPRODUCT(('Shared Calendar'!$K$2:$K$1000&gt;0)*('Shared Calendar'!$K$2:$K$1000&lt;=$B55)*('Shared Calendar'!$J$2:$J$1000&gt;$B55)*ISNUMBER(SEARCH($L55,'Shared Calendar'!$M$2:$M$1000))*('Shared Calendar'!$N$2:$N$1000="Event"),'Shared Calendar'!$L$2:$L$1000)))</f>
        <v/>
      </c>
      <c r="H55" s="246">
        <f>IF(OR($A55="",$L55=""),"",IF(SUMPRODUCT(MAX(('Shared Calendar'!$K$2:$K$1000&gt;0)*('Shared Calendar'!$K$2:$K$1000&lt;=$B55)*('Shared Calendar'!$J$2:$J$1000&gt;$B55)*ISNUMBER(SEARCH($L55,'Shared Calendar'!$M$2:$M$1000))*ROW('Shared Calendar'!$A$2:$A$1000)))=0,"",INDEX('Shared Calendar'!$A:$A,SUMPRODUCT(MAX(('Shared Calendar'!$K$2:$K$1000&gt;0)*('Shared Calendar'!$K$2:$K$1000&lt;=$B55)*('Shared Calendar'!$J$2:$J$1000&gt;$B55)*ISNUMBER(SEARCH($L55,'Shared Calendar'!$M$2:$M$1000))*ROW('Shared Calendar'!$A$2:$A$1000))))))</f>
        <v/>
      </c>
      <c r="I55" s="244">
        <f>IF(OR($A55="",$L55=""),"",IF(SUMPRODUCT(('Shared Calendar'!$K$2:$K$1000&gt;0)*('Shared Calendar'!$K$2:$K$1000&lt;=$B55)*('Shared Calendar'!$J$2:$J$1000&gt;$B55)*ISNUMBER(SEARCH($L55,'Shared Calendar'!$M$2:$M$1000))*('Shared Calendar'!$N$2:$N$1000="Leave"))&gt;0,"Leave",""))</f>
        <v/>
      </c>
      <c r="J55" s="244">
        <f>IF($A55="","",IFERROR(INDEX('Public Holidays'!$C$6:$C$38,MATCH($B55,'Public Holidays'!$A$6:$A$38,0))&amp;" ("&amp;INDEX('Public Holidays'!$L$6:$L$38,MATCH($B55,'Public Holidays'!$A$6:$A$38,0))&amp;")",""))</f>
        <v/>
      </c>
      <c r="K55" s="246">
        <f>IF($A55="","",IF(AND($D55=0,$E55=0,$G55=0),IF($I55="Leave","On leave (calendar), no shift",""),IF(AND($I55="Leave",$D55&gt;0),"On leave per calendar but timesheet has hours",IF(AND($I55="Leave",$E55&gt;0),"Rostered but on leave per calendar",IF(AND($D55=0,$E55&gt;0),"Rostered, no timesheet",IF(AND($D55&gt;0,$E55=0,$G55=0),"Timesheet but not rostered",IF(AND($D55&gt;0,$E55=0,$G55&gt;0),IF($G55&gt;$D55+$F$3,"Calendar event, no roster, timesheet short","Calendar event, no roster"),IF(ABS($D55-$E55)&gt;$F$3,"Timesheet differs from roster",IF(AND($G55&gt;0,$D55=0),"Calendar event, no timesheet",IF($G55&gt;$D55+$F$3,"Timesheet less than calendar event","OK"))))))))))</f>
        <v/>
      </c>
      <c r="L55" s="244">
        <f>IF($A55="","",INDEX($B$7:$B$36,INT((ROW()-41)/14)+1)&amp;"")</f>
        <v/>
      </c>
    </row>
    <row r="56">
      <c r="A56" s="244">
        <f>IF(INDEX($A$7:$A$36,INT((ROW()-41)/14)+1)="","",INDEX($A$7:$A$36,INT((ROW()-41)/14)+1))</f>
        <v/>
      </c>
      <c r="B56" s="245">
        <f>IF($A56="","",$B$3+MOD(ROW()-41,14))</f>
        <v/>
      </c>
      <c r="C56" s="244">
        <f>IF($A56="","",TEXT($B56,"ddd"))</f>
        <v/>
      </c>
      <c r="D56" s="242">
        <f>IF($A56="","",SUMIFS('EH Timesheets'!$G$6:$G$1005,'EH Timesheets'!$A$6:$A$1005,$A56,'EH Timesheets'!$B$6:$B$1005,$B56))</f>
        <v/>
      </c>
      <c r="E56" s="242">
        <f>IF($A56="","",SUMIFS('EH Roster'!$G$6:$G$1005,'EH Roster'!$A$6:$A$1005,$A56,'EH Roster'!$B$6:$B$1005,$B56))</f>
        <v/>
      </c>
      <c r="F56" s="242">
        <f>IF($A56="","",$D56-$E56)</f>
        <v/>
      </c>
      <c r="G56" s="242">
        <f>IF($A56="","",IF($L56="",0,SUMPRODUCT(('Shared Calendar'!$K$2:$K$1000&gt;0)*('Shared Calendar'!$K$2:$K$1000&lt;=$B56)*('Shared Calendar'!$J$2:$J$1000&gt;$B56)*ISNUMBER(SEARCH($L56,'Shared Calendar'!$M$2:$M$1000))*('Shared Calendar'!$N$2:$N$1000="Event"),'Shared Calendar'!$L$2:$L$1000)))</f>
        <v/>
      </c>
      <c r="H56" s="246">
        <f>IF(OR($A56="",$L56=""),"",IF(SUMPRODUCT(MAX(('Shared Calendar'!$K$2:$K$1000&gt;0)*('Shared Calendar'!$K$2:$K$1000&lt;=$B56)*('Shared Calendar'!$J$2:$J$1000&gt;$B56)*ISNUMBER(SEARCH($L56,'Shared Calendar'!$M$2:$M$1000))*ROW('Shared Calendar'!$A$2:$A$1000)))=0,"",INDEX('Shared Calendar'!$A:$A,SUMPRODUCT(MAX(('Shared Calendar'!$K$2:$K$1000&gt;0)*('Shared Calendar'!$K$2:$K$1000&lt;=$B56)*('Shared Calendar'!$J$2:$J$1000&gt;$B56)*ISNUMBER(SEARCH($L56,'Shared Calendar'!$M$2:$M$1000))*ROW('Shared Calendar'!$A$2:$A$1000))))))</f>
        <v/>
      </c>
      <c r="I56" s="244">
        <f>IF(OR($A56="",$L56=""),"",IF(SUMPRODUCT(('Shared Calendar'!$K$2:$K$1000&gt;0)*('Shared Calendar'!$K$2:$K$1000&lt;=$B56)*('Shared Calendar'!$J$2:$J$1000&gt;$B56)*ISNUMBER(SEARCH($L56,'Shared Calendar'!$M$2:$M$1000))*('Shared Calendar'!$N$2:$N$1000="Leave"))&gt;0,"Leave",""))</f>
        <v/>
      </c>
      <c r="J56" s="244">
        <f>IF($A56="","",IFERROR(INDEX('Public Holidays'!$C$6:$C$38,MATCH($B56,'Public Holidays'!$A$6:$A$38,0))&amp;" ("&amp;INDEX('Public Holidays'!$L$6:$L$38,MATCH($B56,'Public Holidays'!$A$6:$A$38,0))&amp;")",""))</f>
        <v/>
      </c>
      <c r="K56" s="246">
        <f>IF($A56="","",IF(AND($D56=0,$E56=0,$G56=0),IF($I56="Leave","On leave (calendar), no shift",""),IF(AND($I56="Leave",$D56&gt;0),"On leave per calendar but timesheet has hours",IF(AND($I56="Leave",$E56&gt;0),"Rostered but on leave per calendar",IF(AND($D56=0,$E56&gt;0),"Rostered, no timesheet",IF(AND($D56&gt;0,$E56=0,$G56=0),"Timesheet but not rostered",IF(AND($D56&gt;0,$E56=0,$G56&gt;0),IF($G56&gt;$D56+$F$3,"Calendar event, no roster, timesheet short","Calendar event, no roster"),IF(ABS($D56-$E56)&gt;$F$3,"Timesheet differs from roster",IF(AND($G56&gt;0,$D56=0),"Calendar event, no timesheet",IF($G56&gt;$D56+$F$3,"Timesheet less than calendar event","OK"))))))))))</f>
        <v/>
      </c>
      <c r="L56" s="244">
        <f>IF($A56="","",INDEX($B$7:$B$36,INT((ROW()-41)/14)+1)&amp;"")</f>
        <v/>
      </c>
    </row>
    <row r="57">
      <c r="A57" s="244">
        <f>IF(INDEX($A$7:$A$36,INT((ROW()-41)/14)+1)="","",INDEX($A$7:$A$36,INT((ROW()-41)/14)+1))</f>
        <v/>
      </c>
      <c r="B57" s="245">
        <f>IF($A57="","",$B$3+MOD(ROW()-41,14))</f>
        <v/>
      </c>
      <c r="C57" s="244">
        <f>IF($A57="","",TEXT($B57,"ddd"))</f>
        <v/>
      </c>
      <c r="D57" s="242">
        <f>IF($A57="","",SUMIFS('EH Timesheets'!$G$6:$G$1005,'EH Timesheets'!$A$6:$A$1005,$A57,'EH Timesheets'!$B$6:$B$1005,$B57))</f>
        <v/>
      </c>
      <c r="E57" s="242">
        <f>IF($A57="","",SUMIFS('EH Roster'!$G$6:$G$1005,'EH Roster'!$A$6:$A$1005,$A57,'EH Roster'!$B$6:$B$1005,$B57))</f>
        <v/>
      </c>
      <c r="F57" s="242">
        <f>IF($A57="","",$D57-$E57)</f>
        <v/>
      </c>
      <c r="G57" s="242">
        <f>IF($A57="","",IF($L57="",0,SUMPRODUCT(('Shared Calendar'!$K$2:$K$1000&gt;0)*('Shared Calendar'!$K$2:$K$1000&lt;=$B57)*('Shared Calendar'!$J$2:$J$1000&gt;$B57)*ISNUMBER(SEARCH($L57,'Shared Calendar'!$M$2:$M$1000))*('Shared Calendar'!$N$2:$N$1000="Event"),'Shared Calendar'!$L$2:$L$1000)))</f>
        <v/>
      </c>
      <c r="H57" s="246">
        <f>IF(OR($A57="",$L57=""),"",IF(SUMPRODUCT(MAX(('Shared Calendar'!$K$2:$K$1000&gt;0)*('Shared Calendar'!$K$2:$K$1000&lt;=$B57)*('Shared Calendar'!$J$2:$J$1000&gt;$B57)*ISNUMBER(SEARCH($L57,'Shared Calendar'!$M$2:$M$1000))*ROW('Shared Calendar'!$A$2:$A$1000)))=0,"",INDEX('Shared Calendar'!$A:$A,SUMPRODUCT(MAX(('Shared Calendar'!$K$2:$K$1000&gt;0)*('Shared Calendar'!$K$2:$K$1000&lt;=$B57)*('Shared Calendar'!$J$2:$J$1000&gt;$B57)*ISNUMBER(SEARCH($L57,'Shared Calendar'!$M$2:$M$1000))*ROW('Shared Calendar'!$A$2:$A$1000))))))</f>
        <v/>
      </c>
      <c r="I57" s="244">
        <f>IF(OR($A57="",$L57=""),"",IF(SUMPRODUCT(('Shared Calendar'!$K$2:$K$1000&gt;0)*('Shared Calendar'!$K$2:$K$1000&lt;=$B57)*('Shared Calendar'!$J$2:$J$1000&gt;$B57)*ISNUMBER(SEARCH($L57,'Shared Calendar'!$M$2:$M$1000))*('Shared Calendar'!$N$2:$N$1000="Leave"))&gt;0,"Leave",""))</f>
        <v/>
      </c>
      <c r="J57" s="244">
        <f>IF($A57="","",IFERROR(INDEX('Public Holidays'!$C$6:$C$38,MATCH($B57,'Public Holidays'!$A$6:$A$38,0))&amp;" ("&amp;INDEX('Public Holidays'!$L$6:$L$38,MATCH($B57,'Public Holidays'!$A$6:$A$38,0))&amp;")",""))</f>
        <v/>
      </c>
      <c r="K57" s="246">
        <f>IF($A57="","",IF(AND($D57=0,$E57=0,$G57=0),IF($I57="Leave","On leave (calendar), no shift",""),IF(AND($I57="Leave",$D57&gt;0),"On leave per calendar but timesheet has hours",IF(AND($I57="Leave",$E57&gt;0),"Rostered but on leave per calendar",IF(AND($D57=0,$E57&gt;0),"Rostered, no timesheet",IF(AND($D57&gt;0,$E57=0,$G57=0),"Timesheet but not rostered",IF(AND($D57&gt;0,$E57=0,$G57&gt;0),IF($G57&gt;$D57+$F$3,"Calendar event, no roster, timesheet short","Calendar event, no roster"),IF(ABS($D57-$E57)&gt;$F$3,"Timesheet differs from roster",IF(AND($G57&gt;0,$D57=0),"Calendar event, no timesheet",IF($G57&gt;$D57+$F$3,"Timesheet less than calendar event","OK"))))))))))</f>
        <v/>
      </c>
      <c r="L57" s="244">
        <f>IF($A57="","",INDEX($B$7:$B$36,INT((ROW()-41)/14)+1)&amp;"")</f>
        <v/>
      </c>
    </row>
    <row r="58">
      <c r="A58" s="244">
        <f>IF(INDEX($A$7:$A$36,INT((ROW()-41)/14)+1)="","",INDEX($A$7:$A$36,INT((ROW()-41)/14)+1))</f>
        <v/>
      </c>
      <c r="B58" s="245">
        <f>IF($A58="","",$B$3+MOD(ROW()-41,14))</f>
        <v/>
      </c>
      <c r="C58" s="244">
        <f>IF($A58="","",TEXT($B58,"ddd"))</f>
        <v/>
      </c>
      <c r="D58" s="242">
        <f>IF($A58="","",SUMIFS('EH Timesheets'!$G$6:$G$1005,'EH Timesheets'!$A$6:$A$1005,$A58,'EH Timesheets'!$B$6:$B$1005,$B58))</f>
        <v/>
      </c>
      <c r="E58" s="242">
        <f>IF($A58="","",SUMIFS('EH Roster'!$G$6:$G$1005,'EH Roster'!$A$6:$A$1005,$A58,'EH Roster'!$B$6:$B$1005,$B58))</f>
        <v/>
      </c>
      <c r="F58" s="242">
        <f>IF($A58="","",$D58-$E58)</f>
        <v/>
      </c>
      <c r="G58" s="242">
        <f>IF($A58="","",IF($L58="",0,SUMPRODUCT(('Shared Calendar'!$K$2:$K$1000&gt;0)*('Shared Calendar'!$K$2:$K$1000&lt;=$B58)*('Shared Calendar'!$J$2:$J$1000&gt;$B58)*ISNUMBER(SEARCH($L58,'Shared Calendar'!$M$2:$M$1000))*('Shared Calendar'!$N$2:$N$1000="Event"),'Shared Calendar'!$L$2:$L$1000)))</f>
        <v/>
      </c>
      <c r="H58" s="246">
        <f>IF(OR($A58="",$L58=""),"",IF(SUMPRODUCT(MAX(('Shared Calendar'!$K$2:$K$1000&gt;0)*('Shared Calendar'!$K$2:$K$1000&lt;=$B58)*('Shared Calendar'!$J$2:$J$1000&gt;$B58)*ISNUMBER(SEARCH($L58,'Shared Calendar'!$M$2:$M$1000))*ROW('Shared Calendar'!$A$2:$A$1000)))=0,"",INDEX('Shared Calendar'!$A:$A,SUMPRODUCT(MAX(('Shared Calendar'!$K$2:$K$1000&gt;0)*('Shared Calendar'!$K$2:$K$1000&lt;=$B58)*('Shared Calendar'!$J$2:$J$1000&gt;$B58)*ISNUMBER(SEARCH($L58,'Shared Calendar'!$M$2:$M$1000))*ROW('Shared Calendar'!$A$2:$A$1000))))))</f>
        <v/>
      </c>
      <c r="I58" s="244">
        <f>IF(OR($A58="",$L58=""),"",IF(SUMPRODUCT(('Shared Calendar'!$K$2:$K$1000&gt;0)*('Shared Calendar'!$K$2:$K$1000&lt;=$B58)*('Shared Calendar'!$J$2:$J$1000&gt;$B58)*ISNUMBER(SEARCH($L58,'Shared Calendar'!$M$2:$M$1000))*('Shared Calendar'!$N$2:$N$1000="Leave"))&gt;0,"Leave",""))</f>
        <v/>
      </c>
      <c r="J58" s="244">
        <f>IF($A58="","",IFERROR(INDEX('Public Holidays'!$C$6:$C$38,MATCH($B58,'Public Holidays'!$A$6:$A$38,0))&amp;" ("&amp;INDEX('Public Holidays'!$L$6:$L$38,MATCH($B58,'Public Holidays'!$A$6:$A$38,0))&amp;")",""))</f>
        <v/>
      </c>
      <c r="K58" s="246">
        <f>IF($A58="","",IF(AND($D58=0,$E58=0,$G58=0),IF($I58="Leave","On leave (calendar), no shift",""),IF(AND($I58="Leave",$D58&gt;0),"On leave per calendar but timesheet has hours",IF(AND($I58="Leave",$E58&gt;0),"Rostered but on leave per calendar",IF(AND($D58=0,$E58&gt;0),"Rostered, no timesheet",IF(AND($D58&gt;0,$E58=0,$G58=0),"Timesheet but not rostered",IF(AND($D58&gt;0,$E58=0,$G58&gt;0),IF($G58&gt;$D58+$F$3,"Calendar event, no roster, timesheet short","Calendar event, no roster"),IF(ABS($D58-$E58)&gt;$F$3,"Timesheet differs from roster",IF(AND($G58&gt;0,$D58=0),"Calendar event, no timesheet",IF($G58&gt;$D58+$F$3,"Timesheet less than calendar event","OK"))))))))))</f>
        <v/>
      </c>
      <c r="L58" s="244">
        <f>IF($A58="","",INDEX($B$7:$B$36,INT((ROW()-41)/14)+1)&amp;"")</f>
        <v/>
      </c>
    </row>
    <row r="59">
      <c r="A59" s="244">
        <f>IF(INDEX($A$7:$A$36,INT((ROW()-41)/14)+1)="","",INDEX($A$7:$A$36,INT((ROW()-41)/14)+1))</f>
        <v/>
      </c>
      <c r="B59" s="245">
        <f>IF($A59="","",$B$3+MOD(ROW()-41,14))</f>
        <v/>
      </c>
      <c r="C59" s="244">
        <f>IF($A59="","",TEXT($B59,"ddd"))</f>
        <v/>
      </c>
      <c r="D59" s="242">
        <f>IF($A59="","",SUMIFS('EH Timesheets'!$G$6:$G$1005,'EH Timesheets'!$A$6:$A$1005,$A59,'EH Timesheets'!$B$6:$B$1005,$B59))</f>
        <v/>
      </c>
      <c r="E59" s="242">
        <f>IF($A59="","",SUMIFS('EH Roster'!$G$6:$G$1005,'EH Roster'!$A$6:$A$1005,$A59,'EH Roster'!$B$6:$B$1005,$B59))</f>
        <v/>
      </c>
      <c r="F59" s="242">
        <f>IF($A59="","",$D59-$E59)</f>
        <v/>
      </c>
      <c r="G59" s="242">
        <f>IF($A59="","",IF($L59="",0,SUMPRODUCT(('Shared Calendar'!$K$2:$K$1000&gt;0)*('Shared Calendar'!$K$2:$K$1000&lt;=$B59)*('Shared Calendar'!$J$2:$J$1000&gt;$B59)*ISNUMBER(SEARCH($L59,'Shared Calendar'!$M$2:$M$1000))*('Shared Calendar'!$N$2:$N$1000="Event"),'Shared Calendar'!$L$2:$L$1000)))</f>
        <v/>
      </c>
      <c r="H59" s="246">
        <f>IF(OR($A59="",$L59=""),"",IF(SUMPRODUCT(MAX(('Shared Calendar'!$K$2:$K$1000&gt;0)*('Shared Calendar'!$K$2:$K$1000&lt;=$B59)*('Shared Calendar'!$J$2:$J$1000&gt;$B59)*ISNUMBER(SEARCH($L59,'Shared Calendar'!$M$2:$M$1000))*ROW('Shared Calendar'!$A$2:$A$1000)))=0,"",INDEX('Shared Calendar'!$A:$A,SUMPRODUCT(MAX(('Shared Calendar'!$K$2:$K$1000&gt;0)*('Shared Calendar'!$K$2:$K$1000&lt;=$B59)*('Shared Calendar'!$J$2:$J$1000&gt;$B59)*ISNUMBER(SEARCH($L59,'Shared Calendar'!$M$2:$M$1000))*ROW('Shared Calendar'!$A$2:$A$1000))))))</f>
        <v/>
      </c>
      <c r="I59" s="244">
        <f>IF(OR($A59="",$L59=""),"",IF(SUMPRODUCT(('Shared Calendar'!$K$2:$K$1000&gt;0)*('Shared Calendar'!$K$2:$K$1000&lt;=$B59)*('Shared Calendar'!$J$2:$J$1000&gt;$B59)*ISNUMBER(SEARCH($L59,'Shared Calendar'!$M$2:$M$1000))*('Shared Calendar'!$N$2:$N$1000="Leave"))&gt;0,"Leave",""))</f>
        <v/>
      </c>
      <c r="J59" s="244">
        <f>IF($A59="","",IFERROR(INDEX('Public Holidays'!$C$6:$C$38,MATCH($B59,'Public Holidays'!$A$6:$A$38,0))&amp;" ("&amp;INDEX('Public Holidays'!$L$6:$L$38,MATCH($B59,'Public Holidays'!$A$6:$A$38,0))&amp;")",""))</f>
        <v/>
      </c>
      <c r="K59" s="246">
        <f>IF($A59="","",IF(AND($D59=0,$E59=0,$G59=0),IF($I59="Leave","On leave (calendar), no shift",""),IF(AND($I59="Leave",$D59&gt;0),"On leave per calendar but timesheet has hours",IF(AND($I59="Leave",$E59&gt;0),"Rostered but on leave per calendar",IF(AND($D59=0,$E59&gt;0),"Rostered, no timesheet",IF(AND($D59&gt;0,$E59=0,$G59=0),"Timesheet but not rostered",IF(AND($D59&gt;0,$E59=0,$G59&gt;0),IF($G59&gt;$D59+$F$3,"Calendar event, no roster, timesheet short","Calendar event, no roster"),IF(ABS($D59-$E59)&gt;$F$3,"Timesheet differs from roster",IF(AND($G59&gt;0,$D59=0),"Calendar event, no timesheet",IF($G59&gt;$D59+$F$3,"Timesheet less than calendar event","OK"))))))))))</f>
        <v/>
      </c>
      <c r="L59" s="244">
        <f>IF($A59="","",INDEX($B$7:$B$36,INT((ROW()-41)/14)+1)&amp;"")</f>
        <v/>
      </c>
    </row>
    <row r="60">
      <c r="A60" s="244">
        <f>IF(INDEX($A$7:$A$36,INT((ROW()-41)/14)+1)="","",INDEX($A$7:$A$36,INT((ROW()-41)/14)+1))</f>
        <v/>
      </c>
      <c r="B60" s="245">
        <f>IF($A60="","",$B$3+MOD(ROW()-41,14))</f>
        <v/>
      </c>
      <c r="C60" s="244">
        <f>IF($A60="","",TEXT($B60,"ddd"))</f>
        <v/>
      </c>
      <c r="D60" s="242">
        <f>IF($A60="","",SUMIFS('EH Timesheets'!$G$6:$G$1005,'EH Timesheets'!$A$6:$A$1005,$A60,'EH Timesheets'!$B$6:$B$1005,$B60))</f>
        <v/>
      </c>
      <c r="E60" s="242">
        <f>IF($A60="","",SUMIFS('EH Roster'!$G$6:$G$1005,'EH Roster'!$A$6:$A$1005,$A60,'EH Roster'!$B$6:$B$1005,$B60))</f>
        <v/>
      </c>
      <c r="F60" s="242">
        <f>IF($A60="","",$D60-$E60)</f>
        <v/>
      </c>
      <c r="G60" s="242">
        <f>IF($A60="","",IF($L60="",0,SUMPRODUCT(('Shared Calendar'!$K$2:$K$1000&gt;0)*('Shared Calendar'!$K$2:$K$1000&lt;=$B60)*('Shared Calendar'!$J$2:$J$1000&gt;$B60)*ISNUMBER(SEARCH($L60,'Shared Calendar'!$M$2:$M$1000))*('Shared Calendar'!$N$2:$N$1000="Event"),'Shared Calendar'!$L$2:$L$1000)))</f>
        <v/>
      </c>
      <c r="H60" s="246">
        <f>IF(OR($A60="",$L60=""),"",IF(SUMPRODUCT(MAX(('Shared Calendar'!$K$2:$K$1000&gt;0)*('Shared Calendar'!$K$2:$K$1000&lt;=$B60)*('Shared Calendar'!$J$2:$J$1000&gt;$B60)*ISNUMBER(SEARCH($L60,'Shared Calendar'!$M$2:$M$1000))*ROW('Shared Calendar'!$A$2:$A$1000)))=0,"",INDEX('Shared Calendar'!$A:$A,SUMPRODUCT(MAX(('Shared Calendar'!$K$2:$K$1000&gt;0)*('Shared Calendar'!$K$2:$K$1000&lt;=$B60)*('Shared Calendar'!$J$2:$J$1000&gt;$B60)*ISNUMBER(SEARCH($L60,'Shared Calendar'!$M$2:$M$1000))*ROW('Shared Calendar'!$A$2:$A$1000))))))</f>
        <v/>
      </c>
      <c r="I60" s="244">
        <f>IF(OR($A60="",$L60=""),"",IF(SUMPRODUCT(('Shared Calendar'!$K$2:$K$1000&gt;0)*('Shared Calendar'!$K$2:$K$1000&lt;=$B60)*('Shared Calendar'!$J$2:$J$1000&gt;$B60)*ISNUMBER(SEARCH($L60,'Shared Calendar'!$M$2:$M$1000))*('Shared Calendar'!$N$2:$N$1000="Leave"))&gt;0,"Leave",""))</f>
        <v/>
      </c>
      <c r="J60" s="244">
        <f>IF($A60="","",IFERROR(INDEX('Public Holidays'!$C$6:$C$38,MATCH($B60,'Public Holidays'!$A$6:$A$38,0))&amp;" ("&amp;INDEX('Public Holidays'!$L$6:$L$38,MATCH($B60,'Public Holidays'!$A$6:$A$38,0))&amp;")",""))</f>
        <v/>
      </c>
      <c r="K60" s="246">
        <f>IF($A60="","",IF(AND($D60=0,$E60=0,$G60=0),IF($I60="Leave","On leave (calendar), no shift",""),IF(AND($I60="Leave",$D60&gt;0),"On leave per calendar but timesheet has hours",IF(AND($I60="Leave",$E60&gt;0),"Rostered but on leave per calendar",IF(AND($D60=0,$E60&gt;0),"Rostered, no timesheet",IF(AND($D60&gt;0,$E60=0,$G60=0),"Timesheet but not rostered",IF(AND($D60&gt;0,$E60=0,$G60&gt;0),IF($G60&gt;$D60+$F$3,"Calendar event, no roster, timesheet short","Calendar event, no roster"),IF(ABS($D60-$E60)&gt;$F$3,"Timesheet differs from roster",IF(AND($G60&gt;0,$D60=0),"Calendar event, no timesheet",IF($G60&gt;$D60+$F$3,"Timesheet less than calendar event","OK"))))))))))</f>
        <v/>
      </c>
      <c r="L60" s="244">
        <f>IF($A60="","",INDEX($B$7:$B$36,INT((ROW()-41)/14)+1)&amp;"")</f>
        <v/>
      </c>
    </row>
    <row r="61">
      <c r="A61" s="244">
        <f>IF(INDEX($A$7:$A$36,INT((ROW()-41)/14)+1)="","",INDEX($A$7:$A$36,INT((ROW()-41)/14)+1))</f>
        <v/>
      </c>
      <c r="B61" s="245">
        <f>IF($A61="","",$B$3+MOD(ROW()-41,14))</f>
        <v/>
      </c>
      <c r="C61" s="244">
        <f>IF($A61="","",TEXT($B61,"ddd"))</f>
        <v/>
      </c>
      <c r="D61" s="242">
        <f>IF($A61="","",SUMIFS('EH Timesheets'!$G$6:$G$1005,'EH Timesheets'!$A$6:$A$1005,$A61,'EH Timesheets'!$B$6:$B$1005,$B61))</f>
        <v/>
      </c>
      <c r="E61" s="242">
        <f>IF($A61="","",SUMIFS('EH Roster'!$G$6:$G$1005,'EH Roster'!$A$6:$A$1005,$A61,'EH Roster'!$B$6:$B$1005,$B61))</f>
        <v/>
      </c>
      <c r="F61" s="242">
        <f>IF($A61="","",$D61-$E61)</f>
        <v/>
      </c>
      <c r="G61" s="242">
        <f>IF($A61="","",IF($L61="",0,SUMPRODUCT(('Shared Calendar'!$K$2:$K$1000&gt;0)*('Shared Calendar'!$K$2:$K$1000&lt;=$B61)*('Shared Calendar'!$J$2:$J$1000&gt;$B61)*ISNUMBER(SEARCH($L61,'Shared Calendar'!$M$2:$M$1000))*('Shared Calendar'!$N$2:$N$1000="Event"),'Shared Calendar'!$L$2:$L$1000)))</f>
        <v/>
      </c>
      <c r="H61" s="246">
        <f>IF(OR($A61="",$L61=""),"",IF(SUMPRODUCT(MAX(('Shared Calendar'!$K$2:$K$1000&gt;0)*('Shared Calendar'!$K$2:$K$1000&lt;=$B61)*('Shared Calendar'!$J$2:$J$1000&gt;$B61)*ISNUMBER(SEARCH($L61,'Shared Calendar'!$M$2:$M$1000))*ROW('Shared Calendar'!$A$2:$A$1000)))=0,"",INDEX('Shared Calendar'!$A:$A,SUMPRODUCT(MAX(('Shared Calendar'!$K$2:$K$1000&gt;0)*('Shared Calendar'!$K$2:$K$1000&lt;=$B61)*('Shared Calendar'!$J$2:$J$1000&gt;$B61)*ISNUMBER(SEARCH($L61,'Shared Calendar'!$M$2:$M$1000))*ROW('Shared Calendar'!$A$2:$A$1000))))))</f>
        <v/>
      </c>
      <c r="I61" s="244">
        <f>IF(OR($A61="",$L61=""),"",IF(SUMPRODUCT(('Shared Calendar'!$K$2:$K$1000&gt;0)*('Shared Calendar'!$K$2:$K$1000&lt;=$B61)*('Shared Calendar'!$J$2:$J$1000&gt;$B61)*ISNUMBER(SEARCH($L61,'Shared Calendar'!$M$2:$M$1000))*('Shared Calendar'!$N$2:$N$1000="Leave"))&gt;0,"Leave",""))</f>
        <v/>
      </c>
      <c r="J61" s="244">
        <f>IF($A61="","",IFERROR(INDEX('Public Holidays'!$C$6:$C$38,MATCH($B61,'Public Holidays'!$A$6:$A$38,0))&amp;" ("&amp;INDEX('Public Holidays'!$L$6:$L$38,MATCH($B61,'Public Holidays'!$A$6:$A$38,0))&amp;")",""))</f>
        <v/>
      </c>
      <c r="K61" s="246">
        <f>IF($A61="","",IF(AND($D61=0,$E61=0,$G61=0),IF($I61="Leave","On leave (calendar), no shift",""),IF(AND($I61="Leave",$D61&gt;0),"On leave per calendar but timesheet has hours",IF(AND($I61="Leave",$E61&gt;0),"Rostered but on leave per calendar",IF(AND($D61=0,$E61&gt;0),"Rostered, no timesheet",IF(AND($D61&gt;0,$E61=0,$G61=0),"Timesheet but not rostered",IF(AND($D61&gt;0,$E61=0,$G61&gt;0),IF($G61&gt;$D61+$F$3,"Calendar event, no roster, timesheet short","Calendar event, no roster"),IF(ABS($D61-$E61)&gt;$F$3,"Timesheet differs from roster",IF(AND($G61&gt;0,$D61=0),"Calendar event, no timesheet",IF($G61&gt;$D61+$F$3,"Timesheet less than calendar event","OK"))))))))))</f>
        <v/>
      </c>
      <c r="L61" s="244">
        <f>IF($A61="","",INDEX($B$7:$B$36,INT((ROW()-41)/14)+1)&amp;"")</f>
        <v/>
      </c>
    </row>
    <row r="62">
      <c r="A62" s="244">
        <f>IF(INDEX($A$7:$A$36,INT((ROW()-41)/14)+1)="","",INDEX($A$7:$A$36,INT((ROW()-41)/14)+1))</f>
        <v/>
      </c>
      <c r="B62" s="245">
        <f>IF($A62="","",$B$3+MOD(ROW()-41,14))</f>
        <v/>
      </c>
      <c r="C62" s="244">
        <f>IF($A62="","",TEXT($B62,"ddd"))</f>
        <v/>
      </c>
      <c r="D62" s="242">
        <f>IF($A62="","",SUMIFS('EH Timesheets'!$G$6:$G$1005,'EH Timesheets'!$A$6:$A$1005,$A62,'EH Timesheets'!$B$6:$B$1005,$B62))</f>
        <v/>
      </c>
      <c r="E62" s="242">
        <f>IF($A62="","",SUMIFS('EH Roster'!$G$6:$G$1005,'EH Roster'!$A$6:$A$1005,$A62,'EH Roster'!$B$6:$B$1005,$B62))</f>
        <v/>
      </c>
      <c r="F62" s="242">
        <f>IF($A62="","",$D62-$E62)</f>
        <v/>
      </c>
      <c r="G62" s="242">
        <f>IF($A62="","",IF($L62="",0,SUMPRODUCT(('Shared Calendar'!$K$2:$K$1000&gt;0)*('Shared Calendar'!$K$2:$K$1000&lt;=$B62)*('Shared Calendar'!$J$2:$J$1000&gt;$B62)*ISNUMBER(SEARCH($L62,'Shared Calendar'!$M$2:$M$1000))*('Shared Calendar'!$N$2:$N$1000="Event"),'Shared Calendar'!$L$2:$L$1000)))</f>
        <v/>
      </c>
      <c r="H62" s="246">
        <f>IF(OR($A62="",$L62=""),"",IF(SUMPRODUCT(MAX(('Shared Calendar'!$K$2:$K$1000&gt;0)*('Shared Calendar'!$K$2:$K$1000&lt;=$B62)*('Shared Calendar'!$J$2:$J$1000&gt;$B62)*ISNUMBER(SEARCH($L62,'Shared Calendar'!$M$2:$M$1000))*ROW('Shared Calendar'!$A$2:$A$1000)))=0,"",INDEX('Shared Calendar'!$A:$A,SUMPRODUCT(MAX(('Shared Calendar'!$K$2:$K$1000&gt;0)*('Shared Calendar'!$K$2:$K$1000&lt;=$B62)*('Shared Calendar'!$J$2:$J$1000&gt;$B62)*ISNUMBER(SEARCH($L62,'Shared Calendar'!$M$2:$M$1000))*ROW('Shared Calendar'!$A$2:$A$1000))))))</f>
        <v/>
      </c>
      <c r="I62" s="244">
        <f>IF(OR($A62="",$L62=""),"",IF(SUMPRODUCT(('Shared Calendar'!$K$2:$K$1000&gt;0)*('Shared Calendar'!$K$2:$K$1000&lt;=$B62)*('Shared Calendar'!$J$2:$J$1000&gt;$B62)*ISNUMBER(SEARCH($L62,'Shared Calendar'!$M$2:$M$1000))*('Shared Calendar'!$N$2:$N$1000="Leave"))&gt;0,"Leave",""))</f>
        <v/>
      </c>
      <c r="J62" s="244">
        <f>IF($A62="","",IFERROR(INDEX('Public Holidays'!$C$6:$C$38,MATCH($B62,'Public Holidays'!$A$6:$A$38,0))&amp;" ("&amp;INDEX('Public Holidays'!$L$6:$L$38,MATCH($B62,'Public Holidays'!$A$6:$A$38,0))&amp;")",""))</f>
        <v/>
      </c>
      <c r="K62" s="246">
        <f>IF($A62="","",IF(AND($D62=0,$E62=0,$G62=0),IF($I62="Leave","On leave (calendar), no shift",""),IF(AND($I62="Leave",$D62&gt;0),"On leave per calendar but timesheet has hours",IF(AND($I62="Leave",$E62&gt;0),"Rostered but on leave per calendar",IF(AND($D62=0,$E62&gt;0),"Rostered, no timesheet",IF(AND($D62&gt;0,$E62=0,$G62=0),"Timesheet but not rostered",IF(AND($D62&gt;0,$E62=0,$G62&gt;0),IF($G62&gt;$D62+$F$3,"Calendar event, no roster, timesheet short","Calendar event, no roster"),IF(ABS($D62-$E62)&gt;$F$3,"Timesheet differs from roster",IF(AND($G62&gt;0,$D62=0),"Calendar event, no timesheet",IF($G62&gt;$D62+$F$3,"Timesheet less than calendar event","OK"))))))))))</f>
        <v/>
      </c>
      <c r="L62" s="244">
        <f>IF($A62="","",INDEX($B$7:$B$36,INT((ROW()-41)/14)+1)&amp;"")</f>
        <v/>
      </c>
    </row>
    <row r="63">
      <c r="A63" s="244">
        <f>IF(INDEX($A$7:$A$36,INT((ROW()-41)/14)+1)="","",INDEX($A$7:$A$36,INT((ROW()-41)/14)+1))</f>
        <v/>
      </c>
      <c r="B63" s="245">
        <f>IF($A63="","",$B$3+MOD(ROW()-41,14))</f>
        <v/>
      </c>
      <c r="C63" s="244">
        <f>IF($A63="","",TEXT($B63,"ddd"))</f>
        <v/>
      </c>
      <c r="D63" s="242">
        <f>IF($A63="","",SUMIFS('EH Timesheets'!$G$6:$G$1005,'EH Timesheets'!$A$6:$A$1005,$A63,'EH Timesheets'!$B$6:$B$1005,$B63))</f>
        <v/>
      </c>
      <c r="E63" s="242">
        <f>IF($A63="","",SUMIFS('EH Roster'!$G$6:$G$1005,'EH Roster'!$A$6:$A$1005,$A63,'EH Roster'!$B$6:$B$1005,$B63))</f>
        <v/>
      </c>
      <c r="F63" s="242">
        <f>IF($A63="","",$D63-$E63)</f>
        <v/>
      </c>
      <c r="G63" s="242">
        <f>IF($A63="","",IF($L63="",0,SUMPRODUCT(('Shared Calendar'!$K$2:$K$1000&gt;0)*('Shared Calendar'!$K$2:$K$1000&lt;=$B63)*('Shared Calendar'!$J$2:$J$1000&gt;$B63)*ISNUMBER(SEARCH($L63,'Shared Calendar'!$M$2:$M$1000))*('Shared Calendar'!$N$2:$N$1000="Event"),'Shared Calendar'!$L$2:$L$1000)))</f>
        <v/>
      </c>
      <c r="H63" s="246">
        <f>IF(OR($A63="",$L63=""),"",IF(SUMPRODUCT(MAX(('Shared Calendar'!$K$2:$K$1000&gt;0)*('Shared Calendar'!$K$2:$K$1000&lt;=$B63)*('Shared Calendar'!$J$2:$J$1000&gt;$B63)*ISNUMBER(SEARCH($L63,'Shared Calendar'!$M$2:$M$1000))*ROW('Shared Calendar'!$A$2:$A$1000)))=0,"",INDEX('Shared Calendar'!$A:$A,SUMPRODUCT(MAX(('Shared Calendar'!$K$2:$K$1000&gt;0)*('Shared Calendar'!$K$2:$K$1000&lt;=$B63)*('Shared Calendar'!$J$2:$J$1000&gt;$B63)*ISNUMBER(SEARCH($L63,'Shared Calendar'!$M$2:$M$1000))*ROW('Shared Calendar'!$A$2:$A$1000))))))</f>
        <v/>
      </c>
      <c r="I63" s="244">
        <f>IF(OR($A63="",$L63=""),"",IF(SUMPRODUCT(('Shared Calendar'!$K$2:$K$1000&gt;0)*('Shared Calendar'!$K$2:$K$1000&lt;=$B63)*('Shared Calendar'!$J$2:$J$1000&gt;$B63)*ISNUMBER(SEARCH($L63,'Shared Calendar'!$M$2:$M$1000))*('Shared Calendar'!$N$2:$N$1000="Leave"))&gt;0,"Leave",""))</f>
        <v/>
      </c>
      <c r="J63" s="244">
        <f>IF($A63="","",IFERROR(INDEX('Public Holidays'!$C$6:$C$38,MATCH($B63,'Public Holidays'!$A$6:$A$38,0))&amp;" ("&amp;INDEX('Public Holidays'!$L$6:$L$38,MATCH($B63,'Public Holidays'!$A$6:$A$38,0))&amp;")",""))</f>
        <v/>
      </c>
      <c r="K63" s="246">
        <f>IF($A63="","",IF(AND($D63=0,$E63=0,$G63=0),IF($I63="Leave","On leave (calendar), no shift",""),IF(AND($I63="Leave",$D63&gt;0),"On leave per calendar but timesheet has hours",IF(AND($I63="Leave",$E63&gt;0),"Rostered but on leave per calendar",IF(AND($D63=0,$E63&gt;0),"Rostered, no timesheet",IF(AND($D63&gt;0,$E63=0,$G63=0),"Timesheet but not rostered",IF(AND($D63&gt;0,$E63=0,$G63&gt;0),IF($G63&gt;$D63+$F$3,"Calendar event, no roster, timesheet short","Calendar event, no roster"),IF(ABS($D63-$E63)&gt;$F$3,"Timesheet differs from roster",IF(AND($G63&gt;0,$D63=0),"Calendar event, no timesheet",IF($G63&gt;$D63+$F$3,"Timesheet less than calendar event","OK"))))))))))</f>
        <v/>
      </c>
      <c r="L63" s="244">
        <f>IF($A63="","",INDEX($B$7:$B$36,INT((ROW()-41)/14)+1)&amp;"")</f>
        <v/>
      </c>
    </row>
    <row r="64">
      <c r="A64" s="244">
        <f>IF(INDEX($A$7:$A$36,INT((ROW()-41)/14)+1)="","",INDEX($A$7:$A$36,INT((ROW()-41)/14)+1))</f>
        <v/>
      </c>
      <c r="B64" s="245">
        <f>IF($A64="","",$B$3+MOD(ROW()-41,14))</f>
        <v/>
      </c>
      <c r="C64" s="244">
        <f>IF($A64="","",TEXT($B64,"ddd"))</f>
        <v/>
      </c>
      <c r="D64" s="242">
        <f>IF($A64="","",SUMIFS('EH Timesheets'!$G$6:$G$1005,'EH Timesheets'!$A$6:$A$1005,$A64,'EH Timesheets'!$B$6:$B$1005,$B64))</f>
        <v/>
      </c>
      <c r="E64" s="242">
        <f>IF($A64="","",SUMIFS('EH Roster'!$G$6:$G$1005,'EH Roster'!$A$6:$A$1005,$A64,'EH Roster'!$B$6:$B$1005,$B64))</f>
        <v/>
      </c>
      <c r="F64" s="242">
        <f>IF($A64="","",$D64-$E64)</f>
        <v/>
      </c>
      <c r="G64" s="242">
        <f>IF($A64="","",IF($L64="",0,SUMPRODUCT(('Shared Calendar'!$K$2:$K$1000&gt;0)*('Shared Calendar'!$K$2:$K$1000&lt;=$B64)*('Shared Calendar'!$J$2:$J$1000&gt;$B64)*ISNUMBER(SEARCH($L64,'Shared Calendar'!$M$2:$M$1000))*('Shared Calendar'!$N$2:$N$1000="Event"),'Shared Calendar'!$L$2:$L$1000)))</f>
        <v/>
      </c>
      <c r="H64" s="246">
        <f>IF(OR($A64="",$L64=""),"",IF(SUMPRODUCT(MAX(('Shared Calendar'!$K$2:$K$1000&gt;0)*('Shared Calendar'!$K$2:$K$1000&lt;=$B64)*('Shared Calendar'!$J$2:$J$1000&gt;$B64)*ISNUMBER(SEARCH($L64,'Shared Calendar'!$M$2:$M$1000))*ROW('Shared Calendar'!$A$2:$A$1000)))=0,"",INDEX('Shared Calendar'!$A:$A,SUMPRODUCT(MAX(('Shared Calendar'!$K$2:$K$1000&gt;0)*('Shared Calendar'!$K$2:$K$1000&lt;=$B64)*('Shared Calendar'!$J$2:$J$1000&gt;$B64)*ISNUMBER(SEARCH($L64,'Shared Calendar'!$M$2:$M$1000))*ROW('Shared Calendar'!$A$2:$A$1000))))))</f>
        <v/>
      </c>
      <c r="I64" s="244">
        <f>IF(OR($A64="",$L64=""),"",IF(SUMPRODUCT(('Shared Calendar'!$K$2:$K$1000&gt;0)*('Shared Calendar'!$K$2:$K$1000&lt;=$B64)*('Shared Calendar'!$J$2:$J$1000&gt;$B64)*ISNUMBER(SEARCH($L64,'Shared Calendar'!$M$2:$M$1000))*('Shared Calendar'!$N$2:$N$1000="Leave"))&gt;0,"Leave",""))</f>
        <v/>
      </c>
      <c r="J64" s="244">
        <f>IF($A64="","",IFERROR(INDEX('Public Holidays'!$C$6:$C$38,MATCH($B64,'Public Holidays'!$A$6:$A$38,0))&amp;" ("&amp;INDEX('Public Holidays'!$L$6:$L$38,MATCH($B64,'Public Holidays'!$A$6:$A$38,0))&amp;")",""))</f>
        <v/>
      </c>
      <c r="K64" s="246">
        <f>IF($A64="","",IF(AND($D64=0,$E64=0,$G64=0),IF($I64="Leave","On leave (calendar), no shift",""),IF(AND($I64="Leave",$D64&gt;0),"On leave per calendar but timesheet has hours",IF(AND($I64="Leave",$E64&gt;0),"Rostered but on leave per calendar",IF(AND($D64=0,$E64&gt;0),"Rostered, no timesheet",IF(AND($D64&gt;0,$E64=0,$G64=0),"Timesheet but not rostered",IF(AND($D64&gt;0,$E64=0,$G64&gt;0),IF($G64&gt;$D64+$F$3,"Calendar event, no roster, timesheet short","Calendar event, no roster"),IF(ABS($D64-$E64)&gt;$F$3,"Timesheet differs from roster",IF(AND($G64&gt;0,$D64=0),"Calendar event, no timesheet",IF($G64&gt;$D64+$F$3,"Timesheet less than calendar event","OK"))))))))))</f>
        <v/>
      </c>
      <c r="L64" s="244">
        <f>IF($A64="","",INDEX($B$7:$B$36,INT((ROW()-41)/14)+1)&amp;"")</f>
        <v/>
      </c>
    </row>
    <row r="65">
      <c r="A65" s="244">
        <f>IF(INDEX($A$7:$A$36,INT((ROW()-41)/14)+1)="","",INDEX($A$7:$A$36,INT((ROW()-41)/14)+1))</f>
        <v/>
      </c>
      <c r="B65" s="245">
        <f>IF($A65="","",$B$3+MOD(ROW()-41,14))</f>
        <v/>
      </c>
      <c r="C65" s="244">
        <f>IF($A65="","",TEXT($B65,"ddd"))</f>
        <v/>
      </c>
      <c r="D65" s="242">
        <f>IF($A65="","",SUMIFS('EH Timesheets'!$G$6:$G$1005,'EH Timesheets'!$A$6:$A$1005,$A65,'EH Timesheets'!$B$6:$B$1005,$B65))</f>
        <v/>
      </c>
      <c r="E65" s="242">
        <f>IF($A65="","",SUMIFS('EH Roster'!$G$6:$G$1005,'EH Roster'!$A$6:$A$1005,$A65,'EH Roster'!$B$6:$B$1005,$B65))</f>
        <v/>
      </c>
      <c r="F65" s="242">
        <f>IF($A65="","",$D65-$E65)</f>
        <v/>
      </c>
      <c r="G65" s="242">
        <f>IF($A65="","",IF($L65="",0,SUMPRODUCT(('Shared Calendar'!$K$2:$K$1000&gt;0)*('Shared Calendar'!$K$2:$K$1000&lt;=$B65)*('Shared Calendar'!$J$2:$J$1000&gt;$B65)*ISNUMBER(SEARCH($L65,'Shared Calendar'!$M$2:$M$1000))*('Shared Calendar'!$N$2:$N$1000="Event"),'Shared Calendar'!$L$2:$L$1000)))</f>
        <v/>
      </c>
      <c r="H65" s="246">
        <f>IF(OR($A65="",$L65=""),"",IF(SUMPRODUCT(MAX(('Shared Calendar'!$K$2:$K$1000&gt;0)*('Shared Calendar'!$K$2:$K$1000&lt;=$B65)*('Shared Calendar'!$J$2:$J$1000&gt;$B65)*ISNUMBER(SEARCH($L65,'Shared Calendar'!$M$2:$M$1000))*ROW('Shared Calendar'!$A$2:$A$1000)))=0,"",INDEX('Shared Calendar'!$A:$A,SUMPRODUCT(MAX(('Shared Calendar'!$K$2:$K$1000&gt;0)*('Shared Calendar'!$K$2:$K$1000&lt;=$B65)*('Shared Calendar'!$J$2:$J$1000&gt;$B65)*ISNUMBER(SEARCH($L65,'Shared Calendar'!$M$2:$M$1000))*ROW('Shared Calendar'!$A$2:$A$1000))))))</f>
        <v/>
      </c>
      <c r="I65" s="244">
        <f>IF(OR($A65="",$L65=""),"",IF(SUMPRODUCT(('Shared Calendar'!$K$2:$K$1000&gt;0)*('Shared Calendar'!$K$2:$K$1000&lt;=$B65)*('Shared Calendar'!$J$2:$J$1000&gt;$B65)*ISNUMBER(SEARCH($L65,'Shared Calendar'!$M$2:$M$1000))*('Shared Calendar'!$N$2:$N$1000="Leave"))&gt;0,"Leave",""))</f>
        <v/>
      </c>
      <c r="J65" s="244">
        <f>IF($A65="","",IFERROR(INDEX('Public Holidays'!$C$6:$C$38,MATCH($B65,'Public Holidays'!$A$6:$A$38,0))&amp;" ("&amp;INDEX('Public Holidays'!$L$6:$L$38,MATCH($B65,'Public Holidays'!$A$6:$A$38,0))&amp;")",""))</f>
        <v/>
      </c>
      <c r="K65" s="246">
        <f>IF($A65="","",IF(AND($D65=0,$E65=0,$G65=0),IF($I65="Leave","On leave (calendar), no shift",""),IF(AND($I65="Leave",$D65&gt;0),"On leave per calendar but timesheet has hours",IF(AND($I65="Leave",$E65&gt;0),"Rostered but on leave per calendar",IF(AND($D65=0,$E65&gt;0),"Rostered, no timesheet",IF(AND($D65&gt;0,$E65=0,$G65=0),"Timesheet but not rostered",IF(AND($D65&gt;0,$E65=0,$G65&gt;0),IF($G65&gt;$D65+$F$3,"Calendar event, no roster, timesheet short","Calendar event, no roster"),IF(ABS($D65-$E65)&gt;$F$3,"Timesheet differs from roster",IF(AND($G65&gt;0,$D65=0),"Calendar event, no timesheet",IF($G65&gt;$D65+$F$3,"Timesheet less than calendar event","OK"))))))))))</f>
        <v/>
      </c>
      <c r="L65" s="244">
        <f>IF($A65="","",INDEX($B$7:$B$36,INT((ROW()-41)/14)+1)&amp;"")</f>
        <v/>
      </c>
    </row>
    <row r="66">
      <c r="A66" s="244">
        <f>IF(INDEX($A$7:$A$36,INT((ROW()-41)/14)+1)="","",INDEX($A$7:$A$36,INT((ROW()-41)/14)+1))</f>
        <v/>
      </c>
      <c r="B66" s="245">
        <f>IF($A66="","",$B$3+MOD(ROW()-41,14))</f>
        <v/>
      </c>
      <c r="C66" s="244">
        <f>IF($A66="","",TEXT($B66,"ddd"))</f>
        <v/>
      </c>
      <c r="D66" s="242">
        <f>IF($A66="","",SUMIFS('EH Timesheets'!$G$6:$G$1005,'EH Timesheets'!$A$6:$A$1005,$A66,'EH Timesheets'!$B$6:$B$1005,$B66))</f>
        <v/>
      </c>
      <c r="E66" s="242">
        <f>IF($A66="","",SUMIFS('EH Roster'!$G$6:$G$1005,'EH Roster'!$A$6:$A$1005,$A66,'EH Roster'!$B$6:$B$1005,$B66))</f>
        <v/>
      </c>
      <c r="F66" s="242">
        <f>IF($A66="","",$D66-$E66)</f>
        <v/>
      </c>
      <c r="G66" s="242">
        <f>IF($A66="","",IF($L66="",0,SUMPRODUCT(('Shared Calendar'!$K$2:$K$1000&gt;0)*('Shared Calendar'!$K$2:$K$1000&lt;=$B66)*('Shared Calendar'!$J$2:$J$1000&gt;$B66)*ISNUMBER(SEARCH($L66,'Shared Calendar'!$M$2:$M$1000))*('Shared Calendar'!$N$2:$N$1000="Event"),'Shared Calendar'!$L$2:$L$1000)))</f>
        <v/>
      </c>
      <c r="H66" s="246">
        <f>IF(OR($A66="",$L66=""),"",IF(SUMPRODUCT(MAX(('Shared Calendar'!$K$2:$K$1000&gt;0)*('Shared Calendar'!$K$2:$K$1000&lt;=$B66)*('Shared Calendar'!$J$2:$J$1000&gt;$B66)*ISNUMBER(SEARCH($L66,'Shared Calendar'!$M$2:$M$1000))*ROW('Shared Calendar'!$A$2:$A$1000)))=0,"",INDEX('Shared Calendar'!$A:$A,SUMPRODUCT(MAX(('Shared Calendar'!$K$2:$K$1000&gt;0)*('Shared Calendar'!$K$2:$K$1000&lt;=$B66)*('Shared Calendar'!$J$2:$J$1000&gt;$B66)*ISNUMBER(SEARCH($L66,'Shared Calendar'!$M$2:$M$1000))*ROW('Shared Calendar'!$A$2:$A$1000))))))</f>
        <v/>
      </c>
      <c r="I66" s="244">
        <f>IF(OR($A66="",$L66=""),"",IF(SUMPRODUCT(('Shared Calendar'!$K$2:$K$1000&gt;0)*('Shared Calendar'!$K$2:$K$1000&lt;=$B66)*('Shared Calendar'!$J$2:$J$1000&gt;$B66)*ISNUMBER(SEARCH($L66,'Shared Calendar'!$M$2:$M$1000))*('Shared Calendar'!$N$2:$N$1000="Leave"))&gt;0,"Leave",""))</f>
        <v/>
      </c>
      <c r="J66" s="244">
        <f>IF($A66="","",IFERROR(INDEX('Public Holidays'!$C$6:$C$38,MATCH($B66,'Public Holidays'!$A$6:$A$38,0))&amp;" ("&amp;INDEX('Public Holidays'!$L$6:$L$38,MATCH($B66,'Public Holidays'!$A$6:$A$38,0))&amp;")",""))</f>
        <v/>
      </c>
      <c r="K66" s="246">
        <f>IF($A66="","",IF(AND($D66=0,$E66=0,$G66=0),IF($I66="Leave","On leave (calendar), no shift",""),IF(AND($I66="Leave",$D66&gt;0),"On leave per calendar but timesheet has hours",IF(AND($I66="Leave",$E66&gt;0),"Rostered but on leave per calendar",IF(AND($D66=0,$E66&gt;0),"Rostered, no timesheet",IF(AND($D66&gt;0,$E66=0,$G66=0),"Timesheet but not rostered",IF(AND($D66&gt;0,$E66=0,$G66&gt;0),IF($G66&gt;$D66+$F$3,"Calendar event, no roster, timesheet short","Calendar event, no roster"),IF(ABS($D66-$E66)&gt;$F$3,"Timesheet differs from roster",IF(AND($G66&gt;0,$D66=0),"Calendar event, no timesheet",IF($G66&gt;$D66+$F$3,"Timesheet less than calendar event","OK"))))))))))</f>
        <v/>
      </c>
      <c r="L66" s="244">
        <f>IF($A66="","",INDEX($B$7:$B$36,INT((ROW()-41)/14)+1)&amp;"")</f>
        <v/>
      </c>
    </row>
    <row r="67">
      <c r="A67" s="244">
        <f>IF(INDEX($A$7:$A$36,INT((ROW()-41)/14)+1)="","",INDEX($A$7:$A$36,INT((ROW()-41)/14)+1))</f>
        <v/>
      </c>
      <c r="B67" s="245">
        <f>IF($A67="","",$B$3+MOD(ROW()-41,14))</f>
        <v/>
      </c>
      <c r="C67" s="244">
        <f>IF($A67="","",TEXT($B67,"ddd"))</f>
        <v/>
      </c>
      <c r="D67" s="242">
        <f>IF($A67="","",SUMIFS('EH Timesheets'!$G$6:$G$1005,'EH Timesheets'!$A$6:$A$1005,$A67,'EH Timesheets'!$B$6:$B$1005,$B67))</f>
        <v/>
      </c>
      <c r="E67" s="242">
        <f>IF($A67="","",SUMIFS('EH Roster'!$G$6:$G$1005,'EH Roster'!$A$6:$A$1005,$A67,'EH Roster'!$B$6:$B$1005,$B67))</f>
        <v/>
      </c>
      <c r="F67" s="242">
        <f>IF($A67="","",$D67-$E67)</f>
        <v/>
      </c>
      <c r="G67" s="242">
        <f>IF($A67="","",IF($L67="",0,SUMPRODUCT(('Shared Calendar'!$K$2:$K$1000&gt;0)*('Shared Calendar'!$K$2:$K$1000&lt;=$B67)*('Shared Calendar'!$J$2:$J$1000&gt;$B67)*ISNUMBER(SEARCH($L67,'Shared Calendar'!$M$2:$M$1000))*('Shared Calendar'!$N$2:$N$1000="Event"),'Shared Calendar'!$L$2:$L$1000)))</f>
        <v/>
      </c>
      <c r="H67" s="246">
        <f>IF(OR($A67="",$L67=""),"",IF(SUMPRODUCT(MAX(('Shared Calendar'!$K$2:$K$1000&gt;0)*('Shared Calendar'!$K$2:$K$1000&lt;=$B67)*('Shared Calendar'!$J$2:$J$1000&gt;$B67)*ISNUMBER(SEARCH($L67,'Shared Calendar'!$M$2:$M$1000))*ROW('Shared Calendar'!$A$2:$A$1000)))=0,"",INDEX('Shared Calendar'!$A:$A,SUMPRODUCT(MAX(('Shared Calendar'!$K$2:$K$1000&gt;0)*('Shared Calendar'!$K$2:$K$1000&lt;=$B67)*('Shared Calendar'!$J$2:$J$1000&gt;$B67)*ISNUMBER(SEARCH($L67,'Shared Calendar'!$M$2:$M$1000))*ROW('Shared Calendar'!$A$2:$A$1000))))))</f>
        <v/>
      </c>
      <c r="I67" s="244">
        <f>IF(OR($A67="",$L67=""),"",IF(SUMPRODUCT(('Shared Calendar'!$K$2:$K$1000&gt;0)*('Shared Calendar'!$K$2:$K$1000&lt;=$B67)*('Shared Calendar'!$J$2:$J$1000&gt;$B67)*ISNUMBER(SEARCH($L67,'Shared Calendar'!$M$2:$M$1000))*('Shared Calendar'!$N$2:$N$1000="Leave"))&gt;0,"Leave",""))</f>
        <v/>
      </c>
      <c r="J67" s="244">
        <f>IF($A67="","",IFERROR(INDEX('Public Holidays'!$C$6:$C$38,MATCH($B67,'Public Holidays'!$A$6:$A$38,0))&amp;" ("&amp;INDEX('Public Holidays'!$L$6:$L$38,MATCH($B67,'Public Holidays'!$A$6:$A$38,0))&amp;")",""))</f>
        <v/>
      </c>
      <c r="K67" s="246">
        <f>IF($A67="","",IF(AND($D67=0,$E67=0,$G67=0),IF($I67="Leave","On leave (calendar), no shift",""),IF(AND($I67="Leave",$D67&gt;0),"On leave per calendar but timesheet has hours",IF(AND($I67="Leave",$E67&gt;0),"Rostered but on leave per calendar",IF(AND($D67=0,$E67&gt;0),"Rostered, no timesheet",IF(AND($D67&gt;0,$E67=0,$G67=0),"Timesheet but not rostered",IF(AND($D67&gt;0,$E67=0,$G67&gt;0),IF($G67&gt;$D67+$F$3,"Calendar event, no roster, timesheet short","Calendar event, no roster"),IF(ABS($D67-$E67)&gt;$F$3,"Timesheet differs from roster",IF(AND($G67&gt;0,$D67=0),"Calendar event, no timesheet",IF($G67&gt;$D67+$F$3,"Timesheet less than calendar event","OK"))))))))))</f>
        <v/>
      </c>
      <c r="L67" s="244">
        <f>IF($A67="","",INDEX($B$7:$B$36,INT((ROW()-41)/14)+1)&amp;"")</f>
        <v/>
      </c>
    </row>
    <row r="68">
      <c r="A68" s="244">
        <f>IF(INDEX($A$7:$A$36,INT((ROW()-41)/14)+1)="","",INDEX($A$7:$A$36,INT((ROW()-41)/14)+1))</f>
        <v/>
      </c>
      <c r="B68" s="245">
        <f>IF($A68="","",$B$3+MOD(ROW()-41,14))</f>
        <v/>
      </c>
      <c r="C68" s="244">
        <f>IF($A68="","",TEXT($B68,"ddd"))</f>
        <v/>
      </c>
      <c r="D68" s="242">
        <f>IF($A68="","",SUMIFS('EH Timesheets'!$G$6:$G$1005,'EH Timesheets'!$A$6:$A$1005,$A68,'EH Timesheets'!$B$6:$B$1005,$B68))</f>
        <v/>
      </c>
      <c r="E68" s="242">
        <f>IF($A68="","",SUMIFS('EH Roster'!$G$6:$G$1005,'EH Roster'!$A$6:$A$1005,$A68,'EH Roster'!$B$6:$B$1005,$B68))</f>
        <v/>
      </c>
      <c r="F68" s="242">
        <f>IF($A68="","",$D68-$E68)</f>
        <v/>
      </c>
      <c r="G68" s="242">
        <f>IF($A68="","",IF($L68="",0,SUMPRODUCT(('Shared Calendar'!$K$2:$K$1000&gt;0)*('Shared Calendar'!$K$2:$K$1000&lt;=$B68)*('Shared Calendar'!$J$2:$J$1000&gt;$B68)*ISNUMBER(SEARCH($L68,'Shared Calendar'!$M$2:$M$1000))*('Shared Calendar'!$N$2:$N$1000="Event"),'Shared Calendar'!$L$2:$L$1000)))</f>
        <v/>
      </c>
      <c r="H68" s="246">
        <f>IF(OR($A68="",$L68=""),"",IF(SUMPRODUCT(MAX(('Shared Calendar'!$K$2:$K$1000&gt;0)*('Shared Calendar'!$K$2:$K$1000&lt;=$B68)*('Shared Calendar'!$J$2:$J$1000&gt;$B68)*ISNUMBER(SEARCH($L68,'Shared Calendar'!$M$2:$M$1000))*ROW('Shared Calendar'!$A$2:$A$1000)))=0,"",INDEX('Shared Calendar'!$A:$A,SUMPRODUCT(MAX(('Shared Calendar'!$K$2:$K$1000&gt;0)*('Shared Calendar'!$K$2:$K$1000&lt;=$B68)*('Shared Calendar'!$J$2:$J$1000&gt;$B68)*ISNUMBER(SEARCH($L68,'Shared Calendar'!$M$2:$M$1000))*ROW('Shared Calendar'!$A$2:$A$1000))))))</f>
        <v/>
      </c>
      <c r="I68" s="244">
        <f>IF(OR($A68="",$L68=""),"",IF(SUMPRODUCT(('Shared Calendar'!$K$2:$K$1000&gt;0)*('Shared Calendar'!$K$2:$K$1000&lt;=$B68)*('Shared Calendar'!$J$2:$J$1000&gt;$B68)*ISNUMBER(SEARCH($L68,'Shared Calendar'!$M$2:$M$1000))*('Shared Calendar'!$N$2:$N$1000="Leave"))&gt;0,"Leave",""))</f>
        <v/>
      </c>
      <c r="J68" s="244">
        <f>IF($A68="","",IFERROR(INDEX('Public Holidays'!$C$6:$C$38,MATCH($B68,'Public Holidays'!$A$6:$A$38,0))&amp;" ("&amp;INDEX('Public Holidays'!$L$6:$L$38,MATCH($B68,'Public Holidays'!$A$6:$A$38,0))&amp;")",""))</f>
        <v/>
      </c>
      <c r="K68" s="246">
        <f>IF($A68="","",IF(AND($D68=0,$E68=0,$G68=0),IF($I68="Leave","On leave (calendar), no shift",""),IF(AND($I68="Leave",$D68&gt;0),"On leave per calendar but timesheet has hours",IF(AND($I68="Leave",$E68&gt;0),"Rostered but on leave per calendar",IF(AND($D68=0,$E68&gt;0),"Rostered, no timesheet",IF(AND($D68&gt;0,$E68=0,$G68=0),"Timesheet but not rostered",IF(AND($D68&gt;0,$E68=0,$G68&gt;0),IF($G68&gt;$D68+$F$3,"Calendar event, no roster, timesheet short","Calendar event, no roster"),IF(ABS($D68-$E68)&gt;$F$3,"Timesheet differs from roster",IF(AND($G68&gt;0,$D68=0),"Calendar event, no timesheet",IF($G68&gt;$D68+$F$3,"Timesheet less than calendar event","OK"))))))))))</f>
        <v/>
      </c>
      <c r="L68" s="244">
        <f>IF($A68="","",INDEX($B$7:$B$36,INT((ROW()-41)/14)+1)&amp;"")</f>
        <v/>
      </c>
    </row>
    <row r="69">
      <c r="A69" s="244">
        <f>IF(INDEX($A$7:$A$36,INT((ROW()-41)/14)+1)="","",INDEX($A$7:$A$36,INT((ROW()-41)/14)+1))</f>
        <v/>
      </c>
      <c r="B69" s="245">
        <f>IF($A69="","",$B$3+MOD(ROW()-41,14))</f>
        <v/>
      </c>
      <c r="C69" s="244">
        <f>IF($A69="","",TEXT($B69,"ddd"))</f>
        <v/>
      </c>
      <c r="D69" s="242">
        <f>IF($A69="","",SUMIFS('EH Timesheets'!$G$6:$G$1005,'EH Timesheets'!$A$6:$A$1005,$A69,'EH Timesheets'!$B$6:$B$1005,$B69))</f>
        <v/>
      </c>
      <c r="E69" s="242">
        <f>IF($A69="","",SUMIFS('EH Roster'!$G$6:$G$1005,'EH Roster'!$A$6:$A$1005,$A69,'EH Roster'!$B$6:$B$1005,$B69))</f>
        <v/>
      </c>
      <c r="F69" s="242">
        <f>IF($A69="","",$D69-$E69)</f>
        <v/>
      </c>
      <c r="G69" s="242">
        <f>IF($A69="","",IF($L69="",0,SUMPRODUCT(('Shared Calendar'!$K$2:$K$1000&gt;0)*('Shared Calendar'!$K$2:$K$1000&lt;=$B69)*('Shared Calendar'!$J$2:$J$1000&gt;$B69)*ISNUMBER(SEARCH($L69,'Shared Calendar'!$M$2:$M$1000))*('Shared Calendar'!$N$2:$N$1000="Event"),'Shared Calendar'!$L$2:$L$1000)))</f>
        <v/>
      </c>
      <c r="H69" s="246">
        <f>IF(OR($A69="",$L69=""),"",IF(SUMPRODUCT(MAX(('Shared Calendar'!$K$2:$K$1000&gt;0)*('Shared Calendar'!$K$2:$K$1000&lt;=$B69)*('Shared Calendar'!$J$2:$J$1000&gt;$B69)*ISNUMBER(SEARCH($L69,'Shared Calendar'!$M$2:$M$1000))*ROW('Shared Calendar'!$A$2:$A$1000)))=0,"",INDEX('Shared Calendar'!$A:$A,SUMPRODUCT(MAX(('Shared Calendar'!$K$2:$K$1000&gt;0)*('Shared Calendar'!$K$2:$K$1000&lt;=$B69)*('Shared Calendar'!$J$2:$J$1000&gt;$B69)*ISNUMBER(SEARCH($L69,'Shared Calendar'!$M$2:$M$1000))*ROW('Shared Calendar'!$A$2:$A$1000))))))</f>
        <v/>
      </c>
      <c r="I69" s="244">
        <f>IF(OR($A69="",$L69=""),"",IF(SUMPRODUCT(('Shared Calendar'!$K$2:$K$1000&gt;0)*('Shared Calendar'!$K$2:$K$1000&lt;=$B69)*('Shared Calendar'!$J$2:$J$1000&gt;$B69)*ISNUMBER(SEARCH($L69,'Shared Calendar'!$M$2:$M$1000))*('Shared Calendar'!$N$2:$N$1000="Leave"))&gt;0,"Leave",""))</f>
        <v/>
      </c>
      <c r="J69" s="244">
        <f>IF($A69="","",IFERROR(INDEX('Public Holidays'!$C$6:$C$38,MATCH($B69,'Public Holidays'!$A$6:$A$38,0))&amp;" ("&amp;INDEX('Public Holidays'!$L$6:$L$38,MATCH($B69,'Public Holidays'!$A$6:$A$38,0))&amp;")",""))</f>
        <v/>
      </c>
      <c r="K69" s="246">
        <f>IF($A69="","",IF(AND($D69=0,$E69=0,$G69=0),IF($I69="Leave","On leave (calendar), no shift",""),IF(AND($I69="Leave",$D69&gt;0),"On leave per calendar but timesheet has hours",IF(AND($I69="Leave",$E69&gt;0),"Rostered but on leave per calendar",IF(AND($D69=0,$E69&gt;0),"Rostered, no timesheet",IF(AND($D69&gt;0,$E69=0,$G69=0),"Timesheet but not rostered",IF(AND($D69&gt;0,$E69=0,$G69&gt;0),IF($G69&gt;$D69+$F$3,"Calendar event, no roster, timesheet short","Calendar event, no roster"),IF(ABS($D69-$E69)&gt;$F$3,"Timesheet differs from roster",IF(AND($G69&gt;0,$D69=0),"Calendar event, no timesheet",IF($G69&gt;$D69+$F$3,"Timesheet less than calendar event","OK"))))))))))</f>
        <v/>
      </c>
      <c r="L69" s="244">
        <f>IF($A69="","",INDEX($B$7:$B$36,INT((ROW()-41)/14)+1)&amp;"")</f>
        <v/>
      </c>
    </row>
    <row r="70">
      <c r="A70" s="244">
        <f>IF(INDEX($A$7:$A$36,INT((ROW()-41)/14)+1)="","",INDEX($A$7:$A$36,INT((ROW()-41)/14)+1))</f>
        <v/>
      </c>
      <c r="B70" s="245">
        <f>IF($A70="","",$B$3+MOD(ROW()-41,14))</f>
        <v/>
      </c>
      <c r="C70" s="244">
        <f>IF($A70="","",TEXT($B70,"ddd"))</f>
        <v/>
      </c>
      <c r="D70" s="242">
        <f>IF($A70="","",SUMIFS('EH Timesheets'!$G$6:$G$1005,'EH Timesheets'!$A$6:$A$1005,$A70,'EH Timesheets'!$B$6:$B$1005,$B70))</f>
        <v/>
      </c>
      <c r="E70" s="242">
        <f>IF($A70="","",SUMIFS('EH Roster'!$G$6:$G$1005,'EH Roster'!$A$6:$A$1005,$A70,'EH Roster'!$B$6:$B$1005,$B70))</f>
        <v/>
      </c>
      <c r="F70" s="242">
        <f>IF($A70="","",$D70-$E70)</f>
        <v/>
      </c>
      <c r="G70" s="242">
        <f>IF($A70="","",IF($L70="",0,SUMPRODUCT(('Shared Calendar'!$K$2:$K$1000&gt;0)*('Shared Calendar'!$K$2:$K$1000&lt;=$B70)*('Shared Calendar'!$J$2:$J$1000&gt;$B70)*ISNUMBER(SEARCH($L70,'Shared Calendar'!$M$2:$M$1000))*('Shared Calendar'!$N$2:$N$1000="Event"),'Shared Calendar'!$L$2:$L$1000)))</f>
        <v/>
      </c>
      <c r="H70" s="246">
        <f>IF(OR($A70="",$L70=""),"",IF(SUMPRODUCT(MAX(('Shared Calendar'!$K$2:$K$1000&gt;0)*('Shared Calendar'!$K$2:$K$1000&lt;=$B70)*('Shared Calendar'!$J$2:$J$1000&gt;$B70)*ISNUMBER(SEARCH($L70,'Shared Calendar'!$M$2:$M$1000))*ROW('Shared Calendar'!$A$2:$A$1000)))=0,"",INDEX('Shared Calendar'!$A:$A,SUMPRODUCT(MAX(('Shared Calendar'!$K$2:$K$1000&gt;0)*('Shared Calendar'!$K$2:$K$1000&lt;=$B70)*('Shared Calendar'!$J$2:$J$1000&gt;$B70)*ISNUMBER(SEARCH($L70,'Shared Calendar'!$M$2:$M$1000))*ROW('Shared Calendar'!$A$2:$A$1000))))))</f>
        <v/>
      </c>
      <c r="I70" s="244">
        <f>IF(OR($A70="",$L70=""),"",IF(SUMPRODUCT(('Shared Calendar'!$K$2:$K$1000&gt;0)*('Shared Calendar'!$K$2:$K$1000&lt;=$B70)*('Shared Calendar'!$J$2:$J$1000&gt;$B70)*ISNUMBER(SEARCH($L70,'Shared Calendar'!$M$2:$M$1000))*('Shared Calendar'!$N$2:$N$1000="Leave"))&gt;0,"Leave",""))</f>
        <v/>
      </c>
      <c r="J70" s="244">
        <f>IF($A70="","",IFERROR(INDEX('Public Holidays'!$C$6:$C$38,MATCH($B70,'Public Holidays'!$A$6:$A$38,0))&amp;" ("&amp;INDEX('Public Holidays'!$L$6:$L$38,MATCH($B70,'Public Holidays'!$A$6:$A$38,0))&amp;")",""))</f>
        <v/>
      </c>
      <c r="K70" s="246">
        <f>IF($A70="","",IF(AND($D70=0,$E70=0,$G70=0),IF($I70="Leave","On leave (calendar), no shift",""),IF(AND($I70="Leave",$D70&gt;0),"On leave per calendar but timesheet has hours",IF(AND($I70="Leave",$E70&gt;0),"Rostered but on leave per calendar",IF(AND($D70=0,$E70&gt;0),"Rostered, no timesheet",IF(AND($D70&gt;0,$E70=0,$G70=0),"Timesheet but not rostered",IF(AND($D70&gt;0,$E70=0,$G70&gt;0),IF($G70&gt;$D70+$F$3,"Calendar event, no roster, timesheet short","Calendar event, no roster"),IF(ABS($D70-$E70)&gt;$F$3,"Timesheet differs from roster",IF(AND($G70&gt;0,$D70=0),"Calendar event, no timesheet",IF($G70&gt;$D70+$F$3,"Timesheet less than calendar event","OK"))))))))))</f>
        <v/>
      </c>
      <c r="L70" s="244">
        <f>IF($A70="","",INDEX($B$7:$B$36,INT((ROW()-41)/14)+1)&amp;"")</f>
        <v/>
      </c>
    </row>
    <row r="71">
      <c r="A71" s="244">
        <f>IF(INDEX($A$7:$A$36,INT((ROW()-41)/14)+1)="","",INDEX($A$7:$A$36,INT((ROW()-41)/14)+1))</f>
        <v/>
      </c>
      <c r="B71" s="245">
        <f>IF($A71="","",$B$3+MOD(ROW()-41,14))</f>
        <v/>
      </c>
      <c r="C71" s="244">
        <f>IF($A71="","",TEXT($B71,"ddd"))</f>
        <v/>
      </c>
      <c r="D71" s="242">
        <f>IF($A71="","",SUMIFS('EH Timesheets'!$G$6:$G$1005,'EH Timesheets'!$A$6:$A$1005,$A71,'EH Timesheets'!$B$6:$B$1005,$B71))</f>
        <v/>
      </c>
      <c r="E71" s="242">
        <f>IF($A71="","",SUMIFS('EH Roster'!$G$6:$G$1005,'EH Roster'!$A$6:$A$1005,$A71,'EH Roster'!$B$6:$B$1005,$B71))</f>
        <v/>
      </c>
      <c r="F71" s="242">
        <f>IF($A71="","",$D71-$E71)</f>
        <v/>
      </c>
      <c r="G71" s="242">
        <f>IF($A71="","",IF($L71="",0,SUMPRODUCT(('Shared Calendar'!$K$2:$K$1000&gt;0)*('Shared Calendar'!$K$2:$K$1000&lt;=$B71)*('Shared Calendar'!$J$2:$J$1000&gt;$B71)*ISNUMBER(SEARCH($L71,'Shared Calendar'!$M$2:$M$1000))*('Shared Calendar'!$N$2:$N$1000="Event"),'Shared Calendar'!$L$2:$L$1000)))</f>
        <v/>
      </c>
      <c r="H71" s="246">
        <f>IF(OR($A71="",$L71=""),"",IF(SUMPRODUCT(MAX(('Shared Calendar'!$K$2:$K$1000&gt;0)*('Shared Calendar'!$K$2:$K$1000&lt;=$B71)*('Shared Calendar'!$J$2:$J$1000&gt;$B71)*ISNUMBER(SEARCH($L71,'Shared Calendar'!$M$2:$M$1000))*ROW('Shared Calendar'!$A$2:$A$1000)))=0,"",INDEX('Shared Calendar'!$A:$A,SUMPRODUCT(MAX(('Shared Calendar'!$K$2:$K$1000&gt;0)*('Shared Calendar'!$K$2:$K$1000&lt;=$B71)*('Shared Calendar'!$J$2:$J$1000&gt;$B71)*ISNUMBER(SEARCH($L71,'Shared Calendar'!$M$2:$M$1000))*ROW('Shared Calendar'!$A$2:$A$1000))))))</f>
        <v/>
      </c>
      <c r="I71" s="244">
        <f>IF(OR($A71="",$L71=""),"",IF(SUMPRODUCT(('Shared Calendar'!$K$2:$K$1000&gt;0)*('Shared Calendar'!$K$2:$K$1000&lt;=$B71)*('Shared Calendar'!$J$2:$J$1000&gt;$B71)*ISNUMBER(SEARCH($L71,'Shared Calendar'!$M$2:$M$1000))*('Shared Calendar'!$N$2:$N$1000="Leave"))&gt;0,"Leave",""))</f>
        <v/>
      </c>
      <c r="J71" s="244">
        <f>IF($A71="","",IFERROR(INDEX('Public Holidays'!$C$6:$C$38,MATCH($B71,'Public Holidays'!$A$6:$A$38,0))&amp;" ("&amp;INDEX('Public Holidays'!$L$6:$L$38,MATCH($B71,'Public Holidays'!$A$6:$A$38,0))&amp;")",""))</f>
        <v/>
      </c>
      <c r="K71" s="246">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44">
        <f>IF($A71="","",INDEX($B$7:$B$36,INT((ROW()-41)/14)+1)&amp;"")</f>
        <v/>
      </c>
    </row>
    <row r="72">
      <c r="A72" s="244">
        <f>IF(INDEX($A$7:$A$36,INT((ROW()-41)/14)+1)="","",INDEX($A$7:$A$36,INT((ROW()-41)/14)+1))</f>
        <v/>
      </c>
      <c r="B72" s="245">
        <f>IF($A72="","",$B$3+MOD(ROW()-41,14))</f>
        <v/>
      </c>
      <c r="C72" s="244">
        <f>IF($A72="","",TEXT($B72,"ddd"))</f>
        <v/>
      </c>
      <c r="D72" s="242">
        <f>IF($A72="","",SUMIFS('EH Timesheets'!$G$6:$G$1005,'EH Timesheets'!$A$6:$A$1005,$A72,'EH Timesheets'!$B$6:$B$1005,$B72))</f>
        <v/>
      </c>
      <c r="E72" s="242">
        <f>IF($A72="","",SUMIFS('EH Roster'!$G$6:$G$1005,'EH Roster'!$A$6:$A$1005,$A72,'EH Roster'!$B$6:$B$1005,$B72))</f>
        <v/>
      </c>
      <c r="F72" s="242">
        <f>IF($A72="","",$D72-$E72)</f>
        <v/>
      </c>
      <c r="G72" s="242">
        <f>IF($A72="","",IF($L72="",0,SUMPRODUCT(('Shared Calendar'!$K$2:$K$1000&gt;0)*('Shared Calendar'!$K$2:$K$1000&lt;=$B72)*('Shared Calendar'!$J$2:$J$1000&gt;$B72)*ISNUMBER(SEARCH($L72,'Shared Calendar'!$M$2:$M$1000))*('Shared Calendar'!$N$2:$N$1000="Event"),'Shared Calendar'!$L$2:$L$1000)))</f>
        <v/>
      </c>
      <c r="H72" s="246">
        <f>IF(OR($A72="",$L72=""),"",IF(SUMPRODUCT(MAX(('Shared Calendar'!$K$2:$K$1000&gt;0)*('Shared Calendar'!$K$2:$K$1000&lt;=$B72)*('Shared Calendar'!$J$2:$J$1000&gt;$B72)*ISNUMBER(SEARCH($L72,'Shared Calendar'!$M$2:$M$1000))*ROW('Shared Calendar'!$A$2:$A$1000)))=0,"",INDEX('Shared Calendar'!$A:$A,SUMPRODUCT(MAX(('Shared Calendar'!$K$2:$K$1000&gt;0)*('Shared Calendar'!$K$2:$K$1000&lt;=$B72)*('Shared Calendar'!$J$2:$J$1000&gt;$B72)*ISNUMBER(SEARCH($L72,'Shared Calendar'!$M$2:$M$1000))*ROW('Shared Calendar'!$A$2:$A$1000))))))</f>
        <v/>
      </c>
      <c r="I72" s="244">
        <f>IF(OR($A72="",$L72=""),"",IF(SUMPRODUCT(('Shared Calendar'!$K$2:$K$1000&gt;0)*('Shared Calendar'!$K$2:$K$1000&lt;=$B72)*('Shared Calendar'!$J$2:$J$1000&gt;$B72)*ISNUMBER(SEARCH($L72,'Shared Calendar'!$M$2:$M$1000))*('Shared Calendar'!$N$2:$N$1000="Leave"))&gt;0,"Leave",""))</f>
        <v/>
      </c>
      <c r="J72" s="244">
        <f>IF($A72="","",IFERROR(INDEX('Public Holidays'!$C$6:$C$38,MATCH($B72,'Public Holidays'!$A$6:$A$38,0))&amp;" ("&amp;INDEX('Public Holidays'!$L$6:$L$38,MATCH($B72,'Public Holidays'!$A$6:$A$38,0))&amp;")",""))</f>
        <v/>
      </c>
      <c r="K72" s="246">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44">
        <f>IF($A72="","",INDEX($B$7:$B$36,INT((ROW()-41)/14)+1)&amp;"")</f>
        <v/>
      </c>
    </row>
    <row r="73">
      <c r="A73" s="244">
        <f>IF(INDEX($A$7:$A$36,INT((ROW()-41)/14)+1)="","",INDEX($A$7:$A$36,INT((ROW()-41)/14)+1))</f>
        <v/>
      </c>
      <c r="B73" s="245">
        <f>IF($A73="","",$B$3+MOD(ROW()-41,14))</f>
        <v/>
      </c>
      <c r="C73" s="244">
        <f>IF($A73="","",TEXT($B73,"ddd"))</f>
        <v/>
      </c>
      <c r="D73" s="242">
        <f>IF($A73="","",SUMIFS('EH Timesheets'!$G$6:$G$1005,'EH Timesheets'!$A$6:$A$1005,$A73,'EH Timesheets'!$B$6:$B$1005,$B73))</f>
        <v/>
      </c>
      <c r="E73" s="242">
        <f>IF($A73="","",SUMIFS('EH Roster'!$G$6:$G$1005,'EH Roster'!$A$6:$A$1005,$A73,'EH Roster'!$B$6:$B$1005,$B73))</f>
        <v/>
      </c>
      <c r="F73" s="242">
        <f>IF($A73="","",$D73-$E73)</f>
        <v/>
      </c>
      <c r="G73" s="242">
        <f>IF($A73="","",IF($L73="",0,SUMPRODUCT(('Shared Calendar'!$K$2:$K$1000&gt;0)*('Shared Calendar'!$K$2:$K$1000&lt;=$B73)*('Shared Calendar'!$J$2:$J$1000&gt;$B73)*ISNUMBER(SEARCH($L73,'Shared Calendar'!$M$2:$M$1000))*('Shared Calendar'!$N$2:$N$1000="Event"),'Shared Calendar'!$L$2:$L$1000)))</f>
        <v/>
      </c>
      <c r="H73" s="246">
        <f>IF(OR($A73="",$L73=""),"",IF(SUMPRODUCT(MAX(('Shared Calendar'!$K$2:$K$1000&gt;0)*('Shared Calendar'!$K$2:$K$1000&lt;=$B73)*('Shared Calendar'!$J$2:$J$1000&gt;$B73)*ISNUMBER(SEARCH($L73,'Shared Calendar'!$M$2:$M$1000))*ROW('Shared Calendar'!$A$2:$A$1000)))=0,"",INDEX('Shared Calendar'!$A:$A,SUMPRODUCT(MAX(('Shared Calendar'!$K$2:$K$1000&gt;0)*('Shared Calendar'!$K$2:$K$1000&lt;=$B73)*('Shared Calendar'!$J$2:$J$1000&gt;$B73)*ISNUMBER(SEARCH($L73,'Shared Calendar'!$M$2:$M$1000))*ROW('Shared Calendar'!$A$2:$A$1000))))))</f>
        <v/>
      </c>
      <c r="I73" s="244">
        <f>IF(OR($A73="",$L73=""),"",IF(SUMPRODUCT(('Shared Calendar'!$K$2:$K$1000&gt;0)*('Shared Calendar'!$K$2:$K$1000&lt;=$B73)*('Shared Calendar'!$J$2:$J$1000&gt;$B73)*ISNUMBER(SEARCH($L73,'Shared Calendar'!$M$2:$M$1000))*('Shared Calendar'!$N$2:$N$1000="Leave"))&gt;0,"Leave",""))</f>
        <v/>
      </c>
      <c r="J73" s="244">
        <f>IF($A73="","",IFERROR(INDEX('Public Holidays'!$C$6:$C$38,MATCH($B73,'Public Holidays'!$A$6:$A$38,0))&amp;" ("&amp;INDEX('Public Holidays'!$L$6:$L$38,MATCH($B73,'Public Holidays'!$A$6:$A$38,0))&amp;")",""))</f>
        <v/>
      </c>
      <c r="K73" s="246">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44">
        <f>IF($A73="","",INDEX($B$7:$B$36,INT((ROW()-41)/14)+1)&amp;"")</f>
        <v/>
      </c>
    </row>
    <row r="74">
      <c r="A74" s="244">
        <f>IF(INDEX($A$7:$A$36,INT((ROW()-41)/14)+1)="","",INDEX($A$7:$A$36,INT((ROW()-41)/14)+1))</f>
        <v/>
      </c>
      <c r="B74" s="245">
        <f>IF($A74="","",$B$3+MOD(ROW()-41,14))</f>
        <v/>
      </c>
      <c r="C74" s="244">
        <f>IF($A74="","",TEXT($B74,"ddd"))</f>
        <v/>
      </c>
      <c r="D74" s="242">
        <f>IF($A74="","",SUMIFS('EH Timesheets'!$G$6:$G$1005,'EH Timesheets'!$A$6:$A$1005,$A74,'EH Timesheets'!$B$6:$B$1005,$B74))</f>
        <v/>
      </c>
      <c r="E74" s="242">
        <f>IF($A74="","",SUMIFS('EH Roster'!$G$6:$G$1005,'EH Roster'!$A$6:$A$1005,$A74,'EH Roster'!$B$6:$B$1005,$B74))</f>
        <v/>
      </c>
      <c r="F74" s="242">
        <f>IF($A74="","",$D74-$E74)</f>
        <v/>
      </c>
      <c r="G74" s="242">
        <f>IF($A74="","",IF($L74="",0,SUMPRODUCT(('Shared Calendar'!$K$2:$K$1000&gt;0)*('Shared Calendar'!$K$2:$K$1000&lt;=$B74)*('Shared Calendar'!$J$2:$J$1000&gt;$B74)*ISNUMBER(SEARCH($L74,'Shared Calendar'!$M$2:$M$1000))*('Shared Calendar'!$N$2:$N$1000="Event"),'Shared Calendar'!$L$2:$L$1000)))</f>
        <v/>
      </c>
      <c r="H74" s="246">
        <f>IF(OR($A74="",$L74=""),"",IF(SUMPRODUCT(MAX(('Shared Calendar'!$K$2:$K$1000&gt;0)*('Shared Calendar'!$K$2:$K$1000&lt;=$B74)*('Shared Calendar'!$J$2:$J$1000&gt;$B74)*ISNUMBER(SEARCH($L74,'Shared Calendar'!$M$2:$M$1000))*ROW('Shared Calendar'!$A$2:$A$1000)))=0,"",INDEX('Shared Calendar'!$A:$A,SUMPRODUCT(MAX(('Shared Calendar'!$K$2:$K$1000&gt;0)*('Shared Calendar'!$K$2:$K$1000&lt;=$B74)*('Shared Calendar'!$J$2:$J$1000&gt;$B74)*ISNUMBER(SEARCH($L74,'Shared Calendar'!$M$2:$M$1000))*ROW('Shared Calendar'!$A$2:$A$1000))))))</f>
        <v/>
      </c>
      <c r="I74" s="244">
        <f>IF(OR($A74="",$L74=""),"",IF(SUMPRODUCT(('Shared Calendar'!$K$2:$K$1000&gt;0)*('Shared Calendar'!$K$2:$K$1000&lt;=$B74)*('Shared Calendar'!$J$2:$J$1000&gt;$B74)*ISNUMBER(SEARCH($L74,'Shared Calendar'!$M$2:$M$1000))*('Shared Calendar'!$N$2:$N$1000="Leave"))&gt;0,"Leave",""))</f>
        <v/>
      </c>
      <c r="J74" s="244">
        <f>IF($A74="","",IFERROR(INDEX('Public Holidays'!$C$6:$C$38,MATCH($B74,'Public Holidays'!$A$6:$A$38,0))&amp;" ("&amp;INDEX('Public Holidays'!$L$6:$L$38,MATCH($B74,'Public Holidays'!$A$6:$A$38,0))&amp;")",""))</f>
        <v/>
      </c>
      <c r="K74" s="246">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44">
        <f>IF($A74="","",INDEX($B$7:$B$36,INT((ROW()-41)/14)+1)&amp;"")</f>
        <v/>
      </c>
    </row>
    <row r="75">
      <c r="A75" s="244">
        <f>IF(INDEX($A$7:$A$36,INT((ROW()-41)/14)+1)="","",INDEX($A$7:$A$36,INT((ROW()-41)/14)+1))</f>
        <v/>
      </c>
      <c r="B75" s="245">
        <f>IF($A75="","",$B$3+MOD(ROW()-41,14))</f>
        <v/>
      </c>
      <c r="C75" s="244">
        <f>IF($A75="","",TEXT($B75,"ddd"))</f>
        <v/>
      </c>
      <c r="D75" s="242">
        <f>IF($A75="","",SUMIFS('EH Timesheets'!$G$6:$G$1005,'EH Timesheets'!$A$6:$A$1005,$A75,'EH Timesheets'!$B$6:$B$1005,$B75))</f>
        <v/>
      </c>
      <c r="E75" s="242">
        <f>IF($A75="","",SUMIFS('EH Roster'!$G$6:$G$1005,'EH Roster'!$A$6:$A$1005,$A75,'EH Roster'!$B$6:$B$1005,$B75))</f>
        <v/>
      </c>
      <c r="F75" s="242">
        <f>IF($A75="","",$D75-$E75)</f>
        <v/>
      </c>
      <c r="G75" s="242">
        <f>IF($A75="","",IF($L75="",0,SUMPRODUCT(('Shared Calendar'!$K$2:$K$1000&gt;0)*('Shared Calendar'!$K$2:$K$1000&lt;=$B75)*('Shared Calendar'!$J$2:$J$1000&gt;$B75)*ISNUMBER(SEARCH($L75,'Shared Calendar'!$M$2:$M$1000))*('Shared Calendar'!$N$2:$N$1000="Event"),'Shared Calendar'!$L$2:$L$1000)))</f>
        <v/>
      </c>
      <c r="H75" s="246">
        <f>IF(OR($A75="",$L75=""),"",IF(SUMPRODUCT(MAX(('Shared Calendar'!$K$2:$K$1000&gt;0)*('Shared Calendar'!$K$2:$K$1000&lt;=$B75)*('Shared Calendar'!$J$2:$J$1000&gt;$B75)*ISNUMBER(SEARCH($L75,'Shared Calendar'!$M$2:$M$1000))*ROW('Shared Calendar'!$A$2:$A$1000)))=0,"",INDEX('Shared Calendar'!$A:$A,SUMPRODUCT(MAX(('Shared Calendar'!$K$2:$K$1000&gt;0)*('Shared Calendar'!$K$2:$K$1000&lt;=$B75)*('Shared Calendar'!$J$2:$J$1000&gt;$B75)*ISNUMBER(SEARCH($L75,'Shared Calendar'!$M$2:$M$1000))*ROW('Shared Calendar'!$A$2:$A$1000))))))</f>
        <v/>
      </c>
      <c r="I75" s="244">
        <f>IF(OR($A75="",$L75=""),"",IF(SUMPRODUCT(('Shared Calendar'!$K$2:$K$1000&gt;0)*('Shared Calendar'!$K$2:$K$1000&lt;=$B75)*('Shared Calendar'!$J$2:$J$1000&gt;$B75)*ISNUMBER(SEARCH($L75,'Shared Calendar'!$M$2:$M$1000))*('Shared Calendar'!$N$2:$N$1000="Leave"))&gt;0,"Leave",""))</f>
        <v/>
      </c>
      <c r="J75" s="244">
        <f>IF($A75="","",IFERROR(INDEX('Public Holidays'!$C$6:$C$38,MATCH($B75,'Public Holidays'!$A$6:$A$38,0))&amp;" ("&amp;INDEX('Public Holidays'!$L$6:$L$38,MATCH($B75,'Public Holidays'!$A$6:$A$38,0))&amp;")",""))</f>
        <v/>
      </c>
      <c r="K75" s="246">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44">
        <f>IF($A75="","",INDEX($B$7:$B$36,INT((ROW()-41)/14)+1)&amp;"")</f>
        <v/>
      </c>
    </row>
    <row r="76">
      <c r="A76" s="244">
        <f>IF(INDEX($A$7:$A$36,INT((ROW()-41)/14)+1)="","",INDEX($A$7:$A$36,INT((ROW()-41)/14)+1))</f>
        <v/>
      </c>
      <c r="B76" s="245">
        <f>IF($A76="","",$B$3+MOD(ROW()-41,14))</f>
        <v/>
      </c>
      <c r="C76" s="244">
        <f>IF($A76="","",TEXT($B76,"ddd"))</f>
        <v/>
      </c>
      <c r="D76" s="242">
        <f>IF($A76="","",SUMIFS('EH Timesheets'!$G$6:$G$1005,'EH Timesheets'!$A$6:$A$1005,$A76,'EH Timesheets'!$B$6:$B$1005,$B76))</f>
        <v/>
      </c>
      <c r="E76" s="242">
        <f>IF($A76="","",SUMIFS('EH Roster'!$G$6:$G$1005,'EH Roster'!$A$6:$A$1005,$A76,'EH Roster'!$B$6:$B$1005,$B76))</f>
        <v/>
      </c>
      <c r="F76" s="242">
        <f>IF($A76="","",$D76-$E76)</f>
        <v/>
      </c>
      <c r="G76" s="242">
        <f>IF($A76="","",IF($L76="",0,SUMPRODUCT(('Shared Calendar'!$K$2:$K$1000&gt;0)*('Shared Calendar'!$K$2:$K$1000&lt;=$B76)*('Shared Calendar'!$J$2:$J$1000&gt;$B76)*ISNUMBER(SEARCH($L76,'Shared Calendar'!$M$2:$M$1000))*('Shared Calendar'!$N$2:$N$1000="Event"),'Shared Calendar'!$L$2:$L$1000)))</f>
        <v/>
      </c>
      <c r="H76" s="246">
        <f>IF(OR($A76="",$L76=""),"",IF(SUMPRODUCT(MAX(('Shared Calendar'!$K$2:$K$1000&gt;0)*('Shared Calendar'!$K$2:$K$1000&lt;=$B76)*('Shared Calendar'!$J$2:$J$1000&gt;$B76)*ISNUMBER(SEARCH($L76,'Shared Calendar'!$M$2:$M$1000))*ROW('Shared Calendar'!$A$2:$A$1000)))=0,"",INDEX('Shared Calendar'!$A:$A,SUMPRODUCT(MAX(('Shared Calendar'!$K$2:$K$1000&gt;0)*('Shared Calendar'!$K$2:$K$1000&lt;=$B76)*('Shared Calendar'!$J$2:$J$1000&gt;$B76)*ISNUMBER(SEARCH($L76,'Shared Calendar'!$M$2:$M$1000))*ROW('Shared Calendar'!$A$2:$A$1000))))))</f>
        <v/>
      </c>
      <c r="I76" s="244">
        <f>IF(OR($A76="",$L76=""),"",IF(SUMPRODUCT(('Shared Calendar'!$K$2:$K$1000&gt;0)*('Shared Calendar'!$K$2:$K$1000&lt;=$B76)*('Shared Calendar'!$J$2:$J$1000&gt;$B76)*ISNUMBER(SEARCH($L76,'Shared Calendar'!$M$2:$M$1000))*('Shared Calendar'!$N$2:$N$1000="Leave"))&gt;0,"Leave",""))</f>
        <v/>
      </c>
      <c r="J76" s="244">
        <f>IF($A76="","",IFERROR(INDEX('Public Holidays'!$C$6:$C$38,MATCH($B76,'Public Holidays'!$A$6:$A$38,0))&amp;" ("&amp;INDEX('Public Holidays'!$L$6:$L$38,MATCH($B76,'Public Holidays'!$A$6:$A$38,0))&amp;")",""))</f>
        <v/>
      </c>
      <c r="K76" s="246">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44">
        <f>IF($A76="","",INDEX($B$7:$B$36,INT((ROW()-41)/14)+1)&amp;"")</f>
        <v/>
      </c>
    </row>
    <row r="77">
      <c r="A77" s="244">
        <f>IF(INDEX($A$7:$A$36,INT((ROW()-41)/14)+1)="","",INDEX($A$7:$A$36,INT((ROW()-41)/14)+1))</f>
        <v/>
      </c>
      <c r="B77" s="245">
        <f>IF($A77="","",$B$3+MOD(ROW()-41,14))</f>
        <v/>
      </c>
      <c r="C77" s="244">
        <f>IF($A77="","",TEXT($B77,"ddd"))</f>
        <v/>
      </c>
      <c r="D77" s="242">
        <f>IF($A77="","",SUMIFS('EH Timesheets'!$G$6:$G$1005,'EH Timesheets'!$A$6:$A$1005,$A77,'EH Timesheets'!$B$6:$B$1005,$B77))</f>
        <v/>
      </c>
      <c r="E77" s="242">
        <f>IF($A77="","",SUMIFS('EH Roster'!$G$6:$G$1005,'EH Roster'!$A$6:$A$1005,$A77,'EH Roster'!$B$6:$B$1005,$B77))</f>
        <v/>
      </c>
      <c r="F77" s="242">
        <f>IF($A77="","",$D77-$E77)</f>
        <v/>
      </c>
      <c r="G77" s="242">
        <f>IF($A77="","",IF($L77="",0,SUMPRODUCT(('Shared Calendar'!$K$2:$K$1000&gt;0)*('Shared Calendar'!$K$2:$K$1000&lt;=$B77)*('Shared Calendar'!$J$2:$J$1000&gt;$B77)*ISNUMBER(SEARCH($L77,'Shared Calendar'!$M$2:$M$1000))*('Shared Calendar'!$N$2:$N$1000="Event"),'Shared Calendar'!$L$2:$L$1000)))</f>
        <v/>
      </c>
      <c r="H77" s="246">
        <f>IF(OR($A77="",$L77=""),"",IF(SUMPRODUCT(MAX(('Shared Calendar'!$K$2:$K$1000&gt;0)*('Shared Calendar'!$K$2:$K$1000&lt;=$B77)*('Shared Calendar'!$J$2:$J$1000&gt;$B77)*ISNUMBER(SEARCH($L77,'Shared Calendar'!$M$2:$M$1000))*ROW('Shared Calendar'!$A$2:$A$1000)))=0,"",INDEX('Shared Calendar'!$A:$A,SUMPRODUCT(MAX(('Shared Calendar'!$K$2:$K$1000&gt;0)*('Shared Calendar'!$K$2:$K$1000&lt;=$B77)*('Shared Calendar'!$J$2:$J$1000&gt;$B77)*ISNUMBER(SEARCH($L77,'Shared Calendar'!$M$2:$M$1000))*ROW('Shared Calendar'!$A$2:$A$1000))))))</f>
        <v/>
      </c>
      <c r="I77" s="244">
        <f>IF(OR($A77="",$L77=""),"",IF(SUMPRODUCT(('Shared Calendar'!$K$2:$K$1000&gt;0)*('Shared Calendar'!$K$2:$K$1000&lt;=$B77)*('Shared Calendar'!$J$2:$J$1000&gt;$B77)*ISNUMBER(SEARCH($L77,'Shared Calendar'!$M$2:$M$1000))*('Shared Calendar'!$N$2:$N$1000="Leave"))&gt;0,"Leave",""))</f>
        <v/>
      </c>
      <c r="J77" s="244">
        <f>IF($A77="","",IFERROR(INDEX('Public Holidays'!$C$6:$C$38,MATCH($B77,'Public Holidays'!$A$6:$A$38,0))&amp;" ("&amp;INDEX('Public Holidays'!$L$6:$L$38,MATCH($B77,'Public Holidays'!$A$6:$A$38,0))&amp;")",""))</f>
        <v/>
      </c>
      <c r="K77" s="246">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44">
        <f>IF($A77="","",INDEX($B$7:$B$36,INT((ROW()-41)/14)+1)&amp;"")</f>
        <v/>
      </c>
    </row>
    <row r="78">
      <c r="A78" s="244">
        <f>IF(INDEX($A$7:$A$36,INT((ROW()-41)/14)+1)="","",INDEX($A$7:$A$36,INT((ROW()-41)/14)+1))</f>
        <v/>
      </c>
      <c r="B78" s="245">
        <f>IF($A78="","",$B$3+MOD(ROW()-41,14))</f>
        <v/>
      </c>
      <c r="C78" s="244">
        <f>IF($A78="","",TEXT($B78,"ddd"))</f>
        <v/>
      </c>
      <c r="D78" s="242">
        <f>IF($A78="","",SUMIFS('EH Timesheets'!$G$6:$G$1005,'EH Timesheets'!$A$6:$A$1005,$A78,'EH Timesheets'!$B$6:$B$1005,$B78))</f>
        <v/>
      </c>
      <c r="E78" s="242">
        <f>IF($A78="","",SUMIFS('EH Roster'!$G$6:$G$1005,'EH Roster'!$A$6:$A$1005,$A78,'EH Roster'!$B$6:$B$1005,$B78))</f>
        <v/>
      </c>
      <c r="F78" s="242">
        <f>IF($A78="","",$D78-$E78)</f>
        <v/>
      </c>
      <c r="G78" s="242">
        <f>IF($A78="","",IF($L78="",0,SUMPRODUCT(('Shared Calendar'!$K$2:$K$1000&gt;0)*('Shared Calendar'!$K$2:$K$1000&lt;=$B78)*('Shared Calendar'!$J$2:$J$1000&gt;$B78)*ISNUMBER(SEARCH($L78,'Shared Calendar'!$M$2:$M$1000))*('Shared Calendar'!$N$2:$N$1000="Event"),'Shared Calendar'!$L$2:$L$1000)))</f>
        <v/>
      </c>
      <c r="H78" s="246">
        <f>IF(OR($A78="",$L78=""),"",IF(SUMPRODUCT(MAX(('Shared Calendar'!$K$2:$K$1000&gt;0)*('Shared Calendar'!$K$2:$K$1000&lt;=$B78)*('Shared Calendar'!$J$2:$J$1000&gt;$B78)*ISNUMBER(SEARCH($L78,'Shared Calendar'!$M$2:$M$1000))*ROW('Shared Calendar'!$A$2:$A$1000)))=0,"",INDEX('Shared Calendar'!$A:$A,SUMPRODUCT(MAX(('Shared Calendar'!$K$2:$K$1000&gt;0)*('Shared Calendar'!$K$2:$K$1000&lt;=$B78)*('Shared Calendar'!$J$2:$J$1000&gt;$B78)*ISNUMBER(SEARCH($L78,'Shared Calendar'!$M$2:$M$1000))*ROW('Shared Calendar'!$A$2:$A$1000))))))</f>
        <v/>
      </c>
      <c r="I78" s="244">
        <f>IF(OR($A78="",$L78=""),"",IF(SUMPRODUCT(('Shared Calendar'!$K$2:$K$1000&gt;0)*('Shared Calendar'!$K$2:$K$1000&lt;=$B78)*('Shared Calendar'!$J$2:$J$1000&gt;$B78)*ISNUMBER(SEARCH($L78,'Shared Calendar'!$M$2:$M$1000))*('Shared Calendar'!$N$2:$N$1000="Leave"))&gt;0,"Leave",""))</f>
        <v/>
      </c>
      <c r="J78" s="244">
        <f>IF($A78="","",IFERROR(INDEX('Public Holidays'!$C$6:$C$38,MATCH($B78,'Public Holidays'!$A$6:$A$38,0))&amp;" ("&amp;INDEX('Public Holidays'!$L$6:$L$38,MATCH($B78,'Public Holidays'!$A$6:$A$38,0))&amp;")",""))</f>
        <v/>
      </c>
      <c r="K78" s="246">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44">
        <f>IF($A78="","",INDEX($B$7:$B$36,INT((ROW()-41)/14)+1)&amp;"")</f>
        <v/>
      </c>
    </row>
    <row r="79">
      <c r="A79" s="244">
        <f>IF(INDEX($A$7:$A$36,INT((ROW()-41)/14)+1)="","",INDEX($A$7:$A$36,INT((ROW()-41)/14)+1))</f>
        <v/>
      </c>
      <c r="B79" s="245">
        <f>IF($A79="","",$B$3+MOD(ROW()-41,14))</f>
        <v/>
      </c>
      <c r="C79" s="244">
        <f>IF($A79="","",TEXT($B79,"ddd"))</f>
        <v/>
      </c>
      <c r="D79" s="242">
        <f>IF($A79="","",SUMIFS('EH Timesheets'!$G$6:$G$1005,'EH Timesheets'!$A$6:$A$1005,$A79,'EH Timesheets'!$B$6:$B$1005,$B79))</f>
        <v/>
      </c>
      <c r="E79" s="242">
        <f>IF($A79="","",SUMIFS('EH Roster'!$G$6:$G$1005,'EH Roster'!$A$6:$A$1005,$A79,'EH Roster'!$B$6:$B$1005,$B79))</f>
        <v/>
      </c>
      <c r="F79" s="242">
        <f>IF($A79="","",$D79-$E79)</f>
        <v/>
      </c>
      <c r="G79" s="242">
        <f>IF($A79="","",IF($L79="",0,SUMPRODUCT(('Shared Calendar'!$K$2:$K$1000&gt;0)*('Shared Calendar'!$K$2:$K$1000&lt;=$B79)*('Shared Calendar'!$J$2:$J$1000&gt;$B79)*ISNUMBER(SEARCH($L79,'Shared Calendar'!$M$2:$M$1000))*('Shared Calendar'!$N$2:$N$1000="Event"),'Shared Calendar'!$L$2:$L$1000)))</f>
        <v/>
      </c>
      <c r="H79" s="246">
        <f>IF(OR($A79="",$L79=""),"",IF(SUMPRODUCT(MAX(('Shared Calendar'!$K$2:$K$1000&gt;0)*('Shared Calendar'!$K$2:$K$1000&lt;=$B79)*('Shared Calendar'!$J$2:$J$1000&gt;$B79)*ISNUMBER(SEARCH($L79,'Shared Calendar'!$M$2:$M$1000))*ROW('Shared Calendar'!$A$2:$A$1000)))=0,"",INDEX('Shared Calendar'!$A:$A,SUMPRODUCT(MAX(('Shared Calendar'!$K$2:$K$1000&gt;0)*('Shared Calendar'!$K$2:$K$1000&lt;=$B79)*('Shared Calendar'!$J$2:$J$1000&gt;$B79)*ISNUMBER(SEARCH($L79,'Shared Calendar'!$M$2:$M$1000))*ROW('Shared Calendar'!$A$2:$A$1000))))))</f>
        <v/>
      </c>
      <c r="I79" s="244">
        <f>IF(OR($A79="",$L79=""),"",IF(SUMPRODUCT(('Shared Calendar'!$K$2:$K$1000&gt;0)*('Shared Calendar'!$K$2:$K$1000&lt;=$B79)*('Shared Calendar'!$J$2:$J$1000&gt;$B79)*ISNUMBER(SEARCH($L79,'Shared Calendar'!$M$2:$M$1000))*('Shared Calendar'!$N$2:$N$1000="Leave"))&gt;0,"Leave",""))</f>
        <v/>
      </c>
      <c r="J79" s="244">
        <f>IF($A79="","",IFERROR(INDEX('Public Holidays'!$C$6:$C$38,MATCH($B79,'Public Holidays'!$A$6:$A$38,0))&amp;" ("&amp;INDEX('Public Holidays'!$L$6:$L$38,MATCH($B79,'Public Holidays'!$A$6:$A$38,0))&amp;")",""))</f>
        <v/>
      </c>
      <c r="K79" s="246">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44">
        <f>IF($A79="","",INDEX($B$7:$B$36,INT((ROW()-41)/14)+1)&amp;"")</f>
        <v/>
      </c>
    </row>
    <row r="80">
      <c r="A80" s="244">
        <f>IF(INDEX($A$7:$A$36,INT((ROW()-41)/14)+1)="","",INDEX($A$7:$A$36,INT((ROW()-41)/14)+1))</f>
        <v/>
      </c>
      <c r="B80" s="245">
        <f>IF($A80="","",$B$3+MOD(ROW()-41,14))</f>
        <v/>
      </c>
      <c r="C80" s="244">
        <f>IF($A80="","",TEXT($B80,"ddd"))</f>
        <v/>
      </c>
      <c r="D80" s="242">
        <f>IF($A80="","",SUMIFS('EH Timesheets'!$G$6:$G$1005,'EH Timesheets'!$A$6:$A$1005,$A80,'EH Timesheets'!$B$6:$B$1005,$B80))</f>
        <v/>
      </c>
      <c r="E80" s="242">
        <f>IF($A80="","",SUMIFS('EH Roster'!$G$6:$G$1005,'EH Roster'!$A$6:$A$1005,$A80,'EH Roster'!$B$6:$B$1005,$B80))</f>
        <v/>
      </c>
      <c r="F80" s="242">
        <f>IF($A80="","",$D80-$E80)</f>
        <v/>
      </c>
      <c r="G80" s="242">
        <f>IF($A80="","",IF($L80="",0,SUMPRODUCT(('Shared Calendar'!$K$2:$K$1000&gt;0)*('Shared Calendar'!$K$2:$K$1000&lt;=$B80)*('Shared Calendar'!$J$2:$J$1000&gt;$B80)*ISNUMBER(SEARCH($L80,'Shared Calendar'!$M$2:$M$1000))*('Shared Calendar'!$N$2:$N$1000="Event"),'Shared Calendar'!$L$2:$L$1000)))</f>
        <v/>
      </c>
      <c r="H80" s="246">
        <f>IF(OR($A80="",$L80=""),"",IF(SUMPRODUCT(MAX(('Shared Calendar'!$K$2:$K$1000&gt;0)*('Shared Calendar'!$K$2:$K$1000&lt;=$B80)*('Shared Calendar'!$J$2:$J$1000&gt;$B80)*ISNUMBER(SEARCH($L80,'Shared Calendar'!$M$2:$M$1000))*ROW('Shared Calendar'!$A$2:$A$1000)))=0,"",INDEX('Shared Calendar'!$A:$A,SUMPRODUCT(MAX(('Shared Calendar'!$K$2:$K$1000&gt;0)*('Shared Calendar'!$K$2:$K$1000&lt;=$B80)*('Shared Calendar'!$J$2:$J$1000&gt;$B80)*ISNUMBER(SEARCH($L80,'Shared Calendar'!$M$2:$M$1000))*ROW('Shared Calendar'!$A$2:$A$1000))))))</f>
        <v/>
      </c>
      <c r="I80" s="244">
        <f>IF(OR($A80="",$L80=""),"",IF(SUMPRODUCT(('Shared Calendar'!$K$2:$K$1000&gt;0)*('Shared Calendar'!$K$2:$K$1000&lt;=$B80)*('Shared Calendar'!$J$2:$J$1000&gt;$B80)*ISNUMBER(SEARCH($L80,'Shared Calendar'!$M$2:$M$1000))*('Shared Calendar'!$N$2:$N$1000="Leave"))&gt;0,"Leave",""))</f>
        <v/>
      </c>
      <c r="J80" s="244">
        <f>IF($A80="","",IFERROR(INDEX('Public Holidays'!$C$6:$C$38,MATCH($B80,'Public Holidays'!$A$6:$A$38,0))&amp;" ("&amp;INDEX('Public Holidays'!$L$6:$L$38,MATCH($B80,'Public Holidays'!$A$6:$A$38,0))&amp;")",""))</f>
        <v/>
      </c>
      <c r="K80" s="246">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44">
        <f>IF($A80="","",INDEX($B$7:$B$36,INT((ROW()-41)/14)+1)&amp;"")</f>
        <v/>
      </c>
    </row>
    <row r="81">
      <c r="A81" s="244">
        <f>IF(INDEX($A$7:$A$36,INT((ROW()-41)/14)+1)="","",INDEX($A$7:$A$36,INT((ROW()-41)/14)+1))</f>
        <v/>
      </c>
      <c r="B81" s="245">
        <f>IF($A81="","",$B$3+MOD(ROW()-41,14))</f>
        <v/>
      </c>
      <c r="C81" s="244">
        <f>IF($A81="","",TEXT($B81,"ddd"))</f>
        <v/>
      </c>
      <c r="D81" s="242">
        <f>IF($A81="","",SUMIFS('EH Timesheets'!$G$6:$G$1005,'EH Timesheets'!$A$6:$A$1005,$A81,'EH Timesheets'!$B$6:$B$1005,$B81))</f>
        <v/>
      </c>
      <c r="E81" s="242">
        <f>IF($A81="","",SUMIFS('EH Roster'!$G$6:$G$1005,'EH Roster'!$A$6:$A$1005,$A81,'EH Roster'!$B$6:$B$1005,$B81))</f>
        <v/>
      </c>
      <c r="F81" s="242">
        <f>IF($A81="","",$D81-$E81)</f>
        <v/>
      </c>
      <c r="G81" s="242">
        <f>IF($A81="","",IF($L81="",0,SUMPRODUCT(('Shared Calendar'!$K$2:$K$1000&gt;0)*('Shared Calendar'!$K$2:$K$1000&lt;=$B81)*('Shared Calendar'!$J$2:$J$1000&gt;$B81)*ISNUMBER(SEARCH($L81,'Shared Calendar'!$M$2:$M$1000))*('Shared Calendar'!$N$2:$N$1000="Event"),'Shared Calendar'!$L$2:$L$1000)))</f>
        <v/>
      </c>
      <c r="H81" s="246">
        <f>IF(OR($A81="",$L81=""),"",IF(SUMPRODUCT(MAX(('Shared Calendar'!$K$2:$K$1000&gt;0)*('Shared Calendar'!$K$2:$K$1000&lt;=$B81)*('Shared Calendar'!$J$2:$J$1000&gt;$B81)*ISNUMBER(SEARCH($L81,'Shared Calendar'!$M$2:$M$1000))*ROW('Shared Calendar'!$A$2:$A$1000)))=0,"",INDEX('Shared Calendar'!$A:$A,SUMPRODUCT(MAX(('Shared Calendar'!$K$2:$K$1000&gt;0)*('Shared Calendar'!$K$2:$K$1000&lt;=$B81)*('Shared Calendar'!$J$2:$J$1000&gt;$B81)*ISNUMBER(SEARCH($L81,'Shared Calendar'!$M$2:$M$1000))*ROW('Shared Calendar'!$A$2:$A$1000))))))</f>
        <v/>
      </c>
      <c r="I81" s="244">
        <f>IF(OR($A81="",$L81=""),"",IF(SUMPRODUCT(('Shared Calendar'!$K$2:$K$1000&gt;0)*('Shared Calendar'!$K$2:$K$1000&lt;=$B81)*('Shared Calendar'!$J$2:$J$1000&gt;$B81)*ISNUMBER(SEARCH($L81,'Shared Calendar'!$M$2:$M$1000))*('Shared Calendar'!$N$2:$N$1000="Leave"))&gt;0,"Leave",""))</f>
        <v/>
      </c>
      <c r="J81" s="244">
        <f>IF($A81="","",IFERROR(INDEX('Public Holidays'!$C$6:$C$38,MATCH($B81,'Public Holidays'!$A$6:$A$38,0))&amp;" ("&amp;INDEX('Public Holidays'!$L$6:$L$38,MATCH($B81,'Public Holidays'!$A$6:$A$38,0))&amp;")",""))</f>
        <v/>
      </c>
      <c r="K81" s="246">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44">
        <f>IF($A81="","",INDEX($B$7:$B$36,INT((ROW()-41)/14)+1)&amp;"")</f>
        <v/>
      </c>
    </row>
    <row r="82">
      <c r="A82" s="244">
        <f>IF(INDEX($A$7:$A$36,INT((ROW()-41)/14)+1)="","",INDEX($A$7:$A$36,INT((ROW()-41)/14)+1))</f>
        <v/>
      </c>
      <c r="B82" s="245">
        <f>IF($A82="","",$B$3+MOD(ROW()-41,14))</f>
        <v/>
      </c>
      <c r="C82" s="244">
        <f>IF($A82="","",TEXT($B82,"ddd"))</f>
        <v/>
      </c>
      <c r="D82" s="242">
        <f>IF($A82="","",SUMIFS('EH Timesheets'!$G$6:$G$1005,'EH Timesheets'!$A$6:$A$1005,$A82,'EH Timesheets'!$B$6:$B$1005,$B82))</f>
        <v/>
      </c>
      <c r="E82" s="242">
        <f>IF($A82="","",SUMIFS('EH Roster'!$G$6:$G$1005,'EH Roster'!$A$6:$A$1005,$A82,'EH Roster'!$B$6:$B$1005,$B82))</f>
        <v/>
      </c>
      <c r="F82" s="242">
        <f>IF($A82="","",$D82-$E82)</f>
        <v/>
      </c>
      <c r="G82" s="242">
        <f>IF($A82="","",IF($L82="",0,SUMPRODUCT(('Shared Calendar'!$K$2:$K$1000&gt;0)*('Shared Calendar'!$K$2:$K$1000&lt;=$B82)*('Shared Calendar'!$J$2:$J$1000&gt;$B82)*ISNUMBER(SEARCH($L82,'Shared Calendar'!$M$2:$M$1000))*('Shared Calendar'!$N$2:$N$1000="Event"),'Shared Calendar'!$L$2:$L$1000)))</f>
        <v/>
      </c>
      <c r="H82" s="246">
        <f>IF(OR($A82="",$L82=""),"",IF(SUMPRODUCT(MAX(('Shared Calendar'!$K$2:$K$1000&gt;0)*('Shared Calendar'!$K$2:$K$1000&lt;=$B82)*('Shared Calendar'!$J$2:$J$1000&gt;$B82)*ISNUMBER(SEARCH($L82,'Shared Calendar'!$M$2:$M$1000))*ROW('Shared Calendar'!$A$2:$A$1000)))=0,"",INDEX('Shared Calendar'!$A:$A,SUMPRODUCT(MAX(('Shared Calendar'!$K$2:$K$1000&gt;0)*('Shared Calendar'!$K$2:$K$1000&lt;=$B82)*('Shared Calendar'!$J$2:$J$1000&gt;$B82)*ISNUMBER(SEARCH($L82,'Shared Calendar'!$M$2:$M$1000))*ROW('Shared Calendar'!$A$2:$A$1000))))))</f>
        <v/>
      </c>
      <c r="I82" s="244">
        <f>IF(OR($A82="",$L82=""),"",IF(SUMPRODUCT(('Shared Calendar'!$K$2:$K$1000&gt;0)*('Shared Calendar'!$K$2:$K$1000&lt;=$B82)*('Shared Calendar'!$J$2:$J$1000&gt;$B82)*ISNUMBER(SEARCH($L82,'Shared Calendar'!$M$2:$M$1000))*('Shared Calendar'!$N$2:$N$1000="Leave"))&gt;0,"Leave",""))</f>
        <v/>
      </c>
      <c r="J82" s="244">
        <f>IF($A82="","",IFERROR(INDEX('Public Holidays'!$C$6:$C$38,MATCH($B82,'Public Holidays'!$A$6:$A$38,0))&amp;" ("&amp;INDEX('Public Holidays'!$L$6:$L$38,MATCH($B82,'Public Holidays'!$A$6:$A$38,0))&amp;")",""))</f>
        <v/>
      </c>
      <c r="K82" s="246">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44">
        <f>IF($A82="","",INDEX($B$7:$B$36,INT((ROW()-41)/14)+1)&amp;"")</f>
        <v/>
      </c>
    </row>
    <row r="83">
      <c r="A83" s="244">
        <f>IF(INDEX($A$7:$A$36,INT((ROW()-41)/14)+1)="","",INDEX($A$7:$A$36,INT((ROW()-41)/14)+1))</f>
        <v/>
      </c>
      <c r="B83" s="245">
        <f>IF($A83="","",$B$3+MOD(ROW()-41,14))</f>
        <v/>
      </c>
      <c r="C83" s="244">
        <f>IF($A83="","",TEXT($B83,"ddd"))</f>
        <v/>
      </c>
      <c r="D83" s="242">
        <f>IF($A83="","",SUMIFS('EH Timesheets'!$G$6:$G$1005,'EH Timesheets'!$A$6:$A$1005,$A83,'EH Timesheets'!$B$6:$B$1005,$B83))</f>
        <v/>
      </c>
      <c r="E83" s="242">
        <f>IF($A83="","",SUMIFS('EH Roster'!$G$6:$G$1005,'EH Roster'!$A$6:$A$1005,$A83,'EH Roster'!$B$6:$B$1005,$B83))</f>
        <v/>
      </c>
      <c r="F83" s="242">
        <f>IF($A83="","",$D83-$E83)</f>
        <v/>
      </c>
      <c r="G83" s="242">
        <f>IF($A83="","",IF($L83="",0,SUMPRODUCT(('Shared Calendar'!$K$2:$K$1000&gt;0)*('Shared Calendar'!$K$2:$K$1000&lt;=$B83)*('Shared Calendar'!$J$2:$J$1000&gt;$B83)*ISNUMBER(SEARCH($L83,'Shared Calendar'!$M$2:$M$1000))*('Shared Calendar'!$N$2:$N$1000="Event"),'Shared Calendar'!$L$2:$L$1000)))</f>
        <v/>
      </c>
      <c r="H83" s="246">
        <f>IF(OR($A83="",$L83=""),"",IF(SUMPRODUCT(MAX(('Shared Calendar'!$K$2:$K$1000&gt;0)*('Shared Calendar'!$K$2:$K$1000&lt;=$B83)*('Shared Calendar'!$J$2:$J$1000&gt;$B83)*ISNUMBER(SEARCH($L83,'Shared Calendar'!$M$2:$M$1000))*ROW('Shared Calendar'!$A$2:$A$1000)))=0,"",INDEX('Shared Calendar'!$A:$A,SUMPRODUCT(MAX(('Shared Calendar'!$K$2:$K$1000&gt;0)*('Shared Calendar'!$K$2:$K$1000&lt;=$B83)*('Shared Calendar'!$J$2:$J$1000&gt;$B83)*ISNUMBER(SEARCH($L83,'Shared Calendar'!$M$2:$M$1000))*ROW('Shared Calendar'!$A$2:$A$1000))))))</f>
        <v/>
      </c>
      <c r="I83" s="244">
        <f>IF(OR($A83="",$L83=""),"",IF(SUMPRODUCT(('Shared Calendar'!$K$2:$K$1000&gt;0)*('Shared Calendar'!$K$2:$K$1000&lt;=$B83)*('Shared Calendar'!$J$2:$J$1000&gt;$B83)*ISNUMBER(SEARCH($L83,'Shared Calendar'!$M$2:$M$1000))*('Shared Calendar'!$N$2:$N$1000="Leave"))&gt;0,"Leave",""))</f>
        <v/>
      </c>
      <c r="J83" s="244">
        <f>IF($A83="","",IFERROR(INDEX('Public Holidays'!$C$6:$C$38,MATCH($B83,'Public Holidays'!$A$6:$A$38,0))&amp;" ("&amp;INDEX('Public Holidays'!$L$6:$L$38,MATCH($B83,'Public Holidays'!$A$6:$A$38,0))&amp;")",""))</f>
        <v/>
      </c>
      <c r="K83" s="246">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44">
        <f>IF($A83="","",INDEX($B$7:$B$36,INT((ROW()-41)/14)+1)&amp;"")</f>
        <v/>
      </c>
    </row>
    <row r="84">
      <c r="A84" s="244">
        <f>IF(INDEX($A$7:$A$36,INT((ROW()-41)/14)+1)="","",INDEX($A$7:$A$36,INT((ROW()-41)/14)+1))</f>
        <v/>
      </c>
      <c r="B84" s="245">
        <f>IF($A84="","",$B$3+MOD(ROW()-41,14))</f>
        <v/>
      </c>
      <c r="C84" s="244">
        <f>IF($A84="","",TEXT($B84,"ddd"))</f>
        <v/>
      </c>
      <c r="D84" s="242">
        <f>IF($A84="","",SUMIFS('EH Timesheets'!$G$6:$G$1005,'EH Timesheets'!$A$6:$A$1005,$A84,'EH Timesheets'!$B$6:$B$1005,$B84))</f>
        <v/>
      </c>
      <c r="E84" s="242">
        <f>IF($A84="","",SUMIFS('EH Roster'!$G$6:$G$1005,'EH Roster'!$A$6:$A$1005,$A84,'EH Roster'!$B$6:$B$1005,$B84))</f>
        <v/>
      </c>
      <c r="F84" s="242">
        <f>IF($A84="","",$D84-$E84)</f>
        <v/>
      </c>
      <c r="G84" s="242">
        <f>IF($A84="","",IF($L84="",0,SUMPRODUCT(('Shared Calendar'!$K$2:$K$1000&gt;0)*('Shared Calendar'!$K$2:$K$1000&lt;=$B84)*('Shared Calendar'!$J$2:$J$1000&gt;$B84)*ISNUMBER(SEARCH($L84,'Shared Calendar'!$M$2:$M$1000))*('Shared Calendar'!$N$2:$N$1000="Event"),'Shared Calendar'!$L$2:$L$1000)))</f>
        <v/>
      </c>
      <c r="H84" s="246">
        <f>IF(OR($A84="",$L84=""),"",IF(SUMPRODUCT(MAX(('Shared Calendar'!$K$2:$K$1000&gt;0)*('Shared Calendar'!$K$2:$K$1000&lt;=$B84)*('Shared Calendar'!$J$2:$J$1000&gt;$B84)*ISNUMBER(SEARCH($L84,'Shared Calendar'!$M$2:$M$1000))*ROW('Shared Calendar'!$A$2:$A$1000)))=0,"",INDEX('Shared Calendar'!$A:$A,SUMPRODUCT(MAX(('Shared Calendar'!$K$2:$K$1000&gt;0)*('Shared Calendar'!$K$2:$K$1000&lt;=$B84)*('Shared Calendar'!$J$2:$J$1000&gt;$B84)*ISNUMBER(SEARCH($L84,'Shared Calendar'!$M$2:$M$1000))*ROW('Shared Calendar'!$A$2:$A$1000))))))</f>
        <v/>
      </c>
      <c r="I84" s="244">
        <f>IF(OR($A84="",$L84=""),"",IF(SUMPRODUCT(('Shared Calendar'!$K$2:$K$1000&gt;0)*('Shared Calendar'!$K$2:$K$1000&lt;=$B84)*('Shared Calendar'!$J$2:$J$1000&gt;$B84)*ISNUMBER(SEARCH($L84,'Shared Calendar'!$M$2:$M$1000))*('Shared Calendar'!$N$2:$N$1000="Leave"))&gt;0,"Leave",""))</f>
        <v/>
      </c>
      <c r="J84" s="244">
        <f>IF($A84="","",IFERROR(INDEX('Public Holidays'!$C$6:$C$38,MATCH($B84,'Public Holidays'!$A$6:$A$38,0))&amp;" ("&amp;INDEX('Public Holidays'!$L$6:$L$38,MATCH($B84,'Public Holidays'!$A$6:$A$38,0))&amp;")",""))</f>
        <v/>
      </c>
      <c r="K84" s="246">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44">
        <f>IF($A84="","",INDEX($B$7:$B$36,INT((ROW()-41)/14)+1)&amp;"")</f>
        <v/>
      </c>
    </row>
    <row r="85">
      <c r="A85" s="244">
        <f>IF(INDEX($A$7:$A$36,INT((ROW()-41)/14)+1)="","",INDEX($A$7:$A$36,INT((ROW()-41)/14)+1))</f>
        <v/>
      </c>
      <c r="B85" s="245">
        <f>IF($A85="","",$B$3+MOD(ROW()-41,14))</f>
        <v/>
      </c>
      <c r="C85" s="244">
        <f>IF($A85="","",TEXT($B85,"ddd"))</f>
        <v/>
      </c>
      <c r="D85" s="242">
        <f>IF($A85="","",SUMIFS('EH Timesheets'!$G$6:$G$1005,'EH Timesheets'!$A$6:$A$1005,$A85,'EH Timesheets'!$B$6:$B$1005,$B85))</f>
        <v/>
      </c>
      <c r="E85" s="242">
        <f>IF($A85="","",SUMIFS('EH Roster'!$G$6:$G$1005,'EH Roster'!$A$6:$A$1005,$A85,'EH Roster'!$B$6:$B$1005,$B85))</f>
        <v/>
      </c>
      <c r="F85" s="242">
        <f>IF($A85="","",$D85-$E85)</f>
        <v/>
      </c>
      <c r="G85" s="242">
        <f>IF($A85="","",IF($L85="",0,SUMPRODUCT(('Shared Calendar'!$K$2:$K$1000&gt;0)*('Shared Calendar'!$K$2:$K$1000&lt;=$B85)*('Shared Calendar'!$J$2:$J$1000&gt;$B85)*ISNUMBER(SEARCH($L85,'Shared Calendar'!$M$2:$M$1000))*('Shared Calendar'!$N$2:$N$1000="Event"),'Shared Calendar'!$L$2:$L$1000)))</f>
        <v/>
      </c>
      <c r="H85" s="246">
        <f>IF(OR($A85="",$L85=""),"",IF(SUMPRODUCT(MAX(('Shared Calendar'!$K$2:$K$1000&gt;0)*('Shared Calendar'!$K$2:$K$1000&lt;=$B85)*('Shared Calendar'!$J$2:$J$1000&gt;$B85)*ISNUMBER(SEARCH($L85,'Shared Calendar'!$M$2:$M$1000))*ROW('Shared Calendar'!$A$2:$A$1000)))=0,"",INDEX('Shared Calendar'!$A:$A,SUMPRODUCT(MAX(('Shared Calendar'!$K$2:$K$1000&gt;0)*('Shared Calendar'!$K$2:$K$1000&lt;=$B85)*('Shared Calendar'!$J$2:$J$1000&gt;$B85)*ISNUMBER(SEARCH($L85,'Shared Calendar'!$M$2:$M$1000))*ROW('Shared Calendar'!$A$2:$A$1000))))))</f>
        <v/>
      </c>
      <c r="I85" s="244">
        <f>IF(OR($A85="",$L85=""),"",IF(SUMPRODUCT(('Shared Calendar'!$K$2:$K$1000&gt;0)*('Shared Calendar'!$K$2:$K$1000&lt;=$B85)*('Shared Calendar'!$J$2:$J$1000&gt;$B85)*ISNUMBER(SEARCH($L85,'Shared Calendar'!$M$2:$M$1000))*('Shared Calendar'!$N$2:$N$1000="Leave"))&gt;0,"Leave",""))</f>
        <v/>
      </c>
      <c r="J85" s="244">
        <f>IF($A85="","",IFERROR(INDEX('Public Holidays'!$C$6:$C$38,MATCH($B85,'Public Holidays'!$A$6:$A$38,0))&amp;" ("&amp;INDEX('Public Holidays'!$L$6:$L$38,MATCH($B85,'Public Holidays'!$A$6:$A$38,0))&amp;")",""))</f>
        <v/>
      </c>
      <c r="K85" s="246">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44">
        <f>IF($A85="","",INDEX($B$7:$B$36,INT((ROW()-41)/14)+1)&amp;"")</f>
        <v/>
      </c>
    </row>
    <row r="86">
      <c r="A86" s="244">
        <f>IF(INDEX($A$7:$A$36,INT((ROW()-41)/14)+1)="","",INDEX($A$7:$A$36,INT((ROW()-41)/14)+1))</f>
        <v/>
      </c>
      <c r="B86" s="245">
        <f>IF($A86="","",$B$3+MOD(ROW()-41,14))</f>
        <v/>
      </c>
      <c r="C86" s="244">
        <f>IF($A86="","",TEXT($B86,"ddd"))</f>
        <v/>
      </c>
      <c r="D86" s="242">
        <f>IF($A86="","",SUMIFS('EH Timesheets'!$G$6:$G$1005,'EH Timesheets'!$A$6:$A$1005,$A86,'EH Timesheets'!$B$6:$B$1005,$B86))</f>
        <v/>
      </c>
      <c r="E86" s="242">
        <f>IF($A86="","",SUMIFS('EH Roster'!$G$6:$G$1005,'EH Roster'!$A$6:$A$1005,$A86,'EH Roster'!$B$6:$B$1005,$B86))</f>
        <v/>
      </c>
      <c r="F86" s="242">
        <f>IF($A86="","",$D86-$E86)</f>
        <v/>
      </c>
      <c r="G86" s="242">
        <f>IF($A86="","",IF($L86="",0,SUMPRODUCT(('Shared Calendar'!$K$2:$K$1000&gt;0)*('Shared Calendar'!$K$2:$K$1000&lt;=$B86)*('Shared Calendar'!$J$2:$J$1000&gt;$B86)*ISNUMBER(SEARCH($L86,'Shared Calendar'!$M$2:$M$1000))*('Shared Calendar'!$N$2:$N$1000="Event"),'Shared Calendar'!$L$2:$L$1000)))</f>
        <v/>
      </c>
      <c r="H86" s="246">
        <f>IF(OR($A86="",$L86=""),"",IF(SUMPRODUCT(MAX(('Shared Calendar'!$K$2:$K$1000&gt;0)*('Shared Calendar'!$K$2:$K$1000&lt;=$B86)*('Shared Calendar'!$J$2:$J$1000&gt;$B86)*ISNUMBER(SEARCH($L86,'Shared Calendar'!$M$2:$M$1000))*ROW('Shared Calendar'!$A$2:$A$1000)))=0,"",INDEX('Shared Calendar'!$A:$A,SUMPRODUCT(MAX(('Shared Calendar'!$K$2:$K$1000&gt;0)*('Shared Calendar'!$K$2:$K$1000&lt;=$B86)*('Shared Calendar'!$J$2:$J$1000&gt;$B86)*ISNUMBER(SEARCH($L86,'Shared Calendar'!$M$2:$M$1000))*ROW('Shared Calendar'!$A$2:$A$1000))))))</f>
        <v/>
      </c>
      <c r="I86" s="244">
        <f>IF(OR($A86="",$L86=""),"",IF(SUMPRODUCT(('Shared Calendar'!$K$2:$K$1000&gt;0)*('Shared Calendar'!$K$2:$K$1000&lt;=$B86)*('Shared Calendar'!$J$2:$J$1000&gt;$B86)*ISNUMBER(SEARCH($L86,'Shared Calendar'!$M$2:$M$1000))*('Shared Calendar'!$N$2:$N$1000="Leave"))&gt;0,"Leave",""))</f>
        <v/>
      </c>
      <c r="J86" s="244">
        <f>IF($A86="","",IFERROR(INDEX('Public Holidays'!$C$6:$C$38,MATCH($B86,'Public Holidays'!$A$6:$A$38,0))&amp;" ("&amp;INDEX('Public Holidays'!$L$6:$L$38,MATCH($B86,'Public Holidays'!$A$6:$A$38,0))&amp;")",""))</f>
        <v/>
      </c>
      <c r="K86" s="246">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44">
        <f>IF($A86="","",INDEX($B$7:$B$36,INT((ROW()-41)/14)+1)&amp;"")</f>
        <v/>
      </c>
    </row>
    <row r="87">
      <c r="A87" s="244">
        <f>IF(INDEX($A$7:$A$36,INT((ROW()-41)/14)+1)="","",INDEX($A$7:$A$36,INT((ROW()-41)/14)+1))</f>
        <v/>
      </c>
      <c r="B87" s="245">
        <f>IF($A87="","",$B$3+MOD(ROW()-41,14))</f>
        <v/>
      </c>
      <c r="C87" s="244">
        <f>IF($A87="","",TEXT($B87,"ddd"))</f>
        <v/>
      </c>
      <c r="D87" s="242">
        <f>IF($A87="","",SUMIFS('EH Timesheets'!$G$6:$G$1005,'EH Timesheets'!$A$6:$A$1005,$A87,'EH Timesheets'!$B$6:$B$1005,$B87))</f>
        <v/>
      </c>
      <c r="E87" s="242">
        <f>IF($A87="","",SUMIFS('EH Roster'!$G$6:$G$1005,'EH Roster'!$A$6:$A$1005,$A87,'EH Roster'!$B$6:$B$1005,$B87))</f>
        <v/>
      </c>
      <c r="F87" s="242">
        <f>IF($A87="","",$D87-$E87)</f>
        <v/>
      </c>
      <c r="G87" s="242">
        <f>IF($A87="","",IF($L87="",0,SUMPRODUCT(('Shared Calendar'!$K$2:$K$1000&gt;0)*('Shared Calendar'!$K$2:$K$1000&lt;=$B87)*('Shared Calendar'!$J$2:$J$1000&gt;$B87)*ISNUMBER(SEARCH($L87,'Shared Calendar'!$M$2:$M$1000))*('Shared Calendar'!$N$2:$N$1000="Event"),'Shared Calendar'!$L$2:$L$1000)))</f>
        <v/>
      </c>
      <c r="H87" s="246">
        <f>IF(OR($A87="",$L87=""),"",IF(SUMPRODUCT(MAX(('Shared Calendar'!$K$2:$K$1000&gt;0)*('Shared Calendar'!$K$2:$K$1000&lt;=$B87)*('Shared Calendar'!$J$2:$J$1000&gt;$B87)*ISNUMBER(SEARCH($L87,'Shared Calendar'!$M$2:$M$1000))*ROW('Shared Calendar'!$A$2:$A$1000)))=0,"",INDEX('Shared Calendar'!$A:$A,SUMPRODUCT(MAX(('Shared Calendar'!$K$2:$K$1000&gt;0)*('Shared Calendar'!$K$2:$K$1000&lt;=$B87)*('Shared Calendar'!$J$2:$J$1000&gt;$B87)*ISNUMBER(SEARCH($L87,'Shared Calendar'!$M$2:$M$1000))*ROW('Shared Calendar'!$A$2:$A$1000))))))</f>
        <v/>
      </c>
      <c r="I87" s="244">
        <f>IF(OR($A87="",$L87=""),"",IF(SUMPRODUCT(('Shared Calendar'!$K$2:$K$1000&gt;0)*('Shared Calendar'!$K$2:$K$1000&lt;=$B87)*('Shared Calendar'!$J$2:$J$1000&gt;$B87)*ISNUMBER(SEARCH($L87,'Shared Calendar'!$M$2:$M$1000))*('Shared Calendar'!$N$2:$N$1000="Leave"))&gt;0,"Leave",""))</f>
        <v/>
      </c>
      <c r="J87" s="244">
        <f>IF($A87="","",IFERROR(INDEX('Public Holidays'!$C$6:$C$38,MATCH($B87,'Public Holidays'!$A$6:$A$38,0))&amp;" ("&amp;INDEX('Public Holidays'!$L$6:$L$38,MATCH($B87,'Public Holidays'!$A$6:$A$38,0))&amp;")",""))</f>
        <v/>
      </c>
      <c r="K87" s="246">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44">
        <f>IF($A87="","",INDEX($B$7:$B$36,INT((ROW()-41)/14)+1)&amp;"")</f>
        <v/>
      </c>
    </row>
    <row r="88">
      <c r="A88" s="244">
        <f>IF(INDEX($A$7:$A$36,INT((ROW()-41)/14)+1)="","",INDEX($A$7:$A$36,INT((ROW()-41)/14)+1))</f>
        <v/>
      </c>
      <c r="B88" s="245">
        <f>IF($A88="","",$B$3+MOD(ROW()-41,14))</f>
        <v/>
      </c>
      <c r="C88" s="244">
        <f>IF($A88="","",TEXT($B88,"ddd"))</f>
        <v/>
      </c>
      <c r="D88" s="242">
        <f>IF($A88="","",SUMIFS('EH Timesheets'!$G$6:$G$1005,'EH Timesheets'!$A$6:$A$1005,$A88,'EH Timesheets'!$B$6:$B$1005,$B88))</f>
        <v/>
      </c>
      <c r="E88" s="242">
        <f>IF($A88="","",SUMIFS('EH Roster'!$G$6:$G$1005,'EH Roster'!$A$6:$A$1005,$A88,'EH Roster'!$B$6:$B$1005,$B88))</f>
        <v/>
      </c>
      <c r="F88" s="242">
        <f>IF($A88="","",$D88-$E88)</f>
        <v/>
      </c>
      <c r="G88" s="242">
        <f>IF($A88="","",IF($L88="",0,SUMPRODUCT(('Shared Calendar'!$K$2:$K$1000&gt;0)*('Shared Calendar'!$K$2:$K$1000&lt;=$B88)*('Shared Calendar'!$J$2:$J$1000&gt;$B88)*ISNUMBER(SEARCH($L88,'Shared Calendar'!$M$2:$M$1000))*('Shared Calendar'!$N$2:$N$1000="Event"),'Shared Calendar'!$L$2:$L$1000)))</f>
        <v/>
      </c>
      <c r="H88" s="246">
        <f>IF(OR($A88="",$L88=""),"",IF(SUMPRODUCT(MAX(('Shared Calendar'!$K$2:$K$1000&gt;0)*('Shared Calendar'!$K$2:$K$1000&lt;=$B88)*('Shared Calendar'!$J$2:$J$1000&gt;$B88)*ISNUMBER(SEARCH($L88,'Shared Calendar'!$M$2:$M$1000))*ROW('Shared Calendar'!$A$2:$A$1000)))=0,"",INDEX('Shared Calendar'!$A:$A,SUMPRODUCT(MAX(('Shared Calendar'!$K$2:$K$1000&gt;0)*('Shared Calendar'!$K$2:$K$1000&lt;=$B88)*('Shared Calendar'!$J$2:$J$1000&gt;$B88)*ISNUMBER(SEARCH($L88,'Shared Calendar'!$M$2:$M$1000))*ROW('Shared Calendar'!$A$2:$A$1000))))))</f>
        <v/>
      </c>
      <c r="I88" s="244">
        <f>IF(OR($A88="",$L88=""),"",IF(SUMPRODUCT(('Shared Calendar'!$K$2:$K$1000&gt;0)*('Shared Calendar'!$K$2:$K$1000&lt;=$B88)*('Shared Calendar'!$J$2:$J$1000&gt;$B88)*ISNUMBER(SEARCH($L88,'Shared Calendar'!$M$2:$M$1000))*('Shared Calendar'!$N$2:$N$1000="Leave"))&gt;0,"Leave",""))</f>
        <v/>
      </c>
      <c r="J88" s="244">
        <f>IF($A88="","",IFERROR(INDEX('Public Holidays'!$C$6:$C$38,MATCH($B88,'Public Holidays'!$A$6:$A$38,0))&amp;" ("&amp;INDEX('Public Holidays'!$L$6:$L$38,MATCH($B88,'Public Holidays'!$A$6:$A$38,0))&amp;")",""))</f>
        <v/>
      </c>
      <c r="K88" s="246">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44">
        <f>IF($A88="","",INDEX($B$7:$B$36,INT((ROW()-41)/14)+1)&amp;"")</f>
        <v/>
      </c>
    </row>
    <row r="89">
      <c r="A89" s="244">
        <f>IF(INDEX($A$7:$A$36,INT((ROW()-41)/14)+1)="","",INDEX($A$7:$A$36,INT((ROW()-41)/14)+1))</f>
        <v/>
      </c>
      <c r="B89" s="245">
        <f>IF($A89="","",$B$3+MOD(ROW()-41,14))</f>
        <v/>
      </c>
      <c r="C89" s="244">
        <f>IF($A89="","",TEXT($B89,"ddd"))</f>
        <v/>
      </c>
      <c r="D89" s="242">
        <f>IF($A89="","",SUMIFS('EH Timesheets'!$G$6:$G$1005,'EH Timesheets'!$A$6:$A$1005,$A89,'EH Timesheets'!$B$6:$B$1005,$B89))</f>
        <v/>
      </c>
      <c r="E89" s="242">
        <f>IF($A89="","",SUMIFS('EH Roster'!$G$6:$G$1005,'EH Roster'!$A$6:$A$1005,$A89,'EH Roster'!$B$6:$B$1005,$B89))</f>
        <v/>
      </c>
      <c r="F89" s="242">
        <f>IF($A89="","",$D89-$E89)</f>
        <v/>
      </c>
      <c r="G89" s="242">
        <f>IF($A89="","",IF($L89="",0,SUMPRODUCT(('Shared Calendar'!$K$2:$K$1000&gt;0)*('Shared Calendar'!$K$2:$K$1000&lt;=$B89)*('Shared Calendar'!$J$2:$J$1000&gt;$B89)*ISNUMBER(SEARCH($L89,'Shared Calendar'!$M$2:$M$1000))*('Shared Calendar'!$N$2:$N$1000="Event"),'Shared Calendar'!$L$2:$L$1000)))</f>
        <v/>
      </c>
      <c r="H89" s="246">
        <f>IF(OR($A89="",$L89=""),"",IF(SUMPRODUCT(MAX(('Shared Calendar'!$K$2:$K$1000&gt;0)*('Shared Calendar'!$K$2:$K$1000&lt;=$B89)*('Shared Calendar'!$J$2:$J$1000&gt;$B89)*ISNUMBER(SEARCH($L89,'Shared Calendar'!$M$2:$M$1000))*ROW('Shared Calendar'!$A$2:$A$1000)))=0,"",INDEX('Shared Calendar'!$A:$A,SUMPRODUCT(MAX(('Shared Calendar'!$K$2:$K$1000&gt;0)*('Shared Calendar'!$K$2:$K$1000&lt;=$B89)*('Shared Calendar'!$J$2:$J$1000&gt;$B89)*ISNUMBER(SEARCH($L89,'Shared Calendar'!$M$2:$M$1000))*ROW('Shared Calendar'!$A$2:$A$1000))))))</f>
        <v/>
      </c>
      <c r="I89" s="244">
        <f>IF(OR($A89="",$L89=""),"",IF(SUMPRODUCT(('Shared Calendar'!$K$2:$K$1000&gt;0)*('Shared Calendar'!$K$2:$K$1000&lt;=$B89)*('Shared Calendar'!$J$2:$J$1000&gt;$B89)*ISNUMBER(SEARCH($L89,'Shared Calendar'!$M$2:$M$1000))*('Shared Calendar'!$N$2:$N$1000="Leave"))&gt;0,"Leave",""))</f>
        <v/>
      </c>
      <c r="J89" s="244">
        <f>IF($A89="","",IFERROR(INDEX('Public Holidays'!$C$6:$C$38,MATCH($B89,'Public Holidays'!$A$6:$A$38,0))&amp;" ("&amp;INDEX('Public Holidays'!$L$6:$L$38,MATCH($B89,'Public Holidays'!$A$6:$A$38,0))&amp;")",""))</f>
        <v/>
      </c>
      <c r="K89" s="246">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44">
        <f>IF($A89="","",INDEX($B$7:$B$36,INT((ROW()-41)/14)+1)&amp;"")</f>
        <v/>
      </c>
    </row>
    <row r="90">
      <c r="A90" s="244">
        <f>IF(INDEX($A$7:$A$36,INT((ROW()-41)/14)+1)="","",INDEX($A$7:$A$36,INT((ROW()-41)/14)+1))</f>
        <v/>
      </c>
      <c r="B90" s="245">
        <f>IF($A90="","",$B$3+MOD(ROW()-41,14))</f>
        <v/>
      </c>
      <c r="C90" s="244">
        <f>IF($A90="","",TEXT($B90,"ddd"))</f>
        <v/>
      </c>
      <c r="D90" s="242">
        <f>IF($A90="","",SUMIFS('EH Timesheets'!$G$6:$G$1005,'EH Timesheets'!$A$6:$A$1005,$A90,'EH Timesheets'!$B$6:$B$1005,$B90))</f>
        <v/>
      </c>
      <c r="E90" s="242">
        <f>IF($A90="","",SUMIFS('EH Roster'!$G$6:$G$1005,'EH Roster'!$A$6:$A$1005,$A90,'EH Roster'!$B$6:$B$1005,$B90))</f>
        <v/>
      </c>
      <c r="F90" s="242">
        <f>IF($A90="","",$D90-$E90)</f>
        <v/>
      </c>
      <c r="G90" s="242">
        <f>IF($A90="","",IF($L90="",0,SUMPRODUCT(('Shared Calendar'!$K$2:$K$1000&gt;0)*('Shared Calendar'!$K$2:$K$1000&lt;=$B90)*('Shared Calendar'!$J$2:$J$1000&gt;$B90)*ISNUMBER(SEARCH($L90,'Shared Calendar'!$M$2:$M$1000))*('Shared Calendar'!$N$2:$N$1000="Event"),'Shared Calendar'!$L$2:$L$1000)))</f>
        <v/>
      </c>
      <c r="H90" s="246">
        <f>IF(OR($A90="",$L90=""),"",IF(SUMPRODUCT(MAX(('Shared Calendar'!$K$2:$K$1000&gt;0)*('Shared Calendar'!$K$2:$K$1000&lt;=$B90)*('Shared Calendar'!$J$2:$J$1000&gt;$B90)*ISNUMBER(SEARCH($L90,'Shared Calendar'!$M$2:$M$1000))*ROW('Shared Calendar'!$A$2:$A$1000)))=0,"",INDEX('Shared Calendar'!$A:$A,SUMPRODUCT(MAX(('Shared Calendar'!$K$2:$K$1000&gt;0)*('Shared Calendar'!$K$2:$K$1000&lt;=$B90)*('Shared Calendar'!$J$2:$J$1000&gt;$B90)*ISNUMBER(SEARCH($L90,'Shared Calendar'!$M$2:$M$1000))*ROW('Shared Calendar'!$A$2:$A$1000))))))</f>
        <v/>
      </c>
      <c r="I90" s="244">
        <f>IF(OR($A90="",$L90=""),"",IF(SUMPRODUCT(('Shared Calendar'!$K$2:$K$1000&gt;0)*('Shared Calendar'!$K$2:$K$1000&lt;=$B90)*('Shared Calendar'!$J$2:$J$1000&gt;$B90)*ISNUMBER(SEARCH($L90,'Shared Calendar'!$M$2:$M$1000))*('Shared Calendar'!$N$2:$N$1000="Leave"))&gt;0,"Leave",""))</f>
        <v/>
      </c>
      <c r="J90" s="244">
        <f>IF($A90="","",IFERROR(INDEX('Public Holidays'!$C$6:$C$38,MATCH($B90,'Public Holidays'!$A$6:$A$38,0))&amp;" ("&amp;INDEX('Public Holidays'!$L$6:$L$38,MATCH($B90,'Public Holidays'!$A$6:$A$38,0))&amp;")",""))</f>
        <v/>
      </c>
      <c r="K90" s="246">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44">
        <f>IF($A90="","",INDEX($B$7:$B$36,INT((ROW()-41)/14)+1)&amp;"")</f>
        <v/>
      </c>
    </row>
    <row r="91">
      <c r="A91" s="244">
        <f>IF(INDEX($A$7:$A$36,INT((ROW()-41)/14)+1)="","",INDEX($A$7:$A$36,INT((ROW()-41)/14)+1))</f>
        <v/>
      </c>
      <c r="B91" s="245">
        <f>IF($A91="","",$B$3+MOD(ROW()-41,14))</f>
        <v/>
      </c>
      <c r="C91" s="244">
        <f>IF($A91="","",TEXT($B91,"ddd"))</f>
        <v/>
      </c>
      <c r="D91" s="242">
        <f>IF($A91="","",SUMIFS('EH Timesheets'!$G$6:$G$1005,'EH Timesheets'!$A$6:$A$1005,$A91,'EH Timesheets'!$B$6:$B$1005,$B91))</f>
        <v/>
      </c>
      <c r="E91" s="242">
        <f>IF($A91="","",SUMIFS('EH Roster'!$G$6:$G$1005,'EH Roster'!$A$6:$A$1005,$A91,'EH Roster'!$B$6:$B$1005,$B91))</f>
        <v/>
      </c>
      <c r="F91" s="242">
        <f>IF($A91="","",$D91-$E91)</f>
        <v/>
      </c>
      <c r="G91" s="242">
        <f>IF($A91="","",IF($L91="",0,SUMPRODUCT(('Shared Calendar'!$K$2:$K$1000&gt;0)*('Shared Calendar'!$K$2:$K$1000&lt;=$B91)*('Shared Calendar'!$J$2:$J$1000&gt;$B91)*ISNUMBER(SEARCH($L91,'Shared Calendar'!$M$2:$M$1000))*('Shared Calendar'!$N$2:$N$1000="Event"),'Shared Calendar'!$L$2:$L$1000)))</f>
        <v/>
      </c>
      <c r="H91" s="246">
        <f>IF(OR($A91="",$L91=""),"",IF(SUMPRODUCT(MAX(('Shared Calendar'!$K$2:$K$1000&gt;0)*('Shared Calendar'!$K$2:$K$1000&lt;=$B91)*('Shared Calendar'!$J$2:$J$1000&gt;$B91)*ISNUMBER(SEARCH($L91,'Shared Calendar'!$M$2:$M$1000))*ROW('Shared Calendar'!$A$2:$A$1000)))=0,"",INDEX('Shared Calendar'!$A:$A,SUMPRODUCT(MAX(('Shared Calendar'!$K$2:$K$1000&gt;0)*('Shared Calendar'!$K$2:$K$1000&lt;=$B91)*('Shared Calendar'!$J$2:$J$1000&gt;$B91)*ISNUMBER(SEARCH($L91,'Shared Calendar'!$M$2:$M$1000))*ROW('Shared Calendar'!$A$2:$A$1000))))))</f>
        <v/>
      </c>
      <c r="I91" s="244">
        <f>IF(OR($A91="",$L91=""),"",IF(SUMPRODUCT(('Shared Calendar'!$K$2:$K$1000&gt;0)*('Shared Calendar'!$K$2:$K$1000&lt;=$B91)*('Shared Calendar'!$J$2:$J$1000&gt;$B91)*ISNUMBER(SEARCH($L91,'Shared Calendar'!$M$2:$M$1000))*('Shared Calendar'!$N$2:$N$1000="Leave"))&gt;0,"Leave",""))</f>
        <v/>
      </c>
      <c r="J91" s="244">
        <f>IF($A91="","",IFERROR(INDEX('Public Holidays'!$C$6:$C$38,MATCH($B91,'Public Holidays'!$A$6:$A$38,0))&amp;" ("&amp;INDEX('Public Holidays'!$L$6:$L$38,MATCH($B91,'Public Holidays'!$A$6:$A$38,0))&amp;")",""))</f>
        <v/>
      </c>
      <c r="K91" s="246">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44">
        <f>IF($A91="","",INDEX($B$7:$B$36,INT((ROW()-41)/14)+1)&amp;"")</f>
        <v/>
      </c>
    </row>
    <row r="92">
      <c r="A92" s="244">
        <f>IF(INDEX($A$7:$A$36,INT((ROW()-41)/14)+1)="","",INDEX($A$7:$A$36,INT((ROW()-41)/14)+1))</f>
        <v/>
      </c>
      <c r="B92" s="245">
        <f>IF($A92="","",$B$3+MOD(ROW()-41,14))</f>
        <v/>
      </c>
      <c r="C92" s="244">
        <f>IF($A92="","",TEXT($B92,"ddd"))</f>
        <v/>
      </c>
      <c r="D92" s="242">
        <f>IF($A92="","",SUMIFS('EH Timesheets'!$G$6:$G$1005,'EH Timesheets'!$A$6:$A$1005,$A92,'EH Timesheets'!$B$6:$B$1005,$B92))</f>
        <v/>
      </c>
      <c r="E92" s="242">
        <f>IF($A92="","",SUMIFS('EH Roster'!$G$6:$G$1005,'EH Roster'!$A$6:$A$1005,$A92,'EH Roster'!$B$6:$B$1005,$B92))</f>
        <v/>
      </c>
      <c r="F92" s="242">
        <f>IF($A92="","",$D92-$E92)</f>
        <v/>
      </c>
      <c r="G92" s="242">
        <f>IF($A92="","",IF($L92="",0,SUMPRODUCT(('Shared Calendar'!$K$2:$K$1000&gt;0)*('Shared Calendar'!$K$2:$K$1000&lt;=$B92)*('Shared Calendar'!$J$2:$J$1000&gt;$B92)*ISNUMBER(SEARCH($L92,'Shared Calendar'!$M$2:$M$1000))*('Shared Calendar'!$N$2:$N$1000="Event"),'Shared Calendar'!$L$2:$L$1000)))</f>
        <v/>
      </c>
      <c r="H92" s="246">
        <f>IF(OR($A92="",$L92=""),"",IF(SUMPRODUCT(MAX(('Shared Calendar'!$K$2:$K$1000&gt;0)*('Shared Calendar'!$K$2:$K$1000&lt;=$B92)*('Shared Calendar'!$J$2:$J$1000&gt;$B92)*ISNUMBER(SEARCH($L92,'Shared Calendar'!$M$2:$M$1000))*ROW('Shared Calendar'!$A$2:$A$1000)))=0,"",INDEX('Shared Calendar'!$A:$A,SUMPRODUCT(MAX(('Shared Calendar'!$K$2:$K$1000&gt;0)*('Shared Calendar'!$K$2:$K$1000&lt;=$B92)*('Shared Calendar'!$J$2:$J$1000&gt;$B92)*ISNUMBER(SEARCH($L92,'Shared Calendar'!$M$2:$M$1000))*ROW('Shared Calendar'!$A$2:$A$1000))))))</f>
        <v/>
      </c>
      <c r="I92" s="244">
        <f>IF(OR($A92="",$L92=""),"",IF(SUMPRODUCT(('Shared Calendar'!$K$2:$K$1000&gt;0)*('Shared Calendar'!$K$2:$K$1000&lt;=$B92)*('Shared Calendar'!$J$2:$J$1000&gt;$B92)*ISNUMBER(SEARCH($L92,'Shared Calendar'!$M$2:$M$1000))*('Shared Calendar'!$N$2:$N$1000="Leave"))&gt;0,"Leave",""))</f>
        <v/>
      </c>
      <c r="J92" s="244">
        <f>IF($A92="","",IFERROR(INDEX('Public Holidays'!$C$6:$C$38,MATCH($B92,'Public Holidays'!$A$6:$A$38,0))&amp;" ("&amp;INDEX('Public Holidays'!$L$6:$L$38,MATCH($B92,'Public Holidays'!$A$6:$A$38,0))&amp;")",""))</f>
        <v/>
      </c>
      <c r="K92" s="246">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44">
        <f>IF($A92="","",INDEX($B$7:$B$36,INT((ROW()-41)/14)+1)&amp;"")</f>
        <v/>
      </c>
    </row>
    <row r="93">
      <c r="A93" s="244">
        <f>IF(INDEX($A$7:$A$36,INT((ROW()-41)/14)+1)="","",INDEX($A$7:$A$36,INT((ROW()-41)/14)+1))</f>
        <v/>
      </c>
      <c r="B93" s="245">
        <f>IF($A93="","",$B$3+MOD(ROW()-41,14))</f>
        <v/>
      </c>
      <c r="C93" s="244">
        <f>IF($A93="","",TEXT($B93,"ddd"))</f>
        <v/>
      </c>
      <c r="D93" s="242">
        <f>IF($A93="","",SUMIFS('EH Timesheets'!$G$6:$G$1005,'EH Timesheets'!$A$6:$A$1005,$A93,'EH Timesheets'!$B$6:$B$1005,$B93))</f>
        <v/>
      </c>
      <c r="E93" s="242">
        <f>IF($A93="","",SUMIFS('EH Roster'!$G$6:$G$1005,'EH Roster'!$A$6:$A$1005,$A93,'EH Roster'!$B$6:$B$1005,$B93))</f>
        <v/>
      </c>
      <c r="F93" s="242">
        <f>IF($A93="","",$D93-$E93)</f>
        <v/>
      </c>
      <c r="G93" s="242">
        <f>IF($A93="","",IF($L93="",0,SUMPRODUCT(('Shared Calendar'!$K$2:$K$1000&gt;0)*('Shared Calendar'!$K$2:$K$1000&lt;=$B93)*('Shared Calendar'!$J$2:$J$1000&gt;$B93)*ISNUMBER(SEARCH($L93,'Shared Calendar'!$M$2:$M$1000))*('Shared Calendar'!$N$2:$N$1000="Event"),'Shared Calendar'!$L$2:$L$1000)))</f>
        <v/>
      </c>
      <c r="H93" s="246">
        <f>IF(OR($A93="",$L93=""),"",IF(SUMPRODUCT(MAX(('Shared Calendar'!$K$2:$K$1000&gt;0)*('Shared Calendar'!$K$2:$K$1000&lt;=$B93)*('Shared Calendar'!$J$2:$J$1000&gt;$B93)*ISNUMBER(SEARCH($L93,'Shared Calendar'!$M$2:$M$1000))*ROW('Shared Calendar'!$A$2:$A$1000)))=0,"",INDEX('Shared Calendar'!$A:$A,SUMPRODUCT(MAX(('Shared Calendar'!$K$2:$K$1000&gt;0)*('Shared Calendar'!$K$2:$K$1000&lt;=$B93)*('Shared Calendar'!$J$2:$J$1000&gt;$B93)*ISNUMBER(SEARCH($L93,'Shared Calendar'!$M$2:$M$1000))*ROW('Shared Calendar'!$A$2:$A$1000))))))</f>
        <v/>
      </c>
      <c r="I93" s="244">
        <f>IF(OR($A93="",$L93=""),"",IF(SUMPRODUCT(('Shared Calendar'!$K$2:$K$1000&gt;0)*('Shared Calendar'!$K$2:$K$1000&lt;=$B93)*('Shared Calendar'!$J$2:$J$1000&gt;$B93)*ISNUMBER(SEARCH($L93,'Shared Calendar'!$M$2:$M$1000))*('Shared Calendar'!$N$2:$N$1000="Leave"))&gt;0,"Leave",""))</f>
        <v/>
      </c>
      <c r="J93" s="244">
        <f>IF($A93="","",IFERROR(INDEX('Public Holidays'!$C$6:$C$38,MATCH($B93,'Public Holidays'!$A$6:$A$38,0))&amp;" ("&amp;INDEX('Public Holidays'!$L$6:$L$38,MATCH($B93,'Public Holidays'!$A$6:$A$38,0))&amp;")",""))</f>
        <v/>
      </c>
      <c r="K93" s="246">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44">
        <f>IF($A93="","",INDEX($B$7:$B$36,INT((ROW()-41)/14)+1)&amp;"")</f>
        <v/>
      </c>
    </row>
    <row r="94">
      <c r="A94" s="244">
        <f>IF(INDEX($A$7:$A$36,INT((ROW()-41)/14)+1)="","",INDEX($A$7:$A$36,INT((ROW()-41)/14)+1))</f>
        <v/>
      </c>
      <c r="B94" s="245">
        <f>IF($A94="","",$B$3+MOD(ROW()-41,14))</f>
        <v/>
      </c>
      <c r="C94" s="244">
        <f>IF($A94="","",TEXT($B94,"ddd"))</f>
        <v/>
      </c>
      <c r="D94" s="242">
        <f>IF($A94="","",SUMIFS('EH Timesheets'!$G$6:$G$1005,'EH Timesheets'!$A$6:$A$1005,$A94,'EH Timesheets'!$B$6:$B$1005,$B94))</f>
        <v/>
      </c>
      <c r="E94" s="242">
        <f>IF($A94="","",SUMIFS('EH Roster'!$G$6:$G$1005,'EH Roster'!$A$6:$A$1005,$A94,'EH Roster'!$B$6:$B$1005,$B94))</f>
        <v/>
      </c>
      <c r="F94" s="242">
        <f>IF($A94="","",$D94-$E94)</f>
        <v/>
      </c>
      <c r="G94" s="242">
        <f>IF($A94="","",IF($L94="",0,SUMPRODUCT(('Shared Calendar'!$K$2:$K$1000&gt;0)*('Shared Calendar'!$K$2:$K$1000&lt;=$B94)*('Shared Calendar'!$J$2:$J$1000&gt;$B94)*ISNUMBER(SEARCH($L94,'Shared Calendar'!$M$2:$M$1000))*('Shared Calendar'!$N$2:$N$1000="Event"),'Shared Calendar'!$L$2:$L$1000)))</f>
        <v/>
      </c>
      <c r="H94" s="246">
        <f>IF(OR($A94="",$L94=""),"",IF(SUMPRODUCT(MAX(('Shared Calendar'!$K$2:$K$1000&gt;0)*('Shared Calendar'!$K$2:$K$1000&lt;=$B94)*('Shared Calendar'!$J$2:$J$1000&gt;$B94)*ISNUMBER(SEARCH($L94,'Shared Calendar'!$M$2:$M$1000))*ROW('Shared Calendar'!$A$2:$A$1000)))=0,"",INDEX('Shared Calendar'!$A:$A,SUMPRODUCT(MAX(('Shared Calendar'!$K$2:$K$1000&gt;0)*('Shared Calendar'!$K$2:$K$1000&lt;=$B94)*('Shared Calendar'!$J$2:$J$1000&gt;$B94)*ISNUMBER(SEARCH($L94,'Shared Calendar'!$M$2:$M$1000))*ROW('Shared Calendar'!$A$2:$A$1000))))))</f>
        <v/>
      </c>
      <c r="I94" s="244">
        <f>IF(OR($A94="",$L94=""),"",IF(SUMPRODUCT(('Shared Calendar'!$K$2:$K$1000&gt;0)*('Shared Calendar'!$K$2:$K$1000&lt;=$B94)*('Shared Calendar'!$J$2:$J$1000&gt;$B94)*ISNUMBER(SEARCH($L94,'Shared Calendar'!$M$2:$M$1000))*('Shared Calendar'!$N$2:$N$1000="Leave"))&gt;0,"Leave",""))</f>
        <v/>
      </c>
      <c r="J94" s="244">
        <f>IF($A94="","",IFERROR(INDEX('Public Holidays'!$C$6:$C$38,MATCH($B94,'Public Holidays'!$A$6:$A$38,0))&amp;" ("&amp;INDEX('Public Holidays'!$L$6:$L$38,MATCH($B94,'Public Holidays'!$A$6:$A$38,0))&amp;")",""))</f>
        <v/>
      </c>
      <c r="K94" s="246">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44">
        <f>IF($A94="","",INDEX($B$7:$B$36,INT((ROW()-41)/14)+1)&amp;"")</f>
        <v/>
      </c>
    </row>
    <row r="95">
      <c r="A95" s="244">
        <f>IF(INDEX($A$7:$A$36,INT((ROW()-41)/14)+1)="","",INDEX($A$7:$A$36,INT((ROW()-41)/14)+1))</f>
        <v/>
      </c>
      <c r="B95" s="245">
        <f>IF($A95="","",$B$3+MOD(ROW()-41,14))</f>
        <v/>
      </c>
      <c r="C95" s="244">
        <f>IF($A95="","",TEXT($B95,"ddd"))</f>
        <v/>
      </c>
      <c r="D95" s="242">
        <f>IF($A95="","",SUMIFS('EH Timesheets'!$G$6:$G$1005,'EH Timesheets'!$A$6:$A$1005,$A95,'EH Timesheets'!$B$6:$B$1005,$B95))</f>
        <v/>
      </c>
      <c r="E95" s="242">
        <f>IF($A95="","",SUMIFS('EH Roster'!$G$6:$G$1005,'EH Roster'!$A$6:$A$1005,$A95,'EH Roster'!$B$6:$B$1005,$B95))</f>
        <v/>
      </c>
      <c r="F95" s="242">
        <f>IF($A95="","",$D95-$E95)</f>
        <v/>
      </c>
      <c r="G95" s="242">
        <f>IF($A95="","",IF($L95="",0,SUMPRODUCT(('Shared Calendar'!$K$2:$K$1000&gt;0)*('Shared Calendar'!$K$2:$K$1000&lt;=$B95)*('Shared Calendar'!$J$2:$J$1000&gt;$B95)*ISNUMBER(SEARCH($L95,'Shared Calendar'!$M$2:$M$1000))*('Shared Calendar'!$N$2:$N$1000="Event"),'Shared Calendar'!$L$2:$L$1000)))</f>
        <v/>
      </c>
      <c r="H95" s="246">
        <f>IF(OR($A95="",$L95=""),"",IF(SUMPRODUCT(MAX(('Shared Calendar'!$K$2:$K$1000&gt;0)*('Shared Calendar'!$K$2:$K$1000&lt;=$B95)*('Shared Calendar'!$J$2:$J$1000&gt;$B95)*ISNUMBER(SEARCH($L95,'Shared Calendar'!$M$2:$M$1000))*ROW('Shared Calendar'!$A$2:$A$1000)))=0,"",INDEX('Shared Calendar'!$A:$A,SUMPRODUCT(MAX(('Shared Calendar'!$K$2:$K$1000&gt;0)*('Shared Calendar'!$K$2:$K$1000&lt;=$B95)*('Shared Calendar'!$J$2:$J$1000&gt;$B95)*ISNUMBER(SEARCH($L95,'Shared Calendar'!$M$2:$M$1000))*ROW('Shared Calendar'!$A$2:$A$1000))))))</f>
        <v/>
      </c>
      <c r="I95" s="244">
        <f>IF(OR($A95="",$L95=""),"",IF(SUMPRODUCT(('Shared Calendar'!$K$2:$K$1000&gt;0)*('Shared Calendar'!$K$2:$K$1000&lt;=$B95)*('Shared Calendar'!$J$2:$J$1000&gt;$B95)*ISNUMBER(SEARCH($L95,'Shared Calendar'!$M$2:$M$1000))*('Shared Calendar'!$N$2:$N$1000="Leave"))&gt;0,"Leave",""))</f>
        <v/>
      </c>
      <c r="J95" s="244">
        <f>IF($A95="","",IFERROR(INDEX('Public Holidays'!$C$6:$C$38,MATCH($B95,'Public Holidays'!$A$6:$A$38,0))&amp;" ("&amp;INDEX('Public Holidays'!$L$6:$L$38,MATCH($B95,'Public Holidays'!$A$6:$A$38,0))&amp;")",""))</f>
        <v/>
      </c>
      <c r="K95" s="246">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44">
        <f>IF($A95="","",INDEX($B$7:$B$36,INT((ROW()-41)/14)+1)&amp;"")</f>
        <v/>
      </c>
    </row>
    <row r="96">
      <c r="A96" s="244">
        <f>IF(INDEX($A$7:$A$36,INT((ROW()-41)/14)+1)="","",INDEX($A$7:$A$36,INT((ROW()-41)/14)+1))</f>
        <v/>
      </c>
      <c r="B96" s="245">
        <f>IF($A96="","",$B$3+MOD(ROW()-41,14))</f>
        <v/>
      </c>
      <c r="C96" s="244">
        <f>IF($A96="","",TEXT($B96,"ddd"))</f>
        <v/>
      </c>
      <c r="D96" s="242">
        <f>IF($A96="","",SUMIFS('EH Timesheets'!$G$6:$G$1005,'EH Timesheets'!$A$6:$A$1005,$A96,'EH Timesheets'!$B$6:$B$1005,$B96))</f>
        <v/>
      </c>
      <c r="E96" s="242">
        <f>IF($A96="","",SUMIFS('EH Roster'!$G$6:$G$1005,'EH Roster'!$A$6:$A$1005,$A96,'EH Roster'!$B$6:$B$1005,$B96))</f>
        <v/>
      </c>
      <c r="F96" s="242">
        <f>IF($A96="","",$D96-$E96)</f>
        <v/>
      </c>
      <c r="G96" s="242">
        <f>IF($A96="","",IF($L96="",0,SUMPRODUCT(('Shared Calendar'!$K$2:$K$1000&gt;0)*('Shared Calendar'!$K$2:$K$1000&lt;=$B96)*('Shared Calendar'!$J$2:$J$1000&gt;$B96)*ISNUMBER(SEARCH($L96,'Shared Calendar'!$M$2:$M$1000))*('Shared Calendar'!$N$2:$N$1000="Event"),'Shared Calendar'!$L$2:$L$1000)))</f>
        <v/>
      </c>
      <c r="H96" s="246">
        <f>IF(OR($A96="",$L96=""),"",IF(SUMPRODUCT(MAX(('Shared Calendar'!$K$2:$K$1000&gt;0)*('Shared Calendar'!$K$2:$K$1000&lt;=$B96)*('Shared Calendar'!$J$2:$J$1000&gt;$B96)*ISNUMBER(SEARCH($L96,'Shared Calendar'!$M$2:$M$1000))*ROW('Shared Calendar'!$A$2:$A$1000)))=0,"",INDEX('Shared Calendar'!$A:$A,SUMPRODUCT(MAX(('Shared Calendar'!$K$2:$K$1000&gt;0)*('Shared Calendar'!$K$2:$K$1000&lt;=$B96)*('Shared Calendar'!$J$2:$J$1000&gt;$B96)*ISNUMBER(SEARCH($L96,'Shared Calendar'!$M$2:$M$1000))*ROW('Shared Calendar'!$A$2:$A$1000))))))</f>
        <v/>
      </c>
      <c r="I96" s="244">
        <f>IF(OR($A96="",$L96=""),"",IF(SUMPRODUCT(('Shared Calendar'!$K$2:$K$1000&gt;0)*('Shared Calendar'!$K$2:$K$1000&lt;=$B96)*('Shared Calendar'!$J$2:$J$1000&gt;$B96)*ISNUMBER(SEARCH($L96,'Shared Calendar'!$M$2:$M$1000))*('Shared Calendar'!$N$2:$N$1000="Leave"))&gt;0,"Leave",""))</f>
        <v/>
      </c>
      <c r="J96" s="244">
        <f>IF($A96="","",IFERROR(INDEX('Public Holidays'!$C$6:$C$38,MATCH($B96,'Public Holidays'!$A$6:$A$38,0))&amp;" ("&amp;INDEX('Public Holidays'!$L$6:$L$38,MATCH($B96,'Public Holidays'!$A$6:$A$38,0))&amp;")",""))</f>
        <v/>
      </c>
      <c r="K96" s="246">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44">
        <f>IF($A96="","",INDEX($B$7:$B$36,INT((ROW()-41)/14)+1)&amp;"")</f>
        <v/>
      </c>
    </row>
    <row r="97">
      <c r="A97" s="244">
        <f>IF(INDEX($A$7:$A$36,INT((ROW()-41)/14)+1)="","",INDEX($A$7:$A$36,INT((ROW()-41)/14)+1))</f>
        <v/>
      </c>
      <c r="B97" s="245">
        <f>IF($A97="","",$B$3+MOD(ROW()-41,14))</f>
        <v/>
      </c>
      <c r="C97" s="244">
        <f>IF($A97="","",TEXT($B97,"ddd"))</f>
        <v/>
      </c>
      <c r="D97" s="242">
        <f>IF($A97="","",SUMIFS('EH Timesheets'!$G$6:$G$1005,'EH Timesheets'!$A$6:$A$1005,$A97,'EH Timesheets'!$B$6:$B$1005,$B97))</f>
        <v/>
      </c>
      <c r="E97" s="242">
        <f>IF($A97="","",SUMIFS('EH Roster'!$G$6:$G$1005,'EH Roster'!$A$6:$A$1005,$A97,'EH Roster'!$B$6:$B$1005,$B97))</f>
        <v/>
      </c>
      <c r="F97" s="242">
        <f>IF($A97="","",$D97-$E97)</f>
        <v/>
      </c>
      <c r="G97" s="242">
        <f>IF($A97="","",IF($L97="",0,SUMPRODUCT(('Shared Calendar'!$K$2:$K$1000&gt;0)*('Shared Calendar'!$K$2:$K$1000&lt;=$B97)*('Shared Calendar'!$J$2:$J$1000&gt;$B97)*ISNUMBER(SEARCH($L97,'Shared Calendar'!$M$2:$M$1000))*('Shared Calendar'!$N$2:$N$1000="Event"),'Shared Calendar'!$L$2:$L$1000)))</f>
        <v/>
      </c>
      <c r="H97" s="246">
        <f>IF(OR($A97="",$L97=""),"",IF(SUMPRODUCT(MAX(('Shared Calendar'!$K$2:$K$1000&gt;0)*('Shared Calendar'!$K$2:$K$1000&lt;=$B97)*('Shared Calendar'!$J$2:$J$1000&gt;$B97)*ISNUMBER(SEARCH($L97,'Shared Calendar'!$M$2:$M$1000))*ROW('Shared Calendar'!$A$2:$A$1000)))=0,"",INDEX('Shared Calendar'!$A:$A,SUMPRODUCT(MAX(('Shared Calendar'!$K$2:$K$1000&gt;0)*('Shared Calendar'!$K$2:$K$1000&lt;=$B97)*('Shared Calendar'!$J$2:$J$1000&gt;$B97)*ISNUMBER(SEARCH($L97,'Shared Calendar'!$M$2:$M$1000))*ROW('Shared Calendar'!$A$2:$A$1000))))))</f>
        <v/>
      </c>
      <c r="I97" s="244">
        <f>IF(OR($A97="",$L97=""),"",IF(SUMPRODUCT(('Shared Calendar'!$K$2:$K$1000&gt;0)*('Shared Calendar'!$K$2:$K$1000&lt;=$B97)*('Shared Calendar'!$J$2:$J$1000&gt;$B97)*ISNUMBER(SEARCH($L97,'Shared Calendar'!$M$2:$M$1000))*('Shared Calendar'!$N$2:$N$1000="Leave"))&gt;0,"Leave",""))</f>
        <v/>
      </c>
      <c r="J97" s="244">
        <f>IF($A97="","",IFERROR(INDEX('Public Holidays'!$C$6:$C$38,MATCH($B97,'Public Holidays'!$A$6:$A$38,0))&amp;" ("&amp;INDEX('Public Holidays'!$L$6:$L$38,MATCH($B97,'Public Holidays'!$A$6:$A$38,0))&amp;")",""))</f>
        <v/>
      </c>
      <c r="K97" s="246">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44">
        <f>IF($A97="","",INDEX($B$7:$B$36,INT((ROW()-41)/14)+1)&amp;"")</f>
        <v/>
      </c>
    </row>
    <row r="98">
      <c r="A98" s="244">
        <f>IF(INDEX($A$7:$A$36,INT((ROW()-41)/14)+1)="","",INDEX($A$7:$A$36,INT((ROW()-41)/14)+1))</f>
        <v/>
      </c>
      <c r="B98" s="245">
        <f>IF($A98="","",$B$3+MOD(ROW()-41,14))</f>
        <v/>
      </c>
      <c r="C98" s="244">
        <f>IF($A98="","",TEXT($B98,"ddd"))</f>
        <v/>
      </c>
      <c r="D98" s="242">
        <f>IF($A98="","",SUMIFS('EH Timesheets'!$G$6:$G$1005,'EH Timesheets'!$A$6:$A$1005,$A98,'EH Timesheets'!$B$6:$B$1005,$B98))</f>
        <v/>
      </c>
      <c r="E98" s="242">
        <f>IF($A98="","",SUMIFS('EH Roster'!$G$6:$G$1005,'EH Roster'!$A$6:$A$1005,$A98,'EH Roster'!$B$6:$B$1005,$B98))</f>
        <v/>
      </c>
      <c r="F98" s="242">
        <f>IF($A98="","",$D98-$E98)</f>
        <v/>
      </c>
      <c r="G98" s="242">
        <f>IF($A98="","",IF($L98="",0,SUMPRODUCT(('Shared Calendar'!$K$2:$K$1000&gt;0)*('Shared Calendar'!$K$2:$K$1000&lt;=$B98)*('Shared Calendar'!$J$2:$J$1000&gt;$B98)*ISNUMBER(SEARCH($L98,'Shared Calendar'!$M$2:$M$1000))*('Shared Calendar'!$N$2:$N$1000="Event"),'Shared Calendar'!$L$2:$L$1000)))</f>
        <v/>
      </c>
      <c r="H98" s="246">
        <f>IF(OR($A98="",$L98=""),"",IF(SUMPRODUCT(MAX(('Shared Calendar'!$K$2:$K$1000&gt;0)*('Shared Calendar'!$K$2:$K$1000&lt;=$B98)*('Shared Calendar'!$J$2:$J$1000&gt;$B98)*ISNUMBER(SEARCH($L98,'Shared Calendar'!$M$2:$M$1000))*ROW('Shared Calendar'!$A$2:$A$1000)))=0,"",INDEX('Shared Calendar'!$A:$A,SUMPRODUCT(MAX(('Shared Calendar'!$K$2:$K$1000&gt;0)*('Shared Calendar'!$K$2:$K$1000&lt;=$B98)*('Shared Calendar'!$J$2:$J$1000&gt;$B98)*ISNUMBER(SEARCH($L98,'Shared Calendar'!$M$2:$M$1000))*ROW('Shared Calendar'!$A$2:$A$1000))))))</f>
        <v/>
      </c>
      <c r="I98" s="244">
        <f>IF(OR($A98="",$L98=""),"",IF(SUMPRODUCT(('Shared Calendar'!$K$2:$K$1000&gt;0)*('Shared Calendar'!$K$2:$K$1000&lt;=$B98)*('Shared Calendar'!$J$2:$J$1000&gt;$B98)*ISNUMBER(SEARCH($L98,'Shared Calendar'!$M$2:$M$1000))*('Shared Calendar'!$N$2:$N$1000="Leave"))&gt;0,"Leave",""))</f>
        <v/>
      </c>
      <c r="J98" s="244">
        <f>IF($A98="","",IFERROR(INDEX('Public Holidays'!$C$6:$C$38,MATCH($B98,'Public Holidays'!$A$6:$A$38,0))&amp;" ("&amp;INDEX('Public Holidays'!$L$6:$L$38,MATCH($B98,'Public Holidays'!$A$6:$A$38,0))&amp;")",""))</f>
        <v/>
      </c>
      <c r="K98" s="246">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44">
        <f>IF($A98="","",INDEX($B$7:$B$36,INT((ROW()-41)/14)+1)&amp;"")</f>
        <v/>
      </c>
    </row>
    <row r="99">
      <c r="A99" s="244">
        <f>IF(INDEX($A$7:$A$36,INT((ROW()-41)/14)+1)="","",INDEX($A$7:$A$36,INT((ROW()-41)/14)+1))</f>
        <v/>
      </c>
      <c r="B99" s="245">
        <f>IF($A99="","",$B$3+MOD(ROW()-41,14))</f>
        <v/>
      </c>
      <c r="C99" s="244">
        <f>IF($A99="","",TEXT($B99,"ddd"))</f>
        <v/>
      </c>
      <c r="D99" s="242">
        <f>IF($A99="","",SUMIFS('EH Timesheets'!$G$6:$G$1005,'EH Timesheets'!$A$6:$A$1005,$A99,'EH Timesheets'!$B$6:$B$1005,$B99))</f>
        <v/>
      </c>
      <c r="E99" s="242">
        <f>IF($A99="","",SUMIFS('EH Roster'!$G$6:$G$1005,'EH Roster'!$A$6:$A$1005,$A99,'EH Roster'!$B$6:$B$1005,$B99))</f>
        <v/>
      </c>
      <c r="F99" s="242">
        <f>IF($A99="","",$D99-$E99)</f>
        <v/>
      </c>
      <c r="G99" s="242">
        <f>IF($A99="","",IF($L99="",0,SUMPRODUCT(('Shared Calendar'!$K$2:$K$1000&gt;0)*('Shared Calendar'!$K$2:$K$1000&lt;=$B99)*('Shared Calendar'!$J$2:$J$1000&gt;$B99)*ISNUMBER(SEARCH($L99,'Shared Calendar'!$M$2:$M$1000))*('Shared Calendar'!$N$2:$N$1000="Event"),'Shared Calendar'!$L$2:$L$1000)))</f>
        <v/>
      </c>
      <c r="H99" s="246">
        <f>IF(OR($A99="",$L99=""),"",IF(SUMPRODUCT(MAX(('Shared Calendar'!$K$2:$K$1000&gt;0)*('Shared Calendar'!$K$2:$K$1000&lt;=$B99)*('Shared Calendar'!$J$2:$J$1000&gt;$B99)*ISNUMBER(SEARCH($L99,'Shared Calendar'!$M$2:$M$1000))*ROW('Shared Calendar'!$A$2:$A$1000)))=0,"",INDEX('Shared Calendar'!$A:$A,SUMPRODUCT(MAX(('Shared Calendar'!$K$2:$K$1000&gt;0)*('Shared Calendar'!$K$2:$K$1000&lt;=$B99)*('Shared Calendar'!$J$2:$J$1000&gt;$B99)*ISNUMBER(SEARCH($L99,'Shared Calendar'!$M$2:$M$1000))*ROW('Shared Calendar'!$A$2:$A$1000))))))</f>
        <v/>
      </c>
      <c r="I99" s="244">
        <f>IF(OR($A99="",$L99=""),"",IF(SUMPRODUCT(('Shared Calendar'!$K$2:$K$1000&gt;0)*('Shared Calendar'!$K$2:$K$1000&lt;=$B99)*('Shared Calendar'!$J$2:$J$1000&gt;$B99)*ISNUMBER(SEARCH($L99,'Shared Calendar'!$M$2:$M$1000))*('Shared Calendar'!$N$2:$N$1000="Leave"))&gt;0,"Leave",""))</f>
        <v/>
      </c>
      <c r="J99" s="244">
        <f>IF($A99="","",IFERROR(INDEX('Public Holidays'!$C$6:$C$38,MATCH($B99,'Public Holidays'!$A$6:$A$38,0))&amp;" ("&amp;INDEX('Public Holidays'!$L$6:$L$38,MATCH($B99,'Public Holidays'!$A$6:$A$38,0))&amp;")",""))</f>
        <v/>
      </c>
      <c r="K99" s="246">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44">
        <f>IF($A99="","",INDEX($B$7:$B$36,INT((ROW()-41)/14)+1)&amp;"")</f>
        <v/>
      </c>
    </row>
    <row r="100">
      <c r="A100" s="244">
        <f>IF(INDEX($A$7:$A$36,INT((ROW()-41)/14)+1)="","",INDEX($A$7:$A$36,INT((ROW()-41)/14)+1))</f>
        <v/>
      </c>
      <c r="B100" s="245">
        <f>IF($A100="","",$B$3+MOD(ROW()-41,14))</f>
        <v/>
      </c>
      <c r="C100" s="244">
        <f>IF($A100="","",TEXT($B100,"ddd"))</f>
        <v/>
      </c>
      <c r="D100" s="242">
        <f>IF($A100="","",SUMIFS('EH Timesheets'!$G$6:$G$1005,'EH Timesheets'!$A$6:$A$1005,$A100,'EH Timesheets'!$B$6:$B$1005,$B100))</f>
        <v/>
      </c>
      <c r="E100" s="242">
        <f>IF($A100="","",SUMIFS('EH Roster'!$G$6:$G$1005,'EH Roster'!$A$6:$A$1005,$A100,'EH Roster'!$B$6:$B$1005,$B100))</f>
        <v/>
      </c>
      <c r="F100" s="242">
        <f>IF($A100="","",$D100-$E100)</f>
        <v/>
      </c>
      <c r="G100" s="242">
        <f>IF($A100="","",IF($L100="",0,SUMPRODUCT(('Shared Calendar'!$K$2:$K$1000&gt;0)*('Shared Calendar'!$K$2:$K$1000&lt;=$B100)*('Shared Calendar'!$J$2:$J$1000&gt;$B100)*ISNUMBER(SEARCH($L100,'Shared Calendar'!$M$2:$M$1000))*('Shared Calendar'!$N$2:$N$1000="Event"),'Shared Calendar'!$L$2:$L$1000)))</f>
        <v/>
      </c>
      <c r="H100" s="246">
        <f>IF(OR($A100="",$L100=""),"",IF(SUMPRODUCT(MAX(('Shared Calendar'!$K$2:$K$1000&gt;0)*('Shared Calendar'!$K$2:$K$1000&lt;=$B100)*('Shared Calendar'!$J$2:$J$1000&gt;$B100)*ISNUMBER(SEARCH($L100,'Shared Calendar'!$M$2:$M$1000))*ROW('Shared Calendar'!$A$2:$A$1000)))=0,"",INDEX('Shared Calendar'!$A:$A,SUMPRODUCT(MAX(('Shared Calendar'!$K$2:$K$1000&gt;0)*('Shared Calendar'!$K$2:$K$1000&lt;=$B100)*('Shared Calendar'!$J$2:$J$1000&gt;$B100)*ISNUMBER(SEARCH($L100,'Shared Calendar'!$M$2:$M$1000))*ROW('Shared Calendar'!$A$2:$A$1000))))))</f>
        <v/>
      </c>
      <c r="I100" s="244">
        <f>IF(OR($A100="",$L100=""),"",IF(SUMPRODUCT(('Shared Calendar'!$K$2:$K$1000&gt;0)*('Shared Calendar'!$K$2:$K$1000&lt;=$B100)*('Shared Calendar'!$J$2:$J$1000&gt;$B100)*ISNUMBER(SEARCH($L100,'Shared Calendar'!$M$2:$M$1000))*('Shared Calendar'!$N$2:$N$1000="Leave"))&gt;0,"Leave",""))</f>
        <v/>
      </c>
      <c r="J100" s="244">
        <f>IF($A100="","",IFERROR(INDEX('Public Holidays'!$C$6:$C$38,MATCH($B100,'Public Holidays'!$A$6:$A$38,0))&amp;" ("&amp;INDEX('Public Holidays'!$L$6:$L$38,MATCH($B100,'Public Holidays'!$A$6:$A$38,0))&amp;")",""))</f>
        <v/>
      </c>
      <c r="K100" s="246">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44">
        <f>IF($A100="","",INDEX($B$7:$B$36,INT((ROW()-41)/14)+1)&amp;"")</f>
        <v/>
      </c>
    </row>
    <row r="101">
      <c r="A101" s="244">
        <f>IF(INDEX($A$7:$A$36,INT((ROW()-41)/14)+1)="","",INDEX($A$7:$A$36,INT((ROW()-41)/14)+1))</f>
        <v/>
      </c>
      <c r="B101" s="245">
        <f>IF($A101="","",$B$3+MOD(ROW()-41,14))</f>
        <v/>
      </c>
      <c r="C101" s="244">
        <f>IF($A101="","",TEXT($B101,"ddd"))</f>
        <v/>
      </c>
      <c r="D101" s="242">
        <f>IF($A101="","",SUMIFS('EH Timesheets'!$G$6:$G$1005,'EH Timesheets'!$A$6:$A$1005,$A101,'EH Timesheets'!$B$6:$B$1005,$B101))</f>
        <v/>
      </c>
      <c r="E101" s="242">
        <f>IF($A101="","",SUMIFS('EH Roster'!$G$6:$G$1005,'EH Roster'!$A$6:$A$1005,$A101,'EH Roster'!$B$6:$B$1005,$B101))</f>
        <v/>
      </c>
      <c r="F101" s="242">
        <f>IF($A101="","",$D101-$E101)</f>
        <v/>
      </c>
      <c r="G101" s="242">
        <f>IF($A101="","",IF($L101="",0,SUMPRODUCT(('Shared Calendar'!$K$2:$K$1000&gt;0)*('Shared Calendar'!$K$2:$K$1000&lt;=$B101)*('Shared Calendar'!$J$2:$J$1000&gt;$B101)*ISNUMBER(SEARCH($L101,'Shared Calendar'!$M$2:$M$1000))*('Shared Calendar'!$N$2:$N$1000="Event"),'Shared Calendar'!$L$2:$L$1000)))</f>
        <v/>
      </c>
      <c r="H101" s="246">
        <f>IF(OR($A101="",$L101=""),"",IF(SUMPRODUCT(MAX(('Shared Calendar'!$K$2:$K$1000&gt;0)*('Shared Calendar'!$K$2:$K$1000&lt;=$B101)*('Shared Calendar'!$J$2:$J$1000&gt;$B101)*ISNUMBER(SEARCH($L101,'Shared Calendar'!$M$2:$M$1000))*ROW('Shared Calendar'!$A$2:$A$1000)))=0,"",INDEX('Shared Calendar'!$A:$A,SUMPRODUCT(MAX(('Shared Calendar'!$K$2:$K$1000&gt;0)*('Shared Calendar'!$K$2:$K$1000&lt;=$B101)*('Shared Calendar'!$J$2:$J$1000&gt;$B101)*ISNUMBER(SEARCH($L101,'Shared Calendar'!$M$2:$M$1000))*ROW('Shared Calendar'!$A$2:$A$1000))))))</f>
        <v/>
      </c>
      <c r="I101" s="244">
        <f>IF(OR($A101="",$L101=""),"",IF(SUMPRODUCT(('Shared Calendar'!$K$2:$K$1000&gt;0)*('Shared Calendar'!$K$2:$K$1000&lt;=$B101)*('Shared Calendar'!$J$2:$J$1000&gt;$B101)*ISNUMBER(SEARCH($L101,'Shared Calendar'!$M$2:$M$1000))*('Shared Calendar'!$N$2:$N$1000="Leave"))&gt;0,"Leave",""))</f>
        <v/>
      </c>
      <c r="J101" s="244">
        <f>IF($A101="","",IFERROR(INDEX('Public Holidays'!$C$6:$C$38,MATCH($B101,'Public Holidays'!$A$6:$A$38,0))&amp;" ("&amp;INDEX('Public Holidays'!$L$6:$L$38,MATCH($B101,'Public Holidays'!$A$6:$A$38,0))&amp;")",""))</f>
        <v/>
      </c>
      <c r="K101" s="246">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44">
        <f>IF($A101="","",INDEX($B$7:$B$36,INT((ROW()-41)/14)+1)&amp;"")</f>
        <v/>
      </c>
    </row>
    <row r="102">
      <c r="A102" s="244">
        <f>IF(INDEX($A$7:$A$36,INT((ROW()-41)/14)+1)="","",INDEX($A$7:$A$36,INT((ROW()-41)/14)+1))</f>
        <v/>
      </c>
      <c r="B102" s="245">
        <f>IF($A102="","",$B$3+MOD(ROW()-41,14))</f>
        <v/>
      </c>
      <c r="C102" s="244">
        <f>IF($A102="","",TEXT($B102,"ddd"))</f>
        <v/>
      </c>
      <c r="D102" s="242">
        <f>IF($A102="","",SUMIFS('EH Timesheets'!$G$6:$G$1005,'EH Timesheets'!$A$6:$A$1005,$A102,'EH Timesheets'!$B$6:$B$1005,$B102))</f>
        <v/>
      </c>
      <c r="E102" s="242">
        <f>IF($A102="","",SUMIFS('EH Roster'!$G$6:$G$1005,'EH Roster'!$A$6:$A$1005,$A102,'EH Roster'!$B$6:$B$1005,$B102))</f>
        <v/>
      </c>
      <c r="F102" s="242">
        <f>IF($A102="","",$D102-$E102)</f>
        <v/>
      </c>
      <c r="G102" s="242">
        <f>IF($A102="","",IF($L102="",0,SUMPRODUCT(('Shared Calendar'!$K$2:$K$1000&gt;0)*('Shared Calendar'!$K$2:$K$1000&lt;=$B102)*('Shared Calendar'!$J$2:$J$1000&gt;$B102)*ISNUMBER(SEARCH($L102,'Shared Calendar'!$M$2:$M$1000))*('Shared Calendar'!$N$2:$N$1000="Event"),'Shared Calendar'!$L$2:$L$1000)))</f>
        <v/>
      </c>
      <c r="H102" s="246">
        <f>IF(OR($A102="",$L102=""),"",IF(SUMPRODUCT(MAX(('Shared Calendar'!$K$2:$K$1000&gt;0)*('Shared Calendar'!$K$2:$K$1000&lt;=$B102)*('Shared Calendar'!$J$2:$J$1000&gt;$B102)*ISNUMBER(SEARCH($L102,'Shared Calendar'!$M$2:$M$1000))*ROW('Shared Calendar'!$A$2:$A$1000)))=0,"",INDEX('Shared Calendar'!$A:$A,SUMPRODUCT(MAX(('Shared Calendar'!$K$2:$K$1000&gt;0)*('Shared Calendar'!$K$2:$K$1000&lt;=$B102)*('Shared Calendar'!$J$2:$J$1000&gt;$B102)*ISNUMBER(SEARCH($L102,'Shared Calendar'!$M$2:$M$1000))*ROW('Shared Calendar'!$A$2:$A$1000))))))</f>
        <v/>
      </c>
      <c r="I102" s="244">
        <f>IF(OR($A102="",$L102=""),"",IF(SUMPRODUCT(('Shared Calendar'!$K$2:$K$1000&gt;0)*('Shared Calendar'!$K$2:$K$1000&lt;=$B102)*('Shared Calendar'!$J$2:$J$1000&gt;$B102)*ISNUMBER(SEARCH($L102,'Shared Calendar'!$M$2:$M$1000))*('Shared Calendar'!$N$2:$N$1000="Leave"))&gt;0,"Leave",""))</f>
        <v/>
      </c>
      <c r="J102" s="244">
        <f>IF($A102="","",IFERROR(INDEX('Public Holidays'!$C$6:$C$38,MATCH($B102,'Public Holidays'!$A$6:$A$38,0))&amp;" ("&amp;INDEX('Public Holidays'!$L$6:$L$38,MATCH($B102,'Public Holidays'!$A$6:$A$38,0))&amp;")",""))</f>
        <v/>
      </c>
      <c r="K102" s="246">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44">
        <f>IF($A102="","",INDEX($B$7:$B$36,INT((ROW()-41)/14)+1)&amp;"")</f>
        <v/>
      </c>
    </row>
    <row r="103">
      <c r="A103" s="244">
        <f>IF(INDEX($A$7:$A$36,INT((ROW()-41)/14)+1)="","",INDEX($A$7:$A$36,INT((ROW()-41)/14)+1))</f>
        <v/>
      </c>
      <c r="B103" s="245">
        <f>IF($A103="","",$B$3+MOD(ROW()-41,14))</f>
        <v/>
      </c>
      <c r="C103" s="244">
        <f>IF($A103="","",TEXT($B103,"ddd"))</f>
        <v/>
      </c>
      <c r="D103" s="242">
        <f>IF($A103="","",SUMIFS('EH Timesheets'!$G$6:$G$1005,'EH Timesheets'!$A$6:$A$1005,$A103,'EH Timesheets'!$B$6:$B$1005,$B103))</f>
        <v/>
      </c>
      <c r="E103" s="242">
        <f>IF($A103="","",SUMIFS('EH Roster'!$G$6:$G$1005,'EH Roster'!$A$6:$A$1005,$A103,'EH Roster'!$B$6:$B$1005,$B103))</f>
        <v/>
      </c>
      <c r="F103" s="242">
        <f>IF($A103="","",$D103-$E103)</f>
        <v/>
      </c>
      <c r="G103" s="242">
        <f>IF($A103="","",IF($L103="",0,SUMPRODUCT(('Shared Calendar'!$K$2:$K$1000&gt;0)*('Shared Calendar'!$K$2:$K$1000&lt;=$B103)*('Shared Calendar'!$J$2:$J$1000&gt;$B103)*ISNUMBER(SEARCH($L103,'Shared Calendar'!$M$2:$M$1000))*('Shared Calendar'!$N$2:$N$1000="Event"),'Shared Calendar'!$L$2:$L$1000)))</f>
        <v/>
      </c>
      <c r="H103" s="246">
        <f>IF(OR($A103="",$L103=""),"",IF(SUMPRODUCT(MAX(('Shared Calendar'!$K$2:$K$1000&gt;0)*('Shared Calendar'!$K$2:$K$1000&lt;=$B103)*('Shared Calendar'!$J$2:$J$1000&gt;$B103)*ISNUMBER(SEARCH($L103,'Shared Calendar'!$M$2:$M$1000))*ROW('Shared Calendar'!$A$2:$A$1000)))=0,"",INDEX('Shared Calendar'!$A:$A,SUMPRODUCT(MAX(('Shared Calendar'!$K$2:$K$1000&gt;0)*('Shared Calendar'!$K$2:$K$1000&lt;=$B103)*('Shared Calendar'!$J$2:$J$1000&gt;$B103)*ISNUMBER(SEARCH($L103,'Shared Calendar'!$M$2:$M$1000))*ROW('Shared Calendar'!$A$2:$A$1000))))))</f>
        <v/>
      </c>
      <c r="I103" s="244">
        <f>IF(OR($A103="",$L103=""),"",IF(SUMPRODUCT(('Shared Calendar'!$K$2:$K$1000&gt;0)*('Shared Calendar'!$K$2:$K$1000&lt;=$B103)*('Shared Calendar'!$J$2:$J$1000&gt;$B103)*ISNUMBER(SEARCH($L103,'Shared Calendar'!$M$2:$M$1000))*('Shared Calendar'!$N$2:$N$1000="Leave"))&gt;0,"Leave",""))</f>
        <v/>
      </c>
      <c r="J103" s="244">
        <f>IF($A103="","",IFERROR(INDEX('Public Holidays'!$C$6:$C$38,MATCH($B103,'Public Holidays'!$A$6:$A$38,0))&amp;" ("&amp;INDEX('Public Holidays'!$L$6:$L$38,MATCH($B103,'Public Holidays'!$A$6:$A$38,0))&amp;")",""))</f>
        <v/>
      </c>
      <c r="K103" s="246">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44">
        <f>IF($A103="","",INDEX($B$7:$B$36,INT((ROW()-41)/14)+1)&amp;"")</f>
        <v/>
      </c>
    </row>
    <row r="104">
      <c r="A104" s="244">
        <f>IF(INDEX($A$7:$A$36,INT((ROW()-41)/14)+1)="","",INDEX($A$7:$A$36,INT((ROW()-41)/14)+1))</f>
        <v/>
      </c>
      <c r="B104" s="245">
        <f>IF($A104="","",$B$3+MOD(ROW()-41,14))</f>
        <v/>
      </c>
      <c r="C104" s="244">
        <f>IF($A104="","",TEXT($B104,"ddd"))</f>
        <v/>
      </c>
      <c r="D104" s="242">
        <f>IF($A104="","",SUMIFS('EH Timesheets'!$G$6:$G$1005,'EH Timesheets'!$A$6:$A$1005,$A104,'EH Timesheets'!$B$6:$B$1005,$B104))</f>
        <v/>
      </c>
      <c r="E104" s="242">
        <f>IF($A104="","",SUMIFS('EH Roster'!$G$6:$G$1005,'EH Roster'!$A$6:$A$1005,$A104,'EH Roster'!$B$6:$B$1005,$B104))</f>
        <v/>
      </c>
      <c r="F104" s="242">
        <f>IF($A104="","",$D104-$E104)</f>
        <v/>
      </c>
      <c r="G104" s="242">
        <f>IF($A104="","",IF($L104="",0,SUMPRODUCT(('Shared Calendar'!$K$2:$K$1000&gt;0)*('Shared Calendar'!$K$2:$K$1000&lt;=$B104)*('Shared Calendar'!$J$2:$J$1000&gt;$B104)*ISNUMBER(SEARCH($L104,'Shared Calendar'!$M$2:$M$1000))*('Shared Calendar'!$N$2:$N$1000="Event"),'Shared Calendar'!$L$2:$L$1000)))</f>
        <v/>
      </c>
      <c r="H104" s="246">
        <f>IF(OR($A104="",$L104=""),"",IF(SUMPRODUCT(MAX(('Shared Calendar'!$K$2:$K$1000&gt;0)*('Shared Calendar'!$K$2:$K$1000&lt;=$B104)*('Shared Calendar'!$J$2:$J$1000&gt;$B104)*ISNUMBER(SEARCH($L104,'Shared Calendar'!$M$2:$M$1000))*ROW('Shared Calendar'!$A$2:$A$1000)))=0,"",INDEX('Shared Calendar'!$A:$A,SUMPRODUCT(MAX(('Shared Calendar'!$K$2:$K$1000&gt;0)*('Shared Calendar'!$K$2:$K$1000&lt;=$B104)*('Shared Calendar'!$J$2:$J$1000&gt;$B104)*ISNUMBER(SEARCH($L104,'Shared Calendar'!$M$2:$M$1000))*ROW('Shared Calendar'!$A$2:$A$1000))))))</f>
        <v/>
      </c>
      <c r="I104" s="244">
        <f>IF(OR($A104="",$L104=""),"",IF(SUMPRODUCT(('Shared Calendar'!$K$2:$K$1000&gt;0)*('Shared Calendar'!$K$2:$K$1000&lt;=$B104)*('Shared Calendar'!$J$2:$J$1000&gt;$B104)*ISNUMBER(SEARCH($L104,'Shared Calendar'!$M$2:$M$1000))*('Shared Calendar'!$N$2:$N$1000="Leave"))&gt;0,"Leave",""))</f>
        <v/>
      </c>
      <c r="J104" s="244">
        <f>IF($A104="","",IFERROR(INDEX('Public Holidays'!$C$6:$C$38,MATCH($B104,'Public Holidays'!$A$6:$A$38,0))&amp;" ("&amp;INDEX('Public Holidays'!$L$6:$L$38,MATCH($B104,'Public Holidays'!$A$6:$A$38,0))&amp;")",""))</f>
        <v/>
      </c>
      <c r="K104" s="246">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44">
        <f>IF($A104="","",INDEX($B$7:$B$36,INT((ROW()-41)/14)+1)&amp;"")</f>
        <v/>
      </c>
    </row>
    <row r="105">
      <c r="A105" s="244">
        <f>IF(INDEX($A$7:$A$36,INT((ROW()-41)/14)+1)="","",INDEX($A$7:$A$36,INT((ROW()-41)/14)+1))</f>
        <v/>
      </c>
      <c r="B105" s="245">
        <f>IF($A105="","",$B$3+MOD(ROW()-41,14))</f>
        <v/>
      </c>
      <c r="C105" s="244">
        <f>IF($A105="","",TEXT($B105,"ddd"))</f>
        <v/>
      </c>
      <c r="D105" s="242">
        <f>IF($A105="","",SUMIFS('EH Timesheets'!$G$6:$G$1005,'EH Timesheets'!$A$6:$A$1005,$A105,'EH Timesheets'!$B$6:$B$1005,$B105))</f>
        <v/>
      </c>
      <c r="E105" s="242">
        <f>IF($A105="","",SUMIFS('EH Roster'!$G$6:$G$1005,'EH Roster'!$A$6:$A$1005,$A105,'EH Roster'!$B$6:$B$1005,$B105))</f>
        <v/>
      </c>
      <c r="F105" s="242">
        <f>IF($A105="","",$D105-$E105)</f>
        <v/>
      </c>
      <c r="G105" s="242">
        <f>IF($A105="","",IF($L105="",0,SUMPRODUCT(('Shared Calendar'!$K$2:$K$1000&gt;0)*('Shared Calendar'!$K$2:$K$1000&lt;=$B105)*('Shared Calendar'!$J$2:$J$1000&gt;$B105)*ISNUMBER(SEARCH($L105,'Shared Calendar'!$M$2:$M$1000))*('Shared Calendar'!$N$2:$N$1000="Event"),'Shared Calendar'!$L$2:$L$1000)))</f>
        <v/>
      </c>
      <c r="H105" s="246">
        <f>IF(OR($A105="",$L105=""),"",IF(SUMPRODUCT(MAX(('Shared Calendar'!$K$2:$K$1000&gt;0)*('Shared Calendar'!$K$2:$K$1000&lt;=$B105)*('Shared Calendar'!$J$2:$J$1000&gt;$B105)*ISNUMBER(SEARCH($L105,'Shared Calendar'!$M$2:$M$1000))*ROW('Shared Calendar'!$A$2:$A$1000)))=0,"",INDEX('Shared Calendar'!$A:$A,SUMPRODUCT(MAX(('Shared Calendar'!$K$2:$K$1000&gt;0)*('Shared Calendar'!$K$2:$K$1000&lt;=$B105)*('Shared Calendar'!$J$2:$J$1000&gt;$B105)*ISNUMBER(SEARCH($L105,'Shared Calendar'!$M$2:$M$1000))*ROW('Shared Calendar'!$A$2:$A$1000))))))</f>
        <v/>
      </c>
      <c r="I105" s="244">
        <f>IF(OR($A105="",$L105=""),"",IF(SUMPRODUCT(('Shared Calendar'!$K$2:$K$1000&gt;0)*('Shared Calendar'!$K$2:$K$1000&lt;=$B105)*('Shared Calendar'!$J$2:$J$1000&gt;$B105)*ISNUMBER(SEARCH($L105,'Shared Calendar'!$M$2:$M$1000))*('Shared Calendar'!$N$2:$N$1000="Leave"))&gt;0,"Leave",""))</f>
        <v/>
      </c>
      <c r="J105" s="244">
        <f>IF($A105="","",IFERROR(INDEX('Public Holidays'!$C$6:$C$38,MATCH($B105,'Public Holidays'!$A$6:$A$38,0))&amp;" ("&amp;INDEX('Public Holidays'!$L$6:$L$38,MATCH($B105,'Public Holidays'!$A$6:$A$38,0))&amp;")",""))</f>
        <v/>
      </c>
      <c r="K105" s="246">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44">
        <f>IF($A105="","",INDEX($B$7:$B$36,INT((ROW()-41)/14)+1)&amp;"")</f>
        <v/>
      </c>
    </row>
    <row r="106">
      <c r="A106" s="244">
        <f>IF(INDEX($A$7:$A$36,INT((ROW()-41)/14)+1)="","",INDEX($A$7:$A$36,INT((ROW()-41)/14)+1))</f>
        <v/>
      </c>
      <c r="B106" s="245">
        <f>IF($A106="","",$B$3+MOD(ROW()-41,14))</f>
        <v/>
      </c>
      <c r="C106" s="244">
        <f>IF($A106="","",TEXT($B106,"ddd"))</f>
        <v/>
      </c>
      <c r="D106" s="242">
        <f>IF($A106="","",SUMIFS('EH Timesheets'!$G$6:$G$1005,'EH Timesheets'!$A$6:$A$1005,$A106,'EH Timesheets'!$B$6:$B$1005,$B106))</f>
        <v/>
      </c>
      <c r="E106" s="242">
        <f>IF($A106="","",SUMIFS('EH Roster'!$G$6:$G$1005,'EH Roster'!$A$6:$A$1005,$A106,'EH Roster'!$B$6:$B$1005,$B106))</f>
        <v/>
      </c>
      <c r="F106" s="242">
        <f>IF($A106="","",$D106-$E106)</f>
        <v/>
      </c>
      <c r="G106" s="242">
        <f>IF($A106="","",IF($L106="",0,SUMPRODUCT(('Shared Calendar'!$K$2:$K$1000&gt;0)*('Shared Calendar'!$K$2:$K$1000&lt;=$B106)*('Shared Calendar'!$J$2:$J$1000&gt;$B106)*ISNUMBER(SEARCH($L106,'Shared Calendar'!$M$2:$M$1000))*('Shared Calendar'!$N$2:$N$1000="Event"),'Shared Calendar'!$L$2:$L$1000)))</f>
        <v/>
      </c>
      <c r="H106" s="246">
        <f>IF(OR($A106="",$L106=""),"",IF(SUMPRODUCT(MAX(('Shared Calendar'!$K$2:$K$1000&gt;0)*('Shared Calendar'!$K$2:$K$1000&lt;=$B106)*('Shared Calendar'!$J$2:$J$1000&gt;$B106)*ISNUMBER(SEARCH($L106,'Shared Calendar'!$M$2:$M$1000))*ROW('Shared Calendar'!$A$2:$A$1000)))=0,"",INDEX('Shared Calendar'!$A:$A,SUMPRODUCT(MAX(('Shared Calendar'!$K$2:$K$1000&gt;0)*('Shared Calendar'!$K$2:$K$1000&lt;=$B106)*('Shared Calendar'!$J$2:$J$1000&gt;$B106)*ISNUMBER(SEARCH($L106,'Shared Calendar'!$M$2:$M$1000))*ROW('Shared Calendar'!$A$2:$A$1000))))))</f>
        <v/>
      </c>
      <c r="I106" s="244">
        <f>IF(OR($A106="",$L106=""),"",IF(SUMPRODUCT(('Shared Calendar'!$K$2:$K$1000&gt;0)*('Shared Calendar'!$K$2:$K$1000&lt;=$B106)*('Shared Calendar'!$J$2:$J$1000&gt;$B106)*ISNUMBER(SEARCH($L106,'Shared Calendar'!$M$2:$M$1000))*('Shared Calendar'!$N$2:$N$1000="Leave"))&gt;0,"Leave",""))</f>
        <v/>
      </c>
      <c r="J106" s="244">
        <f>IF($A106="","",IFERROR(INDEX('Public Holidays'!$C$6:$C$38,MATCH($B106,'Public Holidays'!$A$6:$A$38,0))&amp;" ("&amp;INDEX('Public Holidays'!$L$6:$L$38,MATCH($B106,'Public Holidays'!$A$6:$A$38,0))&amp;")",""))</f>
        <v/>
      </c>
      <c r="K106" s="246">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44">
        <f>IF($A106="","",INDEX($B$7:$B$36,INT((ROW()-41)/14)+1)&amp;"")</f>
        <v/>
      </c>
    </row>
    <row r="107">
      <c r="A107" s="244">
        <f>IF(INDEX($A$7:$A$36,INT((ROW()-41)/14)+1)="","",INDEX($A$7:$A$36,INT((ROW()-41)/14)+1))</f>
        <v/>
      </c>
      <c r="B107" s="245">
        <f>IF($A107="","",$B$3+MOD(ROW()-41,14))</f>
        <v/>
      </c>
      <c r="C107" s="244">
        <f>IF($A107="","",TEXT($B107,"ddd"))</f>
        <v/>
      </c>
      <c r="D107" s="242">
        <f>IF($A107="","",SUMIFS('EH Timesheets'!$G$6:$G$1005,'EH Timesheets'!$A$6:$A$1005,$A107,'EH Timesheets'!$B$6:$B$1005,$B107))</f>
        <v/>
      </c>
      <c r="E107" s="242">
        <f>IF($A107="","",SUMIFS('EH Roster'!$G$6:$G$1005,'EH Roster'!$A$6:$A$1005,$A107,'EH Roster'!$B$6:$B$1005,$B107))</f>
        <v/>
      </c>
      <c r="F107" s="242">
        <f>IF($A107="","",$D107-$E107)</f>
        <v/>
      </c>
      <c r="G107" s="242">
        <f>IF($A107="","",IF($L107="",0,SUMPRODUCT(('Shared Calendar'!$K$2:$K$1000&gt;0)*('Shared Calendar'!$K$2:$K$1000&lt;=$B107)*('Shared Calendar'!$J$2:$J$1000&gt;$B107)*ISNUMBER(SEARCH($L107,'Shared Calendar'!$M$2:$M$1000))*('Shared Calendar'!$N$2:$N$1000="Event"),'Shared Calendar'!$L$2:$L$1000)))</f>
        <v/>
      </c>
      <c r="H107" s="246">
        <f>IF(OR($A107="",$L107=""),"",IF(SUMPRODUCT(MAX(('Shared Calendar'!$K$2:$K$1000&gt;0)*('Shared Calendar'!$K$2:$K$1000&lt;=$B107)*('Shared Calendar'!$J$2:$J$1000&gt;$B107)*ISNUMBER(SEARCH($L107,'Shared Calendar'!$M$2:$M$1000))*ROW('Shared Calendar'!$A$2:$A$1000)))=0,"",INDEX('Shared Calendar'!$A:$A,SUMPRODUCT(MAX(('Shared Calendar'!$K$2:$K$1000&gt;0)*('Shared Calendar'!$K$2:$K$1000&lt;=$B107)*('Shared Calendar'!$J$2:$J$1000&gt;$B107)*ISNUMBER(SEARCH($L107,'Shared Calendar'!$M$2:$M$1000))*ROW('Shared Calendar'!$A$2:$A$1000))))))</f>
        <v/>
      </c>
      <c r="I107" s="244">
        <f>IF(OR($A107="",$L107=""),"",IF(SUMPRODUCT(('Shared Calendar'!$K$2:$K$1000&gt;0)*('Shared Calendar'!$K$2:$K$1000&lt;=$B107)*('Shared Calendar'!$J$2:$J$1000&gt;$B107)*ISNUMBER(SEARCH($L107,'Shared Calendar'!$M$2:$M$1000))*('Shared Calendar'!$N$2:$N$1000="Leave"))&gt;0,"Leave",""))</f>
        <v/>
      </c>
      <c r="J107" s="244">
        <f>IF($A107="","",IFERROR(INDEX('Public Holidays'!$C$6:$C$38,MATCH($B107,'Public Holidays'!$A$6:$A$38,0))&amp;" ("&amp;INDEX('Public Holidays'!$L$6:$L$38,MATCH($B107,'Public Holidays'!$A$6:$A$38,0))&amp;")",""))</f>
        <v/>
      </c>
      <c r="K107" s="246">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44">
        <f>IF($A107="","",INDEX($B$7:$B$36,INT((ROW()-41)/14)+1)&amp;"")</f>
        <v/>
      </c>
    </row>
    <row r="108">
      <c r="A108" s="244">
        <f>IF(INDEX($A$7:$A$36,INT((ROW()-41)/14)+1)="","",INDEX($A$7:$A$36,INT((ROW()-41)/14)+1))</f>
        <v/>
      </c>
      <c r="B108" s="245">
        <f>IF($A108="","",$B$3+MOD(ROW()-41,14))</f>
        <v/>
      </c>
      <c r="C108" s="244">
        <f>IF($A108="","",TEXT($B108,"ddd"))</f>
        <v/>
      </c>
      <c r="D108" s="242">
        <f>IF($A108="","",SUMIFS('EH Timesheets'!$G$6:$G$1005,'EH Timesheets'!$A$6:$A$1005,$A108,'EH Timesheets'!$B$6:$B$1005,$B108))</f>
        <v/>
      </c>
      <c r="E108" s="242">
        <f>IF($A108="","",SUMIFS('EH Roster'!$G$6:$G$1005,'EH Roster'!$A$6:$A$1005,$A108,'EH Roster'!$B$6:$B$1005,$B108))</f>
        <v/>
      </c>
      <c r="F108" s="242">
        <f>IF($A108="","",$D108-$E108)</f>
        <v/>
      </c>
      <c r="G108" s="242">
        <f>IF($A108="","",IF($L108="",0,SUMPRODUCT(('Shared Calendar'!$K$2:$K$1000&gt;0)*('Shared Calendar'!$K$2:$K$1000&lt;=$B108)*('Shared Calendar'!$J$2:$J$1000&gt;$B108)*ISNUMBER(SEARCH($L108,'Shared Calendar'!$M$2:$M$1000))*('Shared Calendar'!$N$2:$N$1000="Event"),'Shared Calendar'!$L$2:$L$1000)))</f>
        <v/>
      </c>
      <c r="H108" s="246">
        <f>IF(OR($A108="",$L108=""),"",IF(SUMPRODUCT(MAX(('Shared Calendar'!$K$2:$K$1000&gt;0)*('Shared Calendar'!$K$2:$K$1000&lt;=$B108)*('Shared Calendar'!$J$2:$J$1000&gt;$B108)*ISNUMBER(SEARCH($L108,'Shared Calendar'!$M$2:$M$1000))*ROW('Shared Calendar'!$A$2:$A$1000)))=0,"",INDEX('Shared Calendar'!$A:$A,SUMPRODUCT(MAX(('Shared Calendar'!$K$2:$K$1000&gt;0)*('Shared Calendar'!$K$2:$K$1000&lt;=$B108)*('Shared Calendar'!$J$2:$J$1000&gt;$B108)*ISNUMBER(SEARCH($L108,'Shared Calendar'!$M$2:$M$1000))*ROW('Shared Calendar'!$A$2:$A$1000))))))</f>
        <v/>
      </c>
      <c r="I108" s="244">
        <f>IF(OR($A108="",$L108=""),"",IF(SUMPRODUCT(('Shared Calendar'!$K$2:$K$1000&gt;0)*('Shared Calendar'!$K$2:$K$1000&lt;=$B108)*('Shared Calendar'!$J$2:$J$1000&gt;$B108)*ISNUMBER(SEARCH($L108,'Shared Calendar'!$M$2:$M$1000))*('Shared Calendar'!$N$2:$N$1000="Leave"))&gt;0,"Leave",""))</f>
        <v/>
      </c>
      <c r="J108" s="244">
        <f>IF($A108="","",IFERROR(INDEX('Public Holidays'!$C$6:$C$38,MATCH($B108,'Public Holidays'!$A$6:$A$38,0))&amp;" ("&amp;INDEX('Public Holidays'!$L$6:$L$38,MATCH($B108,'Public Holidays'!$A$6:$A$38,0))&amp;")",""))</f>
        <v/>
      </c>
      <c r="K108" s="246">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44">
        <f>IF($A108="","",INDEX($B$7:$B$36,INT((ROW()-41)/14)+1)&amp;"")</f>
        <v/>
      </c>
    </row>
    <row r="109">
      <c r="A109" s="244">
        <f>IF(INDEX($A$7:$A$36,INT((ROW()-41)/14)+1)="","",INDEX($A$7:$A$36,INT((ROW()-41)/14)+1))</f>
        <v/>
      </c>
      <c r="B109" s="245">
        <f>IF($A109="","",$B$3+MOD(ROW()-41,14))</f>
        <v/>
      </c>
      <c r="C109" s="244">
        <f>IF($A109="","",TEXT($B109,"ddd"))</f>
        <v/>
      </c>
      <c r="D109" s="242">
        <f>IF($A109="","",SUMIFS('EH Timesheets'!$G$6:$G$1005,'EH Timesheets'!$A$6:$A$1005,$A109,'EH Timesheets'!$B$6:$B$1005,$B109))</f>
        <v/>
      </c>
      <c r="E109" s="242">
        <f>IF($A109="","",SUMIFS('EH Roster'!$G$6:$G$1005,'EH Roster'!$A$6:$A$1005,$A109,'EH Roster'!$B$6:$B$1005,$B109))</f>
        <v/>
      </c>
      <c r="F109" s="242">
        <f>IF($A109="","",$D109-$E109)</f>
        <v/>
      </c>
      <c r="G109" s="242">
        <f>IF($A109="","",IF($L109="",0,SUMPRODUCT(('Shared Calendar'!$K$2:$K$1000&gt;0)*('Shared Calendar'!$K$2:$K$1000&lt;=$B109)*('Shared Calendar'!$J$2:$J$1000&gt;$B109)*ISNUMBER(SEARCH($L109,'Shared Calendar'!$M$2:$M$1000))*('Shared Calendar'!$N$2:$N$1000="Event"),'Shared Calendar'!$L$2:$L$1000)))</f>
        <v/>
      </c>
      <c r="H109" s="246">
        <f>IF(OR($A109="",$L109=""),"",IF(SUMPRODUCT(MAX(('Shared Calendar'!$K$2:$K$1000&gt;0)*('Shared Calendar'!$K$2:$K$1000&lt;=$B109)*('Shared Calendar'!$J$2:$J$1000&gt;$B109)*ISNUMBER(SEARCH($L109,'Shared Calendar'!$M$2:$M$1000))*ROW('Shared Calendar'!$A$2:$A$1000)))=0,"",INDEX('Shared Calendar'!$A:$A,SUMPRODUCT(MAX(('Shared Calendar'!$K$2:$K$1000&gt;0)*('Shared Calendar'!$K$2:$K$1000&lt;=$B109)*('Shared Calendar'!$J$2:$J$1000&gt;$B109)*ISNUMBER(SEARCH($L109,'Shared Calendar'!$M$2:$M$1000))*ROW('Shared Calendar'!$A$2:$A$1000))))))</f>
        <v/>
      </c>
      <c r="I109" s="244">
        <f>IF(OR($A109="",$L109=""),"",IF(SUMPRODUCT(('Shared Calendar'!$K$2:$K$1000&gt;0)*('Shared Calendar'!$K$2:$K$1000&lt;=$B109)*('Shared Calendar'!$J$2:$J$1000&gt;$B109)*ISNUMBER(SEARCH($L109,'Shared Calendar'!$M$2:$M$1000))*('Shared Calendar'!$N$2:$N$1000="Leave"))&gt;0,"Leave",""))</f>
        <v/>
      </c>
      <c r="J109" s="244">
        <f>IF($A109="","",IFERROR(INDEX('Public Holidays'!$C$6:$C$38,MATCH($B109,'Public Holidays'!$A$6:$A$38,0))&amp;" ("&amp;INDEX('Public Holidays'!$L$6:$L$38,MATCH($B109,'Public Holidays'!$A$6:$A$38,0))&amp;")",""))</f>
        <v/>
      </c>
      <c r="K109" s="246">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44">
        <f>IF($A109="","",INDEX($B$7:$B$36,INT((ROW()-41)/14)+1)&amp;"")</f>
        <v/>
      </c>
    </row>
    <row r="110">
      <c r="A110" s="244">
        <f>IF(INDEX($A$7:$A$36,INT((ROW()-41)/14)+1)="","",INDEX($A$7:$A$36,INT((ROW()-41)/14)+1))</f>
        <v/>
      </c>
      <c r="B110" s="245">
        <f>IF($A110="","",$B$3+MOD(ROW()-41,14))</f>
        <v/>
      </c>
      <c r="C110" s="244">
        <f>IF($A110="","",TEXT($B110,"ddd"))</f>
        <v/>
      </c>
      <c r="D110" s="242">
        <f>IF($A110="","",SUMIFS('EH Timesheets'!$G$6:$G$1005,'EH Timesheets'!$A$6:$A$1005,$A110,'EH Timesheets'!$B$6:$B$1005,$B110))</f>
        <v/>
      </c>
      <c r="E110" s="242">
        <f>IF($A110="","",SUMIFS('EH Roster'!$G$6:$G$1005,'EH Roster'!$A$6:$A$1005,$A110,'EH Roster'!$B$6:$B$1005,$B110))</f>
        <v/>
      </c>
      <c r="F110" s="242">
        <f>IF($A110="","",$D110-$E110)</f>
        <v/>
      </c>
      <c r="G110" s="242">
        <f>IF($A110="","",IF($L110="",0,SUMPRODUCT(('Shared Calendar'!$K$2:$K$1000&gt;0)*('Shared Calendar'!$K$2:$K$1000&lt;=$B110)*('Shared Calendar'!$J$2:$J$1000&gt;$B110)*ISNUMBER(SEARCH($L110,'Shared Calendar'!$M$2:$M$1000))*('Shared Calendar'!$N$2:$N$1000="Event"),'Shared Calendar'!$L$2:$L$1000)))</f>
        <v/>
      </c>
      <c r="H110" s="246">
        <f>IF(OR($A110="",$L110=""),"",IF(SUMPRODUCT(MAX(('Shared Calendar'!$K$2:$K$1000&gt;0)*('Shared Calendar'!$K$2:$K$1000&lt;=$B110)*('Shared Calendar'!$J$2:$J$1000&gt;$B110)*ISNUMBER(SEARCH($L110,'Shared Calendar'!$M$2:$M$1000))*ROW('Shared Calendar'!$A$2:$A$1000)))=0,"",INDEX('Shared Calendar'!$A:$A,SUMPRODUCT(MAX(('Shared Calendar'!$K$2:$K$1000&gt;0)*('Shared Calendar'!$K$2:$K$1000&lt;=$B110)*('Shared Calendar'!$J$2:$J$1000&gt;$B110)*ISNUMBER(SEARCH($L110,'Shared Calendar'!$M$2:$M$1000))*ROW('Shared Calendar'!$A$2:$A$1000))))))</f>
        <v/>
      </c>
      <c r="I110" s="244">
        <f>IF(OR($A110="",$L110=""),"",IF(SUMPRODUCT(('Shared Calendar'!$K$2:$K$1000&gt;0)*('Shared Calendar'!$K$2:$K$1000&lt;=$B110)*('Shared Calendar'!$J$2:$J$1000&gt;$B110)*ISNUMBER(SEARCH($L110,'Shared Calendar'!$M$2:$M$1000))*('Shared Calendar'!$N$2:$N$1000="Leave"))&gt;0,"Leave",""))</f>
        <v/>
      </c>
      <c r="J110" s="244">
        <f>IF($A110="","",IFERROR(INDEX('Public Holidays'!$C$6:$C$38,MATCH($B110,'Public Holidays'!$A$6:$A$38,0))&amp;" ("&amp;INDEX('Public Holidays'!$L$6:$L$38,MATCH($B110,'Public Holidays'!$A$6:$A$38,0))&amp;")",""))</f>
        <v/>
      </c>
      <c r="K110" s="246">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44">
        <f>IF($A110="","",INDEX($B$7:$B$36,INT((ROW()-41)/14)+1)&amp;"")</f>
        <v/>
      </c>
    </row>
    <row r="111">
      <c r="A111" s="244">
        <f>IF(INDEX($A$7:$A$36,INT((ROW()-41)/14)+1)="","",INDEX($A$7:$A$36,INT((ROW()-41)/14)+1))</f>
        <v/>
      </c>
      <c r="B111" s="245">
        <f>IF($A111="","",$B$3+MOD(ROW()-41,14))</f>
        <v/>
      </c>
      <c r="C111" s="244">
        <f>IF($A111="","",TEXT($B111,"ddd"))</f>
        <v/>
      </c>
      <c r="D111" s="242">
        <f>IF($A111="","",SUMIFS('EH Timesheets'!$G$6:$G$1005,'EH Timesheets'!$A$6:$A$1005,$A111,'EH Timesheets'!$B$6:$B$1005,$B111))</f>
        <v/>
      </c>
      <c r="E111" s="242">
        <f>IF($A111="","",SUMIFS('EH Roster'!$G$6:$G$1005,'EH Roster'!$A$6:$A$1005,$A111,'EH Roster'!$B$6:$B$1005,$B111))</f>
        <v/>
      </c>
      <c r="F111" s="242">
        <f>IF($A111="","",$D111-$E111)</f>
        <v/>
      </c>
      <c r="G111" s="242">
        <f>IF($A111="","",IF($L111="",0,SUMPRODUCT(('Shared Calendar'!$K$2:$K$1000&gt;0)*('Shared Calendar'!$K$2:$K$1000&lt;=$B111)*('Shared Calendar'!$J$2:$J$1000&gt;$B111)*ISNUMBER(SEARCH($L111,'Shared Calendar'!$M$2:$M$1000))*('Shared Calendar'!$N$2:$N$1000="Event"),'Shared Calendar'!$L$2:$L$1000)))</f>
        <v/>
      </c>
      <c r="H111" s="246">
        <f>IF(OR($A111="",$L111=""),"",IF(SUMPRODUCT(MAX(('Shared Calendar'!$K$2:$K$1000&gt;0)*('Shared Calendar'!$K$2:$K$1000&lt;=$B111)*('Shared Calendar'!$J$2:$J$1000&gt;$B111)*ISNUMBER(SEARCH($L111,'Shared Calendar'!$M$2:$M$1000))*ROW('Shared Calendar'!$A$2:$A$1000)))=0,"",INDEX('Shared Calendar'!$A:$A,SUMPRODUCT(MAX(('Shared Calendar'!$K$2:$K$1000&gt;0)*('Shared Calendar'!$K$2:$K$1000&lt;=$B111)*('Shared Calendar'!$J$2:$J$1000&gt;$B111)*ISNUMBER(SEARCH($L111,'Shared Calendar'!$M$2:$M$1000))*ROW('Shared Calendar'!$A$2:$A$1000))))))</f>
        <v/>
      </c>
      <c r="I111" s="244">
        <f>IF(OR($A111="",$L111=""),"",IF(SUMPRODUCT(('Shared Calendar'!$K$2:$K$1000&gt;0)*('Shared Calendar'!$K$2:$K$1000&lt;=$B111)*('Shared Calendar'!$J$2:$J$1000&gt;$B111)*ISNUMBER(SEARCH($L111,'Shared Calendar'!$M$2:$M$1000))*('Shared Calendar'!$N$2:$N$1000="Leave"))&gt;0,"Leave",""))</f>
        <v/>
      </c>
      <c r="J111" s="244">
        <f>IF($A111="","",IFERROR(INDEX('Public Holidays'!$C$6:$C$38,MATCH($B111,'Public Holidays'!$A$6:$A$38,0))&amp;" ("&amp;INDEX('Public Holidays'!$L$6:$L$38,MATCH($B111,'Public Holidays'!$A$6:$A$38,0))&amp;")",""))</f>
        <v/>
      </c>
      <c r="K111" s="246">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44">
        <f>IF($A111="","",INDEX($B$7:$B$36,INT((ROW()-41)/14)+1)&amp;"")</f>
        <v/>
      </c>
    </row>
    <row r="112">
      <c r="A112" s="244">
        <f>IF(INDEX($A$7:$A$36,INT((ROW()-41)/14)+1)="","",INDEX($A$7:$A$36,INT((ROW()-41)/14)+1))</f>
        <v/>
      </c>
      <c r="B112" s="245">
        <f>IF($A112="","",$B$3+MOD(ROW()-41,14))</f>
        <v/>
      </c>
      <c r="C112" s="244">
        <f>IF($A112="","",TEXT($B112,"ddd"))</f>
        <v/>
      </c>
      <c r="D112" s="242">
        <f>IF($A112="","",SUMIFS('EH Timesheets'!$G$6:$G$1005,'EH Timesheets'!$A$6:$A$1005,$A112,'EH Timesheets'!$B$6:$B$1005,$B112))</f>
        <v/>
      </c>
      <c r="E112" s="242">
        <f>IF($A112="","",SUMIFS('EH Roster'!$G$6:$G$1005,'EH Roster'!$A$6:$A$1005,$A112,'EH Roster'!$B$6:$B$1005,$B112))</f>
        <v/>
      </c>
      <c r="F112" s="242">
        <f>IF($A112="","",$D112-$E112)</f>
        <v/>
      </c>
      <c r="G112" s="242">
        <f>IF($A112="","",IF($L112="",0,SUMPRODUCT(('Shared Calendar'!$K$2:$K$1000&gt;0)*('Shared Calendar'!$K$2:$K$1000&lt;=$B112)*('Shared Calendar'!$J$2:$J$1000&gt;$B112)*ISNUMBER(SEARCH($L112,'Shared Calendar'!$M$2:$M$1000))*('Shared Calendar'!$N$2:$N$1000="Event"),'Shared Calendar'!$L$2:$L$1000)))</f>
        <v/>
      </c>
      <c r="H112" s="246">
        <f>IF(OR($A112="",$L112=""),"",IF(SUMPRODUCT(MAX(('Shared Calendar'!$K$2:$K$1000&gt;0)*('Shared Calendar'!$K$2:$K$1000&lt;=$B112)*('Shared Calendar'!$J$2:$J$1000&gt;$B112)*ISNUMBER(SEARCH($L112,'Shared Calendar'!$M$2:$M$1000))*ROW('Shared Calendar'!$A$2:$A$1000)))=0,"",INDEX('Shared Calendar'!$A:$A,SUMPRODUCT(MAX(('Shared Calendar'!$K$2:$K$1000&gt;0)*('Shared Calendar'!$K$2:$K$1000&lt;=$B112)*('Shared Calendar'!$J$2:$J$1000&gt;$B112)*ISNUMBER(SEARCH($L112,'Shared Calendar'!$M$2:$M$1000))*ROW('Shared Calendar'!$A$2:$A$1000))))))</f>
        <v/>
      </c>
      <c r="I112" s="244">
        <f>IF(OR($A112="",$L112=""),"",IF(SUMPRODUCT(('Shared Calendar'!$K$2:$K$1000&gt;0)*('Shared Calendar'!$K$2:$K$1000&lt;=$B112)*('Shared Calendar'!$J$2:$J$1000&gt;$B112)*ISNUMBER(SEARCH($L112,'Shared Calendar'!$M$2:$M$1000))*('Shared Calendar'!$N$2:$N$1000="Leave"))&gt;0,"Leave",""))</f>
        <v/>
      </c>
      <c r="J112" s="244">
        <f>IF($A112="","",IFERROR(INDEX('Public Holidays'!$C$6:$C$38,MATCH($B112,'Public Holidays'!$A$6:$A$38,0))&amp;" ("&amp;INDEX('Public Holidays'!$L$6:$L$38,MATCH($B112,'Public Holidays'!$A$6:$A$38,0))&amp;")",""))</f>
        <v/>
      </c>
      <c r="K112" s="246">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44">
        <f>IF($A112="","",INDEX($B$7:$B$36,INT((ROW()-41)/14)+1)&amp;"")</f>
        <v/>
      </c>
    </row>
    <row r="113">
      <c r="A113" s="244">
        <f>IF(INDEX($A$7:$A$36,INT((ROW()-41)/14)+1)="","",INDEX($A$7:$A$36,INT((ROW()-41)/14)+1))</f>
        <v/>
      </c>
      <c r="B113" s="245">
        <f>IF($A113="","",$B$3+MOD(ROW()-41,14))</f>
        <v/>
      </c>
      <c r="C113" s="244">
        <f>IF($A113="","",TEXT($B113,"ddd"))</f>
        <v/>
      </c>
      <c r="D113" s="242">
        <f>IF($A113="","",SUMIFS('EH Timesheets'!$G$6:$G$1005,'EH Timesheets'!$A$6:$A$1005,$A113,'EH Timesheets'!$B$6:$B$1005,$B113))</f>
        <v/>
      </c>
      <c r="E113" s="242">
        <f>IF($A113="","",SUMIFS('EH Roster'!$G$6:$G$1005,'EH Roster'!$A$6:$A$1005,$A113,'EH Roster'!$B$6:$B$1005,$B113))</f>
        <v/>
      </c>
      <c r="F113" s="242">
        <f>IF($A113="","",$D113-$E113)</f>
        <v/>
      </c>
      <c r="G113" s="242">
        <f>IF($A113="","",IF($L113="",0,SUMPRODUCT(('Shared Calendar'!$K$2:$K$1000&gt;0)*('Shared Calendar'!$K$2:$K$1000&lt;=$B113)*('Shared Calendar'!$J$2:$J$1000&gt;$B113)*ISNUMBER(SEARCH($L113,'Shared Calendar'!$M$2:$M$1000))*('Shared Calendar'!$N$2:$N$1000="Event"),'Shared Calendar'!$L$2:$L$1000)))</f>
        <v/>
      </c>
      <c r="H113" s="246">
        <f>IF(OR($A113="",$L113=""),"",IF(SUMPRODUCT(MAX(('Shared Calendar'!$K$2:$K$1000&gt;0)*('Shared Calendar'!$K$2:$K$1000&lt;=$B113)*('Shared Calendar'!$J$2:$J$1000&gt;$B113)*ISNUMBER(SEARCH($L113,'Shared Calendar'!$M$2:$M$1000))*ROW('Shared Calendar'!$A$2:$A$1000)))=0,"",INDEX('Shared Calendar'!$A:$A,SUMPRODUCT(MAX(('Shared Calendar'!$K$2:$K$1000&gt;0)*('Shared Calendar'!$K$2:$K$1000&lt;=$B113)*('Shared Calendar'!$J$2:$J$1000&gt;$B113)*ISNUMBER(SEARCH($L113,'Shared Calendar'!$M$2:$M$1000))*ROW('Shared Calendar'!$A$2:$A$1000))))))</f>
        <v/>
      </c>
      <c r="I113" s="244">
        <f>IF(OR($A113="",$L113=""),"",IF(SUMPRODUCT(('Shared Calendar'!$K$2:$K$1000&gt;0)*('Shared Calendar'!$K$2:$K$1000&lt;=$B113)*('Shared Calendar'!$J$2:$J$1000&gt;$B113)*ISNUMBER(SEARCH($L113,'Shared Calendar'!$M$2:$M$1000))*('Shared Calendar'!$N$2:$N$1000="Leave"))&gt;0,"Leave",""))</f>
        <v/>
      </c>
      <c r="J113" s="244">
        <f>IF($A113="","",IFERROR(INDEX('Public Holidays'!$C$6:$C$38,MATCH($B113,'Public Holidays'!$A$6:$A$38,0))&amp;" ("&amp;INDEX('Public Holidays'!$L$6:$L$38,MATCH($B113,'Public Holidays'!$A$6:$A$38,0))&amp;")",""))</f>
        <v/>
      </c>
      <c r="K113" s="246">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44">
        <f>IF($A113="","",INDEX($B$7:$B$36,INT((ROW()-41)/14)+1)&amp;"")</f>
        <v/>
      </c>
    </row>
    <row r="114">
      <c r="A114" s="244">
        <f>IF(INDEX($A$7:$A$36,INT((ROW()-41)/14)+1)="","",INDEX($A$7:$A$36,INT((ROW()-41)/14)+1))</f>
        <v/>
      </c>
      <c r="B114" s="245">
        <f>IF($A114="","",$B$3+MOD(ROW()-41,14))</f>
        <v/>
      </c>
      <c r="C114" s="244">
        <f>IF($A114="","",TEXT($B114,"ddd"))</f>
        <v/>
      </c>
      <c r="D114" s="242">
        <f>IF($A114="","",SUMIFS('EH Timesheets'!$G$6:$G$1005,'EH Timesheets'!$A$6:$A$1005,$A114,'EH Timesheets'!$B$6:$B$1005,$B114))</f>
        <v/>
      </c>
      <c r="E114" s="242">
        <f>IF($A114="","",SUMIFS('EH Roster'!$G$6:$G$1005,'EH Roster'!$A$6:$A$1005,$A114,'EH Roster'!$B$6:$B$1005,$B114))</f>
        <v/>
      </c>
      <c r="F114" s="242">
        <f>IF($A114="","",$D114-$E114)</f>
        <v/>
      </c>
      <c r="G114" s="242">
        <f>IF($A114="","",IF($L114="",0,SUMPRODUCT(('Shared Calendar'!$K$2:$K$1000&gt;0)*('Shared Calendar'!$K$2:$K$1000&lt;=$B114)*('Shared Calendar'!$J$2:$J$1000&gt;$B114)*ISNUMBER(SEARCH($L114,'Shared Calendar'!$M$2:$M$1000))*('Shared Calendar'!$N$2:$N$1000="Event"),'Shared Calendar'!$L$2:$L$1000)))</f>
        <v/>
      </c>
      <c r="H114" s="246">
        <f>IF(OR($A114="",$L114=""),"",IF(SUMPRODUCT(MAX(('Shared Calendar'!$K$2:$K$1000&gt;0)*('Shared Calendar'!$K$2:$K$1000&lt;=$B114)*('Shared Calendar'!$J$2:$J$1000&gt;$B114)*ISNUMBER(SEARCH($L114,'Shared Calendar'!$M$2:$M$1000))*ROW('Shared Calendar'!$A$2:$A$1000)))=0,"",INDEX('Shared Calendar'!$A:$A,SUMPRODUCT(MAX(('Shared Calendar'!$K$2:$K$1000&gt;0)*('Shared Calendar'!$K$2:$K$1000&lt;=$B114)*('Shared Calendar'!$J$2:$J$1000&gt;$B114)*ISNUMBER(SEARCH($L114,'Shared Calendar'!$M$2:$M$1000))*ROW('Shared Calendar'!$A$2:$A$1000))))))</f>
        <v/>
      </c>
      <c r="I114" s="244">
        <f>IF(OR($A114="",$L114=""),"",IF(SUMPRODUCT(('Shared Calendar'!$K$2:$K$1000&gt;0)*('Shared Calendar'!$K$2:$K$1000&lt;=$B114)*('Shared Calendar'!$J$2:$J$1000&gt;$B114)*ISNUMBER(SEARCH($L114,'Shared Calendar'!$M$2:$M$1000))*('Shared Calendar'!$N$2:$N$1000="Leave"))&gt;0,"Leave",""))</f>
        <v/>
      </c>
      <c r="J114" s="244">
        <f>IF($A114="","",IFERROR(INDEX('Public Holidays'!$C$6:$C$38,MATCH($B114,'Public Holidays'!$A$6:$A$38,0))&amp;" ("&amp;INDEX('Public Holidays'!$L$6:$L$38,MATCH($B114,'Public Holidays'!$A$6:$A$38,0))&amp;")",""))</f>
        <v/>
      </c>
      <c r="K114" s="246">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44">
        <f>IF($A114="","",INDEX($B$7:$B$36,INT((ROW()-41)/14)+1)&amp;"")</f>
        <v/>
      </c>
    </row>
    <row r="115">
      <c r="A115" s="244">
        <f>IF(INDEX($A$7:$A$36,INT((ROW()-41)/14)+1)="","",INDEX($A$7:$A$36,INT((ROW()-41)/14)+1))</f>
        <v/>
      </c>
      <c r="B115" s="245">
        <f>IF($A115="","",$B$3+MOD(ROW()-41,14))</f>
        <v/>
      </c>
      <c r="C115" s="244">
        <f>IF($A115="","",TEXT($B115,"ddd"))</f>
        <v/>
      </c>
      <c r="D115" s="242">
        <f>IF($A115="","",SUMIFS('EH Timesheets'!$G$6:$G$1005,'EH Timesheets'!$A$6:$A$1005,$A115,'EH Timesheets'!$B$6:$B$1005,$B115))</f>
        <v/>
      </c>
      <c r="E115" s="242">
        <f>IF($A115="","",SUMIFS('EH Roster'!$G$6:$G$1005,'EH Roster'!$A$6:$A$1005,$A115,'EH Roster'!$B$6:$B$1005,$B115))</f>
        <v/>
      </c>
      <c r="F115" s="242">
        <f>IF($A115="","",$D115-$E115)</f>
        <v/>
      </c>
      <c r="G115" s="242">
        <f>IF($A115="","",IF($L115="",0,SUMPRODUCT(('Shared Calendar'!$K$2:$K$1000&gt;0)*('Shared Calendar'!$K$2:$K$1000&lt;=$B115)*('Shared Calendar'!$J$2:$J$1000&gt;$B115)*ISNUMBER(SEARCH($L115,'Shared Calendar'!$M$2:$M$1000))*('Shared Calendar'!$N$2:$N$1000="Event"),'Shared Calendar'!$L$2:$L$1000)))</f>
        <v/>
      </c>
      <c r="H115" s="246">
        <f>IF(OR($A115="",$L115=""),"",IF(SUMPRODUCT(MAX(('Shared Calendar'!$K$2:$K$1000&gt;0)*('Shared Calendar'!$K$2:$K$1000&lt;=$B115)*('Shared Calendar'!$J$2:$J$1000&gt;$B115)*ISNUMBER(SEARCH($L115,'Shared Calendar'!$M$2:$M$1000))*ROW('Shared Calendar'!$A$2:$A$1000)))=0,"",INDEX('Shared Calendar'!$A:$A,SUMPRODUCT(MAX(('Shared Calendar'!$K$2:$K$1000&gt;0)*('Shared Calendar'!$K$2:$K$1000&lt;=$B115)*('Shared Calendar'!$J$2:$J$1000&gt;$B115)*ISNUMBER(SEARCH($L115,'Shared Calendar'!$M$2:$M$1000))*ROW('Shared Calendar'!$A$2:$A$1000))))))</f>
        <v/>
      </c>
      <c r="I115" s="244">
        <f>IF(OR($A115="",$L115=""),"",IF(SUMPRODUCT(('Shared Calendar'!$K$2:$K$1000&gt;0)*('Shared Calendar'!$K$2:$K$1000&lt;=$B115)*('Shared Calendar'!$J$2:$J$1000&gt;$B115)*ISNUMBER(SEARCH($L115,'Shared Calendar'!$M$2:$M$1000))*('Shared Calendar'!$N$2:$N$1000="Leave"))&gt;0,"Leave",""))</f>
        <v/>
      </c>
      <c r="J115" s="244">
        <f>IF($A115="","",IFERROR(INDEX('Public Holidays'!$C$6:$C$38,MATCH($B115,'Public Holidays'!$A$6:$A$38,0))&amp;" ("&amp;INDEX('Public Holidays'!$L$6:$L$38,MATCH($B115,'Public Holidays'!$A$6:$A$38,0))&amp;")",""))</f>
        <v/>
      </c>
      <c r="K115" s="246">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44">
        <f>IF($A115="","",INDEX($B$7:$B$36,INT((ROW()-41)/14)+1)&amp;"")</f>
        <v/>
      </c>
    </row>
    <row r="116">
      <c r="A116" s="244">
        <f>IF(INDEX($A$7:$A$36,INT((ROW()-41)/14)+1)="","",INDEX($A$7:$A$36,INT((ROW()-41)/14)+1))</f>
        <v/>
      </c>
      <c r="B116" s="245">
        <f>IF($A116="","",$B$3+MOD(ROW()-41,14))</f>
        <v/>
      </c>
      <c r="C116" s="244">
        <f>IF($A116="","",TEXT($B116,"ddd"))</f>
        <v/>
      </c>
      <c r="D116" s="242">
        <f>IF($A116="","",SUMIFS('EH Timesheets'!$G$6:$G$1005,'EH Timesheets'!$A$6:$A$1005,$A116,'EH Timesheets'!$B$6:$B$1005,$B116))</f>
        <v/>
      </c>
      <c r="E116" s="242">
        <f>IF($A116="","",SUMIFS('EH Roster'!$G$6:$G$1005,'EH Roster'!$A$6:$A$1005,$A116,'EH Roster'!$B$6:$B$1005,$B116))</f>
        <v/>
      </c>
      <c r="F116" s="242">
        <f>IF($A116="","",$D116-$E116)</f>
        <v/>
      </c>
      <c r="G116" s="242">
        <f>IF($A116="","",IF($L116="",0,SUMPRODUCT(('Shared Calendar'!$K$2:$K$1000&gt;0)*('Shared Calendar'!$K$2:$K$1000&lt;=$B116)*('Shared Calendar'!$J$2:$J$1000&gt;$B116)*ISNUMBER(SEARCH($L116,'Shared Calendar'!$M$2:$M$1000))*('Shared Calendar'!$N$2:$N$1000="Event"),'Shared Calendar'!$L$2:$L$1000)))</f>
        <v/>
      </c>
      <c r="H116" s="246">
        <f>IF(OR($A116="",$L116=""),"",IF(SUMPRODUCT(MAX(('Shared Calendar'!$K$2:$K$1000&gt;0)*('Shared Calendar'!$K$2:$K$1000&lt;=$B116)*('Shared Calendar'!$J$2:$J$1000&gt;$B116)*ISNUMBER(SEARCH($L116,'Shared Calendar'!$M$2:$M$1000))*ROW('Shared Calendar'!$A$2:$A$1000)))=0,"",INDEX('Shared Calendar'!$A:$A,SUMPRODUCT(MAX(('Shared Calendar'!$K$2:$K$1000&gt;0)*('Shared Calendar'!$K$2:$K$1000&lt;=$B116)*('Shared Calendar'!$J$2:$J$1000&gt;$B116)*ISNUMBER(SEARCH($L116,'Shared Calendar'!$M$2:$M$1000))*ROW('Shared Calendar'!$A$2:$A$1000))))))</f>
        <v/>
      </c>
      <c r="I116" s="244">
        <f>IF(OR($A116="",$L116=""),"",IF(SUMPRODUCT(('Shared Calendar'!$K$2:$K$1000&gt;0)*('Shared Calendar'!$K$2:$K$1000&lt;=$B116)*('Shared Calendar'!$J$2:$J$1000&gt;$B116)*ISNUMBER(SEARCH($L116,'Shared Calendar'!$M$2:$M$1000))*('Shared Calendar'!$N$2:$N$1000="Leave"))&gt;0,"Leave",""))</f>
        <v/>
      </c>
      <c r="J116" s="244">
        <f>IF($A116="","",IFERROR(INDEX('Public Holidays'!$C$6:$C$38,MATCH($B116,'Public Holidays'!$A$6:$A$38,0))&amp;" ("&amp;INDEX('Public Holidays'!$L$6:$L$38,MATCH($B116,'Public Holidays'!$A$6:$A$38,0))&amp;")",""))</f>
        <v/>
      </c>
      <c r="K116" s="246">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44">
        <f>IF($A116="","",INDEX($B$7:$B$36,INT((ROW()-41)/14)+1)&amp;"")</f>
        <v/>
      </c>
    </row>
    <row r="117">
      <c r="A117" s="244">
        <f>IF(INDEX($A$7:$A$36,INT((ROW()-41)/14)+1)="","",INDEX($A$7:$A$36,INT((ROW()-41)/14)+1))</f>
        <v/>
      </c>
      <c r="B117" s="245">
        <f>IF($A117="","",$B$3+MOD(ROW()-41,14))</f>
        <v/>
      </c>
      <c r="C117" s="244">
        <f>IF($A117="","",TEXT($B117,"ddd"))</f>
        <v/>
      </c>
      <c r="D117" s="242">
        <f>IF($A117="","",SUMIFS('EH Timesheets'!$G$6:$G$1005,'EH Timesheets'!$A$6:$A$1005,$A117,'EH Timesheets'!$B$6:$B$1005,$B117))</f>
        <v/>
      </c>
      <c r="E117" s="242">
        <f>IF($A117="","",SUMIFS('EH Roster'!$G$6:$G$1005,'EH Roster'!$A$6:$A$1005,$A117,'EH Roster'!$B$6:$B$1005,$B117))</f>
        <v/>
      </c>
      <c r="F117" s="242">
        <f>IF($A117="","",$D117-$E117)</f>
        <v/>
      </c>
      <c r="G117" s="242">
        <f>IF($A117="","",IF($L117="",0,SUMPRODUCT(('Shared Calendar'!$K$2:$K$1000&gt;0)*('Shared Calendar'!$K$2:$K$1000&lt;=$B117)*('Shared Calendar'!$J$2:$J$1000&gt;$B117)*ISNUMBER(SEARCH($L117,'Shared Calendar'!$M$2:$M$1000))*('Shared Calendar'!$N$2:$N$1000="Event"),'Shared Calendar'!$L$2:$L$1000)))</f>
        <v/>
      </c>
      <c r="H117" s="246">
        <f>IF(OR($A117="",$L117=""),"",IF(SUMPRODUCT(MAX(('Shared Calendar'!$K$2:$K$1000&gt;0)*('Shared Calendar'!$K$2:$K$1000&lt;=$B117)*('Shared Calendar'!$J$2:$J$1000&gt;$B117)*ISNUMBER(SEARCH($L117,'Shared Calendar'!$M$2:$M$1000))*ROW('Shared Calendar'!$A$2:$A$1000)))=0,"",INDEX('Shared Calendar'!$A:$A,SUMPRODUCT(MAX(('Shared Calendar'!$K$2:$K$1000&gt;0)*('Shared Calendar'!$K$2:$K$1000&lt;=$B117)*('Shared Calendar'!$J$2:$J$1000&gt;$B117)*ISNUMBER(SEARCH($L117,'Shared Calendar'!$M$2:$M$1000))*ROW('Shared Calendar'!$A$2:$A$1000))))))</f>
        <v/>
      </c>
      <c r="I117" s="244">
        <f>IF(OR($A117="",$L117=""),"",IF(SUMPRODUCT(('Shared Calendar'!$K$2:$K$1000&gt;0)*('Shared Calendar'!$K$2:$K$1000&lt;=$B117)*('Shared Calendar'!$J$2:$J$1000&gt;$B117)*ISNUMBER(SEARCH($L117,'Shared Calendar'!$M$2:$M$1000))*('Shared Calendar'!$N$2:$N$1000="Leave"))&gt;0,"Leave",""))</f>
        <v/>
      </c>
      <c r="J117" s="244">
        <f>IF($A117="","",IFERROR(INDEX('Public Holidays'!$C$6:$C$38,MATCH($B117,'Public Holidays'!$A$6:$A$38,0))&amp;" ("&amp;INDEX('Public Holidays'!$L$6:$L$38,MATCH($B117,'Public Holidays'!$A$6:$A$38,0))&amp;")",""))</f>
        <v/>
      </c>
      <c r="K117" s="246">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44">
        <f>IF($A117="","",INDEX($B$7:$B$36,INT((ROW()-41)/14)+1)&amp;"")</f>
        <v/>
      </c>
    </row>
    <row r="118">
      <c r="A118" s="244">
        <f>IF(INDEX($A$7:$A$36,INT((ROW()-41)/14)+1)="","",INDEX($A$7:$A$36,INT((ROW()-41)/14)+1))</f>
        <v/>
      </c>
      <c r="B118" s="245">
        <f>IF($A118="","",$B$3+MOD(ROW()-41,14))</f>
        <v/>
      </c>
      <c r="C118" s="244">
        <f>IF($A118="","",TEXT($B118,"ddd"))</f>
        <v/>
      </c>
      <c r="D118" s="242">
        <f>IF($A118="","",SUMIFS('EH Timesheets'!$G$6:$G$1005,'EH Timesheets'!$A$6:$A$1005,$A118,'EH Timesheets'!$B$6:$B$1005,$B118))</f>
        <v/>
      </c>
      <c r="E118" s="242">
        <f>IF($A118="","",SUMIFS('EH Roster'!$G$6:$G$1005,'EH Roster'!$A$6:$A$1005,$A118,'EH Roster'!$B$6:$B$1005,$B118))</f>
        <v/>
      </c>
      <c r="F118" s="242">
        <f>IF($A118="","",$D118-$E118)</f>
        <v/>
      </c>
      <c r="G118" s="242">
        <f>IF($A118="","",IF($L118="",0,SUMPRODUCT(('Shared Calendar'!$K$2:$K$1000&gt;0)*('Shared Calendar'!$K$2:$K$1000&lt;=$B118)*('Shared Calendar'!$J$2:$J$1000&gt;$B118)*ISNUMBER(SEARCH($L118,'Shared Calendar'!$M$2:$M$1000))*('Shared Calendar'!$N$2:$N$1000="Event"),'Shared Calendar'!$L$2:$L$1000)))</f>
        <v/>
      </c>
      <c r="H118" s="246">
        <f>IF(OR($A118="",$L118=""),"",IF(SUMPRODUCT(MAX(('Shared Calendar'!$K$2:$K$1000&gt;0)*('Shared Calendar'!$K$2:$K$1000&lt;=$B118)*('Shared Calendar'!$J$2:$J$1000&gt;$B118)*ISNUMBER(SEARCH($L118,'Shared Calendar'!$M$2:$M$1000))*ROW('Shared Calendar'!$A$2:$A$1000)))=0,"",INDEX('Shared Calendar'!$A:$A,SUMPRODUCT(MAX(('Shared Calendar'!$K$2:$K$1000&gt;0)*('Shared Calendar'!$K$2:$K$1000&lt;=$B118)*('Shared Calendar'!$J$2:$J$1000&gt;$B118)*ISNUMBER(SEARCH($L118,'Shared Calendar'!$M$2:$M$1000))*ROW('Shared Calendar'!$A$2:$A$1000))))))</f>
        <v/>
      </c>
      <c r="I118" s="244">
        <f>IF(OR($A118="",$L118=""),"",IF(SUMPRODUCT(('Shared Calendar'!$K$2:$K$1000&gt;0)*('Shared Calendar'!$K$2:$K$1000&lt;=$B118)*('Shared Calendar'!$J$2:$J$1000&gt;$B118)*ISNUMBER(SEARCH($L118,'Shared Calendar'!$M$2:$M$1000))*('Shared Calendar'!$N$2:$N$1000="Leave"))&gt;0,"Leave",""))</f>
        <v/>
      </c>
      <c r="J118" s="244">
        <f>IF($A118="","",IFERROR(INDEX('Public Holidays'!$C$6:$C$38,MATCH($B118,'Public Holidays'!$A$6:$A$38,0))&amp;" ("&amp;INDEX('Public Holidays'!$L$6:$L$38,MATCH($B118,'Public Holidays'!$A$6:$A$38,0))&amp;")",""))</f>
        <v/>
      </c>
      <c r="K118" s="246">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44">
        <f>IF($A118="","",INDEX($B$7:$B$36,INT((ROW()-41)/14)+1)&amp;"")</f>
        <v/>
      </c>
    </row>
    <row r="119">
      <c r="A119" s="244">
        <f>IF(INDEX($A$7:$A$36,INT((ROW()-41)/14)+1)="","",INDEX($A$7:$A$36,INT((ROW()-41)/14)+1))</f>
        <v/>
      </c>
      <c r="B119" s="245">
        <f>IF($A119="","",$B$3+MOD(ROW()-41,14))</f>
        <v/>
      </c>
      <c r="C119" s="244">
        <f>IF($A119="","",TEXT($B119,"ddd"))</f>
        <v/>
      </c>
      <c r="D119" s="242">
        <f>IF($A119="","",SUMIFS('EH Timesheets'!$G$6:$G$1005,'EH Timesheets'!$A$6:$A$1005,$A119,'EH Timesheets'!$B$6:$B$1005,$B119))</f>
        <v/>
      </c>
      <c r="E119" s="242">
        <f>IF($A119="","",SUMIFS('EH Roster'!$G$6:$G$1005,'EH Roster'!$A$6:$A$1005,$A119,'EH Roster'!$B$6:$B$1005,$B119))</f>
        <v/>
      </c>
      <c r="F119" s="242">
        <f>IF($A119="","",$D119-$E119)</f>
        <v/>
      </c>
      <c r="G119" s="242">
        <f>IF($A119="","",IF($L119="",0,SUMPRODUCT(('Shared Calendar'!$K$2:$K$1000&gt;0)*('Shared Calendar'!$K$2:$K$1000&lt;=$B119)*('Shared Calendar'!$J$2:$J$1000&gt;$B119)*ISNUMBER(SEARCH($L119,'Shared Calendar'!$M$2:$M$1000))*('Shared Calendar'!$N$2:$N$1000="Event"),'Shared Calendar'!$L$2:$L$1000)))</f>
        <v/>
      </c>
      <c r="H119" s="246">
        <f>IF(OR($A119="",$L119=""),"",IF(SUMPRODUCT(MAX(('Shared Calendar'!$K$2:$K$1000&gt;0)*('Shared Calendar'!$K$2:$K$1000&lt;=$B119)*('Shared Calendar'!$J$2:$J$1000&gt;$B119)*ISNUMBER(SEARCH($L119,'Shared Calendar'!$M$2:$M$1000))*ROW('Shared Calendar'!$A$2:$A$1000)))=0,"",INDEX('Shared Calendar'!$A:$A,SUMPRODUCT(MAX(('Shared Calendar'!$K$2:$K$1000&gt;0)*('Shared Calendar'!$K$2:$K$1000&lt;=$B119)*('Shared Calendar'!$J$2:$J$1000&gt;$B119)*ISNUMBER(SEARCH($L119,'Shared Calendar'!$M$2:$M$1000))*ROW('Shared Calendar'!$A$2:$A$1000))))))</f>
        <v/>
      </c>
      <c r="I119" s="244">
        <f>IF(OR($A119="",$L119=""),"",IF(SUMPRODUCT(('Shared Calendar'!$K$2:$K$1000&gt;0)*('Shared Calendar'!$K$2:$K$1000&lt;=$B119)*('Shared Calendar'!$J$2:$J$1000&gt;$B119)*ISNUMBER(SEARCH($L119,'Shared Calendar'!$M$2:$M$1000))*('Shared Calendar'!$N$2:$N$1000="Leave"))&gt;0,"Leave",""))</f>
        <v/>
      </c>
      <c r="J119" s="244">
        <f>IF($A119="","",IFERROR(INDEX('Public Holidays'!$C$6:$C$38,MATCH($B119,'Public Holidays'!$A$6:$A$38,0))&amp;" ("&amp;INDEX('Public Holidays'!$L$6:$L$38,MATCH($B119,'Public Holidays'!$A$6:$A$38,0))&amp;")",""))</f>
        <v/>
      </c>
      <c r="K119" s="246">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44">
        <f>IF($A119="","",INDEX($B$7:$B$36,INT((ROW()-41)/14)+1)&amp;"")</f>
        <v/>
      </c>
    </row>
    <row r="120">
      <c r="A120" s="244">
        <f>IF(INDEX($A$7:$A$36,INT((ROW()-41)/14)+1)="","",INDEX($A$7:$A$36,INT((ROW()-41)/14)+1))</f>
        <v/>
      </c>
      <c r="B120" s="245">
        <f>IF($A120="","",$B$3+MOD(ROW()-41,14))</f>
        <v/>
      </c>
      <c r="C120" s="244">
        <f>IF($A120="","",TEXT($B120,"ddd"))</f>
        <v/>
      </c>
      <c r="D120" s="242">
        <f>IF($A120="","",SUMIFS('EH Timesheets'!$G$6:$G$1005,'EH Timesheets'!$A$6:$A$1005,$A120,'EH Timesheets'!$B$6:$B$1005,$B120))</f>
        <v/>
      </c>
      <c r="E120" s="242">
        <f>IF($A120="","",SUMIFS('EH Roster'!$G$6:$G$1005,'EH Roster'!$A$6:$A$1005,$A120,'EH Roster'!$B$6:$B$1005,$B120))</f>
        <v/>
      </c>
      <c r="F120" s="242">
        <f>IF($A120="","",$D120-$E120)</f>
        <v/>
      </c>
      <c r="G120" s="242">
        <f>IF($A120="","",IF($L120="",0,SUMPRODUCT(('Shared Calendar'!$K$2:$K$1000&gt;0)*('Shared Calendar'!$K$2:$K$1000&lt;=$B120)*('Shared Calendar'!$J$2:$J$1000&gt;$B120)*ISNUMBER(SEARCH($L120,'Shared Calendar'!$M$2:$M$1000))*('Shared Calendar'!$N$2:$N$1000="Event"),'Shared Calendar'!$L$2:$L$1000)))</f>
        <v/>
      </c>
      <c r="H120" s="246">
        <f>IF(OR($A120="",$L120=""),"",IF(SUMPRODUCT(MAX(('Shared Calendar'!$K$2:$K$1000&gt;0)*('Shared Calendar'!$K$2:$K$1000&lt;=$B120)*('Shared Calendar'!$J$2:$J$1000&gt;$B120)*ISNUMBER(SEARCH($L120,'Shared Calendar'!$M$2:$M$1000))*ROW('Shared Calendar'!$A$2:$A$1000)))=0,"",INDEX('Shared Calendar'!$A:$A,SUMPRODUCT(MAX(('Shared Calendar'!$K$2:$K$1000&gt;0)*('Shared Calendar'!$K$2:$K$1000&lt;=$B120)*('Shared Calendar'!$J$2:$J$1000&gt;$B120)*ISNUMBER(SEARCH($L120,'Shared Calendar'!$M$2:$M$1000))*ROW('Shared Calendar'!$A$2:$A$1000))))))</f>
        <v/>
      </c>
      <c r="I120" s="244">
        <f>IF(OR($A120="",$L120=""),"",IF(SUMPRODUCT(('Shared Calendar'!$K$2:$K$1000&gt;0)*('Shared Calendar'!$K$2:$K$1000&lt;=$B120)*('Shared Calendar'!$J$2:$J$1000&gt;$B120)*ISNUMBER(SEARCH($L120,'Shared Calendar'!$M$2:$M$1000))*('Shared Calendar'!$N$2:$N$1000="Leave"))&gt;0,"Leave",""))</f>
        <v/>
      </c>
      <c r="J120" s="244">
        <f>IF($A120="","",IFERROR(INDEX('Public Holidays'!$C$6:$C$38,MATCH($B120,'Public Holidays'!$A$6:$A$38,0))&amp;" ("&amp;INDEX('Public Holidays'!$L$6:$L$38,MATCH($B120,'Public Holidays'!$A$6:$A$38,0))&amp;")",""))</f>
        <v/>
      </c>
      <c r="K120" s="246">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44">
        <f>IF($A120="","",INDEX($B$7:$B$36,INT((ROW()-41)/14)+1)&amp;"")</f>
        <v/>
      </c>
    </row>
    <row r="121">
      <c r="A121" s="244">
        <f>IF(INDEX($A$7:$A$36,INT((ROW()-41)/14)+1)="","",INDEX($A$7:$A$36,INT((ROW()-41)/14)+1))</f>
        <v/>
      </c>
      <c r="B121" s="245">
        <f>IF($A121="","",$B$3+MOD(ROW()-41,14))</f>
        <v/>
      </c>
      <c r="C121" s="244">
        <f>IF($A121="","",TEXT($B121,"ddd"))</f>
        <v/>
      </c>
      <c r="D121" s="242">
        <f>IF($A121="","",SUMIFS('EH Timesheets'!$G$6:$G$1005,'EH Timesheets'!$A$6:$A$1005,$A121,'EH Timesheets'!$B$6:$B$1005,$B121))</f>
        <v/>
      </c>
      <c r="E121" s="242">
        <f>IF($A121="","",SUMIFS('EH Roster'!$G$6:$G$1005,'EH Roster'!$A$6:$A$1005,$A121,'EH Roster'!$B$6:$B$1005,$B121))</f>
        <v/>
      </c>
      <c r="F121" s="242">
        <f>IF($A121="","",$D121-$E121)</f>
        <v/>
      </c>
      <c r="G121" s="242">
        <f>IF($A121="","",IF($L121="",0,SUMPRODUCT(('Shared Calendar'!$K$2:$K$1000&gt;0)*('Shared Calendar'!$K$2:$K$1000&lt;=$B121)*('Shared Calendar'!$J$2:$J$1000&gt;$B121)*ISNUMBER(SEARCH($L121,'Shared Calendar'!$M$2:$M$1000))*('Shared Calendar'!$N$2:$N$1000="Event"),'Shared Calendar'!$L$2:$L$1000)))</f>
        <v/>
      </c>
      <c r="H121" s="246">
        <f>IF(OR($A121="",$L121=""),"",IF(SUMPRODUCT(MAX(('Shared Calendar'!$K$2:$K$1000&gt;0)*('Shared Calendar'!$K$2:$K$1000&lt;=$B121)*('Shared Calendar'!$J$2:$J$1000&gt;$B121)*ISNUMBER(SEARCH($L121,'Shared Calendar'!$M$2:$M$1000))*ROW('Shared Calendar'!$A$2:$A$1000)))=0,"",INDEX('Shared Calendar'!$A:$A,SUMPRODUCT(MAX(('Shared Calendar'!$K$2:$K$1000&gt;0)*('Shared Calendar'!$K$2:$K$1000&lt;=$B121)*('Shared Calendar'!$J$2:$J$1000&gt;$B121)*ISNUMBER(SEARCH($L121,'Shared Calendar'!$M$2:$M$1000))*ROW('Shared Calendar'!$A$2:$A$1000))))))</f>
        <v/>
      </c>
      <c r="I121" s="244">
        <f>IF(OR($A121="",$L121=""),"",IF(SUMPRODUCT(('Shared Calendar'!$K$2:$K$1000&gt;0)*('Shared Calendar'!$K$2:$K$1000&lt;=$B121)*('Shared Calendar'!$J$2:$J$1000&gt;$B121)*ISNUMBER(SEARCH($L121,'Shared Calendar'!$M$2:$M$1000))*('Shared Calendar'!$N$2:$N$1000="Leave"))&gt;0,"Leave",""))</f>
        <v/>
      </c>
      <c r="J121" s="244">
        <f>IF($A121="","",IFERROR(INDEX('Public Holidays'!$C$6:$C$38,MATCH($B121,'Public Holidays'!$A$6:$A$38,0))&amp;" ("&amp;INDEX('Public Holidays'!$L$6:$L$38,MATCH($B121,'Public Holidays'!$A$6:$A$38,0))&amp;")",""))</f>
        <v/>
      </c>
      <c r="K121" s="246">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44">
        <f>IF($A121="","",INDEX($B$7:$B$36,INT((ROW()-41)/14)+1)&amp;"")</f>
        <v/>
      </c>
    </row>
    <row r="122">
      <c r="A122" s="244">
        <f>IF(INDEX($A$7:$A$36,INT((ROW()-41)/14)+1)="","",INDEX($A$7:$A$36,INT((ROW()-41)/14)+1))</f>
        <v/>
      </c>
      <c r="B122" s="245">
        <f>IF($A122="","",$B$3+MOD(ROW()-41,14))</f>
        <v/>
      </c>
      <c r="C122" s="244">
        <f>IF($A122="","",TEXT($B122,"ddd"))</f>
        <v/>
      </c>
      <c r="D122" s="242">
        <f>IF($A122="","",SUMIFS('EH Timesheets'!$G$6:$G$1005,'EH Timesheets'!$A$6:$A$1005,$A122,'EH Timesheets'!$B$6:$B$1005,$B122))</f>
        <v/>
      </c>
      <c r="E122" s="242">
        <f>IF($A122="","",SUMIFS('EH Roster'!$G$6:$G$1005,'EH Roster'!$A$6:$A$1005,$A122,'EH Roster'!$B$6:$B$1005,$B122))</f>
        <v/>
      </c>
      <c r="F122" s="242">
        <f>IF($A122="","",$D122-$E122)</f>
        <v/>
      </c>
      <c r="G122" s="242">
        <f>IF($A122="","",IF($L122="",0,SUMPRODUCT(('Shared Calendar'!$K$2:$K$1000&gt;0)*('Shared Calendar'!$K$2:$K$1000&lt;=$B122)*('Shared Calendar'!$J$2:$J$1000&gt;$B122)*ISNUMBER(SEARCH($L122,'Shared Calendar'!$M$2:$M$1000))*('Shared Calendar'!$N$2:$N$1000="Event"),'Shared Calendar'!$L$2:$L$1000)))</f>
        <v/>
      </c>
      <c r="H122" s="246">
        <f>IF(OR($A122="",$L122=""),"",IF(SUMPRODUCT(MAX(('Shared Calendar'!$K$2:$K$1000&gt;0)*('Shared Calendar'!$K$2:$K$1000&lt;=$B122)*('Shared Calendar'!$J$2:$J$1000&gt;$B122)*ISNUMBER(SEARCH($L122,'Shared Calendar'!$M$2:$M$1000))*ROW('Shared Calendar'!$A$2:$A$1000)))=0,"",INDEX('Shared Calendar'!$A:$A,SUMPRODUCT(MAX(('Shared Calendar'!$K$2:$K$1000&gt;0)*('Shared Calendar'!$K$2:$K$1000&lt;=$B122)*('Shared Calendar'!$J$2:$J$1000&gt;$B122)*ISNUMBER(SEARCH($L122,'Shared Calendar'!$M$2:$M$1000))*ROW('Shared Calendar'!$A$2:$A$1000))))))</f>
        <v/>
      </c>
      <c r="I122" s="244">
        <f>IF(OR($A122="",$L122=""),"",IF(SUMPRODUCT(('Shared Calendar'!$K$2:$K$1000&gt;0)*('Shared Calendar'!$K$2:$K$1000&lt;=$B122)*('Shared Calendar'!$J$2:$J$1000&gt;$B122)*ISNUMBER(SEARCH($L122,'Shared Calendar'!$M$2:$M$1000))*('Shared Calendar'!$N$2:$N$1000="Leave"))&gt;0,"Leave",""))</f>
        <v/>
      </c>
      <c r="J122" s="244">
        <f>IF($A122="","",IFERROR(INDEX('Public Holidays'!$C$6:$C$38,MATCH($B122,'Public Holidays'!$A$6:$A$38,0))&amp;" ("&amp;INDEX('Public Holidays'!$L$6:$L$38,MATCH($B122,'Public Holidays'!$A$6:$A$38,0))&amp;")",""))</f>
        <v/>
      </c>
      <c r="K122" s="246">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44">
        <f>IF($A122="","",INDEX($B$7:$B$36,INT((ROW()-41)/14)+1)&amp;"")</f>
        <v/>
      </c>
    </row>
    <row r="123">
      <c r="A123" s="244">
        <f>IF(INDEX($A$7:$A$36,INT((ROW()-41)/14)+1)="","",INDEX($A$7:$A$36,INT((ROW()-41)/14)+1))</f>
        <v/>
      </c>
      <c r="B123" s="245">
        <f>IF($A123="","",$B$3+MOD(ROW()-41,14))</f>
        <v/>
      </c>
      <c r="C123" s="244">
        <f>IF($A123="","",TEXT($B123,"ddd"))</f>
        <v/>
      </c>
      <c r="D123" s="242">
        <f>IF($A123="","",SUMIFS('EH Timesheets'!$G$6:$G$1005,'EH Timesheets'!$A$6:$A$1005,$A123,'EH Timesheets'!$B$6:$B$1005,$B123))</f>
        <v/>
      </c>
      <c r="E123" s="242">
        <f>IF($A123="","",SUMIFS('EH Roster'!$G$6:$G$1005,'EH Roster'!$A$6:$A$1005,$A123,'EH Roster'!$B$6:$B$1005,$B123))</f>
        <v/>
      </c>
      <c r="F123" s="242">
        <f>IF($A123="","",$D123-$E123)</f>
        <v/>
      </c>
      <c r="G123" s="242">
        <f>IF($A123="","",IF($L123="",0,SUMPRODUCT(('Shared Calendar'!$K$2:$K$1000&gt;0)*('Shared Calendar'!$K$2:$K$1000&lt;=$B123)*('Shared Calendar'!$J$2:$J$1000&gt;$B123)*ISNUMBER(SEARCH($L123,'Shared Calendar'!$M$2:$M$1000))*('Shared Calendar'!$N$2:$N$1000="Event"),'Shared Calendar'!$L$2:$L$1000)))</f>
        <v/>
      </c>
      <c r="H123" s="246">
        <f>IF(OR($A123="",$L123=""),"",IF(SUMPRODUCT(MAX(('Shared Calendar'!$K$2:$K$1000&gt;0)*('Shared Calendar'!$K$2:$K$1000&lt;=$B123)*('Shared Calendar'!$J$2:$J$1000&gt;$B123)*ISNUMBER(SEARCH($L123,'Shared Calendar'!$M$2:$M$1000))*ROW('Shared Calendar'!$A$2:$A$1000)))=0,"",INDEX('Shared Calendar'!$A:$A,SUMPRODUCT(MAX(('Shared Calendar'!$K$2:$K$1000&gt;0)*('Shared Calendar'!$K$2:$K$1000&lt;=$B123)*('Shared Calendar'!$J$2:$J$1000&gt;$B123)*ISNUMBER(SEARCH($L123,'Shared Calendar'!$M$2:$M$1000))*ROW('Shared Calendar'!$A$2:$A$1000))))))</f>
        <v/>
      </c>
      <c r="I123" s="244">
        <f>IF(OR($A123="",$L123=""),"",IF(SUMPRODUCT(('Shared Calendar'!$K$2:$K$1000&gt;0)*('Shared Calendar'!$K$2:$K$1000&lt;=$B123)*('Shared Calendar'!$J$2:$J$1000&gt;$B123)*ISNUMBER(SEARCH($L123,'Shared Calendar'!$M$2:$M$1000))*('Shared Calendar'!$N$2:$N$1000="Leave"))&gt;0,"Leave",""))</f>
        <v/>
      </c>
      <c r="J123" s="244">
        <f>IF($A123="","",IFERROR(INDEX('Public Holidays'!$C$6:$C$38,MATCH($B123,'Public Holidays'!$A$6:$A$38,0))&amp;" ("&amp;INDEX('Public Holidays'!$L$6:$L$38,MATCH($B123,'Public Holidays'!$A$6:$A$38,0))&amp;")",""))</f>
        <v/>
      </c>
      <c r="K123" s="246">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44">
        <f>IF($A123="","",INDEX($B$7:$B$36,INT((ROW()-41)/14)+1)&amp;"")</f>
        <v/>
      </c>
    </row>
    <row r="124">
      <c r="A124" s="244">
        <f>IF(INDEX($A$7:$A$36,INT((ROW()-41)/14)+1)="","",INDEX($A$7:$A$36,INT((ROW()-41)/14)+1))</f>
        <v/>
      </c>
      <c r="B124" s="245">
        <f>IF($A124="","",$B$3+MOD(ROW()-41,14))</f>
        <v/>
      </c>
      <c r="C124" s="244">
        <f>IF($A124="","",TEXT($B124,"ddd"))</f>
        <v/>
      </c>
      <c r="D124" s="242">
        <f>IF($A124="","",SUMIFS('EH Timesheets'!$G$6:$G$1005,'EH Timesheets'!$A$6:$A$1005,$A124,'EH Timesheets'!$B$6:$B$1005,$B124))</f>
        <v/>
      </c>
      <c r="E124" s="242">
        <f>IF($A124="","",SUMIFS('EH Roster'!$G$6:$G$1005,'EH Roster'!$A$6:$A$1005,$A124,'EH Roster'!$B$6:$B$1005,$B124))</f>
        <v/>
      </c>
      <c r="F124" s="242">
        <f>IF($A124="","",$D124-$E124)</f>
        <v/>
      </c>
      <c r="G124" s="242">
        <f>IF($A124="","",IF($L124="",0,SUMPRODUCT(('Shared Calendar'!$K$2:$K$1000&gt;0)*('Shared Calendar'!$K$2:$K$1000&lt;=$B124)*('Shared Calendar'!$J$2:$J$1000&gt;$B124)*ISNUMBER(SEARCH($L124,'Shared Calendar'!$M$2:$M$1000))*('Shared Calendar'!$N$2:$N$1000="Event"),'Shared Calendar'!$L$2:$L$1000)))</f>
        <v/>
      </c>
      <c r="H124" s="246">
        <f>IF(OR($A124="",$L124=""),"",IF(SUMPRODUCT(MAX(('Shared Calendar'!$K$2:$K$1000&gt;0)*('Shared Calendar'!$K$2:$K$1000&lt;=$B124)*('Shared Calendar'!$J$2:$J$1000&gt;$B124)*ISNUMBER(SEARCH($L124,'Shared Calendar'!$M$2:$M$1000))*ROW('Shared Calendar'!$A$2:$A$1000)))=0,"",INDEX('Shared Calendar'!$A:$A,SUMPRODUCT(MAX(('Shared Calendar'!$K$2:$K$1000&gt;0)*('Shared Calendar'!$K$2:$K$1000&lt;=$B124)*('Shared Calendar'!$J$2:$J$1000&gt;$B124)*ISNUMBER(SEARCH($L124,'Shared Calendar'!$M$2:$M$1000))*ROW('Shared Calendar'!$A$2:$A$1000))))))</f>
        <v/>
      </c>
      <c r="I124" s="244">
        <f>IF(OR($A124="",$L124=""),"",IF(SUMPRODUCT(('Shared Calendar'!$K$2:$K$1000&gt;0)*('Shared Calendar'!$K$2:$K$1000&lt;=$B124)*('Shared Calendar'!$J$2:$J$1000&gt;$B124)*ISNUMBER(SEARCH($L124,'Shared Calendar'!$M$2:$M$1000))*('Shared Calendar'!$N$2:$N$1000="Leave"))&gt;0,"Leave",""))</f>
        <v/>
      </c>
      <c r="J124" s="244">
        <f>IF($A124="","",IFERROR(INDEX('Public Holidays'!$C$6:$C$38,MATCH($B124,'Public Holidays'!$A$6:$A$38,0))&amp;" ("&amp;INDEX('Public Holidays'!$L$6:$L$38,MATCH($B124,'Public Holidays'!$A$6:$A$38,0))&amp;")",""))</f>
        <v/>
      </c>
      <c r="K124" s="246">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44">
        <f>IF($A124="","",INDEX($B$7:$B$36,INT((ROW()-41)/14)+1)&amp;"")</f>
        <v/>
      </c>
    </row>
    <row r="125">
      <c r="A125" s="244">
        <f>IF(INDEX($A$7:$A$36,INT((ROW()-41)/14)+1)="","",INDEX($A$7:$A$36,INT((ROW()-41)/14)+1))</f>
        <v/>
      </c>
      <c r="B125" s="245">
        <f>IF($A125="","",$B$3+MOD(ROW()-41,14))</f>
        <v/>
      </c>
      <c r="C125" s="244">
        <f>IF($A125="","",TEXT($B125,"ddd"))</f>
        <v/>
      </c>
      <c r="D125" s="242">
        <f>IF($A125="","",SUMIFS('EH Timesheets'!$G$6:$G$1005,'EH Timesheets'!$A$6:$A$1005,$A125,'EH Timesheets'!$B$6:$B$1005,$B125))</f>
        <v/>
      </c>
      <c r="E125" s="242">
        <f>IF($A125="","",SUMIFS('EH Roster'!$G$6:$G$1005,'EH Roster'!$A$6:$A$1005,$A125,'EH Roster'!$B$6:$B$1005,$B125))</f>
        <v/>
      </c>
      <c r="F125" s="242">
        <f>IF($A125="","",$D125-$E125)</f>
        <v/>
      </c>
      <c r="G125" s="242">
        <f>IF($A125="","",IF($L125="",0,SUMPRODUCT(('Shared Calendar'!$K$2:$K$1000&gt;0)*('Shared Calendar'!$K$2:$K$1000&lt;=$B125)*('Shared Calendar'!$J$2:$J$1000&gt;$B125)*ISNUMBER(SEARCH($L125,'Shared Calendar'!$M$2:$M$1000))*('Shared Calendar'!$N$2:$N$1000="Event"),'Shared Calendar'!$L$2:$L$1000)))</f>
        <v/>
      </c>
      <c r="H125" s="246">
        <f>IF(OR($A125="",$L125=""),"",IF(SUMPRODUCT(MAX(('Shared Calendar'!$K$2:$K$1000&gt;0)*('Shared Calendar'!$K$2:$K$1000&lt;=$B125)*('Shared Calendar'!$J$2:$J$1000&gt;$B125)*ISNUMBER(SEARCH($L125,'Shared Calendar'!$M$2:$M$1000))*ROW('Shared Calendar'!$A$2:$A$1000)))=0,"",INDEX('Shared Calendar'!$A:$A,SUMPRODUCT(MAX(('Shared Calendar'!$K$2:$K$1000&gt;0)*('Shared Calendar'!$K$2:$K$1000&lt;=$B125)*('Shared Calendar'!$J$2:$J$1000&gt;$B125)*ISNUMBER(SEARCH($L125,'Shared Calendar'!$M$2:$M$1000))*ROW('Shared Calendar'!$A$2:$A$1000))))))</f>
        <v/>
      </c>
      <c r="I125" s="244">
        <f>IF(OR($A125="",$L125=""),"",IF(SUMPRODUCT(('Shared Calendar'!$K$2:$K$1000&gt;0)*('Shared Calendar'!$K$2:$K$1000&lt;=$B125)*('Shared Calendar'!$J$2:$J$1000&gt;$B125)*ISNUMBER(SEARCH($L125,'Shared Calendar'!$M$2:$M$1000))*('Shared Calendar'!$N$2:$N$1000="Leave"))&gt;0,"Leave",""))</f>
        <v/>
      </c>
      <c r="J125" s="244">
        <f>IF($A125="","",IFERROR(INDEX('Public Holidays'!$C$6:$C$38,MATCH($B125,'Public Holidays'!$A$6:$A$38,0))&amp;" ("&amp;INDEX('Public Holidays'!$L$6:$L$38,MATCH($B125,'Public Holidays'!$A$6:$A$38,0))&amp;")",""))</f>
        <v/>
      </c>
      <c r="K125" s="246">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44">
        <f>IF($A125="","",INDEX($B$7:$B$36,INT((ROW()-41)/14)+1)&amp;"")</f>
        <v/>
      </c>
    </row>
    <row r="126">
      <c r="A126" s="244">
        <f>IF(INDEX($A$7:$A$36,INT((ROW()-41)/14)+1)="","",INDEX($A$7:$A$36,INT((ROW()-41)/14)+1))</f>
        <v/>
      </c>
      <c r="B126" s="245">
        <f>IF($A126="","",$B$3+MOD(ROW()-41,14))</f>
        <v/>
      </c>
      <c r="C126" s="244">
        <f>IF($A126="","",TEXT($B126,"ddd"))</f>
        <v/>
      </c>
      <c r="D126" s="242">
        <f>IF($A126="","",SUMIFS('EH Timesheets'!$G$6:$G$1005,'EH Timesheets'!$A$6:$A$1005,$A126,'EH Timesheets'!$B$6:$B$1005,$B126))</f>
        <v/>
      </c>
      <c r="E126" s="242">
        <f>IF($A126="","",SUMIFS('EH Roster'!$G$6:$G$1005,'EH Roster'!$A$6:$A$1005,$A126,'EH Roster'!$B$6:$B$1005,$B126))</f>
        <v/>
      </c>
      <c r="F126" s="242">
        <f>IF($A126="","",$D126-$E126)</f>
        <v/>
      </c>
      <c r="G126" s="242">
        <f>IF($A126="","",IF($L126="",0,SUMPRODUCT(('Shared Calendar'!$K$2:$K$1000&gt;0)*('Shared Calendar'!$K$2:$K$1000&lt;=$B126)*('Shared Calendar'!$J$2:$J$1000&gt;$B126)*ISNUMBER(SEARCH($L126,'Shared Calendar'!$M$2:$M$1000))*('Shared Calendar'!$N$2:$N$1000="Event"),'Shared Calendar'!$L$2:$L$1000)))</f>
        <v/>
      </c>
      <c r="H126" s="246">
        <f>IF(OR($A126="",$L126=""),"",IF(SUMPRODUCT(MAX(('Shared Calendar'!$K$2:$K$1000&gt;0)*('Shared Calendar'!$K$2:$K$1000&lt;=$B126)*('Shared Calendar'!$J$2:$J$1000&gt;$B126)*ISNUMBER(SEARCH($L126,'Shared Calendar'!$M$2:$M$1000))*ROW('Shared Calendar'!$A$2:$A$1000)))=0,"",INDEX('Shared Calendar'!$A:$A,SUMPRODUCT(MAX(('Shared Calendar'!$K$2:$K$1000&gt;0)*('Shared Calendar'!$K$2:$K$1000&lt;=$B126)*('Shared Calendar'!$J$2:$J$1000&gt;$B126)*ISNUMBER(SEARCH($L126,'Shared Calendar'!$M$2:$M$1000))*ROW('Shared Calendar'!$A$2:$A$1000))))))</f>
        <v/>
      </c>
      <c r="I126" s="244">
        <f>IF(OR($A126="",$L126=""),"",IF(SUMPRODUCT(('Shared Calendar'!$K$2:$K$1000&gt;0)*('Shared Calendar'!$K$2:$K$1000&lt;=$B126)*('Shared Calendar'!$J$2:$J$1000&gt;$B126)*ISNUMBER(SEARCH($L126,'Shared Calendar'!$M$2:$M$1000))*('Shared Calendar'!$N$2:$N$1000="Leave"))&gt;0,"Leave",""))</f>
        <v/>
      </c>
      <c r="J126" s="244">
        <f>IF($A126="","",IFERROR(INDEX('Public Holidays'!$C$6:$C$38,MATCH($B126,'Public Holidays'!$A$6:$A$38,0))&amp;" ("&amp;INDEX('Public Holidays'!$L$6:$L$38,MATCH($B126,'Public Holidays'!$A$6:$A$38,0))&amp;")",""))</f>
        <v/>
      </c>
      <c r="K126" s="246">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44">
        <f>IF($A126="","",INDEX($B$7:$B$36,INT((ROW()-41)/14)+1)&amp;"")</f>
        <v/>
      </c>
    </row>
    <row r="127">
      <c r="A127" s="244">
        <f>IF(INDEX($A$7:$A$36,INT((ROW()-41)/14)+1)="","",INDEX($A$7:$A$36,INT((ROW()-41)/14)+1))</f>
        <v/>
      </c>
      <c r="B127" s="245">
        <f>IF($A127="","",$B$3+MOD(ROW()-41,14))</f>
        <v/>
      </c>
      <c r="C127" s="244">
        <f>IF($A127="","",TEXT($B127,"ddd"))</f>
        <v/>
      </c>
      <c r="D127" s="242">
        <f>IF($A127="","",SUMIFS('EH Timesheets'!$G$6:$G$1005,'EH Timesheets'!$A$6:$A$1005,$A127,'EH Timesheets'!$B$6:$B$1005,$B127))</f>
        <v/>
      </c>
      <c r="E127" s="242">
        <f>IF($A127="","",SUMIFS('EH Roster'!$G$6:$G$1005,'EH Roster'!$A$6:$A$1005,$A127,'EH Roster'!$B$6:$B$1005,$B127))</f>
        <v/>
      </c>
      <c r="F127" s="242">
        <f>IF($A127="","",$D127-$E127)</f>
        <v/>
      </c>
      <c r="G127" s="242">
        <f>IF($A127="","",IF($L127="",0,SUMPRODUCT(('Shared Calendar'!$K$2:$K$1000&gt;0)*('Shared Calendar'!$K$2:$K$1000&lt;=$B127)*('Shared Calendar'!$J$2:$J$1000&gt;$B127)*ISNUMBER(SEARCH($L127,'Shared Calendar'!$M$2:$M$1000))*('Shared Calendar'!$N$2:$N$1000="Event"),'Shared Calendar'!$L$2:$L$1000)))</f>
        <v/>
      </c>
      <c r="H127" s="246">
        <f>IF(OR($A127="",$L127=""),"",IF(SUMPRODUCT(MAX(('Shared Calendar'!$K$2:$K$1000&gt;0)*('Shared Calendar'!$K$2:$K$1000&lt;=$B127)*('Shared Calendar'!$J$2:$J$1000&gt;$B127)*ISNUMBER(SEARCH($L127,'Shared Calendar'!$M$2:$M$1000))*ROW('Shared Calendar'!$A$2:$A$1000)))=0,"",INDEX('Shared Calendar'!$A:$A,SUMPRODUCT(MAX(('Shared Calendar'!$K$2:$K$1000&gt;0)*('Shared Calendar'!$K$2:$K$1000&lt;=$B127)*('Shared Calendar'!$J$2:$J$1000&gt;$B127)*ISNUMBER(SEARCH($L127,'Shared Calendar'!$M$2:$M$1000))*ROW('Shared Calendar'!$A$2:$A$1000))))))</f>
        <v/>
      </c>
      <c r="I127" s="244">
        <f>IF(OR($A127="",$L127=""),"",IF(SUMPRODUCT(('Shared Calendar'!$K$2:$K$1000&gt;0)*('Shared Calendar'!$K$2:$K$1000&lt;=$B127)*('Shared Calendar'!$J$2:$J$1000&gt;$B127)*ISNUMBER(SEARCH($L127,'Shared Calendar'!$M$2:$M$1000))*('Shared Calendar'!$N$2:$N$1000="Leave"))&gt;0,"Leave",""))</f>
        <v/>
      </c>
      <c r="J127" s="244">
        <f>IF($A127="","",IFERROR(INDEX('Public Holidays'!$C$6:$C$38,MATCH($B127,'Public Holidays'!$A$6:$A$38,0))&amp;" ("&amp;INDEX('Public Holidays'!$L$6:$L$38,MATCH($B127,'Public Holidays'!$A$6:$A$38,0))&amp;")",""))</f>
        <v/>
      </c>
      <c r="K127" s="246">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44">
        <f>IF($A127="","",INDEX($B$7:$B$36,INT((ROW()-41)/14)+1)&amp;"")</f>
        <v/>
      </c>
    </row>
    <row r="128">
      <c r="A128" s="244">
        <f>IF(INDEX($A$7:$A$36,INT((ROW()-41)/14)+1)="","",INDEX($A$7:$A$36,INT((ROW()-41)/14)+1))</f>
        <v/>
      </c>
      <c r="B128" s="245">
        <f>IF($A128="","",$B$3+MOD(ROW()-41,14))</f>
        <v/>
      </c>
      <c r="C128" s="244">
        <f>IF($A128="","",TEXT($B128,"ddd"))</f>
        <v/>
      </c>
      <c r="D128" s="242">
        <f>IF($A128="","",SUMIFS('EH Timesheets'!$G$6:$G$1005,'EH Timesheets'!$A$6:$A$1005,$A128,'EH Timesheets'!$B$6:$B$1005,$B128))</f>
        <v/>
      </c>
      <c r="E128" s="242">
        <f>IF($A128="","",SUMIFS('EH Roster'!$G$6:$G$1005,'EH Roster'!$A$6:$A$1005,$A128,'EH Roster'!$B$6:$B$1005,$B128))</f>
        <v/>
      </c>
      <c r="F128" s="242">
        <f>IF($A128="","",$D128-$E128)</f>
        <v/>
      </c>
      <c r="G128" s="242">
        <f>IF($A128="","",IF($L128="",0,SUMPRODUCT(('Shared Calendar'!$K$2:$K$1000&gt;0)*('Shared Calendar'!$K$2:$K$1000&lt;=$B128)*('Shared Calendar'!$J$2:$J$1000&gt;$B128)*ISNUMBER(SEARCH($L128,'Shared Calendar'!$M$2:$M$1000))*('Shared Calendar'!$N$2:$N$1000="Event"),'Shared Calendar'!$L$2:$L$1000)))</f>
        <v/>
      </c>
      <c r="H128" s="246">
        <f>IF(OR($A128="",$L128=""),"",IF(SUMPRODUCT(MAX(('Shared Calendar'!$K$2:$K$1000&gt;0)*('Shared Calendar'!$K$2:$K$1000&lt;=$B128)*('Shared Calendar'!$J$2:$J$1000&gt;$B128)*ISNUMBER(SEARCH($L128,'Shared Calendar'!$M$2:$M$1000))*ROW('Shared Calendar'!$A$2:$A$1000)))=0,"",INDEX('Shared Calendar'!$A:$A,SUMPRODUCT(MAX(('Shared Calendar'!$K$2:$K$1000&gt;0)*('Shared Calendar'!$K$2:$K$1000&lt;=$B128)*('Shared Calendar'!$J$2:$J$1000&gt;$B128)*ISNUMBER(SEARCH($L128,'Shared Calendar'!$M$2:$M$1000))*ROW('Shared Calendar'!$A$2:$A$1000))))))</f>
        <v/>
      </c>
      <c r="I128" s="244">
        <f>IF(OR($A128="",$L128=""),"",IF(SUMPRODUCT(('Shared Calendar'!$K$2:$K$1000&gt;0)*('Shared Calendar'!$K$2:$K$1000&lt;=$B128)*('Shared Calendar'!$J$2:$J$1000&gt;$B128)*ISNUMBER(SEARCH($L128,'Shared Calendar'!$M$2:$M$1000))*('Shared Calendar'!$N$2:$N$1000="Leave"))&gt;0,"Leave",""))</f>
        <v/>
      </c>
      <c r="J128" s="244">
        <f>IF($A128="","",IFERROR(INDEX('Public Holidays'!$C$6:$C$38,MATCH($B128,'Public Holidays'!$A$6:$A$38,0))&amp;" ("&amp;INDEX('Public Holidays'!$L$6:$L$38,MATCH($B128,'Public Holidays'!$A$6:$A$38,0))&amp;")",""))</f>
        <v/>
      </c>
      <c r="K128" s="246">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44">
        <f>IF($A128="","",INDEX($B$7:$B$36,INT((ROW()-41)/14)+1)&amp;"")</f>
        <v/>
      </c>
    </row>
    <row r="129">
      <c r="A129" s="244">
        <f>IF(INDEX($A$7:$A$36,INT((ROW()-41)/14)+1)="","",INDEX($A$7:$A$36,INT((ROW()-41)/14)+1))</f>
        <v/>
      </c>
      <c r="B129" s="245">
        <f>IF($A129="","",$B$3+MOD(ROW()-41,14))</f>
        <v/>
      </c>
      <c r="C129" s="244">
        <f>IF($A129="","",TEXT($B129,"ddd"))</f>
        <v/>
      </c>
      <c r="D129" s="242">
        <f>IF($A129="","",SUMIFS('EH Timesheets'!$G$6:$G$1005,'EH Timesheets'!$A$6:$A$1005,$A129,'EH Timesheets'!$B$6:$B$1005,$B129))</f>
        <v/>
      </c>
      <c r="E129" s="242">
        <f>IF($A129="","",SUMIFS('EH Roster'!$G$6:$G$1005,'EH Roster'!$A$6:$A$1005,$A129,'EH Roster'!$B$6:$B$1005,$B129))</f>
        <v/>
      </c>
      <c r="F129" s="242">
        <f>IF($A129="","",$D129-$E129)</f>
        <v/>
      </c>
      <c r="G129" s="242">
        <f>IF($A129="","",IF($L129="",0,SUMPRODUCT(('Shared Calendar'!$K$2:$K$1000&gt;0)*('Shared Calendar'!$K$2:$K$1000&lt;=$B129)*('Shared Calendar'!$J$2:$J$1000&gt;$B129)*ISNUMBER(SEARCH($L129,'Shared Calendar'!$M$2:$M$1000))*('Shared Calendar'!$N$2:$N$1000="Event"),'Shared Calendar'!$L$2:$L$1000)))</f>
        <v/>
      </c>
      <c r="H129" s="246">
        <f>IF(OR($A129="",$L129=""),"",IF(SUMPRODUCT(MAX(('Shared Calendar'!$K$2:$K$1000&gt;0)*('Shared Calendar'!$K$2:$K$1000&lt;=$B129)*('Shared Calendar'!$J$2:$J$1000&gt;$B129)*ISNUMBER(SEARCH($L129,'Shared Calendar'!$M$2:$M$1000))*ROW('Shared Calendar'!$A$2:$A$1000)))=0,"",INDEX('Shared Calendar'!$A:$A,SUMPRODUCT(MAX(('Shared Calendar'!$K$2:$K$1000&gt;0)*('Shared Calendar'!$K$2:$K$1000&lt;=$B129)*('Shared Calendar'!$J$2:$J$1000&gt;$B129)*ISNUMBER(SEARCH($L129,'Shared Calendar'!$M$2:$M$1000))*ROW('Shared Calendar'!$A$2:$A$1000))))))</f>
        <v/>
      </c>
      <c r="I129" s="244">
        <f>IF(OR($A129="",$L129=""),"",IF(SUMPRODUCT(('Shared Calendar'!$K$2:$K$1000&gt;0)*('Shared Calendar'!$K$2:$K$1000&lt;=$B129)*('Shared Calendar'!$J$2:$J$1000&gt;$B129)*ISNUMBER(SEARCH($L129,'Shared Calendar'!$M$2:$M$1000))*('Shared Calendar'!$N$2:$N$1000="Leave"))&gt;0,"Leave",""))</f>
        <v/>
      </c>
      <c r="J129" s="244">
        <f>IF($A129="","",IFERROR(INDEX('Public Holidays'!$C$6:$C$38,MATCH($B129,'Public Holidays'!$A$6:$A$38,0))&amp;" ("&amp;INDEX('Public Holidays'!$L$6:$L$38,MATCH($B129,'Public Holidays'!$A$6:$A$38,0))&amp;")",""))</f>
        <v/>
      </c>
      <c r="K129" s="246">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44">
        <f>IF($A129="","",INDEX($B$7:$B$36,INT((ROW()-41)/14)+1)&amp;"")</f>
        <v/>
      </c>
    </row>
    <row r="130">
      <c r="A130" s="244">
        <f>IF(INDEX($A$7:$A$36,INT((ROW()-41)/14)+1)="","",INDEX($A$7:$A$36,INT((ROW()-41)/14)+1))</f>
        <v/>
      </c>
      <c r="B130" s="245">
        <f>IF($A130="","",$B$3+MOD(ROW()-41,14))</f>
        <v/>
      </c>
      <c r="C130" s="244">
        <f>IF($A130="","",TEXT($B130,"ddd"))</f>
        <v/>
      </c>
      <c r="D130" s="242">
        <f>IF($A130="","",SUMIFS('EH Timesheets'!$G$6:$G$1005,'EH Timesheets'!$A$6:$A$1005,$A130,'EH Timesheets'!$B$6:$B$1005,$B130))</f>
        <v/>
      </c>
      <c r="E130" s="242">
        <f>IF($A130="","",SUMIFS('EH Roster'!$G$6:$G$1005,'EH Roster'!$A$6:$A$1005,$A130,'EH Roster'!$B$6:$B$1005,$B130))</f>
        <v/>
      </c>
      <c r="F130" s="242">
        <f>IF($A130="","",$D130-$E130)</f>
        <v/>
      </c>
      <c r="G130" s="242">
        <f>IF($A130="","",IF($L130="",0,SUMPRODUCT(('Shared Calendar'!$K$2:$K$1000&gt;0)*('Shared Calendar'!$K$2:$K$1000&lt;=$B130)*('Shared Calendar'!$J$2:$J$1000&gt;$B130)*ISNUMBER(SEARCH($L130,'Shared Calendar'!$M$2:$M$1000))*('Shared Calendar'!$N$2:$N$1000="Event"),'Shared Calendar'!$L$2:$L$1000)))</f>
        <v/>
      </c>
      <c r="H130" s="246">
        <f>IF(OR($A130="",$L130=""),"",IF(SUMPRODUCT(MAX(('Shared Calendar'!$K$2:$K$1000&gt;0)*('Shared Calendar'!$K$2:$K$1000&lt;=$B130)*('Shared Calendar'!$J$2:$J$1000&gt;$B130)*ISNUMBER(SEARCH($L130,'Shared Calendar'!$M$2:$M$1000))*ROW('Shared Calendar'!$A$2:$A$1000)))=0,"",INDEX('Shared Calendar'!$A:$A,SUMPRODUCT(MAX(('Shared Calendar'!$K$2:$K$1000&gt;0)*('Shared Calendar'!$K$2:$K$1000&lt;=$B130)*('Shared Calendar'!$J$2:$J$1000&gt;$B130)*ISNUMBER(SEARCH($L130,'Shared Calendar'!$M$2:$M$1000))*ROW('Shared Calendar'!$A$2:$A$1000))))))</f>
        <v/>
      </c>
      <c r="I130" s="244">
        <f>IF(OR($A130="",$L130=""),"",IF(SUMPRODUCT(('Shared Calendar'!$K$2:$K$1000&gt;0)*('Shared Calendar'!$K$2:$K$1000&lt;=$B130)*('Shared Calendar'!$J$2:$J$1000&gt;$B130)*ISNUMBER(SEARCH($L130,'Shared Calendar'!$M$2:$M$1000))*('Shared Calendar'!$N$2:$N$1000="Leave"))&gt;0,"Leave",""))</f>
        <v/>
      </c>
      <c r="J130" s="244">
        <f>IF($A130="","",IFERROR(INDEX('Public Holidays'!$C$6:$C$38,MATCH($B130,'Public Holidays'!$A$6:$A$38,0))&amp;" ("&amp;INDEX('Public Holidays'!$L$6:$L$38,MATCH($B130,'Public Holidays'!$A$6:$A$38,0))&amp;")",""))</f>
        <v/>
      </c>
      <c r="K130" s="246">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44">
        <f>IF($A130="","",INDEX($B$7:$B$36,INT((ROW()-41)/14)+1)&amp;"")</f>
        <v/>
      </c>
    </row>
    <row r="131">
      <c r="A131" s="244">
        <f>IF(INDEX($A$7:$A$36,INT((ROW()-41)/14)+1)="","",INDEX($A$7:$A$36,INT((ROW()-41)/14)+1))</f>
        <v/>
      </c>
      <c r="B131" s="245">
        <f>IF($A131="","",$B$3+MOD(ROW()-41,14))</f>
        <v/>
      </c>
      <c r="C131" s="244">
        <f>IF($A131="","",TEXT($B131,"ddd"))</f>
        <v/>
      </c>
      <c r="D131" s="242">
        <f>IF($A131="","",SUMIFS('EH Timesheets'!$G$6:$G$1005,'EH Timesheets'!$A$6:$A$1005,$A131,'EH Timesheets'!$B$6:$B$1005,$B131))</f>
        <v/>
      </c>
      <c r="E131" s="242">
        <f>IF($A131="","",SUMIFS('EH Roster'!$G$6:$G$1005,'EH Roster'!$A$6:$A$1005,$A131,'EH Roster'!$B$6:$B$1005,$B131))</f>
        <v/>
      </c>
      <c r="F131" s="242">
        <f>IF($A131="","",$D131-$E131)</f>
        <v/>
      </c>
      <c r="G131" s="242">
        <f>IF($A131="","",IF($L131="",0,SUMPRODUCT(('Shared Calendar'!$K$2:$K$1000&gt;0)*('Shared Calendar'!$K$2:$K$1000&lt;=$B131)*('Shared Calendar'!$J$2:$J$1000&gt;$B131)*ISNUMBER(SEARCH($L131,'Shared Calendar'!$M$2:$M$1000))*('Shared Calendar'!$N$2:$N$1000="Event"),'Shared Calendar'!$L$2:$L$1000)))</f>
        <v/>
      </c>
      <c r="H131" s="246">
        <f>IF(OR($A131="",$L131=""),"",IF(SUMPRODUCT(MAX(('Shared Calendar'!$K$2:$K$1000&gt;0)*('Shared Calendar'!$K$2:$K$1000&lt;=$B131)*('Shared Calendar'!$J$2:$J$1000&gt;$B131)*ISNUMBER(SEARCH($L131,'Shared Calendar'!$M$2:$M$1000))*ROW('Shared Calendar'!$A$2:$A$1000)))=0,"",INDEX('Shared Calendar'!$A:$A,SUMPRODUCT(MAX(('Shared Calendar'!$K$2:$K$1000&gt;0)*('Shared Calendar'!$K$2:$K$1000&lt;=$B131)*('Shared Calendar'!$J$2:$J$1000&gt;$B131)*ISNUMBER(SEARCH($L131,'Shared Calendar'!$M$2:$M$1000))*ROW('Shared Calendar'!$A$2:$A$1000))))))</f>
        <v/>
      </c>
      <c r="I131" s="244">
        <f>IF(OR($A131="",$L131=""),"",IF(SUMPRODUCT(('Shared Calendar'!$K$2:$K$1000&gt;0)*('Shared Calendar'!$K$2:$K$1000&lt;=$B131)*('Shared Calendar'!$J$2:$J$1000&gt;$B131)*ISNUMBER(SEARCH($L131,'Shared Calendar'!$M$2:$M$1000))*('Shared Calendar'!$N$2:$N$1000="Leave"))&gt;0,"Leave",""))</f>
        <v/>
      </c>
      <c r="J131" s="244">
        <f>IF($A131="","",IFERROR(INDEX('Public Holidays'!$C$6:$C$38,MATCH($B131,'Public Holidays'!$A$6:$A$38,0))&amp;" ("&amp;INDEX('Public Holidays'!$L$6:$L$38,MATCH($B131,'Public Holidays'!$A$6:$A$38,0))&amp;")",""))</f>
        <v/>
      </c>
      <c r="K131" s="246">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44">
        <f>IF($A131="","",INDEX($B$7:$B$36,INT((ROW()-41)/14)+1)&amp;"")</f>
        <v/>
      </c>
    </row>
    <row r="132">
      <c r="A132" s="244">
        <f>IF(INDEX($A$7:$A$36,INT((ROW()-41)/14)+1)="","",INDEX($A$7:$A$36,INT((ROW()-41)/14)+1))</f>
        <v/>
      </c>
      <c r="B132" s="245">
        <f>IF($A132="","",$B$3+MOD(ROW()-41,14))</f>
        <v/>
      </c>
      <c r="C132" s="244">
        <f>IF($A132="","",TEXT($B132,"ddd"))</f>
        <v/>
      </c>
      <c r="D132" s="242">
        <f>IF($A132="","",SUMIFS('EH Timesheets'!$G$6:$G$1005,'EH Timesheets'!$A$6:$A$1005,$A132,'EH Timesheets'!$B$6:$B$1005,$B132))</f>
        <v/>
      </c>
      <c r="E132" s="242">
        <f>IF($A132="","",SUMIFS('EH Roster'!$G$6:$G$1005,'EH Roster'!$A$6:$A$1005,$A132,'EH Roster'!$B$6:$B$1005,$B132))</f>
        <v/>
      </c>
      <c r="F132" s="242">
        <f>IF($A132="","",$D132-$E132)</f>
        <v/>
      </c>
      <c r="G132" s="242">
        <f>IF($A132="","",IF($L132="",0,SUMPRODUCT(('Shared Calendar'!$K$2:$K$1000&gt;0)*('Shared Calendar'!$K$2:$K$1000&lt;=$B132)*('Shared Calendar'!$J$2:$J$1000&gt;$B132)*ISNUMBER(SEARCH($L132,'Shared Calendar'!$M$2:$M$1000))*('Shared Calendar'!$N$2:$N$1000="Event"),'Shared Calendar'!$L$2:$L$1000)))</f>
        <v/>
      </c>
      <c r="H132" s="246">
        <f>IF(OR($A132="",$L132=""),"",IF(SUMPRODUCT(MAX(('Shared Calendar'!$K$2:$K$1000&gt;0)*('Shared Calendar'!$K$2:$K$1000&lt;=$B132)*('Shared Calendar'!$J$2:$J$1000&gt;$B132)*ISNUMBER(SEARCH($L132,'Shared Calendar'!$M$2:$M$1000))*ROW('Shared Calendar'!$A$2:$A$1000)))=0,"",INDEX('Shared Calendar'!$A:$A,SUMPRODUCT(MAX(('Shared Calendar'!$K$2:$K$1000&gt;0)*('Shared Calendar'!$K$2:$K$1000&lt;=$B132)*('Shared Calendar'!$J$2:$J$1000&gt;$B132)*ISNUMBER(SEARCH($L132,'Shared Calendar'!$M$2:$M$1000))*ROW('Shared Calendar'!$A$2:$A$1000))))))</f>
        <v/>
      </c>
      <c r="I132" s="244">
        <f>IF(OR($A132="",$L132=""),"",IF(SUMPRODUCT(('Shared Calendar'!$K$2:$K$1000&gt;0)*('Shared Calendar'!$K$2:$K$1000&lt;=$B132)*('Shared Calendar'!$J$2:$J$1000&gt;$B132)*ISNUMBER(SEARCH($L132,'Shared Calendar'!$M$2:$M$1000))*('Shared Calendar'!$N$2:$N$1000="Leave"))&gt;0,"Leave",""))</f>
        <v/>
      </c>
      <c r="J132" s="244">
        <f>IF($A132="","",IFERROR(INDEX('Public Holidays'!$C$6:$C$38,MATCH($B132,'Public Holidays'!$A$6:$A$38,0))&amp;" ("&amp;INDEX('Public Holidays'!$L$6:$L$38,MATCH($B132,'Public Holidays'!$A$6:$A$38,0))&amp;")",""))</f>
        <v/>
      </c>
      <c r="K132" s="246">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44">
        <f>IF($A132="","",INDEX($B$7:$B$36,INT((ROW()-41)/14)+1)&amp;"")</f>
        <v/>
      </c>
    </row>
    <row r="133">
      <c r="A133" s="244">
        <f>IF(INDEX($A$7:$A$36,INT((ROW()-41)/14)+1)="","",INDEX($A$7:$A$36,INT((ROW()-41)/14)+1))</f>
        <v/>
      </c>
      <c r="B133" s="245">
        <f>IF($A133="","",$B$3+MOD(ROW()-41,14))</f>
        <v/>
      </c>
      <c r="C133" s="244">
        <f>IF($A133="","",TEXT($B133,"ddd"))</f>
        <v/>
      </c>
      <c r="D133" s="242">
        <f>IF($A133="","",SUMIFS('EH Timesheets'!$G$6:$G$1005,'EH Timesheets'!$A$6:$A$1005,$A133,'EH Timesheets'!$B$6:$B$1005,$B133))</f>
        <v/>
      </c>
      <c r="E133" s="242">
        <f>IF($A133="","",SUMIFS('EH Roster'!$G$6:$G$1005,'EH Roster'!$A$6:$A$1005,$A133,'EH Roster'!$B$6:$B$1005,$B133))</f>
        <v/>
      </c>
      <c r="F133" s="242">
        <f>IF($A133="","",$D133-$E133)</f>
        <v/>
      </c>
      <c r="G133" s="242">
        <f>IF($A133="","",IF($L133="",0,SUMPRODUCT(('Shared Calendar'!$K$2:$K$1000&gt;0)*('Shared Calendar'!$K$2:$K$1000&lt;=$B133)*('Shared Calendar'!$J$2:$J$1000&gt;$B133)*ISNUMBER(SEARCH($L133,'Shared Calendar'!$M$2:$M$1000))*('Shared Calendar'!$N$2:$N$1000="Event"),'Shared Calendar'!$L$2:$L$1000)))</f>
        <v/>
      </c>
      <c r="H133" s="246">
        <f>IF(OR($A133="",$L133=""),"",IF(SUMPRODUCT(MAX(('Shared Calendar'!$K$2:$K$1000&gt;0)*('Shared Calendar'!$K$2:$K$1000&lt;=$B133)*('Shared Calendar'!$J$2:$J$1000&gt;$B133)*ISNUMBER(SEARCH($L133,'Shared Calendar'!$M$2:$M$1000))*ROW('Shared Calendar'!$A$2:$A$1000)))=0,"",INDEX('Shared Calendar'!$A:$A,SUMPRODUCT(MAX(('Shared Calendar'!$K$2:$K$1000&gt;0)*('Shared Calendar'!$K$2:$K$1000&lt;=$B133)*('Shared Calendar'!$J$2:$J$1000&gt;$B133)*ISNUMBER(SEARCH($L133,'Shared Calendar'!$M$2:$M$1000))*ROW('Shared Calendar'!$A$2:$A$1000))))))</f>
        <v/>
      </c>
      <c r="I133" s="244">
        <f>IF(OR($A133="",$L133=""),"",IF(SUMPRODUCT(('Shared Calendar'!$K$2:$K$1000&gt;0)*('Shared Calendar'!$K$2:$K$1000&lt;=$B133)*('Shared Calendar'!$J$2:$J$1000&gt;$B133)*ISNUMBER(SEARCH($L133,'Shared Calendar'!$M$2:$M$1000))*('Shared Calendar'!$N$2:$N$1000="Leave"))&gt;0,"Leave",""))</f>
        <v/>
      </c>
      <c r="J133" s="244">
        <f>IF($A133="","",IFERROR(INDEX('Public Holidays'!$C$6:$C$38,MATCH($B133,'Public Holidays'!$A$6:$A$38,0))&amp;" ("&amp;INDEX('Public Holidays'!$L$6:$L$38,MATCH($B133,'Public Holidays'!$A$6:$A$38,0))&amp;")",""))</f>
        <v/>
      </c>
      <c r="K133" s="246">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44">
        <f>IF($A133="","",INDEX($B$7:$B$36,INT((ROW()-41)/14)+1)&amp;"")</f>
        <v/>
      </c>
    </row>
    <row r="134">
      <c r="A134" s="244">
        <f>IF(INDEX($A$7:$A$36,INT((ROW()-41)/14)+1)="","",INDEX($A$7:$A$36,INT((ROW()-41)/14)+1))</f>
        <v/>
      </c>
      <c r="B134" s="245">
        <f>IF($A134="","",$B$3+MOD(ROW()-41,14))</f>
        <v/>
      </c>
      <c r="C134" s="244">
        <f>IF($A134="","",TEXT($B134,"ddd"))</f>
        <v/>
      </c>
      <c r="D134" s="242">
        <f>IF($A134="","",SUMIFS('EH Timesheets'!$G$6:$G$1005,'EH Timesheets'!$A$6:$A$1005,$A134,'EH Timesheets'!$B$6:$B$1005,$B134))</f>
        <v/>
      </c>
      <c r="E134" s="242">
        <f>IF($A134="","",SUMIFS('EH Roster'!$G$6:$G$1005,'EH Roster'!$A$6:$A$1005,$A134,'EH Roster'!$B$6:$B$1005,$B134))</f>
        <v/>
      </c>
      <c r="F134" s="242">
        <f>IF($A134="","",$D134-$E134)</f>
        <v/>
      </c>
      <c r="G134" s="242">
        <f>IF($A134="","",IF($L134="",0,SUMPRODUCT(('Shared Calendar'!$K$2:$K$1000&gt;0)*('Shared Calendar'!$K$2:$K$1000&lt;=$B134)*('Shared Calendar'!$J$2:$J$1000&gt;$B134)*ISNUMBER(SEARCH($L134,'Shared Calendar'!$M$2:$M$1000))*('Shared Calendar'!$N$2:$N$1000="Event"),'Shared Calendar'!$L$2:$L$1000)))</f>
        <v/>
      </c>
      <c r="H134" s="246">
        <f>IF(OR($A134="",$L134=""),"",IF(SUMPRODUCT(MAX(('Shared Calendar'!$K$2:$K$1000&gt;0)*('Shared Calendar'!$K$2:$K$1000&lt;=$B134)*('Shared Calendar'!$J$2:$J$1000&gt;$B134)*ISNUMBER(SEARCH($L134,'Shared Calendar'!$M$2:$M$1000))*ROW('Shared Calendar'!$A$2:$A$1000)))=0,"",INDEX('Shared Calendar'!$A:$A,SUMPRODUCT(MAX(('Shared Calendar'!$K$2:$K$1000&gt;0)*('Shared Calendar'!$K$2:$K$1000&lt;=$B134)*('Shared Calendar'!$J$2:$J$1000&gt;$B134)*ISNUMBER(SEARCH($L134,'Shared Calendar'!$M$2:$M$1000))*ROW('Shared Calendar'!$A$2:$A$1000))))))</f>
        <v/>
      </c>
      <c r="I134" s="244">
        <f>IF(OR($A134="",$L134=""),"",IF(SUMPRODUCT(('Shared Calendar'!$K$2:$K$1000&gt;0)*('Shared Calendar'!$K$2:$K$1000&lt;=$B134)*('Shared Calendar'!$J$2:$J$1000&gt;$B134)*ISNUMBER(SEARCH($L134,'Shared Calendar'!$M$2:$M$1000))*('Shared Calendar'!$N$2:$N$1000="Leave"))&gt;0,"Leave",""))</f>
        <v/>
      </c>
      <c r="J134" s="244">
        <f>IF($A134="","",IFERROR(INDEX('Public Holidays'!$C$6:$C$38,MATCH($B134,'Public Holidays'!$A$6:$A$38,0))&amp;" ("&amp;INDEX('Public Holidays'!$L$6:$L$38,MATCH($B134,'Public Holidays'!$A$6:$A$38,0))&amp;")",""))</f>
        <v/>
      </c>
      <c r="K134" s="246">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44">
        <f>IF($A134="","",INDEX($B$7:$B$36,INT((ROW()-41)/14)+1)&amp;"")</f>
        <v/>
      </c>
    </row>
    <row r="135">
      <c r="A135" s="244">
        <f>IF(INDEX($A$7:$A$36,INT((ROW()-41)/14)+1)="","",INDEX($A$7:$A$36,INT((ROW()-41)/14)+1))</f>
        <v/>
      </c>
      <c r="B135" s="245">
        <f>IF($A135="","",$B$3+MOD(ROW()-41,14))</f>
        <v/>
      </c>
      <c r="C135" s="244">
        <f>IF($A135="","",TEXT($B135,"ddd"))</f>
        <v/>
      </c>
      <c r="D135" s="242">
        <f>IF($A135="","",SUMIFS('EH Timesheets'!$G$6:$G$1005,'EH Timesheets'!$A$6:$A$1005,$A135,'EH Timesheets'!$B$6:$B$1005,$B135))</f>
        <v/>
      </c>
      <c r="E135" s="242">
        <f>IF($A135="","",SUMIFS('EH Roster'!$G$6:$G$1005,'EH Roster'!$A$6:$A$1005,$A135,'EH Roster'!$B$6:$B$1005,$B135))</f>
        <v/>
      </c>
      <c r="F135" s="242">
        <f>IF($A135="","",$D135-$E135)</f>
        <v/>
      </c>
      <c r="G135" s="242">
        <f>IF($A135="","",IF($L135="",0,SUMPRODUCT(('Shared Calendar'!$K$2:$K$1000&gt;0)*('Shared Calendar'!$K$2:$K$1000&lt;=$B135)*('Shared Calendar'!$J$2:$J$1000&gt;$B135)*ISNUMBER(SEARCH($L135,'Shared Calendar'!$M$2:$M$1000))*('Shared Calendar'!$N$2:$N$1000="Event"),'Shared Calendar'!$L$2:$L$1000)))</f>
        <v/>
      </c>
      <c r="H135" s="246">
        <f>IF(OR($A135="",$L135=""),"",IF(SUMPRODUCT(MAX(('Shared Calendar'!$K$2:$K$1000&gt;0)*('Shared Calendar'!$K$2:$K$1000&lt;=$B135)*('Shared Calendar'!$J$2:$J$1000&gt;$B135)*ISNUMBER(SEARCH($L135,'Shared Calendar'!$M$2:$M$1000))*ROW('Shared Calendar'!$A$2:$A$1000)))=0,"",INDEX('Shared Calendar'!$A:$A,SUMPRODUCT(MAX(('Shared Calendar'!$K$2:$K$1000&gt;0)*('Shared Calendar'!$K$2:$K$1000&lt;=$B135)*('Shared Calendar'!$J$2:$J$1000&gt;$B135)*ISNUMBER(SEARCH($L135,'Shared Calendar'!$M$2:$M$1000))*ROW('Shared Calendar'!$A$2:$A$1000))))))</f>
        <v/>
      </c>
      <c r="I135" s="244">
        <f>IF(OR($A135="",$L135=""),"",IF(SUMPRODUCT(('Shared Calendar'!$K$2:$K$1000&gt;0)*('Shared Calendar'!$K$2:$K$1000&lt;=$B135)*('Shared Calendar'!$J$2:$J$1000&gt;$B135)*ISNUMBER(SEARCH($L135,'Shared Calendar'!$M$2:$M$1000))*('Shared Calendar'!$N$2:$N$1000="Leave"))&gt;0,"Leave",""))</f>
        <v/>
      </c>
      <c r="J135" s="244">
        <f>IF($A135="","",IFERROR(INDEX('Public Holidays'!$C$6:$C$38,MATCH($B135,'Public Holidays'!$A$6:$A$38,0))&amp;" ("&amp;INDEX('Public Holidays'!$L$6:$L$38,MATCH($B135,'Public Holidays'!$A$6:$A$38,0))&amp;")",""))</f>
        <v/>
      </c>
      <c r="K135" s="246">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44">
        <f>IF($A135="","",INDEX($B$7:$B$36,INT((ROW()-41)/14)+1)&amp;"")</f>
        <v/>
      </c>
    </row>
    <row r="136">
      <c r="A136" s="244">
        <f>IF(INDEX($A$7:$A$36,INT((ROW()-41)/14)+1)="","",INDEX($A$7:$A$36,INT((ROW()-41)/14)+1))</f>
        <v/>
      </c>
      <c r="B136" s="245">
        <f>IF($A136="","",$B$3+MOD(ROW()-41,14))</f>
        <v/>
      </c>
      <c r="C136" s="244">
        <f>IF($A136="","",TEXT($B136,"ddd"))</f>
        <v/>
      </c>
      <c r="D136" s="242">
        <f>IF($A136="","",SUMIFS('EH Timesheets'!$G$6:$G$1005,'EH Timesheets'!$A$6:$A$1005,$A136,'EH Timesheets'!$B$6:$B$1005,$B136))</f>
        <v/>
      </c>
      <c r="E136" s="242">
        <f>IF($A136="","",SUMIFS('EH Roster'!$G$6:$G$1005,'EH Roster'!$A$6:$A$1005,$A136,'EH Roster'!$B$6:$B$1005,$B136))</f>
        <v/>
      </c>
      <c r="F136" s="242">
        <f>IF($A136="","",$D136-$E136)</f>
        <v/>
      </c>
      <c r="G136" s="242">
        <f>IF($A136="","",IF($L136="",0,SUMPRODUCT(('Shared Calendar'!$K$2:$K$1000&gt;0)*('Shared Calendar'!$K$2:$K$1000&lt;=$B136)*('Shared Calendar'!$J$2:$J$1000&gt;$B136)*ISNUMBER(SEARCH($L136,'Shared Calendar'!$M$2:$M$1000))*('Shared Calendar'!$N$2:$N$1000="Event"),'Shared Calendar'!$L$2:$L$1000)))</f>
        <v/>
      </c>
      <c r="H136" s="246">
        <f>IF(OR($A136="",$L136=""),"",IF(SUMPRODUCT(MAX(('Shared Calendar'!$K$2:$K$1000&gt;0)*('Shared Calendar'!$K$2:$K$1000&lt;=$B136)*('Shared Calendar'!$J$2:$J$1000&gt;$B136)*ISNUMBER(SEARCH($L136,'Shared Calendar'!$M$2:$M$1000))*ROW('Shared Calendar'!$A$2:$A$1000)))=0,"",INDEX('Shared Calendar'!$A:$A,SUMPRODUCT(MAX(('Shared Calendar'!$K$2:$K$1000&gt;0)*('Shared Calendar'!$K$2:$K$1000&lt;=$B136)*('Shared Calendar'!$J$2:$J$1000&gt;$B136)*ISNUMBER(SEARCH($L136,'Shared Calendar'!$M$2:$M$1000))*ROW('Shared Calendar'!$A$2:$A$1000))))))</f>
        <v/>
      </c>
      <c r="I136" s="244">
        <f>IF(OR($A136="",$L136=""),"",IF(SUMPRODUCT(('Shared Calendar'!$K$2:$K$1000&gt;0)*('Shared Calendar'!$K$2:$K$1000&lt;=$B136)*('Shared Calendar'!$J$2:$J$1000&gt;$B136)*ISNUMBER(SEARCH($L136,'Shared Calendar'!$M$2:$M$1000))*('Shared Calendar'!$N$2:$N$1000="Leave"))&gt;0,"Leave",""))</f>
        <v/>
      </c>
      <c r="J136" s="244">
        <f>IF($A136="","",IFERROR(INDEX('Public Holidays'!$C$6:$C$38,MATCH($B136,'Public Holidays'!$A$6:$A$38,0))&amp;" ("&amp;INDEX('Public Holidays'!$L$6:$L$38,MATCH($B136,'Public Holidays'!$A$6:$A$38,0))&amp;")",""))</f>
        <v/>
      </c>
      <c r="K136" s="246">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44">
        <f>IF($A136="","",INDEX($B$7:$B$36,INT((ROW()-41)/14)+1)&amp;"")</f>
        <v/>
      </c>
    </row>
    <row r="137">
      <c r="A137" s="244">
        <f>IF(INDEX($A$7:$A$36,INT((ROW()-41)/14)+1)="","",INDEX($A$7:$A$36,INT((ROW()-41)/14)+1))</f>
        <v/>
      </c>
      <c r="B137" s="245">
        <f>IF($A137="","",$B$3+MOD(ROW()-41,14))</f>
        <v/>
      </c>
      <c r="C137" s="244">
        <f>IF($A137="","",TEXT($B137,"ddd"))</f>
        <v/>
      </c>
      <c r="D137" s="242">
        <f>IF($A137="","",SUMIFS('EH Timesheets'!$G$6:$G$1005,'EH Timesheets'!$A$6:$A$1005,$A137,'EH Timesheets'!$B$6:$B$1005,$B137))</f>
        <v/>
      </c>
      <c r="E137" s="242">
        <f>IF($A137="","",SUMIFS('EH Roster'!$G$6:$G$1005,'EH Roster'!$A$6:$A$1005,$A137,'EH Roster'!$B$6:$B$1005,$B137))</f>
        <v/>
      </c>
      <c r="F137" s="242">
        <f>IF($A137="","",$D137-$E137)</f>
        <v/>
      </c>
      <c r="G137" s="242">
        <f>IF($A137="","",IF($L137="",0,SUMPRODUCT(('Shared Calendar'!$K$2:$K$1000&gt;0)*('Shared Calendar'!$K$2:$K$1000&lt;=$B137)*('Shared Calendar'!$J$2:$J$1000&gt;$B137)*ISNUMBER(SEARCH($L137,'Shared Calendar'!$M$2:$M$1000))*('Shared Calendar'!$N$2:$N$1000="Event"),'Shared Calendar'!$L$2:$L$1000)))</f>
        <v/>
      </c>
      <c r="H137" s="246">
        <f>IF(OR($A137="",$L137=""),"",IF(SUMPRODUCT(MAX(('Shared Calendar'!$K$2:$K$1000&gt;0)*('Shared Calendar'!$K$2:$K$1000&lt;=$B137)*('Shared Calendar'!$J$2:$J$1000&gt;$B137)*ISNUMBER(SEARCH($L137,'Shared Calendar'!$M$2:$M$1000))*ROW('Shared Calendar'!$A$2:$A$1000)))=0,"",INDEX('Shared Calendar'!$A:$A,SUMPRODUCT(MAX(('Shared Calendar'!$K$2:$K$1000&gt;0)*('Shared Calendar'!$K$2:$K$1000&lt;=$B137)*('Shared Calendar'!$J$2:$J$1000&gt;$B137)*ISNUMBER(SEARCH($L137,'Shared Calendar'!$M$2:$M$1000))*ROW('Shared Calendar'!$A$2:$A$1000))))))</f>
        <v/>
      </c>
      <c r="I137" s="244">
        <f>IF(OR($A137="",$L137=""),"",IF(SUMPRODUCT(('Shared Calendar'!$K$2:$K$1000&gt;0)*('Shared Calendar'!$K$2:$K$1000&lt;=$B137)*('Shared Calendar'!$J$2:$J$1000&gt;$B137)*ISNUMBER(SEARCH($L137,'Shared Calendar'!$M$2:$M$1000))*('Shared Calendar'!$N$2:$N$1000="Leave"))&gt;0,"Leave",""))</f>
        <v/>
      </c>
      <c r="J137" s="244">
        <f>IF($A137="","",IFERROR(INDEX('Public Holidays'!$C$6:$C$38,MATCH($B137,'Public Holidays'!$A$6:$A$38,0))&amp;" ("&amp;INDEX('Public Holidays'!$L$6:$L$38,MATCH($B137,'Public Holidays'!$A$6:$A$38,0))&amp;")",""))</f>
        <v/>
      </c>
      <c r="K137" s="246">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44">
        <f>IF($A137="","",INDEX($B$7:$B$36,INT((ROW()-41)/14)+1)&amp;"")</f>
        <v/>
      </c>
    </row>
    <row r="138">
      <c r="A138" s="244">
        <f>IF(INDEX($A$7:$A$36,INT((ROW()-41)/14)+1)="","",INDEX($A$7:$A$36,INT((ROW()-41)/14)+1))</f>
        <v/>
      </c>
      <c r="B138" s="245">
        <f>IF($A138="","",$B$3+MOD(ROW()-41,14))</f>
        <v/>
      </c>
      <c r="C138" s="244">
        <f>IF($A138="","",TEXT($B138,"ddd"))</f>
        <v/>
      </c>
      <c r="D138" s="242">
        <f>IF($A138="","",SUMIFS('EH Timesheets'!$G$6:$G$1005,'EH Timesheets'!$A$6:$A$1005,$A138,'EH Timesheets'!$B$6:$B$1005,$B138))</f>
        <v/>
      </c>
      <c r="E138" s="242">
        <f>IF($A138="","",SUMIFS('EH Roster'!$G$6:$G$1005,'EH Roster'!$A$6:$A$1005,$A138,'EH Roster'!$B$6:$B$1005,$B138))</f>
        <v/>
      </c>
      <c r="F138" s="242">
        <f>IF($A138="","",$D138-$E138)</f>
        <v/>
      </c>
      <c r="G138" s="242">
        <f>IF($A138="","",IF($L138="",0,SUMPRODUCT(('Shared Calendar'!$K$2:$K$1000&gt;0)*('Shared Calendar'!$K$2:$K$1000&lt;=$B138)*('Shared Calendar'!$J$2:$J$1000&gt;$B138)*ISNUMBER(SEARCH($L138,'Shared Calendar'!$M$2:$M$1000))*('Shared Calendar'!$N$2:$N$1000="Event"),'Shared Calendar'!$L$2:$L$1000)))</f>
        <v/>
      </c>
      <c r="H138" s="246">
        <f>IF(OR($A138="",$L138=""),"",IF(SUMPRODUCT(MAX(('Shared Calendar'!$K$2:$K$1000&gt;0)*('Shared Calendar'!$K$2:$K$1000&lt;=$B138)*('Shared Calendar'!$J$2:$J$1000&gt;$B138)*ISNUMBER(SEARCH($L138,'Shared Calendar'!$M$2:$M$1000))*ROW('Shared Calendar'!$A$2:$A$1000)))=0,"",INDEX('Shared Calendar'!$A:$A,SUMPRODUCT(MAX(('Shared Calendar'!$K$2:$K$1000&gt;0)*('Shared Calendar'!$K$2:$K$1000&lt;=$B138)*('Shared Calendar'!$J$2:$J$1000&gt;$B138)*ISNUMBER(SEARCH($L138,'Shared Calendar'!$M$2:$M$1000))*ROW('Shared Calendar'!$A$2:$A$1000))))))</f>
        <v/>
      </c>
      <c r="I138" s="244">
        <f>IF(OR($A138="",$L138=""),"",IF(SUMPRODUCT(('Shared Calendar'!$K$2:$K$1000&gt;0)*('Shared Calendar'!$K$2:$K$1000&lt;=$B138)*('Shared Calendar'!$J$2:$J$1000&gt;$B138)*ISNUMBER(SEARCH($L138,'Shared Calendar'!$M$2:$M$1000))*('Shared Calendar'!$N$2:$N$1000="Leave"))&gt;0,"Leave",""))</f>
        <v/>
      </c>
      <c r="J138" s="244">
        <f>IF($A138="","",IFERROR(INDEX('Public Holidays'!$C$6:$C$38,MATCH($B138,'Public Holidays'!$A$6:$A$38,0))&amp;" ("&amp;INDEX('Public Holidays'!$L$6:$L$38,MATCH($B138,'Public Holidays'!$A$6:$A$38,0))&amp;")",""))</f>
        <v/>
      </c>
      <c r="K138" s="246">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44">
        <f>IF($A138="","",INDEX($B$7:$B$36,INT((ROW()-41)/14)+1)&amp;"")</f>
        <v/>
      </c>
    </row>
    <row r="139">
      <c r="A139" s="244">
        <f>IF(INDEX($A$7:$A$36,INT((ROW()-41)/14)+1)="","",INDEX($A$7:$A$36,INT((ROW()-41)/14)+1))</f>
        <v/>
      </c>
      <c r="B139" s="245">
        <f>IF($A139="","",$B$3+MOD(ROW()-41,14))</f>
        <v/>
      </c>
      <c r="C139" s="244">
        <f>IF($A139="","",TEXT($B139,"ddd"))</f>
        <v/>
      </c>
      <c r="D139" s="242">
        <f>IF($A139="","",SUMIFS('EH Timesheets'!$G$6:$G$1005,'EH Timesheets'!$A$6:$A$1005,$A139,'EH Timesheets'!$B$6:$B$1005,$B139))</f>
        <v/>
      </c>
      <c r="E139" s="242">
        <f>IF($A139="","",SUMIFS('EH Roster'!$G$6:$G$1005,'EH Roster'!$A$6:$A$1005,$A139,'EH Roster'!$B$6:$B$1005,$B139))</f>
        <v/>
      </c>
      <c r="F139" s="242">
        <f>IF($A139="","",$D139-$E139)</f>
        <v/>
      </c>
      <c r="G139" s="242">
        <f>IF($A139="","",IF($L139="",0,SUMPRODUCT(('Shared Calendar'!$K$2:$K$1000&gt;0)*('Shared Calendar'!$K$2:$K$1000&lt;=$B139)*('Shared Calendar'!$J$2:$J$1000&gt;$B139)*ISNUMBER(SEARCH($L139,'Shared Calendar'!$M$2:$M$1000))*('Shared Calendar'!$N$2:$N$1000="Event"),'Shared Calendar'!$L$2:$L$1000)))</f>
        <v/>
      </c>
      <c r="H139" s="246">
        <f>IF(OR($A139="",$L139=""),"",IF(SUMPRODUCT(MAX(('Shared Calendar'!$K$2:$K$1000&gt;0)*('Shared Calendar'!$K$2:$K$1000&lt;=$B139)*('Shared Calendar'!$J$2:$J$1000&gt;$B139)*ISNUMBER(SEARCH($L139,'Shared Calendar'!$M$2:$M$1000))*ROW('Shared Calendar'!$A$2:$A$1000)))=0,"",INDEX('Shared Calendar'!$A:$A,SUMPRODUCT(MAX(('Shared Calendar'!$K$2:$K$1000&gt;0)*('Shared Calendar'!$K$2:$K$1000&lt;=$B139)*('Shared Calendar'!$J$2:$J$1000&gt;$B139)*ISNUMBER(SEARCH($L139,'Shared Calendar'!$M$2:$M$1000))*ROW('Shared Calendar'!$A$2:$A$1000))))))</f>
        <v/>
      </c>
      <c r="I139" s="244">
        <f>IF(OR($A139="",$L139=""),"",IF(SUMPRODUCT(('Shared Calendar'!$K$2:$K$1000&gt;0)*('Shared Calendar'!$K$2:$K$1000&lt;=$B139)*('Shared Calendar'!$J$2:$J$1000&gt;$B139)*ISNUMBER(SEARCH($L139,'Shared Calendar'!$M$2:$M$1000))*('Shared Calendar'!$N$2:$N$1000="Leave"))&gt;0,"Leave",""))</f>
        <v/>
      </c>
      <c r="J139" s="244">
        <f>IF($A139="","",IFERROR(INDEX('Public Holidays'!$C$6:$C$38,MATCH($B139,'Public Holidays'!$A$6:$A$38,0))&amp;" ("&amp;INDEX('Public Holidays'!$L$6:$L$38,MATCH($B139,'Public Holidays'!$A$6:$A$38,0))&amp;")",""))</f>
        <v/>
      </c>
      <c r="K139" s="246">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44">
        <f>IF($A139="","",INDEX($B$7:$B$36,INT((ROW()-41)/14)+1)&amp;"")</f>
        <v/>
      </c>
    </row>
    <row r="140">
      <c r="A140" s="244">
        <f>IF(INDEX($A$7:$A$36,INT((ROW()-41)/14)+1)="","",INDEX($A$7:$A$36,INT((ROW()-41)/14)+1))</f>
        <v/>
      </c>
      <c r="B140" s="245">
        <f>IF($A140="","",$B$3+MOD(ROW()-41,14))</f>
        <v/>
      </c>
      <c r="C140" s="244">
        <f>IF($A140="","",TEXT($B140,"ddd"))</f>
        <v/>
      </c>
      <c r="D140" s="242">
        <f>IF($A140="","",SUMIFS('EH Timesheets'!$G$6:$G$1005,'EH Timesheets'!$A$6:$A$1005,$A140,'EH Timesheets'!$B$6:$B$1005,$B140))</f>
        <v/>
      </c>
      <c r="E140" s="242">
        <f>IF($A140="","",SUMIFS('EH Roster'!$G$6:$G$1005,'EH Roster'!$A$6:$A$1005,$A140,'EH Roster'!$B$6:$B$1005,$B140))</f>
        <v/>
      </c>
      <c r="F140" s="242">
        <f>IF($A140="","",$D140-$E140)</f>
        <v/>
      </c>
      <c r="G140" s="242">
        <f>IF($A140="","",IF($L140="",0,SUMPRODUCT(('Shared Calendar'!$K$2:$K$1000&gt;0)*('Shared Calendar'!$K$2:$K$1000&lt;=$B140)*('Shared Calendar'!$J$2:$J$1000&gt;$B140)*ISNUMBER(SEARCH($L140,'Shared Calendar'!$M$2:$M$1000))*('Shared Calendar'!$N$2:$N$1000="Event"),'Shared Calendar'!$L$2:$L$1000)))</f>
        <v/>
      </c>
      <c r="H140" s="246">
        <f>IF(OR($A140="",$L140=""),"",IF(SUMPRODUCT(MAX(('Shared Calendar'!$K$2:$K$1000&gt;0)*('Shared Calendar'!$K$2:$K$1000&lt;=$B140)*('Shared Calendar'!$J$2:$J$1000&gt;$B140)*ISNUMBER(SEARCH($L140,'Shared Calendar'!$M$2:$M$1000))*ROW('Shared Calendar'!$A$2:$A$1000)))=0,"",INDEX('Shared Calendar'!$A:$A,SUMPRODUCT(MAX(('Shared Calendar'!$K$2:$K$1000&gt;0)*('Shared Calendar'!$K$2:$K$1000&lt;=$B140)*('Shared Calendar'!$J$2:$J$1000&gt;$B140)*ISNUMBER(SEARCH($L140,'Shared Calendar'!$M$2:$M$1000))*ROW('Shared Calendar'!$A$2:$A$1000))))))</f>
        <v/>
      </c>
      <c r="I140" s="244">
        <f>IF(OR($A140="",$L140=""),"",IF(SUMPRODUCT(('Shared Calendar'!$K$2:$K$1000&gt;0)*('Shared Calendar'!$K$2:$K$1000&lt;=$B140)*('Shared Calendar'!$J$2:$J$1000&gt;$B140)*ISNUMBER(SEARCH($L140,'Shared Calendar'!$M$2:$M$1000))*('Shared Calendar'!$N$2:$N$1000="Leave"))&gt;0,"Leave",""))</f>
        <v/>
      </c>
      <c r="J140" s="244">
        <f>IF($A140="","",IFERROR(INDEX('Public Holidays'!$C$6:$C$38,MATCH($B140,'Public Holidays'!$A$6:$A$38,0))&amp;" ("&amp;INDEX('Public Holidays'!$L$6:$L$38,MATCH($B140,'Public Holidays'!$A$6:$A$38,0))&amp;")",""))</f>
        <v/>
      </c>
      <c r="K140" s="246">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44">
        <f>IF($A140="","",INDEX($B$7:$B$36,INT((ROW()-41)/14)+1)&amp;"")</f>
        <v/>
      </c>
    </row>
    <row r="141">
      <c r="A141" s="244">
        <f>IF(INDEX($A$7:$A$36,INT((ROW()-41)/14)+1)="","",INDEX($A$7:$A$36,INT((ROW()-41)/14)+1))</f>
        <v/>
      </c>
      <c r="B141" s="245">
        <f>IF($A141="","",$B$3+MOD(ROW()-41,14))</f>
        <v/>
      </c>
      <c r="C141" s="244">
        <f>IF($A141="","",TEXT($B141,"ddd"))</f>
        <v/>
      </c>
      <c r="D141" s="242">
        <f>IF($A141="","",SUMIFS('EH Timesheets'!$G$6:$G$1005,'EH Timesheets'!$A$6:$A$1005,$A141,'EH Timesheets'!$B$6:$B$1005,$B141))</f>
        <v/>
      </c>
      <c r="E141" s="242">
        <f>IF($A141="","",SUMIFS('EH Roster'!$G$6:$G$1005,'EH Roster'!$A$6:$A$1005,$A141,'EH Roster'!$B$6:$B$1005,$B141))</f>
        <v/>
      </c>
      <c r="F141" s="242">
        <f>IF($A141="","",$D141-$E141)</f>
        <v/>
      </c>
      <c r="G141" s="242">
        <f>IF($A141="","",IF($L141="",0,SUMPRODUCT(('Shared Calendar'!$K$2:$K$1000&gt;0)*('Shared Calendar'!$K$2:$K$1000&lt;=$B141)*('Shared Calendar'!$J$2:$J$1000&gt;$B141)*ISNUMBER(SEARCH($L141,'Shared Calendar'!$M$2:$M$1000))*('Shared Calendar'!$N$2:$N$1000="Event"),'Shared Calendar'!$L$2:$L$1000)))</f>
        <v/>
      </c>
      <c r="H141" s="246">
        <f>IF(OR($A141="",$L141=""),"",IF(SUMPRODUCT(MAX(('Shared Calendar'!$K$2:$K$1000&gt;0)*('Shared Calendar'!$K$2:$K$1000&lt;=$B141)*('Shared Calendar'!$J$2:$J$1000&gt;$B141)*ISNUMBER(SEARCH($L141,'Shared Calendar'!$M$2:$M$1000))*ROW('Shared Calendar'!$A$2:$A$1000)))=0,"",INDEX('Shared Calendar'!$A:$A,SUMPRODUCT(MAX(('Shared Calendar'!$K$2:$K$1000&gt;0)*('Shared Calendar'!$K$2:$K$1000&lt;=$B141)*('Shared Calendar'!$J$2:$J$1000&gt;$B141)*ISNUMBER(SEARCH($L141,'Shared Calendar'!$M$2:$M$1000))*ROW('Shared Calendar'!$A$2:$A$1000))))))</f>
        <v/>
      </c>
      <c r="I141" s="244">
        <f>IF(OR($A141="",$L141=""),"",IF(SUMPRODUCT(('Shared Calendar'!$K$2:$K$1000&gt;0)*('Shared Calendar'!$K$2:$K$1000&lt;=$B141)*('Shared Calendar'!$J$2:$J$1000&gt;$B141)*ISNUMBER(SEARCH($L141,'Shared Calendar'!$M$2:$M$1000))*('Shared Calendar'!$N$2:$N$1000="Leave"))&gt;0,"Leave",""))</f>
        <v/>
      </c>
      <c r="J141" s="244">
        <f>IF($A141="","",IFERROR(INDEX('Public Holidays'!$C$6:$C$38,MATCH($B141,'Public Holidays'!$A$6:$A$38,0))&amp;" ("&amp;INDEX('Public Holidays'!$L$6:$L$38,MATCH($B141,'Public Holidays'!$A$6:$A$38,0))&amp;")",""))</f>
        <v/>
      </c>
      <c r="K141" s="246">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44">
        <f>IF($A141="","",INDEX($B$7:$B$36,INT((ROW()-41)/14)+1)&amp;"")</f>
        <v/>
      </c>
    </row>
    <row r="142">
      <c r="A142" s="244">
        <f>IF(INDEX($A$7:$A$36,INT((ROW()-41)/14)+1)="","",INDEX($A$7:$A$36,INT((ROW()-41)/14)+1))</f>
        <v/>
      </c>
      <c r="B142" s="245">
        <f>IF($A142="","",$B$3+MOD(ROW()-41,14))</f>
        <v/>
      </c>
      <c r="C142" s="244">
        <f>IF($A142="","",TEXT($B142,"ddd"))</f>
        <v/>
      </c>
      <c r="D142" s="242">
        <f>IF($A142="","",SUMIFS('EH Timesheets'!$G$6:$G$1005,'EH Timesheets'!$A$6:$A$1005,$A142,'EH Timesheets'!$B$6:$B$1005,$B142))</f>
        <v/>
      </c>
      <c r="E142" s="242">
        <f>IF($A142="","",SUMIFS('EH Roster'!$G$6:$G$1005,'EH Roster'!$A$6:$A$1005,$A142,'EH Roster'!$B$6:$B$1005,$B142))</f>
        <v/>
      </c>
      <c r="F142" s="242">
        <f>IF($A142="","",$D142-$E142)</f>
        <v/>
      </c>
      <c r="G142" s="242">
        <f>IF($A142="","",IF($L142="",0,SUMPRODUCT(('Shared Calendar'!$K$2:$K$1000&gt;0)*('Shared Calendar'!$K$2:$K$1000&lt;=$B142)*('Shared Calendar'!$J$2:$J$1000&gt;$B142)*ISNUMBER(SEARCH($L142,'Shared Calendar'!$M$2:$M$1000))*('Shared Calendar'!$N$2:$N$1000="Event"),'Shared Calendar'!$L$2:$L$1000)))</f>
        <v/>
      </c>
      <c r="H142" s="246">
        <f>IF(OR($A142="",$L142=""),"",IF(SUMPRODUCT(MAX(('Shared Calendar'!$K$2:$K$1000&gt;0)*('Shared Calendar'!$K$2:$K$1000&lt;=$B142)*('Shared Calendar'!$J$2:$J$1000&gt;$B142)*ISNUMBER(SEARCH($L142,'Shared Calendar'!$M$2:$M$1000))*ROW('Shared Calendar'!$A$2:$A$1000)))=0,"",INDEX('Shared Calendar'!$A:$A,SUMPRODUCT(MAX(('Shared Calendar'!$K$2:$K$1000&gt;0)*('Shared Calendar'!$K$2:$K$1000&lt;=$B142)*('Shared Calendar'!$J$2:$J$1000&gt;$B142)*ISNUMBER(SEARCH($L142,'Shared Calendar'!$M$2:$M$1000))*ROW('Shared Calendar'!$A$2:$A$1000))))))</f>
        <v/>
      </c>
      <c r="I142" s="244">
        <f>IF(OR($A142="",$L142=""),"",IF(SUMPRODUCT(('Shared Calendar'!$K$2:$K$1000&gt;0)*('Shared Calendar'!$K$2:$K$1000&lt;=$B142)*('Shared Calendar'!$J$2:$J$1000&gt;$B142)*ISNUMBER(SEARCH($L142,'Shared Calendar'!$M$2:$M$1000))*('Shared Calendar'!$N$2:$N$1000="Leave"))&gt;0,"Leave",""))</f>
        <v/>
      </c>
      <c r="J142" s="244">
        <f>IF($A142="","",IFERROR(INDEX('Public Holidays'!$C$6:$C$38,MATCH($B142,'Public Holidays'!$A$6:$A$38,0))&amp;" ("&amp;INDEX('Public Holidays'!$L$6:$L$38,MATCH($B142,'Public Holidays'!$A$6:$A$38,0))&amp;")",""))</f>
        <v/>
      </c>
      <c r="K142" s="246">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44">
        <f>IF($A142="","",INDEX($B$7:$B$36,INT((ROW()-41)/14)+1)&amp;"")</f>
        <v/>
      </c>
    </row>
    <row r="143">
      <c r="A143" s="244">
        <f>IF(INDEX($A$7:$A$36,INT((ROW()-41)/14)+1)="","",INDEX($A$7:$A$36,INT((ROW()-41)/14)+1))</f>
        <v/>
      </c>
      <c r="B143" s="245">
        <f>IF($A143="","",$B$3+MOD(ROW()-41,14))</f>
        <v/>
      </c>
      <c r="C143" s="244">
        <f>IF($A143="","",TEXT($B143,"ddd"))</f>
        <v/>
      </c>
      <c r="D143" s="242">
        <f>IF($A143="","",SUMIFS('EH Timesheets'!$G$6:$G$1005,'EH Timesheets'!$A$6:$A$1005,$A143,'EH Timesheets'!$B$6:$B$1005,$B143))</f>
        <v/>
      </c>
      <c r="E143" s="242">
        <f>IF($A143="","",SUMIFS('EH Roster'!$G$6:$G$1005,'EH Roster'!$A$6:$A$1005,$A143,'EH Roster'!$B$6:$B$1005,$B143))</f>
        <v/>
      </c>
      <c r="F143" s="242">
        <f>IF($A143="","",$D143-$E143)</f>
        <v/>
      </c>
      <c r="G143" s="242">
        <f>IF($A143="","",IF($L143="",0,SUMPRODUCT(('Shared Calendar'!$K$2:$K$1000&gt;0)*('Shared Calendar'!$K$2:$K$1000&lt;=$B143)*('Shared Calendar'!$J$2:$J$1000&gt;$B143)*ISNUMBER(SEARCH($L143,'Shared Calendar'!$M$2:$M$1000))*('Shared Calendar'!$N$2:$N$1000="Event"),'Shared Calendar'!$L$2:$L$1000)))</f>
        <v/>
      </c>
      <c r="H143" s="246">
        <f>IF(OR($A143="",$L143=""),"",IF(SUMPRODUCT(MAX(('Shared Calendar'!$K$2:$K$1000&gt;0)*('Shared Calendar'!$K$2:$K$1000&lt;=$B143)*('Shared Calendar'!$J$2:$J$1000&gt;$B143)*ISNUMBER(SEARCH($L143,'Shared Calendar'!$M$2:$M$1000))*ROW('Shared Calendar'!$A$2:$A$1000)))=0,"",INDEX('Shared Calendar'!$A:$A,SUMPRODUCT(MAX(('Shared Calendar'!$K$2:$K$1000&gt;0)*('Shared Calendar'!$K$2:$K$1000&lt;=$B143)*('Shared Calendar'!$J$2:$J$1000&gt;$B143)*ISNUMBER(SEARCH($L143,'Shared Calendar'!$M$2:$M$1000))*ROW('Shared Calendar'!$A$2:$A$1000))))))</f>
        <v/>
      </c>
      <c r="I143" s="244">
        <f>IF(OR($A143="",$L143=""),"",IF(SUMPRODUCT(('Shared Calendar'!$K$2:$K$1000&gt;0)*('Shared Calendar'!$K$2:$K$1000&lt;=$B143)*('Shared Calendar'!$J$2:$J$1000&gt;$B143)*ISNUMBER(SEARCH($L143,'Shared Calendar'!$M$2:$M$1000))*('Shared Calendar'!$N$2:$N$1000="Leave"))&gt;0,"Leave",""))</f>
        <v/>
      </c>
      <c r="J143" s="244">
        <f>IF($A143="","",IFERROR(INDEX('Public Holidays'!$C$6:$C$38,MATCH($B143,'Public Holidays'!$A$6:$A$38,0))&amp;" ("&amp;INDEX('Public Holidays'!$L$6:$L$38,MATCH($B143,'Public Holidays'!$A$6:$A$38,0))&amp;")",""))</f>
        <v/>
      </c>
      <c r="K143" s="246">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44">
        <f>IF($A143="","",INDEX($B$7:$B$36,INT((ROW()-41)/14)+1)&amp;"")</f>
        <v/>
      </c>
    </row>
    <row r="144">
      <c r="A144" s="244">
        <f>IF(INDEX($A$7:$A$36,INT((ROW()-41)/14)+1)="","",INDEX($A$7:$A$36,INT((ROW()-41)/14)+1))</f>
        <v/>
      </c>
      <c r="B144" s="245">
        <f>IF($A144="","",$B$3+MOD(ROW()-41,14))</f>
        <v/>
      </c>
      <c r="C144" s="244">
        <f>IF($A144="","",TEXT($B144,"ddd"))</f>
        <v/>
      </c>
      <c r="D144" s="242">
        <f>IF($A144="","",SUMIFS('EH Timesheets'!$G$6:$G$1005,'EH Timesheets'!$A$6:$A$1005,$A144,'EH Timesheets'!$B$6:$B$1005,$B144))</f>
        <v/>
      </c>
      <c r="E144" s="242">
        <f>IF($A144="","",SUMIFS('EH Roster'!$G$6:$G$1005,'EH Roster'!$A$6:$A$1005,$A144,'EH Roster'!$B$6:$B$1005,$B144))</f>
        <v/>
      </c>
      <c r="F144" s="242">
        <f>IF($A144="","",$D144-$E144)</f>
        <v/>
      </c>
      <c r="G144" s="242">
        <f>IF($A144="","",IF($L144="",0,SUMPRODUCT(('Shared Calendar'!$K$2:$K$1000&gt;0)*('Shared Calendar'!$K$2:$K$1000&lt;=$B144)*('Shared Calendar'!$J$2:$J$1000&gt;$B144)*ISNUMBER(SEARCH($L144,'Shared Calendar'!$M$2:$M$1000))*('Shared Calendar'!$N$2:$N$1000="Event"),'Shared Calendar'!$L$2:$L$1000)))</f>
        <v/>
      </c>
      <c r="H144" s="246">
        <f>IF(OR($A144="",$L144=""),"",IF(SUMPRODUCT(MAX(('Shared Calendar'!$K$2:$K$1000&gt;0)*('Shared Calendar'!$K$2:$K$1000&lt;=$B144)*('Shared Calendar'!$J$2:$J$1000&gt;$B144)*ISNUMBER(SEARCH($L144,'Shared Calendar'!$M$2:$M$1000))*ROW('Shared Calendar'!$A$2:$A$1000)))=0,"",INDEX('Shared Calendar'!$A:$A,SUMPRODUCT(MAX(('Shared Calendar'!$K$2:$K$1000&gt;0)*('Shared Calendar'!$K$2:$K$1000&lt;=$B144)*('Shared Calendar'!$J$2:$J$1000&gt;$B144)*ISNUMBER(SEARCH($L144,'Shared Calendar'!$M$2:$M$1000))*ROW('Shared Calendar'!$A$2:$A$1000))))))</f>
        <v/>
      </c>
      <c r="I144" s="244">
        <f>IF(OR($A144="",$L144=""),"",IF(SUMPRODUCT(('Shared Calendar'!$K$2:$K$1000&gt;0)*('Shared Calendar'!$K$2:$K$1000&lt;=$B144)*('Shared Calendar'!$J$2:$J$1000&gt;$B144)*ISNUMBER(SEARCH($L144,'Shared Calendar'!$M$2:$M$1000))*('Shared Calendar'!$N$2:$N$1000="Leave"))&gt;0,"Leave",""))</f>
        <v/>
      </c>
      <c r="J144" s="244">
        <f>IF($A144="","",IFERROR(INDEX('Public Holidays'!$C$6:$C$38,MATCH($B144,'Public Holidays'!$A$6:$A$38,0))&amp;" ("&amp;INDEX('Public Holidays'!$L$6:$L$38,MATCH($B144,'Public Holidays'!$A$6:$A$38,0))&amp;")",""))</f>
        <v/>
      </c>
      <c r="K144" s="246">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44">
        <f>IF($A144="","",INDEX($B$7:$B$36,INT((ROW()-41)/14)+1)&amp;"")</f>
        <v/>
      </c>
    </row>
    <row r="145">
      <c r="A145" s="244">
        <f>IF(INDEX($A$7:$A$36,INT((ROW()-41)/14)+1)="","",INDEX($A$7:$A$36,INT((ROW()-41)/14)+1))</f>
        <v/>
      </c>
      <c r="B145" s="245">
        <f>IF($A145="","",$B$3+MOD(ROW()-41,14))</f>
        <v/>
      </c>
      <c r="C145" s="244">
        <f>IF($A145="","",TEXT($B145,"ddd"))</f>
        <v/>
      </c>
      <c r="D145" s="242">
        <f>IF($A145="","",SUMIFS('EH Timesheets'!$G$6:$G$1005,'EH Timesheets'!$A$6:$A$1005,$A145,'EH Timesheets'!$B$6:$B$1005,$B145))</f>
        <v/>
      </c>
      <c r="E145" s="242">
        <f>IF($A145="","",SUMIFS('EH Roster'!$G$6:$G$1005,'EH Roster'!$A$6:$A$1005,$A145,'EH Roster'!$B$6:$B$1005,$B145))</f>
        <v/>
      </c>
      <c r="F145" s="242">
        <f>IF($A145="","",$D145-$E145)</f>
        <v/>
      </c>
      <c r="G145" s="242">
        <f>IF($A145="","",IF($L145="",0,SUMPRODUCT(('Shared Calendar'!$K$2:$K$1000&gt;0)*('Shared Calendar'!$K$2:$K$1000&lt;=$B145)*('Shared Calendar'!$J$2:$J$1000&gt;$B145)*ISNUMBER(SEARCH($L145,'Shared Calendar'!$M$2:$M$1000))*('Shared Calendar'!$N$2:$N$1000="Event"),'Shared Calendar'!$L$2:$L$1000)))</f>
        <v/>
      </c>
      <c r="H145" s="246">
        <f>IF(OR($A145="",$L145=""),"",IF(SUMPRODUCT(MAX(('Shared Calendar'!$K$2:$K$1000&gt;0)*('Shared Calendar'!$K$2:$K$1000&lt;=$B145)*('Shared Calendar'!$J$2:$J$1000&gt;$B145)*ISNUMBER(SEARCH($L145,'Shared Calendar'!$M$2:$M$1000))*ROW('Shared Calendar'!$A$2:$A$1000)))=0,"",INDEX('Shared Calendar'!$A:$A,SUMPRODUCT(MAX(('Shared Calendar'!$K$2:$K$1000&gt;0)*('Shared Calendar'!$K$2:$K$1000&lt;=$B145)*('Shared Calendar'!$J$2:$J$1000&gt;$B145)*ISNUMBER(SEARCH($L145,'Shared Calendar'!$M$2:$M$1000))*ROW('Shared Calendar'!$A$2:$A$1000))))))</f>
        <v/>
      </c>
      <c r="I145" s="244">
        <f>IF(OR($A145="",$L145=""),"",IF(SUMPRODUCT(('Shared Calendar'!$K$2:$K$1000&gt;0)*('Shared Calendar'!$K$2:$K$1000&lt;=$B145)*('Shared Calendar'!$J$2:$J$1000&gt;$B145)*ISNUMBER(SEARCH($L145,'Shared Calendar'!$M$2:$M$1000))*('Shared Calendar'!$N$2:$N$1000="Leave"))&gt;0,"Leave",""))</f>
        <v/>
      </c>
      <c r="J145" s="244">
        <f>IF($A145="","",IFERROR(INDEX('Public Holidays'!$C$6:$C$38,MATCH($B145,'Public Holidays'!$A$6:$A$38,0))&amp;" ("&amp;INDEX('Public Holidays'!$L$6:$L$38,MATCH($B145,'Public Holidays'!$A$6:$A$38,0))&amp;")",""))</f>
        <v/>
      </c>
      <c r="K145" s="246">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44">
        <f>IF($A145="","",INDEX($B$7:$B$36,INT((ROW()-41)/14)+1)&amp;"")</f>
        <v/>
      </c>
    </row>
    <row r="146">
      <c r="A146" s="244">
        <f>IF(INDEX($A$7:$A$36,INT((ROW()-41)/14)+1)="","",INDEX($A$7:$A$36,INT((ROW()-41)/14)+1))</f>
        <v/>
      </c>
      <c r="B146" s="245">
        <f>IF($A146="","",$B$3+MOD(ROW()-41,14))</f>
        <v/>
      </c>
      <c r="C146" s="244">
        <f>IF($A146="","",TEXT($B146,"ddd"))</f>
        <v/>
      </c>
      <c r="D146" s="242">
        <f>IF($A146="","",SUMIFS('EH Timesheets'!$G$6:$G$1005,'EH Timesheets'!$A$6:$A$1005,$A146,'EH Timesheets'!$B$6:$B$1005,$B146))</f>
        <v/>
      </c>
      <c r="E146" s="242">
        <f>IF($A146="","",SUMIFS('EH Roster'!$G$6:$G$1005,'EH Roster'!$A$6:$A$1005,$A146,'EH Roster'!$B$6:$B$1005,$B146))</f>
        <v/>
      </c>
      <c r="F146" s="242">
        <f>IF($A146="","",$D146-$E146)</f>
        <v/>
      </c>
      <c r="G146" s="242">
        <f>IF($A146="","",IF($L146="",0,SUMPRODUCT(('Shared Calendar'!$K$2:$K$1000&gt;0)*('Shared Calendar'!$K$2:$K$1000&lt;=$B146)*('Shared Calendar'!$J$2:$J$1000&gt;$B146)*ISNUMBER(SEARCH($L146,'Shared Calendar'!$M$2:$M$1000))*('Shared Calendar'!$N$2:$N$1000="Event"),'Shared Calendar'!$L$2:$L$1000)))</f>
        <v/>
      </c>
      <c r="H146" s="246">
        <f>IF(OR($A146="",$L146=""),"",IF(SUMPRODUCT(MAX(('Shared Calendar'!$K$2:$K$1000&gt;0)*('Shared Calendar'!$K$2:$K$1000&lt;=$B146)*('Shared Calendar'!$J$2:$J$1000&gt;$B146)*ISNUMBER(SEARCH($L146,'Shared Calendar'!$M$2:$M$1000))*ROW('Shared Calendar'!$A$2:$A$1000)))=0,"",INDEX('Shared Calendar'!$A:$A,SUMPRODUCT(MAX(('Shared Calendar'!$K$2:$K$1000&gt;0)*('Shared Calendar'!$K$2:$K$1000&lt;=$B146)*('Shared Calendar'!$J$2:$J$1000&gt;$B146)*ISNUMBER(SEARCH($L146,'Shared Calendar'!$M$2:$M$1000))*ROW('Shared Calendar'!$A$2:$A$1000))))))</f>
        <v/>
      </c>
      <c r="I146" s="244">
        <f>IF(OR($A146="",$L146=""),"",IF(SUMPRODUCT(('Shared Calendar'!$K$2:$K$1000&gt;0)*('Shared Calendar'!$K$2:$K$1000&lt;=$B146)*('Shared Calendar'!$J$2:$J$1000&gt;$B146)*ISNUMBER(SEARCH($L146,'Shared Calendar'!$M$2:$M$1000))*('Shared Calendar'!$N$2:$N$1000="Leave"))&gt;0,"Leave",""))</f>
        <v/>
      </c>
      <c r="J146" s="244">
        <f>IF($A146="","",IFERROR(INDEX('Public Holidays'!$C$6:$C$38,MATCH($B146,'Public Holidays'!$A$6:$A$38,0))&amp;" ("&amp;INDEX('Public Holidays'!$L$6:$L$38,MATCH($B146,'Public Holidays'!$A$6:$A$38,0))&amp;")",""))</f>
        <v/>
      </c>
      <c r="K146" s="246">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44">
        <f>IF($A146="","",INDEX($B$7:$B$36,INT((ROW()-41)/14)+1)&amp;"")</f>
        <v/>
      </c>
    </row>
    <row r="147">
      <c r="A147" s="244">
        <f>IF(INDEX($A$7:$A$36,INT((ROW()-41)/14)+1)="","",INDEX($A$7:$A$36,INT((ROW()-41)/14)+1))</f>
        <v/>
      </c>
      <c r="B147" s="245">
        <f>IF($A147="","",$B$3+MOD(ROW()-41,14))</f>
        <v/>
      </c>
      <c r="C147" s="244">
        <f>IF($A147="","",TEXT($B147,"ddd"))</f>
        <v/>
      </c>
      <c r="D147" s="242">
        <f>IF($A147="","",SUMIFS('EH Timesheets'!$G$6:$G$1005,'EH Timesheets'!$A$6:$A$1005,$A147,'EH Timesheets'!$B$6:$B$1005,$B147))</f>
        <v/>
      </c>
      <c r="E147" s="242">
        <f>IF($A147="","",SUMIFS('EH Roster'!$G$6:$G$1005,'EH Roster'!$A$6:$A$1005,$A147,'EH Roster'!$B$6:$B$1005,$B147))</f>
        <v/>
      </c>
      <c r="F147" s="242">
        <f>IF($A147="","",$D147-$E147)</f>
        <v/>
      </c>
      <c r="G147" s="242">
        <f>IF($A147="","",IF($L147="",0,SUMPRODUCT(('Shared Calendar'!$K$2:$K$1000&gt;0)*('Shared Calendar'!$K$2:$K$1000&lt;=$B147)*('Shared Calendar'!$J$2:$J$1000&gt;$B147)*ISNUMBER(SEARCH($L147,'Shared Calendar'!$M$2:$M$1000))*('Shared Calendar'!$N$2:$N$1000="Event"),'Shared Calendar'!$L$2:$L$1000)))</f>
        <v/>
      </c>
      <c r="H147" s="246">
        <f>IF(OR($A147="",$L147=""),"",IF(SUMPRODUCT(MAX(('Shared Calendar'!$K$2:$K$1000&gt;0)*('Shared Calendar'!$K$2:$K$1000&lt;=$B147)*('Shared Calendar'!$J$2:$J$1000&gt;$B147)*ISNUMBER(SEARCH($L147,'Shared Calendar'!$M$2:$M$1000))*ROW('Shared Calendar'!$A$2:$A$1000)))=0,"",INDEX('Shared Calendar'!$A:$A,SUMPRODUCT(MAX(('Shared Calendar'!$K$2:$K$1000&gt;0)*('Shared Calendar'!$K$2:$K$1000&lt;=$B147)*('Shared Calendar'!$J$2:$J$1000&gt;$B147)*ISNUMBER(SEARCH($L147,'Shared Calendar'!$M$2:$M$1000))*ROW('Shared Calendar'!$A$2:$A$1000))))))</f>
        <v/>
      </c>
      <c r="I147" s="244">
        <f>IF(OR($A147="",$L147=""),"",IF(SUMPRODUCT(('Shared Calendar'!$K$2:$K$1000&gt;0)*('Shared Calendar'!$K$2:$K$1000&lt;=$B147)*('Shared Calendar'!$J$2:$J$1000&gt;$B147)*ISNUMBER(SEARCH($L147,'Shared Calendar'!$M$2:$M$1000))*('Shared Calendar'!$N$2:$N$1000="Leave"))&gt;0,"Leave",""))</f>
        <v/>
      </c>
      <c r="J147" s="244">
        <f>IF($A147="","",IFERROR(INDEX('Public Holidays'!$C$6:$C$38,MATCH($B147,'Public Holidays'!$A$6:$A$38,0))&amp;" ("&amp;INDEX('Public Holidays'!$L$6:$L$38,MATCH($B147,'Public Holidays'!$A$6:$A$38,0))&amp;")",""))</f>
        <v/>
      </c>
      <c r="K147" s="246">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44">
        <f>IF($A147="","",INDEX($B$7:$B$36,INT((ROW()-41)/14)+1)&amp;"")</f>
        <v/>
      </c>
    </row>
    <row r="148">
      <c r="A148" s="244">
        <f>IF(INDEX($A$7:$A$36,INT((ROW()-41)/14)+1)="","",INDEX($A$7:$A$36,INT((ROW()-41)/14)+1))</f>
        <v/>
      </c>
      <c r="B148" s="245">
        <f>IF($A148="","",$B$3+MOD(ROW()-41,14))</f>
        <v/>
      </c>
      <c r="C148" s="244">
        <f>IF($A148="","",TEXT($B148,"ddd"))</f>
        <v/>
      </c>
      <c r="D148" s="242">
        <f>IF($A148="","",SUMIFS('EH Timesheets'!$G$6:$G$1005,'EH Timesheets'!$A$6:$A$1005,$A148,'EH Timesheets'!$B$6:$B$1005,$B148))</f>
        <v/>
      </c>
      <c r="E148" s="242">
        <f>IF($A148="","",SUMIFS('EH Roster'!$G$6:$G$1005,'EH Roster'!$A$6:$A$1005,$A148,'EH Roster'!$B$6:$B$1005,$B148))</f>
        <v/>
      </c>
      <c r="F148" s="242">
        <f>IF($A148="","",$D148-$E148)</f>
        <v/>
      </c>
      <c r="G148" s="242">
        <f>IF($A148="","",IF($L148="",0,SUMPRODUCT(('Shared Calendar'!$K$2:$K$1000&gt;0)*('Shared Calendar'!$K$2:$K$1000&lt;=$B148)*('Shared Calendar'!$J$2:$J$1000&gt;$B148)*ISNUMBER(SEARCH($L148,'Shared Calendar'!$M$2:$M$1000))*('Shared Calendar'!$N$2:$N$1000="Event"),'Shared Calendar'!$L$2:$L$1000)))</f>
        <v/>
      </c>
      <c r="H148" s="246">
        <f>IF(OR($A148="",$L148=""),"",IF(SUMPRODUCT(MAX(('Shared Calendar'!$K$2:$K$1000&gt;0)*('Shared Calendar'!$K$2:$K$1000&lt;=$B148)*('Shared Calendar'!$J$2:$J$1000&gt;$B148)*ISNUMBER(SEARCH($L148,'Shared Calendar'!$M$2:$M$1000))*ROW('Shared Calendar'!$A$2:$A$1000)))=0,"",INDEX('Shared Calendar'!$A:$A,SUMPRODUCT(MAX(('Shared Calendar'!$K$2:$K$1000&gt;0)*('Shared Calendar'!$K$2:$K$1000&lt;=$B148)*('Shared Calendar'!$J$2:$J$1000&gt;$B148)*ISNUMBER(SEARCH($L148,'Shared Calendar'!$M$2:$M$1000))*ROW('Shared Calendar'!$A$2:$A$1000))))))</f>
        <v/>
      </c>
      <c r="I148" s="244">
        <f>IF(OR($A148="",$L148=""),"",IF(SUMPRODUCT(('Shared Calendar'!$K$2:$K$1000&gt;0)*('Shared Calendar'!$K$2:$K$1000&lt;=$B148)*('Shared Calendar'!$J$2:$J$1000&gt;$B148)*ISNUMBER(SEARCH($L148,'Shared Calendar'!$M$2:$M$1000))*('Shared Calendar'!$N$2:$N$1000="Leave"))&gt;0,"Leave",""))</f>
        <v/>
      </c>
      <c r="J148" s="244">
        <f>IF($A148="","",IFERROR(INDEX('Public Holidays'!$C$6:$C$38,MATCH($B148,'Public Holidays'!$A$6:$A$38,0))&amp;" ("&amp;INDEX('Public Holidays'!$L$6:$L$38,MATCH($B148,'Public Holidays'!$A$6:$A$38,0))&amp;")",""))</f>
        <v/>
      </c>
      <c r="K148" s="246">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44">
        <f>IF($A148="","",INDEX($B$7:$B$36,INT((ROW()-41)/14)+1)&amp;"")</f>
        <v/>
      </c>
    </row>
    <row r="149">
      <c r="A149" s="244">
        <f>IF(INDEX($A$7:$A$36,INT((ROW()-41)/14)+1)="","",INDEX($A$7:$A$36,INT((ROW()-41)/14)+1))</f>
        <v/>
      </c>
      <c r="B149" s="245">
        <f>IF($A149="","",$B$3+MOD(ROW()-41,14))</f>
        <v/>
      </c>
      <c r="C149" s="244">
        <f>IF($A149="","",TEXT($B149,"ddd"))</f>
        <v/>
      </c>
      <c r="D149" s="242">
        <f>IF($A149="","",SUMIFS('EH Timesheets'!$G$6:$G$1005,'EH Timesheets'!$A$6:$A$1005,$A149,'EH Timesheets'!$B$6:$B$1005,$B149))</f>
        <v/>
      </c>
      <c r="E149" s="242">
        <f>IF($A149="","",SUMIFS('EH Roster'!$G$6:$G$1005,'EH Roster'!$A$6:$A$1005,$A149,'EH Roster'!$B$6:$B$1005,$B149))</f>
        <v/>
      </c>
      <c r="F149" s="242">
        <f>IF($A149="","",$D149-$E149)</f>
        <v/>
      </c>
      <c r="G149" s="242">
        <f>IF($A149="","",IF($L149="",0,SUMPRODUCT(('Shared Calendar'!$K$2:$K$1000&gt;0)*('Shared Calendar'!$K$2:$K$1000&lt;=$B149)*('Shared Calendar'!$J$2:$J$1000&gt;$B149)*ISNUMBER(SEARCH($L149,'Shared Calendar'!$M$2:$M$1000))*('Shared Calendar'!$N$2:$N$1000="Event"),'Shared Calendar'!$L$2:$L$1000)))</f>
        <v/>
      </c>
      <c r="H149" s="246">
        <f>IF(OR($A149="",$L149=""),"",IF(SUMPRODUCT(MAX(('Shared Calendar'!$K$2:$K$1000&gt;0)*('Shared Calendar'!$K$2:$K$1000&lt;=$B149)*('Shared Calendar'!$J$2:$J$1000&gt;$B149)*ISNUMBER(SEARCH($L149,'Shared Calendar'!$M$2:$M$1000))*ROW('Shared Calendar'!$A$2:$A$1000)))=0,"",INDEX('Shared Calendar'!$A:$A,SUMPRODUCT(MAX(('Shared Calendar'!$K$2:$K$1000&gt;0)*('Shared Calendar'!$K$2:$K$1000&lt;=$B149)*('Shared Calendar'!$J$2:$J$1000&gt;$B149)*ISNUMBER(SEARCH($L149,'Shared Calendar'!$M$2:$M$1000))*ROW('Shared Calendar'!$A$2:$A$1000))))))</f>
        <v/>
      </c>
      <c r="I149" s="244">
        <f>IF(OR($A149="",$L149=""),"",IF(SUMPRODUCT(('Shared Calendar'!$K$2:$K$1000&gt;0)*('Shared Calendar'!$K$2:$K$1000&lt;=$B149)*('Shared Calendar'!$J$2:$J$1000&gt;$B149)*ISNUMBER(SEARCH($L149,'Shared Calendar'!$M$2:$M$1000))*('Shared Calendar'!$N$2:$N$1000="Leave"))&gt;0,"Leave",""))</f>
        <v/>
      </c>
      <c r="J149" s="244">
        <f>IF($A149="","",IFERROR(INDEX('Public Holidays'!$C$6:$C$38,MATCH($B149,'Public Holidays'!$A$6:$A$38,0))&amp;" ("&amp;INDEX('Public Holidays'!$L$6:$L$38,MATCH($B149,'Public Holidays'!$A$6:$A$38,0))&amp;")",""))</f>
        <v/>
      </c>
      <c r="K149" s="246">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44">
        <f>IF($A149="","",INDEX($B$7:$B$36,INT((ROW()-41)/14)+1)&amp;"")</f>
        <v/>
      </c>
    </row>
    <row r="150">
      <c r="A150" s="244">
        <f>IF(INDEX($A$7:$A$36,INT((ROW()-41)/14)+1)="","",INDEX($A$7:$A$36,INT((ROW()-41)/14)+1))</f>
        <v/>
      </c>
      <c r="B150" s="245">
        <f>IF($A150="","",$B$3+MOD(ROW()-41,14))</f>
        <v/>
      </c>
      <c r="C150" s="244">
        <f>IF($A150="","",TEXT($B150,"ddd"))</f>
        <v/>
      </c>
      <c r="D150" s="242">
        <f>IF($A150="","",SUMIFS('EH Timesheets'!$G$6:$G$1005,'EH Timesheets'!$A$6:$A$1005,$A150,'EH Timesheets'!$B$6:$B$1005,$B150))</f>
        <v/>
      </c>
      <c r="E150" s="242">
        <f>IF($A150="","",SUMIFS('EH Roster'!$G$6:$G$1005,'EH Roster'!$A$6:$A$1005,$A150,'EH Roster'!$B$6:$B$1005,$B150))</f>
        <v/>
      </c>
      <c r="F150" s="242">
        <f>IF($A150="","",$D150-$E150)</f>
        <v/>
      </c>
      <c r="G150" s="242">
        <f>IF($A150="","",IF($L150="",0,SUMPRODUCT(('Shared Calendar'!$K$2:$K$1000&gt;0)*('Shared Calendar'!$K$2:$K$1000&lt;=$B150)*('Shared Calendar'!$J$2:$J$1000&gt;$B150)*ISNUMBER(SEARCH($L150,'Shared Calendar'!$M$2:$M$1000))*('Shared Calendar'!$N$2:$N$1000="Event"),'Shared Calendar'!$L$2:$L$1000)))</f>
        <v/>
      </c>
      <c r="H150" s="246">
        <f>IF(OR($A150="",$L150=""),"",IF(SUMPRODUCT(MAX(('Shared Calendar'!$K$2:$K$1000&gt;0)*('Shared Calendar'!$K$2:$K$1000&lt;=$B150)*('Shared Calendar'!$J$2:$J$1000&gt;$B150)*ISNUMBER(SEARCH($L150,'Shared Calendar'!$M$2:$M$1000))*ROW('Shared Calendar'!$A$2:$A$1000)))=0,"",INDEX('Shared Calendar'!$A:$A,SUMPRODUCT(MAX(('Shared Calendar'!$K$2:$K$1000&gt;0)*('Shared Calendar'!$K$2:$K$1000&lt;=$B150)*('Shared Calendar'!$J$2:$J$1000&gt;$B150)*ISNUMBER(SEARCH($L150,'Shared Calendar'!$M$2:$M$1000))*ROW('Shared Calendar'!$A$2:$A$1000))))))</f>
        <v/>
      </c>
      <c r="I150" s="244">
        <f>IF(OR($A150="",$L150=""),"",IF(SUMPRODUCT(('Shared Calendar'!$K$2:$K$1000&gt;0)*('Shared Calendar'!$K$2:$K$1000&lt;=$B150)*('Shared Calendar'!$J$2:$J$1000&gt;$B150)*ISNUMBER(SEARCH($L150,'Shared Calendar'!$M$2:$M$1000))*('Shared Calendar'!$N$2:$N$1000="Leave"))&gt;0,"Leave",""))</f>
        <v/>
      </c>
      <c r="J150" s="244">
        <f>IF($A150="","",IFERROR(INDEX('Public Holidays'!$C$6:$C$38,MATCH($B150,'Public Holidays'!$A$6:$A$38,0))&amp;" ("&amp;INDEX('Public Holidays'!$L$6:$L$38,MATCH($B150,'Public Holidays'!$A$6:$A$38,0))&amp;")",""))</f>
        <v/>
      </c>
      <c r="K150" s="246">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44">
        <f>IF($A150="","",INDEX($B$7:$B$36,INT((ROW()-41)/14)+1)&amp;"")</f>
        <v/>
      </c>
    </row>
    <row r="151">
      <c r="A151" s="244">
        <f>IF(INDEX($A$7:$A$36,INT((ROW()-41)/14)+1)="","",INDEX($A$7:$A$36,INT((ROW()-41)/14)+1))</f>
        <v/>
      </c>
      <c r="B151" s="245">
        <f>IF($A151="","",$B$3+MOD(ROW()-41,14))</f>
        <v/>
      </c>
      <c r="C151" s="244">
        <f>IF($A151="","",TEXT($B151,"ddd"))</f>
        <v/>
      </c>
      <c r="D151" s="242">
        <f>IF($A151="","",SUMIFS('EH Timesheets'!$G$6:$G$1005,'EH Timesheets'!$A$6:$A$1005,$A151,'EH Timesheets'!$B$6:$B$1005,$B151))</f>
        <v/>
      </c>
      <c r="E151" s="242">
        <f>IF($A151="","",SUMIFS('EH Roster'!$G$6:$G$1005,'EH Roster'!$A$6:$A$1005,$A151,'EH Roster'!$B$6:$B$1005,$B151))</f>
        <v/>
      </c>
      <c r="F151" s="242">
        <f>IF($A151="","",$D151-$E151)</f>
        <v/>
      </c>
      <c r="G151" s="242">
        <f>IF($A151="","",IF($L151="",0,SUMPRODUCT(('Shared Calendar'!$K$2:$K$1000&gt;0)*('Shared Calendar'!$K$2:$K$1000&lt;=$B151)*('Shared Calendar'!$J$2:$J$1000&gt;$B151)*ISNUMBER(SEARCH($L151,'Shared Calendar'!$M$2:$M$1000))*('Shared Calendar'!$N$2:$N$1000="Event"),'Shared Calendar'!$L$2:$L$1000)))</f>
        <v/>
      </c>
      <c r="H151" s="246">
        <f>IF(OR($A151="",$L151=""),"",IF(SUMPRODUCT(MAX(('Shared Calendar'!$K$2:$K$1000&gt;0)*('Shared Calendar'!$K$2:$K$1000&lt;=$B151)*('Shared Calendar'!$J$2:$J$1000&gt;$B151)*ISNUMBER(SEARCH($L151,'Shared Calendar'!$M$2:$M$1000))*ROW('Shared Calendar'!$A$2:$A$1000)))=0,"",INDEX('Shared Calendar'!$A:$A,SUMPRODUCT(MAX(('Shared Calendar'!$K$2:$K$1000&gt;0)*('Shared Calendar'!$K$2:$K$1000&lt;=$B151)*('Shared Calendar'!$J$2:$J$1000&gt;$B151)*ISNUMBER(SEARCH($L151,'Shared Calendar'!$M$2:$M$1000))*ROW('Shared Calendar'!$A$2:$A$1000))))))</f>
        <v/>
      </c>
      <c r="I151" s="244">
        <f>IF(OR($A151="",$L151=""),"",IF(SUMPRODUCT(('Shared Calendar'!$K$2:$K$1000&gt;0)*('Shared Calendar'!$K$2:$K$1000&lt;=$B151)*('Shared Calendar'!$J$2:$J$1000&gt;$B151)*ISNUMBER(SEARCH($L151,'Shared Calendar'!$M$2:$M$1000))*('Shared Calendar'!$N$2:$N$1000="Leave"))&gt;0,"Leave",""))</f>
        <v/>
      </c>
      <c r="J151" s="244">
        <f>IF($A151="","",IFERROR(INDEX('Public Holidays'!$C$6:$C$38,MATCH($B151,'Public Holidays'!$A$6:$A$38,0))&amp;" ("&amp;INDEX('Public Holidays'!$L$6:$L$38,MATCH($B151,'Public Holidays'!$A$6:$A$38,0))&amp;")",""))</f>
        <v/>
      </c>
      <c r="K151" s="246">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44">
        <f>IF($A151="","",INDEX($B$7:$B$36,INT((ROW()-41)/14)+1)&amp;"")</f>
        <v/>
      </c>
    </row>
    <row r="152">
      <c r="A152" s="244">
        <f>IF(INDEX($A$7:$A$36,INT((ROW()-41)/14)+1)="","",INDEX($A$7:$A$36,INT((ROW()-41)/14)+1))</f>
        <v/>
      </c>
      <c r="B152" s="245">
        <f>IF($A152="","",$B$3+MOD(ROW()-41,14))</f>
        <v/>
      </c>
      <c r="C152" s="244">
        <f>IF($A152="","",TEXT($B152,"ddd"))</f>
        <v/>
      </c>
      <c r="D152" s="242">
        <f>IF($A152="","",SUMIFS('EH Timesheets'!$G$6:$G$1005,'EH Timesheets'!$A$6:$A$1005,$A152,'EH Timesheets'!$B$6:$B$1005,$B152))</f>
        <v/>
      </c>
      <c r="E152" s="242">
        <f>IF($A152="","",SUMIFS('EH Roster'!$G$6:$G$1005,'EH Roster'!$A$6:$A$1005,$A152,'EH Roster'!$B$6:$B$1005,$B152))</f>
        <v/>
      </c>
      <c r="F152" s="242">
        <f>IF($A152="","",$D152-$E152)</f>
        <v/>
      </c>
      <c r="G152" s="242">
        <f>IF($A152="","",IF($L152="",0,SUMPRODUCT(('Shared Calendar'!$K$2:$K$1000&gt;0)*('Shared Calendar'!$K$2:$K$1000&lt;=$B152)*('Shared Calendar'!$J$2:$J$1000&gt;$B152)*ISNUMBER(SEARCH($L152,'Shared Calendar'!$M$2:$M$1000))*('Shared Calendar'!$N$2:$N$1000="Event"),'Shared Calendar'!$L$2:$L$1000)))</f>
        <v/>
      </c>
      <c r="H152" s="246">
        <f>IF(OR($A152="",$L152=""),"",IF(SUMPRODUCT(MAX(('Shared Calendar'!$K$2:$K$1000&gt;0)*('Shared Calendar'!$K$2:$K$1000&lt;=$B152)*('Shared Calendar'!$J$2:$J$1000&gt;$B152)*ISNUMBER(SEARCH($L152,'Shared Calendar'!$M$2:$M$1000))*ROW('Shared Calendar'!$A$2:$A$1000)))=0,"",INDEX('Shared Calendar'!$A:$A,SUMPRODUCT(MAX(('Shared Calendar'!$K$2:$K$1000&gt;0)*('Shared Calendar'!$K$2:$K$1000&lt;=$B152)*('Shared Calendar'!$J$2:$J$1000&gt;$B152)*ISNUMBER(SEARCH($L152,'Shared Calendar'!$M$2:$M$1000))*ROW('Shared Calendar'!$A$2:$A$1000))))))</f>
        <v/>
      </c>
      <c r="I152" s="244">
        <f>IF(OR($A152="",$L152=""),"",IF(SUMPRODUCT(('Shared Calendar'!$K$2:$K$1000&gt;0)*('Shared Calendar'!$K$2:$K$1000&lt;=$B152)*('Shared Calendar'!$J$2:$J$1000&gt;$B152)*ISNUMBER(SEARCH($L152,'Shared Calendar'!$M$2:$M$1000))*('Shared Calendar'!$N$2:$N$1000="Leave"))&gt;0,"Leave",""))</f>
        <v/>
      </c>
      <c r="J152" s="244">
        <f>IF($A152="","",IFERROR(INDEX('Public Holidays'!$C$6:$C$38,MATCH($B152,'Public Holidays'!$A$6:$A$38,0))&amp;" ("&amp;INDEX('Public Holidays'!$L$6:$L$38,MATCH($B152,'Public Holidays'!$A$6:$A$38,0))&amp;")",""))</f>
        <v/>
      </c>
      <c r="K152" s="246">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44">
        <f>IF($A152="","",INDEX($B$7:$B$36,INT((ROW()-41)/14)+1)&amp;"")</f>
        <v/>
      </c>
    </row>
    <row r="153">
      <c r="A153" s="244">
        <f>IF(INDEX($A$7:$A$36,INT((ROW()-41)/14)+1)="","",INDEX($A$7:$A$36,INT((ROW()-41)/14)+1))</f>
        <v/>
      </c>
      <c r="B153" s="245">
        <f>IF($A153="","",$B$3+MOD(ROW()-41,14))</f>
        <v/>
      </c>
      <c r="C153" s="244">
        <f>IF($A153="","",TEXT($B153,"ddd"))</f>
        <v/>
      </c>
      <c r="D153" s="242">
        <f>IF($A153="","",SUMIFS('EH Timesheets'!$G$6:$G$1005,'EH Timesheets'!$A$6:$A$1005,$A153,'EH Timesheets'!$B$6:$B$1005,$B153))</f>
        <v/>
      </c>
      <c r="E153" s="242">
        <f>IF($A153="","",SUMIFS('EH Roster'!$G$6:$G$1005,'EH Roster'!$A$6:$A$1005,$A153,'EH Roster'!$B$6:$B$1005,$B153))</f>
        <v/>
      </c>
      <c r="F153" s="242">
        <f>IF($A153="","",$D153-$E153)</f>
        <v/>
      </c>
      <c r="G153" s="242">
        <f>IF($A153="","",IF($L153="",0,SUMPRODUCT(('Shared Calendar'!$K$2:$K$1000&gt;0)*('Shared Calendar'!$K$2:$K$1000&lt;=$B153)*('Shared Calendar'!$J$2:$J$1000&gt;$B153)*ISNUMBER(SEARCH($L153,'Shared Calendar'!$M$2:$M$1000))*('Shared Calendar'!$N$2:$N$1000="Event"),'Shared Calendar'!$L$2:$L$1000)))</f>
        <v/>
      </c>
      <c r="H153" s="246">
        <f>IF(OR($A153="",$L153=""),"",IF(SUMPRODUCT(MAX(('Shared Calendar'!$K$2:$K$1000&gt;0)*('Shared Calendar'!$K$2:$K$1000&lt;=$B153)*('Shared Calendar'!$J$2:$J$1000&gt;$B153)*ISNUMBER(SEARCH($L153,'Shared Calendar'!$M$2:$M$1000))*ROW('Shared Calendar'!$A$2:$A$1000)))=0,"",INDEX('Shared Calendar'!$A:$A,SUMPRODUCT(MAX(('Shared Calendar'!$K$2:$K$1000&gt;0)*('Shared Calendar'!$K$2:$K$1000&lt;=$B153)*('Shared Calendar'!$J$2:$J$1000&gt;$B153)*ISNUMBER(SEARCH($L153,'Shared Calendar'!$M$2:$M$1000))*ROW('Shared Calendar'!$A$2:$A$1000))))))</f>
        <v/>
      </c>
      <c r="I153" s="244">
        <f>IF(OR($A153="",$L153=""),"",IF(SUMPRODUCT(('Shared Calendar'!$K$2:$K$1000&gt;0)*('Shared Calendar'!$K$2:$K$1000&lt;=$B153)*('Shared Calendar'!$J$2:$J$1000&gt;$B153)*ISNUMBER(SEARCH($L153,'Shared Calendar'!$M$2:$M$1000))*('Shared Calendar'!$N$2:$N$1000="Leave"))&gt;0,"Leave",""))</f>
        <v/>
      </c>
      <c r="J153" s="244">
        <f>IF($A153="","",IFERROR(INDEX('Public Holidays'!$C$6:$C$38,MATCH($B153,'Public Holidays'!$A$6:$A$38,0))&amp;" ("&amp;INDEX('Public Holidays'!$L$6:$L$38,MATCH($B153,'Public Holidays'!$A$6:$A$38,0))&amp;")",""))</f>
        <v/>
      </c>
      <c r="K153" s="246">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44">
        <f>IF($A153="","",INDEX($B$7:$B$36,INT((ROW()-41)/14)+1)&amp;"")</f>
        <v/>
      </c>
    </row>
    <row r="154">
      <c r="A154" s="244">
        <f>IF(INDEX($A$7:$A$36,INT((ROW()-41)/14)+1)="","",INDEX($A$7:$A$36,INT((ROW()-41)/14)+1))</f>
        <v/>
      </c>
      <c r="B154" s="245">
        <f>IF($A154="","",$B$3+MOD(ROW()-41,14))</f>
        <v/>
      </c>
      <c r="C154" s="244">
        <f>IF($A154="","",TEXT($B154,"ddd"))</f>
        <v/>
      </c>
      <c r="D154" s="242">
        <f>IF($A154="","",SUMIFS('EH Timesheets'!$G$6:$G$1005,'EH Timesheets'!$A$6:$A$1005,$A154,'EH Timesheets'!$B$6:$B$1005,$B154))</f>
        <v/>
      </c>
      <c r="E154" s="242">
        <f>IF($A154="","",SUMIFS('EH Roster'!$G$6:$G$1005,'EH Roster'!$A$6:$A$1005,$A154,'EH Roster'!$B$6:$B$1005,$B154))</f>
        <v/>
      </c>
      <c r="F154" s="242">
        <f>IF($A154="","",$D154-$E154)</f>
        <v/>
      </c>
      <c r="G154" s="242">
        <f>IF($A154="","",IF($L154="",0,SUMPRODUCT(('Shared Calendar'!$K$2:$K$1000&gt;0)*('Shared Calendar'!$K$2:$K$1000&lt;=$B154)*('Shared Calendar'!$J$2:$J$1000&gt;$B154)*ISNUMBER(SEARCH($L154,'Shared Calendar'!$M$2:$M$1000))*('Shared Calendar'!$N$2:$N$1000="Event"),'Shared Calendar'!$L$2:$L$1000)))</f>
        <v/>
      </c>
      <c r="H154" s="246">
        <f>IF(OR($A154="",$L154=""),"",IF(SUMPRODUCT(MAX(('Shared Calendar'!$K$2:$K$1000&gt;0)*('Shared Calendar'!$K$2:$K$1000&lt;=$B154)*('Shared Calendar'!$J$2:$J$1000&gt;$B154)*ISNUMBER(SEARCH($L154,'Shared Calendar'!$M$2:$M$1000))*ROW('Shared Calendar'!$A$2:$A$1000)))=0,"",INDEX('Shared Calendar'!$A:$A,SUMPRODUCT(MAX(('Shared Calendar'!$K$2:$K$1000&gt;0)*('Shared Calendar'!$K$2:$K$1000&lt;=$B154)*('Shared Calendar'!$J$2:$J$1000&gt;$B154)*ISNUMBER(SEARCH($L154,'Shared Calendar'!$M$2:$M$1000))*ROW('Shared Calendar'!$A$2:$A$1000))))))</f>
        <v/>
      </c>
      <c r="I154" s="244">
        <f>IF(OR($A154="",$L154=""),"",IF(SUMPRODUCT(('Shared Calendar'!$K$2:$K$1000&gt;0)*('Shared Calendar'!$K$2:$K$1000&lt;=$B154)*('Shared Calendar'!$J$2:$J$1000&gt;$B154)*ISNUMBER(SEARCH($L154,'Shared Calendar'!$M$2:$M$1000))*('Shared Calendar'!$N$2:$N$1000="Leave"))&gt;0,"Leave",""))</f>
        <v/>
      </c>
      <c r="J154" s="244">
        <f>IF($A154="","",IFERROR(INDEX('Public Holidays'!$C$6:$C$38,MATCH($B154,'Public Holidays'!$A$6:$A$38,0))&amp;" ("&amp;INDEX('Public Holidays'!$L$6:$L$38,MATCH($B154,'Public Holidays'!$A$6:$A$38,0))&amp;")",""))</f>
        <v/>
      </c>
      <c r="K154" s="246">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44">
        <f>IF($A154="","",INDEX($B$7:$B$36,INT((ROW()-41)/14)+1)&amp;"")</f>
        <v/>
      </c>
    </row>
    <row r="155">
      <c r="A155" s="244">
        <f>IF(INDEX($A$7:$A$36,INT((ROW()-41)/14)+1)="","",INDEX($A$7:$A$36,INT((ROW()-41)/14)+1))</f>
        <v/>
      </c>
      <c r="B155" s="245">
        <f>IF($A155="","",$B$3+MOD(ROW()-41,14))</f>
        <v/>
      </c>
      <c r="C155" s="244">
        <f>IF($A155="","",TEXT($B155,"ddd"))</f>
        <v/>
      </c>
      <c r="D155" s="242">
        <f>IF($A155="","",SUMIFS('EH Timesheets'!$G$6:$G$1005,'EH Timesheets'!$A$6:$A$1005,$A155,'EH Timesheets'!$B$6:$B$1005,$B155))</f>
        <v/>
      </c>
      <c r="E155" s="242">
        <f>IF($A155="","",SUMIFS('EH Roster'!$G$6:$G$1005,'EH Roster'!$A$6:$A$1005,$A155,'EH Roster'!$B$6:$B$1005,$B155))</f>
        <v/>
      </c>
      <c r="F155" s="242">
        <f>IF($A155="","",$D155-$E155)</f>
        <v/>
      </c>
      <c r="G155" s="242">
        <f>IF($A155="","",IF($L155="",0,SUMPRODUCT(('Shared Calendar'!$K$2:$K$1000&gt;0)*('Shared Calendar'!$K$2:$K$1000&lt;=$B155)*('Shared Calendar'!$J$2:$J$1000&gt;$B155)*ISNUMBER(SEARCH($L155,'Shared Calendar'!$M$2:$M$1000))*('Shared Calendar'!$N$2:$N$1000="Event"),'Shared Calendar'!$L$2:$L$1000)))</f>
        <v/>
      </c>
      <c r="H155" s="246">
        <f>IF(OR($A155="",$L155=""),"",IF(SUMPRODUCT(MAX(('Shared Calendar'!$K$2:$K$1000&gt;0)*('Shared Calendar'!$K$2:$K$1000&lt;=$B155)*('Shared Calendar'!$J$2:$J$1000&gt;$B155)*ISNUMBER(SEARCH($L155,'Shared Calendar'!$M$2:$M$1000))*ROW('Shared Calendar'!$A$2:$A$1000)))=0,"",INDEX('Shared Calendar'!$A:$A,SUMPRODUCT(MAX(('Shared Calendar'!$K$2:$K$1000&gt;0)*('Shared Calendar'!$K$2:$K$1000&lt;=$B155)*('Shared Calendar'!$J$2:$J$1000&gt;$B155)*ISNUMBER(SEARCH($L155,'Shared Calendar'!$M$2:$M$1000))*ROW('Shared Calendar'!$A$2:$A$1000))))))</f>
        <v/>
      </c>
      <c r="I155" s="244">
        <f>IF(OR($A155="",$L155=""),"",IF(SUMPRODUCT(('Shared Calendar'!$K$2:$K$1000&gt;0)*('Shared Calendar'!$K$2:$K$1000&lt;=$B155)*('Shared Calendar'!$J$2:$J$1000&gt;$B155)*ISNUMBER(SEARCH($L155,'Shared Calendar'!$M$2:$M$1000))*('Shared Calendar'!$N$2:$N$1000="Leave"))&gt;0,"Leave",""))</f>
        <v/>
      </c>
      <c r="J155" s="244">
        <f>IF($A155="","",IFERROR(INDEX('Public Holidays'!$C$6:$C$38,MATCH($B155,'Public Holidays'!$A$6:$A$38,0))&amp;" ("&amp;INDEX('Public Holidays'!$L$6:$L$38,MATCH($B155,'Public Holidays'!$A$6:$A$38,0))&amp;")",""))</f>
        <v/>
      </c>
      <c r="K155" s="246">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44">
        <f>IF($A155="","",INDEX($B$7:$B$36,INT((ROW()-41)/14)+1)&amp;"")</f>
        <v/>
      </c>
    </row>
    <row r="156">
      <c r="A156" s="244">
        <f>IF(INDEX($A$7:$A$36,INT((ROW()-41)/14)+1)="","",INDEX($A$7:$A$36,INT((ROW()-41)/14)+1))</f>
        <v/>
      </c>
      <c r="B156" s="245">
        <f>IF($A156="","",$B$3+MOD(ROW()-41,14))</f>
        <v/>
      </c>
      <c r="C156" s="244">
        <f>IF($A156="","",TEXT($B156,"ddd"))</f>
        <v/>
      </c>
      <c r="D156" s="242">
        <f>IF($A156="","",SUMIFS('EH Timesheets'!$G$6:$G$1005,'EH Timesheets'!$A$6:$A$1005,$A156,'EH Timesheets'!$B$6:$B$1005,$B156))</f>
        <v/>
      </c>
      <c r="E156" s="242">
        <f>IF($A156="","",SUMIFS('EH Roster'!$G$6:$G$1005,'EH Roster'!$A$6:$A$1005,$A156,'EH Roster'!$B$6:$B$1005,$B156))</f>
        <v/>
      </c>
      <c r="F156" s="242">
        <f>IF($A156="","",$D156-$E156)</f>
        <v/>
      </c>
      <c r="G156" s="242">
        <f>IF($A156="","",IF($L156="",0,SUMPRODUCT(('Shared Calendar'!$K$2:$K$1000&gt;0)*('Shared Calendar'!$K$2:$K$1000&lt;=$B156)*('Shared Calendar'!$J$2:$J$1000&gt;$B156)*ISNUMBER(SEARCH($L156,'Shared Calendar'!$M$2:$M$1000))*('Shared Calendar'!$N$2:$N$1000="Event"),'Shared Calendar'!$L$2:$L$1000)))</f>
        <v/>
      </c>
      <c r="H156" s="246">
        <f>IF(OR($A156="",$L156=""),"",IF(SUMPRODUCT(MAX(('Shared Calendar'!$K$2:$K$1000&gt;0)*('Shared Calendar'!$K$2:$K$1000&lt;=$B156)*('Shared Calendar'!$J$2:$J$1000&gt;$B156)*ISNUMBER(SEARCH($L156,'Shared Calendar'!$M$2:$M$1000))*ROW('Shared Calendar'!$A$2:$A$1000)))=0,"",INDEX('Shared Calendar'!$A:$A,SUMPRODUCT(MAX(('Shared Calendar'!$K$2:$K$1000&gt;0)*('Shared Calendar'!$K$2:$K$1000&lt;=$B156)*('Shared Calendar'!$J$2:$J$1000&gt;$B156)*ISNUMBER(SEARCH($L156,'Shared Calendar'!$M$2:$M$1000))*ROW('Shared Calendar'!$A$2:$A$1000))))))</f>
        <v/>
      </c>
      <c r="I156" s="244">
        <f>IF(OR($A156="",$L156=""),"",IF(SUMPRODUCT(('Shared Calendar'!$K$2:$K$1000&gt;0)*('Shared Calendar'!$K$2:$K$1000&lt;=$B156)*('Shared Calendar'!$J$2:$J$1000&gt;$B156)*ISNUMBER(SEARCH($L156,'Shared Calendar'!$M$2:$M$1000))*('Shared Calendar'!$N$2:$N$1000="Leave"))&gt;0,"Leave",""))</f>
        <v/>
      </c>
      <c r="J156" s="244">
        <f>IF($A156="","",IFERROR(INDEX('Public Holidays'!$C$6:$C$38,MATCH($B156,'Public Holidays'!$A$6:$A$38,0))&amp;" ("&amp;INDEX('Public Holidays'!$L$6:$L$38,MATCH($B156,'Public Holidays'!$A$6:$A$38,0))&amp;")",""))</f>
        <v/>
      </c>
      <c r="K156" s="246">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44">
        <f>IF($A156="","",INDEX($B$7:$B$36,INT((ROW()-41)/14)+1)&amp;"")</f>
        <v/>
      </c>
    </row>
    <row r="157">
      <c r="A157" s="244">
        <f>IF(INDEX($A$7:$A$36,INT((ROW()-41)/14)+1)="","",INDEX($A$7:$A$36,INT((ROW()-41)/14)+1))</f>
        <v/>
      </c>
      <c r="B157" s="245">
        <f>IF($A157="","",$B$3+MOD(ROW()-41,14))</f>
        <v/>
      </c>
      <c r="C157" s="244">
        <f>IF($A157="","",TEXT($B157,"ddd"))</f>
        <v/>
      </c>
      <c r="D157" s="242">
        <f>IF($A157="","",SUMIFS('EH Timesheets'!$G$6:$G$1005,'EH Timesheets'!$A$6:$A$1005,$A157,'EH Timesheets'!$B$6:$B$1005,$B157))</f>
        <v/>
      </c>
      <c r="E157" s="242">
        <f>IF($A157="","",SUMIFS('EH Roster'!$G$6:$G$1005,'EH Roster'!$A$6:$A$1005,$A157,'EH Roster'!$B$6:$B$1005,$B157))</f>
        <v/>
      </c>
      <c r="F157" s="242">
        <f>IF($A157="","",$D157-$E157)</f>
        <v/>
      </c>
      <c r="G157" s="242">
        <f>IF($A157="","",IF($L157="",0,SUMPRODUCT(('Shared Calendar'!$K$2:$K$1000&gt;0)*('Shared Calendar'!$K$2:$K$1000&lt;=$B157)*('Shared Calendar'!$J$2:$J$1000&gt;$B157)*ISNUMBER(SEARCH($L157,'Shared Calendar'!$M$2:$M$1000))*('Shared Calendar'!$N$2:$N$1000="Event"),'Shared Calendar'!$L$2:$L$1000)))</f>
        <v/>
      </c>
      <c r="H157" s="246">
        <f>IF(OR($A157="",$L157=""),"",IF(SUMPRODUCT(MAX(('Shared Calendar'!$K$2:$K$1000&gt;0)*('Shared Calendar'!$K$2:$K$1000&lt;=$B157)*('Shared Calendar'!$J$2:$J$1000&gt;$B157)*ISNUMBER(SEARCH($L157,'Shared Calendar'!$M$2:$M$1000))*ROW('Shared Calendar'!$A$2:$A$1000)))=0,"",INDEX('Shared Calendar'!$A:$A,SUMPRODUCT(MAX(('Shared Calendar'!$K$2:$K$1000&gt;0)*('Shared Calendar'!$K$2:$K$1000&lt;=$B157)*('Shared Calendar'!$J$2:$J$1000&gt;$B157)*ISNUMBER(SEARCH($L157,'Shared Calendar'!$M$2:$M$1000))*ROW('Shared Calendar'!$A$2:$A$1000))))))</f>
        <v/>
      </c>
      <c r="I157" s="244">
        <f>IF(OR($A157="",$L157=""),"",IF(SUMPRODUCT(('Shared Calendar'!$K$2:$K$1000&gt;0)*('Shared Calendar'!$K$2:$K$1000&lt;=$B157)*('Shared Calendar'!$J$2:$J$1000&gt;$B157)*ISNUMBER(SEARCH($L157,'Shared Calendar'!$M$2:$M$1000))*('Shared Calendar'!$N$2:$N$1000="Leave"))&gt;0,"Leave",""))</f>
        <v/>
      </c>
      <c r="J157" s="244">
        <f>IF($A157="","",IFERROR(INDEX('Public Holidays'!$C$6:$C$38,MATCH($B157,'Public Holidays'!$A$6:$A$38,0))&amp;" ("&amp;INDEX('Public Holidays'!$L$6:$L$38,MATCH($B157,'Public Holidays'!$A$6:$A$38,0))&amp;")",""))</f>
        <v/>
      </c>
      <c r="K157" s="246">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44">
        <f>IF($A157="","",INDEX($B$7:$B$36,INT((ROW()-41)/14)+1)&amp;"")</f>
        <v/>
      </c>
    </row>
    <row r="158">
      <c r="A158" s="244">
        <f>IF(INDEX($A$7:$A$36,INT((ROW()-41)/14)+1)="","",INDEX($A$7:$A$36,INT((ROW()-41)/14)+1))</f>
        <v/>
      </c>
      <c r="B158" s="245">
        <f>IF($A158="","",$B$3+MOD(ROW()-41,14))</f>
        <v/>
      </c>
      <c r="C158" s="244">
        <f>IF($A158="","",TEXT($B158,"ddd"))</f>
        <v/>
      </c>
      <c r="D158" s="242">
        <f>IF($A158="","",SUMIFS('EH Timesheets'!$G$6:$G$1005,'EH Timesheets'!$A$6:$A$1005,$A158,'EH Timesheets'!$B$6:$B$1005,$B158))</f>
        <v/>
      </c>
      <c r="E158" s="242">
        <f>IF($A158="","",SUMIFS('EH Roster'!$G$6:$G$1005,'EH Roster'!$A$6:$A$1005,$A158,'EH Roster'!$B$6:$B$1005,$B158))</f>
        <v/>
      </c>
      <c r="F158" s="242">
        <f>IF($A158="","",$D158-$E158)</f>
        <v/>
      </c>
      <c r="G158" s="242">
        <f>IF($A158="","",IF($L158="",0,SUMPRODUCT(('Shared Calendar'!$K$2:$K$1000&gt;0)*('Shared Calendar'!$K$2:$K$1000&lt;=$B158)*('Shared Calendar'!$J$2:$J$1000&gt;$B158)*ISNUMBER(SEARCH($L158,'Shared Calendar'!$M$2:$M$1000))*('Shared Calendar'!$N$2:$N$1000="Event"),'Shared Calendar'!$L$2:$L$1000)))</f>
        <v/>
      </c>
      <c r="H158" s="246">
        <f>IF(OR($A158="",$L158=""),"",IF(SUMPRODUCT(MAX(('Shared Calendar'!$K$2:$K$1000&gt;0)*('Shared Calendar'!$K$2:$K$1000&lt;=$B158)*('Shared Calendar'!$J$2:$J$1000&gt;$B158)*ISNUMBER(SEARCH($L158,'Shared Calendar'!$M$2:$M$1000))*ROW('Shared Calendar'!$A$2:$A$1000)))=0,"",INDEX('Shared Calendar'!$A:$A,SUMPRODUCT(MAX(('Shared Calendar'!$K$2:$K$1000&gt;0)*('Shared Calendar'!$K$2:$K$1000&lt;=$B158)*('Shared Calendar'!$J$2:$J$1000&gt;$B158)*ISNUMBER(SEARCH($L158,'Shared Calendar'!$M$2:$M$1000))*ROW('Shared Calendar'!$A$2:$A$1000))))))</f>
        <v/>
      </c>
      <c r="I158" s="244">
        <f>IF(OR($A158="",$L158=""),"",IF(SUMPRODUCT(('Shared Calendar'!$K$2:$K$1000&gt;0)*('Shared Calendar'!$K$2:$K$1000&lt;=$B158)*('Shared Calendar'!$J$2:$J$1000&gt;$B158)*ISNUMBER(SEARCH($L158,'Shared Calendar'!$M$2:$M$1000))*('Shared Calendar'!$N$2:$N$1000="Leave"))&gt;0,"Leave",""))</f>
        <v/>
      </c>
      <c r="J158" s="244">
        <f>IF($A158="","",IFERROR(INDEX('Public Holidays'!$C$6:$C$38,MATCH($B158,'Public Holidays'!$A$6:$A$38,0))&amp;" ("&amp;INDEX('Public Holidays'!$L$6:$L$38,MATCH($B158,'Public Holidays'!$A$6:$A$38,0))&amp;")",""))</f>
        <v/>
      </c>
      <c r="K158" s="246">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44">
        <f>IF($A158="","",INDEX($B$7:$B$36,INT((ROW()-41)/14)+1)&amp;"")</f>
        <v/>
      </c>
    </row>
    <row r="159">
      <c r="A159" s="244">
        <f>IF(INDEX($A$7:$A$36,INT((ROW()-41)/14)+1)="","",INDEX($A$7:$A$36,INT((ROW()-41)/14)+1))</f>
        <v/>
      </c>
      <c r="B159" s="245">
        <f>IF($A159="","",$B$3+MOD(ROW()-41,14))</f>
        <v/>
      </c>
      <c r="C159" s="244">
        <f>IF($A159="","",TEXT($B159,"ddd"))</f>
        <v/>
      </c>
      <c r="D159" s="242">
        <f>IF($A159="","",SUMIFS('EH Timesheets'!$G$6:$G$1005,'EH Timesheets'!$A$6:$A$1005,$A159,'EH Timesheets'!$B$6:$B$1005,$B159))</f>
        <v/>
      </c>
      <c r="E159" s="242">
        <f>IF($A159="","",SUMIFS('EH Roster'!$G$6:$G$1005,'EH Roster'!$A$6:$A$1005,$A159,'EH Roster'!$B$6:$B$1005,$B159))</f>
        <v/>
      </c>
      <c r="F159" s="242">
        <f>IF($A159="","",$D159-$E159)</f>
        <v/>
      </c>
      <c r="G159" s="242">
        <f>IF($A159="","",IF($L159="",0,SUMPRODUCT(('Shared Calendar'!$K$2:$K$1000&gt;0)*('Shared Calendar'!$K$2:$K$1000&lt;=$B159)*('Shared Calendar'!$J$2:$J$1000&gt;$B159)*ISNUMBER(SEARCH($L159,'Shared Calendar'!$M$2:$M$1000))*('Shared Calendar'!$N$2:$N$1000="Event"),'Shared Calendar'!$L$2:$L$1000)))</f>
        <v/>
      </c>
      <c r="H159" s="246">
        <f>IF(OR($A159="",$L159=""),"",IF(SUMPRODUCT(MAX(('Shared Calendar'!$K$2:$K$1000&gt;0)*('Shared Calendar'!$K$2:$K$1000&lt;=$B159)*('Shared Calendar'!$J$2:$J$1000&gt;$B159)*ISNUMBER(SEARCH($L159,'Shared Calendar'!$M$2:$M$1000))*ROW('Shared Calendar'!$A$2:$A$1000)))=0,"",INDEX('Shared Calendar'!$A:$A,SUMPRODUCT(MAX(('Shared Calendar'!$K$2:$K$1000&gt;0)*('Shared Calendar'!$K$2:$K$1000&lt;=$B159)*('Shared Calendar'!$J$2:$J$1000&gt;$B159)*ISNUMBER(SEARCH($L159,'Shared Calendar'!$M$2:$M$1000))*ROW('Shared Calendar'!$A$2:$A$1000))))))</f>
        <v/>
      </c>
      <c r="I159" s="244">
        <f>IF(OR($A159="",$L159=""),"",IF(SUMPRODUCT(('Shared Calendar'!$K$2:$K$1000&gt;0)*('Shared Calendar'!$K$2:$K$1000&lt;=$B159)*('Shared Calendar'!$J$2:$J$1000&gt;$B159)*ISNUMBER(SEARCH($L159,'Shared Calendar'!$M$2:$M$1000))*('Shared Calendar'!$N$2:$N$1000="Leave"))&gt;0,"Leave",""))</f>
        <v/>
      </c>
      <c r="J159" s="244">
        <f>IF($A159="","",IFERROR(INDEX('Public Holidays'!$C$6:$C$38,MATCH($B159,'Public Holidays'!$A$6:$A$38,0))&amp;" ("&amp;INDEX('Public Holidays'!$L$6:$L$38,MATCH($B159,'Public Holidays'!$A$6:$A$38,0))&amp;")",""))</f>
        <v/>
      </c>
      <c r="K159" s="246">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44">
        <f>IF($A159="","",INDEX($B$7:$B$36,INT((ROW()-41)/14)+1)&amp;"")</f>
        <v/>
      </c>
    </row>
    <row r="160">
      <c r="A160" s="244">
        <f>IF(INDEX($A$7:$A$36,INT((ROW()-41)/14)+1)="","",INDEX($A$7:$A$36,INT((ROW()-41)/14)+1))</f>
        <v/>
      </c>
      <c r="B160" s="245">
        <f>IF($A160="","",$B$3+MOD(ROW()-41,14))</f>
        <v/>
      </c>
      <c r="C160" s="244">
        <f>IF($A160="","",TEXT($B160,"ddd"))</f>
        <v/>
      </c>
      <c r="D160" s="242">
        <f>IF($A160="","",SUMIFS('EH Timesheets'!$G$6:$G$1005,'EH Timesheets'!$A$6:$A$1005,$A160,'EH Timesheets'!$B$6:$B$1005,$B160))</f>
        <v/>
      </c>
      <c r="E160" s="242">
        <f>IF($A160="","",SUMIFS('EH Roster'!$G$6:$G$1005,'EH Roster'!$A$6:$A$1005,$A160,'EH Roster'!$B$6:$B$1005,$B160))</f>
        <v/>
      </c>
      <c r="F160" s="242">
        <f>IF($A160="","",$D160-$E160)</f>
        <v/>
      </c>
      <c r="G160" s="242">
        <f>IF($A160="","",IF($L160="",0,SUMPRODUCT(('Shared Calendar'!$K$2:$K$1000&gt;0)*('Shared Calendar'!$K$2:$K$1000&lt;=$B160)*('Shared Calendar'!$J$2:$J$1000&gt;$B160)*ISNUMBER(SEARCH($L160,'Shared Calendar'!$M$2:$M$1000))*('Shared Calendar'!$N$2:$N$1000="Event"),'Shared Calendar'!$L$2:$L$1000)))</f>
        <v/>
      </c>
      <c r="H160" s="246">
        <f>IF(OR($A160="",$L160=""),"",IF(SUMPRODUCT(MAX(('Shared Calendar'!$K$2:$K$1000&gt;0)*('Shared Calendar'!$K$2:$K$1000&lt;=$B160)*('Shared Calendar'!$J$2:$J$1000&gt;$B160)*ISNUMBER(SEARCH($L160,'Shared Calendar'!$M$2:$M$1000))*ROW('Shared Calendar'!$A$2:$A$1000)))=0,"",INDEX('Shared Calendar'!$A:$A,SUMPRODUCT(MAX(('Shared Calendar'!$K$2:$K$1000&gt;0)*('Shared Calendar'!$K$2:$K$1000&lt;=$B160)*('Shared Calendar'!$J$2:$J$1000&gt;$B160)*ISNUMBER(SEARCH($L160,'Shared Calendar'!$M$2:$M$1000))*ROW('Shared Calendar'!$A$2:$A$1000))))))</f>
        <v/>
      </c>
      <c r="I160" s="244">
        <f>IF(OR($A160="",$L160=""),"",IF(SUMPRODUCT(('Shared Calendar'!$K$2:$K$1000&gt;0)*('Shared Calendar'!$K$2:$K$1000&lt;=$B160)*('Shared Calendar'!$J$2:$J$1000&gt;$B160)*ISNUMBER(SEARCH($L160,'Shared Calendar'!$M$2:$M$1000))*('Shared Calendar'!$N$2:$N$1000="Leave"))&gt;0,"Leave",""))</f>
        <v/>
      </c>
      <c r="J160" s="244">
        <f>IF($A160="","",IFERROR(INDEX('Public Holidays'!$C$6:$C$38,MATCH($B160,'Public Holidays'!$A$6:$A$38,0))&amp;" ("&amp;INDEX('Public Holidays'!$L$6:$L$38,MATCH($B160,'Public Holidays'!$A$6:$A$38,0))&amp;")",""))</f>
        <v/>
      </c>
      <c r="K160" s="246">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44">
        <f>IF($A160="","",INDEX($B$7:$B$36,INT((ROW()-41)/14)+1)&amp;"")</f>
        <v/>
      </c>
    </row>
    <row r="161">
      <c r="A161" s="244">
        <f>IF(INDEX($A$7:$A$36,INT((ROW()-41)/14)+1)="","",INDEX($A$7:$A$36,INT((ROW()-41)/14)+1))</f>
        <v/>
      </c>
      <c r="B161" s="245">
        <f>IF($A161="","",$B$3+MOD(ROW()-41,14))</f>
        <v/>
      </c>
      <c r="C161" s="244">
        <f>IF($A161="","",TEXT($B161,"ddd"))</f>
        <v/>
      </c>
      <c r="D161" s="242">
        <f>IF($A161="","",SUMIFS('EH Timesheets'!$G$6:$G$1005,'EH Timesheets'!$A$6:$A$1005,$A161,'EH Timesheets'!$B$6:$B$1005,$B161))</f>
        <v/>
      </c>
      <c r="E161" s="242">
        <f>IF($A161="","",SUMIFS('EH Roster'!$G$6:$G$1005,'EH Roster'!$A$6:$A$1005,$A161,'EH Roster'!$B$6:$B$1005,$B161))</f>
        <v/>
      </c>
      <c r="F161" s="242">
        <f>IF($A161="","",$D161-$E161)</f>
        <v/>
      </c>
      <c r="G161" s="242">
        <f>IF($A161="","",IF($L161="",0,SUMPRODUCT(('Shared Calendar'!$K$2:$K$1000&gt;0)*('Shared Calendar'!$K$2:$K$1000&lt;=$B161)*('Shared Calendar'!$J$2:$J$1000&gt;$B161)*ISNUMBER(SEARCH($L161,'Shared Calendar'!$M$2:$M$1000))*('Shared Calendar'!$N$2:$N$1000="Event"),'Shared Calendar'!$L$2:$L$1000)))</f>
        <v/>
      </c>
      <c r="H161" s="246">
        <f>IF(OR($A161="",$L161=""),"",IF(SUMPRODUCT(MAX(('Shared Calendar'!$K$2:$K$1000&gt;0)*('Shared Calendar'!$K$2:$K$1000&lt;=$B161)*('Shared Calendar'!$J$2:$J$1000&gt;$B161)*ISNUMBER(SEARCH($L161,'Shared Calendar'!$M$2:$M$1000))*ROW('Shared Calendar'!$A$2:$A$1000)))=0,"",INDEX('Shared Calendar'!$A:$A,SUMPRODUCT(MAX(('Shared Calendar'!$K$2:$K$1000&gt;0)*('Shared Calendar'!$K$2:$K$1000&lt;=$B161)*('Shared Calendar'!$J$2:$J$1000&gt;$B161)*ISNUMBER(SEARCH($L161,'Shared Calendar'!$M$2:$M$1000))*ROW('Shared Calendar'!$A$2:$A$1000))))))</f>
        <v/>
      </c>
      <c r="I161" s="244">
        <f>IF(OR($A161="",$L161=""),"",IF(SUMPRODUCT(('Shared Calendar'!$K$2:$K$1000&gt;0)*('Shared Calendar'!$K$2:$K$1000&lt;=$B161)*('Shared Calendar'!$J$2:$J$1000&gt;$B161)*ISNUMBER(SEARCH($L161,'Shared Calendar'!$M$2:$M$1000))*('Shared Calendar'!$N$2:$N$1000="Leave"))&gt;0,"Leave",""))</f>
        <v/>
      </c>
      <c r="J161" s="244">
        <f>IF($A161="","",IFERROR(INDEX('Public Holidays'!$C$6:$C$38,MATCH($B161,'Public Holidays'!$A$6:$A$38,0))&amp;" ("&amp;INDEX('Public Holidays'!$L$6:$L$38,MATCH($B161,'Public Holidays'!$A$6:$A$38,0))&amp;")",""))</f>
        <v/>
      </c>
      <c r="K161" s="246">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44">
        <f>IF($A161="","",INDEX($B$7:$B$36,INT((ROW()-41)/14)+1)&amp;"")</f>
        <v/>
      </c>
    </row>
    <row r="162">
      <c r="A162" s="244">
        <f>IF(INDEX($A$7:$A$36,INT((ROW()-41)/14)+1)="","",INDEX($A$7:$A$36,INT((ROW()-41)/14)+1))</f>
        <v/>
      </c>
      <c r="B162" s="245">
        <f>IF($A162="","",$B$3+MOD(ROW()-41,14))</f>
        <v/>
      </c>
      <c r="C162" s="244">
        <f>IF($A162="","",TEXT($B162,"ddd"))</f>
        <v/>
      </c>
      <c r="D162" s="242">
        <f>IF($A162="","",SUMIFS('EH Timesheets'!$G$6:$G$1005,'EH Timesheets'!$A$6:$A$1005,$A162,'EH Timesheets'!$B$6:$B$1005,$B162))</f>
        <v/>
      </c>
      <c r="E162" s="242">
        <f>IF($A162="","",SUMIFS('EH Roster'!$G$6:$G$1005,'EH Roster'!$A$6:$A$1005,$A162,'EH Roster'!$B$6:$B$1005,$B162))</f>
        <v/>
      </c>
      <c r="F162" s="242">
        <f>IF($A162="","",$D162-$E162)</f>
        <v/>
      </c>
      <c r="G162" s="242">
        <f>IF($A162="","",IF($L162="",0,SUMPRODUCT(('Shared Calendar'!$K$2:$K$1000&gt;0)*('Shared Calendar'!$K$2:$K$1000&lt;=$B162)*('Shared Calendar'!$J$2:$J$1000&gt;$B162)*ISNUMBER(SEARCH($L162,'Shared Calendar'!$M$2:$M$1000))*('Shared Calendar'!$N$2:$N$1000="Event"),'Shared Calendar'!$L$2:$L$1000)))</f>
        <v/>
      </c>
      <c r="H162" s="246">
        <f>IF(OR($A162="",$L162=""),"",IF(SUMPRODUCT(MAX(('Shared Calendar'!$K$2:$K$1000&gt;0)*('Shared Calendar'!$K$2:$K$1000&lt;=$B162)*('Shared Calendar'!$J$2:$J$1000&gt;$B162)*ISNUMBER(SEARCH($L162,'Shared Calendar'!$M$2:$M$1000))*ROW('Shared Calendar'!$A$2:$A$1000)))=0,"",INDEX('Shared Calendar'!$A:$A,SUMPRODUCT(MAX(('Shared Calendar'!$K$2:$K$1000&gt;0)*('Shared Calendar'!$K$2:$K$1000&lt;=$B162)*('Shared Calendar'!$J$2:$J$1000&gt;$B162)*ISNUMBER(SEARCH($L162,'Shared Calendar'!$M$2:$M$1000))*ROW('Shared Calendar'!$A$2:$A$1000))))))</f>
        <v/>
      </c>
      <c r="I162" s="244">
        <f>IF(OR($A162="",$L162=""),"",IF(SUMPRODUCT(('Shared Calendar'!$K$2:$K$1000&gt;0)*('Shared Calendar'!$K$2:$K$1000&lt;=$B162)*('Shared Calendar'!$J$2:$J$1000&gt;$B162)*ISNUMBER(SEARCH($L162,'Shared Calendar'!$M$2:$M$1000))*('Shared Calendar'!$N$2:$N$1000="Leave"))&gt;0,"Leave",""))</f>
        <v/>
      </c>
      <c r="J162" s="244">
        <f>IF($A162="","",IFERROR(INDEX('Public Holidays'!$C$6:$C$38,MATCH($B162,'Public Holidays'!$A$6:$A$38,0))&amp;" ("&amp;INDEX('Public Holidays'!$L$6:$L$38,MATCH($B162,'Public Holidays'!$A$6:$A$38,0))&amp;")",""))</f>
        <v/>
      </c>
      <c r="K162" s="246">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44">
        <f>IF($A162="","",INDEX($B$7:$B$36,INT((ROW()-41)/14)+1)&amp;"")</f>
        <v/>
      </c>
    </row>
    <row r="163">
      <c r="A163" s="244">
        <f>IF(INDEX($A$7:$A$36,INT((ROW()-41)/14)+1)="","",INDEX($A$7:$A$36,INT((ROW()-41)/14)+1))</f>
        <v/>
      </c>
      <c r="B163" s="245">
        <f>IF($A163="","",$B$3+MOD(ROW()-41,14))</f>
        <v/>
      </c>
      <c r="C163" s="244">
        <f>IF($A163="","",TEXT($B163,"ddd"))</f>
        <v/>
      </c>
      <c r="D163" s="242">
        <f>IF($A163="","",SUMIFS('EH Timesheets'!$G$6:$G$1005,'EH Timesheets'!$A$6:$A$1005,$A163,'EH Timesheets'!$B$6:$B$1005,$B163))</f>
        <v/>
      </c>
      <c r="E163" s="242">
        <f>IF($A163="","",SUMIFS('EH Roster'!$G$6:$G$1005,'EH Roster'!$A$6:$A$1005,$A163,'EH Roster'!$B$6:$B$1005,$B163))</f>
        <v/>
      </c>
      <c r="F163" s="242">
        <f>IF($A163="","",$D163-$E163)</f>
        <v/>
      </c>
      <c r="G163" s="242">
        <f>IF($A163="","",IF($L163="",0,SUMPRODUCT(('Shared Calendar'!$K$2:$K$1000&gt;0)*('Shared Calendar'!$K$2:$K$1000&lt;=$B163)*('Shared Calendar'!$J$2:$J$1000&gt;$B163)*ISNUMBER(SEARCH($L163,'Shared Calendar'!$M$2:$M$1000))*('Shared Calendar'!$N$2:$N$1000="Event"),'Shared Calendar'!$L$2:$L$1000)))</f>
        <v/>
      </c>
      <c r="H163" s="246">
        <f>IF(OR($A163="",$L163=""),"",IF(SUMPRODUCT(MAX(('Shared Calendar'!$K$2:$K$1000&gt;0)*('Shared Calendar'!$K$2:$K$1000&lt;=$B163)*('Shared Calendar'!$J$2:$J$1000&gt;$B163)*ISNUMBER(SEARCH($L163,'Shared Calendar'!$M$2:$M$1000))*ROW('Shared Calendar'!$A$2:$A$1000)))=0,"",INDEX('Shared Calendar'!$A:$A,SUMPRODUCT(MAX(('Shared Calendar'!$K$2:$K$1000&gt;0)*('Shared Calendar'!$K$2:$K$1000&lt;=$B163)*('Shared Calendar'!$J$2:$J$1000&gt;$B163)*ISNUMBER(SEARCH($L163,'Shared Calendar'!$M$2:$M$1000))*ROW('Shared Calendar'!$A$2:$A$1000))))))</f>
        <v/>
      </c>
      <c r="I163" s="244">
        <f>IF(OR($A163="",$L163=""),"",IF(SUMPRODUCT(('Shared Calendar'!$K$2:$K$1000&gt;0)*('Shared Calendar'!$K$2:$K$1000&lt;=$B163)*('Shared Calendar'!$J$2:$J$1000&gt;$B163)*ISNUMBER(SEARCH($L163,'Shared Calendar'!$M$2:$M$1000))*('Shared Calendar'!$N$2:$N$1000="Leave"))&gt;0,"Leave",""))</f>
        <v/>
      </c>
      <c r="J163" s="244">
        <f>IF($A163="","",IFERROR(INDEX('Public Holidays'!$C$6:$C$38,MATCH($B163,'Public Holidays'!$A$6:$A$38,0))&amp;" ("&amp;INDEX('Public Holidays'!$L$6:$L$38,MATCH($B163,'Public Holidays'!$A$6:$A$38,0))&amp;")",""))</f>
        <v/>
      </c>
      <c r="K163" s="246">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44">
        <f>IF($A163="","",INDEX($B$7:$B$36,INT((ROW()-41)/14)+1)&amp;"")</f>
        <v/>
      </c>
    </row>
    <row r="164">
      <c r="A164" s="244">
        <f>IF(INDEX($A$7:$A$36,INT((ROW()-41)/14)+1)="","",INDEX($A$7:$A$36,INT((ROW()-41)/14)+1))</f>
        <v/>
      </c>
      <c r="B164" s="245">
        <f>IF($A164="","",$B$3+MOD(ROW()-41,14))</f>
        <v/>
      </c>
      <c r="C164" s="244">
        <f>IF($A164="","",TEXT($B164,"ddd"))</f>
        <v/>
      </c>
      <c r="D164" s="242">
        <f>IF($A164="","",SUMIFS('EH Timesheets'!$G$6:$G$1005,'EH Timesheets'!$A$6:$A$1005,$A164,'EH Timesheets'!$B$6:$B$1005,$B164))</f>
        <v/>
      </c>
      <c r="E164" s="242">
        <f>IF($A164="","",SUMIFS('EH Roster'!$G$6:$G$1005,'EH Roster'!$A$6:$A$1005,$A164,'EH Roster'!$B$6:$B$1005,$B164))</f>
        <v/>
      </c>
      <c r="F164" s="242">
        <f>IF($A164="","",$D164-$E164)</f>
        <v/>
      </c>
      <c r="G164" s="242">
        <f>IF($A164="","",IF($L164="",0,SUMPRODUCT(('Shared Calendar'!$K$2:$K$1000&gt;0)*('Shared Calendar'!$K$2:$K$1000&lt;=$B164)*('Shared Calendar'!$J$2:$J$1000&gt;$B164)*ISNUMBER(SEARCH($L164,'Shared Calendar'!$M$2:$M$1000))*('Shared Calendar'!$N$2:$N$1000="Event"),'Shared Calendar'!$L$2:$L$1000)))</f>
        <v/>
      </c>
      <c r="H164" s="246">
        <f>IF(OR($A164="",$L164=""),"",IF(SUMPRODUCT(MAX(('Shared Calendar'!$K$2:$K$1000&gt;0)*('Shared Calendar'!$K$2:$K$1000&lt;=$B164)*('Shared Calendar'!$J$2:$J$1000&gt;$B164)*ISNUMBER(SEARCH($L164,'Shared Calendar'!$M$2:$M$1000))*ROW('Shared Calendar'!$A$2:$A$1000)))=0,"",INDEX('Shared Calendar'!$A:$A,SUMPRODUCT(MAX(('Shared Calendar'!$K$2:$K$1000&gt;0)*('Shared Calendar'!$K$2:$K$1000&lt;=$B164)*('Shared Calendar'!$J$2:$J$1000&gt;$B164)*ISNUMBER(SEARCH($L164,'Shared Calendar'!$M$2:$M$1000))*ROW('Shared Calendar'!$A$2:$A$1000))))))</f>
        <v/>
      </c>
      <c r="I164" s="244">
        <f>IF(OR($A164="",$L164=""),"",IF(SUMPRODUCT(('Shared Calendar'!$K$2:$K$1000&gt;0)*('Shared Calendar'!$K$2:$K$1000&lt;=$B164)*('Shared Calendar'!$J$2:$J$1000&gt;$B164)*ISNUMBER(SEARCH($L164,'Shared Calendar'!$M$2:$M$1000))*('Shared Calendar'!$N$2:$N$1000="Leave"))&gt;0,"Leave",""))</f>
        <v/>
      </c>
      <c r="J164" s="244">
        <f>IF($A164="","",IFERROR(INDEX('Public Holidays'!$C$6:$C$38,MATCH($B164,'Public Holidays'!$A$6:$A$38,0))&amp;" ("&amp;INDEX('Public Holidays'!$L$6:$L$38,MATCH($B164,'Public Holidays'!$A$6:$A$38,0))&amp;")",""))</f>
        <v/>
      </c>
      <c r="K164" s="246">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44">
        <f>IF($A164="","",INDEX($B$7:$B$36,INT((ROW()-41)/14)+1)&amp;"")</f>
        <v/>
      </c>
    </row>
    <row r="165">
      <c r="A165" s="244">
        <f>IF(INDEX($A$7:$A$36,INT((ROW()-41)/14)+1)="","",INDEX($A$7:$A$36,INT((ROW()-41)/14)+1))</f>
        <v/>
      </c>
      <c r="B165" s="245">
        <f>IF($A165="","",$B$3+MOD(ROW()-41,14))</f>
        <v/>
      </c>
      <c r="C165" s="244">
        <f>IF($A165="","",TEXT($B165,"ddd"))</f>
        <v/>
      </c>
      <c r="D165" s="242">
        <f>IF($A165="","",SUMIFS('EH Timesheets'!$G$6:$G$1005,'EH Timesheets'!$A$6:$A$1005,$A165,'EH Timesheets'!$B$6:$B$1005,$B165))</f>
        <v/>
      </c>
      <c r="E165" s="242">
        <f>IF($A165="","",SUMIFS('EH Roster'!$G$6:$G$1005,'EH Roster'!$A$6:$A$1005,$A165,'EH Roster'!$B$6:$B$1005,$B165))</f>
        <v/>
      </c>
      <c r="F165" s="242">
        <f>IF($A165="","",$D165-$E165)</f>
        <v/>
      </c>
      <c r="G165" s="242">
        <f>IF($A165="","",IF($L165="",0,SUMPRODUCT(('Shared Calendar'!$K$2:$K$1000&gt;0)*('Shared Calendar'!$K$2:$K$1000&lt;=$B165)*('Shared Calendar'!$J$2:$J$1000&gt;$B165)*ISNUMBER(SEARCH($L165,'Shared Calendar'!$M$2:$M$1000))*('Shared Calendar'!$N$2:$N$1000="Event"),'Shared Calendar'!$L$2:$L$1000)))</f>
        <v/>
      </c>
      <c r="H165" s="246">
        <f>IF(OR($A165="",$L165=""),"",IF(SUMPRODUCT(MAX(('Shared Calendar'!$K$2:$K$1000&gt;0)*('Shared Calendar'!$K$2:$K$1000&lt;=$B165)*('Shared Calendar'!$J$2:$J$1000&gt;$B165)*ISNUMBER(SEARCH($L165,'Shared Calendar'!$M$2:$M$1000))*ROW('Shared Calendar'!$A$2:$A$1000)))=0,"",INDEX('Shared Calendar'!$A:$A,SUMPRODUCT(MAX(('Shared Calendar'!$K$2:$K$1000&gt;0)*('Shared Calendar'!$K$2:$K$1000&lt;=$B165)*('Shared Calendar'!$J$2:$J$1000&gt;$B165)*ISNUMBER(SEARCH($L165,'Shared Calendar'!$M$2:$M$1000))*ROW('Shared Calendar'!$A$2:$A$1000))))))</f>
        <v/>
      </c>
      <c r="I165" s="244">
        <f>IF(OR($A165="",$L165=""),"",IF(SUMPRODUCT(('Shared Calendar'!$K$2:$K$1000&gt;0)*('Shared Calendar'!$K$2:$K$1000&lt;=$B165)*('Shared Calendar'!$J$2:$J$1000&gt;$B165)*ISNUMBER(SEARCH($L165,'Shared Calendar'!$M$2:$M$1000))*('Shared Calendar'!$N$2:$N$1000="Leave"))&gt;0,"Leave",""))</f>
        <v/>
      </c>
      <c r="J165" s="244">
        <f>IF($A165="","",IFERROR(INDEX('Public Holidays'!$C$6:$C$38,MATCH($B165,'Public Holidays'!$A$6:$A$38,0))&amp;" ("&amp;INDEX('Public Holidays'!$L$6:$L$38,MATCH($B165,'Public Holidays'!$A$6:$A$38,0))&amp;")",""))</f>
        <v/>
      </c>
      <c r="K165" s="246">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44">
        <f>IF($A165="","",INDEX($B$7:$B$36,INT((ROW()-41)/14)+1)&amp;"")</f>
        <v/>
      </c>
    </row>
    <row r="166">
      <c r="A166" s="244">
        <f>IF(INDEX($A$7:$A$36,INT((ROW()-41)/14)+1)="","",INDEX($A$7:$A$36,INT((ROW()-41)/14)+1))</f>
        <v/>
      </c>
      <c r="B166" s="245">
        <f>IF($A166="","",$B$3+MOD(ROW()-41,14))</f>
        <v/>
      </c>
      <c r="C166" s="244">
        <f>IF($A166="","",TEXT($B166,"ddd"))</f>
        <v/>
      </c>
      <c r="D166" s="242">
        <f>IF($A166="","",SUMIFS('EH Timesheets'!$G$6:$G$1005,'EH Timesheets'!$A$6:$A$1005,$A166,'EH Timesheets'!$B$6:$B$1005,$B166))</f>
        <v/>
      </c>
      <c r="E166" s="242">
        <f>IF($A166="","",SUMIFS('EH Roster'!$G$6:$G$1005,'EH Roster'!$A$6:$A$1005,$A166,'EH Roster'!$B$6:$B$1005,$B166))</f>
        <v/>
      </c>
      <c r="F166" s="242">
        <f>IF($A166="","",$D166-$E166)</f>
        <v/>
      </c>
      <c r="G166" s="242">
        <f>IF($A166="","",IF($L166="",0,SUMPRODUCT(('Shared Calendar'!$K$2:$K$1000&gt;0)*('Shared Calendar'!$K$2:$K$1000&lt;=$B166)*('Shared Calendar'!$J$2:$J$1000&gt;$B166)*ISNUMBER(SEARCH($L166,'Shared Calendar'!$M$2:$M$1000))*('Shared Calendar'!$N$2:$N$1000="Event"),'Shared Calendar'!$L$2:$L$1000)))</f>
        <v/>
      </c>
      <c r="H166" s="246">
        <f>IF(OR($A166="",$L166=""),"",IF(SUMPRODUCT(MAX(('Shared Calendar'!$K$2:$K$1000&gt;0)*('Shared Calendar'!$K$2:$K$1000&lt;=$B166)*('Shared Calendar'!$J$2:$J$1000&gt;$B166)*ISNUMBER(SEARCH($L166,'Shared Calendar'!$M$2:$M$1000))*ROW('Shared Calendar'!$A$2:$A$1000)))=0,"",INDEX('Shared Calendar'!$A:$A,SUMPRODUCT(MAX(('Shared Calendar'!$K$2:$K$1000&gt;0)*('Shared Calendar'!$K$2:$K$1000&lt;=$B166)*('Shared Calendar'!$J$2:$J$1000&gt;$B166)*ISNUMBER(SEARCH($L166,'Shared Calendar'!$M$2:$M$1000))*ROW('Shared Calendar'!$A$2:$A$1000))))))</f>
        <v/>
      </c>
      <c r="I166" s="244">
        <f>IF(OR($A166="",$L166=""),"",IF(SUMPRODUCT(('Shared Calendar'!$K$2:$K$1000&gt;0)*('Shared Calendar'!$K$2:$K$1000&lt;=$B166)*('Shared Calendar'!$J$2:$J$1000&gt;$B166)*ISNUMBER(SEARCH($L166,'Shared Calendar'!$M$2:$M$1000))*('Shared Calendar'!$N$2:$N$1000="Leave"))&gt;0,"Leave",""))</f>
        <v/>
      </c>
      <c r="J166" s="244">
        <f>IF($A166="","",IFERROR(INDEX('Public Holidays'!$C$6:$C$38,MATCH($B166,'Public Holidays'!$A$6:$A$38,0))&amp;" ("&amp;INDEX('Public Holidays'!$L$6:$L$38,MATCH($B166,'Public Holidays'!$A$6:$A$38,0))&amp;")",""))</f>
        <v/>
      </c>
      <c r="K166" s="246">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44">
        <f>IF($A166="","",INDEX($B$7:$B$36,INT((ROW()-41)/14)+1)&amp;"")</f>
        <v/>
      </c>
    </row>
    <row r="167">
      <c r="A167" s="244">
        <f>IF(INDEX($A$7:$A$36,INT((ROW()-41)/14)+1)="","",INDEX($A$7:$A$36,INT((ROW()-41)/14)+1))</f>
        <v/>
      </c>
      <c r="B167" s="245">
        <f>IF($A167="","",$B$3+MOD(ROW()-41,14))</f>
        <v/>
      </c>
      <c r="C167" s="244">
        <f>IF($A167="","",TEXT($B167,"ddd"))</f>
        <v/>
      </c>
      <c r="D167" s="242">
        <f>IF($A167="","",SUMIFS('EH Timesheets'!$G$6:$G$1005,'EH Timesheets'!$A$6:$A$1005,$A167,'EH Timesheets'!$B$6:$B$1005,$B167))</f>
        <v/>
      </c>
      <c r="E167" s="242">
        <f>IF($A167="","",SUMIFS('EH Roster'!$G$6:$G$1005,'EH Roster'!$A$6:$A$1005,$A167,'EH Roster'!$B$6:$B$1005,$B167))</f>
        <v/>
      </c>
      <c r="F167" s="242">
        <f>IF($A167="","",$D167-$E167)</f>
        <v/>
      </c>
      <c r="G167" s="242">
        <f>IF($A167="","",IF($L167="",0,SUMPRODUCT(('Shared Calendar'!$K$2:$K$1000&gt;0)*('Shared Calendar'!$K$2:$K$1000&lt;=$B167)*('Shared Calendar'!$J$2:$J$1000&gt;$B167)*ISNUMBER(SEARCH($L167,'Shared Calendar'!$M$2:$M$1000))*('Shared Calendar'!$N$2:$N$1000="Event"),'Shared Calendar'!$L$2:$L$1000)))</f>
        <v/>
      </c>
      <c r="H167" s="246">
        <f>IF(OR($A167="",$L167=""),"",IF(SUMPRODUCT(MAX(('Shared Calendar'!$K$2:$K$1000&gt;0)*('Shared Calendar'!$K$2:$K$1000&lt;=$B167)*('Shared Calendar'!$J$2:$J$1000&gt;$B167)*ISNUMBER(SEARCH($L167,'Shared Calendar'!$M$2:$M$1000))*ROW('Shared Calendar'!$A$2:$A$1000)))=0,"",INDEX('Shared Calendar'!$A:$A,SUMPRODUCT(MAX(('Shared Calendar'!$K$2:$K$1000&gt;0)*('Shared Calendar'!$K$2:$K$1000&lt;=$B167)*('Shared Calendar'!$J$2:$J$1000&gt;$B167)*ISNUMBER(SEARCH($L167,'Shared Calendar'!$M$2:$M$1000))*ROW('Shared Calendar'!$A$2:$A$1000))))))</f>
        <v/>
      </c>
      <c r="I167" s="244">
        <f>IF(OR($A167="",$L167=""),"",IF(SUMPRODUCT(('Shared Calendar'!$K$2:$K$1000&gt;0)*('Shared Calendar'!$K$2:$K$1000&lt;=$B167)*('Shared Calendar'!$J$2:$J$1000&gt;$B167)*ISNUMBER(SEARCH($L167,'Shared Calendar'!$M$2:$M$1000))*('Shared Calendar'!$N$2:$N$1000="Leave"))&gt;0,"Leave",""))</f>
        <v/>
      </c>
      <c r="J167" s="244">
        <f>IF($A167="","",IFERROR(INDEX('Public Holidays'!$C$6:$C$38,MATCH($B167,'Public Holidays'!$A$6:$A$38,0))&amp;" ("&amp;INDEX('Public Holidays'!$L$6:$L$38,MATCH($B167,'Public Holidays'!$A$6:$A$38,0))&amp;")",""))</f>
        <v/>
      </c>
      <c r="K167" s="246">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44">
        <f>IF($A167="","",INDEX($B$7:$B$36,INT((ROW()-41)/14)+1)&amp;"")</f>
        <v/>
      </c>
    </row>
    <row r="168">
      <c r="A168" s="244">
        <f>IF(INDEX($A$7:$A$36,INT((ROW()-41)/14)+1)="","",INDEX($A$7:$A$36,INT((ROW()-41)/14)+1))</f>
        <v/>
      </c>
      <c r="B168" s="245">
        <f>IF($A168="","",$B$3+MOD(ROW()-41,14))</f>
        <v/>
      </c>
      <c r="C168" s="244">
        <f>IF($A168="","",TEXT($B168,"ddd"))</f>
        <v/>
      </c>
      <c r="D168" s="242">
        <f>IF($A168="","",SUMIFS('EH Timesheets'!$G$6:$G$1005,'EH Timesheets'!$A$6:$A$1005,$A168,'EH Timesheets'!$B$6:$B$1005,$B168))</f>
        <v/>
      </c>
      <c r="E168" s="242">
        <f>IF($A168="","",SUMIFS('EH Roster'!$G$6:$G$1005,'EH Roster'!$A$6:$A$1005,$A168,'EH Roster'!$B$6:$B$1005,$B168))</f>
        <v/>
      </c>
      <c r="F168" s="242">
        <f>IF($A168="","",$D168-$E168)</f>
        <v/>
      </c>
      <c r="G168" s="242">
        <f>IF($A168="","",IF($L168="",0,SUMPRODUCT(('Shared Calendar'!$K$2:$K$1000&gt;0)*('Shared Calendar'!$K$2:$K$1000&lt;=$B168)*('Shared Calendar'!$J$2:$J$1000&gt;$B168)*ISNUMBER(SEARCH($L168,'Shared Calendar'!$M$2:$M$1000))*('Shared Calendar'!$N$2:$N$1000="Event"),'Shared Calendar'!$L$2:$L$1000)))</f>
        <v/>
      </c>
      <c r="H168" s="246">
        <f>IF(OR($A168="",$L168=""),"",IF(SUMPRODUCT(MAX(('Shared Calendar'!$K$2:$K$1000&gt;0)*('Shared Calendar'!$K$2:$K$1000&lt;=$B168)*('Shared Calendar'!$J$2:$J$1000&gt;$B168)*ISNUMBER(SEARCH($L168,'Shared Calendar'!$M$2:$M$1000))*ROW('Shared Calendar'!$A$2:$A$1000)))=0,"",INDEX('Shared Calendar'!$A:$A,SUMPRODUCT(MAX(('Shared Calendar'!$K$2:$K$1000&gt;0)*('Shared Calendar'!$K$2:$K$1000&lt;=$B168)*('Shared Calendar'!$J$2:$J$1000&gt;$B168)*ISNUMBER(SEARCH($L168,'Shared Calendar'!$M$2:$M$1000))*ROW('Shared Calendar'!$A$2:$A$1000))))))</f>
        <v/>
      </c>
      <c r="I168" s="244">
        <f>IF(OR($A168="",$L168=""),"",IF(SUMPRODUCT(('Shared Calendar'!$K$2:$K$1000&gt;0)*('Shared Calendar'!$K$2:$K$1000&lt;=$B168)*('Shared Calendar'!$J$2:$J$1000&gt;$B168)*ISNUMBER(SEARCH($L168,'Shared Calendar'!$M$2:$M$1000))*('Shared Calendar'!$N$2:$N$1000="Leave"))&gt;0,"Leave",""))</f>
        <v/>
      </c>
      <c r="J168" s="244">
        <f>IF($A168="","",IFERROR(INDEX('Public Holidays'!$C$6:$C$38,MATCH($B168,'Public Holidays'!$A$6:$A$38,0))&amp;" ("&amp;INDEX('Public Holidays'!$L$6:$L$38,MATCH($B168,'Public Holidays'!$A$6:$A$38,0))&amp;")",""))</f>
        <v/>
      </c>
      <c r="K168" s="246">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44">
        <f>IF($A168="","",INDEX($B$7:$B$36,INT((ROW()-41)/14)+1)&amp;"")</f>
        <v/>
      </c>
    </row>
    <row r="169">
      <c r="A169" s="244">
        <f>IF(INDEX($A$7:$A$36,INT((ROW()-41)/14)+1)="","",INDEX($A$7:$A$36,INT((ROW()-41)/14)+1))</f>
        <v/>
      </c>
      <c r="B169" s="245">
        <f>IF($A169="","",$B$3+MOD(ROW()-41,14))</f>
        <v/>
      </c>
      <c r="C169" s="244">
        <f>IF($A169="","",TEXT($B169,"ddd"))</f>
        <v/>
      </c>
      <c r="D169" s="242">
        <f>IF($A169="","",SUMIFS('EH Timesheets'!$G$6:$G$1005,'EH Timesheets'!$A$6:$A$1005,$A169,'EH Timesheets'!$B$6:$B$1005,$B169))</f>
        <v/>
      </c>
      <c r="E169" s="242">
        <f>IF($A169="","",SUMIFS('EH Roster'!$G$6:$G$1005,'EH Roster'!$A$6:$A$1005,$A169,'EH Roster'!$B$6:$B$1005,$B169))</f>
        <v/>
      </c>
      <c r="F169" s="242">
        <f>IF($A169="","",$D169-$E169)</f>
        <v/>
      </c>
      <c r="G169" s="242">
        <f>IF($A169="","",IF($L169="",0,SUMPRODUCT(('Shared Calendar'!$K$2:$K$1000&gt;0)*('Shared Calendar'!$K$2:$K$1000&lt;=$B169)*('Shared Calendar'!$J$2:$J$1000&gt;$B169)*ISNUMBER(SEARCH($L169,'Shared Calendar'!$M$2:$M$1000))*('Shared Calendar'!$N$2:$N$1000="Event"),'Shared Calendar'!$L$2:$L$1000)))</f>
        <v/>
      </c>
      <c r="H169" s="246">
        <f>IF(OR($A169="",$L169=""),"",IF(SUMPRODUCT(MAX(('Shared Calendar'!$K$2:$K$1000&gt;0)*('Shared Calendar'!$K$2:$K$1000&lt;=$B169)*('Shared Calendar'!$J$2:$J$1000&gt;$B169)*ISNUMBER(SEARCH($L169,'Shared Calendar'!$M$2:$M$1000))*ROW('Shared Calendar'!$A$2:$A$1000)))=0,"",INDEX('Shared Calendar'!$A:$A,SUMPRODUCT(MAX(('Shared Calendar'!$K$2:$K$1000&gt;0)*('Shared Calendar'!$K$2:$K$1000&lt;=$B169)*('Shared Calendar'!$J$2:$J$1000&gt;$B169)*ISNUMBER(SEARCH($L169,'Shared Calendar'!$M$2:$M$1000))*ROW('Shared Calendar'!$A$2:$A$1000))))))</f>
        <v/>
      </c>
      <c r="I169" s="244">
        <f>IF(OR($A169="",$L169=""),"",IF(SUMPRODUCT(('Shared Calendar'!$K$2:$K$1000&gt;0)*('Shared Calendar'!$K$2:$K$1000&lt;=$B169)*('Shared Calendar'!$J$2:$J$1000&gt;$B169)*ISNUMBER(SEARCH($L169,'Shared Calendar'!$M$2:$M$1000))*('Shared Calendar'!$N$2:$N$1000="Leave"))&gt;0,"Leave",""))</f>
        <v/>
      </c>
      <c r="J169" s="244">
        <f>IF($A169="","",IFERROR(INDEX('Public Holidays'!$C$6:$C$38,MATCH($B169,'Public Holidays'!$A$6:$A$38,0))&amp;" ("&amp;INDEX('Public Holidays'!$L$6:$L$38,MATCH($B169,'Public Holidays'!$A$6:$A$38,0))&amp;")",""))</f>
        <v/>
      </c>
      <c r="K169" s="246">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44">
        <f>IF($A169="","",INDEX($B$7:$B$36,INT((ROW()-41)/14)+1)&amp;"")</f>
        <v/>
      </c>
    </row>
    <row r="170">
      <c r="A170" s="244">
        <f>IF(INDEX($A$7:$A$36,INT((ROW()-41)/14)+1)="","",INDEX($A$7:$A$36,INT((ROW()-41)/14)+1))</f>
        <v/>
      </c>
      <c r="B170" s="245">
        <f>IF($A170="","",$B$3+MOD(ROW()-41,14))</f>
        <v/>
      </c>
      <c r="C170" s="244">
        <f>IF($A170="","",TEXT($B170,"ddd"))</f>
        <v/>
      </c>
      <c r="D170" s="242">
        <f>IF($A170="","",SUMIFS('EH Timesheets'!$G$6:$G$1005,'EH Timesheets'!$A$6:$A$1005,$A170,'EH Timesheets'!$B$6:$B$1005,$B170))</f>
        <v/>
      </c>
      <c r="E170" s="242">
        <f>IF($A170="","",SUMIFS('EH Roster'!$G$6:$G$1005,'EH Roster'!$A$6:$A$1005,$A170,'EH Roster'!$B$6:$B$1005,$B170))</f>
        <v/>
      </c>
      <c r="F170" s="242">
        <f>IF($A170="","",$D170-$E170)</f>
        <v/>
      </c>
      <c r="G170" s="242">
        <f>IF($A170="","",IF($L170="",0,SUMPRODUCT(('Shared Calendar'!$K$2:$K$1000&gt;0)*('Shared Calendar'!$K$2:$K$1000&lt;=$B170)*('Shared Calendar'!$J$2:$J$1000&gt;$B170)*ISNUMBER(SEARCH($L170,'Shared Calendar'!$M$2:$M$1000))*('Shared Calendar'!$N$2:$N$1000="Event"),'Shared Calendar'!$L$2:$L$1000)))</f>
        <v/>
      </c>
      <c r="H170" s="246">
        <f>IF(OR($A170="",$L170=""),"",IF(SUMPRODUCT(MAX(('Shared Calendar'!$K$2:$K$1000&gt;0)*('Shared Calendar'!$K$2:$K$1000&lt;=$B170)*('Shared Calendar'!$J$2:$J$1000&gt;$B170)*ISNUMBER(SEARCH($L170,'Shared Calendar'!$M$2:$M$1000))*ROW('Shared Calendar'!$A$2:$A$1000)))=0,"",INDEX('Shared Calendar'!$A:$A,SUMPRODUCT(MAX(('Shared Calendar'!$K$2:$K$1000&gt;0)*('Shared Calendar'!$K$2:$K$1000&lt;=$B170)*('Shared Calendar'!$J$2:$J$1000&gt;$B170)*ISNUMBER(SEARCH($L170,'Shared Calendar'!$M$2:$M$1000))*ROW('Shared Calendar'!$A$2:$A$1000))))))</f>
        <v/>
      </c>
      <c r="I170" s="244">
        <f>IF(OR($A170="",$L170=""),"",IF(SUMPRODUCT(('Shared Calendar'!$K$2:$K$1000&gt;0)*('Shared Calendar'!$K$2:$K$1000&lt;=$B170)*('Shared Calendar'!$J$2:$J$1000&gt;$B170)*ISNUMBER(SEARCH($L170,'Shared Calendar'!$M$2:$M$1000))*('Shared Calendar'!$N$2:$N$1000="Leave"))&gt;0,"Leave",""))</f>
        <v/>
      </c>
      <c r="J170" s="244">
        <f>IF($A170="","",IFERROR(INDEX('Public Holidays'!$C$6:$C$38,MATCH($B170,'Public Holidays'!$A$6:$A$38,0))&amp;" ("&amp;INDEX('Public Holidays'!$L$6:$L$38,MATCH($B170,'Public Holidays'!$A$6:$A$38,0))&amp;")",""))</f>
        <v/>
      </c>
      <c r="K170" s="246">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44">
        <f>IF($A170="","",INDEX($B$7:$B$36,INT((ROW()-41)/14)+1)&amp;"")</f>
        <v/>
      </c>
    </row>
    <row r="171">
      <c r="A171" s="244">
        <f>IF(INDEX($A$7:$A$36,INT((ROW()-41)/14)+1)="","",INDEX($A$7:$A$36,INT((ROW()-41)/14)+1))</f>
        <v/>
      </c>
      <c r="B171" s="245">
        <f>IF($A171="","",$B$3+MOD(ROW()-41,14))</f>
        <v/>
      </c>
      <c r="C171" s="244">
        <f>IF($A171="","",TEXT($B171,"ddd"))</f>
        <v/>
      </c>
      <c r="D171" s="242">
        <f>IF($A171="","",SUMIFS('EH Timesheets'!$G$6:$G$1005,'EH Timesheets'!$A$6:$A$1005,$A171,'EH Timesheets'!$B$6:$B$1005,$B171))</f>
        <v/>
      </c>
      <c r="E171" s="242">
        <f>IF($A171="","",SUMIFS('EH Roster'!$G$6:$G$1005,'EH Roster'!$A$6:$A$1005,$A171,'EH Roster'!$B$6:$B$1005,$B171))</f>
        <v/>
      </c>
      <c r="F171" s="242">
        <f>IF($A171="","",$D171-$E171)</f>
        <v/>
      </c>
      <c r="G171" s="242">
        <f>IF($A171="","",IF($L171="",0,SUMPRODUCT(('Shared Calendar'!$K$2:$K$1000&gt;0)*('Shared Calendar'!$K$2:$K$1000&lt;=$B171)*('Shared Calendar'!$J$2:$J$1000&gt;$B171)*ISNUMBER(SEARCH($L171,'Shared Calendar'!$M$2:$M$1000))*('Shared Calendar'!$N$2:$N$1000="Event"),'Shared Calendar'!$L$2:$L$1000)))</f>
        <v/>
      </c>
      <c r="H171" s="246">
        <f>IF(OR($A171="",$L171=""),"",IF(SUMPRODUCT(MAX(('Shared Calendar'!$K$2:$K$1000&gt;0)*('Shared Calendar'!$K$2:$K$1000&lt;=$B171)*('Shared Calendar'!$J$2:$J$1000&gt;$B171)*ISNUMBER(SEARCH($L171,'Shared Calendar'!$M$2:$M$1000))*ROW('Shared Calendar'!$A$2:$A$1000)))=0,"",INDEX('Shared Calendar'!$A:$A,SUMPRODUCT(MAX(('Shared Calendar'!$K$2:$K$1000&gt;0)*('Shared Calendar'!$K$2:$K$1000&lt;=$B171)*('Shared Calendar'!$J$2:$J$1000&gt;$B171)*ISNUMBER(SEARCH($L171,'Shared Calendar'!$M$2:$M$1000))*ROW('Shared Calendar'!$A$2:$A$1000))))))</f>
        <v/>
      </c>
      <c r="I171" s="244">
        <f>IF(OR($A171="",$L171=""),"",IF(SUMPRODUCT(('Shared Calendar'!$K$2:$K$1000&gt;0)*('Shared Calendar'!$K$2:$K$1000&lt;=$B171)*('Shared Calendar'!$J$2:$J$1000&gt;$B171)*ISNUMBER(SEARCH($L171,'Shared Calendar'!$M$2:$M$1000))*('Shared Calendar'!$N$2:$N$1000="Leave"))&gt;0,"Leave",""))</f>
        <v/>
      </c>
      <c r="J171" s="244">
        <f>IF($A171="","",IFERROR(INDEX('Public Holidays'!$C$6:$C$38,MATCH($B171,'Public Holidays'!$A$6:$A$38,0))&amp;" ("&amp;INDEX('Public Holidays'!$L$6:$L$38,MATCH($B171,'Public Holidays'!$A$6:$A$38,0))&amp;")",""))</f>
        <v/>
      </c>
      <c r="K171" s="246">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44">
        <f>IF($A171="","",INDEX($B$7:$B$36,INT((ROW()-41)/14)+1)&amp;"")</f>
        <v/>
      </c>
    </row>
    <row r="172">
      <c r="A172" s="244">
        <f>IF(INDEX($A$7:$A$36,INT((ROW()-41)/14)+1)="","",INDEX($A$7:$A$36,INT((ROW()-41)/14)+1))</f>
        <v/>
      </c>
      <c r="B172" s="245">
        <f>IF($A172="","",$B$3+MOD(ROW()-41,14))</f>
        <v/>
      </c>
      <c r="C172" s="244">
        <f>IF($A172="","",TEXT($B172,"ddd"))</f>
        <v/>
      </c>
      <c r="D172" s="242">
        <f>IF($A172="","",SUMIFS('EH Timesheets'!$G$6:$G$1005,'EH Timesheets'!$A$6:$A$1005,$A172,'EH Timesheets'!$B$6:$B$1005,$B172))</f>
        <v/>
      </c>
      <c r="E172" s="242">
        <f>IF($A172="","",SUMIFS('EH Roster'!$G$6:$G$1005,'EH Roster'!$A$6:$A$1005,$A172,'EH Roster'!$B$6:$B$1005,$B172))</f>
        <v/>
      </c>
      <c r="F172" s="242">
        <f>IF($A172="","",$D172-$E172)</f>
        <v/>
      </c>
      <c r="G172" s="242">
        <f>IF($A172="","",IF($L172="",0,SUMPRODUCT(('Shared Calendar'!$K$2:$K$1000&gt;0)*('Shared Calendar'!$K$2:$K$1000&lt;=$B172)*('Shared Calendar'!$J$2:$J$1000&gt;$B172)*ISNUMBER(SEARCH($L172,'Shared Calendar'!$M$2:$M$1000))*('Shared Calendar'!$N$2:$N$1000="Event"),'Shared Calendar'!$L$2:$L$1000)))</f>
        <v/>
      </c>
      <c r="H172" s="246">
        <f>IF(OR($A172="",$L172=""),"",IF(SUMPRODUCT(MAX(('Shared Calendar'!$K$2:$K$1000&gt;0)*('Shared Calendar'!$K$2:$K$1000&lt;=$B172)*('Shared Calendar'!$J$2:$J$1000&gt;$B172)*ISNUMBER(SEARCH($L172,'Shared Calendar'!$M$2:$M$1000))*ROW('Shared Calendar'!$A$2:$A$1000)))=0,"",INDEX('Shared Calendar'!$A:$A,SUMPRODUCT(MAX(('Shared Calendar'!$K$2:$K$1000&gt;0)*('Shared Calendar'!$K$2:$K$1000&lt;=$B172)*('Shared Calendar'!$J$2:$J$1000&gt;$B172)*ISNUMBER(SEARCH($L172,'Shared Calendar'!$M$2:$M$1000))*ROW('Shared Calendar'!$A$2:$A$1000))))))</f>
        <v/>
      </c>
      <c r="I172" s="244">
        <f>IF(OR($A172="",$L172=""),"",IF(SUMPRODUCT(('Shared Calendar'!$K$2:$K$1000&gt;0)*('Shared Calendar'!$K$2:$K$1000&lt;=$B172)*('Shared Calendar'!$J$2:$J$1000&gt;$B172)*ISNUMBER(SEARCH($L172,'Shared Calendar'!$M$2:$M$1000))*('Shared Calendar'!$N$2:$N$1000="Leave"))&gt;0,"Leave",""))</f>
        <v/>
      </c>
      <c r="J172" s="244">
        <f>IF($A172="","",IFERROR(INDEX('Public Holidays'!$C$6:$C$38,MATCH($B172,'Public Holidays'!$A$6:$A$38,0))&amp;" ("&amp;INDEX('Public Holidays'!$L$6:$L$38,MATCH($B172,'Public Holidays'!$A$6:$A$38,0))&amp;")",""))</f>
        <v/>
      </c>
      <c r="K172" s="246">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44">
        <f>IF($A172="","",INDEX($B$7:$B$36,INT((ROW()-41)/14)+1)&amp;"")</f>
        <v/>
      </c>
    </row>
    <row r="173">
      <c r="A173" s="244">
        <f>IF(INDEX($A$7:$A$36,INT((ROW()-41)/14)+1)="","",INDEX($A$7:$A$36,INT((ROW()-41)/14)+1))</f>
        <v/>
      </c>
      <c r="B173" s="245">
        <f>IF($A173="","",$B$3+MOD(ROW()-41,14))</f>
        <v/>
      </c>
      <c r="C173" s="244">
        <f>IF($A173="","",TEXT($B173,"ddd"))</f>
        <v/>
      </c>
      <c r="D173" s="242">
        <f>IF($A173="","",SUMIFS('EH Timesheets'!$G$6:$G$1005,'EH Timesheets'!$A$6:$A$1005,$A173,'EH Timesheets'!$B$6:$B$1005,$B173))</f>
        <v/>
      </c>
      <c r="E173" s="242">
        <f>IF($A173="","",SUMIFS('EH Roster'!$G$6:$G$1005,'EH Roster'!$A$6:$A$1005,$A173,'EH Roster'!$B$6:$B$1005,$B173))</f>
        <v/>
      </c>
      <c r="F173" s="242">
        <f>IF($A173="","",$D173-$E173)</f>
        <v/>
      </c>
      <c r="G173" s="242">
        <f>IF($A173="","",IF($L173="",0,SUMPRODUCT(('Shared Calendar'!$K$2:$K$1000&gt;0)*('Shared Calendar'!$K$2:$K$1000&lt;=$B173)*('Shared Calendar'!$J$2:$J$1000&gt;$B173)*ISNUMBER(SEARCH($L173,'Shared Calendar'!$M$2:$M$1000))*('Shared Calendar'!$N$2:$N$1000="Event"),'Shared Calendar'!$L$2:$L$1000)))</f>
        <v/>
      </c>
      <c r="H173" s="246">
        <f>IF(OR($A173="",$L173=""),"",IF(SUMPRODUCT(MAX(('Shared Calendar'!$K$2:$K$1000&gt;0)*('Shared Calendar'!$K$2:$K$1000&lt;=$B173)*('Shared Calendar'!$J$2:$J$1000&gt;$B173)*ISNUMBER(SEARCH($L173,'Shared Calendar'!$M$2:$M$1000))*ROW('Shared Calendar'!$A$2:$A$1000)))=0,"",INDEX('Shared Calendar'!$A:$A,SUMPRODUCT(MAX(('Shared Calendar'!$K$2:$K$1000&gt;0)*('Shared Calendar'!$K$2:$K$1000&lt;=$B173)*('Shared Calendar'!$J$2:$J$1000&gt;$B173)*ISNUMBER(SEARCH($L173,'Shared Calendar'!$M$2:$M$1000))*ROW('Shared Calendar'!$A$2:$A$1000))))))</f>
        <v/>
      </c>
      <c r="I173" s="244">
        <f>IF(OR($A173="",$L173=""),"",IF(SUMPRODUCT(('Shared Calendar'!$K$2:$K$1000&gt;0)*('Shared Calendar'!$K$2:$K$1000&lt;=$B173)*('Shared Calendar'!$J$2:$J$1000&gt;$B173)*ISNUMBER(SEARCH($L173,'Shared Calendar'!$M$2:$M$1000))*('Shared Calendar'!$N$2:$N$1000="Leave"))&gt;0,"Leave",""))</f>
        <v/>
      </c>
      <c r="J173" s="244">
        <f>IF($A173="","",IFERROR(INDEX('Public Holidays'!$C$6:$C$38,MATCH($B173,'Public Holidays'!$A$6:$A$38,0))&amp;" ("&amp;INDEX('Public Holidays'!$L$6:$L$38,MATCH($B173,'Public Holidays'!$A$6:$A$38,0))&amp;")",""))</f>
        <v/>
      </c>
      <c r="K173" s="246">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44">
        <f>IF($A173="","",INDEX($B$7:$B$36,INT((ROW()-41)/14)+1)&amp;"")</f>
        <v/>
      </c>
    </row>
    <row r="174">
      <c r="A174" s="244">
        <f>IF(INDEX($A$7:$A$36,INT((ROW()-41)/14)+1)="","",INDEX($A$7:$A$36,INT((ROW()-41)/14)+1))</f>
        <v/>
      </c>
      <c r="B174" s="245">
        <f>IF($A174="","",$B$3+MOD(ROW()-41,14))</f>
        <v/>
      </c>
      <c r="C174" s="244">
        <f>IF($A174="","",TEXT($B174,"ddd"))</f>
        <v/>
      </c>
      <c r="D174" s="242">
        <f>IF($A174="","",SUMIFS('EH Timesheets'!$G$6:$G$1005,'EH Timesheets'!$A$6:$A$1005,$A174,'EH Timesheets'!$B$6:$B$1005,$B174))</f>
        <v/>
      </c>
      <c r="E174" s="242">
        <f>IF($A174="","",SUMIFS('EH Roster'!$G$6:$G$1005,'EH Roster'!$A$6:$A$1005,$A174,'EH Roster'!$B$6:$B$1005,$B174))</f>
        <v/>
      </c>
      <c r="F174" s="242">
        <f>IF($A174="","",$D174-$E174)</f>
        <v/>
      </c>
      <c r="G174" s="242">
        <f>IF($A174="","",IF($L174="",0,SUMPRODUCT(('Shared Calendar'!$K$2:$K$1000&gt;0)*('Shared Calendar'!$K$2:$K$1000&lt;=$B174)*('Shared Calendar'!$J$2:$J$1000&gt;$B174)*ISNUMBER(SEARCH($L174,'Shared Calendar'!$M$2:$M$1000))*('Shared Calendar'!$N$2:$N$1000="Event"),'Shared Calendar'!$L$2:$L$1000)))</f>
        <v/>
      </c>
      <c r="H174" s="246">
        <f>IF(OR($A174="",$L174=""),"",IF(SUMPRODUCT(MAX(('Shared Calendar'!$K$2:$K$1000&gt;0)*('Shared Calendar'!$K$2:$K$1000&lt;=$B174)*('Shared Calendar'!$J$2:$J$1000&gt;$B174)*ISNUMBER(SEARCH($L174,'Shared Calendar'!$M$2:$M$1000))*ROW('Shared Calendar'!$A$2:$A$1000)))=0,"",INDEX('Shared Calendar'!$A:$A,SUMPRODUCT(MAX(('Shared Calendar'!$K$2:$K$1000&gt;0)*('Shared Calendar'!$K$2:$K$1000&lt;=$B174)*('Shared Calendar'!$J$2:$J$1000&gt;$B174)*ISNUMBER(SEARCH($L174,'Shared Calendar'!$M$2:$M$1000))*ROW('Shared Calendar'!$A$2:$A$1000))))))</f>
        <v/>
      </c>
      <c r="I174" s="244">
        <f>IF(OR($A174="",$L174=""),"",IF(SUMPRODUCT(('Shared Calendar'!$K$2:$K$1000&gt;0)*('Shared Calendar'!$K$2:$K$1000&lt;=$B174)*('Shared Calendar'!$J$2:$J$1000&gt;$B174)*ISNUMBER(SEARCH($L174,'Shared Calendar'!$M$2:$M$1000))*('Shared Calendar'!$N$2:$N$1000="Leave"))&gt;0,"Leave",""))</f>
        <v/>
      </c>
      <c r="J174" s="244">
        <f>IF($A174="","",IFERROR(INDEX('Public Holidays'!$C$6:$C$38,MATCH($B174,'Public Holidays'!$A$6:$A$38,0))&amp;" ("&amp;INDEX('Public Holidays'!$L$6:$L$38,MATCH($B174,'Public Holidays'!$A$6:$A$38,0))&amp;")",""))</f>
        <v/>
      </c>
      <c r="K174" s="246">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44">
        <f>IF($A174="","",INDEX($B$7:$B$36,INT((ROW()-41)/14)+1)&amp;"")</f>
        <v/>
      </c>
    </row>
    <row r="175">
      <c r="A175" s="244">
        <f>IF(INDEX($A$7:$A$36,INT((ROW()-41)/14)+1)="","",INDEX($A$7:$A$36,INT((ROW()-41)/14)+1))</f>
        <v/>
      </c>
      <c r="B175" s="245">
        <f>IF($A175="","",$B$3+MOD(ROW()-41,14))</f>
        <v/>
      </c>
      <c r="C175" s="244">
        <f>IF($A175="","",TEXT($B175,"ddd"))</f>
        <v/>
      </c>
      <c r="D175" s="242">
        <f>IF($A175="","",SUMIFS('EH Timesheets'!$G$6:$G$1005,'EH Timesheets'!$A$6:$A$1005,$A175,'EH Timesheets'!$B$6:$B$1005,$B175))</f>
        <v/>
      </c>
      <c r="E175" s="242">
        <f>IF($A175="","",SUMIFS('EH Roster'!$G$6:$G$1005,'EH Roster'!$A$6:$A$1005,$A175,'EH Roster'!$B$6:$B$1005,$B175))</f>
        <v/>
      </c>
      <c r="F175" s="242">
        <f>IF($A175="","",$D175-$E175)</f>
        <v/>
      </c>
      <c r="G175" s="242">
        <f>IF($A175="","",IF($L175="",0,SUMPRODUCT(('Shared Calendar'!$K$2:$K$1000&gt;0)*('Shared Calendar'!$K$2:$K$1000&lt;=$B175)*('Shared Calendar'!$J$2:$J$1000&gt;$B175)*ISNUMBER(SEARCH($L175,'Shared Calendar'!$M$2:$M$1000))*('Shared Calendar'!$N$2:$N$1000="Event"),'Shared Calendar'!$L$2:$L$1000)))</f>
        <v/>
      </c>
      <c r="H175" s="246">
        <f>IF(OR($A175="",$L175=""),"",IF(SUMPRODUCT(MAX(('Shared Calendar'!$K$2:$K$1000&gt;0)*('Shared Calendar'!$K$2:$K$1000&lt;=$B175)*('Shared Calendar'!$J$2:$J$1000&gt;$B175)*ISNUMBER(SEARCH($L175,'Shared Calendar'!$M$2:$M$1000))*ROW('Shared Calendar'!$A$2:$A$1000)))=0,"",INDEX('Shared Calendar'!$A:$A,SUMPRODUCT(MAX(('Shared Calendar'!$K$2:$K$1000&gt;0)*('Shared Calendar'!$K$2:$K$1000&lt;=$B175)*('Shared Calendar'!$J$2:$J$1000&gt;$B175)*ISNUMBER(SEARCH($L175,'Shared Calendar'!$M$2:$M$1000))*ROW('Shared Calendar'!$A$2:$A$1000))))))</f>
        <v/>
      </c>
      <c r="I175" s="244">
        <f>IF(OR($A175="",$L175=""),"",IF(SUMPRODUCT(('Shared Calendar'!$K$2:$K$1000&gt;0)*('Shared Calendar'!$K$2:$K$1000&lt;=$B175)*('Shared Calendar'!$J$2:$J$1000&gt;$B175)*ISNUMBER(SEARCH($L175,'Shared Calendar'!$M$2:$M$1000))*('Shared Calendar'!$N$2:$N$1000="Leave"))&gt;0,"Leave",""))</f>
        <v/>
      </c>
      <c r="J175" s="244">
        <f>IF($A175="","",IFERROR(INDEX('Public Holidays'!$C$6:$C$38,MATCH($B175,'Public Holidays'!$A$6:$A$38,0))&amp;" ("&amp;INDEX('Public Holidays'!$L$6:$L$38,MATCH($B175,'Public Holidays'!$A$6:$A$38,0))&amp;")",""))</f>
        <v/>
      </c>
      <c r="K175" s="246">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44">
        <f>IF($A175="","",INDEX($B$7:$B$36,INT((ROW()-41)/14)+1)&amp;"")</f>
        <v/>
      </c>
    </row>
    <row r="176">
      <c r="A176" s="244">
        <f>IF(INDEX($A$7:$A$36,INT((ROW()-41)/14)+1)="","",INDEX($A$7:$A$36,INT((ROW()-41)/14)+1))</f>
        <v/>
      </c>
      <c r="B176" s="245">
        <f>IF($A176="","",$B$3+MOD(ROW()-41,14))</f>
        <v/>
      </c>
      <c r="C176" s="244">
        <f>IF($A176="","",TEXT($B176,"ddd"))</f>
        <v/>
      </c>
      <c r="D176" s="242">
        <f>IF($A176="","",SUMIFS('EH Timesheets'!$G$6:$G$1005,'EH Timesheets'!$A$6:$A$1005,$A176,'EH Timesheets'!$B$6:$B$1005,$B176))</f>
        <v/>
      </c>
      <c r="E176" s="242">
        <f>IF($A176="","",SUMIFS('EH Roster'!$G$6:$G$1005,'EH Roster'!$A$6:$A$1005,$A176,'EH Roster'!$B$6:$B$1005,$B176))</f>
        <v/>
      </c>
      <c r="F176" s="242">
        <f>IF($A176="","",$D176-$E176)</f>
        <v/>
      </c>
      <c r="G176" s="242">
        <f>IF($A176="","",IF($L176="",0,SUMPRODUCT(('Shared Calendar'!$K$2:$K$1000&gt;0)*('Shared Calendar'!$K$2:$K$1000&lt;=$B176)*('Shared Calendar'!$J$2:$J$1000&gt;$B176)*ISNUMBER(SEARCH($L176,'Shared Calendar'!$M$2:$M$1000))*('Shared Calendar'!$N$2:$N$1000="Event"),'Shared Calendar'!$L$2:$L$1000)))</f>
        <v/>
      </c>
      <c r="H176" s="246">
        <f>IF(OR($A176="",$L176=""),"",IF(SUMPRODUCT(MAX(('Shared Calendar'!$K$2:$K$1000&gt;0)*('Shared Calendar'!$K$2:$K$1000&lt;=$B176)*('Shared Calendar'!$J$2:$J$1000&gt;$B176)*ISNUMBER(SEARCH($L176,'Shared Calendar'!$M$2:$M$1000))*ROW('Shared Calendar'!$A$2:$A$1000)))=0,"",INDEX('Shared Calendar'!$A:$A,SUMPRODUCT(MAX(('Shared Calendar'!$K$2:$K$1000&gt;0)*('Shared Calendar'!$K$2:$K$1000&lt;=$B176)*('Shared Calendar'!$J$2:$J$1000&gt;$B176)*ISNUMBER(SEARCH($L176,'Shared Calendar'!$M$2:$M$1000))*ROW('Shared Calendar'!$A$2:$A$1000))))))</f>
        <v/>
      </c>
      <c r="I176" s="244">
        <f>IF(OR($A176="",$L176=""),"",IF(SUMPRODUCT(('Shared Calendar'!$K$2:$K$1000&gt;0)*('Shared Calendar'!$K$2:$K$1000&lt;=$B176)*('Shared Calendar'!$J$2:$J$1000&gt;$B176)*ISNUMBER(SEARCH($L176,'Shared Calendar'!$M$2:$M$1000))*('Shared Calendar'!$N$2:$N$1000="Leave"))&gt;0,"Leave",""))</f>
        <v/>
      </c>
      <c r="J176" s="244">
        <f>IF($A176="","",IFERROR(INDEX('Public Holidays'!$C$6:$C$38,MATCH($B176,'Public Holidays'!$A$6:$A$38,0))&amp;" ("&amp;INDEX('Public Holidays'!$L$6:$L$38,MATCH($B176,'Public Holidays'!$A$6:$A$38,0))&amp;")",""))</f>
        <v/>
      </c>
      <c r="K176" s="246">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44">
        <f>IF($A176="","",INDEX($B$7:$B$36,INT((ROW()-41)/14)+1)&amp;"")</f>
        <v/>
      </c>
    </row>
    <row r="177">
      <c r="A177" s="244">
        <f>IF(INDEX($A$7:$A$36,INT((ROW()-41)/14)+1)="","",INDEX($A$7:$A$36,INT((ROW()-41)/14)+1))</f>
        <v/>
      </c>
      <c r="B177" s="245">
        <f>IF($A177="","",$B$3+MOD(ROW()-41,14))</f>
        <v/>
      </c>
      <c r="C177" s="244">
        <f>IF($A177="","",TEXT($B177,"ddd"))</f>
        <v/>
      </c>
      <c r="D177" s="242">
        <f>IF($A177="","",SUMIFS('EH Timesheets'!$G$6:$G$1005,'EH Timesheets'!$A$6:$A$1005,$A177,'EH Timesheets'!$B$6:$B$1005,$B177))</f>
        <v/>
      </c>
      <c r="E177" s="242">
        <f>IF($A177="","",SUMIFS('EH Roster'!$G$6:$G$1005,'EH Roster'!$A$6:$A$1005,$A177,'EH Roster'!$B$6:$B$1005,$B177))</f>
        <v/>
      </c>
      <c r="F177" s="242">
        <f>IF($A177="","",$D177-$E177)</f>
        <v/>
      </c>
      <c r="G177" s="242">
        <f>IF($A177="","",IF($L177="",0,SUMPRODUCT(('Shared Calendar'!$K$2:$K$1000&gt;0)*('Shared Calendar'!$K$2:$K$1000&lt;=$B177)*('Shared Calendar'!$J$2:$J$1000&gt;$B177)*ISNUMBER(SEARCH($L177,'Shared Calendar'!$M$2:$M$1000))*('Shared Calendar'!$N$2:$N$1000="Event"),'Shared Calendar'!$L$2:$L$1000)))</f>
        <v/>
      </c>
      <c r="H177" s="246">
        <f>IF(OR($A177="",$L177=""),"",IF(SUMPRODUCT(MAX(('Shared Calendar'!$K$2:$K$1000&gt;0)*('Shared Calendar'!$K$2:$K$1000&lt;=$B177)*('Shared Calendar'!$J$2:$J$1000&gt;$B177)*ISNUMBER(SEARCH($L177,'Shared Calendar'!$M$2:$M$1000))*ROW('Shared Calendar'!$A$2:$A$1000)))=0,"",INDEX('Shared Calendar'!$A:$A,SUMPRODUCT(MAX(('Shared Calendar'!$K$2:$K$1000&gt;0)*('Shared Calendar'!$K$2:$K$1000&lt;=$B177)*('Shared Calendar'!$J$2:$J$1000&gt;$B177)*ISNUMBER(SEARCH($L177,'Shared Calendar'!$M$2:$M$1000))*ROW('Shared Calendar'!$A$2:$A$1000))))))</f>
        <v/>
      </c>
      <c r="I177" s="244">
        <f>IF(OR($A177="",$L177=""),"",IF(SUMPRODUCT(('Shared Calendar'!$K$2:$K$1000&gt;0)*('Shared Calendar'!$K$2:$K$1000&lt;=$B177)*('Shared Calendar'!$J$2:$J$1000&gt;$B177)*ISNUMBER(SEARCH($L177,'Shared Calendar'!$M$2:$M$1000))*('Shared Calendar'!$N$2:$N$1000="Leave"))&gt;0,"Leave",""))</f>
        <v/>
      </c>
      <c r="J177" s="244">
        <f>IF($A177="","",IFERROR(INDEX('Public Holidays'!$C$6:$C$38,MATCH($B177,'Public Holidays'!$A$6:$A$38,0))&amp;" ("&amp;INDEX('Public Holidays'!$L$6:$L$38,MATCH($B177,'Public Holidays'!$A$6:$A$38,0))&amp;")",""))</f>
        <v/>
      </c>
      <c r="K177" s="246">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44">
        <f>IF($A177="","",INDEX($B$7:$B$36,INT((ROW()-41)/14)+1)&amp;"")</f>
        <v/>
      </c>
    </row>
    <row r="178">
      <c r="A178" s="244">
        <f>IF(INDEX($A$7:$A$36,INT((ROW()-41)/14)+1)="","",INDEX($A$7:$A$36,INT((ROW()-41)/14)+1))</f>
        <v/>
      </c>
      <c r="B178" s="245">
        <f>IF($A178="","",$B$3+MOD(ROW()-41,14))</f>
        <v/>
      </c>
      <c r="C178" s="244">
        <f>IF($A178="","",TEXT($B178,"ddd"))</f>
        <v/>
      </c>
      <c r="D178" s="242">
        <f>IF($A178="","",SUMIFS('EH Timesheets'!$G$6:$G$1005,'EH Timesheets'!$A$6:$A$1005,$A178,'EH Timesheets'!$B$6:$B$1005,$B178))</f>
        <v/>
      </c>
      <c r="E178" s="242">
        <f>IF($A178="","",SUMIFS('EH Roster'!$G$6:$G$1005,'EH Roster'!$A$6:$A$1005,$A178,'EH Roster'!$B$6:$B$1005,$B178))</f>
        <v/>
      </c>
      <c r="F178" s="242">
        <f>IF($A178="","",$D178-$E178)</f>
        <v/>
      </c>
      <c r="G178" s="242">
        <f>IF($A178="","",IF($L178="",0,SUMPRODUCT(('Shared Calendar'!$K$2:$K$1000&gt;0)*('Shared Calendar'!$K$2:$K$1000&lt;=$B178)*('Shared Calendar'!$J$2:$J$1000&gt;$B178)*ISNUMBER(SEARCH($L178,'Shared Calendar'!$M$2:$M$1000))*('Shared Calendar'!$N$2:$N$1000="Event"),'Shared Calendar'!$L$2:$L$1000)))</f>
        <v/>
      </c>
      <c r="H178" s="246">
        <f>IF(OR($A178="",$L178=""),"",IF(SUMPRODUCT(MAX(('Shared Calendar'!$K$2:$K$1000&gt;0)*('Shared Calendar'!$K$2:$K$1000&lt;=$B178)*('Shared Calendar'!$J$2:$J$1000&gt;$B178)*ISNUMBER(SEARCH($L178,'Shared Calendar'!$M$2:$M$1000))*ROW('Shared Calendar'!$A$2:$A$1000)))=0,"",INDEX('Shared Calendar'!$A:$A,SUMPRODUCT(MAX(('Shared Calendar'!$K$2:$K$1000&gt;0)*('Shared Calendar'!$K$2:$K$1000&lt;=$B178)*('Shared Calendar'!$J$2:$J$1000&gt;$B178)*ISNUMBER(SEARCH($L178,'Shared Calendar'!$M$2:$M$1000))*ROW('Shared Calendar'!$A$2:$A$1000))))))</f>
        <v/>
      </c>
      <c r="I178" s="244">
        <f>IF(OR($A178="",$L178=""),"",IF(SUMPRODUCT(('Shared Calendar'!$K$2:$K$1000&gt;0)*('Shared Calendar'!$K$2:$K$1000&lt;=$B178)*('Shared Calendar'!$J$2:$J$1000&gt;$B178)*ISNUMBER(SEARCH($L178,'Shared Calendar'!$M$2:$M$1000))*('Shared Calendar'!$N$2:$N$1000="Leave"))&gt;0,"Leave",""))</f>
        <v/>
      </c>
      <c r="J178" s="244">
        <f>IF($A178="","",IFERROR(INDEX('Public Holidays'!$C$6:$C$38,MATCH($B178,'Public Holidays'!$A$6:$A$38,0))&amp;" ("&amp;INDEX('Public Holidays'!$L$6:$L$38,MATCH($B178,'Public Holidays'!$A$6:$A$38,0))&amp;")",""))</f>
        <v/>
      </c>
      <c r="K178" s="246">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44">
        <f>IF($A178="","",INDEX($B$7:$B$36,INT((ROW()-41)/14)+1)&amp;"")</f>
        <v/>
      </c>
    </row>
    <row r="179">
      <c r="A179" s="244">
        <f>IF(INDEX($A$7:$A$36,INT((ROW()-41)/14)+1)="","",INDEX($A$7:$A$36,INT((ROW()-41)/14)+1))</f>
        <v/>
      </c>
      <c r="B179" s="245">
        <f>IF($A179="","",$B$3+MOD(ROW()-41,14))</f>
        <v/>
      </c>
      <c r="C179" s="244">
        <f>IF($A179="","",TEXT($B179,"ddd"))</f>
        <v/>
      </c>
      <c r="D179" s="242">
        <f>IF($A179="","",SUMIFS('EH Timesheets'!$G$6:$G$1005,'EH Timesheets'!$A$6:$A$1005,$A179,'EH Timesheets'!$B$6:$B$1005,$B179))</f>
        <v/>
      </c>
      <c r="E179" s="242">
        <f>IF($A179="","",SUMIFS('EH Roster'!$G$6:$G$1005,'EH Roster'!$A$6:$A$1005,$A179,'EH Roster'!$B$6:$B$1005,$B179))</f>
        <v/>
      </c>
      <c r="F179" s="242">
        <f>IF($A179="","",$D179-$E179)</f>
        <v/>
      </c>
      <c r="G179" s="242">
        <f>IF($A179="","",IF($L179="",0,SUMPRODUCT(('Shared Calendar'!$K$2:$K$1000&gt;0)*('Shared Calendar'!$K$2:$K$1000&lt;=$B179)*('Shared Calendar'!$J$2:$J$1000&gt;$B179)*ISNUMBER(SEARCH($L179,'Shared Calendar'!$M$2:$M$1000))*('Shared Calendar'!$N$2:$N$1000="Event"),'Shared Calendar'!$L$2:$L$1000)))</f>
        <v/>
      </c>
      <c r="H179" s="246">
        <f>IF(OR($A179="",$L179=""),"",IF(SUMPRODUCT(MAX(('Shared Calendar'!$K$2:$K$1000&gt;0)*('Shared Calendar'!$K$2:$K$1000&lt;=$B179)*('Shared Calendar'!$J$2:$J$1000&gt;$B179)*ISNUMBER(SEARCH($L179,'Shared Calendar'!$M$2:$M$1000))*ROW('Shared Calendar'!$A$2:$A$1000)))=0,"",INDEX('Shared Calendar'!$A:$A,SUMPRODUCT(MAX(('Shared Calendar'!$K$2:$K$1000&gt;0)*('Shared Calendar'!$K$2:$K$1000&lt;=$B179)*('Shared Calendar'!$J$2:$J$1000&gt;$B179)*ISNUMBER(SEARCH($L179,'Shared Calendar'!$M$2:$M$1000))*ROW('Shared Calendar'!$A$2:$A$1000))))))</f>
        <v/>
      </c>
      <c r="I179" s="244">
        <f>IF(OR($A179="",$L179=""),"",IF(SUMPRODUCT(('Shared Calendar'!$K$2:$K$1000&gt;0)*('Shared Calendar'!$K$2:$K$1000&lt;=$B179)*('Shared Calendar'!$J$2:$J$1000&gt;$B179)*ISNUMBER(SEARCH($L179,'Shared Calendar'!$M$2:$M$1000))*('Shared Calendar'!$N$2:$N$1000="Leave"))&gt;0,"Leave",""))</f>
        <v/>
      </c>
      <c r="J179" s="244">
        <f>IF($A179="","",IFERROR(INDEX('Public Holidays'!$C$6:$C$38,MATCH($B179,'Public Holidays'!$A$6:$A$38,0))&amp;" ("&amp;INDEX('Public Holidays'!$L$6:$L$38,MATCH($B179,'Public Holidays'!$A$6:$A$38,0))&amp;")",""))</f>
        <v/>
      </c>
      <c r="K179" s="246">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44">
        <f>IF($A179="","",INDEX($B$7:$B$36,INT((ROW()-41)/14)+1)&amp;"")</f>
        <v/>
      </c>
    </row>
    <row r="180">
      <c r="A180" s="244">
        <f>IF(INDEX($A$7:$A$36,INT((ROW()-41)/14)+1)="","",INDEX($A$7:$A$36,INT((ROW()-41)/14)+1))</f>
        <v/>
      </c>
      <c r="B180" s="245">
        <f>IF($A180="","",$B$3+MOD(ROW()-41,14))</f>
        <v/>
      </c>
      <c r="C180" s="244">
        <f>IF($A180="","",TEXT($B180,"ddd"))</f>
        <v/>
      </c>
      <c r="D180" s="242">
        <f>IF($A180="","",SUMIFS('EH Timesheets'!$G$6:$G$1005,'EH Timesheets'!$A$6:$A$1005,$A180,'EH Timesheets'!$B$6:$B$1005,$B180))</f>
        <v/>
      </c>
      <c r="E180" s="242">
        <f>IF($A180="","",SUMIFS('EH Roster'!$G$6:$G$1005,'EH Roster'!$A$6:$A$1005,$A180,'EH Roster'!$B$6:$B$1005,$B180))</f>
        <v/>
      </c>
      <c r="F180" s="242">
        <f>IF($A180="","",$D180-$E180)</f>
        <v/>
      </c>
      <c r="G180" s="242">
        <f>IF($A180="","",IF($L180="",0,SUMPRODUCT(('Shared Calendar'!$K$2:$K$1000&gt;0)*('Shared Calendar'!$K$2:$K$1000&lt;=$B180)*('Shared Calendar'!$J$2:$J$1000&gt;$B180)*ISNUMBER(SEARCH($L180,'Shared Calendar'!$M$2:$M$1000))*('Shared Calendar'!$N$2:$N$1000="Event"),'Shared Calendar'!$L$2:$L$1000)))</f>
        <v/>
      </c>
      <c r="H180" s="246">
        <f>IF(OR($A180="",$L180=""),"",IF(SUMPRODUCT(MAX(('Shared Calendar'!$K$2:$K$1000&gt;0)*('Shared Calendar'!$K$2:$K$1000&lt;=$B180)*('Shared Calendar'!$J$2:$J$1000&gt;$B180)*ISNUMBER(SEARCH($L180,'Shared Calendar'!$M$2:$M$1000))*ROW('Shared Calendar'!$A$2:$A$1000)))=0,"",INDEX('Shared Calendar'!$A:$A,SUMPRODUCT(MAX(('Shared Calendar'!$K$2:$K$1000&gt;0)*('Shared Calendar'!$K$2:$K$1000&lt;=$B180)*('Shared Calendar'!$J$2:$J$1000&gt;$B180)*ISNUMBER(SEARCH($L180,'Shared Calendar'!$M$2:$M$1000))*ROW('Shared Calendar'!$A$2:$A$1000))))))</f>
        <v/>
      </c>
      <c r="I180" s="244">
        <f>IF(OR($A180="",$L180=""),"",IF(SUMPRODUCT(('Shared Calendar'!$K$2:$K$1000&gt;0)*('Shared Calendar'!$K$2:$K$1000&lt;=$B180)*('Shared Calendar'!$J$2:$J$1000&gt;$B180)*ISNUMBER(SEARCH($L180,'Shared Calendar'!$M$2:$M$1000))*('Shared Calendar'!$N$2:$N$1000="Leave"))&gt;0,"Leave",""))</f>
        <v/>
      </c>
      <c r="J180" s="244">
        <f>IF($A180="","",IFERROR(INDEX('Public Holidays'!$C$6:$C$38,MATCH($B180,'Public Holidays'!$A$6:$A$38,0))&amp;" ("&amp;INDEX('Public Holidays'!$L$6:$L$38,MATCH($B180,'Public Holidays'!$A$6:$A$38,0))&amp;")",""))</f>
        <v/>
      </c>
      <c r="K180" s="246">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44">
        <f>IF($A180="","",INDEX($B$7:$B$36,INT((ROW()-41)/14)+1)&amp;"")</f>
        <v/>
      </c>
    </row>
    <row r="181">
      <c r="A181" s="244">
        <f>IF(INDEX($A$7:$A$36,INT((ROW()-41)/14)+1)="","",INDEX($A$7:$A$36,INT((ROW()-41)/14)+1))</f>
        <v/>
      </c>
      <c r="B181" s="245">
        <f>IF($A181="","",$B$3+MOD(ROW()-41,14))</f>
        <v/>
      </c>
      <c r="C181" s="244">
        <f>IF($A181="","",TEXT($B181,"ddd"))</f>
        <v/>
      </c>
      <c r="D181" s="242">
        <f>IF($A181="","",SUMIFS('EH Timesheets'!$G$6:$G$1005,'EH Timesheets'!$A$6:$A$1005,$A181,'EH Timesheets'!$B$6:$B$1005,$B181))</f>
        <v/>
      </c>
      <c r="E181" s="242">
        <f>IF($A181="","",SUMIFS('EH Roster'!$G$6:$G$1005,'EH Roster'!$A$6:$A$1005,$A181,'EH Roster'!$B$6:$B$1005,$B181))</f>
        <v/>
      </c>
      <c r="F181" s="242">
        <f>IF($A181="","",$D181-$E181)</f>
        <v/>
      </c>
      <c r="G181" s="242">
        <f>IF($A181="","",IF($L181="",0,SUMPRODUCT(('Shared Calendar'!$K$2:$K$1000&gt;0)*('Shared Calendar'!$K$2:$K$1000&lt;=$B181)*('Shared Calendar'!$J$2:$J$1000&gt;$B181)*ISNUMBER(SEARCH($L181,'Shared Calendar'!$M$2:$M$1000))*('Shared Calendar'!$N$2:$N$1000="Event"),'Shared Calendar'!$L$2:$L$1000)))</f>
        <v/>
      </c>
      <c r="H181" s="246">
        <f>IF(OR($A181="",$L181=""),"",IF(SUMPRODUCT(MAX(('Shared Calendar'!$K$2:$K$1000&gt;0)*('Shared Calendar'!$K$2:$K$1000&lt;=$B181)*('Shared Calendar'!$J$2:$J$1000&gt;$B181)*ISNUMBER(SEARCH($L181,'Shared Calendar'!$M$2:$M$1000))*ROW('Shared Calendar'!$A$2:$A$1000)))=0,"",INDEX('Shared Calendar'!$A:$A,SUMPRODUCT(MAX(('Shared Calendar'!$K$2:$K$1000&gt;0)*('Shared Calendar'!$K$2:$K$1000&lt;=$B181)*('Shared Calendar'!$J$2:$J$1000&gt;$B181)*ISNUMBER(SEARCH($L181,'Shared Calendar'!$M$2:$M$1000))*ROW('Shared Calendar'!$A$2:$A$1000))))))</f>
        <v/>
      </c>
      <c r="I181" s="244">
        <f>IF(OR($A181="",$L181=""),"",IF(SUMPRODUCT(('Shared Calendar'!$K$2:$K$1000&gt;0)*('Shared Calendar'!$K$2:$K$1000&lt;=$B181)*('Shared Calendar'!$J$2:$J$1000&gt;$B181)*ISNUMBER(SEARCH($L181,'Shared Calendar'!$M$2:$M$1000))*('Shared Calendar'!$N$2:$N$1000="Leave"))&gt;0,"Leave",""))</f>
        <v/>
      </c>
      <c r="J181" s="244">
        <f>IF($A181="","",IFERROR(INDEX('Public Holidays'!$C$6:$C$38,MATCH($B181,'Public Holidays'!$A$6:$A$38,0))&amp;" ("&amp;INDEX('Public Holidays'!$L$6:$L$38,MATCH($B181,'Public Holidays'!$A$6:$A$38,0))&amp;")",""))</f>
        <v/>
      </c>
      <c r="K181" s="246">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44">
        <f>IF($A181="","",INDEX($B$7:$B$36,INT((ROW()-41)/14)+1)&amp;"")</f>
        <v/>
      </c>
    </row>
    <row r="182">
      <c r="A182" s="244">
        <f>IF(INDEX($A$7:$A$36,INT((ROW()-41)/14)+1)="","",INDEX($A$7:$A$36,INT((ROW()-41)/14)+1))</f>
        <v/>
      </c>
      <c r="B182" s="245">
        <f>IF($A182="","",$B$3+MOD(ROW()-41,14))</f>
        <v/>
      </c>
      <c r="C182" s="244">
        <f>IF($A182="","",TEXT($B182,"ddd"))</f>
        <v/>
      </c>
      <c r="D182" s="242">
        <f>IF($A182="","",SUMIFS('EH Timesheets'!$G$6:$G$1005,'EH Timesheets'!$A$6:$A$1005,$A182,'EH Timesheets'!$B$6:$B$1005,$B182))</f>
        <v/>
      </c>
      <c r="E182" s="242">
        <f>IF($A182="","",SUMIFS('EH Roster'!$G$6:$G$1005,'EH Roster'!$A$6:$A$1005,$A182,'EH Roster'!$B$6:$B$1005,$B182))</f>
        <v/>
      </c>
      <c r="F182" s="242">
        <f>IF($A182="","",$D182-$E182)</f>
        <v/>
      </c>
      <c r="G182" s="242">
        <f>IF($A182="","",IF($L182="",0,SUMPRODUCT(('Shared Calendar'!$K$2:$K$1000&gt;0)*('Shared Calendar'!$K$2:$K$1000&lt;=$B182)*('Shared Calendar'!$J$2:$J$1000&gt;$B182)*ISNUMBER(SEARCH($L182,'Shared Calendar'!$M$2:$M$1000))*('Shared Calendar'!$N$2:$N$1000="Event"),'Shared Calendar'!$L$2:$L$1000)))</f>
        <v/>
      </c>
      <c r="H182" s="246">
        <f>IF(OR($A182="",$L182=""),"",IF(SUMPRODUCT(MAX(('Shared Calendar'!$K$2:$K$1000&gt;0)*('Shared Calendar'!$K$2:$K$1000&lt;=$B182)*('Shared Calendar'!$J$2:$J$1000&gt;$B182)*ISNUMBER(SEARCH($L182,'Shared Calendar'!$M$2:$M$1000))*ROW('Shared Calendar'!$A$2:$A$1000)))=0,"",INDEX('Shared Calendar'!$A:$A,SUMPRODUCT(MAX(('Shared Calendar'!$K$2:$K$1000&gt;0)*('Shared Calendar'!$K$2:$K$1000&lt;=$B182)*('Shared Calendar'!$J$2:$J$1000&gt;$B182)*ISNUMBER(SEARCH($L182,'Shared Calendar'!$M$2:$M$1000))*ROW('Shared Calendar'!$A$2:$A$1000))))))</f>
        <v/>
      </c>
      <c r="I182" s="244">
        <f>IF(OR($A182="",$L182=""),"",IF(SUMPRODUCT(('Shared Calendar'!$K$2:$K$1000&gt;0)*('Shared Calendar'!$K$2:$K$1000&lt;=$B182)*('Shared Calendar'!$J$2:$J$1000&gt;$B182)*ISNUMBER(SEARCH($L182,'Shared Calendar'!$M$2:$M$1000))*('Shared Calendar'!$N$2:$N$1000="Leave"))&gt;0,"Leave",""))</f>
        <v/>
      </c>
      <c r="J182" s="244">
        <f>IF($A182="","",IFERROR(INDEX('Public Holidays'!$C$6:$C$38,MATCH($B182,'Public Holidays'!$A$6:$A$38,0))&amp;" ("&amp;INDEX('Public Holidays'!$L$6:$L$38,MATCH($B182,'Public Holidays'!$A$6:$A$38,0))&amp;")",""))</f>
        <v/>
      </c>
      <c r="K182" s="246">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44">
        <f>IF($A182="","",INDEX($B$7:$B$36,INT((ROW()-41)/14)+1)&amp;"")</f>
        <v/>
      </c>
    </row>
    <row r="183">
      <c r="A183" s="244">
        <f>IF(INDEX($A$7:$A$36,INT((ROW()-41)/14)+1)="","",INDEX($A$7:$A$36,INT((ROW()-41)/14)+1))</f>
        <v/>
      </c>
      <c r="B183" s="245">
        <f>IF($A183="","",$B$3+MOD(ROW()-41,14))</f>
        <v/>
      </c>
      <c r="C183" s="244">
        <f>IF($A183="","",TEXT($B183,"ddd"))</f>
        <v/>
      </c>
      <c r="D183" s="242">
        <f>IF($A183="","",SUMIFS('EH Timesheets'!$G$6:$G$1005,'EH Timesheets'!$A$6:$A$1005,$A183,'EH Timesheets'!$B$6:$B$1005,$B183))</f>
        <v/>
      </c>
      <c r="E183" s="242">
        <f>IF($A183="","",SUMIFS('EH Roster'!$G$6:$G$1005,'EH Roster'!$A$6:$A$1005,$A183,'EH Roster'!$B$6:$B$1005,$B183))</f>
        <v/>
      </c>
      <c r="F183" s="242">
        <f>IF($A183="","",$D183-$E183)</f>
        <v/>
      </c>
      <c r="G183" s="242">
        <f>IF($A183="","",IF($L183="",0,SUMPRODUCT(('Shared Calendar'!$K$2:$K$1000&gt;0)*('Shared Calendar'!$K$2:$K$1000&lt;=$B183)*('Shared Calendar'!$J$2:$J$1000&gt;$B183)*ISNUMBER(SEARCH($L183,'Shared Calendar'!$M$2:$M$1000))*('Shared Calendar'!$N$2:$N$1000="Event"),'Shared Calendar'!$L$2:$L$1000)))</f>
        <v/>
      </c>
      <c r="H183" s="246">
        <f>IF(OR($A183="",$L183=""),"",IF(SUMPRODUCT(MAX(('Shared Calendar'!$K$2:$K$1000&gt;0)*('Shared Calendar'!$K$2:$K$1000&lt;=$B183)*('Shared Calendar'!$J$2:$J$1000&gt;$B183)*ISNUMBER(SEARCH($L183,'Shared Calendar'!$M$2:$M$1000))*ROW('Shared Calendar'!$A$2:$A$1000)))=0,"",INDEX('Shared Calendar'!$A:$A,SUMPRODUCT(MAX(('Shared Calendar'!$K$2:$K$1000&gt;0)*('Shared Calendar'!$K$2:$K$1000&lt;=$B183)*('Shared Calendar'!$J$2:$J$1000&gt;$B183)*ISNUMBER(SEARCH($L183,'Shared Calendar'!$M$2:$M$1000))*ROW('Shared Calendar'!$A$2:$A$1000))))))</f>
        <v/>
      </c>
      <c r="I183" s="244">
        <f>IF(OR($A183="",$L183=""),"",IF(SUMPRODUCT(('Shared Calendar'!$K$2:$K$1000&gt;0)*('Shared Calendar'!$K$2:$K$1000&lt;=$B183)*('Shared Calendar'!$J$2:$J$1000&gt;$B183)*ISNUMBER(SEARCH($L183,'Shared Calendar'!$M$2:$M$1000))*('Shared Calendar'!$N$2:$N$1000="Leave"))&gt;0,"Leave",""))</f>
        <v/>
      </c>
      <c r="J183" s="244">
        <f>IF($A183="","",IFERROR(INDEX('Public Holidays'!$C$6:$C$38,MATCH($B183,'Public Holidays'!$A$6:$A$38,0))&amp;" ("&amp;INDEX('Public Holidays'!$L$6:$L$38,MATCH($B183,'Public Holidays'!$A$6:$A$38,0))&amp;")",""))</f>
        <v/>
      </c>
      <c r="K183" s="246">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44">
        <f>IF($A183="","",INDEX($B$7:$B$36,INT((ROW()-41)/14)+1)&amp;"")</f>
        <v/>
      </c>
    </row>
    <row r="184">
      <c r="A184" s="244">
        <f>IF(INDEX($A$7:$A$36,INT((ROW()-41)/14)+1)="","",INDEX($A$7:$A$36,INT((ROW()-41)/14)+1))</f>
        <v/>
      </c>
      <c r="B184" s="245">
        <f>IF($A184="","",$B$3+MOD(ROW()-41,14))</f>
        <v/>
      </c>
      <c r="C184" s="244">
        <f>IF($A184="","",TEXT($B184,"ddd"))</f>
        <v/>
      </c>
      <c r="D184" s="242">
        <f>IF($A184="","",SUMIFS('EH Timesheets'!$G$6:$G$1005,'EH Timesheets'!$A$6:$A$1005,$A184,'EH Timesheets'!$B$6:$B$1005,$B184))</f>
        <v/>
      </c>
      <c r="E184" s="242">
        <f>IF($A184="","",SUMIFS('EH Roster'!$G$6:$G$1005,'EH Roster'!$A$6:$A$1005,$A184,'EH Roster'!$B$6:$B$1005,$B184))</f>
        <v/>
      </c>
      <c r="F184" s="242">
        <f>IF($A184="","",$D184-$E184)</f>
        <v/>
      </c>
      <c r="G184" s="242">
        <f>IF($A184="","",IF($L184="",0,SUMPRODUCT(('Shared Calendar'!$K$2:$K$1000&gt;0)*('Shared Calendar'!$K$2:$K$1000&lt;=$B184)*('Shared Calendar'!$J$2:$J$1000&gt;$B184)*ISNUMBER(SEARCH($L184,'Shared Calendar'!$M$2:$M$1000))*('Shared Calendar'!$N$2:$N$1000="Event"),'Shared Calendar'!$L$2:$L$1000)))</f>
        <v/>
      </c>
      <c r="H184" s="246">
        <f>IF(OR($A184="",$L184=""),"",IF(SUMPRODUCT(MAX(('Shared Calendar'!$K$2:$K$1000&gt;0)*('Shared Calendar'!$K$2:$K$1000&lt;=$B184)*('Shared Calendar'!$J$2:$J$1000&gt;$B184)*ISNUMBER(SEARCH($L184,'Shared Calendar'!$M$2:$M$1000))*ROW('Shared Calendar'!$A$2:$A$1000)))=0,"",INDEX('Shared Calendar'!$A:$A,SUMPRODUCT(MAX(('Shared Calendar'!$K$2:$K$1000&gt;0)*('Shared Calendar'!$K$2:$K$1000&lt;=$B184)*('Shared Calendar'!$J$2:$J$1000&gt;$B184)*ISNUMBER(SEARCH($L184,'Shared Calendar'!$M$2:$M$1000))*ROW('Shared Calendar'!$A$2:$A$1000))))))</f>
        <v/>
      </c>
      <c r="I184" s="244">
        <f>IF(OR($A184="",$L184=""),"",IF(SUMPRODUCT(('Shared Calendar'!$K$2:$K$1000&gt;0)*('Shared Calendar'!$K$2:$K$1000&lt;=$B184)*('Shared Calendar'!$J$2:$J$1000&gt;$B184)*ISNUMBER(SEARCH($L184,'Shared Calendar'!$M$2:$M$1000))*('Shared Calendar'!$N$2:$N$1000="Leave"))&gt;0,"Leave",""))</f>
        <v/>
      </c>
      <c r="J184" s="244">
        <f>IF($A184="","",IFERROR(INDEX('Public Holidays'!$C$6:$C$38,MATCH($B184,'Public Holidays'!$A$6:$A$38,0))&amp;" ("&amp;INDEX('Public Holidays'!$L$6:$L$38,MATCH($B184,'Public Holidays'!$A$6:$A$38,0))&amp;")",""))</f>
        <v/>
      </c>
      <c r="K184" s="246">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44">
        <f>IF($A184="","",INDEX($B$7:$B$36,INT((ROW()-41)/14)+1)&amp;"")</f>
        <v/>
      </c>
    </row>
    <row r="185">
      <c r="A185" s="244">
        <f>IF(INDEX($A$7:$A$36,INT((ROW()-41)/14)+1)="","",INDEX($A$7:$A$36,INT((ROW()-41)/14)+1))</f>
        <v/>
      </c>
      <c r="B185" s="245">
        <f>IF($A185="","",$B$3+MOD(ROW()-41,14))</f>
        <v/>
      </c>
      <c r="C185" s="244">
        <f>IF($A185="","",TEXT($B185,"ddd"))</f>
        <v/>
      </c>
      <c r="D185" s="242">
        <f>IF($A185="","",SUMIFS('EH Timesheets'!$G$6:$G$1005,'EH Timesheets'!$A$6:$A$1005,$A185,'EH Timesheets'!$B$6:$B$1005,$B185))</f>
        <v/>
      </c>
      <c r="E185" s="242">
        <f>IF($A185="","",SUMIFS('EH Roster'!$G$6:$G$1005,'EH Roster'!$A$6:$A$1005,$A185,'EH Roster'!$B$6:$B$1005,$B185))</f>
        <v/>
      </c>
      <c r="F185" s="242">
        <f>IF($A185="","",$D185-$E185)</f>
        <v/>
      </c>
      <c r="G185" s="242">
        <f>IF($A185="","",IF($L185="",0,SUMPRODUCT(('Shared Calendar'!$K$2:$K$1000&gt;0)*('Shared Calendar'!$K$2:$K$1000&lt;=$B185)*('Shared Calendar'!$J$2:$J$1000&gt;$B185)*ISNUMBER(SEARCH($L185,'Shared Calendar'!$M$2:$M$1000))*('Shared Calendar'!$N$2:$N$1000="Event"),'Shared Calendar'!$L$2:$L$1000)))</f>
        <v/>
      </c>
      <c r="H185" s="246">
        <f>IF(OR($A185="",$L185=""),"",IF(SUMPRODUCT(MAX(('Shared Calendar'!$K$2:$K$1000&gt;0)*('Shared Calendar'!$K$2:$K$1000&lt;=$B185)*('Shared Calendar'!$J$2:$J$1000&gt;$B185)*ISNUMBER(SEARCH($L185,'Shared Calendar'!$M$2:$M$1000))*ROW('Shared Calendar'!$A$2:$A$1000)))=0,"",INDEX('Shared Calendar'!$A:$A,SUMPRODUCT(MAX(('Shared Calendar'!$K$2:$K$1000&gt;0)*('Shared Calendar'!$K$2:$K$1000&lt;=$B185)*('Shared Calendar'!$J$2:$J$1000&gt;$B185)*ISNUMBER(SEARCH($L185,'Shared Calendar'!$M$2:$M$1000))*ROW('Shared Calendar'!$A$2:$A$1000))))))</f>
        <v/>
      </c>
      <c r="I185" s="244">
        <f>IF(OR($A185="",$L185=""),"",IF(SUMPRODUCT(('Shared Calendar'!$K$2:$K$1000&gt;0)*('Shared Calendar'!$K$2:$K$1000&lt;=$B185)*('Shared Calendar'!$J$2:$J$1000&gt;$B185)*ISNUMBER(SEARCH($L185,'Shared Calendar'!$M$2:$M$1000))*('Shared Calendar'!$N$2:$N$1000="Leave"))&gt;0,"Leave",""))</f>
        <v/>
      </c>
      <c r="J185" s="244">
        <f>IF($A185="","",IFERROR(INDEX('Public Holidays'!$C$6:$C$38,MATCH($B185,'Public Holidays'!$A$6:$A$38,0))&amp;" ("&amp;INDEX('Public Holidays'!$L$6:$L$38,MATCH($B185,'Public Holidays'!$A$6:$A$38,0))&amp;")",""))</f>
        <v/>
      </c>
      <c r="K185" s="246">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44">
        <f>IF($A185="","",INDEX($B$7:$B$36,INT((ROW()-41)/14)+1)&amp;"")</f>
        <v/>
      </c>
    </row>
    <row r="186">
      <c r="A186" s="244">
        <f>IF(INDEX($A$7:$A$36,INT((ROW()-41)/14)+1)="","",INDEX($A$7:$A$36,INT((ROW()-41)/14)+1))</f>
        <v/>
      </c>
      <c r="B186" s="245">
        <f>IF($A186="","",$B$3+MOD(ROW()-41,14))</f>
        <v/>
      </c>
      <c r="C186" s="244">
        <f>IF($A186="","",TEXT($B186,"ddd"))</f>
        <v/>
      </c>
      <c r="D186" s="242">
        <f>IF($A186="","",SUMIFS('EH Timesheets'!$G$6:$G$1005,'EH Timesheets'!$A$6:$A$1005,$A186,'EH Timesheets'!$B$6:$B$1005,$B186))</f>
        <v/>
      </c>
      <c r="E186" s="242">
        <f>IF($A186="","",SUMIFS('EH Roster'!$G$6:$G$1005,'EH Roster'!$A$6:$A$1005,$A186,'EH Roster'!$B$6:$B$1005,$B186))</f>
        <v/>
      </c>
      <c r="F186" s="242">
        <f>IF($A186="","",$D186-$E186)</f>
        <v/>
      </c>
      <c r="G186" s="242">
        <f>IF($A186="","",IF($L186="",0,SUMPRODUCT(('Shared Calendar'!$K$2:$K$1000&gt;0)*('Shared Calendar'!$K$2:$K$1000&lt;=$B186)*('Shared Calendar'!$J$2:$J$1000&gt;$B186)*ISNUMBER(SEARCH($L186,'Shared Calendar'!$M$2:$M$1000))*('Shared Calendar'!$N$2:$N$1000="Event"),'Shared Calendar'!$L$2:$L$1000)))</f>
        <v/>
      </c>
      <c r="H186" s="246">
        <f>IF(OR($A186="",$L186=""),"",IF(SUMPRODUCT(MAX(('Shared Calendar'!$K$2:$K$1000&gt;0)*('Shared Calendar'!$K$2:$K$1000&lt;=$B186)*('Shared Calendar'!$J$2:$J$1000&gt;$B186)*ISNUMBER(SEARCH($L186,'Shared Calendar'!$M$2:$M$1000))*ROW('Shared Calendar'!$A$2:$A$1000)))=0,"",INDEX('Shared Calendar'!$A:$A,SUMPRODUCT(MAX(('Shared Calendar'!$K$2:$K$1000&gt;0)*('Shared Calendar'!$K$2:$K$1000&lt;=$B186)*('Shared Calendar'!$J$2:$J$1000&gt;$B186)*ISNUMBER(SEARCH($L186,'Shared Calendar'!$M$2:$M$1000))*ROW('Shared Calendar'!$A$2:$A$1000))))))</f>
        <v/>
      </c>
      <c r="I186" s="244">
        <f>IF(OR($A186="",$L186=""),"",IF(SUMPRODUCT(('Shared Calendar'!$K$2:$K$1000&gt;0)*('Shared Calendar'!$K$2:$K$1000&lt;=$B186)*('Shared Calendar'!$J$2:$J$1000&gt;$B186)*ISNUMBER(SEARCH($L186,'Shared Calendar'!$M$2:$M$1000))*('Shared Calendar'!$N$2:$N$1000="Leave"))&gt;0,"Leave",""))</f>
        <v/>
      </c>
      <c r="J186" s="244">
        <f>IF($A186="","",IFERROR(INDEX('Public Holidays'!$C$6:$C$38,MATCH($B186,'Public Holidays'!$A$6:$A$38,0))&amp;" ("&amp;INDEX('Public Holidays'!$L$6:$L$38,MATCH($B186,'Public Holidays'!$A$6:$A$38,0))&amp;")",""))</f>
        <v/>
      </c>
      <c r="K186" s="246">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44">
        <f>IF($A186="","",INDEX($B$7:$B$36,INT((ROW()-41)/14)+1)&amp;"")</f>
        <v/>
      </c>
    </row>
    <row r="187">
      <c r="A187" s="244">
        <f>IF(INDEX($A$7:$A$36,INT((ROW()-41)/14)+1)="","",INDEX($A$7:$A$36,INT((ROW()-41)/14)+1))</f>
        <v/>
      </c>
      <c r="B187" s="245">
        <f>IF($A187="","",$B$3+MOD(ROW()-41,14))</f>
        <v/>
      </c>
      <c r="C187" s="244">
        <f>IF($A187="","",TEXT($B187,"ddd"))</f>
        <v/>
      </c>
      <c r="D187" s="242">
        <f>IF($A187="","",SUMIFS('EH Timesheets'!$G$6:$G$1005,'EH Timesheets'!$A$6:$A$1005,$A187,'EH Timesheets'!$B$6:$B$1005,$B187))</f>
        <v/>
      </c>
      <c r="E187" s="242">
        <f>IF($A187="","",SUMIFS('EH Roster'!$G$6:$G$1005,'EH Roster'!$A$6:$A$1005,$A187,'EH Roster'!$B$6:$B$1005,$B187))</f>
        <v/>
      </c>
      <c r="F187" s="242">
        <f>IF($A187="","",$D187-$E187)</f>
        <v/>
      </c>
      <c r="G187" s="242">
        <f>IF($A187="","",IF($L187="",0,SUMPRODUCT(('Shared Calendar'!$K$2:$K$1000&gt;0)*('Shared Calendar'!$K$2:$K$1000&lt;=$B187)*('Shared Calendar'!$J$2:$J$1000&gt;$B187)*ISNUMBER(SEARCH($L187,'Shared Calendar'!$M$2:$M$1000))*('Shared Calendar'!$N$2:$N$1000="Event"),'Shared Calendar'!$L$2:$L$1000)))</f>
        <v/>
      </c>
      <c r="H187" s="246">
        <f>IF(OR($A187="",$L187=""),"",IF(SUMPRODUCT(MAX(('Shared Calendar'!$K$2:$K$1000&gt;0)*('Shared Calendar'!$K$2:$K$1000&lt;=$B187)*('Shared Calendar'!$J$2:$J$1000&gt;$B187)*ISNUMBER(SEARCH($L187,'Shared Calendar'!$M$2:$M$1000))*ROW('Shared Calendar'!$A$2:$A$1000)))=0,"",INDEX('Shared Calendar'!$A:$A,SUMPRODUCT(MAX(('Shared Calendar'!$K$2:$K$1000&gt;0)*('Shared Calendar'!$K$2:$K$1000&lt;=$B187)*('Shared Calendar'!$J$2:$J$1000&gt;$B187)*ISNUMBER(SEARCH($L187,'Shared Calendar'!$M$2:$M$1000))*ROW('Shared Calendar'!$A$2:$A$1000))))))</f>
        <v/>
      </c>
      <c r="I187" s="244">
        <f>IF(OR($A187="",$L187=""),"",IF(SUMPRODUCT(('Shared Calendar'!$K$2:$K$1000&gt;0)*('Shared Calendar'!$K$2:$K$1000&lt;=$B187)*('Shared Calendar'!$J$2:$J$1000&gt;$B187)*ISNUMBER(SEARCH($L187,'Shared Calendar'!$M$2:$M$1000))*('Shared Calendar'!$N$2:$N$1000="Leave"))&gt;0,"Leave",""))</f>
        <v/>
      </c>
      <c r="J187" s="244">
        <f>IF($A187="","",IFERROR(INDEX('Public Holidays'!$C$6:$C$38,MATCH($B187,'Public Holidays'!$A$6:$A$38,0))&amp;" ("&amp;INDEX('Public Holidays'!$L$6:$L$38,MATCH($B187,'Public Holidays'!$A$6:$A$38,0))&amp;")",""))</f>
        <v/>
      </c>
      <c r="K187" s="246">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44">
        <f>IF($A187="","",INDEX($B$7:$B$36,INT((ROW()-41)/14)+1)&amp;"")</f>
        <v/>
      </c>
    </row>
    <row r="188">
      <c r="A188" s="244">
        <f>IF(INDEX($A$7:$A$36,INT((ROW()-41)/14)+1)="","",INDEX($A$7:$A$36,INT((ROW()-41)/14)+1))</f>
        <v/>
      </c>
      <c r="B188" s="245">
        <f>IF($A188="","",$B$3+MOD(ROW()-41,14))</f>
        <v/>
      </c>
      <c r="C188" s="244">
        <f>IF($A188="","",TEXT($B188,"ddd"))</f>
        <v/>
      </c>
      <c r="D188" s="242">
        <f>IF($A188="","",SUMIFS('EH Timesheets'!$G$6:$G$1005,'EH Timesheets'!$A$6:$A$1005,$A188,'EH Timesheets'!$B$6:$B$1005,$B188))</f>
        <v/>
      </c>
      <c r="E188" s="242">
        <f>IF($A188="","",SUMIFS('EH Roster'!$G$6:$G$1005,'EH Roster'!$A$6:$A$1005,$A188,'EH Roster'!$B$6:$B$1005,$B188))</f>
        <v/>
      </c>
      <c r="F188" s="242">
        <f>IF($A188="","",$D188-$E188)</f>
        <v/>
      </c>
      <c r="G188" s="242">
        <f>IF($A188="","",IF($L188="",0,SUMPRODUCT(('Shared Calendar'!$K$2:$K$1000&gt;0)*('Shared Calendar'!$K$2:$K$1000&lt;=$B188)*('Shared Calendar'!$J$2:$J$1000&gt;$B188)*ISNUMBER(SEARCH($L188,'Shared Calendar'!$M$2:$M$1000))*('Shared Calendar'!$N$2:$N$1000="Event"),'Shared Calendar'!$L$2:$L$1000)))</f>
        <v/>
      </c>
      <c r="H188" s="246">
        <f>IF(OR($A188="",$L188=""),"",IF(SUMPRODUCT(MAX(('Shared Calendar'!$K$2:$K$1000&gt;0)*('Shared Calendar'!$K$2:$K$1000&lt;=$B188)*('Shared Calendar'!$J$2:$J$1000&gt;$B188)*ISNUMBER(SEARCH($L188,'Shared Calendar'!$M$2:$M$1000))*ROW('Shared Calendar'!$A$2:$A$1000)))=0,"",INDEX('Shared Calendar'!$A:$A,SUMPRODUCT(MAX(('Shared Calendar'!$K$2:$K$1000&gt;0)*('Shared Calendar'!$K$2:$K$1000&lt;=$B188)*('Shared Calendar'!$J$2:$J$1000&gt;$B188)*ISNUMBER(SEARCH($L188,'Shared Calendar'!$M$2:$M$1000))*ROW('Shared Calendar'!$A$2:$A$1000))))))</f>
        <v/>
      </c>
      <c r="I188" s="244">
        <f>IF(OR($A188="",$L188=""),"",IF(SUMPRODUCT(('Shared Calendar'!$K$2:$K$1000&gt;0)*('Shared Calendar'!$K$2:$K$1000&lt;=$B188)*('Shared Calendar'!$J$2:$J$1000&gt;$B188)*ISNUMBER(SEARCH($L188,'Shared Calendar'!$M$2:$M$1000))*('Shared Calendar'!$N$2:$N$1000="Leave"))&gt;0,"Leave",""))</f>
        <v/>
      </c>
      <c r="J188" s="244">
        <f>IF($A188="","",IFERROR(INDEX('Public Holidays'!$C$6:$C$38,MATCH($B188,'Public Holidays'!$A$6:$A$38,0))&amp;" ("&amp;INDEX('Public Holidays'!$L$6:$L$38,MATCH($B188,'Public Holidays'!$A$6:$A$38,0))&amp;")",""))</f>
        <v/>
      </c>
      <c r="K188" s="246">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44">
        <f>IF($A188="","",INDEX($B$7:$B$36,INT((ROW()-41)/14)+1)&amp;"")</f>
        <v/>
      </c>
    </row>
    <row r="189">
      <c r="A189" s="244">
        <f>IF(INDEX($A$7:$A$36,INT((ROW()-41)/14)+1)="","",INDEX($A$7:$A$36,INT((ROW()-41)/14)+1))</f>
        <v/>
      </c>
      <c r="B189" s="245">
        <f>IF($A189="","",$B$3+MOD(ROW()-41,14))</f>
        <v/>
      </c>
      <c r="C189" s="244">
        <f>IF($A189="","",TEXT($B189,"ddd"))</f>
        <v/>
      </c>
      <c r="D189" s="242">
        <f>IF($A189="","",SUMIFS('EH Timesheets'!$G$6:$G$1005,'EH Timesheets'!$A$6:$A$1005,$A189,'EH Timesheets'!$B$6:$B$1005,$B189))</f>
        <v/>
      </c>
      <c r="E189" s="242">
        <f>IF($A189="","",SUMIFS('EH Roster'!$G$6:$G$1005,'EH Roster'!$A$6:$A$1005,$A189,'EH Roster'!$B$6:$B$1005,$B189))</f>
        <v/>
      </c>
      <c r="F189" s="242">
        <f>IF($A189="","",$D189-$E189)</f>
        <v/>
      </c>
      <c r="G189" s="242">
        <f>IF($A189="","",IF($L189="",0,SUMPRODUCT(('Shared Calendar'!$K$2:$K$1000&gt;0)*('Shared Calendar'!$K$2:$K$1000&lt;=$B189)*('Shared Calendar'!$J$2:$J$1000&gt;$B189)*ISNUMBER(SEARCH($L189,'Shared Calendar'!$M$2:$M$1000))*('Shared Calendar'!$N$2:$N$1000="Event"),'Shared Calendar'!$L$2:$L$1000)))</f>
        <v/>
      </c>
      <c r="H189" s="246">
        <f>IF(OR($A189="",$L189=""),"",IF(SUMPRODUCT(MAX(('Shared Calendar'!$K$2:$K$1000&gt;0)*('Shared Calendar'!$K$2:$K$1000&lt;=$B189)*('Shared Calendar'!$J$2:$J$1000&gt;$B189)*ISNUMBER(SEARCH($L189,'Shared Calendar'!$M$2:$M$1000))*ROW('Shared Calendar'!$A$2:$A$1000)))=0,"",INDEX('Shared Calendar'!$A:$A,SUMPRODUCT(MAX(('Shared Calendar'!$K$2:$K$1000&gt;0)*('Shared Calendar'!$K$2:$K$1000&lt;=$B189)*('Shared Calendar'!$J$2:$J$1000&gt;$B189)*ISNUMBER(SEARCH($L189,'Shared Calendar'!$M$2:$M$1000))*ROW('Shared Calendar'!$A$2:$A$1000))))))</f>
        <v/>
      </c>
      <c r="I189" s="244">
        <f>IF(OR($A189="",$L189=""),"",IF(SUMPRODUCT(('Shared Calendar'!$K$2:$K$1000&gt;0)*('Shared Calendar'!$K$2:$K$1000&lt;=$B189)*('Shared Calendar'!$J$2:$J$1000&gt;$B189)*ISNUMBER(SEARCH($L189,'Shared Calendar'!$M$2:$M$1000))*('Shared Calendar'!$N$2:$N$1000="Leave"))&gt;0,"Leave",""))</f>
        <v/>
      </c>
      <c r="J189" s="244">
        <f>IF($A189="","",IFERROR(INDEX('Public Holidays'!$C$6:$C$38,MATCH($B189,'Public Holidays'!$A$6:$A$38,0))&amp;" ("&amp;INDEX('Public Holidays'!$L$6:$L$38,MATCH($B189,'Public Holidays'!$A$6:$A$38,0))&amp;")",""))</f>
        <v/>
      </c>
      <c r="K189" s="246">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44">
        <f>IF($A189="","",INDEX($B$7:$B$36,INT((ROW()-41)/14)+1)&amp;"")</f>
        <v/>
      </c>
    </row>
    <row r="190">
      <c r="A190" s="244">
        <f>IF(INDEX($A$7:$A$36,INT((ROW()-41)/14)+1)="","",INDEX($A$7:$A$36,INT((ROW()-41)/14)+1))</f>
        <v/>
      </c>
      <c r="B190" s="245">
        <f>IF($A190="","",$B$3+MOD(ROW()-41,14))</f>
        <v/>
      </c>
      <c r="C190" s="244">
        <f>IF($A190="","",TEXT($B190,"ddd"))</f>
        <v/>
      </c>
      <c r="D190" s="242">
        <f>IF($A190="","",SUMIFS('EH Timesheets'!$G$6:$G$1005,'EH Timesheets'!$A$6:$A$1005,$A190,'EH Timesheets'!$B$6:$B$1005,$B190))</f>
        <v/>
      </c>
      <c r="E190" s="242">
        <f>IF($A190="","",SUMIFS('EH Roster'!$G$6:$G$1005,'EH Roster'!$A$6:$A$1005,$A190,'EH Roster'!$B$6:$B$1005,$B190))</f>
        <v/>
      </c>
      <c r="F190" s="242">
        <f>IF($A190="","",$D190-$E190)</f>
        <v/>
      </c>
      <c r="G190" s="242">
        <f>IF($A190="","",IF($L190="",0,SUMPRODUCT(('Shared Calendar'!$K$2:$K$1000&gt;0)*('Shared Calendar'!$K$2:$K$1000&lt;=$B190)*('Shared Calendar'!$J$2:$J$1000&gt;$B190)*ISNUMBER(SEARCH($L190,'Shared Calendar'!$M$2:$M$1000))*('Shared Calendar'!$N$2:$N$1000="Event"),'Shared Calendar'!$L$2:$L$1000)))</f>
        <v/>
      </c>
      <c r="H190" s="246">
        <f>IF(OR($A190="",$L190=""),"",IF(SUMPRODUCT(MAX(('Shared Calendar'!$K$2:$K$1000&gt;0)*('Shared Calendar'!$K$2:$K$1000&lt;=$B190)*('Shared Calendar'!$J$2:$J$1000&gt;$B190)*ISNUMBER(SEARCH($L190,'Shared Calendar'!$M$2:$M$1000))*ROW('Shared Calendar'!$A$2:$A$1000)))=0,"",INDEX('Shared Calendar'!$A:$A,SUMPRODUCT(MAX(('Shared Calendar'!$K$2:$K$1000&gt;0)*('Shared Calendar'!$K$2:$K$1000&lt;=$B190)*('Shared Calendar'!$J$2:$J$1000&gt;$B190)*ISNUMBER(SEARCH($L190,'Shared Calendar'!$M$2:$M$1000))*ROW('Shared Calendar'!$A$2:$A$1000))))))</f>
        <v/>
      </c>
      <c r="I190" s="244">
        <f>IF(OR($A190="",$L190=""),"",IF(SUMPRODUCT(('Shared Calendar'!$K$2:$K$1000&gt;0)*('Shared Calendar'!$K$2:$K$1000&lt;=$B190)*('Shared Calendar'!$J$2:$J$1000&gt;$B190)*ISNUMBER(SEARCH($L190,'Shared Calendar'!$M$2:$M$1000))*('Shared Calendar'!$N$2:$N$1000="Leave"))&gt;0,"Leave",""))</f>
        <v/>
      </c>
      <c r="J190" s="244">
        <f>IF($A190="","",IFERROR(INDEX('Public Holidays'!$C$6:$C$38,MATCH($B190,'Public Holidays'!$A$6:$A$38,0))&amp;" ("&amp;INDEX('Public Holidays'!$L$6:$L$38,MATCH($B190,'Public Holidays'!$A$6:$A$38,0))&amp;")",""))</f>
        <v/>
      </c>
      <c r="K190" s="246">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44">
        <f>IF($A190="","",INDEX($B$7:$B$36,INT((ROW()-41)/14)+1)&amp;"")</f>
        <v/>
      </c>
    </row>
    <row r="191">
      <c r="A191" s="244">
        <f>IF(INDEX($A$7:$A$36,INT((ROW()-41)/14)+1)="","",INDEX($A$7:$A$36,INT((ROW()-41)/14)+1))</f>
        <v/>
      </c>
      <c r="B191" s="245">
        <f>IF($A191="","",$B$3+MOD(ROW()-41,14))</f>
        <v/>
      </c>
      <c r="C191" s="244">
        <f>IF($A191="","",TEXT($B191,"ddd"))</f>
        <v/>
      </c>
      <c r="D191" s="242">
        <f>IF($A191="","",SUMIFS('EH Timesheets'!$G$6:$G$1005,'EH Timesheets'!$A$6:$A$1005,$A191,'EH Timesheets'!$B$6:$B$1005,$B191))</f>
        <v/>
      </c>
      <c r="E191" s="242">
        <f>IF($A191="","",SUMIFS('EH Roster'!$G$6:$G$1005,'EH Roster'!$A$6:$A$1005,$A191,'EH Roster'!$B$6:$B$1005,$B191))</f>
        <v/>
      </c>
      <c r="F191" s="242">
        <f>IF($A191="","",$D191-$E191)</f>
        <v/>
      </c>
      <c r="G191" s="242">
        <f>IF($A191="","",IF($L191="",0,SUMPRODUCT(('Shared Calendar'!$K$2:$K$1000&gt;0)*('Shared Calendar'!$K$2:$K$1000&lt;=$B191)*('Shared Calendar'!$J$2:$J$1000&gt;$B191)*ISNUMBER(SEARCH($L191,'Shared Calendar'!$M$2:$M$1000))*('Shared Calendar'!$N$2:$N$1000="Event"),'Shared Calendar'!$L$2:$L$1000)))</f>
        <v/>
      </c>
      <c r="H191" s="246">
        <f>IF(OR($A191="",$L191=""),"",IF(SUMPRODUCT(MAX(('Shared Calendar'!$K$2:$K$1000&gt;0)*('Shared Calendar'!$K$2:$K$1000&lt;=$B191)*('Shared Calendar'!$J$2:$J$1000&gt;$B191)*ISNUMBER(SEARCH($L191,'Shared Calendar'!$M$2:$M$1000))*ROW('Shared Calendar'!$A$2:$A$1000)))=0,"",INDEX('Shared Calendar'!$A:$A,SUMPRODUCT(MAX(('Shared Calendar'!$K$2:$K$1000&gt;0)*('Shared Calendar'!$K$2:$K$1000&lt;=$B191)*('Shared Calendar'!$J$2:$J$1000&gt;$B191)*ISNUMBER(SEARCH($L191,'Shared Calendar'!$M$2:$M$1000))*ROW('Shared Calendar'!$A$2:$A$1000))))))</f>
        <v/>
      </c>
      <c r="I191" s="244">
        <f>IF(OR($A191="",$L191=""),"",IF(SUMPRODUCT(('Shared Calendar'!$K$2:$K$1000&gt;0)*('Shared Calendar'!$K$2:$K$1000&lt;=$B191)*('Shared Calendar'!$J$2:$J$1000&gt;$B191)*ISNUMBER(SEARCH($L191,'Shared Calendar'!$M$2:$M$1000))*('Shared Calendar'!$N$2:$N$1000="Leave"))&gt;0,"Leave",""))</f>
        <v/>
      </c>
      <c r="J191" s="244">
        <f>IF($A191="","",IFERROR(INDEX('Public Holidays'!$C$6:$C$38,MATCH($B191,'Public Holidays'!$A$6:$A$38,0))&amp;" ("&amp;INDEX('Public Holidays'!$L$6:$L$38,MATCH($B191,'Public Holidays'!$A$6:$A$38,0))&amp;")",""))</f>
        <v/>
      </c>
      <c r="K191" s="246">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44">
        <f>IF($A191="","",INDEX($B$7:$B$36,INT((ROW()-41)/14)+1)&amp;"")</f>
        <v/>
      </c>
    </row>
    <row r="192">
      <c r="A192" s="244">
        <f>IF(INDEX($A$7:$A$36,INT((ROW()-41)/14)+1)="","",INDEX($A$7:$A$36,INT((ROW()-41)/14)+1))</f>
        <v/>
      </c>
      <c r="B192" s="245">
        <f>IF($A192="","",$B$3+MOD(ROW()-41,14))</f>
        <v/>
      </c>
      <c r="C192" s="244">
        <f>IF($A192="","",TEXT($B192,"ddd"))</f>
        <v/>
      </c>
      <c r="D192" s="242">
        <f>IF($A192="","",SUMIFS('EH Timesheets'!$G$6:$G$1005,'EH Timesheets'!$A$6:$A$1005,$A192,'EH Timesheets'!$B$6:$B$1005,$B192))</f>
        <v/>
      </c>
      <c r="E192" s="242">
        <f>IF($A192="","",SUMIFS('EH Roster'!$G$6:$G$1005,'EH Roster'!$A$6:$A$1005,$A192,'EH Roster'!$B$6:$B$1005,$B192))</f>
        <v/>
      </c>
      <c r="F192" s="242">
        <f>IF($A192="","",$D192-$E192)</f>
        <v/>
      </c>
      <c r="G192" s="242">
        <f>IF($A192="","",IF($L192="",0,SUMPRODUCT(('Shared Calendar'!$K$2:$K$1000&gt;0)*('Shared Calendar'!$K$2:$K$1000&lt;=$B192)*('Shared Calendar'!$J$2:$J$1000&gt;$B192)*ISNUMBER(SEARCH($L192,'Shared Calendar'!$M$2:$M$1000))*('Shared Calendar'!$N$2:$N$1000="Event"),'Shared Calendar'!$L$2:$L$1000)))</f>
        <v/>
      </c>
      <c r="H192" s="246">
        <f>IF(OR($A192="",$L192=""),"",IF(SUMPRODUCT(MAX(('Shared Calendar'!$K$2:$K$1000&gt;0)*('Shared Calendar'!$K$2:$K$1000&lt;=$B192)*('Shared Calendar'!$J$2:$J$1000&gt;$B192)*ISNUMBER(SEARCH($L192,'Shared Calendar'!$M$2:$M$1000))*ROW('Shared Calendar'!$A$2:$A$1000)))=0,"",INDEX('Shared Calendar'!$A:$A,SUMPRODUCT(MAX(('Shared Calendar'!$K$2:$K$1000&gt;0)*('Shared Calendar'!$K$2:$K$1000&lt;=$B192)*('Shared Calendar'!$J$2:$J$1000&gt;$B192)*ISNUMBER(SEARCH($L192,'Shared Calendar'!$M$2:$M$1000))*ROW('Shared Calendar'!$A$2:$A$1000))))))</f>
        <v/>
      </c>
      <c r="I192" s="244">
        <f>IF(OR($A192="",$L192=""),"",IF(SUMPRODUCT(('Shared Calendar'!$K$2:$K$1000&gt;0)*('Shared Calendar'!$K$2:$K$1000&lt;=$B192)*('Shared Calendar'!$J$2:$J$1000&gt;$B192)*ISNUMBER(SEARCH($L192,'Shared Calendar'!$M$2:$M$1000))*('Shared Calendar'!$N$2:$N$1000="Leave"))&gt;0,"Leave",""))</f>
        <v/>
      </c>
      <c r="J192" s="244">
        <f>IF($A192="","",IFERROR(INDEX('Public Holidays'!$C$6:$C$38,MATCH($B192,'Public Holidays'!$A$6:$A$38,0))&amp;" ("&amp;INDEX('Public Holidays'!$L$6:$L$38,MATCH($B192,'Public Holidays'!$A$6:$A$38,0))&amp;")",""))</f>
        <v/>
      </c>
      <c r="K192" s="246">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44">
        <f>IF($A192="","",INDEX($B$7:$B$36,INT((ROW()-41)/14)+1)&amp;"")</f>
        <v/>
      </c>
    </row>
    <row r="193">
      <c r="A193" s="244">
        <f>IF(INDEX($A$7:$A$36,INT((ROW()-41)/14)+1)="","",INDEX($A$7:$A$36,INT((ROW()-41)/14)+1))</f>
        <v/>
      </c>
      <c r="B193" s="245">
        <f>IF($A193="","",$B$3+MOD(ROW()-41,14))</f>
        <v/>
      </c>
      <c r="C193" s="244">
        <f>IF($A193="","",TEXT($B193,"ddd"))</f>
        <v/>
      </c>
      <c r="D193" s="242">
        <f>IF($A193="","",SUMIFS('EH Timesheets'!$G$6:$G$1005,'EH Timesheets'!$A$6:$A$1005,$A193,'EH Timesheets'!$B$6:$B$1005,$B193))</f>
        <v/>
      </c>
      <c r="E193" s="242">
        <f>IF($A193="","",SUMIFS('EH Roster'!$G$6:$G$1005,'EH Roster'!$A$6:$A$1005,$A193,'EH Roster'!$B$6:$B$1005,$B193))</f>
        <v/>
      </c>
      <c r="F193" s="242">
        <f>IF($A193="","",$D193-$E193)</f>
        <v/>
      </c>
      <c r="G193" s="242">
        <f>IF($A193="","",IF($L193="",0,SUMPRODUCT(('Shared Calendar'!$K$2:$K$1000&gt;0)*('Shared Calendar'!$K$2:$K$1000&lt;=$B193)*('Shared Calendar'!$J$2:$J$1000&gt;$B193)*ISNUMBER(SEARCH($L193,'Shared Calendar'!$M$2:$M$1000))*('Shared Calendar'!$N$2:$N$1000="Event"),'Shared Calendar'!$L$2:$L$1000)))</f>
        <v/>
      </c>
      <c r="H193" s="246">
        <f>IF(OR($A193="",$L193=""),"",IF(SUMPRODUCT(MAX(('Shared Calendar'!$K$2:$K$1000&gt;0)*('Shared Calendar'!$K$2:$K$1000&lt;=$B193)*('Shared Calendar'!$J$2:$J$1000&gt;$B193)*ISNUMBER(SEARCH($L193,'Shared Calendar'!$M$2:$M$1000))*ROW('Shared Calendar'!$A$2:$A$1000)))=0,"",INDEX('Shared Calendar'!$A:$A,SUMPRODUCT(MAX(('Shared Calendar'!$K$2:$K$1000&gt;0)*('Shared Calendar'!$K$2:$K$1000&lt;=$B193)*('Shared Calendar'!$J$2:$J$1000&gt;$B193)*ISNUMBER(SEARCH($L193,'Shared Calendar'!$M$2:$M$1000))*ROW('Shared Calendar'!$A$2:$A$1000))))))</f>
        <v/>
      </c>
      <c r="I193" s="244">
        <f>IF(OR($A193="",$L193=""),"",IF(SUMPRODUCT(('Shared Calendar'!$K$2:$K$1000&gt;0)*('Shared Calendar'!$K$2:$K$1000&lt;=$B193)*('Shared Calendar'!$J$2:$J$1000&gt;$B193)*ISNUMBER(SEARCH($L193,'Shared Calendar'!$M$2:$M$1000))*('Shared Calendar'!$N$2:$N$1000="Leave"))&gt;0,"Leave",""))</f>
        <v/>
      </c>
      <c r="J193" s="244">
        <f>IF($A193="","",IFERROR(INDEX('Public Holidays'!$C$6:$C$38,MATCH($B193,'Public Holidays'!$A$6:$A$38,0))&amp;" ("&amp;INDEX('Public Holidays'!$L$6:$L$38,MATCH($B193,'Public Holidays'!$A$6:$A$38,0))&amp;")",""))</f>
        <v/>
      </c>
      <c r="K193" s="246">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44">
        <f>IF($A193="","",INDEX($B$7:$B$36,INT((ROW()-41)/14)+1)&amp;"")</f>
        <v/>
      </c>
    </row>
    <row r="194">
      <c r="A194" s="244">
        <f>IF(INDEX($A$7:$A$36,INT((ROW()-41)/14)+1)="","",INDEX($A$7:$A$36,INT((ROW()-41)/14)+1))</f>
        <v/>
      </c>
      <c r="B194" s="245">
        <f>IF($A194="","",$B$3+MOD(ROW()-41,14))</f>
        <v/>
      </c>
      <c r="C194" s="244">
        <f>IF($A194="","",TEXT($B194,"ddd"))</f>
        <v/>
      </c>
      <c r="D194" s="242">
        <f>IF($A194="","",SUMIFS('EH Timesheets'!$G$6:$G$1005,'EH Timesheets'!$A$6:$A$1005,$A194,'EH Timesheets'!$B$6:$B$1005,$B194))</f>
        <v/>
      </c>
      <c r="E194" s="242">
        <f>IF($A194="","",SUMIFS('EH Roster'!$G$6:$G$1005,'EH Roster'!$A$6:$A$1005,$A194,'EH Roster'!$B$6:$B$1005,$B194))</f>
        <v/>
      </c>
      <c r="F194" s="242">
        <f>IF($A194="","",$D194-$E194)</f>
        <v/>
      </c>
      <c r="G194" s="242">
        <f>IF($A194="","",IF($L194="",0,SUMPRODUCT(('Shared Calendar'!$K$2:$K$1000&gt;0)*('Shared Calendar'!$K$2:$K$1000&lt;=$B194)*('Shared Calendar'!$J$2:$J$1000&gt;$B194)*ISNUMBER(SEARCH($L194,'Shared Calendar'!$M$2:$M$1000))*('Shared Calendar'!$N$2:$N$1000="Event"),'Shared Calendar'!$L$2:$L$1000)))</f>
        <v/>
      </c>
      <c r="H194" s="246">
        <f>IF(OR($A194="",$L194=""),"",IF(SUMPRODUCT(MAX(('Shared Calendar'!$K$2:$K$1000&gt;0)*('Shared Calendar'!$K$2:$K$1000&lt;=$B194)*('Shared Calendar'!$J$2:$J$1000&gt;$B194)*ISNUMBER(SEARCH($L194,'Shared Calendar'!$M$2:$M$1000))*ROW('Shared Calendar'!$A$2:$A$1000)))=0,"",INDEX('Shared Calendar'!$A:$A,SUMPRODUCT(MAX(('Shared Calendar'!$K$2:$K$1000&gt;0)*('Shared Calendar'!$K$2:$K$1000&lt;=$B194)*('Shared Calendar'!$J$2:$J$1000&gt;$B194)*ISNUMBER(SEARCH($L194,'Shared Calendar'!$M$2:$M$1000))*ROW('Shared Calendar'!$A$2:$A$1000))))))</f>
        <v/>
      </c>
      <c r="I194" s="244">
        <f>IF(OR($A194="",$L194=""),"",IF(SUMPRODUCT(('Shared Calendar'!$K$2:$K$1000&gt;0)*('Shared Calendar'!$K$2:$K$1000&lt;=$B194)*('Shared Calendar'!$J$2:$J$1000&gt;$B194)*ISNUMBER(SEARCH($L194,'Shared Calendar'!$M$2:$M$1000))*('Shared Calendar'!$N$2:$N$1000="Leave"))&gt;0,"Leave",""))</f>
        <v/>
      </c>
      <c r="J194" s="244">
        <f>IF($A194="","",IFERROR(INDEX('Public Holidays'!$C$6:$C$38,MATCH($B194,'Public Holidays'!$A$6:$A$38,0))&amp;" ("&amp;INDEX('Public Holidays'!$L$6:$L$38,MATCH($B194,'Public Holidays'!$A$6:$A$38,0))&amp;")",""))</f>
        <v/>
      </c>
      <c r="K194" s="246">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44">
        <f>IF($A194="","",INDEX($B$7:$B$36,INT((ROW()-41)/14)+1)&amp;"")</f>
        <v/>
      </c>
    </row>
    <row r="195">
      <c r="A195" s="244">
        <f>IF(INDEX($A$7:$A$36,INT((ROW()-41)/14)+1)="","",INDEX($A$7:$A$36,INT((ROW()-41)/14)+1))</f>
        <v/>
      </c>
      <c r="B195" s="245">
        <f>IF($A195="","",$B$3+MOD(ROW()-41,14))</f>
        <v/>
      </c>
      <c r="C195" s="244">
        <f>IF($A195="","",TEXT($B195,"ddd"))</f>
        <v/>
      </c>
      <c r="D195" s="242">
        <f>IF($A195="","",SUMIFS('EH Timesheets'!$G$6:$G$1005,'EH Timesheets'!$A$6:$A$1005,$A195,'EH Timesheets'!$B$6:$B$1005,$B195))</f>
        <v/>
      </c>
      <c r="E195" s="242">
        <f>IF($A195="","",SUMIFS('EH Roster'!$G$6:$G$1005,'EH Roster'!$A$6:$A$1005,$A195,'EH Roster'!$B$6:$B$1005,$B195))</f>
        <v/>
      </c>
      <c r="F195" s="242">
        <f>IF($A195="","",$D195-$E195)</f>
        <v/>
      </c>
      <c r="G195" s="242">
        <f>IF($A195="","",IF($L195="",0,SUMPRODUCT(('Shared Calendar'!$K$2:$K$1000&gt;0)*('Shared Calendar'!$K$2:$K$1000&lt;=$B195)*('Shared Calendar'!$J$2:$J$1000&gt;$B195)*ISNUMBER(SEARCH($L195,'Shared Calendar'!$M$2:$M$1000))*('Shared Calendar'!$N$2:$N$1000="Event"),'Shared Calendar'!$L$2:$L$1000)))</f>
        <v/>
      </c>
      <c r="H195" s="246">
        <f>IF(OR($A195="",$L195=""),"",IF(SUMPRODUCT(MAX(('Shared Calendar'!$K$2:$K$1000&gt;0)*('Shared Calendar'!$K$2:$K$1000&lt;=$B195)*('Shared Calendar'!$J$2:$J$1000&gt;$B195)*ISNUMBER(SEARCH($L195,'Shared Calendar'!$M$2:$M$1000))*ROW('Shared Calendar'!$A$2:$A$1000)))=0,"",INDEX('Shared Calendar'!$A:$A,SUMPRODUCT(MAX(('Shared Calendar'!$K$2:$K$1000&gt;0)*('Shared Calendar'!$K$2:$K$1000&lt;=$B195)*('Shared Calendar'!$J$2:$J$1000&gt;$B195)*ISNUMBER(SEARCH($L195,'Shared Calendar'!$M$2:$M$1000))*ROW('Shared Calendar'!$A$2:$A$1000))))))</f>
        <v/>
      </c>
      <c r="I195" s="244">
        <f>IF(OR($A195="",$L195=""),"",IF(SUMPRODUCT(('Shared Calendar'!$K$2:$K$1000&gt;0)*('Shared Calendar'!$K$2:$K$1000&lt;=$B195)*('Shared Calendar'!$J$2:$J$1000&gt;$B195)*ISNUMBER(SEARCH($L195,'Shared Calendar'!$M$2:$M$1000))*('Shared Calendar'!$N$2:$N$1000="Leave"))&gt;0,"Leave",""))</f>
        <v/>
      </c>
      <c r="J195" s="244">
        <f>IF($A195="","",IFERROR(INDEX('Public Holidays'!$C$6:$C$38,MATCH($B195,'Public Holidays'!$A$6:$A$38,0))&amp;" ("&amp;INDEX('Public Holidays'!$L$6:$L$38,MATCH($B195,'Public Holidays'!$A$6:$A$38,0))&amp;")",""))</f>
        <v/>
      </c>
      <c r="K195" s="246">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44">
        <f>IF($A195="","",INDEX($B$7:$B$36,INT((ROW()-41)/14)+1)&amp;"")</f>
        <v/>
      </c>
    </row>
    <row r="196">
      <c r="A196" s="244">
        <f>IF(INDEX($A$7:$A$36,INT((ROW()-41)/14)+1)="","",INDEX($A$7:$A$36,INT((ROW()-41)/14)+1))</f>
        <v/>
      </c>
      <c r="B196" s="245">
        <f>IF($A196="","",$B$3+MOD(ROW()-41,14))</f>
        <v/>
      </c>
      <c r="C196" s="244">
        <f>IF($A196="","",TEXT($B196,"ddd"))</f>
        <v/>
      </c>
      <c r="D196" s="242">
        <f>IF($A196="","",SUMIFS('EH Timesheets'!$G$6:$G$1005,'EH Timesheets'!$A$6:$A$1005,$A196,'EH Timesheets'!$B$6:$B$1005,$B196))</f>
        <v/>
      </c>
      <c r="E196" s="242">
        <f>IF($A196="","",SUMIFS('EH Roster'!$G$6:$G$1005,'EH Roster'!$A$6:$A$1005,$A196,'EH Roster'!$B$6:$B$1005,$B196))</f>
        <v/>
      </c>
      <c r="F196" s="242">
        <f>IF($A196="","",$D196-$E196)</f>
        <v/>
      </c>
      <c r="G196" s="242">
        <f>IF($A196="","",IF($L196="",0,SUMPRODUCT(('Shared Calendar'!$K$2:$K$1000&gt;0)*('Shared Calendar'!$K$2:$K$1000&lt;=$B196)*('Shared Calendar'!$J$2:$J$1000&gt;$B196)*ISNUMBER(SEARCH($L196,'Shared Calendar'!$M$2:$M$1000))*('Shared Calendar'!$N$2:$N$1000="Event"),'Shared Calendar'!$L$2:$L$1000)))</f>
        <v/>
      </c>
      <c r="H196" s="246">
        <f>IF(OR($A196="",$L196=""),"",IF(SUMPRODUCT(MAX(('Shared Calendar'!$K$2:$K$1000&gt;0)*('Shared Calendar'!$K$2:$K$1000&lt;=$B196)*('Shared Calendar'!$J$2:$J$1000&gt;$B196)*ISNUMBER(SEARCH($L196,'Shared Calendar'!$M$2:$M$1000))*ROW('Shared Calendar'!$A$2:$A$1000)))=0,"",INDEX('Shared Calendar'!$A:$A,SUMPRODUCT(MAX(('Shared Calendar'!$K$2:$K$1000&gt;0)*('Shared Calendar'!$K$2:$K$1000&lt;=$B196)*('Shared Calendar'!$J$2:$J$1000&gt;$B196)*ISNUMBER(SEARCH($L196,'Shared Calendar'!$M$2:$M$1000))*ROW('Shared Calendar'!$A$2:$A$1000))))))</f>
        <v/>
      </c>
      <c r="I196" s="244">
        <f>IF(OR($A196="",$L196=""),"",IF(SUMPRODUCT(('Shared Calendar'!$K$2:$K$1000&gt;0)*('Shared Calendar'!$K$2:$K$1000&lt;=$B196)*('Shared Calendar'!$J$2:$J$1000&gt;$B196)*ISNUMBER(SEARCH($L196,'Shared Calendar'!$M$2:$M$1000))*('Shared Calendar'!$N$2:$N$1000="Leave"))&gt;0,"Leave",""))</f>
        <v/>
      </c>
      <c r="J196" s="244">
        <f>IF($A196="","",IFERROR(INDEX('Public Holidays'!$C$6:$C$38,MATCH($B196,'Public Holidays'!$A$6:$A$38,0))&amp;" ("&amp;INDEX('Public Holidays'!$L$6:$L$38,MATCH($B196,'Public Holidays'!$A$6:$A$38,0))&amp;")",""))</f>
        <v/>
      </c>
      <c r="K196" s="246">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44">
        <f>IF($A196="","",INDEX($B$7:$B$36,INT((ROW()-41)/14)+1)&amp;"")</f>
        <v/>
      </c>
    </row>
    <row r="197">
      <c r="A197" s="244">
        <f>IF(INDEX($A$7:$A$36,INT((ROW()-41)/14)+1)="","",INDEX($A$7:$A$36,INT((ROW()-41)/14)+1))</f>
        <v/>
      </c>
      <c r="B197" s="245">
        <f>IF($A197="","",$B$3+MOD(ROW()-41,14))</f>
        <v/>
      </c>
      <c r="C197" s="244">
        <f>IF($A197="","",TEXT($B197,"ddd"))</f>
        <v/>
      </c>
      <c r="D197" s="242">
        <f>IF($A197="","",SUMIFS('EH Timesheets'!$G$6:$G$1005,'EH Timesheets'!$A$6:$A$1005,$A197,'EH Timesheets'!$B$6:$B$1005,$B197))</f>
        <v/>
      </c>
      <c r="E197" s="242">
        <f>IF($A197="","",SUMIFS('EH Roster'!$G$6:$G$1005,'EH Roster'!$A$6:$A$1005,$A197,'EH Roster'!$B$6:$B$1005,$B197))</f>
        <v/>
      </c>
      <c r="F197" s="242">
        <f>IF($A197="","",$D197-$E197)</f>
        <v/>
      </c>
      <c r="G197" s="242">
        <f>IF($A197="","",IF($L197="",0,SUMPRODUCT(('Shared Calendar'!$K$2:$K$1000&gt;0)*('Shared Calendar'!$K$2:$K$1000&lt;=$B197)*('Shared Calendar'!$J$2:$J$1000&gt;$B197)*ISNUMBER(SEARCH($L197,'Shared Calendar'!$M$2:$M$1000))*('Shared Calendar'!$N$2:$N$1000="Event"),'Shared Calendar'!$L$2:$L$1000)))</f>
        <v/>
      </c>
      <c r="H197" s="246">
        <f>IF(OR($A197="",$L197=""),"",IF(SUMPRODUCT(MAX(('Shared Calendar'!$K$2:$K$1000&gt;0)*('Shared Calendar'!$K$2:$K$1000&lt;=$B197)*('Shared Calendar'!$J$2:$J$1000&gt;$B197)*ISNUMBER(SEARCH($L197,'Shared Calendar'!$M$2:$M$1000))*ROW('Shared Calendar'!$A$2:$A$1000)))=0,"",INDEX('Shared Calendar'!$A:$A,SUMPRODUCT(MAX(('Shared Calendar'!$K$2:$K$1000&gt;0)*('Shared Calendar'!$K$2:$K$1000&lt;=$B197)*('Shared Calendar'!$J$2:$J$1000&gt;$B197)*ISNUMBER(SEARCH($L197,'Shared Calendar'!$M$2:$M$1000))*ROW('Shared Calendar'!$A$2:$A$1000))))))</f>
        <v/>
      </c>
      <c r="I197" s="244">
        <f>IF(OR($A197="",$L197=""),"",IF(SUMPRODUCT(('Shared Calendar'!$K$2:$K$1000&gt;0)*('Shared Calendar'!$K$2:$K$1000&lt;=$B197)*('Shared Calendar'!$J$2:$J$1000&gt;$B197)*ISNUMBER(SEARCH($L197,'Shared Calendar'!$M$2:$M$1000))*('Shared Calendar'!$N$2:$N$1000="Leave"))&gt;0,"Leave",""))</f>
        <v/>
      </c>
      <c r="J197" s="244">
        <f>IF($A197="","",IFERROR(INDEX('Public Holidays'!$C$6:$C$38,MATCH($B197,'Public Holidays'!$A$6:$A$38,0))&amp;" ("&amp;INDEX('Public Holidays'!$L$6:$L$38,MATCH($B197,'Public Holidays'!$A$6:$A$38,0))&amp;")",""))</f>
        <v/>
      </c>
      <c r="K197" s="246">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44">
        <f>IF($A197="","",INDEX($B$7:$B$36,INT((ROW()-41)/14)+1)&amp;"")</f>
        <v/>
      </c>
    </row>
    <row r="198">
      <c r="A198" s="244">
        <f>IF(INDEX($A$7:$A$36,INT((ROW()-41)/14)+1)="","",INDEX($A$7:$A$36,INT((ROW()-41)/14)+1))</f>
        <v/>
      </c>
      <c r="B198" s="245">
        <f>IF($A198="","",$B$3+MOD(ROW()-41,14))</f>
        <v/>
      </c>
      <c r="C198" s="244">
        <f>IF($A198="","",TEXT($B198,"ddd"))</f>
        <v/>
      </c>
      <c r="D198" s="242">
        <f>IF($A198="","",SUMIFS('EH Timesheets'!$G$6:$G$1005,'EH Timesheets'!$A$6:$A$1005,$A198,'EH Timesheets'!$B$6:$B$1005,$B198))</f>
        <v/>
      </c>
      <c r="E198" s="242">
        <f>IF($A198="","",SUMIFS('EH Roster'!$G$6:$G$1005,'EH Roster'!$A$6:$A$1005,$A198,'EH Roster'!$B$6:$B$1005,$B198))</f>
        <v/>
      </c>
      <c r="F198" s="242">
        <f>IF($A198="","",$D198-$E198)</f>
        <v/>
      </c>
      <c r="G198" s="242">
        <f>IF($A198="","",IF($L198="",0,SUMPRODUCT(('Shared Calendar'!$K$2:$K$1000&gt;0)*('Shared Calendar'!$K$2:$K$1000&lt;=$B198)*('Shared Calendar'!$J$2:$J$1000&gt;$B198)*ISNUMBER(SEARCH($L198,'Shared Calendar'!$M$2:$M$1000))*('Shared Calendar'!$N$2:$N$1000="Event"),'Shared Calendar'!$L$2:$L$1000)))</f>
        <v/>
      </c>
      <c r="H198" s="246">
        <f>IF(OR($A198="",$L198=""),"",IF(SUMPRODUCT(MAX(('Shared Calendar'!$K$2:$K$1000&gt;0)*('Shared Calendar'!$K$2:$K$1000&lt;=$B198)*('Shared Calendar'!$J$2:$J$1000&gt;$B198)*ISNUMBER(SEARCH($L198,'Shared Calendar'!$M$2:$M$1000))*ROW('Shared Calendar'!$A$2:$A$1000)))=0,"",INDEX('Shared Calendar'!$A:$A,SUMPRODUCT(MAX(('Shared Calendar'!$K$2:$K$1000&gt;0)*('Shared Calendar'!$K$2:$K$1000&lt;=$B198)*('Shared Calendar'!$J$2:$J$1000&gt;$B198)*ISNUMBER(SEARCH($L198,'Shared Calendar'!$M$2:$M$1000))*ROW('Shared Calendar'!$A$2:$A$1000))))))</f>
        <v/>
      </c>
      <c r="I198" s="244">
        <f>IF(OR($A198="",$L198=""),"",IF(SUMPRODUCT(('Shared Calendar'!$K$2:$K$1000&gt;0)*('Shared Calendar'!$K$2:$K$1000&lt;=$B198)*('Shared Calendar'!$J$2:$J$1000&gt;$B198)*ISNUMBER(SEARCH($L198,'Shared Calendar'!$M$2:$M$1000))*('Shared Calendar'!$N$2:$N$1000="Leave"))&gt;0,"Leave",""))</f>
        <v/>
      </c>
      <c r="J198" s="244">
        <f>IF($A198="","",IFERROR(INDEX('Public Holidays'!$C$6:$C$38,MATCH($B198,'Public Holidays'!$A$6:$A$38,0))&amp;" ("&amp;INDEX('Public Holidays'!$L$6:$L$38,MATCH($B198,'Public Holidays'!$A$6:$A$38,0))&amp;")",""))</f>
        <v/>
      </c>
      <c r="K198" s="246">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44">
        <f>IF($A198="","",INDEX($B$7:$B$36,INT((ROW()-41)/14)+1)&amp;"")</f>
        <v/>
      </c>
    </row>
    <row r="199">
      <c r="A199" s="244">
        <f>IF(INDEX($A$7:$A$36,INT((ROW()-41)/14)+1)="","",INDEX($A$7:$A$36,INT((ROW()-41)/14)+1))</f>
        <v/>
      </c>
      <c r="B199" s="245">
        <f>IF($A199="","",$B$3+MOD(ROW()-41,14))</f>
        <v/>
      </c>
      <c r="C199" s="244">
        <f>IF($A199="","",TEXT($B199,"ddd"))</f>
        <v/>
      </c>
      <c r="D199" s="242">
        <f>IF($A199="","",SUMIFS('EH Timesheets'!$G$6:$G$1005,'EH Timesheets'!$A$6:$A$1005,$A199,'EH Timesheets'!$B$6:$B$1005,$B199))</f>
        <v/>
      </c>
      <c r="E199" s="242">
        <f>IF($A199="","",SUMIFS('EH Roster'!$G$6:$G$1005,'EH Roster'!$A$6:$A$1005,$A199,'EH Roster'!$B$6:$B$1005,$B199))</f>
        <v/>
      </c>
      <c r="F199" s="242">
        <f>IF($A199="","",$D199-$E199)</f>
        <v/>
      </c>
      <c r="G199" s="242">
        <f>IF($A199="","",IF($L199="",0,SUMPRODUCT(('Shared Calendar'!$K$2:$K$1000&gt;0)*('Shared Calendar'!$K$2:$K$1000&lt;=$B199)*('Shared Calendar'!$J$2:$J$1000&gt;$B199)*ISNUMBER(SEARCH($L199,'Shared Calendar'!$M$2:$M$1000))*('Shared Calendar'!$N$2:$N$1000="Event"),'Shared Calendar'!$L$2:$L$1000)))</f>
        <v/>
      </c>
      <c r="H199" s="246">
        <f>IF(OR($A199="",$L199=""),"",IF(SUMPRODUCT(MAX(('Shared Calendar'!$K$2:$K$1000&gt;0)*('Shared Calendar'!$K$2:$K$1000&lt;=$B199)*('Shared Calendar'!$J$2:$J$1000&gt;$B199)*ISNUMBER(SEARCH($L199,'Shared Calendar'!$M$2:$M$1000))*ROW('Shared Calendar'!$A$2:$A$1000)))=0,"",INDEX('Shared Calendar'!$A:$A,SUMPRODUCT(MAX(('Shared Calendar'!$K$2:$K$1000&gt;0)*('Shared Calendar'!$K$2:$K$1000&lt;=$B199)*('Shared Calendar'!$J$2:$J$1000&gt;$B199)*ISNUMBER(SEARCH($L199,'Shared Calendar'!$M$2:$M$1000))*ROW('Shared Calendar'!$A$2:$A$1000))))))</f>
        <v/>
      </c>
      <c r="I199" s="244">
        <f>IF(OR($A199="",$L199=""),"",IF(SUMPRODUCT(('Shared Calendar'!$K$2:$K$1000&gt;0)*('Shared Calendar'!$K$2:$K$1000&lt;=$B199)*('Shared Calendar'!$J$2:$J$1000&gt;$B199)*ISNUMBER(SEARCH($L199,'Shared Calendar'!$M$2:$M$1000))*('Shared Calendar'!$N$2:$N$1000="Leave"))&gt;0,"Leave",""))</f>
        <v/>
      </c>
      <c r="J199" s="244">
        <f>IF($A199="","",IFERROR(INDEX('Public Holidays'!$C$6:$C$38,MATCH($B199,'Public Holidays'!$A$6:$A$38,0))&amp;" ("&amp;INDEX('Public Holidays'!$L$6:$L$38,MATCH($B199,'Public Holidays'!$A$6:$A$38,0))&amp;")",""))</f>
        <v/>
      </c>
      <c r="K199" s="246">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44">
        <f>IF($A199="","",INDEX($B$7:$B$36,INT((ROW()-41)/14)+1)&amp;"")</f>
        <v/>
      </c>
    </row>
    <row r="200">
      <c r="A200" s="244">
        <f>IF(INDEX($A$7:$A$36,INT((ROW()-41)/14)+1)="","",INDEX($A$7:$A$36,INT((ROW()-41)/14)+1))</f>
        <v/>
      </c>
      <c r="B200" s="245">
        <f>IF($A200="","",$B$3+MOD(ROW()-41,14))</f>
        <v/>
      </c>
      <c r="C200" s="244">
        <f>IF($A200="","",TEXT($B200,"ddd"))</f>
        <v/>
      </c>
      <c r="D200" s="242">
        <f>IF($A200="","",SUMIFS('EH Timesheets'!$G$6:$G$1005,'EH Timesheets'!$A$6:$A$1005,$A200,'EH Timesheets'!$B$6:$B$1005,$B200))</f>
        <v/>
      </c>
      <c r="E200" s="242">
        <f>IF($A200="","",SUMIFS('EH Roster'!$G$6:$G$1005,'EH Roster'!$A$6:$A$1005,$A200,'EH Roster'!$B$6:$B$1005,$B200))</f>
        <v/>
      </c>
      <c r="F200" s="242">
        <f>IF($A200="","",$D200-$E200)</f>
        <v/>
      </c>
      <c r="G200" s="242">
        <f>IF($A200="","",IF($L200="",0,SUMPRODUCT(('Shared Calendar'!$K$2:$K$1000&gt;0)*('Shared Calendar'!$K$2:$K$1000&lt;=$B200)*('Shared Calendar'!$J$2:$J$1000&gt;$B200)*ISNUMBER(SEARCH($L200,'Shared Calendar'!$M$2:$M$1000))*('Shared Calendar'!$N$2:$N$1000="Event"),'Shared Calendar'!$L$2:$L$1000)))</f>
        <v/>
      </c>
      <c r="H200" s="246">
        <f>IF(OR($A200="",$L200=""),"",IF(SUMPRODUCT(MAX(('Shared Calendar'!$K$2:$K$1000&gt;0)*('Shared Calendar'!$K$2:$K$1000&lt;=$B200)*('Shared Calendar'!$J$2:$J$1000&gt;$B200)*ISNUMBER(SEARCH($L200,'Shared Calendar'!$M$2:$M$1000))*ROW('Shared Calendar'!$A$2:$A$1000)))=0,"",INDEX('Shared Calendar'!$A:$A,SUMPRODUCT(MAX(('Shared Calendar'!$K$2:$K$1000&gt;0)*('Shared Calendar'!$K$2:$K$1000&lt;=$B200)*('Shared Calendar'!$J$2:$J$1000&gt;$B200)*ISNUMBER(SEARCH($L200,'Shared Calendar'!$M$2:$M$1000))*ROW('Shared Calendar'!$A$2:$A$1000))))))</f>
        <v/>
      </c>
      <c r="I200" s="244">
        <f>IF(OR($A200="",$L200=""),"",IF(SUMPRODUCT(('Shared Calendar'!$K$2:$K$1000&gt;0)*('Shared Calendar'!$K$2:$K$1000&lt;=$B200)*('Shared Calendar'!$J$2:$J$1000&gt;$B200)*ISNUMBER(SEARCH($L200,'Shared Calendar'!$M$2:$M$1000))*('Shared Calendar'!$N$2:$N$1000="Leave"))&gt;0,"Leave",""))</f>
        <v/>
      </c>
      <c r="J200" s="244">
        <f>IF($A200="","",IFERROR(INDEX('Public Holidays'!$C$6:$C$38,MATCH($B200,'Public Holidays'!$A$6:$A$38,0))&amp;" ("&amp;INDEX('Public Holidays'!$L$6:$L$38,MATCH($B200,'Public Holidays'!$A$6:$A$38,0))&amp;")",""))</f>
        <v/>
      </c>
      <c r="K200" s="246">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44">
        <f>IF($A200="","",INDEX($B$7:$B$36,INT((ROW()-41)/14)+1)&amp;"")</f>
        <v/>
      </c>
    </row>
    <row r="201">
      <c r="A201" s="244">
        <f>IF(INDEX($A$7:$A$36,INT((ROW()-41)/14)+1)="","",INDEX($A$7:$A$36,INT((ROW()-41)/14)+1))</f>
        <v/>
      </c>
      <c r="B201" s="245">
        <f>IF($A201="","",$B$3+MOD(ROW()-41,14))</f>
        <v/>
      </c>
      <c r="C201" s="244">
        <f>IF($A201="","",TEXT($B201,"ddd"))</f>
        <v/>
      </c>
      <c r="D201" s="242">
        <f>IF($A201="","",SUMIFS('EH Timesheets'!$G$6:$G$1005,'EH Timesheets'!$A$6:$A$1005,$A201,'EH Timesheets'!$B$6:$B$1005,$B201))</f>
        <v/>
      </c>
      <c r="E201" s="242">
        <f>IF($A201="","",SUMIFS('EH Roster'!$G$6:$G$1005,'EH Roster'!$A$6:$A$1005,$A201,'EH Roster'!$B$6:$B$1005,$B201))</f>
        <v/>
      </c>
      <c r="F201" s="242">
        <f>IF($A201="","",$D201-$E201)</f>
        <v/>
      </c>
      <c r="G201" s="242">
        <f>IF($A201="","",IF($L201="",0,SUMPRODUCT(('Shared Calendar'!$K$2:$K$1000&gt;0)*('Shared Calendar'!$K$2:$K$1000&lt;=$B201)*('Shared Calendar'!$J$2:$J$1000&gt;$B201)*ISNUMBER(SEARCH($L201,'Shared Calendar'!$M$2:$M$1000))*('Shared Calendar'!$N$2:$N$1000="Event"),'Shared Calendar'!$L$2:$L$1000)))</f>
        <v/>
      </c>
      <c r="H201" s="246">
        <f>IF(OR($A201="",$L201=""),"",IF(SUMPRODUCT(MAX(('Shared Calendar'!$K$2:$K$1000&gt;0)*('Shared Calendar'!$K$2:$K$1000&lt;=$B201)*('Shared Calendar'!$J$2:$J$1000&gt;$B201)*ISNUMBER(SEARCH($L201,'Shared Calendar'!$M$2:$M$1000))*ROW('Shared Calendar'!$A$2:$A$1000)))=0,"",INDEX('Shared Calendar'!$A:$A,SUMPRODUCT(MAX(('Shared Calendar'!$K$2:$K$1000&gt;0)*('Shared Calendar'!$K$2:$K$1000&lt;=$B201)*('Shared Calendar'!$J$2:$J$1000&gt;$B201)*ISNUMBER(SEARCH($L201,'Shared Calendar'!$M$2:$M$1000))*ROW('Shared Calendar'!$A$2:$A$1000))))))</f>
        <v/>
      </c>
      <c r="I201" s="244">
        <f>IF(OR($A201="",$L201=""),"",IF(SUMPRODUCT(('Shared Calendar'!$K$2:$K$1000&gt;0)*('Shared Calendar'!$K$2:$K$1000&lt;=$B201)*('Shared Calendar'!$J$2:$J$1000&gt;$B201)*ISNUMBER(SEARCH($L201,'Shared Calendar'!$M$2:$M$1000))*('Shared Calendar'!$N$2:$N$1000="Leave"))&gt;0,"Leave",""))</f>
        <v/>
      </c>
      <c r="J201" s="244">
        <f>IF($A201="","",IFERROR(INDEX('Public Holidays'!$C$6:$C$38,MATCH($B201,'Public Holidays'!$A$6:$A$38,0))&amp;" ("&amp;INDEX('Public Holidays'!$L$6:$L$38,MATCH($B201,'Public Holidays'!$A$6:$A$38,0))&amp;")",""))</f>
        <v/>
      </c>
      <c r="K201" s="246">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44">
        <f>IF($A201="","",INDEX($B$7:$B$36,INT((ROW()-41)/14)+1)&amp;"")</f>
        <v/>
      </c>
    </row>
    <row r="202">
      <c r="A202" s="244">
        <f>IF(INDEX($A$7:$A$36,INT((ROW()-41)/14)+1)="","",INDEX($A$7:$A$36,INT((ROW()-41)/14)+1))</f>
        <v/>
      </c>
      <c r="B202" s="245">
        <f>IF($A202="","",$B$3+MOD(ROW()-41,14))</f>
        <v/>
      </c>
      <c r="C202" s="244">
        <f>IF($A202="","",TEXT($B202,"ddd"))</f>
        <v/>
      </c>
      <c r="D202" s="242">
        <f>IF($A202="","",SUMIFS('EH Timesheets'!$G$6:$G$1005,'EH Timesheets'!$A$6:$A$1005,$A202,'EH Timesheets'!$B$6:$B$1005,$B202))</f>
        <v/>
      </c>
      <c r="E202" s="242">
        <f>IF($A202="","",SUMIFS('EH Roster'!$G$6:$G$1005,'EH Roster'!$A$6:$A$1005,$A202,'EH Roster'!$B$6:$B$1005,$B202))</f>
        <v/>
      </c>
      <c r="F202" s="242">
        <f>IF($A202="","",$D202-$E202)</f>
        <v/>
      </c>
      <c r="G202" s="242">
        <f>IF($A202="","",IF($L202="",0,SUMPRODUCT(('Shared Calendar'!$K$2:$K$1000&gt;0)*('Shared Calendar'!$K$2:$K$1000&lt;=$B202)*('Shared Calendar'!$J$2:$J$1000&gt;$B202)*ISNUMBER(SEARCH($L202,'Shared Calendar'!$M$2:$M$1000))*('Shared Calendar'!$N$2:$N$1000="Event"),'Shared Calendar'!$L$2:$L$1000)))</f>
        <v/>
      </c>
      <c r="H202" s="246">
        <f>IF(OR($A202="",$L202=""),"",IF(SUMPRODUCT(MAX(('Shared Calendar'!$K$2:$K$1000&gt;0)*('Shared Calendar'!$K$2:$K$1000&lt;=$B202)*('Shared Calendar'!$J$2:$J$1000&gt;$B202)*ISNUMBER(SEARCH($L202,'Shared Calendar'!$M$2:$M$1000))*ROW('Shared Calendar'!$A$2:$A$1000)))=0,"",INDEX('Shared Calendar'!$A:$A,SUMPRODUCT(MAX(('Shared Calendar'!$K$2:$K$1000&gt;0)*('Shared Calendar'!$K$2:$K$1000&lt;=$B202)*('Shared Calendar'!$J$2:$J$1000&gt;$B202)*ISNUMBER(SEARCH($L202,'Shared Calendar'!$M$2:$M$1000))*ROW('Shared Calendar'!$A$2:$A$1000))))))</f>
        <v/>
      </c>
      <c r="I202" s="244">
        <f>IF(OR($A202="",$L202=""),"",IF(SUMPRODUCT(('Shared Calendar'!$K$2:$K$1000&gt;0)*('Shared Calendar'!$K$2:$K$1000&lt;=$B202)*('Shared Calendar'!$J$2:$J$1000&gt;$B202)*ISNUMBER(SEARCH($L202,'Shared Calendar'!$M$2:$M$1000))*('Shared Calendar'!$N$2:$N$1000="Leave"))&gt;0,"Leave",""))</f>
        <v/>
      </c>
      <c r="J202" s="244">
        <f>IF($A202="","",IFERROR(INDEX('Public Holidays'!$C$6:$C$38,MATCH($B202,'Public Holidays'!$A$6:$A$38,0))&amp;" ("&amp;INDEX('Public Holidays'!$L$6:$L$38,MATCH($B202,'Public Holidays'!$A$6:$A$38,0))&amp;")",""))</f>
        <v/>
      </c>
      <c r="K202" s="246">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44">
        <f>IF($A202="","",INDEX($B$7:$B$36,INT((ROW()-41)/14)+1)&amp;"")</f>
        <v/>
      </c>
    </row>
    <row r="203">
      <c r="A203" s="244">
        <f>IF(INDEX($A$7:$A$36,INT((ROW()-41)/14)+1)="","",INDEX($A$7:$A$36,INT((ROW()-41)/14)+1))</f>
        <v/>
      </c>
      <c r="B203" s="245">
        <f>IF($A203="","",$B$3+MOD(ROW()-41,14))</f>
        <v/>
      </c>
      <c r="C203" s="244">
        <f>IF($A203="","",TEXT($B203,"ddd"))</f>
        <v/>
      </c>
      <c r="D203" s="242">
        <f>IF($A203="","",SUMIFS('EH Timesheets'!$G$6:$G$1005,'EH Timesheets'!$A$6:$A$1005,$A203,'EH Timesheets'!$B$6:$B$1005,$B203))</f>
        <v/>
      </c>
      <c r="E203" s="242">
        <f>IF($A203="","",SUMIFS('EH Roster'!$G$6:$G$1005,'EH Roster'!$A$6:$A$1005,$A203,'EH Roster'!$B$6:$B$1005,$B203))</f>
        <v/>
      </c>
      <c r="F203" s="242">
        <f>IF($A203="","",$D203-$E203)</f>
        <v/>
      </c>
      <c r="G203" s="242">
        <f>IF($A203="","",IF($L203="",0,SUMPRODUCT(('Shared Calendar'!$K$2:$K$1000&gt;0)*('Shared Calendar'!$K$2:$K$1000&lt;=$B203)*('Shared Calendar'!$J$2:$J$1000&gt;$B203)*ISNUMBER(SEARCH($L203,'Shared Calendar'!$M$2:$M$1000))*('Shared Calendar'!$N$2:$N$1000="Event"),'Shared Calendar'!$L$2:$L$1000)))</f>
        <v/>
      </c>
      <c r="H203" s="246">
        <f>IF(OR($A203="",$L203=""),"",IF(SUMPRODUCT(MAX(('Shared Calendar'!$K$2:$K$1000&gt;0)*('Shared Calendar'!$K$2:$K$1000&lt;=$B203)*('Shared Calendar'!$J$2:$J$1000&gt;$B203)*ISNUMBER(SEARCH($L203,'Shared Calendar'!$M$2:$M$1000))*ROW('Shared Calendar'!$A$2:$A$1000)))=0,"",INDEX('Shared Calendar'!$A:$A,SUMPRODUCT(MAX(('Shared Calendar'!$K$2:$K$1000&gt;0)*('Shared Calendar'!$K$2:$K$1000&lt;=$B203)*('Shared Calendar'!$J$2:$J$1000&gt;$B203)*ISNUMBER(SEARCH($L203,'Shared Calendar'!$M$2:$M$1000))*ROW('Shared Calendar'!$A$2:$A$1000))))))</f>
        <v/>
      </c>
      <c r="I203" s="244">
        <f>IF(OR($A203="",$L203=""),"",IF(SUMPRODUCT(('Shared Calendar'!$K$2:$K$1000&gt;0)*('Shared Calendar'!$K$2:$K$1000&lt;=$B203)*('Shared Calendar'!$J$2:$J$1000&gt;$B203)*ISNUMBER(SEARCH($L203,'Shared Calendar'!$M$2:$M$1000))*('Shared Calendar'!$N$2:$N$1000="Leave"))&gt;0,"Leave",""))</f>
        <v/>
      </c>
      <c r="J203" s="244">
        <f>IF($A203="","",IFERROR(INDEX('Public Holidays'!$C$6:$C$38,MATCH($B203,'Public Holidays'!$A$6:$A$38,0))&amp;" ("&amp;INDEX('Public Holidays'!$L$6:$L$38,MATCH($B203,'Public Holidays'!$A$6:$A$38,0))&amp;")",""))</f>
        <v/>
      </c>
      <c r="K203" s="246">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44">
        <f>IF($A203="","",INDEX($B$7:$B$36,INT((ROW()-41)/14)+1)&amp;"")</f>
        <v/>
      </c>
    </row>
    <row r="204">
      <c r="A204" s="244">
        <f>IF(INDEX($A$7:$A$36,INT((ROW()-41)/14)+1)="","",INDEX($A$7:$A$36,INT((ROW()-41)/14)+1))</f>
        <v/>
      </c>
      <c r="B204" s="245">
        <f>IF($A204="","",$B$3+MOD(ROW()-41,14))</f>
        <v/>
      </c>
      <c r="C204" s="244">
        <f>IF($A204="","",TEXT($B204,"ddd"))</f>
        <v/>
      </c>
      <c r="D204" s="242">
        <f>IF($A204="","",SUMIFS('EH Timesheets'!$G$6:$G$1005,'EH Timesheets'!$A$6:$A$1005,$A204,'EH Timesheets'!$B$6:$B$1005,$B204))</f>
        <v/>
      </c>
      <c r="E204" s="242">
        <f>IF($A204="","",SUMIFS('EH Roster'!$G$6:$G$1005,'EH Roster'!$A$6:$A$1005,$A204,'EH Roster'!$B$6:$B$1005,$B204))</f>
        <v/>
      </c>
      <c r="F204" s="242">
        <f>IF($A204="","",$D204-$E204)</f>
        <v/>
      </c>
      <c r="G204" s="242">
        <f>IF($A204="","",IF($L204="",0,SUMPRODUCT(('Shared Calendar'!$K$2:$K$1000&gt;0)*('Shared Calendar'!$K$2:$K$1000&lt;=$B204)*('Shared Calendar'!$J$2:$J$1000&gt;$B204)*ISNUMBER(SEARCH($L204,'Shared Calendar'!$M$2:$M$1000))*('Shared Calendar'!$N$2:$N$1000="Event"),'Shared Calendar'!$L$2:$L$1000)))</f>
        <v/>
      </c>
      <c r="H204" s="246">
        <f>IF(OR($A204="",$L204=""),"",IF(SUMPRODUCT(MAX(('Shared Calendar'!$K$2:$K$1000&gt;0)*('Shared Calendar'!$K$2:$K$1000&lt;=$B204)*('Shared Calendar'!$J$2:$J$1000&gt;$B204)*ISNUMBER(SEARCH($L204,'Shared Calendar'!$M$2:$M$1000))*ROW('Shared Calendar'!$A$2:$A$1000)))=0,"",INDEX('Shared Calendar'!$A:$A,SUMPRODUCT(MAX(('Shared Calendar'!$K$2:$K$1000&gt;0)*('Shared Calendar'!$K$2:$K$1000&lt;=$B204)*('Shared Calendar'!$J$2:$J$1000&gt;$B204)*ISNUMBER(SEARCH($L204,'Shared Calendar'!$M$2:$M$1000))*ROW('Shared Calendar'!$A$2:$A$1000))))))</f>
        <v/>
      </c>
      <c r="I204" s="244">
        <f>IF(OR($A204="",$L204=""),"",IF(SUMPRODUCT(('Shared Calendar'!$K$2:$K$1000&gt;0)*('Shared Calendar'!$K$2:$K$1000&lt;=$B204)*('Shared Calendar'!$J$2:$J$1000&gt;$B204)*ISNUMBER(SEARCH($L204,'Shared Calendar'!$M$2:$M$1000))*('Shared Calendar'!$N$2:$N$1000="Leave"))&gt;0,"Leave",""))</f>
        <v/>
      </c>
      <c r="J204" s="244">
        <f>IF($A204="","",IFERROR(INDEX('Public Holidays'!$C$6:$C$38,MATCH($B204,'Public Holidays'!$A$6:$A$38,0))&amp;" ("&amp;INDEX('Public Holidays'!$L$6:$L$38,MATCH($B204,'Public Holidays'!$A$6:$A$38,0))&amp;")",""))</f>
        <v/>
      </c>
      <c r="K204" s="246">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44">
        <f>IF($A204="","",INDEX($B$7:$B$36,INT((ROW()-41)/14)+1)&amp;"")</f>
        <v/>
      </c>
    </row>
    <row r="205">
      <c r="A205" s="244">
        <f>IF(INDEX($A$7:$A$36,INT((ROW()-41)/14)+1)="","",INDEX($A$7:$A$36,INT((ROW()-41)/14)+1))</f>
        <v/>
      </c>
      <c r="B205" s="245">
        <f>IF($A205="","",$B$3+MOD(ROW()-41,14))</f>
        <v/>
      </c>
      <c r="C205" s="244">
        <f>IF($A205="","",TEXT($B205,"ddd"))</f>
        <v/>
      </c>
      <c r="D205" s="242">
        <f>IF($A205="","",SUMIFS('EH Timesheets'!$G$6:$G$1005,'EH Timesheets'!$A$6:$A$1005,$A205,'EH Timesheets'!$B$6:$B$1005,$B205))</f>
        <v/>
      </c>
      <c r="E205" s="242">
        <f>IF($A205="","",SUMIFS('EH Roster'!$G$6:$G$1005,'EH Roster'!$A$6:$A$1005,$A205,'EH Roster'!$B$6:$B$1005,$B205))</f>
        <v/>
      </c>
      <c r="F205" s="242">
        <f>IF($A205="","",$D205-$E205)</f>
        <v/>
      </c>
      <c r="G205" s="242">
        <f>IF($A205="","",IF($L205="",0,SUMPRODUCT(('Shared Calendar'!$K$2:$K$1000&gt;0)*('Shared Calendar'!$K$2:$K$1000&lt;=$B205)*('Shared Calendar'!$J$2:$J$1000&gt;$B205)*ISNUMBER(SEARCH($L205,'Shared Calendar'!$M$2:$M$1000))*('Shared Calendar'!$N$2:$N$1000="Event"),'Shared Calendar'!$L$2:$L$1000)))</f>
        <v/>
      </c>
      <c r="H205" s="246">
        <f>IF(OR($A205="",$L205=""),"",IF(SUMPRODUCT(MAX(('Shared Calendar'!$K$2:$K$1000&gt;0)*('Shared Calendar'!$K$2:$K$1000&lt;=$B205)*('Shared Calendar'!$J$2:$J$1000&gt;$B205)*ISNUMBER(SEARCH($L205,'Shared Calendar'!$M$2:$M$1000))*ROW('Shared Calendar'!$A$2:$A$1000)))=0,"",INDEX('Shared Calendar'!$A:$A,SUMPRODUCT(MAX(('Shared Calendar'!$K$2:$K$1000&gt;0)*('Shared Calendar'!$K$2:$K$1000&lt;=$B205)*('Shared Calendar'!$J$2:$J$1000&gt;$B205)*ISNUMBER(SEARCH($L205,'Shared Calendar'!$M$2:$M$1000))*ROW('Shared Calendar'!$A$2:$A$1000))))))</f>
        <v/>
      </c>
      <c r="I205" s="244">
        <f>IF(OR($A205="",$L205=""),"",IF(SUMPRODUCT(('Shared Calendar'!$K$2:$K$1000&gt;0)*('Shared Calendar'!$K$2:$K$1000&lt;=$B205)*('Shared Calendar'!$J$2:$J$1000&gt;$B205)*ISNUMBER(SEARCH($L205,'Shared Calendar'!$M$2:$M$1000))*('Shared Calendar'!$N$2:$N$1000="Leave"))&gt;0,"Leave",""))</f>
        <v/>
      </c>
      <c r="J205" s="244">
        <f>IF($A205="","",IFERROR(INDEX('Public Holidays'!$C$6:$C$38,MATCH($B205,'Public Holidays'!$A$6:$A$38,0))&amp;" ("&amp;INDEX('Public Holidays'!$L$6:$L$38,MATCH($B205,'Public Holidays'!$A$6:$A$38,0))&amp;")",""))</f>
        <v/>
      </c>
      <c r="K205" s="246">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44">
        <f>IF($A205="","",INDEX($B$7:$B$36,INT((ROW()-41)/14)+1)&amp;"")</f>
        <v/>
      </c>
    </row>
    <row r="206">
      <c r="A206" s="244">
        <f>IF(INDEX($A$7:$A$36,INT((ROW()-41)/14)+1)="","",INDEX($A$7:$A$36,INT((ROW()-41)/14)+1))</f>
        <v/>
      </c>
      <c r="B206" s="245">
        <f>IF($A206="","",$B$3+MOD(ROW()-41,14))</f>
        <v/>
      </c>
      <c r="C206" s="244">
        <f>IF($A206="","",TEXT($B206,"ddd"))</f>
        <v/>
      </c>
      <c r="D206" s="242">
        <f>IF($A206="","",SUMIFS('EH Timesheets'!$G$6:$G$1005,'EH Timesheets'!$A$6:$A$1005,$A206,'EH Timesheets'!$B$6:$B$1005,$B206))</f>
        <v/>
      </c>
      <c r="E206" s="242">
        <f>IF($A206="","",SUMIFS('EH Roster'!$G$6:$G$1005,'EH Roster'!$A$6:$A$1005,$A206,'EH Roster'!$B$6:$B$1005,$B206))</f>
        <v/>
      </c>
      <c r="F206" s="242">
        <f>IF($A206="","",$D206-$E206)</f>
        <v/>
      </c>
      <c r="G206" s="242">
        <f>IF($A206="","",IF($L206="",0,SUMPRODUCT(('Shared Calendar'!$K$2:$K$1000&gt;0)*('Shared Calendar'!$K$2:$K$1000&lt;=$B206)*('Shared Calendar'!$J$2:$J$1000&gt;$B206)*ISNUMBER(SEARCH($L206,'Shared Calendar'!$M$2:$M$1000))*('Shared Calendar'!$N$2:$N$1000="Event"),'Shared Calendar'!$L$2:$L$1000)))</f>
        <v/>
      </c>
      <c r="H206" s="246">
        <f>IF(OR($A206="",$L206=""),"",IF(SUMPRODUCT(MAX(('Shared Calendar'!$K$2:$K$1000&gt;0)*('Shared Calendar'!$K$2:$K$1000&lt;=$B206)*('Shared Calendar'!$J$2:$J$1000&gt;$B206)*ISNUMBER(SEARCH($L206,'Shared Calendar'!$M$2:$M$1000))*ROW('Shared Calendar'!$A$2:$A$1000)))=0,"",INDEX('Shared Calendar'!$A:$A,SUMPRODUCT(MAX(('Shared Calendar'!$K$2:$K$1000&gt;0)*('Shared Calendar'!$K$2:$K$1000&lt;=$B206)*('Shared Calendar'!$J$2:$J$1000&gt;$B206)*ISNUMBER(SEARCH($L206,'Shared Calendar'!$M$2:$M$1000))*ROW('Shared Calendar'!$A$2:$A$1000))))))</f>
        <v/>
      </c>
      <c r="I206" s="244">
        <f>IF(OR($A206="",$L206=""),"",IF(SUMPRODUCT(('Shared Calendar'!$K$2:$K$1000&gt;0)*('Shared Calendar'!$K$2:$K$1000&lt;=$B206)*('Shared Calendar'!$J$2:$J$1000&gt;$B206)*ISNUMBER(SEARCH($L206,'Shared Calendar'!$M$2:$M$1000))*('Shared Calendar'!$N$2:$N$1000="Leave"))&gt;0,"Leave",""))</f>
        <v/>
      </c>
      <c r="J206" s="244">
        <f>IF($A206="","",IFERROR(INDEX('Public Holidays'!$C$6:$C$38,MATCH($B206,'Public Holidays'!$A$6:$A$38,0))&amp;" ("&amp;INDEX('Public Holidays'!$L$6:$L$38,MATCH($B206,'Public Holidays'!$A$6:$A$38,0))&amp;")",""))</f>
        <v/>
      </c>
      <c r="K206" s="246">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44">
        <f>IF($A206="","",INDEX($B$7:$B$36,INT((ROW()-41)/14)+1)&amp;"")</f>
        <v/>
      </c>
    </row>
    <row r="207">
      <c r="A207" s="244">
        <f>IF(INDEX($A$7:$A$36,INT((ROW()-41)/14)+1)="","",INDEX($A$7:$A$36,INT((ROW()-41)/14)+1))</f>
        <v/>
      </c>
      <c r="B207" s="245">
        <f>IF($A207="","",$B$3+MOD(ROW()-41,14))</f>
        <v/>
      </c>
      <c r="C207" s="244">
        <f>IF($A207="","",TEXT($B207,"ddd"))</f>
        <v/>
      </c>
      <c r="D207" s="242">
        <f>IF($A207="","",SUMIFS('EH Timesheets'!$G$6:$G$1005,'EH Timesheets'!$A$6:$A$1005,$A207,'EH Timesheets'!$B$6:$B$1005,$B207))</f>
        <v/>
      </c>
      <c r="E207" s="242">
        <f>IF($A207="","",SUMIFS('EH Roster'!$G$6:$G$1005,'EH Roster'!$A$6:$A$1005,$A207,'EH Roster'!$B$6:$B$1005,$B207))</f>
        <v/>
      </c>
      <c r="F207" s="242">
        <f>IF($A207="","",$D207-$E207)</f>
        <v/>
      </c>
      <c r="G207" s="242">
        <f>IF($A207="","",IF($L207="",0,SUMPRODUCT(('Shared Calendar'!$K$2:$K$1000&gt;0)*('Shared Calendar'!$K$2:$K$1000&lt;=$B207)*('Shared Calendar'!$J$2:$J$1000&gt;$B207)*ISNUMBER(SEARCH($L207,'Shared Calendar'!$M$2:$M$1000))*('Shared Calendar'!$N$2:$N$1000="Event"),'Shared Calendar'!$L$2:$L$1000)))</f>
        <v/>
      </c>
      <c r="H207" s="246">
        <f>IF(OR($A207="",$L207=""),"",IF(SUMPRODUCT(MAX(('Shared Calendar'!$K$2:$K$1000&gt;0)*('Shared Calendar'!$K$2:$K$1000&lt;=$B207)*('Shared Calendar'!$J$2:$J$1000&gt;$B207)*ISNUMBER(SEARCH($L207,'Shared Calendar'!$M$2:$M$1000))*ROW('Shared Calendar'!$A$2:$A$1000)))=0,"",INDEX('Shared Calendar'!$A:$A,SUMPRODUCT(MAX(('Shared Calendar'!$K$2:$K$1000&gt;0)*('Shared Calendar'!$K$2:$K$1000&lt;=$B207)*('Shared Calendar'!$J$2:$J$1000&gt;$B207)*ISNUMBER(SEARCH($L207,'Shared Calendar'!$M$2:$M$1000))*ROW('Shared Calendar'!$A$2:$A$1000))))))</f>
        <v/>
      </c>
      <c r="I207" s="244">
        <f>IF(OR($A207="",$L207=""),"",IF(SUMPRODUCT(('Shared Calendar'!$K$2:$K$1000&gt;0)*('Shared Calendar'!$K$2:$K$1000&lt;=$B207)*('Shared Calendar'!$J$2:$J$1000&gt;$B207)*ISNUMBER(SEARCH($L207,'Shared Calendar'!$M$2:$M$1000))*('Shared Calendar'!$N$2:$N$1000="Leave"))&gt;0,"Leave",""))</f>
        <v/>
      </c>
      <c r="J207" s="244">
        <f>IF($A207="","",IFERROR(INDEX('Public Holidays'!$C$6:$C$38,MATCH($B207,'Public Holidays'!$A$6:$A$38,0))&amp;" ("&amp;INDEX('Public Holidays'!$L$6:$L$38,MATCH($B207,'Public Holidays'!$A$6:$A$38,0))&amp;")",""))</f>
        <v/>
      </c>
      <c r="K207" s="246">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44">
        <f>IF($A207="","",INDEX($B$7:$B$36,INT((ROW()-41)/14)+1)&amp;"")</f>
        <v/>
      </c>
    </row>
    <row r="208">
      <c r="A208" s="244">
        <f>IF(INDEX($A$7:$A$36,INT((ROW()-41)/14)+1)="","",INDEX($A$7:$A$36,INT((ROW()-41)/14)+1))</f>
        <v/>
      </c>
      <c r="B208" s="245">
        <f>IF($A208="","",$B$3+MOD(ROW()-41,14))</f>
        <v/>
      </c>
      <c r="C208" s="244">
        <f>IF($A208="","",TEXT($B208,"ddd"))</f>
        <v/>
      </c>
      <c r="D208" s="242">
        <f>IF($A208="","",SUMIFS('EH Timesheets'!$G$6:$G$1005,'EH Timesheets'!$A$6:$A$1005,$A208,'EH Timesheets'!$B$6:$B$1005,$B208))</f>
        <v/>
      </c>
      <c r="E208" s="242">
        <f>IF($A208="","",SUMIFS('EH Roster'!$G$6:$G$1005,'EH Roster'!$A$6:$A$1005,$A208,'EH Roster'!$B$6:$B$1005,$B208))</f>
        <v/>
      </c>
      <c r="F208" s="242">
        <f>IF($A208="","",$D208-$E208)</f>
        <v/>
      </c>
      <c r="G208" s="242">
        <f>IF($A208="","",IF($L208="",0,SUMPRODUCT(('Shared Calendar'!$K$2:$K$1000&gt;0)*('Shared Calendar'!$K$2:$K$1000&lt;=$B208)*('Shared Calendar'!$J$2:$J$1000&gt;$B208)*ISNUMBER(SEARCH($L208,'Shared Calendar'!$M$2:$M$1000))*('Shared Calendar'!$N$2:$N$1000="Event"),'Shared Calendar'!$L$2:$L$1000)))</f>
        <v/>
      </c>
      <c r="H208" s="246">
        <f>IF(OR($A208="",$L208=""),"",IF(SUMPRODUCT(MAX(('Shared Calendar'!$K$2:$K$1000&gt;0)*('Shared Calendar'!$K$2:$K$1000&lt;=$B208)*('Shared Calendar'!$J$2:$J$1000&gt;$B208)*ISNUMBER(SEARCH($L208,'Shared Calendar'!$M$2:$M$1000))*ROW('Shared Calendar'!$A$2:$A$1000)))=0,"",INDEX('Shared Calendar'!$A:$A,SUMPRODUCT(MAX(('Shared Calendar'!$K$2:$K$1000&gt;0)*('Shared Calendar'!$K$2:$K$1000&lt;=$B208)*('Shared Calendar'!$J$2:$J$1000&gt;$B208)*ISNUMBER(SEARCH($L208,'Shared Calendar'!$M$2:$M$1000))*ROW('Shared Calendar'!$A$2:$A$1000))))))</f>
        <v/>
      </c>
      <c r="I208" s="244">
        <f>IF(OR($A208="",$L208=""),"",IF(SUMPRODUCT(('Shared Calendar'!$K$2:$K$1000&gt;0)*('Shared Calendar'!$K$2:$K$1000&lt;=$B208)*('Shared Calendar'!$J$2:$J$1000&gt;$B208)*ISNUMBER(SEARCH($L208,'Shared Calendar'!$M$2:$M$1000))*('Shared Calendar'!$N$2:$N$1000="Leave"))&gt;0,"Leave",""))</f>
        <v/>
      </c>
      <c r="J208" s="244">
        <f>IF($A208="","",IFERROR(INDEX('Public Holidays'!$C$6:$C$38,MATCH($B208,'Public Holidays'!$A$6:$A$38,0))&amp;" ("&amp;INDEX('Public Holidays'!$L$6:$L$38,MATCH($B208,'Public Holidays'!$A$6:$A$38,0))&amp;")",""))</f>
        <v/>
      </c>
      <c r="K208" s="246">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44">
        <f>IF($A208="","",INDEX($B$7:$B$36,INT((ROW()-41)/14)+1)&amp;"")</f>
        <v/>
      </c>
    </row>
    <row r="209">
      <c r="A209" s="244">
        <f>IF(INDEX($A$7:$A$36,INT((ROW()-41)/14)+1)="","",INDEX($A$7:$A$36,INT((ROW()-41)/14)+1))</f>
        <v/>
      </c>
      <c r="B209" s="245">
        <f>IF($A209="","",$B$3+MOD(ROW()-41,14))</f>
        <v/>
      </c>
      <c r="C209" s="244">
        <f>IF($A209="","",TEXT($B209,"ddd"))</f>
        <v/>
      </c>
      <c r="D209" s="242">
        <f>IF($A209="","",SUMIFS('EH Timesheets'!$G$6:$G$1005,'EH Timesheets'!$A$6:$A$1005,$A209,'EH Timesheets'!$B$6:$B$1005,$B209))</f>
        <v/>
      </c>
      <c r="E209" s="242">
        <f>IF($A209="","",SUMIFS('EH Roster'!$G$6:$G$1005,'EH Roster'!$A$6:$A$1005,$A209,'EH Roster'!$B$6:$B$1005,$B209))</f>
        <v/>
      </c>
      <c r="F209" s="242">
        <f>IF($A209="","",$D209-$E209)</f>
        <v/>
      </c>
      <c r="G209" s="242">
        <f>IF($A209="","",IF($L209="",0,SUMPRODUCT(('Shared Calendar'!$K$2:$K$1000&gt;0)*('Shared Calendar'!$K$2:$K$1000&lt;=$B209)*('Shared Calendar'!$J$2:$J$1000&gt;$B209)*ISNUMBER(SEARCH($L209,'Shared Calendar'!$M$2:$M$1000))*('Shared Calendar'!$N$2:$N$1000="Event"),'Shared Calendar'!$L$2:$L$1000)))</f>
        <v/>
      </c>
      <c r="H209" s="246">
        <f>IF(OR($A209="",$L209=""),"",IF(SUMPRODUCT(MAX(('Shared Calendar'!$K$2:$K$1000&gt;0)*('Shared Calendar'!$K$2:$K$1000&lt;=$B209)*('Shared Calendar'!$J$2:$J$1000&gt;$B209)*ISNUMBER(SEARCH($L209,'Shared Calendar'!$M$2:$M$1000))*ROW('Shared Calendar'!$A$2:$A$1000)))=0,"",INDEX('Shared Calendar'!$A:$A,SUMPRODUCT(MAX(('Shared Calendar'!$K$2:$K$1000&gt;0)*('Shared Calendar'!$K$2:$K$1000&lt;=$B209)*('Shared Calendar'!$J$2:$J$1000&gt;$B209)*ISNUMBER(SEARCH($L209,'Shared Calendar'!$M$2:$M$1000))*ROW('Shared Calendar'!$A$2:$A$1000))))))</f>
        <v/>
      </c>
      <c r="I209" s="244">
        <f>IF(OR($A209="",$L209=""),"",IF(SUMPRODUCT(('Shared Calendar'!$K$2:$K$1000&gt;0)*('Shared Calendar'!$K$2:$K$1000&lt;=$B209)*('Shared Calendar'!$J$2:$J$1000&gt;$B209)*ISNUMBER(SEARCH($L209,'Shared Calendar'!$M$2:$M$1000))*('Shared Calendar'!$N$2:$N$1000="Leave"))&gt;0,"Leave",""))</f>
        <v/>
      </c>
      <c r="J209" s="244">
        <f>IF($A209="","",IFERROR(INDEX('Public Holidays'!$C$6:$C$38,MATCH($B209,'Public Holidays'!$A$6:$A$38,0))&amp;" ("&amp;INDEX('Public Holidays'!$L$6:$L$38,MATCH($B209,'Public Holidays'!$A$6:$A$38,0))&amp;")",""))</f>
        <v/>
      </c>
      <c r="K209" s="246">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44">
        <f>IF($A209="","",INDEX($B$7:$B$36,INT((ROW()-41)/14)+1)&amp;"")</f>
        <v/>
      </c>
    </row>
    <row r="210">
      <c r="A210" s="244">
        <f>IF(INDEX($A$7:$A$36,INT((ROW()-41)/14)+1)="","",INDEX($A$7:$A$36,INT((ROW()-41)/14)+1))</f>
        <v/>
      </c>
      <c r="B210" s="245">
        <f>IF($A210="","",$B$3+MOD(ROW()-41,14))</f>
        <v/>
      </c>
      <c r="C210" s="244">
        <f>IF($A210="","",TEXT($B210,"ddd"))</f>
        <v/>
      </c>
      <c r="D210" s="242">
        <f>IF($A210="","",SUMIFS('EH Timesheets'!$G$6:$G$1005,'EH Timesheets'!$A$6:$A$1005,$A210,'EH Timesheets'!$B$6:$B$1005,$B210))</f>
        <v/>
      </c>
      <c r="E210" s="242">
        <f>IF($A210="","",SUMIFS('EH Roster'!$G$6:$G$1005,'EH Roster'!$A$6:$A$1005,$A210,'EH Roster'!$B$6:$B$1005,$B210))</f>
        <v/>
      </c>
      <c r="F210" s="242">
        <f>IF($A210="","",$D210-$E210)</f>
        <v/>
      </c>
      <c r="G210" s="242">
        <f>IF($A210="","",IF($L210="",0,SUMPRODUCT(('Shared Calendar'!$K$2:$K$1000&gt;0)*('Shared Calendar'!$K$2:$K$1000&lt;=$B210)*('Shared Calendar'!$J$2:$J$1000&gt;$B210)*ISNUMBER(SEARCH($L210,'Shared Calendar'!$M$2:$M$1000))*('Shared Calendar'!$N$2:$N$1000="Event"),'Shared Calendar'!$L$2:$L$1000)))</f>
        <v/>
      </c>
      <c r="H210" s="246">
        <f>IF(OR($A210="",$L210=""),"",IF(SUMPRODUCT(MAX(('Shared Calendar'!$K$2:$K$1000&gt;0)*('Shared Calendar'!$K$2:$K$1000&lt;=$B210)*('Shared Calendar'!$J$2:$J$1000&gt;$B210)*ISNUMBER(SEARCH($L210,'Shared Calendar'!$M$2:$M$1000))*ROW('Shared Calendar'!$A$2:$A$1000)))=0,"",INDEX('Shared Calendar'!$A:$A,SUMPRODUCT(MAX(('Shared Calendar'!$K$2:$K$1000&gt;0)*('Shared Calendar'!$K$2:$K$1000&lt;=$B210)*('Shared Calendar'!$J$2:$J$1000&gt;$B210)*ISNUMBER(SEARCH($L210,'Shared Calendar'!$M$2:$M$1000))*ROW('Shared Calendar'!$A$2:$A$1000))))))</f>
        <v/>
      </c>
      <c r="I210" s="244">
        <f>IF(OR($A210="",$L210=""),"",IF(SUMPRODUCT(('Shared Calendar'!$K$2:$K$1000&gt;0)*('Shared Calendar'!$K$2:$K$1000&lt;=$B210)*('Shared Calendar'!$J$2:$J$1000&gt;$B210)*ISNUMBER(SEARCH($L210,'Shared Calendar'!$M$2:$M$1000))*('Shared Calendar'!$N$2:$N$1000="Leave"))&gt;0,"Leave",""))</f>
        <v/>
      </c>
      <c r="J210" s="244">
        <f>IF($A210="","",IFERROR(INDEX('Public Holidays'!$C$6:$C$38,MATCH($B210,'Public Holidays'!$A$6:$A$38,0))&amp;" ("&amp;INDEX('Public Holidays'!$L$6:$L$38,MATCH($B210,'Public Holidays'!$A$6:$A$38,0))&amp;")",""))</f>
        <v/>
      </c>
      <c r="K210" s="246">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44">
        <f>IF($A210="","",INDEX($B$7:$B$36,INT((ROW()-41)/14)+1)&amp;"")</f>
        <v/>
      </c>
    </row>
    <row r="211">
      <c r="A211" s="244">
        <f>IF(INDEX($A$7:$A$36,INT((ROW()-41)/14)+1)="","",INDEX($A$7:$A$36,INT((ROW()-41)/14)+1))</f>
        <v/>
      </c>
      <c r="B211" s="245">
        <f>IF($A211="","",$B$3+MOD(ROW()-41,14))</f>
        <v/>
      </c>
      <c r="C211" s="244">
        <f>IF($A211="","",TEXT($B211,"ddd"))</f>
        <v/>
      </c>
      <c r="D211" s="242">
        <f>IF($A211="","",SUMIFS('EH Timesheets'!$G$6:$G$1005,'EH Timesheets'!$A$6:$A$1005,$A211,'EH Timesheets'!$B$6:$B$1005,$B211))</f>
        <v/>
      </c>
      <c r="E211" s="242">
        <f>IF($A211="","",SUMIFS('EH Roster'!$G$6:$G$1005,'EH Roster'!$A$6:$A$1005,$A211,'EH Roster'!$B$6:$B$1005,$B211))</f>
        <v/>
      </c>
      <c r="F211" s="242">
        <f>IF($A211="","",$D211-$E211)</f>
        <v/>
      </c>
      <c r="G211" s="242">
        <f>IF($A211="","",IF($L211="",0,SUMPRODUCT(('Shared Calendar'!$K$2:$K$1000&gt;0)*('Shared Calendar'!$K$2:$K$1000&lt;=$B211)*('Shared Calendar'!$J$2:$J$1000&gt;$B211)*ISNUMBER(SEARCH($L211,'Shared Calendar'!$M$2:$M$1000))*('Shared Calendar'!$N$2:$N$1000="Event"),'Shared Calendar'!$L$2:$L$1000)))</f>
        <v/>
      </c>
      <c r="H211" s="246">
        <f>IF(OR($A211="",$L211=""),"",IF(SUMPRODUCT(MAX(('Shared Calendar'!$K$2:$K$1000&gt;0)*('Shared Calendar'!$K$2:$K$1000&lt;=$B211)*('Shared Calendar'!$J$2:$J$1000&gt;$B211)*ISNUMBER(SEARCH($L211,'Shared Calendar'!$M$2:$M$1000))*ROW('Shared Calendar'!$A$2:$A$1000)))=0,"",INDEX('Shared Calendar'!$A:$A,SUMPRODUCT(MAX(('Shared Calendar'!$K$2:$K$1000&gt;0)*('Shared Calendar'!$K$2:$K$1000&lt;=$B211)*('Shared Calendar'!$J$2:$J$1000&gt;$B211)*ISNUMBER(SEARCH($L211,'Shared Calendar'!$M$2:$M$1000))*ROW('Shared Calendar'!$A$2:$A$1000))))))</f>
        <v/>
      </c>
      <c r="I211" s="244">
        <f>IF(OR($A211="",$L211=""),"",IF(SUMPRODUCT(('Shared Calendar'!$K$2:$K$1000&gt;0)*('Shared Calendar'!$K$2:$K$1000&lt;=$B211)*('Shared Calendar'!$J$2:$J$1000&gt;$B211)*ISNUMBER(SEARCH($L211,'Shared Calendar'!$M$2:$M$1000))*('Shared Calendar'!$N$2:$N$1000="Leave"))&gt;0,"Leave",""))</f>
        <v/>
      </c>
      <c r="J211" s="244">
        <f>IF($A211="","",IFERROR(INDEX('Public Holidays'!$C$6:$C$38,MATCH($B211,'Public Holidays'!$A$6:$A$38,0))&amp;" ("&amp;INDEX('Public Holidays'!$L$6:$L$38,MATCH($B211,'Public Holidays'!$A$6:$A$38,0))&amp;")",""))</f>
        <v/>
      </c>
      <c r="K211" s="246">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44">
        <f>IF($A211="","",INDEX($B$7:$B$36,INT((ROW()-41)/14)+1)&amp;"")</f>
        <v/>
      </c>
    </row>
    <row r="212">
      <c r="A212" s="244">
        <f>IF(INDEX($A$7:$A$36,INT((ROW()-41)/14)+1)="","",INDEX($A$7:$A$36,INT((ROW()-41)/14)+1))</f>
        <v/>
      </c>
      <c r="B212" s="245">
        <f>IF($A212="","",$B$3+MOD(ROW()-41,14))</f>
        <v/>
      </c>
      <c r="C212" s="244">
        <f>IF($A212="","",TEXT($B212,"ddd"))</f>
        <v/>
      </c>
      <c r="D212" s="242">
        <f>IF($A212="","",SUMIFS('EH Timesheets'!$G$6:$G$1005,'EH Timesheets'!$A$6:$A$1005,$A212,'EH Timesheets'!$B$6:$B$1005,$B212))</f>
        <v/>
      </c>
      <c r="E212" s="242">
        <f>IF($A212="","",SUMIFS('EH Roster'!$G$6:$G$1005,'EH Roster'!$A$6:$A$1005,$A212,'EH Roster'!$B$6:$B$1005,$B212))</f>
        <v/>
      </c>
      <c r="F212" s="242">
        <f>IF($A212="","",$D212-$E212)</f>
        <v/>
      </c>
      <c r="G212" s="242">
        <f>IF($A212="","",IF($L212="",0,SUMPRODUCT(('Shared Calendar'!$K$2:$K$1000&gt;0)*('Shared Calendar'!$K$2:$K$1000&lt;=$B212)*('Shared Calendar'!$J$2:$J$1000&gt;$B212)*ISNUMBER(SEARCH($L212,'Shared Calendar'!$M$2:$M$1000))*('Shared Calendar'!$N$2:$N$1000="Event"),'Shared Calendar'!$L$2:$L$1000)))</f>
        <v/>
      </c>
      <c r="H212" s="246">
        <f>IF(OR($A212="",$L212=""),"",IF(SUMPRODUCT(MAX(('Shared Calendar'!$K$2:$K$1000&gt;0)*('Shared Calendar'!$K$2:$K$1000&lt;=$B212)*('Shared Calendar'!$J$2:$J$1000&gt;$B212)*ISNUMBER(SEARCH($L212,'Shared Calendar'!$M$2:$M$1000))*ROW('Shared Calendar'!$A$2:$A$1000)))=0,"",INDEX('Shared Calendar'!$A:$A,SUMPRODUCT(MAX(('Shared Calendar'!$K$2:$K$1000&gt;0)*('Shared Calendar'!$K$2:$K$1000&lt;=$B212)*('Shared Calendar'!$J$2:$J$1000&gt;$B212)*ISNUMBER(SEARCH($L212,'Shared Calendar'!$M$2:$M$1000))*ROW('Shared Calendar'!$A$2:$A$1000))))))</f>
        <v/>
      </c>
      <c r="I212" s="244">
        <f>IF(OR($A212="",$L212=""),"",IF(SUMPRODUCT(('Shared Calendar'!$K$2:$K$1000&gt;0)*('Shared Calendar'!$K$2:$K$1000&lt;=$B212)*('Shared Calendar'!$J$2:$J$1000&gt;$B212)*ISNUMBER(SEARCH($L212,'Shared Calendar'!$M$2:$M$1000))*('Shared Calendar'!$N$2:$N$1000="Leave"))&gt;0,"Leave",""))</f>
        <v/>
      </c>
      <c r="J212" s="244">
        <f>IF($A212="","",IFERROR(INDEX('Public Holidays'!$C$6:$C$38,MATCH($B212,'Public Holidays'!$A$6:$A$38,0))&amp;" ("&amp;INDEX('Public Holidays'!$L$6:$L$38,MATCH($B212,'Public Holidays'!$A$6:$A$38,0))&amp;")",""))</f>
        <v/>
      </c>
      <c r="K212" s="246">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44">
        <f>IF($A212="","",INDEX($B$7:$B$36,INT((ROW()-41)/14)+1)&amp;"")</f>
        <v/>
      </c>
    </row>
    <row r="213">
      <c r="A213" s="244">
        <f>IF(INDEX($A$7:$A$36,INT((ROW()-41)/14)+1)="","",INDEX($A$7:$A$36,INT((ROW()-41)/14)+1))</f>
        <v/>
      </c>
      <c r="B213" s="245">
        <f>IF($A213="","",$B$3+MOD(ROW()-41,14))</f>
        <v/>
      </c>
      <c r="C213" s="244">
        <f>IF($A213="","",TEXT($B213,"ddd"))</f>
        <v/>
      </c>
      <c r="D213" s="242">
        <f>IF($A213="","",SUMIFS('EH Timesheets'!$G$6:$G$1005,'EH Timesheets'!$A$6:$A$1005,$A213,'EH Timesheets'!$B$6:$B$1005,$B213))</f>
        <v/>
      </c>
      <c r="E213" s="242">
        <f>IF($A213="","",SUMIFS('EH Roster'!$G$6:$G$1005,'EH Roster'!$A$6:$A$1005,$A213,'EH Roster'!$B$6:$B$1005,$B213))</f>
        <v/>
      </c>
      <c r="F213" s="242">
        <f>IF($A213="","",$D213-$E213)</f>
        <v/>
      </c>
      <c r="G213" s="242">
        <f>IF($A213="","",IF($L213="",0,SUMPRODUCT(('Shared Calendar'!$K$2:$K$1000&gt;0)*('Shared Calendar'!$K$2:$K$1000&lt;=$B213)*('Shared Calendar'!$J$2:$J$1000&gt;$B213)*ISNUMBER(SEARCH($L213,'Shared Calendar'!$M$2:$M$1000))*('Shared Calendar'!$N$2:$N$1000="Event"),'Shared Calendar'!$L$2:$L$1000)))</f>
        <v/>
      </c>
      <c r="H213" s="246">
        <f>IF(OR($A213="",$L213=""),"",IF(SUMPRODUCT(MAX(('Shared Calendar'!$K$2:$K$1000&gt;0)*('Shared Calendar'!$K$2:$K$1000&lt;=$B213)*('Shared Calendar'!$J$2:$J$1000&gt;$B213)*ISNUMBER(SEARCH($L213,'Shared Calendar'!$M$2:$M$1000))*ROW('Shared Calendar'!$A$2:$A$1000)))=0,"",INDEX('Shared Calendar'!$A:$A,SUMPRODUCT(MAX(('Shared Calendar'!$K$2:$K$1000&gt;0)*('Shared Calendar'!$K$2:$K$1000&lt;=$B213)*('Shared Calendar'!$J$2:$J$1000&gt;$B213)*ISNUMBER(SEARCH($L213,'Shared Calendar'!$M$2:$M$1000))*ROW('Shared Calendar'!$A$2:$A$1000))))))</f>
        <v/>
      </c>
      <c r="I213" s="244">
        <f>IF(OR($A213="",$L213=""),"",IF(SUMPRODUCT(('Shared Calendar'!$K$2:$K$1000&gt;0)*('Shared Calendar'!$K$2:$K$1000&lt;=$B213)*('Shared Calendar'!$J$2:$J$1000&gt;$B213)*ISNUMBER(SEARCH($L213,'Shared Calendar'!$M$2:$M$1000))*('Shared Calendar'!$N$2:$N$1000="Leave"))&gt;0,"Leave",""))</f>
        <v/>
      </c>
      <c r="J213" s="244">
        <f>IF($A213="","",IFERROR(INDEX('Public Holidays'!$C$6:$C$38,MATCH($B213,'Public Holidays'!$A$6:$A$38,0))&amp;" ("&amp;INDEX('Public Holidays'!$L$6:$L$38,MATCH($B213,'Public Holidays'!$A$6:$A$38,0))&amp;")",""))</f>
        <v/>
      </c>
      <c r="K213" s="246">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44">
        <f>IF($A213="","",INDEX($B$7:$B$36,INT((ROW()-41)/14)+1)&amp;"")</f>
        <v/>
      </c>
    </row>
    <row r="214">
      <c r="A214" s="244">
        <f>IF(INDEX($A$7:$A$36,INT((ROW()-41)/14)+1)="","",INDEX($A$7:$A$36,INT((ROW()-41)/14)+1))</f>
        <v/>
      </c>
      <c r="B214" s="245">
        <f>IF($A214="","",$B$3+MOD(ROW()-41,14))</f>
        <v/>
      </c>
      <c r="C214" s="244">
        <f>IF($A214="","",TEXT($B214,"ddd"))</f>
        <v/>
      </c>
      <c r="D214" s="242">
        <f>IF($A214="","",SUMIFS('EH Timesheets'!$G$6:$G$1005,'EH Timesheets'!$A$6:$A$1005,$A214,'EH Timesheets'!$B$6:$B$1005,$B214))</f>
        <v/>
      </c>
      <c r="E214" s="242">
        <f>IF($A214="","",SUMIFS('EH Roster'!$G$6:$G$1005,'EH Roster'!$A$6:$A$1005,$A214,'EH Roster'!$B$6:$B$1005,$B214))</f>
        <v/>
      </c>
      <c r="F214" s="242">
        <f>IF($A214="","",$D214-$E214)</f>
        <v/>
      </c>
      <c r="G214" s="242">
        <f>IF($A214="","",IF($L214="",0,SUMPRODUCT(('Shared Calendar'!$K$2:$K$1000&gt;0)*('Shared Calendar'!$K$2:$K$1000&lt;=$B214)*('Shared Calendar'!$J$2:$J$1000&gt;$B214)*ISNUMBER(SEARCH($L214,'Shared Calendar'!$M$2:$M$1000))*('Shared Calendar'!$N$2:$N$1000="Event"),'Shared Calendar'!$L$2:$L$1000)))</f>
        <v/>
      </c>
      <c r="H214" s="246">
        <f>IF(OR($A214="",$L214=""),"",IF(SUMPRODUCT(MAX(('Shared Calendar'!$K$2:$K$1000&gt;0)*('Shared Calendar'!$K$2:$K$1000&lt;=$B214)*('Shared Calendar'!$J$2:$J$1000&gt;$B214)*ISNUMBER(SEARCH($L214,'Shared Calendar'!$M$2:$M$1000))*ROW('Shared Calendar'!$A$2:$A$1000)))=0,"",INDEX('Shared Calendar'!$A:$A,SUMPRODUCT(MAX(('Shared Calendar'!$K$2:$K$1000&gt;0)*('Shared Calendar'!$K$2:$K$1000&lt;=$B214)*('Shared Calendar'!$J$2:$J$1000&gt;$B214)*ISNUMBER(SEARCH($L214,'Shared Calendar'!$M$2:$M$1000))*ROW('Shared Calendar'!$A$2:$A$1000))))))</f>
        <v/>
      </c>
      <c r="I214" s="244">
        <f>IF(OR($A214="",$L214=""),"",IF(SUMPRODUCT(('Shared Calendar'!$K$2:$K$1000&gt;0)*('Shared Calendar'!$K$2:$K$1000&lt;=$B214)*('Shared Calendar'!$J$2:$J$1000&gt;$B214)*ISNUMBER(SEARCH($L214,'Shared Calendar'!$M$2:$M$1000))*('Shared Calendar'!$N$2:$N$1000="Leave"))&gt;0,"Leave",""))</f>
        <v/>
      </c>
      <c r="J214" s="244">
        <f>IF($A214="","",IFERROR(INDEX('Public Holidays'!$C$6:$C$38,MATCH($B214,'Public Holidays'!$A$6:$A$38,0))&amp;" ("&amp;INDEX('Public Holidays'!$L$6:$L$38,MATCH($B214,'Public Holidays'!$A$6:$A$38,0))&amp;")",""))</f>
        <v/>
      </c>
      <c r="K214" s="246">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44">
        <f>IF($A214="","",INDEX($B$7:$B$36,INT((ROW()-41)/14)+1)&amp;"")</f>
        <v/>
      </c>
    </row>
    <row r="215">
      <c r="A215" s="244">
        <f>IF(INDEX($A$7:$A$36,INT((ROW()-41)/14)+1)="","",INDEX($A$7:$A$36,INT((ROW()-41)/14)+1))</f>
        <v/>
      </c>
      <c r="B215" s="245">
        <f>IF($A215="","",$B$3+MOD(ROW()-41,14))</f>
        <v/>
      </c>
      <c r="C215" s="244">
        <f>IF($A215="","",TEXT($B215,"ddd"))</f>
        <v/>
      </c>
      <c r="D215" s="242">
        <f>IF($A215="","",SUMIFS('EH Timesheets'!$G$6:$G$1005,'EH Timesheets'!$A$6:$A$1005,$A215,'EH Timesheets'!$B$6:$B$1005,$B215))</f>
        <v/>
      </c>
      <c r="E215" s="242">
        <f>IF($A215="","",SUMIFS('EH Roster'!$G$6:$G$1005,'EH Roster'!$A$6:$A$1005,$A215,'EH Roster'!$B$6:$B$1005,$B215))</f>
        <v/>
      </c>
      <c r="F215" s="242">
        <f>IF($A215="","",$D215-$E215)</f>
        <v/>
      </c>
      <c r="G215" s="242">
        <f>IF($A215="","",IF($L215="",0,SUMPRODUCT(('Shared Calendar'!$K$2:$K$1000&gt;0)*('Shared Calendar'!$K$2:$K$1000&lt;=$B215)*('Shared Calendar'!$J$2:$J$1000&gt;$B215)*ISNUMBER(SEARCH($L215,'Shared Calendar'!$M$2:$M$1000))*('Shared Calendar'!$N$2:$N$1000="Event"),'Shared Calendar'!$L$2:$L$1000)))</f>
        <v/>
      </c>
      <c r="H215" s="246">
        <f>IF(OR($A215="",$L215=""),"",IF(SUMPRODUCT(MAX(('Shared Calendar'!$K$2:$K$1000&gt;0)*('Shared Calendar'!$K$2:$K$1000&lt;=$B215)*('Shared Calendar'!$J$2:$J$1000&gt;$B215)*ISNUMBER(SEARCH($L215,'Shared Calendar'!$M$2:$M$1000))*ROW('Shared Calendar'!$A$2:$A$1000)))=0,"",INDEX('Shared Calendar'!$A:$A,SUMPRODUCT(MAX(('Shared Calendar'!$K$2:$K$1000&gt;0)*('Shared Calendar'!$K$2:$K$1000&lt;=$B215)*('Shared Calendar'!$J$2:$J$1000&gt;$B215)*ISNUMBER(SEARCH($L215,'Shared Calendar'!$M$2:$M$1000))*ROW('Shared Calendar'!$A$2:$A$1000))))))</f>
        <v/>
      </c>
      <c r="I215" s="244">
        <f>IF(OR($A215="",$L215=""),"",IF(SUMPRODUCT(('Shared Calendar'!$K$2:$K$1000&gt;0)*('Shared Calendar'!$K$2:$K$1000&lt;=$B215)*('Shared Calendar'!$J$2:$J$1000&gt;$B215)*ISNUMBER(SEARCH($L215,'Shared Calendar'!$M$2:$M$1000))*('Shared Calendar'!$N$2:$N$1000="Leave"))&gt;0,"Leave",""))</f>
        <v/>
      </c>
      <c r="J215" s="244">
        <f>IF($A215="","",IFERROR(INDEX('Public Holidays'!$C$6:$C$38,MATCH($B215,'Public Holidays'!$A$6:$A$38,0))&amp;" ("&amp;INDEX('Public Holidays'!$L$6:$L$38,MATCH($B215,'Public Holidays'!$A$6:$A$38,0))&amp;")",""))</f>
        <v/>
      </c>
      <c r="K215" s="246">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44">
        <f>IF($A215="","",INDEX($B$7:$B$36,INT((ROW()-41)/14)+1)&amp;"")</f>
        <v/>
      </c>
    </row>
    <row r="216">
      <c r="A216" s="244">
        <f>IF(INDEX($A$7:$A$36,INT((ROW()-41)/14)+1)="","",INDEX($A$7:$A$36,INT((ROW()-41)/14)+1))</f>
        <v/>
      </c>
      <c r="B216" s="245">
        <f>IF($A216="","",$B$3+MOD(ROW()-41,14))</f>
        <v/>
      </c>
      <c r="C216" s="244">
        <f>IF($A216="","",TEXT($B216,"ddd"))</f>
        <v/>
      </c>
      <c r="D216" s="242">
        <f>IF($A216="","",SUMIFS('EH Timesheets'!$G$6:$G$1005,'EH Timesheets'!$A$6:$A$1005,$A216,'EH Timesheets'!$B$6:$B$1005,$B216))</f>
        <v/>
      </c>
      <c r="E216" s="242">
        <f>IF($A216="","",SUMIFS('EH Roster'!$G$6:$G$1005,'EH Roster'!$A$6:$A$1005,$A216,'EH Roster'!$B$6:$B$1005,$B216))</f>
        <v/>
      </c>
      <c r="F216" s="242">
        <f>IF($A216="","",$D216-$E216)</f>
        <v/>
      </c>
      <c r="G216" s="242">
        <f>IF($A216="","",IF($L216="",0,SUMPRODUCT(('Shared Calendar'!$K$2:$K$1000&gt;0)*('Shared Calendar'!$K$2:$K$1000&lt;=$B216)*('Shared Calendar'!$J$2:$J$1000&gt;$B216)*ISNUMBER(SEARCH($L216,'Shared Calendar'!$M$2:$M$1000))*('Shared Calendar'!$N$2:$N$1000="Event"),'Shared Calendar'!$L$2:$L$1000)))</f>
        <v/>
      </c>
      <c r="H216" s="246">
        <f>IF(OR($A216="",$L216=""),"",IF(SUMPRODUCT(MAX(('Shared Calendar'!$K$2:$K$1000&gt;0)*('Shared Calendar'!$K$2:$K$1000&lt;=$B216)*('Shared Calendar'!$J$2:$J$1000&gt;$B216)*ISNUMBER(SEARCH($L216,'Shared Calendar'!$M$2:$M$1000))*ROW('Shared Calendar'!$A$2:$A$1000)))=0,"",INDEX('Shared Calendar'!$A:$A,SUMPRODUCT(MAX(('Shared Calendar'!$K$2:$K$1000&gt;0)*('Shared Calendar'!$K$2:$K$1000&lt;=$B216)*('Shared Calendar'!$J$2:$J$1000&gt;$B216)*ISNUMBER(SEARCH($L216,'Shared Calendar'!$M$2:$M$1000))*ROW('Shared Calendar'!$A$2:$A$1000))))))</f>
        <v/>
      </c>
      <c r="I216" s="244">
        <f>IF(OR($A216="",$L216=""),"",IF(SUMPRODUCT(('Shared Calendar'!$K$2:$K$1000&gt;0)*('Shared Calendar'!$K$2:$K$1000&lt;=$B216)*('Shared Calendar'!$J$2:$J$1000&gt;$B216)*ISNUMBER(SEARCH($L216,'Shared Calendar'!$M$2:$M$1000))*('Shared Calendar'!$N$2:$N$1000="Leave"))&gt;0,"Leave",""))</f>
        <v/>
      </c>
      <c r="J216" s="244">
        <f>IF($A216="","",IFERROR(INDEX('Public Holidays'!$C$6:$C$38,MATCH($B216,'Public Holidays'!$A$6:$A$38,0))&amp;" ("&amp;INDEX('Public Holidays'!$L$6:$L$38,MATCH($B216,'Public Holidays'!$A$6:$A$38,0))&amp;")",""))</f>
        <v/>
      </c>
      <c r="K216" s="246">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44">
        <f>IF($A216="","",INDEX($B$7:$B$36,INT((ROW()-41)/14)+1)&amp;"")</f>
        <v/>
      </c>
    </row>
    <row r="217">
      <c r="A217" s="244">
        <f>IF(INDEX($A$7:$A$36,INT((ROW()-41)/14)+1)="","",INDEX($A$7:$A$36,INT((ROW()-41)/14)+1))</f>
        <v/>
      </c>
      <c r="B217" s="245">
        <f>IF($A217="","",$B$3+MOD(ROW()-41,14))</f>
        <v/>
      </c>
      <c r="C217" s="244">
        <f>IF($A217="","",TEXT($B217,"ddd"))</f>
        <v/>
      </c>
      <c r="D217" s="242">
        <f>IF($A217="","",SUMIFS('EH Timesheets'!$G$6:$G$1005,'EH Timesheets'!$A$6:$A$1005,$A217,'EH Timesheets'!$B$6:$B$1005,$B217))</f>
        <v/>
      </c>
      <c r="E217" s="242">
        <f>IF($A217="","",SUMIFS('EH Roster'!$G$6:$G$1005,'EH Roster'!$A$6:$A$1005,$A217,'EH Roster'!$B$6:$B$1005,$B217))</f>
        <v/>
      </c>
      <c r="F217" s="242">
        <f>IF($A217="","",$D217-$E217)</f>
        <v/>
      </c>
      <c r="G217" s="242">
        <f>IF($A217="","",IF($L217="",0,SUMPRODUCT(('Shared Calendar'!$K$2:$K$1000&gt;0)*('Shared Calendar'!$K$2:$K$1000&lt;=$B217)*('Shared Calendar'!$J$2:$J$1000&gt;$B217)*ISNUMBER(SEARCH($L217,'Shared Calendar'!$M$2:$M$1000))*('Shared Calendar'!$N$2:$N$1000="Event"),'Shared Calendar'!$L$2:$L$1000)))</f>
        <v/>
      </c>
      <c r="H217" s="246">
        <f>IF(OR($A217="",$L217=""),"",IF(SUMPRODUCT(MAX(('Shared Calendar'!$K$2:$K$1000&gt;0)*('Shared Calendar'!$K$2:$K$1000&lt;=$B217)*('Shared Calendar'!$J$2:$J$1000&gt;$B217)*ISNUMBER(SEARCH($L217,'Shared Calendar'!$M$2:$M$1000))*ROW('Shared Calendar'!$A$2:$A$1000)))=0,"",INDEX('Shared Calendar'!$A:$A,SUMPRODUCT(MAX(('Shared Calendar'!$K$2:$K$1000&gt;0)*('Shared Calendar'!$K$2:$K$1000&lt;=$B217)*('Shared Calendar'!$J$2:$J$1000&gt;$B217)*ISNUMBER(SEARCH($L217,'Shared Calendar'!$M$2:$M$1000))*ROW('Shared Calendar'!$A$2:$A$1000))))))</f>
        <v/>
      </c>
      <c r="I217" s="244">
        <f>IF(OR($A217="",$L217=""),"",IF(SUMPRODUCT(('Shared Calendar'!$K$2:$K$1000&gt;0)*('Shared Calendar'!$K$2:$K$1000&lt;=$B217)*('Shared Calendar'!$J$2:$J$1000&gt;$B217)*ISNUMBER(SEARCH($L217,'Shared Calendar'!$M$2:$M$1000))*('Shared Calendar'!$N$2:$N$1000="Leave"))&gt;0,"Leave",""))</f>
        <v/>
      </c>
      <c r="J217" s="244">
        <f>IF($A217="","",IFERROR(INDEX('Public Holidays'!$C$6:$C$38,MATCH($B217,'Public Holidays'!$A$6:$A$38,0))&amp;" ("&amp;INDEX('Public Holidays'!$L$6:$L$38,MATCH($B217,'Public Holidays'!$A$6:$A$38,0))&amp;")",""))</f>
        <v/>
      </c>
      <c r="K217" s="246">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44">
        <f>IF($A217="","",INDEX($B$7:$B$36,INT((ROW()-41)/14)+1)&amp;"")</f>
        <v/>
      </c>
    </row>
    <row r="218">
      <c r="A218" s="244">
        <f>IF(INDEX($A$7:$A$36,INT((ROW()-41)/14)+1)="","",INDEX($A$7:$A$36,INT((ROW()-41)/14)+1))</f>
        <v/>
      </c>
      <c r="B218" s="245">
        <f>IF($A218="","",$B$3+MOD(ROW()-41,14))</f>
        <v/>
      </c>
      <c r="C218" s="244">
        <f>IF($A218="","",TEXT($B218,"ddd"))</f>
        <v/>
      </c>
      <c r="D218" s="242">
        <f>IF($A218="","",SUMIFS('EH Timesheets'!$G$6:$G$1005,'EH Timesheets'!$A$6:$A$1005,$A218,'EH Timesheets'!$B$6:$B$1005,$B218))</f>
        <v/>
      </c>
      <c r="E218" s="242">
        <f>IF($A218="","",SUMIFS('EH Roster'!$G$6:$G$1005,'EH Roster'!$A$6:$A$1005,$A218,'EH Roster'!$B$6:$B$1005,$B218))</f>
        <v/>
      </c>
      <c r="F218" s="242">
        <f>IF($A218="","",$D218-$E218)</f>
        <v/>
      </c>
      <c r="G218" s="242">
        <f>IF($A218="","",IF($L218="",0,SUMPRODUCT(('Shared Calendar'!$K$2:$K$1000&gt;0)*('Shared Calendar'!$K$2:$K$1000&lt;=$B218)*('Shared Calendar'!$J$2:$J$1000&gt;$B218)*ISNUMBER(SEARCH($L218,'Shared Calendar'!$M$2:$M$1000))*('Shared Calendar'!$N$2:$N$1000="Event"),'Shared Calendar'!$L$2:$L$1000)))</f>
        <v/>
      </c>
      <c r="H218" s="246">
        <f>IF(OR($A218="",$L218=""),"",IF(SUMPRODUCT(MAX(('Shared Calendar'!$K$2:$K$1000&gt;0)*('Shared Calendar'!$K$2:$K$1000&lt;=$B218)*('Shared Calendar'!$J$2:$J$1000&gt;$B218)*ISNUMBER(SEARCH($L218,'Shared Calendar'!$M$2:$M$1000))*ROW('Shared Calendar'!$A$2:$A$1000)))=0,"",INDEX('Shared Calendar'!$A:$A,SUMPRODUCT(MAX(('Shared Calendar'!$K$2:$K$1000&gt;0)*('Shared Calendar'!$K$2:$K$1000&lt;=$B218)*('Shared Calendar'!$J$2:$J$1000&gt;$B218)*ISNUMBER(SEARCH($L218,'Shared Calendar'!$M$2:$M$1000))*ROW('Shared Calendar'!$A$2:$A$1000))))))</f>
        <v/>
      </c>
      <c r="I218" s="244">
        <f>IF(OR($A218="",$L218=""),"",IF(SUMPRODUCT(('Shared Calendar'!$K$2:$K$1000&gt;0)*('Shared Calendar'!$K$2:$K$1000&lt;=$B218)*('Shared Calendar'!$J$2:$J$1000&gt;$B218)*ISNUMBER(SEARCH($L218,'Shared Calendar'!$M$2:$M$1000))*('Shared Calendar'!$N$2:$N$1000="Leave"))&gt;0,"Leave",""))</f>
        <v/>
      </c>
      <c r="J218" s="244">
        <f>IF($A218="","",IFERROR(INDEX('Public Holidays'!$C$6:$C$38,MATCH($B218,'Public Holidays'!$A$6:$A$38,0))&amp;" ("&amp;INDEX('Public Holidays'!$L$6:$L$38,MATCH($B218,'Public Holidays'!$A$6:$A$38,0))&amp;")",""))</f>
        <v/>
      </c>
      <c r="K218" s="246">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44">
        <f>IF($A218="","",INDEX($B$7:$B$36,INT((ROW()-41)/14)+1)&amp;"")</f>
        <v/>
      </c>
    </row>
    <row r="219">
      <c r="A219" s="244">
        <f>IF(INDEX($A$7:$A$36,INT((ROW()-41)/14)+1)="","",INDEX($A$7:$A$36,INT((ROW()-41)/14)+1))</f>
        <v/>
      </c>
      <c r="B219" s="245">
        <f>IF($A219="","",$B$3+MOD(ROW()-41,14))</f>
        <v/>
      </c>
      <c r="C219" s="244">
        <f>IF($A219="","",TEXT($B219,"ddd"))</f>
        <v/>
      </c>
      <c r="D219" s="242">
        <f>IF($A219="","",SUMIFS('EH Timesheets'!$G$6:$G$1005,'EH Timesheets'!$A$6:$A$1005,$A219,'EH Timesheets'!$B$6:$B$1005,$B219))</f>
        <v/>
      </c>
      <c r="E219" s="242">
        <f>IF($A219="","",SUMIFS('EH Roster'!$G$6:$G$1005,'EH Roster'!$A$6:$A$1005,$A219,'EH Roster'!$B$6:$B$1005,$B219))</f>
        <v/>
      </c>
      <c r="F219" s="242">
        <f>IF($A219="","",$D219-$E219)</f>
        <v/>
      </c>
      <c r="G219" s="242">
        <f>IF($A219="","",IF($L219="",0,SUMPRODUCT(('Shared Calendar'!$K$2:$K$1000&gt;0)*('Shared Calendar'!$K$2:$K$1000&lt;=$B219)*('Shared Calendar'!$J$2:$J$1000&gt;$B219)*ISNUMBER(SEARCH($L219,'Shared Calendar'!$M$2:$M$1000))*('Shared Calendar'!$N$2:$N$1000="Event"),'Shared Calendar'!$L$2:$L$1000)))</f>
        <v/>
      </c>
      <c r="H219" s="246">
        <f>IF(OR($A219="",$L219=""),"",IF(SUMPRODUCT(MAX(('Shared Calendar'!$K$2:$K$1000&gt;0)*('Shared Calendar'!$K$2:$K$1000&lt;=$B219)*('Shared Calendar'!$J$2:$J$1000&gt;$B219)*ISNUMBER(SEARCH($L219,'Shared Calendar'!$M$2:$M$1000))*ROW('Shared Calendar'!$A$2:$A$1000)))=0,"",INDEX('Shared Calendar'!$A:$A,SUMPRODUCT(MAX(('Shared Calendar'!$K$2:$K$1000&gt;0)*('Shared Calendar'!$K$2:$K$1000&lt;=$B219)*('Shared Calendar'!$J$2:$J$1000&gt;$B219)*ISNUMBER(SEARCH($L219,'Shared Calendar'!$M$2:$M$1000))*ROW('Shared Calendar'!$A$2:$A$1000))))))</f>
        <v/>
      </c>
      <c r="I219" s="244">
        <f>IF(OR($A219="",$L219=""),"",IF(SUMPRODUCT(('Shared Calendar'!$K$2:$K$1000&gt;0)*('Shared Calendar'!$K$2:$K$1000&lt;=$B219)*('Shared Calendar'!$J$2:$J$1000&gt;$B219)*ISNUMBER(SEARCH($L219,'Shared Calendar'!$M$2:$M$1000))*('Shared Calendar'!$N$2:$N$1000="Leave"))&gt;0,"Leave",""))</f>
        <v/>
      </c>
      <c r="J219" s="244">
        <f>IF($A219="","",IFERROR(INDEX('Public Holidays'!$C$6:$C$38,MATCH($B219,'Public Holidays'!$A$6:$A$38,0))&amp;" ("&amp;INDEX('Public Holidays'!$L$6:$L$38,MATCH($B219,'Public Holidays'!$A$6:$A$38,0))&amp;")",""))</f>
        <v/>
      </c>
      <c r="K219" s="246">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44">
        <f>IF($A219="","",INDEX($B$7:$B$36,INT((ROW()-41)/14)+1)&amp;"")</f>
        <v/>
      </c>
    </row>
    <row r="220">
      <c r="A220" s="244">
        <f>IF(INDEX($A$7:$A$36,INT((ROW()-41)/14)+1)="","",INDEX($A$7:$A$36,INT((ROW()-41)/14)+1))</f>
        <v/>
      </c>
      <c r="B220" s="245">
        <f>IF($A220="","",$B$3+MOD(ROW()-41,14))</f>
        <v/>
      </c>
      <c r="C220" s="244">
        <f>IF($A220="","",TEXT($B220,"ddd"))</f>
        <v/>
      </c>
      <c r="D220" s="242">
        <f>IF($A220="","",SUMIFS('EH Timesheets'!$G$6:$G$1005,'EH Timesheets'!$A$6:$A$1005,$A220,'EH Timesheets'!$B$6:$B$1005,$B220))</f>
        <v/>
      </c>
      <c r="E220" s="242">
        <f>IF($A220="","",SUMIFS('EH Roster'!$G$6:$G$1005,'EH Roster'!$A$6:$A$1005,$A220,'EH Roster'!$B$6:$B$1005,$B220))</f>
        <v/>
      </c>
      <c r="F220" s="242">
        <f>IF($A220="","",$D220-$E220)</f>
        <v/>
      </c>
      <c r="G220" s="242">
        <f>IF($A220="","",IF($L220="",0,SUMPRODUCT(('Shared Calendar'!$K$2:$K$1000&gt;0)*('Shared Calendar'!$K$2:$K$1000&lt;=$B220)*('Shared Calendar'!$J$2:$J$1000&gt;$B220)*ISNUMBER(SEARCH($L220,'Shared Calendar'!$M$2:$M$1000))*('Shared Calendar'!$N$2:$N$1000="Event"),'Shared Calendar'!$L$2:$L$1000)))</f>
        <v/>
      </c>
      <c r="H220" s="246">
        <f>IF(OR($A220="",$L220=""),"",IF(SUMPRODUCT(MAX(('Shared Calendar'!$K$2:$K$1000&gt;0)*('Shared Calendar'!$K$2:$K$1000&lt;=$B220)*('Shared Calendar'!$J$2:$J$1000&gt;$B220)*ISNUMBER(SEARCH($L220,'Shared Calendar'!$M$2:$M$1000))*ROW('Shared Calendar'!$A$2:$A$1000)))=0,"",INDEX('Shared Calendar'!$A:$A,SUMPRODUCT(MAX(('Shared Calendar'!$K$2:$K$1000&gt;0)*('Shared Calendar'!$K$2:$K$1000&lt;=$B220)*('Shared Calendar'!$J$2:$J$1000&gt;$B220)*ISNUMBER(SEARCH($L220,'Shared Calendar'!$M$2:$M$1000))*ROW('Shared Calendar'!$A$2:$A$1000))))))</f>
        <v/>
      </c>
      <c r="I220" s="244">
        <f>IF(OR($A220="",$L220=""),"",IF(SUMPRODUCT(('Shared Calendar'!$K$2:$K$1000&gt;0)*('Shared Calendar'!$K$2:$K$1000&lt;=$B220)*('Shared Calendar'!$J$2:$J$1000&gt;$B220)*ISNUMBER(SEARCH($L220,'Shared Calendar'!$M$2:$M$1000))*('Shared Calendar'!$N$2:$N$1000="Leave"))&gt;0,"Leave",""))</f>
        <v/>
      </c>
      <c r="J220" s="244">
        <f>IF($A220="","",IFERROR(INDEX('Public Holidays'!$C$6:$C$38,MATCH($B220,'Public Holidays'!$A$6:$A$38,0))&amp;" ("&amp;INDEX('Public Holidays'!$L$6:$L$38,MATCH($B220,'Public Holidays'!$A$6:$A$38,0))&amp;")",""))</f>
        <v/>
      </c>
      <c r="K220" s="246">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44">
        <f>IF($A220="","",INDEX($B$7:$B$36,INT((ROW()-41)/14)+1)&amp;"")</f>
        <v/>
      </c>
    </row>
    <row r="221">
      <c r="A221" s="244">
        <f>IF(INDEX($A$7:$A$36,INT((ROW()-41)/14)+1)="","",INDEX($A$7:$A$36,INT((ROW()-41)/14)+1))</f>
        <v/>
      </c>
      <c r="B221" s="245">
        <f>IF($A221="","",$B$3+MOD(ROW()-41,14))</f>
        <v/>
      </c>
      <c r="C221" s="244">
        <f>IF($A221="","",TEXT($B221,"ddd"))</f>
        <v/>
      </c>
      <c r="D221" s="242">
        <f>IF($A221="","",SUMIFS('EH Timesheets'!$G$6:$G$1005,'EH Timesheets'!$A$6:$A$1005,$A221,'EH Timesheets'!$B$6:$B$1005,$B221))</f>
        <v/>
      </c>
      <c r="E221" s="242">
        <f>IF($A221="","",SUMIFS('EH Roster'!$G$6:$G$1005,'EH Roster'!$A$6:$A$1005,$A221,'EH Roster'!$B$6:$B$1005,$B221))</f>
        <v/>
      </c>
      <c r="F221" s="242">
        <f>IF($A221="","",$D221-$E221)</f>
        <v/>
      </c>
      <c r="G221" s="242">
        <f>IF($A221="","",IF($L221="",0,SUMPRODUCT(('Shared Calendar'!$K$2:$K$1000&gt;0)*('Shared Calendar'!$K$2:$K$1000&lt;=$B221)*('Shared Calendar'!$J$2:$J$1000&gt;$B221)*ISNUMBER(SEARCH($L221,'Shared Calendar'!$M$2:$M$1000))*('Shared Calendar'!$N$2:$N$1000="Event"),'Shared Calendar'!$L$2:$L$1000)))</f>
        <v/>
      </c>
      <c r="H221" s="246">
        <f>IF(OR($A221="",$L221=""),"",IF(SUMPRODUCT(MAX(('Shared Calendar'!$K$2:$K$1000&gt;0)*('Shared Calendar'!$K$2:$K$1000&lt;=$B221)*('Shared Calendar'!$J$2:$J$1000&gt;$B221)*ISNUMBER(SEARCH($L221,'Shared Calendar'!$M$2:$M$1000))*ROW('Shared Calendar'!$A$2:$A$1000)))=0,"",INDEX('Shared Calendar'!$A:$A,SUMPRODUCT(MAX(('Shared Calendar'!$K$2:$K$1000&gt;0)*('Shared Calendar'!$K$2:$K$1000&lt;=$B221)*('Shared Calendar'!$J$2:$J$1000&gt;$B221)*ISNUMBER(SEARCH($L221,'Shared Calendar'!$M$2:$M$1000))*ROW('Shared Calendar'!$A$2:$A$1000))))))</f>
        <v/>
      </c>
      <c r="I221" s="244">
        <f>IF(OR($A221="",$L221=""),"",IF(SUMPRODUCT(('Shared Calendar'!$K$2:$K$1000&gt;0)*('Shared Calendar'!$K$2:$K$1000&lt;=$B221)*('Shared Calendar'!$J$2:$J$1000&gt;$B221)*ISNUMBER(SEARCH($L221,'Shared Calendar'!$M$2:$M$1000))*('Shared Calendar'!$N$2:$N$1000="Leave"))&gt;0,"Leave",""))</f>
        <v/>
      </c>
      <c r="J221" s="244">
        <f>IF($A221="","",IFERROR(INDEX('Public Holidays'!$C$6:$C$38,MATCH($B221,'Public Holidays'!$A$6:$A$38,0))&amp;" ("&amp;INDEX('Public Holidays'!$L$6:$L$38,MATCH($B221,'Public Holidays'!$A$6:$A$38,0))&amp;")",""))</f>
        <v/>
      </c>
      <c r="K221" s="246">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44">
        <f>IF($A221="","",INDEX($B$7:$B$36,INT((ROW()-41)/14)+1)&amp;"")</f>
        <v/>
      </c>
    </row>
    <row r="222">
      <c r="A222" s="244">
        <f>IF(INDEX($A$7:$A$36,INT((ROW()-41)/14)+1)="","",INDEX($A$7:$A$36,INT((ROW()-41)/14)+1))</f>
        <v/>
      </c>
      <c r="B222" s="245">
        <f>IF($A222="","",$B$3+MOD(ROW()-41,14))</f>
        <v/>
      </c>
      <c r="C222" s="244">
        <f>IF($A222="","",TEXT($B222,"ddd"))</f>
        <v/>
      </c>
      <c r="D222" s="242">
        <f>IF($A222="","",SUMIFS('EH Timesheets'!$G$6:$G$1005,'EH Timesheets'!$A$6:$A$1005,$A222,'EH Timesheets'!$B$6:$B$1005,$B222))</f>
        <v/>
      </c>
      <c r="E222" s="242">
        <f>IF($A222="","",SUMIFS('EH Roster'!$G$6:$G$1005,'EH Roster'!$A$6:$A$1005,$A222,'EH Roster'!$B$6:$B$1005,$B222))</f>
        <v/>
      </c>
      <c r="F222" s="242">
        <f>IF($A222="","",$D222-$E222)</f>
        <v/>
      </c>
      <c r="G222" s="242">
        <f>IF($A222="","",IF($L222="",0,SUMPRODUCT(('Shared Calendar'!$K$2:$K$1000&gt;0)*('Shared Calendar'!$K$2:$K$1000&lt;=$B222)*('Shared Calendar'!$J$2:$J$1000&gt;$B222)*ISNUMBER(SEARCH($L222,'Shared Calendar'!$M$2:$M$1000))*('Shared Calendar'!$N$2:$N$1000="Event"),'Shared Calendar'!$L$2:$L$1000)))</f>
        <v/>
      </c>
      <c r="H222" s="246">
        <f>IF(OR($A222="",$L222=""),"",IF(SUMPRODUCT(MAX(('Shared Calendar'!$K$2:$K$1000&gt;0)*('Shared Calendar'!$K$2:$K$1000&lt;=$B222)*('Shared Calendar'!$J$2:$J$1000&gt;$B222)*ISNUMBER(SEARCH($L222,'Shared Calendar'!$M$2:$M$1000))*ROW('Shared Calendar'!$A$2:$A$1000)))=0,"",INDEX('Shared Calendar'!$A:$A,SUMPRODUCT(MAX(('Shared Calendar'!$K$2:$K$1000&gt;0)*('Shared Calendar'!$K$2:$K$1000&lt;=$B222)*('Shared Calendar'!$J$2:$J$1000&gt;$B222)*ISNUMBER(SEARCH($L222,'Shared Calendar'!$M$2:$M$1000))*ROW('Shared Calendar'!$A$2:$A$1000))))))</f>
        <v/>
      </c>
      <c r="I222" s="244">
        <f>IF(OR($A222="",$L222=""),"",IF(SUMPRODUCT(('Shared Calendar'!$K$2:$K$1000&gt;0)*('Shared Calendar'!$K$2:$K$1000&lt;=$B222)*('Shared Calendar'!$J$2:$J$1000&gt;$B222)*ISNUMBER(SEARCH($L222,'Shared Calendar'!$M$2:$M$1000))*('Shared Calendar'!$N$2:$N$1000="Leave"))&gt;0,"Leave",""))</f>
        <v/>
      </c>
      <c r="J222" s="244">
        <f>IF($A222="","",IFERROR(INDEX('Public Holidays'!$C$6:$C$38,MATCH($B222,'Public Holidays'!$A$6:$A$38,0))&amp;" ("&amp;INDEX('Public Holidays'!$L$6:$L$38,MATCH($B222,'Public Holidays'!$A$6:$A$38,0))&amp;")",""))</f>
        <v/>
      </c>
      <c r="K222" s="246">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44">
        <f>IF($A222="","",INDEX($B$7:$B$36,INT((ROW()-41)/14)+1)&amp;"")</f>
        <v/>
      </c>
    </row>
    <row r="223">
      <c r="A223" s="244">
        <f>IF(INDEX($A$7:$A$36,INT((ROW()-41)/14)+1)="","",INDEX($A$7:$A$36,INT((ROW()-41)/14)+1))</f>
        <v/>
      </c>
      <c r="B223" s="245">
        <f>IF($A223="","",$B$3+MOD(ROW()-41,14))</f>
        <v/>
      </c>
      <c r="C223" s="244">
        <f>IF($A223="","",TEXT($B223,"ddd"))</f>
        <v/>
      </c>
      <c r="D223" s="242">
        <f>IF($A223="","",SUMIFS('EH Timesheets'!$G$6:$G$1005,'EH Timesheets'!$A$6:$A$1005,$A223,'EH Timesheets'!$B$6:$B$1005,$B223))</f>
        <v/>
      </c>
      <c r="E223" s="242">
        <f>IF($A223="","",SUMIFS('EH Roster'!$G$6:$G$1005,'EH Roster'!$A$6:$A$1005,$A223,'EH Roster'!$B$6:$B$1005,$B223))</f>
        <v/>
      </c>
      <c r="F223" s="242">
        <f>IF($A223="","",$D223-$E223)</f>
        <v/>
      </c>
      <c r="G223" s="242">
        <f>IF($A223="","",IF($L223="",0,SUMPRODUCT(('Shared Calendar'!$K$2:$K$1000&gt;0)*('Shared Calendar'!$K$2:$K$1000&lt;=$B223)*('Shared Calendar'!$J$2:$J$1000&gt;$B223)*ISNUMBER(SEARCH($L223,'Shared Calendar'!$M$2:$M$1000))*('Shared Calendar'!$N$2:$N$1000="Event"),'Shared Calendar'!$L$2:$L$1000)))</f>
        <v/>
      </c>
      <c r="H223" s="246">
        <f>IF(OR($A223="",$L223=""),"",IF(SUMPRODUCT(MAX(('Shared Calendar'!$K$2:$K$1000&gt;0)*('Shared Calendar'!$K$2:$K$1000&lt;=$B223)*('Shared Calendar'!$J$2:$J$1000&gt;$B223)*ISNUMBER(SEARCH($L223,'Shared Calendar'!$M$2:$M$1000))*ROW('Shared Calendar'!$A$2:$A$1000)))=0,"",INDEX('Shared Calendar'!$A:$A,SUMPRODUCT(MAX(('Shared Calendar'!$K$2:$K$1000&gt;0)*('Shared Calendar'!$K$2:$K$1000&lt;=$B223)*('Shared Calendar'!$J$2:$J$1000&gt;$B223)*ISNUMBER(SEARCH($L223,'Shared Calendar'!$M$2:$M$1000))*ROW('Shared Calendar'!$A$2:$A$1000))))))</f>
        <v/>
      </c>
      <c r="I223" s="244">
        <f>IF(OR($A223="",$L223=""),"",IF(SUMPRODUCT(('Shared Calendar'!$K$2:$K$1000&gt;0)*('Shared Calendar'!$K$2:$K$1000&lt;=$B223)*('Shared Calendar'!$J$2:$J$1000&gt;$B223)*ISNUMBER(SEARCH($L223,'Shared Calendar'!$M$2:$M$1000))*('Shared Calendar'!$N$2:$N$1000="Leave"))&gt;0,"Leave",""))</f>
        <v/>
      </c>
      <c r="J223" s="244">
        <f>IF($A223="","",IFERROR(INDEX('Public Holidays'!$C$6:$C$38,MATCH($B223,'Public Holidays'!$A$6:$A$38,0))&amp;" ("&amp;INDEX('Public Holidays'!$L$6:$L$38,MATCH($B223,'Public Holidays'!$A$6:$A$38,0))&amp;")",""))</f>
        <v/>
      </c>
      <c r="K223" s="246">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44">
        <f>IF($A223="","",INDEX($B$7:$B$36,INT((ROW()-41)/14)+1)&amp;"")</f>
        <v/>
      </c>
    </row>
    <row r="224">
      <c r="A224" s="244">
        <f>IF(INDEX($A$7:$A$36,INT((ROW()-41)/14)+1)="","",INDEX($A$7:$A$36,INT((ROW()-41)/14)+1))</f>
        <v/>
      </c>
      <c r="B224" s="245">
        <f>IF($A224="","",$B$3+MOD(ROW()-41,14))</f>
        <v/>
      </c>
      <c r="C224" s="244">
        <f>IF($A224="","",TEXT($B224,"ddd"))</f>
        <v/>
      </c>
      <c r="D224" s="242">
        <f>IF($A224="","",SUMIFS('EH Timesheets'!$G$6:$G$1005,'EH Timesheets'!$A$6:$A$1005,$A224,'EH Timesheets'!$B$6:$B$1005,$B224))</f>
        <v/>
      </c>
      <c r="E224" s="242">
        <f>IF($A224="","",SUMIFS('EH Roster'!$G$6:$G$1005,'EH Roster'!$A$6:$A$1005,$A224,'EH Roster'!$B$6:$B$1005,$B224))</f>
        <v/>
      </c>
      <c r="F224" s="242">
        <f>IF($A224="","",$D224-$E224)</f>
        <v/>
      </c>
      <c r="G224" s="242">
        <f>IF($A224="","",IF($L224="",0,SUMPRODUCT(('Shared Calendar'!$K$2:$K$1000&gt;0)*('Shared Calendar'!$K$2:$K$1000&lt;=$B224)*('Shared Calendar'!$J$2:$J$1000&gt;$B224)*ISNUMBER(SEARCH($L224,'Shared Calendar'!$M$2:$M$1000))*('Shared Calendar'!$N$2:$N$1000="Event"),'Shared Calendar'!$L$2:$L$1000)))</f>
        <v/>
      </c>
      <c r="H224" s="246">
        <f>IF(OR($A224="",$L224=""),"",IF(SUMPRODUCT(MAX(('Shared Calendar'!$K$2:$K$1000&gt;0)*('Shared Calendar'!$K$2:$K$1000&lt;=$B224)*('Shared Calendar'!$J$2:$J$1000&gt;$B224)*ISNUMBER(SEARCH($L224,'Shared Calendar'!$M$2:$M$1000))*ROW('Shared Calendar'!$A$2:$A$1000)))=0,"",INDEX('Shared Calendar'!$A:$A,SUMPRODUCT(MAX(('Shared Calendar'!$K$2:$K$1000&gt;0)*('Shared Calendar'!$K$2:$K$1000&lt;=$B224)*('Shared Calendar'!$J$2:$J$1000&gt;$B224)*ISNUMBER(SEARCH($L224,'Shared Calendar'!$M$2:$M$1000))*ROW('Shared Calendar'!$A$2:$A$1000))))))</f>
        <v/>
      </c>
      <c r="I224" s="244">
        <f>IF(OR($A224="",$L224=""),"",IF(SUMPRODUCT(('Shared Calendar'!$K$2:$K$1000&gt;0)*('Shared Calendar'!$K$2:$K$1000&lt;=$B224)*('Shared Calendar'!$J$2:$J$1000&gt;$B224)*ISNUMBER(SEARCH($L224,'Shared Calendar'!$M$2:$M$1000))*('Shared Calendar'!$N$2:$N$1000="Leave"))&gt;0,"Leave",""))</f>
        <v/>
      </c>
      <c r="J224" s="244">
        <f>IF($A224="","",IFERROR(INDEX('Public Holidays'!$C$6:$C$38,MATCH($B224,'Public Holidays'!$A$6:$A$38,0))&amp;" ("&amp;INDEX('Public Holidays'!$L$6:$L$38,MATCH($B224,'Public Holidays'!$A$6:$A$38,0))&amp;")",""))</f>
        <v/>
      </c>
      <c r="K224" s="246">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44">
        <f>IF($A224="","",INDEX($B$7:$B$36,INT((ROW()-41)/14)+1)&amp;"")</f>
        <v/>
      </c>
    </row>
    <row r="225">
      <c r="A225" s="244">
        <f>IF(INDEX($A$7:$A$36,INT((ROW()-41)/14)+1)="","",INDEX($A$7:$A$36,INT((ROW()-41)/14)+1))</f>
        <v/>
      </c>
      <c r="B225" s="245">
        <f>IF($A225="","",$B$3+MOD(ROW()-41,14))</f>
        <v/>
      </c>
      <c r="C225" s="244">
        <f>IF($A225="","",TEXT($B225,"ddd"))</f>
        <v/>
      </c>
      <c r="D225" s="242">
        <f>IF($A225="","",SUMIFS('EH Timesheets'!$G$6:$G$1005,'EH Timesheets'!$A$6:$A$1005,$A225,'EH Timesheets'!$B$6:$B$1005,$B225))</f>
        <v/>
      </c>
      <c r="E225" s="242">
        <f>IF($A225="","",SUMIFS('EH Roster'!$G$6:$G$1005,'EH Roster'!$A$6:$A$1005,$A225,'EH Roster'!$B$6:$B$1005,$B225))</f>
        <v/>
      </c>
      <c r="F225" s="242">
        <f>IF($A225="","",$D225-$E225)</f>
        <v/>
      </c>
      <c r="G225" s="242">
        <f>IF($A225="","",IF($L225="",0,SUMPRODUCT(('Shared Calendar'!$K$2:$K$1000&gt;0)*('Shared Calendar'!$K$2:$K$1000&lt;=$B225)*('Shared Calendar'!$J$2:$J$1000&gt;$B225)*ISNUMBER(SEARCH($L225,'Shared Calendar'!$M$2:$M$1000))*('Shared Calendar'!$N$2:$N$1000="Event"),'Shared Calendar'!$L$2:$L$1000)))</f>
        <v/>
      </c>
      <c r="H225" s="246">
        <f>IF(OR($A225="",$L225=""),"",IF(SUMPRODUCT(MAX(('Shared Calendar'!$K$2:$K$1000&gt;0)*('Shared Calendar'!$K$2:$K$1000&lt;=$B225)*('Shared Calendar'!$J$2:$J$1000&gt;$B225)*ISNUMBER(SEARCH($L225,'Shared Calendar'!$M$2:$M$1000))*ROW('Shared Calendar'!$A$2:$A$1000)))=0,"",INDEX('Shared Calendar'!$A:$A,SUMPRODUCT(MAX(('Shared Calendar'!$K$2:$K$1000&gt;0)*('Shared Calendar'!$K$2:$K$1000&lt;=$B225)*('Shared Calendar'!$J$2:$J$1000&gt;$B225)*ISNUMBER(SEARCH($L225,'Shared Calendar'!$M$2:$M$1000))*ROW('Shared Calendar'!$A$2:$A$1000))))))</f>
        <v/>
      </c>
      <c r="I225" s="244">
        <f>IF(OR($A225="",$L225=""),"",IF(SUMPRODUCT(('Shared Calendar'!$K$2:$K$1000&gt;0)*('Shared Calendar'!$K$2:$K$1000&lt;=$B225)*('Shared Calendar'!$J$2:$J$1000&gt;$B225)*ISNUMBER(SEARCH($L225,'Shared Calendar'!$M$2:$M$1000))*('Shared Calendar'!$N$2:$N$1000="Leave"))&gt;0,"Leave",""))</f>
        <v/>
      </c>
      <c r="J225" s="244">
        <f>IF($A225="","",IFERROR(INDEX('Public Holidays'!$C$6:$C$38,MATCH($B225,'Public Holidays'!$A$6:$A$38,0))&amp;" ("&amp;INDEX('Public Holidays'!$L$6:$L$38,MATCH($B225,'Public Holidays'!$A$6:$A$38,0))&amp;")",""))</f>
        <v/>
      </c>
      <c r="K225" s="246">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44">
        <f>IF($A225="","",INDEX($B$7:$B$36,INT((ROW()-41)/14)+1)&amp;"")</f>
        <v/>
      </c>
    </row>
    <row r="226">
      <c r="A226" s="244">
        <f>IF(INDEX($A$7:$A$36,INT((ROW()-41)/14)+1)="","",INDEX($A$7:$A$36,INT((ROW()-41)/14)+1))</f>
        <v/>
      </c>
      <c r="B226" s="245">
        <f>IF($A226="","",$B$3+MOD(ROW()-41,14))</f>
        <v/>
      </c>
      <c r="C226" s="244">
        <f>IF($A226="","",TEXT($B226,"ddd"))</f>
        <v/>
      </c>
      <c r="D226" s="242">
        <f>IF($A226="","",SUMIFS('EH Timesheets'!$G$6:$G$1005,'EH Timesheets'!$A$6:$A$1005,$A226,'EH Timesheets'!$B$6:$B$1005,$B226))</f>
        <v/>
      </c>
      <c r="E226" s="242">
        <f>IF($A226="","",SUMIFS('EH Roster'!$G$6:$G$1005,'EH Roster'!$A$6:$A$1005,$A226,'EH Roster'!$B$6:$B$1005,$B226))</f>
        <v/>
      </c>
      <c r="F226" s="242">
        <f>IF($A226="","",$D226-$E226)</f>
        <v/>
      </c>
      <c r="G226" s="242">
        <f>IF($A226="","",IF($L226="",0,SUMPRODUCT(('Shared Calendar'!$K$2:$K$1000&gt;0)*('Shared Calendar'!$K$2:$K$1000&lt;=$B226)*('Shared Calendar'!$J$2:$J$1000&gt;$B226)*ISNUMBER(SEARCH($L226,'Shared Calendar'!$M$2:$M$1000))*('Shared Calendar'!$N$2:$N$1000="Event"),'Shared Calendar'!$L$2:$L$1000)))</f>
        <v/>
      </c>
      <c r="H226" s="246">
        <f>IF(OR($A226="",$L226=""),"",IF(SUMPRODUCT(MAX(('Shared Calendar'!$K$2:$K$1000&gt;0)*('Shared Calendar'!$K$2:$K$1000&lt;=$B226)*('Shared Calendar'!$J$2:$J$1000&gt;$B226)*ISNUMBER(SEARCH($L226,'Shared Calendar'!$M$2:$M$1000))*ROW('Shared Calendar'!$A$2:$A$1000)))=0,"",INDEX('Shared Calendar'!$A:$A,SUMPRODUCT(MAX(('Shared Calendar'!$K$2:$K$1000&gt;0)*('Shared Calendar'!$K$2:$K$1000&lt;=$B226)*('Shared Calendar'!$J$2:$J$1000&gt;$B226)*ISNUMBER(SEARCH($L226,'Shared Calendar'!$M$2:$M$1000))*ROW('Shared Calendar'!$A$2:$A$1000))))))</f>
        <v/>
      </c>
      <c r="I226" s="244">
        <f>IF(OR($A226="",$L226=""),"",IF(SUMPRODUCT(('Shared Calendar'!$K$2:$K$1000&gt;0)*('Shared Calendar'!$K$2:$K$1000&lt;=$B226)*('Shared Calendar'!$J$2:$J$1000&gt;$B226)*ISNUMBER(SEARCH($L226,'Shared Calendar'!$M$2:$M$1000))*('Shared Calendar'!$N$2:$N$1000="Leave"))&gt;0,"Leave",""))</f>
        <v/>
      </c>
      <c r="J226" s="244">
        <f>IF($A226="","",IFERROR(INDEX('Public Holidays'!$C$6:$C$38,MATCH($B226,'Public Holidays'!$A$6:$A$38,0))&amp;" ("&amp;INDEX('Public Holidays'!$L$6:$L$38,MATCH($B226,'Public Holidays'!$A$6:$A$38,0))&amp;")",""))</f>
        <v/>
      </c>
      <c r="K226" s="246">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44">
        <f>IF($A226="","",INDEX($B$7:$B$36,INT((ROW()-41)/14)+1)&amp;"")</f>
        <v/>
      </c>
    </row>
    <row r="227">
      <c r="A227" s="244">
        <f>IF(INDEX($A$7:$A$36,INT((ROW()-41)/14)+1)="","",INDEX($A$7:$A$36,INT((ROW()-41)/14)+1))</f>
        <v/>
      </c>
      <c r="B227" s="245">
        <f>IF($A227="","",$B$3+MOD(ROW()-41,14))</f>
        <v/>
      </c>
      <c r="C227" s="244">
        <f>IF($A227="","",TEXT($B227,"ddd"))</f>
        <v/>
      </c>
      <c r="D227" s="242">
        <f>IF($A227="","",SUMIFS('EH Timesheets'!$G$6:$G$1005,'EH Timesheets'!$A$6:$A$1005,$A227,'EH Timesheets'!$B$6:$B$1005,$B227))</f>
        <v/>
      </c>
      <c r="E227" s="242">
        <f>IF($A227="","",SUMIFS('EH Roster'!$G$6:$G$1005,'EH Roster'!$A$6:$A$1005,$A227,'EH Roster'!$B$6:$B$1005,$B227))</f>
        <v/>
      </c>
      <c r="F227" s="242">
        <f>IF($A227="","",$D227-$E227)</f>
        <v/>
      </c>
      <c r="G227" s="242">
        <f>IF($A227="","",IF($L227="",0,SUMPRODUCT(('Shared Calendar'!$K$2:$K$1000&gt;0)*('Shared Calendar'!$K$2:$K$1000&lt;=$B227)*('Shared Calendar'!$J$2:$J$1000&gt;$B227)*ISNUMBER(SEARCH($L227,'Shared Calendar'!$M$2:$M$1000))*('Shared Calendar'!$N$2:$N$1000="Event"),'Shared Calendar'!$L$2:$L$1000)))</f>
        <v/>
      </c>
      <c r="H227" s="246">
        <f>IF(OR($A227="",$L227=""),"",IF(SUMPRODUCT(MAX(('Shared Calendar'!$K$2:$K$1000&gt;0)*('Shared Calendar'!$K$2:$K$1000&lt;=$B227)*('Shared Calendar'!$J$2:$J$1000&gt;$B227)*ISNUMBER(SEARCH($L227,'Shared Calendar'!$M$2:$M$1000))*ROW('Shared Calendar'!$A$2:$A$1000)))=0,"",INDEX('Shared Calendar'!$A:$A,SUMPRODUCT(MAX(('Shared Calendar'!$K$2:$K$1000&gt;0)*('Shared Calendar'!$K$2:$K$1000&lt;=$B227)*('Shared Calendar'!$J$2:$J$1000&gt;$B227)*ISNUMBER(SEARCH($L227,'Shared Calendar'!$M$2:$M$1000))*ROW('Shared Calendar'!$A$2:$A$1000))))))</f>
        <v/>
      </c>
      <c r="I227" s="244">
        <f>IF(OR($A227="",$L227=""),"",IF(SUMPRODUCT(('Shared Calendar'!$K$2:$K$1000&gt;0)*('Shared Calendar'!$K$2:$K$1000&lt;=$B227)*('Shared Calendar'!$J$2:$J$1000&gt;$B227)*ISNUMBER(SEARCH($L227,'Shared Calendar'!$M$2:$M$1000))*('Shared Calendar'!$N$2:$N$1000="Leave"))&gt;0,"Leave",""))</f>
        <v/>
      </c>
      <c r="J227" s="244">
        <f>IF($A227="","",IFERROR(INDEX('Public Holidays'!$C$6:$C$38,MATCH($B227,'Public Holidays'!$A$6:$A$38,0))&amp;" ("&amp;INDEX('Public Holidays'!$L$6:$L$38,MATCH($B227,'Public Holidays'!$A$6:$A$38,0))&amp;")",""))</f>
        <v/>
      </c>
      <c r="K227" s="246">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44">
        <f>IF($A227="","",INDEX($B$7:$B$36,INT((ROW()-41)/14)+1)&amp;"")</f>
        <v/>
      </c>
    </row>
    <row r="228">
      <c r="A228" s="244">
        <f>IF(INDEX($A$7:$A$36,INT((ROW()-41)/14)+1)="","",INDEX($A$7:$A$36,INT((ROW()-41)/14)+1))</f>
        <v/>
      </c>
      <c r="B228" s="245">
        <f>IF($A228="","",$B$3+MOD(ROW()-41,14))</f>
        <v/>
      </c>
      <c r="C228" s="244">
        <f>IF($A228="","",TEXT($B228,"ddd"))</f>
        <v/>
      </c>
      <c r="D228" s="242">
        <f>IF($A228="","",SUMIFS('EH Timesheets'!$G$6:$G$1005,'EH Timesheets'!$A$6:$A$1005,$A228,'EH Timesheets'!$B$6:$B$1005,$B228))</f>
        <v/>
      </c>
      <c r="E228" s="242">
        <f>IF($A228="","",SUMIFS('EH Roster'!$G$6:$G$1005,'EH Roster'!$A$6:$A$1005,$A228,'EH Roster'!$B$6:$B$1005,$B228))</f>
        <v/>
      </c>
      <c r="F228" s="242">
        <f>IF($A228="","",$D228-$E228)</f>
        <v/>
      </c>
      <c r="G228" s="242">
        <f>IF($A228="","",IF($L228="",0,SUMPRODUCT(('Shared Calendar'!$K$2:$K$1000&gt;0)*('Shared Calendar'!$K$2:$K$1000&lt;=$B228)*('Shared Calendar'!$J$2:$J$1000&gt;$B228)*ISNUMBER(SEARCH($L228,'Shared Calendar'!$M$2:$M$1000))*('Shared Calendar'!$N$2:$N$1000="Event"),'Shared Calendar'!$L$2:$L$1000)))</f>
        <v/>
      </c>
      <c r="H228" s="246">
        <f>IF(OR($A228="",$L228=""),"",IF(SUMPRODUCT(MAX(('Shared Calendar'!$K$2:$K$1000&gt;0)*('Shared Calendar'!$K$2:$K$1000&lt;=$B228)*('Shared Calendar'!$J$2:$J$1000&gt;$B228)*ISNUMBER(SEARCH($L228,'Shared Calendar'!$M$2:$M$1000))*ROW('Shared Calendar'!$A$2:$A$1000)))=0,"",INDEX('Shared Calendar'!$A:$A,SUMPRODUCT(MAX(('Shared Calendar'!$K$2:$K$1000&gt;0)*('Shared Calendar'!$K$2:$K$1000&lt;=$B228)*('Shared Calendar'!$J$2:$J$1000&gt;$B228)*ISNUMBER(SEARCH($L228,'Shared Calendar'!$M$2:$M$1000))*ROW('Shared Calendar'!$A$2:$A$1000))))))</f>
        <v/>
      </c>
      <c r="I228" s="244">
        <f>IF(OR($A228="",$L228=""),"",IF(SUMPRODUCT(('Shared Calendar'!$K$2:$K$1000&gt;0)*('Shared Calendar'!$K$2:$K$1000&lt;=$B228)*('Shared Calendar'!$J$2:$J$1000&gt;$B228)*ISNUMBER(SEARCH($L228,'Shared Calendar'!$M$2:$M$1000))*('Shared Calendar'!$N$2:$N$1000="Leave"))&gt;0,"Leave",""))</f>
        <v/>
      </c>
      <c r="J228" s="244">
        <f>IF($A228="","",IFERROR(INDEX('Public Holidays'!$C$6:$C$38,MATCH($B228,'Public Holidays'!$A$6:$A$38,0))&amp;" ("&amp;INDEX('Public Holidays'!$L$6:$L$38,MATCH($B228,'Public Holidays'!$A$6:$A$38,0))&amp;")",""))</f>
        <v/>
      </c>
      <c r="K228" s="246">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44">
        <f>IF($A228="","",INDEX($B$7:$B$36,INT((ROW()-41)/14)+1)&amp;"")</f>
        <v/>
      </c>
    </row>
    <row r="229">
      <c r="A229" s="244">
        <f>IF(INDEX($A$7:$A$36,INT((ROW()-41)/14)+1)="","",INDEX($A$7:$A$36,INT((ROW()-41)/14)+1))</f>
        <v/>
      </c>
      <c r="B229" s="245">
        <f>IF($A229="","",$B$3+MOD(ROW()-41,14))</f>
        <v/>
      </c>
      <c r="C229" s="244">
        <f>IF($A229="","",TEXT($B229,"ddd"))</f>
        <v/>
      </c>
      <c r="D229" s="242">
        <f>IF($A229="","",SUMIFS('EH Timesheets'!$G$6:$G$1005,'EH Timesheets'!$A$6:$A$1005,$A229,'EH Timesheets'!$B$6:$B$1005,$B229))</f>
        <v/>
      </c>
      <c r="E229" s="242">
        <f>IF($A229="","",SUMIFS('EH Roster'!$G$6:$G$1005,'EH Roster'!$A$6:$A$1005,$A229,'EH Roster'!$B$6:$B$1005,$B229))</f>
        <v/>
      </c>
      <c r="F229" s="242">
        <f>IF($A229="","",$D229-$E229)</f>
        <v/>
      </c>
      <c r="G229" s="242">
        <f>IF($A229="","",IF($L229="",0,SUMPRODUCT(('Shared Calendar'!$K$2:$K$1000&gt;0)*('Shared Calendar'!$K$2:$K$1000&lt;=$B229)*('Shared Calendar'!$J$2:$J$1000&gt;$B229)*ISNUMBER(SEARCH($L229,'Shared Calendar'!$M$2:$M$1000))*('Shared Calendar'!$N$2:$N$1000="Event"),'Shared Calendar'!$L$2:$L$1000)))</f>
        <v/>
      </c>
      <c r="H229" s="246">
        <f>IF(OR($A229="",$L229=""),"",IF(SUMPRODUCT(MAX(('Shared Calendar'!$K$2:$K$1000&gt;0)*('Shared Calendar'!$K$2:$K$1000&lt;=$B229)*('Shared Calendar'!$J$2:$J$1000&gt;$B229)*ISNUMBER(SEARCH($L229,'Shared Calendar'!$M$2:$M$1000))*ROW('Shared Calendar'!$A$2:$A$1000)))=0,"",INDEX('Shared Calendar'!$A:$A,SUMPRODUCT(MAX(('Shared Calendar'!$K$2:$K$1000&gt;0)*('Shared Calendar'!$K$2:$K$1000&lt;=$B229)*('Shared Calendar'!$J$2:$J$1000&gt;$B229)*ISNUMBER(SEARCH($L229,'Shared Calendar'!$M$2:$M$1000))*ROW('Shared Calendar'!$A$2:$A$1000))))))</f>
        <v/>
      </c>
      <c r="I229" s="244">
        <f>IF(OR($A229="",$L229=""),"",IF(SUMPRODUCT(('Shared Calendar'!$K$2:$K$1000&gt;0)*('Shared Calendar'!$K$2:$K$1000&lt;=$B229)*('Shared Calendar'!$J$2:$J$1000&gt;$B229)*ISNUMBER(SEARCH($L229,'Shared Calendar'!$M$2:$M$1000))*('Shared Calendar'!$N$2:$N$1000="Leave"))&gt;0,"Leave",""))</f>
        <v/>
      </c>
      <c r="J229" s="244">
        <f>IF($A229="","",IFERROR(INDEX('Public Holidays'!$C$6:$C$38,MATCH($B229,'Public Holidays'!$A$6:$A$38,0))&amp;" ("&amp;INDEX('Public Holidays'!$L$6:$L$38,MATCH($B229,'Public Holidays'!$A$6:$A$38,0))&amp;")",""))</f>
        <v/>
      </c>
      <c r="K229" s="246">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44">
        <f>IF($A229="","",INDEX($B$7:$B$36,INT((ROW()-41)/14)+1)&amp;"")</f>
        <v/>
      </c>
    </row>
    <row r="230">
      <c r="A230" s="244">
        <f>IF(INDEX($A$7:$A$36,INT((ROW()-41)/14)+1)="","",INDEX($A$7:$A$36,INT((ROW()-41)/14)+1))</f>
        <v/>
      </c>
      <c r="B230" s="245">
        <f>IF($A230="","",$B$3+MOD(ROW()-41,14))</f>
        <v/>
      </c>
      <c r="C230" s="244">
        <f>IF($A230="","",TEXT($B230,"ddd"))</f>
        <v/>
      </c>
      <c r="D230" s="242">
        <f>IF($A230="","",SUMIFS('EH Timesheets'!$G$6:$G$1005,'EH Timesheets'!$A$6:$A$1005,$A230,'EH Timesheets'!$B$6:$B$1005,$B230))</f>
        <v/>
      </c>
      <c r="E230" s="242">
        <f>IF($A230="","",SUMIFS('EH Roster'!$G$6:$G$1005,'EH Roster'!$A$6:$A$1005,$A230,'EH Roster'!$B$6:$B$1005,$B230))</f>
        <v/>
      </c>
      <c r="F230" s="242">
        <f>IF($A230="","",$D230-$E230)</f>
        <v/>
      </c>
      <c r="G230" s="242">
        <f>IF($A230="","",IF($L230="",0,SUMPRODUCT(('Shared Calendar'!$K$2:$K$1000&gt;0)*('Shared Calendar'!$K$2:$K$1000&lt;=$B230)*('Shared Calendar'!$J$2:$J$1000&gt;$B230)*ISNUMBER(SEARCH($L230,'Shared Calendar'!$M$2:$M$1000))*('Shared Calendar'!$N$2:$N$1000="Event"),'Shared Calendar'!$L$2:$L$1000)))</f>
        <v/>
      </c>
      <c r="H230" s="246">
        <f>IF(OR($A230="",$L230=""),"",IF(SUMPRODUCT(MAX(('Shared Calendar'!$K$2:$K$1000&gt;0)*('Shared Calendar'!$K$2:$K$1000&lt;=$B230)*('Shared Calendar'!$J$2:$J$1000&gt;$B230)*ISNUMBER(SEARCH($L230,'Shared Calendar'!$M$2:$M$1000))*ROW('Shared Calendar'!$A$2:$A$1000)))=0,"",INDEX('Shared Calendar'!$A:$A,SUMPRODUCT(MAX(('Shared Calendar'!$K$2:$K$1000&gt;0)*('Shared Calendar'!$K$2:$K$1000&lt;=$B230)*('Shared Calendar'!$J$2:$J$1000&gt;$B230)*ISNUMBER(SEARCH($L230,'Shared Calendar'!$M$2:$M$1000))*ROW('Shared Calendar'!$A$2:$A$1000))))))</f>
        <v/>
      </c>
      <c r="I230" s="244">
        <f>IF(OR($A230="",$L230=""),"",IF(SUMPRODUCT(('Shared Calendar'!$K$2:$K$1000&gt;0)*('Shared Calendar'!$K$2:$K$1000&lt;=$B230)*('Shared Calendar'!$J$2:$J$1000&gt;$B230)*ISNUMBER(SEARCH($L230,'Shared Calendar'!$M$2:$M$1000))*('Shared Calendar'!$N$2:$N$1000="Leave"))&gt;0,"Leave",""))</f>
        <v/>
      </c>
      <c r="J230" s="244">
        <f>IF($A230="","",IFERROR(INDEX('Public Holidays'!$C$6:$C$38,MATCH($B230,'Public Holidays'!$A$6:$A$38,0))&amp;" ("&amp;INDEX('Public Holidays'!$L$6:$L$38,MATCH($B230,'Public Holidays'!$A$6:$A$38,0))&amp;")",""))</f>
        <v/>
      </c>
      <c r="K230" s="246">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44">
        <f>IF($A230="","",INDEX($B$7:$B$36,INT((ROW()-41)/14)+1)&amp;"")</f>
        <v/>
      </c>
    </row>
    <row r="231">
      <c r="A231" s="244">
        <f>IF(INDEX($A$7:$A$36,INT((ROW()-41)/14)+1)="","",INDEX($A$7:$A$36,INT((ROW()-41)/14)+1))</f>
        <v/>
      </c>
      <c r="B231" s="245">
        <f>IF($A231="","",$B$3+MOD(ROW()-41,14))</f>
        <v/>
      </c>
      <c r="C231" s="244">
        <f>IF($A231="","",TEXT($B231,"ddd"))</f>
        <v/>
      </c>
      <c r="D231" s="242">
        <f>IF($A231="","",SUMIFS('EH Timesheets'!$G$6:$G$1005,'EH Timesheets'!$A$6:$A$1005,$A231,'EH Timesheets'!$B$6:$B$1005,$B231))</f>
        <v/>
      </c>
      <c r="E231" s="242">
        <f>IF($A231="","",SUMIFS('EH Roster'!$G$6:$G$1005,'EH Roster'!$A$6:$A$1005,$A231,'EH Roster'!$B$6:$B$1005,$B231))</f>
        <v/>
      </c>
      <c r="F231" s="242">
        <f>IF($A231="","",$D231-$E231)</f>
        <v/>
      </c>
      <c r="G231" s="242">
        <f>IF($A231="","",IF($L231="",0,SUMPRODUCT(('Shared Calendar'!$K$2:$K$1000&gt;0)*('Shared Calendar'!$K$2:$K$1000&lt;=$B231)*('Shared Calendar'!$J$2:$J$1000&gt;$B231)*ISNUMBER(SEARCH($L231,'Shared Calendar'!$M$2:$M$1000))*('Shared Calendar'!$N$2:$N$1000="Event"),'Shared Calendar'!$L$2:$L$1000)))</f>
        <v/>
      </c>
      <c r="H231" s="246">
        <f>IF(OR($A231="",$L231=""),"",IF(SUMPRODUCT(MAX(('Shared Calendar'!$K$2:$K$1000&gt;0)*('Shared Calendar'!$K$2:$K$1000&lt;=$B231)*('Shared Calendar'!$J$2:$J$1000&gt;$B231)*ISNUMBER(SEARCH($L231,'Shared Calendar'!$M$2:$M$1000))*ROW('Shared Calendar'!$A$2:$A$1000)))=0,"",INDEX('Shared Calendar'!$A:$A,SUMPRODUCT(MAX(('Shared Calendar'!$K$2:$K$1000&gt;0)*('Shared Calendar'!$K$2:$K$1000&lt;=$B231)*('Shared Calendar'!$J$2:$J$1000&gt;$B231)*ISNUMBER(SEARCH($L231,'Shared Calendar'!$M$2:$M$1000))*ROW('Shared Calendar'!$A$2:$A$1000))))))</f>
        <v/>
      </c>
      <c r="I231" s="244">
        <f>IF(OR($A231="",$L231=""),"",IF(SUMPRODUCT(('Shared Calendar'!$K$2:$K$1000&gt;0)*('Shared Calendar'!$K$2:$K$1000&lt;=$B231)*('Shared Calendar'!$J$2:$J$1000&gt;$B231)*ISNUMBER(SEARCH($L231,'Shared Calendar'!$M$2:$M$1000))*('Shared Calendar'!$N$2:$N$1000="Leave"))&gt;0,"Leave",""))</f>
        <v/>
      </c>
      <c r="J231" s="244">
        <f>IF($A231="","",IFERROR(INDEX('Public Holidays'!$C$6:$C$38,MATCH($B231,'Public Holidays'!$A$6:$A$38,0))&amp;" ("&amp;INDEX('Public Holidays'!$L$6:$L$38,MATCH($B231,'Public Holidays'!$A$6:$A$38,0))&amp;")",""))</f>
        <v/>
      </c>
      <c r="K231" s="246">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44">
        <f>IF($A231="","",INDEX($B$7:$B$36,INT((ROW()-41)/14)+1)&amp;"")</f>
        <v/>
      </c>
    </row>
    <row r="232">
      <c r="A232" s="244">
        <f>IF(INDEX($A$7:$A$36,INT((ROW()-41)/14)+1)="","",INDEX($A$7:$A$36,INT((ROW()-41)/14)+1))</f>
        <v/>
      </c>
      <c r="B232" s="245">
        <f>IF($A232="","",$B$3+MOD(ROW()-41,14))</f>
        <v/>
      </c>
      <c r="C232" s="244">
        <f>IF($A232="","",TEXT($B232,"ddd"))</f>
        <v/>
      </c>
      <c r="D232" s="242">
        <f>IF($A232="","",SUMIFS('EH Timesheets'!$G$6:$G$1005,'EH Timesheets'!$A$6:$A$1005,$A232,'EH Timesheets'!$B$6:$B$1005,$B232))</f>
        <v/>
      </c>
      <c r="E232" s="242">
        <f>IF($A232="","",SUMIFS('EH Roster'!$G$6:$G$1005,'EH Roster'!$A$6:$A$1005,$A232,'EH Roster'!$B$6:$B$1005,$B232))</f>
        <v/>
      </c>
      <c r="F232" s="242">
        <f>IF($A232="","",$D232-$E232)</f>
        <v/>
      </c>
      <c r="G232" s="242">
        <f>IF($A232="","",IF($L232="",0,SUMPRODUCT(('Shared Calendar'!$K$2:$K$1000&gt;0)*('Shared Calendar'!$K$2:$K$1000&lt;=$B232)*('Shared Calendar'!$J$2:$J$1000&gt;$B232)*ISNUMBER(SEARCH($L232,'Shared Calendar'!$M$2:$M$1000))*('Shared Calendar'!$N$2:$N$1000="Event"),'Shared Calendar'!$L$2:$L$1000)))</f>
        <v/>
      </c>
      <c r="H232" s="246">
        <f>IF(OR($A232="",$L232=""),"",IF(SUMPRODUCT(MAX(('Shared Calendar'!$K$2:$K$1000&gt;0)*('Shared Calendar'!$K$2:$K$1000&lt;=$B232)*('Shared Calendar'!$J$2:$J$1000&gt;$B232)*ISNUMBER(SEARCH($L232,'Shared Calendar'!$M$2:$M$1000))*ROW('Shared Calendar'!$A$2:$A$1000)))=0,"",INDEX('Shared Calendar'!$A:$A,SUMPRODUCT(MAX(('Shared Calendar'!$K$2:$K$1000&gt;0)*('Shared Calendar'!$K$2:$K$1000&lt;=$B232)*('Shared Calendar'!$J$2:$J$1000&gt;$B232)*ISNUMBER(SEARCH($L232,'Shared Calendar'!$M$2:$M$1000))*ROW('Shared Calendar'!$A$2:$A$1000))))))</f>
        <v/>
      </c>
      <c r="I232" s="244">
        <f>IF(OR($A232="",$L232=""),"",IF(SUMPRODUCT(('Shared Calendar'!$K$2:$K$1000&gt;0)*('Shared Calendar'!$K$2:$K$1000&lt;=$B232)*('Shared Calendar'!$J$2:$J$1000&gt;$B232)*ISNUMBER(SEARCH($L232,'Shared Calendar'!$M$2:$M$1000))*('Shared Calendar'!$N$2:$N$1000="Leave"))&gt;0,"Leave",""))</f>
        <v/>
      </c>
      <c r="J232" s="244">
        <f>IF($A232="","",IFERROR(INDEX('Public Holidays'!$C$6:$C$38,MATCH($B232,'Public Holidays'!$A$6:$A$38,0))&amp;" ("&amp;INDEX('Public Holidays'!$L$6:$L$38,MATCH($B232,'Public Holidays'!$A$6:$A$38,0))&amp;")",""))</f>
        <v/>
      </c>
      <c r="K232" s="246">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44">
        <f>IF($A232="","",INDEX($B$7:$B$36,INT((ROW()-41)/14)+1)&amp;"")</f>
        <v/>
      </c>
    </row>
    <row r="233">
      <c r="A233" s="244">
        <f>IF(INDEX($A$7:$A$36,INT((ROW()-41)/14)+1)="","",INDEX($A$7:$A$36,INT((ROW()-41)/14)+1))</f>
        <v/>
      </c>
      <c r="B233" s="245">
        <f>IF($A233="","",$B$3+MOD(ROW()-41,14))</f>
        <v/>
      </c>
      <c r="C233" s="244">
        <f>IF($A233="","",TEXT($B233,"ddd"))</f>
        <v/>
      </c>
      <c r="D233" s="242">
        <f>IF($A233="","",SUMIFS('EH Timesheets'!$G$6:$G$1005,'EH Timesheets'!$A$6:$A$1005,$A233,'EH Timesheets'!$B$6:$B$1005,$B233))</f>
        <v/>
      </c>
      <c r="E233" s="242">
        <f>IF($A233="","",SUMIFS('EH Roster'!$G$6:$G$1005,'EH Roster'!$A$6:$A$1005,$A233,'EH Roster'!$B$6:$B$1005,$B233))</f>
        <v/>
      </c>
      <c r="F233" s="242">
        <f>IF($A233="","",$D233-$E233)</f>
        <v/>
      </c>
      <c r="G233" s="242">
        <f>IF($A233="","",IF($L233="",0,SUMPRODUCT(('Shared Calendar'!$K$2:$K$1000&gt;0)*('Shared Calendar'!$K$2:$K$1000&lt;=$B233)*('Shared Calendar'!$J$2:$J$1000&gt;$B233)*ISNUMBER(SEARCH($L233,'Shared Calendar'!$M$2:$M$1000))*('Shared Calendar'!$N$2:$N$1000="Event"),'Shared Calendar'!$L$2:$L$1000)))</f>
        <v/>
      </c>
      <c r="H233" s="246">
        <f>IF(OR($A233="",$L233=""),"",IF(SUMPRODUCT(MAX(('Shared Calendar'!$K$2:$K$1000&gt;0)*('Shared Calendar'!$K$2:$K$1000&lt;=$B233)*('Shared Calendar'!$J$2:$J$1000&gt;$B233)*ISNUMBER(SEARCH($L233,'Shared Calendar'!$M$2:$M$1000))*ROW('Shared Calendar'!$A$2:$A$1000)))=0,"",INDEX('Shared Calendar'!$A:$A,SUMPRODUCT(MAX(('Shared Calendar'!$K$2:$K$1000&gt;0)*('Shared Calendar'!$K$2:$K$1000&lt;=$B233)*('Shared Calendar'!$J$2:$J$1000&gt;$B233)*ISNUMBER(SEARCH($L233,'Shared Calendar'!$M$2:$M$1000))*ROW('Shared Calendar'!$A$2:$A$1000))))))</f>
        <v/>
      </c>
      <c r="I233" s="244">
        <f>IF(OR($A233="",$L233=""),"",IF(SUMPRODUCT(('Shared Calendar'!$K$2:$K$1000&gt;0)*('Shared Calendar'!$K$2:$K$1000&lt;=$B233)*('Shared Calendar'!$J$2:$J$1000&gt;$B233)*ISNUMBER(SEARCH($L233,'Shared Calendar'!$M$2:$M$1000))*('Shared Calendar'!$N$2:$N$1000="Leave"))&gt;0,"Leave",""))</f>
        <v/>
      </c>
      <c r="J233" s="244">
        <f>IF($A233="","",IFERROR(INDEX('Public Holidays'!$C$6:$C$38,MATCH($B233,'Public Holidays'!$A$6:$A$38,0))&amp;" ("&amp;INDEX('Public Holidays'!$L$6:$L$38,MATCH($B233,'Public Holidays'!$A$6:$A$38,0))&amp;")",""))</f>
        <v/>
      </c>
      <c r="K233" s="246">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44">
        <f>IF($A233="","",INDEX($B$7:$B$36,INT((ROW()-41)/14)+1)&amp;"")</f>
        <v/>
      </c>
    </row>
    <row r="234">
      <c r="A234" s="244">
        <f>IF(INDEX($A$7:$A$36,INT((ROW()-41)/14)+1)="","",INDEX($A$7:$A$36,INT((ROW()-41)/14)+1))</f>
        <v/>
      </c>
      <c r="B234" s="245">
        <f>IF($A234="","",$B$3+MOD(ROW()-41,14))</f>
        <v/>
      </c>
      <c r="C234" s="244">
        <f>IF($A234="","",TEXT($B234,"ddd"))</f>
        <v/>
      </c>
      <c r="D234" s="242">
        <f>IF($A234="","",SUMIFS('EH Timesheets'!$G$6:$G$1005,'EH Timesheets'!$A$6:$A$1005,$A234,'EH Timesheets'!$B$6:$B$1005,$B234))</f>
        <v/>
      </c>
      <c r="E234" s="242">
        <f>IF($A234="","",SUMIFS('EH Roster'!$G$6:$G$1005,'EH Roster'!$A$6:$A$1005,$A234,'EH Roster'!$B$6:$B$1005,$B234))</f>
        <v/>
      </c>
      <c r="F234" s="242">
        <f>IF($A234="","",$D234-$E234)</f>
        <v/>
      </c>
      <c r="G234" s="242">
        <f>IF($A234="","",IF($L234="",0,SUMPRODUCT(('Shared Calendar'!$K$2:$K$1000&gt;0)*('Shared Calendar'!$K$2:$K$1000&lt;=$B234)*('Shared Calendar'!$J$2:$J$1000&gt;$B234)*ISNUMBER(SEARCH($L234,'Shared Calendar'!$M$2:$M$1000))*('Shared Calendar'!$N$2:$N$1000="Event"),'Shared Calendar'!$L$2:$L$1000)))</f>
        <v/>
      </c>
      <c r="H234" s="246">
        <f>IF(OR($A234="",$L234=""),"",IF(SUMPRODUCT(MAX(('Shared Calendar'!$K$2:$K$1000&gt;0)*('Shared Calendar'!$K$2:$K$1000&lt;=$B234)*('Shared Calendar'!$J$2:$J$1000&gt;$B234)*ISNUMBER(SEARCH($L234,'Shared Calendar'!$M$2:$M$1000))*ROW('Shared Calendar'!$A$2:$A$1000)))=0,"",INDEX('Shared Calendar'!$A:$A,SUMPRODUCT(MAX(('Shared Calendar'!$K$2:$K$1000&gt;0)*('Shared Calendar'!$K$2:$K$1000&lt;=$B234)*('Shared Calendar'!$J$2:$J$1000&gt;$B234)*ISNUMBER(SEARCH($L234,'Shared Calendar'!$M$2:$M$1000))*ROW('Shared Calendar'!$A$2:$A$1000))))))</f>
        <v/>
      </c>
      <c r="I234" s="244">
        <f>IF(OR($A234="",$L234=""),"",IF(SUMPRODUCT(('Shared Calendar'!$K$2:$K$1000&gt;0)*('Shared Calendar'!$K$2:$K$1000&lt;=$B234)*('Shared Calendar'!$J$2:$J$1000&gt;$B234)*ISNUMBER(SEARCH($L234,'Shared Calendar'!$M$2:$M$1000))*('Shared Calendar'!$N$2:$N$1000="Leave"))&gt;0,"Leave",""))</f>
        <v/>
      </c>
      <c r="J234" s="244">
        <f>IF($A234="","",IFERROR(INDEX('Public Holidays'!$C$6:$C$38,MATCH($B234,'Public Holidays'!$A$6:$A$38,0))&amp;" ("&amp;INDEX('Public Holidays'!$L$6:$L$38,MATCH($B234,'Public Holidays'!$A$6:$A$38,0))&amp;")",""))</f>
        <v/>
      </c>
      <c r="K234" s="246">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44">
        <f>IF($A234="","",INDEX($B$7:$B$36,INT((ROW()-41)/14)+1)&amp;"")</f>
        <v/>
      </c>
    </row>
    <row r="235">
      <c r="A235" s="244">
        <f>IF(INDEX($A$7:$A$36,INT((ROW()-41)/14)+1)="","",INDEX($A$7:$A$36,INT((ROW()-41)/14)+1))</f>
        <v/>
      </c>
      <c r="B235" s="245">
        <f>IF($A235="","",$B$3+MOD(ROW()-41,14))</f>
        <v/>
      </c>
      <c r="C235" s="244">
        <f>IF($A235="","",TEXT($B235,"ddd"))</f>
        <v/>
      </c>
      <c r="D235" s="242">
        <f>IF($A235="","",SUMIFS('EH Timesheets'!$G$6:$G$1005,'EH Timesheets'!$A$6:$A$1005,$A235,'EH Timesheets'!$B$6:$B$1005,$B235))</f>
        <v/>
      </c>
      <c r="E235" s="242">
        <f>IF($A235="","",SUMIFS('EH Roster'!$G$6:$G$1005,'EH Roster'!$A$6:$A$1005,$A235,'EH Roster'!$B$6:$B$1005,$B235))</f>
        <v/>
      </c>
      <c r="F235" s="242">
        <f>IF($A235="","",$D235-$E235)</f>
        <v/>
      </c>
      <c r="G235" s="242">
        <f>IF($A235="","",IF($L235="",0,SUMPRODUCT(('Shared Calendar'!$K$2:$K$1000&gt;0)*('Shared Calendar'!$K$2:$K$1000&lt;=$B235)*('Shared Calendar'!$J$2:$J$1000&gt;$B235)*ISNUMBER(SEARCH($L235,'Shared Calendar'!$M$2:$M$1000))*('Shared Calendar'!$N$2:$N$1000="Event"),'Shared Calendar'!$L$2:$L$1000)))</f>
        <v/>
      </c>
      <c r="H235" s="246">
        <f>IF(OR($A235="",$L235=""),"",IF(SUMPRODUCT(MAX(('Shared Calendar'!$K$2:$K$1000&gt;0)*('Shared Calendar'!$K$2:$K$1000&lt;=$B235)*('Shared Calendar'!$J$2:$J$1000&gt;$B235)*ISNUMBER(SEARCH($L235,'Shared Calendar'!$M$2:$M$1000))*ROW('Shared Calendar'!$A$2:$A$1000)))=0,"",INDEX('Shared Calendar'!$A:$A,SUMPRODUCT(MAX(('Shared Calendar'!$K$2:$K$1000&gt;0)*('Shared Calendar'!$K$2:$K$1000&lt;=$B235)*('Shared Calendar'!$J$2:$J$1000&gt;$B235)*ISNUMBER(SEARCH($L235,'Shared Calendar'!$M$2:$M$1000))*ROW('Shared Calendar'!$A$2:$A$1000))))))</f>
        <v/>
      </c>
      <c r="I235" s="244">
        <f>IF(OR($A235="",$L235=""),"",IF(SUMPRODUCT(('Shared Calendar'!$K$2:$K$1000&gt;0)*('Shared Calendar'!$K$2:$K$1000&lt;=$B235)*('Shared Calendar'!$J$2:$J$1000&gt;$B235)*ISNUMBER(SEARCH($L235,'Shared Calendar'!$M$2:$M$1000))*('Shared Calendar'!$N$2:$N$1000="Leave"))&gt;0,"Leave",""))</f>
        <v/>
      </c>
      <c r="J235" s="244">
        <f>IF($A235="","",IFERROR(INDEX('Public Holidays'!$C$6:$C$38,MATCH($B235,'Public Holidays'!$A$6:$A$38,0))&amp;" ("&amp;INDEX('Public Holidays'!$L$6:$L$38,MATCH($B235,'Public Holidays'!$A$6:$A$38,0))&amp;")",""))</f>
        <v/>
      </c>
      <c r="K235" s="246">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44">
        <f>IF($A235="","",INDEX($B$7:$B$36,INT((ROW()-41)/14)+1)&amp;"")</f>
        <v/>
      </c>
    </row>
    <row r="236">
      <c r="A236" s="244">
        <f>IF(INDEX($A$7:$A$36,INT((ROW()-41)/14)+1)="","",INDEX($A$7:$A$36,INT((ROW()-41)/14)+1))</f>
        <v/>
      </c>
      <c r="B236" s="245">
        <f>IF($A236="","",$B$3+MOD(ROW()-41,14))</f>
        <v/>
      </c>
      <c r="C236" s="244">
        <f>IF($A236="","",TEXT($B236,"ddd"))</f>
        <v/>
      </c>
      <c r="D236" s="242">
        <f>IF($A236="","",SUMIFS('EH Timesheets'!$G$6:$G$1005,'EH Timesheets'!$A$6:$A$1005,$A236,'EH Timesheets'!$B$6:$B$1005,$B236))</f>
        <v/>
      </c>
      <c r="E236" s="242">
        <f>IF($A236="","",SUMIFS('EH Roster'!$G$6:$G$1005,'EH Roster'!$A$6:$A$1005,$A236,'EH Roster'!$B$6:$B$1005,$B236))</f>
        <v/>
      </c>
      <c r="F236" s="242">
        <f>IF($A236="","",$D236-$E236)</f>
        <v/>
      </c>
      <c r="G236" s="242">
        <f>IF($A236="","",IF($L236="",0,SUMPRODUCT(('Shared Calendar'!$K$2:$K$1000&gt;0)*('Shared Calendar'!$K$2:$K$1000&lt;=$B236)*('Shared Calendar'!$J$2:$J$1000&gt;$B236)*ISNUMBER(SEARCH($L236,'Shared Calendar'!$M$2:$M$1000))*('Shared Calendar'!$N$2:$N$1000="Event"),'Shared Calendar'!$L$2:$L$1000)))</f>
        <v/>
      </c>
      <c r="H236" s="246">
        <f>IF(OR($A236="",$L236=""),"",IF(SUMPRODUCT(MAX(('Shared Calendar'!$K$2:$K$1000&gt;0)*('Shared Calendar'!$K$2:$K$1000&lt;=$B236)*('Shared Calendar'!$J$2:$J$1000&gt;$B236)*ISNUMBER(SEARCH($L236,'Shared Calendar'!$M$2:$M$1000))*ROW('Shared Calendar'!$A$2:$A$1000)))=0,"",INDEX('Shared Calendar'!$A:$A,SUMPRODUCT(MAX(('Shared Calendar'!$K$2:$K$1000&gt;0)*('Shared Calendar'!$K$2:$K$1000&lt;=$B236)*('Shared Calendar'!$J$2:$J$1000&gt;$B236)*ISNUMBER(SEARCH($L236,'Shared Calendar'!$M$2:$M$1000))*ROW('Shared Calendar'!$A$2:$A$1000))))))</f>
        <v/>
      </c>
      <c r="I236" s="244">
        <f>IF(OR($A236="",$L236=""),"",IF(SUMPRODUCT(('Shared Calendar'!$K$2:$K$1000&gt;0)*('Shared Calendar'!$K$2:$K$1000&lt;=$B236)*('Shared Calendar'!$J$2:$J$1000&gt;$B236)*ISNUMBER(SEARCH($L236,'Shared Calendar'!$M$2:$M$1000))*('Shared Calendar'!$N$2:$N$1000="Leave"))&gt;0,"Leave",""))</f>
        <v/>
      </c>
      <c r="J236" s="244">
        <f>IF($A236="","",IFERROR(INDEX('Public Holidays'!$C$6:$C$38,MATCH($B236,'Public Holidays'!$A$6:$A$38,0))&amp;" ("&amp;INDEX('Public Holidays'!$L$6:$L$38,MATCH($B236,'Public Holidays'!$A$6:$A$38,0))&amp;")",""))</f>
        <v/>
      </c>
      <c r="K236" s="246">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44">
        <f>IF($A236="","",INDEX($B$7:$B$36,INT((ROW()-41)/14)+1)&amp;"")</f>
        <v/>
      </c>
    </row>
    <row r="237">
      <c r="A237" s="244">
        <f>IF(INDEX($A$7:$A$36,INT((ROW()-41)/14)+1)="","",INDEX($A$7:$A$36,INT((ROW()-41)/14)+1))</f>
        <v/>
      </c>
      <c r="B237" s="245">
        <f>IF($A237="","",$B$3+MOD(ROW()-41,14))</f>
        <v/>
      </c>
      <c r="C237" s="244">
        <f>IF($A237="","",TEXT($B237,"ddd"))</f>
        <v/>
      </c>
      <c r="D237" s="242">
        <f>IF($A237="","",SUMIFS('EH Timesheets'!$G$6:$G$1005,'EH Timesheets'!$A$6:$A$1005,$A237,'EH Timesheets'!$B$6:$B$1005,$B237))</f>
        <v/>
      </c>
      <c r="E237" s="242">
        <f>IF($A237="","",SUMIFS('EH Roster'!$G$6:$G$1005,'EH Roster'!$A$6:$A$1005,$A237,'EH Roster'!$B$6:$B$1005,$B237))</f>
        <v/>
      </c>
      <c r="F237" s="242">
        <f>IF($A237="","",$D237-$E237)</f>
        <v/>
      </c>
      <c r="G237" s="242">
        <f>IF($A237="","",IF($L237="",0,SUMPRODUCT(('Shared Calendar'!$K$2:$K$1000&gt;0)*('Shared Calendar'!$K$2:$K$1000&lt;=$B237)*('Shared Calendar'!$J$2:$J$1000&gt;$B237)*ISNUMBER(SEARCH($L237,'Shared Calendar'!$M$2:$M$1000))*('Shared Calendar'!$N$2:$N$1000="Event"),'Shared Calendar'!$L$2:$L$1000)))</f>
        <v/>
      </c>
      <c r="H237" s="246">
        <f>IF(OR($A237="",$L237=""),"",IF(SUMPRODUCT(MAX(('Shared Calendar'!$K$2:$K$1000&gt;0)*('Shared Calendar'!$K$2:$K$1000&lt;=$B237)*('Shared Calendar'!$J$2:$J$1000&gt;$B237)*ISNUMBER(SEARCH($L237,'Shared Calendar'!$M$2:$M$1000))*ROW('Shared Calendar'!$A$2:$A$1000)))=0,"",INDEX('Shared Calendar'!$A:$A,SUMPRODUCT(MAX(('Shared Calendar'!$K$2:$K$1000&gt;0)*('Shared Calendar'!$K$2:$K$1000&lt;=$B237)*('Shared Calendar'!$J$2:$J$1000&gt;$B237)*ISNUMBER(SEARCH($L237,'Shared Calendar'!$M$2:$M$1000))*ROW('Shared Calendar'!$A$2:$A$1000))))))</f>
        <v/>
      </c>
      <c r="I237" s="244">
        <f>IF(OR($A237="",$L237=""),"",IF(SUMPRODUCT(('Shared Calendar'!$K$2:$K$1000&gt;0)*('Shared Calendar'!$K$2:$K$1000&lt;=$B237)*('Shared Calendar'!$J$2:$J$1000&gt;$B237)*ISNUMBER(SEARCH($L237,'Shared Calendar'!$M$2:$M$1000))*('Shared Calendar'!$N$2:$N$1000="Leave"))&gt;0,"Leave",""))</f>
        <v/>
      </c>
      <c r="J237" s="244">
        <f>IF($A237="","",IFERROR(INDEX('Public Holidays'!$C$6:$C$38,MATCH($B237,'Public Holidays'!$A$6:$A$38,0))&amp;" ("&amp;INDEX('Public Holidays'!$L$6:$L$38,MATCH($B237,'Public Holidays'!$A$6:$A$38,0))&amp;")",""))</f>
        <v/>
      </c>
      <c r="K237" s="246">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44">
        <f>IF($A237="","",INDEX($B$7:$B$36,INT((ROW()-41)/14)+1)&amp;"")</f>
        <v/>
      </c>
    </row>
    <row r="238">
      <c r="A238" s="244">
        <f>IF(INDEX($A$7:$A$36,INT((ROW()-41)/14)+1)="","",INDEX($A$7:$A$36,INT((ROW()-41)/14)+1))</f>
        <v/>
      </c>
      <c r="B238" s="245">
        <f>IF($A238="","",$B$3+MOD(ROW()-41,14))</f>
        <v/>
      </c>
      <c r="C238" s="244">
        <f>IF($A238="","",TEXT($B238,"ddd"))</f>
        <v/>
      </c>
      <c r="D238" s="242">
        <f>IF($A238="","",SUMIFS('EH Timesheets'!$G$6:$G$1005,'EH Timesheets'!$A$6:$A$1005,$A238,'EH Timesheets'!$B$6:$B$1005,$B238))</f>
        <v/>
      </c>
      <c r="E238" s="242">
        <f>IF($A238="","",SUMIFS('EH Roster'!$G$6:$G$1005,'EH Roster'!$A$6:$A$1005,$A238,'EH Roster'!$B$6:$B$1005,$B238))</f>
        <v/>
      </c>
      <c r="F238" s="242">
        <f>IF($A238="","",$D238-$E238)</f>
        <v/>
      </c>
      <c r="G238" s="242">
        <f>IF($A238="","",IF($L238="",0,SUMPRODUCT(('Shared Calendar'!$K$2:$K$1000&gt;0)*('Shared Calendar'!$K$2:$K$1000&lt;=$B238)*('Shared Calendar'!$J$2:$J$1000&gt;$B238)*ISNUMBER(SEARCH($L238,'Shared Calendar'!$M$2:$M$1000))*('Shared Calendar'!$N$2:$N$1000="Event"),'Shared Calendar'!$L$2:$L$1000)))</f>
        <v/>
      </c>
      <c r="H238" s="246">
        <f>IF(OR($A238="",$L238=""),"",IF(SUMPRODUCT(MAX(('Shared Calendar'!$K$2:$K$1000&gt;0)*('Shared Calendar'!$K$2:$K$1000&lt;=$B238)*('Shared Calendar'!$J$2:$J$1000&gt;$B238)*ISNUMBER(SEARCH($L238,'Shared Calendar'!$M$2:$M$1000))*ROW('Shared Calendar'!$A$2:$A$1000)))=0,"",INDEX('Shared Calendar'!$A:$A,SUMPRODUCT(MAX(('Shared Calendar'!$K$2:$K$1000&gt;0)*('Shared Calendar'!$K$2:$K$1000&lt;=$B238)*('Shared Calendar'!$J$2:$J$1000&gt;$B238)*ISNUMBER(SEARCH($L238,'Shared Calendar'!$M$2:$M$1000))*ROW('Shared Calendar'!$A$2:$A$1000))))))</f>
        <v/>
      </c>
      <c r="I238" s="244">
        <f>IF(OR($A238="",$L238=""),"",IF(SUMPRODUCT(('Shared Calendar'!$K$2:$K$1000&gt;0)*('Shared Calendar'!$K$2:$K$1000&lt;=$B238)*('Shared Calendar'!$J$2:$J$1000&gt;$B238)*ISNUMBER(SEARCH($L238,'Shared Calendar'!$M$2:$M$1000))*('Shared Calendar'!$N$2:$N$1000="Leave"))&gt;0,"Leave",""))</f>
        <v/>
      </c>
      <c r="J238" s="244">
        <f>IF($A238="","",IFERROR(INDEX('Public Holidays'!$C$6:$C$38,MATCH($B238,'Public Holidays'!$A$6:$A$38,0))&amp;" ("&amp;INDEX('Public Holidays'!$L$6:$L$38,MATCH($B238,'Public Holidays'!$A$6:$A$38,0))&amp;")",""))</f>
        <v/>
      </c>
      <c r="K238" s="246">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44">
        <f>IF($A238="","",INDEX($B$7:$B$36,INT((ROW()-41)/14)+1)&amp;"")</f>
        <v/>
      </c>
    </row>
    <row r="239">
      <c r="A239" s="244">
        <f>IF(INDEX($A$7:$A$36,INT((ROW()-41)/14)+1)="","",INDEX($A$7:$A$36,INT((ROW()-41)/14)+1))</f>
        <v/>
      </c>
      <c r="B239" s="245">
        <f>IF($A239="","",$B$3+MOD(ROW()-41,14))</f>
        <v/>
      </c>
      <c r="C239" s="244">
        <f>IF($A239="","",TEXT($B239,"ddd"))</f>
        <v/>
      </c>
      <c r="D239" s="242">
        <f>IF($A239="","",SUMIFS('EH Timesheets'!$G$6:$G$1005,'EH Timesheets'!$A$6:$A$1005,$A239,'EH Timesheets'!$B$6:$B$1005,$B239))</f>
        <v/>
      </c>
      <c r="E239" s="242">
        <f>IF($A239="","",SUMIFS('EH Roster'!$G$6:$G$1005,'EH Roster'!$A$6:$A$1005,$A239,'EH Roster'!$B$6:$B$1005,$B239))</f>
        <v/>
      </c>
      <c r="F239" s="242">
        <f>IF($A239="","",$D239-$E239)</f>
        <v/>
      </c>
      <c r="G239" s="242">
        <f>IF($A239="","",IF($L239="",0,SUMPRODUCT(('Shared Calendar'!$K$2:$K$1000&gt;0)*('Shared Calendar'!$K$2:$K$1000&lt;=$B239)*('Shared Calendar'!$J$2:$J$1000&gt;$B239)*ISNUMBER(SEARCH($L239,'Shared Calendar'!$M$2:$M$1000))*('Shared Calendar'!$N$2:$N$1000="Event"),'Shared Calendar'!$L$2:$L$1000)))</f>
        <v/>
      </c>
      <c r="H239" s="246">
        <f>IF(OR($A239="",$L239=""),"",IF(SUMPRODUCT(MAX(('Shared Calendar'!$K$2:$K$1000&gt;0)*('Shared Calendar'!$K$2:$K$1000&lt;=$B239)*('Shared Calendar'!$J$2:$J$1000&gt;$B239)*ISNUMBER(SEARCH($L239,'Shared Calendar'!$M$2:$M$1000))*ROW('Shared Calendar'!$A$2:$A$1000)))=0,"",INDEX('Shared Calendar'!$A:$A,SUMPRODUCT(MAX(('Shared Calendar'!$K$2:$K$1000&gt;0)*('Shared Calendar'!$K$2:$K$1000&lt;=$B239)*('Shared Calendar'!$J$2:$J$1000&gt;$B239)*ISNUMBER(SEARCH($L239,'Shared Calendar'!$M$2:$M$1000))*ROW('Shared Calendar'!$A$2:$A$1000))))))</f>
        <v/>
      </c>
      <c r="I239" s="244">
        <f>IF(OR($A239="",$L239=""),"",IF(SUMPRODUCT(('Shared Calendar'!$K$2:$K$1000&gt;0)*('Shared Calendar'!$K$2:$K$1000&lt;=$B239)*('Shared Calendar'!$J$2:$J$1000&gt;$B239)*ISNUMBER(SEARCH($L239,'Shared Calendar'!$M$2:$M$1000))*('Shared Calendar'!$N$2:$N$1000="Leave"))&gt;0,"Leave",""))</f>
        <v/>
      </c>
      <c r="J239" s="244">
        <f>IF($A239="","",IFERROR(INDEX('Public Holidays'!$C$6:$C$38,MATCH($B239,'Public Holidays'!$A$6:$A$38,0))&amp;" ("&amp;INDEX('Public Holidays'!$L$6:$L$38,MATCH($B239,'Public Holidays'!$A$6:$A$38,0))&amp;")",""))</f>
        <v/>
      </c>
      <c r="K239" s="246">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44">
        <f>IF($A239="","",INDEX($B$7:$B$36,INT((ROW()-41)/14)+1)&amp;"")</f>
        <v/>
      </c>
    </row>
    <row r="240">
      <c r="A240" s="244">
        <f>IF(INDEX($A$7:$A$36,INT((ROW()-41)/14)+1)="","",INDEX($A$7:$A$36,INT((ROW()-41)/14)+1))</f>
        <v/>
      </c>
      <c r="B240" s="245">
        <f>IF($A240="","",$B$3+MOD(ROW()-41,14))</f>
        <v/>
      </c>
      <c r="C240" s="244">
        <f>IF($A240="","",TEXT($B240,"ddd"))</f>
        <v/>
      </c>
      <c r="D240" s="242">
        <f>IF($A240="","",SUMIFS('EH Timesheets'!$G$6:$G$1005,'EH Timesheets'!$A$6:$A$1005,$A240,'EH Timesheets'!$B$6:$B$1005,$B240))</f>
        <v/>
      </c>
      <c r="E240" s="242">
        <f>IF($A240="","",SUMIFS('EH Roster'!$G$6:$G$1005,'EH Roster'!$A$6:$A$1005,$A240,'EH Roster'!$B$6:$B$1005,$B240))</f>
        <v/>
      </c>
      <c r="F240" s="242">
        <f>IF($A240="","",$D240-$E240)</f>
        <v/>
      </c>
      <c r="G240" s="242">
        <f>IF($A240="","",IF($L240="",0,SUMPRODUCT(('Shared Calendar'!$K$2:$K$1000&gt;0)*('Shared Calendar'!$K$2:$K$1000&lt;=$B240)*('Shared Calendar'!$J$2:$J$1000&gt;$B240)*ISNUMBER(SEARCH($L240,'Shared Calendar'!$M$2:$M$1000))*('Shared Calendar'!$N$2:$N$1000="Event"),'Shared Calendar'!$L$2:$L$1000)))</f>
        <v/>
      </c>
      <c r="H240" s="246">
        <f>IF(OR($A240="",$L240=""),"",IF(SUMPRODUCT(MAX(('Shared Calendar'!$K$2:$K$1000&gt;0)*('Shared Calendar'!$K$2:$K$1000&lt;=$B240)*('Shared Calendar'!$J$2:$J$1000&gt;$B240)*ISNUMBER(SEARCH($L240,'Shared Calendar'!$M$2:$M$1000))*ROW('Shared Calendar'!$A$2:$A$1000)))=0,"",INDEX('Shared Calendar'!$A:$A,SUMPRODUCT(MAX(('Shared Calendar'!$K$2:$K$1000&gt;0)*('Shared Calendar'!$K$2:$K$1000&lt;=$B240)*('Shared Calendar'!$J$2:$J$1000&gt;$B240)*ISNUMBER(SEARCH($L240,'Shared Calendar'!$M$2:$M$1000))*ROW('Shared Calendar'!$A$2:$A$1000))))))</f>
        <v/>
      </c>
      <c r="I240" s="244">
        <f>IF(OR($A240="",$L240=""),"",IF(SUMPRODUCT(('Shared Calendar'!$K$2:$K$1000&gt;0)*('Shared Calendar'!$K$2:$K$1000&lt;=$B240)*('Shared Calendar'!$J$2:$J$1000&gt;$B240)*ISNUMBER(SEARCH($L240,'Shared Calendar'!$M$2:$M$1000))*('Shared Calendar'!$N$2:$N$1000="Leave"))&gt;0,"Leave",""))</f>
        <v/>
      </c>
      <c r="J240" s="244">
        <f>IF($A240="","",IFERROR(INDEX('Public Holidays'!$C$6:$C$38,MATCH($B240,'Public Holidays'!$A$6:$A$38,0))&amp;" ("&amp;INDEX('Public Holidays'!$L$6:$L$38,MATCH($B240,'Public Holidays'!$A$6:$A$38,0))&amp;")",""))</f>
        <v/>
      </c>
      <c r="K240" s="246">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44">
        <f>IF($A240="","",INDEX($B$7:$B$36,INT((ROW()-41)/14)+1)&amp;"")</f>
        <v/>
      </c>
    </row>
    <row r="241">
      <c r="A241" s="244">
        <f>IF(INDEX($A$7:$A$36,INT((ROW()-41)/14)+1)="","",INDEX($A$7:$A$36,INT((ROW()-41)/14)+1))</f>
        <v/>
      </c>
      <c r="B241" s="245">
        <f>IF($A241="","",$B$3+MOD(ROW()-41,14))</f>
        <v/>
      </c>
      <c r="C241" s="244">
        <f>IF($A241="","",TEXT($B241,"ddd"))</f>
        <v/>
      </c>
      <c r="D241" s="242">
        <f>IF($A241="","",SUMIFS('EH Timesheets'!$G$6:$G$1005,'EH Timesheets'!$A$6:$A$1005,$A241,'EH Timesheets'!$B$6:$B$1005,$B241))</f>
        <v/>
      </c>
      <c r="E241" s="242">
        <f>IF($A241="","",SUMIFS('EH Roster'!$G$6:$G$1005,'EH Roster'!$A$6:$A$1005,$A241,'EH Roster'!$B$6:$B$1005,$B241))</f>
        <v/>
      </c>
      <c r="F241" s="242">
        <f>IF($A241="","",$D241-$E241)</f>
        <v/>
      </c>
      <c r="G241" s="242">
        <f>IF($A241="","",IF($L241="",0,SUMPRODUCT(('Shared Calendar'!$K$2:$K$1000&gt;0)*('Shared Calendar'!$K$2:$K$1000&lt;=$B241)*('Shared Calendar'!$J$2:$J$1000&gt;$B241)*ISNUMBER(SEARCH($L241,'Shared Calendar'!$M$2:$M$1000))*('Shared Calendar'!$N$2:$N$1000="Event"),'Shared Calendar'!$L$2:$L$1000)))</f>
        <v/>
      </c>
      <c r="H241" s="246">
        <f>IF(OR($A241="",$L241=""),"",IF(SUMPRODUCT(MAX(('Shared Calendar'!$K$2:$K$1000&gt;0)*('Shared Calendar'!$K$2:$K$1000&lt;=$B241)*('Shared Calendar'!$J$2:$J$1000&gt;$B241)*ISNUMBER(SEARCH($L241,'Shared Calendar'!$M$2:$M$1000))*ROW('Shared Calendar'!$A$2:$A$1000)))=0,"",INDEX('Shared Calendar'!$A:$A,SUMPRODUCT(MAX(('Shared Calendar'!$K$2:$K$1000&gt;0)*('Shared Calendar'!$K$2:$K$1000&lt;=$B241)*('Shared Calendar'!$J$2:$J$1000&gt;$B241)*ISNUMBER(SEARCH($L241,'Shared Calendar'!$M$2:$M$1000))*ROW('Shared Calendar'!$A$2:$A$1000))))))</f>
        <v/>
      </c>
      <c r="I241" s="244">
        <f>IF(OR($A241="",$L241=""),"",IF(SUMPRODUCT(('Shared Calendar'!$K$2:$K$1000&gt;0)*('Shared Calendar'!$K$2:$K$1000&lt;=$B241)*('Shared Calendar'!$J$2:$J$1000&gt;$B241)*ISNUMBER(SEARCH($L241,'Shared Calendar'!$M$2:$M$1000))*('Shared Calendar'!$N$2:$N$1000="Leave"))&gt;0,"Leave",""))</f>
        <v/>
      </c>
      <c r="J241" s="244">
        <f>IF($A241="","",IFERROR(INDEX('Public Holidays'!$C$6:$C$38,MATCH($B241,'Public Holidays'!$A$6:$A$38,0))&amp;" ("&amp;INDEX('Public Holidays'!$L$6:$L$38,MATCH($B241,'Public Holidays'!$A$6:$A$38,0))&amp;")",""))</f>
        <v/>
      </c>
      <c r="K241" s="246">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44">
        <f>IF($A241="","",INDEX($B$7:$B$36,INT((ROW()-41)/14)+1)&amp;"")</f>
        <v/>
      </c>
    </row>
    <row r="242">
      <c r="A242" s="244">
        <f>IF(INDEX($A$7:$A$36,INT((ROW()-41)/14)+1)="","",INDEX($A$7:$A$36,INT((ROW()-41)/14)+1))</f>
        <v/>
      </c>
      <c r="B242" s="245">
        <f>IF($A242="","",$B$3+MOD(ROW()-41,14))</f>
        <v/>
      </c>
      <c r="C242" s="244">
        <f>IF($A242="","",TEXT($B242,"ddd"))</f>
        <v/>
      </c>
      <c r="D242" s="242">
        <f>IF($A242="","",SUMIFS('EH Timesheets'!$G$6:$G$1005,'EH Timesheets'!$A$6:$A$1005,$A242,'EH Timesheets'!$B$6:$B$1005,$B242))</f>
        <v/>
      </c>
      <c r="E242" s="242">
        <f>IF($A242="","",SUMIFS('EH Roster'!$G$6:$G$1005,'EH Roster'!$A$6:$A$1005,$A242,'EH Roster'!$B$6:$B$1005,$B242))</f>
        <v/>
      </c>
      <c r="F242" s="242">
        <f>IF($A242="","",$D242-$E242)</f>
        <v/>
      </c>
      <c r="G242" s="242">
        <f>IF($A242="","",IF($L242="",0,SUMPRODUCT(('Shared Calendar'!$K$2:$K$1000&gt;0)*('Shared Calendar'!$K$2:$K$1000&lt;=$B242)*('Shared Calendar'!$J$2:$J$1000&gt;$B242)*ISNUMBER(SEARCH($L242,'Shared Calendar'!$M$2:$M$1000))*('Shared Calendar'!$N$2:$N$1000="Event"),'Shared Calendar'!$L$2:$L$1000)))</f>
        <v/>
      </c>
      <c r="H242" s="246">
        <f>IF(OR($A242="",$L242=""),"",IF(SUMPRODUCT(MAX(('Shared Calendar'!$K$2:$K$1000&gt;0)*('Shared Calendar'!$K$2:$K$1000&lt;=$B242)*('Shared Calendar'!$J$2:$J$1000&gt;$B242)*ISNUMBER(SEARCH($L242,'Shared Calendar'!$M$2:$M$1000))*ROW('Shared Calendar'!$A$2:$A$1000)))=0,"",INDEX('Shared Calendar'!$A:$A,SUMPRODUCT(MAX(('Shared Calendar'!$K$2:$K$1000&gt;0)*('Shared Calendar'!$K$2:$K$1000&lt;=$B242)*('Shared Calendar'!$J$2:$J$1000&gt;$B242)*ISNUMBER(SEARCH($L242,'Shared Calendar'!$M$2:$M$1000))*ROW('Shared Calendar'!$A$2:$A$1000))))))</f>
        <v/>
      </c>
      <c r="I242" s="244">
        <f>IF(OR($A242="",$L242=""),"",IF(SUMPRODUCT(('Shared Calendar'!$K$2:$K$1000&gt;0)*('Shared Calendar'!$K$2:$K$1000&lt;=$B242)*('Shared Calendar'!$J$2:$J$1000&gt;$B242)*ISNUMBER(SEARCH($L242,'Shared Calendar'!$M$2:$M$1000))*('Shared Calendar'!$N$2:$N$1000="Leave"))&gt;0,"Leave",""))</f>
        <v/>
      </c>
      <c r="J242" s="244">
        <f>IF($A242="","",IFERROR(INDEX('Public Holidays'!$C$6:$C$38,MATCH($B242,'Public Holidays'!$A$6:$A$38,0))&amp;" ("&amp;INDEX('Public Holidays'!$L$6:$L$38,MATCH($B242,'Public Holidays'!$A$6:$A$38,0))&amp;")",""))</f>
        <v/>
      </c>
      <c r="K242" s="246">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44">
        <f>IF($A242="","",INDEX($B$7:$B$36,INT((ROW()-41)/14)+1)&amp;"")</f>
        <v/>
      </c>
    </row>
    <row r="243">
      <c r="A243" s="244">
        <f>IF(INDEX($A$7:$A$36,INT((ROW()-41)/14)+1)="","",INDEX($A$7:$A$36,INT((ROW()-41)/14)+1))</f>
        <v/>
      </c>
      <c r="B243" s="245">
        <f>IF($A243="","",$B$3+MOD(ROW()-41,14))</f>
        <v/>
      </c>
      <c r="C243" s="244">
        <f>IF($A243="","",TEXT($B243,"ddd"))</f>
        <v/>
      </c>
      <c r="D243" s="242">
        <f>IF($A243="","",SUMIFS('EH Timesheets'!$G$6:$G$1005,'EH Timesheets'!$A$6:$A$1005,$A243,'EH Timesheets'!$B$6:$B$1005,$B243))</f>
        <v/>
      </c>
      <c r="E243" s="242">
        <f>IF($A243="","",SUMIFS('EH Roster'!$G$6:$G$1005,'EH Roster'!$A$6:$A$1005,$A243,'EH Roster'!$B$6:$B$1005,$B243))</f>
        <v/>
      </c>
      <c r="F243" s="242">
        <f>IF($A243="","",$D243-$E243)</f>
        <v/>
      </c>
      <c r="G243" s="242">
        <f>IF($A243="","",IF($L243="",0,SUMPRODUCT(('Shared Calendar'!$K$2:$K$1000&gt;0)*('Shared Calendar'!$K$2:$K$1000&lt;=$B243)*('Shared Calendar'!$J$2:$J$1000&gt;$B243)*ISNUMBER(SEARCH($L243,'Shared Calendar'!$M$2:$M$1000))*('Shared Calendar'!$N$2:$N$1000="Event"),'Shared Calendar'!$L$2:$L$1000)))</f>
        <v/>
      </c>
      <c r="H243" s="246">
        <f>IF(OR($A243="",$L243=""),"",IF(SUMPRODUCT(MAX(('Shared Calendar'!$K$2:$K$1000&gt;0)*('Shared Calendar'!$K$2:$K$1000&lt;=$B243)*('Shared Calendar'!$J$2:$J$1000&gt;$B243)*ISNUMBER(SEARCH($L243,'Shared Calendar'!$M$2:$M$1000))*ROW('Shared Calendar'!$A$2:$A$1000)))=0,"",INDEX('Shared Calendar'!$A:$A,SUMPRODUCT(MAX(('Shared Calendar'!$K$2:$K$1000&gt;0)*('Shared Calendar'!$K$2:$K$1000&lt;=$B243)*('Shared Calendar'!$J$2:$J$1000&gt;$B243)*ISNUMBER(SEARCH($L243,'Shared Calendar'!$M$2:$M$1000))*ROW('Shared Calendar'!$A$2:$A$1000))))))</f>
        <v/>
      </c>
      <c r="I243" s="244">
        <f>IF(OR($A243="",$L243=""),"",IF(SUMPRODUCT(('Shared Calendar'!$K$2:$K$1000&gt;0)*('Shared Calendar'!$K$2:$K$1000&lt;=$B243)*('Shared Calendar'!$J$2:$J$1000&gt;$B243)*ISNUMBER(SEARCH($L243,'Shared Calendar'!$M$2:$M$1000))*('Shared Calendar'!$N$2:$N$1000="Leave"))&gt;0,"Leave",""))</f>
        <v/>
      </c>
      <c r="J243" s="244">
        <f>IF($A243="","",IFERROR(INDEX('Public Holidays'!$C$6:$C$38,MATCH($B243,'Public Holidays'!$A$6:$A$38,0))&amp;" ("&amp;INDEX('Public Holidays'!$L$6:$L$38,MATCH($B243,'Public Holidays'!$A$6:$A$38,0))&amp;")",""))</f>
        <v/>
      </c>
      <c r="K243" s="246">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44">
        <f>IF($A243="","",INDEX($B$7:$B$36,INT((ROW()-41)/14)+1)&amp;"")</f>
        <v/>
      </c>
    </row>
    <row r="244">
      <c r="A244" s="244">
        <f>IF(INDEX($A$7:$A$36,INT((ROW()-41)/14)+1)="","",INDEX($A$7:$A$36,INT((ROW()-41)/14)+1))</f>
        <v/>
      </c>
      <c r="B244" s="245">
        <f>IF($A244="","",$B$3+MOD(ROW()-41,14))</f>
        <v/>
      </c>
      <c r="C244" s="244">
        <f>IF($A244="","",TEXT($B244,"ddd"))</f>
        <v/>
      </c>
      <c r="D244" s="242">
        <f>IF($A244="","",SUMIFS('EH Timesheets'!$G$6:$G$1005,'EH Timesheets'!$A$6:$A$1005,$A244,'EH Timesheets'!$B$6:$B$1005,$B244))</f>
        <v/>
      </c>
      <c r="E244" s="242">
        <f>IF($A244="","",SUMIFS('EH Roster'!$G$6:$G$1005,'EH Roster'!$A$6:$A$1005,$A244,'EH Roster'!$B$6:$B$1005,$B244))</f>
        <v/>
      </c>
      <c r="F244" s="242">
        <f>IF($A244="","",$D244-$E244)</f>
        <v/>
      </c>
      <c r="G244" s="242">
        <f>IF($A244="","",IF($L244="",0,SUMPRODUCT(('Shared Calendar'!$K$2:$K$1000&gt;0)*('Shared Calendar'!$K$2:$K$1000&lt;=$B244)*('Shared Calendar'!$J$2:$J$1000&gt;$B244)*ISNUMBER(SEARCH($L244,'Shared Calendar'!$M$2:$M$1000))*('Shared Calendar'!$N$2:$N$1000="Event"),'Shared Calendar'!$L$2:$L$1000)))</f>
        <v/>
      </c>
      <c r="H244" s="246">
        <f>IF(OR($A244="",$L244=""),"",IF(SUMPRODUCT(MAX(('Shared Calendar'!$K$2:$K$1000&gt;0)*('Shared Calendar'!$K$2:$K$1000&lt;=$B244)*('Shared Calendar'!$J$2:$J$1000&gt;$B244)*ISNUMBER(SEARCH($L244,'Shared Calendar'!$M$2:$M$1000))*ROW('Shared Calendar'!$A$2:$A$1000)))=0,"",INDEX('Shared Calendar'!$A:$A,SUMPRODUCT(MAX(('Shared Calendar'!$K$2:$K$1000&gt;0)*('Shared Calendar'!$K$2:$K$1000&lt;=$B244)*('Shared Calendar'!$J$2:$J$1000&gt;$B244)*ISNUMBER(SEARCH($L244,'Shared Calendar'!$M$2:$M$1000))*ROW('Shared Calendar'!$A$2:$A$1000))))))</f>
        <v/>
      </c>
      <c r="I244" s="244">
        <f>IF(OR($A244="",$L244=""),"",IF(SUMPRODUCT(('Shared Calendar'!$K$2:$K$1000&gt;0)*('Shared Calendar'!$K$2:$K$1000&lt;=$B244)*('Shared Calendar'!$J$2:$J$1000&gt;$B244)*ISNUMBER(SEARCH($L244,'Shared Calendar'!$M$2:$M$1000))*('Shared Calendar'!$N$2:$N$1000="Leave"))&gt;0,"Leave",""))</f>
        <v/>
      </c>
      <c r="J244" s="244">
        <f>IF($A244="","",IFERROR(INDEX('Public Holidays'!$C$6:$C$38,MATCH($B244,'Public Holidays'!$A$6:$A$38,0))&amp;" ("&amp;INDEX('Public Holidays'!$L$6:$L$38,MATCH($B244,'Public Holidays'!$A$6:$A$38,0))&amp;")",""))</f>
        <v/>
      </c>
      <c r="K244" s="246">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44">
        <f>IF($A244="","",INDEX($B$7:$B$36,INT((ROW()-41)/14)+1)&amp;"")</f>
        <v/>
      </c>
    </row>
    <row r="245">
      <c r="A245" s="244">
        <f>IF(INDEX($A$7:$A$36,INT((ROW()-41)/14)+1)="","",INDEX($A$7:$A$36,INT((ROW()-41)/14)+1))</f>
        <v/>
      </c>
      <c r="B245" s="245">
        <f>IF($A245="","",$B$3+MOD(ROW()-41,14))</f>
        <v/>
      </c>
      <c r="C245" s="244">
        <f>IF($A245="","",TEXT($B245,"ddd"))</f>
        <v/>
      </c>
      <c r="D245" s="242">
        <f>IF($A245="","",SUMIFS('EH Timesheets'!$G$6:$G$1005,'EH Timesheets'!$A$6:$A$1005,$A245,'EH Timesheets'!$B$6:$B$1005,$B245))</f>
        <v/>
      </c>
      <c r="E245" s="242">
        <f>IF($A245="","",SUMIFS('EH Roster'!$G$6:$G$1005,'EH Roster'!$A$6:$A$1005,$A245,'EH Roster'!$B$6:$B$1005,$B245))</f>
        <v/>
      </c>
      <c r="F245" s="242">
        <f>IF($A245="","",$D245-$E245)</f>
        <v/>
      </c>
      <c r="G245" s="242">
        <f>IF($A245="","",IF($L245="",0,SUMPRODUCT(('Shared Calendar'!$K$2:$K$1000&gt;0)*('Shared Calendar'!$K$2:$K$1000&lt;=$B245)*('Shared Calendar'!$J$2:$J$1000&gt;$B245)*ISNUMBER(SEARCH($L245,'Shared Calendar'!$M$2:$M$1000))*('Shared Calendar'!$N$2:$N$1000="Event"),'Shared Calendar'!$L$2:$L$1000)))</f>
        <v/>
      </c>
      <c r="H245" s="246">
        <f>IF(OR($A245="",$L245=""),"",IF(SUMPRODUCT(MAX(('Shared Calendar'!$K$2:$K$1000&gt;0)*('Shared Calendar'!$K$2:$K$1000&lt;=$B245)*('Shared Calendar'!$J$2:$J$1000&gt;$B245)*ISNUMBER(SEARCH($L245,'Shared Calendar'!$M$2:$M$1000))*ROW('Shared Calendar'!$A$2:$A$1000)))=0,"",INDEX('Shared Calendar'!$A:$A,SUMPRODUCT(MAX(('Shared Calendar'!$K$2:$K$1000&gt;0)*('Shared Calendar'!$K$2:$K$1000&lt;=$B245)*('Shared Calendar'!$J$2:$J$1000&gt;$B245)*ISNUMBER(SEARCH($L245,'Shared Calendar'!$M$2:$M$1000))*ROW('Shared Calendar'!$A$2:$A$1000))))))</f>
        <v/>
      </c>
      <c r="I245" s="244">
        <f>IF(OR($A245="",$L245=""),"",IF(SUMPRODUCT(('Shared Calendar'!$K$2:$K$1000&gt;0)*('Shared Calendar'!$K$2:$K$1000&lt;=$B245)*('Shared Calendar'!$J$2:$J$1000&gt;$B245)*ISNUMBER(SEARCH($L245,'Shared Calendar'!$M$2:$M$1000))*('Shared Calendar'!$N$2:$N$1000="Leave"))&gt;0,"Leave",""))</f>
        <v/>
      </c>
      <c r="J245" s="244">
        <f>IF($A245="","",IFERROR(INDEX('Public Holidays'!$C$6:$C$38,MATCH($B245,'Public Holidays'!$A$6:$A$38,0))&amp;" ("&amp;INDEX('Public Holidays'!$L$6:$L$38,MATCH($B245,'Public Holidays'!$A$6:$A$38,0))&amp;")",""))</f>
        <v/>
      </c>
      <c r="K245" s="246">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44">
        <f>IF($A245="","",INDEX($B$7:$B$36,INT((ROW()-41)/14)+1)&amp;"")</f>
        <v/>
      </c>
    </row>
    <row r="246">
      <c r="A246" s="244">
        <f>IF(INDEX($A$7:$A$36,INT((ROW()-41)/14)+1)="","",INDEX($A$7:$A$36,INT((ROW()-41)/14)+1))</f>
        <v/>
      </c>
      <c r="B246" s="245">
        <f>IF($A246="","",$B$3+MOD(ROW()-41,14))</f>
        <v/>
      </c>
      <c r="C246" s="244">
        <f>IF($A246="","",TEXT($B246,"ddd"))</f>
        <v/>
      </c>
      <c r="D246" s="242">
        <f>IF($A246="","",SUMIFS('EH Timesheets'!$G$6:$G$1005,'EH Timesheets'!$A$6:$A$1005,$A246,'EH Timesheets'!$B$6:$B$1005,$B246))</f>
        <v/>
      </c>
      <c r="E246" s="242">
        <f>IF($A246="","",SUMIFS('EH Roster'!$G$6:$G$1005,'EH Roster'!$A$6:$A$1005,$A246,'EH Roster'!$B$6:$B$1005,$B246))</f>
        <v/>
      </c>
      <c r="F246" s="242">
        <f>IF($A246="","",$D246-$E246)</f>
        <v/>
      </c>
      <c r="G246" s="242">
        <f>IF($A246="","",IF($L246="",0,SUMPRODUCT(('Shared Calendar'!$K$2:$K$1000&gt;0)*('Shared Calendar'!$K$2:$K$1000&lt;=$B246)*('Shared Calendar'!$J$2:$J$1000&gt;$B246)*ISNUMBER(SEARCH($L246,'Shared Calendar'!$M$2:$M$1000))*('Shared Calendar'!$N$2:$N$1000="Event"),'Shared Calendar'!$L$2:$L$1000)))</f>
        <v/>
      </c>
      <c r="H246" s="246">
        <f>IF(OR($A246="",$L246=""),"",IF(SUMPRODUCT(MAX(('Shared Calendar'!$K$2:$K$1000&gt;0)*('Shared Calendar'!$K$2:$K$1000&lt;=$B246)*('Shared Calendar'!$J$2:$J$1000&gt;$B246)*ISNUMBER(SEARCH($L246,'Shared Calendar'!$M$2:$M$1000))*ROW('Shared Calendar'!$A$2:$A$1000)))=0,"",INDEX('Shared Calendar'!$A:$A,SUMPRODUCT(MAX(('Shared Calendar'!$K$2:$K$1000&gt;0)*('Shared Calendar'!$K$2:$K$1000&lt;=$B246)*('Shared Calendar'!$J$2:$J$1000&gt;$B246)*ISNUMBER(SEARCH($L246,'Shared Calendar'!$M$2:$M$1000))*ROW('Shared Calendar'!$A$2:$A$1000))))))</f>
        <v/>
      </c>
      <c r="I246" s="244">
        <f>IF(OR($A246="",$L246=""),"",IF(SUMPRODUCT(('Shared Calendar'!$K$2:$K$1000&gt;0)*('Shared Calendar'!$K$2:$K$1000&lt;=$B246)*('Shared Calendar'!$J$2:$J$1000&gt;$B246)*ISNUMBER(SEARCH($L246,'Shared Calendar'!$M$2:$M$1000))*('Shared Calendar'!$N$2:$N$1000="Leave"))&gt;0,"Leave",""))</f>
        <v/>
      </c>
      <c r="J246" s="244">
        <f>IF($A246="","",IFERROR(INDEX('Public Holidays'!$C$6:$C$38,MATCH($B246,'Public Holidays'!$A$6:$A$38,0))&amp;" ("&amp;INDEX('Public Holidays'!$L$6:$L$38,MATCH($B246,'Public Holidays'!$A$6:$A$38,0))&amp;")",""))</f>
        <v/>
      </c>
      <c r="K246" s="246">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44">
        <f>IF($A246="","",INDEX($B$7:$B$36,INT((ROW()-41)/14)+1)&amp;"")</f>
        <v/>
      </c>
    </row>
    <row r="247">
      <c r="A247" s="244">
        <f>IF(INDEX($A$7:$A$36,INT((ROW()-41)/14)+1)="","",INDEX($A$7:$A$36,INT((ROW()-41)/14)+1))</f>
        <v/>
      </c>
      <c r="B247" s="245">
        <f>IF($A247="","",$B$3+MOD(ROW()-41,14))</f>
        <v/>
      </c>
      <c r="C247" s="244">
        <f>IF($A247="","",TEXT($B247,"ddd"))</f>
        <v/>
      </c>
      <c r="D247" s="242">
        <f>IF($A247="","",SUMIFS('EH Timesheets'!$G$6:$G$1005,'EH Timesheets'!$A$6:$A$1005,$A247,'EH Timesheets'!$B$6:$B$1005,$B247))</f>
        <v/>
      </c>
      <c r="E247" s="242">
        <f>IF($A247="","",SUMIFS('EH Roster'!$G$6:$G$1005,'EH Roster'!$A$6:$A$1005,$A247,'EH Roster'!$B$6:$B$1005,$B247))</f>
        <v/>
      </c>
      <c r="F247" s="242">
        <f>IF($A247="","",$D247-$E247)</f>
        <v/>
      </c>
      <c r="G247" s="242">
        <f>IF($A247="","",IF($L247="",0,SUMPRODUCT(('Shared Calendar'!$K$2:$K$1000&gt;0)*('Shared Calendar'!$K$2:$K$1000&lt;=$B247)*('Shared Calendar'!$J$2:$J$1000&gt;$B247)*ISNUMBER(SEARCH($L247,'Shared Calendar'!$M$2:$M$1000))*('Shared Calendar'!$N$2:$N$1000="Event"),'Shared Calendar'!$L$2:$L$1000)))</f>
        <v/>
      </c>
      <c r="H247" s="246">
        <f>IF(OR($A247="",$L247=""),"",IF(SUMPRODUCT(MAX(('Shared Calendar'!$K$2:$K$1000&gt;0)*('Shared Calendar'!$K$2:$K$1000&lt;=$B247)*('Shared Calendar'!$J$2:$J$1000&gt;$B247)*ISNUMBER(SEARCH($L247,'Shared Calendar'!$M$2:$M$1000))*ROW('Shared Calendar'!$A$2:$A$1000)))=0,"",INDEX('Shared Calendar'!$A:$A,SUMPRODUCT(MAX(('Shared Calendar'!$K$2:$K$1000&gt;0)*('Shared Calendar'!$K$2:$K$1000&lt;=$B247)*('Shared Calendar'!$J$2:$J$1000&gt;$B247)*ISNUMBER(SEARCH($L247,'Shared Calendar'!$M$2:$M$1000))*ROW('Shared Calendar'!$A$2:$A$1000))))))</f>
        <v/>
      </c>
      <c r="I247" s="244">
        <f>IF(OR($A247="",$L247=""),"",IF(SUMPRODUCT(('Shared Calendar'!$K$2:$K$1000&gt;0)*('Shared Calendar'!$K$2:$K$1000&lt;=$B247)*('Shared Calendar'!$J$2:$J$1000&gt;$B247)*ISNUMBER(SEARCH($L247,'Shared Calendar'!$M$2:$M$1000))*('Shared Calendar'!$N$2:$N$1000="Leave"))&gt;0,"Leave",""))</f>
        <v/>
      </c>
      <c r="J247" s="244">
        <f>IF($A247="","",IFERROR(INDEX('Public Holidays'!$C$6:$C$38,MATCH($B247,'Public Holidays'!$A$6:$A$38,0))&amp;" ("&amp;INDEX('Public Holidays'!$L$6:$L$38,MATCH($B247,'Public Holidays'!$A$6:$A$38,0))&amp;")",""))</f>
        <v/>
      </c>
      <c r="K247" s="246">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44">
        <f>IF($A247="","",INDEX($B$7:$B$36,INT((ROW()-41)/14)+1)&amp;"")</f>
        <v/>
      </c>
    </row>
    <row r="248">
      <c r="A248" s="244">
        <f>IF(INDEX($A$7:$A$36,INT((ROW()-41)/14)+1)="","",INDEX($A$7:$A$36,INT((ROW()-41)/14)+1))</f>
        <v/>
      </c>
      <c r="B248" s="245">
        <f>IF($A248="","",$B$3+MOD(ROW()-41,14))</f>
        <v/>
      </c>
      <c r="C248" s="244">
        <f>IF($A248="","",TEXT($B248,"ddd"))</f>
        <v/>
      </c>
      <c r="D248" s="242">
        <f>IF($A248="","",SUMIFS('EH Timesheets'!$G$6:$G$1005,'EH Timesheets'!$A$6:$A$1005,$A248,'EH Timesheets'!$B$6:$B$1005,$B248))</f>
        <v/>
      </c>
      <c r="E248" s="242">
        <f>IF($A248="","",SUMIFS('EH Roster'!$G$6:$G$1005,'EH Roster'!$A$6:$A$1005,$A248,'EH Roster'!$B$6:$B$1005,$B248))</f>
        <v/>
      </c>
      <c r="F248" s="242">
        <f>IF($A248="","",$D248-$E248)</f>
        <v/>
      </c>
      <c r="G248" s="242">
        <f>IF($A248="","",IF($L248="",0,SUMPRODUCT(('Shared Calendar'!$K$2:$K$1000&gt;0)*('Shared Calendar'!$K$2:$K$1000&lt;=$B248)*('Shared Calendar'!$J$2:$J$1000&gt;$B248)*ISNUMBER(SEARCH($L248,'Shared Calendar'!$M$2:$M$1000))*('Shared Calendar'!$N$2:$N$1000="Event"),'Shared Calendar'!$L$2:$L$1000)))</f>
        <v/>
      </c>
      <c r="H248" s="246">
        <f>IF(OR($A248="",$L248=""),"",IF(SUMPRODUCT(MAX(('Shared Calendar'!$K$2:$K$1000&gt;0)*('Shared Calendar'!$K$2:$K$1000&lt;=$B248)*('Shared Calendar'!$J$2:$J$1000&gt;$B248)*ISNUMBER(SEARCH($L248,'Shared Calendar'!$M$2:$M$1000))*ROW('Shared Calendar'!$A$2:$A$1000)))=0,"",INDEX('Shared Calendar'!$A:$A,SUMPRODUCT(MAX(('Shared Calendar'!$K$2:$K$1000&gt;0)*('Shared Calendar'!$K$2:$K$1000&lt;=$B248)*('Shared Calendar'!$J$2:$J$1000&gt;$B248)*ISNUMBER(SEARCH($L248,'Shared Calendar'!$M$2:$M$1000))*ROW('Shared Calendar'!$A$2:$A$1000))))))</f>
        <v/>
      </c>
      <c r="I248" s="244">
        <f>IF(OR($A248="",$L248=""),"",IF(SUMPRODUCT(('Shared Calendar'!$K$2:$K$1000&gt;0)*('Shared Calendar'!$K$2:$K$1000&lt;=$B248)*('Shared Calendar'!$J$2:$J$1000&gt;$B248)*ISNUMBER(SEARCH($L248,'Shared Calendar'!$M$2:$M$1000))*('Shared Calendar'!$N$2:$N$1000="Leave"))&gt;0,"Leave",""))</f>
        <v/>
      </c>
      <c r="J248" s="244">
        <f>IF($A248="","",IFERROR(INDEX('Public Holidays'!$C$6:$C$38,MATCH($B248,'Public Holidays'!$A$6:$A$38,0))&amp;" ("&amp;INDEX('Public Holidays'!$L$6:$L$38,MATCH($B248,'Public Holidays'!$A$6:$A$38,0))&amp;")",""))</f>
        <v/>
      </c>
      <c r="K248" s="246">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44">
        <f>IF($A248="","",INDEX($B$7:$B$36,INT((ROW()-41)/14)+1)&amp;"")</f>
        <v/>
      </c>
    </row>
    <row r="249">
      <c r="A249" s="244">
        <f>IF(INDEX($A$7:$A$36,INT((ROW()-41)/14)+1)="","",INDEX($A$7:$A$36,INT((ROW()-41)/14)+1))</f>
        <v/>
      </c>
      <c r="B249" s="245">
        <f>IF($A249="","",$B$3+MOD(ROW()-41,14))</f>
        <v/>
      </c>
      <c r="C249" s="244">
        <f>IF($A249="","",TEXT($B249,"ddd"))</f>
        <v/>
      </c>
      <c r="D249" s="242">
        <f>IF($A249="","",SUMIFS('EH Timesheets'!$G$6:$G$1005,'EH Timesheets'!$A$6:$A$1005,$A249,'EH Timesheets'!$B$6:$B$1005,$B249))</f>
        <v/>
      </c>
      <c r="E249" s="242">
        <f>IF($A249="","",SUMIFS('EH Roster'!$G$6:$G$1005,'EH Roster'!$A$6:$A$1005,$A249,'EH Roster'!$B$6:$B$1005,$B249))</f>
        <v/>
      </c>
      <c r="F249" s="242">
        <f>IF($A249="","",$D249-$E249)</f>
        <v/>
      </c>
      <c r="G249" s="242">
        <f>IF($A249="","",IF($L249="",0,SUMPRODUCT(('Shared Calendar'!$K$2:$K$1000&gt;0)*('Shared Calendar'!$K$2:$K$1000&lt;=$B249)*('Shared Calendar'!$J$2:$J$1000&gt;$B249)*ISNUMBER(SEARCH($L249,'Shared Calendar'!$M$2:$M$1000))*('Shared Calendar'!$N$2:$N$1000="Event"),'Shared Calendar'!$L$2:$L$1000)))</f>
        <v/>
      </c>
      <c r="H249" s="246">
        <f>IF(OR($A249="",$L249=""),"",IF(SUMPRODUCT(MAX(('Shared Calendar'!$K$2:$K$1000&gt;0)*('Shared Calendar'!$K$2:$K$1000&lt;=$B249)*('Shared Calendar'!$J$2:$J$1000&gt;$B249)*ISNUMBER(SEARCH($L249,'Shared Calendar'!$M$2:$M$1000))*ROW('Shared Calendar'!$A$2:$A$1000)))=0,"",INDEX('Shared Calendar'!$A:$A,SUMPRODUCT(MAX(('Shared Calendar'!$K$2:$K$1000&gt;0)*('Shared Calendar'!$K$2:$K$1000&lt;=$B249)*('Shared Calendar'!$J$2:$J$1000&gt;$B249)*ISNUMBER(SEARCH($L249,'Shared Calendar'!$M$2:$M$1000))*ROW('Shared Calendar'!$A$2:$A$1000))))))</f>
        <v/>
      </c>
      <c r="I249" s="244">
        <f>IF(OR($A249="",$L249=""),"",IF(SUMPRODUCT(('Shared Calendar'!$K$2:$K$1000&gt;0)*('Shared Calendar'!$K$2:$K$1000&lt;=$B249)*('Shared Calendar'!$J$2:$J$1000&gt;$B249)*ISNUMBER(SEARCH($L249,'Shared Calendar'!$M$2:$M$1000))*('Shared Calendar'!$N$2:$N$1000="Leave"))&gt;0,"Leave",""))</f>
        <v/>
      </c>
      <c r="J249" s="244">
        <f>IF($A249="","",IFERROR(INDEX('Public Holidays'!$C$6:$C$38,MATCH($B249,'Public Holidays'!$A$6:$A$38,0))&amp;" ("&amp;INDEX('Public Holidays'!$L$6:$L$38,MATCH($B249,'Public Holidays'!$A$6:$A$38,0))&amp;")",""))</f>
        <v/>
      </c>
      <c r="K249" s="246">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44">
        <f>IF($A249="","",INDEX($B$7:$B$36,INT((ROW()-41)/14)+1)&amp;"")</f>
        <v/>
      </c>
    </row>
    <row r="250">
      <c r="A250" s="244">
        <f>IF(INDEX($A$7:$A$36,INT((ROW()-41)/14)+1)="","",INDEX($A$7:$A$36,INT((ROW()-41)/14)+1))</f>
        <v/>
      </c>
      <c r="B250" s="245">
        <f>IF($A250="","",$B$3+MOD(ROW()-41,14))</f>
        <v/>
      </c>
      <c r="C250" s="244">
        <f>IF($A250="","",TEXT($B250,"ddd"))</f>
        <v/>
      </c>
      <c r="D250" s="242">
        <f>IF($A250="","",SUMIFS('EH Timesheets'!$G$6:$G$1005,'EH Timesheets'!$A$6:$A$1005,$A250,'EH Timesheets'!$B$6:$B$1005,$B250))</f>
        <v/>
      </c>
      <c r="E250" s="242">
        <f>IF($A250="","",SUMIFS('EH Roster'!$G$6:$G$1005,'EH Roster'!$A$6:$A$1005,$A250,'EH Roster'!$B$6:$B$1005,$B250))</f>
        <v/>
      </c>
      <c r="F250" s="242">
        <f>IF($A250="","",$D250-$E250)</f>
        <v/>
      </c>
      <c r="G250" s="242">
        <f>IF($A250="","",IF($L250="",0,SUMPRODUCT(('Shared Calendar'!$K$2:$K$1000&gt;0)*('Shared Calendar'!$K$2:$K$1000&lt;=$B250)*('Shared Calendar'!$J$2:$J$1000&gt;$B250)*ISNUMBER(SEARCH($L250,'Shared Calendar'!$M$2:$M$1000))*('Shared Calendar'!$N$2:$N$1000="Event"),'Shared Calendar'!$L$2:$L$1000)))</f>
        <v/>
      </c>
      <c r="H250" s="246">
        <f>IF(OR($A250="",$L250=""),"",IF(SUMPRODUCT(MAX(('Shared Calendar'!$K$2:$K$1000&gt;0)*('Shared Calendar'!$K$2:$K$1000&lt;=$B250)*('Shared Calendar'!$J$2:$J$1000&gt;$B250)*ISNUMBER(SEARCH($L250,'Shared Calendar'!$M$2:$M$1000))*ROW('Shared Calendar'!$A$2:$A$1000)))=0,"",INDEX('Shared Calendar'!$A:$A,SUMPRODUCT(MAX(('Shared Calendar'!$K$2:$K$1000&gt;0)*('Shared Calendar'!$K$2:$K$1000&lt;=$B250)*('Shared Calendar'!$J$2:$J$1000&gt;$B250)*ISNUMBER(SEARCH($L250,'Shared Calendar'!$M$2:$M$1000))*ROW('Shared Calendar'!$A$2:$A$1000))))))</f>
        <v/>
      </c>
      <c r="I250" s="244">
        <f>IF(OR($A250="",$L250=""),"",IF(SUMPRODUCT(('Shared Calendar'!$K$2:$K$1000&gt;0)*('Shared Calendar'!$K$2:$K$1000&lt;=$B250)*('Shared Calendar'!$J$2:$J$1000&gt;$B250)*ISNUMBER(SEARCH($L250,'Shared Calendar'!$M$2:$M$1000))*('Shared Calendar'!$N$2:$N$1000="Leave"))&gt;0,"Leave",""))</f>
        <v/>
      </c>
      <c r="J250" s="244">
        <f>IF($A250="","",IFERROR(INDEX('Public Holidays'!$C$6:$C$38,MATCH($B250,'Public Holidays'!$A$6:$A$38,0))&amp;" ("&amp;INDEX('Public Holidays'!$L$6:$L$38,MATCH($B250,'Public Holidays'!$A$6:$A$38,0))&amp;")",""))</f>
        <v/>
      </c>
      <c r="K250" s="246">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44">
        <f>IF($A250="","",INDEX($B$7:$B$36,INT((ROW()-41)/14)+1)&amp;"")</f>
        <v/>
      </c>
    </row>
    <row r="251">
      <c r="A251" s="244">
        <f>IF(INDEX($A$7:$A$36,INT((ROW()-41)/14)+1)="","",INDEX($A$7:$A$36,INT((ROW()-41)/14)+1))</f>
        <v/>
      </c>
      <c r="B251" s="245">
        <f>IF($A251="","",$B$3+MOD(ROW()-41,14))</f>
        <v/>
      </c>
      <c r="C251" s="244">
        <f>IF($A251="","",TEXT($B251,"ddd"))</f>
        <v/>
      </c>
      <c r="D251" s="242">
        <f>IF($A251="","",SUMIFS('EH Timesheets'!$G$6:$G$1005,'EH Timesheets'!$A$6:$A$1005,$A251,'EH Timesheets'!$B$6:$B$1005,$B251))</f>
        <v/>
      </c>
      <c r="E251" s="242">
        <f>IF($A251="","",SUMIFS('EH Roster'!$G$6:$G$1005,'EH Roster'!$A$6:$A$1005,$A251,'EH Roster'!$B$6:$B$1005,$B251))</f>
        <v/>
      </c>
      <c r="F251" s="242">
        <f>IF($A251="","",$D251-$E251)</f>
        <v/>
      </c>
      <c r="G251" s="242">
        <f>IF($A251="","",IF($L251="",0,SUMPRODUCT(('Shared Calendar'!$K$2:$K$1000&gt;0)*('Shared Calendar'!$K$2:$K$1000&lt;=$B251)*('Shared Calendar'!$J$2:$J$1000&gt;$B251)*ISNUMBER(SEARCH($L251,'Shared Calendar'!$M$2:$M$1000))*('Shared Calendar'!$N$2:$N$1000="Event"),'Shared Calendar'!$L$2:$L$1000)))</f>
        <v/>
      </c>
      <c r="H251" s="246">
        <f>IF(OR($A251="",$L251=""),"",IF(SUMPRODUCT(MAX(('Shared Calendar'!$K$2:$K$1000&gt;0)*('Shared Calendar'!$K$2:$K$1000&lt;=$B251)*('Shared Calendar'!$J$2:$J$1000&gt;$B251)*ISNUMBER(SEARCH($L251,'Shared Calendar'!$M$2:$M$1000))*ROW('Shared Calendar'!$A$2:$A$1000)))=0,"",INDEX('Shared Calendar'!$A:$A,SUMPRODUCT(MAX(('Shared Calendar'!$K$2:$K$1000&gt;0)*('Shared Calendar'!$K$2:$K$1000&lt;=$B251)*('Shared Calendar'!$J$2:$J$1000&gt;$B251)*ISNUMBER(SEARCH($L251,'Shared Calendar'!$M$2:$M$1000))*ROW('Shared Calendar'!$A$2:$A$1000))))))</f>
        <v/>
      </c>
      <c r="I251" s="244">
        <f>IF(OR($A251="",$L251=""),"",IF(SUMPRODUCT(('Shared Calendar'!$K$2:$K$1000&gt;0)*('Shared Calendar'!$K$2:$K$1000&lt;=$B251)*('Shared Calendar'!$J$2:$J$1000&gt;$B251)*ISNUMBER(SEARCH($L251,'Shared Calendar'!$M$2:$M$1000))*('Shared Calendar'!$N$2:$N$1000="Leave"))&gt;0,"Leave",""))</f>
        <v/>
      </c>
      <c r="J251" s="244">
        <f>IF($A251="","",IFERROR(INDEX('Public Holidays'!$C$6:$C$38,MATCH($B251,'Public Holidays'!$A$6:$A$38,0))&amp;" ("&amp;INDEX('Public Holidays'!$L$6:$L$38,MATCH($B251,'Public Holidays'!$A$6:$A$38,0))&amp;")",""))</f>
        <v/>
      </c>
      <c r="K251" s="246">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44">
        <f>IF($A251="","",INDEX($B$7:$B$36,INT((ROW()-41)/14)+1)&amp;"")</f>
        <v/>
      </c>
    </row>
    <row r="252">
      <c r="A252" s="244">
        <f>IF(INDEX($A$7:$A$36,INT((ROW()-41)/14)+1)="","",INDEX($A$7:$A$36,INT((ROW()-41)/14)+1))</f>
        <v/>
      </c>
      <c r="B252" s="245">
        <f>IF($A252="","",$B$3+MOD(ROW()-41,14))</f>
        <v/>
      </c>
      <c r="C252" s="244">
        <f>IF($A252="","",TEXT($B252,"ddd"))</f>
        <v/>
      </c>
      <c r="D252" s="242">
        <f>IF($A252="","",SUMIFS('EH Timesheets'!$G$6:$G$1005,'EH Timesheets'!$A$6:$A$1005,$A252,'EH Timesheets'!$B$6:$B$1005,$B252))</f>
        <v/>
      </c>
      <c r="E252" s="242">
        <f>IF($A252="","",SUMIFS('EH Roster'!$G$6:$G$1005,'EH Roster'!$A$6:$A$1005,$A252,'EH Roster'!$B$6:$B$1005,$B252))</f>
        <v/>
      </c>
      <c r="F252" s="242">
        <f>IF($A252="","",$D252-$E252)</f>
        <v/>
      </c>
      <c r="G252" s="242">
        <f>IF($A252="","",IF($L252="",0,SUMPRODUCT(('Shared Calendar'!$K$2:$K$1000&gt;0)*('Shared Calendar'!$K$2:$K$1000&lt;=$B252)*('Shared Calendar'!$J$2:$J$1000&gt;$B252)*ISNUMBER(SEARCH($L252,'Shared Calendar'!$M$2:$M$1000))*('Shared Calendar'!$N$2:$N$1000="Event"),'Shared Calendar'!$L$2:$L$1000)))</f>
        <v/>
      </c>
      <c r="H252" s="246">
        <f>IF(OR($A252="",$L252=""),"",IF(SUMPRODUCT(MAX(('Shared Calendar'!$K$2:$K$1000&gt;0)*('Shared Calendar'!$K$2:$K$1000&lt;=$B252)*('Shared Calendar'!$J$2:$J$1000&gt;$B252)*ISNUMBER(SEARCH($L252,'Shared Calendar'!$M$2:$M$1000))*ROW('Shared Calendar'!$A$2:$A$1000)))=0,"",INDEX('Shared Calendar'!$A:$A,SUMPRODUCT(MAX(('Shared Calendar'!$K$2:$K$1000&gt;0)*('Shared Calendar'!$K$2:$K$1000&lt;=$B252)*('Shared Calendar'!$J$2:$J$1000&gt;$B252)*ISNUMBER(SEARCH($L252,'Shared Calendar'!$M$2:$M$1000))*ROW('Shared Calendar'!$A$2:$A$1000))))))</f>
        <v/>
      </c>
      <c r="I252" s="244">
        <f>IF(OR($A252="",$L252=""),"",IF(SUMPRODUCT(('Shared Calendar'!$K$2:$K$1000&gt;0)*('Shared Calendar'!$K$2:$K$1000&lt;=$B252)*('Shared Calendar'!$J$2:$J$1000&gt;$B252)*ISNUMBER(SEARCH($L252,'Shared Calendar'!$M$2:$M$1000))*('Shared Calendar'!$N$2:$N$1000="Leave"))&gt;0,"Leave",""))</f>
        <v/>
      </c>
      <c r="J252" s="244">
        <f>IF($A252="","",IFERROR(INDEX('Public Holidays'!$C$6:$C$38,MATCH($B252,'Public Holidays'!$A$6:$A$38,0))&amp;" ("&amp;INDEX('Public Holidays'!$L$6:$L$38,MATCH($B252,'Public Holidays'!$A$6:$A$38,0))&amp;")",""))</f>
        <v/>
      </c>
      <c r="K252" s="246">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44">
        <f>IF($A252="","",INDEX($B$7:$B$36,INT((ROW()-41)/14)+1)&amp;"")</f>
        <v/>
      </c>
    </row>
    <row r="253">
      <c r="A253" s="244">
        <f>IF(INDEX($A$7:$A$36,INT((ROW()-41)/14)+1)="","",INDEX($A$7:$A$36,INT((ROW()-41)/14)+1))</f>
        <v/>
      </c>
      <c r="B253" s="245">
        <f>IF($A253="","",$B$3+MOD(ROW()-41,14))</f>
        <v/>
      </c>
      <c r="C253" s="244">
        <f>IF($A253="","",TEXT($B253,"ddd"))</f>
        <v/>
      </c>
      <c r="D253" s="242">
        <f>IF($A253="","",SUMIFS('EH Timesheets'!$G$6:$G$1005,'EH Timesheets'!$A$6:$A$1005,$A253,'EH Timesheets'!$B$6:$B$1005,$B253))</f>
        <v/>
      </c>
      <c r="E253" s="242">
        <f>IF($A253="","",SUMIFS('EH Roster'!$G$6:$G$1005,'EH Roster'!$A$6:$A$1005,$A253,'EH Roster'!$B$6:$B$1005,$B253))</f>
        <v/>
      </c>
      <c r="F253" s="242">
        <f>IF($A253="","",$D253-$E253)</f>
        <v/>
      </c>
      <c r="G253" s="242">
        <f>IF($A253="","",IF($L253="",0,SUMPRODUCT(('Shared Calendar'!$K$2:$K$1000&gt;0)*('Shared Calendar'!$K$2:$K$1000&lt;=$B253)*('Shared Calendar'!$J$2:$J$1000&gt;$B253)*ISNUMBER(SEARCH($L253,'Shared Calendar'!$M$2:$M$1000))*('Shared Calendar'!$N$2:$N$1000="Event"),'Shared Calendar'!$L$2:$L$1000)))</f>
        <v/>
      </c>
      <c r="H253" s="246">
        <f>IF(OR($A253="",$L253=""),"",IF(SUMPRODUCT(MAX(('Shared Calendar'!$K$2:$K$1000&gt;0)*('Shared Calendar'!$K$2:$K$1000&lt;=$B253)*('Shared Calendar'!$J$2:$J$1000&gt;$B253)*ISNUMBER(SEARCH($L253,'Shared Calendar'!$M$2:$M$1000))*ROW('Shared Calendar'!$A$2:$A$1000)))=0,"",INDEX('Shared Calendar'!$A:$A,SUMPRODUCT(MAX(('Shared Calendar'!$K$2:$K$1000&gt;0)*('Shared Calendar'!$K$2:$K$1000&lt;=$B253)*('Shared Calendar'!$J$2:$J$1000&gt;$B253)*ISNUMBER(SEARCH($L253,'Shared Calendar'!$M$2:$M$1000))*ROW('Shared Calendar'!$A$2:$A$1000))))))</f>
        <v/>
      </c>
      <c r="I253" s="244">
        <f>IF(OR($A253="",$L253=""),"",IF(SUMPRODUCT(('Shared Calendar'!$K$2:$K$1000&gt;0)*('Shared Calendar'!$K$2:$K$1000&lt;=$B253)*('Shared Calendar'!$J$2:$J$1000&gt;$B253)*ISNUMBER(SEARCH($L253,'Shared Calendar'!$M$2:$M$1000))*('Shared Calendar'!$N$2:$N$1000="Leave"))&gt;0,"Leave",""))</f>
        <v/>
      </c>
      <c r="J253" s="244">
        <f>IF($A253="","",IFERROR(INDEX('Public Holidays'!$C$6:$C$38,MATCH($B253,'Public Holidays'!$A$6:$A$38,0))&amp;" ("&amp;INDEX('Public Holidays'!$L$6:$L$38,MATCH($B253,'Public Holidays'!$A$6:$A$38,0))&amp;")",""))</f>
        <v/>
      </c>
      <c r="K253" s="246">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44">
        <f>IF($A253="","",INDEX($B$7:$B$36,INT((ROW()-41)/14)+1)&amp;"")</f>
        <v/>
      </c>
    </row>
    <row r="254">
      <c r="A254" s="244">
        <f>IF(INDEX($A$7:$A$36,INT((ROW()-41)/14)+1)="","",INDEX($A$7:$A$36,INT((ROW()-41)/14)+1))</f>
        <v/>
      </c>
      <c r="B254" s="245">
        <f>IF($A254="","",$B$3+MOD(ROW()-41,14))</f>
        <v/>
      </c>
      <c r="C254" s="244">
        <f>IF($A254="","",TEXT($B254,"ddd"))</f>
        <v/>
      </c>
      <c r="D254" s="242">
        <f>IF($A254="","",SUMIFS('EH Timesheets'!$G$6:$G$1005,'EH Timesheets'!$A$6:$A$1005,$A254,'EH Timesheets'!$B$6:$B$1005,$B254))</f>
        <v/>
      </c>
      <c r="E254" s="242">
        <f>IF($A254="","",SUMIFS('EH Roster'!$G$6:$G$1005,'EH Roster'!$A$6:$A$1005,$A254,'EH Roster'!$B$6:$B$1005,$B254))</f>
        <v/>
      </c>
      <c r="F254" s="242">
        <f>IF($A254="","",$D254-$E254)</f>
        <v/>
      </c>
      <c r="G254" s="242">
        <f>IF($A254="","",IF($L254="",0,SUMPRODUCT(('Shared Calendar'!$K$2:$K$1000&gt;0)*('Shared Calendar'!$K$2:$K$1000&lt;=$B254)*('Shared Calendar'!$J$2:$J$1000&gt;$B254)*ISNUMBER(SEARCH($L254,'Shared Calendar'!$M$2:$M$1000))*('Shared Calendar'!$N$2:$N$1000="Event"),'Shared Calendar'!$L$2:$L$1000)))</f>
        <v/>
      </c>
      <c r="H254" s="246">
        <f>IF(OR($A254="",$L254=""),"",IF(SUMPRODUCT(MAX(('Shared Calendar'!$K$2:$K$1000&gt;0)*('Shared Calendar'!$K$2:$K$1000&lt;=$B254)*('Shared Calendar'!$J$2:$J$1000&gt;$B254)*ISNUMBER(SEARCH($L254,'Shared Calendar'!$M$2:$M$1000))*ROW('Shared Calendar'!$A$2:$A$1000)))=0,"",INDEX('Shared Calendar'!$A:$A,SUMPRODUCT(MAX(('Shared Calendar'!$K$2:$K$1000&gt;0)*('Shared Calendar'!$K$2:$K$1000&lt;=$B254)*('Shared Calendar'!$J$2:$J$1000&gt;$B254)*ISNUMBER(SEARCH($L254,'Shared Calendar'!$M$2:$M$1000))*ROW('Shared Calendar'!$A$2:$A$1000))))))</f>
        <v/>
      </c>
      <c r="I254" s="244">
        <f>IF(OR($A254="",$L254=""),"",IF(SUMPRODUCT(('Shared Calendar'!$K$2:$K$1000&gt;0)*('Shared Calendar'!$K$2:$K$1000&lt;=$B254)*('Shared Calendar'!$J$2:$J$1000&gt;$B254)*ISNUMBER(SEARCH($L254,'Shared Calendar'!$M$2:$M$1000))*('Shared Calendar'!$N$2:$N$1000="Leave"))&gt;0,"Leave",""))</f>
        <v/>
      </c>
      <c r="J254" s="244">
        <f>IF($A254="","",IFERROR(INDEX('Public Holidays'!$C$6:$C$38,MATCH($B254,'Public Holidays'!$A$6:$A$38,0))&amp;" ("&amp;INDEX('Public Holidays'!$L$6:$L$38,MATCH($B254,'Public Holidays'!$A$6:$A$38,0))&amp;")",""))</f>
        <v/>
      </c>
      <c r="K254" s="246">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44">
        <f>IF($A254="","",INDEX($B$7:$B$36,INT((ROW()-41)/14)+1)&amp;"")</f>
        <v/>
      </c>
    </row>
    <row r="255">
      <c r="A255" s="244">
        <f>IF(INDEX($A$7:$A$36,INT((ROW()-41)/14)+1)="","",INDEX($A$7:$A$36,INT((ROW()-41)/14)+1))</f>
        <v/>
      </c>
      <c r="B255" s="245">
        <f>IF($A255="","",$B$3+MOD(ROW()-41,14))</f>
        <v/>
      </c>
      <c r="C255" s="244">
        <f>IF($A255="","",TEXT($B255,"ddd"))</f>
        <v/>
      </c>
      <c r="D255" s="242">
        <f>IF($A255="","",SUMIFS('EH Timesheets'!$G$6:$G$1005,'EH Timesheets'!$A$6:$A$1005,$A255,'EH Timesheets'!$B$6:$B$1005,$B255))</f>
        <v/>
      </c>
      <c r="E255" s="242">
        <f>IF($A255="","",SUMIFS('EH Roster'!$G$6:$G$1005,'EH Roster'!$A$6:$A$1005,$A255,'EH Roster'!$B$6:$B$1005,$B255))</f>
        <v/>
      </c>
      <c r="F255" s="242">
        <f>IF($A255="","",$D255-$E255)</f>
        <v/>
      </c>
      <c r="G255" s="242">
        <f>IF($A255="","",IF($L255="",0,SUMPRODUCT(('Shared Calendar'!$K$2:$K$1000&gt;0)*('Shared Calendar'!$K$2:$K$1000&lt;=$B255)*('Shared Calendar'!$J$2:$J$1000&gt;$B255)*ISNUMBER(SEARCH($L255,'Shared Calendar'!$M$2:$M$1000))*('Shared Calendar'!$N$2:$N$1000="Event"),'Shared Calendar'!$L$2:$L$1000)))</f>
        <v/>
      </c>
      <c r="H255" s="246">
        <f>IF(OR($A255="",$L255=""),"",IF(SUMPRODUCT(MAX(('Shared Calendar'!$K$2:$K$1000&gt;0)*('Shared Calendar'!$K$2:$K$1000&lt;=$B255)*('Shared Calendar'!$J$2:$J$1000&gt;$B255)*ISNUMBER(SEARCH($L255,'Shared Calendar'!$M$2:$M$1000))*ROW('Shared Calendar'!$A$2:$A$1000)))=0,"",INDEX('Shared Calendar'!$A:$A,SUMPRODUCT(MAX(('Shared Calendar'!$K$2:$K$1000&gt;0)*('Shared Calendar'!$K$2:$K$1000&lt;=$B255)*('Shared Calendar'!$J$2:$J$1000&gt;$B255)*ISNUMBER(SEARCH($L255,'Shared Calendar'!$M$2:$M$1000))*ROW('Shared Calendar'!$A$2:$A$1000))))))</f>
        <v/>
      </c>
      <c r="I255" s="244">
        <f>IF(OR($A255="",$L255=""),"",IF(SUMPRODUCT(('Shared Calendar'!$K$2:$K$1000&gt;0)*('Shared Calendar'!$K$2:$K$1000&lt;=$B255)*('Shared Calendar'!$J$2:$J$1000&gt;$B255)*ISNUMBER(SEARCH($L255,'Shared Calendar'!$M$2:$M$1000))*('Shared Calendar'!$N$2:$N$1000="Leave"))&gt;0,"Leave",""))</f>
        <v/>
      </c>
      <c r="J255" s="244">
        <f>IF($A255="","",IFERROR(INDEX('Public Holidays'!$C$6:$C$38,MATCH($B255,'Public Holidays'!$A$6:$A$38,0))&amp;" ("&amp;INDEX('Public Holidays'!$L$6:$L$38,MATCH($B255,'Public Holidays'!$A$6:$A$38,0))&amp;")",""))</f>
        <v/>
      </c>
      <c r="K255" s="246">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44">
        <f>IF($A255="","",INDEX($B$7:$B$36,INT((ROW()-41)/14)+1)&amp;"")</f>
        <v/>
      </c>
    </row>
    <row r="256">
      <c r="A256" s="244">
        <f>IF(INDEX($A$7:$A$36,INT((ROW()-41)/14)+1)="","",INDEX($A$7:$A$36,INT((ROW()-41)/14)+1))</f>
        <v/>
      </c>
      <c r="B256" s="245">
        <f>IF($A256="","",$B$3+MOD(ROW()-41,14))</f>
        <v/>
      </c>
      <c r="C256" s="244">
        <f>IF($A256="","",TEXT($B256,"ddd"))</f>
        <v/>
      </c>
      <c r="D256" s="242">
        <f>IF($A256="","",SUMIFS('EH Timesheets'!$G$6:$G$1005,'EH Timesheets'!$A$6:$A$1005,$A256,'EH Timesheets'!$B$6:$B$1005,$B256))</f>
        <v/>
      </c>
      <c r="E256" s="242">
        <f>IF($A256="","",SUMIFS('EH Roster'!$G$6:$G$1005,'EH Roster'!$A$6:$A$1005,$A256,'EH Roster'!$B$6:$B$1005,$B256))</f>
        <v/>
      </c>
      <c r="F256" s="242">
        <f>IF($A256="","",$D256-$E256)</f>
        <v/>
      </c>
      <c r="G256" s="242">
        <f>IF($A256="","",IF($L256="",0,SUMPRODUCT(('Shared Calendar'!$K$2:$K$1000&gt;0)*('Shared Calendar'!$K$2:$K$1000&lt;=$B256)*('Shared Calendar'!$J$2:$J$1000&gt;$B256)*ISNUMBER(SEARCH($L256,'Shared Calendar'!$M$2:$M$1000))*('Shared Calendar'!$N$2:$N$1000="Event"),'Shared Calendar'!$L$2:$L$1000)))</f>
        <v/>
      </c>
      <c r="H256" s="246">
        <f>IF(OR($A256="",$L256=""),"",IF(SUMPRODUCT(MAX(('Shared Calendar'!$K$2:$K$1000&gt;0)*('Shared Calendar'!$K$2:$K$1000&lt;=$B256)*('Shared Calendar'!$J$2:$J$1000&gt;$B256)*ISNUMBER(SEARCH($L256,'Shared Calendar'!$M$2:$M$1000))*ROW('Shared Calendar'!$A$2:$A$1000)))=0,"",INDEX('Shared Calendar'!$A:$A,SUMPRODUCT(MAX(('Shared Calendar'!$K$2:$K$1000&gt;0)*('Shared Calendar'!$K$2:$K$1000&lt;=$B256)*('Shared Calendar'!$J$2:$J$1000&gt;$B256)*ISNUMBER(SEARCH($L256,'Shared Calendar'!$M$2:$M$1000))*ROW('Shared Calendar'!$A$2:$A$1000))))))</f>
        <v/>
      </c>
      <c r="I256" s="244">
        <f>IF(OR($A256="",$L256=""),"",IF(SUMPRODUCT(('Shared Calendar'!$K$2:$K$1000&gt;0)*('Shared Calendar'!$K$2:$K$1000&lt;=$B256)*('Shared Calendar'!$J$2:$J$1000&gt;$B256)*ISNUMBER(SEARCH($L256,'Shared Calendar'!$M$2:$M$1000))*('Shared Calendar'!$N$2:$N$1000="Leave"))&gt;0,"Leave",""))</f>
        <v/>
      </c>
      <c r="J256" s="244">
        <f>IF($A256="","",IFERROR(INDEX('Public Holidays'!$C$6:$C$38,MATCH($B256,'Public Holidays'!$A$6:$A$38,0))&amp;" ("&amp;INDEX('Public Holidays'!$L$6:$L$38,MATCH($B256,'Public Holidays'!$A$6:$A$38,0))&amp;")",""))</f>
        <v/>
      </c>
      <c r="K256" s="246">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44">
        <f>IF($A256="","",INDEX($B$7:$B$36,INT((ROW()-41)/14)+1)&amp;"")</f>
        <v/>
      </c>
    </row>
    <row r="257">
      <c r="A257" s="244">
        <f>IF(INDEX($A$7:$A$36,INT((ROW()-41)/14)+1)="","",INDEX($A$7:$A$36,INT((ROW()-41)/14)+1))</f>
        <v/>
      </c>
      <c r="B257" s="245">
        <f>IF($A257="","",$B$3+MOD(ROW()-41,14))</f>
        <v/>
      </c>
      <c r="C257" s="244">
        <f>IF($A257="","",TEXT($B257,"ddd"))</f>
        <v/>
      </c>
      <c r="D257" s="242">
        <f>IF($A257="","",SUMIFS('EH Timesheets'!$G$6:$G$1005,'EH Timesheets'!$A$6:$A$1005,$A257,'EH Timesheets'!$B$6:$B$1005,$B257))</f>
        <v/>
      </c>
      <c r="E257" s="242">
        <f>IF($A257="","",SUMIFS('EH Roster'!$G$6:$G$1005,'EH Roster'!$A$6:$A$1005,$A257,'EH Roster'!$B$6:$B$1005,$B257))</f>
        <v/>
      </c>
      <c r="F257" s="242">
        <f>IF($A257="","",$D257-$E257)</f>
        <v/>
      </c>
      <c r="G257" s="242">
        <f>IF($A257="","",IF($L257="",0,SUMPRODUCT(('Shared Calendar'!$K$2:$K$1000&gt;0)*('Shared Calendar'!$K$2:$K$1000&lt;=$B257)*('Shared Calendar'!$J$2:$J$1000&gt;$B257)*ISNUMBER(SEARCH($L257,'Shared Calendar'!$M$2:$M$1000))*('Shared Calendar'!$N$2:$N$1000="Event"),'Shared Calendar'!$L$2:$L$1000)))</f>
        <v/>
      </c>
      <c r="H257" s="246">
        <f>IF(OR($A257="",$L257=""),"",IF(SUMPRODUCT(MAX(('Shared Calendar'!$K$2:$K$1000&gt;0)*('Shared Calendar'!$K$2:$K$1000&lt;=$B257)*('Shared Calendar'!$J$2:$J$1000&gt;$B257)*ISNUMBER(SEARCH($L257,'Shared Calendar'!$M$2:$M$1000))*ROW('Shared Calendar'!$A$2:$A$1000)))=0,"",INDEX('Shared Calendar'!$A:$A,SUMPRODUCT(MAX(('Shared Calendar'!$K$2:$K$1000&gt;0)*('Shared Calendar'!$K$2:$K$1000&lt;=$B257)*('Shared Calendar'!$J$2:$J$1000&gt;$B257)*ISNUMBER(SEARCH($L257,'Shared Calendar'!$M$2:$M$1000))*ROW('Shared Calendar'!$A$2:$A$1000))))))</f>
        <v/>
      </c>
      <c r="I257" s="244">
        <f>IF(OR($A257="",$L257=""),"",IF(SUMPRODUCT(('Shared Calendar'!$K$2:$K$1000&gt;0)*('Shared Calendar'!$K$2:$K$1000&lt;=$B257)*('Shared Calendar'!$J$2:$J$1000&gt;$B257)*ISNUMBER(SEARCH($L257,'Shared Calendar'!$M$2:$M$1000))*('Shared Calendar'!$N$2:$N$1000="Leave"))&gt;0,"Leave",""))</f>
        <v/>
      </c>
      <c r="J257" s="244">
        <f>IF($A257="","",IFERROR(INDEX('Public Holidays'!$C$6:$C$38,MATCH($B257,'Public Holidays'!$A$6:$A$38,0))&amp;" ("&amp;INDEX('Public Holidays'!$L$6:$L$38,MATCH($B257,'Public Holidays'!$A$6:$A$38,0))&amp;")",""))</f>
        <v/>
      </c>
      <c r="K257" s="246">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44">
        <f>IF($A257="","",INDEX($B$7:$B$36,INT((ROW()-41)/14)+1)&amp;"")</f>
        <v/>
      </c>
    </row>
    <row r="258">
      <c r="A258" s="244">
        <f>IF(INDEX($A$7:$A$36,INT((ROW()-41)/14)+1)="","",INDEX($A$7:$A$36,INT((ROW()-41)/14)+1))</f>
        <v/>
      </c>
      <c r="B258" s="245">
        <f>IF($A258="","",$B$3+MOD(ROW()-41,14))</f>
        <v/>
      </c>
      <c r="C258" s="244">
        <f>IF($A258="","",TEXT($B258,"ddd"))</f>
        <v/>
      </c>
      <c r="D258" s="242">
        <f>IF($A258="","",SUMIFS('EH Timesheets'!$G$6:$G$1005,'EH Timesheets'!$A$6:$A$1005,$A258,'EH Timesheets'!$B$6:$B$1005,$B258))</f>
        <v/>
      </c>
      <c r="E258" s="242">
        <f>IF($A258="","",SUMIFS('EH Roster'!$G$6:$G$1005,'EH Roster'!$A$6:$A$1005,$A258,'EH Roster'!$B$6:$B$1005,$B258))</f>
        <v/>
      </c>
      <c r="F258" s="242">
        <f>IF($A258="","",$D258-$E258)</f>
        <v/>
      </c>
      <c r="G258" s="242">
        <f>IF($A258="","",IF($L258="",0,SUMPRODUCT(('Shared Calendar'!$K$2:$K$1000&gt;0)*('Shared Calendar'!$K$2:$K$1000&lt;=$B258)*('Shared Calendar'!$J$2:$J$1000&gt;$B258)*ISNUMBER(SEARCH($L258,'Shared Calendar'!$M$2:$M$1000))*('Shared Calendar'!$N$2:$N$1000="Event"),'Shared Calendar'!$L$2:$L$1000)))</f>
        <v/>
      </c>
      <c r="H258" s="246">
        <f>IF(OR($A258="",$L258=""),"",IF(SUMPRODUCT(MAX(('Shared Calendar'!$K$2:$K$1000&gt;0)*('Shared Calendar'!$K$2:$K$1000&lt;=$B258)*('Shared Calendar'!$J$2:$J$1000&gt;$B258)*ISNUMBER(SEARCH($L258,'Shared Calendar'!$M$2:$M$1000))*ROW('Shared Calendar'!$A$2:$A$1000)))=0,"",INDEX('Shared Calendar'!$A:$A,SUMPRODUCT(MAX(('Shared Calendar'!$K$2:$K$1000&gt;0)*('Shared Calendar'!$K$2:$K$1000&lt;=$B258)*('Shared Calendar'!$J$2:$J$1000&gt;$B258)*ISNUMBER(SEARCH($L258,'Shared Calendar'!$M$2:$M$1000))*ROW('Shared Calendar'!$A$2:$A$1000))))))</f>
        <v/>
      </c>
      <c r="I258" s="244">
        <f>IF(OR($A258="",$L258=""),"",IF(SUMPRODUCT(('Shared Calendar'!$K$2:$K$1000&gt;0)*('Shared Calendar'!$K$2:$K$1000&lt;=$B258)*('Shared Calendar'!$J$2:$J$1000&gt;$B258)*ISNUMBER(SEARCH($L258,'Shared Calendar'!$M$2:$M$1000))*('Shared Calendar'!$N$2:$N$1000="Leave"))&gt;0,"Leave",""))</f>
        <v/>
      </c>
      <c r="J258" s="244">
        <f>IF($A258="","",IFERROR(INDEX('Public Holidays'!$C$6:$C$38,MATCH($B258,'Public Holidays'!$A$6:$A$38,0))&amp;" ("&amp;INDEX('Public Holidays'!$L$6:$L$38,MATCH($B258,'Public Holidays'!$A$6:$A$38,0))&amp;")",""))</f>
        <v/>
      </c>
      <c r="K258" s="246">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44">
        <f>IF($A258="","",INDEX($B$7:$B$36,INT((ROW()-41)/14)+1)&amp;"")</f>
        <v/>
      </c>
    </row>
    <row r="259">
      <c r="A259" s="244">
        <f>IF(INDEX($A$7:$A$36,INT((ROW()-41)/14)+1)="","",INDEX($A$7:$A$36,INT((ROW()-41)/14)+1))</f>
        <v/>
      </c>
      <c r="B259" s="245">
        <f>IF($A259="","",$B$3+MOD(ROW()-41,14))</f>
        <v/>
      </c>
      <c r="C259" s="244">
        <f>IF($A259="","",TEXT($B259,"ddd"))</f>
        <v/>
      </c>
      <c r="D259" s="242">
        <f>IF($A259="","",SUMIFS('EH Timesheets'!$G$6:$G$1005,'EH Timesheets'!$A$6:$A$1005,$A259,'EH Timesheets'!$B$6:$B$1005,$B259))</f>
        <v/>
      </c>
      <c r="E259" s="242">
        <f>IF($A259="","",SUMIFS('EH Roster'!$G$6:$G$1005,'EH Roster'!$A$6:$A$1005,$A259,'EH Roster'!$B$6:$B$1005,$B259))</f>
        <v/>
      </c>
      <c r="F259" s="242">
        <f>IF($A259="","",$D259-$E259)</f>
        <v/>
      </c>
      <c r="G259" s="242">
        <f>IF($A259="","",IF($L259="",0,SUMPRODUCT(('Shared Calendar'!$K$2:$K$1000&gt;0)*('Shared Calendar'!$K$2:$K$1000&lt;=$B259)*('Shared Calendar'!$J$2:$J$1000&gt;$B259)*ISNUMBER(SEARCH($L259,'Shared Calendar'!$M$2:$M$1000))*('Shared Calendar'!$N$2:$N$1000="Event"),'Shared Calendar'!$L$2:$L$1000)))</f>
        <v/>
      </c>
      <c r="H259" s="246">
        <f>IF(OR($A259="",$L259=""),"",IF(SUMPRODUCT(MAX(('Shared Calendar'!$K$2:$K$1000&gt;0)*('Shared Calendar'!$K$2:$K$1000&lt;=$B259)*('Shared Calendar'!$J$2:$J$1000&gt;$B259)*ISNUMBER(SEARCH($L259,'Shared Calendar'!$M$2:$M$1000))*ROW('Shared Calendar'!$A$2:$A$1000)))=0,"",INDEX('Shared Calendar'!$A:$A,SUMPRODUCT(MAX(('Shared Calendar'!$K$2:$K$1000&gt;0)*('Shared Calendar'!$K$2:$K$1000&lt;=$B259)*('Shared Calendar'!$J$2:$J$1000&gt;$B259)*ISNUMBER(SEARCH($L259,'Shared Calendar'!$M$2:$M$1000))*ROW('Shared Calendar'!$A$2:$A$1000))))))</f>
        <v/>
      </c>
      <c r="I259" s="244">
        <f>IF(OR($A259="",$L259=""),"",IF(SUMPRODUCT(('Shared Calendar'!$K$2:$K$1000&gt;0)*('Shared Calendar'!$K$2:$K$1000&lt;=$B259)*('Shared Calendar'!$J$2:$J$1000&gt;$B259)*ISNUMBER(SEARCH($L259,'Shared Calendar'!$M$2:$M$1000))*('Shared Calendar'!$N$2:$N$1000="Leave"))&gt;0,"Leave",""))</f>
        <v/>
      </c>
      <c r="J259" s="244">
        <f>IF($A259="","",IFERROR(INDEX('Public Holidays'!$C$6:$C$38,MATCH($B259,'Public Holidays'!$A$6:$A$38,0))&amp;" ("&amp;INDEX('Public Holidays'!$L$6:$L$38,MATCH($B259,'Public Holidays'!$A$6:$A$38,0))&amp;")",""))</f>
        <v/>
      </c>
      <c r="K259" s="246">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44">
        <f>IF($A259="","",INDEX($B$7:$B$36,INT((ROW()-41)/14)+1)&amp;"")</f>
        <v/>
      </c>
    </row>
    <row r="260">
      <c r="A260" s="244">
        <f>IF(INDEX($A$7:$A$36,INT((ROW()-41)/14)+1)="","",INDEX($A$7:$A$36,INT((ROW()-41)/14)+1))</f>
        <v/>
      </c>
      <c r="B260" s="245">
        <f>IF($A260="","",$B$3+MOD(ROW()-41,14))</f>
        <v/>
      </c>
      <c r="C260" s="244">
        <f>IF($A260="","",TEXT($B260,"ddd"))</f>
        <v/>
      </c>
      <c r="D260" s="242">
        <f>IF($A260="","",SUMIFS('EH Timesheets'!$G$6:$G$1005,'EH Timesheets'!$A$6:$A$1005,$A260,'EH Timesheets'!$B$6:$B$1005,$B260))</f>
        <v/>
      </c>
      <c r="E260" s="242">
        <f>IF($A260="","",SUMIFS('EH Roster'!$G$6:$G$1005,'EH Roster'!$A$6:$A$1005,$A260,'EH Roster'!$B$6:$B$1005,$B260))</f>
        <v/>
      </c>
      <c r="F260" s="242">
        <f>IF($A260="","",$D260-$E260)</f>
        <v/>
      </c>
      <c r="G260" s="242">
        <f>IF($A260="","",IF($L260="",0,SUMPRODUCT(('Shared Calendar'!$K$2:$K$1000&gt;0)*('Shared Calendar'!$K$2:$K$1000&lt;=$B260)*('Shared Calendar'!$J$2:$J$1000&gt;$B260)*ISNUMBER(SEARCH($L260,'Shared Calendar'!$M$2:$M$1000))*('Shared Calendar'!$N$2:$N$1000="Event"),'Shared Calendar'!$L$2:$L$1000)))</f>
        <v/>
      </c>
      <c r="H260" s="246">
        <f>IF(OR($A260="",$L260=""),"",IF(SUMPRODUCT(MAX(('Shared Calendar'!$K$2:$K$1000&gt;0)*('Shared Calendar'!$K$2:$K$1000&lt;=$B260)*('Shared Calendar'!$J$2:$J$1000&gt;$B260)*ISNUMBER(SEARCH($L260,'Shared Calendar'!$M$2:$M$1000))*ROW('Shared Calendar'!$A$2:$A$1000)))=0,"",INDEX('Shared Calendar'!$A:$A,SUMPRODUCT(MAX(('Shared Calendar'!$K$2:$K$1000&gt;0)*('Shared Calendar'!$K$2:$K$1000&lt;=$B260)*('Shared Calendar'!$J$2:$J$1000&gt;$B260)*ISNUMBER(SEARCH($L260,'Shared Calendar'!$M$2:$M$1000))*ROW('Shared Calendar'!$A$2:$A$1000))))))</f>
        <v/>
      </c>
      <c r="I260" s="244">
        <f>IF(OR($A260="",$L260=""),"",IF(SUMPRODUCT(('Shared Calendar'!$K$2:$K$1000&gt;0)*('Shared Calendar'!$K$2:$K$1000&lt;=$B260)*('Shared Calendar'!$J$2:$J$1000&gt;$B260)*ISNUMBER(SEARCH($L260,'Shared Calendar'!$M$2:$M$1000))*('Shared Calendar'!$N$2:$N$1000="Leave"))&gt;0,"Leave",""))</f>
        <v/>
      </c>
      <c r="J260" s="244">
        <f>IF($A260="","",IFERROR(INDEX('Public Holidays'!$C$6:$C$38,MATCH($B260,'Public Holidays'!$A$6:$A$38,0))&amp;" ("&amp;INDEX('Public Holidays'!$L$6:$L$38,MATCH($B260,'Public Holidays'!$A$6:$A$38,0))&amp;")",""))</f>
        <v/>
      </c>
      <c r="K260" s="246">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44">
        <f>IF($A260="","",INDEX($B$7:$B$36,INT((ROW()-41)/14)+1)&amp;"")</f>
        <v/>
      </c>
    </row>
    <row r="261">
      <c r="A261" s="244">
        <f>IF(INDEX($A$7:$A$36,INT((ROW()-41)/14)+1)="","",INDEX($A$7:$A$36,INT((ROW()-41)/14)+1))</f>
        <v/>
      </c>
      <c r="B261" s="245">
        <f>IF($A261="","",$B$3+MOD(ROW()-41,14))</f>
        <v/>
      </c>
      <c r="C261" s="244">
        <f>IF($A261="","",TEXT($B261,"ddd"))</f>
        <v/>
      </c>
      <c r="D261" s="242">
        <f>IF($A261="","",SUMIFS('EH Timesheets'!$G$6:$G$1005,'EH Timesheets'!$A$6:$A$1005,$A261,'EH Timesheets'!$B$6:$B$1005,$B261))</f>
        <v/>
      </c>
      <c r="E261" s="242">
        <f>IF($A261="","",SUMIFS('EH Roster'!$G$6:$G$1005,'EH Roster'!$A$6:$A$1005,$A261,'EH Roster'!$B$6:$B$1005,$B261))</f>
        <v/>
      </c>
      <c r="F261" s="242">
        <f>IF($A261="","",$D261-$E261)</f>
        <v/>
      </c>
      <c r="G261" s="242">
        <f>IF($A261="","",IF($L261="",0,SUMPRODUCT(('Shared Calendar'!$K$2:$K$1000&gt;0)*('Shared Calendar'!$K$2:$K$1000&lt;=$B261)*('Shared Calendar'!$J$2:$J$1000&gt;$B261)*ISNUMBER(SEARCH($L261,'Shared Calendar'!$M$2:$M$1000))*('Shared Calendar'!$N$2:$N$1000="Event"),'Shared Calendar'!$L$2:$L$1000)))</f>
        <v/>
      </c>
      <c r="H261" s="246">
        <f>IF(OR($A261="",$L261=""),"",IF(SUMPRODUCT(MAX(('Shared Calendar'!$K$2:$K$1000&gt;0)*('Shared Calendar'!$K$2:$K$1000&lt;=$B261)*('Shared Calendar'!$J$2:$J$1000&gt;$B261)*ISNUMBER(SEARCH($L261,'Shared Calendar'!$M$2:$M$1000))*ROW('Shared Calendar'!$A$2:$A$1000)))=0,"",INDEX('Shared Calendar'!$A:$A,SUMPRODUCT(MAX(('Shared Calendar'!$K$2:$K$1000&gt;0)*('Shared Calendar'!$K$2:$K$1000&lt;=$B261)*('Shared Calendar'!$J$2:$J$1000&gt;$B261)*ISNUMBER(SEARCH($L261,'Shared Calendar'!$M$2:$M$1000))*ROW('Shared Calendar'!$A$2:$A$1000))))))</f>
        <v/>
      </c>
      <c r="I261" s="244">
        <f>IF(OR($A261="",$L261=""),"",IF(SUMPRODUCT(('Shared Calendar'!$K$2:$K$1000&gt;0)*('Shared Calendar'!$K$2:$K$1000&lt;=$B261)*('Shared Calendar'!$J$2:$J$1000&gt;$B261)*ISNUMBER(SEARCH($L261,'Shared Calendar'!$M$2:$M$1000))*('Shared Calendar'!$N$2:$N$1000="Leave"))&gt;0,"Leave",""))</f>
        <v/>
      </c>
      <c r="J261" s="244">
        <f>IF($A261="","",IFERROR(INDEX('Public Holidays'!$C$6:$C$38,MATCH($B261,'Public Holidays'!$A$6:$A$38,0))&amp;" ("&amp;INDEX('Public Holidays'!$L$6:$L$38,MATCH($B261,'Public Holidays'!$A$6:$A$38,0))&amp;")",""))</f>
        <v/>
      </c>
      <c r="K261" s="246">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44">
        <f>IF($A261="","",INDEX($B$7:$B$36,INT((ROW()-41)/14)+1)&amp;"")</f>
        <v/>
      </c>
    </row>
    <row r="262">
      <c r="A262" s="244">
        <f>IF(INDEX($A$7:$A$36,INT((ROW()-41)/14)+1)="","",INDEX($A$7:$A$36,INT((ROW()-41)/14)+1))</f>
        <v/>
      </c>
      <c r="B262" s="245">
        <f>IF($A262="","",$B$3+MOD(ROW()-41,14))</f>
        <v/>
      </c>
      <c r="C262" s="244">
        <f>IF($A262="","",TEXT($B262,"ddd"))</f>
        <v/>
      </c>
      <c r="D262" s="242">
        <f>IF($A262="","",SUMIFS('EH Timesheets'!$G$6:$G$1005,'EH Timesheets'!$A$6:$A$1005,$A262,'EH Timesheets'!$B$6:$B$1005,$B262))</f>
        <v/>
      </c>
      <c r="E262" s="242">
        <f>IF($A262="","",SUMIFS('EH Roster'!$G$6:$G$1005,'EH Roster'!$A$6:$A$1005,$A262,'EH Roster'!$B$6:$B$1005,$B262))</f>
        <v/>
      </c>
      <c r="F262" s="242">
        <f>IF($A262="","",$D262-$E262)</f>
        <v/>
      </c>
      <c r="G262" s="242">
        <f>IF($A262="","",IF($L262="",0,SUMPRODUCT(('Shared Calendar'!$K$2:$K$1000&gt;0)*('Shared Calendar'!$K$2:$K$1000&lt;=$B262)*('Shared Calendar'!$J$2:$J$1000&gt;$B262)*ISNUMBER(SEARCH($L262,'Shared Calendar'!$M$2:$M$1000))*('Shared Calendar'!$N$2:$N$1000="Event"),'Shared Calendar'!$L$2:$L$1000)))</f>
        <v/>
      </c>
      <c r="H262" s="246">
        <f>IF(OR($A262="",$L262=""),"",IF(SUMPRODUCT(MAX(('Shared Calendar'!$K$2:$K$1000&gt;0)*('Shared Calendar'!$K$2:$K$1000&lt;=$B262)*('Shared Calendar'!$J$2:$J$1000&gt;$B262)*ISNUMBER(SEARCH($L262,'Shared Calendar'!$M$2:$M$1000))*ROW('Shared Calendar'!$A$2:$A$1000)))=0,"",INDEX('Shared Calendar'!$A:$A,SUMPRODUCT(MAX(('Shared Calendar'!$K$2:$K$1000&gt;0)*('Shared Calendar'!$K$2:$K$1000&lt;=$B262)*('Shared Calendar'!$J$2:$J$1000&gt;$B262)*ISNUMBER(SEARCH($L262,'Shared Calendar'!$M$2:$M$1000))*ROW('Shared Calendar'!$A$2:$A$1000))))))</f>
        <v/>
      </c>
      <c r="I262" s="244">
        <f>IF(OR($A262="",$L262=""),"",IF(SUMPRODUCT(('Shared Calendar'!$K$2:$K$1000&gt;0)*('Shared Calendar'!$K$2:$K$1000&lt;=$B262)*('Shared Calendar'!$J$2:$J$1000&gt;$B262)*ISNUMBER(SEARCH($L262,'Shared Calendar'!$M$2:$M$1000))*('Shared Calendar'!$N$2:$N$1000="Leave"))&gt;0,"Leave",""))</f>
        <v/>
      </c>
      <c r="J262" s="244">
        <f>IF($A262="","",IFERROR(INDEX('Public Holidays'!$C$6:$C$38,MATCH($B262,'Public Holidays'!$A$6:$A$38,0))&amp;" ("&amp;INDEX('Public Holidays'!$L$6:$L$38,MATCH($B262,'Public Holidays'!$A$6:$A$38,0))&amp;")",""))</f>
        <v/>
      </c>
      <c r="K262" s="246">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44">
        <f>IF($A262="","",INDEX($B$7:$B$36,INT((ROW()-41)/14)+1)&amp;"")</f>
        <v/>
      </c>
    </row>
    <row r="263">
      <c r="A263" s="244">
        <f>IF(INDEX($A$7:$A$36,INT((ROW()-41)/14)+1)="","",INDEX($A$7:$A$36,INT((ROW()-41)/14)+1))</f>
        <v/>
      </c>
      <c r="B263" s="245">
        <f>IF($A263="","",$B$3+MOD(ROW()-41,14))</f>
        <v/>
      </c>
      <c r="C263" s="244">
        <f>IF($A263="","",TEXT($B263,"ddd"))</f>
        <v/>
      </c>
      <c r="D263" s="242">
        <f>IF($A263="","",SUMIFS('EH Timesheets'!$G$6:$G$1005,'EH Timesheets'!$A$6:$A$1005,$A263,'EH Timesheets'!$B$6:$B$1005,$B263))</f>
        <v/>
      </c>
      <c r="E263" s="242">
        <f>IF($A263="","",SUMIFS('EH Roster'!$G$6:$G$1005,'EH Roster'!$A$6:$A$1005,$A263,'EH Roster'!$B$6:$B$1005,$B263))</f>
        <v/>
      </c>
      <c r="F263" s="242">
        <f>IF($A263="","",$D263-$E263)</f>
        <v/>
      </c>
      <c r="G263" s="242">
        <f>IF($A263="","",IF($L263="",0,SUMPRODUCT(('Shared Calendar'!$K$2:$K$1000&gt;0)*('Shared Calendar'!$K$2:$K$1000&lt;=$B263)*('Shared Calendar'!$J$2:$J$1000&gt;$B263)*ISNUMBER(SEARCH($L263,'Shared Calendar'!$M$2:$M$1000))*('Shared Calendar'!$N$2:$N$1000="Event"),'Shared Calendar'!$L$2:$L$1000)))</f>
        <v/>
      </c>
      <c r="H263" s="246">
        <f>IF(OR($A263="",$L263=""),"",IF(SUMPRODUCT(MAX(('Shared Calendar'!$K$2:$K$1000&gt;0)*('Shared Calendar'!$K$2:$K$1000&lt;=$B263)*('Shared Calendar'!$J$2:$J$1000&gt;$B263)*ISNUMBER(SEARCH($L263,'Shared Calendar'!$M$2:$M$1000))*ROW('Shared Calendar'!$A$2:$A$1000)))=0,"",INDEX('Shared Calendar'!$A:$A,SUMPRODUCT(MAX(('Shared Calendar'!$K$2:$K$1000&gt;0)*('Shared Calendar'!$K$2:$K$1000&lt;=$B263)*('Shared Calendar'!$J$2:$J$1000&gt;$B263)*ISNUMBER(SEARCH($L263,'Shared Calendar'!$M$2:$M$1000))*ROW('Shared Calendar'!$A$2:$A$1000))))))</f>
        <v/>
      </c>
      <c r="I263" s="244">
        <f>IF(OR($A263="",$L263=""),"",IF(SUMPRODUCT(('Shared Calendar'!$K$2:$K$1000&gt;0)*('Shared Calendar'!$K$2:$K$1000&lt;=$B263)*('Shared Calendar'!$J$2:$J$1000&gt;$B263)*ISNUMBER(SEARCH($L263,'Shared Calendar'!$M$2:$M$1000))*('Shared Calendar'!$N$2:$N$1000="Leave"))&gt;0,"Leave",""))</f>
        <v/>
      </c>
      <c r="J263" s="244">
        <f>IF($A263="","",IFERROR(INDEX('Public Holidays'!$C$6:$C$38,MATCH($B263,'Public Holidays'!$A$6:$A$38,0))&amp;" ("&amp;INDEX('Public Holidays'!$L$6:$L$38,MATCH($B263,'Public Holidays'!$A$6:$A$38,0))&amp;")",""))</f>
        <v/>
      </c>
      <c r="K263" s="246">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44">
        <f>IF($A263="","",INDEX($B$7:$B$36,INT((ROW()-41)/14)+1)&amp;"")</f>
        <v/>
      </c>
    </row>
    <row r="264">
      <c r="A264" s="244">
        <f>IF(INDEX($A$7:$A$36,INT((ROW()-41)/14)+1)="","",INDEX($A$7:$A$36,INT((ROW()-41)/14)+1))</f>
        <v/>
      </c>
      <c r="B264" s="245">
        <f>IF($A264="","",$B$3+MOD(ROW()-41,14))</f>
        <v/>
      </c>
      <c r="C264" s="244">
        <f>IF($A264="","",TEXT($B264,"ddd"))</f>
        <v/>
      </c>
      <c r="D264" s="242">
        <f>IF($A264="","",SUMIFS('EH Timesheets'!$G$6:$G$1005,'EH Timesheets'!$A$6:$A$1005,$A264,'EH Timesheets'!$B$6:$B$1005,$B264))</f>
        <v/>
      </c>
      <c r="E264" s="242">
        <f>IF($A264="","",SUMIFS('EH Roster'!$G$6:$G$1005,'EH Roster'!$A$6:$A$1005,$A264,'EH Roster'!$B$6:$B$1005,$B264))</f>
        <v/>
      </c>
      <c r="F264" s="242">
        <f>IF($A264="","",$D264-$E264)</f>
        <v/>
      </c>
      <c r="G264" s="242">
        <f>IF($A264="","",IF($L264="",0,SUMPRODUCT(('Shared Calendar'!$K$2:$K$1000&gt;0)*('Shared Calendar'!$K$2:$K$1000&lt;=$B264)*('Shared Calendar'!$J$2:$J$1000&gt;$B264)*ISNUMBER(SEARCH($L264,'Shared Calendar'!$M$2:$M$1000))*('Shared Calendar'!$N$2:$N$1000="Event"),'Shared Calendar'!$L$2:$L$1000)))</f>
        <v/>
      </c>
      <c r="H264" s="246">
        <f>IF(OR($A264="",$L264=""),"",IF(SUMPRODUCT(MAX(('Shared Calendar'!$K$2:$K$1000&gt;0)*('Shared Calendar'!$K$2:$K$1000&lt;=$B264)*('Shared Calendar'!$J$2:$J$1000&gt;$B264)*ISNUMBER(SEARCH($L264,'Shared Calendar'!$M$2:$M$1000))*ROW('Shared Calendar'!$A$2:$A$1000)))=0,"",INDEX('Shared Calendar'!$A:$A,SUMPRODUCT(MAX(('Shared Calendar'!$K$2:$K$1000&gt;0)*('Shared Calendar'!$K$2:$K$1000&lt;=$B264)*('Shared Calendar'!$J$2:$J$1000&gt;$B264)*ISNUMBER(SEARCH($L264,'Shared Calendar'!$M$2:$M$1000))*ROW('Shared Calendar'!$A$2:$A$1000))))))</f>
        <v/>
      </c>
      <c r="I264" s="244">
        <f>IF(OR($A264="",$L264=""),"",IF(SUMPRODUCT(('Shared Calendar'!$K$2:$K$1000&gt;0)*('Shared Calendar'!$K$2:$K$1000&lt;=$B264)*('Shared Calendar'!$J$2:$J$1000&gt;$B264)*ISNUMBER(SEARCH($L264,'Shared Calendar'!$M$2:$M$1000))*('Shared Calendar'!$N$2:$N$1000="Leave"))&gt;0,"Leave",""))</f>
        <v/>
      </c>
      <c r="J264" s="244">
        <f>IF($A264="","",IFERROR(INDEX('Public Holidays'!$C$6:$C$38,MATCH($B264,'Public Holidays'!$A$6:$A$38,0))&amp;" ("&amp;INDEX('Public Holidays'!$L$6:$L$38,MATCH($B264,'Public Holidays'!$A$6:$A$38,0))&amp;")",""))</f>
        <v/>
      </c>
      <c r="K264" s="246">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44">
        <f>IF($A264="","",INDEX($B$7:$B$36,INT((ROW()-41)/14)+1)&amp;"")</f>
        <v/>
      </c>
    </row>
    <row r="265">
      <c r="A265" s="244">
        <f>IF(INDEX($A$7:$A$36,INT((ROW()-41)/14)+1)="","",INDEX($A$7:$A$36,INT((ROW()-41)/14)+1))</f>
        <v/>
      </c>
      <c r="B265" s="245">
        <f>IF($A265="","",$B$3+MOD(ROW()-41,14))</f>
        <v/>
      </c>
      <c r="C265" s="244">
        <f>IF($A265="","",TEXT($B265,"ddd"))</f>
        <v/>
      </c>
      <c r="D265" s="242">
        <f>IF($A265="","",SUMIFS('EH Timesheets'!$G$6:$G$1005,'EH Timesheets'!$A$6:$A$1005,$A265,'EH Timesheets'!$B$6:$B$1005,$B265))</f>
        <v/>
      </c>
      <c r="E265" s="242">
        <f>IF($A265="","",SUMIFS('EH Roster'!$G$6:$G$1005,'EH Roster'!$A$6:$A$1005,$A265,'EH Roster'!$B$6:$B$1005,$B265))</f>
        <v/>
      </c>
      <c r="F265" s="242">
        <f>IF($A265="","",$D265-$E265)</f>
        <v/>
      </c>
      <c r="G265" s="242">
        <f>IF($A265="","",IF($L265="",0,SUMPRODUCT(('Shared Calendar'!$K$2:$K$1000&gt;0)*('Shared Calendar'!$K$2:$K$1000&lt;=$B265)*('Shared Calendar'!$J$2:$J$1000&gt;$B265)*ISNUMBER(SEARCH($L265,'Shared Calendar'!$M$2:$M$1000))*('Shared Calendar'!$N$2:$N$1000="Event"),'Shared Calendar'!$L$2:$L$1000)))</f>
        <v/>
      </c>
      <c r="H265" s="246">
        <f>IF(OR($A265="",$L265=""),"",IF(SUMPRODUCT(MAX(('Shared Calendar'!$K$2:$K$1000&gt;0)*('Shared Calendar'!$K$2:$K$1000&lt;=$B265)*('Shared Calendar'!$J$2:$J$1000&gt;$B265)*ISNUMBER(SEARCH($L265,'Shared Calendar'!$M$2:$M$1000))*ROW('Shared Calendar'!$A$2:$A$1000)))=0,"",INDEX('Shared Calendar'!$A:$A,SUMPRODUCT(MAX(('Shared Calendar'!$K$2:$K$1000&gt;0)*('Shared Calendar'!$K$2:$K$1000&lt;=$B265)*('Shared Calendar'!$J$2:$J$1000&gt;$B265)*ISNUMBER(SEARCH($L265,'Shared Calendar'!$M$2:$M$1000))*ROW('Shared Calendar'!$A$2:$A$1000))))))</f>
        <v/>
      </c>
      <c r="I265" s="244">
        <f>IF(OR($A265="",$L265=""),"",IF(SUMPRODUCT(('Shared Calendar'!$K$2:$K$1000&gt;0)*('Shared Calendar'!$K$2:$K$1000&lt;=$B265)*('Shared Calendar'!$J$2:$J$1000&gt;$B265)*ISNUMBER(SEARCH($L265,'Shared Calendar'!$M$2:$M$1000))*('Shared Calendar'!$N$2:$N$1000="Leave"))&gt;0,"Leave",""))</f>
        <v/>
      </c>
      <c r="J265" s="244">
        <f>IF($A265="","",IFERROR(INDEX('Public Holidays'!$C$6:$C$38,MATCH($B265,'Public Holidays'!$A$6:$A$38,0))&amp;" ("&amp;INDEX('Public Holidays'!$L$6:$L$38,MATCH($B265,'Public Holidays'!$A$6:$A$38,0))&amp;")",""))</f>
        <v/>
      </c>
      <c r="K265" s="246">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44">
        <f>IF($A265="","",INDEX($B$7:$B$36,INT((ROW()-41)/14)+1)&amp;"")</f>
        <v/>
      </c>
    </row>
    <row r="266">
      <c r="A266" s="244">
        <f>IF(INDEX($A$7:$A$36,INT((ROW()-41)/14)+1)="","",INDEX($A$7:$A$36,INT((ROW()-41)/14)+1))</f>
        <v/>
      </c>
      <c r="B266" s="245">
        <f>IF($A266="","",$B$3+MOD(ROW()-41,14))</f>
        <v/>
      </c>
      <c r="C266" s="244">
        <f>IF($A266="","",TEXT($B266,"ddd"))</f>
        <v/>
      </c>
      <c r="D266" s="242">
        <f>IF($A266="","",SUMIFS('EH Timesheets'!$G$6:$G$1005,'EH Timesheets'!$A$6:$A$1005,$A266,'EH Timesheets'!$B$6:$B$1005,$B266))</f>
        <v/>
      </c>
      <c r="E266" s="242">
        <f>IF($A266="","",SUMIFS('EH Roster'!$G$6:$G$1005,'EH Roster'!$A$6:$A$1005,$A266,'EH Roster'!$B$6:$B$1005,$B266))</f>
        <v/>
      </c>
      <c r="F266" s="242">
        <f>IF($A266="","",$D266-$E266)</f>
        <v/>
      </c>
      <c r="G266" s="242">
        <f>IF($A266="","",IF($L266="",0,SUMPRODUCT(('Shared Calendar'!$K$2:$K$1000&gt;0)*('Shared Calendar'!$K$2:$K$1000&lt;=$B266)*('Shared Calendar'!$J$2:$J$1000&gt;$B266)*ISNUMBER(SEARCH($L266,'Shared Calendar'!$M$2:$M$1000))*('Shared Calendar'!$N$2:$N$1000="Event"),'Shared Calendar'!$L$2:$L$1000)))</f>
        <v/>
      </c>
      <c r="H266" s="246">
        <f>IF(OR($A266="",$L266=""),"",IF(SUMPRODUCT(MAX(('Shared Calendar'!$K$2:$K$1000&gt;0)*('Shared Calendar'!$K$2:$K$1000&lt;=$B266)*('Shared Calendar'!$J$2:$J$1000&gt;$B266)*ISNUMBER(SEARCH($L266,'Shared Calendar'!$M$2:$M$1000))*ROW('Shared Calendar'!$A$2:$A$1000)))=0,"",INDEX('Shared Calendar'!$A:$A,SUMPRODUCT(MAX(('Shared Calendar'!$K$2:$K$1000&gt;0)*('Shared Calendar'!$K$2:$K$1000&lt;=$B266)*('Shared Calendar'!$J$2:$J$1000&gt;$B266)*ISNUMBER(SEARCH($L266,'Shared Calendar'!$M$2:$M$1000))*ROW('Shared Calendar'!$A$2:$A$1000))))))</f>
        <v/>
      </c>
      <c r="I266" s="244">
        <f>IF(OR($A266="",$L266=""),"",IF(SUMPRODUCT(('Shared Calendar'!$K$2:$K$1000&gt;0)*('Shared Calendar'!$K$2:$K$1000&lt;=$B266)*('Shared Calendar'!$J$2:$J$1000&gt;$B266)*ISNUMBER(SEARCH($L266,'Shared Calendar'!$M$2:$M$1000))*('Shared Calendar'!$N$2:$N$1000="Leave"))&gt;0,"Leave",""))</f>
        <v/>
      </c>
      <c r="J266" s="244">
        <f>IF($A266="","",IFERROR(INDEX('Public Holidays'!$C$6:$C$38,MATCH($B266,'Public Holidays'!$A$6:$A$38,0))&amp;" ("&amp;INDEX('Public Holidays'!$L$6:$L$38,MATCH($B266,'Public Holidays'!$A$6:$A$38,0))&amp;")",""))</f>
        <v/>
      </c>
      <c r="K266" s="246">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44">
        <f>IF($A266="","",INDEX($B$7:$B$36,INT((ROW()-41)/14)+1)&amp;"")</f>
        <v/>
      </c>
    </row>
    <row r="267">
      <c r="A267" s="244">
        <f>IF(INDEX($A$7:$A$36,INT((ROW()-41)/14)+1)="","",INDEX($A$7:$A$36,INT((ROW()-41)/14)+1))</f>
        <v/>
      </c>
      <c r="B267" s="245">
        <f>IF($A267="","",$B$3+MOD(ROW()-41,14))</f>
        <v/>
      </c>
      <c r="C267" s="244">
        <f>IF($A267="","",TEXT($B267,"ddd"))</f>
        <v/>
      </c>
      <c r="D267" s="242">
        <f>IF($A267="","",SUMIFS('EH Timesheets'!$G$6:$G$1005,'EH Timesheets'!$A$6:$A$1005,$A267,'EH Timesheets'!$B$6:$B$1005,$B267))</f>
        <v/>
      </c>
      <c r="E267" s="242">
        <f>IF($A267="","",SUMIFS('EH Roster'!$G$6:$G$1005,'EH Roster'!$A$6:$A$1005,$A267,'EH Roster'!$B$6:$B$1005,$B267))</f>
        <v/>
      </c>
      <c r="F267" s="242">
        <f>IF($A267="","",$D267-$E267)</f>
        <v/>
      </c>
      <c r="G267" s="242">
        <f>IF($A267="","",IF($L267="",0,SUMPRODUCT(('Shared Calendar'!$K$2:$K$1000&gt;0)*('Shared Calendar'!$K$2:$K$1000&lt;=$B267)*('Shared Calendar'!$J$2:$J$1000&gt;$B267)*ISNUMBER(SEARCH($L267,'Shared Calendar'!$M$2:$M$1000))*('Shared Calendar'!$N$2:$N$1000="Event"),'Shared Calendar'!$L$2:$L$1000)))</f>
        <v/>
      </c>
      <c r="H267" s="246">
        <f>IF(OR($A267="",$L267=""),"",IF(SUMPRODUCT(MAX(('Shared Calendar'!$K$2:$K$1000&gt;0)*('Shared Calendar'!$K$2:$K$1000&lt;=$B267)*('Shared Calendar'!$J$2:$J$1000&gt;$B267)*ISNUMBER(SEARCH($L267,'Shared Calendar'!$M$2:$M$1000))*ROW('Shared Calendar'!$A$2:$A$1000)))=0,"",INDEX('Shared Calendar'!$A:$A,SUMPRODUCT(MAX(('Shared Calendar'!$K$2:$K$1000&gt;0)*('Shared Calendar'!$K$2:$K$1000&lt;=$B267)*('Shared Calendar'!$J$2:$J$1000&gt;$B267)*ISNUMBER(SEARCH($L267,'Shared Calendar'!$M$2:$M$1000))*ROW('Shared Calendar'!$A$2:$A$1000))))))</f>
        <v/>
      </c>
      <c r="I267" s="244">
        <f>IF(OR($A267="",$L267=""),"",IF(SUMPRODUCT(('Shared Calendar'!$K$2:$K$1000&gt;0)*('Shared Calendar'!$K$2:$K$1000&lt;=$B267)*('Shared Calendar'!$J$2:$J$1000&gt;$B267)*ISNUMBER(SEARCH($L267,'Shared Calendar'!$M$2:$M$1000))*('Shared Calendar'!$N$2:$N$1000="Leave"))&gt;0,"Leave",""))</f>
        <v/>
      </c>
      <c r="J267" s="244">
        <f>IF($A267="","",IFERROR(INDEX('Public Holidays'!$C$6:$C$38,MATCH($B267,'Public Holidays'!$A$6:$A$38,0))&amp;" ("&amp;INDEX('Public Holidays'!$L$6:$L$38,MATCH($B267,'Public Holidays'!$A$6:$A$38,0))&amp;")",""))</f>
        <v/>
      </c>
      <c r="K267" s="246">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44">
        <f>IF($A267="","",INDEX($B$7:$B$36,INT((ROW()-41)/14)+1)&amp;"")</f>
        <v/>
      </c>
    </row>
    <row r="268">
      <c r="A268" s="244">
        <f>IF(INDEX($A$7:$A$36,INT((ROW()-41)/14)+1)="","",INDEX($A$7:$A$36,INT((ROW()-41)/14)+1))</f>
        <v/>
      </c>
      <c r="B268" s="245">
        <f>IF($A268="","",$B$3+MOD(ROW()-41,14))</f>
        <v/>
      </c>
      <c r="C268" s="244">
        <f>IF($A268="","",TEXT($B268,"ddd"))</f>
        <v/>
      </c>
      <c r="D268" s="242">
        <f>IF($A268="","",SUMIFS('EH Timesheets'!$G$6:$G$1005,'EH Timesheets'!$A$6:$A$1005,$A268,'EH Timesheets'!$B$6:$B$1005,$B268))</f>
        <v/>
      </c>
      <c r="E268" s="242">
        <f>IF($A268="","",SUMIFS('EH Roster'!$G$6:$G$1005,'EH Roster'!$A$6:$A$1005,$A268,'EH Roster'!$B$6:$B$1005,$B268))</f>
        <v/>
      </c>
      <c r="F268" s="242">
        <f>IF($A268="","",$D268-$E268)</f>
        <v/>
      </c>
      <c r="G268" s="242">
        <f>IF($A268="","",IF($L268="",0,SUMPRODUCT(('Shared Calendar'!$K$2:$K$1000&gt;0)*('Shared Calendar'!$K$2:$K$1000&lt;=$B268)*('Shared Calendar'!$J$2:$J$1000&gt;$B268)*ISNUMBER(SEARCH($L268,'Shared Calendar'!$M$2:$M$1000))*('Shared Calendar'!$N$2:$N$1000="Event"),'Shared Calendar'!$L$2:$L$1000)))</f>
        <v/>
      </c>
      <c r="H268" s="246">
        <f>IF(OR($A268="",$L268=""),"",IF(SUMPRODUCT(MAX(('Shared Calendar'!$K$2:$K$1000&gt;0)*('Shared Calendar'!$K$2:$K$1000&lt;=$B268)*('Shared Calendar'!$J$2:$J$1000&gt;$B268)*ISNUMBER(SEARCH($L268,'Shared Calendar'!$M$2:$M$1000))*ROW('Shared Calendar'!$A$2:$A$1000)))=0,"",INDEX('Shared Calendar'!$A:$A,SUMPRODUCT(MAX(('Shared Calendar'!$K$2:$K$1000&gt;0)*('Shared Calendar'!$K$2:$K$1000&lt;=$B268)*('Shared Calendar'!$J$2:$J$1000&gt;$B268)*ISNUMBER(SEARCH($L268,'Shared Calendar'!$M$2:$M$1000))*ROW('Shared Calendar'!$A$2:$A$1000))))))</f>
        <v/>
      </c>
      <c r="I268" s="244">
        <f>IF(OR($A268="",$L268=""),"",IF(SUMPRODUCT(('Shared Calendar'!$K$2:$K$1000&gt;0)*('Shared Calendar'!$K$2:$K$1000&lt;=$B268)*('Shared Calendar'!$J$2:$J$1000&gt;$B268)*ISNUMBER(SEARCH($L268,'Shared Calendar'!$M$2:$M$1000))*('Shared Calendar'!$N$2:$N$1000="Leave"))&gt;0,"Leave",""))</f>
        <v/>
      </c>
      <c r="J268" s="244">
        <f>IF($A268="","",IFERROR(INDEX('Public Holidays'!$C$6:$C$38,MATCH($B268,'Public Holidays'!$A$6:$A$38,0))&amp;" ("&amp;INDEX('Public Holidays'!$L$6:$L$38,MATCH($B268,'Public Holidays'!$A$6:$A$38,0))&amp;")",""))</f>
        <v/>
      </c>
      <c r="K268" s="246">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44">
        <f>IF($A268="","",INDEX($B$7:$B$36,INT((ROW()-41)/14)+1)&amp;"")</f>
        <v/>
      </c>
    </row>
    <row r="269">
      <c r="A269" s="244">
        <f>IF(INDEX($A$7:$A$36,INT((ROW()-41)/14)+1)="","",INDEX($A$7:$A$36,INT((ROW()-41)/14)+1))</f>
        <v/>
      </c>
      <c r="B269" s="245">
        <f>IF($A269="","",$B$3+MOD(ROW()-41,14))</f>
        <v/>
      </c>
      <c r="C269" s="244">
        <f>IF($A269="","",TEXT($B269,"ddd"))</f>
        <v/>
      </c>
      <c r="D269" s="242">
        <f>IF($A269="","",SUMIFS('EH Timesheets'!$G$6:$G$1005,'EH Timesheets'!$A$6:$A$1005,$A269,'EH Timesheets'!$B$6:$B$1005,$B269))</f>
        <v/>
      </c>
      <c r="E269" s="242">
        <f>IF($A269="","",SUMIFS('EH Roster'!$G$6:$G$1005,'EH Roster'!$A$6:$A$1005,$A269,'EH Roster'!$B$6:$B$1005,$B269))</f>
        <v/>
      </c>
      <c r="F269" s="242">
        <f>IF($A269="","",$D269-$E269)</f>
        <v/>
      </c>
      <c r="G269" s="242">
        <f>IF($A269="","",IF($L269="",0,SUMPRODUCT(('Shared Calendar'!$K$2:$K$1000&gt;0)*('Shared Calendar'!$K$2:$K$1000&lt;=$B269)*('Shared Calendar'!$J$2:$J$1000&gt;$B269)*ISNUMBER(SEARCH($L269,'Shared Calendar'!$M$2:$M$1000))*('Shared Calendar'!$N$2:$N$1000="Event"),'Shared Calendar'!$L$2:$L$1000)))</f>
        <v/>
      </c>
      <c r="H269" s="246">
        <f>IF(OR($A269="",$L269=""),"",IF(SUMPRODUCT(MAX(('Shared Calendar'!$K$2:$K$1000&gt;0)*('Shared Calendar'!$K$2:$K$1000&lt;=$B269)*('Shared Calendar'!$J$2:$J$1000&gt;$B269)*ISNUMBER(SEARCH($L269,'Shared Calendar'!$M$2:$M$1000))*ROW('Shared Calendar'!$A$2:$A$1000)))=0,"",INDEX('Shared Calendar'!$A:$A,SUMPRODUCT(MAX(('Shared Calendar'!$K$2:$K$1000&gt;0)*('Shared Calendar'!$K$2:$K$1000&lt;=$B269)*('Shared Calendar'!$J$2:$J$1000&gt;$B269)*ISNUMBER(SEARCH($L269,'Shared Calendar'!$M$2:$M$1000))*ROW('Shared Calendar'!$A$2:$A$1000))))))</f>
        <v/>
      </c>
      <c r="I269" s="244">
        <f>IF(OR($A269="",$L269=""),"",IF(SUMPRODUCT(('Shared Calendar'!$K$2:$K$1000&gt;0)*('Shared Calendar'!$K$2:$K$1000&lt;=$B269)*('Shared Calendar'!$J$2:$J$1000&gt;$B269)*ISNUMBER(SEARCH($L269,'Shared Calendar'!$M$2:$M$1000))*('Shared Calendar'!$N$2:$N$1000="Leave"))&gt;0,"Leave",""))</f>
        <v/>
      </c>
      <c r="J269" s="244">
        <f>IF($A269="","",IFERROR(INDEX('Public Holidays'!$C$6:$C$38,MATCH($B269,'Public Holidays'!$A$6:$A$38,0))&amp;" ("&amp;INDEX('Public Holidays'!$L$6:$L$38,MATCH($B269,'Public Holidays'!$A$6:$A$38,0))&amp;")",""))</f>
        <v/>
      </c>
      <c r="K269" s="246">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44">
        <f>IF($A269="","",INDEX($B$7:$B$36,INT((ROW()-41)/14)+1)&amp;"")</f>
        <v/>
      </c>
    </row>
    <row r="270">
      <c r="A270" s="244">
        <f>IF(INDEX($A$7:$A$36,INT((ROW()-41)/14)+1)="","",INDEX($A$7:$A$36,INT((ROW()-41)/14)+1))</f>
        <v/>
      </c>
      <c r="B270" s="245">
        <f>IF($A270="","",$B$3+MOD(ROW()-41,14))</f>
        <v/>
      </c>
      <c r="C270" s="244">
        <f>IF($A270="","",TEXT($B270,"ddd"))</f>
        <v/>
      </c>
      <c r="D270" s="242">
        <f>IF($A270="","",SUMIFS('EH Timesheets'!$G$6:$G$1005,'EH Timesheets'!$A$6:$A$1005,$A270,'EH Timesheets'!$B$6:$B$1005,$B270))</f>
        <v/>
      </c>
      <c r="E270" s="242">
        <f>IF($A270="","",SUMIFS('EH Roster'!$G$6:$G$1005,'EH Roster'!$A$6:$A$1005,$A270,'EH Roster'!$B$6:$B$1005,$B270))</f>
        <v/>
      </c>
      <c r="F270" s="242">
        <f>IF($A270="","",$D270-$E270)</f>
        <v/>
      </c>
      <c r="G270" s="242">
        <f>IF($A270="","",IF($L270="",0,SUMPRODUCT(('Shared Calendar'!$K$2:$K$1000&gt;0)*('Shared Calendar'!$K$2:$K$1000&lt;=$B270)*('Shared Calendar'!$J$2:$J$1000&gt;$B270)*ISNUMBER(SEARCH($L270,'Shared Calendar'!$M$2:$M$1000))*('Shared Calendar'!$N$2:$N$1000="Event"),'Shared Calendar'!$L$2:$L$1000)))</f>
        <v/>
      </c>
      <c r="H270" s="246">
        <f>IF(OR($A270="",$L270=""),"",IF(SUMPRODUCT(MAX(('Shared Calendar'!$K$2:$K$1000&gt;0)*('Shared Calendar'!$K$2:$K$1000&lt;=$B270)*('Shared Calendar'!$J$2:$J$1000&gt;$B270)*ISNUMBER(SEARCH($L270,'Shared Calendar'!$M$2:$M$1000))*ROW('Shared Calendar'!$A$2:$A$1000)))=0,"",INDEX('Shared Calendar'!$A:$A,SUMPRODUCT(MAX(('Shared Calendar'!$K$2:$K$1000&gt;0)*('Shared Calendar'!$K$2:$K$1000&lt;=$B270)*('Shared Calendar'!$J$2:$J$1000&gt;$B270)*ISNUMBER(SEARCH($L270,'Shared Calendar'!$M$2:$M$1000))*ROW('Shared Calendar'!$A$2:$A$1000))))))</f>
        <v/>
      </c>
      <c r="I270" s="244">
        <f>IF(OR($A270="",$L270=""),"",IF(SUMPRODUCT(('Shared Calendar'!$K$2:$K$1000&gt;0)*('Shared Calendar'!$K$2:$K$1000&lt;=$B270)*('Shared Calendar'!$J$2:$J$1000&gt;$B270)*ISNUMBER(SEARCH($L270,'Shared Calendar'!$M$2:$M$1000))*('Shared Calendar'!$N$2:$N$1000="Leave"))&gt;0,"Leave",""))</f>
        <v/>
      </c>
      <c r="J270" s="244">
        <f>IF($A270="","",IFERROR(INDEX('Public Holidays'!$C$6:$C$38,MATCH($B270,'Public Holidays'!$A$6:$A$38,0))&amp;" ("&amp;INDEX('Public Holidays'!$L$6:$L$38,MATCH($B270,'Public Holidays'!$A$6:$A$38,0))&amp;")",""))</f>
        <v/>
      </c>
      <c r="K270" s="246">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44">
        <f>IF($A270="","",INDEX($B$7:$B$36,INT((ROW()-41)/14)+1)&amp;"")</f>
        <v/>
      </c>
    </row>
    <row r="271">
      <c r="A271" s="244">
        <f>IF(INDEX($A$7:$A$36,INT((ROW()-41)/14)+1)="","",INDEX($A$7:$A$36,INT((ROW()-41)/14)+1))</f>
        <v/>
      </c>
      <c r="B271" s="245">
        <f>IF($A271="","",$B$3+MOD(ROW()-41,14))</f>
        <v/>
      </c>
      <c r="C271" s="244">
        <f>IF($A271="","",TEXT($B271,"ddd"))</f>
        <v/>
      </c>
      <c r="D271" s="242">
        <f>IF($A271="","",SUMIFS('EH Timesheets'!$G$6:$G$1005,'EH Timesheets'!$A$6:$A$1005,$A271,'EH Timesheets'!$B$6:$B$1005,$B271))</f>
        <v/>
      </c>
      <c r="E271" s="242">
        <f>IF($A271="","",SUMIFS('EH Roster'!$G$6:$G$1005,'EH Roster'!$A$6:$A$1005,$A271,'EH Roster'!$B$6:$B$1005,$B271))</f>
        <v/>
      </c>
      <c r="F271" s="242">
        <f>IF($A271="","",$D271-$E271)</f>
        <v/>
      </c>
      <c r="G271" s="242">
        <f>IF($A271="","",IF($L271="",0,SUMPRODUCT(('Shared Calendar'!$K$2:$K$1000&gt;0)*('Shared Calendar'!$K$2:$K$1000&lt;=$B271)*('Shared Calendar'!$J$2:$J$1000&gt;$B271)*ISNUMBER(SEARCH($L271,'Shared Calendar'!$M$2:$M$1000))*('Shared Calendar'!$N$2:$N$1000="Event"),'Shared Calendar'!$L$2:$L$1000)))</f>
        <v/>
      </c>
      <c r="H271" s="246">
        <f>IF(OR($A271="",$L271=""),"",IF(SUMPRODUCT(MAX(('Shared Calendar'!$K$2:$K$1000&gt;0)*('Shared Calendar'!$K$2:$K$1000&lt;=$B271)*('Shared Calendar'!$J$2:$J$1000&gt;$B271)*ISNUMBER(SEARCH($L271,'Shared Calendar'!$M$2:$M$1000))*ROW('Shared Calendar'!$A$2:$A$1000)))=0,"",INDEX('Shared Calendar'!$A:$A,SUMPRODUCT(MAX(('Shared Calendar'!$K$2:$K$1000&gt;0)*('Shared Calendar'!$K$2:$K$1000&lt;=$B271)*('Shared Calendar'!$J$2:$J$1000&gt;$B271)*ISNUMBER(SEARCH($L271,'Shared Calendar'!$M$2:$M$1000))*ROW('Shared Calendar'!$A$2:$A$1000))))))</f>
        <v/>
      </c>
      <c r="I271" s="244">
        <f>IF(OR($A271="",$L271=""),"",IF(SUMPRODUCT(('Shared Calendar'!$K$2:$K$1000&gt;0)*('Shared Calendar'!$K$2:$K$1000&lt;=$B271)*('Shared Calendar'!$J$2:$J$1000&gt;$B271)*ISNUMBER(SEARCH($L271,'Shared Calendar'!$M$2:$M$1000))*('Shared Calendar'!$N$2:$N$1000="Leave"))&gt;0,"Leave",""))</f>
        <v/>
      </c>
      <c r="J271" s="244">
        <f>IF($A271="","",IFERROR(INDEX('Public Holidays'!$C$6:$C$38,MATCH($B271,'Public Holidays'!$A$6:$A$38,0))&amp;" ("&amp;INDEX('Public Holidays'!$L$6:$L$38,MATCH($B271,'Public Holidays'!$A$6:$A$38,0))&amp;")",""))</f>
        <v/>
      </c>
      <c r="K271" s="246">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44">
        <f>IF($A271="","",INDEX($B$7:$B$36,INT((ROW()-41)/14)+1)&amp;"")</f>
        <v/>
      </c>
    </row>
    <row r="272">
      <c r="A272" s="244">
        <f>IF(INDEX($A$7:$A$36,INT((ROW()-41)/14)+1)="","",INDEX($A$7:$A$36,INT((ROW()-41)/14)+1))</f>
        <v/>
      </c>
      <c r="B272" s="245">
        <f>IF($A272="","",$B$3+MOD(ROW()-41,14))</f>
        <v/>
      </c>
      <c r="C272" s="244">
        <f>IF($A272="","",TEXT($B272,"ddd"))</f>
        <v/>
      </c>
      <c r="D272" s="242">
        <f>IF($A272="","",SUMIFS('EH Timesheets'!$G$6:$G$1005,'EH Timesheets'!$A$6:$A$1005,$A272,'EH Timesheets'!$B$6:$B$1005,$B272))</f>
        <v/>
      </c>
      <c r="E272" s="242">
        <f>IF($A272="","",SUMIFS('EH Roster'!$G$6:$G$1005,'EH Roster'!$A$6:$A$1005,$A272,'EH Roster'!$B$6:$B$1005,$B272))</f>
        <v/>
      </c>
      <c r="F272" s="242">
        <f>IF($A272="","",$D272-$E272)</f>
        <v/>
      </c>
      <c r="G272" s="242">
        <f>IF($A272="","",IF($L272="",0,SUMPRODUCT(('Shared Calendar'!$K$2:$K$1000&gt;0)*('Shared Calendar'!$K$2:$K$1000&lt;=$B272)*('Shared Calendar'!$J$2:$J$1000&gt;$B272)*ISNUMBER(SEARCH($L272,'Shared Calendar'!$M$2:$M$1000))*('Shared Calendar'!$N$2:$N$1000="Event"),'Shared Calendar'!$L$2:$L$1000)))</f>
        <v/>
      </c>
      <c r="H272" s="246">
        <f>IF(OR($A272="",$L272=""),"",IF(SUMPRODUCT(MAX(('Shared Calendar'!$K$2:$K$1000&gt;0)*('Shared Calendar'!$K$2:$K$1000&lt;=$B272)*('Shared Calendar'!$J$2:$J$1000&gt;$B272)*ISNUMBER(SEARCH($L272,'Shared Calendar'!$M$2:$M$1000))*ROW('Shared Calendar'!$A$2:$A$1000)))=0,"",INDEX('Shared Calendar'!$A:$A,SUMPRODUCT(MAX(('Shared Calendar'!$K$2:$K$1000&gt;0)*('Shared Calendar'!$K$2:$K$1000&lt;=$B272)*('Shared Calendar'!$J$2:$J$1000&gt;$B272)*ISNUMBER(SEARCH($L272,'Shared Calendar'!$M$2:$M$1000))*ROW('Shared Calendar'!$A$2:$A$1000))))))</f>
        <v/>
      </c>
      <c r="I272" s="244">
        <f>IF(OR($A272="",$L272=""),"",IF(SUMPRODUCT(('Shared Calendar'!$K$2:$K$1000&gt;0)*('Shared Calendar'!$K$2:$K$1000&lt;=$B272)*('Shared Calendar'!$J$2:$J$1000&gt;$B272)*ISNUMBER(SEARCH($L272,'Shared Calendar'!$M$2:$M$1000))*('Shared Calendar'!$N$2:$N$1000="Leave"))&gt;0,"Leave",""))</f>
        <v/>
      </c>
      <c r="J272" s="244">
        <f>IF($A272="","",IFERROR(INDEX('Public Holidays'!$C$6:$C$38,MATCH($B272,'Public Holidays'!$A$6:$A$38,0))&amp;" ("&amp;INDEX('Public Holidays'!$L$6:$L$38,MATCH($B272,'Public Holidays'!$A$6:$A$38,0))&amp;")",""))</f>
        <v/>
      </c>
      <c r="K272" s="246">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44">
        <f>IF($A272="","",INDEX($B$7:$B$36,INT((ROW()-41)/14)+1)&amp;"")</f>
        <v/>
      </c>
    </row>
    <row r="273">
      <c r="A273" s="244">
        <f>IF(INDEX($A$7:$A$36,INT((ROW()-41)/14)+1)="","",INDEX($A$7:$A$36,INT((ROW()-41)/14)+1))</f>
        <v/>
      </c>
      <c r="B273" s="245">
        <f>IF($A273="","",$B$3+MOD(ROW()-41,14))</f>
        <v/>
      </c>
      <c r="C273" s="244">
        <f>IF($A273="","",TEXT($B273,"ddd"))</f>
        <v/>
      </c>
      <c r="D273" s="242">
        <f>IF($A273="","",SUMIFS('EH Timesheets'!$G$6:$G$1005,'EH Timesheets'!$A$6:$A$1005,$A273,'EH Timesheets'!$B$6:$B$1005,$B273))</f>
        <v/>
      </c>
      <c r="E273" s="242">
        <f>IF($A273="","",SUMIFS('EH Roster'!$G$6:$G$1005,'EH Roster'!$A$6:$A$1005,$A273,'EH Roster'!$B$6:$B$1005,$B273))</f>
        <v/>
      </c>
      <c r="F273" s="242">
        <f>IF($A273="","",$D273-$E273)</f>
        <v/>
      </c>
      <c r="G273" s="242">
        <f>IF($A273="","",IF($L273="",0,SUMPRODUCT(('Shared Calendar'!$K$2:$K$1000&gt;0)*('Shared Calendar'!$K$2:$K$1000&lt;=$B273)*('Shared Calendar'!$J$2:$J$1000&gt;$B273)*ISNUMBER(SEARCH($L273,'Shared Calendar'!$M$2:$M$1000))*('Shared Calendar'!$N$2:$N$1000="Event"),'Shared Calendar'!$L$2:$L$1000)))</f>
        <v/>
      </c>
      <c r="H273" s="246">
        <f>IF(OR($A273="",$L273=""),"",IF(SUMPRODUCT(MAX(('Shared Calendar'!$K$2:$K$1000&gt;0)*('Shared Calendar'!$K$2:$K$1000&lt;=$B273)*('Shared Calendar'!$J$2:$J$1000&gt;$B273)*ISNUMBER(SEARCH($L273,'Shared Calendar'!$M$2:$M$1000))*ROW('Shared Calendar'!$A$2:$A$1000)))=0,"",INDEX('Shared Calendar'!$A:$A,SUMPRODUCT(MAX(('Shared Calendar'!$K$2:$K$1000&gt;0)*('Shared Calendar'!$K$2:$K$1000&lt;=$B273)*('Shared Calendar'!$J$2:$J$1000&gt;$B273)*ISNUMBER(SEARCH($L273,'Shared Calendar'!$M$2:$M$1000))*ROW('Shared Calendar'!$A$2:$A$1000))))))</f>
        <v/>
      </c>
      <c r="I273" s="244">
        <f>IF(OR($A273="",$L273=""),"",IF(SUMPRODUCT(('Shared Calendar'!$K$2:$K$1000&gt;0)*('Shared Calendar'!$K$2:$K$1000&lt;=$B273)*('Shared Calendar'!$J$2:$J$1000&gt;$B273)*ISNUMBER(SEARCH($L273,'Shared Calendar'!$M$2:$M$1000))*('Shared Calendar'!$N$2:$N$1000="Leave"))&gt;0,"Leave",""))</f>
        <v/>
      </c>
      <c r="J273" s="244">
        <f>IF($A273="","",IFERROR(INDEX('Public Holidays'!$C$6:$C$38,MATCH($B273,'Public Holidays'!$A$6:$A$38,0))&amp;" ("&amp;INDEX('Public Holidays'!$L$6:$L$38,MATCH($B273,'Public Holidays'!$A$6:$A$38,0))&amp;")",""))</f>
        <v/>
      </c>
      <c r="K273" s="246">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44">
        <f>IF($A273="","",INDEX($B$7:$B$36,INT((ROW()-41)/14)+1)&amp;"")</f>
        <v/>
      </c>
    </row>
    <row r="274">
      <c r="A274" s="244">
        <f>IF(INDEX($A$7:$A$36,INT((ROW()-41)/14)+1)="","",INDEX($A$7:$A$36,INT((ROW()-41)/14)+1))</f>
        <v/>
      </c>
      <c r="B274" s="245">
        <f>IF($A274="","",$B$3+MOD(ROW()-41,14))</f>
        <v/>
      </c>
      <c r="C274" s="244">
        <f>IF($A274="","",TEXT($B274,"ddd"))</f>
        <v/>
      </c>
      <c r="D274" s="242">
        <f>IF($A274="","",SUMIFS('EH Timesheets'!$G$6:$G$1005,'EH Timesheets'!$A$6:$A$1005,$A274,'EH Timesheets'!$B$6:$B$1005,$B274))</f>
        <v/>
      </c>
      <c r="E274" s="242">
        <f>IF($A274="","",SUMIFS('EH Roster'!$G$6:$G$1005,'EH Roster'!$A$6:$A$1005,$A274,'EH Roster'!$B$6:$B$1005,$B274))</f>
        <v/>
      </c>
      <c r="F274" s="242">
        <f>IF($A274="","",$D274-$E274)</f>
        <v/>
      </c>
      <c r="G274" s="242">
        <f>IF($A274="","",IF($L274="",0,SUMPRODUCT(('Shared Calendar'!$K$2:$K$1000&gt;0)*('Shared Calendar'!$K$2:$K$1000&lt;=$B274)*('Shared Calendar'!$J$2:$J$1000&gt;$B274)*ISNUMBER(SEARCH($L274,'Shared Calendar'!$M$2:$M$1000))*('Shared Calendar'!$N$2:$N$1000="Event"),'Shared Calendar'!$L$2:$L$1000)))</f>
        <v/>
      </c>
      <c r="H274" s="246">
        <f>IF(OR($A274="",$L274=""),"",IF(SUMPRODUCT(MAX(('Shared Calendar'!$K$2:$K$1000&gt;0)*('Shared Calendar'!$K$2:$K$1000&lt;=$B274)*('Shared Calendar'!$J$2:$J$1000&gt;$B274)*ISNUMBER(SEARCH($L274,'Shared Calendar'!$M$2:$M$1000))*ROW('Shared Calendar'!$A$2:$A$1000)))=0,"",INDEX('Shared Calendar'!$A:$A,SUMPRODUCT(MAX(('Shared Calendar'!$K$2:$K$1000&gt;0)*('Shared Calendar'!$K$2:$K$1000&lt;=$B274)*('Shared Calendar'!$J$2:$J$1000&gt;$B274)*ISNUMBER(SEARCH($L274,'Shared Calendar'!$M$2:$M$1000))*ROW('Shared Calendar'!$A$2:$A$1000))))))</f>
        <v/>
      </c>
      <c r="I274" s="244">
        <f>IF(OR($A274="",$L274=""),"",IF(SUMPRODUCT(('Shared Calendar'!$K$2:$K$1000&gt;0)*('Shared Calendar'!$K$2:$K$1000&lt;=$B274)*('Shared Calendar'!$J$2:$J$1000&gt;$B274)*ISNUMBER(SEARCH($L274,'Shared Calendar'!$M$2:$M$1000))*('Shared Calendar'!$N$2:$N$1000="Leave"))&gt;0,"Leave",""))</f>
        <v/>
      </c>
      <c r="J274" s="244">
        <f>IF($A274="","",IFERROR(INDEX('Public Holidays'!$C$6:$C$38,MATCH($B274,'Public Holidays'!$A$6:$A$38,0))&amp;" ("&amp;INDEX('Public Holidays'!$L$6:$L$38,MATCH($B274,'Public Holidays'!$A$6:$A$38,0))&amp;")",""))</f>
        <v/>
      </c>
      <c r="K274" s="246">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44">
        <f>IF($A274="","",INDEX($B$7:$B$36,INT((ROW()-41)/14)+1)&amp;"")</f>
        <v/>
      </c>
    </row>
    <row r="275">
      <c r="A275" s="244">
        <f>IF(INDEX($A$7:$A$36,INT((ROW()-41)/14)+1)="","",INDEX($A$7:$A$36,INT((ROW()-41)/14)+1))</f>
        <v/>
      </c>
      <c r="B275" s="245">
        <f>IF($A275="","",$B$3+MOD(ROW()-41,14))</f>
        <v/>
      </c>
      <c r="C275" s="244">
        <f>IF($A275="","",TEXT($B275,"ddd"))</f>
        <v/>
      </c>
      <c r="D275" s="242">
        <f>IF($A275="","",SUMIFS('EH Timesheets'!$G$6:$G$1005,'EH Timesheets'!$A$6:$A$1005,$A275,'EH Timesheets'!$B$6:$B$1005,$B275))</f>
        <v/>
      </c>
      <c r="E275" s="242">
        <f>IF($A275="","",SUMIFS('EH Roster'!$G$6:$G$1005,'EH Roster'!$A$6:$A$1005,$A275,'EH Roster'!$B$6:$B$1005,$B275))</f>
        <v/>
      </c>
      <c r="F275" s="242">
        <f>IF($A275="","",$D275-$E275)</f>
        <v/>
      </c>
      <c r="G275" s="242">
        <f>IF($A275="","",IF($L275="",0,SUMPRODUCT(('Shared Calendar'!$K$2:$K$1000&gt;0)*('Shared Calendar'!$K$2:$K$1000&lt;=$B275)*('Shared Calendar'!$J$2:$J$1000&gt;$B275)*ISNUMBER(SEARCH($L275,'Shared Calendar'!$M$2:$M$1000))*('Shared Calendar'!$N$2:$N$1000="Event"),'Shared Calendar'!$L$2:$L$1000)))</f>
        <v/>
      </c>
      <c r="H275" s="246">
        <f>IF(OR($A275="",$L275=""),"",IF(SUMPRODUCT(MAX(('Shared Calendar'!$K$2:$K$1000&gt;0)*('Shared Calendar'!$K$2:$K$1000&lt;=$B275)*('Shared Calendar'!$J$2:$J$1000&gt;$B275)*ISNUMBER(SEARCH($L275,'Shared Calendar'!$M$2:$M$1000))*ROW('Shared Calendar'!$A$2:$A$1000)))=0,"",INDEX('Shared Calendar'!$A:$A,SUMPRODUCT(MAX(('Shared Calendar'!$K$2:$K$1000&gt;0)*('Shared Calendar'!$K$2:$K$1000&lt;=$B275)*('Shared Calendar'!$J$2:$J$1000&gt;$B275)*ISNUMBER(SEARCH($L275,'Shared Calendar'!$M$2:$M$1000))*ROW('Shared Calendar'!$A$2:$A$1000))))))</f>
        <v/>
      </c>
      <c r="I275" s="244">
        <f>IF(OR($A275="",$L275=""),"",IF(SUMPRODUCT(('Shared Calendar'!$K$2:$K$1000&gt;0)*('Shared Calendar'!$K$2:$K$1000&lt;=$B275)*('Shared Calendar'!$J$2:$J$1000&gt;$B275)*ISNUMBER(SEARCH($L275,'Shared Calendar'!$M$2:$M$1000))*('Shared Calendar'!$N$2:$N$1000="Leave"))&gt;0,"Leave",""))</f>
        <v/>
      </c>
      <c r="J275" s="244">
        <f>IF($A275="","",IFERROR(INDEX('Public Holidays'!$C$6:$C$38,MATCH($B275,'Public Holidays'!$A$6:$A$38,0))&amp;" ("&amp;INDEX('Public Holidays'!$L$6:$L$38,MATCH($B275,'Public Holidays'!$A$6:$A$38,0))&amp;")",""))</f>
        <v/>
      </c>
      <c r="K275" s="246">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44">
        <f>IF($A275="","",INDEX($B$7:$B$36,INT((ROW()-41)/14)+1)&amp;"")</f>
        <v/>
      </c>
    </row>
    <row r="276">
      <c r="A276" s="244">
        <f>IF(INDEX($A$7:$A$36,INT((ROW()-41)/14)+1)="","",INDEX($A$7:$A$36,INT((ROW()-41)/14)+1))</f>
        <v/>
      </c>
      <c r="B276" s="245">
        <f>IF($A276="","",$B$3+MOD(ROW()-41,14))</f>
        <v/>
      </c>
      <c r="C276" s="244">
        <f>IF($A276="","",TEXT($B276,"ddd"))</f>
        <v/>
      </c>
      <c r="D276" s="242">
        <f>IF($A276="","",SUMIFS('EH Timesheets'!$G$6:$G$1005,'EH Timesheets'!$A$6:$A$1005,$A276,'EH Timesheets'!$B$6:$B$1005,$B276))</f>
        <v/>
      </c>
      <c r="E276" s="242">
        <f>IF($A276="","",SUMIFS('EH Roster'!$G$6:$G$1005,'EH Roster'!$A$6:$A$1005,$A276,'EH Roster'!$B$6:$B$1005,$B276))</f>
        <v/>
      </c>
      <c r="F276" s="242">
        <f>IF($A276="","",$D276-$E276)</f>
        <v/>
      </c>
      <c r="G276" s="242">
        <f>IF($A276="","",IF($L276="",0,SUMPRODUCT(('Shared Calendar'!$K$2:$K$1000&gt;0)*('Shared Calendar'!$K$2:$K$1000&lt;=$B276)*('Shared Calendar'!$J$2:$J$1000&gt;$B276)*ISNUMBER(SEARCH($L276,'Shared Calendar'!$M$2:$M$1000))*('Shared Calendar'!$N$2:$N$1000="Event"),'Shared Calendar'!$L$2:$L$1000)))</f>
        <v/>
      </c>
      <c r="H276" s="246">
        <f>IF(OR($A276="",$L276=""),"",IF(SUMPRODUCT(MAX(('Shared Calendar'!$K$2:$K$1000&gt;0)*('Shared Calendar'!$K$2:$K$1000&lt;=$B276)*('Shared Calendar'!$J$2:$J$1000&gt;$B276)*ISNUMBER(SEARCH($L276,'Shared Calendar'!$M$2:$M$1000))*ROW('Shared Calendar'!$A$2:$A$1000)))=0,"",INDEX('Shared Calendar'!$A:$A,SUMPRODUCT(MAX(('Shared Calendar'!$K$2:$K$1000&gt;0)*('Shared Calendar'!$K$2:$K$1000&lt;=$B276)*('Shared Calendar'!$J$2:$J$1000&gt;$B276)*ISNUMBER(SEARCH($L276,'Shared Calendar'!$M$2:$M$1000))*ROW('Shared Calendar'!$A$2:$A$1000))))))</f>
        <v/>
      </c>
      <c r="I276" s="244">
        <f>IF(OR($A276="",$L276=""),"",IF(SUMPRODUCT(('Shared Calendar'!$K$2:$K$1000&gt;0)*('Shared Calendar'!$K$2:$K$1000&lt;=$B276)*('Shared Calendar'!$J$2:$J$1000&gt;$B276)*ISNUMBER(SEARCH($L276,'Shared Calendar'!$M$2:$M$1000))*('Shared Calendar'!$N$2:$N$1000="Leave"))&gt;0,"Leave",""))</f>
        <v/>
      </c>
      <c r="J276" s="244">
        <f>IF($A276="","",IFERROR(INDEX('Public Holidays'!$C$6:$C$38,MATCH($B276,'Public Holidays'!$A$6:$A$38,0))&amp;" ("&amp;INDEX('Public Holidays'!$L$6:$L$38,MATCH($B276,'Public Holidays'!$A$6:$A$38,0))&amp;")",""))</f>
        <v/>
      </c>
      <c r="K276" s="246">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44">
        <f>IF($A276="","",INDEX($B$7:$B$36,INT((ROW()-41)/14)+1)&amp;"")</f>
        <v/>
      </c>
    </row>
    <row r="277">
      <c r="A277" s="244">
        <f>IF(INDEX($A$7:$A$36,INT((ROW()-41)/14)+1)="","",INDEX($A$7:$A$36,INT((ROW()-41)/14)+1))</f>
        <v/>
      </c>
      <c r="B277" s="245">
        <f>IF($A277="","",$B$3+MOD(ROW()-41,14))</f>
        <v/>
      </c>
      <c r="C277" s="244">
        <f>IF($A277="","",TEXT($B277,"ddd"))</f>
        <v/>
      </c>
      <c r="D277" s="242">
        <f>IF($A277="","",SUMIFS('EH Timesheets'!$G$6:$G$1005,'EH Timesheets'!$A$6:$A$1005,$A277,'EH Timesheets'!$B$6:$B$1005,$B277))</f>
        <v/>
      </c>
      <c r="E277" s="242">
        <f>IF($A277="","",SUMIFS('EH Roster'!$G$6:$G$1005,'EH Roster'!$A$6:$A$1005,$A277,'EH Roster'!$B$6:$B$1005,$B277))</f>
        <v/>
      </c>
      <c r="F277" s="242">
        <f>IF($A277="","",$D277-$E277)</f>
        <v/>
      </c>
      <c r="G277" s="242">
        <f>IF($A277="","",IF($L277="",0,SUMPRODUCT(('Shared Calendar'!$K$2:$K$1000&gt;0)*('Shared Calendar'!$K$2:$K$1000&lt;=$B277)*('Shared Calendar'!$J$2:$J$1000&gt;$B277)*ISNUMBER(SEARCH($L277,'Shared Calendar'!$M$2:$M$1000))*('Shared Calendar'!$N$2:$N$1000="Event"),'Shared Calendar'!$L$2:$L$1000)))</f>
        <v/>
      </c>
      <c r="H277" s="246">
        <f>IF(OR($A277="",$L277=""),"",IF(SUMPRODUCT(MAX(('Shared Calendar'!$K$2:$K$1000&gt;0)*('Shared Calendar'!$K$2:$K$1000&lt;=$B277)*('Shared Calendar'!$J$2:$J$1000&gt;$B277)*ISNUMBER(SEARCH($L277,'Shared Calendar'!$M$2:$M$1000))*ROW('Shared Calendar'!$A$2:$A$1000)))=0,"",INDEX('Shared Calendar'!$A:$A,SUMPRODUCT(MAX(('Shared Calendar'!$K$2:$K$1000&gt;0)*('Shared Calendar'!$K$2:$K$1000&lt;=$B277)*('Shared Calendar'!$J$2:$J$1000&gt;$B277)*ISNUMBER(SEARCH($L277,'Shared Calendar'!$M$2:$M$1000))*ROW('Shared Calendar'!$A$2:$A$1000))))))</f>
        <v/>
      </c>
      <c r="I277" s="244">
        <f>IF(OR($A277="",$L277=""),"",IF(SUMPRODUCT(('Shared Calendar'!$K$2:$K$1000&gt;0)*('Shared Calendar'!$K$2:$K$1000&lt;=$B277)*('Shared Calendar'!$J$2:$J$1000&gt;$B277)*ISNUMBER(SEARCH($L277,'Shared Calendar'!$M$2:$M$1000))*('Shared Calendar'!$N$2:$N$1000="Leave"))&gt;0,"Leave",""))</f>
        <v/>
      </c>
      <c r="J277" s="244">
        <f>IF($A277="","",IFERROR(INDEX('Public Holidays'!$C$6:$C$38,MATCH($B277,'Public Holidays'!$A$6:$A$38,0))&amp;" ("&amp;INDEX('Public Holidays'!$L$6:$L$38,MATCH($B277,'Public Holidays'!$A$6:$A$38,0))&amp;")",""))</f>
        <v/>
      </c>
      <c r="K277" s="246">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44">
        <f>IF($A277="","",INDEX($B$7:$B$36,INT((ROW()-41)/14)+1)&amp;"")</f>
        <v/>
      </c>
    </row>
    <row r="278">
      <c r="A278" s="244">
        <f>IF(INDEX($A$7:$A$36,INT((ROW()-41)/14)+1)="","",INDEX($A$7:$A$36,INT((ROW()-41)/14)+1))</f>
        <v/>
      </c>
      <c r="B278" s="245">
        <f>IF($A278="","",$B$3+MOD(ROW()-41,14))</f>
        <v/>
      </c>
      <c r="C278" s="244">
        <f>IF($A278="","",TEXT($B278,"ddd"))</f>
        <v/>
      </c>
      <c r="D278" s="242">
        <f>IF($A278="","",SUMIFS('EH Timesheets'!$G$6:$G$1005,'EH Timesheets'!$A$6:$A$1005,$A278,'EH Timesheets'!$B$6:$B$1005,$B278))</f>
        <v/>
      </c>
      <c r="E278" s="242">
        <f>IF($A278="","",SUMIFS('EH Roster'!$G$6:$G$1005,'EH Roster'!$A$6:$A$1005,$A278,'EH Roster'!$B$6:$B$1005,$B278))</f>
        <v/>
      </c>
      <c r="F278" s="242">
        <f>IF($A278="","",$D278-$E278)</f>
        <v/>
      </c>
      <c r="G278" s="242">
        <f>IF($A278="","",IF($L278="",0,SUMPRODUCT(('Shared Calendar'!$K$2:$K$1000&gt;0)*('Shared Calendar'!$K$2:$K$1000&lt;=$B278)*('Shared Calendar'!$J$2:$J$1000&gt;$B278)*ISNUMBER(SEARCH($L278,'Shared Calendar'!$M$2:$M$1000))*('Shared Calendar'!$N$2:$N$1000="Event"),'Shared Calendar'!$L$2:$L$1000)))</f>
        <v/>
      </c>
      <c r="H278" s="246">
        <f>IF(OR($A278="",$L278=""),"",IF(SUMPRODUCT(MAX(('Shared Calendar'!$K$2:$K$1000&gt;0)*('Shared Calendar'!$K$2:$K$1000&lt;=$B278)*('Shared Calendar'!$J$2:$J$1000&gt;$B278)*ISNUMBER(SEARCH($L278,'Shared Calendar'!$M$2:$M$1000))*ROW('Shared Calendar'!$A$2:$A$1000)))=0,"",INDEX('Shared Calendar'!$A:$A,SUMPRODUCT(MAX(('Shared Calendar'!$K$2:$K$1000&gt;0)*('Shared Calendar'!$K$2:$K$1000&lt;=$B278)*('Shared Calendar'!$J$2:$J$1000&gt;$B278)*ISNUMBER(SEARCH($L278,'Shared Calendar'!$M$2:$M$1000))*ROW('Shared Calendar'!$A$2:$A$1000))))))</f>
        <v/>
      </c>
      <c r="I278" s="244">
        <f>IF(OR($A278="",$L278=""),"",IF(SUMPRODUCT(('Shared Calendar'!$K$2:$K$1000&gt;0)*('Shared Calendar'!$K$2:$K$1000&lt;=$B278)*('Shared Calendar'!$J$2:$J$1000&gt;$B278)*ISNUMBER(SEARCH($L278,'Shared Calendar'!$M$2:$M$1000))*('Shared Calendar'!$N$2:$N$1000="Leave"))&gt;0,"Leave",""))</f>
        <v/>
      </c>
      <c r="J278" s="244">
        <f>IF($A278="","",IFERROR(INDEX('Public Holidays'!$C$6:$C$38,MATCH($B278,'Public Holidays'!$A$6:$A$38,0))&amp;" ("&amp;INDEX('Public Holidays'!$L$6:$L$38,MATCH($B278,'Public Holidays'!$A$6:$A$38,0))&amp;")",""))</f>
        <v/>
      </c>
      <c r="K278" s="246">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44">
        <f>IF($A278="","",INDEX($B$7:$B$36,INT((ROW()-41)/14)+1)&amp;"")</f>
        <v/>
      </c>
    </row>
    <row r="279">
      <c r="A279" s="244">
        <f>IF(INDEX($A$7:$A$36,INT((ROW()-41)/14)+1)="","",INDEX($A$7:$A$36,INT((ROW()-41)/14)+1))</f>
        <v/>
      </c>
      <c r="B279" s="245">
        <f>IF($A279="","",$B$3+MOD(ROW()-41,14))</f>
        <v/>
      </c>
      <c r="C279" s="244">
        <f>IF($A279="","",TEXT($B279,"ddd"))</f>
        <v/>
      </c>
      <c r="D279" s="242">
        <f>IF($A279="","",SUMIFS('EH Timesheets'!$G$6:$G$1005,'EH Timesheets'!$A$6:$A$1005,$A279,'EH Timesheets'!$B$6:$B$1005,$B279))</f>
        <v/>
      </c>
      <c r="E279" s="242">
        <f>IF($A279="","",SUMIFS('EH Roster'!$G$6:$G$1005,'EH Roster'!$A$6:$A$1005,$A279,'EH Roster'!$B$6:$B$1005,$B279))</f>
        <v/>
      </c>
      <c r="F279" s="242">
        <f>IF($A279="","",$D279-$E279)</f>
        <v/>
      </c>
      <c r="G279" s="242">
        <f>IF($A279="","",IF($L279="",0,SUMPRODUCT(('Shared Calendar'!$K$2:$K$1000&gt;0)*('Shared Calendar'!$K$2:$K$1000&lt;=$B279)*('Shared Calendar'!$J$2:$J$1000&gt;$B279)*ISNUMBER(SEARCH($L279,'Shared Calendar'!$M$2:$M$1000))*('Shared Calendar'!$N$2:$N$1000="Event"),'Shared Calendar'!$L$2:$L$1000)))</f>
        <v/>
      </c>
      <c r="H279" s="246">
        <f>IF(OR($A279="",$L279=""),"",IF(SUMPRODUCT(MAX(('Shared Calendar'!$K$2:$K$1000&gt;0)*('Shared Calendar'!$K$2:$K$1000&lt;=$B279)*('Shared Calendar'!$J$2:$J$1000&gt;$B279)*ISNUMBER(SEARCH($L279,'Shared Calendar'!$M$2:$M$1000))*ROW('Shared Calendar'!$A$2:$A$1000)))=0,"",INDEX('Shared Calendar'!$A:$A,SUMPRODUCT(MAX(('Shared Calendar'!$K$2:$K$1000&gt;0)*('Shared Calendar'!$K$2:$K$1000&lt;=$B279)*('Shared Calendar'!$J$2:$J$1000&gt;$B279)*ISNUMBER(SEARCH($L279,'Shared Calendar'!$M$2:$M$1000))*ROW('Shared Calendar'!$A$2:$A$1000))))))</f>
        <v/>
      </c>
      <c r="I279" s="244">
        <f>IF(OR($A279="",$L279=""),"",IF(SUMPRODUCT(('Shared Calendar'!$K$2:$K$1000&gt;0)*('Shared Calendar'!$K$2:$K$1000&lt;=$B279)*('Shared Calendar'!$J$2:$J$1000&gt;$B279)*ISNUMBER(SEARCH($L279,'Shared Calendar'!$M$2:$M$1000))*('Shared Calendar'!$N$2:$N$1000="Leave"))&gt;0,"Leave",""))</f>
        <v/>
      </c>
      <c r="J279" s="244">
        <f>IF($A279="","",IFERROR(INDEX('Public Holidays'!$C$6:$C$38,MATCH($B279,'Public Holidays'!$A$6:$A$38,0))&amp;" ("&amp;INDEX('Public Holidays'!$L$6:$L$38,MATCH($B279,'Public Holidays'!$A$6:$A$38,0))&amp;")",""))</f>
        <v/>
      </c>
      <c r="K279" s="246">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44">
        <f>IF($A279="","",INDEX($B$7:$B$36,INT((ROW()-41)/14)+1)&amp;"")</f>
        <v/>
      </c>
    </row>
    <row r="280">
      <c r="A280" s="244">
        <f>IF(INDEX($A$7:$A$36,INT((ROW()-41)/14)+1)="","",INDEX($A$7:$A$36,INT((ROW()-41)/14)+1))</f>
        <v/>
      </c>
      <c r="B280" s="245">
        <f>IF($A280="","",$B$3+MOD(ROW()-41,14))</f>
        <v/>
      </c>
      <c r="C280" s="244">
        <f>IF($A280="","",TEXT($B280,"ddd"))</f>
        <v/>
      </c>
      <c r="D280" s="242">
        <f>IF($A280="","",SUMIFS('EH Timesheets'!$G$6:$G$1005,'EH Timesheets'!$A$6:$A$1005,$A280,'EH Timesheets'!$B$6:$B$1005,$B280))</f>
        <v/>
      </c>
      <c r="E280" s="242">
        <f>IF($A280="","",SUMIFS('EH Roster'!$G$6:$G$1005,'EH Roster'!$A$6:$A$1005,$A280,'EH Roster'!$B$6:$B$1005,$B280))</f>
        <v/>
      </c>
      <c r="F280" s="242">
        <f>IF($A280="","",$D280-$E280)</f>
        <v/>
      </c>
      <c r="G280" s="242">
        <f>IF($A280="","",IF($L280="",0,SUMPRODUCT(('Shared Calendar'!$K$2:$K$1000&gt;0)*('Shared Calendar'!$K$2:$K$1000&lt;=$B280)*('Shared Calendar'!$J$2:$J$1000&gt;$B280)*ISNUMBER(SEARCH($L280,'Shared Calendar'!$M$2:$M$1000))*('Shared Calendar'!$N$2:$N$1000="Event"),'Shared Calendar'!$L$2:$L$1000)))</f>
        <v/>
      </c>
      <c r="H280" s="246">
        <f>IF(OR($A280="",$L280=""),"",IF(SUMPRODUCT(MAX(('Shared Calendar'!$K$2:$K$1000&gt;0)*('Shared Calendar'!$K$2:$K$1000&lt;=$B280)*('Shared Calendar'!$J$2:$J$1000&gt;$B280)*ISNUMBER(SEARCH($L280,'Shared Calendar'!$M$2:$M$1000))*ROW('Shared Calendar'!$A$2:$A$1000)))=0,"",INDEX('Shared Calendar'!$A:$A,SUMPRODUCT(MAX(('Shared Calendar'!$K$2:$K$1000&gt;0)*('Shared Calendar'!$K$2:$K$1000&lt;=$B280)*('Shared Calendar'!$J$2:$J$1000&gt;$B280)*ISNUMBER(SEARCH($L280,'Shared Calendar'!$M$2:$M$1000))*ROW('Shared Calendar'!$A$2:$A$1000))))))</f>
        <v/>
      </c>
      <c r="I280" s="244">
        <f>IF(OR($A280="",$L280=""),"",IF(SUMPRODUCT(('Shared Calendar'!$K$2:$K$1000&gt;0)*('Shared Calendar'!$K$2:$K$1000&lt;=$B280)*('Shared Calendar'!$J$2:$J$1000&gt;$B280)*ISNUMBER(SEARCH($L280,'Shared Calendar'!$M$2:$M$1000))*('Shared Calendar'!$N$2:$N$1000="Leave"))&gt;0,"Leave",""))</f>
        <v/>
      </c>
      <c r="J280" s="244">
        <f>IF($A280="","",IFERROR(INDEX('Public Holidays'!$C$6:$C$38,MATCH($B280,'Public Holidays'!$A$6:$A$38,0))&amp;" ("&amp;INDEX('Public Holidays'!$L$6:$L$38,MATCH($B280,'Public Holidays'!$A$6:$A$38,0))&amp;")",""))</f>
        <v/>
      </c>
      <c r="K280" s="246">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44">
        <f>IF($A280="","",INDEX($B$7:$B$36,INT((ROW()-41)/14)+1)&amp;"")</f>
        <v/>
      </c>
    </row>
    <row r="281">
      <c r="A281" s="244">
        <f>IF(INDEX($A$7:$A$36,INT((ROW()-41)/14)+1)="","",INDEX($A$7:$A$36,INT((ROW()-41)/14)+1))</f>
        <v/>
      </c>
      <c r="B281" s="245">
        <f>IF($A281="","",$B$3+MOD(ROW()-41,14))</f>
        <v/>
      </c>
      <c r="C281" s="244">
        <f>IF($A281="","",TEXT($B281,"ddd"))</f>
        <v/>
      </c>
      <c r="D281" s="242">
        <f>IF($A281="","",SUMIFS('EH Timesheets'!$G$6:$G$1005,'EH Timesheets'!$A$6:$A$1005,$A281,'EH Timesheets'!$B$6:$B$1005,$B281))</f>
        <v/>
      </c>
      <c r="E281" s="242">
        <f>IF($A281="","",SUMIFS('EH Roster'!$G$6:$G$1005,'EH Roster'!$A$6:$A$1005,$A281,'EH Roster'!$B$6:$B$1005,$B281))</f>
        <v/>
      </c>
      <c r="F281" s="242">
        <f>IF($A281="","",$D281-$E281)</f>
        <v/>
      </c>
      <c r="G281" s="242">
        <f>IF($A281="","",IF($L281="",0,SUMPRODUCT(('Shared Calendar'!$K$2:$K$1000&gt;0)*('Shared Calendar'!$K$2:$K$1000&lt;=$B281)*('Shared Calendar'!$J$2:$J$1000&gt;$B281)*ISNUMBER(SEARCH($L281,'Shared Calendar'!$M$2:$M$1000))*('Shared Calendar'!$N$2:$N$1000="Event"),'Shared Calendar'!$L$2:$L$1000)))</f>
        <v/>
      </c>
      <c r="H281" s="246">
        <f>IF(OR($A281="",$L281=""),"",IF(SUMPRODUCT(MAX(('Shared Calendar'!$K$2:$K$1000&gt;0)*('Shared Calendar'!$K$2:$K$1000&lt;=$B281)*('Shared Calendar'!$J$2:$J$1000&gt;$B281)*ISNUMBER(SEARCH($L281,'Shared Calendar'!$M$2:$M$1000))*ROW('Shared Calendar'!$A$2:$A$1000)))=0,"",INDEX('Shared Calendar'!$A:$A,SUMPRODUCT(MAX(('Shared Calendar'!$K$2:$K$1000&gt;0)*('Shared Calendar'!$K$2:$K$1000&lt;=$B281)*('Shared Calendar'!$J$2:$J$1000&gt;$B281)*ISNUMBER(SEARCH($L281,'Shared Calendar'!$M$2:$M$1000))*ROW('Shared Calendar'!$A$2:$A$1000))))))</f>
        <v/>
      </c>
      <c r="I281" s="244">
        <f>IF(OR($A281="",$L281=""),"",IF(SUMPRODUCT(('Shared Calendar'!$K$2:$K$1000&gt;0)*('Shared Calendar'!$K$2:$K$1000&lt;=$B281)*('Shared Calendar'!$J$2:$J$1000&gt;$B281)*ISNUMBER(SEARCH($L281,'Shared Calendar'!$M$2:$M$1000))*('Shared Calendar'!$N$2:$N$1000="Leave"))&gt;0,"Leave",""))</f>
        <v/>
      </c>
      <c r="J281" s="244">
        <f>IF($A281="","",IFERROR(INDEX('Public Holidays'!$C$6:$C$38,MATCH($B281,'Public Holidays'!$A$6:$A$38,0))&amp;" ("&amp;INDEX('Public Holidays'!$L$6:$L$38,MATCH($B281,'Public Holidays'!$A$6:$A$38,0))&amp;")",""))</f>
        <v/>
      </c>
      <c r="K281" s="246">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44">
        <f>IF($A281="","",INDEX($B$7:$B$36,INT((ROW()-41)/14)+1)&amp;"")</f>
        <v/>
      </c>
    </row>
    <row r="282">
      <c r="A282" s="244">
        <f>IF(INDEX($A$7:$A$36,INT((ROW()-41)/14)+1)="","",INDEX($A$7:$A$36,INT((ROW()-41)/14)+1))</f>
        <v/>
      </c>
      <c r="B282" s="245">
        <f>IF($A282="","",$B$3+MOD(ROW()-41,14))</f>
        <v/>
      </c>
      <c r="C282" s="244">
        <f>IF($A282="","",TEXT($B282,"ddd"))</f>
        <v/>
      </c>
      <c r="D282" s="242">
        <f>IF($A282="","",SUMIFS('EH Timesheets'!$G$6:$G$1005,'EH Timesheets'!$A$6:$A$1005,$A282,'EH Timesheets'!$B$6:$B$1005,$B282))</f>
        <v/>
      </c>
      <c r="E282" s="242">
        <f>IF($A282="","",SUMIFS('EH Roster'!$G$6:$G$1005,'EH Roster'!$A$6:$A$1005,$A282,'EH Roster'!$B$6:$B$1005,$B282))</f>
        <v/>
      </c>
      <c r="F282" s="242">
        <f>IF($A282="","",$D282-$E282)</f>
        <v/>
      </c>
      <c r="G282" s="242">
        <f>IF($A282="","",IF($L282="",0,SUMPRODUCT(('Shared Calendar'!$K$2:$K$1000&gt;0)*('Shared Calendar'!$K$2:$K$1000&lt;=$B282)*('Shared Calendar'!$J$2:$J$1000&gt;$B282)*ISNUMBER(SEARCH($L282,'Shared Calendar'!$M$2:$M$1000))*('Shared Calendar'!$N$2:$N$1000="Event"),'Shared Calendar'!$L$2:$L$1000)))</f>
        <v/>
      </c>
      <c r="H282" s="246">
        <f>IF(OR($A282="",$L282=""),"",IF(SUMPRODUCT(MAX(('Shared Calendar'!$K$2:$K$1000&gt;0)*('Shared Calendar'!$K$2:$K$1000&lt;=$B282)*('Shared Calendar'!$J$2:$J$1000&gt;$B282)*ISNUMBER(SEARCH($L282,'Shared Calendar'!$M$2:$M$1000))*ROW('Shared Calendar'!$A$2:$A$1000)))=0,"",INDEX('Shared Calendar'!$A:$A,SUMPRODUCT(MAX(('Shared Calendar'!$K$2:$K$1000&gt;0)*('Shared Calendar'!$K$2:$K$1000&lt;=$B282)*('Shared Calendar'!$J$2:$J$1000&gt;$B282)*ISNUMBER(SEARCH($L282,'Shared Calendar'!$M$2:$M$1000))*ROW('Shared Calendar'!$A$2:$A$1000))))))</f>
        <v/>
      </c>
      <c r="I282" s="244">
        <f>IF(OR($A282="",$L282=""),"",IF(SUMPRODUCT(('Shared Calendar'!$K$2:$K$1000&gt;0)*('Shared Calendar'!$K$2:$K$1000&lt;=$B282)*('Shared Calendar'!$J$2:$J$1000&gt;$B282)*ISNUMBER(SEARCH($L282,'Shared Calendar'!$M$2:$M$1000))*('Shared Calendar'!$N$2:$N$1000="Leave"))&gt;0,"Leave",""))</f>
        <v/>
      </c>
      <c r="J282" s="244">
        <f>IF($A282="","",IFERROR(INDEX('Public Holidays'!$C$6:$C$38,MATCH($B282,'Public Holidays'!$A$6:$A$38,0))&amp;" ("&amp;INDEX('Public Holidays'!$L$6:$L$38,MATCH($B282,'Public Holidays'!$A$6:$A$38,0))&amp;")",""))</f>
        <v/>
      </c>
      <c r="K282" s="246">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44">
        <f>IF($A282="","",INDEX($B$7:$B$36,INT((ROW()-41)/14)+1)&amp;"")</f>
        <v/>
      </c>
    </row>
    <row r="283">
      <c r="A283" s="244">
        <f>IF(INDEX($A$7:$A$36,INT((ROW()-41)/14)+1)="","",INDEX($A$7:$A$36,INT((ROW()-41)/14)+1))</f>
        <v/>
      </c>
      <c r="B283" s="245">
        <f>IF($A283="","",$B$3+MOD(ROW()-41,14))</f>
        <v/>
      </c>
      <c r="C283" s="244">
        <f>IF($A283="","",TEXT($B283,"ddd"))</f>
        <v/>
      </c>
      <c r="D283" s="242">
        <f>IF($A283="","",SUMIFS('EH Timesheets'!$G$6:$G$1005,'EH Timesheets'!$A$6:$A$1005,$A283,'EH Timesheets'!$B$6:$B$1005,$B283))</f>
        <v/>
      </c>
      <c r="E283" s="242">
        <f>IF($A283="","",SUMIFS('EH Roster'!$G$6:$G$1005,'EH Roster'!$A$6:$A$1005,$A283,'EH Roster'!$B$6:$B$1005,$B283))</f>
        <v/>
      </c>
      <c r="F283" s="242">
        <f>IF($A283="","",$D283-$E283)</f>
        <v/>
      </c>
      <c r="G283" s="242">
        <f>IF($A283="","",IF($L283="",0,SUMPRODUCT(('Shared Calendar'!$K$2:$K$1000&gt;0)*('Shared Calendar'!$K$2:$K$1000&lt;=$B283)*('Shared Calendar'!$J$2:$J$1000&gt;$B283)*ISNUMBER(SEARCH($L283,'Shared Calendar'!$M$2:$M$1000))*('Shared Calendar'!$N$2:$N$1000="Event"),'Shared Calendar'!$L$2:$L$1000)))</f>
        <v/>
      </c>
      <c r="H283" s="246">
        <f>IF(OR($A283="",$L283=""),"",IF(SUMPRODUCT(MAX(('Shared Calendar'!$K$2:$K$1000&gt;0)*('Shared Calendar'!$K$2:$K$1000&lt;=$B283)*('Shared Calendar'!$J$2:$J$1000&gt;$B283)*ISNUMBER(SEARCH($L283,'Shared Calendar'!$M$2:$M$1000))*ROW('Shared Calendar'!$A$2:$A$1000)))=0,"",INDEX('Shared Calendar'!$A:$A,SUMPRODUCT(MAX(('Shared Calendar'!$K$2:$K$1000&gt;0)*('Shared Calendar'!$K$2:$K$1000&lt;=$B283)*('Shared Calendar'!$J$2:$J$1000&gt;$B283)*ISNUMBER(SEARCH($L283,'Shared Calendar'!$M$2:$M$1000))*ROW('Shared Calendar'!$A$2:$A$1000))))))</f>
        <v/>
      </c>
      <c r="I283" s="244">
        <f>IF(OR($A283="",$L283=""),"",IF(SUMPRODUCT(('Shared Calendar'!$K$2:$K$1000&gt;0)*('Shared Calendar'!$K$2:$K$1000&lt;=$B283)*('Shared Calendar'!$J$2:$J$1000&gt;$B283)*ISNUMBER(SEARCH($L283,'Shared Calendar'!$M$2:$M$1000))*('Shared Calendar'!$N$2:$N$1000="Leave"))&gt;0,"Leave",""))</f>
        <v/>
      </c>
      <c r="J283" s="244">
        <f>IF($A283="","",IFERROR(INDEX('Public Holidays'!$C$6:$C$38,MATCH($B283,'Public Holidays'!$A$6:$A$38,0))&amp;" ("&amp;INDEX('Public Holidays'!$L$6:$L$38,MATCH($B283,'Public Holidays'!$A$6:$A$38,0))&amp;")",""))</f>
        <v/>
      </c>
      <c r="K283" s="246">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44">
        <f>IF($A283="","",INDEX($B$7:$B$36,INT((ROW()-41)/14)+1)&amp;"")</f>
        <v/>
      </c>
    </row>
    <row r="284">
      <c r="A284" s="244">
        <f>IF(INDEX($A$7:$A$36,INT((ROW()-41)/14)+1)="","",INDEX($A$7:$A$36,INT((ROW()-41)/14)+1))</f>
        <v/>
      </c>
      <c r="B284" s="245">
        <f>IF($A284="","",$B$3+MOD(ROW()-41,14))</f>
        <v/>
      </c>
      <c r="C284" s="244">
        <f>IF($A284="","",TEXT($B284,"ddd"))</f>
        <v/>
      </c>
      <c r="D284" s="242">
        <f>IF($A284="","",SUMIFS('EH Timesheets'!$G$6:$G$1005,'EH Timesheets'!$A$6:$A$1005,$A284,'EH Timesheets'!$B$6:$B$1005,$B284))</f>
        <v/>
      </c>
      <c r="E284" s="242">
        <f>IF($A284="","",SUMIFS('EH Roster'!$G$6:$G$1005,'EH Roster'!$A$6:$A$1005,$A284,'EH Roster'!$B$6:$B$1005,$B284))</f>
        <v/>
      </c>
      <c r="F284" s="242">
        <f>IF($A284="","",$D284-$E284)</f>
        <v/>
      </c>
      <c r="G284" s="242">
        <f>IF($A284="","",IF($L284="",0,SUMPRODUCT(('Shared Calendar'!$K$2:$K$1000&gt;0)*('Shared Calendar'!$K$2:$K$1000&lt;=$B284)*('Shared Calendar'!$J$2:$J$1000&gt;$B284)*ISNUMBER(SEARCH($L284,'Shared Calendar'!$M$2:$M$1000))*('Shared Calendar'!$N$2:$N$1000="Event"),'Shared Calendar'!$L$2:$L$1000)))</f>
        <v/>
      </c>
      <c r="H284" s="246">
        <f>IF(OR($A284="",$L284=""),"",IF(SUMPRODUCT(MAX(('Shared Calendar'!$K$2:$K$1000&gt;0)*('Shared Calendar'!$K$2:$K$1000&lt;=$B284)*('Shared Calendar'!$J$2:$J$1000&gt;$B284)*ISNUMBER(SEARCH($L284,'Shared Calendar'!$M$2:$M$1000))*ROW('Shared Calendar'!$A$2:$A$1000)))=0,"",INDEX('Shared Calendar'!$A:$A,SUMPRODUCT(MAX(('Shared Calendar'!$K$2:$K$1000&gt;0)*('Shared Calendar'!$K$2:$K$1000&lt;=$B284)*('Shared Calendar'!$J$2:$J$1000&gt;$B284)*ISNUMBER(SEARCH($L284,'Shared Calendar'!$M$2:$M$1000))*ROW('Shared Calendar'!$A$2:$A$1000))))))</f>
        <v/>
      </c>
      <c r="I284" s="244">
        <f>IF(OR($A284="",$L284=""),"",IF(SUMPRODUCT(('Shared Calendar'!$K$2:$K$1000&gt;0)*('Shared Calendar'!$K$2:$K$1000&lt;=$B284)*('Shared Calendar'!$J$2:$J$1000&gt;$B284)*ISNUMBER(SEARCH($L284,'Shared Calendar'!$M$2:$M$1000))*('Shared Calendar'!$N$2:$N$1000="Leave"))&gt;0,"Leave",""))</f>
        <v/>
      </c>
      <c r="J284" s="244">
        <f>IF($A284="","",IFERROR(INDEX('Public Holidays'!$C$6:$C$38,MATCH($B284,'Public Holidays'!$A$6:$A$38,0))&amp;" ("&amp;INDEX('Public Holidays'!$L$6:$L$38,MATCH($B284,'Public Holidays'!$A$6:$A$38,0))&amp;")",""))</f>
        <v/>
      </c>
      <c r="K284" s="246">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44">
        <f>IF($A284="","",INDEX($B$7:$B$36,INT((ROW()-41)/14)+1)&amp;"")</f>
        <v/>
      </c>
    </row>
    <row r="285">
      <c r="A285" s="244">
        <f>IF(INDEX($A$7:$A$36,INT((ROW()-41)/14)+1)="","",INDEX($A$7:$A$36,INT((ROW()-41)/14)+1))</f>
        <v/>
      </c>
      <c r="B285" s="245">
        <f>IF($A285="","",$B$3+MOD(ROW()-41,14))</f>
        <v/>
      </c>
      <c r="C285" s="244">
        <f>IF($A285="","",TEXT($B285,"ddd"))</f>
        <v/>
      </c>
      <c r="D285" s="242">
        <f>IF($A285="","",SUMIFS('EH Timesheets'!$G$6:$G$1005,'EH Timesheets'!$A$6:$A$1005,$A285,'EH Timesheets'!$B$6:$B$1005,$B285))</f>
        <v/>
      </c>
      <c r="E285" s="242">
        <f>IF($A285="","",SUMIFS('EH Roster'!$G$6:$G$1005,'EH Roster'!$A$6:$A$1005,$A285,'EH Roster'!$B$6:$B$1005,$B285))</f>
        <v/>
      </c>
      <c r="F285" s="242">
        <f>IF($A285="","",$D285-$E285)</f>
        <v/>
      </c>
      <c r="G285" s="242">
        <f>IF($A285="","",IF($L285="",0,SUMPRODUCT(('Shared Calendar'!$K$2:$K$1000&gt;0)*('Shared Calendar'!$K$2:$K$1000&lt;=$B285)*('Shared Calendar'!$J$2:$J$1000&gt;$B285)*ISNUMBER(SEARCH($L285,'Shared Calendar'!$M$2:$M$1000))*('Shared Calendar'!$N$2:$N$1000="Event"),'Shared Calendar'!$L$2:$L$1000)))</f>
        <v/>
      </c>
      <c r="H285" s="246">
        <f>IF(OR($A285="",$L285=""),"",IF(SUMPRODUCT(MAX(('Shared Calendar'!$K$2:$K$1000&gt;0)*('Shared Calendar'!$K$2:$K$1000&lt;=$B285)*('Shared Calendar'!$J$2:$J$1000&gt;$B285)*ISNUMBER(SEARCH($L285,'Shared Calendar'!$M$2:$M$1000))*ROW('Shared Calendar'!$A$2:$A$1000)))=0,"",INDEX('Shared Calendar'!$A:$A,SUMPRODUCT(MAX(('Shared Calendar'!$K$2:$K$1000&gt;0)*('Shared Calendar'!$K$2:$K$1000&lt;=$B285)*('Shared Calendar'!$J$2:$J$1000&gt;$B285)*ISNUMBER(SEARCH($L285,'Shared Calendar'!$M$2:$M$1000))*ROW('Shared Calendar'!$A$2:$A$1000))))))</f>
        <v/>
      </c>
      <c r="I285" s="244">
        <f>IF(OR($A285="",$L285=""),"",IF(SUMPRODUCT(('Shared Calendar'!$K$2:$K$1000&gt;0)*('Shared Calendar'!$K$2:$K$1000&lt;=$B285)*('Shared Calendar'!$J$2:$J$1000&gt;$B285)*ISNUMBER(SEARCH($L285,'Shared Calendar'!$M$2:$M$1000))*('Shared Calendar'!$N$2:$N$1000="Leave"))&gt;0,"Leave",""))</f>
        <v/>
      </c>
      <c r="J285" s="244">
        <f>IF($A285="","",IFERROR(INDEX('Public Holidays'!$C$6:$C$38,MATCH($B285,'Public Holidays'!$A$6:$A$38,0))&amp;" ("&amp;INDEX('Public Holidays'!$L$6:$L$38,MATCH($B285,'Public Holidays'!$A$6:$A$38,0))&amp;")",""))</f>
        <v/>
      </c>
      <c r="K285" s="246">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44">
        <f>IF($A285="","",INDEX($B$7:$B$36,INT((ROW()-41)/14)+1)&amp;"")</f>
        <v/>
      </c>
    </row>
    <row r="286">
      <c r="A286" s="244">
        <f>IF(INDEX($A$7:$A$36,INT((ROW()-41)/14)+1)="","",INDEX($A$7:$A$36,INT((ROW()-41)/14)+1))</f>
        <v/>
      </c>
      <c r="B286" s="245">
        <f>IF($A286="","",$B$3+MOD(ROW()-41,14))</f>
        <v/>
      </c>
      <c r="C286" s="244">
        <f>IF($A286="","",TEXT($B286,"ddd"))</f>
        <v/>
      </c>
      <c r="D286" s="242">
        <f>IF($A286="","",SUMIFS('EH Timesheets'!$G$6:$G$1005,'EH Timesheets'!$A$6:$A$1005,$A286,'EH Timesheets'!$B$6:$B$1005,$B286))</f>
        <v/>
      </c>
      <c r="E286" s="242">
        <f>IF($A286="","",SUMIFS('EH Roster'!$G$6:$G$1005,'EH Roster'!$A$6:$A$1005,$A286,'EH Roster'!$B$6:$B$1005,$B286))</f>
        <v/>
      </c>
      <c r="F286" s="242">
        <f>IF($A286="","",$D286-$E286)</f>
        <v/>
      </c>
      <c r="G286" s="242">
        <f>IF($A286="","",IF($L286="",0,SUMPRODUCT(('Shared Calendar'!$K$2:$K$1000&gt;0)*('Shared Calendar'!$K$2:$K$1000&lt;=$B286)*('Shared Calendar'!$J$2:$J$1000&gt;$B286)*ISNUMBER(SEARCH($L286,'Shared Calendar'!$M$2:$M$1000))*('Shared Calendar'!$N$2:$N$1000="Event"),'Shared Calendar'!$L$2:$L$1000)))</f>
        <v/>
      </c>
      <c r="H286" s="246">
        <f>IF(OR($A286="",$L286=""),"",IF(SUMPRODUCT(MAX(('Shared Calendar'!$K$2:$K$1000&gt;0)*('Shared Calendar'!$K$2:$K$1000&lt;=$B286)*('Shared Calendar'!$J$2:$J$1000&gt;$B286)*ISNUMBER(SEARCH($L286,'Shared Calendar'!$M$2:$M$1000))*ROW('Shared Calendar'!$A$2:$A$1000)))=0,"",INDEX('Shared Calendar'!$A:$A,SUMPRODUCT(MAX(('Shared Calendar'!$K$2:$K$1000&gt;0)*('Shared Calendar'!$K$2:$K$1000&lt;=$B286)*('Shared Calendar'!$J$2:$J$1000&gt;$B286)*ISNUMBER(SEARCH($L286,'Shared Calendar'!$M$2:$M$1000))*ROW('Shared Calendar'!$A$2:$A$1000))))))</f>
        <v/>
      </c>
      <c r="I286" s="244">
        <f>IF(OR($A286="",$L286=""),"",IF(SUMPRODUCT(('Shared Calendar'!$K$2:$K$1000&gt;0)*('Shared Calendar'!$K$2:$K$1000&lt;=$B286)*('Shared Calendar'!$J$2:$J$1000&gt;$B286)*ISNUMBER(SEARCH($L286,'Shared Calendar'!$M$2:$M$1000))*('Shared Calendar'!$N$2:$N$1000="Leave"))&gt;0,"Leave",""))</f>
        <v/>
      </c>
      <c r="J286" s="244">
        <f>IF($A286="","",IFERROR(INDEX('Public Holidays'!$C$6:$C$38,MATCH($B286,'Public Holidays'!$A$6:$A$38,0))&amp;" ("&amp;INDEX('Public Holidays'!$L$6:$L$38,MATCH($B286,'Public Holidays'!$A$6:$A$38,0))&amp;")",""))</f>
        <v/>
      </c>
      <c r="K286" s="246">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44">
        <f>IF($A286="","",INDEX($B$7:$B$36,INT((ROW()-41)/14)+1)&amp;"")</f>
        <v/>
      </c>
    </row>
    <row r="287">
      <c r="A287" s="244">
        <f>IF(INDEX($A$7:$A$36,INT((ROW()-41)/14)+1)="","",INDEX($A$7:$A$36,INT((ROW()-41)/14)+1))</f>
        <v/>
      </c>
      <c r="B287" s="245">
        <f>IF($A287="","",$B$3+MOD(ROW()-41,14))</f>
        <v/>
      </c>
      <c r="C287" s="244">
        <f>IF($A287="","",TEXT($B287,"ddd"))</f>
        <v/>
      </c>
      <c r="D287" s="242">
        <f>IF($A287="","",SUMIFS('EH Timesheets'!$G$6:$G$1005,'EH Timesheets'!$A$6:$A$1005,$A287,'EH Timesheets'!$B$6:$B$1005,$B287))</f>
        <v/>
      </c>
      <c r="E287" s="242">
        <f>IF($A287="","",SUMIFS('EH Roster'!$G$6:$G$1005,'EH Roster'!$A$6:$A$1005,$A287,'EH Roster'!$B$6:$B$1005,$B287))</f>
        <v/>
      </c>
      <c r="F287" s="242">
        <f>IF($A287="","",$D287-$E287)</f>
        <v/>
      </c>
      <c r="G287" s="242">
        <f>IF($A287="","",IF($L287="",0,SUMPRODUCT(('Shared Calendar'!$K$2:$K$1000&gt;0)*('Shared Calendar'!$K$2:$K$1000&lt;=$B287)*('Shared Calendar'!$J$2:$J$1000&gt;$B287)*ISNUMBER(SEARCH($L287,'Shared Calendar'!$M$2:$M$1000))*('Shared Calendar'!$N$2:$N$1000="Event"),'Shared Calendar'!$L$2:$L$1000)))</f>
        <v/>
      </c>
      <c r="H287" s="246">
        <f>IF(OR($A287="",$L287=""),"",IF(SUMPRODUCT(MAX(('Shared Calendar'!$K$2:$K$1000&gt;0)*('Shared Calendar'!$K$2:$K$1000&lt;=$B287)*('Shared Calendar'!$J$2:$J$1000&gt;$B287)*ISNUMBER(SEARCH($L287,'Shared Calendar'!$M$2:$M$1000))*ROW('Shared Calendar'!$A$2:$A$1000)))=0,"",INDEX('Shared Calendar'!$A:$A,SUMPRODUCT(MAX(('Shared Calendar'!$K$2:$K$1000&gt;0)*('Shared Calendar'!$K$2:$K$1000&lt;=$B287)*('Shared Calendar'!$J$2:$J$1000&gt;$B287)*ISNUMBER(SEARCH($L287,'Shared Calendar'!$M$2:$M$1000))*ROW('Shared Calendar'!$A$2:$A$1000))))))</f>
        <v/>
      </c>
      <c r="I287" s="244">
        <f>IF(OR($A287="",$L287=""),"",IF(SUMPRODUCT(('Shared Calendar'!$K$2:$K$1000&gt;0)*('Shared Calendar'!$K$2:$K$1000&lt;=$B287)*('Shared Calendar'!$J$2:$J$1000&gt;$B287)*ISNUMBER(SEARCH($L287,'Shared Calendar'!$M$2:$M$1000))*('Shared Calendar'!$N$2:$N$1000="Leave"))&gt;0,"Leave",""))</f>
        <v/>
      </c>
      <c r="J287" s="244">
        <f>IF($A287="","",IFERROR(INDEX('Public Holidays'!$C$6:$C$38,MATCH($B287,'Public Holidays'!$A$6:$A$38,0))&amp;" ("&amp;INDEX('Public Holidays'!$L$6:$L$38,MATCH($B287,'Public Holidays'!$A$6:$A$38,0))&amp;")",""))</f>
        <v/>
      </c>
      <c r="K287" s="246">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44">
        <f>IF($A287="","",INDEX($B$7:$B$36,INT((ROW()-41)/14)+1)&amp;"")</f>
        <v/>
      </c>
    </row>
    <row r="288">
      <c r="A288" s="244">
        <f>IF(INDEX($A$7:$A$36,INT((ROW()-41)/14)+1)="","",INDEX($A$7:$A$36,INT((ROW()-41)/14)+1))</f>
        <v/>
      </c>
      <c r="B288" s="245">
        <f>IF($A288="","",$B$3+MOD(ROW()-41,14))</f>
        <v/>
      </c>
      <c r="C288" s="244">
        <f>IF($A288="","",TEXT($B288,"ddd"))</f>
        <v/>
      </c>
      <c r="D288" s="242">
        <f>IF($A288="","",SUMIFS('EH Timesheets'!$G$6:$G$1005,'EH Timesheets'!$A$6:$A$1005,$A288,'EH Timesheets'!$B$6:$B$1005,$B288))</f>
        <v/>
      </c>
      <c r="E288" s="242">
        <f>IF($A288="","",SUMIFS('EH Roster'!$G$6:$G$1005,'EH Roster'!$A$6:$A$1005,$A288,'EH Roster'!$B$6:$B$1005,$B288))</f>
        <v/>
      </c>
      <c r="F288" s="242">
        <f>IF($A288="","",$D288-$E288)</f>
        <v/>
      </c>
      <c r="G288" s="242">
        <f>IF($A288="","",IF($L288="",0,SUMPRODUCT(('Shared Calendar'!$K$2:$K$1000&gt;0)*('Shared Calendar'!$K$2:$K$1000&lt;=$B288)*('Shared Calendar'!$J$2:$J$1000&gt;$B288)*ISNUMBER(SEARCH($L288,'Shared Calendar'!$M$2:$M$1000))*('Shared Calendar'!$N$2:$N$1000="Event"),'Shared Calendar'!$L$2:$L$1000)))</f>
        <v/>
      </c>
      <c r="H288" s="246">
        <f>IF(OR($A288="",$L288=""),"",IF(SUMPRODUCT(MAX(('Shared Calendar'!$K$2:$K$1000&gt;0)*('Shared Calendar'!$K$2:$K$1000&lt;=$B288)*('Shared Calendar'!$J$2:$J$1000&gt;$B288)*ISNUMBER(SEARCH($L288,'Shared Calendar'!$M$2:$M$1000))*ROW('Shared Calendar'!$A$2:$A$1000)))=0,"",INDEX('Shared Calendar'!$A:$A,SUMPRODUCT(MAX(('Shared Calendar'!$K$2:$K$1000&gt;0)*('Shared Calendar'!$K$2:$K$1000&lt;=$B288)*('Shared Calendar'!$J$2:$J$1000&gt;$B288)*ISNUMBER(SEARCH($L288,'Shared Calendar'!$M$2:$M$1000))*ROW('Shared Calendar'!$A$2:$A$1000))))))</f>
        <v/>
      </c>
      <c r="I288" s="244">
        <f>IF(OR($A288="",$L288=""),"",IF(SUMPRODUCT(('Shared Calendar'!$K$2:$K$1000&gt;0)*('Shared Calendar'!$K$2:$K$1000&lt;=$B288)*('Shared Calendar'!$J$2:$J$1000&gt;$B288)*ISNUMBER(SEARCH($L288,'Shared Calendar'!$M$2:$M$1000))*('Shared Calendar'!$N$2:$N$1000="Leave"))&gt;0,"Leave",""))</f>
        <v/>
      </c>
      <c r="J288" s="244">
        <f>IF($A288="","",IFERROR(INDEX('Public Holidays'!$C$6:$C$38,MATCH($B288,'Public Holidays'!$A$6:$A$38,0))&amp;" ("&amp;INDEX('Public Holidays'!$L$6:$L$38,MATCH($B288,'Public Holidays'!$A$6:$A$38,0))&amp;")",""))</f>
        <v/>
      </c>
      <c r="K288" s="246">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44">
        <f>IF($A288="","",INDEX($B$7:$B$36,INT((ROW()-41)/14)+1)&amp;"")</f>
        <v/>
      </c>
    </row>
    <row r="289">
      <c r="A289" s="244">
        <f>IF(INDEX($A$7:$A$36,INT((ROW()-41)/14)+1)="","",INDEX($A$7:$A$36,INT((ROW()-41)/14)+1))</f>
        <v/>
      </c>
      <c r="B289" s="245">
        <f>IF($A289="","",$B$3+MOD(ROW()-41,14))</f>
        <v/>
      </c>
      <c r="C289" s="244">
        <f>IF($A289="","",TEXT($B289,"ddd"))</f>
        <v/>
      </c>
      <c r="D289" s="242">
        <f>IF($A289="","",SUMIFS('EH Timesheets'!$G$6:$G$1005,'EH Timesheets'!$A$6:$A$1005,$A289,'EH Timesheets'!$B$6:$B$1005,$B289))</f>
        <v/>
      </c>
      <c r="E289" s="242">
        <f>IF($A289="","",SUMIFS('EH Roster'!$G$6:$G$1005,'EH Roster'!$A$6:$A$1005,$A289,'EH Roster'!$B$6:$B$1005,$B289))</f>
        <v/>
      </c>
      <c r="F289" s="242">
        <f>IF($A289="","",$D289-$E289)</f>
        <v/>
      </c>
      <c r="G289" s="242">
        <f>IF($A289="","",IF($L289="",0,SUMPRODUCT(('Shared Calendar'!$K$2:$K$1000&gt;0)*('Shared Calendar'!$K$2:$K$1000&lt;=$B289)*('Shared Calendar'!$J$2:$J$1000&gt;$B289)*ISNUMBER(SEARCH($L289,'Shared Calendar'!$M$2:$M$1000))*('Shared Calendar'!$N$2:$N$1000="Event"),'Shared Calendar'!$L$2:$L$1000)))</f>
        <v/>
      </c>
      <c r="H289" s="246">
        <f>IF(OR($A289="",$L289=""),"",IF(SUMPRODUCT(MAX(('Shared Calendar'!$K$2:$K$1000&gt;0)*('Shared Calendar'!$K$2:$K$1000&lt;=$B289)*('Shared Calendar'!$J$2:$J$1000&gt;$B289)*ISNUMBER(SEARCH($L289,'Shared Calendar'!$M$2:$M$1000))*ROW('Shared Calendar'!$A$2:$A$1000)))=0,"",INDEX('Shared Calendar'!$A:$A,SUMPRODUCT(MAX(('Shared Calendar'!$K$2:$K$1000&gt;0)*('Shared Calendar'!$K$2:$K$1000&lt;=$B289)*('Shared Calendar'!$J$2:$J$1000&gt;$B289)*ISNUMBER(SEARCH($L289,'Shared Calendar'!$M$2:$M$1000))*ROW('Shared Calendar'!$A$2:$A$1000))))))</f>
        <v/>
      </c>
      <c r="I289" s="244">
        <f>IF(OR($A289="",$L289=""),"",IF(SUMPRODUCT(('Shared Calendar'!$K$2:$K$1000&gt;0)*('Shared Calendar'!$K$2:$K$1000&lt;=$B289)*('Shared Calendar'!$J$2:$J$1000&gt;$B289)*ISNUMBER(SEARCH($L289,'Shared Calendar'!$M$2:$M$1000))*('Shared Calendar'!$N$2:$N$1000="Leave"))&gt;0,"Leave",""))</f>
        <v/>
      </c>
      <c r="J289" s="244">
        <f>IF($A289="","",IFERROR(INDEX('Public Holidays'!$C$6:$C$38,MATCH($B289,'Public Holidays'!$A$6:$A$38,0))&amp;" ("&amp;INDEX('Public Holidays'!$L$6:$L$38,MATCH($B289,'Public Holidays'!$A$6:$A$38,0))&amp;")",""))</f>
        <v/>
      </c>
      <c r="K289" s="246">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44">
        <f>IF($A289="","",INDEX($B$7:$B$36,INT((ROW()-41)/14)+1)&amp;"")</f>
        <v/>
      </c>
    </row>
    <row r="290">
      <c r="A290" s="244">
        <f>IF(INDEX($A$7:$A$36,INT((ROW()-41)/14)+1)="","",INDEX($A$7:$A$36,INT((ROW()-41)/14)+1))</f>
        <v/>
      </c>
      <c r="B290" s="245">
        <f>IF($A290="","",$B$3+MOD(ROW()-41,14))</f>
        <v/>
      </c>
      <c r="C290" s="244">
        <f>IF($A290="","",TEXT($B290,"ddd"))</f>
        <v/>
      </c>
      <c r="D290" s="242">
        <f>IF($A290="","",SUMIFS('EH Timesheets'!$G$6:$G$1005,'EH Timesheets'!$A$6:$A$1005,$A290,'EH Timesheets'!$B$6:$B$1005,$B290))</f>
        <v/>
      </c>
      <c r="E290" s="242">
        <f>IF($A290="","",SUMIFS('EH Roster'!$G$6:$G$1005,'EH Roster'!$A$6:$A$1005,$A290,'EH Roster'!$B$6:$B$1005,$B290))</f>
        <v/>
      </c>
      <c r="F290" s="242">
        <f>IF($A290="","",$D290-$E290)</f>
        <v/>
      </c>
      <c r="G290" s="242">
        <f>IF($A290="","",IF($L290="",0,SUMPRODUCT(('Shared Calendar'!$K$2:$K$1000&gt;0)*('Shared Calendar'!$K$2:$K$1000&lt;=$B290)*('Shared Calendar'!$J$2:$J$1000&gt;$B290)*ISNUMBER(SEARCH($L290,'Shared Calendar'!$M$2:$M$1000))*('Shared Calendar'!$N$2:$N$1000="Event"),'Shared Calendar'!$L$2:$L$1000)))</f>
        <v/>
      </c>
      <c r="H290" s="246">
        <f>IF(OR($A290="",$L290=""),"",IF(SUMPRODUCT(MAX(('Shared Calendar'!$K$2:$K$1000&gt;0)*('Shared Calendar'!$K$2:$K$1000&lt;=$B290)*('Shared Calendar'!$J$2:$J$1000&gt;$B290)*ISNUMBER(SEARCH($L290,'Shared Calendar'!$M$2:$M$1000))*ROW('Shared Calendar'!$A$2:$A$1000)))=0,"",INDEX('Shared Calendar'!$A:$A,SUMPRODUCT(MAX(('Shared Calendar'!$K$2:$K$1000&gt;0)*('Shared Calendar'!$K$2:$K$1000&lt;=$B290)*('Shared Calendar'!$J$2:$J$1000&gt;$B290)*ISNUMBER(SEARCH($L290,'Shared Calendar'!$M$2:$M$1000))*ROW('Shared Calendar'!$A$2:$A$1000))))))</f>
        <v/>
      </c>
      <c r="I290" s="244">
        <f>IF(OR($A290="",$L290=""),"",IF(SUMPRODUCT(('Shared Calendar'!$K$2:$K$1000&gt;0)*('Shared Calendar'!$K$2:$K$1000&lt;=$B290)*('Shared Calendar'!$J$2:$J$1000&gt;$B290)*ISNUMBER(SEARCH($L290,'Shared Calendar'!$M$2:$M$1000))*('Shared Calendar'!$N$2:$N$1000="Leave"))&gt;0,"Leave",""))</f>
        <v/>
      </c>
      <c r="J290" s="244">
        <f>IF($A290="","",IFERROR(INDEX('Public Holidays'!$C$6:$C$38,MATCH($B290,'Public Holidays'!$A$6:$A$38,0))&amp;" ("&amp;INDEX('Public Holidays'!$L$6:$L$38,MATCH($B290,'Public Holidays'!$A$6:$A$38,0))&amp;")",""))</f>
        <v/>
      </c>
      <c r="K290" s="246">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44">
        <f>IF($A290="","",INDEX($B$7:$B$36,INT((ROW()-41)/14)+1)&amp;"")</f>
        <v/>
      </c>
    </row>
    <row r="291">
      <c r="A291" s="244">
        <f>IF(INDEX($A$7:$A$36,INT((ROW()-41)/14)+1)="","",INDEX($A$7:$A$36,INT((ROW()-41)/14)+1))</f>
        <v/>
      </c>
      <c r="B291" s="245">
        <f>IF($A291="","",$B$3+MOD(ROW()-41,14))</f>
        <v/>
      </c>
      <c r="C291" s="244">
        <f>IF($A291="","",TEXT($B291,"ddd"))</f>
        <v/>
      </c>
      <c r="D291" s="242">
        <f>IF($A291="","",SUMIFS('EH Timesheets'!$G$6:$G$1005,'EH Timesheets'!$A$6:$A$1005,$A291,'EH Timesheets'!$B$6:$B$1005,$B291))</f>
        <v/>
      </c>
      <c r="E291" s="242">
        <f>IF($A291="","",SUMIFS('EH Roster'!$G$6:$G$1005,'EH Roster'!$A$6:$A$1005,$A291,'EH Roster'!$B$6:$B$1005,$B291))</f>
        <v/>
      </c>
      <c r="F291" s="242">
        <f>IF($A291="","",$D291-$E291)</f>
        <v/>
      </c>
      <c r="G291" s="242">
        <f>IF($A291="","",IF($L291="",0,SUMPRODUCT(('Shared Calendar'!$K$2:$K$1000&gt;0)*('Shared Calendar'!$K$2:$K$1000&lt;=$B291)*('Shared Calendar'!$J$2:$J$1000&gt;$B291)*ISNUMBER(SEARCH($L291,'Shared Calendar'!$M$2:$M$1000))*('Shared Calendar'!$N$2:$N$1000="Event"),'Shared Calendar'!$L$2:$L$1000)))</f>
        <v/>
      </c>
      <c r="H291" s="246">
        <f>IF(OR($A291="",$L291=""),"",IF(SUMPRODUCT(MAX(('Shared Calendar'!$K$2:$K$1000&gt;0)*('Shared Calendar'!$K$2:$K$1000&lt;=$B291)*('Shared Calendar'!$J$2:$J$1000&gt;$B291)*ISNUMBER(SEARCH($L291,'Shared Calendar'!$M$2:$M$1000))*ROW('Shared Calendar'!$A$2:$A$1000)))=0,"",INDEX('Shared Calendar'!$A:$A,SUMPRODUCT(MAX(('Shared Calendar'!$K$2:$K$1000&gt;0)*('Shared Calendar'!$K$2:$K$1000&lt;=$B291)*('Shared Calendar'!$J$2:$J$1000&gt;$B291)*ISNUMBER(SEARCH($L291,'Shared Calendar'!$M$2:$M$1000))*ROW('Shared Calendar'!$A$2:$A$1000))))))</f>
        <v/>
      </c>
      <c r="I291" s="244">
        <f>IF(OR($A291="",$L291=""),"",IF(SUMPRODUCT(('Shared Calendar'!$K$2:$K$1000&gt;0)*('Shared Calendar'!$K$2:$K$1000&lt;=$B291)*('Shared Calendar'!$J$2:$J$1000&gt;$B291)*ISNUMBER(SEARCH($L291,'Shared Calendar'!$M$2:$M$1000))*('Shared Calendar'!$N$2:$N$1000="Leave"))&gt;0,"Leave",""))</f>
        <v/>
      </c>
      <c r="J291" s="244">
        <f>IF($A291="","",IFERROR(INDEX('Public Holidays'!$C$6:$C$38,MATCH($B291,'Public Holidays'!$A$6:$A$38,0))&amp;" ("&amp;INDEX('Public Holidays'!$L$6:$L$38,MATCH($B291,'Public Holidays'!$A$6:$A$38,0))&amp;")",""))</f>
        <v/>
      </c>
      <c r="K291" s="246">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44">
        <f>IF($A291="","",INDEX($B$7:$B$36,INT((ROW()-41)/14)+1)&amp;"")</f>
        <v/>
      </c>
    </row>
    <row r="292">
      <c r="A292" s="244">
        <f>IF(INDEX($A$7:$A$36,INT((ROW()-41)/14)+1)="","",INDEX($A$7:$A$36,INT((ROW()-41)/14)+1))</f>
        <v/>
      </c>
      <c r="B292" s="245">
        <f>IF($A292="","",$B$3+MOD(ROW()-41,14))</f>
        <v/>
      </c>
      <c r="C292" s="244">
        <f>IF($A292="","",TEXT($B292,"ddd"))</f>
        <v/>
      </c>
      <c r="D292" s="242">
        <f>IF($A292="","",SUMIFS('EH Timesheets'!$G$6:$G$1005,'EH Timesheets'!$A$6:$A$1005,$A292,'EH Timesheets'!$B$6:$B$1005,$B292))</f>
        <v/>
      </c>
      <c r="E292" s="242">
        <f>IF($A292="","",SUMIFS('EH Roster'!$G$6:$G$1005,'EH Roster'!$A$6:$A$1005,$A292,'EH Roster'!$B$6:$B$1005,$B292))</f>
        <v/>
      </c>
      <c r="F292" s="242">
        <f>IF($A292="","",$D292-$E292)</f>
        <v/>
      </c>
      <c r="G292" s="242">
        <f>IF($A292="","",IF($L292="",0,SUMPRODUCT(('Shared Calendar'!$K$2:$K$1000&gt;0)*('Shared Calendar'!$K$2:$K$1000&lt;=$B292)*('Shared Calendar'!$J$2:$J$1000&gt;$B292)*ISNUMBER(SEARCH($L292,'Shared Calendar'!$M$2:$M$1000))*('Shared Calendar'!$N$2:$N$1000="Event"),'Shared Calendar'!$L$2:$L$1000)))</f>
        <v/>
      </c>
      <c r="H292" s="246">
        <f>IF(OR($A292="",$L292=""),"",IF(SUMPRODUCT(MAX(('Shared Calendar'!$K$2:$K$1000&gt;0)*('Shared Calendar'!$K$2:$K$1000&lt;=$B292)*('Shared Calendar'!$J$2:$J$1000&gt;$B292)*ISNUMBER(SEARCH($L292,'Shared Calendar'!$M$2:$M$1000))*ROW('Shared Calendar'!$A$2:$A$1000)))=0,"",INDEX('Shared Calendar'!$A:$A,SUMPRODUCT(MAX(('Shared Calendar'!$K$2:$K$1000&gt;0)*('Shared Calendar'!$K$2:$K$1000&lt;=$B292)*('Shared Calendar'!$J$2:$J$1000&gt;$B292)*ISNUMBER(SEARCH($L292,'Shared Calendar'!$M$2:$M$1000))*ROW('Shared Calendar'!$A$2:$A$1000))))))</f>
        <v/>
      </c>
      <c r="I292" s="244">
        <f>IF(OR($A292="",$L292=""),"",IF(SUMPRODUCT(('Shared Calendar'!$K$2:$K$1000&gt;0)*('Shared Calendar'!$K$2:$K$1000&lt;=$B292)*('Shared Calendar'!$J$2:$J$1000&gt;$B292)*ISNUMBER(SEARCH($L292,'Shared Calendar'!$M$2:$M$1000))*('Shared Calendar'!$N$2:$N$1000="Leave"))&gt;0,"Leave",""))</f>
        <v/>
      </c>
      <c r="J292" s="244">
        <f>IF($A292="","",IFERROR(INDEX('Public Holidays'!$C$6:$C$38,MATCH($B292,'Public Holidays'!$A$6:$A$38,0))&amp;" ("&amp;INDEX('Public Holidays'!$L$6:$L$38,MATCH($B292,'Public Holidays'!$A$6:$A$38,0))&amp;")",""))</f>
        <v/>
      </c>
      <c r="K292" s="246">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44">
        <f>IF($A292="","",INDEX($B$7:$B$36,INT((ROW()-41)/14)+1)&amp;"")</f>
        <v/>
      </c>
    </row>
    <row r="293">
      <c r="A293" s="244">
        <f>IF(INDEX($A$7:$A$36,INT((ROW()-41)/14)+1)="","",INDEX($A$7:$A$36,INT((ROW()-41)/14)+1))</f>
        <v/>
      </c>
      <c r="B293" s="245">
        <f>IF($A293="","",$B$3+MOD(ROW()-41,14))</f>
        <v/>
      </c>
      <c r="C293" s="244">
        <f>IF($A293="","",TEXT($B293,"ddd"))</f>
        <v/>
      </c>
      <c r="D293" s="242">
        <f>IF($A293="","",SUMIFS('EH Timesheets'!$G$6:$G$1005,'EH Timesheets'!$A$6:$A$1005,$A293,'EH Timesheets'!$B$6:$B$1005,$B293))</f>
        <v/>
      </c>
      <c r="E293" s="242">
        <f>IF($A293="","",SUMIFS('EH Roster'!$G$6:$G$1005,'EH Roster'!$A$6:$A$1005,$A293,'EH Roster'!$B$6:$B$1005,$B293))</f>
        <v/>
      </c>
      <c r="F293" s="242">
        <f>IF($A293="","",$D293-$E293)</f>
        <v/>
      </c>
      <c r="G293" s="242">
        <f>IF($A293="","",IF($L293="",0,SUMPRODUCT(('Shared Calendar'!$K$2:$K$1000&gt;0)*('Shared Calendar'!$K$2:$K$1000&lt;=$B293)*('Shared Calendar'!$J$2:$J$1000&gt;$B293)*ISNUMBER(SEARCH($L293,'Shared Calendar'!$M$2:$M$1000))*('Shared Calendar'!$N$2:$N$1000="Event"),'Shared Calendar'!$L$2:$L$1000)))</f>
        <v/>
      </c>
      <c r="H293" s="246">
        <f>IF(OR($A293="",$L293=""),"",IF(SUMPRODUCT(MAX(('Shared Calendar'!$K$2:$K$1000&gt;0)*('Shared Calendar'!$K$2:$K$1000&lt;=$B293)*('Shared Calendar'!$J$2:$J$1000&gt;$B293)*ISNUMBER(SEARCH($L293,'Shared Calendar'!$M$2:$M$1000))*ROW('Shared Calendar'!$A$2:$A$1000)))=0,"",INDEX('Shared Calendar'!$A:$A,SUMPRODUCT(MAX(('Shared Calendar'!$K$2:$K$1000&gt;0)*('Shared Calendar'!$K$2:$K$1000&lt;=$B293)*('Shared Calendar'!$J$2:$J$1000&gt;$B293)*ISNUMBER(SEARCH($L293,'Shared Calendar'!$M$2:$M$1000))*ROW('Shared Calendar'!$A$2:$A$1000))))))</f>
        <v/>
      </c>
      <c r="I293" s="244">
        <f>IF(OR($A293="",$L293=""),"",IF(SUMPRODUCT(('Shared Calendar'!$K$2:$K$1000&gt;0)*('Shared Calendar'!$K$2:$K$1000&lt;=$B293)*('Shared Calendar'!$J$2:$J$1000&gt;$B293)*ISNUMBER(SEARCH($L293,'Shared Calendar'!$M$2:$M$1000))*('Shared Calendar'!$N$2:$N$1000="Leave"))&gt;0,"Leave",""))</f>
        <v/>
      </c>
      <c r="J293" s="244">
        <f>IF($A293="","",IFERROR(INDEX('Public Holidays'!$C$6:$C$38,MATCH($B293,'Public Holidays'!$A$6:$A$38,0))&amp;" ("&amp;INDEX('Public Holidays'!$L$6:$L$38,MATCH($B293,'Public Holidays'!$A$6:$A$38,0))&amp;")",""))</f>
        <v/>
      </c>
      <c r="K293" s="246">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44">
        <f>IF($A293="","",INDEX($B$7:$B$36,INT((ROW()-41)/14)+1)&amp;"")</f>
        <v/>
      </c>
    </row>
    <row r="294">
      <c r="A294" s="244">
        <f>IF(INDEX($A$7:$A$36,INT((ROW()-41)/14)+1)="","",INDEX($A$7:$A$36,INT((ROW()-41)/14)+1))</f>
        <v/>
      </c>
      <c r="B294" s="245">
        <f>IF($A294="","",$B$3+MOD(ROW()-41,14))</f>
        <v/>
      </c>
      <c r="C294" s="244">
        <f>IF($A294="","",TEXT($B294,"ddd"))</f>
        <v/>
      </c>
      <c r="D294" s="242">
        <f>IF($A294="","",SUMIFS('EH Timesheets'!$G$6:$G$1005,'EH Timesheets'!$A$6:$A$1005,$A294,'EH Timesheets'!$B$6:$B$1005,$B294))</f>
        <v/>
      </c>
      <c r="E294" s="242">
        <f>IF($A294="","",SUMIFS('EH Roster'!$G$6:$G$1005,'EH Roster'!$A$6:$A$1005,$A294,'EH Roster'!$B$6:$B$1005,$B294))</f>
        <v/>
      </c>
      <c r="F294" s="242">
        <f>IF($A294="","",$D294-$E294)</f>
        <v/>
      </c>
      <c r="G294" s="242">
        <f>IF($A294="","",IF($L294="",0,SUMPRODUCT(('Shared Calendar'!$K$2:$K$1000&gt;0)*('Shared Calendar'!$K$2:$K$1000&lt;=$B294)*('Shared Calendar'!$J$2:$J$1000&gt;$B294)*ISNUMBER(SEARCH($L294,'Shared Calendar'!$M$2:$M$1000))*('Shared Calendar'!$N$2:$N$1000="Event"),'Shared Calendar'!$L$2:$L$1000)))</f>
        <v/>
      </c>
      <c r="H294" s="246">
        <f>IF(OR($A294="",$L294=""),"",IF(SUMPRODUCT(MAX(('Shared Calendar'!$K$2:$K$1000&gt;0)*('Shared Calendar'!$K$2:$K$1000&lt;=$B294)*('Shared Calendar'!$J$2:$J$1000&gt;$B294)*ISNUMBER(SEARCH($L294,'Shared Calendar'!$M$2:$M$1000))*ROW('Shared Calendar'!$A$2:$A$1000)))=0,"",INDEX('Shared Calendar'!$A:$A,SUMPRODUCT(MAX(('Shared Calendar'!$K$2:$K$1000&gt;0)*('Shared Calendar'!$K$2:$K$1000&lt;=$B294)*('Shared Calendar'!$J$2:$J$1000&gt;$B294)*ISNUMBER(SEARCH($L294,'Shared Calendar'!$M$2:$M$1000))*ROW('Shared Calendar'!$A$2:$A$1000))))))</f>
        <v/>
      </c>
      <c r="I294" s="244">
        <f>IF(OR($A294="",$L294=""),"",IF(SUMPRODUCT(('Shared Calendar'!$K$2:$K$1000&gt;0)*('Shared Calendar'!$K$2:$K$1000&lt;=$B294)*('Shared Calendar'!$J$2:$J$1000&gt;$B294)*ISNUMBER(SEARCH($L294,'Shared Calendar'!$M$2:$M$1000))*('Shared Calendar'!$N$2:$N$1000="Leave"))&gt;0,"Leave",""))</f>
        <v/>
      </c>
      <c r="J294" s="244">
        <f>IF($A294="","",IFERROR(INDEX('Public Holidays'!$C$6:$C$38,MATCH($B294,'Public Holidays'!$A$6:$A$38,0))&amp;" ("&amp;INDEX('Public Holidays'!$L$6:$L$38,MATCH($B294,'Public Holidays'!$A$6:$A$38,0))&amp;")",""))</f>
        <v/>
      </c>
      <c r="K294" s="246">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44">
        <f>IF($A294="","",INDEX($B$7:$B$36,INT((ROW()-41)/14)+1)&amp;"")</f>
        <v/>
      </c>
    </row>
    <row r="295">
      <c r="A295" s="244">
        <f>IF(INDEX($A$7:$A$36,INT((ROW()-41)/14)+1)="","",INDEX($A$7:$A$36,INT((ROW()-41)/14)+1))</f>
        <v/>
      </c>
      <c r="B295" s="245">
        <f>IF($A295="","",$B$3+MOD(ROW()-41,14))</f>
        <v/>
      </c>
      <c r="C295" s="244">
        <f>IF($A295="","",TEXT($B295,"ddd"))</f>
        <v/>
      </c>
      <c r="D295" s="242">
        <f>IF($A295="","",SUMIFS('EH Timesheets'!$G$6:$G$1005,'EH Timesheets'!$A$6:$A$1005,$A295,'EH Timesheets'!$B$6:$B$1005,$B295))</f>
        <v/>
      </c>
      <c r="E295" s="242">
        <f>IF($A295="","",SUMIFS('EH Roster'!$G$6:$G$1005,'EH Roster'!$A$6:$A$1005,$A295,'EH Roster'!$B$6:$B$1005,$B295))</f>
        <v/>
      </c>
      <c r="F295" s="242">
        <f>IF($A295="","",$D295-$E295)</f>
        <v/>
      </c>
      <c r="G295" s="242">
        <f>IF($A295="","",IF($L295="",0,SUMPRODUCT(('Shared Calendar'!$K$2:$K$1000&gt;0)*('Shared Calendar'!$K$2:$K$1000&lt;=$B295)*('Shared Calendar'!$J$2:$J$1000&gt;$B295)*ISNUMBER(SEARCH($L295,'Shared Calendar'!$M$2:$M$1000))*('Shared Calendar'!$N$2:$N$1000="Event"),'Shared Calendar'!$L$2:$L$1000)))</f>
        <v/>
      </c>
      <c r="H295" s="246">
        <f>IF(OR($A295="",$L295=""),"",IF(SUMPRODUCT(MAX(('Shared Calendar'!$K$2:$K$1000&gt;0)*('Shared Calendar'!$K$2:$K$1000&lt;=$B295)*('Shared Calendar'!$J$2:$J$1000&gt;$B295)*ISNUMBER(SEARCH($L295,'Shared Calendar'!$M$2:$M$1000))*ROW('Shared Calendar'!$A$2:$A$1000)))=0,"",INDEX('Shared Calendar'!$A:$A,SUMPRODUCT(MAX(('Shared Calendar'!$K$2:$K$1000&gt;0)*('Shared Calendar'!$K$2:$K$1000&lt;=$B295)*('Shared Calendar'!$J$2:$J$1000&gt;$B295)*ISNUMBER(SEARCH($L295,'Shared Calendar'!$M$2:$M$1000))*ROW('Shared Calendar'!$A$2:$A$1000))))))</f>
        <v/>
      </c>
      <c r="I295" s="244">
        <f>IF(OR($A295="",$L295=""),"",IF(SUMPRODUCT(('Shared Calendar'!$K$2:$K$1000&gt;0)*('Shared Calendar'!$K$2:$K$1000&lt;=$B295)*('Shared Calendar'!$J$2:$J$1000&gt;$B295)*ISNUMBER(SEARCH($L295,'Shared Calendar'!$M$2:$M$1000))*('Shared Calendar'!$N$2:$N$1000="Leave"))&gt;0,"Leave",""))</f>
        <v/>
      </c>
      <c r="J295" s="244">
        <f>IF($A295="","",IFERROR(INDEX('Public Holidays'!$C$6:$C$38,MATCH($B295,'Public Holidays'!$A$6:$A$38,0))&amp;" ("&amp;INDEX('Public Holidays'!$L$6:$L$38,MATCH($B295,'Public Holidays'!$A$6:$A$38,0))&amp;")",""))</f>
        <v/>
      </c>
      <c r="K295" s="246">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44">
        <f>IF($A295="","",INDEX($B$7:$B$36,INT((ROW()-41)/14)+1)&amp;"")</f>
        <v/>
      </c>
    </row>
    <row r="296">
      <c r="A296" s="244">
        <f>IF(INDEX($A$7:$A$36,INT((ROW()-41)/14)+1)="","",INDEX($A$7:$A$36,INT((ROW()-41)/14)+1))</f>
        <v/>
      </c>
      <c r="B296" s="245">
        <f>IF($A296="","",$B$3+MOD(ROW()-41,14))</f>
        <v/>
      </c>
      <c r="C296" s="244">
        <f>IF($A296="","",TEXT($B296,"ddd"))</f>
        <v/>
      </c>
      <c r="D296" s="242">
        <f>IF($A296="","",SUMIFS('EH Timesheets'!$G$6:$G$1005,'EH Timesheets'!$A$6:$A$1005,$A296,'EH Timesheets'!$B$6:$B$1005,$B296))</f>
        <v/>
      </c>
      <c r="E296" s="242">
        <f>IF($A296="","",SUMIFS('EH Roster'!$G$6:$G$1005,'EH Roster'!$A$6:$A$1005,$A296,'EH Roster'!$B$6:$B$1005,$B296))</f>
        <v/>
      </c>
      <c r="F296" s="242">
        <f>IF($A296="","",$D296-$E296)</f>
        <v/>
      </c>
      <c r="G296" s="242">
        <f>IF($A296="","",IF($L296="",0,SUMPRODUCT(('Shared Calendar'!$K$2:$K$1000&gt;0)*('Shared Calendar'!$K$2:$K$1000&lt;=$B296)*('Shared Calendar'!$J$2:$J$1000&gt;$B296)*ISNUMBER(SEARCH($L296,'Shared Calendar'!$M$2:$M$1000))*('Shared Calendar'!$N$2:$N$1000="Event"),'Shared Calendar'!$L$2:$L$1000)))</f>
        <v/>
      </c>
      <c r="H296" s="246">
        <f>IF(OR($A296="",$L296=""),"",IF(SUMPRODUCT(MAX(('Shared Calendar'!$K$2:$K$1000&gt;0)*('Shared Calendar'!$K$2:$K$1000&lt;=$B296)*('Shared Calendar'!$J$2:$J$1000&gt;$B296)*ISNUMBER(SEARCH($L296,'Shared Calendar'!$M$2:$M$1000))*ROW('Shared Calendar'!$A$2:$A$1000)))=0,"",INDEX('Shared Calendar'!$A:$A,SUMPRODUCT(MAX(('Shared Calendar'!$K$2:$K$1000&gt;0)*('Shared Calendar'!$K$2:$K$1000&lt;=$B296)*('Shared Calendar'!$J$2:$J$1000&gt;$B296)*ISNUMBER(SEARCH($L296,'Shared Calendar'!$M$2:$M$1000))*ROW('Shared Calendar'!$A$2:$A$1000))))))</f>
        <v/>
      </c>
      <c r="I296" s="244">
        <f>IF(OR($A296="",$L296=""),"",IF(SUMPRODUCT(('Shared Calendar'!$K$2:$K$1000&gt;0)*('Shared Calendar'!$K$2:$K$1000&lt;=$B296)*('Shared Calendar'!$J$2:$J$1000&gt;$B296)*ISNUMBER(SEARCH($L296,'Shared Calendar'!$M$2:$M$1000))*('Shared Calendar'!$N$2:$N$1000="Leave"))&gt;0,"Leave",""))</f>
        <v/>
      </c>
      <c r="J296" s="244">
        <f>IF($A296="","",IFERROR(INDEX('Public Holidays'!$C$6:$C$38,MATCH($B296,'Public Holidays'!$A$6:$A$38,0))&amp;" ("&amp;INDEX('Public Holidays'!$L$6:$L$38,MATCH($B296,'Public Holidays'!$A$6:$A$38,0))&amp;")",""))</f>
        <v/>
      </c>
      <c r="K296" s="246">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44">
        <f>IF($A296="","",INDEX($B$7:$B$36,INT((ROW()-41)/14)+1)&amp;"")</f>
        <v/>
      </c>
    </row>
    <row r="297">
      <c r="A297" s="244">
        <f>IF(INDEX($A$7:$A$36,INT((ROW()-41)/14)+1)="","",INDEX($A$7:$A$36,INT((ROW()-41)/14)+1))</f>
        <v/>
      </c>
      <c r="B297" s="245">
        <f>IF($A297="","",$B$3+MOD(ROW()-41,14))</f>
        <v/>
      </c>
      <c r="C297" s="244">
        <f>IF($A297="","",TEXT($B297,"ddd"))</f>
        <v/>
      </c>
      <c r="D297" s="242">
        <f>IF($A297="","",SUMIFS('EH Timesheets'!$G$6:$G$1005,'EH Timesheets'!$A$6:$A$1005,$A297,'EH Timesheets'!$B$6:$B$1005,$B297))</f>
        <v/>
      </c>
      <c r="E297" s="242">
        <f>IF($A297="","",SUMIFS('EH Roster'!$G$6:$G$1005,'EH Roster'!$A$6:$A$1005,$A297,'EH Roster'!$B$6:$B$1005,$B297))</f>
        <v/>
      </c>
      <c r="F297" s="242">
        <f>IF($A297="","",$D297-$E297)</f>
        <v/>
      </c>
      <c r="G297" s="242">
        <f>IF($A297="","",IF($L297="",0,SUMPRODUCT(('Shared Calendar'!$K$2:$K$1000&gt;0)*('Shared Calendar'!$K$2:$K$1000&lt;=$B297)*('Shared Calendar'!$J$2:$J$1000&gt;$B297)*ISNUMBER(SEARCH($L297,'Shared Calendar'!$M$2:$M$1000))*('Shared Calendar'!$N$2:$N$1000="Event"),'Shared Calendar'!$L$2:$L$1000)))</f>
        <v/>
      </c>
      <c r="H297" s="246">
        <f>IF(OR($A297="",$L297=""),"",IF(SUMPRODUCT(MAX(('Shared Calendar'!$K$2:$K$1000&gt;0)*('Shared Calendar'!$K$2:$K$1000&lt;=$B297)*('Shared Calendar'!$J$2:$J$1000&gt;$B297)*ISNUMBER(SEARCH($L297,'Shared Calendar'!$M$2:$M$1000))*ROW('Shared Calendar'!$A$2:$A$1000)))=0,"",INDEX('Shared Calendar'!$A:$A,SUMPRODUCT(MAX(('Shared Calendar'!$K$2:$K$1000&gt;0)*('Shared Calendar'!$K$2:$K$1000&lt;=$B297)*('Shared Calendar'!$J$2:$J$1000&gt;$B297)*ISNUMBER(SEARCH($L297,'Shared Calendar'!$M$2:$M$1000))*ROW('Shared Calendar'!$A$2:$A$1000))))))</f>
        <v/>
      </c>
      <c r="I297" s="244">
        <f>IF(OR($A297="",$L297=""),"",IF(SUMPRODUCT(('Shared Calendar'!$K$2:$K$1000&gt;0)*('Shared Calendar'!$K$2:$K$1000&lt;=$B297)*('Shared Calendar'!$J$2:$J$1000&gt;$B297)*ISNUMBER(SEARCH($L297,'Shared Calendar'!$M$2:$M$1000))*('Shared Calendar'!$N$2:$N$1000="Leave"))&gt;0,"Leave",""))</f>
        <v/>
      </c>
      <c r="J297" s="244">
        <f>IF($A297="","",IFERROR(INDEX('Public Holidays'!$C$6:$C$38,MATCH($B297,'Public Holidays'!$A$6:$A$38,0))&amp;" ("&amp;INDEX('Public Holidays'!$L$6:$L$38,MATCH($B297,'Public Holidays'!$A$6:$A$38,0))&amp;")",""))</f>
        <v/>
      </c>
      <c r="K297" s="246">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44">
        <f>IF($A297="","",INDEX($B$7:$B$36,INT((ROW()-41)/14)+1)&amp;"")</f>
        <v/>
      </c>
    </row>
    <row r="298">
      <c r="A298" s="244">
        <f>IF(INDEX($A$7:$A$36,INT((ROW()-41)/14)+1)="","",INDEX($A$7:$A$36,INT((ROW()-41)/14)+1))</f>
        <v/>
      </c>
      <c r="B298" s="245">
        <f>IF($A298="","",$B$3+MOD(ROW()-41,14))</f>
        <v/>
      </c>
      <c r="C298" s="244">
        <f>IF($A298="","",TEXT($B298,"ddd"))</f>
        <v/>
      </c>
      <c r="D298" s="242">
        <f>IF($A298="","",SUMIFS('EH Timesheets'!$G$6:$G$1005,'EH Timesheets'!$A$6:$A$1005,$A298,'EH Timesheets'!$B$6:$B$1005,$B298))</f>
        <v/>
      </c>
      <c r="E298" s="242">
        <f>IF($A298="","",SUMIFS('EH Roster'!$G$6:$G$1005,'EH Roster'!$A$6:$A$1005,$A298,'EH Roster'!$B$6:$B$1005,$B298))</f>
        <v/>
      </c>
      <c r="F298" s="242">
        <f>IF($A298="","",$D298-$E298)</f>
        <v/>
      </c>
      <c r="G298" s="242">
        <f>IF($A298="","",IF($L298="",0,SUMPRODUCT(('Shared Calendar'!$K$2:$K$1000&gt;0)*('Shared Calendar'!$K$2:$K$1000&lt;=$B298)*('Shared Calendar'!$J$2:$J$1000&gt;$B298)*ISNUMBER(SEARCH($L298,'Shared Calendar'!$M$2:$M$1000))*('Shared Calendar'!$N$2:$N$1000="Event"),'Shared Calendar'!$L$2:$L$1000)))</f>
        <v/>
      </c>
      <c r="H298" s="246">
        <f>IF(OR($A298="",$L298=""),"",IF(SUMPRODUCT(MAX(('Shared Calendar'!$K$2:$K$1000&gt;0)*('Shared Calendar'!$K$2:$K$1000&lt;=$B298)*('Shared Calendar'!$J$2:$J$1000&gt;$B298)*ISNUMBER(SEARCH($L298,'Shared Calendar'!$M$2:$M$1000))*ROW('Shared Calendar'!$A$2:$A$1000)))=0,"",INDEX('Shared Calendar'!$A:$A,SUMPRODUCT(MAX(('Shared Calendar'!$K$2:$K$1000&gt;0)*('Shared Calendar'!$K$2:$K$1000&lt;=$B298)*('Shared Calendar'!$J$2:$J$1000&gt;$B298)*ISNUMBER(SEARCH($L298,'Shared Calendar'!$M$2:$M$1000))*ROW('Shared Calendar'!$A$2:$A$1000))))))</f>
        <v/>
      </c>
      <c r="I298" s="244">
        <f>IF(OR($A298="",$L298=""),"",IF(SUMPRODUCT(('Shared Calendar'!$K$2:$K$1000&gt;0)*('Shared Calendar'!$K$2:$K$1000&lt;=$B298)*('Shared Calendar'!$J$2:$J$1000&gt;$B298)*ISNUMBER(SEARCH($L298,'Shared Calendar'!$M$2:$M$1000))*('Shared Calendar'!$N$2:$N$1000="Leave"))&gt;0,"Leave",""))</f>
        <v/>
      </c>
      <c r="J298" s="244">
        <f>IF($A298="","",IFERROR(INDEX('Public Holidays'!$C$6:$C$38,MATCH($B298,'Public Holidays'!$A$6:$A$38,0))&amp;" ("&amp;INDEX('Public Holidays'!$L$6:$L$38,MATCH($B298,'Public Holidays'!$A$6:$A$38,0))&amp;")",""))</f>
        <v/>
      </c>
      <c r="K298" s="246">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44">
        <f>IF($A298="","",INDEX($B$7:$B$36,INT((ROW()-41)/14)+1)&amp;"")</f>
        <v/>
      </c>
    </row>
    <row r="299">
      <c r="A299" s="244">
        <f>IF(INDEX($A$7:$A$36,INT((ROW()-41)/14)+1)="","",INDEX($A$7:$A$36,INT((ROW()-41)/14)+1))</f>
        <v/>
      </c>
      <c r="B299" s="245">
        <f>IF($A299="","",$B$3+MOD(ROW()-41,14))</f>
        <v/>
      </c>
      <c r="C299" s="244">
        <f>IF($A299="","",TEXT($B299,"ddd"))</f>
        <v/>
      </c>
      <c r="D299" s="242">
        <f>IF($A299="","",SUMIFS('EH Timesheets'!$G$6:$G$1005,'EH Timesheets'!$A$6:$A$1005,$A299,'EH Timesheets'!$B$6:$B$1005,$B299))</f>
        <v/>
      </c>
      <c r="E299" s="242">
        <f>IF($A299="","",SUMIFS('EH Roster'!$G$6:$G$1005,'EH Roster'!$A$6:$A$1005,$A299,'EH Roster'!$B$6:$B$1005,$B299))</f>
        <v/>
      </c>
      <c r="F299" s="242">
        <f>IF($A299="","",$D299-$E299)</f>
        <v/>
      </c>
      <c r="G299" s="242">
        <f>IF($A299="","",IF($L299="",0,SUMPRODUCT(('Shared Calendar'!$K$2:$K$1000&gt;0)*('Shared Calendar'!$K$2:$K$1000&lt;=$B299)*('Shared Calendar'!$J$2:$J$1000&gt;$B299)*ISNUMBER(SEARCH($L299,'Shared Calendar'!$M$2:$M$1000))*('Shared Calendar'!$N$2:$N$1000="Event"),'Shared Calendar'!$L$2:$L$1000)))</f>
        <v/>
      </c>
      <c r="H299" s="246">
        <f>IF(OR($A299="",$L299=""),"",IF(SUMPRODUCT(MAX(('Shared Calendar'!$K$2:$K$1000&gt;0)*('Shared Calendar'!$K$2:$K$1000&lt;=$B299)*('Shared Calendar'!$J$2:$J$1000&gt;$B299)*ISNUMBER(SEARCH($L299,'Shared Calendar'!$M$2:$M$1000))*ROW('Shared Calendar'!$A$2:$A$1000)))=0,"",INDEX('Shared Calendar'!$A:$A,SUMPRODUCT(MAX(('Shared Calendar'!$K$2:$K$1000&gt;0)*('Shared Calendar'!$K$2:$K$1000&lt;=$B299)*('Shared Calendar'!$J$2:$J$1000&gt;$B299)*ISNUMBER(SEARCH($L299,'Shared Calendar'!$M$2:$M$1000))*ROW('Shared Calendar'!$A$2:$A$1000))))))</f>
        <v/>
      </c>
      <c r="I299" s="244">
        <f>IF(OR($A299="",$L299=""),"",IF(SUMPRODUCT(('Shared Calendar'!$K$2:$K$1000&gt;0)*('Shared Calendar'!$K$2:$K$1000&lt;=$B299)*('Shared Calendar'!$J$2:$J$1000&gt;$B299)*ISNUMBER(SEARCH($L299,'Shared Calendar'!$M$2:$M$1000))*('Shared Calendar'!$N$2:$N$1000="Leave"))&gt;0,"Leave",""))</f>
        <v/>
      </c>
      <c r="J299" s="244">
        <f>IF($A299="","",IFERROR(INDEX('Public Holidays'!$C$6:$C$38,MATCH($B299,'Public Holidays'!$A$6:$A$38,0))&amp;" ("&amp;INDEX('Public Holidays'!$L$6:$L$38,MATCH($B299,'Public Holidays'!$A$6:$A$38,0))&amp;")",""))</f>
        <v/>
      </c>
      <c r="K299" s="246">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44">
        <f>IF($A299="","",INDEX($B$7:$B$36,INT((ROW()-41)/14)+1)&amp;"")</f>
        <v/>
      </c>
    </row>
    <row r="300">
      <c r="A300" s="244">
        <f>IF(INDEX($A$7:$A$36,INT((ROW()-41)/14)+1)="","",INDEX($A$7:$A$36,INT((ROW()-41)/14)+1))</f>
        <v/>
      </c>
      <c r="B300" s="245">
        <f>IF($A300="","",$B$3+MOD(ROW()-41,14))</f>
        <v/>
      </c>
      <c r="C300" s="244">
        <f>IF($A300="","",TEXT($B300,"ddd"))</f>
        <v/>
      </c>
      <c r="D300" s="242">
        <f>IF($A300="","",SUMIFS('EH Timesheets'!$G$6:$G$1005,'EH Timesheets'!$A$6:$A$1005,$A300,'EH Timesheets'!$B$6:$B$1005,$B300))</f>
        <v/>
      </c>
      <c r="E300" s="242">
        <f>IF($A300="","",SUMIFS('EH Roster'!$G$6:$G$1005,'EH Roster'!$A$6:$A$1005,$A300,'EH Roster'!$B$6:$B$1005,$B300))</f>
        <v/>
      </c>
      <c r="F300" s="242">
        <f>IF($A300="","",$D300-$E300)</f>
        <v/>
      </c>
      <c r="G300" s="242">
        <f>IF($A300="","",IF($L300="",0,SUMPRODUCT(('Shared Calendar'!$K$2:$K$1000&gt;0)*('Shared Calendar'!$K$2:$K$1000&lt;=$B300)*('Shared Calendar'!$J$2:$J$1000&gt;$B300)*ISNUMBER(SEARCH($L300,'Shared Calendar'!$M$2:$M$1000))*('Shared Calendar'!$N$2:$N$1000="Event"),'Shared Calendar'!$L$2:$L$1000)))</f>
        <v/>
      </c>
      <c r="H300" s="246">
        <f>IF(OR($A300="",$L300=""),"",IF(SUMPRODUCT(MAX(('Shared Calendar'!$K$2:$K$1000&gt;0)*('Shared Calendar'!$K$2:$K$1000&lt;=$B300)*('Shared Calendar'!$J$2:$J$1000&gt;$B300)*ISNUMBER(SEARCH($L300,'Shared Calendar'!$M$2:$M$1000))*ROW('Shared Calendar'!$A$2:$A$1000)))=0,"",INDEX('Shared Calendar'!$A:$A,SUMPRODUCT(MAX(('Shared Calendar'!$K$2:$K$1000&gt;0)*('Shared Calendar'!$K$2:$K$1000&lt;=$B300)*('Shared Calendar'!$J$2:$J$1000&gt;$B300)*ISNUMBER(SEARCH($L300,'Shared Calendar'!$M$2:$M$1000))*ROW('Shared Calendar'!$A$2:$A$1000))))))</f>
        <v/>
      </c>
      <c r="I300" s="244">
        <f>IF(OR($A300="",$L300=""),"",IF(SUMPRODUCT(('Shared Calendar'!$K$2:$K$1000&gt;0)*('Shared Calendar'!$K$2:$K$1000&lt;=$B300)*('Shared Calendar'!$J$2:$J$1000&gt;$B300)*ISNUMBER(SEARCH($L300,'Shared Calendar'!$M$2:$M$1000))*('Shared Calendar'!$N$2:$N$1000="Leave"))&gt;0,"Leave",""))</f>
        <v/>
      </c>
      <c r="J300" s="244">
        <f>IF($A300="","",IFERROR(INDEX('Public Holidays'!$C$6:$C$38,MATCH($B300,'Public Holidays'!$A$6:$A$38,0))&amp;" ("&amp;INDEX('Public Holidays'!$L$6:$L$38,MATCH($B300,'Public Holidays'!$A$6:$A$38,0))&amp;")",""))</f>
        <v/>
      </c>
      <c r="K300" s="246">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44">
        <f>IF($A300="","",INDEX($B$7:$B$36,INT((ROW()-41)/14)+1)&amp;"")</f>
        <v/>
      </c>
    </row>
    <row r="301">
      <c r="A301" s="244">
        <f>IF(INDEX($A$7:$A$36,INT((ROW()-41)/14)+1)="","",INDEX($A$7:$A$36,INT((ROW()-41)/14)+1))</f>
        <v/>
      </c>
      <c r="B301" s="245">
        <f>IF($A301="","",$B$3+MOD(ROW()-41,14))</f>
        <v/>
      </c>
      <c r="C301" s="244">
        <f>IF($A301="","",TEXT($B301,"ddd"))</f>
        <v/>
      </c>
      <c r="D301" s="242">
        <f>IF($A301="","",SUMIFS('EH Timesheets'!$G$6:$G$1005,'EH Timesheets'!$A$6:$A$1005,$A301,'EH Timesheets'!$B$6:$B$1005,$B301))</f>
        <v/>
      </c>
      <c r="E301" s="242">
        <f>IF($A301="","",SUMIFS('EH Roster'!$G$6:$G$1005,'EH Roster'!$A$6:$A$1005,$A301,'EH Roster'!$B$6:$B$1005,$B301))</f>
        <v/>
      </c>
      <c r="F301" s="242">
        <f>IF($A301="","",$D301-$E301)</f>
        <v/>
      </c>
      <c r="G301" s="242">
        <f>IF($A301="","",IF($L301="",0,SUMPRODUCT(('Shared Calendar'!$K$2:$K$1000&gt;0)*('Shared Calendar'!$K$2:$K$1000&lt;=$B301)*('Shared Calendar'!$J$2:$J$1000&gt;$B301)*ISNUMBER(SEARCH($L301,'Shared Calendar'!$M$2:$M$1000))*('Shared Calendar'!$N$2:$N$1000="Event"),'Shared Calendar'!$L$2:$L$1000)))</f>
        <v/>
      </c>
      <c r="H301" s="246">
        <f>IF(OR($A301="",$L301=""),"",IF(SUMPRODUCT(MAX(('Shared Calendar'!$K$2:$K$1000&gt;0)*('Shared Calendar'!$K$2:$K$1000&lt;=$B301)*('Shared Calendar'!$J$2:$J$1000&gt;$B301)*ISNUMBER(SEARCH($L301,'Shared Calendar'!$M$2:$M$1000))*ROW('Shared Calendar'!$A$2:$A$1000)))=0,"",INDEX('Shared Calendar'!$A:$A,SUMPRODUCT(MAX(('Shared Calendar'!$K$2:$K$1000&gt;0)*('Shared Calendar'!$K$2:$K$1000&lt;=$B301)*('Shared Calendar'!$J$2:$J$1000&gt;$B301)*ISNUMBER(SEARCH($L301,'Shared Calendar'!$M$2:$M$1000))*ROW('Shared Calendar'!$A$2:$A$1000))))))</f>
        <v/>
      </c>
      <c r="I301" s="244">
        <f>IF(OR($A301="",$L301=""),"",IF(SUMPRODUCT(('Shared Calendar'!$K$2:$K$1000&gt;0)*('Shared Calendar'!$K$2:$K$1000&lt;=$B301)*('Shared Calendar'!$J$2:$J$1000&gt;$B301)*ISNUMBER(SEARCH($L301,'Shared Calendar'!$M$2:$M$1000))*('Shared Calendar'!$N$2:$N$1000="Leave"))&gt;0,"Leave",""))</f>
        <v/>
      </c>
      <c r="J301" s="244">
        <f>IF($A301="","",IFERROR(INDEX('Public Holidays'!$C$6:$C$38,MATCH($B301,'Public Holidays'!$A$6:$A$38,0))&amp;" ("&amp;INDEX('Public Holidays'!$L$6:$L$38,MATCH($B301,'Public Holidays'!$A$6:$A$38,0))&amp;")",""))</f>
        <v/>
      </c>
      <c r="K301" s="246">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44">
        <f>IF($A301="","",INDEX($B$7:$B$36,INT((ROW()-41)/14)+1)&amp;"")</f>
        <v/>
      </c>
    </row>
    <row r="302">
      <c r="A302" s="244">
        <f>IF(INDEX($A$7:$A$36,INT((ROW()-41)/14)+1)="","",INDEX($A$7:$A$36,INT((ROW()-41)/14)+1))</f>
        <v/>
      </c>
      <c r="B302" s="245">
        <f>IF($A302="","",$B$3+MOD(ROW()-41,14))</f>
        <v/>
      </c>
      <c r="C302" s="244">
        <f>IF($A302="","",TEXT($B302,"ddd"))</f>
        <v/>
      </c>
      <c r="D302" s="242">
        <f>IF($A302="","",SUMIFS('EH Timesheets'!$G$6:$G$1005,'EH Timesheets'!$A$6:$A$1005,$A302,'EH Timesheets'!$B$6:$B$1005,$B302))</f>
        <v/>
      </c>
      <c r="E302" s="242">
        <f>IF($A302="","",SUMIFS('EH Roster'!$G$6:$G$1005,'EH Roster'!$A$6:$A$1005,$A302,'EH Roster'!$B$6:$B$1005,$B302))</f>
        <v/>
      </c>
      <c r="F302" s="242">
        <f>IF($A302="","",$D302-$E302)</f>
        <v/>
      </c>
      <c r="G302" s="242">
        <f>IF($A302="","",IF($L302="",0,SUMPRODUCT(('Shared Calendar'!$K$2:$K$1000&gt;0)*('Shared Calendar'!$K$2:$K$1000&lt;=$B302)*('Shared Calendar'!$J$2:$J$1000&gt;$B302)*ISNUMBER(SEARCH($L302,'Shared Calendar'!$M$2:$M$1000))*('Shared Calendar'!$N$2:$N$1000="Event"),'Shared Calendar'!$L$2:$L$1000)))</f>
        <v/>
      </c>
      <c r="H302" s="246">
        <f>IF(OR($A302="",$L302=""),"",IF(SUMPRODUCT(MAX(('Shared Calendar'!$K$2:$K$1000&gt;0)*('Shared Calendar'!$K$2:$K$1000&lt;=$B302)*('Shared Calendar'!$J$2:$J$1000&gt;$B302)*ISNUMBER(SEARCH($L302,'Shared Calendar'!$M$2:$M$1000))*ROW('Shared Calendar'!$A$2:$A$1000)))=0,"",INDEX('Shared Calendar'!$A:$A,SUMPRODUCT(MAX(('Shared Calendar'!$K$2:$K$1000&gt;0)*('Shared Calendar'!$K$2:$K$1000&lt;=$B302)*('Shared Calendar'!$J$2:$J$1000&gt;$B302)*ISNUMBER(SEARCH($L302,'Shared Calendar'!$M$2:$M$1000))*ROW('Shared Calendar'!$A$2:$A$1000))))))</f>
        <v/>
      </c>
      <c r="I302" s="244">
        <f>IF(OR($A302="",$L302=""),"",IF(SUMPRODUCT(('Shared Calendar'!$K$2:$K$1000&gt;0)*('Shared Calendar'!$K$2:$K$1000&lt;=$B302)*('Shared Calendar'!$J$2:$J$1000&gt;$B302)*ISNUMBER(SEARCH($L302,'Shared Calendar'!$M$2:$M$1000))*('Shared Calendar'!$N$2:$N$1000="Leave"))&gt;0,"Leave",""))</f>
        <v/>
      </c>
      <c r="J302" s="244">
        <f>IF($A302="","",IFERROR(INDEX('Public Holidays'!$C$6:$C$38,MATCH($B302,'Public Holidays'!$A$6:$A$38,0))&amp;" ("&amp;INDEX('Public Holidays'!$L$6:$L$38,MATCH($B302,'Public Holidays'!$A$6:$A$38,0))&amp;")",""))</f>
        <v/>
      </c>
      <c r="K302" s="246">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44">
        <f>IF($A302="","",INDEX($B$7:$B$36,INT((ROW()-41)/14)+1)&amp;"")</f>
        <v/>
      </c>
    </row>
    <row r="303">
      <c r="A303" s="244">
        <f>IF(INDEX($A$7:$A$36,INT((ROW()-41)/14)+1)="","",INDEX($A$7:$A$36,INT((ROW()-41)/14)+1))</f>
        <v/>
      </c>
      <c r="B303" s="245">
        <f>IF($A303="","",$B$3+MOD(ROW()-41,14))</f>
        <v/>
      </c>
      <c r="C303" s="244">
        <f>IF($A303="","",TEXT($B303,"ddd"))</f>
        <v/>
      </c>
      <c r="D303" s="242">
        <f>IF($A303="","",SUMIFS('EH Timesheets'!$G$6:$G$1005,'EH Timesheets'!$A$6:$A$1005,$A303,'EH Timesheets'!$B$6:$B$1005,$B303))</f>
        <v/>
      </c>
      <c r="E303" s="242">
        <f>IF($A303="","",SUMIFS('EH Roster'!$G$6:$G$1005,'EH Roster'!$A$6:$A$1005,$A303,'EH Roster'!$B$6:$B$1005,$B303))</f>
        <v/>
      </c>
      <c r="F303" s="242">
        <f>IF($A303="","",$D303-$E303)</f>
        <v/>
      </c>
      <c r="G303" s="242">
        <f>IF($A303="","",IF($L303="",0,SUMPRODUCT(('Shared Calendar'!$K$2:$K$1000&gt;0)*('Shared Calendar'!$K$2:$K$1000&lt;=$B303)*('Shared Calendar'!$J$2:$J$1000&gt;$B303)*ISNUMBER(SEARCH($L303,'Shared Calendar'!$M$2:$M$1000))*('Shared Calendar'!$N$2:$N$1000="Event"),'Shared Calendar'!$L$2:$L$1000)))</f>
        <v/>
      </c>
      <c r="H303" s="246">
        <f>IF(OR($A303="",$L303=""),"",IF(SUMPRODUCT(MAX(('Shared Calendar'!$K$2:$K$1000&gt;0)*('Shared Calendar'!$K$2:$K$1000&lt;=$B303)*('Shared Calendar'!$J$2:$J$1000&gt;$B303)*ISNUMBER(SEARCH($L303,'Shared Calendar'!$M$2:$M$1000))*ROW('Shared Calendar'!$A$2:$A$1000)))=0,"",INDEX('Shared Calendar'!$A:$A,SUMPRODUCT(MAX(('Shared Calendar'!$K$2:$K$1000&gt;0)*('Shared Calendar'!$K$2:$K$1000&lt;=$B303)*('Shared Calendar'!$J$2:$J$1000&gt;$B303)*ISNUMBER(SEARCH($L303,'Shared Calendar'!$M$2:$M$1000))*ROW('Shared Calendar'!$A$2:$A$1000))))))</f>
        <v/>
      </c>
      <c r="I303" s="244">
        <f>IF(OR($A303="",$L303=""),"",IF(SUMPRODUCT(('Shared Calendar'!$K$2:$K$1000&gt;0)*('Shared Calendar'!$K$2:$K$1000&lt;=$B303)*('Shared Calendar'!$J$2:$J$1000&gt;$B303)*ISNUMBER(SEARCH($L303,'Shared Calendar'!$M$2:$M$1000))*('Shared Calendar'!$N$2:$N$1000="Leave"))&gt;0,"Leave",""))</f>
        <v/>
      </c>
      <c r="J303" s="244">
        <f>IF($A303="","",IFERROR(INDEX('Public Holidays'!$C$6:$C$38,MATCH($B303,'Public Holidays'!$A$6:$A$38,0))&amp;" ("&amp;INDEX('Public Holidays'!$L$6:$L$38,MATCH($B303,'Public Holidays'!$A$6:$A$38,0))&amp;")",""))</f>
        <v/>
      </c>
      <c r="K303" s="246">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44">
        <f>IF($A303="","",INDEX($B$7:$B$36,INT((ROW()-41)/14)+1)&amp;"")</f>
        <v/>
      </c>
    </row>
    <row r="304">
      <c r="A304" s="244">
        <f>IF(INDEX($A$7:$A$36,INT((ROW()-41)/14)+1)="","",INDEX($A$7:$A$36,INT((ROW()-41)/14)+1))</f>
        <v/>
      </c>
      <c r="B304" s="245">
        <f>IF($A304="","",$B$3+MOD(ROW()-41,14))</f>
        <v/>
      </c>
      <c r="C304" s="244">
        <f>IF($A304="","",TEXT($B304,"ddd"))</f>
        <v/>
      </c>
      <c r="D304" s="242">
        <f>IF($A304="","",SUMIFS('EH Timesheets'!$G$6:$G$1005,'EH Timesheets'!$A$6:$A$1005,$A304,'EH Timesheets'!$B$6:$B$1005,$B304))</f>
        <v/>
      </c>
      <c r="E304" s="242">
        <f>IF($A304="","",SUMIFS('EH Roster'!$G$6:$G$1005,'EH Roster'!$A$6:$A$1005,$A304,'EH Roster'!$B$6:$B$1005,$B304))</f>
        <v/>
      </c>
      <c r="F304" s="242">
        <f>IF($A304="","",$D304-$E304)</f>
        <v/>
      </c>
      <c r="G304" s="242">
        <f>IF($A304="","",IF($L304="",0,SUMPRODUCT(('Shared Calendar'!$K$2:$K$1000&gt;0)*('Shared Calendar'!$K$2:$K$1000&lt;=$B304)*('Shared Calendar'!$J$2:$J$1000&gt;$B304)*ISNUMBER(SEARCH($L304,'Shared Calendar'!$M$2:$M$1000))*('Shared Calendar'!$N$2:$N$1000="Event"),'Shared Calendar'!$L$2:$L$1000)))</f>
        <v/>
      </c>
      <c r="H304" s="246">
        <f>IF(OR($A304="",$L304=""),"",IF(SUMPRODUCT(MAX(('Shared Calendar'!$K$2:$K$1000&gt;0)*('Shared Calendar'!$K$2:$K$1000&lt;=$B304)*('Shared Calendar'!$J$2:$J$1000&gt;$B304)*ISNUMBER(SEARCH($L304,'Shared Calendar'!$M$2:$M$1000))*ROW('Shared Calendar'!$A$2:$A$1000)))=0,"",INDEX('Shared Calendar'!$A:$A,SUMPRODUCT(MAX(('Shared Calendar'!$K$2:$K$1000&gt;0)*('Shared Calendar'!$K$2:$K$1000&lt;=$B304)*('Shared Calendar'!$J$2:$J$1000&gt;$B304)*ISNUMBER(SEARCH($L304,'Shared Calendar'!$M$2:$M$1000))*ROW('Shared Calendar'!$A$2:$A$1000))))))</f>
        <v/>
      </c>
      <c r="I304" s="244">
        <f>IF(OR($A304="",$L304=""),"",IF(SUMPRODUCT(('Shared Calendar'!$K$2:$K$1000&gt;0)*('Shared Calendar'!$K$2:$K$1000&lt;=$B304)*('Shared Calendar'!$J$2:$J$1000&gt;$B304)*ISNUMBER(SEARCH($L304,'Shared Calendar'!$M$2:$M$1000))*('Shared Calendar'!$N$2:$N$1000="Leave"))&gt;0,"Leave",""))</f>
        <v/>
      </c>
      <c r="J304" s="244">
        <f>IF($A304="","",IFERROR(INDEX('Public Holidays'!$C$6:$C$38,MATCH($B304,'Public Holidays'!$A$6:$A$38,0))&amp;" ("&amp;INDEX('Public Holidays'!$L$6:$L$38,MATCH($B304,'Public Holidays'!$A$6:$A$38,0))&amp;")",""))</f>
        <v/>
      </c>
      <c r="K304" s="246">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44">
        <f>IF($A304="","",INDEX($B$7:$B$36,INT((ROW()-41)/14)+1)&amp;"")</f>
        <v/>
      </c>
    </row>
    <row r="305">
      <c r="A305" s="244">
        <f>IF(INDEX($A$7:$A$36,INT((ROW()-41)/14)+1)="","",INDEX($A$7:$A$36,INT((ROW()-41)/14)+1))</f>
        <v/>
      </c>
      <c r="B305" s="245">
        <f>IF($A305="","",$B$3+MOD(ROW()-41,14))</f>
        <v/>
      </c>
      <c r="C305" s="244">
        <f>IF($A305="","",TEXT($B305,"ddd"))</f>
        <v/>
      </c>
      <c r="D305" s="242">
        <f>IF($A305="","",SUMIFS('EH Timesheets'!$G$6:$G$1005,'EH Timesheets'!$A$6:$A$1005,$A305,'EH Timesheets'!$B$6:$B$1005,$B305))</f>
        <v/>
      </c>
      <c r="E305" s="242">
        <f>IF($A305="","",SUMIFS('EH Roster'!$G$6:$G$1005,'EH Roster'!$A$6:$A$1005,$A305,'EH Roster'!$B$6:$B$1005,$B305))</f>
        <v/>
      </c>
      <c r="F305" s="242">
        <f>IF($A305="","",$D305-$E305)</f>
        <v/>
      </c>
      <c r="G305" s="242">
        <f>IF($A305="","",IF($L305="",0,SUMPRODUCT(('Shared Calendar'!$K$2:$K$1000&gt;0)*('Shared Calendar'!$K$2:$K$1000&lt;=$B305)*('Shared Calendar'!$J$2:$J$1000&gt;$B305)*ISNUMBER(SEARCH($L305,'Shared Calendar'!$M$2:$M$1000))*('Shared Calendar'!$N$2:$N$1000="Event"),'Shared Calendar'!$L$2:$L$1000)))</f>
        <v/>
      </c>
      <c r="H305" s="246">
        <f>IF(OR($A305="",$L305=""),"",IF(SUMPRODUCT(MAX(('Shared Calendar'!$K$2:$K$1000&gt;0)*('Shared Calendar'!$K$2:$K$1000&lt;=$B305)*('Shared Calendar'!$J$2:$J$1000&gt;$B305)*ISNUMBER(SEARCH($L305,'Shared Calendar'!$M$2:$M$1000))*ROW('Shared Calendar'!$A$2:$A$1000)))=0,"",INDEX('Shared Calendar'!$A:$A,SUMPRODUCT(MAX(('Shared Calendar'!$K$2:$K$1000&gt;0)*('Shared Calendar'!$K$2:$K$1000&lt;=$B305)*('Shared Calendar'!$J$2:$J$1000&gt;$B305)*ISNUMBER(SEARCH($L305,'Shared Calendar'!$M$2:$M$1000))*ROW('Shared Calendar'!$A$2:$A$1000))))))</f>
        <v/>
      </c>
      <c r="I305" s="244">
        <f>IF(OR($A305="",$L305=""),"",IF(SUMPRODUCT(('Shared Calendar'!$K$2:$K$1000&gt;0)*('Shared Calendar'!$K$2:$K$1000&lt;=$B305)*('Shared Calendar'!$J$2:$J$1000&gt;$B305)*ISNUMBER(SEARCH($L305,'Shared Calendar'!$M$2:$M$1000))*('Shared Calendar'!$N$2:$N$1000="Leave"))&gt;0,"Leave",""))</f>
        <v/>
      </c>
      <c r="J305" s="244">
        <f>IF($A305="","",IFERROR(INDEX('Public Holidays'!$C$6:$C$38,MATCH($B305,'Public Holidays'!$A$6:$A$38,0))&amp;" ("&amp;INDEX('Public Holidays'!$L$6:$L$38,MATCH($B305,'Public Holidays'!$A$6:$A$38,0))&amp;")",""))</f>
        <v/>
      </c>
      <c r="K305" s="246">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44">
        <f>IF($A305="","",INDEX($B$7:$B$36,INT((ROW()-41)/14)+1)&amp;"")</f>
        <v/>
      </c>
    </row>
    <row r="306">
      <c r="A306" s="244">
        <f>IF(INDEX($A$7:$A$36,INT((ROW()-41)/14)+1)="","",INDEX($A$7:$A$36,INT((ROW()-41)/14)+1))</f>
        <v/>
      </c>
      <c r="B306" s="245">
        <f>IF($A306="","",$B$3+MOD(ROW()-41,14))</f>
        <v/>
      </c>
      <c r="C306" s="244">
        <f>IF($A306="","",TEXT($B306,"ddd"))</f>
        <v/>
      </c>
      <c r="D306" s="242">
        <f>IF($A306="","",SUMIFS('EH Timesheets'!$G$6:$G$1005,'EH Timesheets'!$A$6:$A$1005,$A306,'EH Timesheets'!$B$6:$B$1005,$B306))</f>
        <v/>
      </c>
      <c r="E306" s="242">
        <f>IF($A306="","",SUMIFS('EH Roster'!$G$6:$G$1005,'EH Roster'!$A$6:$A$1005,$A306,'EH Roster'!$B$6:$B$1005,$B306))</f>
        <v/>
      </c>
      <c r="F306" s="242">
        <f>IF($A306="","",$D306-$E306)</f>
        <v/>
      </c>
      <c r="G306" s="242">
        <f>IF($A306="","",IF($L306="",0,SUMPRODUCT(('Shared Calendar'!$K$2:$K$1000&gt;0)*('Shared Calendar'!$K$2:$K$1000&lt;=$B306)*('Shared Calendar'!$J$2:$J$1000&gt;$B306)*ISNUMBER(SEARCH($L306,'Shared Calendar'!$M$2:$M$1000))*('Shared Calendar'!$N$2:$N$1000="Event"),'Shared Calendar'!$L$2:$L$1000)))</f>
        <v/>
      </c>
      <c r="H306" s="246">
        <f>IF(OR($A306="",$L306=""),"",IF(SUMPRODUCT(MAX(('Shared Calendar'!$K$2:$K$1000&gt;0)*('Shared Calendar'!$K$2:$K$1000&lt;=$B306)*('Shared Calendar'!$J$2:$J$1000&gt;$B306)*ISNUMBER(SEARCH($L306,'Shared Calendar'!$M$2:$M$1000))*ROW('Shared Calendar'!$A$2:$A$1000)))=0,"",INDEX('Shared Calendar'!$A:$A,SUMPRODUCT(MAX(('Shared Calendar'!$K$2:$K$1000&gt;0)*('Shared Calendar'!$K$2:$K$1000&lt;=$B306)*('Shared Calendar'!$J$2:$J$1000&gt;$B306)*ISNUMBER(SEARCH($L306,'Shared Calendar'!$M$2:$M$1000))*ROW('Shared Calendar'!$A$2:$A$1000))))))</f>
        <v/>
      </c>
      <c r="I306" s="244">
        <f>IF(OR($A306="",$L306=""),"",IF(SUMPRODUCT(('Shared Calendar'!$K$2:$K$1000&gt;0)*('Shared Calendar'!$K$2:$K$1000&lt;=$B306)*('Shared Calendar'!$J$2:$J$1000&gt;$B306)*ISNUMBER(SEARCH($L306,'Shared Calendar'!$M$2:$M$1000))*('Shared Calendar'!$N$2:$N$1000="Leave"))&gt;0,"Leave",""))</f>
        <v/>
      </c>
      <c r="J306" s="244">
        <f>IF($A306="","",IFERROR(INDEX('Public Holidays'!$C$6:$C$38,MATCH($B306,'Public Holidays'!$A$6:$A$38,0))&amp;" ("&amp;INDEX('Public Holidays'!$L$6:$L$38,MATCH($B306,'Public Holidays'!$A$6:$A$38,0))&amp;")",""))</f>
        <v/>
      </c>
      <c r="K306" s="246">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44">
        <f>IF($A306="","",INDEX($B$7:$B$36,INT((ROW()-41)/14)+1)&amp;"")</f>
        <v/>
      </c>
    </row>
    <row r="307">
      <c r="A307" s="244">
        <f>IF(INDEX($A$7:$A$36,INT((ROW()-41)/14)+1)="","",INDEX($A$7:$A$36,INT((ROW()-41)/14)+1))</f>
        <v/>
      </c>
      <c r="B307" s="245">
        <f>IF($A307="","",$B$3+MOD(ROW()-41,14))</f>
        <v/>
      </c>
      <c r="C307" s="244">
        <f>IF($A307="","",TEXT($B307,"ddd"))</f>
        <v/>
      </c>
      <c r="D307" s="242">
        <f>IF($A307="","",SUMIFS('EH Timesheets'!$G$6:$G$1005,'EH Timesheets'!$A$6:$A$1005,$A307,'EH Timesheets'!$B$6:$B$1005,$B307))</f>
        <v/>
      </c>
      <c r="E307" s="242">
        <f>IF($A307="","",SUMIFS('EH Roster'!$G$6:$G$1005,'EH Roster'!$A$6:$A$1005,$A307,'EH Roster'!$B$6:$B$1005,$B307))</f>
        <v/>
      </c>
      <c r="F307" s="242">
        <f>IF($A307="","",$D307-$E307)</f>
        <v/>
      </c>
      <c r="G307" s="242">
        <f>IF($A307="","",IF($L307="",0,SUMPRODUCT(('Shared Calendar'!$K$2:$K$1000&gt;0)*('Shared Calendar'!$K$2:$K$1000&lt;=$B307)*('Shared Calendar'!$J$2:$J$1000&gt;$B307)*ISNUMBER(SEARCH($L307,'Shared Calendar'!$M$2:$M$1000))*('Shared Calendar'!$N$2:$N$1000="Event"),'Shared Calendar'!$L$2:$L$1000)))</f>
        <v/>
      </c>
      <c r="H307" s="246">
        <f>IF(OR($A307="",$L307=""),"",IF(SUMPRODUCT(MAX(('Shared Calendar'!$K$2:$K$1000&gt;0)*('Shared Calendar'!$K$2:$K$1000&lt;=$B307)*('Shared Calendar'!$J$2:$J$1000&gt;$B307)*ISNUMBER(SEARCH($L307,'Shared Calendar'!$M$2:$M$1000))*ROW('Shared Calendar'!$A$2:$A$1000)))=0,"",INDEX('Shared Calendar'!$A:$A,SUMPRODUCT(MAX(('Shared Calendar'!$K$2:$K$1000&gt;0)*('Shared Calendar'!$K$2:$K$1000&lt;=$B307)*('Shared Calendar'!$J$2:$J$1000&gt;$B307)*ISNUMBER(SEARCH($L307,'Shared Calendar'!$M$2:$M$1000))*ROW('Shared Calendar'!$A$2:$A$1000))))))</f>
        <v/>
      </c>
      <c r="I307" s="244">
        <f>IF(OR($A307="",$L307=""),"",IF(SUMPRODUCT(('Shared Calendar'!$K$2:$K$1000&gt;0)*('Shared Calendar'!$K$2:$K$1000&lt;=$B307)*('Shared Calendar'!$J$2:$J$1000&gt;$B307)*ISNUMBER(SEARCH($L307,'Shared Calendar'!$M$2:$M$1000))*('Shared Calendar'!$N$2:$N$1000="Leave"))&gt;0,"Leave",""))</f>
        <v/>
      </c>
      <c r="J307" s="244">
        <f>IF($A307="","",IFERROR(INDEX('Public Holidays'!$C$6:$C$38,MATCH($B307,'Public Holidays'!$A$6:$A$38,0))&amp;" ("&amp;INDEX('Public Holidays'!$L$6:$L$38,MATCH($B307,'Public Holidays'!$A$6:$A$38,0))&amp;")",""))</f>
        <v/>
      </c>
      <c r="K307" s="246">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44">
        <f>IF($A307="","",INDEX($B$7:$B$36,INT((ROW()-41)/14)+1)&amp;"")</f>
        <v/>
      </c>
    </row>
    <row r="308">
      <c r="A308" s="244">
        <f>IF(INDEX($A$7:$A$36,INT((ROW()-41)/14)+1)="","",INDEX($A$7:$A$36,INT((ROW()-41)/14)+1))</f>
        <v/>
      </c>
      <c r="B308" s="245">
        <f>IF($A308="","",$B$3+MOD(ROW()-41,14))</f>
        <v/>
      </c>
      <c r="C308" s="244">
        <f>IF($A308="","",TEXT($B308,"ddd"))</f>
        <v/>
      </c>
      <c r="D308" s="242">
        <f>IF($A308="","",SUMIFS('EH Timesheets'!$G$6:$G$1005,'EH Timesheets'!$A$6:$A$1005,$A308,'EH Timesheets'!$B$6:$B$1005,$B308))</f>
        <v/>
      </c>
      <c r="E308" s="242">
        <f>IF($A308="","",SUMIFS('EH Roster'!$G$6:$G$1005,'EH Roster'!$A$6:$A$1005,$A308,'EH Roster'!$B$6:$B$1005,$B308))</f>
        <v/>
      </c>
      <c r="F308" s="242">
        <f>IF($A308="","",$D308-$E308)</f>
        <v/>
      </c>
      <c r="G308" s="242">
        <f>IF($A308="","",IF($L308="",0,SUMPRODUCT(('Shared Calendar'!$K$2:$K$1000&gt;0)*('Shared Calendar'!$K$2:$K$1000&lt;=$B308)*('Shared Calendar'!$J$2:$J$1000&gt;$B308)*ISNUMBER(SEARCH($L308,'Shared Calendar'!$M$2:$M$1000))*('Shared Calendar'!$N$2:$N$1000="Event"),'Shared Calendar'!$L$2:$L$1000)))</f>
        <v/>
      </c>
      <c r="H308" s="246">
        <f>IF(OR($A308="",$L308=""),"",IF(SUMPRODUCT(MAX(('Shared Calendar'!$K$2:$K$1000&gt;0)*('Shared Calendar'!$K$2:$K$1000&lt;=$B308)*('Shared Calendar'!$J$2:$J$1000&gt;$B308)*ISNUMBER(SEARCH($L308,'Shared Calendar'!$M$2:$M$1000))*ROW('Shared Calendar'!$A$2:$A$1000)))=0,"",INDEX('Shared Calendar'!$A:$A,SUMPRODUCT(MAX(('Shared Calendar'!$K$2:$K$1000&gt;0)*('Shared Calendar'!$K$2:$K$1000&lt;=$B308)*('Shared Calendar'!$J$2:$J$1000&gt;$B308)*ISNUMBER(SEARCH($L308,'Shared Calendar'!$M$2:$M$1000))*ROW('Shared Calendar'!$A$2:$A$1000))))))</f>
        <v/>
      </c>
      <c r="I308" s="244">
        <f>IF(OR($A308="",$L308=""),"",IF(SUMPRODUCT(('Shared Calendar'!$K$2:$K$1000&gt;0)*('Shared Calendar'!$K$2:$K$1000&lt;=$B308)*('Shared Calendar'!$J$2:$J$1000&gt;$B308)*ISNUMBER(SEARCH($L308,'Shared Calendar'!$M$2:$M$1000))*('Shared Calendar'!$N$2:$N$1000="Leave"))&gt;0,"Leave",""))</f>
        <v/>
      </c>
      <c r="J308" s="244">
        <f>IF($A308="","",IFERROR(INDEX('Public Holidays'!$C$6:$C$38,MATCH($B308,'Public Holidays'!$A$6:$A$38,0))&amp;" ("&amp;INDEX('Public Holidays'!$L$6:$L$38,MATCH($B308,'Public Holidays'!$A$6:$A$38,0))&amp;")",""))</f>
        <v/>
      </c>
      <c r="K308" s="246">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44">
        <f>IF($A308="","",INDEX($B$7:$B$36,INT((ROW()-41)/14)+1)&amp;"")</f>
        <v/>
      </c>
    </row>
    <row r="309">
      <c r="A309" s="244">
        <f>IF(INDEX($A$7:$A$36,INT((ROW()-41)/14)+1)="","",INDEX($A$7:$A$36,INT((ROW()-41)/14)+1))</f>
        <v/>
      </c>
      <c r="B309" s="245">
        <f>IF($A309="","",$B$3+MOD(ROW()-41,14))</f>
        <v/>
      </c>
      <c r="C309" s="244">
        <f>IF($A309="","",TEXT($B309,"ddd"))</f>
        <v/>
      </c>
      <c r="D309" s="242">
        <f>IF($A309="","",SUMIFS('EH Timesheets'!$G$6:$G$1005,'EH Timesheets'!$A$6:$A$1005,$A309,'EH Timesheets'!$B$6:$B$1005,$B309))</f>
        <v/>
      </c>
      <c r="E309" s="242">
        <f>IF($A309="","",SUMIFS('EH Roster'!$G$6:$G$1005,'EH Roster'!$A$6:$A$1005,$A309,'EH Roster'!$B$6:$B$1005,$B309))</f>
        <v/>
      </c>
      <c r="F309" s="242">
        <f>IF($A309="","",$D309-$E309)</f>
        <v/>
      </c>
      <c r="G309" s="242">
        <f>IF($A309="","",IF($L309="",0,SUMPRODUCT(('Shared Calendar'!$K$2:$K$1000&gt;0)*('Shared Calendar'!$K$2:$K$1000&lt;=$B309)*('Shared Calendar'!$J$2:$J$1000&gt;$B309)*ISNUMBER(SEARCH($L309,'Shared Calendar'!$M$2:$M$1000))*('Shared Calendar'!$N$2:$N$1000="Event"),'Shared Calendar'!$L$2:$L$1000)))</f>
        <v/>
      </c>
      <c r="H309" s="246">
        <f>IF(OR($A309="",$L309=""),"",IF(SUMPRODUCT(MAX(('Shared Calendar'!$K$2:$K$1000&gt;0)*('Shared Calendar'!$K$2:$K$1000&lt;=$B309)*('Shared Calendar'!$J$2:$J$1000&gt;$B309)*ISNUMBER(SEARCH($L309,'Shared Calendar'!$M$2:$M$1000))*ROW('Shared Calendar'!$A$2:$A$1000)))=0,"",INDEX('Shared Calendar'!$A:$A,SUMPRODUCT(MAX(('Shared Calendar'!$K$2:$K$1000&gt;0)*('Shared Calendar'!$K$2:$K$1000&lt;=$B309)*('Shared Calendar'!$J$2:$J$1000&gt;$B309)*ISNUMBER(SEARCH($L309,'Shared Calendar'!$M$2:$M$1000))*ROW('Shared Calendar'!$A$2:$A$1000))))))</f>
        <v/>
      </c>
      <c r="I309" s="244">
        <f>IF(OR($A309="",$L309=""),"",IF(SUMPRODUCT(('Shared Calendar'!$K$2:$K$1000&gt;0)*('Shared Calendar'!$K$2:$K$1000&lt;=$B309)*('Shared Calendar'!$J$2:$J$1000&gt;$B309)*ISNUMBER(SEARCH($L309,'Shared Calendar'!$M$2:$M$1000))*('Shared Calendar'!$N$2:$N$1000="Leave"))&gt;0,"Leave",""))</f>
        <v/>
      </c>
      <c r="J309" s="244">
        <f>IF($A309="","",IFERROR(INDEX('Public Holidays'!$C$6:$C$38,MATCH($B309,'Public Holidays'!$A$6:$A$38,0))&amp;" ("&amp;INDEX('Public Holidays'!$L$6:$L$38,MATCH($B309,'Public Holidays'!$A$6:$A$38,0))&amp;")",""))</f>
        <v/>
      </c>
      <c r="K309" s="246">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44">
        <f>IF($A309="","",INDEX($B$7:$B$36,INT((ROW()-41)/14)+1)&amp;"")</f>
        <v/>
      </c>
    </row>
    <row r="310">
      <c r="A310" s="244">
        <f>IF(INDEX($A$7:$A$36,INT((ROW()-41)/14)+1)="","",INDEX($A$7:$A$36,INT((ROW()-41)/14)+1))</f>
        <v/>
      </c>
      <c r="B310" s="245">
        <f>IF($A310="","",$B$3+MOD(ROW()-41,14))</f>
        <v/>
      </c>
      <c r="C310" s="244">
        <f>IF($A310="","",TEXT($B310,"ddd"))</f>
        <v/>
      </c>
      <c r="D310" s="242">
        <f>IF($A310="","",SUMIFS('EH Timesheets'!$G$6:$G$1005,'EH Timesheets'!$A$6:$A$1005,$A310,'EH Timesheets'!$B$6:$B$1005,$B310))</f>
        <v/>
      </c>
      <c r="E310" s="242">
        <f>IF($A310="","",SUMIFS('EH Roster'!$G$6:$G$1005,'EH Roster'!$A$6:$A$1005,$A310,'EH Roster'!$B$6:$B$1005,$B310))</f>
        <v/>
      </c>
      <c r="F310" s="242">
        <f>IF($A310="","",$D310-$E310)</f>
        <v/>
      </c>
      <c r="G310" s="242">
        <f>IF($A310="","",IF($L310="",0,SUMPRODUCT(('Shared Calendar'!$K$2:$K$1000&gt;0)*('Shared Calendar'!$K$2:$K$1000&lt;=$B310)*('Shared Calendar'!$J$2:$J$1000&gt;$B310)*ISNUMBER(SEARCH($L310,'Shared Calendar'!$M$2:$M$1000))*('Shared Calendar'!$N$2:$N$1000="Event"),'Shared Calendar'!$L$2:$L$1000)))</f>
        <v/>
      </c>
      <c r="H310" s="246">
        <f>IF(OR($A310="",$L310=""),"",IF(SUMPRODUCT(MAX(('Shared Calendar'!$K$2:$K$1000&gt;0)*('Shared Calendar'!$K$2:$K$1000&lt;=$B310)*('Shared Calendar'!$J$2:$J$1000&gt;$B310)*ISNUMBER(SEARCH($L310,'Shared Calendar'!$M$2:$M$1000))*ROW('Shared Calendar'!$A$2:$A$1000)))=0,"",INDEX('Shared Calendar'!$A:$A,SUMPRODUCT(MAX(('Shared Calendar'!$K$2:$K$1000&gt;0)*('Shared Calendar'!$K$2:$K$1000&lt;=$B310)*('Shared Calendar'!$J$2:$J$1000&gt;$B310)*ISNUMBER(SEARCH($L310,'Shared Calendar'!$M$2:$M$1000))*ROW('Shared Calendar'!$A$2:$A$1000))))))</f>
        <v/>
      </c>
      <c r="I310" s="244">
        <f>IF(OR($A310="",$L310=""),"",IF(SUMPRODUCT(('Shared Calendar'!$K$2:$K$1000&gt;0)*('Shared Calendar'!$K$2:$K$1000&lt;=$B310)*('Shared Calendar'!$J$2:$J$1000&gt;$B310)*ISNUMBER(SEARCH($L310,'Shared Calendar'!$M$2:$M$1000))*('Shared Calendar'!$N$2:$N$1000="Leave"))&gt;0,"Leave",""))</f>
        <v/>
      </c>
      <c r="J310" s="244">
        <f>IF($A310="","",IFERROR(INDEX('Public Holidays'!$C$6:$C$38,MATCH($B310,'Public Holidays'!$A$6:$A$38,0))&amp;" ("&amp;INDEX('Public Holidays'!$L$6:$L$38,MATCH($B310,'Public Holidays'!$A$6:$A$38,0))&amp;")",""))</f>
        <v/>
      </c>
      <c r="K310" s="246">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44">
        <f>IF($A310="","",INDEX($B$7:$B$36,INT((ROW()-41)/14)+1)&amp;"")</f>
        <v/>
      </c>
    </row>
    <row r="311">
      <c r="A311" s="244">
        <f>IF(INDEX($A$7:$A$36,INT((ROW()-41)/14)+1)="","",INDEX($A$7:$A$36,INT((ROW()-41)/14)+1))</f>
        <v/>
      </c>
      <c r="B311" s="245">
        <f>IF($A311="","",$B$3+MOD(ROW()-41,14))</f>
        <v/>
      </c>
      <c r="C311" s="244">
        <f>IF($A311="","",TEXT($B311,"ddd"))</f>
        <v/>
      </c>
      <c r="D311" s="242">
        <f>IF($A311="","",SUMIFS('EH Timesheets'!$G$6:$G$1005,'EH Timesheets'!$A$6:$A$1005,$A311,'EH Timesheets'!$B$6:$B$1005,$B311))</f>
        <v/>
      </c>
      <c r="E311" s="242">
        <f>IF($A311="","",SUMIFS('EH Roster'!$G$6:$G$1005,'EH Roster'!$A$6:$A$1005,$A311,'EH Roster'!$B$6:$B$1005,$B311))</f>
        <v/>
      </c>
      <c r="F311" s="242">
        <f>IF($A311="","",$D311-$E311)</f>
        <v/>
      </c>
      <c r="G311" s="242">
        <f>IF($A311="","",IF($L311="",0,SUMPRODUCT(('Shared Calendar'!$K$2:$K$1000&gt;0)*('Shared Calendar'!$K$2:$K$1000&lt;=$B311)*('Shared Calendar'!$J$2:$J$1000&gt;$B311)*ISNUMBER(SEARCH($L311,'Shared Calendar'!$M$2:$M$1000))*('Shared Calendar'!$N$2:$N$1000="Event"),'Shared Calendar'!$L$2:$L$1000)))</f>
        <v/>
      </c>
      <c r="H311" s="246">
        <f>IF(OR($A311="",$L311=""),"",IF(SUMPRODUCT(MAX(('Shared Calendar'!$K$2:$K$1000&gt;0)*('Shared Calendar'!$K$2:$K$1000&lt;=$B311)*('Shared Calendar'!$J$2:$J$1000&gt;$B311)*ISNUMBER(SEARCH($L311,'Shared Calendar'!$M$2:$M$1000))*ROW('Shared Calendar'!$A$2:$A$1000)))=0,"",INDEX('Shared Calendar'!$A:$A,SUMPRODUCT(MAX(('Shared Calendar'!$K$2:$K$1000&gt;0)*('Shared Calendar'!$K$2:$K$1000&lt;=$B311)*('Shared Calendar'!$J$2:$J$1000&gt;$B311)*ISNUMBER(SEARCH($L311,'Shared Calendar'!$M$2:$M$1000))*ROW('Shared Calendar'!$A$2:$A$1000))))))</f>
        <v/>
      </c>
      <c r="I311" s="244">
        <f>IF(OR($A311="",$L311=""),"",IF(SUMPRODUCT(('Shared Calendar'!$K$2:$K$1000&gt;0)*('Shared Calendar'!$K$2:$K$1000&lt;=$B311)*('Shared Calendar'!$J$2:$J$1000&gt;$B311)*ISNUMBER(SEARCH($L311,'Shared Calendar'!$M$2:$M$1000))*('Shared Calendar'!$N$2:$N$1000="Leave"))&gt;0,"Leave",""))</f>
        <v/>
      </c>
      <c r="J311" s="244">
        <f>IF($A311="","",IFERROR(INDEX('Public Holidays'!$C$6:$C$38,MATCH($B311,'Public Holidays'!$A$6:$A$38,0))&amp;" ("&amp;INDEX('Public Holidays'!$L$6:$L$38,MATCH($B311,'Public Holidays'!$A$6:$A$38,0))&amp;")",""))</f>
        <v/>
      </c>
      <c r="K311" s="246">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44">
        <f>IF($A311="","",INDEX($B$7:$B$36,INT((ROW()-41)/14)+1)&amp;"")</f>
        <v/>
      </c>
    </row>
    <row r="312">
      <c r="A312" s="244">
        <f>IF(INDEX($A$7:$A$36,INT((ROW()-41)/14)+1)="","",INDEX($A$7:$A$36,INT((ROW()-41)/14)+1))</f>
        <v/>
      </c>
      <c r="B312" s="245">
        <f>IF($A312="","",$B$3+MOD(ROW()-41,14))</f>
        <v/>
      </c>
      <c r="C312" s="244">
        <f>IF($A312="","",TEXT($B312,"ddd"))</f>
        <v/>
      </c>
      <c r="D312" s="242">
        <f>IF($A312="","",SUMIFS('EH Timesheets'!$G$6:$G$1005,'EH Timesheets'!$A$6:$A$1005,$A312,'EH Timesheets'!$B$6:$B$1005,$B312))</f>
        <v/>
      </c>
      <c r="E312" s="242">
        <f>IF($A312="","",SUMIFS('EH Roster'!$G$6:$G$1005,'EH Roster'!$A$6:$A$1005,$A312,'EH Roster'!$B$6:$B$1005,$B312))</f>
        <v/>
      </c>
      <c r="F312" s="242">
        <f>IF($A312="","",$D312-$E312)</f>
        <v/>
      </c>
      <c r="G312" s="242">
        <f>IF($A312="","",IF($L312="",0,SUMPRODUCT(('Shared Calendar'!$K$2:$K$1000&gt;0)*('Shared Calendar'!$K$2:$K$1000&lt;=$B312)*('Shared Calendar'!$J$2:$J$1000&gt;$B312)*ISNUMBER(SEARCH($L312,'Shared Calendar'!$M$2:$M$1000))*('Shared Calendar'!$N$2:$N$1000="Event"),'Shared Calendar'!$L$2:$L$1000)))</f>
        <v/>
      </c>
      <c r="H312" s="246">
        <f>IF(OR($A312="",$L312=""),"",IF(SUMPRODUCT(MAX(('Shared Calendar'!$K$2:$K$1000&gt;0)*('Shared Calendar'!$K$2:$K$1000&lt;=$B312)*('Shared Calendar'!$J$2:$J$1000&gt;$B312)*ISNUMBER(SEARCH($L312,'Shared Calendar'!$M$2:$M$1000))*ROW('Shared Calendar'!$A$2:$A$1000)))=0,"",INDEX('Shared Calendar'!$A:$A,SUMPRODUCT(MAX(('Shared Calendar'!$K$2:$K$1000&gt;0)*('Shared Calendar'!$K$2:$K$1000&lt;=$B312)*('Shared Calendar'!$J$2:$J$1000&gt;$B312)*ISNUMBER(SEARCH($L312,'Shared Calendar'!$M$2:$M$1000))*ROW('Shared Calendar'!$A$2:$A$1000))))))</f>
        <v/>
      </c>
      <c r="I312" s="244">
        <f>IF(OR($A312="",$L312=""),"",IF(SUMPRODUCT(('Shared Calendar'!$K$2:$K$1000&gt;0)*('Shared Calendar'!$K$2:$K$1000&lt;=$B312)*('Shared Calendar'!$J$2:$J$1000&gt;$B312)*ISNUMBER(SEARCH($L312,'Shared Calendar'!$M$2:$M$1000))*('Shared Calendar'!$N$2:$N$1000="Leave"))&gt;0,"Leave",""))</f>
        <v/>
      </c>
      <c r="J312" s="244">
        <f>IF($A312="","",IFERROR(INDEX('Public Holidays'!$C$6:$C$38,MATCH($B312,'Public Holidays'!$A$6:$A$38,0))&amp;" ("&amp;INDEX('Public Holidays'!$L$6:$L$38,MATCH($B312,'Public Holidays'!$A$6:$A$38,0))&amp;")",""))</f>
        <v/>
      </c>
      <c r="K312" s="246">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44">
        <f>IF($A312="","",INDEX($B$7:$B$36,INT((ROW()-41)/14)+1)&amp;"")</f>
        <v/>
      </c>
    </row>
    <row r="313">
      <c r="A313" s="244">
        <f>IF(INDEX($A$7:$A$36,INT((ROW()-41)/14)+1)="","",INDEX($A$7:$A$36,INT((ROW()-41)/14)+1))</f>
        <v/>
      </c>
      <c r="B313" s="245">
        <f>IF($A313="","",$B$3+MOD(ROW()-41,14))</f>
        <v/>
      </c>
      <c r="C313" s="244">
        <f>IF($A313="","",TEXT($B313,"ddd"))</f>
        <v/>
      </c>
      <c r="D313" s="242">
        <f>IF($A313="","",SUMIFS('EH Timesheets'!$G$6:$G$1005,'EH Timesheets'!$A$6:$A$1005,$A313,'EH Timesheets'!$B$6:$B$1005,$B313))</f>
        <v/>
      </c>
      <c r="E313" s="242">
        <f>IF($A313="","",SUMIFS('EH Roster'!$G$6:$G$1005,'EH Roster'!$A$6:$A$1005,$A313,'EH Roster'!$B$6:$B$1005,$B313))</f>
        <v/>
      </c>
      <c r="F313" s="242">
        <f>IF($A313="","",$D313-$E313)</f>
        <v/>
      </c>
      <c r="G313" s="242">
        <f>IF($A313="","",IF($L313="",0,SUMPRODUCT(('Shared Calendar'!$K$2:$K$1000&gt;0)*('Shared Calendar'!$K$2:$K$1000&lt;=$B313)*('Shared Calendar'!$J$2:$J$1000&gt;$B313)*ISNUMBER(SEARCH($L313,'Shared Calendar'!$M$2:$M$1000))*('Shared Calendar'!$N$2:$N$1000="Event"),'Shared Calendar'!$L$2:$L$1000)))</f>
        <v/>
      </c>
      <c r="H313" s="246">
        <f>IF(OR($A313="",$L313=""),"",IF(SUMPRODUCT(MAX(('Shared Calendar'!$K$2:$K$1000&gt;0)*('Shared Calendar'!$K$2:$K$1000&lt;=$B313)*('Shared Calendar'!$J$2:$J$1000&gt;$B313)*ISNUMBER(SEARCH($L313,'Shared Calendar'!$M$2:$M$1000))*ROW('Shared Calendar'!$A$2:$A$1000)))=0,"",INDEX('Shared Calendar'!$A:$A,SUMPRODUCT(MAX(('Shared Calendar'!$K$2:$K$1000&gt;0)*('Shared Calendar'!$K$2:$K$1000&lt;=$B313)*('Shared Calendar'!$J$2:$J$1000&gt;$B313)*ISNUMBER(SEARCH($L313,'Shared Calendar'!$M$2:$M$1000))*ROW('Shared Calendar'!$A$2:$A$1000))))))</f>
        <v/>
      </c>
      <c r="I313" s="244">
        <f>IF(OR($A313="",$L313=""),"",IF(SUMPRODUCT(('Shared Calendar'!$K$2:$K$1000&gt;0)*('Shared Calendar'!$K$2:$K$1000&lt;=$B313)*('Shared Calendar'!$J$2:$J$1000&gt;$B313)*ISNUMBER(SEARCH($L313,'Shared Calendar'!$M$2:$M$1000))*('Shared Calendar'!$N$2:$N$1000="Leave"))&gt;0,"Leave",""))</f>
        <v/>
      </c>
      <c r="J313" s="244">
        <f>IF($A313="","",IFERROR(INDEX('Public Holidays'!$C$6:$C$38,MATCH($B313,'Public Holidays'!$A$6:$A$38,0))&amp;" ("&amp;INDEX('Public Holidays'!$L$6:$L$38,MATCH($B313,'Public Holidays'!$A$6:$A$38,0))&amp;")",""))</f>
        <v/>
      </c>
      <c r="K313" s="246">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44">
        <f>IF($A313="","",INDEX($B$7:$B$36,INT((ROW()-41)/14)+1)&amp;"")</f>
        <v/>
      </c>
    </row>
    <row r="314">
      <c r="A314" s="244">
        <f>IF(INDEX($A$7:$A$36,INT((ROW()-41)/14)+1)="","",INDEX($A$7:$A$36,INT((ROW()-41)/14)+1))</f>
        <v/>
      </c>
      <c r="B314" s="245">
        <f>IF($A314="","",$B$3+MOD(ROW()-41,14))</f>
        <v/>
      </c>
      <c r="C314" s="244">
        <f>IF($A314="","",TEXT($B314,"ddd"))</f>
        <v/>
      </c>
      <c r="D314" s="242">
        <f>IF($A314="","",SUMIFS('EH Timesheets'!$G$6:$G$1005,'EH Timesheets'!$A$6:$A$1005,$A314,'EH Timesheets'!$B$6:$B$1005,$B314))</f>
        <v/>
      </c>
      <c r="E314" s="242">
        <f>IF($A314="","",SUMIFS('EH Roster'!$G$6:$G$1005,'EH Roster'!$A$6:$A$1005,$A314,'EH Roster'!$B$6:$B$1005,$B314))</f>
        <v/>
      </c>
      <c r="F314" s="242">
        <f>IF($A314="","",$D314-$E314)</f>
        <v/>
      </c>
      <c r="G314" s="242">
        <f>IF($A314="","",IF($L314="",0,SUMPRODUCT(('Shared Calendar'!$K$2:$K$1000&gt;0)*('Shared Calendar'!$K$2:$K$1000&lt;=$B314)*('Shared Calendar'!$J$2:$J$1000&gt;$B314)*ISNUMBER(SEARCH($L314,'Shared Calendar'!$M$2:$M$1000))*('Shared Calendar'!$N$2:$N$1000="Event"),'Shared Calendar'!$L$2:$L$1000)))</f>
        <v/>
      </c>
      <c r="H314" s="246">
        <f>IF(OR($A314="",$L314=""),"",IF(SUMPRODUCT(MAX(('Shared Calendar'!$K$2:$K$1000&gt;0)*('Shared Calendar'!$K$2:$K$1000&lt;=$B314)*('Shared Calendar'!$J$2:$J$1000&gt;$B314)*ISNUMBER(SEARCH($L314,'Shared Calendar'!$M$2:$M$1000))*ROW('Shared Calendar'!$A$2:$A$1000)))=0,"",INDEX('Shared Calendar'!$A:$A,SUMPRODUCT(MAX(('Shared Calendar'!$K$2:$K$1000&gt;0)*('Shared Calendar'!$K$2:$K$1000&lt;=$B314)*('Shared Calendar'!$J$2:$J$1000&gt;$B314)*ISNUMBER(SEARCH($L314,'Shared Calendar'!$M$2:$M$1000))*ROW('Shared Calendar'!$A$2:$A$1000))))))</f>
        <v/>
      </c>
      <c r="I314" s="244">
        <f>IF(OR($A314="",$L314=""),"",IF(SUMPRODUCT(('Shared Calendar'!$K$2:$K$1000&gt;0)*('Shared Calendar'!$K$2:$K$1000&lt;=$B314)*('Shared Calendar'!$J$2:$J$1000&gt;$B314)*ISNUMBER(SEARCH($L314,'Shared Calendar'!$M$2:$M$1000))*('Shared Calendar'!$N$2:$N$1000="Leave"))&gt;0,"Leave",""))</f>
        <v/>
      </c>
      <c r="J314" s="244">
        <f>IF($A314="","",IFERROR(INDEX('Public Holidays'!$C$6:$C$38,MATCH($B314,'Public Holidays'!$A$6:$A$38,0))&amp;" ("&amp;INDEX('Public Holidays'!$L$6:$L$38,MATCH($B314,'Public Holidays'!$A$6:$A$38,0))&amp;")",""))</f>
        <v/>
      </c>
      <c r="K314" s="246">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44">
        <f>IF($A314="","",INDEX($B$7:$B$36,INT((ROW()-41)/14)+1)&amp;"")</f>
        <v/>
      </c>
    </row>
    <row r="315">
      <c r="A315" s="244">
        <f>IF(INDEX($A$7:$A$36,INT((ROW()-41)/14)+1)="","",INDEX($A$7:$A$36,INT((ROW()-41)/14)+1))</f>
        <v/>
      </c>
      <c r="B315" s="245">
        <f>IF($A315="","",$B$3+MOD(ROW()-41,14))</f>
        <v/>
      </c>
      <c r="C315" s="244">
        <f>IF($A315="","",TEXT($B315,"ddd"))</f>
        <v/>
      </c>
      <c r="D315" s="242">
        <f>IF($A315="","",SUMIFS('EH Timesheets'!$G$6:$G$1005,'EH Timesheets'!$A$6:$A$1005,$A315,'EH Timesheets'!$B$6:$B$1005,$B315))</f>
        <v/>
      </c>
      <c r="E315" s="242">
        <f>IF($A315="","",SUMIFS('EH Roster'!$G$6:$G$1005,'EH Roster'!$A$6:$A$1005,$A315,'EH Roster'!$B$6:$B$1005,$B315))</f>
        <v/>
      </c>
      <c r="F315" s="242">
        <f>IF($A315="","",$D315-$E315)</f>
        <v/>
      </c>
      <c r="G315" s="242">
        <f>IF($A315="","",IF($L315="",0,SUMPRODUCT(('Shared Calendar'!$K$2:$K$1000&gt;0)*('Shared Calendar'!$K$2:$K$1000&lt;=$B315)*('Shared Calendar'!$J$2:$J$1000&gt;$B315)*ISNUMBER(SEARCH($L315,'Shared Calendar'!$M$2:$M$1000))*('Shared Calendar'!$N$2:$N$1000="Event"),'Shared Calendar'!$L$2:$L$1000)))</f>
        <v/>
      </c>
      <c r="H315" s="246">
        <f>IF(OR($A315="",$L315=""),"",IF(SUMPRODUCT(MAX(('Shared Calendar'!$K$2:$K$1000&gt;0)*('Shared Calendar'!$K$2:$K$1000&lt;=$B315)*('Shared Calendar'!$J$2:$J$1000&gt;$B315)*ISNUMBER(SEARCH($L315,'Shared Calendar'!$M$2:$M$1000))*ROW('Shared Calendar'!$A$2:$A$1000)))=0,"",INDEX('Shared Calendar'!$A:$A,SUMPRODUCT(MAX(('Shared Calendar'!$K$2:$K$1000&gt;0)*('Shared Calendar'!$K$2:$K$1000&lt;=$B315)*('Shared Calendar'!$J$2:$J$1000&gt;$B315)*ISNUMBER(SEARCH($L315,'Shared Calendar'!$M$2:$M$1000))*ROW('Shared Calendar'!$A$2:$A$1000))))))</f>
        <v/>
      </c>
      <c r="I315" s="244">
        <f>IF(OR($A315="",$L315=""),"",IF(SUMPRODUCT(('Shared Calendar'!$K$2:$K$1000&gt;0)*('Shared Calendar'!$K$2:$K$1000&lt;=$B315)*('Shared Calendar'!$J$2:$J$1000&gt;$B315)*ISNUMBER(SEARCH($L315,'Shared Calendar'!$M$2:$M$1000))*('Shared Calendar'!$N$2:$N$1000="Leave"))&gt;0,"Leave",""))</f>
        <v/>
      </c>
      <c r="J315" s="244">
        <f>IF($A315="","",IFERROR(INDEX('Public Holidays'!$C$6:$C$38,MATCH($B315,'Public Holidays'!$A$6:$A$38,0))&amp;" ("&amp;INDEX('Public Holidays'!$L$6:$L$38,MATCH($B315,'Public Holidays'!$A$6:$A$38,0))&amp;")",""))</f>
        <v/>
      </c>
      <c r="K315" s="246">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44">
        <f>IF($A315="","",INDEX($B$7:$B$36,INT((ROW()-41)/14)+1)&amp;"")</f>
        <v/>
      </c>
    </row>
    <row r="316">
      <c r="A316" s="244">
        <f>IF(INDEX($A$7:$A$36,INT((ROW()-41)/14)+1)="","",INDEX($A$7:$A$36,INT((ROW()-41)/14)+1))</f>
        <v/>
      </c>
      <c r="B316" s="245">
        <f>IF($A316="","",$B$3+MOD(ROW()-41,14))</f>
        <v/>
      </c>
      <c r="C316" s="244">
        <f>IF($A316="","",TEXT($B316,"ddd"))</f>
        <v/>
      </c>
      <c r="D316" s="242">
        <f>IF($A316="","",SUMIFS('EH Timesheets'!$G$6:$G$1005,'EH Timesheets'!$A$6:$A$1005,$A316,'EH Timesheets'!$B$6:$B$1005,$B316))</f>
        <v/>
      </c>
      <c r="E316" s="242">
        <f>IF($A316="","",SUMIFS('EH Roster'!$G$6:$G$1005,'EH Roster'!$A$6:$A$1005,$A316,'EH Roster'!$B$6:$B$1005,$B316))</f>
        <v/>
      </c>
      <c r="F316" s="242">
        <f>IF($A316="","",$D316-$E316)</f>
        <v/>
      </c>
      <c r="G316" s="242">
        <f>IF($A316="","",IF($L316="",0,SUMPRODUCT(('Shared Calendar'!$K$2:$K$1000&gt;0)*('Shared Calendar'!$K$2:$K$1000&lt;=$B316)*('Shared Calendar'!$J$2:$J$1000&gt;$B316)*ISNUMBER(SEARCH($L316,'Shared Calendar'!$M$2:$M$1000))*('Shared Calendar'!$N$2:$N$1000="Event"),'Shared Calendar'!$L$2:$L$1000)))</f>
        <v/>
      </c>
      <c r="H316" s="246">
        <f>IF(OR($A316="",$L316=""),"",IF(SUMPRODUCT(MAX(('Shared Calendar'!$K$2:$K$1000&gt;0)*('Shared Calendar'!$K$2:$K$1000&lt;=$B316)*('Shared Calendar'!$J$2:$J$1000&gt;$B316)*ISNUMBER(SEARCH($L316,'Shared Calendar'!$M$2:$M$1000))*ROW('Shared Calendar'!$A$2:$A$1000)))=0,"",INDEX('Shared Calendar'!$A:$A,SUMPRODUCT(MAX(('Shared Calendar'!$K$2:$K$1000&gt;0)*('Shared Calendar'!$K$2:$K$1000&lt;=$B316)*('Shared Calendar'!$J$2:$J$1000&gt;$B316)*ISNUMBER(SEARCH($L316,'Shared Calendar'!$M$2:$M$1000))*ROW('Shared Calendar'!$A$2:$A$1000))))))</f>
        <v/>
      </c>
      <c r="I316" s="244">
        <f>IF(OR($A316="",$L316=""),"",IF(SUMPRODUCT(('Shared Calendar'!$K$2:$K$1000&gt;0)*('Shared Calendar'!$K$2:$K$1000&lt;=$B316)*('Shared Calendar'!$J$2:$J$1000&gt;$B316)*ISNUMBER(SEARCH($L316,'Shared Calendar'!$M$2:$M$1000))*('Shared Calendar'!$N$2:$N$1000="Leave"))&gt;0,"Leave",""))</f>
        <v/>
      </c>
      <c r="J316" s="244">
        <f>IF($A316="","",IFERROR(INDEX('Public Holidays'!$C$6:$C$38,MATCH($B316,'Public Holidays'!$A$6:$A$38,0))&amp;" ("&amp;INDEX('Public Holidays'!$L$6:$L$38,MATCH($B316,'Public Holidays'!$A$6:$A$38,0))&amp;")",""))</f>
        <v/>
      </c>
      <c r="K316" s="246">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44">
        <f>IF($A316="","",INDEX($B$7:$B$36,INT((ROW()-41)/14)+1)&amp;"")</f>
        <v/>
      </c>
    </row>
    <row r="317">
      <c r="A317" s="244">
        <f>IF(INDEX($A$7:$A$36,INT((ROW()-41)/14)+1)="","",INDEX($A$7:$A$36,INT((ROW()-41)/14)+1))</f>
        <v/>
      </c>
      <c r="B317" s="245">
        <f>IF($A317="","",$B$3+MOD(ROW()-41,14))</f>
        <v/>
      </c>
      <c r="C317" s="244">
        <f>IF($A317="","",TEXT($B317,"ddd"))</f>
        <v/>
      </c>
      <c r="D317" s="242">
        <f>IF($A317="","",SUMIFS('EH Timesheets'!$G$6:$G$1005,'EH Timesheets'!$A$6:$A$1005,$A317,'EH Timesheets'!$B$6:$B$1005,$B317))</f>
        <v/>
      </c>
      <c r="E317" s="242">
        <f>IF($A317="","",SUMIFS('EH Roster'!$G$6:$G$1005,'EH Roster'!$A$6:$A$1005,$A317,'EH Roster'!$B$6:$B$1005,$B317))</f>
        <v/>
      </c>
      <c r="F317" s="242">
        <f>IF($A317="","",$D317-$E317)</f>
        <v/>
      </c>
      <c r="G317" s="242">
        <f>IF($A317="","",IF($L317="",0,SUMPRODUCT(('Shared Calendar'!$K$2:$K$1000&gt;0)*('Shared Calendar'!$K$2:$K$1000&lt;=$B317)*('Shared Calendar'!$J$2:$J$1000&gt;$B317)*ISNUMBER(SEARCH($L317,'Shared Calendar'!$M$2:$M$1000))*('Shared Calendar'!$N$2:$N$1000="Event"),'Shared Calendar'!$L$2:$L$1000)))</f>
        <v/>
      </c>
      <c r="H317" s="246">
        <f>IF(OR($A317="",$L317=""),"",IF(SUMPRODUCT(MAX(('Shared Calendar'!$K$2:$K$1000&gt;0)*('Shared Calendar'!$K$2:$K$1000&lt;=$B317)*('Shared Calendar'!$J$2:$J$1000&gt;$B317)*ISNUMBER(SEARCH($L317,'Shared Calendar'!$M$2:$M$1000))*ROW('Shared Calendar'!$A$2:$A$1000)))=0,"",INDEX('Shared Calendar'!$A:$A,SUMPRODUCT(MAX(('Shared Calendar'!$K$2:$K$1000&gt;0)*('Shared Calendar'!$K$2:$K$1000&lt;=$B317)*('Shared Calendar'!$J$2:$J$1000&gt;$B317)*ISNUMBER(SEARCH($L317,'Shared Calendar'!$M$2:$M$1000))*ROW('Shared Calendar'!$A$2:$A$1000))))))</f>
        <v/>
      </c>
      <c r="I317" s="244">
        <f>IF(OR($A317="",$L317=""),"",IF(SUMPRODUCT(('Shared Calendar'!$K$2:$K$1000&gt;0)*('Shared Calendar'!$K$2:$K$1000&lt;=$B317)*('Shared Calendar'!$J$2:$J$1000&gt;$B317)*ISNUMBER(SEARCH($L317,'Shared Calendar'!$M$2:$M$1000))*('Shared Calendar'!$N$2:$N$1000="Leave"))&gt;0,"Leave",""))</f>
        <v/>
      </c>
      <c r="J317" s="244">
        <f>IF($A317="","",IFERROR(INDEX('Public Holidays'!$C$6:$C$38,MATCH($B317,'Public Holidays'!$A$6:$A$38,0))&amp;" ("&amp;INDEX('Public Holidays'!$L$6:$L$38,MATCH($B317,'Public Holidays'!$A$6:$A$38,0))&amp;")",""))</f>
        <v/>
      </c>
      <c r="K317" s="246">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44">
        <f>IF($A317="","",INDEX($B$7:$B$36,INT((ROW()-41)/14)+1)&amp;"")</f>
        <v/>
      </c>
    </row>
    <row r="318">
      <c r="A318" s="244">
        <f>IF(INDEX($A$7:$A$36,INT((ROW()-41)/14)+1)="","",INDEX($A$7:$A$36,INT((ROW()-41)/14)+1))</f>
        <v/>
      </c>
      <c r="B318" s="245">
        <f>IF($A318="","",$B$3+MOD(ROW()-41,14))</f>
        <v/>
      </c>
      <c r="C318" s="244">
        <f>IF($A318="","",TEXT($B318,"ddd"))</f>
        <v/>
      </c>
      <c r="D318" s="242">
        <f>IF($A318="","",SUMIFS('EH Timesheets'!$G$6:$G$1005,'EH Timesheets'!$A$6:$A$1005,$A318,'EH Timesheets'!$B$6:$B$1005,$B318))</f>
        <v/>
      </c>
      <c r="E318" s="242">
        <f>IF($A318="","",SUMIFS('EH Roster'!$G$6:$G$1005,'EH Roster'!$A$6:$A$1005,$A318,'EH Roster'!$B$6:$B$1005,$B318))</f>
        <v/>
      </c>
      <c r="F318" s="242">
        <f>IF($A318="","",$D318-$E318)</f>
        <v/>
      </c>
      <c r="G318" s="242">
        <f>IF($A318="","",IF($L318="",0,SUMPRODUCT(('Shared Calendar'!$K$2:$K$1000&gt;0)*('Shared Calendar'!$K$2:$K$1000&lt;=$B318)*('Shared Calendar'!$J$2:$J$1000&gt;$B318)*ISNUMBER(SEARCH($L318,'Shared Calendar'!$M$2:$M$1000))*('Shared Calendar'!$N$2:$N$1000="Event"),'Shared Calendar'!$L$2:$L$1000)))</f>
        <v/>
      </c>
      <c r="H318" s="246">
        <f>IF(OR($A318="",$L318=""),"",IF(SUMPRODUCT(MAX(('Shared Calendar'!$K$2:$K$1000&gt;0)*('Shared Calendar'!$K$2:$K$1000&lt;=$B318)*('Shared Calendar'!$J$2:$J$1000&gt;$B318)*ISNUMBER(SEARCH($L318,'Shared Calendar'!$M$2:$M$1000))*ROW('Shared Calendar'!$A$2:$A$1000)))=0,"",INDEX('Shared Calendar'!$A:$A,SUMPRODUCT(MAX(('Shared Calendar'!$K$2:$K$1000&gt;0)*('Shared Calendar'!$K$2:$K$1000&lt;=$B318)*('Shared Calendar'!$J$2:$J$1000&gt;$B318)*ISNUMBER(SEARCH($L318,'Shared Calendar'!$M$2:$M$1000))*ROW('Shared Calendar'!$A$2:$A$1000))))))</f>
        <v/>
      </c>
      <c r="I318" s="244">
        <f>IF(OR($A318="",$L318=""),"",IF(SUMPRODUCT(('Shared Calendar'!$K$2:$K$1000&gt;0)*('Shared Calendar'!$K$2:$K$1000&lt;=$B318)*('Shared Calendar'!$J$2:$J$1000&gt;$B318)*ISNUMBER(SEARCH($L318,'Shared Calendar'!$M$2:$M$1000))*('Shared Calendar'!$N$2:$N$1000="Leave"))&gt;0,"Leave",""))</f>
        <v/>
      </c>
      <c r="J318" s="244">
        <f>IF($A318="","",IFERROR(INDEX('Public Holidays'!$C$6:$C$38,MATCH($B318,'Public Holidays'!$A$6:$A$38,0))&amp;" ("&amp;INDEX('Public Holidays'!$L$6:$L$38,MATCH($B318,'Public Holidays'!$A$6:$A$38,0))&amp;")",""))</f>
        <v/>
      </c>
      <c r="K318" s="246">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44">
        <f>IF($A318="","",INDEX($B$7:$B$36,INT((ROW()-41)/14)+1)&amp;"")</f>
        <v/>
      </c>
    </row>
    <row r="319">
      <c r="A319" s="244">
        <f>IF(INDEX($A$7:$A$36,INT((ROW()-41)/14)+1)="","",INDEX($A$7:$A$36,INT((ROW()-41)/14)+1))</f>
        <v/>
      </c>
      <c r="B319" s="245">
        <f>IF($A319="","",$B$3+MOD(ROW()-41,14))</f>
        <v/>
      </c>
      <c r="C319" s="244">
        <f>IF($A319="","",TEXT($B319,"ddd"))</f>
        <v/>
      </c>
      <c r="D319" s="242">
        <f>IF($A319="","",SUMIFS('EH Timesheets'!$G$6:$G$1005,'EH Timesheets'!$A$6:$A$1005,$A319,'EH Timesheets'!$B$6:$B$1005,$B319))</f>
        <v/>
      </c>
      <c r="E319" s="242">
        <f>IF($A319="","",SUMIFS('EH Roster'!$G$6:$G$1005,'EH Roster'!$A$6:$A$1005,$A319,'EH Roster'!$B$6:$B$1005,$B319))</f>
        <v/>
      </c>
      <c r="F319" s="242">
        <f>IF($A319="","",$D319-$E319)</f>
        <v/>
      </c>
      <c r="G319" s="242">
        <f>IF($A319="","",IF($L319="",0,SUMPRODUCT(('Shared Calendar'!$K$2:$K$1000&gt;0)*('Shared Calendar'!$K$2:$K$1000&lt;=$B319)*('Shared Calendar'!$J$2:$J$1000&gt;$B319)*ISNUMBER(SEARCH($L319,'Shared Calendar'!$M$2:$M$1000))*('Shared Calendar'!$N$2:$N$1000="Event"),'Shared Calendar'!$L$2:$L$1000)))</f>
        <v/>
      </c>
      <c r="H319" s="246">
        <f>IF(OR($A319="",$L319=""),"",IF(SUMPRODUCT(MAX(('Shared Calendar'!$K$2:$K$1000&gt;0)*('Shared Calendar'!$K$2:$K$1000&lt;=$B319)*('Shared Calendar'!$J$2:$J$1000&gt;$B319)*ISNUMBER(SEARCH($L319,'Shared Calendar'!$M$2:$M$1000))*ROW('Shared Calendar'!$A$2:$A$1000)))=0,"",INDEX('Shared Calendar'!$A:$A,SUMPRODUCT(MAX(('Shared Calendar'!$K$2:$K$1000&gt;0)*('Shared Calendar'!$K$2:$K$1000&lt;=$B319)*('Shared Calendar'!$J$2:$J$1000&gt;$B319)*ISNUMBER(SEARCH($L319,'Shared Calendar'!$M$2:$M$1000))*ROW('Shared Calendar'!$A$2:$A$1000))))))</f>
        <v/>
      </c>
      <c r="I319" s="244">
        <f>IF(OR($A319="",$L319=""),"",IF(SUMPRODUCT(('Shared Calendar'!$K$2:$K$1000&gt;0)*('Shared Calendar'!$K$2:$K$1000&lt;=$B319)*('Shared Calendar'!$J$2:$J$1000&gt;$B319)*ISNUMBER(SEARCH($L319,'Shared Calendar'!$M$2:$M$1000))*('Shared Calendar'!$N$2:$N$1000="Leave"))&gt;0,"Leave",""))</f>
        <v/>
      </c>
      <c r="J319" s="244">
        <f>IF($A319="","",IFERROR(INDEX('Public Holidays'!$C$6:$C$38,MATCH($B319,'Public Holidays'!$A$6:$A$38,0))&amp;" ("&amp;INDEX('Public Holidays'!$L$6:$L$38,MATCH($B319,'Public Holidays'!$A$6:$A$38,0))&amp;")",""))</f>
        <v/>
      </c>
      <c r="K319" s="246">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44">
        <f>IF($A319="","",INDEX($B$7:$B$36,INT((ROW()-41)/14)+1)&amp;"")</f>
        <v/>
      </c>
    </row>
    <row r="320">
      <c r="A320" s="244">
        <f>IF(INDEX($A$7:$A$36,INT((ROW()-41)/14)+1)="","",INDEX($A$7:$A$36,INT((ROW()-41)/14)+1))</f>
        <v/>
      </c>
      <c r="B320" s="245">
        <f>IF($A320="","",$B$3+MOD(ROW()-41,14))</f>
        <v/>
      </c>
      <c r="C320" s="244">
        <f>IF($A320="","",TEXT($B320,"ddd"))</f>
        <v/>
      </c>
      <c r="D320" s="242">
        <f>IF($A320="","",SUMIFS('EH Timesheets'!$G$6:$G$1005,'EH Timesheets'!$A$6:$A$1005,$A320,'EH Timesheets'!$B$6:$B$1005,$B320))</f>
        <v/>
      </c>
      <c r="E320" s="242">
        <f>IF($A320="","",SUMIFS('EH Roster'!$G$6:$G$1005,'EH Roster'!$A$6:$A$1005,$A320,'EH Roster'!$B$6:$B$1005,$B320))</f>
        <v/>
      </c>
      <c r="F320" s="242">
        <f>IF($A320="","",$D320-$E320)</f>
        <v/>
      </c>
      <c r="G320" s="242">
        <f>IF($A320="","",IF($L320="",0,SUMPRODUCT(('Shared Calendar'!$K$2:$K$1000&gt;0)*('Shared Calendar'!$K$2:$K$1000&lt;=$B320)*('Shared Calendar'!$J$2:$J$1000&gt;$B320)*ISNUMBER(SEARCH($L320,'Shared Calendar'!$M$2:$M$1000))*('Shared Calendar'!$N$2:$N$1000="Event"),'Shared Calendar'!$L$2:$L$1000)))</f>
        <v/>
      </c>
      <c r="H320" s="246">
        <f>IF(OR($A320="",$L320=""),"",IF(SUMPRODUCT(MAX(('Shared Calendar'!$K$2:$K$1000&gt;0)*('Shared Calendar'!$K$2:$K$1000&lt;=$B320)*('Shared Calendar'!$J$2:$J$1000&gt;$B320)*ISNUMBER(SEARCH($L320,'Shared Calendar'!$M$2:$M$1000))*ROW('Shared Calendar'!$A$2:$A$1000)))=0,"",INDEX('Shared Calendar'!$A:$A,SUMPRODUCT(MAX(('Shared Calendar'!$K$2:$K$1000&gt;0)*('Shared Calendar'!$K$2:$K$1000&lt;=$B320)*('Shared Calendar'!$J$2:$J$1000&gt;$B320)*ISNUMBER(SEARCH($L320,'Shared Calendar'!$M$2:$M$1000))*ROW('Shared Calendar'!$A$2:$A$1000))))))</f>
        <v/>
      </c>
      <c r="I320" s="244">
        <f>IF(OR($A320="",$L320=""),"",IF(SUMPRODUCT(('Shared Calendar'!$K$2:$K$1000&gt;0)*('Shared Calendar'!$K$2:$K$1000&lt;=$B320)*('Shared Calendar'!$J$2:$J$1000&gt;$B320)*ISNUMBER(SEARCH($L320,'Shared Calendar'!$M$2:$M$1000))*('Shared Calendar'!$N$2:$N$1000="Leave"))&gt;0,"Leave",""))</f>
        <v/>
      </c>
      <c r="J320" s="244">
        <f>IF($A320="","",IFERROR(INDEX('Public Holidays'!$C$6:$C$38,MATCH($B320,'Public Holidays'!$A$6:$A$38,0))&amp;" ("&amp;INDEX('Public Holidays'!$L$6:$L$38,MATCH($B320,'Public Holidays'!$A$6:$A$38,0))&amp;")",""))</f>
        <v/>
      </c>
      <c r="K320" s="246">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44">
        <f>IF($A320="","",INDEX($B$7:$B$36,INT((ROW()-41)/14)+1)&amp;"")</f>
        <v/>
      </c>
    </row>
    <row r="321">
      <c r="A321" s="244">
        <f>IF(INDEX($A$7:$A$36,INT((ROW()-41)/14)+1)="","",INDEX($A$7:$A$36,INT((ROW()-41)/14)+1))</f>
        <v/>
      </c>
      <c r="B321" s="245">
        <f>IF($A321="","",$B$3+MOD(ROW()-41,14))</f>
        <v/>
      </c>
      <c r="C321" s="244">
        <f>IF($A321="","",TEXT($B321,"ddd"))</f>
        <v/>
      </c>
      <c r="D321" s="242">
        <f>IF($A321="","",SUMIFS('EH Timesheets'!$G$6:$G$1005,'EH Timesheets'!$A$6:$A$1005,$A321,'EH Timesheets'!$B$6:$B$1005,$B321))</f>
        <v/>
      </c>
      <c r="E321" s="242">
        <f>IF($A321="","",SUMIFS('EH Roster'!$G$6:$G$1005,'EH Roster'!$A$6:$A$1005,$A321,'EH Roster'!$B$6:$B$1005,$B321))</f>
        <v/>
      </c>
      <c r="F321" s="242">
        <f>IF($A321="","",$D321-$E321)</f>
        <v/>
      </c>
      <c r="G321" s="242">
        <f>IF($A321="","",IF($L321="",0,SUMPRODUCT(('Shared Calendar'!$K$2:$K$1000&gt;0)*('Shared Calendar'!$K$2:$K$1000&lt;=$B321)*('Shared Calendar'!$J$2:$J$1000&gt;$B321)*ISNUMBER(SEARCH($L321,'Shared Calendar'!$M$2:$M$1000))*('Shared Calendar'!$N$2:$N$1000="Event"),'Shared Calendar'!$L$2:$L$1000)))</f>
        <v/>
      </c>
      <c r="H321" s="246">
        <f>IF(OR($A321="",$L321=""),"",IF(SUMPRODUCT(MAX(('Shared Calendar'!$K$2:$K$1000&gt;0)*('Shared Calendar'!$K$2:$K$1000&lt;=$B321)*('Shared Calendar'!$J$2:$J$1000&gt;$B321)*ISNUMBER(SEARCH($L321,'Shared Calendar'!$M$2:$M$1000))*ROW('Shared Calendar'!$A$2:$A$1000)))=0,"",INDEX('Shared Calendar'!$A:$A,SUMPRODUCT(MAX(('Shared Calendar'!$K$2:$K$1000&gt;0)*('Shared Calendar'!$K$2:$K$1000&lt;=$B321)*('Shared Calendar'!$J$2:$J$1000&gt;$B321)*ISNUMBER(SEARCH($L321,'Shared Calendar'!$M$2:$M$1000))*ROW('Shared Calendar'!$A$2:$A$1000))))))</f>
        <v/>
      </c>
      <c r="I321" s="244">
        <f>IF(OR($A321="",$L321=""),"",IF(SUMPRODUCT(('Shared Calendar'!$K$2:$K$1000&gt;0)*('Shared Calendar'!$K$2:$K$1000&lt;=$B321)*('Shared Calendar'!$J$2:$J$1000&gt;$B321)*ISNUMBER(SEARCH($L321,'Shared Calendar'!$M$2:$M$1000))*('Shared Calendar'!$N$2:$N$1000="Leave"))&gt;0,"Leave",""))</f>
        <v/>
      </c>
      <c r="J321" s="244">
        <f>IF($A321="","",IFERROR(INDEX('Public Holidays'!$C$6:$C$38,MATCH($B321,'Public Holidays'!$A$6:$A$38,0))&amp;" ("&amp;INDEX('Public Holidays'!$L$6:$L$38,MATCH($B321,'Public Holidays'!$A$6:$A$38,0))&amp;")",""))</f>
        <v/>
      </c>
      <c r="K321" s="246">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44">
        <f>IF($A321="","",INDEX($B$7:$B$36,INT((ROW()-41)/14)+1)&amp;"")</f>
        <v/>
      </c>
    </row>
    <row r="322">
      <c r="A322" s="244">
        <f>IF(INDEX($A$7:$A$36,INT((ROW()-41)/14)+1)="","",INDEX($A$7:$A$36,INT((ROW()-41)/14)+1))</f>
        <v/>
      </c>
      <c r="B322" s="245">
        <f>IF($A322="","",$B$3+MOD(ROW()-41,14))</f>
        <v/>
      </c>
      <c r="C322" s="244">
        <f>IF($A322="","",TEXT($B322,"ddd"))</f>
        <v/>
      </c>
      <c r="D322" s="242">
        <f>IF($A322="","",SUMIFS('EH Timesheets'!$G$6:$G$1005,'EH Timesheets'!$A$6:$A$1005,$A322,'EH Timesheets'!$B$6:$B$1005,$B322))</f>
        <v/>
      </c>
      <c r="E322" s="242">
        <f>IF($A322="","",SUMIFS('EH Roster'!$G$6:$G$1005,'EH Roster'!$A$6:$A$1005,$A322,'EH Roster'!$B$6:$B$1005,$B322))</f>
        <v/>
      </c>
      <c r="F322" s="242">
        <f>IF($A322="","",$D322-$E322)</f>
        <v/>
      </c>
      <c r="G322" s="242">
        <f>IF($A322="","",IF($L322="",0,SUMPRODUCT(('Shared Calendar'!$K$2:$K$1000&gt;0)*('Shared Calendar'!$K$2:$K$1000&lt;=$B322)*('Shared Calendar'!$J$2:$J$1000&gt;$B322)*ISNUMBER(SEARCH($L322,'Shared Calendar'!$M$2:$M$1000))*('Shared Calendar'!$N$2:$N$1000="Event"),'Shared Calendar'!$L$2:$L$1000)))</f>
        <v/>
      </c>
      <c r="H322" s="246">
        <f>IF(OR($A322="",$L322=""),"",IF(SUMPRODUCT(MAX(('Shared Calendar'!$K$2:$K$1000&gt;0)*('Shared Calendar'!$K$2:$K$1000&lt;=$B322)*('Shared Calendar'!$J$2:$J$1000&gt;$B322)*ISNUMBER(SEARCH($L322,'Shared Calendar'!$M$2:$M$1000))*ROW('Shared Calendar'!$A$2:$A$1000)))=0,"",INDEX('Shared Calendar'!$A:$A,SUMPRODUCT(MAX(('Shared Calendar'!$K$2:$K$1000&gt;0)*('Shared Calendar'!$K$2:$K$1000&lt;=$B322)*('Shared Calendar'!$J$2:$J$1000&gt;$B322)*ISNUMBER(SEARCH($L322,'Shared Calendar'!$M$2:$M$1000))*ROW('Shared Calendar'!$A$2:$A$1000))))))</f>
        <v/>
      </c>
      <c r="I322" s="244">
        <f>IF(OR($A322="",$L322=""),"",IF(SUMPRODUCT(('Shared Calendar'!$K$2:$K$1000&gt;0)*('Shared Calendar'!$K$2:$K$1000&lt;=$B322)*('Shared Calendar'!$J$2:$J$1000&gt;$B322)*ISNUMBER(SEARCH($L322,'Shared Calendar'!$M$2:$M$1000))*('Shared Calendar'!$N$2:$N$1000="Leave"))&gt;0,"Leave",""))</f>
        <v/>
      </c>
      <c r="J322" s="244">
        <f>IF($A322="","",IFERROR(INDEX('Public Holidays'!$C$6:$C$38,MATCH($B322,'Public Holidays'!$A$6:$A$38,0))&amp;" ("&amp;INDEX('Public Holidays'!$L$6:$L$38,MATCH($B322,'Public Holidays'!$A$6:$A$38,0))&amp;")",""))</f>
        <v/>
      </c>
      <c r="K322" s="246">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44">
        <f>IF($A322="","",INDEX($B$7:$B$36,INT((ROW()-41)/14)+1)&amp;"")</f>
        <v/>
      </c>
    </row>
    <row r="323">
      <c r="A323" s="244">
        <f>IF(INDEX($A$7:$A$36,INT((ROW()-41)/14)+1)="","",INDEX($A$7:$A$36,INT((ROW()-41)/14)+1))</f>
        <v/>
      </c>
      <c r="B323" s="245">
        <f>IF($A323="","",$B$3+MOD(ROW()-41,14))</f>
        <v/>
      </c>
      <c r="C323" s="244">
        <f>IF($A323="","",TEXT($B323,"ddd"))</f>
        <v/>
      </c>
      <c r="D323" s="242">
        <f>IF($A323="","",SUMIFS('EH Timesheets'!$G$6:$G$1005,'EH Timesheets'!$A$6:$A$1005,$A323,'EH Timesheets'!$B$6:$B$1005,$B323))</f>
        <v/>
      </c>
      <c r="E323" s="242">
        <f>IF($A323="","",SUMIFS('EH Roster'!$G$6:$G$1005,'EH Roster'!$A$6:$A$1005,$A323,'EH Roster'!$B$6:$B$1005,$B323))</f>
        <v/>
      </c>
      <c r="F323" s="242">
        <f>IF($A323="","",$D323-$E323)</f>
        <v/>
      </c>
      <c r="G323" s="242">
        <f>IF($A323="","",IF($L323="",0,SUMPRODUCT(('Shared Calendar'!$K$2:$K$1000&gt;0)*('Shared Calendar'!$K$2:$K$1000&lt;=$B323)*('Shared Calendar'!$J$2:$J$1000&gt;$B323)*ISNUMBER(SEARCH($L323,'Shared Calendar'!$M$2:$M$1000))*('Shared Calendar'!$N$2:$N$1000="Event"),'Shared Calendar'!$L$2:$L$1000)))</f>
        <v/>
      </c>
      <c r="H323" s="246">
        <f>IF(OR($A323="",$L323=""),"",IF(SUMPRODUCT(MAX(('Shared Calendar'!$K$2:$K$1000&gt;0)*('Shared Calendar'!$K$2:$K$1000&lt;=$B323)*('Shared Calendar'!$J$2:$J$1000&gt;$B323)*ISNUMBER(SEARCH($L323,'Shared Calendar'!$M$2:$M$1000))*ROW('Shared Calendar'!$A$2:$A$1000)))=0,"",INDEX('Shared Calendar'!$A:$A,SUMPRODUCT(MAX(('Shared Calendar'!$K$2:$K$1000&gt;0)*('Shared Calendar'!$K$2:$K$1000&lt;=$B323)*('Shared Calendar'!$J$2:$J$1000&gt;$B323)*ISNUMBER(SEARCH($L323,'Shared Calendar'!$M$2:$M$1000))*ROW('Shared Calendar'!$A$2:$A$1000))))))</f>
        <v/>
      </c>
      <c r="I323" s="244">
        <f>IF(OR($A323="",$L323=""),"",IF(SUMPRODUCT(('Shared Calendar'!$K$2:$K$1000&gt;0)*('Shared Calendar'!$K$2:$K$1000&lt;=$B323)*('Shared Calendar'!$J$2:$J$1000&gt;$B323)*ISNUMBER(SEARCH($L323,'Shared Calendar'!$M$2:$M$1000))*('Shared Calendar'!$N$2:$N$1000="Leave"))&gt;0,"Leave",""))</f>
        <v/>
      </c>
      <c r="J323" s="244">
        <f>IF($A323="","",IFERROR(INDEX('Public Holidays'!$C$6:$C$38,MATCH($B323,'Public Holidays'!$A$6:$A$38,0))&amp;" ("&amp;INDEX('Public Holidays'!$L$6:$L$38,MATCH($B323,'Public Holidays'!$A$6:$A$38,0))&amp;")",""))</f>
        <v/>
      </c>
      <c r="K323" s="246">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44">
        <f>IF($A323="","",INDEX($B$7:$B$36,INT((ROW()-41)/14)+1)&amp;"")</f>
        <v/>
      </c>
    </row>
    <row r="324">
      <c r="A324" s="244">
        <f>IF(INDEX($A$7:$A$36,INT((ROW()-41)/14)+1)="","",INDEX($A$7:$A$36,INT((ROW()-41)/14)+1))</f>
        <v/>
      </c>
      <c r="B324" s="245">
        <f>IF($A324="","",$B$3+MOD(ROW()-41,14))</f>
        <v/>
      </c>
      <c r="C324" s="244">
        <f>IF($A324="","",TEXT($B324,"ddd"))</f>
        <v/>
      </c>
      <c r="D324" s="242">
        <f>IF($A324="","",SUMIFS('EH Timesheets'!$G$6:$G$1005,'EH Timesheets'!$A$6:$A$1005,$A324,'EH Timesheets'!$B$6:$B$1005,$B324))</f>
        <v/>
      </c>
      <c r="E324" s="242">
        <f>IF($A324="","",SUMIFS('EH Roster'!$G$6:$G$1005,'EH Roster'!$A$6:$A$1005,$A324,'EH Roster'!$B$6:$B$1005,$B324))</f>
        <v/>
      </c>
      <c r="F324" s="242">
        <f>IF($A324="","",$D324-$E324)</f>
        <v/>
      </c>
      <c r="G324" s="242">
        <f>IF($A324="","",IF($L324="",0,SUMPRODUCT(('Shared Calendar'!$K$2:$K$1000&gt;0)*('Shared Calendar'!$K$2:$K$1000&lt;=$B324)*('Shared Calendar'!$J$2:$J$1000&gt;$B324)*ISNUMBER(SEARCH($L324,'Shared Calendar'!$M$2:$M$1000))*('Shared Calendar'!$N$2:$N$1000="Event"),'Shared Calendar'!$L$2:$L$1000)))</f>
        <v/>
      </c>
      <c r="H324" s="246">
        <f>IF(OR($A324="",$L324=""),"",IF(SUMPRODUCT(MAX(('Shared Calendar'!$K$2:$K$1000&gt;0)*('Shared Calendar'!$K$2:$K$1000&lt;=$B324)*('Shared Calendar'!$J$2:$J$1000&gt;$B324)*ISNUMBER(SEARCH($L324,'Shared Calendar'!$M$2:$M$1000))*ROW('Shared Calendar'!$A$2:$A$1000)))=0,"",INDEX('Shared Calendar'!$A:$A,SUMPRODUCT(MAX(('Shared Calendar'!$K$2:$K$1000&gt;0)*('Shared Calendar'!$K$2:$K$1000&lt;=$B324)*('Shared Calendar'!$J$2:$J$1000&gt;$B324)*ISNUMBER(SEARCH($L324,'Shared Calendar'!$M$2:$M$1000))*ROW('Shared Calendar'!$A$2:$A$1000))))))</f>
        <v/>
      </c>
      <c r="I324" s="244">
        <f>IF(OR($A324="",$L324=""),"",IF(SUMPRODUCT(('Shared Calendar'!$K$2:$K$1000&gt;0)*('Shared Calendar'!$K$2:$K$1000&lt;=$B324)*('Shared Calendar'!$J$2:$J$1000&gt;$B324)*ISNUMBER(SEARCH($L324,'Shared Calendar'!$M$2:$M$1000))*('Shared Calendar'!$N$2:$N$1000="Leave"))&gt;0,"Leave",""))</f>
        <v/>
      </c>
      <c r="J324" s="244">
        <f>IF($A324="","",IFERROR(INDEX('Public Holidays'!$C$6:$C$38,MATCH($B324,'Public Holidays'!$A$6:$A$38,0))&amp;" ("&amp;INDEX('Public Holidays'!$L$6:$L$38,MATCH($B324,'Public Holidays'!$A$6:$A$38,0))&amp;")",""))</f>
        <v/>
      </c>
      <c r="K324" s="246">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44">
        <f>IF($A324="","",INDEX($B$7:$B$36,INT((ROW()-41)/14)+1)&amp;"")</f>
        <v/>
      </c>
    </row>
    <row r="325">
      <c r="A325" s="244">
        <f>IF(INDEX($A$7:$A$36,INT((ROW()-41)/14)+1)="","",INDEX($A$7:$A$36,INT((ROW()-41)/14)+1))</f>
        <v/>
      </c>
      <c r="B325" s="245">
        <f>IF($A325="","",$B$3+MOD(ROW()-41,14))</f>
        <v/>
      </c>
      <c r="C325" s="244">
        <f>IF($A325="","",TEXT($B325,"ddd"))</f>
        <v/>
      </c>
      <c r="D325" s="242">
        <f>IF($A325="","",SUMIFS('EH Timesheets'!$G$6:$G$1005,'EH Timesheets'!$A$6:$A$1005,$A325,'EH Timesheets'!$B$6:$B$1005,$B325))</f>
        <v/>
      </c>
      <c r="E325" s="242">
        <f>IF($A325="","",SUMIFS('EH Roster'!$G$6:$G$1005,'EH Roster'!$A$6:$A$1005,$A325,'EH Roster'!$B$6:$B$1005,$B325))</f>
        <v/>
      </c>
      <c r="F325" s="242">
        <f>IF($A325="","",$D325-$E325)</f>
        <v/>
      </c>
      <c r="G325" s="242">
        <f>IF($A325="","",IF($L325="",0,SUMPRODUCT(('Shared Calendar'!$K$2:$K$1000&gt;0)*('Shared Calendar'!$K$2:$K$1000&lt;=$B325)*('Shared Calendar'!$J$2:$J$1000&gt;$B325)*ISNUMBER(SEARCH($L325,'Shared Calendar'!$M$2:$M$1000))*('Shared Calendar'!$N$2:$N$1000="Event"),'Shared Calendar'!$L$2:$L$1000)))</f>
        <v/>
      </c>
      <c r="H325" s="246">
        <f>IF(OR($A325="",$L325=""),"",IF(SUMPRODUCT(MAX(('Shared Calendar'!$K$2:$K$1000&gt;0)*('Shared Calendar'!$K$2:$K$1000&lt;=$B325)*('Shared Calendar'!$J$2:$J$1000&gt;$B325)*ISNUMBER(SEARCH($L325,'Shared Calendar'!$M$2:$M$1000))*ROW('Shared Calendar'!$A$2:$A$1000)))=0,"",INDEX('Shared Calendar'!$A:$A,SUMPRODUCT(MAX(('Shared Calendar'!$K$2:$K$1000&gt;0)*('Shared Calendar'!$K$2:$K$1000&lt;=$B325)*('Shared Calendar'!$J$2:$J$1000&gt;$B325)*ISNUMBER(SEARCH($L325,'Shared Calendar'!$M$2:$M$1000))*ROW('Shared Calendar'!$A$2:$A$1000))))))</f>
        <v/>
      </c>
      <c r="I325" s="244">
        <f>IF(OR($A325="",$L325=""),"",IF(SUMPRODUCT(('Shared Calendar'!$K$2:$K$1000&gt;0)*('Shared Calendar'!$K$2:$K$1000&lt;=$B325)*('Shared Calendar'!$J$2:$J$1000&gt;$B325)*ISNUMBER(SEARCH($L325,'Shared Calendar'!$M$2:$M$1000))*('Shared Calendar'!$N$2:$N$1000="Leave"))&gt;0,"Leave",""))</f>
        <v/>
      </c>
      <c r="J325" s="244">
        <f>IF($A325="","",IFERROR(INDEX('Public Holidays'!$C$6:$C$38,MATCH($B325,'Public Holidays'!$A$6:$A$38,0))&amp;" ("&amp;INDEX('Public Holidays'!$L$6:$L$38,MATCH($B325,'Public Holidays'!$A$6:$A$38,0))&amp;")",""))</f>
        <v/>
      </c>
      <c r="K325" s="246">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44">
        <f>IF($A325="","",INDEX($B$7:$B$36,INT((ROW()-41)/14)+1)&amp;"")</f>
        <v/>
      </c>
    </row>
    <row r="326">
      <c r="A326" s="244">
        <f>IF(INDEX($A$7:$A$36,INT((ROW()-41)/14)+1)="","",INDEX($A$7:$A$36,INT((ROW()-41)/14)+1))</f>
        <v/>
      </c>
      <c r="B326" s="245">
        <f>IF($A326="","",$B$3+MOD(ROW()-41,14))</f>
        <v/>
      </c>
      <c r="C326" s="244">
        <f>IF($A326="","",TEXT($B326,"ddd"))</f>
        <v/>
      </c>
      <c r="D326" s="242">
        <f>IF($A326="","",SUMIFS('EH Timesheets'!$G$6:$G$1005,'EH Timesheets'!$A$6:$A$1005,$A326,'EH Timesheets'!$B$6:$B$1005,$B326))</f>
        <v/>
      </c>
      <c r="E326" s="242">
        <f>IF($A326="","",SUMIFS('EH Roster'!$G$6:$G$1005,'EH Roster'!$A$6:$A$1005,$A326,'EH Roster'!$B$6:$B$1005,$B326))</f>
        <v/>
      </c>
      <c r="F326" s="242">
        <f>IF($A326="","",$D326-$E326)</f>
        <v/>
      </c>
      <c r="G326" s="242">
        <f>IF($A326="","",IF($L326="",0,SUMPRODUCT(('Shared Calendar'!$K$2:$K$1000&gt;0)*('Shared Calendar'!$K$2:$K$1000&lt;=$B326)*('Shared Calendar'!$J$2:$J$1000&gt;$B326)*ISNUMBER(SEARCH($L326,'Shared Calendar'!$M$2:$M$1000))*('Shared Calendar'!$N$2:$N$1000="Event"),'Shared Calendar'!$L$2:$L$1000)))</f>
        <v/>
      </c>
      <c r="H326" s="246">
        <f>IF(OR($A326="",$L326=""),"",IF(SUMPRODUCT(MAX(('Shared Calendar'!$K$2:$K$1000&gt;0)*('Shared Calendar'!$K$2:$K$1000&lt;=$B326)*('Shared Calendar'!$J$2:$J$1000&gt;$B326)*ISNUMBER(SEARCH($L326,'Shared Calendar'!$M$2:$M$1000))*ROW('Shared Calendar'!$A$2:$A$1000)))=0,"",INDEX('Shared Calendar'!$A:$A,SUMPRODUCT(MAX(('Shared Calendar'!$K$2:$K$1000&gt;0)*('Shared Calendar'!$K$2:$K$1000&lt;=$B326)*('Shared Calendar'!$J$2:$J$1000&gt;$B326)*ISNUMBER(SEARCH($L326,'Shared Calendar'!$M$2:$M$1000))*ROW('Shared Calendar'!$A$2:$A$1000))))))</f>
        <v/>
      </c>
      <c r="I326" s="244">
        <f>IF(OR($A326="",$L326=""),"",IF(SUMPRODUCT(('Shared Calendar'!$K$2:$K$1000&gt;0)*('Shared Calendar'!$K$2:$K$1000&lt;=$B326)*('Shared Calendar'!$J$2:$J$1000&gt;$B326)*ISNUMBER(SEARCH($L326,'Shared Calendar'!$M$2:$M$1000))*('Shared Calendar'!$N$2:$N$1000="Leave"))&gt;0,"Leave",""))</f>
        <v/>
      </c>
      <c r="J326" s="244">
        <f>IF($A326="","",IFERROR(INDEX('Public Holidays'!$C$6:$C$38,MATCH($B326,'Public Holidays'!$A$6:$A$38,0))&amp;" ("&amp;INDEX('Public Holidays'!$L$6:$L$38,MATCH($B326,'Public Holidays'!$A$6:$A$38,0))&amp;")",""))</f>
        <v/>
      </c>
      <c r="K326" s="246">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44">
        <f>IF($A326="","",INDEX($B$7:$B$36,INT((ROW()-41)/14)+1)&amp;"")</f>
        <v/>
      </c>
    </row>
    <row r="327">
      <c r="A327" s="244">
        <f>IF(INDEX($A$7:$A$36,INT((ROW()-41)/14)+1)="","",INDEX($A$7:$A$36,INT((ROW()-41)/14)+1))</f>
        <v/>
      </c>
      <c r="B327" s="245">
        <f>IF($A327="","",$B$3+MOD(ROW()-41,14))</f>
        <v/>
      </c>
      <c r="C327" s="244">
        <f>IF($A327="","",TEXT($B327,"ddd"))</f>
        <v/>
      </c>
      <c r="D327" s="242">
        <f>IF($A327="","",SUMIFS('EH Timesheets'!$G$6:$G$1005,'EH Timesheets'!$A$6:$A$1005,$A327,'EH Timesheets'!$B$6:$B$1005,$B327))</f>
        <v/>
      </c>
      <c r="E327" s="242">
        <f>IF($A327="","",SUMIFS('EH Roster'!$G$6:$G$1005,'EH Roster'!$A$6:$A$1005,$A327,'EH Roster'!$B$6:$B$1005,$B327))</f>
        <v/>
      </c>
      <c r="F327" s="242">
        <f>IF($A327="","",$D327-$E327)</f>
        <v/>
      </c>
      <c r="G327" s="242">
        <f>IF($A327="","",IF($L327="",0,SUMPRODUCT(('Shared Calendar'!$K$2:$K$1000&gt;0)*('Shared Calendar'!$K$2:$K$1000&lt;=$B327)*('Shared Calendar'!$J$2:$J$1000&gt;$B327)*ISNUMBER(SEARCH($L327,'Shared Calendar'!$M$2:$M$1000))*('Shared Calendar'!$N$2:$N$1000="Event"),'Shared Calendar'!$L$2:$L$1000)))</f>
        <v/>
      </c>
      <c r="H327" s="246">
        <f>IF(OR($A327="",$L327=""),"",IF(SUMPRODUCT(MAX(('Shared Calendar'!$K$2:$K$1000&gt;0)*('Shared Calendar'!$K$2:$K$1000&lt;=$B327)*('Shared Calendar'!$J$2:$J$1000&gt;$B327)*ISNUMBER(SEARCH($L327,'Shared Calendar'!$M$2:$M$1000))*ROW('Shared Calendar'!$A$2:$A$1000)))=0,"",INDEX('Shared Calendar'!$A:$A,SUMPRODUCT(MAX(('Shared Calendar'!$K$2:$K$1000&gt;0)*('Shared Calendar'!$K$2:$K$1000&lt;=$B327)*('Shared Calendar'!$J$2:$J$1000&gt;$B327)*ISNUMBER(SEARCH($L327,'Shared Calendar'!$M$2:$M$1000))*ROW('Shared Calendar'!$A$2:$A$1000))))))</f>
        <v/>
      </c>
      <c r="I327" s="244">
        <f>IF(OR($A327="",$L327=""),"",IF(SUMPRODUCT(('Shared Calendar'!$K$2:$K$1000&gt;0)*('Shared Calendar'!$K$2:$K$1000&lt;=$B327)*('Shared Calendar'!$J$2:$J$1000&gt;$B327)*ISNUMBER(SEARCH($L327,'Shared Calendar'!$M$2:$M$1000))*('Shared Calendar'!$N$2:$N$1000="Leave"))&gt;0,"Leave",""))</f>
        <v/>
      </c>
      <c r="J327" s="244">
        <f>IF($A327="","",IFERROR(INDEX('Public Holidays'!$C$6:$C$38,MATCH($B327,'Public Holidays'!$A$6:$A$38,0))&amp;" ("&amp;INDEX('Public Holidays'!$L$6:$L$38,MATCH($B327,'Public Holidays'!$A$6:$A$38,0))&amp;")",""))</f>
        <v/>
      </c>
      <c r="K327" s="246">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44">
        <f>IF($A327="","",INDEX($B$7:$B$36,INT((ROW()-41)/14)+1)&amp;"")</f>
        <v/>
      </c>
    </row>
    <row r="328">
      <c r="A328" s="244">
        <f>IF(INDEX($A$7:$A$36,INT((ROW()-41)/14)+1)="","",INDEX($A$7:$A$36,INT((ROW()-41)/14)+1))</f>
        <v/>
      </c>
      <c r="B328" s="245">
        <f>IF($A328="","",$B$3+MOD(ROW()-41,14))</f>
        <v/>
      </c>
      <c r="C328" s="244">
        <f>IF($A328="","",TEXT($B328,"ddd"))</f>
        <v/>
      </c>
      <c r="D328" s="242">
        <f>IF($A328="","",SUMIFS('EH Timesheets'!$G$6:$G$1005,'EH Timesheets'!$A$6:$A$1005,$A328,'EH Timesheets'!$B$6:$B$1005,$B328))</f>
        <v/>
      </c>
      <c r="E328" s="242">
        <f>IF($A328="","",SUMIFS('EH Roster'!$G$6:$G$1005,'EH Roster'!$A$6:$A$1005,$A328,'EH Roster'!$B$6:$B$1005,$B328))</f>
        <v/>
      </c>
      <c r="F328" s="242">
        <f>IF($A328="","",$D328-$E328)</f>
        <v/>
      </c>
      <c r="G328" s="242">
        <f>IF($A328="","",IF($L328="",0,SUMPRODUCT(('Shared Calendar'!$K$2:$K$1000&gt;0)*('Shared Calendar'!$K$2:$K$1000&lt;=$B328)*('Shared Calendar'!$J$2:$J$1000&gt;$B328)*ISNUMBER(SEARCH($L328,'Shared Calendar'!$M$2:$M$1000))*('Shared Calendar'!$N$2:$N$1000="Event"),'Shared Calendar'!$L$2:$L$1000)))</f>
        <v/>
      </c>
      <c r="H328" s="246">
        <f>IF(OR($A328="",$L328=""),"",IF(SUMPRODUCT(MAX(('Shared Calendar'!$K$2:$K$1000&gt;0)*('Shared Calendar'!$K$2:$K$1000&lt;=$B328)*('Shared Calendar'!$J$2:$J$1000&gt;$B328)*ISNUMBER(SEARCH($L328,'Shared Calendar'!$M$2:$M$1000))*ROW('Shared Calendar'!$A$2:$A$1000)))=0,"",INDEX('Shared Calendar'!$A:$A,SUMPRODUCT(MAX(('Shared Calendar'!$K$2:$K$1000&gt;0)*('Shared Calendar'!$K$2:$K$1000&lt;=$B328)*('Shared Calendar'!$J$2:$J$1000&gt;$B328)*ISNUMBER(SEARCH($L328,'Shared Calendar'!$M$2:$M$1000))*ROW('Shared Calendar'!$A$2:$A$1000))))))</f>
        <v/>
      </c>
      <c r="I328" s="244">
        <f>IF(OR($A328="",$L328=""),"",IF(SUMPRODUCT(('Shared Calendar'!$K$2:$K$1000&gt;0)*('Shared Calendar'!$K$2:$K$1000&lt;=$B328)*('Shared Calendar'!$J$2:$J$1000&gt;$B328)*ISNUMBER(SEARCH($L328,'Shared Calendar'!$M$2:$M$1000))*('Shared Calendar'!$N$2:$N$1000="Leave"))&gt;0,"Leave",""))</f>
        <v/>
      </c>
      <c r="J328" s="244">
        <f>IF($A328="","",IFERROR(INDEX('Public Holidays'!$C$6:$C$38,MATCH($B328,'Public Holidays'!$A$6:$A$38,0))&amp;" ("&amp;INDEX('Public Holidays'!$L$6:$L$38,MATCH($B328,'Public Holidays'!$A$6:$A$38,0))&amp;")",""))</f>
        <v/>
      </c>
      <c r="K328" s="246">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44">
        <f>IF($A328="","",INDEX($B$7:$B$36,INT((ROW()-41)/14)+1)&amp;"")</f>
        <v/>
      </c>
    </row>
    <row r="329">
      <c r="A329" s="244">
        <f>IF(INDEX($A$7:$A$36,INT((ROW()-41)/14)+1)="","",INDEX($A$7:$A$36,INT((ROW()-41)/14)+1))</f>
        <v/>
      </c>
      <c r="B329" s="245">
        <f>IF($A329="","",$B$3+MOD(ROW()-41,14))</f>
        <v/>
      </c>
      <c r="C329" s="244">
        <f>IF($A329="","",TEXT($B329,"ddd"))</f>
        <v/>
      </c>
      <c r="D329" s="242">
        <f>IF($A329="","",SUMIFS('EH Timesheets'!$G$6:$G$1005,'EH Timesheets'!$A$6:$A$1005,$A329,'EH Timesheets'!$B$6:$B$1005,$B329))</f>
        <v/>
      </c>
      <c r="E329" s="242">
        <f>IF($A329="","",SUMIFS('EH Roster'!$G$6:$G$1005,'EH Roster'!$A$6:$A$1005,$A329,'EH Roster'!$B$6:$B$1005,$B329))</f>
        <v/>
      </c>
      <c r="F329" s="242">
        <f>IF($A329="","",$D329-$E329)</f>
        <v/>
      </c>
      <c r="G329" s="242">
        <f>IF($A329="","",IF($L329="",0,SUMPRODUCT(('Shared Calendar'!$K$2:$K$1000&gt;0)*('Shared Calendar'!$K$2:$K$1000&lt;=$B329)*('Shared Calendar'!$J$2:$J$1000&gt;$B329)*ISNUMBER(SEARCH($L329,'Shared Calendar'!$M$2:$M$1000))*('Shared Calendar'!$N$2:$N$1000="Event"),'Shared Calendar'!$L$2:$L$1000)))</f>
        <v/>
      </c>
      <c r="H329" s="246">
        <f>IF(OR($A329="",$L329=""),"",IF(SUMPRODUCT(MAX(('Shared Calendar'!$K$2:$K$1000&gt;0)*('Shared Calendar'!$K$2:$K$1000&lt;=$B329)*('Shared Calendar'!$J$2:$J$1000&gt;$B329)*ISNUMBER(SEARCH($L329,'Shared Calendar'!$M$2:$M$1000))*ROW('Shared Calendar'!$A$2:$A$1000)))=0,"",INDEX('Shared Calendar'!$A:$A,SUMPRODUCT(MAX(('Shared Calendar'!$K$2:$K$1000&gt;0)*('Shared Calendar'!$K$2:$K$1000&lt;=$B329)*('Shared Calendar'!$J$2:$J$1000&gt;$B329)*ISNUMBER(SEARCH($L329,'Shared Calendar'!$M$2:$M$1000))*ROW('Shared Calendar'!$A$2:$A$1000))))))</f>
        <v/>
      </c>
      <c r="I329" s="244">
        <f>IF(OR($A329="",$L329=""),"",IF(SUMPRODUCT(('Shared Calendar'!$K$2:$K$1000&gt;0)*('Shared Calendar'!$K$2:$K$1000&lt;=$B329)*('Shared Calendar'!$J$2:$J$1000&gt;$B329)*ISNUMBER(SEARCH($L329,'Shared Calendar'!$M$2:$M$1000))*('Shared Calendar'!$N$2:$N$1000="Leave"))&gt;0,"Leave",""))</f>
        <v/>
      </c>
      <c r="J329" s="244">
        <f>IF($A329="","",IFERROR(INDEX('Public Holidays'!$C$6:$C$38,MATCH($B329,'Public Holidays'!$A$6:$A$38,0))&amp;" ("&amp;INDEX('Public Holidays'!$L$6:$L$38,MATCH($B329,'Public Holidays'!$A$6:$A$38,0))&amp;")",""))</f>
        <v/>
      </c>
      <c r="K329" s="246">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44">
        <f>IF($A329="","",INDEX($B$7:$B$36,INT((ROW()-41)/14)+1)&amp;"")</f>
        <v/>
      </c>
    </row>
    <row r="330">
      <c r="A330" s="244">
        <f>IF(INDEX($A$7:$A$36,INT((ROW()-41)/14)+1)="","",INDEX($A$7:$A$36,INT((ROW()-41)/14)+1))</f>
        <v/>
      </c>
      <c r="B330" s="245">
        <f>IF($A330="","",$B$3+MOD(ROW()-41,14))</f>
        <v/>
      </c>
      <c r="C330" s="244">
        <f>IF($A330="","",TEXT($B330,"ddd"))</f>
        <v/>
      </c>
      <c r="D330" s="242">
        <f>IF($A330="","",SUMIFS('EH Timesheets'!$G$6:$G$1005,'EH Timesheets'!$A$6:$A$1005,$A330,'EH Timesheets'!$B$6:$B$1005,$B330))</f>
        <v/>
      </c>
      <c r="E330" s="242">
        <f>IF($A330="","",SUMIFS('EH Roster'!$G$6:$G$1005,'EH Roster'!$A$6:$A$1005,$A330,'EH Roster'!$B$6:$B$1005,$B330))</f>
        <v/>
      </c>
      <c r="F330" s="242">
        <f>IF($A330="","",$D330-$E330)</f>
        <v/>
      </c>
      <c r="G330" s="242">
        <f>IF($A330="","",IF($L330="",0,SUMPRODUCT(('Shared Calendar'!$K$2:$K$1000&gt;0)*('Shared Calendar'!$K$2:$K$1000&lt;=$B330)*('Shared Calendar'!$J$2:$J$1000&gt;$B330)*ISNUMBER(SEARCH($L330,'Shared Calendar'!$M$2:$M$1000))*('Shared Calendar'!$N$2:$N$1000="Event"),'Shared Calendar'!$L$2:$L$1000)))</f>
        <v/>
      </c>
      <c r="H330" s="246">
        <f>IF(OR($A330="",$L330=""),"",IF(SUMPRODUCT(MAX(('Shared Calendar'!$K$2:$K$1000&gt;0)*('Shared Calendar'!$K$2:$K$1000&lt;=$B330)*('Shared Calendar'!$J$2:$J$1000&gt;$B330)*ISNUMBER(SEARCH($L330,'Shared Calendar'!$M$2:$M$1000))*ROW('Shared Calendar'!$A$2:$A$1000)))=0,"",INDEX('Shared Calendar'!$A:$A,SUMPRODUCT(MAX(('Shared Calendar'!$K$2:$K$1000&gt;0)*('Shared Calendar'!$K$2:$K$1000&lt;=$B330)*('Shared Calendar'!$J$2:$J$1000&gt;$B330)*ISNUMBER(SEARCH($L330,'Shared Calendar'!$M$2:$M$1000))*ROW('Shared Calendar'!$A$2:$A$1000))))))</f>
        <v/>
      </c>
      <c r="I330" s="244">
        <f>IF(OR($A330="",$L330=""),"",IF(SUMPRODUCT(('Shared Calendar'!$K$2:$K$1000&gt;0)*('Shared Calendar'!$K$2:$K$1000&lt;=$B330)*('Shared Calendar'!$J$2:$J$1000&gt;$B330)*ISNUMBER(SEARCH($L330,'Shared Calendar'!$M$2:$M$1000))*('Shared Calendar'!$N$2:$N$1000="Leave"))&gt;0,"Leave",""))</f>
        <v/>
      </c>
      <c r="J330" s="244">
        <f>IF($A330="","",IFERROR(INDEX('Public Holidays'!$C$6:$C$38,MATCH($B330,'Public Holidays'!$A$6:$A$38,0))&amp;" ("&amp;INDEX('Public Holidays'!$L$6:$L$38,MATCH($B330,'Public Holidays'!$A$6:$A$38,0))&amp;")",""))</f>
        <v/>
      </c>
      <c r="K330" s="246">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44">
        <f>IF($A330="","",INDEX($B$7:$B$36,INT((ROW()-41)/14)+1)&amp;"")</f>
        <v/>
      </c>
    </row>
    <row r="331">
      <c r="A331" s="244">
        <f>IF(INDEX($A$7:$A$36,INT((ROW()-41)/14)+1)="","",INDEX($A$7:$A$36,INT((ROW()-41)/14)+1))</f>
        <v/>
      </c>
      <c r="B331" s="245">
        <f>IF($A331="","",$B$3+MOD(ROW()-41,14))</f>
        <v/>
      </c>
      <c r="C331" s="244">
        <f>IF($A331="","",TEXT($B331,"ddd"))</f>
        <v/>
      </c>
      <c r="D331" s="242">
        <f>IF($A331="","",SUMIFS('EH Timesheets'!$G$6:$G$1005,'EH Timesheets'!$A$6:$A$1005,$A331,'EH Timesheets'!$B$6:$B$1005,$B331))</f>
        <v/>
      </c>
      <c r="E331" s="242">
        <f>IF($A331="","",SUMIFS('EH Roster'!$G$6:$G$1005,'EH Roster'!$A$6:$A$1005,$A331,'EH Roster'!$B$6:$B$1005,$B331))</f>
        <v/>
      </c>
      <c r="F331" s="242">
        <f>IF($A331="","",$D331-$E331)</f>
        <v/>
      </c>
      <c r="G331" s="242">
        <f>IF($A331="","",IF($L331="",0,SUMPRODUCT(('Shared Calendar'!$K$2:$K$1000&gt;0)*('Shared Calendar'!$K$2:$K$1000&lt;=$B331)*('Shared Calendar'!$J$2:$J$1000&gt;$B331)*ISNUMBER(SEARCH($L331,'Shared Calendar'!$M$2:$M$1000))*('Shared Calendar'!$N$2:$N$1000="Event"),'Shared Calendar'!$L$2:$L$1000)))</f>
        <v/>
      </c>
      <c r="H331" s="246">
        <f>IF(OR($A331="",$L331=""),"",IF(SUMPRODUCT(MAX(('Shared Calendar'!$K$2:$K$1000&gt;0)*('Shared Calendar'!$K$2:$K$1000&lt;=$B331)*('Shared Calendar'!$J$2:$J$1000&gt;$B331)*ISNUMBER(SEARCH($L331,'Shared Calendar'!$M$2:$M$1000))*ROW('Shared Calendar'!$A$2:$A$1000)))=0,"",INDEX('Shared Calendar'!$A:$A,SUMPRODUCT(MAX(('Shared Calendar'!$K$2:$K$1000&gt;0)*('Shared Calendar'!$K$2:$K$1000&lt;=$B331)*('Shared Calendar'!$J$2:$J$1000&gt;$B331)*ISNUMBER(SEARCH($L331,'Shared Calendar'!$M$2:$M$1000))*ROW('Shared Calendar'!$A$2:$A$1000))))))</f>
        <v/>
      </c>
      <c r="I331" s="244">
        <f>IF(OR($A331="",$L331=""),"",IF(SUMPRODUCT(('Shared Calendar'!$K$2:$K$1000&gt;0)*('Shared Calendar'!$K$2:$K$1000&lt;=$B331)*('Shared Calendar'!$J$2:$J$1000&gt;$B331)*ISNUMBER(SEARCH($L331,'Shared Calendar'!$M$2:$M$1000))*('Shared Calendar'!$N$2:$N$1000="Leave"))&gt;0,"Leave",""))</f>
        <v/>
      </c>
      <c r="J331" s="244">
        <f>IF($A331="","",IFERROR(INDEX('Public Holidays'!$C$6:$C$38,MATCH($B331,'Public Holidays'!$A$6:$A$38,0))&amp;" ("&amp;INDEX('Public Holidays'!$L$6:$L$38,MATCH($B331,'Public Holidays'!$A$6:$A$38,0))&amp;")",""))</f>
        <v/>
      </c>
      <c r="K331" s="246">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44">
        <f>IF($A331="","",INDEX($B$7:$B$36,INT((ROW()-41)/14)+1)&amp;"")</f>
        <v/>
      </c>
    </row>
    <row r="332">
      <c r="A332" s="244">
        <f>IF(INDEX($A$7:$A$36,INT((ROW()-41)/14)+1)="","",INDEX($A$7:$A$36,INT((ROW()-41)/14)+1))</f>
        <v/>
      </c>
      <c r="B332" s="245">
        <f>IF($A332="","",$B$3+MOD(ROW()-41,14))</f>
        <v/>
      </c>
      <c r="C332" s="244">
        <f>IF($A332="","",TEXT($B332,"ddd"))</f>
        <v/>
      </c>
      <c r="D332" s="242">
        <f>IF($A332="","",SUMIFS('EH Timesheets'!$G$6:$G$1005,'EH Timesheets'!$A$6:$A$1005,$A332,'EH Timesheets'!$B$6:$B$1005,$B332))</f>
        <v/>
      </c>
      <c r="E332" s="242">
        <f>IF($A332="","",SUMIFS('EH Roster'!$G$6:$G$1005,'EH Roster'!$A$6:$A$1005,$A332,'EH Roster'!$B$6:$B$1005,$B332))</f>
        <v/>
      </c>
      <c r="F332" s="242">
        <f>IF($A332="","",$D332-$E332)</f>
        <v/>
      </c>
      <c r="G332" s="242">
        <f>IF($A332="","",IF($L332="",0,SUMPRODUCT(('Shared Calendar'!$K$2:$K$1000&gt;0)*('Shared Calendar'!$K$2:$K$1000&lt;=$B332)*('Shared Calendar'!$J$2:$J$1000&gt;$B332)*ISNUMBER(SEARCH($L332,'Shared Calendar'!$M$2:$M$1000))*('Shared Calendar'!$N$2:$N$1000="Event"),'Shared Calendar'!$L$2:$L$1000)))</f>
        <v/>
      </c>
      <c r="H332" s="246">
        <f>IF(OR($A332="",$L332=""),"",IF(SUMPRODUCT(MAX(('Shared Calendar'!$K$2:$K$1000&gt;0)*('Shared Calendar'!$K$2:$K$1000&lt;=$B332)*('Shared Calendar'!$J$2:$J$1000&gt;$B332)*ISNUMBER(SEARCH($L332,'Shared Calendar'!$M$2:$M$1000))*ROW('Shared Calendar'!$A$2:$A$1000)))=0,"",INDEX('Shared Calendar'!$A:$A,SUMPRODUCT(MAX(('Shared Calendar'!$K$2:$K$1000&gt;0)*('Shared Calendar'!$K$2:$K$1000&lt;=$B332)*('Shared Calendar'!$J$2:$J$1000&gt;$B332)*ISNUMBER(SEARCH($L332,'Shared Calendar'!$M$2:$M$1000))*ROW('Shared Calendar'!$A$2:$A$1000))))))</f>
        <v/>
      </c>
      <c r="I332" s="244">
        <f>IF(OR($A332="",$L332=""),"",IF(SUMPRODUCT(('Shared Calendar'!$K$2:$K$1000&gt;0)*('Shared Calendar'!$K$2:$K$1000&lt;=$B332)*('Shared Calendar'!$J$2:$J$1000&gt;$B332)*ISNUMBER(SEARCH($L332,'Shared Calendar'!$M$2:$M$1000))*('Shared Calendar'!$N$2:$N$1000="Leave"))&gt;0,"Leave",""))</f>
        <v/>
      </c>
      <c r="J332" s="244">
        <f>IF($A332="","",IFERROR(INDEX('Public Holidays'!$C$6:$C$38,MATCH($B332,'Public Holidays'!$A$6:$A$38,0))&amp;" ("&amp;INDEX('Public Holidays'!$L$6:$L$38,MATCH($B332,'Public Holidays'!$A$6:$A$38,0))&amp;")",""))</f>
        <v/>
      </c>
      <c r="K332" s="246">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44">
        <f>IF($A332="","",INDEX($B$7:$B$36,INT((ROW()-41)/14)+1)&amp;"")</f>
        <v/>
      </c>
    </row>
    <row r="333">
      <c r="A333" s="244">
        <f>IF(INDEX($A$7:$A$36,INT((ROW()-41)/14)+1)="","",INDEX($A$7:$A$36,INT((ROW()-41)/14)+1))</f>
        <v/>
      </c>
      <c r="B333" s="245">
        <f>IF($A333="","",$B$3+MOD(ROW()-41,14))</f>
        <v/>
      </c>
      <c r="C333" s="244">
        <f>IF($A333="","",TEXT($B333,"ddd"))</f>
        <v/>
      </c>
      <c r="D333" s="242">
        <f>IF($A333="","",SUMIFS('EH Timesheets'!$G$6:$G$1005,'EH Timesheets'!$A$6:$A$1005,$A333,'EH Timesheets'!$B$6:$B$1005,$B333))</f>
        <v/>
      </c>
      <c r="E333" s="242">
        <f>IF($A333="","",SUMIFS('EH Roster'!$G$6:$G$1005,'EH Roster'!$A$6:$A$1005,$A333,'EH Roster'!$B$6:$B$1005,$B333))</f>
        <v/>
      </c>
      <c r="F333" s="242">
        <f>IF($A333="","",$D333-$E333)</f>
        <v/>
      </c>
      <c r="G333" s="242">
        <f>IF($A333="","",IF($L333="",0,SUMPRODUCT(('Shared Calendar'!$K$2:$K$1000&gt;0)*('Shared Calendar'!$K$2:$K$1000&lt;=$B333)*('Shared Calendar'!$J$2:$J$1000&gt;$B333)*ISNUMBER(SEARCH($L333,'Shared Calendar'!$M$2:$M$1000))*('Shared Calendar'!$N$2:$N$1000="Event"),'Shared Calendar'!$L$2:$L$1000)))</f>
        <v/>
      </c>
      <c r="H333" s="246">
        <f>IF(OR($A333="",$L333=""),"",IF(SUMPRODUCT(MAX(('Shared Calendar'!$K$2:$K$1000&gt;0)*('Shared Calendar'!$K$2:$K$1000&lt;=$B333)*('Shared Calendar'!$J$2:$J$1000&gt;$B333)*ISNUMBER(SEARCH($L333,'Shared Calendar'!$M$2:$M$1000))*ROW('Shared Calendar'!$A$2:$A$1000)))=0,"",INDEX('Shared Calendar'!$A:$A,SUMPRODUCT(MAX(('Shared Calendar'!$K$2:$K$1000&gt;0)*('Shared Calendar'!$K$2:$K$1000&lt;=$B333)*('Shared Calendar'!$J$2:$J$1000&gt;$B333)*ISNUMBER(SEARCH($L333,'Shared Calendar'!$M$2:$M$1000))*ROW('Shared Calendar'!$A$2:$A$1000))))))</f>
        <v/>
      </c>
      <c r="I333" s="244">
        <f>IF(OR($A333="",$L333=""),"",IF(SUMPRODUCT(('Shared Calendar'!$K$2:$K$1000&gt;0)*('Shared Calendar'!$K$2:$K$1000&lt;=$B333)*('Shared Calendar'!$J$2:$J$1000&gt;$B333)*ISNUMBER(SEARCH($L333,'Shared Calendar'!$M$2:$M$1000))*('Shared Calendar'!$N$2:$N$1000="Leave"))&gt;0,"Leave",""))</f>
        <v/>
      </c>
      <c r="J333" s="244">
        <f>IF($A333="","",IFERROR(INDEX('Public Holidays'!$C$6:$C$38,MATCH($B333,'Public Holidays'!$A$6:$A$38,0))&amp;" ("&amp;INDEX('Public Holidays'!$L$6:$L$38,MATCH($B333,'Public Holidays'!$A$6:$A$38,0))&amp;")",""))</f>
        <v/>
      </c>
      <c r="K333" s="246">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44">
        <f>IF($A333="","",INDEX($B$7:$B$36,INT((ROW()-41)/14)+1)&amp;"")</f>
        <v/>
      </c>
    </row>
    <row r="334">
      <c r="A334" s="244">
        <f>IF(INDEX($A$7:$A$36,INT((ROW()-41)/14)+1)="","",INDEX($A$7:$A$36,INT((ROW()-41)/14)+1))</f>
        <v/>
      </c>
      <c r="B334" s="245">
        <f>IF($A334="","",$B$3+MOD(ROW()-41,14))</f>
        <v/>
      </c>
      <c r="C334" s="244">
        <f>IF($A334="","",TEXT($B334,"ddd"))</f>
        <v/>
      </c>
      <c r="D334" s="242">
        <f>IF($A334="","",SUMIFS('EH Timesheets'!$G$6:$G$1005,'EH Timesheets'!$A$6:$A$1005,$A334,'EH Timesheets'!$B$6:$B$1005,$B334))</f>
        <v/>
      </c>
      <c r="E334" s="242">
        <f>IF($A334="","",SUMIFS('EH Roster'!$G$6:$G$1005,'EH Roster'!$A$6:$A$1005,$A334,'EH Roster'!$B$6:$B$1005,$B334))</f>
        <v/>
      </c>
      <c r="F334" s="242">
        <f>IF($A334="","",$D334-$E334)</f>
        <v/>
      </c>
      <c r="G334" s="242">
        <f>IF($A334="","",IF($L334="",0,SUMPRODUCT(('Shared Calendar'!$K$2:$K$1000&gt;0)*('Shared Calendar'!$K$2:$K$1000&lt;=$B334)*('Shared Calendar'!$J$2:$J$1000&gt;$B334)*ISNUMBER(SEARCH($L334,'Shared Calendar'!$M$2:$M$1000))*('Shared Calendar'!$N$2:$N$1000="Event"),'Shared Calendar'!$L$2:$L$1000)))</f>
        <v/>
      </c>
      <c r="H334" s="246">
        <f>IF(OR($A334="",$L334=""),"",IF(SUMPRODUCT(MAX(('Shared Calendar'!$K$2:$K$1000&gt;0)*('Shared Calendar'!$K$2:$K$1000&lt;=$B334)*('Shared Calendar'!$J$2:$J$1000&gt;$B334)*ISNUMBER(SEARCH($L334,'Shared Calendar'!$M$2:$M$1000))*ROW('Shared Calendar'!$A$2:$A$1000)))=0,"",INDEX('Shared Calendar'!$A:$A,SUMPRODUCT(MAX(('Shared Calendar'!$K$2:$K$1000&gt;0)*('Shared Calendar'!$K$2:$K$1000&lt;=$B334)*('Shared Calendar'!$J$2:$J$1000&gt;$B334)*ISNUMBER(SEARCH($L334,'Shared Calendar'!$M$2:$M$1000))*ROW('Shared Calendar'!$A$2:$A$1000))))))</f>
        <v/>
      </c>
      <c r="I334" s="244">
        <f>IF(OR($A334="",$L334=""),"",IF(SUMPRODUCT(('Shared Calendar'!$K$2:$K$1000&gt;0)*('Shared Calendar'!$K$2:$K$1000&lt;=$B334)*('Shared Calendar'!$J$2:$J$1000&gt;$B334)*ISNUMBER(SEARCH($L334,'Shared Calendar'!$M$2:$M$1000))*('Shared Calendar'!$N$2:$N$1000="Leave"))&gt;0,"Leave",""))</f>
        <v/>
      </c>
      <c r="J334" s="244">
        <f>IF($A334="","",IFERROR(INDEX('Public Holidays'!$C$6:$C$38,MATCH($B334,'Public Holidays'!$A$6:$A$38,0))&amp;" ("&amp;INDEX('Public Holidays'!$L$6:$L$38,MATCH($B334,'Public Holidays'!$A$6:$A$38,0))&amp;")",""))</f>
        <v/>
      </c>
      <c r="K334" s="246">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44">
        <f>IF($A334="","",INDEX($B$7:$B$36,INT((ROW()-41)/14)+1)&amp;"")</f>
        <v/>
      </c>
    </row>
    <row r="335">
      <c r="A335" s="244">
        <f>IF(INDEX($A$7:$A$36,INT((ROW()-41)/14)+1)="","",INDEX($A$7:$A$36,INT((ROW()-41)/14)+1))</f>
        <v/>
      </c>
      <c r="B335" s="245">
        <f>IF($A335="","",$B$3+MOD(ROW()-41,14))</f>
        <v/>
      </c>
      <c r="C335" s="244">
        <f>IF($A335="","",TEXT($B335,"ddd"))</f>
        <v/>
      </c>
      <c r="D335" s="242">
        <f>IF($A335="","",SUMIFS('EH Timesheets'!$G$6:$G$1005,'EH Timesheets'!$A$6:$A$1005,$A335,'EH Timesheets'!$B$6:$B$1005,$B335))</f>
        <v/>
      </c>
      <c r="E335" s="242">
        <f>IF($A335="","",SUMIFS('EH Roster'!$G$6:$G$1005,'EH Roster'!$A$6:$A$1005,$A335,'EH Roster'!$B$6:$B$1005,$B335))</f>
        <v/>
      </c>
      <c r="F335" s="242">
        <f>IF($A335="","",$D335-$E335)</f>
        <v/>
      </c>
      <c r="G335" s="242">
        <f>IF($A335="","",IF($L335="",0,SUMPRODUCT(('Shared Calendar'!$K$2:$K$1000&gt;0)*('Shared Calendar'!$K$2:$K$1000&lt;=$B335)*('Shared Calendar'!$J$2:$J$1000&gt;$B335)*ISNUMBER(SEARCH($L335,'Shared Calendar'!$M$2:$M$1000))*('Shared Calendar'!$N$2:$N$1000="Event"),'Shared Calendar'!$L$2:$L$1000)))</f>
        <v/>
      </c>
      <c r="H335" s="246">
        <f>IF(OR($A335="",$L335=""),"",IF(SUMPRODUCT(MAX(('Shared Calendar'!$K$2:$K$1000&gt;0)*('Shared Calendar'!$K$2:$K$1000&lt;=$B335)*('Shared Calendar'!$J$2:$J$1000&gt;$B335)*ISNUMBER(SEARCH($L335,'Shared Calendar'!$M$2:$M$1000))*ROW('Shared Calendar'!$A$2:$A$1000)))=0,"",INDEX('Shared Calendar'!$A:$A,SUMPRODUCT(MAX(('Shared Calendar'!$K$2:$K$1000&gt;0)*('Shared Calendar'!$K$2:$K$1000&lt;=$B335)*('Shared Calendar'!$J$2:$J$1000&gt;$B335)*ISNUMBER(SEARCH($L335,'Shared Calendar'!$M$2:$M$1000))*ROW('Shared Calendar'!$A$2:$A$1000))))))</f>
        <v/>
      </c>
      <c r="I335" s="244">
        <f>IF(OR($A335="",$L335=""),"",IF(SUMPRODUCT(('Shared Calendar'!$K$2:$K$1000&gt;0)*('Shared Calendar'!$K$2:$K$1000&lt;=$B335)*('Shared Calendar'!$J$2:$J$1000&gt;$B335)*ISNUMBER(SEARCH($L335,'Shared Calendar'!$M$2:$M$1000))*('Shared Calendar'!$N$2:$N$1000="Leave"))&gt;0,"Leave",""))</f>
        <v/>
      </c>
      <c r="J335" s="244">
        <f>IF($A335="","",IFERROR(INDEX('Public Holidays'!$C$6:$C$38,MATCH($B335,'Public Holidays'!$A$6:$A$38,0))&amp;" ("&amp;INDEX('Public Holidays'!$L$6:$L$38,MATCH($B335,'Public Holidays'!$A$6:$A$38,0))&amp;")",""))</f>
        <v/>
      </c>
      <c r="K335" s="246">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44">
        <f>IF($A335="","",INDEX($B$7:$B$36,INT((ROW()-41)/14)+1)&amp;"")</f>
        <v/>
      </c>
    </row>
    <row r="336">
      <c r="A336" s="244">
        <f>IF(INDEX($A$7:$A$36,INT((ROW()-41)/14)+1)="","",INDEX($A$7:$A$36,INT((ROW()-41)/14)+1))</f>
        <v/>
      </c>
      <c r="B336" s="245">
        <f>IF($A336="","",$B$3+MOD(ROW()-41,14))</f>
        <v/>
      </c>
      <c r="C336" s="244">
        <f>IF($A336="","",TEXT($B336,"ddd"))</f>
        <v/>
      </c>
      <c r="D336" s="242">
        <f>IF($A336="","",SUMIFS('EH Timesheets'!$G$6:$G$1005,'EH Timesheets'!$A$6:$A$1005,$A336,'EH Timesheets'!$B$6:$B$1005,$B336))</f>
        <v/>
      </c>
      <c r="E336" s="242">
        <f>IF($A336="","",SUMIFS('EH Roster'!$G$6:$G$1005,'EH Roster'!$A$6:$A$1005,$A336,'EH Roster'!$B$6:$B$1005,$B336))</f>
        <v/>
      </c>
      <c r="F336" s="242">
        <f>IF($A336="","",$D336-$E336)</f>
        <v/>
      </c>
      <c r="G336" s="242">
        <f>IF($A336="","",IF($L336="",0,SUMPRODUCT(('Shared Calendar'!$K$2:$K$1000&gt;0)*('Shared Calendar'!$K$2:$K$1000&lt;=$B336)*('Shared Calendar'!$J$2:$J$1000&gt;$B336)*ISNUMBER(SEARCH($L336,'Shared Calendar'!$M$2:$M$1000))*('Shared Calendar'!$N$2:$N$1000="Event"),'Shared Calendar'!$L$2:$L$1000)))</f>
        <v/>
      </c>
      <c r="H336" s="246">
        <f>IF(OR($A336="",$L336=""),"",IF(SUMPRODUCT(MAX(('Shared Calendar'!$K$2:$K$1000&gt;0)*('Shared Calendar'!$K$2:$K$1000&lt;=$B336)*('Shared Calendar'!$J$2:$J$1000&gt;$B336)*ISNUMBER(SEARCH($L336,'Shared Calendar'!$M$2:$M$1000))*ROW('Shared Calendar'!$A$2:$A$1000)))=0,"",INDEX('Shared Calendar'!$A:$A,SUMPRODUCT(MAX(('Shared Calendar'!$K$2:$K$1000&gt;0)*('Shared Calendar'!$K$2:$K$1000&lt;=$B336)*('Shared Calendar'!$J$2:$J$1000&gt;$B336)*ISNUMBER(SEARCH($L336,'Shared Calendar'!$M$2:$M$1000))*ROW('Shared Calendar'!$A$2:$A$1000))))))</f>
        <v/>
      </c>
      <c r="I336" s="244">
        <f>IF(OR($A336="",$L336=""),"",IF(SUMPRODUCT(('Shared Calendar'!$K$2:$K$1000&gt;0)*('Shared Calendar'!$K$2:$K$1000&lt;=$B336)*('Shared Calendar'!$J$2:$J$1000&gt;$B336)*ISNUMBER(SEARCH($L336,'Shared Calendar'!$M$2:$M$1000))*('Shared Calendar'!$N$2:$N$1000="Leave"))&gt;0,"Leave",""))</f>
        <v/>
      </c>
      <c r="J336" s="244">
        <f>IF($A336="","",IFERROR(INDEX('Public Holidays'!$C$6:$C$38,MATCH($B336,'Public Holidays'!$A$6:$A$38,0))&amp;" ("&amp;INDEX('Public Holidays'!$L$6:$L$38,MATCH($B336,'Public Holidays'!$A$6:$A$38,0))&amp;")",""))</f>
        <v/>
      </c>
      <c r="K336" s="246">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44">
        <f>IF($A336="","",INDEX($B$7:$B$36,INT((ROW()-41)/14)+1)&amp;"")</f>
        <v/>
      </c>
    </row>
    <row r="337">
      <c r="A337" s="244">
        <f>IF(INDEX($A$7:$A$36,INT((ROW()-41)/14)+1)="","",INDEX($A$7:$A$36,INT((ROW()-41)/14)+1))</f>
        <v/>
      </c>
      <c r="B337" s="245">
        <f>IF($A337="","",$B$3+MOD(ROW()-41,14))</f>
        <v/>
      </c>
      <c r="C337" s="244">
        <f>IF($A337="","",TEXT($B337,"ddd"))</f>
        <v/>
      </c>
      <c r="D337" s="242">
        <f>IF($A337="","",SUMIFS('EH Timesheets'!$G$6:$G$1005,'EH Timesheets'!$A$6:$A$1005,$A337,'EH Timesheets'!$B$6:$B$1005,$B337))</f>
        <v/>
      </c>
      <c r="E337" s="242">
        <f>IF($A337="","",SUMIFS('EH Roster'!$G$6:$G$1005,'EH Roster'!$A$6:$A$1005,$A337,'EH Roster'!$B$6:$B$1005,$B337))</f>
        <v/>
      </c>
      <c r="F337" s="242">
        <f>IF($A337="","",$D337-$E337)</f>
        <v/>
      </c>
      <c r="G337" s="242">
        <f>IF($A337="","",IF($L337="",0,SUMPRODUCT(('Shared Calendar'!$K$2:$K$1000&gt;0)*('Shared Calendar'!$K$2:$K$1000&lt;=$B337)*('Shared Calendar'!$J$2:$J$1000&gt;$B337)*ISNUMBER(SEARCH($L337,'Shared Calendar'!$M$2:$M$1000))*('Shared Calendar'!$N$2:$N$1000="Event"),'Shared Calendar'!$L$2:$L$1000)))</f>
        <v/>
      </c>
      <c r="H337" s="246">
        <f>IF(OR($A337="",$L337=""),"",IF(SUMPRODUCT(MAX(('Shared Calendar'!$K$2:$K$1000&gt;0)*('Shared Calendar'!$K$2:$K$1000&lt;=$B337)*('Shared Calendar'!$J$2:$J$1000&gt;$B337)*ISNUMBER(SEARCH($L337,'Shared Calendar'!$M$2:$M$1000))*ROW('Shared Calendar'!$A$2:$A$1000)))=0,"",INDEX('Shared Calendar'!$A:$A,SUMPRODUCT(MAX(('Shared Calendar'!$K$2:$K$1000&gt;0)*('Shared Calendar'!$K$2:$K$1000&lt;=$B337)*('Shared Calendar'!$J$2:$J$1000&gt;$B337)*ISNUMBER(SEARCH($L337,'Shared Calendar'!$M$2:$M$1000))*ROW('Shared Calendar'!$A$2:$A$1000))))))</f>
        <v/>
      </c>
      <c r="I337" s="244">
        <f>IF(OR($A337="",$L337=""),"",IF(SUMPRODUCT(('Shared Calendar'!$K$2:$K$1000&gt;0)*('Shared Calendar'!$K$2:$K$1000&lt;=$B337)*('Shared Calendar'!$J$2:$J$1000&gt;$B337)*ISNUMBER(SEARCH($L337,'Shared Calendar'!$M$2:$M$1000))*('Shared Calendar'!$N$2:$N$1000="Leave"))&gt;0,"Leave",""))</f>
        <v/>
      </c>
      <c r="J337" s="244">
        <f>IF($A337="","",IFERROR(INDEX('Public Holidays'!$C$6:$C$38,MATCH($B337,'Public Holidays'!$A$6:$A$38,0))&amp;" ("&amp;INDEX('Public Holidays'!$L$6:$L$38,MATCH($B337,'Public Holidays'!$A$6:$A$38,0))&amp;")",""))</f>
        <v/>
      </c>
      <c r="K337" s="246">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44">
        <f>IF($A337="","",INDEX($B$7:$B$36,INT((ROW()-41)/14)+1)&amp;"")</f>
        <v/>
      </c>
    </row>
    <row r="338">
      <c r="A338" s="244">
        <f>IF(INDEX($A$7:$A$36,INT((ROW()-41)/14)+1)="","",INDEX($A$7:$A$36,INT((ROW()-41)/14)+1))</f>
        <v/>
      </c>
      <c r="B338" s="245">
        <f>IF($A338="","",$B$3+MOD(ROW()-41,14))</f>
        <v/>
      </c>
      <c r="C338" s="244">
        <f>IF($A338="","",TEXT($B338,"ddd"))</f>
        <v/>
      </c>
      <c r="D338" s="242">
        <f>IF($A338="","",SUMIFS('EH Timesheets'!$G$6:$G$1005,'EH Timesheets'!$A$6:$A$1005,$A338,'EH Timesheets'!$B$6:$B$1005,$B338))</f>
        <v/>
      </c>
      <c r="E338" s="242">
        <f>IF($A338="","",SUMIFS('EH Roster'!$G$6:$G$1005,'EH Roster'!$A$6:$A$1005,$A338,'EH Roster'!$B$6:$B$1005,$B338))</f>
        <v/>
      </c>
      <c r="F338" s="242">
        <f>IF($A338="","",$D338-$E338)</f>
        <v/>
      </c>
      <c r="G338" s="242">
        <f>IF($A338="","",IF($L338="",0,SUMPRODUCT(('Shared Calendar'!$K$2:$K$1000&gt;0)*('Shared Calendar'!$K$2:$K$1000&lt;=$B338)*('Shared Calendar'!$J$2:$J$1000&gt;$B338)*ISNUMBER(SEARCH($L338,'Shared Calendar'!$M$2:$M$1000))*('Shared Calendar'!$N$2:$N$1000="Event"),'Shared Calendar'!$L$2:$L$1000)))</f>
        <v/>
      </c>
      <c r="H338" s="246">
        <f>IF(OR($A338="",$L338=""),"",IF(SUMPRODUCT(MAX(('Shared Calendar'!$K$2:$K$1000&gt;0)*('Shared Calendar'!$K$2:$K$1000&lt;=$B338)*('Shared Calendar'!$J$2:$J$1000&gt;$B338)*ISNUMBER(SEARCH($L338,'Shared Calendar'!$M$2:$M$1000))*ROW('Shared Calendar'!$A$2:$A$1000)))=0,"",INDEX('Shared Calendar'!$A:$A,SUMPRODUCT(MAX(('Shared Calendar'!$K$2:$K$1000&gt;0)*('Shared Calendar'!$K$2:$K$1000&lt;=$B338)*('Shared Calendar'!$J$2:$J$1000&gt;$B338)*ISNUMBER(SEARCH($L338,'Shared Calendar'!$M$2:$M$1000))*ROW('Shared Calendar'!$A$2:$A$1000))))))</f>
        <v/>
      </c>
      <c r="I338" s="244">
        <f>IF(OR($A338="",$L338=""),"",IF(SUMPRODUCT(('Shared Calendar'!$K$2:$K$1000&gt;0)*('Shared Calendar'!$K$2:$K$1000&lt;=$B338)*('Shared Calendar'!$J$2:$J$1000&gt;$B338)*ISNUMBER(SEARCH($L338,'Shared Calendar'!$M$2:$M$1000))*('Shared Calendar'!$N$2:$N$1000="Leave"))&gt;0,"Leave",""))</f>
        <v/>
      </c>
      <c r="J338" s="244">
        <f>IF($A338="","",IFERROR(INDEX('Public Holidays'!$C$6:$C$38,MATCH($B338,'Public Holidays'!$A$6:$A$38,0))&amp;" ("&amp;INDEX('Public Holidays'!$L$6:$L$38,MATCH($B338,'Public Holidays'!$A$6:$A$38,0))&amp;")",""))</f>
        <v/>
      </c>
      <c r="K338" s="246">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44">
        <f>IF($A338="","",INDEX($B$7:$B$36,INT((ROW()-41)/14)+1)&amp;"")</f>
        <v/>
      </c>
    </row>
    <row r="339">
      <c r="A339" s="244">
        <f>IF(INDEX($A$7:$A$36,INT((ROW()-41)/14)+1)="","",INDEX($A$7:$A$36,INT((ROW()-41)/14)+1))</f>
        <v/>
      </c>
      <c r="B339" s="245">
        <f>IF($A339="","",$B$3+MOD(ROW()-41,14))</f>
        <v/>
      </c>
      <c r="C339" s="244">
        <f>IF($A339="","",TEXT($B339,"ddd"))</f>
        <v/>
      </c>
      <c r="D339" s="242">
        <f>IF($A339="","",SUMIFS('EH Timesheets'!$G$6:$G$1005,'EH Timesheets'!$A$6:$A$1005,$A339,'EH Timesheets'!$B$6:$B$1005,$B339))</f>
        <v/>
      </c>
      <c r="E339" s="242">
        <f>IF($A339="","",SUMIFS('EH Roster'!$G$6:$G$1005,'EH Roster'!$A$6:$A$1005,$A339,'EH Roster'!$B$6:$B$1005,$B339))</f>
        <v/>
      </c>
      <c r="F339" s="242">
        <f>IF($A339="","",$D339-$E339)</f>
        <v/>
      </c>
      <c r="G339" s="242">
        <f>IF($A339="","",IF($L339="",0,SUMPRODUCT(('Shared Calendar'!$K$2:$K$1000&gt;0)*('Shared Calendar'!$K$2:$K$1000&lt;=$B339)*('Shared Calendar'!$J$2:$J$1000&gt;$B339)*ISNUMBER(SEARCH($L339,'Shared Calendar'!$M$2:$M$1000))*('Shared Calendar'!$N$2:$N$1000="Event"),'Shared Calendar'!$L$2:$L$1000)))</f>
        <v/>
      </c>
      <c r="H339" s="246">
        <f>IF(OR($A339="",$L339=""),"",IF(SUMPRODUCT(MAX(('Shared Calendar'!$K$2:$K$1000&gt;0)*('Shared Calendar'!$K$2:$K$1000&lt;=$B339)*('Shared Calendar'!$J$2:$J$1000&gt;$B339)*ISNUMBER(SEARCH($L339,'Shared Calendar'!$M$2:$M$1000))*ROW('Shared Calendar'!$A$2:$A$1000)))=0,"",INDEX('Shared Calendar'!$A:$A,SUMPRODUCT(MAX(('Shared Calendar'!$K$2:$K$1000&gt;0)*('Shared Calendar'!$K$2:$K$1000&lt;=$B339)*('Shared Calendar'!$J$2:$J$1000&gt;$B339)*ISNUMBER(SEARCH($L339,'Shared Calendar'!$M$2:$M$1000))*ROW('Shared Calendar'!$A$2:$A$1000))))))</f>
        <v/>
      </c>
      <c r="I339" s="244">
        <f>IF(OR($A339="",$L339=""),"",IF(SUMPRODUCT(('Shared Calendar'!$K$2:$K$1000&gt;0)*('Shared Calendar'!$K$2:$K$1000&lt;=$B339)*('Shared Calendar'!$J$2:$J$1000&gt;$B339)*ISNUMBER(SEARCH($L339,'Shared Calendar'!$M$2:$M$1000))*('Shared Calendar'!$N$2:$N$1000="Leave"))&gt;0,"Leave",""))</f>
        <v/>
      </c>
      <c r="J339" s="244">
        <f>IF($A339="","",IFERROR(INDEX('Public Holidays'!$C$6:$C$38,MATCH($B339,'Public Holidays'!$A$6:$A$38,0))&amp;" ("&amp;INDEX('Public Holidays'!$L$6:$L$38,MATCH($B339,'Public Holidays'!$A$6:$A$38,0))&amp;")",""))</f>
        <v/>
      </c>
      <c r="K339" s="246">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44">
        <f>IF($A339="","",INDEX($B$7:$B$36,INT((ROW()-41)/14)+1)&amp;"")</f>
        <v/>
      </c>
    </row>
    <row r="340">
      <c r="A340" s="244">
        <f>IF(INDEX($A$7:$A$36,INT((ROW()-41)/14)+1)="","",INDEX($A$7:$A$36,INT((ROW()-41)/14)+1))</f>
        <v/>
      </c>
      <c r="B340" s="245">
        <f>IF($A340="","",$B$3+MOD(ROW()-41,14))</f>
        <v/>
      </c>
      <c r="C340" s="244">
        <f>IF($A340="","",TEXT($B340,"ddd"))</f>
        <v/>
      </c>
      <c r="D340" s="242">
        <f>IF($A340="","",SUMIFS('EH Timesheets'!$G$6:$G$1005,'EH Timesheets'!$A$6:$A$1005,$A340,'EH Timesheets'!$B$6:$B$1005,$B340))</f>
        <v/>
      </c>
      <c r="E340" s="242">
        <f>IF($A340="","",SUMIFS('EH Roster'!$G$6:$G$1005,'EH Roster'!$A$6:$A$1005,$A340,'EH Roster'!$B$6:$B$1005,$B340))</f>
        <v/>
      </c>
      <c r="F340" s="242">
        <f>IF($A340="","",$D340-$E340)</f>
        <v/>
      </c>
      <c r="G340" s="242">
        <f>IF($A340="","",IF($L340="",0,SUMPRODUCT(('Shared Calendar'!$K$2:$K$1000&gt;0)*('Shared Calendar'!$K$2:$K$1000&lt;=$B340)*('Shared Calendar'!$J$2:$J$1000&gt;$B340)*ISNUMBER(SEARCH($L340,'Shared Calendar'!$M$2:$M$1000))*('Shared Calendar'!$N$2:$N$1000="Event"),'Shared Calendar'!$L$2:$L$1000)))</f>
        <v/>
      </c>
      <c r="H340" s="246">
        <f>IF(OR($A340="",$L340=""),"",IF(SUMPRODUCT(MAX(('Shared Calendar'!$K$2:$K$1000&gt;0)*('Shared Calendar'!$K$2:$K$1000&lt;=$B340)*('Shared Calendar'!$J$2:$J$1000&gt;$B340)*ISNUMBER(SEARCH($L340,'Shared Calendar'!$M$2:$M$1000))*ROW('Shared Calendar'!$A$2:$A$1000)))=0,"",INDEX('Shared Calendar'!$A:$A,SUMPRODUCT(MAX(('Shared Calendar'!$K$2:$K$1000&gt;0)*('Shared Calendar'!$K$2:$K$1000&lt;=$B340)*('Shared Calendar'!$J$2:$J$1000&gt;$B340)*ISNUMBER(SEARCH($L340,'Shared Calendar'!$M$2:$M$1000))*ROW('Shared Calendar'!$A$2:$A$1000))))))</f>
        <v/>
      </c>
      <c r="I340" s="244">
        <f>IF(OR($A340="",$L340=""),"",IF(SUMPRODUCT(('Shared Calendar'!$K$2:$K$1000&gt;0)*('Shared Calendar'!$K$2:$K$1000&lt;=$B340)*('Shared Calendar'!$J$2:$J$1000&gt;$B340)*ISNUMBER(SEARCH($L340,'Shared Calendar'!$M$2:$M$1000))*('Shared Calendar'!$N$2:$N$1000="Leave"))&gt;0,"Leave",""))</f>
        <v/>
      </c>
      <c r="J340" s="244">
        <f>IF($A340="","",IFERROR(INDEX('Public Holidays'!$C$6:$C$38,MATCH($B340,'Public Holidays'!$A$6:$A$38,0))&amp;" ("&amp;INDEX('Public Holidays'!$L$6:$L$38,MATCH($B340,'Public Holidays'!$A$6:$A$38,0))&amp;")",""))</f>
        <v/>
      </c>
      <c r="K340" s="246">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44">
        <f>IF($A340="","",INDEX($B$7:$B$36,INT((ROW()-41)/14)+1)&amp;"")</f>
        <v/>
      </c>
    </row>
    <row r="341">
      <c r="A341" s="244">
        <f>IF(INDEX($A$7:$A$36,INT((ROW()-41)/14)+1)="","",INDEX($A$7:$A$36,INT((ROW()-41)/14)+1))</f>
        <v/>
      </c>
      <c r="B341" s="245">
        <f>IF($A341="","",$B$3+MOD(ROW()-41,14))</f>
        <v/>
      </c>
      <c r="C341" s="244">
        <f>IF($A341="","",TEXT($B341,"ddd"))</f>
        <v/>
      </c>
      <c r="D341" s="242">
        <f>IF($A341="","",SUMIFS('EH Timesheets'!$G$6:$G$1005,'EH Timesheets'!$A$6:$A$1005,$A341,'EH Timesheets'!$B$6:$B$1005,$B341))</f>
        <v/>
      </c>
      <c r="E341" s="242">
        <f>IF($A341="","",SUMIFS('EH Roster'!$G$6:$G$1005,'EH Roster'!$A$6:$A$1005,$A341,'EH Roster'!$B$6:$B$1005,$B341))</f>
        <v/>
      </c>
      <c r="F341" s="242">
        <f>IF($A341="","",$D341-$E341)</f>
        <v/>
      </c>
      <c r="G341" s="242">
        <f>IF($A341="","",IF($L341="",0,SUMPRODUCT(('Shared Calendar'!$K$2:$K$1000&gt;0)*('Shared Calendar'!$K$2:$K$1000&lt;=$B341)*('Shared Calendar'!$J$2:$J$1000&gt;$B341)*ISNUMBER(SEARCH($L341,'Shared Calendar'!$M$2:$M$1000))*('Shared Calendar'!$N$2:$N$1000="Event"),'Shared Calendar'!$L$2:$L$1000)))</f>
        <v/>
      </c>
      <c r="H341" s="246">
        <f>IF(OR($A341="",$L341=""),"",IF(SUMPRODUCT(MAX(('Shared Calendar'!$K$2:$K$1000&gt;0)*('Shared Calendar'!$K$2:$K$1000&lt;=$B341)*('Shared Calendar'!$J$2:$J$1000&gt;$B341)*ISNUMBER(SEARCH($L341,'Shared Calendar'!$M$2:$M$1000))*ROW('Shared Calendar'!$A$2:$A$1000)))=0,"",INDEX('Shared Calendar'!$A:$A,SUMPRODUCT(MAX(('Shared Calendar'!$K$2:$K$1000&gt;0)*('Shared Calendar'!$K$2:$K$1000&lt;=$B341)*('Shared Calendar'!$J$2:$J$1000&gt;$B341)*ISNUMBER(SEARCH($L341,'Shared Calendar'!$M$2:$M$1000))*ROW('Shared Calendar'!$A$2:$A$1000))))))</f>
        <v/>
      </c>
      <c r="I341" s="244">
        <f>IF(OR($A341="",$L341=""),"",IF(SUMPRODUCT(('Shared Calendar'!$K$2:$K$1000&gt;0)*('Shared Calendar'!$K$2:$K$1000&lt;=$B341)*('Shared Calendar'!$J$2:$J$1000&gt;$B341)*ISNUMBER(SEARCH($L341,'Shared Calendar'!$M$2:$M$1000))*('Shared Calendar'!$N$2:$N$1000="Leave"))&gt;0,"Leave",""))</f>
        <v/>
      </c>
      <c r="J341" s="244">
        <f>IF($A341="","",IFERROR(INDEX('Public Holidays'!$C$6:$C$38,MATCH($B341,'Public Holidays'!$A$6:$A$38,0))&amp;" ("&amp;INDEX('Public Holidays'!$L$6:$L$38,MATCH($B341,'Public Holidays'!$A$6:$A$38,0))&amp;")",""))</f>
        <v/>
      </c>
      <c r="K341" s="246">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44">
        <f>IF($A341="","",INDEX($B$7:$B$36,INT((ROW()-41)/14)+1)&amp;"")</f>
        <v/>
      </c>
    </row>
    <row r="342">
      <c r="A342" s="244">
        <f>IF(INDEX($A$7:$A$36,INT((ROW()-41)/14)+1)="","",INDEX($A$7:$A$36,INT((ROW()-41)/14)+1))</f>
        <v/>
      </c>
      <c r="B342" s="245">
        <f>IF($A342="","",$B$3+MOD(ROW()-41,14))</f>
        <v/>
      </c>
      <c r="C342" s="244">
        <f>IF($A342="","",TEXT($B342,"ddd"))</f>
        <v/>
      </c>
      <c r="D342" s="242">
        <f>IF($A342="","",SUMIFS('EH Timesheets'!$G$6:$G$1005,'EH Timesheets'!$A$6:$A$1005,$A342,'EH Timesheets'!$B$6:$B$1005,$B342))</f>
        <v/>
      </c>
      <c r="E342" s="242">
        <f>IF($A342="","",SUMIFS('EH Roster'!$G$6:$G$1005,'EH Roster'!$A$6:$A$1005,$A342,'EH Roster'!$B$6:$B$1005,$B342))</f>
        <v/>
      </c>
      <c r="F342" s="242">
        <f>IF($A342="","",$D342-$E342)</f>
        <v/>
      </c>
      <c r="G342" s="242">
        <f>IF($A342="","",IF($L342="",0,SUMPRODUCT(('Shared Calendar'!$K$2:$K$1000&gt;0)*('Shared Calendar'!$K$2:$K$1000&lt;=$B342)*('Shared Calendar'!$J$2:$J$1000&gt;$B342)*ISNUMBER(SEARCH($L342,'Shared Calendar'!$M$2:$M$1000))*('Shared Calendar'!$N$2:$N$1000="Event"),'Shared Calendar'!$L$2:$L$1000)))</f>
        <v/>
      </c>
      <c r="H342" s="246">
        <f>IF(OR($A342="",$L342=""),"",IF(SUMPRODUCT(MAX(('Shared Calendar'!$K$2:$K$1000&gt;0)*('Shared Calendar'!$K$2:$K$1000&lt;=$B342)*('Shared Calendar'!$J$2:$J$1000&gt;$B342)*ISNUMBER(SEARCH($L342,'Shared Calendar'!$M$2:$M$1000))*ROW('Shared Calendar'!$A$2:$A$1000)))=0,"",INDEX('Shared Calendar'!$A:$A,SUMPRODUCT(MAX(('Shared Calendar'!$K$2:$K$1000&gt;0)*('Shared Calendar'!$K$2:$K$1000&lt;=$B342)*('Shared Calendar'!$J$2:$J$1000&gt;$B342)*ISNUMBER(SEARCH($L342,'Shared Calendar'!$M$2:$M$1000))*ROW('Shared Calendar'!$A$2:$A$1000))))))</f>
        <v/>
      </c>
      <c r="I342" s="244">
        <f>IF(OR($A342="",$L342=""),"",IF(SUMPRODUCT(('Shared Calendar'!$K$2:$K$1000&gt;0)*('Shared Calendar'!$K$2:$K$1000&lt;=$B342)*('Shared Calendar'!$J$2:$J$1000&gt;$B342)*ISNUMBER(SEARCH($L342,'Shared Calendar'!$M$2:$M$1000))*('Shared Calendar'!$N$2:$N$1000="Leave"))&gt;0,"Leave",""))</f>
        <v/>
      </c>
      <c r="J342" s="244">
        <f>IF($A342="","",IFERROR(INDEX('Public Holidays'!$C$6:$C$38,MATCH($B342,'Public Holidays'!$A$6:$A$38,0))&amp;" ("&amp;INDEX('Public Holidays'!$L$6:$L$38,MATCH($B342,'Public Holidays'!$A$6:$A$38,0))&amp;")",""))</f>
        <v/>
      </c>
      <c r="K342" s="246">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44">
        <f>IF($A342="","",INDEX($B$7:$B$36,INT((ROW()-41)/14)+1)&amp;"")</f>
        <v/>
      </c>
    </row>
    <row r="343">
      <c r="A343" s="244">
        <f>IF(INDEX($A$7:$A$36,INT((ROW()-41)/14)+1)="","",INDEX($A$7:$A$36,INT((ROW()-41)/14)+1))</f>
        <v/>
      </c>
      <c r="B343" s="245">
        <f>IF($A343="","",$B$3+MOD(ROW()-41,14))</f>
        <v/>
      </c>
      <c r="C343" s="244">
        <f>IF($A343="","",TEXT($B343,"ddd"))</f>
        <v/>
      </c>
      <c r="D343" s="242">
        <f>IF($A343="","",SUMIFS('EH Timesheets'!$G$6:$G$1005,'EH Timesheets'!$A$6:$A$1005,$A343,'EH Timesheets'!$B$6:$B$1005,$B343))</f>
        <v/>
      </c>
      <c r="E343" s="242">
        <f>IF($A343="","",SUMIFS('EH Roster'!$G$6:$G$1005,'EH Roster'!$A$6:$A$1005,$A343,'EH Roster'!$B$6:$B$1005,$B343))</f>
        <v/>
      </c>
      <c r="F343" s="242">
        <f>IF($A343="","",$D343-$E343)</f>
        <v/>
      </c>
      <c r="G343" s="242">
        <f>IF($A343="","",IF($L343="",0,SUMPRODUCT(('Shared Calendar'!$K$2:$K$1000&gt;0)*('Shared Calendar'!$K$2:$K$1000&lt;=$B343)*('Shared Calendar'!$J$2:$J$1000&gt;$B343)*ISNUMBER(SEARCH($L343,'Shared Calendar'!$M$2:$M$1000))*('Shared Calendar'!$N$2:$N$1000="Event"),'Shared Calendar'!$L$2:$L$1000)))</f>
        <v/>
      </c>
      <c r="H343" s="246">
        <f>IF(OR($A343="",$L343=""),"",IF(SUMPRODUCT(MAX(('Shared Calendar'!$K$2:$K$1000&gt;0)*('Shared Calendar'!$K$2:$K$1000&lt;=$B343)*('Shared Calendar'!$J$2:$J$1000&gt;$B343)*ISNUMBER(SEARCH($L343,'Shared Calendar'!$M$2:$M$1000))*ROW('Shared Calendar'!$A$2:$A$1000)))=0,"",INDEX('Shared Calendar'!$A:$A,SUMPRODUCT(MAX(('Shared Calendar'!$K$2:$K$1000&gt;0)*('Shared Calendar'!$K$2:$K$1000&lt;=$B343)*('Shared Calendar'!$J$2:$J$1000&gt;$B343)*ISNUMBER(SEARCH($L343,'Shared Calendar'!$M$2:$M$1000))*ROW('Shared Calendar'!$A$2:$A$1000))))))</f>
        <v/>
      </c>
      <c r="I343" s="244">
        <f>IF(OR($A343="",$L343=""),"",IF(SUMPRODUCT(('Shared Calendar'!$K$2:$K$1000&gt;0)*('Shared Calendar'!$K$2:$K$1000&lt;=$B343)*('Shared Calendar'!$J$2:$J$1000&gt;$B343)*ISNUMBER(SEARCH($L343,'Shared Calendar'!$M$2:$M$1000))*('Shared Calendar'!$N$2:$N$1000="Leave"))&gt;0,"Leave",""))</f>
        <v/>
      </c>
      <c r="J343" s="244">
        <f>IF($A343="","",IFERROR(INDEX('Public Holidays'!$C$6:$C$38,MATCH($B343,'Public Holidays'!$A$6:$A$38,0))&amp;" ("&amp;INDEX('Public Holidays'!$L$6:$L$38,MATCH($B343,'Public Holidays'!$A$6:$A$38,0))&amp;")",""))</f>
        <v/>
      </c>
      <c r="K343" s="246">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44">
        <f>IF($A343="","",INDEX($B$7:$B$36,INT((ROW()-41)/14)+1)&amp;"")</f>
        <v/>
      </c>
    </row>
    <row r="344">
      <c r="A344" s="244">
        <f>IF(INDEX($A$7:$A$36,INT((ROW()-41)/14)+1)="","",INDEX($A$7:$A$36,INT((ROW()-41)/14)+1))</f>
        <v/>
      </c>
      <c r="B344" s="245">
        <f>IF($A344="","",$B$3+MOD(ROW()-41,14))</f>
        <v/>
      </c>
      <c r="C344" s="244">
        <f>IF($A344="","",TEXT($B344,"ddd"))</f>
        <v/>
      </c>
      <c r="D344" s="242">
        <f>IF($A344="","",SUMIFS('EH Timesheets'!$G$6:$G$1005,'EH Timesheets'!$A$6:$A$1005,$A344,'EH Timesheets'!$B$6:$B$1005,$B344))</f>
        <v/>
      </c>
      <c r="E344" s="242">
        <f>IF($A344="","",SUMIFS('EH Roster'!$G$6:$G$1005,'EH Roster'!$A$6:$A$1005,$A344,'EH Roster'!$B$6:$B$1005,$B344))</f>
        <v/>
      </c>
      <c r="F344" s="242">
        <f>IF($A344="","",$D344-$E344)</f>
        <v/>
      </c>
      <c r="G344" s="242">
        <f>IF($A344="","",IF($L344="",0,SUMPRODUCT(('Shared Calendar'!$K$2:$K$1000&gt;0)*('Shared Calendar'!$K$2:$K$1000&lt;=$B344)*('Shared Calendar'!$J$2:$J$1000&gt;$B344)*ISNUMBER(SEARCH($L344,'Shared Calendar'!$M$2:$M$1000))*('Shared Calendar'!$N$2:$N$1000="Event"),'Shared Calendar'!$L$2:$L$1000)))</f>
        <v/>
      </c>
      <c r="H344" s="246">
        <f>IF(OR($A344="",$L344=""),"",IF(SUMPRODUCT(MAX(('Shared Calendar'!$K$2:$K$1000&gt;0)*('Shared Calendar'!$K$2:$K$1000&lt;=$B344)*('Shared Calendar'!$J$2:$J$1000&gt;$B344)*ISNUMBER(SEARCH($L344,'Shared Calendar'!$M$2:$M$1000))*ROW('Shared Calendar'!$A$2:$A$1000)))=0,"",INDEX('Shared Calendar'!$A:$A,SUMPRODUCT(MAX(('Shared Calendar'!$K$2:$K$1000&gt;0)*('Shared Calendar'!$K$2:$K$1000&lt;=$B344)*('Shared Calendar'!$J$2:$J$1000&gt;$B344)*ISNUMBER(SEARCH($L344,'Shared Calendar'!$M$2:$M$1000))*ROW('Shared Calendar'!$A$2:$A$1000))))))</f>
        <v/>
      </c>
      <c r="I344" s="244">
        <f>IF(OR($A344="",$L344=""),"",IF(SUMPRODUCT(('Shared Calendar'!$K$2:$K$1000&gt;0)*('Shared Calendar'!$K$2:$K$1000&lt;=$B344)*('Shared Calendar'!$J$2:$J$1000&gt;$B344)*ISNUMBER(SEARCH($L344,'Shared Calendar'!$M$2:$M$1000))*('Shared Calendar'!$N$2:$N$1000="Leave"))&gt;0,"Leave",""))</f>
        <v/>
      </c>
      <c r="J344" s="244">
        <f>IF($A344="","",IFERROR(INDEX('Public Holidays'!$C$6:$C$38,MATCH($B344,'Public Holidays'!$A$6:$A$38,0))&amp;" ("&amp;INDEX('Public Holidays'!$L$6:$L$38,MATCH($B344,'Public Holidays'!$A$6:$A$38,0))&amp;")",""))</f>
        <v/>
      </c>
      <c r="K344" s="246">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44">
        <f>IF($A344="","",INDEX($B$7:$B$36,INT((ROW()-41)/14)+1)&amp;"")</f>
        <v/>
      </c>
    </row>
    <row r="345">
      <c r="A345" s="244">
        <f>IF(INDEX($A$7:$A$36,INT((ROW()-41)/14)+1)="","",INDEX($A$7:$A$36,INT((ROW()-41)/14)+1))</f>
        <v/>
      </c>
      <c r="B345" s="245">
        <f>IF($A345="","",$B$3+MOD(ROW()-41,14))</f>
        <v/>
      </c>
      <c r="C345" s="244">
        <f>IF($A345="","",TEXT($B345,"ddd"))</f>
        <v/>
      </c>
      <c r="D345" s="242">
        <f>IF($A345="","",SUMIFS('EH Timesheets'!$G$6:$G$1005,'EH Timesheets'!$A$6:$A$1005,$A345,'EH Timesheets'!$B$6:$B$1005,$B345))</f>
        <v/>
      </c>
      <c r="E345" s="242">
        <f>IF($A345="","",SUMIFS('EH Roster'!$G$6:$G$1005,'EH Roster'!$A$6:$A$1005,$A345,'EH Roster'!$B$6:$B$1005,$B345))</f>
        <v/>
      </c>
      <c r="F345" s="242">
        <f>IF($A345="","",$D345-$E345)</f>
        <v/>
      </c>
      <c r="G345" s="242">
        <f>IF($A345="","",IF($L345="",0,SUMPRODUCT(('Shared Calendar'!$K$2:$K$1000&gt;0)*('Shared Calendar'!$K$2:$K$1000&lt;=$B345)*('Shared Calendar'!$J$2:$J$1000&gt;$B345)*ISNUMBER(SEARCH($L345,'Shared Calendar'!$M$2:$M$1000))*('Shared Calendar'!$N$2:$N$1000="Event"),'Shared Calendar'!$L$2:$L$1000)))</f>
        <v/>
      </c>
      <c r="H345" s="246">
        <f>IF(OR($A345="",$L345=""),"",IF(SUMPRODUCT(MAX(('Shared Calendar'!$K$2:$K$1000&gt;0)*('Shared Calendar'!$K$2:$K$1000&lt;=$B345)*('Shared Calendar'!$J$2:$J$1000&gt;$B345)*ISNUMBER(SEARCH($L345,'Shared Calendar'!$M$2:$M$1000))*ROW('Shared Calendar'!$A$2:$A$1000)))=0,"",INDEX('Shared Calendar'!$A:$A,SUMPRODUCT(MAX(('Shared Calendar'!$K$2:$K$1000&gt;0)*('Shared Calendar'!$K$2:$K$1000&lt;=$B345)*('Shared Calendar'!$J$2:$J$1000&gt;$B345)*ISNUMBER(SEARCH($L345,'Shared Calendar'!$M$2:$M$1000))*ROW('Shared Calendar'!$A$2:$A$1000))))))</f>
        <v/>
      </c>
      <c r="I345" s="244">
        <f>IF(OR($A345="",$L345=""),"",IF(SUMPRODUCT(('Shared Calendar'!$K$2:$K$1000&gt;0)*('Shared Calendar'!$K$2:$K$1000&lt;=$B345)*('Shared Calendar'!$J$2:$J$1000&gt;$B345)*ISNUMBER(SEARCH($L345,'Shared Calendar'!$M$2:$M$1000))*('Shared Calendar'!$N$2:$N$1000="Leave"))&gt;0,"Leave",""))</f>
        <v/>
      </c>
      <c r="J345" s="244">
        <f>IF($A345="","",IFERROR(INDEX('Public Holidays'!$C$6:$C$38,MATCH($B345,'Public Holidays'!$A$6:$A$38,0))&amp;" ("&amp;INDEX('Public Holidays'!$L$6:$L$38,MATCH($B345,'Public Holidays'!$A$6:$A$38,0))&amp;")",""))</f>
        <v/>
      </c>
      <c r="K345" s="246">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44">
        <f>IF($A345="","",INDEX($B$7:$B$36,INT((ROW()-41)/14)+1)&amp;"")</f>
        <v/>
      </c>
    </row>
    <row r="346">
      <c r="A346" s="244">
        <f>IF(INDEX($A$7:$A$36,INT((ROW()-41)/14)+1)="","",INDEX($A$7:$A$36,INT((ROW()-41)/14)+1))</f>
        <v/>
      </c>
      <c r="B346" s="245">
        <f>IF($A346="","",$B$3+MOD(ROW()-41,14))</f>
        <v/>
      </c>
      <c r="C346" s="244">
        <f>IF($A346="","",TEXT($B346,"ddd"))</f>
        <v/>
      </c>
      <c r="D346" s="242">
        <f>IF($A346="","",SUMIFS('EH Timesheets'!$G$6:$G$1005,'EH Timesheets'!$A$6:$A$1005,$A346,'EH Timesheets'!$B$6:$B$1005,$B346))</f>
        <v/>
      </c>
      <c r="E346" s="242">
        <f>IF($A346="","",SUMIFS('EH Roster'!$G$6:$G$1005,'EH Roster'!$A$6:$A$1005,$A346,'EH Roster'!$B$6:$B$1005,$B346))</f>
        <v/>
      </c>
      <c r="F346" s="242">
        <f>IF($A346="","",$D346-$E346)</f>
        <v/>
      </c>
      <c r="G346" s="242">
        <f>IF($A346="","",IF($L346="",0,SUMPRODUCT(('Shared Calendar'!$K$2:$K$1000&gt;0)*('Shared Calendar'!$K$2:$K$1000&lt;=$B346)*('Shared Calendar'!$J$2:$J$1000&gt;$B346)*ISNUMBER(SEARCH($L346,'Shared Calendar'!$M$2:$M$1000))*('Shared Calendar'!$N$2:$N$1000="Event"),'Shared Calendar'!$L$2:$L$1000)))</f>
        <v/>
      </c>
      <c r="H346" s="246">
        <f>IF(OR($A346="",$L346=""),"",IF(SUMPRODUCT(MAX(('Shared Calendar'!$K$2:$K$1000&gt;0)*('Shared Calendar'!$K$2:$K$1000&lt;=$B346)*('Shared Calendar'!$J$2:$J$1000&gt;$B346)*ISNUMBER(SEARCH($L346,'Shared Calendar'!$M$2:$M$1000))*ROW('Shared Calendar'!$A$2:$A$1000)))=0,"",INDEX('Shared Calendar'!$A:$A,SUMPRODUCT(MAX(('Shared Calendar'!$K$2:$K$1000&gt;0)*('Shared Calendar'!$K$2:$K$1000&lt;=$B346)*('Shared Calendar'!$J$2:$J$1000&gt;$B346)*ISNUMBER(SEARCH($L346,'Shared Calendar'!$M$2:$M$1000))*ROW('Shared Calendar'!$A$2:$A$1000))))))</f>
        <v/>
      </c>
      <c r="I346" s="244">
        <f>IF(OR($A346="",$L346=""),"",IF(SUMPRODUCT(('Shared Calendar'!$K$2:$K$1000&gt;0)*('Shared Calendar'!$K$2:$K$1000&lt;=$B346)*('Shared Calendar'!$J$2:$J$1000&gt;$B346)*ISNUMBER(SEARCH($L346,'Shared Calendar'!$M$2:$M$1000))*('Shared Calendar'!$N$2:$N$1000="Leave"))&gt;0,"Leave",""))</f>
        <v/>
      </c>
      <c r="J346" s="244">
        <f>IF($A346="","",IFERROR(INDEX('Public Holidays'!$C$6:$C$38,MATCH($B346,'Public Holidays'!$A$6:$A$38,0))&amp;" ("&amp;INDEX('Public Holidays'!$L$6:$L$38,MATCH($B346,'Public Holidays'!$A$6:$A$38,0))&amp;")",""))</f>
        <v/>
      </c>
      <c r="K346" s="246">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44">
        <f>IF($A346="","",INDEX($B$7:$B$36,INT((ROW()-41)/14)+1)&amp;"")</f>
        <v/>
      </c>
    </row>
    <row r="347">
      <c r="A347" s="244">
        <f>IF(INDEX($A$7:$A$36,INT((ROW()-41)/14)+1)="","",INDEX($A$7:$A$36,INT((ROW()-41)/14)+1))</f>
        <v/>
      </c>
      <c r="B347" s="245">
        <f>IF($A347="","",$B$3+MOD(ROW()-41,14))</f>
        <v/>
      </c>
      <c r="C347" s="244">
        <f>IF($A347="","",TEXT($B347,"ddd"))</f>
        <v/>
      </c>
      <c r="D347" s="242">
        <f>IF($A347="","",SUMIFS('EH Timesheets'!$G$6:$G$1005,'EH Timesheets'!$A$6:$A$1005,$A347,'EH Timesheets'!$B$6:$B$1005,$B347))</f>
        <v/>
      </c>
      <c r="E347" s="242">
        <f>IF($A347="","",SUMIFS('EH Roster'!$G$6:$G$1005,'EH Roster'!$A$6:$A$1005,$A347,'EH Roster'!$B$6:$B$1005,$B347))</f>
        <v/>
      </c>
      <c r="F347" s="242">
        <f>IF($A347="","",$D347-$E347)</f>
        <v/>
      </c>
      <c r="G347" s="242">
        <f>IF($A347="","",IF($L347="",0,SUMPRODUCT(('Shared Calendar'!$K$2:$K$1000&gt;0)*('Shared Calendar'!$K$2:$K$1000&lt;=$B347)*('Shared Calendar'!$J$2:$J$1000&gt;$B347)*ISNUMBER(SEARCH($L347,'Shared Calendar'!$M$2:$M$1000))*('Shared Calendar'!$N$2:$N$1000="Event"),'Shared Calendar'!$L$2:$L$1000)))</f>
        <v/>
      </c>
      <c r="H347" s="246">
        <f>IF(OR($A347="",$L347=""),"",IF(SUMPRODUCT(MAX(('Shared Calendar'!$K$2:$K$1000&gt;0)*('Shared Calendar'!$K$2:$K$1000&lt;=$B347)*('Shared Calendar'!$J$2:$J$1000&gt;$B347)*ISNUMBER(SEARCH($L347,'Shared Calendar'!$M$2:$M$1000))*ROW('Shared Calendar'!$A$2:$A$1000)))=0,"",INDEX('Shared Calendar'!$A:$A,SUMPRODUCT(MAX(('Shared Calendar'!$K$2:$K$1000&gt;0)*('Shared Calendar'!$K$2:$K$1000&lt;=$B347)*('Shared Calendar'!$J$2:$J$1000&gt;$B347)*ISNUMBER(SEARCH($L347,'Shared Calendar'!$M$2:$M$1000))*ROW('Shared Calendar'!$A$2:$A$1000))))))</f>
        <v/>
      </c>
      <c r="I347" s="244">
        <f>IF(OR($A347="",$L347=""),"",IF(SUMPRODUCT(('Shared Calendar'!$K$2:$K$1000&gt;0)*('Shared Calendar'!$K$2:$K$1000&lt;=$B347)*('Shared Calendar'!$J$2:$J$1000&gt;$B347)*ISNUMBER(SEARCH($L347,'Shared Calendar'!$M$2:$M$1000))*('Shared Calendar'!$N$2:$N$1000="Leave"))&gt;0,"Leave",""))</f>
        <v/>
      </c>
      <c r="J347" s="244">
        <f>IF($A347="","",IFERROR(INDEX('Public Holidays'!$C$6:$C$38,MATCH($B347,'Public Holidays'!$A$6:$A$38,0))&amp;" ("&amp;INDEX('Public Holidays'!$L$6:$L$38,MATCH($B347,'Public Holidays'!$A$6:$A$38,0))&amp;")",""))</f>
        <v/>
      </c>
      <c r="K347" s="246">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44">
        <f>IF($A347="","",INDEX($B$7:$B$36,INT((ROW()-41)/14)+1)&amp;"")</f>
        <v/>
      </c>
    </row>
    <row r="348">
      <c r="A348" s="244">
        <f>IF(INDEX($A$7:$A$36,INT((ROW()-41)/14)+1)="","",INDEX($A$7:$A$36,INT((ROW()-41)/14)+1))</f>
        <v/>
      </c>
      <c r="B348" s="245">
        <f>IF($A348="","",$B$3+MOD(ROW()-41,14))</f>
        <v/>
      </c>
      <c r="C348" s="244">
        <f>IF($A348="","",TEXT($B348,"ddd"))</f>
        <v/>
      </c>
      <c r="D348" s="242">
        <f>IF($A348="","",SUMIFS('EH Timesheets'!$G$6:$G$1005,'EH Timesheets'!$A$6:$A$1005,$A348,'EH Timesheets'!$B$6:$B$1005,$B348))</f>
        <v/>
      </c>
      <c r="E348" s="242">
        <f>IF($A348="","",SUMIFS('EH Roster'!$G$6:$G$1005,'EH Roster'!$A$6:$A$1005,$A348,'EH Roster'!$B$6:$B$1005,$B348))</f>
        <v/>
      </c>
      <c r="F348" s="242">
        <f>IF($A348="","",$D348-$E348)</f>
        <v/>
      </c>
      <c r="G348" s="242">
        <f>IF($A348="","",IF($L348="",0,SUMPRODUCT(('Shared Calendar'!$K$2:$K$1000&gt;0)*('Shared Calendar'!$K$2:$K$1000&lt;=$B348)*('Shared Calendar'!$J$2:$J$1000&gt;$B348)*ISNUMBER(SEARCH($L348,'Shared Calendar'!$M$2:$M$1000))*('Shared Calendar'!$N$2:$N$1000="Event"),'Shared Calendar'!$L$2:$L$1000)))</f>
        <v/>
      </c>
      <c r="H348" s="246">
        <f>IF(OR($A348="",$L348=""),"",IF(SUMPRODUCT(MAX(('Shared Calendar'!$K$2:$K$1000&gt;0)*('Shared Calendar'!$K$2:$K$1000&lt;=$B348)*('Shared Calendar'!$J$2:$J$1000&gt;$B348)*ISNUMBER(SEARCH($L348,'Shared Calendar'!$M$2:$M$1000))*ROW('Shared Calendar'!$A$2:$A$1000)))=0,"",INDEX('Shared Calendar'!$A:$A,SUMPRODUCT(MAX(('Shared Calendar'!$K$2:$K$1000&gt;0)*('Shared Calendar'!$K$2:$K$1000&lt;=$B348)*('Shared Calendar'!$J$2:$J$1000&gt;$B348)*ISNUMBER(SEARCH($L348,'Shared Calendar'!$M$2:$M$1000))*ROW('Shared Calendar'!$A$2:$A$1000))))))</f>
        <v/>
      </c>
      <c r="I348" s="244">
        <f>IF(OR($A348="",$L348=""),"",IF(SUMPRODUCT(('Shared Calendar'!$K$2:$K$1000&gt;0)*('Shared Calendar'!$K$2:$K$1000&lt;=$B348)*('Shared Calendar'!$J$2:$J$1000&gt;$B348)*ISNUMBER(SEARCH($L348,'Shared Calendar'!$M$2:$M$1000))*('Shared Calendar'!$N$2:$N$1000="Leave"))&gt;0,"Leave",""))</f>
        <v/>
      </c>
      <c r="J348" s="244">
        <f>IF($A348="","",IFERROR(INDEX('Public Holidays'!$C$6:$C$38,MATCH($B348,'Public Holidays'!$A$6:$A$38,0))&amp;" ("&amp;INDEX('Public Holidays'!$L$6:$L$38,MATCH($B348,'Public Holidays'!$A$6:$A$38,0))&amp;")",""))</f>
        <v/>
      </c>
      <c r="K348" s="246">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44">
        <f>IF($A348="","",INDEX($B$7:$B$36,INT((ROW()-41)/14)+1)&amp;"")</f>
        <v/>
      </c>
    </row>
    <row r="349">
      <c r="A349" s="244">
        <f>IF(INDEX($A$7:$A$36,INT((ROW()-41)/14)+1)="","",INDEX($A$7:$A$36,INT((ROW()-41)/14)+1))</f>
        <v/>
      </c>
      <c r="B349" s="245">
        <f>IF($A349="","",$B$3+MOD(ROW()-41,14))</f>
        <v/>
      </c>
      <c r="C349" s="244">
        <f>IF($A349="","",TEXT($B349,"ddd"))</f>
        <v/>
      </c>
      <c r="D349" s="242">
        <f>IF($A349="","",SUMIFS('EH Timesheets'!$G$6:$G$1005,'EH Timesheets'!$A$6:$A$1005,$A349,'EH Timesheets'!$B$6:$B$1005,$B349))</f>
        <v/>
      </c>
      <c r="E349" s="242">
        <f>IF($A349="","",SUMIFS('EH Roster'!$G$6:$G$1005,'EH Roster'!$A$6:$A$1005,$A349,'EH Roster'!$B$6:$B$1005,$B349))</f>
        <v/>
      </c>
      <c r="F349" s="242">
        <f>IF($A349="","",$D349-$E349)</f>
        <v/>
      </c>
      <c r="G349" s="242">
        <f>IF($A349="","",IF($L349="",0,SUMPRODUCT(('Shared Calendar'!$K$2:$K$1000&gt;0)*('Shared Calendar'!$K$2:$K$1000&lt;=$B349)*('Shared Calendar'!$J$2:$J$1000&gt;$B349)*ISNUMBER(SEARCH($L349,'Shared Calendar'!$M$2:$M$1000))*('Shared Calendar'!$N$2:$N$1000="Event"),'Shared Calendar'!$L$2:$L$1000)))</f>
        <v/>
      </c>
      <c r="H349" s="246">
        <f>IF(OR($A349="",$L349=""),"",IF(SUMPRODUCT(MAX(('Shared Calendar'!$K$2:$K$1000&gt;0)*('Shared Calendar'!$K$2:$K$1000&lt;=$B349)*('Shared Calendar'!$J$2:$J$1000&gt;$B349)*ISNUMBER(SEARCH($L349,'Shared Calendar'!$M$2:$M$1000))*ROW('Shared Calendar'!$A$2:$A$1000)))=0,"",INDEX('Shared Calendar'!$A:$A,SUMPRODUCT(MAX(('Shared Calendar'!$K$2:$K$1000&gt;0)*('Shared Calendar'!$K$2:$K$1000&lt;=$B349)*('Shared Calendar'!$J$2:$J$1000&gt;$B349)*ISNUMBER(SEARCH($L349,'Shared Calendar'!$M$2:$M$1000))*ROW('Shared Calendar'!$A$2:$A$1000))))))</f>
        <v/>
      </c>
      <c r="I349" s="244">
        <f>IF(OR($A349="",$L349=""),"",IF(SUMPRODUCT(('Shared Calendar'!$K$2:$K$1000&gt;0)*('Shared Calendar'!$K$2:$K$1000&lt;=$B349)*('Shared Calendar'!$J$2:$J$1000&gt;$B349)*ISNUMBER(SEARCH($L349,'Shared Calendar'!$M$2:$M$1000))*('Shared Calendar'!$N$2:$N$1000="Leave"))&gt;0,"Leave",""))</f>
        <v/>
      </c>
      <c r="J349" s="244">
        <f>IF($A349="","",IFERROR(INDEX('Public Holidays'!$C$6:$C$38,MATCH($B349,'Public Holidays'!$A$6:$A$38,0))&amp;" ("&amp;INDEX('Public Holidays'!$L$6:$L$38,MATCH($B349,'Public Holidays'!$A$6:$A$38,0))&amp;")",""))</f>
        <v/>
      </c>
      <c r="K349" s="246">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44">
        <f>IF($A349="","",INDEX($B$7:$B$36,INT((ROW()-41)/14)+1)&amp;"")</f>
        <v/>
      </c>
    </row>
    <row r="350">
      <c r="A350" s="244">
        <f>IF(INDEX($A$7:$A$36,INT((ROW()-41)/14)+1)="","",INDEX($A$7:$A$36,INT((ROW()-41)/14)+1))</f>
        <v/>
      </c>
      <c r="B350" s="245">
        <f>IF($A350="","",$B$3+MOD(ROW()-41,14))</f>
        <v/>
      </c>
      <c r="C350" s="244">
        <f>IF($A350="","",TEXT($B350,"ddd"))</f>
        <v/>
      </c>
      <c r="D350" s="242">
        <f>IF($A350="","",SUMIFS('EH Timesheets'!$G$6:$G$1005,'EH Timesheets'!$A$6:$A$1005,$A350,'EH Timesheets'!$B$6:$B$1005,$B350))</f>
        <v/>
      </c>
      <c r="E350" s="242">
        <f>IF($A350="","",SUMIFS('EH Roster'!$G$6:$G$1005,'EH Roster'!$A$6:$A$1005,$A350,'EH Roster'!$B$6:$B$1005,$B350))</f>
        <v/>
      </c>
      <c r="F350" s="242">
        <f>IF($A350="","",$D350-$E350)</f>
        <v/>
      </c>
      <c r="G350" s="242">
        <f>IF($A350="","",IF($L350="",0,SUMPRODUCT(('Shared Calendar'!$K$2:$K$1000&gt;0)*('Shared Calendar'!$K$2:$K$1000&lt;=$B350)*('Shared Calendar'!$J$2:$J$1000&gt;$B350)*ISNUMBER(SEARCH($L350,'Shared Calendar'!$M$2:$M$1000))*('Shared Calendar'!$N$2:$N$1000="Event"),'Shared Calendar'!$L$2:$L$1000)))</f>
        <v/>
      </c>
      <c r="H350" s="246">
        <f>IF(OR($A350="",$L350=""),"",IF(SUMPRODUCT(MAX(('Shared Calendar'!$K$2:$K$1000&gt;0)*('Shared Calendar'!$K$2:$K$1000&lt;=$B350)*('Shared Calendar'!$J$2:$J$1000&gt;$B350)*ISNUMBER(SEARCH($L350,'Shared Calendar'!$M$2:$M$1000))*ROW('Shared Calendar'!$A$2:$A$1000)))=0,"",INDEX('Shared Calendar'!$A:$A,SUMPRODUCT(MAX(('Shared Calendar'!$K$2:$K$1000&gt;0)*('Shared Calendar'!$K$2:$K$1000&lt;=$B350)*('Shared Calendar'!$J$2:$J$1000&gt;$B350)*ISNUMBER(SEARCH($L350,'Shared Calendar'!$M$2:$M$1000))*ROW('Shared Calendar'!$A$2:$A$1000))))))</f>
        <v/>
      </c>
      <c r="I350" s="244">
        <f>IF(OR($A350="",$L350=""),"",IF(SUMPRODUCT(('Shared Calendar'!$K$2:$K$1000&gt;0)*('Shared Calendar'!$K$2:$K$1000&lt;=$B350)*('Shared Calendar'!$J$2:$J$1000&gt;$B350)*ISNUMBER(SEARCH($L350,'Shared Calendar'!$M$2:$M$1000))*('Shared Calendar'!$N$2:$N$1000="Leave"))&gt;0,"Leave",""))</f>
        <v/>
      </c>
      <c r="J350" s="244">
        <f>IF($A350="","",IFERROR(INDEX('Public Holidays'!$C$6:$C$38,MATCH($B350,'Public Holidays'!$A$6:$A$38,0))&amp;" ("&amp;INDEX('Public Holidays'!$L$6:$L$38,MATCH($B350,'Public Holidays'!$A$6:$A$38,0))&amp;")",""))</f>
        <v/>
      </c>
      <c r="K350" s="246">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44">
        <f>IF($A350="","",INDEX($B$7:$B$36,INT((ROW()-41)/14)+1)&amp;"")</f>
        <v/>
      </c>
    </row>
    <row r="351">
      <c r="A351" s="244">
        <f>IF(INDEX($A$7:$A$36,INT((ROW()-41)/14)+1)="","",INDEX($A$7:$A$36,INT((ROW()-41)/14)+1))</f>
        <v/>
      </c>
      <c r="B351" s="245">
        <f>IF($A351="","",$B$3+MOD(ROW()-41,14))</f>
        <v/>
      </c>
      <c r="C351" s="244">
        <f>IF($A351="","",TEXT($B351,"ddd"))</f>
        <v/>
      </c>
      <c r="D351" s="242">
        <f>IF($A351="","",SUMIFS('EH Timesheets'!$G$6:$G$1005,'EH Timesheets'!$A$6:$A$1005,$A351,'EH Timesheets'!$B$6:$B$1005,$B351))</f>
        <v/>
      </c>
      <c r="E351" s="242">
        <f>IF($A351="","",SUMIFS('EH Roster'!$G$6:$G$1005,'EH Roster'!$A$6:$A$1005,$A351,'EH Roster'!$B$6:$B$1005,$B351))</f>
        <v/>
      </c>
      <c r="F351" s="242">
        <f>IF($A351="","",$D351-$E351)</f>
        <v/>
      </c>
      <c r="G351" s="242">
        <f>IF($A351="","",IF($L351="",0,SUMPRODUCT(('Shared Calendar'!$K$2:$K$1000&gt;0)*('Shared Calendar'!$K$2:$K$1000&lt;=$B351)*('Shared Calendar'!$J$2:$J$1000&gt;$B351)*ISNUMBER(SEARCH($L351,'Shared Calendar'!$M$2:$M$1000))*('Shared Calendar'!$N$2:$N$1000="Event"),'Shared Calendar'!$L$2:$L$1000)))</f>
        <v/>
      </c>
      <c r="H351" s="246">
        <f>IF(OR($A351="",$L351=""),"",IF(SUMPRODUCT(MAX(('Shared Calendar'!$K$2:$K$1000&gt;0)*('Shared Calendar'!$K$2:$K$1000&lt;=$B351)*('Shared Calendar'!$J$2:$J$1000&gt;$B351)*ISNUMBER(SEARCH($L351,'Shared Calendar'!$M$2:$M$1000))*ROW('Shared Calendar'!$A$2:$A$1000)))=0,"",INDEX('Shared Calendar'!$A:$A,SUMPRODUCT(MAX(('Shared Calendar'!$K$2:$K$1000&gt;0)*('Shared Calendar'!$K$2:$K$1000&lt;=$B351)*('Shared Calendar'!$J$2:$J$1000&gt;$B351)*ISNUMBER(SEARCH($L351,'Shared Calendar'!$M$2:$M$1000))*ROW('Shared Calendar'!$A$2:$A$1000))))))</f>
        <v/>
      </c>
      <c r="I351" s="244">
        <f>IF(OR($A351="",$L351=""),"",IF(SUMPRODUCT(('Shared Calendar'!$K$2:$K$1000&gt;0)*('Shared Calendar'!$K$2:$K$1000&lt;=$B351)*('Shared Calendar'!$J$2:$J$1000&gt;$B351)*ISNUMBER(SEARCH($L351,'Shared Calendar'!$M$2:$M$1000))*('Shared Calendar'!$N$2:$N$1000="Leave"))&gt;0,"Leave",""))</f>
        <v/>
      </c>
      <c r="J351" s="244">
        <f>IF($A351="","",IFERROR(INDEX('Public Holidays'!$C$6:$C$38,MATCH($B351,'Public Holidays'!$A$6:$A$38,0))&amp;" ("&amp;INDEX('Public Holidays'!$L$6:$L$38,MATCH($B351,'Public Holidays'!$A$6:$A$38,0))&amp;")",""))</f>
        <v/>
      </c>
      <c r="K351" s="246">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44">
        <f>IF($A351="","",INDEX($B$7:$B$36,INT((ROW()-41)/14)+1)&amp;"")</f>
        <v/>
      </c>
    </row>
    <row r="352">
      <c r="A352" s="244">
        <f>IF(INDEX($A$7:$A$36,INT((ROW()-41)/14)+1)="","",INDEX($A$7:$A$36,INT((ROW()-41)/14)+1))</f>
        <v/>
      </c>
      <c r="B352" s="245">
        <f>IF($A352="","",$B$3+MOD(ROW()-41,14))</f>
        <v/>
      </c>
      <c r="C352" s="244">
        <f>IF($A352="","",TEXT($B352,"ddd"))</f>
        <v/>
      </c>
      <c r="D352" s="242">
        <f>IF($A352="","",SUMIFS('EH Timesheets'!$G$6:$G$1005,'EH Timesheets'!$A$6:$A$1005,$A352,'EH Timesheets'!$B$6:$B$1005,$B352))</f>
        <v/>
      </c>
      <c r="E352" s="242">
        <f>IF($A352="","",SUMIFS('EH Roster'!$G$6:$G$1005,'EH Roster'!$A$6:$A$1005,$A352,'EH Roster'!$B$6:$B$1005,$B352))</f>
        <v/>
      </c>
      <c r="F352" s="242">
        <f>IF($A352="","",$D352-$E352)</f>
        <v/>
      </c>
      <c r="G352" s="242">
        <f>IF($A352="","",IF($L352="",0,SUMPRODUCT(('Shared Calendar'!$K$2:$K$1000&gt;0)*('Shared Calendar'!$K$2:$K$1000&lt;=$B352)*('Shared Calendar'!$J$2:$J$1000&gt;$B352)*ISNUMBER(SEARCH($L352,'Shared Calendar'!$M$2:$M$1000))*('Shared Calendar'!$N$2:$N$1000="Event"),'Shared Calendar'!$L$2:$L$1000)))</f>
        <v/>
      </c>
      <c r="H352" s="246">
        <f>IF(OR($A352="",$L352=""),"",IF(SUMPRODUCT(MAX(('Shared Calendar'!$K$2:$K$1000&gt;0)*('Shared Calendar'!$K$2:$K$1000&lt;=$B352)*('Shared Calendar'!$J$2:$J$1000&gt;$B352)*ISNUMBER(SEARCH($L352,'Shared Calendar'!$M$2:$M$1000))*ROW('Shared Calendar'!$A$2:$A$1000)))=0,"",INDEX('Shared Calendar'!$A:$A,SUMPRODUCT(MAX(('Shared Calendar'!$K$2:$K$1000&gt;0)*('Shared Calendar'!$K$2:$K$1000&lt;=$B352)*('Shared Calendar'!$J$2:$J$1000&gt;$B352)*ISNUMBER(SEARCH($L352,'Shared Calendar'!$M$2:$M$1000))*ROW('Shared Calendar'!$A$2:$A$1000))))))</f>
        <v/>
      </c>
      <c r="I352" s="244">
        <f>IF(OR($A352="",$L352=""),"",IF(SUMPRODUCT(('Shared Calendar'!$K$2:$K$1000&gt;0)*('Shared Calendar'!$K$2:$K$1000&lt;=$B352)*('Shared Calendar'!$J$2:$J$1000&gt;$B352)*ISNUMBER(SEARCH($L352,'Shared Calendar'!$M$2:$M$1000))*('Shared Calendar'!$N$2:$N$1000="Leave"))&gt;0,"Leave",""))</f>
        <v/>
      </c>
      <c r="J352" s="244">
        <f>IF($A352="","",IFERROR(INDEX('Public Holidays'!$C$6:$C$38,MATCH($B352,'Public Holidays'!$A$6:$A$38,0))&amp;" ("&amp;INDEX('Public Holidays'!$L$6:$L$38,MATCH($B352,'Public Holidays'!$A$6:$A$38,0))&amp;")",""))</f>
        <v/>
      </c>
      <c r="K352" s="246">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44">
        <f>IF($A352="","",INDEX($B$7:$B$36,INT((ROW()-41)/14)+1)&amp;"")</f>
        <v/>
      </c>
    </row>
    <row r="353">
      <c r="A353" s="244">
        <f>IF(INDEX($A$7:$A$36,INT((ROW()-41)/14)+1)="","",INDEX($A$7:$A$36,INT((ROW()-41)/14)+1))</f>
        <v/>
      </c>
      <c r="B353" s="245">
        <f>IF($A353="","",$B$3+MOD(ROW()-41,14))</f>
        <v/>
      </c>
      <c r="C353" s="244">
        <f>IF($A353="","",TEXT($B353,"ddd"))</f>
        <v/>
      </c>
      <c r="D353" s="242">
        <f>IF($A353="","",SUMIFS('EH Timesheets'!$G$6:$G$1005,'EH Timesheets'!$A$6:$A$1005,$A353,'EH Timesheets'!$B$6:$B$1005,$B353))</f>
        <v/>
      </c>
      <c r="E353" s="242">
        <f>IF($A353="","",SUMIFS('EH Roster'!$G$6:$G$1005,'EH Roster'!$A$6:$A$1005,$A353,'EH Roster'!$B$6:$B$1005,$B353))</f>
        <v/>
      </c>
      <c r="F353" s="242">
        <f>IF($A353="","",$D353-$E353)</f>
        <v/>
      </c>
      <c r="G353" s="242">
        <f>IF($A353="","",IF($L353="",0,SUMPRODUCT(('Shared Calendar'!$K$2:$K$1000&gt;0)*('Shared Calendar'!$K$2:$K$1000&lt;=$B353)*('Shared Calendar'!$J$2:$J$1000&gt;$B353)*ISNUMBER(SEARCH($L353,'Shared Calendar'!$M$2:$M$1000))*('Shared Calendar'!$N$2:$N$1000="Event"),'Shared Calendar'!$L$2:$L$1000)))</f>
        <v/>
      </c>
      <c r="H353" s="246">
        <f>IF(OR($A353="",$L353=""),"",IF(SUMPRODUCT(MAX(('Shared Calendar'!$K$2:$K$1000&gt;0)*('Shared Calendar'!$K$2:$K$1000&lt;=$B353)*('Shared Calendar'!$J$2:$J$1000&gt;$B353)*ISNUMBER(SEARCH($L353,'Shared Calendar'!$M$2:$M$1000))*ROW('Shared Calendar'!$A$2:$A$1000)))=0,"",INDEX('Shared Calendar'!$A:$A,SUMPRODUCT(MAX(('Shared Calendar'!$K$2:$K$1000&gt;0)*('Shared Calendar'!$K$2:$K$1000&lt;=$B353)*('Shared Calendar'!$J$2:$J$1000&gt;$B353)*ISNUMBER(SEARCH($L353,'Shared Calendar'!$M$2:$M$1000))*ROW('Shared Calendar'!$A$2:$A$1000))))))</f>
        <v/>
      </c>
      <c r="I353" s="244">
        <f>IF(OR($A353="",$L353=""),"",IF(SUMPRODUCT(('Shared Calendar'!$K$2:$K$1000&gt;0)*('Shared Calendar'!$K$2:$K$1000&lt;=$B353)*('Shared Calendar'!$J$2:$J$1000&gt;$B353)*ISNUMBER(SEARCH($L353,'Shared Calendar'!$M$2:$M$1000))*('Shared Calendar'!$N$2:$N$1000="Leave"))&gt;0,"Leave",""))</f>
        <v/>
      </c>
      <c r="J353" s="244">
        <f>IF($A353="","",IFERROR(INDEX('Public Holidays'!$C$6:$C$38,MATCH($B353,'Public Holidays'!$A$6:$A$38,0))&amp;" ("&amp;INDEX('Public Holidays'!$L$6:$L$38,MATCH($B353,'Public Holidays'!$A$6:$A$38,0))&amp;")",""))</f>
        <v/>
      </c>
      <c r="K353" s="246">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44">
        <f>IF($A353="","",INDEX($B$7:$B$36,INT((ROW()-41)/14)+1)&amp;"")</f>
        <v/>
      </c>
    </row>
    <row r="354">
      <c r="A354" s="244">
        <f>IF(INDEX($A$7:$A$36,INT((ROW()-41)/14)+1)="","",INDEX($A$7:$A$36,INT((ROW()-41)/14)+1))</f>
        <v/>
      </c>
      <c r="B354" s="245">
        <f>IF($A354="","",$B$3+MOD(ROW()-41,14))</f>
        <v/>
      </c>
      <c r="C354" s="244">
        <f>IF($A354="","",TEXT($B354,"ddd"))</f>
        <v/>
      </c>
      <c r="D354" s="242">
        <f>IF($A354="","",SUMIFS('EH Timesheets'!$G$6:$G$1005,'EH Timesheets'!$A$6:$A$1005,$A354,'EH Timesheets'!$B$6:$B$1005,$B354))</f>
        <v/>
      </c>
      <c r="E354" s="242">
        <f>IF($A354="","",SUMIFS('EH Roster'!$G$6:$G$1005,'EH Roster'!$A$6:$A$1005,$A354,'EH Roster'!$B$6:$B$1005,$B354))</f>
        <v/>
      </c>
      <c r="F354" s="242">
        <f>IF($A354="","",$D354-$E354)</f>
        <v/>
      </c>
      <c r="G354" s="242">
        <f>IF($A354="","",IF($L354="",0,SUMPRODUCT(('Shared Calendar'!$K$2:$K$1000&gt;0)*('Shared Calendar'!$K$2:$K$1000&lt;=$B354)*('Shared Calendar'!$J$2:$J$1000&gt;$B354)*ISNUMBER(SEARCH($L354,'Shared Calendar'!$M$2:$M$1000))*('Shared Calendar'!$N$2:$N$1000="Event"),'Shared Calendar'!$L$2:$L$1000)))</f>
        <v/>
      </c>
      <c r="H354" s="246">
        <f>IF(OR($A354="",$L354=""),"",IF(SUMPRODUCT(MAX(('Shared Calendar'!$K$2:$K$1000&gt;0)*('Shared Calendar'!$K$2:$K$1000&lt;=$B354)*('Shared Calendar'!$J$2:$J$1000&gt;$B354)*ISNUMBER(SEARCH($L354,'Shared Calendar'!$M$2:$M$1000))*ROW('Shared Calendar'!$A$2:$A$1000)))=0,"",INDEX('Shared Calendar'!$A:$A,SUMPRODUCT(MAX(('Shared Calendar'!$K$2:$K$1000&gt;0)*('Shared Calendar'!$K$2:$K$1000&lt;=$B354)*('Shared Calendar'!$J$2:$J$1000&gt;$B354)*ISNUMBER(SEARCH($L354,'Shared Calendar'!$M$2:$M$1000))*ROW('Shared Calendar'!$A$2:$A$1000))))))</f>
        <v/>
      </c>
      <c r="I354" s="244">
        <f>IF(OR($A354="",$L354=""),"",IF(SUMPRODUCT(('Shared Calendar'!$K$2:$K$1000&gt;0)*('Shared Calendar'!$K$2:$K$1000&lt;=$B354)*('Shared Calendar'!$J$2:$J$1000&gt;$B354)*ISNUMBER(SEARCH($L354,'Shared Calendar'!$M$2:$M$1000))*('Shared Calendar'!$N$2:$N$1000="Leave"))&gt;0,"Leave",""))</f>
        <v/>
      </c>
      <c r="J354" s="244">
        <f>IF($A354="","",IFERROR(INDEX('Public Holidays'!$C$6:$C$38,MATCH($B354,'Public Holidays'!$A$6:$A$38,0))&amp;" ("&amp;INDEX('Public Holidays'!$L$6:$L$38,MATCH($B354,'Public Holidays'!$A$6:$A$38,0))&amp;")",""))</f>
        <v/>
      </c>
      <c r="K354" s="246">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44">
        <f>IF($A354="","",INDEX($B$7:$B$36,INT((ROW()-41)/14)+1)&amp;"")</f>
        <v/>
      </c>
    </row>
    <row r="355">
      <c r="A355" s="244">
        <f>IF(INDEX($A$7:$A$36,INT((ROW()-41)/14)+1)="","",INDEX($A$7:$A$36,INT((ROW()-41)/14)+1))</f>
        <v/>
      </c>
      <c r="B355" s="245">
        <f>IF($A355="","",$B$3+MOD(ROW()-41,14))</f>
        <v/>
      </c>
      <c r="C355" s="244">
        <f>IF($A355="","",TEXT($B355,"ddd"))</f>
        <v/>
      </c>
      <c r="D355" s="242">
        <f>IF($A355="","",SUMIFS('EH Timesheets'!$G$6:$G$1005,'EH Timesheets'!$A$6:$A$1005,$A355,'EH Timesheets'!$B$6:$B$1005,$B355))</f>
        <v/>
      </c>
      <c r="E355" s="242">
        <f>IF($A355="","",SUMIFS('EH Roster'!$G$6:$G$1005,'EH Roster'!$A$6:$A$1005,$A355,'EH Roster'!$B$6:$B$1005,$B355))</f>
        <v/>
      </c>
      <c r="F355" s="242">
        <f>IF($A355="","",$D355-$E355)</f>
        <v/>
      </c>
      <c r="G355" s="242">
        <f>IF($A355="","",IF($L355="",0,SUMPRODUCT(('Shared Calendar'!$K$2:$K$1000&gt;0)*('Shared Calendar'!$K$2:$K$1000&lt;=$B355)*('Shared Calendar'!$J$2:$J$1000&gt;$B355)*ISNUMBER(SEARCH($L355,'Shared Calendar'!$M$2:$M$1000))*('Shared Calendar'!$N$2:$N$1000="Event"),'Shared Calendar'!$L$2:$L$1000)))</f>
        <v/>
      </c>
      <c r="H355" s="246">
        <f>IF(OR($A355="",$L355=""),"",IF(SUMPRODUCT(MAX(('Shared Calendar'!$K$2:$K$1000&gt;0)*('Shared Calendar'!$K$2:$K$1000&lt;=$B355)*('Shared Calendar'!$J$2:$J$1000&gt;$B355)*ISNUMBER(SEARCH($L355,'Shared Calendar'!$M$2:$M$1000))*ROW('Shared Calendar'!$A$2:$A$1000)))=0,"",INDEX('Shared Calendar'!$A:$A,SUMPRODUCT(MAX(('Shared Calendar'!$K$2:$K$1000&gt;0)*('Shared Calendar'!$K$2:$K$1000&lt;=$B355)*('Shared Calendar'!$J$2:$J$1000&gt;$B355)*ISNUMBER(SEARCH($L355,'Shared Calendar'!$M$2:$M$1000))*ROW('Shared Calendar'!$A$2:$A$1000))))))</f>
        <v/>
      </c>
      <c r="I355" s="244">
        <f>IF(OR($A355="",$L355=""),"",IF(SUMPRODUCT(('Shared Calendar'!$K$2:$K$1000&gt;0)*('Shared Calendar'!$K$2:$K$1000&lt;=$B355)*('Shared Calendar'!$J$2:$J$1000&gt;$B355)*ISNUMBER(SEARCH($L355,'Shared Calendar'!$M$2:$M$1000))*('Shared Calendar'!$N$2:$N$1000="Leave"))&gt;0,"Leave",""))</f>
        <v/>
      </c>
      <c r="J355" s="244">
        <f>IF($A355="","",IFERROR(INDEX('Public Holidays'!$C$6:$C$38,MATCH($B355,'Public Holidays'!$A$6:$A$38,0))&amp;" ("&amp;INDEX('Public Holidays'!$L$6:$L$38,MATCH($B355,'Public Holidays'!$A$6:$A$38,0))&amp;")",""))</f>
        <v/>
      </c>
      <c r="K355" s="246">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44">
        <f>IF($A355="","",INDEX($B$7:$B$36,INT((ROW()-41)/14)+1)&amp;"")</f>
        <v/>
      </c>
    </row>
    <row r="356">
      <c r="A356" s="244">
        <f>IF(INDEX($A$7:$A$36,INT((ROW()-41)/14)+1)="","",INDEX($A$7:$A$36,INT((ROW()-41)/14)+1))</f>
        <v/>
      </c>
      <c r="B356" s="245">
        <f>IF($A356="","",$B$3+MOD(ROW()-41,14))</f>
        <v/>
      </c>
      <c r="C356" s="244">
        <f>IF($A356="","",TEXT($B356,"ddd"))</f>
        <v/>
      </c>
      <c r="D356" s="242">
        <f>IF($A356="","",SUMIFS('EH Timesheets'!$G$6:$G$1005,'EH Timesheets'!$A$6:$A$1005,$A356,'EH Timesheets'!$B$6:$B$1005,$B356))</f>
        <v/>
      </c>
      <c r="E356" s="242">
        <f>IF($A356="","",SUMIFS('EH Roster'!$G$6:$G$1005,'EH Roster'!$A$6:$A$1005,$A356,'EH Roster'!$B$6:$B$1005,$B356))</f>
        <v/>
      </c>
      <c r="F356" s="242">
        <f>IF($A356="","",$D356-$E356)</f>
        <v/>
      </c>
      <c r="G356" s="242">
        <f>IF($A356="","",IF($L356="",0,SUMPRODUCT(('Shared Calendar'!$K$2:$K$1000&gt;0)*('Shared Calendar'!$K$2:$K$1000&lt;=$B356)*('Shared Calendar'!$J$2:$J$1000&gt;$B356)*ISNUMBER(SEARCH($L356,'Shared Calendar'!$M$2:$M$1000))*('Shared Calendar'!$N$2:$N$1000="Event"),'Shared Calendar'!$L$2:$L$1000)))</f>
        <v/>
      </c>
      <c r="H356" s="246">
        <f>IF(OR($A356="",$L356=""),"",IF(SUMPRODUCT(MAX(('Shared Calendar'!$K$2:$K$1000&gt;0)*('Shared Calendar'!$K$2:$K$1000&lt;=$B356)*('Shared Calendar'!$J$2:$J$1000&gt;$B356)*ISNUMBER(SEARCH($L356,'Shared Calendar'!$M$2:$M$1000))*ROW('Shared Calendar'!$A$2:$A$1000)))=0,"",INDEX('Shared Calendar'!$A:$A,SUMPRODUCT(MAX(('Shared Calendar'!$K$2:$K$1000&gt;0)*('Shared Calendar'!$K$2:$K$1000&lt;=$B356)*('Shared Calendar'!$J$2:$J$1000&gt;$B356)*ISNUMBER(SEARCH($L356,'Shared Calendar'!$M$2:$M$1000))*ROW('Shared Calendar'!$A$2:$A$1000))))))</f>
        <v/>
      </c>
      <c r="I356" s="244">
        <f>IF(OR($A356="",$L356=""),"",IF(SUMPRODUCT(('Shared Calendar'!$K$2:$K$1000&gt;0)*('Shared Calendar'!$K$2:$K$1000&lt;=$B356)*('Shared Calendar'!$J$2:$J$1000&gt;$B356)*ISNUMBER(SEARCH($L356,'Shared Calendar'!$M$2:$M$1000))*('Shared Calendar'!$N$2:$N$1000="Leave"))&gt;0,"Leave",""))</f>
        <v/>
      </c>
      <c r="J356" s="244">
        <f>IF($A356="","",IFERROR(INDEX('Public Holidays'!$C$6:$C$38,MATCH($B356,'Public Holidays'!$A$6:$A$38,0))&amp;" ("&amp;INDEX('Public Holidays'!$L$6:$L$38,MATCH($B356,'Public Holidays'!$A$6:$A$38,0))&amp;")",""))</f>
        <v/>
      </c>
      <c r="K356" s="246">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44">
        <f>IF($A356="","",INDEX($B$7:$B$36,INT((ROW()-41)/14)+1)&amp;"")</f>
        <v/>
      </c>
    </row>
    <row r="357">
      <c r="A357" s="244">
        <f>IF(INDEX($A$7:$A$36,INT((ROW()-41)/14)+1)="","",INDEX($A$7:$A$36,INT((ROW()-41)/14)+1))</f>
        <v/>
      </c>
      <c r="B357" s="245">
        <f>IF($A357="","",$B$3+MOD(ROW()-41,14))</f>
        <v/>
      </c>
      <c r="C357" s="244">
        <f>IF($A357="","",TEXT($B357,"ddd"))</f>
        <v/>
      </c>
      <c r="D357" s="242">
        <f>IF($A357="","",SUMIFS('EH Timesheets'!$G$6:$G$1005,'EH Timesheets'!$A$6:$A$1005,$A357,'EH Timesheets'!$B$6:$B$1005,$B357))</f>
        <v/>
      </c>
      <c r="E357" s="242">
        <f>IF($A357="","",SUMIFS('EH Roster'!$G$6:$G$1005,'EH Roster'!$A$6:$A$1005,$A357,'EH Roster'!$B$6:$B$1005,$B357))</f>
        <v/>
      </c>
      <c r="F357" s="242">
        <f>IF($A357="","",$D357-$E357)</f>
        <v/>
      </c>
      <c r="G357" s="242">
        <f>IF($A357="","",IF($L357="",0,SUMPRODUCT(('Shared Calendar'!$K$2:$K$1000&gt;0)*('Shared Calendar'!$K$2:$K$1000&lt;=$B357)*('Shared Calendar'!$J$2:$J$1000&gt;$B357)*ISNUMBER(SEARCH($L357,'Shared Calendar'!$M$2:$M$1000))*('Shared Calendar'!$N$2:$N$1000="Event"),'Shared Calendar'!$L$2:$L$1000)))</f>
        <v/>
      </c>
      <c r="H357" s="246">
        <f>IF(OR($A357="",$L357=""),"",IF(SUMPRODUCT(MAX(('Shared Calendar'!$K$2:$K$1000&gt;0)*('Shared Calendar'!$K$2:$K$1000&lt;=$B357)*('Shared Calendar'!$J$2:$J$1000&gt;$B357)*ISNUMBER(SEARCH($L357,'Shared Calendar'!$M$2:$M$1000))*ROW('Shared Calendar'!$A$2:$A$1000)))=0,"",INDEX('Shared Calendar'!$A:$A,SUMPRODUCT(MAX(('Shared Calendar'!$K$2:$K$1000&gt;0)*('Shared Calendar'!$K$2:$K$1000&lt;=$B357)*('Shared Calendar'!$J$2:$J$1000&gt;$B357)*ISNUMBER(SEARCH($L357,'Shared Calendar'!$M$2:$M$1000))*ROW('Shared Calendar'!$A$2:$A$1000))))))</f>
        <v/>
      </c>
      <c r="I357" s="244">
        <f>IF(OR($A357="",$L357=""),"",IF(SUMPRODUCT(('Shared Calendar'!$K$2:$K$1000&gt;0)*('Shared Calendar'!$K$2:$K$1000&lt;=$B357)*('Shared Calendar'!$J$2:$J$1000&gt;$B357)*ISNUMBER(SEARCH($L357,'Shared Calendar'!$M$2:$M$1000))*('Shared Calendar'!$N$2:$N$1000="Leave"))&gt;0,"Leave",""))</f>
        <v/>
      </c>
      <c r="J357" s="244">
        <f>IF($A357="","",IFERROR(INDEX('Public Holidays'!$C$6:$C$38,MATCH($B357,'Public Holidays'!$A$6:$A$38,0))&amp;" ("&amp;INDEX('Public Holidays'!$L$6:$L$38,MATCH($B357,'Public Holidays'!$A$6:$A$38,0))&amp;")",""))</f>
        <v/>
      </c>
      <c r="K357" s="246">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44">
        <f>IF($A357="","",INDEX($B$7:$B$36,INT((ROW()-41)/14)+1)&amp;"")</f>
        <v/>
      </c>
    </row>
    <row r="358">
      <c r="A358" s="244">
        <f>IF(INDEX($A$7:$A$36,INT((ROW()-41)/14)+1)="","",INDEX($A$7:$A$36,INT((ROW()-41)/14)+1))</f>
        <v/>
      </c>
      <c r="B358" s="245">
        <f>IF($A358="","",$B$3+MOD(ROW()-41,14))</f>
        <v/>
      </c>
      <c r="C358" s="244">
        <f>IF($A358="","",TEXT($B358,"ddd"))</f>
        <v/>
      </c>
      <c r="D358" s="242">
        <f>IF($A358="","",SUMIFS('EH Timesheets'!$G$6:$G$1005,'EH Timesheets'!$A$6:$A$1005,$A358,'EH Timesheets'!$B$6:$B$1005,$B358))</f>
        <v/>
      </c>
      <c r="E358" s="242">
        <f>IF($A358="","",SUMIFS('EH Roster'!$G$6:$G$1005,'EH Roster'!$A$6:$A$1005,$A358,'EH Roster'!$B$6:$B$1005,$B358))</f>
        <v/>
      </c>
      <c r="F358" s="242">
        <f>IF($A358="","",$D358-$E358)</f>
        <v/>
      </c>
      <c r="G358" s="242">
        <f>IF($A358="","",IF($L358="",0,SUMPRODUCT(('Shared Calendar'!$K$2:$K$1000&gt;0)*('Shared Calendar'!$K$2:$K$1000&lt;=$B358)*('Shared Calendar'!$J$2:$J$1000&gt;$B358)*ISNUMBER(SEARCH($L358,'Shared Calendar'!$M$2:$M$1000))*('Shared Calendar'!$N$2:$N$1000="Event"),'Shared Calendar'!$L$2:$L$1000)))</f>
        <v/>
      </c>
      <c r="H358" s="246">
        <f>IF(OR($A358="",$L358=""),"",IF(SUMPRODUCT(MAX(('Shared Calendar'!$K$2:$K$1000&gt;0)*('Shared Calendar'!$K$2:$K$1000&lt;=$B358)*('Shared Calendar'!$J$2:$J$1000&gt;$B358)*ISNUMBER(SEARCH($L358,'Shared Calendar'!$M$2:$M$1000))*ROW('Shared Calendar'!$A$2:$A$1000)))=0,"",INDEX('Shared Calendar'!$A:$A,SUMPRODUCT(MAX(('Shared Calendar'!$K$2:$K$1000&gt;0)*('Shared Calendar'!$K$2:$K$1000&lt;=$B358)*('Shared Calendar'!$J$2:$J$1000&gt;$B358)*ISNUMBER(SEARCH($L358,'Shared Calendar'!$M$2:$M$1000))*ROW('Shared Calendar'!$A$2:$A$1000))))))</f>
        <v/>
      </c>
      <c r="I358" s="244">
        <f>IF(OR($A358="",$L358=""),"",IF(SUMPRODUCT(('Shared Calendar'!$K$2:$K$1000&gt;0)*('Shared Calendar'!$K$2:$K$1000&lt;=$B358)*('Shared Calendar'!$J$2:$J$1000&gt;$B358)*ISNUMBER(SEARCH($L358,'Shared Calendar'!$M$2:$M$1000))*('Shared Calendar'!$N$2:$N$1000="Leave"))&gt;0,"Leave",""))</f>
        <v/>
      </c>
      <c r="J358" s="244">
        <f>IF($A358="","",IFERROR(INDEX('Public Holidays'!$C$6:$C$38,MATCH($B358,'Public Holidays'!$A$6:$A$38,0))&amp;" ("&amp;INDEX('Public Holidays'!$L$6:$L$38,MATCH($B358,'Public Holidays'!$A$6:$A$38,0))&amp;")",""))</f>
        <v/>
      </c>
      <c r="K358" s="246">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44">
        <f>IF($A358="","",INDEX($B$7:$B$36,INT((ROW()-41)/14)+1)&amp;"")</f>
        <v/>
      </c>
    </row>
    <row r="359">
      <c r="A359" s="244">
        <f>IF(INDEX($A$7:$A$36,INT((ROW()-41)/14)+1)="","",INDEX($A$7:$A$36,INT((ROW()-41)/14)+1))</f>
        <v/>
      </c>
      <c r="B359" s="245">
        <f>IF($A359="","",$B$3+MOD(ROW()-41,14))</f>
        <v/>
      </c>
      <c r="C359" s="244">
        <f>IF($A359="","",TEXT($B359,"ddd"))</f>
        <v/>
      </c>
      <c r="D359" s="242">
        <f>IF($A359="","",SUMIFS('EH Timesheets'!$G$6:$G$1005,'EH Timesheets'!$A$6:$A$1005,$A359,'EH Timesheets'!$B$6:$B$1005,$B359))</f>
        <v/>
      </c>
      <c r="E359" s="242">
        <f>IF($A359="","",SUMIFS('EH Roster'!$G$6:$G$1005,'EH Roster'!$A$6:$A$1005,$A359,'EH Roster'!$B$6:$B$1005,$B359))</f>
        <v/>
      </c>
      <c r="F359" s="242">
        <f>IF($A359="","",$D359-$E359)</f>
        <v/>
      </c>
      <c r="G359" s="242">
        <f>IF($A359="","",IF($L359="",0,SUMPRODUCT(('Shared Calendar'!$K$2:$K$1000&gt;0)*('Shared Calendar'!$K$2:$K$1000&lt;=$B359)*('Shared Calendar'!$J$2:$J$1000&gt;$B359)*ISNUMBER(SEARCH($L359,'Shared Calendar'!$M$2:$M$1000))*('Shared Calendar'!$N$2:$N$1000="Event"),'Shared Calendar'!$L$2:$L$1000)))</f>
        <v/>
      </c>
      <c r="H359" s="246">
        <f>IF(OR($A359="",$L359=""),"",IF(SUMPRODUCT(MAX(('Shared Calendar'!$K$2:$K$1000&gt;0)*('Shared Calendar'!$K$2:$K$1000&lt;=$B359)*('Shared Calendar'!$J$2:$J$1000&gt;$B359)*ISNUMBER(SEARCH($L359,'Shared Calendar'!$M$2:$M$1000))*ROW('Shared Calendar'!$A$2:$A$1000)))=0,"",INDEX('Shared Calendar'!$A:$A,SUMPRODUCT(MAX(('Shared Calendar'!$K$2:$K$1000&gt;0)*('Shared Calendar'!$K$2:$K$1000&lt;=$B359)*('Shared Calendar'!$J$2:$J$1000&gt;$B359)*ISNUMBER(SEARCH($L359,'Shared Calendar'!$M$2:$M$1000))*ROW('Shared Calendar'!$A$2:$A$1000))))))</f>
        <v/>
      </c>
      <c r="I359" s="244">
        <f>IF(OR($A359="",$L359=""),"",IF(SUMPRODUCT(('Shared Calendar'!$K$2:$K$1000&gt;0)*('Shared Calendar'!$K$2:$K$1000&lt;=$B359)*('Shared Calendar'!$J$2:$J$1000&gt;$B359)*ISNUMBER(SEARCH($L359,'Shared Calendar'!$M$2:$M$1000))*('Shared Calendar'!$N$2:$N$1000="Leave"))&gt;0,"Leave",""))</f>
        <v/>
      </c>
      <c r="J359" s="244">
        <f>IF($A359="","",IFERROR(INDEX('Public Holidays'!$C$6:$C$38,MATCH($B359,'Public Holidays'!$A$6:$A$38,0))&amp;" ("&amp;INDEX('Public Holidays'!$L$6:$L$38,MATCH($B359,'Public Holidays'!$A$6:$A$38,0))&amp;")",""))</f>
        <v/>
      </c>
      <c r="K359" s="246">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44">
        <f>IF($A359="","",INDEX($B$7:$B$36,INT((ROW()-41)/14)+1)&amp;"")</f>
        <v/>
      </c>
    </row>
    <row r="360">
      <c r="A360" s="244">
        <f>IF(INDEX($A$7:$A$36,INT((ROW()-41)/14)+1)="","",INDEX($A$7:$A$36,INT((ROW()-41)/14)+1))</f>
        <v/>
      </c>
      <c r="B360" s="245">
        <f>IF($A360="","",$B$3+MOD(ROW()-41,14))</f>
        <v/>
      </c>
      <c r="C360" s="244">
        <f>IF($A360="","",TEXT($B360,"ddd"))</f>
        <v/>
      </c>
      <c r="D360" s="242">
        <f>IF($A360="","",SUMIFS('EH Timesheets'!$G$6:$G$1005,'EH Timesheets'!$A$6:$A$1005,$A360,'EH Timesheets'!$B$6:$B$1005,$B360))</f>
        <v/>
      </c>
      <c r="E360" s="242">
        <f>IF($A360="","",SUMIFS('EH Roster'!$G$6:$G$1005,'EH Roster'!$A$6:$A$1005,$A360,'EH Roster'!$B$6:$B$1005,$B360))</f>
        <v/>
      </c>
      <c r="F360" s="242">
        <f>IF($A360="","",$D360-$E360)</f>
        <v/>
      </c>
      <c r="G360" s="242">
        <f>IF($A360="","",IF($L360="",0,SUMPRODUCT(('Shared Calendar'!$K$2:$K$1000&gt;0)*('Shared Calendar'!$K$2:$K$1000&lt;=$B360)*('Shared Calendar'!$J$2:$J$1000&gt;$B360)*ISNUMBER(SEARCH($L360,'Shared Calendar'!$M$2:$M$1000))*('Shared Calendar'!$N$2:$N$1000="Event"),'Shared Calendar'!$L$2:$L$1000)))</f>
        <v/>
      </c>
      <c r="H360" s="246">
        <f>IF(OR($A360="",$L360=""),"",IF(SUMPRODUCT(MAX(('Shared Calendar'!$K$2:$K$1000&gt;0)*('Shared Calendar'!$K$2:$K$1000&lt;=$B360)*('Shared Calendar'!$J$2:$J$1000&gt;$B360)*ISNUMBER(SEARCH($L360,'Shared Calendar'!$M$2:$M$1000))*ROW('Shared Calendar'!$A$2:$A$1000)))=0,"",INDEX('Shared Calendar'!$A:$A,SUMPRODUCT(MAX(('Shared Calendar'!$K$2:$K$1000&gt;0)*('Shared Calendar'!$K$2:$K$1000&lt;=$B360)*('Shared Calendar'!$J$2:$J$1000&gt;$B360)*ISNUMBER(SEARCH($L360,'Shared Calendar'!$M$2:$M$1000))*ROW('Shared Calendar'!$A$2:$A$1000))))))</f>
        <v/>
      </c>
      <c r="I360" s="244">
        <f>IF(OR($A360="",$L360=""),"",IF(SUMPRODUCT(('Shared Calendar'!$K$2:$K$1000&gt;0)*('Shared Calendar'!$K$2:$K$1000&lt;=$B360)*('Shared Calendar'!$J$2:$J$1000&gt;$B360)*ISNUMBER(SEARCH($L360,'Shared Calendar'!$M$2:$M$1000))*('Shared Calendar'!$N$2:$N$1000="Leave"))&gt;0,"Leave",""))</f>
        <v/>
      </c>
      <c r="J360" s="244">
        <f>IF($A360="","",IFERROR(INDEX('Public Holidays'!$C$6:$C$38,MATCH($B360,'Public Holidays'!$A$6:$A$38,0))&amp;" ("&amp;INDEX('Public Holidays'!$L$6:$L$38,MATCH($B360,'Public Holidays'!$A$6:$A$38,0))&amp;")",""))</f>
        <v/>
      </c>
      <c r="K360" s="246">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44">
        <f>IF($A360="","",INDEX($B$7:$B$36,INT((ROW()-41)/14)+1)&amp;"")</f>
        <v/>
      </c>
    </row>
    <row r="361">
      <c r="A361" s="244">
        <f>IF(INDEX($A$7:$A$36,INT((ROW()-41)/14)+1)="","",INDEX($A$7:$A$36,INT((ROW()-41)/14)+1))</f>
        <v/>
      </c>
      <c r="B361" s="245">
        <f>IF($A361="","",$B$3+MOD(ROW()-41,14))</f>
        <v/>
      </c>
      <c r="C361" s="244">
        <f>IF($A361="","",TEXT($B361,"ddd"))</f>
        <v/>
      </c>
      <c r="D361" s="242">
        <f>IF($A361="","",SUMIFS('EH Timesheets'!$G$6:$G$1005,'EH Timesheets'!$A$6:$A$1005,$A361,'EH Timesheets'!$B$6:$B$1005,$B361))</f>
        <v/>
      </c>
      <c r="E361" s="242">
        <f>IF($A361="","",SUMIFS('EH Roster'!$G$6:$G$1005,'EH Roster'!$A$6:$A$1005,$A361,'EH Roster'!$B$6:$B$1005,$B361))</f>
        <v/>
      </c>
      <c r="F361" s="242">
        <f>IF($A361="","",$D361-$E361)</f>
        <v/>
      </c>
      <c r="G361" s="242">
        <f>IF($A361="","",IF($L361="",0,SUMPRODUCT(('Shared Calendar'!$K$2:$K$1000&gt;0)*('Shared Calendar'!$K$2:$K$1000&lt;=$B361)*('Shared Calendar'!$J$2:$J$1000&gt;$B361)*ISNUMBER(SEARCH($L361,'Shared Calendar'!$M$2:$M$1000))*('Shared Calendar'!$N$2:$N$1000="Event"),'Shared Calendar'!$L$2:$L$1000)))</f>
        <v/>
      </c>
      <c r="H361" s="246">
        <f>IF(OR($A361="",$L361=""),"",IF(SUMPRODUCT(MAX(('Shared Calendar'!$K$2:$K$1000&gt;0)*('Shared Calendar'!$K$2:$K$1000&lt;=$B361)*('Shared Calendar'!$J$2:$J$1000&gt;$B361)*ISNUMBER(SEARCH($L361,'Shared Calendar'!$M$2:$M$1000))*ROW('Shared Calendar'!$A$2:$A$1000)))=0,"",INDEX('Shared Calendar'!$A:$A,SUMPRODUCT(MAX(('Shared Calendar'!$K$2:$K$1000&gt;0)*('Shared Calendar'!$K$2:$K$1000&lt;=$B361)*('Shared Calendar'!$J$2:$J$1000&gt;$B361)*ISNUMBER(SEARCH($L361,'Shared Calendar'!$M$2:$M$1000))*ROW('Shared Calendar'!$A$2:$A$1000))))))</f>
        <v/>
      </c>
      <c r="I361" s="244">
        <f>IF(OR($A361="",$L361=""),"",IF(SUMPRODUCT(('Shared Calendar'!$K$2:$K$1000&gt;0)*('Shared Calendar'!$K$2:$K$1000&lt;=$B361)*('Shared Calendar'!$J$2:$J$1000&gt;$B361)*ISNUMBER(SEARCH($L361,'Shared Calendar'!$M$2:$M$1000))*('Shared Calendar'!$N$2:$N$1000="Leave"))&gt;0,"Leave",""))</f>
        <v/>
      </c>
      <c r="J361" s="244">
        <f>IF($A361="","",IFERROR(INDEX('Public Holidays'!$C$6:$C$38,MATCH($B361,'Public Holidays'!$A$6:$A$38,0))&amp;" ("&amp;INDEX('Public Holidays'!$L$6:$L$38,MATCH($B361,'Public Holidays'!$A$6:$A$38,0))&amp;")",""))</f>
        <v/>
      </c>
      <c r="K361" s="246">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44">
        <f>IF($A361="","",INDEX($B$7:$B$36,INT((ROW()-41)/14)+1)&amp;"")</f>
        <v/>
      </c>
    </row>
    <row r="362">
      <c r="A362" s="244">
        <f>IF(INDEX($A$7:$A$36,INT((ROW()-41)/14)+1)="","",INDEX($A$7:$A$36,INT((ROW()-41)/14)+1))</f>
        <v/>
      </c>
      <c r="B362" s="245">
        <f>IF($A362="","",$B$3+MOD(ROW()-41,14))</f>
        <v/>
      </c>
      <c r="C362" s="244">
        <f>IF($A362="","",TEXT($B362,"ddd"))</f>
        <v/>
      </c>
      <c r="D362" s="242">
        <f>IF($A362="","",SUMIFS('EH Timesheets'!$G$6:$G$1005,'EH Timesheets'!$A$6:$A$1005,$A362,'EH Timesheets'!$B$6:$B$1005,$B362))</f>
        <v/>
      </c>
      <c r="E362" s="242">
        <f>IF($A362="","",SUMIFS('EH Roster'!$G$6:$G$1005,'EH Roster'!$A$6:$A$1005,$A362,'EH Roster'!$B$6:$B$1005,$B362))</f>
        <v/>
      </c>
      <c r="F362" s="242">
        <f>IF($A362="","",$D362-$E362)</f>
        <v/>
      </c>
      <c r="G362" s="242">
        <f>IF($A362="","",IF($L362="",0,SUMPRODUCT(('Shared Calendar'!$K$2:$K$1000&gt;0)*('Shared Calendar'!$K$2:$K$1000&lt;=$B362)*('Shared Calendar'!$J$2:$J$1000&gt;$B362)*ISNUMBER(SEARCH($L362,'Shared Calendar'!$M$2:$M$1000))*('Shared Calendar'!$N$2:$N$1000="Event"),'Shared Calendar'!$L$2:$L$1000)))</f>
        <v/>
      </c>
      <c r="H362" s="246">
        <f>IF(OR($A362="",$L362=""),"",IF(SUMPRODUCT(MAX(('Shared Calendar'!$K$2:$K$1000&gt;0)*('Shared Calendar'!$K$2:$K$1000&lt;=$B362)*('Shared Calendar'!$J$2:$J$1000&gt;$B362)*ISNUMBER(SEARCH($L362,'Shared Calendar'!$M$2:$M$1000))*ROW('Shared Calendar'!$A$2:$A$1000)))=0,"",INDEX('Shared Calendar'!$A:$A,SUMPRODUCT(MAX(('Shared Calendar'!$K$2:$K$1000&gt;0)*('Shared Calendar'!$K$2:$K$1000&lt;=$B362)*('Shared Calendar'!$J$2:$J$1000&gt;$B362)*ISNUMBER(SEARCH($L362,'Shared Calendar'!$M$2:$M$1000))*ROW('Shared Calendar'!$A$2:$A$1000))))))</f>
        <v/>
      </c>
      <c r="I362" s="244">
        <f>IF(OR($A362="",$L362=""),"",IF(SUMPRODUCT(('Shared Calendar'!$K$2:$K$1000&gt;0)*('Shared Calendar'!$K$2:$K$1000&lt;=$B362)*('Shared Calendar'!$J$2:$J$1000&gt;$B362)*ISNUMBER(SEARCH($L362,'Shared Calendar'!$M$2:$M$1000))*('Shared Calendar'!$N$2:$N$1000="Leave"))&gt;0,"Leave",""))</f>
        <v/>
      </c>
      <c r="J362" s="244">
        <f>IF($A362="","",IFERROR(INDEX('Public Holidays'!$C$6:$C$38,MATCH($B362,'Public Holidays'!$A$6:$A$38,0))&amp;" ("&amp;INDEX('Public Holidays'!$L$6:$L$38,MATCH($B362,'Public Holidays'!$A$6:$A$38,0))&amp;")",""))</f>
        <v/>
      </c>
      <c r="K362" s="246">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44">
        <f>IF($A362="","",INDEX($B$7:$B$36,INT((ROW()-41)/14)+1)&amp;"")</f>
        <v/>
      </c>
    </row>
    <row r="363">
      <c r="A363" s="244">
        <f>IF(INDEX($A$7:$A$36,INT((ROW()-41)/14)+1)="","",INDEX($A$7:$A$36,INT((ROW()-41)/14)+1))</f>
        <v/>
      </c>
      <c r="B363" s="245">
        <f>IF($A363="","",$B$3+MOD(ROW()-41,14))</f>
        <v/>
      </c>
      <c r="C363" s="244">
        <f>IF($A363="","",TEXT($B363,"ddd"))</f>
        <v/>
      </c>
      <c r="D363" s="242">
        <f>IF($A363="","",SUMIFS('EH Timesheets'!$G$6:$G$1005,'EH Timesheets'!$A$6:$A$1005,$A363,'EH Timesheets'!$B$6:$B$1005,$B363))</f>
        <v/>
      </c>
      <c r="E363" s="242">
        <f>IF($A363="","",SUMIFS('EH Roster'!$G$6:$G$1005,'EH Roster'!$A$6:$A$1005,$A363,'EH Roster'!$B$6:$B$1005,$B363))</f>
        <v/>
      </c>
      <c r="F363" s="242">
        <f>IF($A363="","",$D363-$E363)</f>
        <v/>
      </c>
      <c r="G363" s="242">
        <f>IF($A363="","",IF($L363="",0,SUMPRODUCT(('Shared Calendar'!$K$2:$K$1000&gt;0)*('Shared Calendar'!$K$2:$K$1000&lt;=$B363)*('Shared Calendar'!$J$2:$J$1000&gt;$B363)*ISNUMBER(SEARCH($L363,'Shared Calendar'!$M$2:$M$1000))*('Shared Calendar'!$N$2:$N$1000="Event"),'Shared Calendar'!$L$2:$L$1000)))</f>
        <v/>
      </c>
      <c r="H363" s="246">
        <f>IF(OR($A363="",$L363=""),"",IF(SUMPRODUCT(MAX(('Shared Calendar'!$K$2:$K$1000&gt;0)*('Shared Calendar'!$K$2:$K$1000&lt;=$B363)*('Shared Calendar'!$J$2:$J$1000&gt;$B363)*ISNUMBER(SEARCH($L363,'Shared Calendar'!$M$2:$M$1000))*ROW('Shared Calendar'!$A$2:$A$1000)))=0,"",INDEX('Shared Calendar'!$A:$A,SUMPRODUCT(MAX(('Shared Calendar'!$K$2:$K$1000&gt;0)*('Shared Calendar'!$K$2:$K$1000&lt;=$B363)*('Shared Calendar'!$J$2:$J$1000&gt;$B363)*ISNUMBER(SEARCH($L363,'Shared Calendar'!$M$2:$M$1000))*ROW('Shared Calendar'!$A$2:$A$1000))))))</f>
        <v/>
      </c>
      <c r="I363" s="244">
        <f>IF(OR($A363="",$L363=""),"",IF(SUMPRODUCT(('Shared Calendar'!$K$2:$K$1000&gt;0)*('Shared Calendar'!$K$2:$K$1000&lt;=$B363)*('Shared Calendar'!$J$2:$J$1000&gt;$B363)*ISNUMBER(SEARCH($L363,'Shared Calendar'!$M$2:$M$1000))*('Shared Calendar'!$N$2:$N$1000="Leave"))&gt;0,"Leave",""))</f>
        <v/>
      </c>
      <c r="J363" s="244">
        <f>IF($A363="","",IFERROR(INDEX('Public Holidays'!$C$6:$C$38,MATCH($B363,'Public Holidays'!$A$6:$A$38,0))&amp;" ("&amp;INDEX('Public Holidays'!$L$6:$L$38,MATCH($B363,'Public Holidays'!$A$6:$A$38,0))&amp;")",""))</f>
        <v/>
      </c>
      <c r="K363" s="246">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44">
        <f>IF($A363="","",INDEX($B$7:$B$36,INT((ROW()-41)/14)+1)&amp;"")</f>
        <v/>
      </c>
    </row>
    <row r="364">
      <c r="A364" s="244">
        <f>IF(INDEX($A$7:$A$36,INT((ROW()-41)/14)+1)="","",INDEX($A$7:$A$36,INT((ROW()-41)/14)+1))</f>
        <v/>
      </c>
      <c r="B364" s="245">
        <f>IF($A364="","",$B$3+MOD(ROW()-41,14))</f>
        <v/>
      </c>
      <c r="C364" s="244">
        <f>IF($A364="","",TEXT($B364,"ddd"))</f>
        <v/>
      </c>
      <c r="D364" s="242">
        <f>IF($A364="","",SUMIFS('EH Timesheets'!$G$6:$G$1005,'EH Timesheets'!$A$6:$A$1005,$A364,'EH Timesheets'!$B$6:$B$1005,$B364))</f>
        <v/>
      </c>
      <c r="E364" s="242">
        <f>IF($A364="","",SUMIFS('EH Roster'!$G$6:$G$1005,'EH Roster'!$A$6:$A$1005,$A364,'EH Roster'!$B$6:$B$1005,$B364))</f>
        <v/>
      </c>
      <c r="F364" s="242">
        <f>IF($A364="","",$D364-$E364)</f>
        <v/>
      </c>
      <c r="G364" s="242">
        <f>IF($A364="","",IF($L364="",0,SUMPRODUCT(('Shared Calendar'!$K$2:$K$1000&gt;0)*('Shared Calendar'!$K$2:$K$1000&lt;=$B364)*('Shared Calendar'!$J$2:$J$1000&gt;$B364)*ISNUMBER(SEARCH($L364,'Shared Calendar'!$M$2:$M$1000))*('Shared Calendar'!$N$2:$N$1000="Event"),'Shared Calendar'!$L$2:$L$1000)))</f>
        <v/>
      </c>
      <c r="H364" s="246">
        <f>IF(OR($A364="",$L364=""),"",IF(SUMPRODUCT(MAX(('Shared Calendar'!$K$2:$K$1000&gt;0)*('Shared Calendar'!$K$2:$K$1000&lt;=$B364)*('Shared Calendar'!$J$2:$J$1000&gt;$B364)*ISNUMBER(SEARCH($L364,'Shared Calendar'!$M$2:$M$1000))*ROW('Shared Calendar'!$A$2:$A$1000)))=0,"",INDEX('Shared Calendar'!$A:$A,SUMPRODUCT(MAX(('Shared Calendar'!$K$2:$K$1000&gt;0)*('Shared Calendar'!$K$2:$K$1000&lt;=$B364)*('Shared Calendar'!$J$2:$J$1000&gt;$B364)*ISNUMBER(SEARCH($L364,'Shared Calendar'!$M$2:$M$1000))*ROW('Shared Calendar'!$A$2:$A$1000))))))</f>
        <v/>
      </c>
      <c r="I364" s="244">
        <f>IF(OR($A364="",$L364=""),"",IF(SUMPRODUCT(('Shared Calendar'!$K$2:$K$1000&gt;0)*('Shared Calendar'!$K$2:$K$1000&lt;=$B364)*('Shared Calendar'!$J$2:$J$1000&gt;$B364)*ISNUMBER(SEARCH($L364,'Shared Calendar'!$M$2:$M$1000))*('Shared Calendar'!$N$2:$N$1000="Leave"))&gt;0,"Leave",""))</f>
        <v/>
      </c>
      <c r="J364" s="244">
        <f>IF($A364="","",IFERROR(INDEX('Public Holidays'!$C$6:$C$38,MATCH($B364,'Public Holidays'!$A$6:$A$38,0))&amp;" ("&amp;INDEX('Public Holidays'!$L$6:$L$38,MATCH($B364,'Public Holidays'!$A$6:$A$38,0))&amp;")",""))</f>
        <v/>
      </c>
      <c r="K364" s="246">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44">
        <f>IF($A364="","",INDEX($B$7:$B$36,INT((ROW()-41)/14)+1)&amp;"")</f>
        <v/>
      </c>
    </row>
    <row r="365">
      <c r="A365" s="244">
        <f>IF(INDEX($A$7:$A$36,INT((ROW()-41)/14)+1)="","",INDEX($A$7:$A$36,INT((ROW()-41)/14)+1))</f>
        <v/>
      </c>
      <c r="B365" s="245">
        <f>IF($A365="","",$B$3+MOD(ROW()-41,14))</f>
        <v/>
      </c>
      <c r="C365" s="244">
        <f>IF($A365="","",TEXT($B365,"ddd"))</f>
        <v/>
      </c>
      <c r="D365" s="242">
        <f>IF($A365="","",SUMIFS('EH Timesheets'!$G$6:$G$1005,'EH Timesheets'!$A$6:$A$1005,$A365,'EH Timesheets'!$B$6:$B$1005,$B365))</f>
        <v/>
      </c>
      <c r="E365" s="242">
        <f>IF($A365="","",SUMIFS('EH Roster'!$G$6:$G$1005,'EH Roster'!$A$6:$A$1005,$A365,'EH Roster'!$B$6:$B$1005,$B365))</f>
        <v/>
      </c>
      <c r="F365" s="242">
        <f>IF($A365="","",$D365-$E365)</f>
        <v/>
      </c>
      <c r="G365" s="242">
        <f>IF($A365="","",IF($L365="",0,SUMPRODUCT(('Shared Calendar'!$K$2:$K$1000&gt;0)*('Shared Calendar'!$K$2:$K$1000&lt;=$B365)*('Shared Calendar'!$J$2:$J$1000&gt;$B365)*ISNUMBER(SEARCH($L365,'Shared Calendar'!$M$2:$M$1000))*('Shared Calendar'!$N$2:$N$1000="Event"),'Shared Calendar'!$L$2:$L$1000)))</f>
        <v/>
      </c>
      <c r="H365" s="246">
        <f>IF(OR($A365="",$L365=""),"",IF(SUMPRODUCT(MAX(('Shared Calendar'!$K$2:$K$1000&gt;0)*('Shared Calendar'!$K$2:$K$1000&lt;=$B365)*('Shared Calendar'!$J$2:$J$1000&gt;$B365)*ISNUMBER(SEARCH($L365,'Shared Calendar'!$M$2:$M$1000))*ROW('Shared Calendar'!$A$2:$A$1000)))=0,"",INDEX('Shared Calendar'!$A:$A,SUMPRODUCT(MAX(('Shared Calendar'!$K$2:$K$1000&gt;0)*('Shared Calendar'!$K$2:$K$1000&lt;=$B365)*('Shared Calendar'!$J$2:$J$1000&gt;$B365)*ISNUMBER(SEARCH($L365,'Shared Calendar'!$M$2:$M$1000))*ROW('Shared Calendar'!$A$2:$A$1000))))))</f>
        <v/>
      </c>
      <c r="I365" s="244">
        <f>IF(OR($A365="",$L365=""),"",IF(SUMPRODUCT(('Shared Calendar'!$K$2:$K$1000&gt;0)*('Shared Calendar'!$K$2:$K$1000&lt;=$B365)*('Shared Calendar'!$J$2:$J$1000&gt;$B365)*ISNUMBER(SEARCH($L365,'Shared Calendar'!$M$2:$M$1000))*('Shared Calendar'!$N$2:$N$1000="Leave"))&gt;0,"Leave",""))</f>
        <v/>
      </c>
      <c r="J365" s="244">
        <f>IF($A365="","",IFERROR(INDEX('Public Holidays'!$C$6:$C$38,MATCH($B365,'Public Holidays'!$A$6:$A$38,0))&amp;" ("&amp;INDEX('Public Holidays'!$L$6:$L$38,MATCH($B365,'Public Holidays'!$A$6:$A$38,0))&amp;")",""))</f>
        <v/>
      </c>
      <c r="K365" s="246">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44">
        <f>IF($A365="","",INDEX($B$7:$B$36,INT((ROW()-41)/14)+1)&amp;"")</f>
        <v/>
      </c>
    </row>
    <row r="366">
      <c r="A366" s="244">
        <f>IF(INDEX($A$7:$A$36,INT((ROW()-41)/14)+1)="","",INDEX($A$7:$A$36,INT((ROW()-41)/14)+1))</f>
        <v/>
      </c>
      <c r="B366" s="245">
        <f>IF($A366="","",$B$3+MOD(ROW()-41,14))</f>
        <v/>
      </c>
      <c r="C366" s="244">
        <f>IF($A366="","",TEXT($B366,"ddd"))</f>
        <v/>
      </c>
      <c r="D366" s="242">
        <f>IF($A366="","",SUMIFS('EH Timesheets'!$G$6:$G$1005,'EH Timesheets'!$A$6:$A$1005,$A366,'EH Timesheets'!$B$6:$B$1005,$B366))</f>
        <v/>
      </c>
      <c r="E366" s="242">
        <f>IF($A366="","",SUMIFS('EH Roster'!$G$6:$G$1005,'EH Roster'!$A$6:$A$1005,$A366,'EH Roster'!$B$6:$B$1005,$B366))</f>
        <v/>
      </c>
      <c r="F366" s="242">
        <f>IF($A366="","",$D366-$E366)</f>
        <v/>
      </c>
      <c r="G366" s="242">
        <f>IF($A366="","",IF($L366="",0,SUMPRODUCT(('Shared Calendar'!$K$2:$K$1000&gt;0)*('Shared Calendar'!$K$2:$K$1000&lt;=$B366)*('Shared Calendar'!$J$2:$J$1000&gt;$B366)*ISNUMBER(SEARCH($L366,'Shared Calendar'!$M$2:$M$1000))*('Shared Calendar'!$N$2:$N$1000="Event"),'Shared Calendar'!$L$2:$L$1000)))</f>
        <v/>
      </c>
      <c r="H366" s="246">
        <f>IF(OR($A366="",$L366=""),"",IF(SUMPRODUCT(MAX(('Shared Calendar'!$K$2:$K$1000&gt;0)*('Shared Calendar'!$K$2:$K$1000&lt;=$B366)*('Shared Calendar'!$J$2:$J$1000&gt;$B366)*ISNUMBER(SEARCH($L366,'Shared Calendar'!$M$2:$M$1000))*ROW('Shared Calendar'!$A$2:$A$1000)))=0,"",INDEX('Shared Calendar'!$A:$A,SUMPRODUCT(MAX(('Shared Calendar'!$K$2:$K$1000&gt;0)*('Shared Calendar'!$K$2:$K$1000&lt;=$B366)*('Shared Calendar'!$J$2:$J$1000&gt;$B366)*ISNUMBER(SEARCH($L366,'Shared Calendar'!$M$2:$M$1000))*ROW('Shared Calendar'!$A$2:$A$1000))))))</f>
        <v/>
      </c>
      <c r="I366" s="244">
        <f>IF(OR($A366="",$L366=""),"",IF(SUMPRODUCT(('Shared Calendar'!$K$2:$K$1000&gt;0)*('Shared Calendar'!$K$2:$K$1000&lt;=$B366)*('Shared Calendar'!$J$2:$J$1000&gt;$B366)*ISNUMBER(SEARCH($L366,'Shared Calendar'!$M$2:$M$1000))*('Shared Calendar'!$N$2:$N$1000="Leave"))&gt;0,"Leave",""))</f>
        <v/>
      </c>
      <c r="J366" s="244">
        <f>IF($A366="","",IFERROR(INDEX('Public Holidays'!$C$6:$C$38,MATCH($B366,'Public Holidays'!$A$6:$A$38,0))&amp;" ("&amp;INDEX('Public Holidays'!$L$6:$L$38,MATCH($B366,'Public Holidays'!$A$6:$A$38,0))&amp;")",""))</f>
        <v/>
      </c>
      <c r="K366" s="246">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44">
        <f>IF($A366="","",INDEX($B$7:$B$36,INT((ROW()-41)/14)+1)&amp;"")</f>
        <v/>
      </c>
    </row>
    <row r="367">
      <c r="A367" s="244">
        <f>IF(INDEX($A$7:$A$36,INT((ROW()-41)/14)+1)="","",INDEX($A$7:$A$36,INT((ROW()-41)/14)+1))</f>
        <v/>
      </c>
      <c r="B367" s="245">
        <f>IF($A367="","",$B$3+MOD(ROW()-41,14))</f>
        <v/>
      </c>
      <c r="C367" s="244">
        <f>IF($A367="","",TEXT($B367,"ddd"))</f>
        <v/>
      </c>
      <c r="D367" s="242">
        <f>IF($A367="","",SUMIFS('EH Timesheets'!$G$6:$G$1005,'EH Timesheets'!$A$6:$A$1005,$A367,'EH Timesheets'!$B$6:$B$1005,$B367))</f>
        <v/>
      </c>
      <c r="E367" s="242">
        <f>IF($A367="","",SUMIFS('EH Roster'!$G$6:$G$1005,'EH Roster'!$A$6:$A$1005,$A367,'EH Roster'!$B$6:$B$1005,$B367))</f>
        <v/>
      </c>
      <c r="F367" s="242">
        <f>IF($A367="","",$D367-$E367)</f>
        <v/>
      </c>
      <c r="G367" s="242">
        <f>IF($A367="","",IF($L367="",0,SUMPRODUCT(('Shared Calendar'!$K$2:$K$1000&gt;0)*('Shared Calendar'!$K$2:$K$1000&lt;=$B367)*('Shared Calendar'!$J$2:$J$1000&gt;$B367)*ISNUMBER(SEARCH($L367,'Shared Calendar'!$M$2:$M$1000))*('Shared Calendar'!$N$2:$N$1000="Event"),'Shared Calendar'!$L$2:$L$1000)))</f>
        <v/>
      </c>
      <c r="H367" s="246">
        <f>IF(OR($A367="",$L367=""),"",IF(SUMPRODUCT(MAX(('Shared Calendar'!$K$2:$K$1000&gt;0)*('Shared Calendar'!$K$2:$K$1000&lt;=$B367)*('Shared Calendar'!$J$2:$J$1000&gt;$B367)*ISNUMBER(SEARCH($L367,'Shared Calendar'!$M$2:$M$1000))*ROW('Shared Calendar'!$A$2:$A$1000)))=0,"",INDEX('Shared Calendar'!$A:$A,SUMPRODUCT(MAX(('Shared Calendar'!$K$2:$K$1000&gt;0)*('Shared Calendar'!$K$2:$K$1000&lt;=$B367)*('Shared Calendar'!$J$2:$J$1000&gt;$B367)*ISNUMBER(SEARCH($L367,'Shared Calendar'!$M$2:$M$1000))*ROW('Shared Calendar'!$A$2:$A$1000))))))</f>
        <v/>
      </c>
      <c r="I367" s="244">
        <f>IF(OR($A367="",$L367=""),"",IF(SUMPRODUCT(('Shared Calendar'!$K$2:$K$1000&gt;0)*('Shared Calendar'!$K$2:$K$1000&lt;=$B367)*('Shared Calendar'!$J$2:$J$1000&gt;$B367)*ISNUMBER(SEARCH($L367,'Shared Calendar'!$M$2:$M$1000))*('Shared Calendar'!$N$2:$N$1000="Leave"))&gt;0,"Leave",""))</f>
        <v/>
      </c>
      <c r="J367" s="244">
        <f>IF($A367="","",IFERROR(INDEX('Public Holidays'!$C$6:$C$38,MATCH($B367,'Public Holidays'!$A$6:$A$38,0))&amp;" ("&amp;INDEX('Public Holidays'!$L$6:$L$38,MATCH($B367,'Public Holidays'!$A$6:$A$38,0))&amp;")",""))</f>
        <v/>
      </c>
      <c r="K367" s="246">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44">
        <f>IF($A367="","",INDEX($B$7:$B$36,INT((ROW()-41)/14)+1)&amp;"")</f>
        <v/>
      </c>
    </row>
    <row r="368">
      <c r="A368" s="244">
        <f>IF(INDEX($A$7:$A$36,INT((ROW()-41)/14)+1)="","",INDEX($A$7:$A$36,INT((ROW()-41)/14)+1))</f>
        <v/>
      </c>
      <c r="B368" s="245">
        <f>IF($A368="","",$B$3+MOD(ROW()-41,14))</f>
        <v/>
      </c>
      <c r="C368" s="244">
        <f>IF($A368="","",TEXT($B368,"ddd"))</f>
        <v/>
      </c>
      <c r="D368" s="242">
        <f>IF($A368="","",SUMIFS('EH Timesheets'!$G$6:$G$1005,'EH Timesheets'!$A$6:$A$1005,$A368,'EH Timesheets'!$B$6:$B$1005,$B368))</f>
        <v/>
      </c>
      <c r="E368" s="242">
        <f>IF($A368="","",SUMIFS('EH Roster'!$G$6:$G$1005,'EH Roster'!$A$6:$A$1005,$A368,'EH Roster'!$B$6:$B$1005,$B368))</f>
        <v/>
      </c>
      <c r="F368" s="242">
        <f>IF($A368="","",$D368-$E368)</f>
        <v/>
      </c>
      <c r="G368" s="242">
        <f>IF($A368="","",IF($L368="",0,SUMPRODUCT(('Shared Calendar'!$K$2:$K$1000&gt;0)*('Shared Calendar'!$K$2:$K$1000&lt;=$B368)*('Shared Calendar'!$J$2:$J$1000&gt;$B368)*ISNUMBER(SEARCH($L368,'Shared Calendar'!$M$2:$M$1000))*('Shared Calendar'!$N$2:$N$1000="Event"),'Shared Calendar'!$L$2:$L$1000)))</f>
        <v/>
      </c>
      <c r="H368" s="246">
        <f>IF(OR($A368="",$L368=""),"",IF(SUMPRODUCT(MAX(('Shared Calendar'!$K$2:$K$1000&gt;0)*('Shared Calendar'!$K$2:$K$1000&lt;=$B368)*('Shared Calendar'!$J$2:$J$1000&gt;$B368)*ISNUMBER(SEARCH($L368,'Shared Calendar'!$M$2:$M$1000))*ROW('Shared Calendar'!$A$2:$A$1000)))=0,"",INDEX('Shared Calendar'!$A:$A,SUMPRODUCT(MAX(('Shared Calendar'!$K$2:$K$1000&gt;0)*('Shared Calendar'!$K$2:$K$1000&lt;=$B368)*('Shared Calendar'!$J$2:$J$1000&gt;$B368)*ISNUMBER(SEARCH($L368,'Shared Calendar'!$M$2:$M$1000))*ROW('Shared Calendar'!$A$2:$A$1000))))))</f>
        <v/>
      </c>
      <c r="I368" s="244">
        <f>IF(OR($A368="",$L368=""),"",IF(SUMPRODUCT(('Shared Calendar'!$K$2:$K$1000&gt;0)*('Shared Calendar'!$K$2:$K$1000&lt;=$B368)*('Shared Calendar'!$J$2:$J$1000&gt;$B368)*ISNUMBER(SEARCH($L368,'Shared Calendar'!$M$2:$M$1000))*('Shared Calendar'!$N$2:$N$1000="Leave"))&gt;0,"Leave",""))</f>
        <v/>
      </c>
      <c r="J368" s="244">
        <f>IF($A368="","",IFERROR(INDEX('Public Holidays'!$C$6:$C$38,MATCH($B368,'Public Holidays'!$A$6:$A$38,0))&amp;" ("&amp;INDEX('Public Holidays'!$L$6:$L$38,MATCH($B368,'Public Holidays'!$A$6:$A$38,0))&amp;")",""))</f>
        <v/>
      </c>
      <c r="K368" s="246">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44">
        <f>IF($A368="","",INDEX($B$7:$B$36,INT((ROW()-41)/14)+1)&amp;"")</f>
        <v/>
      </c>
    </row>
    <row r="369">
      <c r="A369" s="244">
        <f>IF(INDEX($A$7:$A$36,INT((ROW()-41)/14)+1)="","",INDEX($A$7:$A$36,INT((ROW()-41)/14)+1))</f>
        <v/>
      </c>
      <c r="B369" s="245">
        <f>IF($A369="","",$B$3+MOD(ROW()-41,14))</f>
        <v/>
      </c>
      <c r="C369" s="244">
        <f>IF($A369="","",TEXT($B369,"ddd"))</f>
        <v/>
      </c>
      <c r="D369" s="242">
        <f>IF($A369="","",SUMIFS('EH Timesheets'!$G$6:$G$1005,'EH Timesheets'!$A$6:$A$1005,$A369,'EH Timesheets'!$B$6:$B$1005,$B369))</f>
        <v/>
      </c>
      <c r="E369" s="242">
        <f>IF($A369="","",SUMIFS('EH Roster'!$G$6:$G$1005,'EH Roster'!$A$6:$A$1005,$A369,'EH Roster'!$B$6:$B$1005,$B369))</f>
        <v/>
      </c>
      <c r="F369" s="242">
        <f>IF($A369="","",$D369-$E369)</f>
        <v/>
      </c>
      <c r="G369" s="242">
        <f>IF($A369="","",IF($L369="",0,SUMPRODUCT(('Shared Calendar'!$K$2:$K$1000&gt;0)*('Shared Calendar'!$K$2:$K$1000&lt;=$B369)*('Shared Calendar'!$J$2:$J$1000&gt;$B369)*ISNUMBER(SEARCH($L369,'Shared Calendar'!$M$2:$M$1000))*('Shared Calendar'!$N$2:$N$1000="Event"),'Shared Calendar'!$L$2:$L$1000)))</f>
        <v/>
      </c>
      <c r="H369" s="246">
        <f>IF(OR($A369="",$L369=""),"",IF(SUMPRODUCT(MAX(('Shared Calendar'!$K$2:$K$1000&gt;0)*('Shared Calendar'!$K$2:$K$1000&lt;=$B369)*('Shared Calendar'!$J$2:$J$1000&gt;$B369)*ISNUMBER(SEARCH($L369,'Shared Calendar'!$M$2:$M$1000))*ROW('Shared Calendar'!$A$2:$A$1000)))=0,"",INDEX('Shared Calendar'!$A:$A,SUMPRODUCT(MAX(('Shared Calendar'!$K$2:$K$1000&gt;0)*('Shared Calendar'!$K$2:$K$1000&lt;=$B369)*('Shared Calendar'!$J$2:$J$1000&gt;$B369)*ISNUMBER(SEARCH($L369,'Shared Calendar'!$M$2:$M$1000))*ROW('Shared Calendar'!$A$2:$A$1000))))))</f>
        <v/>
      </c>
      <c r="I369" s="244">
        <f>IF(OR($A369="",$L369=""),"",IF(SUMPRODUCT(('Shared Calendar'!$K$2:$K$1000&gt;0)*('Shared Calendar'!$K$2:$K$1000&lt;=$B369)*('Shared Calendar'!$J$2:$J$1000&gt;$B369)*ISNUMBER(SEARCH($L369,'Shared Calendar'!$M$2:$M$1000))*('Shared Calendar'!$N$2:$N$1000="Leave"))&gt;0,"Leave",""))</f>
        <v/>
      </c>
      <c r="J369" s="244">
        <f>IF($A369="","",IFERROR(INDEX('Public Holidays'!$C$6:$C$38,MATCH($B369,'Public Holidays'!$A$6:$A$38,0))&amp;" ("&amp;INDEX('Public Holidays'!$L$6:$L$38,MATCH($B369,'Public Holidays'!$A$6:$A$38,0))&amp;")",""))</f>
        <v/>
      </c>
      <c r="K369" s="246">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44">
        <f>IF($A369="","",INDEX($B$7:$B$36,INT((ROW()-41)/14)+1)&amp;"")</f>
        <v/>
      </c>
    </row>
    <row r="370">
      <c r="A370" s="244">
        <f>IF(INDEX($A$7:$A$36,INT((ROW()-41)/14)+1)="","",INDEX($A$7:$A$36,INT((ROW()-41)/14)+1))</f>
        <v/>
      </c>
      <c r="B370" s="245">
        <f>IF($A370="","",$B$3+MOD(ROW()-41,14))</f>
        <v/>
      </c>
      <c r="C370" s="244">
        <f>IF($A370="","",TEXT($B370,"ddd"))</f>
        <v/>
      </c>
      <c r="D370" s="242">
        <f>IF($A370="","",SUMIFS('EH Timesheets'!$G$6:$G$1005,'EH Timesheets'!$A$6:$A$1005,$A370,'EH Timesheets'!$B$6:$B$1005,$B370))</f>
        <v/>
      </c>
      <c r="E370" s="242">
        <f>IF($A370="","",SUMIFS('EH Roster'!$G$6:$G$1005,'EH Roster'!$A$6:$A$1005,$A370,'EH Roster'!$B$6:$B$1005,$B370))</f>
        <v/>
      </c>
      <c r="F370" s="242">
        <f>IF($A370="","",$D370-$E370)</f>
        <v/>
      </c>
      <c r="G370" s="242">
        <f>IF($A370="","",IF($L370="",0,SUMPRODUCT(('Shared Calendar'!$K$2:$K$1000&gt;0)*('Shared Calendar'!$K$2:$K$1000&lt;=$B370)*('Shared Calendar'!$J$2:$J$1000&gt;$B370)*ISNUMBER(SEARCH($L370,'Shared Calendar'!$M$2:$M$1000))*('Shared Calendar'!$N$2:$N$1000="Event"),'Shared Calendar'!$L$2:$L$1000)))</f>
        <v/>
      </c>
      <c r="H370" s="246">
        <f>IF(OR($A370="",$L370=""),"",IF(SUMPRODUCT(MAX(('Shared Calendar'!$K$2:$K$1000&gt;0)*('Shared Calendar'!$K$2:$K$1000&lt;=$B370)*('Shared Calendar'!$J$2:$J$1000&gt;$B370)*ISNUMBER(SEARCH($L370,'Shared Calendar'!$M$2:$M$1000))*ROW('Shared Calendar'!$A$2:$A$1000)))=0,"",INDEX('Shared Calendar'!$A:$A,SUMPRODUCT(MAX(('Shared Calendar'!$K$2:$K$1000&gt;0)*('Shared Calendar'!$K$2:$K$1000&lt;=$B370)*('Shared Calendar'!$J$2:$J$1000&gt;$B370)*ISNUMBER(SEARCH($L370,'Shared Calendar'!$M$2:$M$1000))*ROW('Shared Calendar'!$A$2:$A$1000))))))</f>
        <v/>
      </c>
      <c r="I370" s="244">
        <f>IF(OR($A370="",$L370=""),"",IF(SUMPRODUCT(('Shared Calendar'!$K$2:$K$1000&gt;0)*('Shared Calendar'!$K$2:$K$1000&lt;=$B370)*('Shared Calendar'!$J$2:$J$1000&gt;$B370)*ISNUMBER(SEARCH($L370,'Shared Calendar'!$M$2:$M$1000))*('Shared Calendar'!$N$2:$N$1000="Leave"))&gt;0,"Leave",""))</f>
        <v/>
      </c>
      <c r="J370" s="244">
        <f>IF($A370="","",IFERROR(INDEX('Public Holidays'!$C$6:$C$38,MATCH($B370,'Public Holidays'!$A$6:$A$38,0))&amp;" ("&amp;INDEX('Public Holidays'!$L$6:$L$38,MATCH($B370,'Public Holidays'!$A$6:$A$38,0))&amp;")",""))</f>
        <v/>
      </c>
      <c r="K370" s="246">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44">
        <f>IF($A370="","",INDEX($B$7:$B$36,INT((ROW()-41)/14)+1)&amp;"")</f>
        <v/>
      </c>
    </row>
    <row r="371">
      <c r="A371" s="244">
        <f>IF(INDEX($A$7:$A$36,INT((ROW()-41)/14)+1)="","",INDEX($A$7:$A$36,INT((ROW()-41)/14)+1))</f>
        <v/>
      </c>
      <c r="B371" s="245">
        <f>IF($A371="","",$B$3+MOD(ROW()-41,14))</f>
        <v/>
      </c>
      <c r="C371" s="244">
        <f>IF($A371="","",TEXT($B371,"ddd"))</f>
        <v/>
      </c>
      <c r="D371" s="242">
        <f>IF($A371="","",SUMIFS('EH Timesheets'!$G$6:$G$1005,'EH Timesheets'!$A$6:$A$1005,$A371,'EH Timesheets'!$B$6:$B$1005,$B371))</f>
        <v/>
      </c>
      <c r="E371" s="242">
        <f>IF($A371="","",SUMIFS('EH Roster'!$G$6:$G$1005,'EH Roster'!$A$6:$A$1005,$A371,'EH Roster'!$B$6:$B$1005,$B371))</f>
        <v/>
      </c>
      <c r="F371" s="242">
        <f>IF($A371="","",$D371-$E371)</f>
        <v/>
      </c>
      <c r="G371" s="242">
        <f>IF($A371="","",IF($L371="",0,SUMPRODUCT(('Shared Calendar'!$K$2:$K$1000&gt;0)*('Shared Calendar'!$K$2:$K$1000&lt;=$B371)*('Shared Calendar'!$J$2:$J$1000&gt;$B371)*ISNUMBER(SEARCH($L371,'Shared Calendar'!$M$2:$M$1000))*('Shared Calendar'!$N$2:$N$1000="Event"),'Shared Calendar'!$L$2:$L$1000)))</f>
        <v/>
      </c>
      <c r="H371" s="246">
        <f>IF(OR($A371="",$L371=""),"",IF(SUMPRODUCT(MAX(('Shared Calendar'!$K$2:$K$1000&gt;0)*('Shared Calendar'!$K$2:$K$1000&lt;=$B371)*('Shared Calendar'!$J$2:$J$1000&gt;$B371)*ISNUMBER(SEARCH($L371,'Shared Calendar'!$M$2:$M$1000))*ROW('Shared Calendar'!$A$2:$A$1000)))=0,"",INDEX('Shared Calendar'!$A:$A,SUMPRODUCT(MAX(('Shared Calendar'!$K$2:$K$1000&gt;0)*('Shared Calendar'!$K$2:$K$1000&lt;=$B371)*('Shared Calendar'!$J$2:$J$1000&gt;$B371)*ISNUMBER(SEARCH($L371,'Shared Calendar'!$M$2:$M$1000))*ROW('Shared Calendar'!$A$2:$A$1000))))))</f>
        <v/>
      </c>
      <c r="I371" s="244">
        <f>IF(OR($A371="",$L371=""),"",IF(SUMPRODUCT(('Shared Calendar'!$K$2:$K$1000&gt;0)*('Shared Calendar'!$K$2:$K$1000&lt;=$B371)*('Shared Calendar'!$J$2:$J$1000&gt;$B371)*ISNUMBER(SEARCH($L371,'Shared Calendar'!$M$2:$M$1000))*('Shared Calendar'!$N$2:$N$1000="Leave"))&gt;0,"Leave",""))</f>
        <v/>
      </c>
      <c r="J371" s="244">
        <f>IF($A371="","",IFERROR(INDEX('Public Holidays'!$C$6:$C$38,MATCH($B371,'Public Holidays'!$A$6:$A$38,0))&amp;" ("&amp;INDEX('Public Holidays'!$L$6:$L$38,MATCH($B371,'Public Holidays'!$A$6:$A$38,0))&amp;")",""))</f>
        <v/>
      </c>
      <c r="K371" s="246">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44">
        <f>IF($A371="","",INDEX($B$7:$B$36,INT((ROW()-41)/14)+1)&amp;"")</f>
        <v/>
      </c>
    </row>
    <row r="372">
      <c r="A372" s="244">
        <f>IF(INDEX($A$7:$A$36,INT((ROW()-41)/14)+1)="","",INDEX($A$7:$A$36,INT((ROW()-41)/14)+1))</f>
        <v/>
      </c>
      <c r="B372" s="245">
        <f>IF($A372="","",$B$3+MOD(ROW()-41,14))</f>
        <v/>
      </c>
      <c r="C372" s="244">
        <f>IF($A372="","",TEXT($B372,"ddd"))</f>
        <v/>
      </c>
      <c r="D372" s="242">
        <f>IF($A372="","",SUMIFS('EH Timesheets'!$G$6:$G$1005,'EH Timesheets'!$A$6:$A$1005,$A372,'EH Timesheets'!$B$6:$B$1005,$B372))</f>
        <v/>
      </c>
      <c r="E372" s="242">
        <f>IF($A372="","",SUMIFS('EH Roster'!$G$6:$G$1005,'EH Roster'!$A$6:$A$1005,$A372,'EH Roster'!$B$6:$B$1005,$B372))</f>
        <v/>
      </c>
      <c r="F372" s="242">
        <f>IF($A372="","",$D372-$E372)</f>
        <v/>
      </c>
      <c r="G372" s="242">
        <f>IF($A372="","",IF($L372="",0,SUMPRODUCT(('Shared Calendar'!$K$2:$K$1000&gt;0)*('Shared Calendar'!$K$2:$K$1000&lt;=$B372)*('Shared Calendar'!$J$2:$J$1000&gt;$B372)*ISNUMBER(SEARCH($L372,'Shared Calendar'!$M$2:$M$1000))*('Shared Calendar'!$N$2:$N$1000="Event"),'Shared Calendar'!$L$2:$L$1000)))</f>
        <v/>
      </c>
      <c r="H372" s="246">
        <f>IF(OR($A372="",$L372=""),"",IF(SUMPRODUCT(MAX(('Shared Calendar'!$K$2:$K$1000&gt;0)*('Shared Calendar'!$K$2:$K$1000&lt;=$B372)*('Shared Calendar'!$J$2:$J$1000&gt;$B372)*ISNUMBER(SEARCH($L372,'Shared Calendar'!$M$2:$M$1000))*ROW('Shared Calendar'!$A$2:$A$1000)))=0,"",INDEX('Shared Calendar'!$A:$A,SUMPRODUCT(MAX(('Shared Calendar'!$K$2:$K$1000&gt;0)*('Shared Calendar'!$K$2:$K$1000&lt;=$B372)*('Shared Calendar'!$J$2:$J$1000&gt;$B372)*ISNUMBER(SEARCH($L372,'Shared Calendar'!$M$2:$M$1000))*ROW('Shared Calendar'!$A$2:$A$1000))))))</f>
        <v/>
      </c>
      <c r="I372" s="244">
        <f>IF(OR($A372="",$L372=""),"",IF(SUMPRODUCT(('Shared Calendar'!$K$2:$K$1000&gt;0)*('Shared Calendar'!$K$2:$K$1000&lt;=$B372)*('Shared Calendar'!$J$2:$J$1000&gt;$B372)*ISNUMBER(SEARCH($L372,'Shared Calendar'!$M$2:$M$1000))*('Shared Calendar'!$N$2:$N$1000="Leave"))&gt;0,"Leave",""))</f>
        <v/>
      </c>
      <c r="J372" s="244">
        <f>IF($A372="","",IFERROR(INDEX('Public Holidays'!$C$6:$C$38,MATCH($B372,'Public Holidays'!$A$6:$A$38,0))&amp;" ("&amp;INDEX('Public Holidays'!$L$6:$L$38,MATCH($B372,'Public Holidays'!$A$6:$A$38,0))&amp;")",""))</f>
        <v/>
      </c>
      <c r="K372" s="246">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44">
        <f>IF($A372="","",INDEX($B$7:$B$36,INT((ROW()-41)/14)+1)&amp;"")</f>
        <v/>
      </c>
    </row>
    <row r="373">
      <c r="A373" s="244">
        <f>IF(INDEX($A$7:$A$36,INT((ROW()-41)/14)+1)="","",INDEX($A$7:$A$36,INT((ROW()-41)/14)+1))</f>
        <v/>
      </c>
      <c r="B373" s="245">
        <f>IF($A373="","",$B$3+MOD(ROW()-41,14))</f>
        <v/>
      </c>
      <c r="C373" s="244">
        <f>IF($A373="","",TEXT($B373,"ddd"))</f>
        <v/>
      </c>
      <c r="D373" s="242">
        <f>IF($A373="","",SUMIFS('EH Timesheets'!$G$6:$G$1005,'EH Timesheets'!$A$6:$A$1005,$A373,'EH Timesheets'!$B$6:$B$1005,$B373))</f>
        <v/>
      </c>
      <c r="E373" s="242">
        <f>IF($A373="","",SUMIFS('EH Roster'!$G$6:$G$1005,'EH Roster'!$A$6:$A$1005,$A373,'EH Roster'!$B$6:$B$1005,$B373))</f>
        <v/>
      </c>
      <c r="F373" s="242">
        <f>IF($A373="","",$D373-$E373)</f>
        <v/>
      </c>
      <c r="G373" s="242">
        <f>IF($A373="","",IF($L373="",0,SUMPRODUCT(('Shared Calendar'!$K$2:$K$1000&gt;0)*('Shared Calendar'!$K$2:$K$1000&lt;=$B373)*('Shared Calendar'!$J$2:$J$1000&gt;$B373)*ISNUMBER(SEARCH($L373,'Shared Calendar'!$M$2:$M$1000))*('Shared Calendar'!$N$2:$N$1000="Event"),'Shared Calendar'!$L$2:$L$1000)))</f>
        <v/>
      </c>
      <c r="H373" s="246">
        <f>IF(OR($A373="",$L373=""),"",IF(SUMPRODUCT(MAX(('Shared Calendar'!$K$2:$K$1000&gt;0)*('Shared Calendar'!$K$2:$K$1000&lt;=$B373)*('Shared Calendar'!$J$2:$J$1000&gt;$B373)*ISNUMBER(SEARCH($L373,'Shared Calendar'!$M$2:$M$1000))*ROW('Shared Calendar'!$A$2:$A$1000)))=0,"",INDEX('Shared Calendar'!$A:$A,SUMPRODUCT(MAX(('Shared Calendar'!$K$2:$K$1000&gt;0)*('Shared Calendar'!$K$2:$K$1000&lt;=$B373)*('Shared Calendar'!$J$2:$J$1000&gt;$B373)*ISNUMBER(SEARCH($L373,'Shared Calendar'!$M$2:$M$1000))*ROW('Shared Calendar'!$A$2:$A$1000))))))</f>
        <v/>
      </c>
      <c r="I373" s="244">
        <f>IF(OR($A373="",$L373=""),"",IF(SUMPRODUCT(('Shared Calendar'!$K$2:$K$1000&gt;0)*('Shared Calendar'!$K$2:$K$1000&lt;=$B373)*('Shared Calendar'!$J$2:$J$1000&gt;$B373)*ISNUMBER(SEARCH($L373,'Shared Calendar'!$M$2:$M$1000))*('Shared Calendar'!$N$2:$N$1000="Leave"))&gt;0,"Leave",""))</f>
        <v/>
      </c>
      <c r="J373" s="244">
        <f>IF($A373="","",IFERROR(INDEX('Public Holidays'!$C$6:$C$38,MATCH($B373,'Public Holidays'!$A$6:$A$38,0))&amp;" ("&amp;INDEX('Public Holidays'!$L$6:$L$38,MATCH($B373,'Public Holidays'!$A$6:$A$38,0))&amp;")",""))</f>
        <v/>
      </c>
      <c r="K373" s="246">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44">
        <f>IF($A373="","",INDEX($B$7:$B$36,INT((ROW()-41)/14)+1)&amp;"")</f>
        <v/>
      </c>
    </row>
    <row r="374">
      <c r="A374" s="244">
        <f>IF(INDEX($A$7:$A$36,INT((ROW()-41)/14)+1)="","",INDEX($A$7:$A$36,INT((ROW()-41)/14)+1))</f>
        <v/>
      </c>
      <c r="B374" s="245">
        <f>IF($A374="","",$B$3+MOD(ROW()-41,14))</f>
        <v/>
      </c>
      <c r="C374" s="244">
        <f>IF($A374="","",TEXT($B374,"ddd"))</f>
        <v/>
      </c>
      <c r="D374" s="242">
        <f>IF($A374="","",SUMIFS('EH Timesheets'!$G$6:$G$1005,'EH Timesheets'!$A$6:$A$1005,$A374,'EH Timesheets'!$B$6:$B$1005,$B374))</f>
        <v/>
      </c>
      <c r="E374" s="242">
        <f>IF($A374="","",SUMIFS('EH Roster'!$G$6:$G$1005,'EH Roster'!$A$6:$A$1005,$A374,'EH Roster'!$B$6:$B$1005,$B374))</f>
        <v/>
      </c>
      <c r="F374" s="242">
        <f>IF($A374="","",$D374-$E374)</f>
        <v/>
      </c>
      <c r="G374" s="242">
        <f>IF($A374="","",IF($L374="",0,SUMPRODUCT(('Shared Calendar'!$K$2:$K$1000&gt;0)*('Shared Calendar'!$K$2:$K$1000&lt;=$B374)*('Shared Calendar'!$J$2:$J$1000&gt;$B374)*ISNUMBER(SEARCH($L374,'Shared Calendar'!$M$2:$M$1000))*('Shared Calendar'!$N$2:$N$1000="Event"),'Shared Calendar'!$L$2:$L$1000)))</f>
        <v/>
      </c>
      <c r="H374" s="246">
        <f>IF(OR($A374="",$L374=""),"",IF(SUMPRODUCT(MAX(('Shared Calendar'!$K$2:$K$1000&gt;0)*('Shared Calendar'!$K$2:$K$1000&lt;=$B374)*('Shared Calendar'!$J$2:$J$1000&gt;$B374)*ISNUMBER(SEARCH($L374,'Shared Calendar'!$M$2:$M$1000))*ROW('Shared Calendar'!$A$2:$A$1000)))=0,"",INDEX('Shared Calendar'!$A:$A,SUMPRODUCT(MAX(('Shared Calendar'!$K$2:$K$1000&gt;0)*('Shared Calendar'!$K$2:$K$1000&lt;=$B374)*('Shared Calendar'!$J$2:$J$1000&gt;$B374)*ISNUMBER(SEARCH($L374,'Shared Calendar'!$M$2:$M$1000))*ROW('Shared Calendar'!$A$2:$A$1000))))))</f>
        <v/>
      </c>
      <c r="I374" s="244">
        <f>IF(OR($A374="",$L374=""),"",IF(SUMPRODUCT(('Shared Calendar'!$K$2:$K$1000&gt;0)*('Shared Calendar'!$K$2:$K$1000&lt;=$B374)*('Shared Calendar'!$J$2:$J$1000&gt;$B374)*ISNUMBER(SEARCH($L374,'Shared Calendar'!$M$2:$M$1000))*('Shared Calendar'!$N$2:$N$1000="Leave"))&gt;0,"Leave",""))</f>
        <v/>
      </c>
      <c r="J374" s="244">
        <f>IF($A374="","",IFERROR(INDEX('Public Holidays'!$C$6:$C$38,MATCH($B374,'Public Holidays'!$A$6:$A$38,0))&amp;" ("&amp;INDEX('Public Holidays'!$L$6:$L$38,MATCH($B374,'Public Holidays'!$A$6:$A$38,0))&amp;")",""))</f>
        <v/>
      </c>
      <c r="K374" s="246">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44">
        <f>IF($A374="","",INDEX($B$7:$B$36,INT((ROW()-41)/14)+1)&amp;"")</f>
        <v/>
      </c>
    </row>
    <row r="375">
      <c r="A375" s="244">
        <f>IF(INDEX($A$7:$A$36,INT((ROW()-41)/14)+1)="","",INDEX($A$7:$A$36,INT((ROW()-41)/14)+1))</f>
        <v/>
      </c>
      <c r="B375" s="245">
        <f>IF($A375="","",$B$3+MOD(ROW()-41,14))</f>
        <v/>
      </c>
      <c r="C375" s="244">
        <f>IF($A375="","",TEXT($B375,"ddd"))</f>
        <v/>
      </c>
      <c r="D375" s="242">
        <f>IF($A375="","",SUMIFS('EH Timesheets'!$G$6:$G$1005,'EH Timesheets'!$A$6:$A$1005,$A375,'EH Timesheets'!$B$6:$B$1005,$B375))</f>
        <v/>
      </c>
      <c r="E375" s="242">
        <f>IF($A375="","",SUMIFS('EH Roster'!$G$6:$G$1005,'EH Roster'!$A$6:$A$1005,$A375,'EH Roster'!$B$6:$B$1005,$B375))</f>
        <v/>
      </c>
      <c r="F375" s="242">
        <f>IF($A375="","",$D375-$E375)</f>
        <v/>
      </c>
      <c r="G375" s="242">
        <f>IF($A375="","",IF($L375="",0,SUMPRODUCT(('Shared Calendar'!$K$2:$K$1000&gt;0)*('Shared Calendar'!$K$2:$K$1000&lt;=$B375)*('Shared Calendar'!$J$2:$J$1000&gt;$B375)*ISNUMBER(SEARCH($L375,'Shared Calendar'!$M$2:$M$1000))*('Shared Calendar'!$N$2:$N$1000="Event"),'Shared Calendar'!$L$2:$L$1000)))</f>
        <v/>
      </c>
      <c r="H375" s="246">
        <f>IF(OR($A375="",$L375=""),"",IF(SUMPRODUCT(MAX(('Shared Calendar'!$K$2:$K$1000&gt;0)*('Shared Calendar'!$K$2:$K$1000&lt;=$B375)*('Shared Calendar'!$J$2:$J$1000&gt;$B375)*ISNUMBER(SEARCH($L375,'Shared Calendar'!$M$2:$M$1000))*ROW('Shared Calendar'!$A$2:$A$1000)))=0,"",INDEX('Shared Calendar'!$A:$A,SUMPRODUCT(MAX(('Shared Calendar'!$K$2:$K$1000&gt;0)*('Shared Calendar'!$K$2:$K$1000&lt;=$B375)*('Shared Calendar'!$J$2:$J$1000&gt;$B375)*ISNUMBER(SEARCH($L375,'Shared Calendar'!$M$2:$M$1000))*ROW('Shared Calendar'!$A$2:$A$1000))))))</f>
        <v/>
      </c>
      <c r="I375" s="244">
        <f>IF(OR($A375="",$L375=""),"",IF(SUMPRODUCT(('Shared Calendar'!$K$2:$K$1000&gt;0)*('Shared Calendar'!$K$2:$K$1000&lt;=$B375)*('Shared Calendar'!$J$2:$J$1000&gt;$B375)*ISNUMBER(SEARCH($L375,'Shared Calendar'!$M$2:$M$1000))*('Shared Calendar'!$N$2:$N$1000="Leave"))&gt;0,"Leave",""))</f>
        <v/>
      </c>
      <c r="J375" s="244">
        <f>IF($A375="","",IFERROR(INDEX('Public Holidays'!$C$6:$C$38,MATCH($B375,'Public Holidays'!$A$6:$A$38,0))&amp;" ("&amp;INDEX('Public Holidays'!$L$6:$L$38,MATCH($B375,'Public Holidays'!$A$6:$A$38,0))&amp;")",""))</f>
        <v/>
      </c>
      <c r="K375" s="246">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44">
        <f>IF($A375="","",INDEX($B$7:$B$36,INT((ROW()-41)/14)+1)&amp;"")</f>
        <v/>
      </c>
    </row>
    <row r="376">
      <c r="A376" s="244">
        <f>IF(INDEX($A$7:$A$36,INT((ROW()-41)/14)+1)="","",INDEX($A$7:$A$36,INT((ROW()-41)/14)+1))</f>
        <v/>
      </c>
      <c r="B376" s="245">
        <f>IF($A376="","",$B$3+MOD(ROW()-41,14))</f>
        <v/>
      </c>
      <c r="C376" s="244">
        <f>IF($A376="","",TEXT($B376,"ddd"))</f>
        <v/>
      </c>
      <c r="D376" s="242">
        <f>IF($A376="","",SUMIFS('EH Timesheets'!$G$6:$G$1005,'EH Timesheets'!$A$6:$A$1005,$A376,'EH Timesheets'!$B$6:$B$1005,$B376))</f>
        <v/>
      </c>
      <c r="E376" s="242">
        <f>IF($A376="","",SUMIFS('EH Roster'!$G$6:$G$1005,'EH Roster'!$A$6:$A$1005,$A376,'EH Roster'!$B$6:$B$1005,$B376))</f>
        <v/>
      </c>
      <c r="F376" s="242">
        <f>IF($A376="","",$D376-$E376)</f>
        <v/>
      </c>
      <c r="G376" s="242">
        <f>IF($A376="","",IF($L376="",0,SUMPRODUCT(('Shared Calendar'!$K$2:$K$1000&gt;0)*('Shared Calendar'!$K$2:$K$1000&lt;=$B376)*('Shared Calendar'!$J$2:$J$1000&gt;$B376)*ISNUMBER(SEARCH($L376,'Shared Calendar'!$M$2:$M$1000))*('Shared Calendar'!$N$2:$N$1000="Event"),'Shared Calendar'!$L$2:$L$1000)))</f>
        <v/>
      </c>
      <c r="H376" s="246">
        <f>IF(OR($A376="",$L376=""),"",IF(SUMPRODUCT(MAX(('Shared Calendar'!$K$2:$K$1000&gt;0)*('Shared Calendar'!$K$2:$K$1000&lt;=$B376)*('Shared Calendar'!$J$2:$J$1000&gt;$B376)*ISNUMBER(SEARCH($L376,'Shared Calendar'!$M$2:$M$1000))*ROW('Shared Calendar'!$A$2:$A$1000)))=0,"",INDEX('Shared Calendar'!$A:$A,SUMPRODUCT(MAX(('Shared Calendar'!$K$2:$K$1000&gt;0)*('Shared Calendar'!$K$2:$K$1000&lt;=$B376)*('Shared Calendar'!$J$2:$J$1000&gt;$B376)*ISNUMBER(SEARCH($L376,'Shared Calendar'!$M$2:$M$1000))*ROW('Shared Calendar'!$A$2:$A$1000))))))</f>
        <v/>
      </c>
      <c r="I376" s="244">
        <f>IF(OR($A376="",$L376=""),"",IF(SUMPRODUCT(('Shared Calendar'!$K$2:$K$1000&gt;0)*('Shared Calendar'!$K$2:$K$1000&lt;=$B376)*('Shared Calendar'!$J$2:$J$1000&gt;$B376)*ISNUMBER(SEARCH($L376,'Shared Calendar'!$M$2:$M$1000))*('Shared Calendar'!$N$2:$N$1000="Leave"))&gt;0,"Leave",""))</f>
        <v/>
      </c>
      <c r="J376" s="244">
        <f>IF($A376="","",IFERROR(INDEX('Public Holidays'!$C$6:$C$38,MATCH($B376,'Public Holidays'!$A$6:$A$38,0))&amp;" ("&amp;INDEX('Public Holidays'!$L$6:$L$38,MATCH($B376,'Public Holidays'!$A$6:$A$38,0))&amp;")",""))</f>
        <v/>
      </c>
      <c r="K376" s="246">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44">
        <f>IF($A376="","",INDEX($B$7:$B$36,INT((ROW()-41)/14)+1)&amp;"")</f>
        <v/>
      </c>
    </row>
    <row r="377">
      <c r="A377" s="244">
        <f>IF(INDEX($A$7:$A$36,INT((ROW()-41)/14)+1)="","",INDEX($A$7:$A$36,INT((ROW()-41)/14)+1))</f>
        <v/>
      </c>
      <c r="B377" s="245">
        <f>IF($A377="","",$B$3+MOD(ROW()-41,14))</f>
        <v/>
      </c>
      <c r="C377" s="244">
        <f>IF($A377="","",TEXT($B377,"ddd"))</f>
        <v/>
      </c>
      <c r="D377" s="242">
        <f>IF($A377="","",SUMIFS('EH Timesheets'!$G$6:$G$1005,'EH Timesheets'!$A$6:$A$1005,$A377,'EH Timesheets'!$B$6:$B$1005,$B377))</f>
        <v/>
      </c>
      <c r="E377" s="242">
        <f>IF($A377="","",SUMIFS('EH Roster'!$G$6:$G$1005,'EH Roster'!$A$6:$A$1005,$A377,'EH Roster'!$B$6:$B$1005,$B377))</f>
        <v/>
      </c>
      <c r="F377" s="242">
        <f>IF($A377="","",$D377-$E377)</f>
        <v/>
      </c>
      <c r="G377" s="242">
        <f>IF($A377="","",IF($L377="",0,SUMPRODUCT(('Shared Calendar'!$K$2:$K$1000&gt;0)*('Shared Calendar'!$K$2:$K$1000&lt;=$B377)*('Shared Calendar'!$J$2:$J$1000&gt;$B377)*ISNUMBER(SEARCH($L377,'Shared Calendar'!$M$2:$M$1000))*('Shared Calendar'!$N$2:$N$1000="Event"),'Shared Calendar'!$L$2:$L$1000)))</f>
        <v/>
      </c>
      <c r="H377" s="246">
        <f>IF(OR($A377="",$L377=""),"",IF(SUMPRODUCT(MAX(('Shared Calendar'!$K$2:$K$1000&gt;0)*('Shared Calendar'!$K$2:$K$1000&lt;=$B377)*('Shared Calendar'!$J$2:$J$1000&gt;$B377)*ISNUMBER(SEARCH($L377,'Shared Calendar'!$M$2:$M$1000))*ROW('Shared Calendar'!$A$2:$A$1000)))=0,"",INDEX('Shared Calendar'!$A:$A,SUMPRODUCT(MAX(('Shared Calendar'!$K$2:$K$1000&gt;0)*('Shared Calendar'!$K$2:$K$1000&lt;=$B377)*('Shared Calendar'!$J$2:$J$1000&gt;$B377)*ISNUMBER(SEARCH($L377,'Shared Calendar'!$M$2:$M$1000))*ROW('Shared Calendar'!$A$2:$A$1000))))))</f>
        <v/>
      </c>
      <c r="I377" s="244">
        <f>IF(OR($A377="",$L377=""),"",IF(SUMPRODUCT(('Shared Calendar'!$K$2:$K$1000&gt;0)*('Shared Calendar'!$K$2:$K$1000&lt;=$B377)*('Shared Calendar'!$J$2:$J$1000&gt;$B377)*ISNUMBER(SEARCH($L377,'Shared Calendar'!$M$2:$M$1000))*('Shared Calendar'!$N$2:$N$1000="Leave"))&gt;0,"Leave",""))</f>
        <v/>
      </c>
      <c r="J377" s="244">
        <f>IF($A377="","",IFERROR(INDEX('Public Holidays'!$C$6:$C$38,MATCH($B377,'Public Holidays'!$A$6:$A$38,0))&amp;" ("&amp;INDEX('Public Holidays'!$L$6:$L$38,MATCH($B377,'Public Holidays'!$A$6:$A$38,0))&amp;")",""))</f>
        <v/>
      </c>
      <c r="K377" s="246">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44">
        <f>IF($A377="","",INDEX($B$7:$B$36,INT((ROW()-41)/14)+1)&amp;"")</f>
        <v/>
      </c>
    </row>
    <row r="378">
      <c r="A378" s="244">
        <f>IF(INDEX($A$7:$A$36,INT((ROW()-41)/14)+1)="","",INDEX($A$7:$A$36,INT((ROW()-41)/14)+1))</f>
        <v/>
      </c>
      <c r="B378" s="245">
        <f>IF($A378="","",$B$3+MOD(ROW()-41,14))</f>
        <v/>
      </c>
      <c r="C378" s="244">
        <f>IF($A378="","",TEXT($B378,"ddd"))</f>
        <v/>
      </c>
      <c r="D378" s="242">
        <f>IF($A378="","",SUMIFS('EH Timesheets'!$G$6:$G$1005,'EH Timesheets'!$A$6:$A$1005,$A378,'EH Timesheets'!$B$6:$B$1005,$B378))</f>
        <v/>
      </c>
      <c r="E378" s="242">
        <f>IF($A378="","",SUMIFS('EH Roster'!$G$6:$G$1005,'EH Roster'!$A$6:$A$1005,$A378,'EH Roster'!$B$6:$B$1005,$B378))</f>
        <v/>
      </c>
      <c r="F378" s="242">
        <f>IF($A378="","",$D378-$E378)</f>
        <v/>
      </c>
      <c r="G378" s="242">
        <f>IF($A378="","",IF($L378="",0,SUMPRODUCT(('Shared Calendar'!$K$2:$K$1000&gt;0)*('Shared Calendar'!$K$2:$K$1000&lt;=$B378)*('Shared Calendar'!$J$2:$J$1000&gt;$B378)*ISNUMBER(SEARCH($L378,'Shared Calendar'!$M$2:$M$1000))*('Shared Calendar'!$N$2:$N$1000="Event"),'Shared Calendar'!$L$2:$L$1000)))</f>
        <v/>
      </c>
      <c r="H378" s="246">
        <f>IF(OR($A378="",$L378=""),"",IF(SUMPRODUCT(MAX(('Shared Calendar'!$K$2:$K$1000&gt;0)*('Shared Calendar'!$K$2:$K$1000&lt;=$B378)*('Shared Calendar'!$J$2:$J$1000&gt;$B378)*ISNUMBER(SEARCH($L378,'Shared Calendar'!$M$2:$M$1000))*ROW('Shared Calendar'!$A$2:$A$1000)))=0,"",INDEX('Shared Calendar'!$A:$A,SUMPRODUCT(MAX(('Shared Calendar'!$K$2:$K$1000&gt;0)*('Shared Calendar'!$K$2:$K$1000&lt;=$B378)*('Shared Calendar'!$J$2:$J$1000&gt;$B378)*ISNUMBER(SEARCH($L378,'Shared Calendar'!$M$2:$M$1000))*ROW('Shared Calendar'!$A$2:$A$1000))))))</f>
        <v/>
      </c>
      <c r="I378" s="244">
        <f>IF(OR($A378="",$L378=""),"",IF(SUMPRODUCT(('Shared Calendar'!$K$2:$K$1000&gt;0)*('Shared Calendar'!$K$2:$K$1000&lt;=$B378)*('Shared Calendar'!$J$2:$J$1000&gt;$B378)*ISNUMBER(SEARCH($L378,'Shared Calendar'!$M$2:$M$1000))*('Shared Calendar'!$N$2:$N$1000="Leave"))&gt;0,"Leave",""))</f>
        <v/>
      </c>
      <c r="J378" s="244">
        <f>IF($A378="","",IFERROR(INDEX('Public Holidays'!$C$6:$C$38,MATCH($B378,'Public Holidays'!$A$6:$A$38,0))&amp;" ("&amp;INDEX('Public Holidays'!$L$6:$L$38,MATCH($B378,'Public Holidays'!$A$6:$A$38,0))&amp;")",""))</f>
        <v/>
      </c>
      <c r="K378" s="246">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44">
        <f>IF($A378="","",INDEX($B$7:$B$36,INT((ROW()-41)/14)+1)&amp;"")</f>
        <v/>
      </c>
    </row>
    <row r="379">
      <c r="A379" s="244">
        <f>IF(INDEX($A$7:$A$36,INT((ROW()-41)/14)+1)="","",INDEX($A$7:$A$36,INT((ROW()-41)/14)+1))</f>
        <v/>
      </c>
      <c r="B379" s="245">
        <f>IF($A379="","",$B$3+MOD(ROW()-41,14))</f>
        <v/>
      </c>
      <c r="C379" s="244">
        <f>IF($A379="","",TEXT($B379,"ddd"))</f>
        <v/>
      </c>
      <c r="D379" s="242">
        <f>IF($A379="","",SUMIFS('EH Timesheets'!$G$6:$G$1005,'EH Timesheets'!$A$6:$A$1005,$A379,'EH Timesheets'!$B$6:$B$1005,$B379))</f>
        <v/>
      </c>
      <c r="E379" s="242">
        <f>IF($A379="","",SUMIFS('EH Roster'!$G$6:$G$1005,'EH Roster'!$A$6:$A$1005,$A379,'EH Roster'!$B$6:$B$1005,$B379))</f>
        <v/>
      </c>
      <c r="F379" s="242">
        <f>IF($A379="","",$D379-$E379)</f>
        <v/>
      </c>
      <c r="G379" s="242">
        <f>IF($A379="","",IF($L379="",0,SUMPRODUCT(('Shared Calendar'!$K$2:$K$1000&gt;0)*('Shared Calendar'!$K$2:$K$1000&lt;=$B379)*('Shared Calendar'!$J$2:$J$1000&gt;$B379)*ISNUMBER(SEARCH($L379,'Shared Calendar'!$M$2:$M$1000))*('Shared Calendar'!$N$2:$N$1000="Event"),'Shared Calendar'!$L$2:$L$1000)))</f>
        <v/>
      </c>
      <c r="H379" s="246">
        <f>IF(OR($A379="",$L379=""),"",IF(SUMPRODUCT(MAX(('Shared Calendar'!$K$2:$K$1000&gt;0)*('Shared Calendar'!$K$2:$K$1000&lt;=$B379)*('Shared Calendar'!$J$2:$J$1000&gt;$B379)*ISNUMBER(SEARCH($L379,'Shared Calendar'!$M$2:$M$1000))*ROW('Shared Calendar'!$A$2:$A$1000)))=0,"",INDEX('Shared Calendar'!$A:$A,SUMPRODUCT(MAX(('Shared Calendar'!$K$2:$K$1000&gt;0)*('Shared Calendar'!$K$2:$K$1000&lt;=$B379)*('Shared Calendar'!$J$2:$J$1000&gt;$B379)*ISNUMBER(SEARCH($L379,'Shared Calendar'!$M$2:$M$1000))*ROW('Shared Calendar'!$A$2:$A$1000))))))</f>
        <v/>
      </c>
      <c r="I379" s="244">
        <f>IF(OR($A379="",$L379=""),"",IF(SUMPRODUCT(('Shared Calendar'!$K$2:$K$1000&gt;0)*('Shared Calendar'!$K$2:$K$1000&lt;=$B379)*('Shared Calendar'!$J$2:$J$1000&gt;$B379)*ISNUMBER(SEARCH($L379,'Shared Calendar'!$M$2:$M$1000))*('Shared Calendar'!$N$2:$N$1000="Leave"))&gt;0,"Leave",""))</f>
        <v/>
      </c>
      <c r="J379" s="244">
        <f>IF($A379="","",IFERROR(INDEX('Public Holidays'!$C$6:$C$38,MATCH($B379,'Public Holidays'!$A$6:$A$38,0))&amp;" ("&amp;INDEX('Public Holidays'!$L$6:$L$38,MATCH($B379,'Public Holidays'!$A$6:$A$38,0))&amp;")",""))</f>
        <v/>
      </c>
      <c r="K379" s="246">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44">
        <f>IF($A379="","",INDEX($B$7:$B$36,INT((ROW()-41)/14)+1)&amp;"")</f>
        <v/>
      </c>
    </row>
    <row r="380">
      <c r="A380" s="244">
        <f>IF(INDEX($A$7:$A$36,INT((ROW()-41)/14)+1)="","",INDEX($A$7:$A$36,INT((ROW()-41)/14)+1))</f>
        <v/>
      </c>
      <c r="B380" s="245">
        <f>IF($A380="","",$B$3+MOD(ROW()-41,14))</f>
        <v/>
      </c>
      <c r="C380" s="244">
        <f>IF($A380="","",TEXT($B380,"ddd"))</f>
        <v/>
      </c>
      <c r="D380" s="242">
        <f>IF($A380="","",SUMIFS('EH Timesheets'!$G$6:$G$1005,'EH Timesheets'!$A$6:$A$1005,$A380,'EH Timesheets'!$B$6:$B$1005,$B380))</f>
        <v/>
      </c>
      <c r="E380" s="242">
        <f>IF($A380="","",SUMIFS('EH Roster'!$G$6:$G$1005,'EH Roster'!$A$6:$A$1005,$A380,'EH Roster'!$B$6:$B$1005,$B380))</f>
        <v/>
      </c>
      <c r="F380" s="242">
        <f>IF($A380="","",$D380-$E380)</f>
        <v/>
      </c>
      <c r="G380" s="242">
        <f>IF($A380="","",IF($L380="",0,SUMPRODUCT(('Shared Calendar'!$K$2:$K$1000&gt;0)*('Shared Calendar'!$K$2:$K$1000&lt;=$B380)*('Shared Calendar'!$J$2:$J$1000&gt;$B380)*ISNUMBER(SEARCH($L380,'Shared Calendar'!$M$2:$M$1000))*('Shared Calendar'!$N$2:$N$1000="Event"),'Shared Calendar'!$L$2:$L$1000)))</f>
        <v/>
      </c>
      <c r="H380" s="246">
        <f>IF(OR($A380="",$L380=""),"",IF(SUMPRODUCT(MAX(('Shared Calendar'!$K$2:$K$1000&gt;0)*('Shared Calendar'!$K$2:$K$1000&lt;=$B380)*('Shared Calendar'!$J$2:$J$1000&gt;$B380)*ISNUMBER(SEARCH($L380,'Shared Calendar'!$M$2:$M$1000))*ROW('Shared Calendar'!$A$2:$A$1000)))=0,"",INDEX('Shared Calendar'!$A:$A,SUMPRODUCT(MAX(('Shared Calendar'!$K$2:$K$1000&gt;0)*('Shared Calendar'!$K$2:$K$1000&lt;=$B380)*('Shared Calendar'!$J$2:$J$1000&gt;$B380)*ISNUMBER(SEARCH($L380,'Shared Calendar'!$M$2:$M$1000))*ROW('Shared Calendar'!$A$2:$A$1000))))))</f>
        <v/>
      </c>
      <c r="I380" s="244">
        <f>IF(OR($A380="",$L380=""),"",IF(SUMPRODUCT(('Shared Calendar'!$K$2:$K$1000&gt;0)*('Shared Calendar'!$K$2:$K$1000&lt;=$B380)*('Shared Calendar'!$J$2:$J$1000&gt;$B380)*ISNUMBER(SEARCH($L380,'Shared Calendar'!$M$2:$M$1000))*('Shared Calendar'!$N$2:$N$1000="Leave"))&gt;0,"Leave",""))</f>
        <v/>
      </c>
      <c r="J380" s="244">
        <f>IF($A380="","",IFERROR(INDEX('Public Holidays'!$C$6:$C$38,MATCH($B380,'Public Holidays'!$A$6:$A$38,0))&amp;" ("&amp;INDEX('Public Holidays'!$L$6:$L$38,MATCH($B380,'Public Holidays'!$A$6:$A$38,0))&amp;")",""))</f>
        <v/>
      </c>
      <c r="K380" s="246">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44">
        <f>IF($A380="","",INDEX($B$7:$B$36,INT((ROW()-41)/14)+1)&amp;"")</f>
        <v/>
      </c>
    </row>
    <row r="381">
      <c r="A381" s="244">
        <f>IF(INDEX($A$7:$A$36,INT((ROW()-41)/14)+1)="","",INDEX($A$7:$A$36,INT((ROW()-41)/14)+1))</f>
        <v/>
      </c>
      <c r="B381" s="245">
        <f>IF($A381="","",$B$3+MOD(ROW()-41,14))</f>
        <v/>
      </c>
      <c r="C381" s="244">
        <f>IF($A381="","",TEXT($B381,"ddd"))</f>
        <v/>
      </c>
      <c r="D381" s="242">
        <f>IF($A381="","",SUMIFS('EH Timesheets'!$G$6:$G$1005,'EH Timesheets'!$A$6:$A$1005,$A381,'EH Timesheets'!$B$6:$B$1005,$B381))</f>
        <v/>
      </c>
      <c r="E381" s="242">
        <f>IF($A381="","",SUMIFS('EH Roster'!$G$6:$G$1005,'EH Roster'!$A$6:$A$1005,$A381,'EH Roster'!$B$6:$B$1005,$B381))</f>
        <v/>
      </c>
      <c r="F381" s="242">
        <f>IF($A381="","",$D381-$E381)</f>
        <v/>
      </c>
      <c r="G381" s="242">
        <f>IF($A381="","",IF($L381="",0,SUMPRODUCT(('Shared Calendar'!$K$2:$K$1000&gt;0)*('Shared Calendar'!$K$2:$K$1000&lt;=$B381)*('Shared Calendar'!$J$2:$J$1000&gt;$B381)*ISNUMBER(SEARCH($L381,'Shared Calendar'!$M$2:$M$1000))*('Shared Calendar'!$N$2:$N$1000="Event"),'Shared Calendar'!$L$2:$L$1000)))</f>
        <v/>
      </c>
      <c r="H381" s="246">
        <f>IF(OR($A381="",$L381=""),"",IF(SUMPRODUCT(MAX(('Shared Calendar'!$K$2:$K$1000&gt;0)*('Shared Calendar'!$K$2:$K$1000&lt;=$B381)*('Shared Calendar'!$J$2:$J$1000&gt;$B381)*ISNUMBER(SEARCH($L381,'Shared Calendar'!$M$2:$M$1000))*ROW('Shared Calendar'!$A$2:$A$1000)))=0,"",INDEX('Shared Calendar'!$A:$A,SUMPRODUCT(MAX(('Shared Calendar'!$K$2:$K$1000&gt;0)*('Shared Calendar'!$K$2:$K$1000&lt;=$B381)*('Shared Calendar'!$J$2:$J$1000&gt;$B381)*ISNUMBER(SEARCH($L381,'Shared Calendar'!$M$2:$M$1000))*ROW('Shared Calendar'!$A$2:$A$1000))))))</f>
        <v/>
      </c>
      <c r="I381" s="244">
        <f>IF(OR($A381="",$L381=""),"",IF(SUMPRODUCT(('Shared Calendar'!$K$2:$K$1000&gt;0)*('Shared Calendar'!$K$2:$K$1000&lt;=$B381)*('Shared Calendar'!$J$2:$J$1000&gt;$B381)*ISNUMBER(SEARCH($L381,'Shared Calendar'!$M$2:$M$1000))*('Shared Calendar'!$N$2:$N$1000="Leave"))&gt;0,"Leave",""))</f>
        <v/>
      </c>
      <c r="J381" s="244">
        <f>IF($A381="","",IFERROR(INDEX('Public Holidays'!$C$6:$C$38,MATCH($B381,'Public Holidays'!$A$6:$A$38,0))&amp;" ("&amp;INDEX('Public Holidays'!$L$6:$L$38,MATCH($B381,'Public Holidays'!$A$6:$A$38,0))&amp;")",""))</f>
        <v/>
      </c>
      <c r="K381" s="246">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44">
        <f>IF($A381="","",INDEX($B$7:$B$36,INT((ROW()-41)/14)+1)&amp;"")</f>
        <v/>
      </c>
    </row>
    <row r="382">
      <c r="A382" s="244">
        <f>IF(INDEX($A$7:$A$36,INT((ROW()-41)/14)+1)="","",INDEX($A$7:$A$36,INT((ROW()-41)/14)+1))</f>
        <v/>
      </c>
      <c r="B382" s="245">
        <f>IF($A382="","",$B$3+MOD(ROW()-41,14))</f>
        <v/>
      </c>
      <c r="C382" s="244">
        <f>IF($A382="","",TEXT($B382,"ddd"))</f>
        <v/>
      </c>
      <c r="D382" s="242">
        <f>IF($A382="","",SUMIFS('EH Timesheets'!$G$6:$G$1005,'EH Timesheets'!$A$6:$A$1005,$A382,'EH Timesheets'!$B$6:$B$1005,$B382))</f>
        <v/>
      </c>
      <c r="E382" s="242">
        <f>IF($A382="","",SUMIFS('EH Roster'!$G$6:$G$1005,'EH Roster'!$A$6:$A$1005,$A382,'EH Roster'!$B$6:$B$1005,$B382))</f>
        <v/>
      </c>
      <c r="F382" s="242">
        <f>IF($A382="","",$D382-$E382)</f>
        <v/>
      </c>
      <c r="G382" s="242">
        <f>IF($A382="","",IF($L382="",0,SUMPRODUCT(('Shared Calendar'!$K$2:$K$1000&gt;0)*('Shared Calendar'!$K$2:$K$1000&lt;=$B382)*('Shared Calendar'!$J$2:$J$1000&gt;$B382)*ISNUMBER(SEARCH($L382,'Shared Calendar'!$M$2:$M$1000))*('Shared Calendar'!$N$2:$N$1000="Event"),'Shared Calendar'!$L$2:$L$1000)))</f>
        <v/>
      </c>
      <c r="H382" s="246">
        <f>IF(OR($A382="",$L382=""),"",IF(SUMPRODUCT(MAX(('Shared Calendar'!$K$2:$K$1000&gt;0)*('Shared Calendar'!$K$2:$K$1000&lt;=$B382)*('Shared Calendar'!$J$2:$J$1000&gt;$B382)*ISNUMBER(SEARCH($L382,'Shared Calendar'!$M$2:$M$1000))*ROW('Shared Calendar'!$A$2:$A$1000)))=0,"",INDEX('Shared Calendar'!$A:$A,SUMPRODUCT(MAX(('Shared Calendar'!$K$2:$K$1000&gt;0)*('Shared Calendar'!$K$2:$K$1000&lt;=$B382)*('Shared Calendar'!$J$2:$J$1000&gt;$B382)*ISNUMBER(SEARCH($L382,'Shared Calendar'!$M$2:$M$1000))*ROW('Shared Calendar'!$A$2:$A$1000))))))</f>
        <v/>
      </c>
      <c r="I382" s="244">
        <f>IF(OR($A382="",$L382=""),"",IF(SUMPRODUCT(('Shared Calendar'!$K$2:$K$1000&gt;0)*('Shared Calendar'!$K$2:$K$1000&lt;=$B382)*('Shared Calendar'!$J$2:$J$1000&gt;$B382)*ISNUMBER(SEARCH($L382,'Shared Calendar'!$M$2:$M$1000))*('Shared Calendar'!$N$2:$N$1000="Leave"))&gt;0,"Leave",""))</f>
        <v/>
      </c>
      <c r="J382" s="244">
        <f>IF($A382="","",IFERROR(INDEX('Public Holidays'!$C$6:$C$38,MATCH($B382,'Public Holidays'!$A$6:$A$38,0))&amp;" ("&amp;INDEX('Public Holidays'!$L$6:$L$38,MATCH($B382,'Public Holidays'!$A$6:$A$38,0))&amp;")",""))</f>
        <v/>
      </c>
      <c r="K382" s="246">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44">
        <f>IF($A382="","",INDEX($B$7:$B$36,INT((ROW()-41)/14)+1)&amp;"")</f>
        <v/>
      </c>
    </row>
    <row r="383">
      <c r="A383" s="244">
        <f>IF(INDEX($A$7:$A$36,INT((ROW()-41)/14)+1)="","",INDEX($A$7:$A$36,INT((ROW()-41)/14)+1))</f>
        <v/>
      </c>
      <c r="B383" s="245">
        <f>IF($A383="","",$B$3+MOD(ROW()-41,14))</f>
        <v/>
      </c>
      <c r="C383" s="244">
        <f>IF($A383="","",TEXT($B383,"ddd"))</f>
        <v/>
      </c>
      <c r="D383" s="242">
        <f>IF($A383="","",SUMIFS('EH Timesheets'!$G$6:$G$1005,'EH Timesheets'!$A$6:$A$1005,$A383,'EH Timesheets'!$B$6:$B$1005,$B383))</f>
        <v/>
      </c>
      <c r="E383" s="242">
        <f>IF($A383="","",SUMIFS('EH Roster'!$G$6:$G$1005,'EH Roster'!$A$6:$A$1005,$A383,'EH Roster'!$B$6:$B$1005,$B383))</f>
        <v/>
      </c>
      <c r="F383" s="242">
        <f>IF($A383="","",$D383-$E383)</f>
        <v/>
      </c>
      <c r="G383" s="242">
        <f>IF($A383="","",IF($L383="",0,SUMPRODUCT(('Shared Calendar'!$K$2:$K$1000&gt;0)*('Shared Calendar'!$K$2:$K$1000&lt;=$B383)*('Shared Calendar'!$J$2:$J$1000&gt;$B383)*ISNUMBER(SEARCH($L383,'Shared Calendar'!$M$2:$M$1000))*('Shared Calendar'!$N$2:$N$1000="Event"),'Shared Calendar'!$L$2:$L$1000)))</f>
        <v/>
      </c>
      <c r="H383" s="246">
        <f>IF(OR($A383="",$L383=""),"",IF(SUMPRODUCT(MAX(('Shared Calendar'!$K$2:$K$1000&gt;0)*('Shared Calendar'!$K$2:$K$1000&lt;=$B383)*('Shared Calendar'!$J$2:$J$1000&gt;$B383)*ISNUMBER(SEARCH($L383,'Shared Calendar'!$M$2:$M$1000))*ROW('Shared Calendar'!$A$2:$A$1000)))=0,"",INDEX('Shared Calendar'!$A:$A,SUMPRODUCT(MAX(('Shared Calendar'!$K$2:$K$1000&gt;0)*('Shared Calendar'!$K$2:$K$1000&lt;=$B383)*('Shared Calendar'!$J$2:$J$1000&gt;$B383)*ISNUMBER(SEARCH($L383,'Shared Calendar'!$M$2:$M$1000))*ROW('Shared Calendar'!$A$2:$A$1000))))))</f>
        <v/>
      </c>
      <c r="I383" s="244">
        <f>IF(OR($A383="",$L383=""),"",IF(SUMPRODUCT(('Shared Calendar'!$K$2:$K$1000&gt;0)*('Shared Calendar'!$K$2:$K$1000&lt;=$B383)*('Shared Calendar'!$J$2:$J$1000&gt;$B383)*ISNUMBER(SEARCH($L383,'Shared Calendar'!$M$2:$M$1000))*('Shared Calendar'!$N$2:$N$1000="Leave"))&gt;0,"Leave",""))</f>
        <v/>
      </c>
      <c r="J383" s="244">
        <f>IF($A383="","",IFERROR(INDEX('Public Holidays'!$C$6:$C$38,MATCH($B383,'Public Holidays'!$A$6:$A$38,0))&amp;" ("&amp;INDEX('Public Holidays'!$L$6:$L$38,MATCH($B383,'Public Holidays'!$A$6:$A$38,0))&amp;")",""))</f>
        <v/>
      </c>
      <c r="K383" s="246">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44">
        <f>IF($A383="","",INDEX($B$7:$B$36,INT((ROW()-41)/14)+1)&amp;"")</f>
        <v/>
      </c>
    </row>
    <row r="384">
      <c r="A384" s="244">
        <f>IF(INDEX($A$7:$A$36,INT((ROW()-41)/14)+1)="","",INDEX($A$7:$A$36,INT((ROW()-41)/14)+1))</f>
        <v/>
      </c>
      <c r="B384" s="245">
        <f>IF($A384="","",$B$3+MOD(ROW()-41,14))</f>
        <v/>
      </c>
      <c r="C384" s="244">
        <f>IF($A384="","",TEXT($B384,"ddd"))</f>
        <v/>
      </c>
      <c r="D384" s="242">
        <f>IF($A384="","",SUMIFS('EH Timesheets'!$G$6:$G$1005,'EH Timesheets'!$A$6:$A$1005,$A384,'EH Timesheets'!$B$6:$B$1005,$B384))</f>
        <v/>
      </c>
      <c r="E384" s="242">
        <f>IF($A384="","",SUMIFS('EH Roster'!$G$6:$G$1005,'EH Roster'!$A$6:$A$1005,$A384,'EH Roster'!$B$6:$B$1005,$B384))</f>
        <v/>
      </c>
      <c r="F384" s="242">
        <f>IF($A384="","",$D384-$E384)</f>
        <v/>
      </c>
      <c r="G384" s="242">
        <f>IF($A384="","",IF($L384="",0,SUMPRODUCT(('Shared Calendar'!$K$2:$K$1000&gt;0)*('Shared Calendar'!$K$2:$K$1000&lt;=$B384)*('Shared Calendar'!$J$2:$J$1000&gt;$B384)*ISNUMBER(SEARCH($L384,'Shared Calendar'!$M$2:$M$1000))*('Shared Calendar'!$N$2:$N$1000="Event"),'Shared Calendar'!$L$2:$L$1000)))</f>
        <v/>
      </c>
      <c r="H384" s="246">
        <f>IF(OR($A384="",$L384=""),"",IF(SUMPRODUCT(MAX(('Shared Calendar'!$K$2:$K$1000&gt;0)*('Shared Calendar'!$K$2:$K$1000&lt;=$B384)*('Shared Calendar'!$J$2:$J$1000&gt;$B384)*ISNUMBER(SEARCH($L384,'Shared Calendar'!$M$2:$M$1000))*ROW('Shared Calendar'!$A$2:$A$1000)))=0,"",INDEX('Shared Calendar'!$A:$A,SUMPRODUCT(MAX(('Shared Calendar'!$K$2:$K$1000&gt;0)*('Shared Calendar'!$K$2:$K$1000&lt;=$B384)*('Shared Calendar'!$J$2:$J$1000&gt;$B384)*ISNUMBER(SEARCH($L384,'Shared Calendar'!$M$2:$M$1000))*ROW('Shared Calendar'!$A$2:$A$1000))))))</f>
        <v/>
      </c>
      <c r="I384" s="244">
        <f>IF(OR($A384="",$L384=""),"",IF(SUMPRODUCT(('Shared Calendar'!$K$2:$K$1000&gt;0)*('Shared Calendar'!$K$2:$K$1000&lt;=$B384)*('Shared Calendar'!$J$2:$J$1000&gt;$B384)*ISNUMBER(SEARCH($L384,'Shared Calendar'!$M$2:$M$1000))*('Shared Calendar'!$N$2:$N$1000="Leave"))&gt;0,"Leave",""))</f>
        <v/>
      </c>
      <c r="J384" s="244">
        <f>IF($A384="","",IFERROR(INDEX('Public Holidays'!$C$6:$C$38,MATCH($B384,'Public Holidays'!$A$6:$A$38,0))&amp;" ("&amp;INDEX('Public Holidays'!$L$6:$L$38,MATCH($B384,'Public Holidays'!$A$6:$A$38,0))&amp;")",""))</f>
        <v/>
      </c>
      <c r="K384" s="246">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44">
        <f>IF($A384="","",INDEX($B$7:$B$36,INT((ROW()-41)/14)+1)&amp;"")</f>
        <v/>
      </c>
    </row>
    <row r="385">
      <c r="A385" s="244">
        <f>IF(INDEX($A$7:$A$36,INT((ROW()-41)/14)+1)="","",INDEX($A$7:$A$36,INT((ROW()-41)/14)+1))</f>
        <v/>
      </c>
      <c r="B385" s="245">
        <f>IF($A385="","",$B$3+MOD(ROW()-41,14))</f>
        <v/>
      </c>
      <c r="C385" s="244">
        <f>IF($A385="","",TEXT($B385,"ddd"))</f>
        <v/>
      </c>
      <c r="D385" s="242">
        <f>IF($A385="","",SUMIFS('EH Timesheets'!$G$6:$G$1005,'EH Timesheets'!$A$6:$A$1005,$A385,'EH Timesheets'!$B$6:$B$1005,$B385))</f>
        <v/>
      </c>
      <c r="E385" s="242">
        <f>IF($A385="","",SUMIFS('EH Roster'!$G$6:$G$1005,'EH Roster'!$A$6:$A$1005,$A385,'EH Roster'!$B$6:$B$1005,$B385))</f>
        <v/>
      </c>
      <c r="F385" s="242">
        <f>IF($A385="","",$D385-$E385)</f>
        <v/>
      </c>
      <c r="G385" s="242">
        <f>IF($A385="","",IF($L385="",0,SUMPRODUCT(('Shared Calendar'!$K$2:$K$1000&gt;0)*('Shared Calendar'!$K$2:$K$1000&lt;=$B385)*('Shared Calendar'!$J$2:$J$1000&gt;$B385)*ISNUMBER(SEARCH($L385,'Shared Calendar'!$M$2:$M$1000))*('Shared Calendar'!$N$2:$N$1000="Event"),'Shared Calendar'!$L$2:$L$1000)))</f>
        <v/>
      </c>
      <c r="H385" s="246">
        <f>IF(OR($A385="",$L385=""),"",IF(SUMPRODUCT(MAX(('Shared Calendar'!$K$2:$K$1000&gt;0)*('Shared Calendar'!$K$2:$K$1000&lt;=$B385)*('Shared Calendar'!$J$2:$J$1000&gt;$B385)*ISNUMBER(SEARCH($L385,'Shared Calendar'!$M$2:$M$1000))*ROW('Shared Calendar'!$A$2:$A$1000)))=0,"",INDEX('Shared Calendar'!$A:$A,SUMPRODUCT(MAX(('Shared Calendar'!$K$2:$K$1000&gt;0)*('Shared Calendar'!$K$2:$K$1000&lt;=$B385)*('Shared Calendar'!$J$2:$J$1000&gt;$B385)*ISNUMBER(SEARCH($L385,'Shared Calendar'!$M$2:$M$1000))*ROW('Shared Calendar'!$A$2:$A$1000))))))</f>
        <v/>
      </c>
      <c r="I385" s="244">
        <f>IF(OR($A385="",$L385=""),"",IF(SUMPRODUCT(('Shared Calendar'!$K$2:$K$1000&gt;0)*('Shared Calendar'!$K$2:$K$1000&lt;=$B385)*('Shared Calendar'!$J$2:$J$1000&gt;$B385)*ISNUMBER(SEARCH($L385,'Shared Calendar'!$M$2:$M$1000))*('Shared Calendar'!$N$2:$N$1000="Leave"))&gt;0,"Leave",""))</f>
        <v/>
      </c>
      <c r="J385" s="244">
        <f>IF($A385="","",IFERROR(INDEX('Public Holidays'!$C$6:$C$38,MATCH($B385,'Public Holidays'!$A$6:$A$38,0))&amp;" ("&amp;INDEX('Public Holidays'!$L$6:$L$38,MATCH($B385,'Public Holidays'!$A$6:$A$38,0))&amp;")",""))</f>
        <v/>
      </c>
      <c r="K385" s="246">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44">
        <f>IF($A385="","",INDEX($B$7:$B$36,INT((ROW()-41)/14)+1)&amp;"")</f>
        <v/>
      </c>
    </row>
    <row r="386">
      <c r="A386" s="244">
        <f>IF(INDEX($A$7:$A$36,INT((ROW()-41)/14)+1)="","",INDEX($A$7:$A$36,INT((ROW()-41)/14)+1))</f>
        <v/>
      </c>
      <c r="B386" s="245">
        <f>IF($A386="","",$B$3+MOD(ROW()-41,14))</f>
        <v/>
      </c>
      <c r="C386" s="244">
        <f>IF($A386="","",TEXT($B386,"ddd"))</f>
        <v/>
      </c>
      <c r="D386" s="242">
        <f>IF($A386="","",SUMIFS('EH Timesheets'!$G$6:$G$1005,'EH Timesheets'!$A$6:$A$1005,$A386,'EH Timesheets'!$B$6:$B$1005,$B386))</f>
        <v/>
      </c>
      <c r="E386" s="242">
        <f>IF($A386="","",SUMIFS('EH Roster'!$G$6:$G$1005,'EH Roster'!$A$6:$A$1005,$A386,'EH Roster'!$B$6:$B$1005,$B386))</f>
        <v/>
      </c>
      <c r="F386" s="242">
        <f>IF($A386="","",$D386-$E386)</f>
        <v/>
      </c>
      <c r="G386" s="242">
        <f>IF($A386="","",IF($L386="",0,SUMPRODUCT(('Shared Calendar'!$K$2:$K$1000&gt;0)*('Shared Calendar'!$K$2:$K$1000&lt;=$B386)*('Shared Calendar'!$J$2:$J$1000&gt;$B386)*ISNUMBER(SEARCH($L386,'Shared Calendar'!$M$2:$M$1000))*('Shared Calendar'!$N$2:$N$1000="Event"),'Shared Calendar'!$L$2:$L$1000)))</f>
        <v/>
      </c>
      <c r="H386" s="246">
        <f>IF(OR($A386="",$L386=""),"",IF(SUMPRODUCT(MAX(('Shared Calendar'!$K$2:$K$1000&gt;0)*('Shared Calendar'!$K$2:$K$1000&lt;=$B386)*('Shared Calendar'!$J$2:$J$1000&gt;$B386)*ISNUMBER(SEARCH($L386,'Shared Calendar'!$M$2:$M$1000))*ROW('Shared Calendar'!$A$2:$A$1000)))=0,"",INDEX('Shared Calendar'!$A:$A,SUMPRODUCT(MAX(('Shared Calendar'!$K$2:$K$1000&gt;0)*('Shared Calendar'!$K$2:$K$1000&lt;=$B386)*('Shared Calendar'!$J$2:$J$1000&gt;$B386)*ISNUMBER(SEARCH($L386,'Shared Calendar'!$M$2:$M$1000))*ROW('Shared Calendar'!$A$2:$A$1000))))))</f>
        <v/>
      </c>
      <c r="I386" s="244">
        <f>IF(OR($A386="",$L386=""),"",IF(SUMPRODUCT(('Shared Calendar'!$K$2:$K$1000&gt;0)*('Shared Calendar'!$K$2:$K$1000&lt;=$B386)*('Shared Calendar'!$J$2:$J$1000&gt;$B386)*ISNUMBER(SEARCH($L386,'Shared Calendar'!$M$2:$M$1000))*('Shared Calendar'!$N$2:$N$1000="Leave"))&gt;0,"Leave",""))</f>
        <v/>
      </c>
      <c r="J386" s="244">
        <f>IF($A386="","",IFERROR(INDEX('Public Holidays'!$C$6:$C$38,MATCH($B386,'Public Holidays'!$A$6:$A$38,0))&amp;" ("&amp;INDEX('Public Holidays'!$L$6:$L$38,MATCH($B386,'Public Holidays'!$A$6:$A$38,0))&amp;")",""))</f>
        <v/>
      </c>
      <c r="K386" s="246">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44">
        <f>IF($A386="","",INDEX($B$7:$B$36,INT((ROW()-41)/14)+1)&amp;"")</f>
        <v/>
      </c>
    </row>
    <row r="387">
      <c r="A387" s="244">
        <f>IF(INDEX($A$7:$A$36,INT((ROW()-41)/14)+1)="","",INDEX($A$7:$A$36,INT((ROW()-41)/14)+1))</f>
        <v/>
      </c>
      <c r="B387" s="245">
        <f>IF($A387="","",$B$3+MOD(ROW()-41,14))</f>
        <v/>
      </c>
      <c r="C387" s="244">
        <f>IF($A387="","",TEXT($B387,"ddd"))</f>
        <v/>
      </c>
      <c r="D387" s="242">
        <f>IF($A387="","",SUMIFS('EH Timesheets'!$G$6:$G$1005,'EH Timesheets'!$A$6:$A$1005,$A387,'EH Timesheets'!$B$6:$B$1005,$B387))</f>
        <v/>
      </c>
      <c r="E387" s="242">
        <f>IF($A387="","",SUMIFS('EH Roster'!$G$6:$G$1005,'EH Roster'!$A$6:$A$1005,$A387,'EH Roster'!$B$6:$B$1005,$B387))</f>
        <v/>
      </c>
      <c r="F387" s="242">
        <f>IF($A387="","",$D387-$E387)</f>
        <v/>
      </c>
      <c r="G387" s="242">
        <f>IF($A387="","",IF($L387="",0,SUMPRODUCT(('Shared Calendar'!$K$2:$K$1000&gt;0)*('Shared Calendar'!$K$2:$K$1000&lt;=$B387)*('Shared Calendar'!$J$2:$J$1000&gt;$B387)*ISNUMBER(SEARCH($L387,'Shared Calendar'!$M$2:$M$1000))*('Shared Calendar'!$N$2:$N$1000="Event"),'Shared Calendar'!$L$2:$L$1000)))</f>
        <v/>
      </c>
      <c r="H387" s="246">
        <f>IF(OR($A387="",$L387=""),"",IF(SUMPRODUCT(MAX(('Shared Calendar'!$K$2:$K$1000&gt;0)*('Shared Calendar'!$K$2:$K$1000&lt;=$B387)*('Shared Calendar'!$J$2:$J$1000&gt;$B387)*ISNUMBER(SEARCH($L387,'Shared Calendar'!$M$2:$M$1000))*ROW('Shared Calendar'!$A$2:$A$1000)))=0,"",INDEX('Shared Calendar'!$A:$A,SUMPRODUCT(MAX(('Shared Calendar'!$K$2:$K$1000&gt;0)*('Shared Calendar'!$K$2:$K$1000&lt;=$B387)*('Shared Calendar'!$J$2:$J$1000&gt;$B387)*ISNUMBER(SEARCH($L387,'Shared Calendar'!$M$2:$M$1000))*ROW('Shared Calendar'!$A$2:$A$1000))))))</f>
        <v/>
      </c>
      <c r="I387" s="244">
        <f>IF(OR($A387="",$L387=""),"",IF(SUMPRODUCT(('Shared Calendar'!$K$2:$K$1000&gt;0)*('Shared Calendar'!$K$2:$K$1000&lt;=$B387)*('Shared Calendar'!$J$2:$J$1000&gt;$B387)*ISNUMBER(SEARCH($L387,'Shared Calendar'!$M$2:$M$1000))*('Shared Calendar'!$N$2:$N$1000="Leave"))&gt;0,"Leave",""))</f>
        <v/>
      </c>
      <c r="J387" s="244">
        <f>IF($A387="","",IFERROR(INDEX('Public Holidays'!$C$6:$C$38,MATCH($B387,'Public Holidays'!$A$6:$A$38,0))&amp;" ("&amp;INDEX('Public Holidays'!$L$6:$L$38,MATCH($B387,'Public Holidays'!$A$6:$A$38,0))&amp;")",""))</f>
        <v/>
      </c>
      <c r="K387" s="246">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44">
        <f>IF($A387="","",INDEX($B$7:$B$36,INT((ROW()-41)/14)+1)&amp;"")</f>
        <v/>
      </c>
    </row>
    <row r="388">
      <c r="A388" s="244">
        <f>IF(INDEX($A$7:$A$36,INT((ROW()-41)/14)+1)="","",INDEX($A$7:$A$36,INT((ROW()-41)/14)+1))</f>
        <v/>
      </c>
      <c r="B388" s="245">
        <f>IF($A388="","",$B$3+MOD(ROW()-41,14))</f>
        <v/>
      </c>
      <c r="C388" s="244">
        <f>IF($A388="","",TEXT($B388,"ddd"))</f>
        <v/>
      </c>
      <c r="D388" s="242">
        <f>IF($A388="","",SUMIFS('EH Timesheets'!$G$6:$G$1005,'EH Timesheets'!$A$6:$A$1005,$A388,'EH Timesheets'!$B$6:$B$1005,$B388))</f>
        <v/>
      </c>
      <c r="E388" s="242">
        <f>IF($A388="","",SUMIFS('EH Roster'!$G$6:$G$1005,'EH Roster'!$A$6:$A$1005,$A388,'EH Roster'!$B$6:$B$1005,$B388))</f>
        <v/>
      </c>
      <c r="F388" s="242">
        <f>IF($A388="","",$D388-$E388)</f>
        <v/>
      </c>
      <c r="G388" s="242">
        <f>IF($A388="","",IF($L388="",0,SUMPRODUCT(('Shared Calendar'!$K$2:$K$1000&gt;0)*('Shared Calendar'!$K$2:$K$1000&lt;=$B388)*('Shared Calendar'!$J$2:$J$1000&gt;$B388)*ISNUMBER(SEARCH($L388,'Shared Calendar'!$M$2:$M$1000))*('Shared Calendar'!$N$2:$N$1000="Event"),'Shared Calendar'!$L$2:$L$1000)))</f>
        <v/>
      </c>
      <c r="H388" s="246">
        <f>IF(OR($A388="",$L388=""),"",IF(SUMPRODUCT(MAX(('Shared Calendar'!$K$2:$K$1000&gt;0)*('Shared Calendar'!$K$2:$K$1000&lt;=$B388)*('Shared Calendar'!$J$2:$J$1000&gt;$B388)*ISNUMBER(SEARCH($L388,'Shared Calendar'!$M$2:$M$1000))*ROW('Shared Calendar'!$A$2:$A$1000)))=0,"",INDEX('Shared Calendar'!$A:$A,SUMPRODUCT(MAX(('Shared Calendar'!$K$2:$K$1000&gt;0)*('Shared Calendar'!$K$2:$K$1000&lt;=$B388)*('Shared Calendar'!$J$2:$J$1000&gt;$B388)*ISNUMBER(SEARCH($L388,'Shared Calendar'!$M$2:$M$1000))*ROW('Shared Calendar'!$A$2:$A$1000))))))</f>
        <v/>
      </c>
      <c r="I388" s="244">
        <f>IF(OR($A388="",$L388=""),"",IF(SUMPRODUCT(('Shared Calendar'!$K$2:$K$1000&gt;0)*('Shared Calendar'!$K$2:$K$1000&lt;=$B388)*('Shared Calendar'!$J$2:$J$1000&gt;$B388)*ISNUMBER(SEARCH($L388,'Shared Calendar'!$M$2:$M$1000))*('Shared Calendar'!$N$2:$N$1000="Leave"))&gt;0,"Leave",""))</f>
        <v/>
      </c>
      <c r="J388" s="244">
        <f>IF($A388="","",IFERROR(INDEX('Public Holidays'!$C$6:$C$38,MATCH($B388,'Public Holidays'!$A$6:$A$38,0))&amp;" ("&amp;INDEX('Public Holidays'!$L$6:$L$38,MATCH($B388,'Public Holidays'!$A$6:$A$38,0))&amp;")",""))</f>
        <v/>
      </c>
      <c r="K388" s="246">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44">
        <f>IF($A388="","",INDEX($B$7:$B$36,INT((ROW()-41)/14)+1)&amp;"")</f>
        <v/>
      </c>
    </row>
    <row r="389">
      <c r="A389" s="244">
        <f>IF(INDEX($A$7:$A$36,INT((ROW()-41)/14)+1)="","",INDEX($A$7:$A$36,INT((ROW()-41)/14)+1))</f>
        <v/>
      </c>
      <c r="B389" s="245">
        <f>IF($A389="","",$B$3+MOD(ROW()-41,14))</f>
        <v/>
      </c>
      <c r="C389" s="244">
        <f>IF($A389="","",TEXT($B389,"ddd"))</f>
        <v/>
      </c>
      <c r="D389" s="242">
        <f>IF($A389="","",SUMIFS('EH Timesheets'!$G$6:$G$1005,'EH Timesheets'!$A$6:$A$1005,$A389,'EH Timesheets'!$B$6:$B$1005,$B389))</f>
        <v/>
      </c>
      <c r="E389" s="242">
        <f>IF($A389="","",SUMIFS('EH Roster'!$G$6:$G$1005,'EH Roster'!$A$6:$A$1005,$A389,'EH Roster'!$B$6:$B$1005,$B389))</f>
        <v/>
      </c>
      <c r="F389" s="242">
        <f>IF($A389="","",$D389-$E389)</f>
        <v/>
      </c>
      <c r="G389" s="242">
        <f>IF($A389="","",IF($L389="",0,SUMPRODUCT(('Shared Calendar'!$K$2:$K$1000&gt;0)*('Shared Calendar'!$K$2:$K$1000&lt;=$B389)*('Shared Calendar'!$J$2:$J$1000&gt;$B389)*ISNUMBER(SEARCH($L389,'Shared Calendar'!$M$2:$M$1000))*('Shared Calendar'!$N$2:$N$1000="Event"),'Shared Calendar'!$L$2:$L$1000)))</f>
        <v/>
      </c>
      <c r="H389" s="246">
        <f>IF(OR($A389="",$L389=""),"",IF(SUMPRODUCT(MAX(('Shared Calendar'!$K$2:$K$1000&gt;0)*('Shared Calendar'!$K$2:$K$1000&lt;=$B389)*('Shared Calendar'!$J$2:$J$1000&gt;$B389)*ISNUMBER(SEARCH($L389,'Shared Calendar'!$M$2:$M$1000))*ROW('Shared Calendar'!$A$2:$A$1000)))=0,"",INDEX('Shared Calendar'!$A:$A,SUMPRODUCT(MAX(('Shared Calendar'!$K$2:$K$1000&gt;0)*('Shared Calendar'!$K$2:$K$1000&lt;=$B389)*('Shared Calendar'!$J$2:$J$1000&gt;$B389)*ISNUMBER(SEARCH($L389,'Shared Calendar'!$M$2:$M$1000))*ROW('Shared Calendar'!$A$2:$A$1000))))))</f>
        <v/>
      </c>
      <c r="I389" s="244">
        <f>IF(OR($A389="",$L389=""),"",IF(SUMPRODUCT(('Shared Calendar'!$K$2:$K$1000&gt;0)*('Shared Calendar'!$K$2:$K$1000&lt;=$B389)*('Shared Calendar'!$J$2:$J$1000&gt;$B389)*ISNUMBER(SEARCH($L389,'Shared Calendar'!$M$2:$M$1000))*('Shared Calendar'!$N$2:$N$1000="Leave"))&gt;0,"Leave",""))</f>
        <v/>
      </c>
      <c r="J389" s="244">
        <f>IF($A389="","",IFERROR(INDEX('Public Holidays'!$C$6:$C$38,MATCH($B389,'Public Holidays'!$A$6:$A$38,0))&amp;" ("&amp;INDEX('Public Holidays'!$L$6:$L$38,MATCH($B389,'Public Holidays'!$A$6:$A$38,0))&amp;")",""))</f>
        <v/>
      </c>
      <c r="K389" s="246">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44">
        <f>IF($A389="","",INDEX($B$7:$B$36,INT((ROW()-41)/14)+1)&amp;"")</f>
        <v/>
      </c>
    </row>
    <row r="390">
      <c r="A390" s="244">
        <f>IF(INDEX($A$7:$A$36,INT((ROW()-41)/14)+1)="","",INDEX($A$7:$A$36,INT((ROW()-41)/14)+1))</f>
        <v/>
      </c>
      <c r="B390" s="245">
        <f>IF($A390="","",$B$3+MOD(ROW()-41,14))</f>
        <v/>
      </c>
      <c r="C390" s="244">
        <f>IF($A390="","",TEXT($B390,"ddd"))</f>
        <v/>
      </c>
      <c r="D390" s="242">
        <f>IF($A390="","",SUMIFS('EH Timesheets'!$G$6:$G$1005,'EH Timesheets'!$A$6:$A$1005,$A390,'EH Timesheets'!$B$6:$B$1005,$B390))</f>
        <v/>
      </c>
      <c r="E390" s="242">
        <f>IF($A390="","",SUMIFS('EH Roster'!$G$6:$G$1005,'EH Roster'!$A$6:$A$1005,$A390,'EH Roster'!$B$6:$B$1005,$B390))</f>
        <v/>
      </c>
      <c r="F390" s="242">
        <f>IF($A390="","",$D390-$E390)</f>
        <v/>
      </c>
      <c r="G390" s="242">
        <f>IF($A390="","",IF($L390="",0,SUMPRODUCT(('Shared Calendar'!$K$2:$K$1000&gt;0)*('Shared Calendar'!$K$2:$K$1000&lt;=$B390)*('Shared Calendar'!$J$2:$J$1000&gt;$B390)*ISNUMBER(SEARCH($L390,'Shared Calendar'!$M$2:$M$1000))*('Shared Calendar'!$N$2:$N$1000="Event"),'Shared Calendar'!$L$2:$L$1000)))</f>
        <v/>
      </c>
      <c r="H390" s="246">
        <f>IF(OR($A390="",$L390=""),"",IF(SUMPRODUCT(MAX(('Shared Calendar'!$K$2:$K$1000&gt;0)*('Shared Calendar'!$K$2:$K$1000&lt;=$B390)*('Shared Calendar'!$J$2:$J$1000&gt;$B390)*ISNUMBER(SEARCH($L390,'Shared Calendar'!$M$2:$M$1000))*ROW('Shared Calendar'!$A$2:$A$1000)))=0,"",INDEX('Shared Calendar'!$A:$A,SUMPRODUCT(MAX(('Shared Calendar'!$K$2:$K$1000&gt;0)*('Shared Calendar'!$K$2:$K$1000&lt;=$B390)*('Shared Calendar'!$J$2:$J$1000&gt;$B390)*ISNUMBER(SEARCH($L390,'Shared Calendar'!$M$2:$M$1000))*ROW('Shared Calendar'!$A$2:$A$1000))))))</f>
        <v/>
      </c>
      <c r="I390" s="244">
        <f>IF(OR($A390="",$L390=""),"",IF(SUMPRODUCT(('Shared Calendar'!$K$2:$K$1000&gt;0)*('Shared Calendar'!$K$2:$K$1000&lt;=$B390)*('Shared Calendar'!$J$2:$J$1000&gt;$B390)*ISNUMBER(SEARCH($L390,'Shared Calendar'!$M$2:$M$1000))*('Shared Calendar'!$N$2:$N$1000="Leave"))&gt;0,"Leave",""))</f>
        <v/>
      </c>
      <c r="J390" s="244">
        <f>IF($A390="","",IFERROR(INDEX('Public Holidays'!$C$6:$C$38,MATCH($B390,'Public Holidays'!$A$6:$A$38,0))&amp;" ("&amp;INDEX('Public Holidays'!$L$6:$L$38,MATCH($B390,'Public Holidays'!$A$6:$A$38,0))&amp;")",""))</f>
        <v/>
      </c>
      <c r="K390" s="246">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44">
        <f>IF($A390="","",INDEX($B$7:$B$36,INT((ROW()-41)/14)+1)&amp;"")</f>
        <v/>
      </c>
    </row>
    <row r="391">
      <c r="A391" s="244">
        <f>IF(INDEX($A$7:$A$36,INT((ROW()-41)/14)+1)="","",INDEX($A$7:$A$36,INT((ROW()-41)/14)+1))</f>
        <v/>
      </c>
      <c r="B391" s="245">
        <f>IF($A391="","",$B$3+MOD(ROW()-41,14))</f>
        <v/>
      </c>
      <c r="C391" s="244">
        <f>IF($A391="","",TEXT($B391,"ddd"))</f>
        <v/>
      </c>
      <c r="D391" s="242">
        <f>IF($A391="","",SUMIFS('EH Timesheets'!$G$6:$G$1005,'EH Timesheets'!$A$6:$A$1005,$A391,'EH Timesheets'!$B$6:$B$1005,$B391))</f>
        <v/>
      </c>
      <c r="E391" s="242">
        <f>IF($A391="","",SUMIFS('EH Roster'!$G$6:$G$1005,'EH Roster'!$A$6:$A$1005,$A391,'EH Roster'!$B$6:$B$1005,$B391))</f>
        <v/>
      </c>
      <c r="F391" s="242">
        <f>IF($A391="","",$D391-$E391)</f>
        <v/>
      </c>
      <c r="G391" s="242">
        <f>IF($A391="","",IF($L391="",0,SUMPRODUCT(('Shared Calendar'!$K$2:$K$1000&gt;0)*('Shared Calendar'!$K$2:$K$1000&lt;=$B391)*('Shared Calendar'!$J$2:$J$1000&gt;$B391)*ISNUMBER(SEARCH($L391,'Shared Calendar'!$M$2:$M$1000))*('Shared Calendar'!$N$2:$N$1000="Event"),'Shared Calendar'!$L$2:$L$1000)))</f>
        <v/>
      </c>
      <c r="H391" s="246">
        <f>IF(OR($A391="",$L391=""),"",IF(SUMPRODUCT(MAX(('Shared Calendar'!$K$2:$K$1000&gt;0)*('Shared Calendar'!$K$2:$K$1000&lt;=$B391)*('Shared Calendar'!$J$2:$J$1000&gt;$B391)*ISNUMBER(SEARCH($L391,'Shared Calendar'!$M$2:$M$1000))*ROW('Shared Calendar'!$A$2:$A$1000)))=0,"",INDEX('Shared Calendar'!$A:$A,SUMPRODUCT(MAX(('Shared Calendar'!$K$2:$K$1000&gt;0)*('Shared Calendar'!$K$2:$K$1000&lt;=$B391)*('Shared Calendar'!$J$2:$J$1000&gt;$B391)*ISNUMBER(SEARCH($L391,'Shared Calendar'!$M$2:$M$1000))*ROW('Shared Calendar'!$A$2:$A$1000))))))</f>
        <v/>
      </c>
      <c r="I391" s="244">
        <f>IF(OR($A391="",$L391=""),"",IF(SUMPRODUCT(('Shared Calendar'!$K$2:$K$1000&gt;0)*('Shared Calendar'!$K$2:$K$1000&lt;=$B391)*('Shared Calendar'!$J$2:$J$1000&gt;$B391)*ISNUMBER(SEARCH($L391,'Shared Calendar'!$M$2:$M$1000))*('Shared Calendar'!$N$2:$N$1000="Leave"))&gt;0,"Leave",""))</f>
        <v/>
      </c>
      <c r="J391" s="244">
        <f>IF($A391="","",IFERROR(INDEX('Public Holidays'!$C$6:$C$38,MATCH($B391,'Public Holidays'!$A$6:$A$38,0))&amp;" ("&amp;INDEX('Public Holidays'!$L$6:$L$38,MATCH($B391,'Public Holidays'!$A$6:$A$38,0))&amp;")",""))</f>
        <v/>
      </c>
      <c r="K391" s="246">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44">
        <f>IF($A391="","",INDEX($B$7:$B$36,INT((ROW()-41)/14)+1)&amp;"")</f>
        <v/>
      </c>
    </row>
    <row r="392">
      <c r="A392" s="244">
        <f>IF(INDEX($A$7:$A$36,INT((ROW()-41)/14)+1)="","",INDEX($A$7:$A$36,INT((ROW()-41)/14)+1))</f>
        <v/>
      </c>
      <c r="B392" s="245">
        <f>IF($A392="","",$B$3+MOD(ROW()-41,14))</f>
        <v/>
      </c>
      <c r="C392" s="244">
        <f>IF($A392="","",TEXT($B392,"ddd"))</f>
        <v/>
      </c>
      <c r="D392" s="242">
        <f>IF($A392="","",SUMIFS('EH Timesheets'!$G$6:$G$1005,'EH Timesheets'!$A$6:$A$1005,$A392,'EH Timesheets'!$B$6:$B$1005,$B392))</f>
        <v/>
      </c>
      <c r="E392" s="242">
        <f>IF($A392="","",SUMIFS('EH Roster'!$G$6:$G$1005,'EH Roster'!$A$6:$A$1005,$A392,'EH Roster'!$B$6:$B$1005,$B392))</f>
        <v/>
      </c>
      <c r="F392" s="242">
        <f>IF($A392="","",$D392-$E392)</f>
        <v/>
      </c>
      <c r="G392" s="242">
        <f>IF($A392="","",IF($L392="",0,SUMPRODUCT(('Shared Calendar'!$K$2:$K$1000&gt;0)*('Shared Calendar'!$K$2:$K$1000&lt;=$B392)*('Shared Calendar'!$J$2:$J$1000&gt;$B392)*ISNUMBER(SEARCH($L392,'Shared Calendar'!$M$2:$M$1000))*('Shared Calendar'!$N$2:$N$1000="Event"),'Shared Calendar'!$L$2:$L$1000)))</f>
        <v/>
      </c>
      <c r="H392" s="246">
        <f>IF(OR($A392="",$L392=""),"",IF(SUMPRODUCT(MAX(('Shared Calendar'!$K$2:$K$1000&gt;0)*('Shared Calendar'!$K$2:$K$1000&lt;=$B392)*('Shared Calendar'!$J$2:$J$1000&gt;$B392)*ISNUMBER(SEARCH($L392,'Shared Calendar'!$M$2:$M$1000))*ROW('Shared Calendar'!$A$2:$A$1000)))=0,"",INDEX('Shared Calendar'!$A:$A,SUMPRODUCT(MAX(('Shared Calendar'!$K$2:$K$1000&gt;0)*('Shared Calendar'!$K$2:$K$1000&lt;=$B392)*('Shared Calendar'!$J$2:$J$1000&gt;$B392)*ISNUMBER(SEARCH($L392,'Shared Calendar'!$M$2:$M$1000))*ROW('Shared Calendar'!$A$2:$A$1000))))))</f>
        <v/>
      </c>
      <c r="I392" s="244">
        <f>IF(OR($A392="",$L392=""),"",IF(SUMPRODUCT(('Shared Calendar'!$K$2:$K$1000&gt;0)*('Shared Calendar'!$K$2:$K$1000&lt;=$B392)*('Shared Calendar'!$J$2:$J$1000&gt;$B392)*ISNUMBER(SEARCH($L392,'Shared Calendar'!$M$2:$M$1000))*('Shared Calendar'!$N$2:$N$1000="Leave"))&gt;0,"Leave",""))</f>
        <v/>
      </c>
      <c r="J392" s="244">
        <f>IF($A392="","",IFERROR(INDEX('Public Holidays'!$C$6:$C$38,MATCH($B392,'Public Holidays'!$A$6:$A$38,0))&amp;" ("&amp;INDEX('Public Holidays'!$L$6:$L$38,MATCH($B392,'Public Holidays'!$A$6:$A$38,0))&amp;")",""))</f>
        <v/>
      </c>
      <c r="K392" s="246">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44">
        <f>IF($A392="","",INDEX($B$7:$B$36,INT((ROW()-41)/14)+1)&amp;"")</f>
        <v/>
      </c>
    </row>
    <row r="393">
      <c r="A393" s="244">
        <f>IF(INDEX($A$7:$A$36,INT((ROW()-41)/14)+1)="","",INDEX($A$7:$A$36,INT((ROW()-41)/14)+1))</f>
        <v/>
      </c>
      <c r="B393" s="245">
        <f>IF($A393="","",$B$3+MOD(ROW()-41,14))</f>
        <v/>
      </c>
      <c r="C393" s="244">
        <f>IF($A393="","",TEXT($B393,"ddd"))</f>
        <v/>
      </c>
      <c r="D393" s="242">
        <f>IF($A393="","",SUMIFS('EH Timesheets'!$G$6:$G$1005,'EH Timesheets'!$A$6:$A$1005,$A393,'EH Timesheets'!$B$6:$B$1005,$B393))</f>
        <v/>
      </c>
      <c r="E393" s="242">
        <f>IF($A393="","",SUMIFS('EH Roster'!$G$6:$G$1005,'EH Roster'!$A$6:$A$1005,$A393,'EH Roster'!$B$6:$B$1005,$B393))</f>
        <v/>
      </c>
      <c r="F393" s="242">
        <f>IF($A393="","",$D393-$E393)</f>
        <v/>
      </c>
      <c r="G393" s="242">
        <f>IF($A393="","",IF($L393="",0,SUMPRODUCT(('Shared Calendar'!$K$2:$K$1000&gt;0)*('Shared Calendar'!$K$2:$K$1000&lt;=$B393)*('Shared Calendar'!$J$2:$J$1000&gt;$B393)*ISNUMBER(SEARCH($L393,'Shared Calendar'!$M$2:$M$1000))*('Shared Calendar'!$N$2:$N$1000="Event"),'Shared Calendar'!$L$2:$L$1000)))</f>
        <v/>
      </c>
      <c r="H393" s="246">
        <f>IF(OR($A393="",$L393=""),"",IF(SUMPRODUCT(MAX(('Shared Calendar'!$K$2:$K$1000&gt;0)*('Shared Calendar'!$K$2:$K$1000&lt;=$B393)*('Shared Calendar'!$J$2:$J$1000&gt;$B393)*ISNUMBER(SEARCH($L393,'Shared Calendar'!$M$2:$M$1000))*ROW('Shared Calendar'!$A$2:$A$1000)))=0,"",INDEX('Shared Calendar'!$A:$A,SUMPRODUCT(MAX(('Shared Calendar'!$K$2:$K$1000&gt;0)*('Shared Calendar'!$K$2:$K$1000&lt;=$B393)*('Shared Calendar'!$J$2:$J$1000&gt;$B393)*ISNUMBER(SEARCH($L393,'Shared Calendar'!$M$2:$M$1000))*ROW('Shared Calendar'!$A$2:$A$1000))))))</f>
        <v/>
      </c>
      <c r="I393" s="244">
        <f>IF(OR($A393="",$L393=""),"",IF(SUMPRODUCT(('Shared Calendar'!$K$2:$K$1000&gt;0)*('Shared Calendar'!$K$2:$K$1000&lt;=$B393)*('Shared Calendar'!$J$2:$J$1000&gt;$B393)*ISNUMBER(SEARCH($L393,'Shared Calendar'!$M$2:$M$1000))*('Shared Calendar'!$N$2:$N$1000="Leave"))&gt;0,"Leave",""))</f>
        <v/>
      </c>
      <c r="J393" s="244">
        <f>IF($A393="","",IFERROR(INDEX('Public Holidays'!$C$6:$C$38,MATCH($B393,'Public Holidays'!$A$6:$A$38,0))&amp;" ("&amp;INDEX('Public Holidays'!$L$6:$L$38,MATCH($B393,'Public Holidays'!$A$6:$A$38,0))&amp;")",""))</f>
        <v/>
      </c>
      <c r="K393" s="246">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44">
        <f>IF($A393="","",INDEX($B$7:$B$36,INT((ROW()-41)/14)+1)&amp;"")</f>
        <v/>
      </c>
    </row>
    <row r="394">
      <c r="A394" s="244">
        <f>IF(INDEX($A$7:$A$36,INT((ROW()-41)/14)+1)="","",INDEX($A$7:$A$36,INT((ROW()-41)/14)+1))</f>
        <v/>
      </c>
      <c r="B394" s="245">
        <f>IF($A394="","",$B$3+MOD(ROW()-41,14))</f>
        <v/>
      </c>
      <c r="C394" s="244">
        <f>IF($A394="","",TEXT($B394,"ddd"))</f>
        <v/>
      </c>
      <c r="D394" s="242">
        <f>IF($A394="","",SUMIFS('EH Timesheets'!$G$6:$G$1005,'EH Timesheets'!$A$6:$A$1005,$A394,'EH Timesheets'!$B$6:$B$1005,$B394))</f>
        <v/>
      </c>
      <c r="E394" s="242">
        <f>IF($A394="","",SUMIFS('EH Roster'!$G$6:$G$1005,'EH Roster'!$A$6:$A$1005,$A394,'EH Roster'!$B$6:$B$1005,$B394))</f>
        <v/>
      </c>
      <c r="F394" s="242">
        <f>IF($A394="","",$D394-$E394)</f>
        <v/>
      </c>
      <c r="G394" s="242">
        <f>IF($A394="","",IF($L394="",0,SUMPRODUCT(('Shared Calendar'!$K$2:$K$1000&gt;0)*('Shared Calendar'!$K$2:$K$1000&lt;=$B394)*('Shared Calendar'!$J$2:$J$1000&gt;$B394)*ISNUMBER(SEARCH($L394,'Shared Calendar'!$M$2:$M$1000))*('Shared Calendar'!$N$2:$N$1000="Event"),'Shared Calendar'!$L$2:$L$1000)))</f>
        <v/>
      </c>
      <c r="H394" s="246">
        <f>IF(OR($A394="",$L394=""),"",IF(SUMPRODUCT(MAX(('Shared Calendar'!$K$2:$K$1000&gt;0)*('Shared Calendar'!$K$2:$K$1000&lt;=$B394)*('Shared Calendar'!$J$2:$J$1000&gt;$B394)*ISNUMBER(SEARCH($L394,'Shared Calendar'!$M$2:$M$1000))*ROW('Shared Calendar'!$A$2:$A$1000)))=0,"",INDEX('Shared Calendar'!$A:$A,SUMPRODUCT(MAX(('Shared Calendar'!$K$2:$K$1000&gt;0)*('Shared Calendar'!$K$2:$K$1000&lt;=$B394)*('Shared Calendar'!$J$2:$J$1000&gt;$B394)*ISNUMBER(SEARCH($L394,'Shared Calendar'!$M$2:$M$1000))*ROW('Shared Calendar'!$A$2:$A$1000))))))</f>
        <v/>
      </c>
      <c r="I394" s="244">
        <f>IF(OR($A394="",$L394=""),"",IF(SUMPRODUCT(('Shared Calendar'!$K$2:$K$1000&gt;0)*('Shared Calendar'!$K$2:$K$1000&lt;=$B394)*('Shared Calendar'!$J$2:$J$1000&gt;$B394)*ISNUMBER(SEARCH($L394,'Shared Calendar'!$M$2:$M$1000))*('Shared Calendar'!$N$2:$N$1000="Leave"))&gt;0,"Leave",""))</f>
        <v/>
      </c>
      <c r="J394" s="244">
        <f>IF($A394="","",IFERROR(INDEX('Public Holidays'!$C$6:$C$38,MATCH($B394,'Public Holidays'!$A$6:$A$38,0))&amp;" ("&amp;INDEX('Public Holidays'!$L$6:$L$38,MATCH($B394,'Public Holidays'!$A$6:$A$38,0))&amp;")",""))</f>
        <v/>
      </c>
      <c r="K394" s="246">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44">
        <f>IF($A394="","",INDEX($B$7:$B$36,INT((ROW()-41)/14)+1)&amp;"")</f>
        <v/>
      </c>
    </row>
    <row r="395">
      <c r="A395" s="244">
        <f>IF(INDEX($A$7:$A$36,INT((ROW()-41)/14)+1)="","",INDEX($A$7:$A$36,INT((ROW()-41)/14)+1))</f>
        <v/>
      </c>
      <c r="B395" s="245">
        <f>IF($A395="","",$B$3+MOD(ROW()-41,14))</f>
        <v/>
      </c>
      <c r="C395" s="244">
        <f>IF($A395="","",TEXT($B395,"ddd"))</f>
        <v/>
      </c>
      <c r="D395" s="242">
        <f>IF($A395="","",SUMIFS('EH Timesheets'!$G$6:$G$1005,'EH Timesheets'!$A$6:$A$1005,$A395,'EH Timesheets'!$B$6:$B$1005,$B395))</f>
        <v/>
      </c>
      <c r="E395" s="242">
        <f>IF($A395="","",SUMIFS('EH Roster'!$G$6:$G$1005,'EH Roster'!$A$6:$A$1005,$A395,'EH Roster'!$B$6:$B$1005,$B395))</f>
        <v/>
      </c>
      <c r="F395" s="242">
        <f>IF($A395="","",$D395-$E395)</f>
        <v/>
      </c>
      <c r="G395" s="242">
        <f>IF($A395="","",IF($L395="",0,SUMPRODUCT(('Shared Calendar'!$K$2:$K$1000&gt;0)*('Shared Calendar'!$K$2:$K$1000&lt;=$B395)*('Shared Calendar'!$J$2:$J$1000&gt;$B395)*ISNUMBER(SEARCH($L395,'Shared Calendar'!$M$2:$M$1000))*('Shared Calendar'!$N$2:$N$1000="Event"),'Shared Calendar'!$L$2:$L$1000)))</f>
        <v/>
      </c>
      <c r="H395" s="246">
        <f>IF(OR($A395="",$L395=""),"",IF(SUMPRODUCT(MAX(('Shared Calendar'!$K$2:$K$1000&gt;0)*('Shared Calendar'!$K$2:$K$1000&lt;=$B395)*('Shared Calendar'!$J$2:$J$1000&gt;$B395)*ISNUMBER(SEARCH($L395,'Shared Calendar'!$M$2:$M$1000))*ROW('Shared Calendar'!$A$2:$A$1000)))=0,"",INDEX('Shared Calendar'!$A:$A,SUMPRODUCT(MAX(('Shared Calendar'!$K$2:$K$1000&gt;0)*('Shared Calendar'!$K$2:$K$1000&lt;=$B395)*('Shared Calendar'!$J$2:$J$1000&gt;$B395)*ISNUMBER(SEARCH($L395,'Shared Calendar'!$M$2:$M$1000))*ROW('Shared Calendar'!$A$2:$A$1000))))))</f>
        <v/>
      </c>
      <c r="I395" s="244">
        <f>IF(OR($A395="",$L395=""),"",IF(SUMPRODUCT(('Shared Calendar'!$K$2:$K$1000&gt;0)*('Shared Calendar'!$K$2:$K$1000&lt;=$B395)*('Shared Calendar'!$J$2:$J$1000&gt;$B395)*ISNUMBER(SEARCH($L395,'Shared Calendar'!$M$2:$M$1000))*('Shared Calendar'!$N$2:$N$1000="Leave"))&gt;0,"Leave",""))</f>
        <v/>
      </c>
      <c r="J395" s="244">
        <f>IF($A395="","",IFERROR(INDEX('Public Holidays'!$C$6:$C$38,MATCH($B395,'Public Holidays'!$A$6:$A$38,0))&amp;" ("&amp;INDEX('Public Holidays'!$L$6:$L$38,MATCH($B395,'Public Holidays'!$A$6:$A$38,0))&amp;")",""))</f>
        <v/>
      </c>
      <c r="K395" s="246">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44">
        <f>IF($A395="","",INDEX($B$7:$B$36,INT((ROW()-41)/14)+1)&amp;"")</f>
        <v/>
      </c>
    </row>
    <row r="396">
      <c r="A396" s="244">
        <f>IF(INDEX($A$7:$A$36,INT((ROW()-41)/14)+1)="","",INDEX($A$7:$A$36,INT((ROW()-41)/14)+1))</f>
        <v/>
      </c>
      <c r="B396" s="245">
        <f>IF($A396="","",$B$3+MOD(ROW()-41,14))</f>
        <v/>
      </c>
      <c r="C396" s="244">
        <f>IF($A396="","",TEXT($B396,"ddd"))</f>
        <v/>
      </c>
      <c r="D396" s="242">
        <f>IF($A396="","",SUMIFS('EH Timesheets'!$G$6:$G$1005,'EH Timesheets'!$A$6:$A$1005,$A396,'EH Timesheets'!$B$6:$B$1005,$B396))</f>
        <v/>
      </c>
      <c r="E396" s="242">
        <f>IF($A396="","",SUMIFS('EH Roster'!$G$6:$G$1005,'EH Roster'!$A$6:$A$1005,$A396,'EH Roster'!$B$6:$B$1005,$B396))</f>
        <v/>
      </c>
      <c r="F396" s="242">
        <f>IF($A396="","",$D396-$E396)</f>
        <v/>
      </c>
      <c r="G396" s="242">
        <f>IF($A396="","",IF($L396="",0,SUMPRODUCT(('Shared Calendar'!$K$2:$K$1000&gt;0)*('Shared Calendar'!$K$2:$K$1000&lt;=$B396)*('Shared Calendar'!$J$2:$J$1000&gt;$B396)*ISNUMBER(SEARCH($L396,'Shared Calendar'!$M$2:$M$1000))*('Shared Calendar'!$N$2:$N$1000="Event"),'Shared Calendar'!$L$2:$L$1000)))</f>
        <v/>
      </c>
      <c r="H396" s="246">
        <f>IF(OR($A396="",$L396=""),"",IF(SUMPRODUCT(MAX(('Shared Calendar'!$K$2:$K$1000&gt;0)*('Shared Calendar'!$K$2:$K$1000&lt;=$B396)*('Shared Calendar'!$J$2:$J$1000&gt;$B396)*ISNUMBER(SEARCH($L396,'Shared Calendar'!$M$2:$M$1000))*ROW('Shared Calendar'!$A$2:$A$1000)))=0,"",INDEX('Shared Calendar'!$A:$A,SUMPRODUCT(MAX(('Shared Calendar'!$K$2:$K$1000&gt;0)*('Shared Calendar'!$K$2:$K$1000&lt;=$B396)*('Shared Calendar'!$J$2:$J$1000&gt;$B396)*ISNUMBER(SEARCH($L396,'Shared Calendar'!$M$2:$M$1000))*ROW('Shared Calendar'!$A$2:$A$1000))))))</f>
        <v/>
      </c>
      <c r="I396" s="244">
        <f>IF(OR($A396="",$L396=""),"",IF(SUMPRODUCT(('Shared Calendar'!$K$2:$K$1000&gt;0)*('Shared Calendar'!$K$2:$K$1000&lt;=$B396)*('Shared Calendar'!$J$2:$J$1000&gt;$B396)*ISNUMBER(SEARCH($L396,'Shared Calendar'!$M$2:$M$1000))*('Shared Calendar'!$N$2:$N$1000="Leave"))&gt;0,"Leave",""))</f>
        <v/>
      </c>
      <c r="J396" s="244">
        <f>IF($A396="","",IFERROR(INDEX('Public Holidays'!$C$6:$C$38,MATCH($B396,'Public Holidays'!$A$6:$A$38,0))&amp;" ("&amp;INDEX('Public Holidays'!$L$6:$L$38,MATCH($B396,'Public Holidays'!$A$6:$A$38,0))&amp;")",""))</f>
        <v/>
      </c>
      <c r="K396" s="246">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44">
        <f>IF($A396="","",INDEX($B$7:$B$36,INT((ROW()-41)/14)+1)&amp;"")</f>
        <v/>
      </c>
    </row>
    <row r="397">
      <c r="A397" s="244">
        <f>IF(INDEX($A$7:$A$36,INT((ROW()-41)/14)+1)="","",INDEX($A$7:$A$36,INT((ROW()-41)/14)+1))</f>
        <v/>
      </c>
      <c r="B397" s="245">
        <f>IF($A397="","",$B$3+MOD(ROW()-41,14))</f>
        <v/>
      </c>
      <c r="C397" s="244">
        <f>IF($A397="","",TEXT($B397,"ddd"))</f>
        <v/>
      </c>
      <c r="D397" s="242">
        <f>IF($A397="","",SUMIFS('EH Timesheets'!$G$6:$G$1005,'EH Timesheets'!$A$6:$A$1005,$A397,'EH Timesheets'!$B$6:$B$1005,$B397))</f>
        <v/>
      </c>
      <c r="E397" s="242">
        <f>IF($A397="","",SUMIFS('EH Roster'!$G$6:$G$1005,'EH Roster'!$A$6:$A$1005,$A397,'EH Roster'!$B$6:$B$1005,$B397))</f>
        <v/>
      </c>
      <c r="F397" s="242">
        <f>IF($A397="","",$D397-$E397)</f>
        <v/>
      </c>
      <c r="G397" s="242">
        <f>IF($A397="","",IF($L397="",0,SUMPRODUCT(('Shared Calendar'!$K$2:$K$1000&gt;0)*('Shared Calendar'!$K$2:$K$1000&lt;=$B397)*('Shared Calendar'!$J$2:$J$1000&gt;$B397)*ISNUMBER(SEARCH($L397,'Shared Calendar'!$M$2:$M$1000))*('Shared Calendar'!$N$2:$N$1000="Event"),'Shared Calendar'!$L$2:$L$1000)))</f>
        <v/>
      </c>
      <c r="H397" s="246">
        <f>IF(OR($A397="",$L397=""),"",IF(SUMPRODUCT(MAX(('Shared Calendar'!$K$2:$K$1000&gt;0)*('Shared Calendar'!$K$2:$K$1000&lt;=$B397)*('Shared Calendar'!$J$2:$J$1000&gt;$B397)*ISNUMBER(SEARCH($L397,'Shared Calendar'!$M$2:$M$1000))*ROW('Shared Calendar'!$A$2:$A$1000)))=0,"",INDEX('Shared Calendar'!$A:$A,SUMPRODUCT(MAX(('Shared Calendar'!$K$2:$K$1000&gt;0)*('Shared Calendar'!$K$2:$K$1000&lt;=$B397)*('Shared Calendar'!$J$2:$J$1000&gt;$B397)*ISNUMBER(SEARCH($L397,'Shared Calendar'!$M$2:$M$1000))*ROW('Shared Calendar'!$A$2:$A$1000))))))</f>
        <v/>
      </c>
      <c r="I397" s="244">
        <f>IF(OR($A397="",$L397=""),"",IF(SUMPRODUCT(('Shared Calendar'!$K$2:$K$1000&gt;0)*('Shared Calendar'!$K$2:$K$1000&lt;=$B397)*('Shared Calendar'!$J$2:$J$1000&gt;$B397)*ISNUMBER(SEARCH($L397,'Shared Calendar'!$M$2:$M$1000))*('Shared Calendar'!$N$2:$N$1000="Leave"))&gt;0,"Leave",""))</f>
        <v/>
      </c>
      <c r="J397" s="244">
        <f>IF($A397="","",IFERROR(INDEX('Public Holidays'!$C$6:$C$38,MATCH($B397,'Public Holidays'!$A$6:$A$38,0))&amp;" ("&amp;INDEX('Public Holidays'!$L$6:$L$38,MATCH($B397,'Public Holidays'!$A$6:$A$38,0))&amp;")",""))</f>
        <v/>
      </c>
      <c r="K397" s="246">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44">
        <f>IF($A397="","",INDEX($B$7:$B$36,INT((ROW()-41)/14)+1)&amp;"")</f>
        <v/>
      </c>
    </row>
    <row r="398">
      <c r="A398" s="244">
        <f>IF(INDEX($A$7:$A$36,INT((ROW()-41)/14)+1)="","",INDEX($A$7:$A$36,INT((ROW()-41)/14)+1))</f>
        <v/>
      </c>
      <c r="B398" s="245">
        <f>IF($A398="","",$B$3+MOD(ROW()-41,14))</f>
        <v/>
      </c>
      <c r="C398" s="244">
        <f>IF($A398="","",TEXT($B398,"ddd"))</f>
        <v/>
      </c>
      <c r="D398" s="242">
        <f>IF($A398="","",SUMIFS('EH Timesheets'!$G$6:$G$1005,'EH Timesheets'!$A$6:$A$1005,$A398,'EH Timesheets'!$B$6:$B$1005,$B398))</f>
        <v/>
      </c>
      <c r="E398" s="242">
        <f>IF($A398="","",SUMIFS('EH Roster'!$G$6:$G$1005,'EH Roster'!$A$6:$A$1005,$A398,'EH Roster'!$B$6:$B$1005,$B398))</f>
        <v/>
      </c>
      <c r="F398" s="242">
        <f>IF($A398="","",$D398-$E398)</f>
        <v/>
      </c>
      <c r="G398" s="242">
        <f>IF($A398="","",IF($L398="",0,SUMPRODUCT(('Shared Calendar'!$K$2:$K$1000&gt;0)*('Shared Calendar'!$K$2:$K$1000&lt;=$B398)*('Shared Calendar'!$J$2:$J$1000&gt;$B398)*ISNUMBER(SEARCH($L398,'Shared Calendar'!$M$2:$M$1000))*('Shared Calendar'!$N$2:$N$1000="Event"),'Shared Calendar'!$L$2:$L$1000)))</f>
        <v/>
      </c>
      <c r="H398" s="246">
        <f>IF(OR($A398="",$L398=""),"",IF(SUMPRODUCT(MAX(('Shared Calendar'!$K$2:$K$1000&gt;0)*('Shared Calendar'!$K$2:$K$1000&lt;=$B398)*('Shared Calendar'!$J$2:$J$1000&gt;$B398)*ISNUMBER(SEARCH($L398,'Shared Calendar'!$M$2:$M$1000))*ROW('Shared Calendar'!$A$2:$A$1000)))=0,"",INDEX('Shared Calendar'!$A:$A,SUMPRODUCT(MAX(('Shared Calendar'!$K$2:$K$1000&gt;0)*('Shared Calendar'!$K$2:$K$1000&lt;=$B398)*('Shared Calendar'!$J$2:$J$1000&gt;$B398)*ISNUMBER(SEARCH($L398,'Shared Calendar'!$M$2:$M$1000))*ROW('Shared Calendar'!$A$2:$A$1000))))))</f>
        <v/>
      </c>
      <c r="I398" s="244">
        <f>IF(OR($A398="",$L398=""),"",IF(SUMPRODUCT(('Shared Calendar'!$K$2:$K$1000&gt;0)*('Shared Calendar'!$K$2:$K$1000&lt;=$B398)*('Shared Calendar'!$J$2:$J$1000&gt;$B398)*ISNUMBER(SEARCH($L398,'Shared Calendar'!$M$2:$M$1000))*('Shared Calendar'!$N$2:$N$1000="Leave"))&gt;0,"Leave",""))</f>
        <v/>
      </c>
      <c r="J398" s="244">
        <f>IF($A398="","",IFERROR(INDEX('Public Holidays'!$C$6:$C$38,MATCH($B398,'Public Holidays'!$A$6:$A$38,0))&amp;" ("&amp;INDEX('Public Holidays'!$L$6:$L$38,MATCH($B398,'Public Holidays'!$A$6:$A$38,0))&amp;")",""))</f>
        <v/>
      </c>
      <c r="K398" s="246">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44">
        <f>IF($A398="","",INDEX($B$7:$B$36,INT((ROW()-41)/14)+1)&amp;"")</f>
        <v/>
      </c>
    </row>
    <row r="399">
      <c r="A399" s="244">
        <f>IF(INDEX($A$7:$A$36,INT((ROW()-41)/14)+1)="","",INDEX($A$7:$A$36,INT((ROW()-41)/14)+1))</f>
        <v/>
      </c>
      <c r="B399" s="245">
        <f>IF($A399="","",$B$3+MOD(ROW()-41,14))</f>
        <v/>
      </c>
      <c r="C399" s="244">
        <f>IF($A399="","",TEXT($B399,"ddd"))</f>
        <v/>
      </c>
      <c r="D399" s="242">
        <f>IF($A399="","",SUMIFS('EH Timesheets'!$G$6:$G$1005,'EH Timesheets'!$A$6:$A$1005,$A399,'EH Timesheets'!$B$6:$B$1005,$B399))</f>
        <v/>
      </c>
      <c r="E399" s="242">
        <f>IF($A399="","",SUMIFS('EH Roster'!$G$6:$G$1005,'EH Roster'!$A$6:$A$1005,$A399,'EH Roster'!$B$6:$B$1005,$B399))</f>
        <v/>
      </c>
      <c r="F399" s="242">
        <f>IF($A399="","",$D399-$E399)</f>
        <v/>
      </c>
      <c r="G399" s="242">
        <f>IF($A399="","",IF($L399="",0,SUMPRODUCT(('Shared Calendar'!$K$2:$K$1000&gt;0)*('Shared Calendar'!$K$2:$K$1000&lt;=$B399)*('Shared Calendar'!$J$2:$J$1000&gt;$B399)*ISNUMBER(SEARCH($L399,'Shared Calendar'!$M$2:$M$1000))*('Shared Calendar'!$N$2:$N$1000="Event"),'Shared Calendar'!$L$2:$L$1000)))</f>
        <v/>
      </c>
      <c r="H399" s="246">
        <f>IF(OR($A399="",$L399=""),"",IF(SUMPRODUCT(MAX(('Shared Calendar'!$K$2:$K$1000&gt;0)*('Shared Calendar'!$K$2:$K$1000&lt;=$B399)*('Shared Calendar'!$J$2:$J$1000&gt;$B399)*ISNUMBER(SEARCH($L399,'Shared Calendar'!$M$2:$M$1000))*ROW('Shared Calendar'!$A$2:$A$1000)))=0,"",INDEX('Shared Calendar'!$A:$A,SUMPRODUCT(MAX(('Shared Calendar'!$K$2:$K$1000&gt;0)*('Shared Calendar'!$K$2:$K$1000&lt;=$B399)*('Shared Calendar'!$J$2:$J$1000&gt;$B399)*ISNUMBER(SEARCH($L399,'Shared Calendar'!$M$2:$M$1000))*ROW('Shared Calendar'!$A$2:$A$1000))))))</f>
        <v/>
      </c>
      <c r="I399" s="244">
        <f>IF(OR($A399="",$L399=""),"",IF(SUMPRODUCT(('Shared Calendar'!$K$2:$K$1000&gt;0)*('Shared Calendar'!$K$2:$K$1000&lt;=$B399)*('Shared Calendar'!$J$2:$J$1000&gt;$B399)*ISNUMBER(SEARCH($L399,'Shared Calendar'!$M$2:$M$1000))*('Shared Calendar'!$N$2:$N$1000="Leave"))&gt;0,"Leave",""))</f>
        <v/>
      </c>
      <c r="J399" s="244">
        <f>IF($A399="","",IFERROR(INDEX('Public Holidays'!$C$6:$C$38,MATCH($B399,'Public Holidays'!$A$6:$A$38,0))&amp;" ("&amp;INDEX('Public Holidays'!$L$6:$L$38,MATCH($B399,'Public Holidays'!$A$6:$A$38,0))&amp;")",""))</f>
        <v/>
      </c>
      <c r="K399" s="246">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44">
        <f>IF($A399="","",INDEX($B$7:$B$36,INT((ROW()-41)/14)+1)&amp;"")</f>
        <v/>
      </c>
    </row>
    <row r="400">
      <c r="A400" s="244">
        <f>IF(INDEX($A$7:$A$36,INT((ROW()-41)/14)+1)="","",INDEX($A$7:$A$36,INT((ROW()-41)/14)+1))</f>
        <v/>
      </c>
      <c r="B400" s="245">
        <f>IF($A400="","",$B$3+MOD(ROW()-41,14))</f>
        <v/>
      </c>
      <c r="C400" s="244">
        <f>IF($A400="","",TEXT($B400,"ddd"))</f>
        <v/>
      </c>
      <c r="D400" s="242">
        <f>IF($A400="","",SUMIFS('EH Timesheets'!$G$6:$G$1005,'EH Timesheets'!$A$6:$A$1005,$A400,'EH Timesheets'!$B$6:$B$1005,$B400))</f>
        <v/>
      </c>
      <c r="E400" s="242">
        <f>IF($A400="","",SUMIFS('EH Roster'!$G$6:$G$1005,'EH Roster'!$A$6:$A$1005,$A400,'EH Roster'!$B$6:$B$1005,$B400))</f>
        <v/>
      </c>
      <c r="F400" s="242">
        <f>IF($A400="","",$D400-$E400)</f>
        <v/>
      </c>
      <c r="G400" s="242">
        <f>IF($A400="","",IF($L400="",0,SUMPRODUCT(('Shared Calendar'!$K$2:$K$1000&gt;0)*('Shared Calendar'!$K$2:$K$1000&lt;=$B400)*('Shared Calendar'!$J$2:$J$1000&gt;$B400)*ISNUMBER(SEARCH($L400,'Shared Calendar'!$M$2:$M$1000))*('Shared Calendar'!$N$2:$N$1000="Event"),'Shared Calendar'!$L$2:$L$1000)))</f>
        <v/>
      </c>
      <c r="H400" s="246">
        <f>IF(OR($A400="",$L400=""),"",IF(SUMPRODUCT(MAX(('Shared Calendar'!$K$2:$K$1000&gt;0)*('Shared Calendar'!$K$2:$K$1000&lt;=$B400)*('Shared Calendar'!$J$2:$J$1000&gt;$B400)*ISNUMBER(SEARCH($L400,'Shared Calendar'!$M$2:$M$1000))*ROW('Shared Calendar'!$A$2:$A$1000)))=0,"",INDEX('Shared Calendar'!$A:$A,SUMPRODUCT(MAX(('Shared Calendar'!$K$2:$K$1000&gt;0)*('Shared Calendar'!$K$2:$K$1000&lt;=$B400)*('Shared Calendar'!$J$2:$J$1000&gt;$B400)*ISNUMBER(SEARCH($L400,'Shared Calendar'!$M$2:$M$1000))*ROW('Shared Calendar'!$A$2:$A$1000))))))</f>
        <v/>
      </c>
      <c r="I400" s="244">
        <f>IF(OR($A400="",$L400=""),"",IF(SUMPRODUCT(('Shared Calendar'!$K$2:$K$1000&gt;0)*('Shared Calendar'!$K$2:$K$1000&lt;=$B400)*('Shared Calendar'!$J$2:$J$1000&gt;$B400)*ISNUMBER(SEARCH($L400,'Shared Calendar'!$M$2:$M$1000))*('Shared Calendar'!$N$2:$N$1000="Leave"))&gt;0,"Leave",""))</f>
        <v/>
      </c>
      <c r="J400" s="244">
        <f>IF($A400="","",IFERROR(INDEX('Public Holidays'!$C$6:$C$38,MATCH($B400,'Public Holidays'!$A$6:$A$38,0))&amp;" ("&amp;INDEX('Public Holidays'!$L$6:$L$38,MATCH($B400,'Public Holidays'!$A$6:$A$38,0))&amp;")",""))</f>
        <v/>
      </c>
      <c r="K400" s="246">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44">
        <f>IF($A400="","",INDEX($B$7:$B$36,INT((ROW()-41)/14)+1)&amp;"")</f>
        <v/>
      </c>
    </row>
    <row r="401">
      <c r="A401" s="244">
        <f>IF(INDEX($A$7:$A$36,INT((ROW()-41)/14)+1)="","",INDEX($A$7:$A$36,INT((ROW()-41)/14)+1))</f>
        <v/>
      </c>
      <c r="B401" s="245">
        <f>IF($A401="","",$B$3+MOD(ROW()-41,14))</f>
        <v/>
      </c>
      <c r="C401" s="244">
        <f>IF($A401="","",TEXT($B401,"ddd"))</f>
        <v/>
      </c>
      <c r="D401" s="242">
        <f>IF($A401="","",SUMIFS('EH Timesheets'!$G$6:$G$1005,'EH Timesheets'!$A$6:$A$1005,$A401,'EH Timesheets'!$B$6:$B$1005,$B401))</f>
        <v/>
      </c>
      <c r="E401" s="242">
        <f>IF($A401="","",SUMIFS('EH Roster'!$G$6:$G$1005,'EH Roster'!$A$6:$A$1005,$A401,'EH Roster'!$B$6:$B$1005,$B401))</f>
        <v/>
      </c>
      <c r="F401" s="242">
        <f>IF($A401="","",$D401-$E401)</f>
        <v/>
      </c>
      <c r="G401" s="242">
        <f>IF($A401="","",IF($L401="",0,SUMPRODUCT(('Shared Calendar'!$K$2:$K$1000&gt;0)*('Shared Calendar'!$K$2:$K$1000&lt;=$B401)*('Shared Calendar'!$J$2:$J$1000&gt;$B401)*ISNUMBER(SEARCH($L401,'Shared Calendar'!$M$2:$M$1000))*('Shared Calendar'!$N$2:$N$1000="Event"),'Shared Calendar'!$L$2:$L$1000)))</f>
        <v/>
      </c>
      <c r="H401" s="246">
        <f>IF(OR($A401="",$L401=""),"",IF(SUMPRODUCT(MAX(('Shared Calendar'!$K$2:$K$1000&gt;0)*('Shared Calendar'!$K$2:$K$1000&lt;=$B401)*('Shared Calendar'!$J$2:$J$1000&gt;$B401)*ISNUMBER(SEARCH($L401,'Shared Calendar'!$M$2:$M$1000))*ROW('Shared Calendar'!$A$2:$A$1000)))=0,"",INDEX('Shared Calendar'!$A:$A,SUMPRODUCT(MAX(('Shared Calendar'!$K$2:$K$1000&gt;0)*('Shared Calendar'!$K$2:$K$1000&lt;=$B401)*('Shared Calendar'!$J$2:$J$1000&gt;$B401)*ISNUMBER(SEARCH($L401,'Shared Calendar'!$M$2:$M$1000))*ROW('Shared Calendar'!$A$2:$A$1000))))))</f>
        <v/>
      </c>
      <c r="I401" s="244">
        <f>IF(OR($A401="",$L401=""),"",IF(SUMPRODUCT(('Shared Calendar'!$K$2:$K$1000&gt;0)*('Shared Calendar'!$K$2:$K$1000&lt;=$B401)*('Shared Calendar'!$J$2:$J$1000&gt;$B401)*ISNUMBER(SEARCH($L401,'Shared Calendar'!$M$2:$M$1000))*('Shared Calendar'!$N$2:$N$1000="Leave"))&gt;0,"Leave",""))</f>
        <v/>
      </c>
      <c r="J401" s="244">
        <f>IF($A401="","",IFERROR(INDEX('Public Holidays'!$C$6:$C$38,MATCH($B401,'Public Holidays'!$A$6:$A$38,0))&amp;" ("&amp;INDEX('Public Holidays'!$L$6:$L$38,MATCH($B401,'Public Holidays'!$A$6:$A$38,0))&amp;")",""))</f>
        <v/>
      </c>
      <c r="K401" s="246">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44">
        <f>IF($A401="","",INDEX($B$7:$B$36,INT((ROW()-41)/14)+1)&amp;"")</f>
        <v/>
      </c>
    </row>
    <row r="402">
      <c r="A402" s="244">
        <f>IF(INDEX($A$7:$A$36,INT((ROW()-41)/14)+1)="","",INDEX($A$7:$A$36,INT((ROW()-41)/14)+1))</f>
        <v/>
      </c>
      <c r="B402" s="245">
        <f>IF($A402="","",$B$3+MOD(ROW()-41,14))</f>
        <v/>
      </c>
      <c r="C402" s="244">
        <f>IF($A402="","",TEXT($B402,"ddd"))</f>
        <v/>
      </c>
      <c r="D402" s="242">
        <f>IF($A402="","",SUMIFS('EH Timesheets'!$G$6:$G$1005,'EH Timesheets'!$A$6:$A$1005,$A402,'EH Timesheets'!$B$6:$B$1005,$B402))</f>
        <v/>
      </c>
      <c r="E402" s="242">
        <f>IF($A402="","",SUMIFS('EH Roster'!$G$6:$G$1005,'EH Roster'!$A$6:$A$1005,$A402,'EH Roster'!$B$6:$B$1005,$B402))</f>
        <v/>
      </c>
      <c r="F402" s="242">
        <f>IF($A402="","",$D402-$E402)</f>
        <v/>
      </c>
      <c r="G402" s="242">
        <f>IF($A402="","",IF($L402="",0,SUMPRODUCT(('Shared Calendar'!$K$2:$K$1000&gt;0)*('Shared Calendar'!$K$2:$K$1000&lt;=$B402)*('Shared Calendar'!$J$2:$J$1000&gt;$B402)*ISNUMBER(SEARCH($L402,'Shared Calendar'!$M$2:$M$1000))*('Shared Calendar'!$N$2:$N$1000="Event"),'Shared Calendar'!$L$2:$L$1000)))</f>
        <v/>
      </c>
      <c r="H402" s="246">
        <f>IF(OR($A402="",$L402=""),"",IF(SUMPRODUCT(MAX(('Shared Calendar'!$K$2:$K$1000&gt;0)*('Shared Calendar'!$K$2:$K$1000&lt;=$B402)*('Shared Calendar'!$J$2:$J$1000&gt;$B402)*ISNUMBER(SEARCH($L402,'Shared Calendar'!$M$2:$M$1000))*ROW('Shared Calendar'!$A$2:$A$1000)))=0,"",INDEX('Shared Calendar'!$A:$A,SUMPRODUCT(MAX(('Shared Calendar'!$K$2:$K$1000&gt;0)*('Shared Calendar'!$K$2:$K$1000&lt;=$B402)*('Shared Calendar'!$J$2:$J$1000&gt;$B402)*ISNUMBER(SEARCH($L402,'Shared Calendar'!$M$2:$M$1000))*ROW('Shared Calendar'!$A$2:$A$1000))))))</f>
        <v/>
      </c>
      <c r="I402" s="244">
        <f>IF(OR($A402="",$L402=""),"",IF(SUMPRODUCT(('Shared Calendar'!$K$2:$K$1000&gt;0)*('Shared Calendar'!$K$2:$K$1000&lt;=$B402)*('Shared Calendar'!$J$2:$J$1000&gt;$B402)*ISNUMBER(SEARCH($L402,'Shared Calendar'!$M$2:$M$1000))*('Shared Calendar'!$N$2:$N$1000="Leave"))&gt;0,"Leave",""))</f>
        <v/>
      </c>
      <c r="J402" s="244">
        <f>IF($A402="","",IFERROR(INDEX('Public Holidays'!$C$6:$C$38,MATCH($B402,'Public Holidays'!$A$6:$A$38,0))&amp;" ("&amp;INDEX('Public Holidays'!$L$6:$L$38,MATCH($B402,'Public Holidays'!$A$6:$A$38,0))&amp;")",""))</f>
        <v/>
      </c>
      <c r="K402" s="246">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44">
        <f>IF($A402="","",INDEX($B$7:$B$36,INT((ROW()-41)/14)+1)&amp;"")</f>
        <v/>
      </c>
    </row>
    <row r="403">
      <c r="A403" s="244">
        <f>IF(INDEX($A$7:$A$36,INT((ROW()-41)/14)+1)="","",INDEX($A$7:$A$36,INT((ROW()-41)/14)+1))</f>
        <v/>
      </c>
      <c r="B403" s="245">
        <f>IF($A403="","",$B$3+MOD(ROW()-41,14))</f>
        <v/>
      </c>
      <c r="C403" s="244">
        <f>IF($A403="","",TEXT($B403,"ddd"))</f>
        <v/>
      </c>
      <c r="D403" s="242">
        <f>IF($A403="","",SUMIFS('EH Timesheets'!$G$6:$G$1005,'EH Timesheets'!$A$6:$A$1005,$A403,'EH Timesheets'!$B$6:$B$1005,$B403))</f>
        <v/>
      </c>
      <c r="E403" s="242">
        <f>IF($A403="","",SUMIFS('EH Roster'!$G$6:$G$1005,'EH Roster'!$A$6:$A$1005,$A403,'EH Roster'!$B$6:$B$1005,$B403))</f>
        <v/>
      </c>
      <c r="F403" s="242">
        <f>IF($A403="","",$D403-$E403)</f>
        <v/>
      </c>
      <c r="G403" s="242">
        <f>IF($A403="","",IF($L403="",0,SUMPRODUCT(('Shared Calendar'!$K$2:$K$1000&gt;0)*('Shared Calendar'!$K$2:$K$1000&lt;=$B403)*('Shared Calendar'!$J$2:$J$1000&gt;$B403)*ISNUMBER(SEARCH($L403,'Shared Calendar'!$M$2:$M$1000))*('Shared Calendar'!$N$2:$N$1000="Event"),'Shared Calendar'!$L$2:$L$1000)))</f>
        <v/>
      </c>
      <c r="H403" s="246">
        <f>IF(OR($A403="",$L403=""),"",IF(SUMPRODUCT(MAX(('Shared Calendar'!$K$2:$K$1000&gt;0)*('Shared Calendar'!$K$2:$K$1000&lt;=$B403)*('Shared Calendar'!$J$2:$J$1000&gt;$B403)*ISNUMBER(SEARCH($L403,'Shared Calendar'!$M$2:$M$1000))*ROW('Shared Calendar'!$A$2:$A$1000)))=0,"",INDEX('Shared Calendar'!$A:$A,SUMPRODUCT(MAX(('Shared Calendar'!$K$2:$K$1000&gt;0)*('Shared Calendar'!$K$2:$K$1000&lt;=$B403)*('Shared Calendar'!$J$2:$J$1000&gt;$B403)*ISNUMBER(SEARCH($L403,'Shared Calendar'!$M$2:$M$1000))*ROW('Shared Calendar'!$A$2:$A$1000))))))</f>
        <v/>
      </c>
      <c r="I403" s="244">
        <f>IF(OR($A403="",$L403=""),"",IF(SUMPRODUCT(('Shared Calendar'!$K$2:$K$1000&gt;0)*('Shared Calendar'!$K$2:$K$1000&lt;=$B403)*('Shared Calendar'!$J$2:$J$1000&gt;$B403)*ISNUMBER(SEARCH($L403,'Shared Calendar'!$M$2:$M$1000))*('Shared Calendar'!$N$2:$N$1000="Leave"))&gt;0,"Leave",""))</f>
        <v/>
      </c>
      <c r="J403" s="244">
        <f>IF($A403="","",IFERROR(INDEX('Public Holidays'!$C$6:$C$38,MATCH($B403,'Public Holidays'!$A$6:$A$38,0))&amp;" ("&amp;INDEX('Public Holidays'!$L$6:$L$38,MATCH($B403,'Public Holidays'!$A$6:$A$38,0))&amp;")",""))</f>
        <v/>
      </c>
      <c r="K403" s="246">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44">
        <f>IF($A403="","",INDEX($B$7:$B$36,INT((ROW()-41)/14)+1)&amp;"")</f>
        <v/>
      </c>
    </row>
    <row r="404">
      <c r="A404" s="244">
        <f>IF(INDEX($A$7:$A$36,INT((ROW()-41)/14)+1)="","",INDEX($A$7:$A$36,INT((ROW()-41)/14)+1))</f>
        <v/>
      </c>
      <c r="B404" s="245">
        <f>IF($A404="","",$B$3+MOD(ROW()-41,14))</f>
        <v/>
      </c>
      <c r="C404" s="244">
        <f>IF($A404="","",TEXT($B404,"ddd"))</f>
        <v/>
      </c>
      <c r="D404" s="242">
        <f>IF($A404="","",SUMIFS('EH Timesheets'!$G$6:$G$1005,'EH Timesheets'!$A$6:$A$1005,$A404,'EH Timesheets'!$B$6:$B$1005,$B404))</f>
        <v/>
      </c>
      <c r="E404" s="242">
        <f>IF($A404="","",SUMIFS('EH Roster'!$G$6:$G$1005,'EH Roster'!$A$6:$A$1005,$A404,'EH Roster'!$B$6:$B$1005,$B404))</f>
        <v/>
      </c>
      <c r="F404" s="242">
        <f>IF($A404="","",$D404-$E404)</f>
        <v/>
      </c>
      <c r="G404" s="242">
        <f>IF($A404="","",IF($L404="",0,SUMPRODUCT(('Shared Calendar'!$K$2:$K$1000&gt;0)*('Shared Calendar'!$K$2:$K$1000&lt;=$B404)*('Shared Calendar'!$J$2:$J$1000&gt;$B404)*ISNUMBER(SEARCH($L404,'Shared Calendar'!$M$2:$M$1000))*('Shared Calendar'!$N$2:$N$1000="Event"),'Shared Calendar'!$L$2:$L$1000)))</f>
        <v/>
      </c>
      <c r="H404" s="246">
        <f>IF(OR($A404="",$L404=""),"",IF(SUMPRODUCT(MAX(('Shared Calendar'!$K$2:$K$1000&gt;0)*('Shared Calendar'!$K$2:$K$1000&lt;=$B404)*('Shared Calendar'!$J$2:$J$1000&gt;$B404)*ISNUMBER(SEARCH($L404,'Shared Calendar'!$M$2:$M$1000))*ROW('Shared Calendar'!$A$2:$A$1000)))=0,"",INDEX('Shared Calendar'!$A:$A,SUMPRODUCT(MAX(('Shared Calendar'!$K$2:$K$1000&gt;0)*('Shared Calendar'!$K$2:$K$1000&lt;=$B404)*('Shared Calendar'!$J$2:$J$1000&gt;$B404)*ISNUMBER(SEARCH($L404,'Shared Calendar'!$M$2:$M$1000))*ROW('Shared Calendar'!$A$2:$A$1000))))))</f>
        <v/>
      </c>
      <c r="I404" s="244">
        <f>IF(OR($A404="",$L404=""),"",IF(SUMPRODUCT(('Shared Calendar'!$K$2:$K$1000&gt;0)*('Shared Calendar'!$K$2:$K$1000&lt;=$B404)*('Shared Calendar'!$J$2:$J$1000&gt;$B404)*ISNUMBER(SEARCH($L404,'Shared Calendar'!$M$2:$M$1000))*('Shared Calendar'!$N$2:$N$1000="Leave"))&gt;0,"Leave",""))</f>
        <v/>
      </c>
      <c r="J404" s="244">
        <f>IF($A404="","",IFERROR(INDEX('Public Holidays'!$C$6:$C$38,MATCH($B404,'Public Holidays'!$A$6:$A$38,0))&amp;" ("&amp;INDEX('Public Holidays'!$L$6:$L$38,MATCH($B404,'Public Holidays'!$A$6:$A$38,0))&amp;")",""))</f>
        <v/>
      </c>
      <c r="K404" s="246">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44">
        <f>IF($A404="","",INDEX($B$7:$B$36,INT((ROW()-41)/14)+1)&amp;"")</f>
        <v/>
      </c>
    </row>
    <row r="405">
      <c r="A405" s="244">
        <f>IF(INDEX($A$7:$A$36,INT((ROW()-41)/14)+1)="","",INDEX($A$7:$A$36,INT((ROW()-41)/14)+1))</f>
        <v/>
      </c>
      <c r="B405" s="245">
        <f>IF($A405="","",$B$3+MOD(ROW()-41,14))</f>
        <v/>
      </c>
      <c r="C405" s="244">
        <f>IF($A405="","",TEXT($B405,"ddd"))</f>
        <v/>
      </c>
      <c r="D405" s="242">
        <f>IF($A405="","",SUMIFS('EH Timesheets'!$G$6:$G$1005,'EH Timesheets'!$A$6:$A$1005,$A405,'EH Timesheets'!$B$6:$B$1005,$B405))</f>
        <v/>
      </c>
      <c r="E405" s="242">
        <f>IF($A405="","",SUMIFS('EH Roster'!$G$6:$G$1005,'EH Roster'!$A$6:$A$1005,$A405,'EH Roster'!$B$6:$B$1005,$B405))</f>
        <v/>
      </c>
      <c r="F405" s="242">
        <f>IF($A405="","",$D405-$E405)</f>
        <v/>
      </c>
      <c r="G405" s="242">
        <f>IF($A405="","",IF($L405="",0,SUMPRODUCT(('Shared Calendar'!$K$2:$K$1000&gt;0)*('Shared Calendar'!$K$2:$K$1000&lt;=$B405)*('Shared Calendar'!$J$2:$J$1000&gt;$B405)*ISNUMBER(SEARCH($L405,'Shared Calendar'!$M$2:$M$1000))*('Shared Calendar'!$N$2:$N$1000="Event"),'Shared Calendar'!$L$2:$L$1000)))</f>
        <v/>
      </c>
      <c r="H405" s="246">
        <f>IF(OR($A405="",$L405=""),"",IF(SUMPRODUCT(MAX(('Shared Calendar'!$K$2:$K$1000&gt;0)*('Shared Calendar'!$K$2:$K$1000&lt;=$B405)*('Shared Calendar'!$J$2:$J$1000&gt;$B405)*ISNUMBER(SEARCH($L405,'Shared Calendar'!$M$2:$M$1000))*ROW('Shared Calendar'!$A$2:$A$1000)))=0,"",INDEX('Shared Calendar'!$A:$A,SUMPRODUCT(MAX(('Shared Calendar'!$K$2:$K$1000&gt;0)*('Shared Calendar'!$K$2:$K$1000&lt;=$B405)*('Shared Calendar'!$J$2:$J$1000&gt;$B405)*ISNUMBER(SEARCH($L405,'Shared Calendar'!$M$2:$M$1000))*ROW('Shared Calendar'!$A$2:$A$1000))))))</f>
        <v/>
      </c>
      <c r="I405" s="244">
        <f>IF(OR($A405="",$L405=""),"",IF(SUMPRODUCT(('Shared Calendar'!$K$2:$K$1000&gt;0)*('Shared Calendar'!$K$2:$K$1000&lt;=$B405)*('Shared Calendar'!$J$2:$J$1000&gt;$B405)*ISNUMBER(SEARCH($L405,'Shared Calendar'!$M$2:$M$1000))*('Shared Calendar'!$N$2:$N$1000="Leave"))&gt;0,"Leave",""))</f>
        <v/>
      </c>
      <c r="J405" s="244">
        <f>IF($A405="","",IFERROR(INDEX('Public Holidays'!$C$6:$C$38,MATCH($B405,'Public Holidays'!$A$6:$A$38,0))&amp;" ("&amp;INDEX('Public Holidays'!$L$6:$L$38,MATCH($B405,'Public Holidays'!$A$6:$A$38,0))&amp;")",""))</f>
        <v/>
      </c>
      <c r="K405" s="246">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44">
        <f>IF($A405="","",INDEX($B$7:$B$36,INT((ROW()-41)/14)+1)&amp;"")</f>
        <v/>
      </c>
    </row>
    <row r="406">
      <c r="A406" s="244">
        <f>IF(INDEX($A$7:$A$36,INT((ROW()-41)/14)+1)="","",INDEX($A$7:$A$36,INT((ROW()-41)/14)+1))</f>
        <v/>
      </c>
      <c r="B406" s="245">
        <f>IF($A406="","",$B$3+MOD(ROW()-41,14))</f>
        <v/>
      </c>
      <c r="C406" s="244">
        <f>IF($A406="","",TEXT($B406,"ddd"))</f>
        <v/>
      </c>
      <c r="D406" s="242">
        <f>IF($A406="","",SUMIFS('EH Timesheets'!$G$6:$G$1005,'EH Timesheets'!$A$6:$A$1005,$A406,'EH Timesheets'!$B$6:$B$1005,$B406))</f>
        <v/>
      </c>
      <c r="E406" s="242">
        <f>IF($A406="","",SUMIFS('EH Roster'!$G$6:$G$1005,'EH Roster'!$A$6:$A$1005,$A406,'EH Roster'!$B$6:$B$1005,$B406))</f>
        <v/>
      </c>
      <c r="F406" s="242">
        <f>IF($A406="","",$D406-$E406)</f>
        <v/>
      </c>
      <c r="G406" s="242">
        <f>IF($A406="","",IF($L406="",0,SUMPRODUCT(('Shared Calendar'!$K$2:$K$1000&gt;0)*('Shared Calendar'!$K$2:$K$1000&lt;=$B406)*('Shared Calendar'!$J$2:$J$1000&gt;$B406)*ISNUMBER(SEARCH($L406,'Shared Calendar'!$M$2:$M$1000))*('Shared Calendar'!$N$2:$N$1000="Event"),'Shared Calendar'!$L$2:$L$1000)))</f>
        <v/>
      </c>
      <c r="H406" s="246">
        <f>IF(OR($A406="",$L406=""),"",IF(SUMPRODUCT(MAX(('Shared Calendar'!$K$2:$K$1000&gt;0)*('Shared Calendar'!$K$2:$K$1000&lt;=$B406)*('Shared Calendar'!$J$2:$J$1000&gt;$B406)*ISNUMBER(SEARCH($L406,'Shared Calendar'!$M$2:$M$1000))*ROW('Shared Calendar'!$A$2:$A$1000)))=0,"",INDEX('Shared Calendar'!$A:$A,SUMPRODUCT(MAX(('Shared Calendar'!$K$2:$K$1000&gt;0)*('Shared Calendar'!$K$2:$K$1000&lt;=$B406)*('Shared Calendar'!$J$2:$J$1000&gt;$B406)*ISNUMBER(SEARCH($L406,'Shared Calendar'!$M$2:$M$1000))*ROW('Shared Calendar'!$A$2:$A$1000))))))</f>
        <v/>
      </c>
      <c r="I406" s="244">
        <f>IF(OR($A406="",$L406=""),"",IF(SUMPRODUCT(('Shared Calendar'!$K$2:$K$1000&gt;0)*('Shared Calendar'!$K$2:$K$1000&lt;=$B406)*('Shared Calendar'!$J$2:$J$1000&gt;$B406)*ISNUMBER(SEARCH($L406,'Shared Calendar'!$M$2:$M$1000))*('Shared Calendar'!$N$2:$N$1000="Leave"))&gt;0,"Leave",""))</f>
        <v/>
      </c>
      <c r="J406" s="244">
        <f>IF($A406="","",IFERROR(INDEX('Public Holidays'!$C$6:$C$38,MATCH($B406,'Public Holidays'!$A$6:$A$38,0))&amp;" ("&amp;INDEX('Public Holidays'!$L$6:$L$38,MATCH($B406,'Public Holidays'!$A$6:$A$38,0))&amp;")",""))</f>
        <v/>
      </c>
      <c r="K406" s="246">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44">
        <f>IF($A406="","",INDEX($B$7:$B$36,INT((ROW()-41)/14)+1)&amp;"")</f>
        <v/>
      </c>
    </row>
    <row r="407">
      <c r="A407" s="244">
        <f>IF(INDEX($A$7:$A$36,INT((ROW()-41)/14)+1)="","",INDEX($A$7:$A$36,INT((ROW()-41)/14)+1))</f>
        <v/>
      </c>
      <c r="B407" s="245">
        <f>IF($A407="","",$B$3+MOD(ROW()-41,14))</f>
        <v/>
      </c>
      <c r="C407" s="244">
        <f>IF($A407="","",TEXT($B407,"ddd"))</f>
        <v/>
      </c>
      <c r="D407" s="242">
        <f>IF($A407="","",SUMIFS('EH Timesheets'!$G$6:$G$1005,'EH Timesheets'!$A$6:$A$1005,$A407,'EH Timesheets'!$B$6:$B$1005,$B407))</f>
        <v/>
      </c>
      <c r="E407" s="242">
        <f>IF($A407="","",SUMIFS('EH Roster'!$G$6:$G$1005,'EH Roster'!$A$6:$A$1005,$A407,'EH Roster'!$B$6:$B$1005,$B407))</f>
        <v/>
      </c>
      <c r="F407" s="242">
        <f>IF($A407="","",$D407-$E407)</f>
        <v/>
      </c>
      <c r="G407" s="242">
        <f>IF($A407="","",IF($L407="",0,SUMPRODUCT(('Shared Calendar'!$K$2:$K$1000&gt;0)*('Shared Calendar'!$K$2:$K$1000&lt;=$B407)*('Shared Calendar'!$J$2:$J$1000&gt;$B407)*ISNUMBER(SEARCH($L407,'Shared Calendar'!$M$2:$M$1000))*('Shared Calendar'!$N$2:$N$1000="Event"),'Shared Calendar'!$L$2:$L$1000)))</f>
        <v/>
      </c>
      <c r="H407" s="246">
        <f>IF(OR($A407="",$L407=""),"",IF(SUMPRODUCT(MAX(('Shared Calendar'!$K$2:$K$1000&gt;0)*('Shared Calendar'!$K$2:$K$1000&lt;=$B407)*('Shared Calendar'!$J$2:$J$1000&gt;$B407)*ISNUMBER(SEARCH($L407,'Shared Calendar'!$M$2:$M$1000))*ROW('Shared Calendar'!$A$2:$A$1000)))=0,"",INDEX('Shared Calendar'!$A:$A,SUMPRODUCT(MAX(('Shared Calendar'!$K$2:$K$1000&gt;0)*('Shared Calendar'!$K$2:$K$1000&lt;=$B407)*('Shared Calendar'!$J$2:$J$1000&gt;$B407)*ISNUMBER(SEARCH($L407,'Shared Calendar'!$M$2:$M$1000))*ROW('Shared Calendar'!$A$2:$A$1000))))))</f>
        <v/>
      </c>
      <c r="I407" s="244">
        <f>IF(OR($A407="",$L407=""),"",IF(SUMPRODUCT(('Shared Calendar'!$K$2:$K$1000&gt;0)*('Shared Calendar'!$K$2:$K$1000&lt;=$B407)*('Shared Calendar'!$J$2:$J$1000&gt;$B407)*ISNUMBER(SEARCH($L407,'Shared Calendar'!$M$2:$M$1000))*('Shared Calendar'!$N$2:$N$1000="Leave"))&gt;0,"Leave",""))</f>
        <v/>
      </c>
      <c r="J407" s="244">
        <f>IF($A407="","",IFERROR(INDEX('Public Holidays'!$C$6:$C$38,MATCH($B407,'Public Holidays'!$A$6:$A$38,0))&amp;" ("&amp;INDEX('Public Holidays'!$L$6:$L$38,MATCH($B407,'Public Holidays'!$A$6:$A$38,0))&amp;")",""))</f>
        <v/>
      </c>
      <c r="K407" s="246">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44">
        <f>IF($A407="","",INDEX($B$7:$B$36,INT((ROW()-41)/14)+1)&amp;"")</f>
        <v/>
      </c>
    </row>
    <row r="408">
      <c r="A408" s="244">
        <f>IF(INDEX($A$7:$A$36,INT((ROW()-41)/14)+1)="","",INDEX($A$7:$A$36,INT((ROW()-41)/14)+1))</f>
        <v/>
      </c>
      <c r="B408" s="245">
        <f>IF($A408="","",$B$3+MOD(ROW()-41,14))</f>
        <v/>
      </c>
      <c r="C408" s="244">
        <f>IF($A408="","",TEXT($B408,"ddd"))</f>
        <v/>
      </c>
      <c r="D408" s="242">
        <f>IF($A408="","",SUMIFS('EH Timesheets'!$G$6:$G$1005,'EH Timesheets'!$A$6:$A$1005,$A408,'EH Timesheets'!$B$6:$B$1005,$B408))</f>
        <v/>
      </c>
      <c r="E408" s="242">
        <f>IF($A408="","",SUMIFS('EH Roster'!$G$6:$G$1005,'EH Roster'!$A$6:$A$1005,$A408,'EH Roster'!$B$6:$B$1005,$B408))</f>
        <v/>
      </c>
      <c r="F408" s="242">
        <f>IF($A408="","",$D408-$E408)</f>
        <v/>
      </c>
      <c r="G408" s="242">
        <f>IF($A408="","",IF($L408="",0,SUMPRODUCT(('Shared Calendar'!$K$2:$K$1000&gt;0)*('Shared Calendar'!$K$2:$K$1000&lt;=$B408)*('Shared Calendar'!$J$2:$J$1000&gt;$B408)*ISNUMBER(SEARCH($L408,'Shared Calendar'!$M$2:$M$1000))*('Shared Calendar'!$N$2:$N$1000="Event"),'Shared Calendar'!$L$2:$L$1000)))</f>
        <v/>
      </c>
      <c r="H408" s="246">
        <f>IF(OR($A408="",$L408=""),"",IF(SUMPRODUCT(MAX(('Shared Calendar'!$K$2:$K$1000&gt;0)*('Shared Calendar'!$K$2:$K$1000&lt;=$B408)*('Shared Calendar'!$J$2:$J$1000&gt;$B408)*ISNUMBER(SEARCH($L408,'Shared Calendar'!$M$2:$M$1000))*ROW('Shared Calendar'!$A$2:$A$1000)))=0,"",INDEX('Shared Calendar'!$A:$A,SUMPRODUCT(MAX(('Shared Calendar'!$K$2:$K$1000&gt;0)*('Shared Calendar'!$K$2:$K$1000&lt;=$B408)*('Shared Calendar'!$J$2:$J$1000&gt;$B408)*ISNUMBER(SEARCH($L408,'Shared Calendar'!$M$2:$M$1000))*ROW('Shared Calendar'!$A$2:$A$1000))))))</f>
        <v/>
      </c>
      <c r="I408" s="244">
        <f>IF(OR($A408="",$L408=""),"",IF(SUMPRODUCT(('Shared Calendar'!$K$2:$K$1000&gt;0)*('Shared Calendar'!$K$2:$K$1000&lt;=$B408)*('Shared Calendar'!$J$2:$J$1000&gt;$B408)*ISNUMBER(SEARCH($L408,'Shared Calendar'!$M$2:$M$1000))*('Shared Calendar'!$N$2:$N$1000="Leave"))&gt;0,"Leave",""))</f>
        <v/>
      </c>
      <c r="J408" s="244">
        <f>IF($A408="","",IFERROR(INDEX('Public Holidays'!$C$6:$C$38,MATCH($B408,'Public Holidays'!$A$6:$A$38,0))&amp;" ("&amp;INDEX('Public Holidays'!$L$6:$L$38,MATCH($B408,'Public Holidays'!$A$6:$A$38,0))&amp;")",""))</f>
        <v/>
      </c>
      <c r="K408" s="246">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44">
        <f>IF($A408="","",INDEX($B$7:$B$36,INT((ROW()-41)/14)+1)&amp;"")</f>
        <v/>
      </c>
    </row>
    <row r="409">
      <c r="A409" s="244">
        <f>IF(INDEX($A$7:$A$36,INT((ROW()-41)/14)+1)="","",INDEX($A$7:$A$36,INT((ROW()-41)/14)+1))</f>
        <v/>
      </c>
      <c r="B409" s="245">
        <f>IF($A409="","",$B$3+MOD(ROW()-41,14))</f>
        <v/>
      </c>
      <c r="C409" s="244">
        <f>IF($A409="","",TEXT($B409,"ddd"))</f>
        <v/>
      </c>
      <c r="D409" s="242">
        <f>IF($A409="","",SUMIFS('EH Timesheets'!$G$6:$G$1005,'EH Timesheets'!$A$6:$A$1005,$A409,'EH Timesheets'!$B$6:$B$1005,$B409))</f>
        <v/>
      </c>
      <c r="E409" s="242">
        <f>IF($A409="","",SUMIFS('EH Roster'!$G$6:$G$1005,'EH Roster'!$A$6:$A$1005,$A409,'EH Roster'!$B$6:$B$1005,$B409))</f>
        <v/>
      </c>
      <c r="F409" s="242">
        <f>IF($A409="","",$D409-$E409)</f>
        <v/>
      </c>
      <c r="G409" s="242">
        <f>IF($A409="","",IF($L409="",0,SUMPRODUCT(('Shared Calendar'!$K$2:$K$1000&gt;0)*('Shared Calendar'!$K$2:$K$1000&lt;=$B409)*('Shared Calendar'!$J$2:$J$1000&gt;$B409)*ISNUMBER(SEARCH($L409,'Shared Calendar'!$M$2:$M$1000))*('Shared Calendar'!$N$2:$N$1000="Event"),'Shared Calendar'!$L$2:$L$1000)))</f>
        <v/>
      </c>
      <c r="H409" s="246">
        <f>IF(OR($A409="",$L409=""),"",IF(SUMPRODUCT(MAX(('Shared Calendar'!$K$2:$K$1000&gt;0)*('Shared Calendar'!$K$2:$K$1000&lt;=$B409)*('Shared Calendar'!$J$2:$J$1000&gt;$B409)*ISNUMBER(SEARCH($L409,'Shared Calendar'!$M$2:$M$1000))*ROW('Shared Calendar'!$A$2:$A$1000)))=0,"",INDEX('Shared Calendar'!$A:$A,SUMPRODUCT(MAX(('Shared Calendar'!$K$2:$K$1000&gt;0)*('Shared Calendar'!$K$2:$K$1000&lt;=$B409)*('Shared Calendar'!$J$2:$J$1000&gt;$B409)*ISNUMBER(SEARCH($L409,'Shared Calendar'!$M$2:$M$1000))*ROW('Shared Calendar'!$A$2:$A$1000))))))</f>
        <v/>
      </c>
      <c r="I409" s="244">
        <f>IF(OR($A409="",$L409=""),"",IF(SUMPRODUCT(('Shared Calendar'!$K$2:$K$1000&gt;0)*('Shared Calendar'!$K$2:$K$1000&lt;=$B409)*('Shared Calendar'!$J$2:$J$1000&gt;$B409)*ISNUMBER(SEARCH($L409,'Shared Calendar'!$M$2:$M$1000))*('Shared Calendar'!$N$2:$N$1000="Leave"))&gt;0,"Leave",""))</f>
        <v/>
      </c>
      <c r="J409" s="244">
        <f>IF($A409="","",IFERROR(INDEX('Public Holidays'!$C$6:$C$38,MATCH($B409,'Public Holidays'!$A$6:$A$38,0))&amp;" ("&amp;INDEX('Public Holidays'!$L$6:$L$38,MATCH($B409,'Public Holidays'!$A$6:$A$38,0))&amp;")",""))</f>
        <v/>
      </c>
      <c r="K409" s="246">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44">
        <f>IF($A409="","",INDEX($B$7:$B$36,INT((ROW()-41)/14)+1)&amp;"")</f>
        <v/>
      </c>
    </row>
    <row r="410">
      <c r="A410" s="244">
        <f>IF(INDEX($A$7:$A$36,INT((ROW()-41)/14)+1)="","",INDEX($A$7:$A$36,INT((ROW()-41)/14)+1))</f>
        <v/>
      </c>
      <c r="B410" s="245">
        <f>IF($A410="","",$B$3+MOD(ROW()-41,14))</f>
        <v/>
      </c>
      <c r="C410" s="244">
        <f>IF($A410="","",TEXT($B410,"ddd"))</f>
        <v/>
      </c>
      <c r="D410" s="242">
        <f>IF($A410="","",SUMIFS('EH Timesheets'!$G$6:$G$1005,'EH Timesheets'!$A$6:$A$1005,$A410,'EH Timesheets'!$B$6:$B$1005,$B410))</f>
        <v/>
      </c>
      <c r="E410" s="242">
        <f>IF($A410="","",SUMIFS('EH Roster'!$G$6:$G$1005,'EH Roster'!$A$6:$A$1005,$A410,'EH Roster'!$B$6:$B$1005,$B410))</f>
        <v/>
      </c>
      <c r="F410" s="242">
        <f>IF($A410="","",$D410-$E410)</f>
        <v/>
      </c>
      <c r="G410" s="242">
        <f>IF($A410="","",IF($L410="",0,SUMPRODUCT(('Shared Calendar'!$K$2:$K$1000&gt;0)*('Shared Calendar'!$K$2:$K$1000&lt;=$B410)*('Shared Calendar'!$J$2:$J$1000&gt;$B410)*ISNUMBER(SEARCH($L410,'Shared Calendar'!$M$2:$M$1000))*('Shared Calendar'!$N$2:$N$1000="Event"),'Shared Calendar'!$L$2:$L$1000)))</f>
        <v/>
      </c>
      <c r="H410" s="246">
        <f>IF(OR($A410="",$L410=""),"",IF(SUMPRODUCT(MAX(('Shared Calendar'!$K$2:$K$1000&gt;0)*('Shared Calendar'!$K$2:$K$1000&lt;=$B410)*('Shared Calendar'!$J$2:$J$1000&gt;$B410)*ISNUMBER(SEARCH($L410,'Shared Calendar'!$M$2:$M$1000))*ROW('Shared Calendar'!$A$2:$A$1000)))=0,"",INDEX('Shared Calendar'!$A:$A,SUMPRODUCT(MAX(('Shared Calendar'!$K$2:$K$1000&gt;0)*('Shared Calendar'!$K$2:$K$1000&lt;=$B410)*('Shared Calendar'!$J$2:$J$1000&gt;$B410)*ISNUMBER(SEARCH($L410,'Shared Calendar'!$M$2:$M$1000))*ROW('Shared Calendar'!$A$2:$A$1000))))))</f>
        <v/>
      </c>
      <c r="I410" s="244">
        <f>IF(OR($A410="",$L410=""),"",IF(SUMPRODUCT(('Shared Calendar'!$K$2:$K$1000&gt;0)*('Shared Calendar'!$K$2:$K$1000&lt;=$B410)*('Shared Calendar'!$J$2:$J$1000&gt;$B410)*ISNUMBER(SEARCH($L410,'Shared Calendar'!$M$2:$M$1000))*('Shared Calendar'!$N$2:$N$1000="Leave"))&gt;0,"Leave",""))</f>
        <v/>
      </c>
      <c r="J410" s="244">
        <f>IF($A410="","",IFERROR(INDEX('Public Holidays'!$C$6:$C$38,MATCH($B410,'Public Holidays'!$A$6:$A$38,0))&amp;" ("&amp;INDEX('Public Holidays'!$L$6:$L$38,MATCH($B410,'Public Holidays'!$A$6:$A$38,0))&amp;")",""))</f>
        <v/>
      </c>
      <c r="K410" s="246">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44">
        <f>IF($A410="","",INDEX($B$7:$B$36,INT((ROW()-41)/14)+1)&amp;"")</f>
        <v/>
      </c>
    </row>
    <row r="411">
      <c r="A411" s="244">
        <f>IF(INDEX($A$7:$A$36,INT((ROW()-41)/14)+1)="","",INDEX($A$7:$A$36,INT((ROW()-41)/14)+1))</f>
        <v/>
      </c>
      <c r="B411" s="245">
        <f>IF($A411="","",$B$3+MOD(ROW()-41,14))</f>
        <v/>
      </c>
      <c r="C411" s="244">
        <f>IF($A411="","",TEXT($B411,"ddd"))</f>
        <v/>
      </c>
      <c r="D411" s="242">
        <f>IF($A411="","",SUMIFS('EH Timesheets'!$G$6:$G$1005,'EH Timesheets'!$A$6:$A$1005,$A411,'EH Timesheets'!$B$6:$B$1005,$B411))</f>
        <v/>
      </c>
      <c r="E411" s="242">
        <f>IF($A411="","",SUMIFS('EH Roster'!$G$6:$G$1005,'EH Roster'!$A$6:$A$1005,$A411,'EH Roster'!$B$6:$B$1005,$B411))</f>
        <v/>
      </c>
      <c r="F411" s="242">
        <f>IF($A411="","",$D411-$E411)</f>
        <v/>
      </c>
      <c r="G411" s="242">
        <f>IF($A411="","",IF($L411="",0,SUMPRODUCT(('Shared Calendar'!$K$2:$K$1000&gt;0)*('Shared Calendar'!$K$2:$K$1000&lt;=$B411)*('Shared Calendar'!$J$2:$J$1000&gt;$B411)*ISNUMBER(SEARCH($L411,'Shared Calendar'!$M$2:$M$1000))*('Shared Calendar'!$N$2:$N$1000="Event"),'Shared Calendar'!$L$2:$L$1000)))</f>
        <v/>
      </c>
      <c r="H411" s="246">
        <f>IF(OR($A411="",$L411=""),"",IF(SUMPRODUCT(MAX(('Shared Calendar'!$K$2:$K$1000&gt;0)*('Shared Calendar'!$K$2:$K$1000&lt;=$B411)*('Shared Calendar'!$J$2:$J$1000&gt;$B411)*ISNUMBER(SEARCH($L411,'Shared Calendar'!$M$2:$M$1000))*ROW('Shared Calendar'!$A$2:$A$1000)))=0,"",INDEX('Shared Calendar'!$A:$A,SUMPRODUCT(MAX(('Shared Calendar'!$K$2:$K$1000&gt;0)*('Shared Calendar'!$K$2:$K$1000&lt;=$B411)*('Shared Calendar'!$J$2:$J$1000&gt;$B411)*ISNUMBER(SEARCH($L411,'Shared Calendar'!$M$2:$M$1000))*ROW('Shared Calendar'!$A$2:$A$1000))))))</f>
        <v/>
      </c>
      <c r="I411" s="244">
        <f>IF(OR($A411="",$L411=""),"",IF(SUMPRODUCT(('Shared Calendar'!$K$2:$K$1000&gt;0)*('Shared Calendar'!$K$2:$K$1000&lt;=$B411)*('Shared Calendar'!$J$2:$J$1000&gt;$B411)*ISNUMBER(SEARCH($L411,'Shared Calendar'!$M$2:$M$1000))*('Shared Calendar'!$N$2:$N$1000="Leave"))&gt;0,"Leave",""))</f>
        <v/>
      </c>
      <c r="J411" s="244">
        <f>IF($A411="","",IFERROR(INDEX('Public Holidays'!$C$6:$C$38,MATCH($B411,'Public Holidays'!$A$6:$A$38,0))&amp;" ("&amp;INDEX('Public Holidays'!$L$6:$L$38,MATCH($B411,'Public Holidays'!$A$6:$A$38,0))&amp;")",""))</f>
        <v/>
      </c>
      <c r="K411" s="246">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44">
        <f>IF($A411="","",INDEX($B$7:$B$36,INT((ROW()-41)/14)+1)&amp;"")</f>
        <v/>
      </c>
    </row>
    <row r="412">
      <c r="A412" s="244">
        <f>IF(INDEX($A$7:$A$36,INT((ROW()-41)/14)+1)="","",INDEX($A$7:$A$36,INT((ROW()-41)/14)+1))</f>
        <v/>
      </c>
      <c r="B412" s="245">
        <f>IF($A412="","",$B$3+MOD(ROW()-41,14))</f>
        <v/>
      </c>
      <c r="C412" s="244">
        <f>IF($A412="","",TEXT($B412,"ddd"))</f>
        <v/>
      </c>
      <c r="D412" s="242">
        <f>IF($A412="","",SUMIFS('EH Timesheets'!$G$6:$G$1005,'EH Timesheets'!$A$6:$A$1005,$A412,'EH Timesheets'!$B$6:$B$1005,$B412))</f>
        <v/>
      </c>
      <c r="E412" s="242">
        <f>IF($A412="","",SUMIFS('EH Roster'!$G$6:$G$1005,'EH Roster'!$A$6:$A$1005,$A412,'EH Roster'!$B$6:$B$1005,$B412))</f>
        <v/>
      </c>
      <c r="F412" s="242">
        <f>IF($A412="","",$D412-$E412)</f>
        <v/>
      </c>
      <c r="G412" s="242">
        <f>IF($A412="","",IF($L412="",0,SUMPRODUCT(('Shared Calendar'!$K$2:$K$1000&gt;0)*('Shared Calendar'!$K$2:$K$1000&lt;=$B412)*('Shared Calendar'!$J$2:$J$1000&gt;$B412)*ISNUMBER(SEARCH($L412,'Shared Calendar'!$M$2:$M$1000))*('Shared Calendar'!$N$2:$N$1000="Event"),'Shared Calendar'!$L$2:$L$1000)))</f>
        <v/>
      </c>
      <c r="H412" s="246">
        <f>IF(OR($A412="",$L412=""),"",IF(SUMPRODUCT(MAX(('Shared Calendar'!$K$2:$K$1000&gt;0)*('Shared Calendar'!$K$2:$K$1000&lt;=$B412)*('Shared Calendar'!$J$2:$J$1000&gt;$B412)*ISNUMBER(SEARCH($L412,'Shared Calendar'!$M$2:$M$1000))*ROW('Shared Calendar'!$A$2:$A$1000)))=0,"",INDEX('Shared Calendar'!$A:$A,SUMPRODUCT(MAX(('Shared Calendar'!$K$2:$K$1000&gt;0)*('Shared Calendar'!$K$2:$K$1000&lt;=$B412)*('Shared Calendar'!$J$2:$J$1000&gt;$B412)*ISNUMBER(SEARCH($L412,'Shared Calendar'!$M$2:$M$1000))*ROW('Shared Calendar'!$A$2:$A$1000))))))</f>
        <v/>
      </c>
      <c r="I412" s="244">
        <f>IF(OR($A412="",$L412=""),"",IF(SUMPRODUCT(('Shared Calendar'!$K$2:$K$1000&gt;0)*('Shared Calendar'!$K$2:$K$1000&lt;=$B412)*('Shared Calendar'!$J$2:$J$1000&gt;$B412)*ISNUMBER(SEARCH($L412,'Shared Calendar'!$M$2:$M$1000))*('Shared Calendar'!$N$2:$N$1000="Leave"))&gt;0,"Leave",""))</f>
        <v/>
      </c>
      <c r="J412" s="244">
        <f>IF($A412="","",IFERROR(INDEX('Public Holidays'!$C$6:$C$38,MATCH($B412,'Public Holidays'!$A$6:$A$38,0))&amp;" ("&amp;INDEX('Public Holidays'!$L$6:$L$38,MATCH($B412,'Public Holidays'!$A$6:$A$38,0))&amp;")",""))</f>
        <v/>
      </c>
      <c r="K412" s="246">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44">
        <f>IF($A412="","",INDEX($B$7:$B$36,INT((ROW()-41)/14)+1)&amp;"")</f>
        <v/>
      </c>
    </row>
    <row r="413">
      <c r="A413" s="244">
        <f>IF(INDEX($A$7:$A$36,INT((ROW()-41)/14)+1)="","",INDEX($A$7:$A$36,INT((ROW()-41)/14)+1))</f>
        <v/>
      </c>
      <c r="B413" s="245">
        <f>IF($A413="","",$B$3+MOD(ROW()-41,14))</f>
        <v/>
      </c>
      <c r="C413" s="244">
        <f>IF($A413="","",TEXT($B413,"ddd"))</f>
        <v/>
      </c>
      <c r="D413" s="242">
        <f>IF($A413="","",SUMIFS('EH Timesheets'!$G$6:$G$1005,'EH Timesheets'!$A$6:$A$1005,$A413,'EH Timesheets'!$B$6:$B$1005,$B413))</f>
        <v/>
      </c>
      <c r="E413" s="242">
        <f>IF($A413="","",SUMIFS('EH Roster'!$G$6:$G$1005,'EH Roster'!$A$6:$A$1005,$A413,'EH Roster'!$B$6:$B$1005,$B413))</f>
        <v/>
      </c>
      <c r="F413" s="242">
        <f>IF($A413="","",$D413-$E413)</f>
        <v/>
      </c>
      <c r="G413" s="242">
        <f>IF($A413="","",IF($L413="",0,SUMPRODUCT(('Shared Calendar'!$K$2:$K$1000&gt;0)*('Shared Calendar'!$K$2:$K$1000&lt;=$B413)*('Shared Calendar'!$J$2:$J$1000&gt;$B413)*ISNUMBER(SEARCH($L413,'Shared Calendar'!$M$2:$M$1000))*('Shared Calendar'!$N$2:$N$1000="Event"),'Shared Calendar'!$L$2:$L$1000)))</f>
        <v/>
      </c>
      <c r="H413" s="246">
        <f>IF(OR($A413="",$L413=""),"",IF(SUMPRODUCT(MAX(('Shared Calendar'!$K$2:$K$1000&gt;0)*('Shared Calendar'!$K$2:$K$1000&lt;=$B413)*('Shared Calendar'!$J$2:$J$1000&gt;$B413)*ISNUMBER(SEARCH($L413,'Shared Calendar'!$M$2:$M$1000))*ROW('Shared Calendar'!$A$2:$A$1000)))=0,"",INDEX('Shared Calendar'!$A:$A,SUMPRODUCT(MAX(('Shared Calendar'!$K$2:$K$1000&gt;0)*('Shared Calendar'!$K$2:$K$1000&lt;=$B413)*('Shared Calendar'!$J$2:$J$1000&gt;$B413)*ISNUMBER(SEARCH($L413,'Shared Calendar'!$M$2:$M$1000))*ROW('Shared Calendar'!$A$2:$A$1000))))))</f>
        <v/>
      </c>
      <c r="I413" s="244">
        <f>IF(OR($A413="",$L413=""),"",IF(SUMPRODUCT(('Shared Calendar'!$K$2:$K$1000&gt;0)*('Shared Calendar'!$K$2:$K$1000&lt;=$B413)*('Shared Calendar'!$J$2:$J$1000&gt;$B413)*ISNUMBER(SEARCH($L413,'Shared Calendar'!$M$2:$M$1000))*('Shared Calendar'!$N$2:$N$1000="Leave"))&gt;0,"Leave",""))</f>
        <v/>
      </c>
      <c r="J413" s="244">
        <f>IF($A413="","",IFERROR(INDEX('Public Holidays'!$C$6:$C$38,MATCH($B413,'Public Holidays'!$A$6:$A$38,0))&amp;" ("&amp;INDEX('Public Holidays'!$L$6:$L$38,MATCH($B413,'Public Holidays'!$A$6:$A$38,0))&amp;")",""))</f>
        <v/>
      </c>
      <c r="K413" s="246">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44">
        <f>IF($A413="","",INDEX($B$7:$B$36,INT((ROW()-41)/14)+1)&amp;"")</f>
        <v/>
      </c>
    </row>
    <row r="414">
      <c r="A414" s="244">
        <f>IF(INDEX($A$7:$A$36,INT((ROW()-41)/14)+1)="","",INDEX($A$7:$A$36,INT((ROW()-41)/14)+1))</f>
        <v/>
      </c>
      <c r="B414" s="245">
        <f>IF($A414="","",$B$3+MOD(ROW()-41,14))</f>
        <v/>
      </c>
      <c r="C414" s="244">
        <f>IF($A414="","",TEXT($B414,"ddd"))</f>
        <v/>
      </c>
      <c r="D414" s="242">
        <f>IF($A414="","",SUMIFS('EH Timesheets'!$G$6:$G$1005,'EH Timesheets'!$A$6:$A$1005,$A414,'EH Timesheets'!$B$6:$B$1005,$B414))</f>
        <v/>
      </c>
      <c r="E414" s="242">
        <f>IF($A414="","",SUMIFS('EH Roster'!$G$6:$G$1005,'EH Roster'!$A$6:$A$1005,$A414,'EH Roster'!$B$6:$B$1005,$B414))</f>
        <v/>
      </c>
      <c r="F414" s="242">
        <f>IF($A414="","",$D414-$E414)</f>
        <v/>
      </c>
      <c r="G414" s="242">
        <f>IF($A414="","",IF($L414="",0,SUMPRODUCT(('Shared Calendar'!$K$2:$K$1000&gt;0)*('Shared Calendar'!$K$2:$K$1000&lt;=$B414)*('Shared Calendar'!$J$2:$J$1000&gt;$B414)*ISNUMBER(SEARCH($L414,'Shared Calendar'!$M$2:$M$1000))*('Shared Calendar'!$N$2:$N$1000="Event"),'Shared Calendar'!$L$2:$L$1000)))</f>
        <v/>
      </c>
      <c r="H414" s="246">
        <f>IF(OR($A414="",$L414=""),"",IF(SUMPRODUCT(MAX(('Shared Calendar'!$K$2:$K$1000&gt;0)*('Shared Calendar'!$K$2:$K$1000&lt;=$B414)*('Shared Calendar'!$J$2:$J$1000&gt;$B414)*ISNUMBER(SEARCH($L414,'Shared Calendar'!$M$2:$M$1000))*ROW('Shared Calendar'!$A$2:$A$1000)))=0,"",INDEX('Shared Calendar'!$A:$A,SUMPRODUCT(MAX(('Shared Calendar'!$K$2:$K$1000&gt;0)*('Shared Calendar'!$K$2:$K$1000&lt;=$B414)*('Shared Calendar'!$J$2:$J$1000&gt;$B414)*ISNUMBER(SEARCH($L414,'Shared Calendar'!$M$2:$M$1000))*ROW('Shared Calendar'!$A$2:$A$1000))))))</f>
        <v/>
      </c>
      <c r="I414" s="244">
        <f>IF(OR($A414="",$L414=""),"",IF(SUMPRODUCT(('Shared Calendar'!$K$2:$K$1000&gt;0)*('Shared Calendar'!$K$2:$K$1000&lt;=$B414)*('Shared Calendar'!$J$2:$J$1000&gt;$B414)*ISNUMBER(SEARCH($L414,'Shared Calendar'!$M$2:$M$1000))*('Shared Calendar'!$N$2:$N$1000="Leave"))&gt;0,"Leave",""))</f>
        <v/>
      </c>
      <c r="J414" s="244">
        <f>IF($A414="","",IFERROR(INDEX('Public Holidays'!$C$6:$C$38,MATCH($B414,'Public Holidays'!$A$6:$A$38,0))&amp;" ("&amp;INDEX('Public Holidays'!$L$6:$L$38,MATCH($B414,'Public Holidays'!$A$6:$A$38,0))&amp;")",""))</f>
        <v/>
      </c>
      <c r="K414" s="246">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44">
        <f>IF($A414="","",INDEX($B$7:$B$36,INT((ROW()-41)/14)+1)&amp;"")</f>
        <v/>
      </c>
    </row>
    <row r="415">
      <c r="A415" s="244">
        <f>IF(INDEX($A$7:$A$36,INT((ROW()-41)/14)+1)="","",INDEX($A$7:$A$36,INT((ROW()-41)/14)+1))</f>
        <v/>
      </c>
      <c r="B415" s="245">
        <f>IF($A415="","",$B$3+MOD(ROW()-41,14))</f>
        <v/>
      </c>
      <c r="C415" s="244">
        <f>IF($A415="","",TEXT($B415,"ddd"))</f>
        <v/>
      </c>
      <c r="D415" s="242">
        <f>IF($A415="","",SUMIFS('EH Timesheets'!$G$6:$G$1005,'EH Timesheets'!$A$6:$A$1005,$A415,'EH Timesheets'!$B$6:$B$1005,$B415))</f>
        <v/>
      </c>
      <c r="E415" s="242">
        <f>IF($A415="","",SUMIFS('EH Roster'!$G$6:$G$1005,'EH Roster'!$A$6:$A$1005,$A415,'EH Roster'!$B$6:$B$1005,$B415))</f>
        <v/>
      </c>
      <c r="F415" s="242">
        <f>IF($A415="","",$D415-$E415)</f>
        <v/>
      </c>
      <c r="G415" s="242">
        <f>IF($A415="","",IF($L415="",0,SUMPRODUCT(('Shared Calendar'!$K$2:$K$1000&gt;0)*('Shared Calendar'!$K$2:$K$1000&lt;=$B415)*('Shared Calendar'!$J$2:$J$1000&gt;$B415)*ISNUMBER(SEARCH($L415,'Shared Calendar'!$M$2:$M$1000))*('Shared Calendar'!$N$2:$N$1000="Event"),'Shared Calendar'!$L$2:$L$1000)))</f>
        <v/>
      </c>
      <c r="H415" s="246">
        <f>IF(OR($A415="",$L415=""),"",IF(SUMPRODUCT(MAX(('Shared Calendar'!$K$2:$K$1000&gt;0)*('Shared Calendar'!$K$2:$K$1000&lt;=$B415)*('Shared Calendar'!$J$2:$J$1000&gt;$B415)*ISNUMBER(SEARCH($L415,'Shared Calendar'!$M$2:$M$1000))*ROW('Shared Calendar'!$A$2:$A$1000)))=0,"",INDEX('Shared Calendar'!$A:$A,SUMPRODUCT(MAX(('Shared Calendar'!$K$2:$K$1000&gt;0)*('Shared Calendar'!$K$2:$K$1000&lt;=$B415)*('Shared Calendar'!$J$2:$J$1000&gt;$B415)*ISNUMBER(SEARCH($L415,'Shared Calendar'!$M$2:$M$1000))*ROW('Shared Calendar'!$A$2:$A$1000))))))</f>
        <v/>
      </c>
      <c r="I415" s="244">
        <f>IF(OR($A415="",$L415=""),"",IF(SUMPRODUCT(('Shared Calendar'!$K$2:$K$1000&gt;0)*('Shared Calendar'!$K$2:$K$1000&lt;=$B415)*('Shared Calendar'!$J$2:$J$1000&gt;$B415)*ISNUMBER(SEARCH($L415,'Shared Calendar'!$M$2:$M$1000))*('Shared Calendar'!$N$2:$N$1000="Leave"))&gt;0,"Leave",""))</f>
        <v/>
      </c>
      <c r="J415" s="244">
        <f>IF($A415="","",IFERROR(INDEX('Public Holidays'!$C$6:$C$38,MATCH($B415,'Public Holidays'!$A$6:$A$38,0))&amp;" ("&amp;INDEX('Public Holidays'!$L$6:$L$38,MATCH($B415,'Public Holidays'!$A$6:$A$38,0))&amp;")",""))</f>
        <v/>
      </c>
      <c r="K415" s="246">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44">
        <f>IF($A415="","",INDEX($B$7:$B$36,INT((ROW()-41)/14)+1)&amp;"")</f>
        <v/>
      </c>
    </row>
    <row r="416">
      <c r="A416" s="244">
        <f>IF(INDEX($A$7:$A$36,INT((ROW()-41)/14)+1)="","",INDEX($A$7:$A$36,INT((ROW()-41)/14)+1))</f>
        <v/>
      </c>
      <c r="B416" s="245">
        <f>IF($A416="","",$B$3+MOD(ROW()-41,14))</f>
        <v/>
      </c>
      <c r="C416" s="244">
        <f>IF($A416="","",TEXT($B416,"ddd"))</f>
        <v/>
      </c>
      <c r="D416" s="242">
        <f>IF($A416="","",SUMIFS('EH Timesheets'!$G$6:$G$1005,'EH Timesheets'!$A$6:$A$1005,$A416,'EH Timesheets'!$B$6:$B$1005,$B416))</f>
        <v/>
      </c>
      <c r="E416" s="242">
        <f>IF($A416="","",SUMIFS('EH Roster'!$G$6:$G$1005,'EH Roster'!$A$6:$A$1005,$A416,'EH Roster'!$B$6:$B$1005,$B416))</f>
        <v/>
      </c>
      <c r="F416" s="242">
        <f>IF($A416="","",$D416-$E416)</f>
        <v/>
      </c>
      <c r="G416" s="242">
        <f>IF($A416="","",IF($L416="",0,SUMPRODUCT(('Shared Calendar'!$K$2:$K$1000&gt;0)*('Shared Calendar'!$K$2:$K$1000&lt;=$B416)*('Shared Calendar'!$J$2:$J$1000&gt;$B416)*ISNUMBER(SEARCH($L416,'Shared Calendar'!$M$2:$M$1000))*('Shared Calendar'!$N$2:$N$1000="Event"),'Shared Calendar'!$L$2:$L$1000)))</f>
        <v/>
      </c>
      <c r="H416" s="246">
        <f>IF(OR($A416="",$L416=""),"",IF(SUMPRODUCT(MAX(('Shared Calendar'!$K$2:$K$1000&gt;0)*('Shared Calendar'!$K$2:$K$1000&lt;=$B416)*('Shared Calendar'!$J$2:$J$1000&gt;$B416)*ISNUMBER(SEARCH($L416,'Shared Calendar'!$M$2:$M$1000))*ROW('Shared Calendar'!$A$2:$A$1000)))=0,"",INDEX('Shared Calendar'!$A:$A,SUMPRODUCT(MAX(('Shared Calendar'!$K$2:$K$1000&gt;0)*('Shared Calendar'!$K$2:$K$1000&lt;=$B416)*('Shared Calendar'!$J$2:$J$1000&gt;$B416)*ISNUMBER(SEARCH($L416,'Shared Calendar'!$M$2:$M$1000))*ROW('Shared Calendar'!$A$2:$A$1000))))))</f>
        <v/>
      </c>
      <c r="I416" s="244">
        <f>IF(OR($A416="",$L416=""),"",IF(SUMPRODUCT(('Shared Calendar'!$K$2:$K$1000&gt;0)*('Shared Calendar'!$K$2:$K$1000&lt;=$B416)*('Shared Calendar'!$J$2:$J$1000&gt;$B416)*ISNUMBER(SEARCH($L416,'Shared Calendar'!$M$2:$M$1000))*('Shared Calendar'!$N$2:$N$1000="Leave"))&gt;0,"Leave",""))</f>
        <v/>
      </c>
      <c r="J416" s="244">
        <f>IF($A416="","",IFERROR(INDEX('Public Holidays'!$C$6:$C$38,MATCH($B416,'Public Holidays'!$A$6:$A$38,0))&amp;" ("&amp;INDEX('Public Holidays'!$L$6:$L$38,MATCH($B416,'Public Holidays'!$A$6:$A$38,0))&amp;")",""))</f>
        <v/>
      </c>
      <c r="K416" s="246">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44">
        <f>IF($A416="","",INDEX($B$7:$B$36,INT((ROW()-41)/14)+1)&amp;"")</f>
        <v/>
      </c>
    </row>
    <row r="417">
      <c r="A417" s="244">
        <f>IF(INDEX($A$7:$A$36,INT((ROW()-41)/14)+1)="","",INDEX($A$7:$A$36,INT((ROW()-41)/14)+1))</f>
        <v/>
      </c>
      <c r="B417" s="245">
        <f>IF($A417="","",$B$3+MOD(ROW()-41,14))</f>
        <v/>
      </c>
      <c r="C417" s="244">
        <f>IF($A417="","",TEXT($B417,"ddd"))</f>
        <v/>
      </c>
      <c r="D417" s="242">
        <f>IF($A417="","",SUMIFS('EH Timesheets'!$G$6:$G$1005,'EH Timesheets'!$A$6:$A$1005,$A417,'EH Timesheets'!$B$6:$B$1005,$B417))</f>
        <v/>
      </c>
      <c r="E417" s="242">
        <f>IF($A417="","",SUMIFS('EH Roster'!$G$6:$G$1005,'EH Roster'!$A$6:$A$1005,$A417,'EH Roster'!$B$6:$B$1005,$B417))</f>
        <v/>
      </c>
      <c r="F417" s="242">
        <f>IF($A417="","",$D417-$E417)</f>
        <v/>
      </c>
      <c r="G417" s="242">
        <f>IF($A417="","",IF($L417="",0,SUMPRODUCT(('Shared Calendar'!$K$2:$K$1000&gt;0)*('Shared Calendar'!$K$2:$K$1000&lt;=$B417)*('Shared Calendar'!$J$2:$J$1000&gt;$B417)*ISNUMBER(SEARCH($L417,'Shared Calendar'!$M$2:$M$1000))*('Shared Calendar'!$N$2:$N$1000="Event"),'Shared Calendar'!$L$2:$L$1000)))</f>
        <v/>
      </c>
      <c r="H417" s="246">
        <f>IF(OR($A417="",$L417=""),"",IF(SUMPRODUCT(MAX(('Shared Calendar'!$K$2:$K$1000&gt;0)*('Shared Calendar'!$K$2:$K$1000&lt;=$B417)*('Shared Calendar'!$J$2:$J$1000&gt;$B417)*ISNUMBER(SEARCH($L417,'Shared Calendar'!$M$2:$M$1000))*ROW('Shared Calendar'!$A$2:$A$1000)))=0,"",INDEX('Shared Calendar'!$A:$A,SUMPRODUCT(MAX(('Shared Calendar'!$K$2:$K$1000&gt;0)*('Shared Calendar'!$K$2:$K$1000&lt;=$B417)*('Shared Calendar'!$J$2:$J$1000&gt;$B417)*ISNUMBER(SEARCH($L417,'Shared Calendar'!$M$2:$M$1000))*ROW('Shared Calendar'!$A$2:$A$1000))))))</f>
        <v/>
      </c>
      <c r="I417" s="244">
        <f>IF(OR($A417="",$L417=""),"",IF(SUMPRODUCT(('Shared Calendar'!$K$2:$K$1000&gt;0)*('Shared Calendar'!$K$2:$K$1000&lt;=$B417)*('Shared Calendar'!$J$2:$J$1000&gt;$B417)*ISNUMBER(SEARCH($L417,'Shared Calendar'!$M$2:$M$1000))*('Shared Calendar'!$N$2:$N$1000="Leave"))&gt;0,"Leave",""))</f>
        <v/>
      </c>
      <c r="J417" s="244">
        <f>IF($A417="","",IFERROR(INDEX('Public Holidays'!$C$6:$C$38,MATCH($B417,'Public Holidays'!$A$6:$A$38,0))&amp;" ("&amp;INDEX('Public Holidays'!$L$6:$L$38,MATCH($B417,'Public Holidays'!$A$6:$A$38,0))&amp;")",""))</f>
        <v/>
      </c>
      <c r="K417" s="246">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44">
        <f>IF($A417="","",INDEX($B$7:$B$36,INT((ROW()-41)/14)+1)&amp;"")</f>
        <v/>
      </c>
    </row>
    <row r="418">
      <c r="A418" s="244">
        <f>IF(INDEX($A$7:$A$36,INT((ROW()-41)/14)+1)="","",INDEX($A$7:$A$36,INT((ROW()-41)/14)+1))</f>
        <v/>
      </c>
      <c r="B418" s="245">
        <f>IF($A418="","",$B$3+MOD(ROW()-41,14))</f>
        <v/>
      </c>
      <c r="C418" s="244">
        <f>IF($A418="","",TEXT($B418,"ddd"))</f>
        <v/>
      </c>
      <c r="D418" s="242">
        <f>IF($A418="","",SUMIFS('EH Timesheets'!$G$6:$G$1005,'EH Timesheets'!$A$6:$A$1005,$A418,'EH Timesheets'!$B$6:$B$1005,$B418))</f>
        <v/>
      </c>
      <c r="E418" s="242">
        <f>IF($A418="","",SUMIFS('EH Roster'!$G$6:$G$1005,'EH Roster'!$A$6:$A$1005,$A418,'EH Roster'!$B$6:$B$1005,$B418))</f>
        <v/>
      </c>
      <c r="F418" s="242">
        <f>IF($A418="","",$D418-$E418)</f>
        <v/>
      </c>
      <c r="G418" s="242">
        <f>IF($A418="","",IF($L418="",0,SUMPRODUCT(('Shared Calendar'!$K$2:$K$1000&gt;0)*('Shared Calendar'!$K$2:$K$1000&lt;=$B418)*('Shared Calendar'!$J$2:$J$1000&gt;$B418)*ISNUMBER(SEARCH($L418,'Shared Calendar'!$M$2:$M$1000))*('Shared Calendar'!$N$2:$N$1000="Event"),'Shared Calendar'!$L$2:$L$1000)))</f>
        <v/>
      </c>
      <c r="H418" s="246">
        <f>IF(OR($A418="",$L418=""),"",IF(SUMPRODUCT(MAX(('Shared Calendar'!$K$2:$K$1000&gt;0)*('Shared Calendar'!$K$2:$K$1000&lt;=$B418)*('Shared Calendar'!$J$2:$J$1000&gt;$B418)*ISNUMBER(SEARCH($L418,'Shared Calendar'!$M$2:$M$1000))*ROW('Shared Calendar'!$A$2:$A$1000)))=0,"",INDEX('Shared Calendar'!$A:$A,SUMPRODUCT(MAX(('Shared Calendar'!$K$2:$K$1000&gt;0)*('Shared Calendar'!$K$2:$K$1000&lt;=$B418)*('Shared Calendar'!$J$2:$J$1000&gt;$B418)*ISNUMBER(SEARCH($L418,'Shared Calendar'!$M$2:$M$1000))*ROW('Shared Calendar'!$A$2:$A$1000))))))</f>
        <v/>
      </c>
      <c r="I418" s="244">
        <f>IF(OR($A418="",$L418=""),"",IF(SUMPRODUCT(('Shared Calendar'!$K$2:$K$1000&gt;0)*('Shared Calendar'!$K$2:$K$1000&lt;=$B418)*('Shared Calendar'!$J$2:$J$1000&gt;$B418)*ISNUMBER(SEARCH($L418,'Shared Calendar'!$M$2:$M$1000))*('Shared Calendar'!$N$2:$N$1000="Leave"))&gt;0,"Leave",""))</f>
        <v/>
      </c>
      <c r="J418" s="244">
        <f>IF($A418="","",IFERROR(INDEX('Public Holidays'!$C$6:$C$38,MATCH($B418,'Public Holidays'!$A$6:$A$38,0))&amp;" ("&amp;INDEX('Public Holidays'!$L$6:$L$38,MATCH($B418,'Public Holidays'!$A$6:$A$38,0))&amp;")",""))</f>
        <v/>
      </c>
      <c r="K418" s="246">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44">
        <f>IF($A418="","",INDEX($B$7:$B$36,INT((ROW()-41)/14)+1)&amp;"")</f>
        <v/>
      </c>
    </row>
    <row r="419">
      <c r="A419" s="244">
        <f>IF(INDEX($A$7:$A$36,INT((ROW()-41)/14)+1)="","",INDEX($A$7:$A$36,INT((ROW()-41)/14)+1))</f>
        <v/>
      </c>
      <c r="B419" s="245">
        <f>IF($A419="","",$B$3+MOD(ROW()-41,14))</f>
        <v/>
      </c>
      <c r="C419" s="244">
        <f>IF($A419="","",TEXT($B419,"ddd"))</f>
        <v/>
      </c>
      <c r="D419" s="242">
        <f>IF($A419="","",SUMIFS('EH Timesheets'!$G$6:$G$1005,'EH Timesheets'!$A$6:$A$1005,$A419,'EH Timesheets'!$B$6:$B$1005,$B419))</f>
        <v/>
      </c>
      <c r="E419" s="242">
        <f>IF($A419="","",SUMIFS('EH Roster'!$G$6:$G$1005,'EH Roster'!$A$6:$A$1005,$A419,'EH Roster'!$B$6:$B$1005,$B419))</f>
        <v/>
      </c>
      <c r="F419" s="242">
        <f>IF($A419="","",$D419-$E419)</f>
        <v/>
      </c>
      <c r="G419" s="242">
        <f>IF($A419="","",IF($L419="",0,SUMPRODUCT(('Shared Calendar'!$K$2:$K$1000&gt;0)*('Shared Calendar'!$K$2:$K$1000&lt;=$B419)*('Shared Calendar'!$J$2:$J$1000&gt;$B419)*ISNUMBER(SEARCH($L419,'Shared Calendar'!$M$2:$M$1000))*('Shared Calendar'!$N$2:$N$1000="Event"),'Shared Calendar'!$L$2:$L$1000)))</f>
        <v/>
      </c>
      <c r="H419" s="246">
        <f>IF(OR($A419="",$L419=""),"",IF(SUMPRODUCT(MAX(('Shared Calendar'!$K$2:$K$1000&gt;0)*('Shared Calendar'!$K$2:$K$1000&lt;=$B419)*('Shared Calendar'!$J$2:$J$1000&gt;$B419)*ISNUMBER(SEARCH($L419,'Shared Calendar'!$M$2:$M$1000))*ROW('Shared Calendar'!$A$2:$A$1000)))=0,"",INDEX('Shared Calendar'!$A:$A,SUMPRODUCT(MAX(('Shared Calendar'!$K$2:$K$1000&gt;0)*('Shared Calendar'!$K$2:$K$1000&lt;=$B419)*('Shared Calendar'!$J$2:$J$1000&gt;$B419)*ISNUMBER(SEARCH($L419,'Shared Calendar'!$M$2:$M$1000))*ROW('Shared Calendar'!$A$2:$A$1000))))))</f>
        <v/>
      </c>
      <c r="I419" s="244">
        <f>IF(OR($A419="",$L419=""),"",IF(SUMPRODUCT(('Shared Calendar'!$K$2:$K$1000&gt;0)*('Shared Calendar'!$K$2:$K$1000&lt;=$B419)*('Shared Calendar'!$J$2:$J$1000&gt;$B419)*ISNUMBER(SEARCH($L419,'Shared Calendar'!$M$2:$M$1000))*('Shared Calendar'!$N$2:$N$1000="Leave"))&gt;0,"Leave",""))</f>
        <v/>
      </c>
      <c r="J419" s="244">
        <f>IF($A419="","",IFERROR(INDEX('Public Holidays'!$C$6:$C$38,MATCH($B419,'Public Holidays'!$A$6:$A$38,0))&amp;" ("&amp;INDEX('Public Holidays'!$L$6:$L$38,MATCH($B419,'Public Holidays'!$A$6:$A$38,0))&amp;")",""))</f>
        <v/>
      </c>
      <c r="K419" s="246">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44">
        <f>IF($A419="","",INDEX($B$7:$B$36,INT((ROW()-41)/14)+1)&amp;"")</f>
        <v/>
      </c>
    </row>
    <row r="420">
      <c r="A420" s="244">
        <f>IF(INDEX($A$7:$A$36,INT((ROW()-41)/14)+1)="","",INDEX($A$7:$A$36,INT((ROW()-41)/14)+1))</f>
        <v/>
      </c>
      <c r="B420" s="245">
        <f>IF($A420="","",$B$3+MOD(ROW()-41,14))</f>
        <v/>
      </c>
      <c r="C420" s="244">
        <f>IF($A420="","",TEXT($B420,"ddd"))</f>
        <v/>
      </c>
      <c r="D420" s="242">
        <f>IF($A420="","",SUMIFS('EH Timesheets'!$G$6:$G$1005,'EH Timesheets'!$A$6:$A$1005,$A420,'EH Timesheets'!$B$6:$B$1005,$B420))</f>
        <v/>
      </c>
      <c r="E420" s="242">
        <f>IF($A420="","",SUMIFS('EH Roster'!$G$6:$G$1005,'EH Roster'!$A$6:$A$1005,$A420,'EH Roster'!$B$6:$B$1005,$B420))</f>
        <v/>
      </c>
      <c r="F420" s="242">
        <f>IF($A420="","",$D420-$E420)</f>
        <v/>
      </c>
      <c r="G420" s="242">
        <f>IF($A420="","",IF($L420="",0,SUMPRODUCT(('Shared Calendar'!$K$2:$K$1000&gt;0)*('Shared Calendar'!$K$2:$K$1000&lt;=$B420)*('Shared Calendar'!$J$2:$J$1000&gt;$B420)*ISNUMBER(SEARCH($L420,'Shared Calendar'!$M$2:$M$1000))*('Shared Calendar'!$N$2:$N$1000="Event"),'Shared Calendar'!$L$2:$L$1000)))</f>
        <v/>
      </c>
      <c r="H420" s="246">
        <f>IF(OR($A420="",$L420=""),"",IF(SUMPRODUCT(MAX(('Shared Calendar'!$K$2:$K$1000&gt;0)*('Shared Calendar'!$K$2:$K$1000&lt;=$B420)*('Shared Calendar'!$J$2:$J$1000&gt;$B420)*ISNUMBER(SEARCH($L420,'Shared Calendar'!$M$2:$M$1000))*ROW('Shared Calendar'!$A$2:$A$1000)))=0,"",INDEX('Shared Calendar'!$A:$A,SUMPRODUCT(MAX(('Shared Calendar'!$K$2:$K$1000&gt;0)*('Shared Calendar'!$K$2:$K$1000&lt;=$B420)*('Shared Calendar'!$J$2:$J$1000&gt;$B420)*ISNUMBER(SEARCH($L420,'Shared Calendar'!$M$2:$M$1000))*ROW('Shared Calendar'!$A$2:$A$1000))))))</f>
        <v/>
      </c>
      <c r="I420" s="244">
        <f>IF(OR($A420="",$L420=""),"",IF(SUMPRODUCT(('Shared Calendar'!$K$2:$K$1000&gt;0)*('Shared Calendar'!$K$2:$K$1000&lt;=$B420)*('Shared Calendar'!$J$2:$J$1000&gt;$B420)*ISNUMBER(SEARCH($L420,'Shared Calendar'!$M$2:$M$1000))*('Shared Calendar'!$N$2:$N$1000="Leave"))&gt;0,"Leave",""))</f>
        <v/>
      </c>
      <c r="J420" s="244">
        <f>IF($A420="","",IFERROR(INDEX('Public Holidays'!$C$6:$C$38,MATCH($B420,'Public Holidays'!$A$6:$A$38,0))&amp;" ("&amp;INDEX('Public Holidays'!$L$6:$L$38,MATCH($B420,'Public Holidays'!$A$6:$A$38,0))&amp;")",""))</f>
        <v/>
      </c>
      <c r="K420" s="246">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44">
        <f>IF($A420="","",INDEX($B$7:$B$36,INT((ROW()-41)/14)+1)&amp;"")</f>
        <v/>
      </c>
    </row>
    <row r="421">
      <c r="A421" s="244">
        <f>IF(INDEX($A$7:$A$36,INT((ROW()-41)/14)+1)="","",INDEX($A$7:$A$36,INT((ROW()-41)/14)+1))</f>
        <v/>
      </c>
      <c r="B421" s="245">
        <f>IF($A421="","",$B$3+MOD(ROW()-41,14))</f>
        <v/>
      </c>
      <c r="C421" s="244">
        <f>IF($A421="","",TEXT($B421,"ddd"))</f>
        <v/>
      </c>
      <c r="D421" s="242">
        <f>IF($A421="","",SUMIFS('EH Timesheets'!$G$6:$G$1005,'EH Timesheets'!$A$6:$A$1005,$A421,'EH Timesheets'!$B$6:$B$1005,$B421))</f>
        <v/>
      </c>
      <c r="E421" s="242">
        <f>IF($A421="","",SUMIFS('EH Roster'!$G$6:$G$1005,'EH Roster'!$A$6:$A$1005,$A421,'EH Roster'!$B$6:$B$1005,$B421))</f>
        <v/>
      </c>
      <c r="F421" s="242">
        <f>IF($A421="","",$D421-$E421)</f>
        <v/>
      </c>
      <c r="G421" s="242">
        <f>IF($A421="","",IF($L421="",0,SUMPRODUCT(('Shared Calendar'!$K$2:$K$1000&gt;0)*('Shared Calendar'!$K$2:$K$1000&lt;=$B421)*('Shared Calendar'!$J$2:$J$1000&gt;$B421)*ISNUMBER(SEARCH($L421,'Shared Calendar'!$M$2:$M$1000))*('Shared Calendar'!$N$2:$N$1000="Event"),'Shared Calendar'!$L$2:$L$1000)))</f>
        <v/>
      </c>
      <c r="H421" s="246">
        <f>IF(OR($A421="",$L421=""),"",IF(SUMPRODUCT(MAX(('Shared Calendar'!$K$2:$K$1000&gt;0)*('Shared Calendar'!$K$2:$K$1000&lt;=$B421)*('Shared Calendar'!$J$2:$J$1000&gt;$B421)*ISNUMBER(SEARCH($L421,'Shared Calendar'!$M$2:$M$1000))*ROW('Shared Calendar'!$A$2:$A$1000)))=0,"",INDEX('Shared Calendar'!$A:$A,SUMPRODUCT(MAX(('Shared Calendar'!$K$2:$K$1000&gt;0)*('Shared Calendar'!$K$2:$K$1000&lt;=$B421)*('Shared Calendar'!$J$2:$J$1000&gt;$B421)*ISNUMBER(SEARCH($L421,'Shared Calendar'!$M$2:$M$1000))*ROW('Shared Calendar'!$A$2:$A$1000))))))</f>
        <v/>
      </c>
      <c r="I421" s="244">
        <f>IF(OR($A421="",$L421=""),"",IF(SUMPRODUCT(('Shared Calendar'!$K$2:$K$1000&gt;0)*('Shared Calendar'!$K$2:$K$1000&lt;=$B421)*('Shared Calendar'!$J$2:$J$1000&gt;$B421)*ISNUMBER(SEARCH($L421,'Shared Calendar'!$M$2:$M$1000))*('Shared Calendar'!$N$2:$N$1000="Leave"))&gt;0,"Leave",""))</f>
        <v/>
      </c>
      <c r="J421" s="244">
        <f>IF($A421="","",IFERROR(INDEX('Public Holidays'!$C$6:$C$38,MATCH($B421,'Public Holidays'!$A$6:$A$38,0))&amp;" ("&amp;INDEX('Public Holidays'!$L$6:$L$38,MATCH($B421,'Public Holidays'!$A$6:$A$38,0))&amp;")",""))</f>
        <v/>
      </c>
      <c r="K421" s="246">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44">
        <f>IF($A421="","",INDEX($B$7:$B$36,INT((ROW()-41)/14)+1)&amp;"")</f>
        <v/>
      </c>
    </row>
    <row r="422">
      <c r="A422" s="244">
        <f>IF(INDEX($A$7:$A$36,INT((ROW()-41)/14)+1)="","",INDEX($A$7:$A$36,INT((ROW()-41)/14)+1))</f>
        <v/>
      </c>
      <c r="B422" s="245">
        <f>IF($A422="","",$B$3+MOD(ROW()-41,14))</f>
        <v/>
      </c>
      <c r="C422" s="244">
        <f>IF($A422="","",TEXT($B422,"ddd"))</f>
        <v/>
      </c>
      <c r="D422" s="242">
        <f>IF($A422="","",SUMIFS('EH Timesheets'!$G$6:$G$1005,'EH Timesheets'!$A$6:$A$1005,$A422,'EH Timesheets'!$B$6:$B$1005,$B422))</f>
        <v/>
      </c>
      <c r="E422" s="242">
        <f>IF($A422="","",SUMIFS('EH Roster'!$G$6:$G$1005,'EH Roster'!$A$6:$A$1005,$A422,'EH Roster'!$B$6:$B$1005,$B422))</f>
        <v/>
      </c>
      <c r="F422" s="242">
        <f>IF($A422="","",$D422-$E422)</f>
        <v/>
      </c>
      <c r="G422" s="242">
        <f>IF($A422="","",IF($L422="",0,SUMPRODUCT(('Shared Calendar'!$K$2:$K$1000&gt;0)*('Shared Calendar'!$K$2:$K$1000&lt;=$B422)*('Shared Calendar'!$J$2:$J$1000&gt;$B422)*ISNUMBER(SEARCH($L422,'Shared Calendar'!$M$2:$M$1000))*('Shared Calendar'!$N$2:$N$1000="Event"),'Shared Calendar'!$L$2:$L$1000)))</f>
        <v/>
      </c>
      <c r="H422" s="246">
        <f>IF(OR($A422="",$L422=""),"",IF(SUMPRODUCT(MAX(('Shared Calendar'!$K$2:$K$1000&gt;0)*('Shared Calendar'!$K$2:$K$1000&lt;=$B422)*('Shared Calendar'!$J$2:$J$1000&gt;$B422)*ISNUMBER(SEARCH($L422,'Shared Calendar'!$M$2:$M$1000))*ROW('Shared Calendar'!$A$2:$A$1000)))=0,"",INDEX('Shared Calendar'!$A:$A,SUMPRODUCT(MAX(('Shared Calendar'!$K$2:$K$1000&gt;0)*('Shared Calendar'!$K$2:$K$1000&lt;=$B422)*('Shared Calendar'!$J$2:$J$1000&gt;$B422)*ISNUMBER(SEARCH($L422,'Shared Calendar'!$M$2:$M$1000))*ROW('Shared Calendar'!$A$2:$A$1000))))))</f>
        <v/>
      </c>
      <c r="I422" s="244">
        <f>IF(OR($A422="",$L422=""),"",IF(SUMPRODUCT(('Shared Calendar'!$K$2:$K$1000&gt;0)*('Shared Calendar'!$K$2:$K$1000&lt;=$B422)*('Shared Calendar'!$J$2:$J$1000&gt;$B422)*ISNUMBER(SEARCH($L422,'Shared Calendar'!$M$2:$M$1000))*('Shared Calendar'!$N$2:$N$1000="Leave"))&gt;0,"Leave",""))</f>
        <v/>
      </c>
      <c r="J422" s="244">
        <f>IF($A422="","",IFERROR(INDEX('Public Holidays'!$C$6:$C$38,MATCH($B422,'Public Holidays'!$A$6:$A$38,0))&amp;" ("&amp;INDEX('Public Holidays'!$L$6:$L$38,MATCH($B422,'Public Holidays'!$A$6:$A$38,0))&amp;")",""))</f>
        <v/>
      </c>
      <c r="K422" s="246">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44">
        <f>IF($A422="","",INDEX($B$7:$B$36,INT((ROW()-41)/14)+1)&amp;"")</f>
        <v/>
      </c>
    </row>
    <row r="423">
      <c r="A423" s="244">
        <f>IF(INDEX($A$7:$A$36,INT((ROW()-41)/14)+1)="","",INDEX($A$7:$A$36,INT((ROW()-41)/14)+1))</f>
        <v/>
      </c>
      <c r="B423" s="245">
        <f>IF($A423="","",$B$3+MOD(ROW()-41,14))</f>
        <v/>
      </c>
      <c r="C423" s="244">
        <f>IF($A423="","",TEXT($B423,"ddd"))</f>
        <v/>
      </c>
      <c r="D423" s="242">
        <f>IF($A423="","",SUMIFS('EH Timesheets'!$G$6:$G$1005,'EH Timesheets'!$A$6:$A$1005,$A423,'EH Timesheets'!$B$6:$B$1005,$B423))</f>
        <v/>
      </c>
      <c r="E423" s="242">
        <f>IF($A423="","",SUMIFS('EH Roster'!$G$6:$G$1005,'EH Roster'!$A$6:$A$1005,$A423,'EH Roster'!$B$6:$B$1005,$B423))</f>
        <v/>
      </c>
      <c r="F423" s="242">
        <f>IF($A423="","",$D423-$E423)</f>
        <v/>
      </c>
      <c r="G423" s="242">
        <f>IF($A423="","",IF($L423="",0,SUMPRODUCT(('Shared Calendar'!$K$2:$K$1000&gt;0)*('Shared Calendar'!$K$2:$K$1000&lt;=$B423)*('Shared Calendar'!$J$2:$J$1000&gt;$B423)*ISNUMBER(SEARCH($L423,'Shared Calendar'!$M$2:$M$1000))*('Shared Calendar'!$N$2:$N$1000="Event"),'Shared Calendar'!$L$2:$L$1000)))</f>
        <v/>
      </c>
      <c r="H423" s="246">
        <f>IF(OR($A423="",$L423=""),"",IF(SUMPRODUCT(MAX(('Shared Calendar'!$K$2:$K$1000&gt;0)*('Shared Calendar'!$K$2:$K$1000&lt;=$B423)*('Shared Calendar'!$J$2:$J$1000&gt;$B423)*ISNUMBER(SEARCH($L423,'Shared Calendar'!$M$2:$M$1000))*ROW('Shared Calendar'!$A$2:$A$1000)))=0,"",INDEX('Shared Calendar'!$A:$A,SUMPRODUCT(MAX(('Shared Calendar'!$K$2:$K$1000&gt;0)*('Shared Calendar'!$K$2:$K$1000&lt;=$B423)*('Shared Calendar'!$J$2:$J$1000&gt;$B423)*ISNUMBER(SEARCH($L423,'Shared Calendar'!$M$2:$M$1000))*ROW('Shared Calendar'!$A$2:$A$1000))))))</f>
        <v/>
      </c>
      <c r="I423" s="244">
        <f>IF(OR($A423="",$L423=""),"",IF(SUMPRODUCT(('Shared Calendar'!$K$2:$K$1000&gt;0)*('Shared Calendar'!$K$2:$K$1000&lt;=$B423)*('Shared Calendar'!$J$2:$J$1000&gt;$B423)*ISNUMBER(SEARCH($L423,'Shared Calendar'!$M$2:$M$1000))*('Shared Calendar'!$N$2:$N$1000="Leave"))&gt;0,"Leave",""))</f>
        <v/>
      </c>
      <c r="J423" s="244">
        <f>IF($A423="","",IFERROR(INDEX('Public Holidays'!$C$6:$C$38,MATCH($B423,'Public Holidays'!$A$6:$A$38,0))&amp;" ("&amp;INDEX('Public Holidays'!$L$6:$L$38,MATCH($B423,'Public Holidays'!$A$6:$A$38,0))&amp;")",""))</f>
        <v/>
      </c>
      <c r="K423" s="246">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44">
        <f>IF($A423="","",INDEX($B$7:$B$36,INT((ROW()-41)/14)+1)&amp;"")</f>
        <v/>
      </c>
    </row>
    <row r="424">
      <c r="A424" s="244">
        <f>IF(INDEX($A$7:$A$36,INT((ROW()-41)/14)+1)="","",INDEX($A$7:$A$36,INT((ROW()-41)/14)+1))</f>
        <v/>
      </c>
      <c r="B424" s="245">
        <f>IF($A424="","",$B$3+MOD(ROW()-41,14))</f>
        <v/>
      </c>
      <c r="C424" s="244">
        <f>IF($A424="","",TEXT($B424,"ddd"))</f>
        <v/>
      </c>
      <c r="D424" s="242">
        <f>IF($A424="","",SUMIFS('EH Timesheets'!$G$6:$G$1005,'EH Timesheets'!$A$6:$A$1005,$A424,'EH Timesheets'!$B$6:$B$1005,$B424))</f>
        <v/>
      </c>
      <c r="E424" s="242">
        <f>IF($A424="","",SUMIFS('EH Roster'!$G$6:$G$1005,'EH Roster'!$A$6:$A$1005,$A424,'EH Roster'!$B$6:$B$1005,$B424))</f>
        <v/>
      </c>
      <c r="F424" s="242">
        <f>IF($A424="","",$D424-$E424)</f>
        <v/>
      </c>
      <c r="G424" s="242">
        <f>IF($A424="","",IF($L424="",0,SUMPRODUCT(('Shared Calendar'!$K$2:$K$1000&gt;0)*('Shared Calendar'!$K$2:$K$1000&lt;=$B424)*('Shared Calendar'!$J$2:$J$1000&gt;$B424)*ISNUMBER(SEARCH($L424,'Shared Calendar'!$M$2:$M$1000))*('Shared Calendar'!$N$2:$N$1000="Event"),'Shared Calendar'!$L$2:$L$1000)))</f>
        <v/>
      </c>
      <c r="H424" s="246">
        <f>IF(OR($A424="",$L424=""),"",IF(SUMPRODUCT(MAX(('Shared Calendar'!$K$2:$K$1000&gt;0)*('Shared Calendar'!$K$2:$K$1000&lt;=$B424)*('Shared Calendar'!$J$2:$J$1000&gt;$B424)*ISNUMBER(SEARCH($L424,'Shared Calendar'!$M$2:$M$1000))*ROW('Shared Calendar'!$A$2:$A$1000)))=0,"",INDEX('Shared Calendar'!$A:$A,SUMPRODUCT(MAX(('Shared Calendar'!$K$2:$K$1000&gt;0)*('Shared Calendar'!$K$2:$K$1000&lt;=$B424)*('Shared Calendar'!$J$2:$J$1000&gt;$B424)*ISNUMBER(SEARCH($L424,'Shared Calendar'!$M$2:$M$1000))*ROW('Shared Calendar'!$A$2:$A$1000))))))</f>
        <v/>
      </c>
      <c r="I424" s="244">
        <f>IF(OR($A424="",$L424=""),"",IF(SUMPRODUCT(('Shared Calendar'!$K$2:$K$1000&gt;0)*('Shared Calendar'!$K$2:$K$1000&lt;=$B424)*('Shared Calendar'!$J$2:$J$1000&gt;$B424)*ISNUMBER(SEARCH($L424,'Shared Calendar'!$M$2:$M$1000))*('Shared Calendar'!$N$2:$N$1000="Leave"))&gt;0,"Leave",""))</f>
        <v/>
      </c>
      <c r="J424" s="244">
        <f>IF($A424="","",IFERROR(INDEX('Public Holidays'!$C$6:$C$38,MATCH($B424,'Public Holidays'!$A$6:$A$38,0))&amp;" ("&amp;INDEX('Public Holidays'!$L$6:$L$38,MATCH($B424,'Public Holidays'!$A$6:$A$38,0))&amp;")",""))</f>
        <v/>
      </c>
      <c r="K424" s="246">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44">
        <f>IF($A424="","",INDEX($B$7:$B$36,INT((ROW()-41)/14)+1)&amp;"")</f>
        <v/>
      </c>
    </row>
    <row r="425">
      <c r="A425" s="244">
        <f>IF(INDEX($A$7:$A$36,INT((ROW()-41)/14)+1)="","",INDEX($A$7:$A$36,INT((ROW()-41)/14)+1))</f>
        <v/>
      </c>
      <c r="B425" s="245">
        <f>IF($A425="","",$B$3+MOD(ROW()-41,14))</f>
        <v/>
      </c>
      <c r="C425" s="244">
        <f>IF($A425="","",TEXT($B425,"ddd"))</f>
        <v/>
      </c>
      <c r="D425" s="242">
        <f>IF($A425="","",SUMIFS('EH Timesheets'!$G$6:$G$1005,'EH Timesheets'!$A$6:$A$1005,$A425,'EH Timesheets'!$B$6:$B$1005,$B425))</f>
        <v/>
      </c>
      <c r="E425" s="242">
        <f>IF($A425="","",SUMIFS('EH Roster'!$G$6:$G$1005,'EH Roster'!$A$6:$A$1005,$A425,'EH Roster'!$B$6:$B$1005,$B425))</f>
        <v/>
      </c>
      <c r="F425" s="242">
        <f>IF($A425="","",$D425-$E425)</f>
        <v/>
      </c>
      <c r="G425" s="242">
        <f>IF($A425="","",IF($L425="",0,SUMPRODUCT(('Shared Calendar'!$K$2:$K$1000&gt;0)*('Shared Calendar'!$K$2:$K$1000&lt;=$B425)*('Shared Calendar'!$J$2:$J$1000&gt;$B425)*ISNUMBER(SEARCH($L425,'Shared Calendar'!$M$2:$M$1000))*('Shared Calendar'!$N$2:$N$1000="Event"),'Shared Calendar'!$L$2:$L$1000)))</f>
        <v/>
      </c>
      <c r="H425" s="246">
        <f>IF(OR($A425="",$L425=""),"",IF(SUMPRODUCT(MAX(('Shared Calendar'!$K$2:$K$1000&gt;0)*('Shared Calendar'!$K$2:$K$1000&lt;=$B425)*('Shared Calendar'!$J$2:$J$1000&gt;$B425)*ISNUMBER(SEARCH($L425,'Shared Calendar'!$M$2:$M$1000))*ROW('Shared Calendar'!$A$2:$A$1000)))=0,"",INDEX('Shared Calendar'!$A:$A,SUMPRODUCT(MAX(('Shared Calendar'!$K$2:$K$1000&gt;0)*('Shared Calendar'!$K$2:$K$1000&lt;=$B425)*('Shared Calendar'!$J$2:$J$1000&gt;$B425)*ISNUMBER(SEARCH($L425,'Shared Calendar'!$M$2:$M$1000))*ROW('Shared Calendar'!$A$2:$A$1000))))))</f>
        <v/>
      </c>
      <c r="I425" s="244">
        <f>IF(OR($A425="",$L425=""),"",IF(SUMPRODUCT(('Shared Calendar'!$K$2:$K$1000&gt;0)*('Shared Calendar'!$K$2:$K$1000&lt;=$B425)*('Shared Calendar'!$J$2:$J$1000&gt;$B425)*ISNUMBER(SEARCH($L425,'Shared Calendar'!$M$2:$M$1000))*('Shared Calendar'!$N$2:$N$1000="Leave"))&gt;0,"Leave",""))</f>
        <v/>
      </c>
      <c r="J425" s="244">
        <f>IF($A425="","",IFERROR(INDEX('Public Holidays'!$C$6:$C$38,MATCH($B425,'Public Holidays'!$A$6:$A$38,0))&amp;" ("&amp;INDEX('Public Holidays'!$L$6:$L$38,MATCH($B425,'Public Holidays'!$A$6:$A$38,0))&amp;")",""))</f>
        <v/>
      </c>
      <c r="K425" s="246">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44">
        <f>IF($A425="","",INDEX($B$7:$B$36,INT((ROW()-41)/14)+1)&amp;"")</f>
        <v/>
      </c>
    </row>
    <row r="426">
      <c r="A426" s="244">
        <f>IF(INDEX($A$7:$A$36,INT((ROW()-41)/14)+1)="","",INDEX($A$7:$A$36,INT((ROW()-41)/14)+1))</f>
        <v/>
      </c>
      <c r="B426" s="245">
        <f>IF($A426="","",$B$3+MOD(ROW()-41,14))</f>
        <v/>
      </c>
      <c r="C426" s="244">
        <f>IF($A426="","",TEXT($B426,"ddd"))</f>
        <v/>
      </c>
      <c r="D426" s="242">
        <f>IF($A426="","",SUMIFS('EH Timesheets'!$G$6:$G$1005,'EH Timesheets'!$A$6:$A$1005,$A426,'EH Timesheets'!$B$6:$B$1005,$B426))</f>
        <v/>
      </c>
      <c r="E426" s="242">
        <f>IF($A426="","",SUMIFS('EH Roster'!$G$6:$G$1005,'EH Roster'!$A$6:$A$1005,$A426,'EH Roster'!$B$6:$B$1005,$B426))</f>
        <v/>
      </c>
      <c r="F426" s="242">
        <f>IF($A426="","",$D426-$E426)</f>
        <v/>
      </c>
      <c r="G426" s="242">
        <f>IF($A426="","",IF($L426="",0,SUMPRODUCT(('Shared Calendar'!$K$2:$K$1000&gt;0)*('Shared Calendar'!$K$2:$K$1000&lt;=$B426)*('Shared Calendar'!$J$2:$J$1000&gt;$B426)*ISNUMBER(SEARCH($L426,'Shared Calendar'!$M$2:$M$1000))*('Shared Calendar'!$N$2:$N$1000="Event"),'Shared Calendar'!$L$2:$L$1000)))</f>
        <v/>
      </c>
      <c r="H426" s="246">
        <f>IF(OR($A426="",$L426=""),"",IF(SUMPRODUCT(MAX(('Shared Calendar'!$K$2:$K$1000&gt;0)*('Shared Calendar'!$K$2:$K$1000&lt;=$B426)*('Shared Calendar'!$J$2:$J$1000&gt;$B426)*ISNUMBER(SEARCH($L426,'Shared Calendar'!$M$2:$M$1000))*ROW('Shared Calendar'!$A$2:$A$1000)))=0,"",INDEX('Shared Calendar'!$A:$A,SUMPRODUCT(MAX(('Shared Calendar'!$K$2:$K$1000&gt;0)*('Shared Calendar'!$K$2:$K$1000&lt;=$B426)*('Shared Calendar'!$J$2:$J$1000&gt;$B426)*ISNUMBER(SEARCH($L426,'Shared Calendar'!$M$2:$M$1000))*ROW('Shared Calendar'!$A$2:$A$1000))))))</f>
        <v/>
      </c>
      <c r="I426" s="244">
        <f>IF(OR($A426="",$L426=""),"",IF(SUMPRODUCT(('Shared Calendar'!$K$2:$K$1000&gt;0)*('Shared Calendar'!$K$2:$K$1000&lt;=$B426)*('Shared Calendar'!$J$2:$J$1000&gt;$B426)*ISNUMBER(SEARCH($L426,'Shared Calendar'!$M$2:$M$1000))*('Shared Calendar'!$N$2:$N$1000="Leave"))&gt;0,"Leave",""))</f>
        <v/>
      </c>
      <c r="J426" s="244">
        <f>IF($A426="","",IFERROR(INDEX('Public Holidays'!$C$6:$C$38,MATCH($B426,'Public Holidays'!$A$6:$A$38,0))&amp;" ("&amp;INDEX('Public Holidays'!$L$6:$L$38,MATCH($B426,'Public Holidays'!$A$6:$A$38,0))&amp;")",""))</f>
        <v/>
      </c>
      <c r="K426" s="246">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44">
        <f>IF($A426="","",INDEX($B$7:$B$36,INT((ROW()-41)/14)+1)&amp;"")</f>
        <v/>
      </c>
    </row>
    <row r="427">
      <c r="A427" s="244">
        <f>IF(INDEX($A$7:$A$36,INT((ROW()-41)/14)+1)="","",INDEX($A$7:$A$36,INT((ROW()-41)/14)+1))</f>
        <v/>
      </c>
      <c r="B427" s="245">
        <f>IF($A427="","",$B$3+MOD(ROW()-41,14))</f>
        <v/>
      </c>
      <c r="C427" s="244">
        <f>IF($A427="","",TEXT($B427,"ddd"))</f>
        <v/>
      </c>
      <c r="D427" s="242">
        <f>IF($A427="","",SUMIFS('EH Timesheets'!$G$6:$G$1005,'EH Timesheets'!$A$6:$A$1005,$A427,'EH Timesheets'!$B$6:$B$1005,$B427))</f>
        <v/>
      </c>
      <c r="E427" s="242">
        <f>IF($A427="","",SUMIFS('EH Roster'!$G$6:$G$1005,'EH Roster'!$A$6:$A$1005,$A427,'EH Roster'!$B$6:$B$1005,$B427))</f>
        <v/>
      </c>
      <c r="F427" s="242">
        <f>IF($A427="","",$D427-$E427)</f>
        <v/>
      </c>
      <c r="G427" s="242">
        <f>IF($A427="","",IF($L427="",0,SUMPRODUCT(('Shared Calendar'!$K$2:$K$1000&gt;0)*('Shared Calendar'!$K$2:$K$1000&lt;=$B427)*('Shared Calendar'!$J$2:$J$1000&gt;$B427)*ISNUMBER(SEARCH($L427,'Shared Calendar'!$M$2:$M$1000))*('Shared Calendar'!$N$2:$N$1000="Event"),'Shared Calendar'!$L$2:$L$1000)))</f>
        <v/>
      </c>
      <c r="H427" s="246">
        <f>IF(OR($A427="",$L427=""),"",IF(SUMPRODUCT(MAX(('Shared Calendar'!$K$2:$K$1000&gt;0)*('Shared Calendar'!$K$2:$K$1000&lt;=$B427)*('Shared Calendar'!$J$2:$J$1000&gt;$B427)*ISNUMBER(SEARCH($L427,'Shared Calendar'!$M$2:$M$1000))*ROW('Shared Calendar'!$A$2:$A$1000)))=0,"",INDEX('Shared Calendar'!$A:$A,SUMPRODUCT(MAX(('Shared Calendar'!$K$2:$K$1000&gt;0)*('Shared Calendar'!$K$2:$K$1000&lt;=$B427)*('Shared Calendar'!$J$2:$J$1000&gt;$B427)*ISNUMBER(SEARCH($L427,'Shared Calendar'!$M$2:$M$1000))*ROW('Shared Calendar'!$A$2:$A$1000))))))</f>
        <v/>
      </c>
      <c r="I427" s="244">
        <f>IF(OR($A427="",$L427=""),"",IF(SUMPRODUCT(('Shared Calendar'!$K$2:$K$1000&gt;0)*('Shared Calendar'!$K$2:$K$1000&lt;=$B427)*('Shared Calendar'!$J$2:$J$1000&gt;$B427)*ISNUMBER(SEARCH($L427,'Shared Calendar'!$M$2:$M$1000))*('Shared Calendar'!$N$2:$N$1000="Leave"))&gt;0,"Leave",""))</f>
        <v/>
      </c>
      <c r="J427" s="244">
        <f>IF($A427="","",IFERROR(INDEX('Public Holidays'!$C$6:$C$38,MATCH($B427,'Public Holidays'!$A$6:$A$38,0))&amp;" ("&amp;INDEX('Public Holidays'!$L$6:$L$38,MATCH($B427,'Public Holidays'!$A$6:$A$38,0))&amp;")",""))</f>
        <v/>
      </c>
      <c r="K427" s="246">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44">
        <f>IF($A427="","",INDEX($B$7:$B$36,INT((ROW()-41)/14)+1)&amp;"")</f>
        <v/>
      </c>
    </row>
    <row r="428">
      <c r="A428" s="244">
        <f>IF(INDEX($A$7:$A$36,INT((ROW()-41)/14)+1)="","",INDEX($A$7:$A$36,INT((ROW()-41)/14)+1))</f>
        <v/>
      </c>
      <c r="B428" s="245">
        <f>IF($A428="","",$B$3+MOD(ROW()-41,14))</f>
        <v/>
      </c>
      <c r="C428" s="244">
        <f>IF($A428="","",TEXT($B428,"ddd"))</f>
        <v/>
      </c>
      <c r="D428" s="242">
        <f>IF($A428="","",SUMIFS('EH Timesheets'!$G$6:$G$1005,'EH Timesheets'!$A$6:$A$1005,$A428,'EH Timesheets'!$B$6:$B$1005,$B428))</f>
        <v/>
      </c>
      <c r="E428" s="242">
        <f>IF($A428="","",SUMIFS('EH Roster'!$G$6:$G$1005,'EH Roster'!$A$6:$A$1005,$A428,'EH Roster'!$B$6:$B$1005,$B428))</f>
        <v/>
      </c>
      <c r="F428" s="242">
        <f>IF($A428="","",$D428-$E428)</f>
        <v/>
      </c>
      <c r="G428" s="242">
        <f>IF($A428="","",IF($L428="",0,SUMPRODUCT(('Shared Calendar'!$K$2:$K$1000&gt;0)*('Shared Calendar'!$K$2:$K$1000&lt;=$B428)*('Shared Calendar'!$J$2:$J$1000&gt;$B428)*ISNUMBER(SEARCH($L428,'Shared Calendar'!$M$2:$M$1000))*('Shared Calendar'!$N$2:$N$1000="Event"),'Shared Calendar'!$L$2:$L$1000)))</f>
        <v/>
      </c>
      <c r="H428" s="246">
        <f>IF(OR($A428="",$L428=""),"",IF(SUMPRODUCT(MAX(('Shared Calendar'!$K$2:$K$1000&gt;0)*('Shared Calendar'!$K$2:$K$1000&lt;=$B428)*('Shared Calendar'!$J$2:$J$1000&gt;$B428)*ISNUMBER(SEARCH($L428,'Shared Calendar'!$M$2:$M$1000))*ROW('Shared Calendar'!$A$2:$A$1000)))=0,"",INDEX('Shared Calendar'!$A:$A,SUMPRODUCT(MAX(('Shared Calendar'!$K$2:$K$1000&gt;0)*('Shared Calendar'!$K$2:$K$1000&lt;=$B428)*('Shared Calendar'!$J$2:$J$1000&gt;$B428)*ISNUMBER(SEARCH($L428,'Shared Calendar'!$M$2:$M$1000))*ROW('Shared Calendar'!$A$2:$A$1000))))))</f>
        <v/>
      </c>
      <c r="I428" s="244">
        <f>IF(OR($A428="",$L428=""),"",IF(SUMPRODUCT(('Shared Calendar'!$K$2:$K$1000&gt;0)*('Shared Calendar'!$K$2:$K$1000&lt;=$B428)*('Shared Calendar'!$J$2:$J$1000&gt;$B428)*ISNUMBER(SEARCH($L428,'Shared Calendar'!$M$2:$M$1000))*('Shared Calendar'!$N$2:$N$1000="Leave"))&gt;0,"Leave",""))</f>
        <v/>
      </c>
      <c r="J428" s="244">
        <f>IF($A428="","",IFERROR(INDEX('Public Holidays'!$C$6:$C$38,MATCH($B428,'Public Holidays'!$A$6:$A$38,0))&amp;" ("&amp;INDEX('Public Holidays'!$L$6:$L$38,MATCH($B428,'Public Holidays'!$A$6:$A$38,0))&amp;")",""))</f>
        <v/>
      </c>
      <c r="K428" s="246">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44">
        <f>IF($A428="","",INDEX($B$7:$B$36,INT((ROW()-41)/14)+1)&amp;"")</f>
        <v/>
      </c>
    </row>
    <row r="429">
      <c r="A429" s="244">
        <f>IF(INDEX($A$7:$A$36,INT((ROW()-41)/14)+1)="","",INDEX($A$7:$A$36,INT((ROW()-41)/14)+1))</f>
        <v/>
      </c>
      <c r="B429" s="245">
        <f>IF($A429="","",$B$3+MOD(ROW()-41,14))</f>
        <v/>
      </c>
      <c r="C429" s="244">
        <f>IF($A429="","",TEXT($B429,"ddd"))</f>
        <v/>
      </c>
      <c r="D429" s="242">
        <f>IF($A429="","",SUMIFS('EH Timesheets'!$G$6:$G$1005,'EH Timesheets'!$A$6:$A$1005,$A429,'EH Timesheets'!$B$6:$B$1005,$B429))</f>
        <v/>
      </c>
      <c r="E429" s="242">
        <f>IF($A429="","",SUMIFS('EH Roster'!$G$6:$G$1005,'EH Roster'!$A$6:$A$1005,$A429,'EH Roster'!$B$6:$B$1005,$B429))</f>
        <v/>
      </c>
      <c r="F429" s="242">
        <f>IF($A429="","",$D429-$E429)</f>
        <v/>
      </c>
      <c r="G429" s="242">
        <f>IF($A429="","",IF($L429="",0,SUMPRODUCT(('Shared Calendar'!$K$2:$K$1000&gt;0)*('Shared Calendar'!$K$2:$K$1000&lt;=$B429)*('Shared Calendar'!$J$2:$J$1000&gt;$B429)*ISNUMBER(SEARCH($L429,'Shared Calendar'!$M$2:$M$1000))*('Shared Calendar'!$N$2:$N$1000="Event"),'Shared Calendar'!$L$2:$L$1000)))</f>
        <v/>
      </c>
      <c r="H429" s="246">
        <f>IF(OR($A429="",$L429=""),"",IF(SUMPRODUCT(MAX(('Shared Calendar'!$K$2:$K$1000&gt;0)*('Shared Calendar'!$K$2:$K$1000&lt;=$B429)*('Shared Calendar'!$J$2:$J$1000&gt;$B429)*ISNUMBER(SEARCH($L429,'Shared Calendar'!$M$2:$M$1000))*ROW('Shared Calendar'!$A$2:$A$1000)))=0,"",INDEX('Shared Calendar'!$A:$A,SUMPRODUCT(MAX(('Shared Calendar'!$K$2:$K$1000&gt;0)*('Shared Calendar'!$K$2:$K$1000&lt;=$B429)*('Shared Calendar'!$J$2:$J$1000&gt;$B429)*ISNUMBER(SEARCH($L429,'Shared Calendar'!$M$2:$M$1000))*ROW('Shared Calendar'!$A$2:$A$1000))))))</f>
        <v/>
      </c>
      <c r="I429" s="244">
        <f>IF(OR($A429="",$L429=""),"",IF(SUMPRODUCT(('Shared Calendar'!$K$2:$K$1000&gt;0)*('Shared Calendar'!$K$2:$K$1000&lt;=$B429)*('Shared Calendar'!$J$2:$J$1000&gt;$B429)*ISNUMBER(SEARCH($L429,'Shared Calendar'!$M$2:$M$1000))*('Shared Calendar'!$N$2:$N$1000="Leave"))&gt;0,"Leave",""))</f>
        <v/>
      </c>
      <c r="J429" s="244">
        <f>IF($A429="","",IFERROR(INDEX('Public Holidays'!$C$6:$C$38,MATCH($B429,'Public Holidays'!$A$6:$A$38,0))&amp;" ("&amp;INDEX('Public Holidays'!$L$6:$L$38,MATCH($B429,'Public Holidays'!$A$6:$A$38,0))&amp;")",""))</f>
        <v/>
      </c>
      <c r="K429" s="246">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44">
        <f>IF($A429="","",INDEX($B$7:$B$36,INT((ROW()-41)/14)+1)&amp;"")</f>
        <v/>
      </c>
    </row>
    <row r="430">
      <c r="A430" s="244">
        <f>IF(INDEX($A$7:$A$36,INT((ROW()-41)/14)+1)="","",INDEX($A$7:$A$36,INT((ROW()-41)/14)+1))</f>
        <v/>
      </c>
      <c r="B430" s="245">
        <f>IF($A430="","",$B$3+MOD(ROW()-41,14))</f>
        <v/>
      </c>
      <c r="C430" s="244">
        <f>IF($A430="","",TEXT($B430,"ddd"))</f>
        <v/>
      </c>
      <c r="D430" s="242">
        <f>IF($A430="","",SUMIFS('EH Timesheets'!$G$6:$G$1005,'EH Timesheets'!$A$6:$A$1005,$A430,'EH Timesheets'!$B$6:$B$1005,$B430))</f>
        <v/>
      </c>
      <c r="E430" s="242">
        <f>IF($A430="","",SUMIFS('EH Roster'!$G$6:$G$1005,'EH Roster'!$A$6:$A$1005,$A430,'EH Roster'!$B$6:$B$1005,$B430))</f>
        <v/>
      </c>
      <c r="F430" s="242">
        <f>IF($A430="","",$D430-$E430)</f>
        <v/>
      </c>
      <c r="G430" s="242">
        <f>IF($A430="","",IF($L430="",0,SUMPRODUCT(('Shared Calendar'!$K$2:$K$1000&gt;0)*('Shared Calendar'!$K$2:$K$1000&lt;=$B430)*('Shared Calendar'!$J$2:$J$1000&gt;$B430)*ISNUMBER(SEARCH($L430,'Shared Calendar'!$M$2:$M$1000))*('Shared Calendar'!$N$2:$N$1000="Event"),'Shared Calendar'!$L$2:$L$1000)))</f>
        <v/>
      </c>
      <c r="H430" s="246">
        <f>IF(OR($A430="",$L430=""),"",IF(SUMPRODUCT(MAX(('Shared Calendar'!$K$2:$K$1000&gt;0)*('Shared Calendar'!$K$2:$K$1000&lt;=$B430)*('Shared Calendar'!$J$2:$J$1000&gt;$B430)*ISNUMBER(SEARCH($L430,'Shared Calendar'!$M$2:$M$1000))*ROW('Shared Calendar'!$A$2:$A$1000)))=0,"",INDEX('Shared Calendar'!$A:$A,SUMPRODUCT(MAX(('Shared Calendar'!$K$2:$K$1000&gt;0)*('Shared Calendar'!$K$2:$K$1000&lt;=$B430)*('Shared Calendar'!$J$2:$J$1000&gt;$B430)*ISNUMBER(SEARCH($L430,'Shared Calendar'!$M$2:$M$1000))*ROW('Shared Calendar'!$A$2:$A$1000))))))</f>
        <v/>
      </c>
      <c r="I430" s="244">
        <f>IF(OR($A430="",$L430=""),"",IF(SUMPRODUCT(('Shared Calendar'!$K$2:$K$1000&gt;0)*('Shared Calendar'!$K$2:$K$1000&lt;=$B430)*('Shared Calendar'!$J$2:$J$1000&gt;$B430)*ISNUMBER(SEARCH($L430,'Shared Calendar'!$M$2:$M$1000))*('Shared Calendar'!$N$2:$N$1000="Leave"))&gt;0,"Leave",""))</f>
        <v/>
      </c>
      <c r="J430" s="244">
        <f>IF($A430="","",IFERROR(INDEX('Public Holidays'!$C$6:$C$38,MATCH($B430,'Public Holidays'!$A$6:$A$38,0))&amp;" ("&amp;INDEX('Public Holidays'!$L$6:$L$38,MATCH($B430,'Public Holidays'!$A$6:$A$38,0))&amp;")",""))</f>
        <v/>
      </c>
      <c r="K430" s="246">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44">
        <f>IF($A430="","",INDEX($B$7:$B$36,INT((ROW()-41)/14)+1)&amp;"")</f>
        <v/>
      </c>
    </row>
    <row r="431">
      <c r="A431" s="244">
        <f>IF(INDEX($A$7:$A$36,INT((ROW()-41)/14)+1)="","",INDEX($A$7:$A$36,INT((ROW()-41)/14)+1))</f>
        <v/>
      </c>
      <c r="B431" s="245">
        <f>IF($A431="","",$B$3+MOD(ROW()-41,14))</f>
        <v/>
      </c>
      <c r="C431" s="244">
        <f>IF($A431="","",TEXT($B431,"ddd"))</f>
        <v/>
      </c>
      <c r="D431" s="242">
        <f>IF($A431="","",SUMIFS('EH Timesheets'!$G$6:$G$1005,'EH Timesheets'!$A$6:$A$1005,$A431,'EH Timesheets'!$B$6:$B$1005,$B431))</f>
        <v/>
      </c>
      <c r="E431" s="242">
        <f>IF($A431="","",SUMIFS('EH Roster'!$G$6:$G$1005,'EH Roster'!$A$6:$A$1005,$A431,'EH Roster'!$B$6:$B$1005,$B431))</f>
        <v/>
      </c>
      <c r="F431" s="242">
        <f>IF($A431="","",$D431-$E431)</f>
        <v/>
      </c>
      <c r="G431" s="242">
        <f>IF($A431="","",IF($L431="",0,SUMPRODUCT(('Shared Calendar'!$K$2:$K$1000&gt;0)*('Shared Calendar'!$K$2:$K$1000&lt;=$B431)*('Shared Calendar'!$J$2:$J$1000&gt;$B431)*ISNUMBER(SEARCH($L431,'Shared Calendar'!$M$2:$M$1000))*('Shared Calendar'!$N$2:$N$1000="Event"),'Shared Calendar'!$L$2:$L$1000)))</f>
        <v/>
      </c>
      <c r="H431" s="246">
        <f>IF(OR($A431="",$L431=""),"",IF(SUMPRODUCT(MAX(('Shared Calendar'!$K$2:$K$1000&gt;0)*('Shared Calendar'!$K$2:$K$1000&lt;=$B431)*('Shared Calendar'!$J$2:$J$1000&gt;$B431)*ISNUMBER(SEARCH($L431,'Shared Calendar'!$M$2:$M$1000))*ROW('Shared Calendar'!$A$2:$A$1000)))=0,"",INDEX('Shared Calendar'!$A:$A,SUMPRODUCT(MAX(('Shared Calendar'!$K$2:$K$1000&gt;0)*('Shared Calendar'!$K$2:$K$1000&lt;=$B431)*('Shared Calendar'!$J$2:$J$1000&gt;$B431)*ISNUMBER(SEARCH($L431,'Shared Calendar'!$M$2:$M$1000))*ROW('Shared Calendar'!$A$2:$A$1000))))))</f>
        <v/>
      </c>
      <c r="I431" s="244">
        <f>IF(OR($A431="",$L431=""),"",IF(SUMPRODUCT(('Shared Calendar'!$K$2:$K$1000&gt;0)*('Shared Calendar'!$K$2:$K$1000&lt;=$B431)*('Shared Calendar'!$J$2:$J$1000&gt;$B431)*ISNUMBER(SEARCH($L431,'Shared Calendar'!$M$2:$M$1000))*('Shared Calendar'!$N$2:$N$1000="Leave"))&gt;0,"Leave",""))</f>
        <v/>
      </c>
      <c r="J431" s="244">
        <f>IF($A431="","",IFERROR(INDEX('Public Holidays'!$C$6:$C$38,MATCH($B431,'Public Holidays'!$A$6:$A$38,0))&amp;" ("&amp;INDEX('Public Holidays'!$L$6:$L$38,MATCH($B431,'Public Holidays'!$A$6:$A$38,0))&amp;")",""))</f>
        <v/>
      </c>
      <c r="K431" s="246">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44">
        <f>IF($A431="","",INDEX($B$7:$B$36,INT((ROW()-41)/14)+1)&amp;"")</f>
        <v/>
      </c>
    </row>
    <row r="432">
      <c r="A432" s="244">
        <f>IF(INDEX($A$7:$A$36,INT((ROW()-41)/14)+1)="","",INDEX($A$7:$A$36,INT((ROW()-41)/14)+1))</f>
        <v/>
      </c>
      <c r="B432" s="245">
        <f>IF($A432="","",$B$3+MOD(ROW()-41,14))</f>
        <v/>
      </c>
      <c r="C432" s="244">
        <f>IF($A432="","",TEXT($B432,"ddd"))</f>
        <v/>
      </c>
      <c r="D432" s="242">
        <f>IF($A432="","",SUMIFS('EH Timesheets'!$G$6:$G$1005,'EH Timesheets'!$A$6:$A$1005,$A432,'EH Timesheets'!$B$6:$B$1005,$B432))</f>
        <v/>
      </c>
      <c r="E432" s="242">
        <f>IF($A432="","",SUMIFS('EH Roster'!$G$6:$G$1005,'EH Roster'!$A$6:$A$1005,$A432,'EH Roster'!$B$6:$B$1005,$B432))</f>
        <v/>
      </c>
      <c r="F432" s="242">
        <f>IF($A432="","",$D432-$E432)</f>
        <v/>
      </c>
      <c r="G432" s="242">
        <f>IF($A432="","",IF($L432="",0,SUMPRODUCT(('Shared Calendar'!$K$2:$K$1000&gt;0)*('Shared Calendar'!$K$2:$K$1000&lt;=$B432)*('Shared Calendar'!$J$2:$J$1000&gt;$B432)*ISNUMBER(SEARCH($L432,'Shared Calendar'!$M$2:$M$1000))*('Shared Calendar'!$N$2:$N$1000="Event"),'Shared Calendar'!$L$2:$L$1000)))</f>
        <v/>
      </c>
      <c r="H432" s="246">
        <f>IF(OR($A432="",$L432=""),"",IF(SUMPRODUCT(MAX(('Shared Calendar'!$K$2:$K$1000&gt;0)*('Shared Calendar'!$K$2:$K$1000&lt;=$B432)*('Shared Calendar'!$J$2:$J$1000&gt;$B432)*ISNUMBER(SEARCH($L432,'Shared Calendar'!$M$2:$M$1000))*ROW('Shared Calendar'!$A$2:$A$1000)))=0,"",INDEX('Shared Calendar'!$A:$A,SUMPRODUCT(MAX(('Shared Calendar'!$K$2:$K$1000&gt;0)*('Shared Calendar'!$K$2:$K$1000&lt;=$B432)*('Shared Calendar'!$J$2:$J$1000&gt;$B432)*ISNUMBER(SEARCH($L432,'Shared Calendar'!$M$2:$M$1000))*ROW('Shared Calendar'!$A$2:$A$1000))))))</f>
        <v/>
      </c>
      <c r="I432" s="244">
        <f>IF(OR($A432="",$L432=""),"",IF(SUMPRODUCT(('Shared Calendar'!$K$2:$K$1000&gt;0)*('Shared Calendar'!$K$2:$K$1000&lt;=$B432)*('Shared Calendar'!$J$2:$J$1000&gt;$B432)*ISNUMBER(SEARCH($L432,'Shared Calendar'!$M$2:$M$1000))*('Shared Calendar'!$N$2:$N$1000="Leave"))&gt;0,"Leave",""))</f>
        <v/>
      </c>
      <c r="J432" s="244">
        <f>IF($A432="","",IFERROR(INDEX('Public Holidays'!$C$6:$C$38,MATCH($B432,'Public Holidays'!$A$6:$A$38,0))&amp;" ("&amp;INDEX('Public Holidays'!$L$6:$L$38,MATCH($B432,'Public Holidays'!$A$6:$A$38,0))&amp;")",""))</f>
        <v/>
      </c>
      <c r="K432" s="246">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44">
        <f>IF($A432="","",INDEX($B$7:$B$36,INT((ROW()-41)/14)+1)&amp;"")</f>
        <v/>
      </c>
    </row>
    <row r="433">
      <c r="A433" s="244">
        <f>IF(INDEX($A$7:$A$36,INT((ROW()-41)/14)+1)="","",INDEX($A$7:$A$36,INT((ROW()-41)/14)+1))</f>
        <v/>
      </c>
      <c r="B433" s="245">
        <f>IF($A433="","",$B$3+MOD(ROW()-41,14))</f>
        <v/>
      </c>
      <c r="C433" s="244">
        <f>IF($A433="","",TEXT($B433,"ddd"))</f>
        <v/>
      </c>
      <c r="D433" s="242">
        <f>IF($A433="","",SUMIFS('EH Timesheets'!$G$6:$G$1005,'EH Timesheets'!$A$6:$A$1005,$A433,'EH Timesheets'!$B$6:$B$1005,$B433))</f>
        <v/>
      </c>
      <c r="E433" s="242">
        <f>IF($A433="","",SUMIFS('EH Roster'!$G$6:$G$1005,'EH Roster'!$A$6:$A$1005,$A433,'EH Roster'!$B$6:$B$1005,$B433))</f>
        <v/>
      </c>
      <c r="F433" s="242">
        <f>IF($A433="","",$D433-$E433)</f>
        <v/>
      </c>
      <c r="G433" s="242">
        <f>IF($A433="","",IF($L433="",0,SUMPRODUCT(('Shared Calendar'!$K$2:$K$1000&gt;0)*('Shared Calendar'!$K$2:$K$1000&lt;=$B433)*('Shared Calendar'!$J$2:$J$1000&gt;$B433)*ISNUMBER(SEARCH($L433,'Shared Calendar'!$M$2:$M$1000))*('Shared Calendar'!$N$2:$N$1000="Event"),'Shared Calendar'!$L$2:$L$1000)))</f>
        <v/>
      </c>
      <c r="H433" s="246">
        <f>IF(OR($A433="",$L433=""),"",IF(SUMPRODUCT(MAX(('Shared Calendar'!$K$2:$K$1000&gt;0)*('Shared Calendar'!$K$2:$K$1000&lt;=$B433)*('Shared Calendar'!$J$2:$J$1000&gt;$B433)*ISNUMBER(SEARCH($L433,'Shared Calendar'!$M$2:$M$1000))*ROW('Shared Calendar'!$A$2:$A$1000)))=0,"",INDEX('Shared Calendar'!$A:$A,SUMPRODUCT(MAX(('Shared Calendar'!$K$2:$K$1000&gt;0)*('Shared Calendar'!$K$2:$K$1000&lt;=$B433)*('Shared Calendar'!$J$2:$J$1000&gt;$B433)*ISNUMBER(SEARCH($L433,'Shared Calendar'!$M$2:$M$1000))*ROW('Shared Calendar'!$A$2:$A$1000))))))</f>
        <v/>
      </c>
      <c r="I433" s="244">
        <f>IF(OR($A433="",$L433=""),"",IF(SUMPRODUCT(('Shared Calendar'!$K$2:$K$1000&gt;0)*('Shared Calendar'!$K$2:$K$1000&lt;=$B433)*('Shared Calendar'!$J$2:$J$1000&gt;$B433)*ISNUMBER(SEARCH($L433,'Shared Calendar'!$M$2:$M$1000))*('Shared Calendar'!$N$2:$N$1000="Leave"))&gt;0,"Leave",""))</f>
        <v/>
      </c>
      <c r="J433" s="244">
        <f>IF($A433="","",IFERROR(INDEX('Public Holidays'!$C$6:$C$38,MATCH($B433,'Public Holidays'!$A$6:$A$38,0))&amp;" ("&amp;INDEX('Public Holidays'!$L$6:$L$38,MATCH($B433,'Public Holidays'!$A$6:$A$38,0))&amp;")",""))</f>
        <v/>
      </c>
      <c r="K433" s="246">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44">
        <f>IF($A433="","",INDEX($B$7:$B$36,INT((ROW()-41)/14)+1)&amp;"")</f>
        <v/>
      </c>
    </row>
    <row r="434">
      <c r="A434" s="244">
        <f>IF(INDEX($A$7:$A$36,INT((ROW()-41)/14)+1)="","",INDEX($A$7:$A$36,INT((ROW()-41)/14)+1))</f>
        <v/>
      </c>
      <c r="B434" s="245">
        <f>IF($A434="","",$B$3+MOD(ROW()-41,14))</f>
        <v/>
      </c>
      <c r="C434" s="244">
        <f>IF($A434="","",TEXT($B434,"ddd"))</f>
        <v/>
      </c>
      <c r="D434" s="242">
        <f>IF($A434="","",SUMIFS('EH Timesheets'!$G$6:$G$1005,'EH Timesheets'!$A$6:$A$1005,$A434,'EH Timesheets'!$B$6:$B$1005,$B434))</f>
        <v/>
      </c>
      <c r="E434" s="242">
        <f>IF($A434="","",SUMIFS('EH Roster'!$G$6:$G$1005,'EH Roster'!$A$6:$A$1005,$A434,'EH Roster'!$B$6:$B$1005,$B434))</f>
        <v/>
      </c>
      <c r="F434" s="242">
        <f>IF($A434="","",$D434-$E434)</f>
        <v/>
      </c>
      <c r="G434" s="242">
        <f>IF($A434="","",IF($L434="",0,SUMPRODUCT(('Shared Calendar'!$K$2:$K$1000&gt;0)*('Shared Calendar'!$K$2:$K$1000&lt;=$B434)*('Shared Calendar'!$J$2:$J$1000&gt;$B434)*ISNUMBER(SEARCH($L434,'Shared Calendar'!$M$2:$M$1000))*('Shared Calendar'!$N$2:$N$1000="Event"),'Shared Calendar'!$L$2:$L$1000)))</f>
        <v/>
      </c>
      <c r="H434" s="246">
        <f>IF(OR($A434="",$L434=""),"",IF(SUMPRODUCT(MAX(('Shared Calendar'!$K$2:$K$1000&gt;0)*('Shared Calendar'!$K$2:$K$1000&lt;=$B434)*('Shared Calendar'!$J$2:$J$1000&gt;$B434)*ISNUMBER(SEARCH($L434,'Shared Calendar'!$M$2:$M$1000))*ROW('Shared Calendar'!$A$2:$A$1000)))=0,"",INDEX('Shared Calendar'!$A:$A,SUMPRODUCT(MAX(('Shared Calendar'!$K$2:$K$1000&gt;0)*('Shared Calendar'!$K$2:$K$1000&lt;=$B434)*('Shared Calendar'!$J$2:$J$1000&gt;$B434)*ISNUMBER(SEARCH($L434,'Shared Calendar'!$M$2:$M$1000))*ROW('Shared Calendar'!$A$2:$A$1000))))))</f>
        <v/>
      </c>
      <c r="I434" s="244">
        <f>IF(OR($A434="",$L434=""),"",IF(SUMPRODUCT(('Shared Calendar'!$K$2:$K$1000&gt;0)*('Shared Calendar'!$K$2:$K$1000&lt;=$B434)*('Shared Calendar'!$J$2:$J$1000&gt;$B434)*ISNUMBER(SEARCH($L434,'Shared Calendar'!$M$2:$M$1000))*('Shared Calendar'!$N$2:$N$1000="Leave"))&gt;0,"Leave",""))</f>
        <v/>
      </c>
      <c r="J434" s="244">
        <f>IF($A434="","",IFERROR(INDEX('Public Holidays'!$C$6:$C$38,MATCH($B434,'Public Holidays'!$A$6:$A$38,0))&amp;" ("&amp;INDEX('Public Holidays'!$L$6:$L$38,MATCH($B434,'Public Holidays'!$A$6:$A$38,0))&amp;")",""))</f>
        <v/>
      </c>
      <c r="K434" s="246">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44">
        <f>IF($A434="","",INDEX($B$7:$B$36,INT((ROW()-41)/14)+1)&amp;"")</f>
        <v/>
      </c>
    </row>
    <row r="435">
      <c r="A435" s="244">
        <f>IF(INDEX($A$7:$A$36,INT((ROW()-41)/14)+1)="","",INDEX($A$7:$A$36,INT((ROW()-41)/14)+1))</f>
        <v/>
      </c>
      <c r="B435" s="245">
        <f>IF($A435="","",$B$3+MOD(ROW()-41,14))</f>
        <v/>
      </c>
      <c r="C435" s="244">
        <f>IF($A435="","",TEXT($B435,"ddd"))</f>
        <v/>
      </c>
      <c r="D435" s="242">
        <f>IF($A435="","",SUMIFS('EH Timesheets'!$G$6:$G$1005,'EH Timesheets'!$A$6:$A$1005,$A435,'EH Timesheets'!$B$6:$B$1005,$B435))</f>
        <v/>
      </c>
      <c r="E435" s="242">
        <f>IF($A435="","",SUMIFS('EH Roster'!$G$6:$G$1005,'EH Roster'!$A$6:$A$1005,$A435,'EH Roster'!$B$6:$B$1005,$B435))</f>
        <v/>
      </c>
      <c r="F435" s="242">
        <f>IF($A435="","",$D435-$E435)</f>
        <v/>
      </c>
      <c r="G435" s="242">
        <f>IF($A435="","",IF($L435="",0,SUMPRODUCT(('Shared Calendar'!$K$2:$K$1000&gt;0)*('Shared Calendar'!$K$2:$K$1000&lt;=$B435)*('Shared Calendar'!$J$2:$J$1000&gt;$B435)*ISNUMBER(SEARCH($L435,'Shared Calendar'!$M$2:$M$1000))*('Shared Calendar'!$N$2:$N$1000="Event"),'Shared Calendar'!$L$2:$L$1000)))</f>
        <v/>
      </c>
      <c r="H435" s="246">
        <f>IF(OR($A435="",$L435=""),"",IF(SUMPRODUCT(MAX(('Shared Calendar'!$K$2:$K$1000&gt;0)*('Shared Calendar'!$K$2:$K$1000&lt;=$B435)*('Shared Calendar'!$J$2:$J$1000&gt;$B435)*ISNUMBER(SEARCH($L435,'Shared Calendar'!$M$2:$M$1000))*ROW('Shared Calendar'!$A$2:$A$1000)))=0,"",INDEX('Shared Calendar'!$A:$A,SUMPRODUCT(MAX(('Shared Calendar'!$K$2:$K$1000&gt;0)*('Shared Calendar'!$K$2:$K$1000&lt;=$B435)*('Shared Calendar'!$J$2:$J$1000&gt;$B435)*ISNUMBER(SEARCH($L435,'Shared Calendar'!$M$2:$M$1000))*ROW('Shared Calendar'!$A$2:$A$1000))))))</f>
        <v/>
      </c>
      <c r="I435" s="244">
        <f>IF(OR($A435="",$L435=""),"",IF(SUMPRODUCT(('Shared Calendar'!$K$2:$K$1000&gt;0)*('Shared Calendar'!$K$2:$K$1000&lt;=$B435)*('Shared Calendar'!$J$2:$J$1000&gt;$B435)*ISNUMBER(SEARCH($L435,'Shared Calendar'!$M$2:$M$1000))*('Shared Calendar'!$N$2:$N$1000="Leave"))&gt;0,"Leave",""))</f>
        <v/>
      </c>
      <c r="J435" s="244">
        <f>IF($A435="","",IFERROR(INDEX('Public Holidays'!$C$6:$C$38,MATCH($B435,'Public Holidays'!$A$6:$A$38,0))&amp;" ("&amp;INDEX('Public Holidays'!$L$6:$L$38,MATCH($B435,'Public Holidays'!$A$6:$A$38,0))&amp;")",""))</f>
        <v/>
      </c>
      <c r="K435" s="246">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44">
        <f>IF($A435="","",INDEX($B$7:$B$36,INT((ROW()-41)/14)+1)&amp;"")</f>
        <v/>
      </c>
    </row>
    <row r="436">
      <c r="A436" s="244">
        <f>IF(INDEX($A$7:$A$36,INT((ROW()-41)/14)+1)="","",INDEX($A$7:$A$36,INT((ROW()-41)/14)+1))</f>
        <v/>
      </c>
      <c r="B436" s="245">
        <f>IF($A436="","",$B$3+MOD(ROW()-41,14))</f>
        <v/>
      </c>
      <c r="C436" s="244">
        <f>IF($A436="","",TEXT($B436,"ddd"))</f>
        <v/>
      </c>
      <c r="D436" s="242">
        <f>IF($A436="","",SUMIFS('EH Timesheets'!$G$6:$G$1005,'EH Timesheets'!$A$6:$A$1005,$A436,'EH Timesheets'!$B$6:$B$1005,$B436))</f>
        <v/>
      </c>
      <c r="E436" s="242">
        <f>IF($A436="","",SUMIFS('EH Roster'!$G$6:$G$1005,'EH Roster'!$A$6:$A$1005,$A436,'EH Roster'!$B$6:$B$1005,$B436))</f>
        <v/>
      </c>
      <c r="F436" s="242">
        <f>IF($A436="","",$D436-$E436)</f>
        <v/>
      </c>
      <c r="G436" s="242">
        <f>IF($A436="","",IF($L436="",0,SUMPRODUCT(('Shared Calendar'!$K$2:$K$1000&gt;0)*('Shared Calendar'!$K$2:$K$1000&lt;=$B436)*('Shared Calendar'!$J$2:$J$1000&gt;$B436)*ISNUMBER(SEARCH($L436,'Shared Calendar'!$M$2:$M$1000))*('Shared Calendar'!$N$2:$N$1000="Event"),'Shared Calendar'!$L$2:$L$1000)))</f>
        <v/>
      </c>
      <c r="H436" s="246">
        <f>IF(OR($A436="",$L436=""),"",IF(SUMPRODUCT(MAX(('Shared Calendar'!$K$2:$K$1000&gt;0)*('Shared Calendar'!$K$2:$K$1000&lt;=$B436)*('Shared Calendar'!$J$2:$J$1000&gt;$B436)*ISNUMBER(SEARCH($L436,'Shared Calendar'!$M$2:$M$1000))*ROW('Shared Calendar'!$A$2:$A$1000)))=0,"",INDEX('Shared Calendar'!$A:$A,SUMPRODUCT(MAX(('Shared Calendar'!$K$2:$K$1000&gt;0)*('Shared Calendar'!$K$2:$K$1000&lt;=$B436)*('Shared Calendar'!$J$2:$J$1000&gt;$B436)*ISNUMBER(SEARCH($L436,'Shared Calendar'!$M$2:$M$1000))*ROW('Shared Calendar'!$A$2:$A$1000))))))</f>
        <v/>
      </c>
      <c r="I436" s="244">
        <f>IF(OR($A436="",$L436=""),"",IF(SUMPRODUCT(('Shared Calendar'!$K$2:$K$1000&gt;0)*('Shared Calendar'!$K$2:$K$1000&lt;=$B436)*('Shared Calendar'!$J$2:$J$1000&gt;$B436)*ISNUMBER(SEARCH($L436,'Shared Calendar'!$M$2:$M$1000))*('Shared Calendar'!$N$2:$N$1000="Leave"))&gt;0,"Leave",""))</f>
        <v/>
      </c>
      <c r="J436" s="244">
        <f>IF($A436="","",IFERROR(INDEX('Public Holidays'!$C$6:$C$38,MATCH($B436,'Public Holidays'!$A$6:$A$38,0))&amp;" ("&amp;INDEX('Public Holidays'!$L$6:$L$38,MATCH($B436,'Public Holidays'!$A$6:$A$38,0))&amp;")",""))</f>
        <v/>
      </c>
      <c r="K436" s="246">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44">
        <f>IF($A436="","",INDEX($B$7:$B$36,INT((ROW()-41)/14)+1)&amp;"")</f>
        <v/>
      </c>
    </row>
    <row r="437">
      <c r="A437" s="244">
        <f>IF(INDEX($A$7:$A$36,INT((ROW()-41)/14)+1)="","",INDEX($A$7:$A$36,INT((ROW()-41)/14)+1))</f>
        <v/>
      </c>
      <c r="B437" s="245">
        <f>IF($A437="","",$B$3+MOD(ROW()-41,14))</f>
        <v/>
      </c>
      <c r="C437" s="244">
        <f>IF($A437="","",TEXT($B437,"ddd"))</f>
        <v/>
      </c>
      <c r="D437" s="242">
        <f>IF($A437="","",SUMIFS('EH Timesheets'!$G$6:$G$1005,'EH Timesheets'!$A$6:$A$1005,$A437,'EH Timesheets'!$B$6:$B$1005,$B437))</f>
        <v/>
      </c>
      <c r="E437" s="242">
        <f>IF($A437="","",SUMIFS('EH Roster'!$G$6:$G$1005,'EH Roster'!$A$6:$A$1005,$A437,'EH Roster'!$B$6:$B$1005,$B437))</f>
        <v/>
      </c>
      <c r="F437" s="242">
        <f>IF($A437="","",$D437-$E437)</f>
        <v/>
      </c>
      <c r="G437" s="242">
        <f>IF($A437="","",IF($L437="",0,SUMPRODUCT(('Shared Calendar'!$K$2:$K$1000&gt;0)*('Shared Calendar'!$K$2:$K$1000&lt;=$B437)*('Shared Calendar'!$J$2:$J$1000&gt;$B437)*ISNUMBER(SEARCH($L437,'Shared Calendar'!$M$2:$M$1000))*('Shared Calendar'!$N$2:$N$1000="Event"),'Shared Calendar'!$L$2:$L$1000)))</f>
        <v/>
      </c>
      <c r="H437" s="246">
        <f>IF(OR($A437="",$L437=""),"",IF(SUMPRODUCT(MAX(('Shared Calendar'!$K$2:$K$1000&gt;0)*('Shared Calendar'!$K$2:$K$1000&lt;=$B437)*('Shared Calendar'!$J$2:$J$1000&gt;$B437)*ISNUMBER(SEARCH($L437,'Shared Calendar'!$M$2:$M$1000))*ROW('Shared Calendar'!$A$2:$A$1000)))=0,"",INDEX('Shared Calendar'!$A:$A,SUMPRODUCT(MAX(('Shared Calendar'!$K$2:$K$1000&gt;0)*('Shared Calendar'!$K$2:$K$1000&lt;=$B437)*('Shared Calendar'!$J$2:$J$1000&gt;$B437)*ISNUMBER(SEARCH($L437,'Shared Calendar'!$M$2:$M$1000))*ROW('Shared Calendar'!$A$2:$A$1000))))))</f>
        <v/>
      </c>
      <c r="I437" s="244">
        <f>IF(OR($A437="",$L437=""),"",IF(SUMPRODUCT(('Shared Calendar'!$K$2:$K$1000&gt;0)*('Shared Calendar'!$K$2:$K$1000&lt;=$B437)*('Shared Calendar'!$J$2:$J$1000&gt;$B437)*ISNUMBER(SEARCH($L437,'Shared Calendar'!$M$2:$M$1000))*('Shared Calendar'!$N$2:$N$1000="Leave"))&gt;0,"Leave",""))</f>
        <v/>
      </c>
      <c r="J437" s="244">
        <f>IF($A437="","",IFERROR(INDEX('Public Holidays'!$C$6:$C$38,MATCH($B437,'Public Holidays'!$A$6:$A$38,0))&amp;" ("&amp;INDEX('Public Holidays'!$L$6:$L$38,MATCH($B437,'Public Holidays'!$A$6:$A$38,0))&amp;")",""))</f>
        <v/>
      </c>
      <c r="K437" s="246">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44">
        <f>IF($A437="","",INDEX($B$7:$B$36,INT((ROW()-41)/14)+1)&amp;"")</f>
        <v/>
      </c>
    </row>
    <row r="438">
      <c r="A438" s="244">
        <f>IF(INDEX($A$7:$A$36,INT((ROW()-41)/14)+1)="","",INDEX($A$7:$A$36,INT((ROW()-41)/14)+1))</f>
        <v/>
      </c>
      <c r="B438" s="245">
        <f>IF($A438="","",$B$3+MOD(ROW()-41,14))</f>
        <v/>
      </c>
      <c r="C438" s="244">
        <f>IF($A438="","",TEXT($B438,"ddd"))</f>
        <v/>
      </c>
      <c r="D438" s="242">
        <f>IF($A438="","",SUMIFS('EH Timesheets'!$G$6:$G$1005,'EH Timesheets'!$A$6:$A$1005,$A438,'EH Timesheets'!$B$6:$B$1005,$B438))</f>
        <v/>
      </c>
      <c r="E438" s="242">
        <f>IF($A438="","",SUMIFS('EH Roster'!$G$6:$G$1005,'EH Roster'!$A$6:$A$1005,$A438,'EH Roster'!$B$6:$B$1005,$B438))</f>
        <v/>
      </c>
      <c r="F438" s="242">
        <f>IF($A438="","",$D438-$E438)</f>
        <v/>
      </c>
      <c r="G438" s="242">
        <f>IF($A438="","",IF($L438="",0,SUMPRODUCT(('Shared Calendar'!$K$2:$K$1000&gt;0)*('Shared Calendar'!$K$2:$K$1000&lt;=$B438)*('Shared Calendar'!$J$2:$J$1000&gt;$B438)*ISNUMBER(SEARCH($L438,'Shared Calendar'!$M$2:$M$1000))*('Shared Calendar'!$N$2:$N$1000="Event"),'Shared Calendar'!$L$2:$L$1000)))</f>
        <v/>
      </c>
      <c r="H438" s="246">
        <f>IF(OR($A438="",$L438=""),"",IF(SUMPRODUCT(MAX(('Shared Calendar'!$K$2:$K$1000&gt;0)*('Shared Calendar'!$K$2:$K$1000&lt;=$B438)*('Shared Calendar'!$J$2:$J$1000&gt;$B438)*ISNUMBER(SEARCH($L438,'Shared Calendar'!$M$2:$M$1000))*ROW('Shared Calendar'!$A$2:$A$1000)))=0,"",INDEX('Shared Calendar'!$A:$A,SUMPRODUCT(MAX(('Shared Calendar'!$K$2:$K$1000&gt;0)*('Shared Calendar'!$K$2:$K$1000&lt;=$B438)*('Shared Calendar'!$J$2:$J$1000&gt;$B438)*ISNUMBER(SEARCH($L438,'Shared Calendar'!$M$2:$M$1000))*ROW('Shared Calendar'!$A$2:$A$1000))))))</f>
        <v/>
      </c>
      <c r="I438" s="244">
        <f>IF(OR($A438="",$L438=""),"",IF(SUMPRODUCT(('Shared Calendar'!$K$2:$K$1000&gt;0)*('Shared Calendar'!$K$2:$K$1000&lt;=$B438)*('Shared Calendar'!$J$2:$J$1000&gt;$B438)*ISNUMBER(SEARCH($L438,'Shared Calendar'!$M$2:$M$1000))*('Shared Calendar'!$N$2:$N$1000="Leave"))&gt;0,"Leave",""))</f>
        <v/>
      </c>
      <c r="J438" s="244">
        <f>IF($A438="","",IFERROR(INDEX('Public Holidays'!$C$6:$C$38,MATCH($B438,'Public Holidays'!$A$6:$A$38,0))&amp;" ("&amp;INDEX('Public Holidays'!$L$6:$L$38,MATCH($B438,'Public Holidays'!$A$6:$A$38,0))&amp;")",""))</f>
        <v/>
      </c>
      <c r="K438" s="246">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44">
        <f>IF($A438="","",INDEX($B$7:$B$36,INT((ROW()-41)/14)+1)&amp;"")</f>
        <v/>
      </c>
    </row>
    <row r="439">
      <c r="A439" s="244">
        <f>IF(INDEX($A$7:$A$36,INT((ROW()-41)/14)+1)="","",INDEX($A$7:$A$36,INT((ROW()-41)/14)+1))</f>
        <v/>
      </c>
      <c r="B439" s="245">
        <f>IF($A439="","",$B$3+MOD(ROW()-41,14))</f>
        <v/>
      </c>
      <c r="C439" s="244">
        <f>IF($A439="","",TEXT($B439,"ddd"))</f>
        <v/>
      </c>
      <c r="D439" s="242">
        <f>IF($A439="","",SUMIFS('EH Timesheets'!$G$6:$G$1005,'EH Timesheets'!$A$6:$A$1005,$A439,'EH Timesheets'!$B$6:$B$1005,$B439))</f>
        <v/>
      </c>
      <c r="E439" s="242">
        <f>IF($A439="","",SUMIFS('EH Roster'!$G$6:$G$1005,'EH Roster'!$A$6:$A$1005,$A439,'EH Roster'!$B$6:$B$1005,$B439))</f>
        <v/>
      </c>
      <c r="F439" s="242">
        <f>IF($A439="","",$D439-$E439)</f>
        <v/>
      </c>
      <c r="G439" s="242">
        <f>IF($A439="","",IF($L439="",0,SUMPRODUCT(('Shared Calendar'!$K$2:$K$1000&gt;0)*('Shared Calendar'!$K$2:$K$1000&lt;=$B439)*('Shared Calendar'!$J$2:$J$1000&gt;$B439)*ISNUMBER(SEARCH($L439,'Shared Calendar'!$M$2:$M$1000))*('Shared Calendar'!$N$2:$N$1000="Event"),'Shared Calendar'!$L$2:$L$1000)))</f>
        <v/>
      </c>
      <c r="H439" s="246">
        <f>IF(OR($A439="",$L439=""),"",IF(SUMPRODUCT(MAX(('Shared Calendar'!$K$2:$K$1000&gt;0)*('Shared Calendar'!$K$2:$K$1000&lt;=$B439)*('Shared Calendar'!$J$2:$J$1000&gt;$B439)*ISNUMBER(SEARCH($L439,'Shared Calendar'!$M$2:$M$1000))*ROW('Shared Calendar'!$A$2:$A$1000)))=0,"",INDEX('Shared Calendar'!$A:$A,SUMPRODUCT(MAX(('Shared Calendar'!$K$2:$K$1000&gt;0)*('Shared Calendar'!$K$2:$K$1000&lt;=$B439)*('Shared Calendar'!$J$2:$J$1000&gt;$B439)*ISNUMBER(SEARCH($L439,'Shared Calendar'!$M$2:$M$1000))*ROW('Shared Calendar'!$A$2:$A$1000))))))</f>
        <v/>
      </c>
      <c r="I439" s="244">
        <f>IF(OR($A439="",$L439=""),"",IF(SUMPRODUCT(('Shared Calendar'!$K$2:$K$1000&gt;0)*('Shared Calendar'!$K$2:$K$1000&lt;=$B439)*('Shared Calendar'!$J$2:$J$1000&gt;$B439)*ISNUMBER(SEARCH($L439,'Shared Calendar'!$M$2:$M$1000))*('Shared Calendar'!$N$2:$N$1000="Leave"))&gt;0,"Leave",""))</f>
        <v/>
      </c>
      <c r="J439" s="244">
        <f>IF($A439="","",IFERROR(INDEX('Public Holidays'!$C$6:$C$38,MATCH($B439,'Public Holidays'!$A$6:$A$38,0))&amp;" ("&amp;INDEX('Public Holidays'!$L$6:$L$38,MATCH($B439,'Public Holidays'!$A$6:$A$38,0))&amp;")",""))</f>
        <v/>
      </c>
      <c r="K439" s="246">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44">
        <f>IF($A439="","",INDEX($B$7:$B$36,INT((ROW()-41)/14)+1)&amp;"")</f>
        <v/>
      </c>
    </row>
    <row r="440">
      <c r="A440" s="244">
        <f>IF(INDEX($A$7:$A$36,INT((ROW()-41)/14)+1)="","",INDEX($A$7:$A$36,INT((ROW()-41)/14)+1))</f>
        <v/>
      </c>
      <c r="B440" s="245">
        <f>IF($A440="","",$B$3+MOD(ROW()-41,14))</f>
        <v/>
      </c>
      <c r="C440" s="244">
        <f>IF($A440="","",TEXT($B440,"ddd"))</f>
        <v/>
      </c>
      <c r="D440" s="242">
        <f>IF($A440="","",SUMIFS('EH Timesheets'!$G$6:$G$1005,'EH Timesheets'!$A$6:$A$1005,$A440,'EH Timesheets'!$B$6:$B$1005,$B440))</f>
        <v/>
      </c>
      <c r="E440" s="242">
        <f>IF($A440="","",SUMIFS('EH Roster'!$G$6:$G$1005,'EH Roster'!$A$6:$A$1005,$A440,'EH Roster'!$B$6:$B$1005,$B440))</f>
        <v/>
      </c>
      <c r="F440" s="242">
        <f>IF($A440="","",$D440-$E440)</f>
        <v/>
      </c>
      <c r="G440" s="242">
        <f>IF($A440="","",IF($L440="",0,SUMPRODUCT(('Shared Calendar'!$K$2:$K$1000&gt;0)*('Shared Calendar'!$K$2:$K$1000&lt;=$B440)*('Shared Calendar'!$J$2:$J$1000&gt;$B440)*ISNUMBER(SEARCH($L440,'Shared Calendar'!$M$2:$M$1000))*('Shared Calendar'!$N$2:$N$1000="Event"),'Shared Calendar'!$L$2:$L$1000)))</f>
        <v/>
      </c>
      <c r="H440" s="246">
        <f>IF(OR($A440="",$L440=""),"",IF(SUMPRODUCT(MAX(('Shared Calendar'!$K$2:$K$1000&gt;0)*('Shared Calendar'!$K$2:$K$1000&lt;=$B440)*('Shared Calendar'!$J$2:$J$1000&gt;$B440)*ISNUMBER(SEARCH($L440,'Shared Calendar'!$M$2:$M$1000))*ROW('Shared Calendar'!$A$2:$A$1000)))=0,"",INDEX('Shared Calendar'!$A:$A,SUMPRODUCT(MAX(('Shared Calendar'!$K$2:$K$1000&gt;0)*('Shared Calendar'!$K$2:$K$1000&lt;=$B440)*('Shared Calendar'!$J$2:$J$1000&gt;$B440)*ISNUMBER(SEARCH($L440,'Shared Calendar'!$M$2:$M$1000))*ROW('Shared Calendar'!$A$2:$A$1000))))))</f>
        <v/>
      </c>
      <c r="I440" s="244">
        <f>IF(OR($A440="",$L440=""),"",IF(SUMPRODUCT(('Shared Calendar'!$K$2:$K$1000&gt;0)*('Shared Calendar'!$K$2:$K$1000&lt;=$B440)*('Shared Calendar'!$J$2:$J$1000&gt;$B440)*ISNUMBER(SEARCH($L440,'Shared Calendar'!$M$2:$M$1000))*('Shared Calendar'!$N$2:$N$1000="Leave"))&gt;0,"Leave",""))</f>
        <v/>
      </c>
      <c r="J440" s="244">
        <f>IF($A440="","",IFERROR(INDEX('Public Holidays'!$C$6:$C$38,MATCH($B440,'Public Holidays'!$A$6:$A$38,0))&amp;" ("&amp;INDEX('Public Holidays'!$L$6:$L$38,MATCH($B440,'Public Holidays'!$A$6:$A$38,0))&amp;")",""))</f>
        <v/>
      </c>
      <c r="K440" s="246">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44">
        <f>IF($A440="","",INDEX($B$7:$B$36,INT((ROW()-41)/14)+1)&amp;"")</f>
        <v/>
      </c>
    </row>
    <row r="441">
      <c r="A441" s="244">
        <f>IF(INDEX($A$7:$A$36,INT((ROW()-41)/14)+1)="","",INDEX($A$7:$A$36,INT((ROW()-41)/14)+1))</f>
        <v/>
      </c>
      <c r="B441" s="245">
        <f>IF($A441="","",$B$3+MOD(ROW()-41,14))</f>
        <v/>
      </c>
      <c r="C441" s="244">
        <f>IF($A441="","",TEXT($B441,"ddd"))</f>
        <v/>
      </c>
      <c r="D441" s="242">
        <f>IF($A441="","",SUMIFS('EH Timesheets'!$G$6:$G$1005,'EH Timesheets'!$A$6:$A$1005,$A441,'EH Timesheets'!$B$6:$B$1005,$B441))</f>
        <v/>
      </c>
      <c r="E441" s="242">
        <f>IF($A441="","",SUMIFS('EH Roster'!$G$6:$G$1005,'EH Roster'!$A$6:$A$1005,$A441,'EH Roster'!$B$6:$B$1005,$B441))</f>
        <v/>
      </c>
      <c r="F441" s="242">
        <f>IF($A441="","",$D441-$E441)</f>
        <v/>
      </c>
      <c r="G441" s="242">
        <f>IF($A441="","",IF($L441="",0,SUMPRODUCT(('Shared Calendar'!$K$2:$K$1000&gt;0)*('Shared Calendar'!$K$2:$K$1000&lt;=$B441)*('Shared Calendar'!$J$2:$J$1000&gt;$B441)*ISNUMBER(SEARCH($L441,'Shared Calendar'!$M$2:$M$1000))*('Shared Calendar'!$N$2:$N$1000="Event"),'Shared Calendar'!$L$2:$L$1000)))</f>
        <v/>
      </c>
      <c r="H441" s="246">
        <f>IF(OR($A441="",$L441=""),"",IF(SUMPRODUCT(MAX(('Shared Calendar'!$K$2:$K$1000&gt;0)*('Shared Calendar'!$K$2:$K$1000&lt;=$B441)*('Shared Calendar'!$J$2:$J$1000&gt;$B441)*ISNUMBER(SEARCH($L441,'Shared Calendar'!$M$2:$M$1000))*ROW('Shared Calendar'!$A$2:$A$1000)))=0,"",INDEX('Shared Calendar'!$A:$A,SUMPRODUCT(MAX(('Shared Calendar'!$K$2:$K$1000&gt;0)*('Shared Calendar'!$K$2:$K$1000&lt;=$B441)*('Shared Calendar'!$J$2:$J$1000&gt;$B441)*ISNUMBER(SEARCH($L441,'Shared Calendar'!$M$2:$M$1000))*ROW('Shared Calendar'!$A$2:$A$1000))))))</f>
        <v/>
      </c>
      <c r="I441" s="244">
        <f>IF(OR($A441="",$L441=""),"",IF(SUMPRODUCT(('Shared Calendar'!$K$2:$K$1000&gt;0)*('Shared Calendar'!$K$2:$K$1000&lt;=$B441)*('Shared Calendar'!$J$2:$J$1000&gt;$B441)*ISNUMBER(SEARCH($L441,'Shared Calendar'!$M$2:$M$1000))*('Shared Calendar'!$N$2:$N$1000="Leave"))&gt;0,"Leave",""))</f>
        <v/>
      </c>
      <c r="J441" s="244">
        <f>IF($A441="","",IFERROR(INDEX('Public Holidays'!$C$6:$C$38,MATCH($B441,'Public Holidays'!$A$6:$A$38,0))&amp;" ("&amp;INDEX('Public Holidays'!$L$6:$L$38,MATCH($B441,'Public Holidays'!$A$6:$A$38,0))&amp;")",""))</f>
        <v/>
      </c>
      <c r="K441" s="246">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44">
        <f>IF($A441="","",INDEX($B$7:$B$36,INT((ROW()-41)/14)+1)&amp;"")</f>
        <v/>
      </c>
    </row>
    <row r="442">
      <c r="A442" s="244">
        <f>IF(INDEX($A$7:$A$36,INT((ROW()-41)/14)+1)="","",INDEX($A$7:$A$36,INT((ROW()-41)/14)+1))</f>
        <v/>
      </c>
      <c r="B442" s="245">
        <f>IF($A442="","",$B$3+MOD(ROW()-41,14))</f>
        <v/>
      </c>
      <c r="C442" s="244">
        <f>IF($A442="","",TEXT($B442,"ddd"))</f>
        <v/>
      </c>
      <c r="D442" s="242">
        <f>IF($A442="","",SUMIFS('EH Timesheets'!$G$6:$G$1005,'EH Timesheets'!$A$6:$A$1005,$A442,'EH Timesheets'!$B$6:$B$1005,$B442))</f>
        <v/>
      </c>
      <c r="E442" s="242">
        <f>IF($A442="","",SUMIFS('EH Roster'!$G$6:$G$1005,'EH Roster'!$A$6:$A$1005,$A442,'EH Roster'!$B$6:$B$1005,$B442))</f>
        <v/>
      </c>
      <c r="F442" s="242">
        <f>IF($A442="","",$D442-$E442)</f>
        <v/>
      </c>
      <c r="G442" s="242">
        <f>IF($A442="","",IF($L442="",0,SUMPRODUCT(('Shared Calendar'!$K$2:$K$1000&gt;0)*('Shared Calendar'!$K$2:$K$1000&lt;=$B442)*('Shared Calendar'!$J$2:$J$1000&gt;$B442)*ISNUMBER(SEARCH($L442,'Shared Calendar'!$M$2:$M$1000))*('Shared Calendar'!$N$2:$N$1000="Event"),'Shared Calendar'!$L$2:$L$1000)))</f>
        <v/>
      </c>
      <c r="H442" s="246">
        <f>IF(OR($A442="",$L442=""),"",IF(SUMPRODUCT(MAX(('Shared Calendar'!$K$2:$K$1000&gt;0)*('Shared Calendar'!$K$2:$K$1000&lt;=$B442)*('Shared Calendar'!$J$2:$J$1000&gt;$B442)*ISNUMBER(SEARCH($L442,'Shared Calendar'!$M$2:$M$1000))*ROW('Shared Calendar'!$A$2:$A$1000)))=0,"",INDEX('Shared Calendar'!$A:$A,SUMPRODUCT(MAX(('Shared Calendar'!$K$2:$K$1000&gt;0)*('Shared Calendar'!$K$2:$K$1000&lt;=$B442)*('Shared Calendar'!$J$2:$J$1000&gt;$B442)*ISNUMBER(SEARCH($L442,'Shared Calendar'!$M$2:$M$1000))*ROW('Shared Calendar'!$A$2:$A$1000))))))</f>
        <v/>
      </c>
      <c r="I442" s="244">
        <f>IF(OR($A442="",$L442=""),"",IF(SUMPRODUCT(('Shared Calendar'!$K$2:$K$1000&gt;0)*('Shared Calendar'!$K$2:$K$1000&lt;=$B442)*('Shared Calendar'!$J$2:$J$1000&gt;$B442)*ISNUMBER(SEARCH($L442,'Shared Calendar'!$M$2:$M$1000))*('Shared Calendar'!$N$2:$N$1000="Leave"))&gt;0,"Leave",""))</f>
        <v/>
      </c>
      <c r="J442" s="244">
        <f>IF($A442="","",IFERROR(INDEX('Public Holidays'!$C$6:$C$38,MATCH($B442,'Public Holidays'!$A$6:$A$38,0))&amp;" ("&amp;INDEX('Public Holidays'!$L$6:$L$38,MATCH($B442,'Public Holidays'!$A$6:$A$38,0))&amp;")",""))</f>
        <v/>
      </c>
      <c r="K442" s="246">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44">
        <f>IF($A442="","",INDEX($B$7:$B$36,INT((ROW()-41)/14)+1)&amp;"")</f>
        <v/>
      </c>
    </row>
    <row r="443">
      <c r="A443" s="244">
        <f>IF(INDEX($A$7:$A$36,INT((ROW()-41)/14)+1)="","",INDEX($A$7:$A$36,INT((ROW()-41)/14)+1))</f>
        <v/>
      </c>
      <c r="B443" s="245">
        <f>IF($A443="","",$B$3+MOD(ROW()-41,14))</f>
        <v/>
      </c>
      <c r="C443" s="244">
        <f>IF($A443="","",TEXT($B443,"ddd"))</f>
        <v/>
      </c>
      <c r="D443" s="242">
        <f>IF($A443="","",SUMIFS('EH Timesheets'!$G$6:$G$1005,'EH Timesheets'!$A$6:$A$1005,$A443,'EH Timesheets'!$B$6:$B$1005,$B443))</f>
        <v/>
      </c>
      <c r="E443" s="242">
        <f>IF($A443="","",SUMIFS('EH Roster'!$G$6:$G$1005,'EH Roster'!$A$6:$A$1005,$A443,'EH Roster'!$B$6:$B$1005,$B443))</f>
        <v/>
      </c>
      <c r="F443" s="242">
        <f>IF($A443="","",$D443-$E443)</f>
        <v/>
      </c>
      <c r="G443" s="242">
        <f>IF($A443="","",IF($L443="",0,SUMPRODUCT(('Shared Calendar'!$K$2:$K$1000&gt;0)*('Shared Calendar'!$K$2:$K$1000&lt;=$B443)*('Shared Calendar'!$J$2:$J$1000&gt;$B443)*ISNUMBER(SEARCH($L443,'Shared Calendar'!$M$2:$M$1000))*('Shared Calendar'!$N$2:$N$1000="Event"),'Shared Calendar'!$L$2:$L$1000)))</f>
        <v/>
      </c>
      <c r="H443" s="246">
        <f>IF(OR($A443="",$L443=""),"",IF(SUMPRODUCT(MAX(('Shared Calendar'!$K$2:$K$1000&gt;0)*('Shared Calendar'!$K$2:$K$1000&lt;=$B443)*('Shared Calendar'!$J$2:$J$1000&gt;$B443)*ISNUMBER(SEARCH($L443,'Shared Calendar'!$M$2:$M$1000))*ROW('Shared Calendar'!$A$2:$A$1000)))=0,"",INDEX('Shared Calendar'!$A:$A,SUMPRODUCT(MAX(('Shared Calendar'!$K$2:$K$1000&gt;0)*('Shared Calendar'!$K$2:$K$1000&lt;=$B443)*('Shared Calendar'!$J$2:$J$1000&gt;$B443)*ISNUMBER(SEARCH($L443,'Shared Calendar'!$M$2:$M$1000))*ROW('Shared Calendar'!$A$2:$A$1000))))))</f>
        <v/>
      </c>
      <c r="I443" s="244">
        <f>IF(OR($A443="",$L443=""),"",IF(SUMPRODUCT(('Shared Calendar'!$K$2:$K$1000&gt;0)*('Shared Calendar'!$K$2:$K$1000&lt;=$B443)*('Shared Calendar'!$J$2:$J$1000&gt;$B443)*ISNUMBER(SEARCH($L443,'Shared Calendar'!$M$2:$M$1000))*('Shared Calendar'!$N$2:$N$1000="Leave"))&gt;0,"Leave",""))</f>
        <v/>
      </c>
      <c r="J443" s="244">
        <f>IF($A443="","",IFERROR(INDEX('Public Holidays'!$C$6:$C$38,MATCH($B443,'Public Holidays'!$A$6:$A$38,0))&amp;" ("&amp;INDEX('Public Holidays'!$L$6:$L$38,MATCH($B443,'Public Holidays'!$A$6:$A$38,0))&amp;")",""))</f>
        <v/>
      </c>
      <c r="K443" s="246">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44">
        <f>IF($A443="","",INDEX($B$7:$B$36,INT((ROW()-41)/14)+1)&amp;"")</f>
        <v/>
      </c>
    </row>
    <row r="444">
      <c r="A444" s="244">
        <f>IF(INDEX($A$7:$A$36,INT((ROW()-41)/14)+1)="","",INDEX($A$7:$A$36,INT((ROW()-41)/14)+1))</f>
        <v/>
      </c>
      <c r="B444" s="245">
        <f>IF($A444="","",$B$3+MOD(ROW()-41,14))</f>
        <v/>
      </c>
      <c r="C444" s="244">
        <f>IF($A444="","",TEXT($B444,"ddd"))</f>
        <v/>
      </c>
      <c r="D444" s="242">
        <f>IF($A444="","",SUMIFS('EH Timesheets'!$G$6:$G$1005,'EH Timesheets'!$A$6:$A$1005,$A444,'EH Timesheets'!$B$6:$B$1005,$B444))</f>
        <v/>
      </c>
      <c r="E444" s="242">
        <f>IF($A444="","",SUMIFS('EH Roster'!$G$6:$G$1005,'EH Roster'!$A$6:$A$1005,$A444,'EH Roster'!$B$6:$B$1005,$B444))</f>
        <v/>
      </c>
      <c r="F444" s="242">
        <f>IF($A444="","",$D444-$E444)</f>
        <v/>
      </c>
      <c r="G444" s="242">
        <f>IF($A444="","",IF($L444="",0,SUMPRODUCT(('Shared Calendar'!$K$2:$K$1000&gt;0)*('Shared Calendar'!$K$2:$K$1000&lt;=$B444)*('Shared Calendar'!$J$2:$J$1000&gt;$B444)*ISNUMBER(SEARCH($L444,'Shared Calendar'!$M$2:$M$1000))*('Shared Calendar'!$N$2:$N$1000="Event"),'Shared Calendar'!$L$2:$L$1000)))</f>
        <v/>
      </c>
      <c r="H444" s="246">
        <f>IF(OR($A444="",$L444=""),"",IF(SUMPRODUCT(MAX(('Shared Calendar'!$K$2:$K$1000&gt;0)*('Shared Calendar'!$K$2:$K$1000&lt;=$B444)*('Shared Calendar'!$J$2:$J$1000&gt;$B444)*ISNUMBER(SEARCH($L444,'Shared Calendar'!$M$2:$M$1000))*ROW('Shared Calendar'!$A$2:$A$1000)))=0,"",INDEX('Shared Calendar'!$A:$A,SUMPRODUCT(MAX(('Shared Calendar'!$K$2:$K$1000&gt;0)*('Shared Calendar'!$K$2:$K$1000&lt;=$B444)*('Shared Calendar'!$J$2:$J$1000&gt;$B444)*ISNUMBER(SEARCH($L444,'Shared Calendar'!$M$2:$M$1000))*ROW('Shared Calendar'!$A$2:$A$1000))))))</f>
        <v/>
      </c>
      <c r="I444" s="244">
        <f>IF(OR($A444="",$L444=""),"",IF(SUMPRODUCT(('Shared Calendar'!$K$2:$K$1000&gt;0)*('Shared Calendar'!$K$2:$K$1000&lt;=$B444)*('Shared Calendar'!$J$2:$J$1000&gt;$B444)*ISNUMBER(SEARCH($L444,'Shared Calendar'!$M$2:$M$1000))*('Shared Calendar'!$N$2:$N$1000="Leave"))&gt;0,"Leave",""))</f>
        <v/>
      </c>
      <c r="J444" s="244">
        <f>IF($A444="","",IFERROR(INDEX('Public Holidays'!$C$6:$C$38,MATCH($B444,'Public Holidays'!$A$6:$A$38,0))&amp;" ("&amp;INDEX('Public Holidays'!$L$6:$L$38,MATCH($B444,'Public Holidays'!$A$6:$A$38,0))&amp;")",""))</f>
        <v/>
      </c>
      <c r="K444" s="246">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44">
        <f>IF($A444="","",INDEX($B$7:$B$36,INT((ROW()-41)/14)+1)&amp;"")</f>
        <v/>
      </c>
    </row>
    <row r="445">
      <c r="A445" s="244">
        <f>IF(INDEX($A$7:$A$36,INT((ROW()-41)/14)+1)="","",INDEX($A$7:$A$36,INT((ROW()-41)/14)+1))</f>
        <v/>
      </c>
      <c r="B445" s="245">
        <f>IF($A445="","",$B$3+MOD(ROW()-41,14))</f>
        <v/>
      </c>
      <c r="C445" s="244">
        <f>IF($A445="","",TEXT($B445,"ddd"))</f>
        <v/>
      </c>
      <c r="D445" s="242">
        <f>IF($A445="","",SUMIFS('EH Timesheets'!$G$6:$G$1005,'EH Timesheets'!$A$6:$A$1005,$A445,'EH Timesheets'!$B$6:$B$1005,$B445))</f>
        <v/>
      </c>
      <c r="E445" s="242">
        <f>IF($A445="","",SUMIFS('EH Roster'!$G$6:$G$1005,'EH Roster'!$A$6:$A$1005,$A445,'EH Roster'!$B$6:$B$1005,$B445))</f>
        <v/>
      </c>
      <c r="F445" s="242">
        <f>IF($A445="","",$D445-$E445)</f>
        <v/>
      </c>
      <c r="G445" s="242">
        <f>IF($A445="","",IF($L445="",0,SUMPRODUCT(('Shared Calendar'!$K$2:$K$1000&gt;0)*('Shared Calendar'!$K$2:$K$1000&lt;=$B445)*('Shared Calendar'!$J$2:$J$1000&gt;$B445)*ISNUMBER(SEARCH($L445,'Shared Calendar'!$M$2:$M$1000))*('Shared Calendar'!$N$2:$N$1000="Event"),'Shared Calendar'!$L$2:$L$1000)))</f>
        <v/>
      </c>
      <c r="H445" s="246">
        <f>IF(OR($A445="",$L445=""),"",IF(SUMPRODUCT(MAX(('Shared Calendar'!$K$2:$K$1000&gt;0)*('Shared Calendar'!$K$2:$K$1000&lt;=$B445)*('Shared Calendar'!$J$2:$J$1000&gt;$B445)*ISNUMBER(SEARCH($L445,'Shared Calendar'!$M$2:$M$1000))*ROW('Shared Calendar'!$A$2:$A$1000)))=0,"",INDEX('Shared Calendar'!$A:$A,SUMPRODUCT(MAX(('Shared Calendar'!$K$2:$K$1000&gt;0)*('Shared Calendar'!$K$2:$K$1000&lt;=$B445)*('Shared Calendar'!$J$2:$J$1000&gt;$B445)*ISNUMBER(SEARCH($L445,'Shared Calendar'!$M$2:$M$1000))*ROW('Shared Calendar'!$A$2:$A$1000))))))</f>
        <v/>
      </c>
      <c r="I445" s="244">
        <f>IF(OR($A445="",$L445=""),"",IF(SUMPRODUCT(('Shared Calendar'!$K$2:$K$1000&gt;0)*('Shared Calendar'!$K$2:$K$1000&lt;=$B445)*('Shared Calendar'!$J$2:$J$1000&gt;$B445)*ISNUMBER(SEARCH($L445,'Shared Calendar'!$M$2:$M$1000))*('Shared Calendar'!$N$2:$N$1000="Leave"))&gt;0,"Leave",""))</f>
        <v/>
      </c>
      <c r="J445" s="244">
        <f>IF($A445="","",IFERROR(INDEX('Public Holidays'!$C$6:$C$38,MATCH($B445,'Public Holidays'!$A$6:$A$38,0))&amp;" ("&amp;INDEX('Public Holidays'!$L$6:$L$38,MATCH($B445,'Public Holidays'!$A$6:$A$38,0))&amp;")",""))</f>
        <v/>
      </c>
      <c r="K445" s="246">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44">
        <f>IF($A445="","",INDEX($B$7:$B$36,INT((ROW()-41)/14)+1)&amp;"")</f>
        <v/>
      </c>
    </row>
    <row r="446">
      <c r="A446" s="244">
        <f>IF(INDEX($A$7:$A$36,INT((ROW()-41)/14)+1)="","",INDEX($A$7:$A$36,INT((ROW()-41)/14)+1))</f>
        <v/>
      </c>
      <c r="B446" s="245">
        <f>IF($A446="","",$B$3+MOD(ROW()-41,14))</f>
        <v/>
      </c>
      <c r="C446" s="244">
        <f>IF($A446="","",TEXT($B446,"ddd"))</f>
        <v/>
      </c>
      <c r="D446" s="242">
        <f>IF($A446="","",SUMIFS('EH Timesheets'!$G$6:$G$1005,'EH Timesheets'!$A$6:$A$1005,$A446,'EH Timesheets'!$B$6:$B$1005,$B446))</f>
        <v/>
      </c>
      <c r="E446" s="242">
        <f>IF($A446="","",SUMIFS('EH Roster'!$G$6:$G$1005,'EH Roster'!$A$6:$A$1005,$A446,'EH Roster'!$B$6:$B$1005,$B446))</f>
        <v/>
      </c>
      <c r="F446" s="242">
        <f>IF($A446="","",$D446-$E446)</f>
        <v/>
      </c>
      <c r="G446" s="242">
        <f>IF($A446="","",IF($L446="",0,SUMPRODUCT(('Shared Calendar'!$K$2:$K$1000&gt;0)*('Shared Calendar'!$K$2:$K$1000&lt;=$B446)*('Shared Calendar'!$J$2:$J$1000&gt;$B446)*ISNUMBER(SEARCH($L446,'Shared Calendar'!$M$2:$M$1000))*('Shared Calendar'!$N$2:$N$1000="Event"),'Shared Calendar'!$L$2:$L$1000)))</f>
        <v/>
      </c>
      <c r="H446" s="246">
        <f>IF(OR($A446="",$L446=""),"",IF(SUMPRODUCT(MAX(('Shared Calendar'!$K$2:$K$1000&gt;0)*('Shared Calendar'!$K$2:$K$1000&lt;=$B446)*('Shared Calendar'!$J$2:$J$1000&gt;$B446)*ISNUMBER(SEARCH($L446,'Shared Calendar'!$M$2:$M$1000))*ROW('Shared Calendar'!$A$2:$A$1000)))=0,"",INDEX('Shared Calendar'!$A:$A,SUMPRODUCT(MAX(('Shared Calendar'!$K$2:$K$1000&gt;0)*('Shared Calendar'!$K$2:$K$1000&lt;=$B446)*('Shared Calendar'!$J$2:$J$1000&gt;$B446)*ISNUMBER(SEARCH($L446,'Shared Calendar'!$M$2:$M$1000))*ROW('Shared Calendar'!$A$2:$A$1000))))))</f>
        <v/>
      </c>
      <c r="I446" s="244">
        <f>IF(OR($A446="",$L446=""),"",IF(SUMPRODUCT(('Shared Calendar'!$K$2:$K$1000&gt;0)*('Shared Calendar'!$K$2:$K$1000&lt;=$B446)*('Shared Calendar'!$J$2:$J$1000&gt;$B446)*ISNUMBER(SEARCH($L446,'Shared Calendar'!$M$2:$M$1000))*('Shared Calendar'!$N$2:$N$1000="Leave"))&gt;0,"Leave",""))</f>
        <v/>
      </c>
      <c r="J446" s="244">
        <f>IF($A446="","",IFERROR(INDEX('Public Holidays'!$C$6:$C$38,MATCH($B446,'Public Holidays'!$A$6:$A$38,0))&amp;" ("&amp;INDEX('Public Holidays'!$L$6:$L$38,MATCH($B446,'Public Holidays'!$A$6:$A$38,0))&amp;")",""))</f>
        <v/>
      </c>
      <c r="K446" s="246">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44">
        <f>IF($A446="","",INDEX($B$7:$B$36,INT((ROW()-41)/14)+1)&amp;"")</f>
        <v/>
      </c>
    </row>
    <row r="447">
      <c r="A447" s="244">
        <f>IF(INDEX($A$7:$A$36,INT((ROW()-41)/14)+1)="","",INDEX($A$7:$A$36,INT((ROW()-41)/14)+1))</f>
        <v/>
      </c>
      <c r="B447" s="245">
        <f>IF($A447="","",$B$3+MOD(ROW()-41,14))</f>
        <v/>
      </c>
      <c r="C447" s="244">
        <f>IF($A447="","",TEXT($B447,"ddd"))</f>
        <v/>
      </c>
      <c r="D447" s="242">
        <f>IF($A447="","",SUMIFS('EH Timesheets'!$G$6:$G$1005,'EH Timesheets'!$A$6:$A$1005,$A447,'EH Timesheets'!$B$6:$B$1005,$B447))</f>
        <v/>
      </c>
      <c r="E447" s="242">
        <f>IF($A447="","",SUMIFS('EH Roster'!$G$6:$G$1005,'EH Roster'!$A$6:$A$1005,$A447,'EH Roster'!$B$6:$B$1005,$B447))</f>
        <v/>
      </c>
      <c r="F447" s="242">
        <f>IF($A447="","",$D447-$E447)</f>
        <v/>
      </c>
      <c r="G447" s="242">
        <f>IF($A447="","",IF($L447="",0,SUMPRODUCT(('Shared Calendar'!$K$2:$K$1000&gt;0)*('Shared Calendar'!$K$2:$K$1000&lt;=$B447)*('Shared Calendar'!$J$2:$J$1000&gt;$B447)*ISNUMBER(SEARCH($L447,'Shared Calendar'!$M$2:$M$1000))*('Shared Calendar'!$N$2:$N$1000="Event"),'Shared Calendar'!$L$2:$L$1000)))</f>
        <v/>
      </c>
      <c r="H447" s="246">
        <f>IF(OR($A447="",$L447=""),"",IF(SUMPRODUCT(MAX(('Shared Calendar'!$K$2:$K$1000&gt;0)*('Shared Calendar'!$K$2:$K$1000&lt;=$B447)*('Shared Calendar'!$J$2:$J$1000&gt;$B447)*ISNUMBER(SEARCH($L447,'Shared Calendar'!$M$2:$M$1000))*ROW('Shared Calendar'!$A$2:$A$1000)))=0,"",INDEX('Shared Calendar'!$A:$A,SUMPRODUCT(MAX(('Shared Calendar'!$K$2:$K$1000&gt;0)*('Shared Calendar'!$K$2:$K$1000&lt;=$B447)*('Shared Calendar'!$J$2:$J$1000&gt;$B447)*ISNUMBER(SEARCH($L447,'Shared Calendar'!$M$2:$M$1000))*ROW('Shared Calendar'!$A$2:$A$1000))))))</f>
        <v/>
      </c>
      <c r="I447" s="244">
        <f>IF(OR($A447="",$L447=""),"",IF(SUMPRODUCT(('Shared Calendar'!$K$2:$K$1000&gt;0)*('Shared Calendar'!$K$2:$K$1000&lt;=$B447)*('Shared Calendar'!$J$2:$J$1000&gt;$B447)*ISNUMBER(SEARCH($L447,'Shared Calendar'!$M$2:$M$1000))*('Shared Calendar'!$N$2:$N$1000="Leave"))&gt;0,"Leave",""))</f>
        <v/>
      </c>
      <c r="J447" s="244">
        <f>IF($A447="","",IFERROR(INDEX('Public Holidays'!$C$6:$C$38,MATCH($B447,'Public Holidays'!$A$6:$A$38,0))&amp;" ("&amp;INDEX('Public Holidays'!$L$6:$L$38,MATCH($B447,'Public Holidays'!$A$6:$A$38,0))&amp;")",""))</f>
        <v/>
      </c>
      <c r="K447" s="246">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44">
        <f>IF($A447="","",INDEX($B$7:$B$36,INT((ROW()-41)/14)+1)&amp;"")</f>
        <v/>
      </c>
    </row>
    <row r="448">
      <c r="A448" s="244">
        <f>IF(INDEX($A$7:$A$36,INT((ROW()-41)/14)+1)="","",INDEX($A$7:$A$36,INT((ROW()-41)/14)+1))</f>
        <v/>
      </c>
      <c r="B448" s="245">
        <f>IF($A448="","",$B$3+MOD(ROW()-41,14))</f>
        <v/>
      </c>
      <c r="C448" s="244">
        <f>IF($A448="","",TEXT($B448,"ddd"))</f>
        <v/>
      </c>
      <c r="D448" s="242">
        <f>IF($A448="","",SUMIFS('EH Timesheets'!$G$6:$G$1005,'EH Timesheets'!$A$6:$A$1005,$A448,'EH Timesheets'!$B$6:$B$1005,$B448))</f>
        <v/>
      </c>
      <c r="E448" s="242">
        <f>IF($A448="","",SUMIFS('EH Roster'!$G$6:$G$1005,'EH Roster'!$A$6:$A$1005,$A448,'EH Roster'!$B$6:$B$1005,$B448))</f>
        <v/>
      </c>
      <c r="F448" s="242">
        <f>IF($A448="","",$D448-$E448)</f>
        <v/>
      </c>
      <c r="G448" s="242">
        <f>IF($A448="","",IF($L448="",0,SUMPRODUCT(('Shared Calendar'!$K$2:$K$1000&gt;0)*('Shared Calendar'!$K$2:$K$1000&lt;=$B448)*('Shared Calendar'!$J$2:$J$1000&gt;$B448)*ISNUMBER(SEARCH($L448,'Shared Calendar'!$M$2:$M$1000))*('Shared Calendar'!$N$2:$N$1000="Event"),'Shared Calendar'!$L$2:$L$1000)))</f>
        <v/>
      </c>
      <c r="H448" s="246">
        <f>IF(OR($A448="",$L448=""),"",IF(SUMPRODUCT(MAX(('Shared Calendar'!$K$2:$K$1000&gt;0)*('Shared Calendar'!$K$2:$K$1000&lt;=$B448)*('Shared Calendar'!$J$2:$J$1000&gt;$B448)*ISNUMBER(SEARCH($L448,'Shared Calendar'!$M$2:$M$1000))*ROW('Shared Calendar'!$A$2:$A$1000)))=0,"",INDEX('Shared Calendar'!$A:$A,SUMPRODUCT(MAX(('Shared Calendar'!$K$2:$K$1000&gt;0)*('Shared Calendar'!$K$2:$K$1000&lt;=$B448)*('Shared Calendar'!$J$2:$J$1000&gt;$B448)*ISNUMBER(SEARCH($L448,'Shared Calendar'!$M$2:$M$1000))*ROW('Shared Calendar'!$A$2:$A$1000))))))</f>
        <v/>
      </c>
      <c r="I448" s="244">
        <f>IF(OR($A448="",$L448=""),"",IF(SUMPRODUCT(('Shared Calendar'!$K$2:$K$1000&gt;0)*('Shared Calendar'!$K$2:$K$1000&lt;=$B448)*('Shared Calendar'!$J$2:$J$1000&gt;$B448)*ISNUMBER(SEARCH($L448,'Shared Calendar'!$M$2:$M$1000))*('Shared Calendar'!$N$2:$N$1000="Leave"))&gt;0,"Leave",""))</f>
        <v/>
      </c>
      <c r="J448" s="244">
        <f>IF($A448="","",IFERROR(INDEX('Public Holidays'!$C$6:$C$38,MATCH($B448,'Public Holidays'!$A$6:$A$38,0))&amp;" ("&amp;INDEX('Public Holidays'!$L$6:$L$38,MATCH($B448,'Public Holidays'!$A$6:$A$38,0))&amp;")",""))</f>
        <v/>
      </c>
      <c r="K448" s="246">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44">
        <f>IF($A448="","",INDEX($B$7:$B$36,INT((ROW()-41)/14)+1)&amp;"")</f>
        <v/>
      </c>
    </row>
    <row r="449">
      <c r="A449" s="244">
        <f>IF(INDEX($A$7:$A$36,INT((ROW()-41)/14)+1)="","",INDEX($A$7:$A$36,INT((ROW()-41)/14)+1))</f>
        <v/>
      </c>
      <c r="B449" s="245">
        <f>IF($A449="","",$B$3+MOD(ROW()-41,14))</f>
        <v/>
      </c>
      <c r="C449" s="244">
        <f>IF($A449="","",TEXT($B449,"ddd"))</f>
        <v/>
      </c>
      <c r="D449" s="242">
        <f>IF($A449="","",SUMIFS('EH Timesheets'!$G$6:$G$1005,'EH Timesheets'!$A$6:$A$1005,$A449,'EH Timesheets'!$B$6:$B$1005,$B449))</f>
        <v/>
      </c>
      <c r="E449" s="242">
        <f>IF($A449="","",SUMIFS('EH Roster'!$G$6:$G$1005,'EH Roster'!$A$6:$A$1005,$A449,'EH Roster'!$B$6:$B$1005,$B449))</f>
        <v/>
      </c>
      <c r="F449" s="242">
        <f>IF($A449="","",$D449-$E449)</f>
        <v/>
      </c>
      <c r="G449" s="242">
        <f>IF($A449="","",IF($L449="",0,SUMPRODUCT(('Shared Calendar'!$K$2:$K$1000&gt;0)*('Shared Calendar'!$K$2:$K$1000&lt;=$B449)*('Shared Calendar'!$J$2:$J$1000&gt;$B449)*ISNUMBER(SEARCH($L449,'Shared Calendar'!$M$2:$M$1000))*('Shared Calendar'!$N$2:$N$1000="Event"),'Shared Calendar'!$L$2:$L$1000)))</f>
        <v/>
      </c>
      <c r="H449" s="246">
        <f>IF(OR($A449="",$L449=""),"",IF(SUMPRODUCT(MAX(('Shared Calendar'!$K$2:$K$1000&gt;0)*('Shared Calendar'!$K$2:$K$1000&lt;=$B449)*('Shared Calendar'!$J$2:$J$1000&gt;$B449)*ISNUMBER(SEARCH($L449,'Shared Calendar'!$M$2:$M$1000))*ROW('Shared Calendar'!$A$2:$A$1000)))=0,"",INDEX('Shared Calendar'!$A:$A,SUMPRODUCT(MAX(('Shared Calendar'!$K$2:$K$1000&gt;0)*('Shared Calendar'!$K$2:$K$1000&lt;=$B449)*('Shared Calendar'!$J$2:$J$1000&gt;$B449)*ISNUMBER(SEARCH($L449,'Shared Calendar'!$M$2:$M$1000))*ROW('Shared Calendar'!$A$2:$A$1000))))))</f>
        <v/>
      </c>
      <c r="I449" s="244">
        <f>IF(OR($A449="",$L449=""),"",IF(SUMPRODUCT(('Shared Calendar'!$K$2:$K$1000&gt;0)*('Shared Calendar'!$K$2:$K$1000&lt;=$B449)*('Shared Calendar'!$J$2:$J$1000&gt;$B449)*ISNUMBER(SEARCH($L449,'Shared Calendar'!$M$2:$M$1000))*('Shared Calendar'!$N$2:$N$1000="Leave"))&gt;0,"Leave",""))</f>
        <v/>
      </c>
      <c r="J449" s="244">
        <f>IF($A449="","",IFERROR(INDEX('Public Holidays'!$C$6:$C$38,MATCH($B449,'Public Holidays'!$A$6:$A$38,0))&amp;" ("&amp;INDEX('Public Holidays'!$L$6:$L$38,MATCH($B449,'Public Holidays'!$A$6:$A$38,0))&amp;")",""))</f>
        <v/>
      </c>
      <c r="K449" s="246">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44">
        <f>IF($A449="","",INDEX($B$7:$B$36,INT((ROW()-41)/14)+1)&amp;"")</f>
        <v/>
      </c>
    </row>
    <row r="450">
      <c r="A450" s="244">
        <f>IF(INDEX($A$7:$A$36,INT((ROW()-41)/14)+1)="","",INDEX($A$7:$A$36,INT((ROW()-41)/14)+1))</f>
        <v/>
      </c>
      <c r="B450" s="245">
        <f>IF($A450="","",$B$3+MOD(ROW()-41,14))</f>
        <v/>
      </c>
      <c r="C450" s="244">
        <f>IF($A450="","",TEXT($B450,"ddd"))</f>
        <v/>
      </c>
      <c r="D450" s="242">
        <f>IF($A450="","",SUMIFS('EH Timesheets'!$G$6:$G$1005,'EH Timesheets'!$A$6:$A$1005,$A450,'EH Timesheets'!$B$6:$B$1005,$B450))</f>
        <v/>
      </c>
      <c r="E450" s="242">
        <f>IF($A450="","",SUMIFS('EH Roster'!$G$6:$G$1005,'EH Roster'!$A$6:$A$1005,$A450,'EH Roster'!$B$6:$B$1005,$B450))</f>
        <v/>
      </c>
      <c r="F450" s="242">
        <f>IF($A450="","",$D450-$E450)</f>
        <v/>
      </c>
      <c r="G450" s="242">
        <f>IF($A450="","",IF($L450="",0,SUMPRODUCT(('Shared Calendar'!$K$2:$K$1000&gt;0)*('Shared Calendar'!$K$2:$K$1000&lt;=$B450)*('Shared Calendar'!$J$2:$J$1000&gt;$B450)*ISNUMBER(SEARCH($L450,'Shared Calendar'!$M$2:$M$1000))*('Shared Calendar'!$N$2:$N$1000="Event"),'Shared Calendar'!$L$2:$L$1000)))</f>
        <v/>
      </c>
      <c r="H450" s="246">
        <f>IF(OR($A450="",$L450=""),"",IF(SUMPRODUCT(MAX(('Shared Calendar'!$K$2:$K$1000&gt;0)*('Shared Calendar'!$K$2:$K$1000&lt;=$B450)*('Shared Calendar'!$J$2:$J$1000&gt;$B450)*ISNUMBER(SEARCH($L450,'Shared Calendar'!$M$2:$M$1000))*ROW('Shared Calendar'!$A$2:$A$1000)))=0,"",INDEX('Shared Calendar'!$A:$A,SUMPRODUCT(MAX(('Shared Calendar'!$K$2:$K$1000&gt;0)*('Shared Calendar'!$K$2:$K$1000&lt;=$B450)*('Shared Calendar'!$J$2:$J$1000&gt;$B450)*ISNUMBER(SEARCH($L450,'Shared Calendar'!$M$2:$M$1000))*ROW('Shared Calendar'!$A$2:$A$1000))))))</f>
        <v/>
      </c>
      <c r="I450" s="244">
        <f>IF(OR($A450="",$L450=""),"",IF(SUMPRODUCT(('Shared Calendar'!$K$2:$K$1000&gt;0)*('Shared Calendar'!$K$2:$K$1000&lt;=$B450)*('Shared Calendar'!$J$2:$J$1000&gt;$B450)*ISNUMBER(SEARCH($L450,'Shared Calendar'!$M$2:$M$1000))*('Shared Calendar'!$N$2:$N$1000="Leave"))&gt;0,"Leave",""))</f>
        <v/>
      </c>
      <c r="J450" s="244">
        <f>IF($A450="","",IFERROR(INDEX('Public Holidays'!$C$6:$C$38,MATCH($B450,'Public Holidays'!$A$6:$A$38,0))&amp;" ("&amp;INDEX('Public Holidays'!$L$6:$L$38,MATCH($B450,'Public Holidays'!$A$6:$A$38,0))&amp;")",""))</f>
        <v/>
      </c>
      <c r="K450" s="246">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44">
        <f>IF($A450="","",INDEX($B$7:$B$36,INT((ROW()-41)/14)+1)&amp;"")</f>
        <v/>
      </c>
    </row>
    <row r="451">
      <c r="A451" s="244">
        <f>IF(INDEX($A$7:$A$36,INT((ROW()-41)/14)+1)="","",INDEX($A$7:$A$36,INT((ROW()-41)/14)+1))</f>
        <v/>
      </c>
      <c r="B451" s="245">
        <f>IF($A451="","",$B$3+MOD(ROW()-41,14))</f>
        <v/>
      </c>
      <c r="C451" s="244">
        <f>IF($A451="","",TEXT($B451,"ddd"))</f>
        <v/>
      </c>
      <c r="D451" s="242">
        <f>IF($A451="","",SUMIFS('EH Timesheets'!$G$6:$G$1005,'EH Timesheets'!$A$6:$A$1005,$A451,'EH Timesheets'!$B$6:$B$1005,$B451))</f>
        <v/>
      </c>
      <c r="E451" s="242">
        <f>IF($A451="","",SUMIFS('EH Roster'!$G$6:$G$1005,'EH Roster'!$A$6:$A$1005,$A451,'EH Roster'!$B$6:$B$1005,$B451))</f>
        <v/>
      </c>
      <c r="F451" s="242">
        <f>IF($A451="","",$D451-$E451)</f>
        <v/>
      </c>
      <c r="G451" s="242">
        <f>IF($A451="","",IF($L451="",0,SUMPRODUCT(('Shared Calendar'!$K$2:$K$1000&gt;0)*('Shared Calendar'!$K$2:$K$1000&lt;=$B451)*('Shared Calendar'!$J$2:$J$1000&gt;$B451)*ISNUMBER(SEARCH($L451,'Shared Calendar'!$M$2:$M$1000))*('Shared Calendar'!$N$2:$N$1000="Event"),'Shared Calendar'!$L$2:$L$1000)))</f>
        <v/>
      </c>
      <c r="H451" s="246">
        <f>IF(OR($A451="",$L451=""),"",IF(SUMPRODUCT(MAX(('Shared Calendar'!$K$2:$K$1000&gt;0)*('Shared Calendar'!$K$2:$K$1000&lt;=$B451)*('Shared Calendar'!$J$2:$J$1000&gt;$B451)*ISNUMBER(SEARCH($L451,'Shared Calendar'!$M$2:$M$1000))*ROW('Shared Calendar'!$A$2:$A$1000)))=0,"",INDEX('Shared Calendar'!$A:$A,SUMPRODUCT(MAX(('Shared Calendar'!$K$2:$K$1000&gt;0)*('Shared Calendar'!$K$2:$K$1000&lt;=$B451)*('Shared Calendar'!$J$2:$J$1000&gt;$B451)*ISNUMBER(SEARCH($L451,'Shared Calendar'!$M$2:$M$1000))*ROW('Shared Calendar'!$A$2:$A$1000))))))</f>
        <v/>
      </c>
      <c r="I451" s="244">
        <f>IF(OR($A451="",$L451=""),"",IF(SUMPRODUCT(('Shared Calendar'!$K$2:$K$1000&gt;0)*('Shared Calendar'!$K$2:$K$1000&lt;=$B451)*('Shared Calendar'!$J$2:$J$1000&gt;$B451)*ISNUMBER(SEARCH($L451,'Shared Calendar'!$M$2:$M$1000))*('Shared Calendar'!$N$2:$N$1000="Leave"))&gt;0,"Leave",""))</f>
        <v/>
      </c>
      <c r="J451" s="244">
        <f>IF($A451="","",IFERROR(INDEX('Public Holidays'!$C$6:$C$38,MATCH($B451,'Public Holidays'!$A$6:$A$38,0))&amp;" ("&amp;INDEX('Public Holidays'!$L$6:$L$38,MATCH($B451,'Public Holidays'!$A$6:$A$38,0))&amp;")",""))</f>
        <v/>
      </c>
      <c r="K451" s="246">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44">
        <f>IF($A451="","",INDEX($B$7:$B$36,INT((ROW()-41)/14)+1)&amp;"")</f>
        <v/>
      </c>
    </row>
    <row r="452">
      <c r="A452" s="244">
        <f>IF(INDEX($A$7:$A$36,INT((ROW()-41)/14)+1)="","",INDEX($A$7:$A$36,INT((ROW()-41)/14)+1))</f>
        <v/>
      </c>
      <c r="B452" s="245">
        <f>IF($A452="","",$B$3+MOD(ROW()-41,14))</f>
        <v/>
      </c>
      <c r="C452" s="244">
        <f>IF($A452="","",TEXT($B452,"ddd"))</f>
        <v/>
      </c>
      <c r="D452" s="242">
        <f>IF($A452="","",SUMIFS('EH Timesheets'!$G$6:$G$1005,'EH Timesheets'!$A$6:$A$1005,$A452,'EH Timesheets'!$B$6:$B$1005,$B452))</f>
        <v/>
      </c>
      <c r="E452" s="242">
        <f>IF($A452="","",SUMIFS('EH Roster'!$G$6:$G$1005,'EH Roster'!$A$6:$A$1005,$A452,'EH Roster'!$B$6:$B$1005,$B452))</f>
        <v/>
      </c>
      <c r="F452" s="242">
        <f>IF($A452="","",$D452-$E452)</f>
        <v/>
      </c>
      <c r="G452" s="242">
        <f>IF($A452="","",IF($L452="",0,SUMPRODUCT(('Shared Calendar'!$K$2:$K$1000&gt;0)*('Shared Calendar'!$K$2:$K$1000&lt;=$B452)*('Shared Calendar'!$J$2:$J$1000&gt;$B452)*ISNUMBER(SEARCH($L452,'Shared Calendar'!$M$2:$M$1000))*('Shared Calendar'!$N$2:$N$1000="Event"),'Shared Calendar'!$L$2:$L$1000)))</f>
        <v/>
      </c>
      <c r="H452" s="246">
        <f>IF(OR($A452="",$L452=""),"",IF(SUMPRODUCT(MAX(('Shared Calendar'!$K$2:$K$1000&gt;0)*('Shared Calendar'!$K$2:$K$1000&lt;=$B452)*('Shared Calendar'!$J$2:$J$1000&gt;$B452)*ISNUMBER(SEARCH($L452,'Shared Calendar'!$M$2:$M$1000))*ROW('Shared Calendar'!$A$2:$A$1000)))=0,"",INDEX('Shared Calendar'!$A:$A,SUMPRODUCT(MAX(('Shared Calendar'!$K$2:$K$1000&gt;0)*('Shared Calendar'!$K$2:$K$1000&lt;=$B452)*('Shared Calendar'!$J$2:$J$1000&gt;$B452)*ISNUMBER(SEARCH($L452,'Shared Calendar'!$M$2:$M$1000))*ROW('Shared Calendar'!$A$2:$A$1000))))))</f>
        <v/>
      </c>
      <c r="I452" s="244">
        <f>IF(OR($A452="",$L452=""),"",IF(SUMPRODUCT(('Shared Calendar'!$K$2:$K$1000&gt;0)*('Shared Calendar'!$K$2:$K$1000&lt;=$B452)*('Shared Calendar'!$J$2:$J$1000&gt;$B452)*ISNUMBER(SEARCH($L452,'Shared Calendar'!$M$2:$M$1000))*('Shared Calendar'!$N$2:$N$1000="Leave"))&gt;0,"Leave",""))</f>
        <v/>
      </c>
      <c r="J452" s="244">
        <f>IF($A452="","",IFERROR(INDEX('Public Holidays'!$C$6:$C$38,MATCH($B452,'Public Holidays'!$A$6:$A$38,0))&amp;" ("&amp;INDEX('Public Holidays'!$L$6:$L$38,MATCH($B452,'Public Holidays'!$A$6:$A$38,0))&amp;")",""))</f>
        <v/>
      </c>
      <c r="K452" s="246">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44">
        <f>IF($A452="","",INDEX($B$7:$B$36,INT((ROW()-41)/14)+1)&amp;"")</f>
        <v/>
      </c>
    </row>
    <row r="453">
      <c r="A453" s="244">
        <f>IF(INDEX($A$7:$A$36,INT((ROW()-41)/14)+1)="","",INDEX($A$7:$A$36,INT((ROW()-41)/14)+1))</f>
        <v/>
      </c>
      <c r="B453" s="245">
        <f>IF($A453="","",$B$3+MOD(ROW()-41,14))</f>
        <v/>
      </c>
      <c r="C453" s="244">
        <f>IF($A453="","",TEXT($B453,"ddd"))</f>
        <v/>
      </c>
      <c r="D453" s="242">
        <f>IF($A453="","",SUMIFS('EH Timesheets'!$G$6:$G$1005,'EH Timesheets'!$A$6:$A$1005,$A453,'EH Timesheets'!$B$6:$B$1005,$B453))</f>
        <v/>
      </c>
      <c r="E453" s="242">
        <f>IF($A453="","",SUMIFS('EH Roster'!$G$6:$G$1005,'EH Roster'!$A$6:$A$1005,$A453,'EH Roster'!$B$6:$B$1005,$B453))</f>
        <v/>
      </c>
      <c r="F453" s="242">
        <f>IF($A453="","",$D453-$E453)</f>
        <v/>
      </c>
      <c r="G453" s="242">
        <f>IF($A453="","",IF($L453="",0,SUMPRODUCT(('Shared Calendar'!$K$2:$K$1000&gt;0)*('Shared Calendar'!$K$2:$K$1000&lt;=$B453)*('Shared Calendar'!$J$2:$J$1000&gt;$B453)*ISNUMBER(SEARCH($L453,'Shared Calendar'!$M$2:$M$1000))*('Shared Calendar'!$N$2:$N$1000="Event"),'Shared Calendar'!$L$2:$L$1000)))</f>
        <v/>
      </c>
      <c r="H453" s="246">
        <f>IF(OR($A453="",$L453=""),"",IF(SUMPRODUCT(MAX(('Shared Calendar'!$K$2:$K$1000&gt;0)*('Shared Calendar'!$K$2:$K$1000&lt;=$B453)*('Shared Calendar'!$J$2:$J$1000&gt;$B453)*ISNUMBER(SEARCH($L453,'Shared Calendar'!$M$2:$M$1000))*ROW('Shared Calendar'!$A$2:$A$1000)))=0,"",INDEX('Shared Calendar'!$A:$A,SUMPRODUCT(MAX(('Shared Calendar'!$K$2:$K$1000&gt;0)*('Shared Calendar'!$K$2:$K$1000&lt;=$B453)*('Shared Calendar'!$J$2:$J$1000&gt;$B453)*ISNUMBER(SEARCH($L453,'Shared Calendar'!$M$2:$M$1000))*ROW('Shared Calendar'!$A$2:$A$1000))))))</f>
        <v/>
      </c>
      <c r="I453" s="244">
        <f>IF(OR($A453="",$L453=""),"",IF(SUMPRODUCT(('Shared Calendar'!$K$2:$K$1000&gt;0)*('Shared Calendar'!$K$2:$K$1000&lt;=$B453)*('Shared Calendar'!$J$2:$J$1000&gt;$B453)*ISNUMBER(SEARCH($L453,'Shared Calendar'!$M$2:$M$1000))*('Shared Calendar'!$N$2:$N$1000="Leave"))&gt;0,"Leave",""))</f>
        <v/>
      </c>
      <c r="J453" s="244">
        <f>IF($A453="","",IFERROR(INDEX('Public Holidays'!$C$6:$C$38,MATCH($B453,'Public Holidays'!$A$6:$A$38,0))&amp;" ("&amp;INDEX('Public Holidays'!$L$6:$L$38,MATCH($B453,'Public Holidays'!$A$6:$A$38,0))&amp;")",""))</f>
        <v/>
      </c>
      <c r="K453" s="246">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44">
        <f>IF($A453="","",INDEX($B$7:$B$36,INT((ROW()-41)/14)+1)&amp;"")</f>
        <v/>
      </c>
    </row>
    <row r="454">
      <c r="A454" s="244">
        <f>IF(INDEX($A$7:$A$36,INT((ROW()-41)/14)+1)="","",INDEX($A$7:$A$36,INT((ROW()-41)/14)+1))</f>
        <v/>
      </c>
      <c r="B454" s="245">
        <f>IF($A454="","",$B$3+MOD(ROW()-41,14))</f>
        <v/>
      </c>
      <c r="C454" s="244">
        <f>IF($A454="","",TEXT($B454,"ddd"))</f>
        <v/>
      </c>
      <c r="D454" s="242">
        <f>IF($A454="","",SUMIFS('EH Timesheets'!$G$6:$G$1005,'EH Timesheets'!$A$6:$A$1005,$A454,'EH Timesheets'!$B$6:$B$1005,$B454))</f>
        <v/>
      </c>
      <c r="E454" s="242">
        <f>IF($A454="","",SUMIFS('EH Roster'!$G$6:$G$1005,'EH Roster'!$A$6:$A$1005,$A454,'EH Roster'!$B$6:$B$1005,$B454))</f>
        <v/>
      </c>
      <c r="F454" s="242">
        <f>IF($A454="","",$D454-$E454)</f>
        <v/>
      </c>
      <c r="G454" s="242">
        <f>IF($A454="","",IF($L454="",0,SUMPRODUCT(('Shared Calendar'!$K$2:$K$1000&gt;0)*('Shared Calendar'!$K$2:$K$1000&lt;=$B454)*('Shared Calendar'!$J$2:$J$1000&gt;$B454)*ISNUMBER(SEARCH($L454,'Shared Calendar'!$M$2:$M$1000))*('Shared Calendar'!$N$2:$N$1000="Event"),'Shared Calendar'!$L$2:$L$1000)))</f>
        <v/>
      </c>
      <c r="H454" s="246">
        <f>IF(OR($A454="",$L454=""),"",IF(SUMPRODUCT(MAX(('Shared Calendar'!$K$2:$K$1000&gt;0)*('Shared Calendar'!$K$2:$K$1000&lt;=$B454)*('Shared Calendar'!$J$2:$J$1000&gt;$B454)*ISNUMBER(SEARCH($L454,'Shared Calendar'!$M$2:$M$1000))*ROW('Shared Calendar'!$A$2:$A$1000)))=0,"",INDEX('Shared Calendar'!$A:$A,SUMPRODUCT(MAX(('Shared Calendar'!$K$2:$K$1000&gt;0)*('Shared Calendar'!$K$2:$K$1000&lt;=$B454)*('Shared Calendar'!$J$2:$J$1000&gt;$B454)*ISNUMBER(SEARCH($L454,'Shared Calendar'!$M$2:$M$1000))*ROW('Shared Calendar'!$A$2:$A$1000))))))</f>
        <v/>
      </c>
      <c r="I454" s="244">
        <f>IF(OR($A454="",$L454=""),"",IF(SUMPRODUCT(('Shared Calendar'!$K$2:$K$1000&gt;0)*('Shared Calendar'!$K$2:$K$1000&lt;=$B454)*('Shared Calendar'!$J$2:$J$1000&gt;$B454)*ISNUMBER(SEARCH($L454,'Shared Calendar'!$M$2:$M$1000))*('Shared Calendar'!$N$2:$N$1000="Leave"))&gt;0,"Leave",""))</f>
        <v/>
      </c>
      <c r="J454" s="244">
        <f>IF($A454="","",IFERROR(INDEX('Public Holidays'!$C$6:$C$38,MATCH($B454,'Public Holidays'!$A$6:$A$38,0))&amp;" ("&amp;INDEX('Public Holidays'!$L$6:$L$38,MATCH($B454,'Public Holidays'!$A$6:$A$38,0))&amp;")",""))</f>
        <v/>
      </c>
      <c r="K454" s="246">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44">
        <f>IF($A454="","",INDEX($B$7:$B$36,INT((ROW()-41)/14)+1)&amp;"")</f>
        <v/>
      </c>
    </row>
    <row r="455">
      <c r="A455" s="244">
        <f>IF(INDEX($A$7:$A$36,INT((ROW()-41)/14)+1)="","",INDEX($A$7:$A$36,INT((ROW()-41)/14)+1))</f>
        <v/>
      </c>
      <c r="B455" s="245">
        <f>IF($A455="","",$B$3+MOD(ROW()-41,14))</f>
        <v/>
      </c>
      <c r="C455" s="244">
        <f>IF($A455="","",TEXT($B455,"ddd"))</f>
        <v/>
      </c>
      <c r="D455" s="242">
        <f>IF($A455="","",SUMIFS('EH Timesheets'!$G$6:$G$1005,'EH Timesheets'!$A$6:$A$1005,$A455,'EH Timesheets'!$B$6:$B$1005,$B455))</f>
        <v/>
      </c>
      <c r="E455" s="242">
        <f>IF($A455="","",SUMIFS('EH Roster'!$G$6:$G$1005,'EH Roster'!$A$6:$A$1005,$A455,'EH Roster'!$B$6:$B$1005,$B455))</f>
        <v/>
      </c>
      <c r="F455" s="242">
        <f>IF($A455="","",$D455-$E455)</f>
        <v/>
      </c>
      <c r="G455" s="242">
        <f>IF($A455="","",IF($L455="",0,SUMPRODUCT(('Shared Calendar'!$K$2:$K$1000&gt;0)*('Shared Calendar'!$K$2:$K$1000&lt;=$B455)*('Shared Calendar'!$J$2:$J$1000&gt;$B455)*ISNUMBER(SEARCH($L455,'Shared Calendar'!$M$2:$M$1000))*('Shared Calendar'!$N$2:$N$1000="Event"),'Shared Calendar'!$L$2:$L$1000)))</f>
        <v/>
      </c>
      <c r="H455" s="246">
        <f>IF(OR($A455="",$L455=""),"",IF(SUMPRODUCT(MAX(('Shared Calendar'!$K$2:$K$1000&gt;0)*('Shared Calendar'!$K$2:$K$1000&lt;=$B455)*('Shared Calendar'!$J$2:$J$1000&gt;$B455)*ISNUMBER(SEARCH($L455,'Shared Calendar'!$M$2:$M$1000))*ROW('Shared Calendar'!$A$2:$A$1000)))=0,"",INDEX('Shared Calendar'!$A:$A,SUMPRODUCT(MAX(('Shared Calendar'!$K$2:$K$1000&gt;0)*('Shared Calendar'!$K$2:$K$1000&lt;=$B455)*('Shared Calendar'!$J$2:$J$1000&gt;$B455)*ISNUMBER(SEARCH($L455,'Shared Calendar'!$M$2:$M$1000))*ROW('Shared Calendar'!$A$2:$A$1000))))))</f>
        <v/>
      </c>
      <c r="I455" s="244">
        <f>IF(OR($A455="",$L455=""),"",IF(SUMPRODUCT(('Shared Calendar'!$K$2:$K$1000&gt;0)*('Shared Calendar'!$K$2:$K$1000&lt;=$B455)*('Shared Calendar'!$J$2:$J$1000&gt;$B455)*ISNUMBER(SEARCH($L455,'Shared Calendar'!$M$2:$M$1000))*('Shared Calendar'!$N$2:$N$1000="Leave"))&gt;0,"Leave",""))</f>
        <v/>
      </c>
      <c r="J455" s="244">
        <f>IF($A455="","",IFERROR(INDEX('Public Holidays'!$C$6:$C$38,MATCH($B455,'Public Holidays'!$A$6:$A$38,0))&amp;" ("&amp;INDEX('Public Holidays'!$L$6:$L$38,MATCH($B455,'Public Holidays'!$A$6:$A$38,0))&amp;")",""))</f>
        <v/>
      </c>
      <c r="K455" s="246">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44">
        <f>IF($A455="","",INDEX($B$7:$B$36,INT((ROW()-41)/14)+1)&amp;"")</f>
        <v/>
      </c>
    </row>
    <row r="456">
      <c r="A456" s="244">
        <f>IF(INDEX($A$7:$A$36,INT((ROW()-41)/14)+1)="","",INDEX($A$7:$A$36,INT((ROW()-41)/14)+1))</f>
        <v/>
      </c>
      <c r="B456" s="245">
        <f>IF($A456="","",$B$3+MOD(ROW()-41,14))</f>
        <v/>
      </c>
      <c r="C456" s="244">
        <f>IF($A456="","",TEXT($B456,"ddd"))</f>
        <v/>
      </c>
      <c r="D456" s="242">
        <f>IF($A456="","",SUMIFS('EH Timesheets'!$G$6:$G$1005,'EH Timesheets'!$A$6:$A$1005,$A456,'EH Timesheets'!$B$6:$B$1005,$B456))</f>
        <v/>
      </c>
      <c r="E456" s="242">
        <f>IF($A456="","",SUMIFS('EH Roster'!$G$6:$G$1005,'EH Roster'!$A$6:$A$1005,$A456,'EH Roster'!$B$6:$B$1005,$B456))</f>
        <v/>
      </c>
      <c r="F456" s="242">
        <f>IF($A456="","",$D456-$E456)</f>
        <v/>
      </c>
      <c r="G456" s="242">
        <f>IF($A456="","",IF($L456="",0,SUMPRODUCT(('Shared Calendar'!$K$2:$K$1000&gt;0)*('Shared Calendar'!$K$2:$K$1000&lt;=$B456)*('Shared Calendar'!$J$2:$J$1000&gt;$B456)*ISNUMBER(SEARCH($L456,'Shared Calendar'!$M$2:$M$1000))*('Shared Calendar'!$N$2:$N$1000="Event"),'Shared Calendar'!$L$2:$L$1000)))</f>
        <v/>
      </c>
      <c r="H456" s="246">
        <f>IF(OR($A456="",$L456=""),"",IF(SUMPRODUCT(MAX(('Shared Calendar'!$K$2:$K$1000&gt;0)*('Shared Calendar'!$K$2:$K$1000&lt;=$B456)*('Shared Calendar'!$J$2:$J$1000&gt;$B456)*ISNUMBER(SEARCH($L456,'Shared Calendar'!$M$2:$M$1000))*ROW('Shared Calendar'!$A$2:$A$1000)))=0,"",INDEX('Shared Calendar'!$A:$A,SUMPRODUCT(MAX(('Shared Calendar'!$K$2:$K$1000&gt;0)*('Shared Calendar'!$K$2:$K$1000&lt;=$B456)*('Shared Calendar'!$J$2:$J$1000&gt;$B456)*ISNUMBER(SEARCH($L456,'Shared Calendar'!$M$2:$M$1000))*ROW('Shared Calendar'!$A$2:$A$1000))))))</f>
        <v/>
      </c>
      <c r="I456" s="244">
        <f>IF(OR($A456="",$L456=""),"",IF(SUMPRODUCT(('Shared Calendar'!$K$2:$K$1000&gt;0)*('Shared Calendar'!$K$2:$K$1000&lt;=$B456)*('Shared Calendar'!$J$2:$J$1000&gt;$B456)*ISNUMBER(SEARCH($L456,'Shared Calendar'!$M$2:$M$1000))*('Shared Calendar'!$N$2:$N$1000="Leave"))&gt;0,"Leave",""))</f>
        <v/>
      </c>
      <c r="J456" s="244">
        <f>IF($A456="","",IFERROR(INDEX('Public Holidays'!$C$6:$C$38,MATCH($B456,'Public Holidays'!$A$6:$A$38,0))&amp;" ("&amp;INDEX('Public Holidays'!$L$6:$L$38,MATCH($B456,'Public Holidays'!$A$6:$A$38,0))&amp;")",""))</f>
        <v/>
      </c>
      <c r="K456" s="246">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44">
        <f>IF($A456="","",INDEX($B$7:$B$36,INT((ROW()-41)/14)+1)&amp;"")</f>
        <v/>
      </c>
    </row>
    <row r="457">
      <c r="A457" s="244">
        <f>IF(INDEX($A$7:$A$36,INT((ROW()-41)/14)+1)="","",INDEX($A$7:$A$36,INT((ROW()-41)/14)+1))</f>
        <v/>
      </c>
      <c r="B457" s="245">
        <f>IF($A457="","",$B$3+MOD(ROW()-41,14))</f>
        <v/>
      </c>
      <c r="C457" s="244">
        <f>IF($A457="","",TEXT($B457,"ddd"))</f>
        <v/>
      </c>
      <c r="D457" s="242">
        <f>IF($A457="","",SUMIFS('EH Timesheets'!$G$6:$G$1005,'EH Timesheets'!$A$6:$A$1005,$A457,'EH Timesheets'!$B$6:$B$1005,$B457))</f>
        <v/>
      </c>
      <c r="E457" s="242">
        <f>IF($A457="","",SUMIFS('EH Roster'!$G$6:$G$1005,'EH Roster'!$A$6:$A$1005,$A457,'EH Roster'!$B$6:$B$1005,$B457))</f>
        <v/>
      </c>
      <c r="F457" s="242">
        <f>IF($A457="","",$D457-$E457)</f>
        <v/>
      </c>
      <c r="G457" s="242">
        <f>IF($A457="","",IF($L457="",0,SUMPRODUCT(('Shared Calendar'!$K$2:$K$1000&gt;0)*('Shared Calendar'!$K$2:$K$1000&lt;=$B457)*('Shared Calendar'!$J$2:$J$1000&gt;$B457)*ISNUMBER(SEARCH($L457,'Shared Calendar'!$M$2:$M$1000))*('Shared Calendar'!$N$2:$N$1000="Event"),'Shared Calendar'!$L$2:$L$1000)))</f>
        <v/>
      </c>
      <c r="H457" s="246">
        <f>IF(OR($A457="",$L457=""),"",IF(SUMPRODUCT(MAX(('Shared Calendar'!$K$2:$K$1000&gt;0)*('Shared Calendar'!$K$2:$K$1000&lt;=$B457)*('Shared Calendar'!$J$2:$J$1000&gt;$B457)*ISNUMBER(SEARCH($L457,'Shared Calendar'!$M$2:$M$1000))*ROW('Shared Calendar'!$A$2:$A$1000)))=0,"",INDEX('Shared Calendar'!$A:$A,SUMPRODUCT(MAX(('Shared Calendar'!$K$2:$K$1000&gt;0)*('Shared Calendar'!$K$2:$K$1000&lt;=$B457)*('Shared Calendar'!$J$2:$J$1000&gt;$B457)*ISNUMBER(SEARCH($L457,'Shared Calendar'!$M$2:$M$1000))*ROW('Shared Calendar'!$A$2:$A$1000))))))</f>
        <v/>
      </c>
      <c r="I457" s="244">
        <f>IF(OR($A457="",$L457=""),"",IF(SUMPRODUCT(('Shared Calendar'!$K$2:$K$1000&gt;0)*('Shared Calendar'!$K$2:$K$1000&lt;=$B457)*('Shared Calendar'!$J$2:$J$1000&gt;$B457)*ISNUMBER(SEARCH($L457,'Shared Calendar'!$M$2:$M$1000))*('Shared Calendar'!$N$2:$N$1000="Leave"))&gt;0,"Leave",""))</f>
        <v/>
      </c>
      <c r="J457" s="244">
        <f>IF($A457="","",IFERROR(INDEX('Public Holidays'!$C$6:$C$38,MATCH($B457,'Public Holidays'!$A$6:$A$38,0))&amp;" ("&amp;INDEX('Public Holidays'!$L$6:$L$38,MATCH($B457,'Public Holidays'!$A$6:$A$38,0))&amp;")",""))</f>
        <v/>
      </c>
      <c r="K457" s="246">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44">
        <f>IF($A457="","",INDEX($B$7:$B$36,INT((ROW()-41)/14)+1)&amp;"")</f>
        <v/>
      </c>
    </row>
    <row r="458">
      <c r="A458" s="244">
        <f>IF(INDEX($A$7:$A$36,INT((ROW()-41)/14)+1)="","",INDEX($A$7:$A$36,INT((ROW()-41)/14)+1))</f>
        <v/>
      </c>
      <c r="B458" s="245">
        <f>IF($A458="","",$B$3+MOD(ROW()-41,14))</f>
        <v/>
      </c>
      <c r="C458" s="244">
        <f>IF($A458="","",TEXT($B458,"ddd"))</f>
        <v/>
      </c>
      <c r="D458" s="242">
        <f>IF($A458="","",SUMIFS('EH Timesheets'!$G$6:$G$1005,'EH Timesheets'!$A$6:$A$1005,$A458,'EH Timesheets'!$B$6:$B$1005,$B458))</f>
        <v/>
      </c>
      <c r="E458" s="242">
        <f>IF($A458="","",SUMIFS('EH Roster'!$G$6:$G$1005,'EH Roster'!$A$6:$A$1005,$A458,'EH Roster'!$B$6:$B$1005,$B458))</f>
        <v/>
      </c>
      <c r="F458" s="242">
        <f>IF($A458="","",$D458-$E458)</f>
        <v/>
      </c>
      <c r="G458" s="242">
        <f>IF($A458="","",IF($L458="",0,SUMPRODUCT(('Shared Calendar'!$K$2:$K$1000&gt;0)*('Shared Calendar'!$K$2:$K$1000&lt;=$B458)*('Shared Calendar'!$J$2:$J$1000&gt;$B458)*ISNUMBER(SEARCH($L458,'Shared Calendar'!$M$2:$M$1000))*('Shared Calendar'!$N$2:$N$1000="Event"),'Shared Calendar'!$L$2:$L$1000)))</f>
        <v/>
      </c>
      <c r="H458" s="246">
        <f>IF(OR($A458="",$L458=""),"",IF(SUMPRODUCT(MAX(('Shared Calendar'!$K$2:$K$1000&gt;0)*('Shared Calendar'!$K$2:$K$1000&lt;=$B458)*('Shared Calendar'!$J$2:$J$1000&gt;$B458)*ISNUMBER(SEARCH($L458,'Shared Calendar'!$M$2:$M$1000))*ROW('Shared Calendar'!$A$2:$A$1000)))=0,"",INDEX('Shared Calendar'!$A:$A,SUMPRODUCT(MAX(('Shared Calendar'!$K$2:$K$1000&gt;0)*('Shared Calendar'!$K$2:$K$1000&lt;=$B458)*('Shared Calendar'!$J$2:$J$1000&gt;$B458)*ISNUMBER(SEARCH($L458,'Shared Calendar'!$M$2:$M$1000))*ROW('Shared Calendar'!$A$2:$A$1000))))))</f>
        <v/>
      </c>
      <c r="I458" s="244">
        <f>IF(OR($A458="",$L458=""),"",IF(SUMPRODUCT(('Shared Calendar'!$K$2:$K$1000&gt;0)*('Shared Calendar'!$K$2:$K$1000&lt;=$B458)*('Shared Calendar'!$J$2:$J$1000&gt;$B458)*ISNUMBER(SEARCH($L458,'Shared Calendar'!$M$2:$M$1000))*('Shared Calendar'!$N$2:$N$1000="Leave"))&gt;0,"Leave",""))</f>
        <v/>
      </c>
      <c r="J458" s="244">
        <f>IF($A458="","",IFERROR(INDEX('Public Holidays'!$C$6:$C$38,MATCH($B458,'Public Holidays'!$A$6:$A$38,0))&amp;" ("&amp;INDEX('Public Holidays'!$L$6:$L$38,MATCH($B458,'Public Holidays'!$A$6:$A$38,0))&amp;")",""))</f>
        <v/>
      </c>
      <c r="K458" s="246">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44">
        <f>IF($A458="","",INDEX($B$7:$B$36,INT((ROW()-41)/14)+1)&amp;"")</f>
        <v/>
      </c>
    </row>
    <row r="459">
      <c r="A459" s="244">
        <f>IF(INDEX($A$7:$A$36,INT((ROW()-41)/14)+1)="","",INDEX($A$7:$A$36,INT((ROW()-41)/14)+1))</f>
        <v/>
      </c>
      <c r="B459" s="245">
        <f>IF($A459="","",$B$3+MOD(ROW()-41,14))</f>
        <v/>
      </c>
      <c r="C459" s="244">
        <f>IF($A459="","",TEXT($B459,"ddd"))</f>
        <v/>
      </c>
      <c r="D459" s="242">
        <f>IF($A459="","",SUMIFS('EH Timesheets'!$G$6:$G$1005,'EH Timesheets'!$A$6:$A$1005,$A459,'EH Timesheets'!$B$6:$B$1005,$B459))</f>
        <v/>
      </c>
      <c r="E459" s="242">
        <f>IF($A459="","",SUMIFS('EH Roster'!$G$6:$G$1005,'EH Roster'!$A$6:$A$1005,$A459,'EH Roster'!$B$6:$B$1005,$B459))</f>
        <v/>
      </c>
      <c r="F459" s="242">
        <f>IF($A459="","",$D459-$E459)</f>
        <v/>
      </c>
      <c r="G459" s="242">
        <f>IF($A459="","",IF($L459="",0,SUMPRODUCT(('Shared Calendar'!$K$2:$K$1000&gt;0)*('Shared Calendar'!$K$2:$K$1000&lt;=$B459)*('Shared Calendar'!$J$2:$J$1000&gt;$B459)*ISNUMBER(SEARCH($L459,'Shared Calendar'!$M$2:$M$1000))*('Shared Calendar'!$N$2:$N$1000="Event"),'Shared Calendar'!$L$2:$L$1000)))</f>
        <v/>
      </c>
      <c r="H459" s="246">
        <f>IF(OR($A459="",$L459=""),"",IF(SUMPRODUCT(MAX(('Shared Calendar'!$K$2:$K$1000&gt;0)*('Shared Calendar'!$K$2:$K$1000&lt;=$B459)*('Shared Calendar'!$J$2:$J$1000&gt;$B459)*ISNUMBER(SEARCH($L459,'Shared Calendar'!$M$2:$M$1000))*ROW('Shared Calendar'!$A$2:$A$1000)))=0,"",INDEX('Shared Calendar'!$A:$A,SUMPRODUCT(MAX(('Shared Calendar'!$K$2:$K$1000&gt;0)*('Shared Calendar'!$K$2:$K$1000&lt;=$B459)*('Shared Calendar'!$J$2:$J$1000&gt;$B459)*ISNUMBER(SEARCH($L459,'Shared Calendar'!$M$2:$M$1000))*ROW('Shared Calendar'!$A$2:$A$1000))))))</f>
        <v/>
      </c>
      <c r="I459" s="244">
        <f>IF(OR($A459="",$L459=""),"",IF(SUMPRODUCT(('Shared Calendar'!$K$2:$K$1000&gt;0)*('Shared Calendar'!$K$2:$K$1000&lt;=$B459)*('Shared Calendar'!$J$2:$J$1000&gt;$B459)*ISNUMBER(SEARCH($L459,'Shared Calendar'!$M$2:$M$1000))*('Shared Calendar'!$N$2:$N$1000="Leave"))&gt;0,"Leave",""))</f>
        <v/>
      </c>
      <c r="J459" s="244">
        <f>IF($A459="","",IFERROR(INDEX('Public Holidays'!$C$6:$C$38,MATCH($B459,'Public Holidays'!$A$6:$A$38,0))&amp;" ("&amp;INDEX('Public Holidays'!$L$6:$L$38,MATCH($B459,'Public Holidays'!$A$6:$A$38,0))&amp;")",""))</f>
        <v/>
      </c>
      <c r="K459" s="246">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44">
        <f>IF($A459="","",INDEX($B$7:$B$36,INT((ROW()-41)/14)+1)&amp;"")</f>
        <v/>
      </c>
    </row>
    <row r="460">
      <c r="A460" s="244">
        <f>IF(INDEX($A$7:$A$36,INT((ROW()-41)/14)+1)="","",INDEX($A$7:$A$36,INT((ROW()-41)/14)+1))</f>
        <v/>
      </c>
      <c r="B460" s="245">
        <f>IF($A460="","",$B$3+MOD(ROW()-41,14))</f>
        <v/>
      </c>
      <c r="C460" s="244">
        <f>IF($A460="","",TEXT($B460,"ddd"))</f>
        <v/>
      </c>
      <c r="D460" s="242">
        <f>IF($A460="","",SUMIFS('EH Timesheets'!$G$6:$G$1005,'EH Timesheets'!$A$6:$A$1005,$A460,'EH Timesheets'!$B$6:$B$1005,$B460))</f>
        <v/>
      </c>
      <c r="E460" s="242">
        <f>IF($A460="","",SUMIFS('EH Roster'!$G$6:$G$1005,'EH Roster'!$A$6:$A$1005,$A460,'EH Roster'!$B$6:$B$1005,$B460))</f>
        <v/>
      </c>
      <c r="F460" s="242">
        <f>IF($A460="","",$D460-$E460)</f>
        <v/>
      </c>
      <c r="G460" s="242">
        <f>IF($A460="","",IF($L460="",0,SUMPRODUCT(('Shared Calendar'!$K$2:$K$1000&gt;0)*('Shared Calendar'!$K$2:$K$1000&lt;=$B460)*('Shared Calendar'!$J$2:$J$1000&gt;$B460)*ISNUMBER(SEARCH($L460,'Shared Calendar'!$M$2:$M$1000))*('Shared Calendar'!$N$2:$N$1000="Event"),'Shared Calendar'!$L$2:$L$1000)))</f>
        <v/>
      </c>
      <c r="H460" s="246">
        <f>IF(OR($A460="",$L460=""),"",IF(SUMPRODUCT(MAX(('Shared Calendar'!$K$2:$K$1000&gt;0)*('Shared Calendar'!$K$2:$K$1000&lt;=$B460)*('Shared Calendar'!$J$2:$J$1000&gt;$B460)*ISNUMBER(SEARCH($L460,'Shared Calendar'!$M$2:$M$1000))*ROW('Shared Calendar'!$A$2:$A$1000)))=0,"",INDEX('Shared Calendar'!$A:$A,SUMPRODUCT(MAX(('Shared Calendar'!$K$2:$K$1000&gt;0)*('Shared Calendar'!$K$2:$K$1000&lt;=$B460)*('Shared Calendar'!$J$2:$J$1000&gt;$B460)*ISNUMBER(SEARCH($L460,'Shared Calendar'!$M$2:$M$1000))*ROW('Shared Calendar'!$A$2:$A$1000))))))</f>
        <v/>
      </c>
      <c r="I460" s="244">
        <f>IF(OR($A460="",$L460=""),"",IF(SUMPRODUCT(('Shared Calendar'!$K$2:$K$1000&gt;0)*('Shared Calendar'!$K$2:$K$1000&lt;=$B460)*('Shared Calendar'!$J$2:$J$1000&gt;$B460)*ISNUMBER(SEARCH($L460,'Shared Calendar'!$M$2:$M$1000))*('Shared Calendar'!$N$2:$N$1000="Leave"))&gt;0,"Leave",""))</f>
        <v/>
      </c>
      <c r="J460" s="244">
        <f>IF($A460="","",IFERROR(INDEX('Public Holidays'!$C$6:$C$38,MATCH($B460,'Public Holidays'!$A$6:$A$38,0))&amp;" ("&amp;INDEX('Public Holidays'!$L$6:$L$38,MATCH($B460,'Public Holidays'!$A$6:$A$38,0))&amp;")",""))</f>
        <v/>
      </c>
      <c r="K460" s="246">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44">
        <f>IF($A460="","",INDEX($B$7:$B$36,INT((ROW()-41)/14)+1)&amp;"")</f>
        <v/>
      </c>
    </row>
  </sheetData>
  <autoFilter ref="A40:L460"/>
  <conditionalFormatting sqref="A41:L460">
    <cfRule type="expression" priority="1" dxfId="9">
      <formula>AND($K41&lt;&gt;"",$K41&lt;&gt;"OK")</formula>
    </cfRule>
    <cfRule type="expression" priority="3" dxfId="10">
      <formula>OR($C41="Sat",$C41="Sun")</formula>
    </cfRule>
  </conditionalFormatting>
  <conditionalFormatting sqref="K41:K460">
    <cfRule type="expression" priority="2" dxfId="11">
      <formula>$K41="OK"</formula>
    </cfRule>
  </conditionalFormatting>
  <conditionalFormatting sqref="F7:F36">
    <cfRule type="expression" priority="4" dxfId="12">
      <formula>AND(ISNUMBER($F7),$F7&gt;0)</formula>
    </cfRule>
  </conditionalFormatting>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2" t="inlineStr">
        <is>
          <t>EMPLOYMENT HERO TIMESHEETS - paste here</t>
        </is>
      </c>
      <c r="B1" s="232" t="n"/>
      <c r="C1" s="232" t="n"/>
      <c r="D1" s="232" t="n"/>
      <c r="E1" s="232" t="n"/>
      <c r="F1" s="232" t="n"/>
      <c r="G1" s="232" t="n"/>
      <c r="H1" s="232" t="n"/>
    </row>
    <row r="2">
      <c r="A2" s="238" t="inlineStr">
        <is>
          <t>Export the approved timesheets for the pay run from Employment Hero, then paste values into columns A to F from row 6 down (one line per shift). Column G works itself out. Column H is optional.</t>
        </is>
      </c>
    </row>
    <row r="3">
      <c r="A3" s="238" t="inlineStr">
        <is>
          <t>Minimum needed: Employee + Date + either Hours (col F) or Start/End/Break (cols C to E). Employee must be spelt exactly as in the Staff list on the Roster Check sheet. Dates must be real dates, not text.</t>
        </is>
      </c>
    </row>
    <row r="5" ht="30" customHeight="1">
      <c r="A5" s="240" t="inlineStr">
        <is>
          <t>Employee</t>
        </is>
      </c>
      <c r="B5" s="240" t="inlineStr">
        <is>
          <t>Date</t>
        </is>
      </c>
      <c r="C5" s="240" t="inlineStr">
        <is>
          <t>Start</t>
        </is>
      </c>
      <c r="D5" s="240" t="inlineStr">
        <is>
          <t>End</t>
        </is>
      </c>
      <c r="E5" s="240" t="inlineStr">
        <is>
          <t>Break (mins)</t>
        </is>
      </c>
      <c r="F5" s="240" t="inlineStr">
        <is>
          <t>Hours per EH</t>
        </is>
      </c>
      <c r="G5" s="240" t="inlineStr">
        <is>
          <t>Hours used (auto)</t>
        </is>
      </c>
      <c r="H5" s="240" t="inlineStr">
        <is>
          <t>Location / Work type / Notes</t>
        </is>
      </c>
    </row>
    <row r="6">
      <c r="A6" s="241" t="n"/>
      <c r="B6" s="247" t="n"/>
      <c r="C6" s="248" t="n"/>
      <c r="D6" s="248" t="n"/>
      <c r="E6" s="249" t="n"/>
      <c r="F6" s="250" t="n"/>
      <c r="G6" s="242">
        <f>IF(ISNUMBER(F6),F6,IF(AND(ISNUMBER(C6),ISNUMBER(D6)),ROUND(MOD(D6-C6,1)*24-N(E6)/60,2),""))</f>
        <v/>
      </c>
      <c r="H6" s="241" t="n"/>
    </row>
    <row r="7">
      <c r="A7" s="241" t="n"/>
      <c r="B7" s="247" t="n"/>
      <c r="C7" s="248" t="n"/>
      <c r="D7" s="248" t="n"/>
      <c r="E7" s="249" t="n"/>
      <c r="F7" s="250" t="n"/>
      <c r="G7" s="242">
        <f>IF(ISNUMBER(F7),F7,IF(AND(ISNUMBER(C7),ISNUMBER(D7)),ROUND(MOD(D7-C7,1)*24-N(E7)/60,2),""))</f>
        <v/>
      </c>
      <c r="H7" s="241" t="n"/>
    </row>
    <row r="8">
      <c r="A8" s="241" t="n"/>
      <c r="B8" s="247" t="n"/>
      <c r="C8" s="248" t="n"/>
      <c r="D8" s="248" t="n"/>
      <c r="E8" s="249" t="n"/>
      <c r="F8" s="250" t="n"/>
      <c r="G8" s="242">
        <f>IF(ISNUMBER(F8),F8,IF(AND(ISNUMBER(C8),ISNUMBER(D8)),ROUND(MOD(D8-C8,1)*24-N(E8)/60,2),""))</f>
        <v/>
      </c>
      <c r="H8" s="241" t="n"/>
    </row>
    <row r="9">
      <c r="A9" s="241" t="n"/>
      <c r="B9" s="247" t="n"/>
      <c r="C9" s="248" t="n"/>
      <c r="D9" s="248" t="n"/>
      <c r="E9" s="249" t="n"/>
      <c r="F9" s="250" t="n"/>
      <c r="G9" s="242">
        <f>IF(ISNUMBER(F9),F9,IF(AND(ISNUMBER(C9),ISNUMBER(D9)),ROUND(MOD(D9-C9,1)*24-N(E9)/60,2),""))</f>
        <v/>
      </c>
      <c r="H9" s="241" t="n"/>
    </row>
    <row r="10">
      <c r="A10" s="241" t="n"/>
      <c r="B10" s="247" t="n"/>
      <c r="C10" s="248" t="n"/>
      <c r="D10" s="248" t="n"/>
      <c r="E10" s="249" t="n"/>
      <c r="F10" s="250" t="n"/>
      <c r="G10" s="242">
        <f>IF(ISNUMBER(F10),F10,IF(AND(ISNUMBER(C10),ISNUMBER(D10)),ROUND(MOD(D10-C10,1)*24-N(E10)/60,2),""))</f>
        <v/>
      </c>
      <c r="H10" s="241" t="n"/>
    </row>
    <row r="11">
      <c r="A11" s="241" t="n"/>
      <c r="B11" s="247" t="n"/>
      <c r="C11" s="248" t="n"/>
      <c r="D11" s="248" t="n"/>
      <c r="E11" s="249" t="n"/>
      <c r="F11" s="250" t="n"/>
      <c r="G11" s="242">
        <f>IF(ISNUMBER(F11),F11,IF(AND(ISNUMBER(C11),ISNUMBER(D11)),ROUND(MOD(D11-C11,1)*24-N(E11)/60,2),""))</f>
        <v/>
      </c>
      <c r="H11" s="241" t="n"/>
    </row>
    <row r="12">
      <c r="A12" s="241" t="n"/>
      <c r="B12" s="247" t="n"/>
      <c r="C12" s="248" t="n"/>
      <c r="D12" s="248" t="n"/>
      <c r="E12" s="249" t="n"/>
      <c r="F12" s="250" t="n"/>
      <c r="G12" s="242">
        <f>IF(ISNUMBER(F12),F12,IF(AND(ISNUMBER(C12),ISNUMBER(D12)),ROUND(MOD(D12-C12,1)*24-N(E12)/60,2),""))</f>
        <v/>
      </c>
      <c r="H12" s="241" t="n"/>
    </row>
    <row r="13">
      <c r="A13" s="241" t="n"/>
      <c r="B13" s="247" t="n"/>
      <c r="C13" s="248" t="n"/>
      <c r="D13" s="248" t="n"/>
      <c r="E13" s="249" t="n"/>
      <c r="F13" s="250" t="n"/>
      <c r="G13" s="242">
        <f>IF(ISNUMBER(F13),F13,IF(AND(ISNUMBER(C13),ISNUMBER(D13)),ROUND(MOD(D13-C13,1)*24-N(E13)/60,2),""))</f>
        <v/>
      </c>
      <c r="H13" s="241" t="n"/>
    </row>
    <row r="14">
      <c r="A14" s="241" t="n"/>
      <c r="B14" s="247" t="n"/>
      <c r="C14" s="248" t="n"/>
      <c r="D14" s="248" t="n"/>
      <c r="E14" s="249" t="n"/>
      <c r="F14" s="250" t="n"/>
      <c r="G14" s="242">
        <f>IF(ISNUMBER(F14),F14,IF(AND(ISNUMBER(C14),ISNUMBER(D14)),ROUND(MOD(D14-C14,1)*24-N(E14)/60,2),""))</f>
        <v/>
      </c>
      <c r="H14" s="241" t="n"/>
    </row>
    <row r="15">
      <c r="A15" s="241" t="n"/>
      <c r="B15" s="247" t="n"/>
      <c r="C15" s="248" t="n"/>
      <c r="D15" s="248" t="n"/>
      <c r="E15" s="249" t="n"/>
      <c r="F15" s="250" t="n"/>
      <c r="G15" s="242">
        <f>IF(ISNUMBER(F15),F15,IF(AND(ISNUMBER(C15),ISNUMBER(D15)),ROUND(MOD(D15-C15,1)*24-N(E15)/60,2),""))</f>
        <v/>
      </c>
      <c r="H15" s="241" t="n"/>
    </row>
    <row r="16">
      <c r="A16" s="241" t="n"/>
      <c r="B16" s="247" t="n"/>
      <c r="C16" s="248" t="n"/>
      <c r="D16" s="248" t="n"/>
      <c r="E16" s="249" t="n"/>
      <c r="F16" s="250" t="n"/>
      <c r="G16" s="242">
        <f>IF(ISNUMBER(F16),F16,IF(AND(ISNUMBER(C16),ISNUMBER(D16)),ROUND(MOD(D16-C16,1)*24-N(E16)/60,2),""))</f>
        <v/>
      </c>
      <c r="H16" s="241" t="n"/>
    </row>
    <row r="17">
      <c r="A17" s="241" t="n"/>
      <c r="B17" s="247" t="n"/>
      <c r="C17" s="248" t="n"/>
      <c r="D17" s="248" t="n"/>
      <c r="E17" s="249" t="n"/>
      <c r="F17" s="250" t="n"/>
      <c r="G17" s="242">
        <f>IF(ISNUMBER(F17),F17,IF(AND(ISNUMBER(C17),ISNUMBER(D17)),ROUND(MOD(D17-C17,1)*24-N(E17)/60,2),""))</f>
        <v/>
      </c>
      <c r="H17" s="241" t="n"/>
    </row>
    <row r="18">
      <c r="A18" s="241" t="n"/>
      <c r="B18" s="247" t="n"/>
      <c r="C18" s="248" t="n"/>
      <c r="D18" s="248" t="n"/>
      <c r="E18" s="249" t="n"/>
      <c r="F18" s="250" t="n"/>
      <c r="G18" s="242">
        <f>IF(ISNUMBER(F18),F18,IF(AND(ISNUMBER(C18),ISNUMBER(D18)),ROUND(MOD(D18-C18,1)*24-N(E18)/60,2),""))</f>
        <v/>
      </c>
      <c r="H18" s="241" t="n"/>
    </row>
    <row r="19">
      <c r="A19" s="241" t="n"/>
      <c r="B19" s="247" t="n"/>
      <c r="C19" s="248" t="n"/>
      <c r="D19" s="248" t="n"/>
      <c r="E19" s="249" t="n"/>
      <c r="F19" s="250" t="n"/>
      <c r="G19" s="242">
        <f>IF(ISNUMBER(F19),F19,IF(AND(ISNUMBER(C19),ISNUMBER(D19)),ROUND(MOD(D19-C19,1)*24-N(E19)/60,2),""))</f>
        <v/>
      </c>
      <c r="H19" s="241" t="n"/>
    </row>
    <row r="20">
      <c r="A20" s="241" t="n"/>
      <c r="B20" s="247" t="n"/>
      <c r="C20" s="248" t="n"/>
      <c r="D20" s="248" t="n"/>
      <c r="E20" s="249" t="n"/>
      <c r="F20" s="250" t="n"/>
      <c r="G20" s="242">
        <f>IF(ISNUMBER(F20),F20,IF(AND(ISNUMBER(C20),ISNUMBER(D20)),ROUND(MOD(D20-C20,1)*24-N(E20)/60,2),""))</f>
        <v/>
      </c>
      <c r="H20" s="241" t="n"/>
    </row>
    <row r="21">
      <c r="A21" s="241" t="n"/>
      <c r="B21" s="247" t="n"/>
      <c r="C21" s="248" t="n"/>
      <c r="D21" s="248" t="n"/>
      <c r="E21" s="249" t="n"/>
      <c r="F21" s="250" t="n"/>
      <c r="G21" s="242">
        <f>IF(ISNUMBER(F21),F21,IF(AND(ISNUMBER(C21),ISNUMBER(D21)),ROUND(MOD(D21-C21,1)*24-N(E21)/60,2),""))</f>
        <v/>
      </c>
      <c r="H21" s="241" t="n"/>
    </row>
    <row r="22">
      <c r="A22" s="241" t="n"/>
      <c r="B22" s="247" t="n"/>
      <c r="C22" s="248" t="n"/>
      <c r="D22" s="248" t="n"/>
      <c r="E22" s="249" t="n"/>
      <c r="F22" s="250" t="n"/>
      <c r="G22" s="242">
        <f>IF(ISNUMBER(F22),F22,IF(AND(ISNUMBER(C22),ISNUMBER(D22)),ROUND(MOD(D22-C22,1)*24-N(E22)/60,2),""))</f>
        <v/>
      </c>
      <c r="H22" s="241" t="n"/>
    </row>
    <row r="23">
      <c r="A23" s="241" t="n"/>
      <c r="B23" s="247" t="n"/>
      <c r="C23" s="248" t="n"/>
      <c r="D23" s="248" t="n"/>
      <c r="E23" s="249" t="n"/>
      <c r="F23" s="250" t="n"/>
      <c r="G23" s="242">
        <f>IF(ISNUMBER(F23),F23,IF(AND(ISNUMBER(C23),ISNUMBER(D23)),ROUND(MOD(D23-C23,1)*24-N(E23)/60,2),""))</f>
        <v/>
      </c>
      <c r="H23" s="241" t="n"/>
    </row>
    <row r="24">
      <c r="A24" s="241" t="n"/>
      <c r="B24" s="247" t="n"/>
      <c r="C24" s="248" t="n"/>
      <c r="D24" s="248" t="n"/>
      <c r="E24" s="249" t="n"/>
      <c r="F24" s="250" t="n"/>
      <c r="G24" s="242">
        <f>IF(ISNUMBER(F24),F24,IF(AND(ISNUMBER(C24),ISNUMBER(D24)),ROUND(MOD(D24-C24,1)*24-N(E24)/60,2),""))</f>
        <v/>
      </c>
      <c r="H24" s="241" t="n"/>
    </row>
    <row r="25">
      <c r="A25" s="241" t="n"/>
      <c r="B25" s="247" t="n"/>
      <c r="C25" s="248" t="n"/>
      <c r="D25" s="248" t="n"/>
      <c r="E25" s="249" t="n"/>
      <c r="F25" s="250" t="n"/>
      <c r="G25" s="242">
        <f>IF(ISNUMBER(F25),F25,IF(AND(ISNUMBER(C25),ISNUMBER(D25)),ROUND(MOD(D25-C25,1)*24-N(E25)/60,2),""))</f>
        <v/>
      </c>
      <c r="H25" s="241" t="n"/>
    </row>
    <row r="26">
      <c r="A26" s="241" t="n"/>
      <c r="B26" s="247" t="n"/>
      <c r="C26" s="248" t="n"/>
      <c r="D26" s="248" t="n"/>
      <c r="E26" s="249" t="n"/>
      <c r="F26" s="250" t="n"/>
      <c r="G26" s="242">
        <f>IF(ISNUMBER(F26),F26,IF(AND(ISNUMBER(C26),ISNUMBER(D26)),ROUND(MOD(D26-C26,1)*24-N(E26)/60,2),""))</f>
        <v/>
      </c>
      <c r="H26" s="241" t="n"/>
    </row>
    <row r="27">
      <c r="A27" s="241" t="n"/>
      <c r="B27" s="247" t="n"/>
      <c r="C27" s="248" t="n"/>
      <c r="D27" s="248" t="n"/>
      <c r="E27" s="249" t="n"/>
      <c r="F27" s="250" t="n"/>
      <c r="G27" s="242">
        <f>IF(ISNUMBER(F27),F27,IF(AND(ISNUMBER(C27),ISNUMBER(D27)),ROUND(MOD(D27-C27,1)*24-N(E27)/60,2),""))</f>
        <v/>
      </c>
      <c r="H27" s="241" t="n"/>
    </row>
    <row r="28">
      <c r="A28" s="241" t="n"/>
      <c r="B28" s="247" t="n"/>
      <c r="C28" s="248" t="n"/>
      <c r="D28" s="248" t="n"/>
      <c r="E28" s="249" t="n"/>
      <c r="F28" s="250" t="n"/>
      <c r="G28" s="242">
        <f>IF(ISNUMBER(F28),F28,IF(AND(ISNUMBER(C28),ISNUMBER(D28)),ROUND(MOD(D28-C28,1)*24-N(E28)/60,2),""))</f>
        <v/>
      </c>
      <c r="H28" s="241" t="n"/>
    </row>
    <row r="29">
      <c r="A29" s="241" t="n"/>
      <c r="B29" s="247" t="n"/>
      <c r="C29" s="248" t="n"/>
      <c r="D29" s="248" t="n"/>
      <c r="E29" s="249" t="n"/>
      <c r="F29" s="250" t="n"/>
      <c r="G29" s="242">
        <f>IF(ISNUMBER(F29),F29,IF(AND(ISNUMBER(C29),ISNUMBER(D29)),ROUND(MOD(D29-C29,1)*24-N(E29)/60,2),""))</f>
        <v/>
      </c>
      <c r="H29" s="241" t="n"/>
    </row>
    <row r="30">
      <c r="A30" s="241" t="n"/>
      <c r="B30" s="247" t="n"/>
      <c r="C30" s="248" t="n"/>
      <c r="D30" s="248" t="n"/>
      <c r="E30" s="249" t="n"/>
      <c r="F30" s="250" t="n"/>
      <c r="G30" s="242">
        <f>IF(ISNUMBER(F30),F30,IF(AND(ISNUMBER(C30),ISNUMBER(D30)),ROUND(MOD(D30-C30,1)*24-N(E30)/60,2),""))</f>
        <v/>
      </c>
      <c r="H30" s="241" t="n"/>
    </row>
    <row r="31">
      <c r="A31" s="241" t="n"/>
      <c r="B31" s="247" t="n"/>
      <c r="C31" s="248" t="n"/>
      <c r="D31" s="248" t="n"/>
      <c r="E31" s="249" t="n"/>
      <c r="F31" s="250" t="n"/>
      <c r="G31" s="242">
        <f>IF(ISNUMBER(F31),F31,IF(AND(ISNUMBER(C31),ISNUMBER(D31)),ROUND(MOD(D31-C31,1)*24-N(E31)/60,2),""))</f>
        <v/>
      </c>
      <c r="H31" s="241" t="n"/>
    </row>
    <row r="32">
      <c r="A32" s="241" t="n"/>
      <c r="B32" s="247" t="n"/>
      <c r="C32" s="248" t="n"/>
      <c r="D32" s="248" t="n"/>
      <c r="E32" s="249" t="n"/>
      <c r="F32" s="250" t="n"/>
      <c r="G32" s="242">
        <f>IF(ISNUMBER(F32),F32,IF(AND(ISNUMBER(C32),ISNUMBER(D32)),ROUND(MOD(D32-C32,1)*24-N(E32)/60,2),""))</f>
        <v/>
      </c>
      <c r="H32" s="241" t="n"/>
    </row>
    <row r="33">
      <c r="A33" s="241" t="n"/>
      <c r="B33" s="247" t="n"/>
      <c r="C33" s="248" t="n"/>
      <c r="D33" s="248" t="n"/>
      <c r="E33" s="249" t="n"/>
      <c r="F33" s="250" t="n"/>
      <c r="G33" s="242">
        <f>IF(ISNUMBER(F33),F33,IF(AND(ISNUMBER(C33),ISNUMBER(D33)),ROUND(MOD(D33-C33,1)*24-N(E33)/60,2),""))</f>
        <v/>
      </c>
      <c r="H33" s="241" t="n"/>
    </row>
    <row r="34">
      <c r="A34" s="241" t="n"/>
      <c r="B34" s="247" t="n"/>
      <c r="C34" s="248" t="n"/>
      <c r="D34" s="248" t="n"/>
      <c r="E34" s="249" t="n"/>
      <c r="F34" s="250" t="n"/>
      <c r="G34" s="242">
        <f>IF(ISNUMBER(F34),F34,IF(AND(ISNUMBER(C34),ISNUMBER(D34)),ROUND(MOD(D34-C34,1)*24-N(E34)/60,2),""))</f>
        <v/>
      </c>
      <c r="H34" s="241" t="n"/>
    </row>
    <row r="35">
      <c r="A35" s="241" t="n"/>
      <c r="B35" s="247" t="n"/>
      <c r="C35" s="248" t="n"/>
      <c r="D35" s="248" t="n"/>
      <c r="E35" s="249" t="n"/>
      <c r="F35" s="250" t="n"/>
      <c r="G35" s="242">
        <f>IF(ISNUMBER(F35),F35,IF(AND(ISNUMBER(C35),ISNUMBER(D35)),ROUND(MOD(D35-C35,1)*24-N(E35)/60,2),""))</f>
        <v/>
      </c>
      <c r="H35" s="241" t="n"/>
    </row>
    <row r="36">
      <c r="A36" s="241" t="n"/>
      <c r="B36" s="247" t="n"/>
      <c r="C36" s="248" t="n"/>
      <c r="D36" s="248" t="n"/>
      <c r="E36" s="249" t="n"/>
      <c r="F36" s="250" t="n"/>
      <c r="G36" s="242">
        <f>IF(ISNUMBER(F36),F36,IF(AND(ISNUMBER(C36),ISNUMBER(D36)),ROUND(MOD(D36-C36,1)*24-N(E36)/60,2),""))</f>
        <v/>
      </c>
      <c r="H36" s="241" t="n"/>
    </row>
    <row r="37">
      <c r="A37" s="241" t="n"/>
      <c r="B37" s="247" t="n"/>
      <c r="C37" s="248" t="n"/>
      <c r="D37" s="248" t="n"/>
      <c r="E37" s="249" t="n"/>
      <c r="F37" s="250" t="n"/>
      <c r="G37" s="242">
        <f>IF(ISNUMBER(F37),F37,IF(AND(ISNUMBER(C37),ISNUMBER(D37)),ROUND(MOD(D37-C37,1)*24-N(E37)/60,2),""))</f>
        <v/>
      </c>
      <c r="H37" s="241" t="n"/>
    </row>
    <row r="38">
      <c r="A38" s="241" t="n"/>
      <c r="B38" s="247" t="n"/>
      <c r="C38" s="248" t="n"/>
      <c r="D38" s="248" t="n"/>
      <c r="E38" s="249" t="n"/>
      <c r="F38" s="250" t="n"/>
      <c r="G38" s="242">
        <f>IF(ISNUMBER(F38),F38,IF(AND(ISNUMBER(C38),ISNUMBER(D38)),ROUND(MOD(D38-C38,1)*24-N(E38)/60,2),""))</f>
        <v/>
      </c>
      <c r="H38" s="241" t="n"/>
    </row>
    <row r="39">
      <c r="A39" s="241" t="n"/>
      <c r="B39" s="247" t="n"/>
      <c r="C39" s="248" t="n"/>
      <c r="D39" s="248" t="n"/>
      <c r="E39" s="249" t="n"/>
      <c r="F39" s="250" t="n"/>
      <c r="G39" s="242">
        <f>IF(ISNUMBER(F39),F39,IF(AND(ISNUMBER(C39),ISNUMBER(D39)),ROUND(MOD(D39-C39,1)*24-N(E39)/60,2),""))</f>
        <v/>
      </c>
      <c r="H39" s="241" t="n"/>
    </row>
    <row r="40">
      <c r="A40" s="241" t="n"/>
      <c r="B40" s="247" t="n"/>
      <c r="C40" s="248" t="n"/>
      <c r="D40" s="248" t="n"/>
      <c r="E40" s="249" t="n"/>
      <c r="F40" s="250" t="n"/>
      <c r="G40" s="242">
        <f>IF(ISNUMBER(F40),F40,IF(AND(ISNUMBER(C40),ISNUMBER(D40)),ROUND(MOD(D40-C40,1)*24-N(E40)/60,2),""))</f>
        <v/>
      </c>
      <c r="H40" s="241" t="n"/>
    </row>
    <row r="41">
      <c r="A41" s="241" t="n"/>
      <c r="B41" s="247" t="n"/>
      <c r="C41" s="248" t="n"/>
      <c r="D41" s="248" t="n"/>
      <c r="E41" s="249" t="n"/>
      <c r="F41" s="250" t="n"/>
      <c r="G41" s="242">
        <f>IF(ISNUMBER(F41),F41,IF(AND(ISNUMBER(C41),ISNUMBER(D41)),ROUND(MOD(D41-C41,1)*24-N(E41)/60,2),""))</f>
        <v/>
      </c>
      <c r="H41" s="241" t="n"/>
    </row>
    <row r="42">
      <c r="A42" s="241" t="n"/>
      <c r="B42" s="247" t="n"/>
      <c r="C42" s="248" t="n"/>
      <c r="D42" s="248" t="n"/>
      <c r="E42" s="249" t="n"/>
      <c r="F42" s="250" t="n"/>
      <c r="G42" s="242">
        <f>IF(ISNUMBER(F42),F42,IF(AND(ISNUMBER(C42),ISNUMBER(D42)),ROUND(MOD(D42-C42,1)*24-N(E42)/60,2),""))</f>
        <v/>
      </c>
      <c r="H42" s="241" t="n"/>
    </row>
    <row r="43">
      <c r="A43" s="241" t="n"/>
      <c r="B43" s="247" t="n"/>
      <c r="C43" s="248" t="n"/>
      <c r="D43" s="248" t="n"/>
      <c r="E43" s="249" t="n"/>
      <c r="F43" s="250" t="n"/>
      <c r="G43" s="242">
        <f>IF(ISNUMBER(F43),F43,IF(AND(ISNUMBER(C43),ISNUMBER(D43)),ROUND(MOD(D43-C43,1)*24-N(E43)/60,2),""))</f>
        <v/>
      </c>
      <c r="H43" s="241" t="n"/>
    </row>
    <row r="44">
      <c r="A44" s="241" t="n"/>
      <c r="B44" s="247" t="n"/>
      <c r="C44" s="248" t="n"/>
      <c r="D44" s="248" t="n"/>
      <c r="E44" s="249" t="n"/>
      <c r="F44" s="250" t="n"/>
      <c r="G44" s="242">
        <f>IF(ISNUMBER(F44),F44,IF(AND(ISNUMBER(C44),ISNUMBER(D44)),ROUND(MOD(D44-C44,1)*24-N(E44)/60,2),""))</f>
        <v/>
      </c>
      <c r="H44" s="241" t="n"/>
    </row>
    <row r="45">
      <c r="A45" s="241" t="n"/>
      <c r="B45" s="247" t="n"/>
      <c r="C45" s="248" t="n"/>
      <c r="D45" s="248" t="n"/>
      <c r="E45" s="249" t="n"/>
      <c r="F45" s="250" t="n"/>
      <c r="G45" s="242">
        <f>IF(ISNUMBER(F45),F45,IF(AND(ISNUMBER(C45),ISNUMBER(D45)),ROUND(MOD(D45-C45,1)*24-N(E45)/60,2),""))</f>
        <v/>
      </c>
      <c r="H45" s="241" t="n"/>
    </row>
    <row r="46">
      <c r="A46" s="241" t="n"/>
      <c r="B46" s="247" t="n"/>
      <c r="C46" s="248" t="n"/>
      <c r="D46" s="248" t="n"/>
      <c r="E46" s="249" t="n"/>
      <c r="F46" s="250" t="n"/>
      <c r="G46" s="242">
        <f>IF(ISNUMBER(F46),F46,IF(AND(ISNUMBER(C46),ISNUMBER(D46)),ROUND(MOD(D46-C46,1)*24-N(E46)/60,2),""))</f>
        <v/>
      </c>
      <c r="H46" s="241" t="n"/>
    </row>
    <row r="47">
      <c r="A47" s="241" t="n"/>
      <c r="B47" s="247" t="n"/>
      <c r="C47" s="248" t="n"/>
      <c r="D47" s="248" t="n"/>
      <c r="E47" s="249" t="n"/>
      <c r="F47" s="250" t="n"/>
      <c r="G47" s="242">
        <f>IF(ISNUMBER(F47),F47,IF(AND(ISNUMBER(C47),ISNUMBER(D47)),ROUND(MOD(D47-C47,1)*24-N(E47)/60,2),""))</f>
        <v/>
      </c>
      <c r="H47" s="241" t="n"/>
    </row>
    <row r="48">
      <c r="A48" s="241" t="n"/>
      <c r="B48" s="247" t="n"/>
      <c r="C48" s="248" t="n"/>
      <c r="D48" s="248" t="n"/>
      <c r="E48" s="249" t="n"/>
      <c r="F48" s="250" t="n"/>
      <c r="G48" s="242">
        <f>IF(ISNUMBER(F48),F48,IF(AND(ISNUMBER(C48),ISNUMBER(D48)),ROUND(MOD(D48-C48,1)*24-N(E48)/60,2),""))</f>
        <v/>
      </c>
      <c r="H48" s="241" t="n"/>
    </row>
    <row r="49">
      <c r="A49" s="241" t="n"/>
      <c r="B49" s="247" t="n"/>
      <c r="C49" s="248" t="n"/>
      <c r="D49" s="248" t="n"/>
      <c r="E49" s="249" t="n"/>
      <c r="F49" s="250" t="n"/>
      <c r="G49" s="242">
        <f>IF(ISNUMBER(F49),F49,IF(AND(ISNUMBER(C49),ISNUMBER(D49)),ROUND(MOD(D49-C49,1)*24-N(E49)/60,2),""))</f>
        <v/>
      </c>
      <c r="H49" s="241" t="n"/>
    </row>
    <row r="50">
      <c r="A50" s="241" t="n"/>
      <c r="B50" s="247" t="n"/>
      <c r="C50" s="248" t="n"/>
      <c r="D50" s="248" t="n"/>
      <c r="E50" s="249" t="n"/>
      <c r="F50" s="250" t="n"/>
      <c r="G50" s="242">
        <f>IF(ISNUMBER(F50),F50,IF(AND(ISNUMBER(C50),ISNUMBER(D50)),ROUND(MOD(D50-C50,1)*24-N(E50)/60,2),""))</f>
        <v/>
      </c>
      <c r="H50" s="241" t="n"/>
    </row>
    <row r="51">
      <c r="A51" s="241" t="n"/>
      <c r="B51" s="247" t="n"/>
      <c r="C51" s="248" t="n"/>
      <c r="D51" s="248" t="n"/>
      <c r="E51" s="249" t="n"/>
      <c r="F51" s="250" t="n"/>
      <c r="G51" s="242">
        <f>IF(ISNUMBER(F51),F51,IF(AND(ISNUMBER(C51),ISNUMBER(D51)),ROUND(MOD(D51-C51,1)*24-N(E51)/60,2),""))</f>
        <v/>
      </c>
      <c r="H51" s="241" t="n"/>
    </row>
    <row r="52">
      <c r="A52" s="241" t="n"/>
      <c r="B52" s="247" t="n"/>
      <c r="C52" s="248" t="n"/>
      <c r="D52" s="248" t="n"/>
      <c r="E52" s="249" t="n"/>
      <c r="F52" s="250" t="n"/>
      <c r="G52" s="242">
        <f>IF(ISNUMBER(F52),F52,IF(AND(ISNUMBER(C52),ISNUMBER(D52)),ROUND(MOD(D52-C52,1)*24-N(E52)/60,2),""))</f>
        <v/>
      </c>
      <c r="H52" s="241" t="n"/>
    </row>
    <row r="53">
      <c r="A53" s="241" t="n"/>
      <c r="B53" s="247" t="n"/>
      <c r="C53" s="248" t="n"/>
      <c r="D53" s="248" t="n"/>
      <c r="E53" s="249" t="n"/>
      <c r="F53" s="250" t="n"/>
      <c r="G53" s="242">
        <f>IF(ISNUMBER(F53),F53,IF(AND(ISNUMBER(C53),ISNUMBER(D53)),ROUND(MOD(D53-C53,1)*24-N(E53)/60,2),""))</f>
        <v/>
      </c>
      <c r="H53" s="241" t="n"/>
    </row>
    <row r="54">
      <c r="A54" s="241" t="n"/>
      <c r="B54" s="247" t="n"/>
      <c r="C54" s="248" t="n"/>
      <c r="D54" s="248" t="n"/>
      <c r="E54" s="249" t="n"/>
      <c r="F54" s="250" t="n"/>
      <c r="G54" s="242">
        <f>IF(ISNUMBER(F54),F54,IF(AND(ISNUMBER(C54),ISNUMBER(D54)),ROUND(MOD(D54-C54,1)*24-N(E54)/60,2),""))</f>
        <v/>
      </c>
      <c r="H54" s="241" t="n"/>
    </row>
    <row r="55">
      <c r="A55" s="241" t="n"/>
      <c r="B55" s="247" t="n"/>
      <c r="C55" s="248" t="n"/>
      <c r="D55" s="248" t="n"/>
      <c r="E55" s="249" t="n"/>
      <c r="F55" s="250" t="n"/>
      <c r="G55" s="242">
        <f>IF(ISNUMBER(F55),F55,IF(AND(ISNUMBER(C55),ISNUMBER(D55)),ROUND(MOD(D55-C55,1)*24-N(E55)/60,2),""))</f>
        <v/>
      </c>
      <c r="H55" s="241" t="n"/>
    </row>
    <row r="56">
      <c r="A56" s="241" t="n"/>
      <c r="B56" s="247" t="n"/>
      <c r="C56" s="248" t="n"/>
      <c r="D56" s="248" t="n"/>
      <c r="E56" s="249" t="n"/>
      <c r="F56" s="250" t="n"/>
      <c r="G56" s="242">
        <f>IF(ISNUMBER(F56),F56,IF(AND(ISNUMBER(C56),ISNUMBER(D56)),ROUND(MOD(D56-C56,1)*24-N(E56)/60,2),""))</f>
        <v/>
      </c>
      <c r="H56" s="241" t="n"/>
    </row>
    <row r="57">
      <c r="A57" s="241" t="n"/>
      <c r="B57" s="247" t="n"/>
      <c r="C57" s="248" t="n"/>
      <c r="D57" s="248" t="n"/>
      <c r="E57" s="249" t="n"/>
      <c r="F57" s="250" t="n"/>
      <c r="G57" s="242">
        <f>IF(ISNUMBER(F57),F57,IF(AND(ISNUMBER(C57),ISNUMBER(D57)),ROUND(MOD(D57-C57,1)*24-N(E57)/60,2),""))</f>
        <v/>
      </c>
      <c r="H57" s="241" t="n"/>
    </row>
    <row r="58">
      <c r="A58" s="241" t="n"/>
      <c r="B58" s="247" t="n"/>
      <c r="C58" s="248" t="n"/>
      <c r="D58" s="248" t="n"/>
      <c r="E58" s="249" t="n"/>
      <c r="F58" s="250" t="n"/>
      <c r="G58" s="242">
        <f>IF(ISNUMBER(F58),F58,IF(AND(ISNUMBER(C58),ISNUMBER(D58)),ROUND(MOD(D58-C58,1)*24-N(E58)/60,2),""))</f>
        <v/>
      </c>
      <c r="H58" s="241" t="n"/>
    </row>
    <row r="59">
      <c r="A59" s="241" t="n"/>
      <c r="B59" s="247" t="n"/>
      <c r="C59" s="248" t="n"/>
      <c r="D59" s="248" t="n"/>
      <c r="E59" s="249" t="n"/>
      <c r="F59" s="250" t="n"/>
      <c r="G59" s="242">
        <f>IF(ISNUMBER(F59),F59,IF(AND(ISNUMBER(C59),ISNUMBER(D59)),ROUND(MOD(D59-C59,1)*24-N(E59)/60,2),""))</f>
        <v/>
      </c>
      <c r="H59" s="241" t="n"/>
    </row>
    <row r="60">
      <c r="A60" s="241" t="n"/>
      <c r="B60" s="247" t="n"/>
      <c r="C60" s="248" t="n"/>
      <c r="D60" s="248" t="n"/>
      <c r="E60" s="249" t="n"/>
      <c r="F60" s="250" t="n"/>
      <c r="G60" s="242">
        <f>IF(ISNUMBER(F60),F60,IF(AND(ISNUMBER(C60),ISNUMBER(D60)),ROUND(MOD(D60-C60,1)*24-N(E60)/60,2),""))</f>
        <v/>
      </c>
      <c r="H60" s="241" t="n"/>
    </row>
    <row r="61">
      <c r="A61" s="241" t="n"/>
      <c r="B61" s="247" t="n"/>
      <c r="C61" s="248" t="n"/>
      <c r="D61" s="248" t="n"/>
      <c r="E61" s="249" t="n"/>
      <c r="F61" s="250" t="n"/>
      <c r="G61" s="242">
        <f>IF(ISNUMBER(F61),F61,IF(AND(ISNUMBER(C61),ISNUMBER(D61)),ROUND(MOD(D61-C61,1)*24-N(E61)/60,2),""))</f>
        <v/>
      </c>
      <c r="H61" s="241" t="n"/>
    </row>
    <row r="62">
      <c r="A62" s="241" t="n"/>
      <c r="B62" s="247" t="n"/>
      <c r="C62" s="248" t="n"/>
      <c r="D62" s="248" t="n"/>
      <c r="E62" s="249" t="n"/>
      <c r="F62" s="250" t="n"/>
      <c r="G62" s="242">
        <f>IF(ISNUMBER(F62),F62,IF(AND(ISNUMBER(C62),ISNUMBER(D62)),ROUND(MOD(D62-C62,1)*24-N(E62)/60,2),""))</f>
        <v/>
      </c>
      <c r="H62" s="241" t="n"/>
    </row>
    <row r="63">
      <c r="A63" s="241" t="n"/>
      <c r="B63" s="247" t="n"/>
      <c r="C63" s="248" t="n"/>
      <c r="D63" s="248" t="n"/>
      <c r="E63" s="249" t="n"/>
      <c r="F63" s="250" t="n"/>
      <c r="G63" s="242">
        <f>IF(ISNUMBER(F63),F63,IF(AND(ISNUMBER(C63),ISNUMBER(D63)),ROUND(MOD(D63-C63,1)*24-N(E63)/60,2),""))</f>
        <v/>
      </c>
      <c r="H63" s="241" t="n"/>
    </row>
    <row r="64">
      <c r="A64" s="241" t="n"/>
      <c r="B64" s="247" t="n"/>
      <c r="C64" s="248" t="n"/>
      <c r="D64" s="248" t="n"/>
      <c r="E64" s="249" t="n"/>
      <c r="F64" s="250" t="n"/>
      <c r="G64" s="242">
        <f>IF(ISNUMBER(F64),F64,IF(AND(ISNUMBER(C64),ISNUMBER(D64)),ROUND(MOD(D64-C64,1)*24-N(E64)/60,2),""))</f>
        <v/>
      </c>
      <c r="H64" s="241" t="n"/>
    </row>
    <row r="65">
      <c r="A65" s="241" t="n"/>
      <c r="B65" s="247" t="n"/>
      <c r="C65" s="248" t="n"/>
      <c r="D65" s="248" t="n"/>
      <c r="E65" s="249" t="n"/>
      <c r="F65" s="250" t="n"/>
      <c r="G65" s="242">
        <f>IF(ISNUMBER(F65),F65,IF(AND(ISNUMBER(C65),ISNUMBER(D65)),ROUND(MOD(D65-C65,1)*24-N(E65)/60,2),""))</f>
        <v/>
      </c>
      <c r="H65" s="241" t="n"/>
    </row>
    <row r="66">
      <c r="A66" s="241" t="n"/>
      <c r="B66" s="247" t="n"/>
      <c r="C66" s="248" t="n"/>
      <c r="D66" s="248" t="n"/>
      <c r="E66" s="249" t="n"/>
      <c r="F66" s="250" t="n"/>
      <c r="G66" s="242">
        <f>IF(ISNUMBER(F66),F66,IF(AND(ISNUMBER(C66),ISNUMBER(D66)),ROUND(MOD(D66-C66,1)*24-N(E66)/60,2),""))</f>
        <v/>
      </c>
      <c r="H66" s="241" t="n"/>
    </row>
    <row r="67">
      <c r="A67" s="241" t="n"/>
      <c r="B67" s="247" t="n"/>
      <c r="C67" s="248" t="n"/>
      <c r="D67" s="248" t="n"/>
      <c r="E67" s="249" t="n"/>
      <c r="F67" s="250" t="n"/>
      <c r="G67" s="242">
        <f>IF(ISNUMBER(F67),F67,IF(AND(ISNUMBER(C67),ISNUMBER(D67)),ROUND(MOD(D67-C67,1)*24-N(E67)/60,2),""))</f>
        <v/>
      </c>
      <c r="H67" s="241" t="n"/>
    </row>
    <row r="68">
      <c r="A68" s="241" t="n"/>
      <c r="B68" s="247" t="n"/>
      <c r="C68" s="248" t="n"/>
      <c r="D68" s="248" t="n"/>
      <c r="E68" s="249" t="n"/>
      <c r="F68" s="250" t="n"/>
      <c r="G68" s="242">
        <f>IF(ISNUMBER(F68),F68,IF(AND(ISNUMBER(C68),ISNUMBER(D68)),ROUND(MOD(D68-C68,1)*24-N(E68)/60,2),""))</f>
        <v/>
      </c>
      <c r="H68" s="241" t="n"/>
    </row>
    <row r="69">
      <c r="A69" s="241" t="n"/>
      <c r="B69" s="247" t="n"/>
      <c r="C69" s="248" t="n"/>
      <c r="D69" s="248" t="n"/>
      <c r="E69" s="249" t="n"/>
      <c r="F69" s="250" t="n"/>
      <c r="G69" s="242">
        <f>IF(ISNUMBER(F69),F69,IF(AND(ISNUMBER(C69),ISNUMBER(D69)),ROUND(MOD(D69-C69,1)*24-N(E69)/60,2),""))</f>
        <v/>
      </c>
      <c r="H69" s="241" t="n"/>
    </row>
    <row r="70">
      <c r="A70" s="241" t="n"/>
      <c r="B70" s="247" t="n"/>
      <c r="C70" s="248" t="n"/>
      <c r="D70" s="248" t="n"/>
      <c r="E70" s="249" t="n"/>
      <c r="F70" s="250" t="n"/>
      <c r="G70" s="242">
        <f>IF(ISNUMBER(F70),F70,IF(AND(ISNUMBER(C70),ISNUMBER(D70)),ROUND(MOD(D70-C70,1)*24-N(E70)/60,2),""))</f>
        <v/>
      </c>
      <c r="H70" s="241" t="n"/>
    </row>
    <row r="71">
      <c r="A71" s="241" t="n"/>
      <c r="B71" s="247" t="n"/>
      <c r="C71" s="248" t="n"/>
      <c r="D71" s="248" t="n"/>
      <c r="E71" s="249" t="n"/>
      <c r="F71" s="250" t="n"/>
      <c r="G71" s="242">
        <f>IF(ISNUMBER(F71),F71,IF(AND(ISNUMBER(C71),ISNUMBER(D71)),ROUND(MOD(D71-C71,1)*24-N(E71)/60,2),""))</f>
        <v/>
      </c>
      <c r="H71" s="241" t="n"/>
    </row>
    <row r="72">
      <c r="A72" s="241" t="n"/>
      <c r="B72" s="247" t="n"/>
      <c r="C72" s="248" t="n"/>
      <c r="D72" s="248" t="n"/>
      <c r="E72" s="249" t="n"/>
      <c r="F72" s="250" t="n"/>
      <c r="G72" s="242">
        <f>IF(ISNUMBER(F72),F72,IF(AND(ISNUMBER(C72),ISNUMBER(D72)),ROUND(MOD(D72-C72,1)*24-N(E72)/60,2),""))</f>
        <v/>
      </c>
      <c r="H72" s="241" t="n"/>
    </row>
    <row r="73">
      <c r="A73" s="241" t="n"/>
      <c r="B73" s="247" t="n"/>
      <c r="C73" s="248" t="n"/>
      <c r="D73" s="248" t="n"/>
      <c r="E73" s="249" t="n"/>
      <c r="F73" s="250" t="n"/>
      <c r="G73" s="242">
        <f>IF(ISNUMBER(F73),F73,IF(AND(ISNUMBER(C73),ISNUMBER(D73)),ROUND(MOD(D73-C73,1)*24-N(E73)/60,2),""))</f>
        <v/>
      </c>
      <c r="H73" s="241" t="n"/>
    </row>
    <row r="74">
      <c r="A74" s="241" t="n"/>
      <c r="B74" s="247" t="n"/>
      <c r="C74" s="248" t="n"/>
      <c r="D74" s="248" t="n"/>
      <c r="E74" s="249" t="n"/>
      <c r="F74" s="250" t="n"/>
      <c r="G74" s="242">
        <f>IF(ISNUMBER(F74),F74,IF(AND(ISNUMBER(C74),ISNUMBER(D74)),ROUND(MOD(D74-C74,1)*24-N(E74)/60,2),""))</f>
        <v/>
      </c>
      <c r="H74" s="241" t="n"/>
    </row>
    <row r="75">
      <c r="A75" s="241" t="n"/>
      <c r="B75" s="247" t="n"/>
      <c r="C75" s="248" t="n"/>
      <c r="D75" s="248" t="n"/>
      <c r="E75" s="249" t="n"/>
      <c r="F75" s="250" t="n"/>
      <c r="G75" s="242">
        <f>IF(ISNUMBER(F75),F75,IF(AND(ISNUMBER(C75),ISNUMBER(D75)),ROUND(MOD(D75-C75,1)*24-N(E75)/60,2),""))</f>
        <v/>
      </c>
      <c r="H75" s="241" t="n"/>
    </row>
    <row r="76">
      <c r="A76" s="241" t="n"/>
      <c r="B76" s="247" t="n"/>
      <c r="C76" s="248" t="n"/>
      <c r="D76" s="248" t="n"/>
      <c r="E76" s="249" t="n"/>
      <c r="F76" s="250" t="n"/>
      <c r="G76" s="242">
        <f>IF(ISNUMBER(F76),F76,IF(AND(ISNUMBER(C76),ISNUMBER(D76)),ROUND(MOD(D76-C76,1)*24-N(E76)/60,2),""))</f>
        <v/>
      </c>
      <c r="H76" s="241" t="n"/>
    </row>
    <row r="77">
      <c r="A77" s="241" t="n"/>
      <c r="B77" s="247" t="n"/>
      <c r="C77" s="248" t="n"/>
      <c r="D77" s="248" t="n"/>
      <c r="E77" s="249" t="n"/>
      <c r="F77" s="250" t="n"/>
      <c r="G77" s="242">
        <f>IF(ISNUMBER(F77),F77,IF(AND(ISNUMBER(C77),ISNUMBER(D77)),ROUND(MOD(D77-C77,1)*24-N(E77)/60,2),""))</f>
        <v/>
      </c>
      <c r="H77" s="241" t="n"/>
    </row>
    <row r="78">
      <c r="A78" s="241" t="n"/>
      <c r="B78" s="247" t="n"/>
      <c r="C78" s="248" t="n"/>
      <c r="D78" s="248" t="n"/>
      <c r="E78" s="249" t="n"/>
      <c r="F78" s="250" t="n"/>
      <c r="G78" s="242">
        <f>IF(ISNUMBER(F78),F78,IF(AND(ISNUMBER(C78),ISNUMBER(D78)),ROUND(MOD(D78-C78,1)*24-N(E78)/60,2),""))</f>
        <v/>
      </c>
      <c r="H78" s="241" t="n"/>
    </row>
    <row r="79">
      <c r="A79" s="241" t="n"/>
      <c r="B79" s="247" t="n"/>
      <c r="C79" s="248" t="n"/>
      <c r="D79" s="248" t="n"/>
      <c r="E79" s="249" t="n"/>
      <c r="F79" s="250" t="n"/>
      <c r="G79" s="242">
        <f>IF(ISNUMBER(F79),F79,IF(AND(ISNUMBER(C79),ISNUMBER(D79)),ROUND(MOD(D79-C79,1)*24-N(E79)/60,2),""))</f>
        <v/>
      </c>
      <c r="H79" s="241" t="n"/>
    </row>
    <row r="80">
      <c r="A80" s="241" t="n"/>
      <c r="B80" s="247" t="n"/>
      <c r="C80" s="248" t="n"/>
      <c r="D80" s="248" t="n"/>
      <c r="E80" s="249" t="n"/>
      <c r="F80" s="250" t="n"/>
      <c r="G80" s="242">
        <f>IF(ISNUMBER(F80),F80,IF(AND(ISNUMBER(C80),ISNUMBER(D80)),ROUND(MOD(D80-C80,1)*24-N(E80)/60,2),""))</f>
        <v/>
      </c>
      <c r="H80" s="241" t="n"/>
    </row>
    <row r="81">
      <c r="A81" s="241" t="n"/>
      <c r="B81" s="247" t="n"/>
      <c r="C81" s="248" t="n"/>
      <c r="D81" s="248" t="n"/>
      <c r="E81" s="249" t="n"/>
      <c r="F81" s="250" t="n"/>
      <c r="G81" s="242">
        <f>IF(ISNUMBER(F81),F81,IF(AND(ISNUMBER(C81),ISNUMBER(D81)),ROUND(MOD(D81-C81,1)*24-N(E81)/60,2),""))</f>
        <v/>
      </c>
      <c r="H81" s="241" t="n"/>
    </row>
    <row r="82">
      <c r="A82" s="241" t="n"/>
      <c r="B82" s="247" t="n"/>
      <c r="C82" s="248" t="n"/>
      <c r="D82" s="248" t="n"/>
      <c r="E82" s="249" t="n"/>
      <c r="F82" s="250" t="n"/>
      <c r="G82" s="242">
        <f>IF(ISNUMBER(F82),F82,IF(AND(ISNUMBER(C82),ISNUMBER(D82)),ROUND(MOD(D82-C82,1)*24-N(E82)/60,2),""))</f>
        <v/>
      </c>
      <c r="H82" s="241" t="n"/>
    </row>
    <row r="83">
      <c r="A83" s="241" t="n"/>
      <c r="B83" s="247" t="n"/>
      <c r="C83" s="248" t="n"/>
      <c r="D83" s="248" t="n"/>
      <c r="E83" s="249" t="n"/>
      <c r="F83" s="250" t="n"/>
      <c r="G83" s="242">
        <f>IF(ISNUMBER(F83),F83,IF(AND(ISNUMBER(C83),ISNUMBER(D83)),ROUND(MOD(D83-C83,1)*24-N(E83)/60,2),""))</f>
        <v/>
      </c>
      <c r="H83" s="241" t="n"/>
    </row>
    <row r="84">
      <c r="A84" s="241" t="n"/>
      <c r="B84" s="247" t="n"/>
      <c r="C84" s="248" t="n"/>
      <c r="D84" s="248" t="n"/>
      <c r="E84" s="249" t="n"/>
      <c r="F84" s="250" t="n"/>
      <c r="G84" s="242">
        <f>IF(ISNUMBER(F84),F84,IF(AND(ISNUMBER(C84),ISNUMBER(D84)),ROUND(MOD(D84-C84,1)*24-N(E84)/60,2),""))</f>
        <v/>
      </c>
      <c r="H84" s="241" t="n"/>
    </row>
    <row r="85">
      <c r="A85" s="241" t="n"/>
      <c r="B85" s="247" t="n"/>
      <c r="C85" s="248" t="n"/>
      <c r="D85" s="248" t="n"/>
      <c r="E85" s="249" t="n"/>
      <c r="F85" s="250" t="n"/>
      <c r="G85" s="242">
        <f>IF(ISNUMBER(F85),F85,IF(AND(ISNUMBER(C85),ISNUMBER(D85)),ROUND(MOD(D85-C85,1)*24-N(E85)/60,2),""))</f>
        <v/>
      </c>
      <c r="H85" s="241" t="n"/>
    </row>
    <row r="86">
      <c r="A86" s="241" t="n"/>
      <c r="B86" s="247" t="n"/>
      <c r="C86" s="248" t="n"/>
      <c r="D86" s="248" t="n"/>
      <c r="E86" s="249" t="n"/>
      <c r="F86" s="250" t="n"/>
      <c r="G86" s="242">
        <f>IF(ISNUMBER(F86),F86,IF(AND(ISNUMBER(C86),ISNUMBER(D86)),ROUND(MOD(D86-C86,1)*24-N(E86)/60,2),""))</f>
        <v/>
      </c>
      <c r="H86" s="241" t="n"/>
    </row>
    <row r="87">
      <c r="A87" s="241" t="n"/>
      <c r="B87" s="247" t="n"/>
      <c r="C87" s="248" t="n"/>
      <c r="D87" s="248" t="n"/>
      <c r="E87" s="249" t="n"/>
      <c r="F87" s="250" t="n"/>
      <c r="G87" s="242">
        <f>IF(ISNUMBER(F87),F87,IF(AND(ISNUMBER(C87),ISNUMBER(D87)),ROUND(MOD(D87-C87,1)*24-N(E87)/60,2),""))</f>
        <v/>
      </c>
      <c r="H87" s="241" t="n"/>
    </row>
    <row r="88">
      <c r="A88" s="241" t="n"/>
      <c r="B88" s="247" t="n"/>
      <c r="C88" s="248" t="n"/>
      <c r="D88" s="248" t="n"/>
      <c r="E88" s="249" t="n"/>
      <c r="F88" s="250" t="n"/>
      <c r="G88" s="242">
        <f>IF(ISNUMBER(F88),F88,IF(AND(ISNUMBER(C88),ISNUMBER(D88)),ROUND(MOD(D88-C88,1)*24-N(E88)/60,2),""))</f>
        <v/>
      </c>
      <c r="H88" s="241" t="n"/>
    </row>
    <row r="89">
      <c r="A89" s="241" t="n"/>
      <c r="B89" s="247" t="n"/>
      <c r="C89" s="248" t="n"/>
      <c r="D89" s="248" t="n"/>
      <c r="E89" s="249" t="n"/>
      <c r="F89" s="250" t="n"/>
      <c r="G89" s="242">
        <f>IF(ISNUMBER(F89),F89,IF(AND(ISNUMBER(C89),ISNUMBER(D89)),ROUND(MOD(D89-C89,1)*24-N(E89)/60,2),""))</f>
        <v/>
      </c>
      <c r="H89" s="241" t="n"/>
    </row>
    <row r="90">
      <c r="A90" s="241" t="n"/>
      <c r="B90" s="247" t="n"/>
      <c r="C90" s="248" t="n"/>
      <c r="D90" s="248" t="n"/>
      <c r="E90" s="249" t="n"/>
      <c r="F90" s="250" t="n"/>
      <c r="G90" s="242">
        <f>IF(ISNUMBER(F90),F90,IF(AND(ISNUMBER(C90),ISNUMBER(D90)),ROUND(MOD(D90-C90,1)*24-N(E90)/60,2),""))</f>
        <v/>
      </c>
      <c r="H90" s="241" t="n"/>
    </row>
    <row r="91">
      <c r="A91" s="241" t="n"/>
      <c r="B91" s="247" t="n"/>
      <c r="C91" s="248" t="n"/>
      <c r="D91" s="248" t="n"/>
      <c r="E91" s="249" t="n"/>
      <c r="F91" s="250" t="n"/>
      <c r="G91" s="242">
        <f>IF(ISNUMBER(F91),F91,IF(AND(ISNUMBER(C91),ISNUMBER(D91)),ROUND(MOD(D91-C91,1)*24-N(E91)/60,2),""))</f>
        <v/>
      </c>
      <c r="H91" s="241" t="n"/>
    </row>
    <row r="92">
      <c r="A92" s="241" t="n"/>
      <c r="B92" s="247" t="n"/>
      <c r="C92" s="248" t="n"/>
      <c r="D92" s="248" t="n"/>
      <c r="E92" s="249" t="n"/>
      <c r="F92" s="250" t="n"/>
      <c r="G92" s="242">
        <f>IF(ISNUMBER(F92),F92,IF(AND(ISNUMBER(C92),ISNUMBER(D92)),ROUND(MOD(D92-C92,1)*24-N(E92)/60,2),""))</f>
        <v/>
      </c>
      <c r="H92" s="241" t="n"/>
    </row>
    <row r="93">
      <c r="A93" s="241" t="n"/>
      <c r="B93" s="247" t="n"/>
      <c r="C93" s="248" t="n"/>
      <c r="D93" s="248" t="n"/>
      <c r="E93" s="249" t="n"/>
      <c r="F93" s="250" t="n"/>
      <c r="G93" s="242">
        <f>IF(ISNUMBER(F93),F93,IF(AND(ISNUMBER(C93),ISNUMBER(D93)),ROUND(MOD(D93-C93,1)*24-N(E93)/60,2),""))</f>
        <v/>
      </c>
      <c r="H93" s="241" t="n"/>
    </row>
    <row r="94">
      <c r="A94" s="241" t="n"/>
      <c r="B94" s="247" t="n"/>
      <c r="C94" s="248" t="n"/>
      <c r="D94" s="248" t="n"/>
      <c r="E94" s="249" t="n"/>
      <c r="F94" s="250" t="n"/>
      <c r="G94" s="242">
        <f>IF(ISNUMBER(F94),F94,IF(AND(ISNUMBER(C94),ISNUMBER(D94)),ROUND(MOD(D94-C94,1)*24-N(E94)/60,2),""))</f>
        <v/>
      </c>
      <c r="H94" s="241" t="n"/>
    </row>
    <row r="95">
      <c r="A95" s="241" t="n"/>
      <c r="B95" s="247" t="n"/>
      <c r="C95" s="248" t="n"/>
      <c r="D95" s="248" t="n"/>
      <c r="E95" s="249" t="n"/>
      <c r="F95" s="250" t="n"/>
      <c r="G95" s="242">
        <f>IF(ISNUMBER(F95),F95,IF(AND(ISNUMBER(C95),ISNUMBER(D95)),ROUND(MOD(D95-C95,1)*24-N(E95)/60,2),""))</f>
        <v/>
      </c>
      <c r="H95" s="241" t="n"/>
    </row>
    <row r="96">
      <c r="A96" s="241" t="n"/>
      <c r="B96" s="247" t="n"/>
      <c r="C96" s="248" t="n"/>
      <c r="D96" s="248" t="n"/>
      <c r="E96" s="249" t="n"/>
      <c r="F96" s="250" t="n"/>
      <c r="G96" s="242">
        <f>IF(ISNUMBER(F96),F96,IF(AND(ISNUMBER(C96),ISNUMBER(D96)),ROUND(MOD(D96-C96,1)*24-N(E96)/60,2),""))</f>
        <v/>
      </c>
      <c r="H96" s="241" t="n"/>
    </row>
    <row r="97">
      <c r="A97" s="241" t="n"/>
      <c r="B97" s="247" t="n"/>
      <c r="C97" s="248" t="n"/>
      <c r="D97" s="248" t="n"/>
      <c r="E97" s="249" t="n"/>
      <c r="F97" s="250" t="n"/>
      <c r="G97" s="242">
        <f>IF(ISNUMBER(F97),F97,IF(AND(ISNUMBER(C97),ISNUMBER(D97)),ROUND(MOD(D97-C97,1)*24-N(E97)/60,2),""))</f>
        <v/>
      </c>
      <c r="H97" s="241" t="n"/>
    </row>
    <row r="98">
      <c r="A98" s="241" t="n"/>
      <c r="B98" s="247" t="n"/>
      <c r="C98" s="248" t="n"/>
      <c r="D98" s="248" t="n"/>
      <c r="E98" s="249" t="n"/>
      <c r="F98" s="250" t="n"/>
      <c r="G98" s="242">
        <f>IF(ISNUMBER(F98),F98,IF(AND(ISNUMBER(C98),ISNUMBER(D98)),ROUND(MOD(D98-C98,1)*24-N(E98)/60,2),""))</f>
        <v/>
      </c>
      <c r="H98" s="241" t="n"/>
    </row>
    <row r="99">
      <c r="A99" s="241" t="n"/>
      <c r="B99" s="247" t="n"/>
      <c r="C99" s="248" t="n"/>
      <c r="D99" s="248" t="n"/>
      <c r="E99" s="249" t="n"/>
      <c r="F99" s="250" t="n"/>
      <c r="G99" s="242">
        <f>IF(ISNUMBER(F99),F99,IF(AND(ISNUMBER(C99),ISNUMBER(D99)),ROUND(MOD(D99-C99,1)*24-N(E99)/60,2),""))</f>
        <v/>
      </c>
      <c r="H99" s="241" t="n"/>
    </row>
    <row r="100">
      <c r="A100" s="241" t="n"/>
      <c r="B100" s="247" t="n"/>
      <c r="C100" s="248" t="n"/>
      <c r="D100" s="248" t="n"/>
      <c r="E100" s="249" t="n"/>
      <c r="F100" s="250" t="n"/>
      <c r="G100" s="242">
        <f>IF(ISNUMBER(F100),F100,IF(AND(ISNUMBER(C100),ISNUMBER(D100)),ROUND(MOD(D100-C100,1)*24-N(E100)/60,2),""))</f>
        <v/>
      </c>
      <c r="H100" s="241" t="n"/>
    </row>
    <row r="101">
      <c r="A101" s="241" t="n"/>
      <c r="B101" s="247" t="n"/>
      <c r="C101" s="248" t="n"/>
      <c r="D101" s="248" t="n"/>
      <c r="E101" s="249" t="n"/>
      <c r="F101" s="250" t="n"/>
      <c r="G101" s="242">
        <f>IF(ISNUMBER(F101),F101,IF(AND(ISNUMBER(C101),ISNUMBER(D101)),ROUND(MOD(D101-C101,1)*24-N(E101)/60,2),""))</f>
        <v/>
      </c>
      <c r="H101" s="241" t="n"/>
    </row>
    <row r="102">
      <c r="A102" s="241" t="n"/>
      <c r="B102" s="247" t="n"/>
      <c r="C102" s="248" t="n"/>
      <c r="D102" s="248" t="n"/>
      <c r="E102" s="249" t="n"/>
      <c r="F102" s="250" t="n"/>
      <c r="G102" s="242">
        <f>IF(ISNUMBER(F102),F102,IF(AND(ISNUMBER(C102),ISNUMBER(D102)),ROUND(MOD(D102-C102,1)*24-N(E102)/60,2),""))</f>
        <v/>
      </c>
      <c r="H102" s="241" t="n"/>
    </row>
    <row r="103">
      <c r="A103" s="241" t="n"/>
      <c r="B103" s="247" t="n"/>
      <c r="C103" s="248" t="n"/>
      <c r="D103" s="248" t="n"/>
      <c r="E103" s="249" t="n"/>
      <c r="F103" s="250" t="n"/>
      <c r="G103" s="242">
        <f>IF(ISNUMBER(F103),F103,IF(AND(ISNUMBER(C103),ISNUMBER(D103)),ROUND(MOD(D103-C103,1)*24-N(E103)/60,2),""))</f>
        <v/>
      </c>
      <c r="H103" s="241" t="n"/>
    </row>
    <row r="104">
      <c r="A104" s="241" t="n"/>
      <c r="B104" s="247" t="n"/>
      <c r="C104" s="248" t="n"/>
      <c r="D104" s="248" t="n"/>
      <c r="E104" s="249" t="n"/>
      <c r="F104" s="250" t="n"/>
      <c r="G104" s="242">
        <f>IF(ISNUMBER(F104),F104,IF(AND(ISNUMBER(C104),ISNUMBER(D104)),ROUND(MOD(D104-C104,1)*24-N(E104)/60,2),""))</f>
        <v/>
      </c>
      <c r="H104" s="241" t="n"/>
    </row>
    <row r="105">
      <c r="A105" s="241" t="n"/>
      <c r="B105" s="247" t="n"/>
      <c r="C105" s="248" t="n"/>
      <c r="D105" s="248" t="n"/>
      <c r="E105" s="249" t="n"/>
      <c r="F105" s="250" t="n"/>
      <c r="G105" s="242">
        <f>IF(ISNUMBER(F105),F105,IF(AND(ISNUMBER(C105),ISNUMBER(D105)),ROUND(MOD(D105-C105,1)*24-N(E105)/60,2),""))</f>
        <v/>
      </c>
      <c r="H105" s="241" t="n"/>
    </row>
    <row r="106">
      <c r="A106" s="241" t="n"/>
      <c r="B106" s="247" t="n"/>
      <c r="C106" s="248" t="n"/>
      <c r="D106" s="248" t="n"/>
      <c r="E106" s="249" t="n"/>
      <c r="F106" s="250" t="n"/>
      <c r="G106" s="242">
        <f>IF(ISNUMBER(F106),F106,IF(AND(ISNUMBER(C106),ISNUMBER(D106)),ROUND(MOD(D106-C106,1)*24-N(E106)/60,2),""))</f>
        <v/>
      </c>
      <c r="H106" s="241" t="n"/>
    </row>
    <row r="107">
      <c r="A107" s="241" t="n"/>
      <c r="B107" s="247" t="n"/>
      <c r="C107" s="248" t="n"/>
      <c r="D107" s="248" t="n"/>
      <c r="E107" s="249" t="n"/>
      <c r="F107" s="250" t="n"/>
      <c r="G107" s="242">
        <f>IF(ISNUMBER(F107),F107,IF(AND(ISNUMBER(C107),ISNUMBER(D107)),ROUND(MOD(D107-C107,1)*24-N(E107)/60,2),""))</f>
        <v/>
      </c>
      <c r="H107" s="241" t="n"/>
    </row>
    <row r="108">
      <c r="A108" s="241" t="n"/>
      <c r="B108" s="247" t="n"/>
      <c r="C108" s="248" t="n"/>
      <c r="D108" s="248" t="n"/>
      <c r="E108" s="249" t="n"/>
      <c r="F108" s="250" t="n"/>
      <c r="G108" s="242">
        <f>IF(ISNUMBER(F108),F108,IF(AND(ISNUMBER(C108),ISNUMBER(D108)),ROUND(MOD(D108-C108,1)*24-N(E108)/60,2),""))</f>
        <v/>
      </c>
      <c r="H108" s="241" t="n"/>
    </row>
    <row r="109">
      <c r="A109" s="241" t="n"/>
      <c r="B109" s="247" t="n"/>
      <c r="C109" s="248" t="n"/>
      <c r="D109" s="248" t="n"/>
      <c r="E109" s="249" t="n"/>
      <c r="F109" s="250" t="n"/>
      <c r="G109" s="242">
        <f>IF(ISNUMBER(F109),F109,IF(AND(ISNUMBER(C109),ISNUMBER(D109)),ROUND(MOD(D109-C109,1)*24-N(E109)/60,2),""))</f>
        <v/>
      </c>
      <c r="H109" s="241" t="n"/>
    </row>
    <row r="110">
      <c r="A110" s="241" t="n"/>
      <c r="B110" s="247" t="n"/>
      <c r="C110" s="248" t="n"/>
      <c r="D110" s="248" t="n"/>
      <c r="E110" s="249" t="n"/>
      <c r="F110" s="250" t="n"/>
      <c r="G110" s="242">
        <f>IF(ISNUMBER(F110),F110,IF(AND(ISNUMBER(C110),ISNUMBER(D110)),ROUND(MOD(D110-C110,1)*24-N(E110)/60,2),""))</f>
        <v/>
      </c>
      <c r="H110" s="241" t="n"/>
    </row>
    <row r="111">
      <c r="A111" s="241" t="n"/>
      <c r="B111" s="247" t="n"/>
      <c r="C111" s="248" t="n"/>
      <c r="D111" s="248" t="n"/>
      <c r="E111" s="249" t="n"/>
      <c r="F111" s="250" t="n"/>
      <c r="G111" s="242">
        <f>IF(ISNUMBER(F111),F111,IF(AND(ISNUMBER(C111),ISNUMBER(D111)),ROUND(MOD(D111-C111,1)*24-N(E111)/60,2),""))</f>
        <v/>
      </c>
      <c r="H111" s="241" t="n"/>
    </row>
    <row r="112">
      <c r="A112" s="241" t="n"/>
      <c r="B112" s="247" t="n"/>
      <c r="C112" s="248" t="n"/>
      <c r="D112" s="248" t="n"/>
      <c r="E112" s="249" t="n"/>
      <c r="F112" s="250" t="n"/>
      <c r="G112" s="242">
        <f>IF(ISNUMBER(F112),F112,IF(AND(ISNUMBER(C112),ISNUMBER(D112)),ROUND(MOD(D112-C112,1)*24-N(E112)/60,2),""))</f>
        <v/>
      </c>
      <c r="H112" s="241" t="n"/>
    </row>
    <row r="113">
      <c r="A113" s="241" t="n"/>
      <c r="B113" s="247" t="n"/>
      <c r="C113" s="248" t="n"/>
      <c r="D113" s="248" t="n"/>
      <c r="E113" s="249" t="n"/>
      <c r="F113" s="250" t="n"/>
      <c r="G113" s="242">
        <f>IF(ISNUMBER(F113),F113,IF(AND(ISNUMBER(C113),ISNUMBER(D113)),ROUND(MOD(D113-C113,1)*24-N(E113)/60,2),""))</f>
        <v/>
      </c>
      <c r="H113" s="241" t="n"/>
    </row>
    <row r="114">
      <c r="A114" s="241" t="n"/>
      <c r="B114" s="247" t="n"/>
      <c r="C114" s="248" t="n"/>
      <c r="D114" s="248" t="n"/>
      <c r="E114" s="249" t="n"/>
      <c r="F114" s="250" t="n"/>
      <c r="G114" s="242">
        <f>IF(ISNUMBER(F114),F114,IF(AND(ISNUMBER(C114),ISNUMBER(D114)),ROUND(MOD(D114-C114,1)*24-N(E114)/60,2),""))</f>
        <v/>
      </c>
      <c r="H114" s="241" t="n"/>
    </row>
    <row r="115">
      <c r="A115" s="241" t="n"/>
      <c r="B115" s="247" t="n"/>
      <c r="C115" s="248" t="n"/>
      <c r="D115" s="248" t="n"/>
      <c r="E115" s="249" t="n"/>
      <c r="F115" s="250" t="n"/>
      <c r="G115" s="242">
        <f>IF(ISNUMBER(F115),F115,IF(AND(ISNUMBER(C115),ISNUMBER(D115)),ROUND(MOD(D115-C115,1)*24-N(E115)/60,2),""))</f>
        <v/>
      </c>
      <c r="H115" s="241" t="n"/>
    </row>
    <row r="116">
      <c r="A116" s="241" t="n"/>
      <c r="B116" s="247" t="n"/>
      <c r="C116" s="248" t="n"/>
      <c r="D116" s="248" t="n"/>
      <c r="E116" s="249" t="n"/>
      <c r="F116" s="250" t="n"/>
      <c r="G116" s="242">
        <f>IF(ISNUMBER(F116),F116,IF(AND(ISNUMBER(C116),ISNUMBER(D116)),ROUND(MOD(D116-C116,1)*24-N(E116)/60,2),""))</f>
        <v/>
      </c>
      <c r="H116" s="241" t="n"/>
    </row>
    <row r="117">
      <c r="A117" s="241" t="n"/>
      <c r="B117" s="247" t="n"/>
      <c r="C117" s="248" t="n"/>
      <c r="D117" s="248" t="n"/>
      <c r="E117" s="249" t="n"/>
      <c r="F117" s="250" t="n"/>
      <c r="G117" s="242">
        <f>IF(ISNUMBER(F117),F117,IF(AND(ISNUMBER(C117),ISNUMBER(D117)),ROUND(MOD(D117-C117,1)*24-N(E117)/60,2),""))</f>
        <v/>
      </c>
      <c r="H117" s="241" t="n"/>
    </row>
    <row r="118">
      <c r="A118" s="241" t="n"/>
      <c r="B118" s="247" t="n"/>
      <c r="C118" s="248" t="n"/>
      <c r="D118" s="248" t="n"/>
      <c r="E118" s="249" t="n"/>
      <c r="F118" s="250" t="n"/>
      <c r="G118" s="242">
        <f>IF(ISNUMBER(F118),F118,IF(AND(ISNUMBER(C118),ISNUMBER(D118)),ROUND(MOD(D118-C118,1)*24-N(E118)/60,2),""))</f>
        <v/>
      </c>
      <c r="H118" s="241" t="n"/>
    </row>
    <row r="119">
      <c r="A119" s="241" t="n"/>
      <c r="B119" s="247" t="n"/>
      <c r="C119" s="248" t="n"/>
      <c r="D119" s="248" t="n"/>
      <c r="E119" s="249" t="n"/>
      <c r="F119" s="250" t="n"/>
      <c r="G119" s="242">
        <f>IF(ISNUMBER(F119),F119,IF(AND(ISNUMBER(C119),ISNUMBER(D119)),ROUND(MOD(D119-C119,1)*24-N(E119)/60,2),""))</f>
        <v/>
      </c>
      <c r="H119" s="241" t="n"/>
    </row>
    <row r="120">
      <c r="A120" s="241" t="n"/>
      <c r="B120" s="247" t="n"/>
      <c r="C120" s="248" t="n"/>
      <c r="D120" s="248" t="n"/>
      <c r="E120" s="249" t="n"/>
      <c r="F120" s="250" t="n"/>
      <c r="G120" s="242">
        <f>IF(ISNUMBER(F120),F120,IF(AND(ISNUMBER(C120),ISNUMBER(D120)),ROUND(MOD(D120-C120,1)*24-N(E120)/60,2),""))</f>
        <v/>
      </c>
      <c r="H120" s="241" t="n"/>
    </row>
    <row r="121">
      <c r="A121" s="241" t="n"/>
      <c r="B121" s="247" t="n"/>
      <c r="C121" s="248" t="n"/>
      <c r="D121" s="248" t="n"/>
      <c r="E121" s="249" t="n"/>
      <c r="F121" s="250" t="n"/>
      <c r="G121" s="242">
        <f>IF(ISNUMBER(F121),F121,IF(AND(ISNUMBER(C121),ISNUMBER(D121)),ROUND(MOD(D121-C121,1)*24-N(E121)/60,2),""))</f>
        <v/>
      </c>
      <c r="H121" s="241" t="n"/>
    </row>
    <row r="122">
      <c r="A122" s="241" t="n"/>
      <c r="B122" s="247" t="n"/>
      <c r="C122" s="248" t="n"/>
      <c r="D122" s="248" t="n"/>
      <c r="E122" s="249" t="n"/>
      <c r="F122" s="250" t="n"/>
      <c r="G122" s="242">
        <f>IF(ISNUMBER(F122),F122,IF(AND(ISNUMBER(C122),ISNUMBER(D122)),ROUND(MOD(D122-C122,1)*24-N(E122)/60,2),""))</f>
        <v/>
      </c>
      <c r="H122" s="241" t="n"/>
    </row>
    <row r="123">
      <c r="A123" s="241" t="n"/>
      <c r="B123" s="247" t="n"/>
      <c r="C123" s="248" t="n"/>
      <c r="D123" s="248" t="n"/>
      <c r="E123" s="249" t="n"/>
      <c r="F123" s="250" t="n"/>
      <c r="G123" s="242">
        <f>IF(ISNUMBER(F123),F123,IF(AND(ISNUMBER(C123),ISNUMBER(D123)),ROUND(MOD(D123-C123,1)*24-N(E123)/60,2),""))</f>
        <v/>
      </c>
      <c r="H123" s="241" t="n"/>
    </row>
    <row r="124">
      <c r="A124" s="241" t="n"/>
      <c r="B124" s="247" t="n"/>
      <c r="C124" s="248" t="n"/>
      <c r="D124" s="248" t="n"/>
      <c r="E124" s="249" t="n"/>
      <c r="F124" s="250" t="n"/>
      <c r="G124" s="242">
        <f>IF(ISNUMBER(F124),F124,IF(AND(ISNUMBER(C124),ISNUMBER(D124)),ROUND(MOD(D124-C124,1)*24-N(E124)/60,2),""))</f>
        <v/>
      </c>
      <c r="H124" s="241" t="n"/>
    </row>
    <row r="125">
      <c r="A125" s="241" t="n"/>
      <c r="B125" s="247" t="n"/>
      <c r="C125" s="248" t="n"/>
      <c r="D125" s="248" t="n"/>
      <c r="E125" s="249" t="n"/>
      <c r="F125" s="250" t="n"/>
      <c r="G125" s="242">
        <f>IF(ISNUMBER(F125),F125,IF(AND(ISNUMBER(C125),ISNUMBER(D125)),ROUND(MOD(D125-C125,1)*24-N(E125)/60,2),""))</f>
        <v/>
      </c>
      <c r="H125" s="241" t="n"/>
    </row>
    <row r="126">
      <c r="A126" s="241" t="n"/>
      <c r="B126" s="247" t="n"/>
      <c r="C126" s="248" t="n"/>
      <c r="D126" s="248" t="n"/>
      <c r="E126" s="249" t="n"/>
      <c r="F126" s="250" t="n"/>
      <c r="G126" s="242">
        <f>IF(ISNUMBER(F126),F126,IF(AND(ISNUMBER(C126),ISNUMBER(D126)),ROUND(MOD(D126-C126,1)*24-N(E126)/60,2),""))</f>
        <v/>
      </c>
      <c r="H126" s="241" t="n"/>
    </row>
    <row r="127">
      <c r="A127" s="241" t="n"/>
      <c r="B127" s="247" t="n"/>
      <c r="C127" s="248" t="n"/>
      <c r="D127" s="248" t="n"/>
      <c r="E127" s="249" t="n"/>
      <c r="F127" s="250" t="n"/>
      <c r="G127" s="242">
        <f>IF(ISNUMBER(F127),F127,IF(AND(ISNUMBER(C127),ISNUMBER(D127)),ROUND(MOD(D127-C127,1)*24-N(E127)/60,2),""))</f>
        <v/>
      </c>
      <c r="H127" s="241" t="n"/>
    </row>
    <row r="128">
      <c r="A128" s="241" t="n"/>
      <c r="B128" s="247" t="n"/>
      <c r="C128" s="248" t="n"/>
      <c r="D128" s="248" t="n"/>
      <c r="E128" s="249" t="n"/>
      <c r="F128" s="250" t="n"/>
      <c r="G128" s="242">
        <f>IF(ISNUMBER(F128),F128,IF(AND(ISNUMBER(C128),ISNUMBER(D128)),ROUND(MOD(D128-C128,1)*24-N(E128)/60,2),""))</f>
        <v/>
      </c>
      <c r="H128" s="241" t="n"/>
    </row>
    <row r="129">
      <c r="A129" s="241" t="n"/>
      <c r="B129" s="247" t="n"/>
      <c r="C129" s="248" t="n"/>
      <c r="D129" s="248" t="n"/>
      <c r="E129" s="249" t="n"/>
      <c r="F129" s="250" t="n"/>
      <c r="G129" s="242">
        <f>IF(ISNUMBER(F129),F129,IF(AND(ISNUMBER(C129),ISNUMBER(D129)),ROUND(MOD(D129-C129,1)*24-N(E129)/60,2),""))</f>
        <v/>
      </c>
      <c r="H129" s="241" t="n"/>
    </row>
    <row r="130">
      <c r="A130" s="241" t="n"/>
      <c r="B130" s="247" t="n"/>
      <c r="C130" s="248" t="n"/>
      <c r="D130" s="248" t="n"/>
      <c r="E130" s="249" t="n"/>
      <c r="F130" s="250" t="n"/>
      <c r="G130" s="242">
        <f>IF(ISNUMBER(F130),F130,IF(AND(ISNUMBER(C130),ISNUMBER(D130)),ROUND(MOD(D130-C130,1)*24-N(E130)/60,2),""))</f>
        <v/>
      </c>
      <c r="H130" s="241" t="n"/>
    </row>
    <row r="131">
      <c r="A131" s="241" t="n"/>
      <c r="B131" s="247" t="n"/>
      <c r="C131" s="248" t="n"/>
      <c r="D131" s="248" t="n"/>
      <c r="E131" s="249" t="n"/>
      <c r="F131" s="250" t="n"/>
      <c r="G131" s="242">
        <f>IF(ISNUMBER(F131),F131,IF(AND(ISNUMBER(C131),ISNUMBER(D131)),ROUND(MOD(D131-C131,1)*24-N(E131)/60,2),""))</f>
        <v/>
      </c>
      <c r="H131" s="241" t="n"/>
    </row>
    <row r="132">
      <c r="A132" s="241" t="n"/>
      <c r="B132" s="247" t="n"/>
      <c r="C132" s="248" t="n"/>
      <c r="D132" s="248" t="n"/>
      <c r="E132" s="249" t="n"/>
      <c r="F132" s="250" t="n"/>
      <c r="G132" s="242">
        <f>IF(ISNUMBER(F132),F132,IF(AND(ISNUMBER(C132),ISNUMBER(D132)),ROUND(MOD(D132-C132,1)*24-N(E132)/60,2),""))</f>
        <v/>
      </c>
      <c r="H132" s="241" t="n"/>
    </row>
    <row r="133">
      <c r="A133" s="241" t="n"/>
      <c r="B133" s="247" t="n"/>
      <c r="C133" s="248" t="n"/>
      <c r="D133" s="248" t="n"/>
      <c r="E133" s="249" t="n"/>
      <c r="F133" s="250" t="n"/>
      <c r="G133" s="242">
        <f>IF(ISNUMBER(F133),F133,IF(AND(ISNUMBER(C133),ISNUMBER(D133)),ROUND(MOD(D133-C133,1)*24-N(E133)/60,2),""))</f>
        <v/>
      </c>
      <c r="H133" s="241" t="n"/>
    </row>
    <row r="134">
      <c r="A134" s="241" t="n"/>
      <c r="B134" s="247" t="n"/>
      <c r="C134" s="248" t="n"/>
      <c r="D134" s="248" t="n"/>
      <c r="E134" s="249" t="n"/>
      <c r="F134" s="250" t="n"/>
      <c r="G134" s="242">
        <f>IF(ISNUMBER(F134),F134,IF(AND(ISNUMBER(C134),ISNUMBER(D134)),ROUND(MOD(D134-C134,1)*24-N(E134)/60,2),""))</f>
        <v/>
      </c>
      <c r="H134" s="241" t="n"/>
    </row>
    <row r="135">
      <c r="A135" s="241" t="n"/>
      <c r="B135" s="247" t="n"/>
      <c r="C135" s="248" t="n"/>
      <c r="D135" s="248" t="n"/>
      <c r="E135" s="249" t="n"/>
      <c r="F135" s="250" t="n"/>
      <c r="G135" s="242">
        <f>IF(ISNUMBER(F135),F135,IF(AND(ISNUMBER(C135),ISNUMBER(D135)),ROUND(MOD(D135-C135,1)*24-N(E135)/60,2),""))</f>
        <v/>
      </c>
      <c r="H135" s="241" t="n"/>
    </row>
    <row r="136">
      <c r="A136" s="241" t="n"/>
      <c r="B136" s="247" t="n"/>
      <c r="C136" s="248" t="n"/>
      <c r="D136" s="248" t="n"/>
      <c r="E136" s="249" t="n"/>
      <c r="F136" s="250" t="n"/>
      <c r="G136" s="242">
        <f>IF(ISNUMBER(F136),F136,IF(AND(ISNUMBER(C136),ISNUMBER(D136)),ROUND(MOD(D136-C136,1)*24-N(E136)/60,2),""))</f>
        <v/>
      </c>
      <c r="H136" s="241" t="n"/>
    </row>
    <row r="137">
      <c r="A137" s="241" t="n"/>
      <c r="B137" s="247" t="n"/>
      <c r="C137" s="248" t="n"/>
      <c r="D137" s="248" t="n"/>
      <c r="E137" s="249" t="n"/>
      <c r="F137" s="250" t="n"/>
      <c r="G137" s="242">
        <f>IF(ISNUMBER(F137),F137,IF(AND(ISNUMBER(C137),ISNUMBER(D137)),ROUND(MOD(D137-C137,1)*24-N(E137)/60,2),""))</f>
        <v/>
      </c>
      <c r="H137" s="241" t="n"/>
    </row>
    <row r="138">
      <c r="A138" s="241" t="n"/>
      <c r="B138" s="247" t="n"/>
      <c r="C138" s="248" t="n"/>
      <c r="D138" s="248" t="n"/>
      <c r="E138" s="249" t="n"/>
      <c r="F138" s="250" t="n"/>
      <c r="G138" s="242">
        <f>IF(ISNUMBER(F138),F138,IF(AND(ISNUMBER(C138),ISNUMBER(D138)),ROUND(MOD(D138-C138,1)*24-N(E138)/60,2),""))</f>
        <v/>
      </c>
      <c r="H138" s="241" t="n"/>
    </row>
    <row r="139">
      <c r="A139" s="241" t="n"/>
      <c r="B139" s="247" t="n"/>
      <c r="C139" s="248" t="n"/>
      <c r="D139" s="248" t="n"/>
      <c r="E139" s="249" t="n"/>
      <c r="F139" s="250" t="n"/>
      <c r="G139" s="242">
        <f>IF(ISNUMBER(F139),F139,IF(AND(ISNUMBER(C139),ISNUMBER(D139)),ROUND(MOD(D139-C139,1)*24-N(E139)/60,2),""))</f>
        <v/>
      </c>
      <c r="H139" s="241" t="n"/>
    </row>
    <row r="140">
      <c r="A140" s="241" t="n"/>
      <c r="B140" s="247" t="n"/>
      <c r="C140" s="248" t="n"/>
      <c r="D140" s="248" t="n"/>
      <c r="E140" s="249" t="n"/>
      <c r="F140" s="250" t="n"/>
      <c r="G140" s="242">
        <f>IF(ISNUMBER(F140),F140,IF(AND(ISNUMBER(C140),ISNUMBER(D140)),ROUND(MOD(D140-C140,1)*24-N(E140)/60,2),""))</f>
        <v/>
      </c>
      <c r="H140" s="241" t="n"/>
    </row>
    <row r="141">
      <c r="A141" s="241" t="n"/>
      <c r="B141" s="247" t="n"/>
      <c r="C141" s="248" t="n"/>
      <c r="D141" s="248" t="n"/>
      <c r="E141" s="249" t="n"/>
      <c r="F141" s="250" t="n"/>
      <c r="G141" s="242">
        <f>IF(ISNUMBER(F141),F141,IF(AND(ISNUMBER(C141),ISNUMBER(D141)),ROUND(MOD(D141-C141,1)*24-N(E141)/60,2),""))</f>
        <v/>
      </c>
      <c r="H141" s="241" t="n"/>
    </row>
    <row r="142">
      <c r="A142" s="241" t="n"/>
      <c r="B142" s="247" t="n"/>
      <c r="C142" s="248" t="n"/>
      <c r="D142" s="248" t="n"/>
      <c r="E142" s="249" t="n"/>
      <c r="F142" s="250" t="n"/>
      <c r="G142" s="242">
        <f>IF(ISNUMBER(F142),F142,IF(AND(ISNUMBER(C142),ISNUMBER(D142)),ROUND(MOD(D142-C142,1)*24-N(E142)/60,2),""))</f>
        <v/>
      </c>
      <c r="H142" s="241" t="n"/>
    </row>
    <row r="143">
      <c r="A143" s="241" t="n"/>
      <c r="B143" s="247" t="n"/>
      <c r="C143" s="248" t="n"/>
      <c r="D143" s="248" t="n"/>
      <c r="E143" s="249" t="n"/>
      <c r="F143" s="250" t="n"/>
      <c r="G143" s="242">
        <f>IF(ISNUMBER(F143),F143,IF(AND(ISNUMBER(C143),ISNUMBER(D143)),ROUND(MOD(D143-C143,1)*24-N(E143)/60,2),""))</f>
        <v/>
      </c>
      <c r="H143" s="241" t="n"/>
    </row>
    <row r="144">
      <c r="A144" s="241" t="n"/>
      <c r="B144" s="247" t="n"/>
      <c r="C144" s="248" t="n"/>
      <c r="D144" s="248" t="n"/>
      <c r="E144" s="249" t="n"/>
      <c r="F144" s="250" t="n"/>
      <c r="G144" s="242">
        <f>IF(ISNUMBER(F144),F144,IF(AND(ISNUMBER(C144),ISNUMBER(D144)),ROUND(MOD(D144-C144,1)*24-N(E144)/60,2),""))</f>
        <v/>
      </c>
      <c r="H144" s="241" t="n"/>
    </row>
    <row r="145">
      <c r="A145" s="241" t="n"/>
      <c r="B145" s="247" t="n"/>
      <c r="C145" s="248" t="n"/>
      <c r="D145" s="248" t="n"/>
      <c r="E145" s="249" t="n"/>
      <c r="F145" s="250" t="n"/>
      <c r="G145" s="242">
        <f>IF(ISNUMBER(F145),F145,IF(AND(ISNUMBER(C145),ISNUMBER(D145)),ROUND(MOD(D145-C145,1)*24-N(E145)/60,2),""))</f>
        <v/>
      </c>
      <c r="H145" s="241" t="n"/>
    </row>
    <row r="146">
      <c r="A146" s="241" t="n"/>
      <c r="B146" s="247" t="n"/>
      <c r="C146" s="248" t="n"/>
      <c r="D146" s="248" t="n"/>
      <c r="E146" s="249" t="n"/>
      <c r="F146" s="250" t="n"/>
      <c r="G146" s="242">
        <f>IF(ISNUMBER(F146),F146,IF(AND(ISNUMBER(C146),ISNUMBER(D146)),ROUND(MOD(D146-C146,1)*24-N(E146)/60,2),""))</f>
        <v/>
      </c>
      <c r="H146" s="241" t="n"/>
    </row>
    <row r="147">
      <c r="A147" s="241" t="n"/>
      <c r="B147" s="247" t="n"/>
      <c r="C147" s="248" t="n"/>
      <c r="D147" s="248" t="n"/>
      <c r="E147" s="249" t="n"/>
      <c r="F147" s="250" t="n"/>
      <c r="G147" s="242">
        <f>IF(ISNUMBER(F147),F147,IF(AND(ISNUMBER(C147),ISNUMBER(D147)),ROUND(MOD(D147-C147,1)*24-N(E147)/60,2),""))</f>
        <v/>
      </c>
      <c r="H147" s="241" t="n"/>
    </row>
    <row r="148">
      <c r="A148" s="241" t="n"/>
      <c r="B148" s="247" t="n"/>
      <c r="C148" s="248" t="n"/>
      <c r="D148" s="248" t="n"/>
      <c r="E148" s="249" t="n"/>
      <c r="F148" s="250" t="n"/>
      <c r="G148" s="242">
        <f>IF(ISNUMBER(F148),F148,IF(AND(ISNUMBER(C148),ISNUMBER(D148)),ROUND(MOD(D148-C148,1)*24-N(E148)/60,2),""))</f>
        <v/>
      </c>
      <c r="H148" s="241" t="n"/>
    </row>
    <row r="149">
      <c r="A149" s="241" t="n"/>
      <c r="B149" s="247" t="n"/>
      <c r="C149" s="248" t="n"/>
      <c r="D149" s="248" t="n"/>
      <c r="E149" s="249" t="n"/>
      <c r="F149" s="250" t="n"/>
      <c r="G149" s="242">
        <f>IF(ISNUMBER(F149),F149,IF(AND(ISNUMBER(C149),ISNUMBER(D149)),ROUND(MOD(D149-C149,1)*24-N(E149)/60,2),""))</f>
        <v/>
      </c>
      <c r="H149" s="241" t="n"/>
    </row>
    <row r="150">
      <c r="A150" s="241" t="n"/>
      <c r="B150" s="247" t="n"/>
      <c r="C150" s="248" t="n"/>
      <c r="D150" s="248" t="n"/>
      <c r="E150" s="249" t="n"/>
      <c r="F150" s="250" t="n"/>
      <c r="G150" s="242">
        <f>IF(ISNUMBER(F150),F150,IF(AND(ISNUMBER(C150),ISNUMBER(D150)),ROUND(MOD(D150-C150,1)*24-N(E150)/60,2),""))</f>
        <v/>
      </c>
      <c r="H150" s="241" t="n"/>
    </row>
    <row r="151">
      <c r="A151" s="241" t="n"/>
      <c r="B151" s="247" t="n"/>
      <c r="C151" s="248" t="n"/>
      <c r="D151" s="248" t="n"/>
      <c r="E151" s="249" t="n"/>
      <c r="F151" s="250" t="n"/>
      <c r="G151" s="242">
        <f>IF(ISNUMBER(F151),F151,IF(AND(ISNUMBER(C151),ISNUMBER(D151)),ROUND(MOD(D151-C151,1)*24-N(E151)/60,2),""))</f>
        <v/>
      </c>
      <c r="H151" s="241" t="n"/>
    </row>
    <row r="152">
      <c r="A152" s="241" t="n"/>
      <c r="B152" s="247" t="n"/>
      <c r="C152" s="248" t="n"/>
      <c r="D152" s="248" t="n"/>
      <c r="E152" s="249" t="n"/>
      <c r="F152" s="250" t="n"/>
      <c r="G152" s="242">
        <f>IF(ISNUMBER(F152),F152,IF(AND(ISNUMBER(C152),ISNUMBER(D152)),ROUND(MOD(D152-C152,1)*24-N(E152)/60,2),""))</f>
        <v/>
      </c>
      <c r="H152" s="241" t="n"/>
    </row>
    <row r="153">
      <c r="A153" s="241" t="n"/>
      <c r="B153" s="247" t="n"/>
      <c r="C153" s="248" t="n"/>
      <c r="D153" s="248" t="n"/>
      <c r="E153" s="249" t="n"/>
      <c r="F153" s="250" t="n"/>
      <c r="G153" s="242">
        <f>IF(ISNUMBER(F153),F153,IF(AND(ISNUMBER(C153),ISNUMBER(D153)),ROUND(MOD(D153-C153,1)*24-N(E153)/60,2),""))</f>
        <v/>
      </c>
      <c r="H153" s="241" t="n"/>
    </row>
    <row r="154">
      <c r="A154" s="241" t="n"/>
      <c r="B154" s="247" t="n"/>
      <c r="C154" s="248" t="n"/>
      <c r="D154" s="248" t="n"/>
      <c r="E154" s="249" t="n"/>
      <c r="F154" s="250" t="n"/>
      <c r="G154" s="242">
        <f>IF(ISNUMBER(F154),F154,IF(AND(ISNUMBER(C154),ISNUMBER(D154)),ROUND(MOD(D154-C154,1)*24-N(E154)/60,2),""))</f>
        <v/>
      </c>
      <c r="H154" s="241" t="n"/>
    </row>
    <row r="155">
      <c r="A155" s="241" t="n"/>
      <c r="B155" s="247" t="n"/>
      <c r="C155" s="248" t="n"/>
      <c r="D155" s="248" t="n"/>
      <c r="E155" s="249" t="n"/>
      <c r="F155" s="250" t="n"/>
      <c r="G155" s="242">
        <f>IF(ISNUMBER(F155),F155,IF(AND(ISNUMBER(C155),ISNUMBER(D155)),ROUND(MOD(D155-C155,1)*24-N(E155)/60,2),""))</f>
        <v/>
      </c>
      <c r="H155" s="241" t="n"/>
    </row>
    <row r="156">
      <c r="A156" s="241" t="n"/>
      <c r="B156" s="247" t="n"/>
      <c r="C156" s="248" t="n"/>
      <c r="D156" s="248" t="n"/>
      <c r="E156" s="249" t="n"/>
      <c r="F156" s="250" t="n"/>
      <c r="G156" s="242">
        <f>IF(ISNUMBER(F156),F156,IF(AND(ISNUMBER(C156),ISNUMBER(D156)),ROUND(MOD(D156-C156,1)*24-N(E156)/60,2),""))</f>
        <v/>
      </c>
      <c r="H156" s="241" t="n"/>
    </row>
    <row r="157">
      <c r="A157" s="241" t="n"/>
      <c r="B157" s="247" t="n"/>
      <c r="C157" s="248" t="n"/>
      <c r="D157" s="248" t="n"/>
      <c r="E157" s="249" t="n"/>
      <c r="F157" s="250" t="n"/>
      <c r="G157" s="242">
        <f>IF(ISNUMBER(F157),F157,IF(AND(ISNUMBER(C157),ISNUMBER(D157)),ROUND(MOD(D157-C157,1)*24-N(E157)/60,2),""))</f>
        <v/>
      </c>
      <c r="H157" s="241" t="n"/>
    </row>
    <row r="158">
      <c r="A158" s="241" t="n"/>
      <c r="B158" s="247" t="n"/>
      <c r="C158" s="248" t="n"/>
      <c r="D158" s="248" t="n"/>
      <c r="E158" s="249" t="n"/>
      <c r="F158" s="250" t="n"/>
      <c r="G158" s="242">
        <f>IF(ISNUMBER(F158),F158,IF(AND(ISNUMBER(C158),ISNUMBER(D158)),ROUND(MOD(D158-C158,1)*24-N(E158)/60,2),""))</f>
        <v/>
      </c>
      <c r="H158" s="241" t="n"/>
    </row>
    <row r="159">
      <c r="A159" s="241" t="n"/>
      <c r="B159" s="247" t="n"/>
      <c r="C159" s="248" t="n"/>
      <c r="D159" s="248" t="n"/>
      <c r="E159" s="249" t="n"/>
      <c r="F159" s="250" t="n"/>
      <c r="G159" s="242">
        <f>IF(ISNUMBER(F159),F159,IF(AND(ISNUMBER(C159),ISNUMBER(D159)),ROUND(MOD(D159-C159,1)*24-N(E159)/60,2),""))</f>
        <v/>
      </c>
      <c r="H159" s="241" t="n"/>
    </row>
    <row r="160">
      <c r="A160" s="241" t="n"/>
      <c r="B160" s="247" t="n"/>
      <c r="C160" s="248" t="n"/>
      <c r="D160" s="248" t="n"/>
      <c r="E160" s="249" t="n"/>
      <c r="F160" s="250" t="n"/>
      <c r="G160" s="242">
        <f>IF(ISNUMBER(F160),F160,IF(AND(ISNUMBER(C160),ISNUMBER(D160)),ROUND(MOD(D160-C160,1)*24-N(E160)/60,2),""))</f>
        <v/>
      </c>
      <c r="H160" s="241" t="n"/>
    </row>
    <row r="161">
      <c r="A161" s="241" t="n"/>
      <c r="B161" s="247" t="n"/>
      <c r="C161" s="248" t="n"/>
      <c r="D161" s="248" t="n"/>
      <c r="E161" s="249" t="n"/>
      <c r="F161" s="250" t="n"/>
      <c r="G161" s="242">
        <f>IF(ISNUMBER(F161),F161,IF(AND(ISNUMBER(C161),ISNUMBER(D161)),ROUND(MOD(D161-C161,1)*24-N(E161)/60,2),""))</f>
        <v/>
      </c>
      <c r="H161" s="241" t="n"/>
    </row>
    <row r="162">
      <c r="A162" s="241" t="n"/>
      <c r="B162" s="247" t="n"/>
      <c r="C162" s="248" t="n"/>
      <c r="D162" s="248" t="n"/>
      <c r="E162" s="249" t="n"/>
      <c r="F162" s="250" t="n"/>
      <c r="G162" s="242">
        <f>IF(ISNUMBER(F162),F162,IF(AND(ISNUMBER(C162),ISNUMBER(D162)),ROUND(MOD(D162-C162,1)*24-N(E162)/60,2),""))</f>
        <v/>
      </c>
      <c r="H162" s="241" t="n"/>
    </row>
    <row r="163">
      <c r="A163" s="241" t="n"/>
      <c r="B163" s="247" t="n"/>
      <c r="C163" s="248" t="n"/>
      <c r="D163" s="248" t="n"/>
      <c r="E163" s="249" t="n"/>
      <c r="F163" s="250" t="n"/>
      <c r="G163" s="242">
        <f>IF(ISNUMBER(F163),F163,IF(AND(ISNUMBER(C163),ISNUMBER(D163)),ROUND(MOD(D163-C163,1)*24-N(E163)/60,2),""))</f>
        <v/>
      </c>
      <c r="H163" s="241" t="n"/>
    </row>
    <row r="164">
      <c r="A164" s="241" t="n"/>
      <c r="B164" s="247" t="n"/>
      <c r="C164" s="248" t="n"/>
      <c r="D164" s="248" t="n"/>
      <c r="E164" s="249" t="n"/>
      <c r="F164" s="250" t="n"/>
      <c r="G164" s="242">
        <f>IF(ISNUMBER(F164),F164,IF(AND(ISNUMBER(C164),ISNUMBER(D164)),ROUND(MOD(D164-C164,1)*24-N(E164)/60,2),""))</f>
        <v/>
      </c>
      <c r="H164" s="241" t="n"/>
    </row>
    <row r="165">
      <c r="A165" s="241" t="n"/>
      <c r="B165" s="247" t="n"/>
      <c r="C165" s="248" t="n"/>
      <c r="D165" s="248" t="n"/>
      <c r="E165" s="249" t="n"/>
      <c r="F165" s="250" t="n"/>
      <c r="G165" s="242">
        <f>IF(ISNUMBER(F165),F165,IF(AND(ISNUMBER(C165),ISNUMBER(D165)),ROUND(MOD(D165-C165,1)*24-N(E165)/60,2),""))</f>
        <v/>
      </c>
      <c r="H165" s="241" t="n"/>
    </row>
    <row r="166">
      <c r="A166" s="241" t="n"/>
      <c r="B166" s="247" t="n"/>
      <c r="C166" s="248" t="n"/>
      <c r="D166" s="248" t="n"/>
      <c r="E166" s="249" t="n"/>
      <c r="F166" s="250" t="n"/>
      <c r="G166" s="242">
        <f>IF(ISNUMBER(F166),F166,IF(AND(ISNUMBER(C166),ISNUMBER(D166)),ROUND(MOD(D166-C166,1)*24-N(E166)/60,2),""))</f>
        <v/>
      </c>
      <c r="H166" s="241" t="n"/>
    </row>
    <row r="167">
      <c r="A167" s="241" t="n"/>
      <c r="B167" s="247" t="n"/>
      <c r="C167" s="248" t="n"/>
      <c r="D167" s="248" t="n"/>
      <c r="E167" s="249" t="n"/>
      <c r="F167" s="250" t="n"/>
      <c r="G167" s="242">
        <f>IF(ISNUMBER(F167),F167,IF(AND(ISNUMBER(C167),ISNUMBER(D167)),ROUND(MOD(D167-C167,1)*24-N(E167)/60,2),""))</f>
        <v/>
      </c>
      <c r="H167" s="241" t="n"/>
    </row>
    <row r="168">
      <c r="A168" s="241" t="n"/>
      <c r="B168" s="247" t="n"/>
      <c r="C168" s="248" t="n"/>
      <c r="D168" s="248" t="n"/>
      <c r="E168" s="249" t="n"/>
      <c r="F168" s="250" t="n"/>
      <c r="G168" s="242">
        <f>IF(ISNUMBER(F168),F168,IF(AND(ISNUMBER(C168),ISNUMBER(D168)),ROUND(MOD(D168-C168,1)*24-N(E168)/60,2),""))</f>
        <v/>
      </c>
      <c r="H168" s="241" t="n"/>
    </row>
    <row r="169">
      <c r="A169" s="241" t="n"/>
      <c r="B169" s="247" t="n"/>
      <c r="C169" s="248" t="n"/>
      <c r="D169" s="248" t="n"/>
      <c r="E169" s="249" t="n"/>
      <c r="F169" s="250" t="n"/>
      <c r="G169" s="242">
        <f>IF(ISNUMBER(F169),F169,IF(AND(ISNUMBER(C169),ISNUMBER(D169)),ROUND(MOD(D169-C169,1)*24-N(E169)/60,2),""))</f>
        <v/>
      </c>
      <c r="H169" s="241" t="n"/>
    </row>
    <row r="170">
      <c r="A170" s="241" t="n"/>
      <c r="B170" s="247" t="n"/>
      <c r="C170" s="248" t="n"/>
      <c r="D170" s="248" t="n"/>
      <c r="E170" s="249" t="n"/>
      <c r="F170" s="250" t="n"/>
      <c r="G170" s="242">
        <f>IF(ISNUMBER(F170),F170,IF(AND(ISNUMBER(C170),ISNUMBER(D170)),ROUND(MOD(D170-C170,1)*24-N(E170)/60,2),""))</f>
        <v/>
      </c>
      <c r="H170" s="241" t="n"/>
    </row>
    <row r="171">
      <c r="A171" s="241" t="n"/>
      <c r="B171" s="247" t="n"/>
      <c r="C171" s="248" t="n"/>
      <c r="D171" s="248" t="n"/>
      <c r="E171" s="249" t="n"/>
      <c r="F171" s="250" t="n"/>
      <c r="G171" s="242">
        <f>IF(ISNUMBER(F171),F171,IF(AND(ISNUMBER(C171),ISNUMBER(D171)),ROUND(MOD(D171-C171,1)*24-N(E171)/60,2),""))</f>
        <v/>
      </c>
      <c r="H171" s="241" t="n"/>
    </row>
    <row r="172">
      <c r="A172" s="241" t="n"/>
      <c r="B172" s="247" t="n"/>
      <c r="C172" s="248" t="n"/>
      <c r="D172" s="248" t="n"/>
      <c r="E172" s="249" t="n"/>
      <c r="F172" s="250" t="n"/>
      <c r="G172" s="242">
        <f>IF(ISNUMBER(F172),F172,IF(AND(ISNUMBER(C172),ISNUMBER(D172)),ROUND(MOD(D172-C172,1)*24-N(E172)/60,2),""))</f>
        <v/>
      </c>
      <c r="H172" s="241" t="n"/>
    </row>
    <row r="173">
      <c r="A173" s="241" t="n"/>
      <c r="B173" s="247" t="n"/>
      <c r="C173" s="248" t="n"/>
      <c r="D173" s="248" t="n"/>
      <c r="E173" s="249" t="n"/>
      <c r="F173" s="250" t="n"/>
      <c r="G173" s="242">
        <f>IF(ISNUMBER(F173),F173,IF(AND(ISNUMBER(C173),ISNUMBER(D173)),ROUND(MOD(D173-C173,1)*24-N(E173)/60,2),""))</f>
        <v/>
      </c>
      <c r="H173" s="241" t="n"/>
    </row>
    <row r="174">
      <c r="A174" s="241" t="n"/>
      <c r="B174" s="247" t="n"/>
      <c r="C174" s="248" t="n"/>
      <c r="D174" s="248" t="n"/>
      <c r="E174" s="249" t="n"/>
      <c r="F174" s="250" t="n"/>
      <c r="G174" s="242">
        <f>IF(ISNUMBER(F174),F174,IF(AND(ISNUMBER(C174),ISNUMBER(D174)),ROUND(MOD(D174-C174,1)*24-N(E174)/60,2),""))</f>
        <v/>
      </c>
      <c r="H174" s="241" t="n"/>
    </row>
    <row r="175">
      <c r="A175" s="241" t="n"/>
      <c r="B175" s="247" t="n"/>
      <c r="C175" s="248" t="n"/>
      <c r="D175" s="248" t="n"/>
      <c r="E175" s="249" t="n"/>
      <c r="F175" s="250" t="n"/>
      <c r="G175" s="242">
        <f>IF(ISNUMBER(F175),F175,IF(AND(ISNUMBER(C175),ISNUMBER(D175)),ROUND(MOD(D175-C175,1)*24-N(E175)/60,2),""))</f>
        <v/>
      </c>
      <c r="H175" s="241" t="n"/>
    </row>
    <row r="176">
      <c r="A176" s="241" t="n"/>
      <c r="B176" s="247" t="n"/>
      <c r="C176" s="248" t="n"/>
      <c r="D176" s="248" t="n"/>
      <c r="E176" s="249" t="n"/>
      <c r="F176" s="250" t="n"/>
      <c r="G176" s="242">
        <f>IF(ISNUMBER(F176),F176,IF(AND(ISNUMBER(C176),ISNUMBER(D176)),ROUND(MOD(D176-C176,1)*24-N(E176)/60,2),""))</f>
        <v/>
      </c>
      <c r="H176" s="241" t="n"/>
    </row>
    <row r="177">
      <c r="A177" s="241" t="n"/>
      <c r="B177" s="247" t="n"/>
      <c r="C177" s="248" t="n"/>
      <c r="D177" s="248" t="n"/>
      <c r="E177" s="249" t="n"/>
      <c r="F177" s="250" t="n"/>
      <c r="G177" s="242">
        <f>IF(ISNUMBER(F177),F177,IF(AND(ISNUMBER(C177),ISNUMBER(D177)),ROUND(MOD(D177-C177,1)*24-N(E177)/60,2),""))</f>
        <v/>
      </c>
      <c r="H177" s="241" t="n"/>
    </row>
    <row r="178">
      <c r="A178" s="241" t="n"/>
      <c r="B178" s="247" t="n"/>
      <c r="C178" s="248" t="n"/>
      <c r="D178" s="248" t="n"/>
      <c r="E178" s="249" t="n"/>
      <c r="F178" s="250" t="n"/>
      <c r="G178" s="242">
        <f>IF(ISNUMBER(F178),F178,IF(AND(ISNUMBER(C178),ISNUMBER(D178)),ROUND(MOD(D178-C178,1)*24-N(E178)/60,2),""))</f>
        <v/>
      </c>
      <c r="H178" s="241" t="n"/>
    </row>
    <row r="179">
      <c r="A179" s="241" t="n"/>
      <c r="B179" s="247" t="n"/>
      <c r="C179" s="248" t="n"/>
      <c r="D179" s="248" t="n"/>
      <c r="E179" s="249" t="n"/>
      <c r="F179" s="250" t="n"/>
      <c r="G179" s="242">
        <f>IF(ISNUMBER(F179),F179,IF(AND(ISNUMBER(C179),ISNUMBER(D179)),ROUND(MOD(D179-C179,1)*24-N(E179)/60,2),""))</f>
        <v/>
      </c>
      <c r="H179" s="241" t="n"/>
    </row>
    <row r="180">
      <c r="A180" s="241" t="n"/>
      <c r="B180" s="247" t="n"/>
      <c r="C180" s="248" t="n"/>
      <c r="D180" s="248" t="n"/>
      <c r="E180" s="249" t="n"/>
      <c r="F180" s="250" t="n"/>
      <c r="G180" s="242">
        <f>IF(ISNUMBER(F180),F180,IF(AND(ISNUMBER(C180),ISNUMBER(D180)),ROUND(MOD(D180-C180,1)*24-N(E180)/60,2),""))</f>
        <v/>
      </c>
      <c r="H180" s="241" t="n"/>
    </row>
    <row r="181">
      <c r="A181" s="241" t="n"/>
      <c r="B181" s="247" t="n"/>
      <c r="C181" s="248" t="n"/>
      <c r="D181" s="248" t="n"/>
      <c r="E181" s="249" t="n"/>
      <c r="F181" s="250" t="n"/>
      <c r="G181" s="242">
        <f>IF(ISNUMBER(F181),F181,IF(AND(ISNUMBER(C181),ISNUMBER(D181)),ROUND(MOD(D181-C181,1)*24-N(E181)/60,2),""))</f>
        <v/>
      </c>
      <c r="H181" s="241" t="n"/>
    </row>
    <row r="182">
      <c r="A182" s="241" t="n"/>
      <c r="B182" s="247" t="n"/>
      <c r="C182" s="248" t="n"/>
      <c r="D182" s="248" t="n"/>
      <c r="E182" s="249" t="n"/>
      <c r="F182" s="250" t="n"/>
      <c r="G182" s="242">
        <f>IF(ISNUMBER(F182),F182,IF(AND(ISNUMBER(C182),ISNUMBER(D182)),ROUND(MOD(D182-C182,1)*24-N(E182)/60,2),""))</f>
        <v/>
      </c>
      <c r="H182" s="241" t="n"/>
    </row>
    <row r="183">
      <c r="A183" s="241" t="n"/>
      <c r="B183" s="247" t="n"/>
      <c r="C183" s="248" t="n"/>
      <c r="D183" s="248" t="n"/>
      <c r="E183" s="249" t="n"/>
      <c r="F183" s="250" t="n"/>
      <c r="G183" s="242">
        <f>IF(ISNUMBER(F183),F183,IF(AND(ISNUMBER(C183),ISNUMBER(D183)),ROUND(MOD(D183-C183,1)*24-N(E183)/60,2),""))</f>
        <v/>
      </c>
      <c r="H183" s="241" t="n"/>
    </row>
    <row r="184">
      <c r="A184" s="241" t="n"/>
      <c r="B184" s="247" t="n"/>
      <c r="C184" s="248" t="n"/>
      <c r="D184" s="248" t="n"/>
      <c r="E184" s="249" t="n"/>
      <c r="F184" s="250" t="n"/>
      <c r="G184" s="242">
        <f>IF(ISNUMBER(F184),F184,IF(AND(ISNUMBER(C184),ISNUMBER(D184)),ROUND(MOD(D184-C184,1)*24-N(E184)/60,2),""))</f>
        <v/>
      </c>
      <c r="H184" s="241" t="n"/>
    </row>
    <row r="185">
      <c r="A185" s="241" t="n"/>
      <c r="B185" s="247" t="n"/>
      <c r="C185" s="248" t="n"/>
      <c r="D185" s="248" t="n"/>
      <c r="E185" s="249" t="n"/>
      <c r="F185" s="250" t="n"/>
      <c r="G185" s="242">
        <f>IF(ISNUMBER(F185),F185,IF(AND(ISNUMBER(C185),ISNUMBER(D185)),ROUND(MOD(D185-C185,1)*24-N(E185)/60,2),""))</f>
        <v/>
      </c>
      <c r="H185" s="241" t="n"/>
    </row>
    <row r="186">
      <c r="A186" s="241" t="n"/>
      <c r="B186" s="247" t="n"/>
      <c r="C186" s="248" t="n"/>
      <c r="D186" s="248" t="n"/>
      <c r="E186" s="249" t="n"/>
      <c r="F186" s="250" t="n"/>
      <c r="G186" s="242">
        <f>IF(ISNUMBER(F186),F186,IF(AND(ISNUMBER(C186),ISNUMBER(D186)),ROUND(MOD(D186-C186,1)*24-N(E186)/60,2),""))</f>
        <v/>
      </c>
      <c r="H186" s="241" t="n"/>
    </row>
    <row r="187">
      <c r="A187" s="241" t="n"/>
      <c r="B187" s="247" t="n"/>
      <c r="C187" s="248" t="n"/>
      <c r="D187" s="248" t="n"/>
      <c r="E187" s="249" t="n"/>
      <c r="F187" s="250" t="n"/>
      <c r="G187" s="242">
        <f>IF(ISNUMBER(F187),F187,IF(AND(ISNUMBER(C187),ISNUMBER(D187)),ROUND(MOD(D187-C187,1)*24-N(E187)/60,2),""))</f>
        <v/>
      </c>
      <c r="H187" s="241" t="n"/>
    </row>
    <row r="188">
      <c r="A188" s="241" t="n"/>
      <c r="B188" s="247" t="n"/>
      <c r="C188" s="248" t="n"/>
      <c r="D188" s="248" t="n"/>
      <c r="E188" s="249" t="n"/>
      <c r="F188" s="250" t="n"/>
      <c r="G188" s="242">
        <f>IF(ISNUMBER(F188),F188,IF(AND(ISNUMBER(C188),ISNUMBER(D188)),ROUND(MOD(D188-C188,1)*24-N(E188)/60,2),""))</f>
        <v/>
      </c>
      <c r="H188" s="241" t="n"/>
    </row>
    <row r="189">
      <c r="A189" s="241" t="n"/>
      <c r="B189" s="247" t="n"/>
      <c r="C189" s="248" t="n"/>
      <c r="D189" s="248" t="n"/>
      <c r="E189" s="249" t="n"/>
      <c r="F189" s="250" t="n"/>
      <c r="G189" s="242">
        <f>IF(ISNUMBER(F189),F189,IF(AND(ISNUMBER(C189),ISNUMBER(D189)),ROUND(MOD(D189-C189,1)*24-N(E189)/60,2),""))</f>
        <v/>
      </c>
      <c r="H189" s="241" t="n"/>
    </row>
    <row r="190">
      <c r="A190" s="241" t="n"/>
      <c r="B190" s="247" t="n"/>
      <c r="C190" s="248" t="n"/>
      <c r="D190" s="248" t="n"/>
      <c r="E190" s="249" t="n"/>
      <c r="F190" s="250" t="n"/>
      <c r="G190" s="242">
        <f>IF(ISNUMBER(F190),F190,IF(AND(ISNUMBER(C190),ISNUMBER(D190)),ROUND(MOD(D190-C190,1)*24-N(E190)/60,2),""))</f>
        <v/>
      </c>
      <c r="H190" s="241" t="n"/>
    </row>
    <row r="191">
      <c r="A191" s="241" t="n"/>
      <c r="B191" s="247" t="n"/>
      <c r="C191" s="248" t="n"/>
      <c r="D191" s="248" t="n"/>
      <c r="E191" s="249" t="n"/>
      <c r="F191" s="250" t="n"/>
      <c r="G191" s="242">
        <f>IF(ISNUMBER(F191),F191,IF(AND(ISNUMBER(C191),ISNUMBER(D191)),ROUND(MOD(D191-C191,1)*24-N(E191)/60,2),""))</f>
        <v/>
      </c>
      <c r="H191" s="241" t="n"/>
    </row>
    <row r="192">
      <c r="A192" s="241" t="n"/>
      <c r="B192" s="247" t="n"/>
      <c r="C192" s="248" t="n"/>
      <c r="D192" s="248" t="n"/>
      <c r="E192" s="249" t="n"/>
      <c r="F192" s="250" t="n"/>
      <c r="G192" s="242">
        <f>IF(ISNUMBER(F192),F192,IF(AND(ISNUMBER(C192),ISNUMBER(D192)),ROUND(MOD(D192-C192,1)*24-N(E192)/60,2),""))</f>
        <v/>
      </c>
      <c r="H192" s="241" t="n"/>
    </row>
    <row r="193">
      <c r="A193" s="241" t="n"/>
      <c r="B193" s="247" t="n"/>
      <c r="C193" s="248" t="n"/>
      <c r="D193" s="248" t="n"/>
      <c r="E193" s="249" t="n"/>
      <c r="F193" s="250" t="n"/>
      <c r="G193" s="242">
        <f>IF(ISNUMBER(F193),F193,IF(AND(ISNUMBER(C193),ISNUMBER(D193)),ROUND(MOD(D193-C193,1)*24-N(E193)/60,2),""))</f>
        <v/>
      </c>
      <c r="H193" s="241" t="n"/>
    </row>
    <row r="194">
      <c r="A194" s="241" t="n"/>
      <c r="B194" s="247" t="n"/>
      <c r="C194" s="248" t="n"/>
      <c r="D194" s="248" t="n"/>
      <c r="E194" s="249" t="n"/>
      <c r="F194" s="250" t="n"/>
      <c r="G194" s="242">
        <f>IF(ISNUMBER(F194),F194,IF(AND(ISNUMBER(C194),ISNUMBER(D194)),ROUND(MOD(D194-C194,1)*24-N(E194)/60,2),""))</f>
        <v/>
      </c>
      <c r="H194" s="241" t="n"/>
    </row>
    <row r="195">
      <c r="A195" s="241" t="n"/>
      <c r="B195" s="247" t="n"/>
      <c r="C195" s="248" t="n"/>
      <c r="D195" s="248" t="n"/>
      <c r="E195" s="249" t="n"/>
      <c r="F195" s="250" t="n"/>
      <c r="G195" s="242">
        <f>IF(ISNUMBER(F195),F195,IF(AND(ISNUMBER(C195),ISNUMBER(D195)),ROUND(MOD(D195-C195,1)*24-N(E195)/60,2),""))</f>
        <v/>
      </c>
      <c r="H195" s="241" t="n"/>
    </row>
    <row r="196">
      <c r="A196" s="241" t="n"/>
      <c r="B196" s="247" t="n"/>
      <c r="C196" s="248" t="n"/>
      <c r="D196" s="248" t="n"/>
      <c r="E196" s="249" t="n"/>
      <c r="F196" s="250" t="n"/>
      <c r="G196" s="242">
        <f>IF(ISNUMBER(F196),F196,IF(AND(ISNUMBER(C196),ISNUMBER(D196)),ROUND(MOD(D196-C196,1)*24-N(E196)/60,2),""))</f>
        <v/>
      </c>
      <c r="H196" s="241" t="n"/>
    </row>
    <row r="197">
      <c r="A197" s="241" t="n"/>
      <c r="B197" s="247" t="n"/>
      <c r="C197" s="248" t="n"/>
      <c r="D197" s="248" t="n"/>
      <c r="E197" s="249" t="n"/>
      <c r="F197" s="250" t="n"/>
      <c r="G197" s="242">
        <f>IF(ISNUMBER(F197),F197,IF(AND(ISNUMBER(C197),ISNUMBER(D197)),ROUND(MOD(D197-C197,1)*24-N(E197)/60,2),""))</f>
        <v/>
      </c>
      <c r="H197" s="241" t="n"/>
    </row>
    <row r="198">
      <c r="A198" s="241" t="n"/>
      <c r="B198" s="247" t="n"/>
      <c r="C198" s="248" t="n"/>
      <c r="D198" s="248" t="n"/>
      <c r="E198" s="249" t="n"/>
      <c r="F198" s="250" t="n"/>
      <c r="G198" s="242">
        <f>IF(ISNUMBER(F198),F198,IF(AND(ISNUMBER(C198),ISNUMBER(D198)),ROUND(MOD(D198-C198,1)*24-N(E198)/60,2),""))</f>
        <v/>
      </c>
      <c r="H198" s="241" t="n"/>
    </row>
    <row r="199">
      <c r="A199" s="241" t="n"/>
      <c r="B199" s="247" t="n"/>
      <c r="C199" s="248" t="n"/>
      <c r="D199" s="248" t="n"/>
      <c r="E199" s="249" t="n"/>
      <c r="F199" s="250" t="n"/>
      <c r="G199" s="242">
        <f>IF(ISNUMBER(F199),F199,IF(AND(ISNUMBER(C199),ISNUMBER(D199)),ROUND(MOD(D199-C199,1)*24-N(E199)/60,2),""))</f>
        <v/>
      </c>
      <c r="H199" s="241" t="n"/>
    </row>
    <row r="200">
      <c r="A200" s="241" t="n"/>
      <c r="B200" s="247" t="n"/>
      <c r="C200" s="248" t="n"/>
      <c r="D200" s="248" t="n"/>
      <c r="E200" s="249" t="n"/>
      <c r="F200" s="250" t="n"/>
      <c r="G200" s="242">
        <f>IF(ISNUMBER(F200),F200,IF(AND(ISNUMBER(C200),ISNUMBER(D200)),ROUND(MOD(D200-C200,1)*24-N(E200)/60,2),""))</f>
        <v/>
      </c>
      <c r="H200" s="241" t="n"/>
    </row>
    <row r="201">
      <c r="A201" s="241" t="n"/>
      <c r="B201" s="247" t="n"/>
      <c r="C201" s="248" t="n"/>
      <c r="D201" s="248" t="n"/>
      <c r="E201" s="249" t="n"/>
      <c r="F201" s="250" t="n"/>
      <c r="G201" s="242">
        <f>IF(ISNUMBER(F201),F201,IF(AND(ISNUMBER(C201),ISNUMBER(D201)),ROUND(MOD(D201-C201,1)*24-N(E201)/60,2),""))</f>
        <v/>
      </c>
      <c r="H201" s="241" t="n"/>
    </row>
    <row r="202">
      <c r="A202" s="241" t="n"/>
      <c r="B202" s="247" t="n"/>
      <c r="C202" s="248" t="n"/>
      <c r="D202" s="248" t="n"/>
      <c r="E202" s="249" t="n"/>
      <c r="F202" s="250" t="n"/>
      <c r="G202" s="242">
        <f>IF(ISNUMBER(F202),F202,IF(AND(ISNUMBER(C202),ISNUMBER(D202)),ROUND(MOD(D202-C202,1)*24-N(E202)/60,2),""))</f>
        <v/>
      </c>
      <c r="H202" s="241" t="n"/>
    </row>
    <row r="203">
      <c r="A203" s="241" t="n"/>
      <c r="B203" s="247" t="n"/>
      <c r="C203" s="248" t="n"/>
      <c r="D203" s="248" t="n"/>
      <c r="E203" s="249" t="n"/>
      <c r="F203" s="250" t="n"/>
      <c r="G203" s="242">
        <f>IF(ISNUMBER(F203),F203,IF(AND(ISNUMBER(C203),ISNUMBER(D203)),ROUND(MOD(D203-C203,1)*24-N(E203)/60,2),""))</f>
        <v/>
      </c>
      <c r="H203" s="241" t="n"/>
    </row>
    <row r="204">
      <c r="A204" s="241" t="n"/>
      <c r="B204" s="247" t="n"/>
      <c r="C204" s="248" t="n"/>
      <c r="D204" s="248" t="n"/>
      <c r="E204" s="249" t="n"/>
      <c r="F204" s="250" t="n"/>
      <c r="G204" s="242">
        <f>IF(ISNUMBER(F204),F204,IF(AND(ISNUMBER(C204),ISNUMBER(D204)),ROUND(MOD(D204-C204,1)*24-N(E204)/60,2),""))</f>
        <v/>
      </c>
      <c r="H204" s="241" t="n"/>
    </row>
    <row r="205">
      <c r="A205" s="241" t="n"/>
      <c r="B205" s="247" t="n"/>
      <c r="C205" s="248" t="n"/>
      <c r="D205" s="248" t="n"/>
      <c r="E205" s="249" t="n"/>
      <c r="F205" s="250" t="n"/>
      <c r="G205" s="242">
        <f>IF(ISNUMBER(F205),F205,IF(AND(ISNUMBER(C205),ISNUMBER(D205)),ROUND(MOD(D205-C205,1)*24-N(E205)/60,2),""))</f>
        <v/>
      </c>
      <c r="H205" s="241" t="n"/>
    </row>
    <row r="206">
      <c r="A206" s="241" t="n"/>
      <c r="B206" s="247" t="n"/>
      <c r="C206" s="248" t="n"/>
      <c r="D206" s="248" t="n"/>
      <c r="E206" s="249" t="n"/>
      <c r="F206" s="250" t="n"/>
      <c r="G206" s="242">
        <f>IF(ISNUMBER(F206),F206,IF(AND(ISNUMBER(C206),ISNUMBER(D206)),ROUND(MOD(D206-C206,1)*24-N(E206)/60,2),""))</f>
        <v/>
      </c>
      <c r="H206" s="241" t="n"/>
    </row>
    <row r="207">
      <c r="A207" s="241" t="n"/>
      <c r="B207" s="247" t="n"/>
      <c r="C207" s="248" t="n"/>
      <c r="D207" s="248" t="n"/>
      <c r="E207" s="249" t="n"/>
      <c r="F207" s="250" t="n"/>
      <c r="G207" s="242">
        <f>IF(ISNUMBER(F207),F207,IF(AND(ISNUMBER(C207),ISNUMBER(D207)),ROUND(MOD(D207-C207,1)*24-N(E207)/60,2),""))</f>
        <v/>
      </c>
      <c r="H207" s="241" t="n"/>
    </row>
    <row r="208">
      <c r="A208" s="241" t="n"/>
      <c r="B208" s="247" t="n"/>
      <c r="C208" s="248" t="n"/>
      <c r="D208" s="248" t="n"/>
      <c r="E208" s="249" t="n"/>
      <c r="F208" s="250" t="n"/>
      <c r="G208" s="242">
        <f>IF(ISNUMBER(F208),F208,IF(AND(ISNUMBER(C208),ISNUMBER(D208)),ROUND(MOD(D208-C208,1)*24-N(E208)/60,2),""))</f>
        <v/>
      </c>
      <c r="H208" s="241" t="n"/>
    </row>
    <row r="209">
      <c r="A209" s="241" t="n"/>
      <c r="B209" s="247" t="n"/>
      <c r="C209" s="248" t="n"/>
      <c r="D209" s="248" t="n"/>
      <c r="E209" s="249" t="n"/>
      <c r="F209" s="250" t="n"/>
      <c r="G209" s="242">
        <f>IF(ISNUMBER(F209),F209,IF(AND(ISNUMBER(C209),ISNUMBER(D209)),ROUND(MOD(D209-C209,1)*24-N(E209)/60,2),""))</f>
        <v/>
      </c>
      <c r="H209" s="241" t="n"/>
    </row>
    <row r="210">
      <c r="A210" s="241" t="n"/>
      <c r="B210" s="247" t="n"/>
      <c r="C210" s="248" t="n"/>
      <c r="D210" s="248" t="n"/>
      <c r="E210" s="249" t="n"/>
      <c r="F210" s="250" t="n"/>
      <c r="G210" s="242">
        <f>IF(ISNUMBER(F210),F210,IF(AND(ISNUMBER(C210),ISNUMBER(D210)),ROUND(MOD(D210-C210,1)*24-N(E210)/60,2),""))</f>
        <v/>
      </c>
      <c r="H210" s="241" t="n"/>
    </row>
    <row r="211">
      <c r="A211" s="241" t="n"/>
      <c r="B211" s="247" t="n"/>
      <c r="C211" s="248" t="n"/>
      <c r="D211" s="248" t="n"/>
      <c r="E211" s="249" t="n"/>
      <c r="F211" s="250" t="n"/>
      <c r="G211" s="242">
        <f>IF(ISNUMBER(F211),F211,IF(AND(ISNUMBER(C211),ISNUMBER(D211)),ROUND(MOD(D211-C211,1)*24-N(E211)/60,2),""))</f>
        <v/>
      </c>
      <c r="H211" s="241" t="n"/>
    </row>
    <row r="212">
      <c r="A212" s="241" t="n"/>
      <c r="B212" s="247" t="n"/>
      <c r="C212" s="248" t="n"/>
      <c r="D212" s="248" t="n"/>
      <c r="E212" s="249" t="n"/>
      <c r="F212" s="250" t="n"/>
      <c r="G212" s="242">
        <f>IF(ISNUMBER(F212),F212,IF(AND(ISNUMBER(C212),ISNUMBER(D212)),ROUND(MOD(D212-C212,1)*24-N(E212)/60,2),""))</f>
        <v/>
      </c>
      <c r="H212" s="241" t="n"/>
    </row>
    <row r="213">
      <c r="A213" s="241" t="n"/>
      <c r="B213" s="247" t="n"/>
      <c r="C213" s="248" t="n"/>
      <c r="D213" s="248" t="n"/>
      <c r="E213" s="249" t="n"/>
      <c r="F213" s="250" t="n"/>
      <c r="G213" s="242">
        <f>IF(ISNUMBER(F213),F213,IF(AND(ISNUMBER(C213),ISNUMBER(D213)),ROUND(MOD(D213-C213,1)*24-N(E213)/60,2),""))</f>
        <v/>
      </c>
      <c r="H213" s="241" t="n"/>
    </row>
    <row r="214">
      <c r="A214" s="241" t="n"/>
      <c r="B214" s="247" t="n"/>
      <c r="C214" s="248" t="n"/>
      <c r="D214" s="248" t="n"/>
      <c r="E214" s="249" t="n"/>
      <c r="F214" s="250" t="n"/>
      <c r="G214" s="242">
        <f>IF(ISNUMBER(F214),F214,IF(AND(ISNUMBER(C214),ISNUMBER(D214)),ROUND(MOD(D214-C214,1)*24-N(E214)/60,2),""))</f>
        <v/>
      </c>
      <c r="H214" s="241" t="n"/>
    </row>
    <row r="215">
      <c r="A215" s="241" t="n"/>
      <c r="B215" s="247" t="n"/>
      <c r="C215" s="248" t="n"/>
      <c r="D215" s="248" t="n"/>
      <c r="E215" s="249" t="n"/>
      <c r="F215" s="250" t="n"/>
      <c r="G215" s="242">
        <f>IF(ISNUMBER(F215),F215,IF(AND(ISNUMBER(C215),ISNUMBER(D215)),ROUND(MOD(D215-C215,1)*24-N(E215)/60,2),""))</f>
        <v/>
      </c>
      <c r="H215" s="241" t="n"/>
    </row>
    <row r="216">
      <c r="A216" s="241" t="n"/>
      <c r="B216" s="247" t="n"/>
      <c r="C216" s="248" t="n"/>
      <c r="D216" s="248" t="n"/>
      <c r="E216" s="249" t="n"/>
      <c r="F216" s="250" t="n"/>
      <c r="G216" s="242">
        <f>IF(ISNUMBER(F216),F216,IF(AND(ISNUMBER(C216),ISNUMBER(D216)),ROUND(MOD(D216-C216,1)*24-N(E216)/60,2),""))</f>
        <v/>
      </c>
      <c r="H216" s="241" t="n"/>
    </row>
    <row r="217">
      <c r="A217" s="241" t="n"/>
      <c r="B217" s="247" t="n"/>
      <c r="C217" s="248" t="n"/>
      <c r="D217" s="248" t="n"/>
      <c r="E217" s="249" t="n"/>
      <c r="F217" s="250" t="n"/>
      <c r="G217" s="242">
        <f>IF(ISNUMBER(F217),F217,IF(AND(ISNUMBER(C217),ISNUMBER(D217)),ROUND(MOD(D217-C217,1)*24-N(E217)/60,2),""))</f>
        <v/>
      </c>
      <c r="H217" s="241" t="n"/>
    </row>
    <row r="218">
      <c r="A218" s="241" t="n"/>
      <c r="B218" s="247" t="n"/>
      <c r="C218" s="248" t="n"/>
      <c r="D218" s="248" t="n"/>
      <c r="E218" s="249" t="n"/>
      <c r="F218" s="250" t="n"/>
      <c r="G218" s="242">
        <f>IF(ISNUMBER(F218),F218,IF(AND(ISNUMBER(C218),ISNUMBER(D218)),ROUND(MOD(D218-C218,1)*24-N(E218)/60,2),""))</f>
        <v/>
      </c>
      <c r="H218" s="241" t="n"/>
    </row>
    <row r="219">
      <c r="A219" s="241" t="n"/>
      <c r="B219" s="247" t="n"/>
      <c r="C219" s="248" t="n"/>
      <c r="D219" s="248" t="n"/>
      <c r="E219" s="249" t="n"/>
      <c r="F219" s="250" t="n"/>
      <c r="G219" s="242">
        <f>IF(ISNUMBER(F219),F219,IF(AND(ISNUMBER(C219),ISNUMBER(D219)),ROUND(MOD(D219-C219,1)*24-N(E219)/60,2),""))</f>
        <v/>
      </c>
      <c r="H219" s="241" t="n"/>
    </row>
    <row r="220">
      <c r="A220" s="241" t="n"/>
      <c r="B220" s="247" t="n"/>
      <c r="C220" s="248" t="n"/>
      <c r="D220" s="248" t="n"/>
      <c r="E220" s="249" t="n"/>
      <c r="F220" s="250" t="n"/>
      <c r="G220" s="242">
        <f>IF(ISNUMBER(F220),F220,IF(AND(ISNUMBER(C220),ISNUMBER(D220)),ROUND(MOD(D220-C220,1)*24-N(E220)/60,2),""))</f>
        <v/>
      </c>
      <c r="H220" s="241" t="n"/>
    </row>
    <row r="221">
      <c r="A221" s="241" t="n"/>
      <c r="B221" s="247" t="n"/>
      <c r="C221" s="248" t="n"/>
      <c r="D221" s="248" t="n"/>
      <c r="E221" s="249" t="n"/>
      <c r="F221" s="250" t="n"/>
      <c r="G221" s="242">
        <f>IF(ISNUMBER(F221),F221,IF(AND(ISNUMBER(C221),ISNUMBER(D221)),ROUND(MOD(D221-C221,1)*24-N(E221)/60,2),""))</f>
        <v/>
      </c>
      <c r="H221" s="241" t="n"/>
    </row>
    <row r="222">
      <c r="A222" s="241" t="n"/>
      <c r="B222" s="247" t="n"/>
      <c r="C222" s="248" t="n"/>
      <c r="D222" s="248" t="n"/>
      <c r="E222" s="249" t="n"/>
      <c r="F222" s="250" t="n"/>
      <c r="G222" s="242">
        <f>IF(ISNUMBER(F222),F222,IF(AND(ISNUMBER(C222),ISNUMBER(D222)),ROUND(MOD(D222-C222,1)*24-N(E222)/60,2),""))</f>
        <v/>
      </c>
      <c r="H222" s="241" t="n"/>
    </row>
    <row r="223">
      <c r="A223" s="241" t="n"/>
      <c r="B223" s="247" t="n"/>
      <c r="C223" s="248" t="n"/>
      <c r="D223" s="248" t="n"/>
      <c r="E223" s="249" t="n"/>
      <c r="F223" s="250" t="n"/>
      <c r="G223" s="242">
        <f>IF(ISNUMBER(F223),F223,IF(AND(ISNUMBER(C223),ISNUMBER(D223)),ROUND(MOD(D223-C223,1)*24-N(E223)/60,2),""))</f>
        <v/>
      </c>
      <c r="H223" s="241" t="n"/>
    </row>
    <row r="224">
      <c r="A224" s="241" t="n"/>
      <c r="B224" s="247" t="n"/>
      <c r="C224" s="248" t="n"/>
      <c r="D224" s="248" t="n"/>
      <c r="E224" s="249" t="n"/>
      <c r="F224" s="250" t="n"/>
      <c r="G224" s="242">
        <f>IF(ISNUMBER(F224),F224,IF(AND(ISNUMBER(C224),ISNUMBER(D224)),ROUND(MOD(D224-C224,1)*24-N(E224)/60,2),""))</f>
        <v/>
      </c>
      <c r="H224" s="241" t="n"/>
    </row>
    <row r="225">
      <c r="A225" s="241" t="n"/>
      <c r="B225" s="247" t="n"/>
      <c r="C225" s="248" t="n"/>
      <c r="D225" s="248" t="n"/>
      <c r="E225" s="249" t="n"/>
      <c r="F225" s="250" t="n"/>
      <c r="G225" s="242">
        <f>IF(ISNUMBER(F225),F225,IF(AND(ISNUMBER(C225),ISNUMBER(D225)),ROUND(MOD(D225-C225,1)*24-N(E225)/60,2),""))</f>
        <v/>
      </c>
      <c r="H225" s="241" t="n"/>
    </row>
    <row r="226">
      <c r="A226" s="241" t="n"/>
      <c r="B226" s="247" t="n"/>
      <c r="C226" s="248" t="n"/>
      <c r="D226" s="248" t="n"/>
      <c r="E226" s="249" t="n"/>
      <c r="F226" s="250" t="n"/>
      <c r="G226" s="242">
        <f>IF(ISNUMBER(F226),F226,IF(AND(ISNUMBER(C226),ISNUMBER(D226)),ROUND(MOD(D226-C226,1)*24-N(E226)/60,2),""))</f>
        <v/>
      </c>
      <c r="H226" s="241" t="n"/>
    </row>
    <row r="227">
      <c r="A227" s="241" t="n"/>
      <c r="B227" s="247" t="n"/>
      <c r="C227" s="248" t="n"/>
      <c r="D227" s="248" t="n"/>
      <c r="E227" s="249" t="n"/>
      <c r="F227" s="250" t="n"/>
      <c r="G227" s="242">
        <f>IF(ISNUMBER(F227),F227,IF(AND(ISNUMBER(C227),ISNUMBER(D227)),ROUND(MOD(D227-C227,1)*24-N(E227)/60,2),""))</f>
        <v/>
      </c>
      <c r="H227" s="241" t="n"/>
    </row>
    <row r="228">
      <c r="A228" s="241" t="n"/>
      <c r="B228" s="247" t="n"/>
      <c r="C228" s="248" t="n"/>
      <c r="D228" s="248" t="n"/>
      <c r="E228" s="249" t="n"/>
      <c r="F228" s="250" t="n"/>
      <c r="G228" s="242">
        <f>IF(ISNUMBER(F228),F228,IF(AND(ISNUMBER(C228),ISNUMBER(D228)),ROUND(MOD(D228-C228,1)*24-N(E228)/60,2),""))</f>
        <v/>
      </c>
      <c r="H228" s="241" t="n"/>
    </row>
    <row r="229">
      <c r="A229" s="241" t="n"/>
      <c r="B229" s="247" t="n"/>
      <c r="C229" s="248" t="n"/>
      <c r="D229" s="248" t="n"/>
      <c r="E229" s="249" t="n"/>
      <c r="F229" s="250" t="n"/>
      <c r="G229" s="242">
        <f>IF(ISNUMBER(F229),F229,IF(AND(ISNUMBER(C229),ISNUMBER(D229)),ROUND(MOD(D229-C229,1)*24-N(E229)/60,2),""))</f>
        <v/>
      </c>
      <c r="H229" s="241" t="n"/>
    </row>
    <row r="230">
      <c r="A230" s="241" t="n"/>
      <c r="B230" s="247" t="n"/>
      <c r="C230" s="248" t="n"/>
      <c r="D230" s="248" t="n"/>
      <c r="E230" s="249" t="n"/>
      <c r="F230" s="250" t="n"/>
      <c r="G230" s="242">
        <f>IF(ISNUMBER(F230),F230,IF(AND(ISNUMBER(C230),ISNUMBER(D230)),ROUND(MOD(D230-C230,1)*24-N(E230)/60,2),""))</f>
        <v/>
      </c>
      <c r="H230" s="241" t="n"/>
    </row>
    <row r="231">
      <c r="A231" s="241" t="n"/>
      <c r="B231" s="247" t="n"/>
      <c r="C231" s="248" t="n"/>
      <c r="D231" s="248" t="n"/>
      <c r="E231" s="249" t="n"/>
      <c r="F231" s="250" t="n"/>
      <c r="G231" s="242">
        <f>IF(ISNUMBER(F231),F231,IF(AND(ISNUMBER(C231),ISNUMBER(D231)),ROUND(MOD(D231-C231,1)*24-N(E231)/60,2),""))</f>
        <v/>
      </c>
      <c r="H231" s="241" t="n"/>
    </row>
    <row r="232">
      <c r="A232" s="241" t="n"/>
      <c r="B232" s="247" t="n"/>
      <c r="C232" s="248" t="n"/>
      <c r="D232" s="248" t="n"/>
      <c r="E232" s="249" t="n"/>
      <c r="F232" s="250" t="n"/>
      <c r="G232" s="242">
        <f>IF(ISNUMBER(F232),F232,IF(AND(ISNUMBER(C232),ISNUMBER(D232)),ROUND(MOD(D232-C232,1)*24-N(E232)/60,2),""))</f>
        <v/>
      </c>
      <c r="H232" s="241" t="n"/>
    </row>
    <row r="233">
      <c r="A233" s="241" t="n"/>
      <c r="B233" s="247" t="n"/>
      <c r="C233" s="248" t="n"/>
      <c r="D233" s="248" t="n"/>
      <c r="E233" s="249" t="n"/>
      <c r="F233" s="250" t="n"/>
      <c r="G233" s="242">
        <f>IF(ISNUMBER(F233),F233,IF(AND(ISNUMBER(C233),ISNUMBER(D233)),ROUND(MOD(D233-C233,1)*24-N(E233)/60,2),""))</f>
        <v/>
      </c>
      <c r="H233" s="241" t="n"/>
    </row>
    <row r="234">
      <c r="A234" s="241" t="n"/>
      <c r="B234" s="247" t="n"/>
      <c r="C234" s="248" t="n"/>
      <c r="D234" s="248" t="n"/>
      <c r="E234" s="249" t="n"/>
      <c r="F234" s="250" t="n"/>
      <c r="G234" s="242">
        <f>IF(ISNUMBER(F234),F234,IF(AND(ISNUMBER(C234),ISNUMBER(D234)),ROUND(MOD(D234-C234,1)*24-N(E234)/60,2),""))</f>
        <v/>
      </c>
      <c r="H234" s="241" t="n"/>
    </row>
    <row r="235">
      <c r="A235" s="241" t="n"/>
      <c r="B235" s="247" t="n"/>
      <c r="C235" s="248" t="n"/>
      <c r="D235" s="248" t="n"/>
      <c r="E235" s="249" t="n"/>
      <c r="F235" s="250" t="n"/>
      <c r="G235" s="242">
        <f>IF(ISNUMBER(F235),F235,IF(AND(ISNUMBER(C235),ISNUMBER(D235)),ROUND(MOD(D235-C235,1)*24-N(E235)/60,2),""))</f>
        <v/>
      </c>
      <c r="H235" s="241" t="n"/>
    </row>
    <row r="236">
      <c r="A236" s="241" t="n"/>
      <c r="B236" s="247" t="n"/>
      <c r="C236" s="248" t="n"/>
      <c r="D236" s="248" t="n"/>
      <c r="E236" s="249" t="n"/>
      <c r="F236" s="250" t="n"/>
      <c r="G236" s="242">
        <f>IF(ISNUMBER(F236),F236,IF(AND(ISNUMBER(C236),ISNUMBER(D236)),ROUND(MOD(D236-C236,1)*24-N(E236)/60,2),""))</f>
        <v/>
      </c>
      <c r="H236" s="241" t="n"/>
    </row>
    <row r="237">
      <c r="A237" s="241" t="n"/>
      <c r="B237" s="247" t="n"/>
      <c r="C237" s="248" t="n"/>
      <c r="D237" s="248" t="n"/>
      <c r="E237" s="249" t="n"/>
      <c r="F237" s="250" t="n"/>
      <c r="G237" s="242">
        <f>IF(ISNUMBER(F237),F237,IF(AND(ISNUMBER(C237),ISNUMBER(D237)),ROUND(MOD(D237-C237,1)*24-N(E237)/60,2),""))</f>
        <v/>
      </c>
      <c r="H237" s="241" t="n"/>
    </row>
    <row r="238">
      <c r="A238" s="241" t="n"/>
      <c r="B238" s="247" t="n"/>
      <c r="C238" s="248" t="n"/>
      <c r="D238" s="248" t="n"/>
      <c r="E238" s="249" t="n"/>
      <c r="F238" s="250" t="n"/>
      <c r="G238" s="242">
        <f>IF(ISNUMBER(F238),F238,IF(AND(ISNUMBER(C238),ISNUMBER(D238)),ROUND(MOD(D238-C238,1)*24-N(E238)/60,2),""))</f>
        <v/>
      </c>
      <c r="H238" s="241" t="n"/>
    </row>
    <row r="239">
      <c r="A239" s="241" t="n"/>
      <c r="B239" s="247" t="n"/>
      <c r="C239" s="248" t="n"/>
      <c r="D239" s="248" t="n"/>
      <c r="E239" s="249" t="n"/>
      <c r="F239" s="250" t="n"/>
      <c r="G239" s="242">
        <f>IF(ISNUMBER(F239),F239,IF(AND(ISNUMBER(C239),ISNUMBER(D239)),ROUND(MOD(D239-C239,1)*24-N(E239)/60,2),""))</f>
        <v/>
      </c>
      <c r="H239" s="241" t="n"/>
    </row>
    <row r="240">
      <c r="A240" s="241" t="n"/>
      <c r="B240" s="247" t="n"/>
      <c r="C240" s="248" t="n"/>
      <c r="D240" s="248" t="n"/>
      <c r="E240" s="249" t="n"/>
      <c r="F240" s="250" t="n"/>
      <c r="G240" s="242">
        <f>IF(ISNUMBER(F240),F240,IF(AND(ISNUMBER(C240),ISNUMBER(D240)),ROUND(MOD(D240-C240,1)*24-N(E240)/60,2),""))</f>
        <v/>
      </c>
      <c r="H240" s="241" t="n"/>
    </row>
    <row r="241">
      <c r="A241" s="241" t="n"/>
      <c r="B241" s="247" t="n"/>
      <c r="C241" s="248" t="n"/>
      <c r="D241" s="248" t="n"/>
      <c r="E241" s="249" t="n"/>
      <c r="F241" s="250" t="n"/>
      <c r="G241" s="242">
        <f>IF(ISNUMBER(F241),F241,IF(AND(ISNUMBER(C241),ISNUMBER(D241)),ROUND(MOD(D241-C241,1)*24-N(E241)/60,2),""))</f>
        <v/>
      </c>
      <c r="H241" s="241" t="n"/>
    </row>
    <row r="242">
      <c r="A242" s="241" t="n"/>
      <c r="B242" s="247" t="n"/>
      <c r="C242" s="248" t="n"/>
      <c r="D242" s="248" t="n"/>
      <c r="E242" s="249" t="n"/>
      <c r="F242" s="250" t="n"/>
      <c r="G242" s="242">
        <f>IF(ISNUMBER(F242),F242,IF(AND(ISNUMBER(C242),ISNUMBER(D242)),ROUND(MOD(D242-C242,1)*24-N(E242)/60,2),""))</f>
        <v/>
      </c>
      <c r="H242" s="241" t="n"/>
    </row>
    <row r="243">
      <c r="A243" s="241" t="n"/>
      <c r="B243" s="247" t="n"/>
      <c r="C243" s="248" t="n"/>
      <c r="D243" s="248" t="n"/>
      <c r="E243" s="249" t="n"/>
      <c r="F243" s="250" t="n"/>
      <c r="G243" s="242">
        <f>IF(ISNUMBER(F243),F243,IF(AND(ISNUMBER(C243),ISNUMBER(D243)),ROUND(MOD(D243-C243,1)*24-N(E243)/60,2),""))</f>
        <v/>
      </c>
      <c r="H243" s="241" t="n"/>
    </row>
    <row r="244">
      <c r="A244" s="241" t="n"/>
      <c r="B244" s="247" t="n"/>
      <c r="C244" s="248" t="n"/>
      <c r="D244" s="248" t="n"/>
      <c r="E244" s="249" t="n"/>
      <c r="F244" s="250" t="n"/>
      <c r="G244" s="242">
        <f>IF(ISNUMBER(F244),F244,IF(AND(ISNUMBER(C244),ISNUMBER(D244)),ROUND(MOD(D244-C244,1)*24-N(E244)/60,2),""))</f>
        <v/>
      </c>
      <c r="H244" s="241" t="n"/>
    </row>
    <row r="245">
      <c r="A245" s="241" t="n"/>
      <c r="B245" s="247" t="n"/>
      <c r="C245" s="248" t="n"/>
      <c r="D245" s="248" t="n"/>
      <c r="E245" s="249" t="n"/>
      <c r="F245" s="250" t="n"/>
      <c r="G245" s="242">
        <f>IF(ISNUMBER(F245),F245,IF(AND(ISNUMBER(C245),ISNUMBER(D245)),ROUND(MOD(D245-C245,1)*24-N(E245)/60,2),""))</f>
        <v/>
      </c>
      <c r="H245" s="241" t="n"/>
    </row>
    <row r="246">
      <c r="A246" s="241" t="n"/>
      <c r="B246" s="247" t="n"/>
      <c r="C246" s="248" t="n"/>
      <c r="D246" s="248" t="n"/>
      <c r="E246" s="249" t="n"/>
      <c r="F246" s="250" t="n"/>
      <c r="G246" s="242">
        <f>IF(ISNUMBER(F246),F246,IF(AND(ISNUMBER(C246),ISNUMBER(D246)),ROUND(MOD(D246-C246,1)*24-N(E246)/60,2),""))</f>
        <v/>
      </c>
      <c r="H246" s="241" t="n"/>
    </row>
    <row r="247">
      <c r="A247" s="241" t="n"/>
      <c r="B247" s="247" t="n"/>
      <c r="C247" s="248" t="n"/>
      <c r="D247" s="248" t="n"/>
      <c r="E247" s="249" t="n"/>
      <c r="F247" s="250" t="n"/>
      <c r="G247" s="242">
        <f>IF(ISNUMBER(F247),F247,IF(AND(ISNUMBER(C247),ISNUMBER(D247)),ROUND(MOD(D247-C247,1)*24-N(E247)/60,2),""))</f>
        <v/>
      </c>
      <c r="H247" s="241" t="n"/>
    </row>
    <row r="248">
      <c r="A248" s="241" t="n"/>
      <c r="B248" s="247" t="n"/>
      <c r="C248" s="248" t="n"/>
      <c r="D248" s="248" t="n"/>
      <c r="E248" s="249" t="n"/>
      <c r="F248" s="250" t="n"/>
      <c r="G248" s="242">
        <f>IF(ISNUMBER(F248),F248,IF(AND(ISNUMBER(C248),ISNUMBER(D248)),ROUND(MOD(D248-C248,1)*24-N(E248)/60,2),""))</f>
        <v/>
      </c>
      <c r="H248" s="241" t="n"/>
    </row>
    <row r="249">
      <c r="A249" s="241" t="n"/>
      <c r="B249" s="247" t="n"/>
      <c r="C249" s="248" t="n"/>
      <c r="D249" s="248" t="n"/>
      <c r="E249" s="249" t="n"/>
      <c r="F249" s="250" t="n"/>
      <c r="G249" s="242">
        <f>IF(ISNUMBER(F249),F249,IF(AND(ISNUMBER(C249),ISNUMBER(D249)),ROUND(MOD(D249-C249,1)*24-N(E249)/60,2),""))</f>
        <v/>
      </c>
      <c r="H249" s="241" t="n"/>
    </row>
    <row r="250">
      <c r="A250" s="241" t="n"/>
      <c r="B250" s="247" t="n"/>
      <c r="C250" s="248" t="n"/>
      <c r="D250" s="248" t="n"/>
      <c r="E250" s="249" t="n"/>
      <c r="F250" s="250" t="n"/>
      <c r="G250" s="242">
        <f>IF(ISNUMBER(F250),F250,IF(AND(ISNUMBER(C250),ISNUMBER(D250)),ROUND(MOD(D250-C250,1)*24-N(E250)/60,2),""))</f>
        <v/>
      </c>
      <c r="H250" s="241" t="n"/>
    </row>
    <row r="251">
      <c r="A251" s="241" t="n"/>
      <c r="B251" s="247" t="n"/>
      <c r="C251" s="248" t="n"/>
      <c r="D251" s="248" t="n"/>
      <c r="E251" s="249" t="n"/>
      <c r="F251" s="250" t="n"/>
      <c r="G251" s="242">
        <f>IF(ISNUMBER(F251),F251,IF(AND(ISNUMBER(C251),ISNUMBER(D251)),ROUND(MOD(D251-C251,1)*24-N(E251)/60,2),""))</f>
        <v/>
      </c>
      <c r="H251" s="241" t="n"/>
    </row>
    <row r="252">
      <c r="A252" s="241" t="n"/>
      <c r="B252" s="247" t="n"/>
      <c r="C252" s="248" t="n"/>
      <c r="D252" s="248" t="n"/>
      <c r="E252" s="249" t="n"/>
      <c r="F252" s="250" t="n"/>
      <c r="G252" s="242">
        <f>IF(ISNUMBER(F252),F252,IF(AND(ISNUMBER(C252),ISNUMBER(D252)),ROUND(MOD(D252-C252,1)*24-N(E252)/60,2),""))</f>
        <v/>
      </c>
      <c r="H252" s="241" t="n"/>
    </row>
    <row r="253">
      <c r="A253" s="241" t="n"/>
      <c r="B253" s="247" t="n"/>
      <c r="C253" s="248" t="n"/>
      <c r="D253" s="248" t="n"/>
      <c r="E253" s="249" t="n"/>
      <c r="F253" s="250" t="n"/>
      <c r="G253" s="242">
        <f>IF(ISNUMBER(F253),F253,IF(AND(ISNUMBER(C253),ISNUMBER(D253)),ROUND(MOD(D253-C253,1)*24-N(E253)/60,2),""))</f>
        <v/>
      </c>
      <c r="H253" s="241" t="n"/>
    </row>
    <row r="254">
      <c r="A254" s="241" t="n"/>
      <c r="B254" s="247" t="n"/>
      <c r="C254" s="248" t="n"/>
      <c r="D254" s="248" t="n"/>
      <c r="E254" s="249" t="n"/>
      <c r="F254" s="250" t="n"/>
      <c r="G254" s="242">
        <f>IF(ISNUMBER(F254),F254,IF(AND(ISNUMBER(C254),ISNUMBER(D254)),ROUND(MOD(D254-C254,1)*24-N(E254)/60,2),""))</f>
        <v/>
      </c>
      <c r="H254" s="241" t="n"/>
    </row>
    <row r="255">
      <c r="A255" s="241" t="n"/>
      <c r="B255" s="247" t="n"/>
      <c r="C255" s="248" t="n"/>
      <c r="D255" s="248" t="n"/>
      <c r="E255" s="249" t="n"/>
      <c r="F255" s="250" t="n"/>
      <c r="G255" s="242">
        <f>IF(ISNUMBER(F255),F255,IF(AND(ISNUMBER(C255),ISNUMBER(D255)),ROUND(MOD(D255-C255,1)*24-N(E255)/60,2),""))</f>
        <v/>
      </c>
      <c r="H255" s="241" t="n"/>
    </row>
    <row r="256">
      <c r="A256" s="241" t="n"/>
      <c r="B256" s="247" t="n"/>
      <c r="C256" s="248" t="n"/>
      <c r="D256" s="248" t="n"/>
      <c r="E256" s="249" t="n"/>
      <c r="F256" s="250" t="n"/>
      <c r="G256" s="242">
        <f>IF(ISNUMBER(F256),F256,IF(AND(ISNUMBER(C256),ISNUMBER(D256)),ROUND(MOD(D256-C256,1)*24-N(E256)/60,2),""))</f>
        <v/>
      </c>
      <c r="H256" s="241" t="n"/>
    </row>
    <row r="257">
      <c r="A257" s="241" t="n"/>
      <c r="B257" s="247" t="n"/>
      <c r="C257" s="248" t="n"/>
      <c r="D257" s="248" t="n"/>
      <c r="E257" s="249" t="n"/>
      <c r="F257" s="250" t="n"/>
      <c r="G257" s="242">
        <f>IF(ISNUMBER(F257),F257,IF(AND(ISNUMBER(C257),ISNUMBER(D257)),ROUND(MOD(D257-C257,1)*24-N(E257)/60,2),""))</f>
        <v/>
      </c>
      <c r="H257" s="241" t="n"/>
    </row>
    <row r="258">
      <c r="A258" s="241" t="n"/>
      <c r="B258" s="247" t="n"/>
      <c r="C258" s="248" t="n"/>
      <c r="D258" s="248" t="n"/>
      <c r="E258" s="249" t="n"/>
      <c r="F258" s="250" t="n"/>
      <c r="G258" s="242">
        <f>IF(ISNUMBER(F258),F258,IF(AND(ISNUMBER(C258),ISNUMBER(D258)),ROUND(MOD(D258-C258,1)*24-N(E258)/60,2),""))</f>
        <v/>
      </c>
      <c r="H258" s="241" t="n"/>
    </row>
    <row r="259">
      <c r="A259" s="241" t="n"/>
      <c r="B259" s="247" t="n"/>
      <c r="C259" s="248" t="n"/>
      <c r="D259" s="248" t="n"/>
      <c r="E259" s="249" t="n"/>
      <c r="F259" s="250" t="n"/>
      <c r="G259" s="242">
        <f>IF(ISNUMBER(F259),F259,IF(AND(ISNUMBER(C259),ISNUMBER(D259)),ROUND(MOD(D259-C259,1)*24-N(E259)/60,2),""))</f>
        <v/>
      </c>
      <c r="H259" s="241" t="n"/>
    </row>
    <row r="260">
      <c r="A260" s="241" t="n"/>
      <c r="B260" s="247" t="n"/>
      <c r="C260" s="248" t="n"/>
      <c r="D260" s="248" t="n"/>
      <c r="E260" s="249" t="n"/>
      <c r="F260" s="250" t="n"/>
      <c r="G260" s="242">
        <f>IF(ISNUMBER(F260),F260,IF(AND(ISNUMBER(C260),ISNUMBER(D260)),ROUND(MOD(D260-C260,1)*24-N(E260)/60,2),""))</f>
        <v/>
      </c>
      <c r="H260" s="241" t="n"/>
    </row>
    <row r="261">
      <c r="A261" s="241" t="n"/>
      <c r="B261" s="247" t="n"/>
      <c r="C261" s="248" t="n"/>
      <c r="D261" s="248" t="n"/>
      <c r="E261" s="249" t="n"/>
      <c r="F261" s="250" t="n"/>
      <c r="G261" s="242">
        <f>IF(ISNUMBER(F261),F261,IF(AND(ISNUMBER(C261),ISNUMBER(D261)),ROUND(MOD(D261-C261,1)*24-N(E261)/60,2),""))</f>
        <v/>
      </c>
      <c r="H261" s="241" t="n"/>
    </row>
    <row r="262">
      <c r="A262" s="241" t="n"/>
      <c r="B262" s="247" t="n"/>
      <c r="C262" s="248" t="n"/>
      <c r="D262" s="248" t="n"/>
      <c r="E262" s="249" t="n"/>
      <c r="F262" s="250" t="n"/>
      <c r="G262" s="242">
        <f>IF(ISNUMBER(F262),F262,IF(AND(ISNUMBER(C262),ISNUMBER(D262)),ROUND(MOD(D262-C262,1)*24-N(E262)/60,2),""))</f>
        <v/>
      </c>
      <c r="H262" s="241" t="n"/>
    </row>
    <row r="263">
      <c r="A263" s="241" t="n"/>
      <c r="B263" s="247" t="n"/>
      <c r="C263" s="248" t="n"/>
      <c r="D263" s="248" t="n"/>
      <c r="E263" s="249" t="n"/>
      <c r="F263" s="250" t="n"/>
      <c r="G263" s="242">
        <f>IF(ISNUMBER(F263),F263,IF(AND(ISNUMBER(C263),ISNUMBER(D263)),ROUND(MOD(D263-C263,1)*24-N(E263)/60,2),""))</f>
        <v/>
      </c>
      <c r="H263" s="241" t="n"/>
    </row>
    <row r="264">
      <c r="A264" s="241" t="n"/>
      <c r="B264" s="247" t="n"/>
      <c r="C264" s="248" t="n"/>
      <c r="D264" s="248" t="n"/>
      <c r="E264" s="249" t="n"/>
      <c r="F264" s="250" t="n"/>
      <c r="G264" s="242">
        <f>IF(ISNUMBER(F264),F264,IF(AND(ISNUMBER(C264),ISNUMBER(D264)),ROUND(MOD(D264-C264,1)*24-N(E264)/60,2),""))</f>
        <v/>
      </c>
      <c r="H264" s="241" t="n"/>
    </row>
    <row r="265">
      <c r="A265" s="241" t="n"/>
      <c r="B265" s="247" t="n"/>
      <c r="C265" s="248" t="n"/>
      <c r="D265" s="248" t="n"/>
      <c r="E265" s="249" t="n"/>
      <c r="F265" s="250" t="n"/>
      <c r="G265" s="242">
        <f>IF(ISNUMBER(F265),F265,IF(AND(ISNUMBER(C265),ISNUMBER(D265)),ROUND(MOD(D265-C265,1)*24-N(E265)/60,2),""))</f>
        <v/>
      </c>
      <c r="H265" s="241" t="n"/>
    </row>
    <row r="266">
      <c r="A266" s="241" t="n"/>
      <c r="B266" s="247" t="n"/>
      <c r="C266" s="248" t="n"/>
      <c r="D266" s="248" t="n"/>
      <c r="E266" s="249" t="n"/>
      <c r="F266" s="250" t="n"/>
      <c r="G266" s="242">
        <f>IF(ISNUMBER(F266),F266,IF(AND(ISNUMBER(C266),ISNUMBER(D266)),ROUND(MOD(D266-C266,1)*24-N(E266)/60,2),""))</f>
        <v/>
      </c>
      <c r="H266" s="241" t="n"/>
    </row>
    <row r="267">
      <c r="A267" s="241" t="n"/>
      <c r="B267" s="247" t="n"/>
      <c r="C267" s="248" t="n"/>
      <c r="D267" s="248" t="n"/>
      <c r="E267" s="249" t="n"/>
      <c r="F267" s="250" t="n"/>
      <c r="G267" s="242">
        <f>IF(ISNUMBER(F267),F267,IF(AND(ISNUMBER(C267),ISNUMBER(D267)),ROUND(MOD(D267-C267,1)*24-N(E267)/60,2),""))</f>
        <v/>
      </c>
      <c r="H267" s="241" t="n"/>
    </row>
    <row r="268">
      <c r="A268" s="241" t="n"/>
      <c r="B268" s="247" t="n"/>
      <c r="C268" s="248" t="n"/>
      <c r="D268" s="248" t="n"/>
      <c r="E268" s="249" t="n"/>
      <c r="F268" s="250" t="n"/>
      <c r="G268" s="242">
        <f>IF(ISNUMBER(F268),F268,IF(AND(ISNUMBER(C268),ISNUMBER(D268)),ROUND(MOD(D268-C268,1)*24-N(E268)/60,2),""))</f>
        <v/>
      </c>
      <c r="H268" s="241" t="n"/>
    </row>
    <row r="269">
      <c r="A269" s="241" t="n"/>
      <c r="B269" s="247" t="n"/>
      <c r="C269" s="248" t="n"/>
      <c r="D269" s="248" t="n"/>
      <c r="E269" s="249" t="n"/>
      <c r="F269" s="250" t="n"/>
      <c r="G269" s="242">
        <f>IF(ISNUMBER(F269),F269,IF(AND(ISNUMBER(C269),ISNUMBER(D269)),ROUND(MOD(D269-C269,1)*24-N(E269)/60,2),""))</f>
        <v/>
      </c>
      <c r="H269" s="241" t="n"/>
    </row>
    <row r="270">
      <c r="A270" s="241" t="n"/>
      <c r="B270" s="247" t="n"/>
      <c r="C270" s="248" t="n"/>
      <c r="D270" s="248" t="n"/>
      <c r="E270" s="249" t="n"/>
      <c r="F270" s="250" t="n"/>
      <c r="G270" s="242">
        <f>IF(ISNUMBER(F270),F270,IF(AND(ISNUMBER(C270),ISNUMBER(D270)),ROUND(MOD(D270-C270,1)*24-N(E270)/60,2),""))</f>
        <v/>
      </c>
      <c r="H270" s="241" t="n"/>
    </row>
    <row r="271">
      <c r="A271" s="241" t="n"/>
      <c r="B271" s="247" t="n"/>
      <c r="C271" s="248" t="n"/>
      <c r="D271" s="248" t="n"/>
      <c r="E271" s="249" t="n"/>
      <c r="F271" s="250" t="n"/>
      <c r="G271" s="242">
        <f>IF(ISNUMBER(F271),F271,IF(AND(ISNUMBER(C271),ISNUMBER(D271)),ROUND(MOD(D271-C271,1)*24-N(E271)/60,2),""))</f>
        <v/>
      </c>
      <c r="H271" s="241" t="n"/>
    </row>
    <row r="272">
      <c r="A272" s="241" t="n"/>
      <c r="B272" s="247" t="n"/>
      <c r="C272" s="248" t="n"/>
      <c r="D272" s="248" t="n"/>
      <c r="E272" s="249" t="n"/>
      <c r="F272" s="250" t="n"/>
      <c r="G272" s="242">
        <f>IF(ISNUMBER(F272),F272,IF(AND(ISNUMBER(C272),ISNUMBER(D272)),ROUND(MOD(D272-C272,1)*24-N(E272)/60,2),""))</f>
        <v/>
      </c>
      <c r="H272" s="241" t="n"/>
    </row>
    <row r="273">
      <c r="A273" s="241" t="n"/>
      <c r="B273" s="247" t="n"/>
      <c r="C273" s="248" t="n"/>
      <c r="D273" s="248" t="n"/>
      <c r="E273" s="249" t="n"/>
      <c r="F273" s="250" t="n"/>
      <c r="G273" s="242">
        <f>IF(ISNUMBER(F273),F273,IF(AND(ISNUMBER(C273),ISNUMBER(D273)),ROUND(MOD(D273-C273,1)*24-N(E273)/60,2),""))</f>
        <v/>
      </c>
      <c r="H273" s="241" t="n"/>
    </row>
    <row r="274">
      <c r="A274" s="241" t="n"/>
      <c r="B274" s="247" t="n"/>
      <c r="C274" s="248" t="n"/>
      <c r="D274" s="248" t="n"/>
      <c r="E274" s="249" t="n"/>
      <c r="F274" s="250" t="n"/>
      <c r="G274" s="242">
        <f>IF(ISNUMBER(F274),F274,IF(AND(ISNUMBER(C274),ISNUMBER(D274)),ROUND(MOD(D274-C274,1)*24-N(E274)/60,2),""))</f>
        <v/>
      </c>
      <c r="H274" s="241" t="n"/>
    </row>
    <row r="275">
      <c r="A275" s="241" t="n"/>
      <c r="B275" s="247" t="n"/>
      <c r="C275" s="248" t="n"/>
      <c r="D275" s="248" t="n"/>
      <c r="E275" s="249" t="n"/>
      <c r="F275" s="250" t="n"/>
      <c r="G275" s="242">
        <f>IF(ISNUMBER(F275),F275,IF(AND(ISNUMBER(C275),ISNUMBER(D275)),ROUND(MOD(D275-C275,1)*24-N(E275)/60,2),""))</f>
        <v/>
      </c>
      <c r="H275" s="241" t="n"/>
    </row>
    <row r="276">
      <c r="A276" s="241" t="n"/>
      <c r="B276" s="247" t="n"/>
      <c r="C276" s="248" t="n"/>
      <c r="D276" s="248" t="n"/>
      <c r="E276" s="249" t="n"/>
      <c r="F276" s="250" t="n"/>
      <c r="G276" s="242">
        <f>IF(ISNUMBER(F276),F276,IF(AND(ISNUMBER(C276),ISNUMBER(D276)),ROUND(MOD(D276-C276,1)*24-N(E276)/60,2),""))</f>
        <v/>
      </c>
      <c r="H276" s="241" t="n"/>
    </row>
    <row r="277">
      <c r="A277" s="241" t="n"/>
      <c r="B277" s="247" t="n"/>
      <c r="C277" s="248" t="n"/>
      <c r="D277" s="248" t="n"/>
      <c r="E277" s="249" t="n"/>
      <c r="F277" s="250" t="n"/>
      <c r="G277" s="242">
        <f>IF(ISNUMBER(F277),F277,IF(AND(ISNUMBER(C277),ISNUMBER(D277)),ROUND(MOD(D277-C277,1)*24-N(E277)/60,2),""))</f>
        <v/>
      </c>
      <c r="H277" s="241" t="n"/>
    </row>
    <row r="278">
      <c r="A278" s="241" t="n"/>
      <c r="B278" s="247" t="n"/>
      <c r="C278" s="248" t="n"/>
      <c r="D278" s="248" t="n"/>
      <c r="E278" s="249" t="n"/>
      <c r="F278" s="250" t="n"/>
      <c r="G278" s="242">
        <f>IF(ISNUMBER(F278),F278,IF(AND(ISNUMBER(C278),ISNUMBER(D278)),ROUND(MOD(D278-C278,1)*24-N(E278)/60,2),""))</f>
        <v/>
      </c>
      <c r="H278" s="241" t="n"/>
    </row>
    <row r="279">
      <c r="A279" s="241" t="n"/>
      <c r="B279" s="247" t="n"/>
      <c r="C279" s="248" t="n"/>
      <c r="D279" s="248" t="n"/>
      <c r="E279" s="249" t="n"/>
      <c r="F279" s="250" t="n"/>
      <c r="G279" s="242">
        <f>IF(ISNUMBER(F279),F279,IF(AND(ISNUMBER(C279),ISNUMBER(D279)),ROUND(MOD(D279-C279,1)*24-N(E279)/60,2),""))</f>
        <v/>
      </c>
      <c r="H279" s="241" t="n"/>
    </row>
    <row r="280">
      <c r="A280" s="241" t="n"/>
      <c r="B280" s="247" t="n"/>
      <c r="C280" s="248" t="n"/>
      <c r="D280" s="248" t="n"/>
      <c r="E280" s="249" t="n"/>
      <c r="F280" s="250" t="n"/>
      <c r="G280" s="242">
        <f>IF(ISNUMBER(F280),F280,IF(AND(ISNUMBER(C280),ISNUMBER(D280)),ROUND(MOD(D280-C280,1)*24-N(E280)/60,2),""))</f>
        <v/>
      </c>
      <c r="H280" s="241" t="n"/>
    </row>
    <row r="281">
      <c r="A281" s="241" t="n"/>
      <c r="B281" s="247" t="n"/>
      <c r="C281" s="248" t="n"/>
      <c r="D281" s="248" t="n"/>
      <c r="E281" s="249" t="n"/>
      <c r="F281" s="250" t="n"/>
      <c r="G281" s="242">
        <f>IF(ISNUMBER(F281),F281,IF(AND(ISNUMBER(C281),ISNUMBER(D281)),ROUND(MOD(D281-C281,1)*24-N(E281)/60,2),""))</f>
        <v/>
      </c>
      <c r="H281" s="241" t="n"/>
    </row>
    <row r="282">
      <c r="A282" s="241" t="n"/>
      <c r="B282" s="247" t="n"/>
      <c r="C282" s="248" t="n"/>
      <c r="D282" s="248" t="n"/>
      <c r="E282" s="249" t="n"/>
      <c r="F282" s="250" t="n"/>
      <c r="G282" s="242">
        <f>IF(ISNUMBER(F282),F282,IF(AND(ISNUMBER(C282),ISNUMBER(D282)),ROUND(MOD(D282-C282,1)*24-N(E282)/60,2),""))</f>
        <v/>
      </c>
      <c r="H282" s="241" t="n"/>
    </row>
    <row r="283">
      <c r="A283" s="241" t="n"/>
      <c r="B283" s="247" t="n"/>
      <c r="C283" s="248" t="n"/>
      <c r="D283" s="248" t="n"/>
      <c r="E283" s="249" t="n"/>
      <c r="F283" s="250" t="n"/>
      <c r="G283" s="242">
        <f>IF(ISNUMBER(F283),F283,IF(AND(ISNUMBER(C283),ISNUMBER(D283)),ROUND(MOD(D283-C283,1)*24-N(E283)/60,2),""))</f>
        <v/>
      </c>
      <c r="H283" s="241" t="n"/>
    </row>
    <row r="284">
      <c r="A284" s="241" t="n"/>
      <c r="B284" s="247" t="n"/>
      <c r="C284" s="248" t="n"/>
      <c r="D284" s="248" t="n"/>
      <c r="E284" s="249" t="n"/>
      <c r="F284" s="250" t="n"/>
      <c r="G284" s="242">
        <f>IF(ISNUMBER(F284),F284,IF(AND(ISNUMBER(C284),ISNUMBER(D284)),ROUND(MOD(D284-C284,1)*24-N(E284)/60,2),""))</f>
        <v/>
      </c>
      <c r="H284" s="241" t="n"/>
    </row>
    <row r="285">
      <c r="A285" s="241" t="n"/>
      <c r="B285" s="247" t="n"/>
      <c r="C285" s="248" t="n"/>
      <c r="D285" s="248" t="n"/>
      <c r="E285" s="249" t="n"/>
      <c r="F285" s="250" t="n"/>
      <c r="G285" s="242">
        <f>IF(ISNUMBER(F285),F285,IF(AND(ISNUMBER(C285),ISNUMBER(D285)),ROUND(MOD(D285-C285,1)*24-N(E285)/60,2),""))</f>
        <v/>
      </c>
      <c r="H285" s="241" t="n"/>
    </row>
    <row r="286">
      <c r="A286" s="241" t="n"/>
      <c r="B286" s="247" t="n"/>
      <c r="C286" s="248" t="n"/>
      <c r="D286" s="248" t="n"/>
      <c r="E286" s="249" t="n"/>
      <c r="F286" s="250" t="n"/>
      <c r="G286" s="242">
        <f>IF(ISNUMBER(F286),F286,IF(AND(ISNUMBER(C286),ISNUMBER(D286)),ROUND(MOD(D286-C286,1)*24-N(E286)/60,2),""))</f>
        <v/>
      </c>
      <c r="H286" s="241" t="n"/>
    </row>
    <row r="287">
      <c r="A287" s="241" t="n"/>
      <c r="B287" s="247" t="n"/>
      <c r="C287" s="248" t="n"/>
      <c r="D287" s="248" t="n"/>
      <c r="E287" s="249" t="n"/>
      <c r="F287" s="250" t="n"/>
      <c r="G287" s="242">
        <f>IF(ISNUMBER(F287),F287,IF(AND(ISNUMBER(C287),ISNUMBER(D287)),ROUND(MOD(D287-C287,1)*24-N(E287)/60,2),""))</f>
        <v/>
      </c>
      <c r="H287" s="241" t="n"/>
    </row>
    <row r="288">
      <c r="A288" s="241" t="n"/>
      <c r="B288" s="247" t="n"/>
      <c r="C288" s="248" t="n"/>
      <c r="D288" s="248" t="n"/>
      <c r="E288" s="249" t="n"/>
      <c r="F288" s="250" t="n"/>
      <c r="G288" s="242">
        <f>IF(ISNUMBER(F288),F288,IF(AND(ISNUMBER(C288),ISNUMBER(D288)),ROUND(MOD(D288-C288,1)*24-N(E288)/60,2),""))</f>
        <v/>
      </c>
      <c r="H288" s="241" t="n"/>
    </row>
    <row r="289">
      <c r="A289" s="241" t="n"/>
      <c r="B289" s="247" t="n"/>
      <c r="C289" s="248" t="n"/>
      <c r="D289" s="248" t="n"/>
      <c r="E289" s="249" t="n"/>
      <c r="F289" s="250" t="n"/>
      <c r="G289" s="242">
        <f>IF(ISNUMBER(F289),F289,IF(AND(ISNUMBER(C289),ISNUMBER(D289)),ROUND(MOD(D289-C289,1)*24-N(E289)/60,2),""))</f>
        <v/>
      </c>
      <c r="H289" s="241" t="n"/>
    </row>
    <row r="290">
      <c r="A290" s="241" t="n"/>
      <c r="B290" s="247" t="n"/>
      <c r="C290" s="248" t="n"/>
      <c r="D290" s="248" t="n"/>
      <c r="E290" s="249" t="n"/>
      <c r="F290" s="250" t="n"/>
      <c r="G290" s="242">
        <f>IF(ISNUMBER(F290),F290,IF(AND(ISNUMBER(C290),ISNUMBER(D290)),ROUND(MOD(D290-C290,1)*24-N(E290)/60,2),""))</f>
        <v/>
      </c>
      <c r="H290" s="241" t="n"/>
    </row>
    <row r="291">
      <c r="A291" s="241" t="n"/>
      <c r="B291" s="247" t="n"/>
      <c r="C291" s="248" t="n"/>
      <c r="D291" s="248" t="n"/>
      <c r="E291" s="249" t="n"/>
      <c r="F291" s="250" t="n"/>
      <c r="G291" s="242">
        <f>IF(ISNUMBER(F291),F291,IF(AND(ISNUMBER(C291),ISNUMBER(D291)),ROUND(MOD(D291-C291,1)*24-N(E291)/60,2),""))</f>
        <v/>
      </c>
      <c r="H291" s="241" t="n"/>
    </row>
    <row r="292">
      <c r="A292" s="241" t="n"/>
      <c r="B292" s="247" t="n"/>
      <c r="C292" s="248" t="n"/>
      <c r="D292" s="248" t="n"/>
      <c r="E292" s="249" t="n"/>
      <c r="F292" s="250" t="n"/>
      <c r="G292" s="242">
        <f>IF(ISNUMBER(F292),F292,IF(AND(ISNUMBER(C292),ISNUMBER(D292)),ROUND(MOD(D292-C292,1)*24-N(E292)/60,2),""))</f>
        <v/>
      </c>
      <c r="H292" s="241" t="n"/>
    </row>
    <row r="293">
      <c r="A293" s="241" t="n"/>
      <c r="B293" s="247" t="n"/>
      <c r="C293" s="248" t="n"/>
      <c r="D293" s="248" t="n"/>
      <c r="E293" s="249" t="n"/>
      <c r="F293" s="250" t="n"/>
      <c r="G293" s="242">
        <f>IF(ISNUMBER(F293),F293,IF(AND(ISNUMBER(C293),ISNUMBER(D293)),ROUND(MOD(D293-C293,1)*24-N(E293)/60,2),""))</f>
        <v/>
      </c>
      <c r="H293" s="241" t="n"/>
    </row>
    <row r="294">
      <c r="A294" s="241" t="n"/>
      <c r="B294" s="247" t="n"/>
      <c r="C294" s="248" t="n"/>
      <c r="D294" s="248" t="n"/>
      <c r="E294" s="249" t="n"/>
      <c r="F294" s="250" t="n"/>
      <c r="G294" s="242">
        <f>IF(ISNUMBER(F294),F294,IF(AND(ISNUMBER(C294),ISNUMBER(D294)),ROUND(MOD(D294-C294,1)*24-N(E294)/60,2),""))</f>
        <v/>
      </c>
      <c r="H294" s="241" t="n"/>
    </row>
    <row r="295">
      <c r="A295" s="241" t="n"/>
      <c r="B295" s="247" t="n"/>
      <c r="C295" s="248" t="n"/>
      <c r="D295" s="248" t="n"/>
      <c r="E295" s="249" t="n"/>
      <c r="F295" s="250" t="n"/>
      <c r="G295" s="242">
        <f>IF(ISNUMBER(F295),F295,IF(AND(ISNUMBER(C295),ISNUMBER(D295)),ROUND(MOD(D295-C295,1)*24-N(E295)/60,2),""))</f>
        <v/>
      </c>
      <c r="H295" s="241" t="n"/>
    </row>
    <row r="296">
      <c r="A296" s="241" t="n"/>
      <c r="B296" s="247" t="n"/>
      <c r="C296" s="248" t="n"/>
      <c r="D296" s="248" t="n"/>
      <c r="E296" s="249" t="n"/>
      <c r="F296" s="250" t="n"/>
      <c r="G296" s="242">
        <f>IF(ISNUMBER(F296),F296,IF(AND(ISNUMBER(C296),ISNUMBER(D296)),ROUND(MOD(D296-C296,1)*24-N(E296)/60,2),""))</f>
        <v/>
      </c>
      <c r="H296" s="241" t="n"/>
    </row>
    <row r="297">
      <c r="A297" s="241" t="n"/>
      <c r="B297" s="247" t="n"/>
      <c r="C297" s="248" t="n"/>
      <c r="D297" s="248" t="n"/>
      <c r="E297" s="249" t="n"/>
      <c r="F297" s="250" t="n"/>
      <c r="G297" s="242">
        <f>IF(ISNUMBER(F297),F297,IF(AND(ISNUMBER(C297),ISNUMBER(D297)),ROUND(MOD(D297-C297,1)*24-N(E297)/60,2),""))</f>
        <v/>
      </c>
      <c r="H297" s="241" t="n"/>
    </row>
    <row r="298">
      <c r="A298" s="241" t="n"/>
      <c r="B298" s="247" t="n"/>
      <c r="C298" s="248" t="n"/>
      <c r="D298" s="248" t="n"/>
      <c r="E298" s="249" t="n"/>
      <c r="F298" s="250" t="n"/>
      <c r="G298" s="242">
        <f>IF(ISNUMBER(F298),F298,IF(AND(ISNUMBER(C298),ISNUMBER(D298)),ROUND(MOD(D298-C298,1)*24-N(E298)/60,2),""))</f>
        <v/>
      </c>
      <c r="H298" s="241" t="n"/>
    </row>
    <row r="299">
      <c r="A299" s="241" t="n"/>
      <c r="B299" s="247" t="n"/>
      <c r="C299" s="248" t="n"/>
      <c r="D299" s="248" t="n"/>
      <c r="E299" s="249" t="n"/>
      <c r="F299" s="250" t="n"/>
      <c r="G299" s="242">
        <f>IF(ISNUMBER(F299),F299,IF(AND(ISNUMBER(C299),ISNUMBER(D299)),ROUND(MOD(D299-C299,1)*24-N(E299)/60,2),""))</f>
        <v/>
      </c>
      <c r="H299" s="241" t="n"/>
    </row>
    <row r="300">
      <c r="A300" s="241" t="n"/>
      <c r="B300" s="247" t="n"/>
      <c r="C300" s="248" t="n"/>
      <c r="D300" s="248" t="n"/>
      <c r="E300" s="249" t="n"/>
      <c r="F300" s="250" t="n"/>
      <c r="G300" s="242">
        <f>IF(ISNUMBER(F300),F300,IF(AND(ISNUMBER(C300),ISNUMBER(D300)),ROUND(MOD(D300-C300,1)*24-N(E300)/60,2),""))</f>
        <v/>
      </c>
      <c r="H300" s="241" t="n"/>
    </row>
    <row r="301">
      <c r="A301" s="241" t="n"/>
      <c r="B301" s="247" t="n"/>
      <c r="C301" s="248" t="n"/>
      <c r="D301" s="248" t="n"/>
      <c r="E301" s="249" t="n"/>
      <c r="F301" s="250" t="n"/>
      <c r="G301" s="242">
        <f>IF(ISNUMBER(F301),F301,IF(AND(ISNUMBER(C301),ISNUMBER(D301)),ROUND(MOD(D301-C301,1)*24-N(E301)/60,2),""))</f>
        <v/>
      </c>
      <c r="H301" s="241" t="n"/>
    </row>
    <row r="302">
      <c r="A302" s="241" t="n"/>
      <c r="B302" s="247" t="n"/>
      <c r="C302" s="248" t="n"/>
      <c r="D302" s="248" t="n"/>
      <c r="E302" s="249" t="n"/>
      <c r="F302" s="250" t="n"/>
      <c r="G302" s="242">
        <f>IF(ISNUMBER(F302),F302,IF(AND(ISNUMBER(C302),ISNUMBER(D302)),ROUND(MOD(D302-C302,1)*24-N(E302)/60,2),""))</f>
        <v/>
      </c>
      <c r="H302" s="241" t="n"/>
    </row>
    <row r="303">
      <c r="A303" s="241" t="n"/>
      <c r="B303" s="247" t="n"/>
      <c r="C303" s="248" t="n"/>
      <c r="D303" s="248" t="n"/>
      <c r="E303" s="249" t="n"/>
      <c r="F303" s="250" t="n"/>
      <c r="G303" s="242">
        <f>IF(ISNUMBER(F303),F303,IF(AND(ISNUMBER(C303),ISNUMBER(D303)),ROUND(MOD(D303-C303,1)*24-N(E303)/60,2),""))</f>
        <v/>
      </c>
      <c r="H303" s="241" t="n"/>
    </row>
    <row r="304">
      <c r="A304" s="241" t="n"/>
      <c r="B304" s="247" t="n"/>
      <c r="C304" s="248" t="n"/>
      <c r="D304" s="248" t="n"/>
      <c r="E304" s="249" t="n"/>
      <c r="F304" s="250" t="n"/>
      <c r="G304" s="242">
        <f>IF(ISNUMBER(F304),F304,IF(AND(ISNUMBER(C304),ISNUMBER(D304)),ROUND(MOD(D304-C304,1)*24-N(E304)/60,2),""))</f>
        <v/>
      </c>
      <c r="H304" s="241" t="n"/>
    </row>
    <row r="305">
      <c r="A305" s="241" t="n"/>
      <c r="B305" s="247" t="n"/>
      <c r="C305" s="248" t="n"/>
      <c r="D305" s="248" t="n"/>
      <c r="E305" s="249" t="n"/>
      <c r="F305" s="250" t="n"/>
      <c r="G305" s="242">
        <f>IF(ISNUMBER(F305),F305,IF(AND(ISNUMBER(C305),ISNUMBER(D305)),ROUND(MOD(D305-C305,1)*24-N(E305)/60,2),""))</f>
        <v/>
      </c>
      <c r="H305" s="241" t="n"/>
    </row>
    <row r="306">
      <c r="A306" s="241" t="n"/>
      <c r="B306" s="247" t="n"/>
      <c r="C306" s="248" t="n"/>
      <c r="D306" s="248" t="n"/>
      <c r="E306" s="249" t="n"/>
      <c r="F306" s="250" t="n"/>
      <c r="G306" s="242">
        <f>IF(ISNUMBER(F306),F306,IF(AND(ISNUMBER(C306),ISNUMBER(D306)),ROUND(MOD(D306-C306,1)*24-N(E306)/60,2),""))</f>
        <v/>
      </c>
      <c r="H306" s="241" t="n"/>
    </row>
    <row r="307">
      <c r="A307" s="241" t="n"/>
      <c r="B307" s="247" t="n"/>
      <c r="C307" s="248" t="n"/>
      <c r="D307" s="248" t="n"/>
      <c r="E307" s="249" t="n"/>
      <c r="F307" s="250" t="n"/>
      <c r="G307" s="242">
        <f>IF(ISNUMBER(F307),F307,IF(AND(ISNUMBER(C307),ISNUMBER(D307)),ROUND(MOD(D307-C307,1)*24-N(E307)/60,2),""))</f>
        <v/>
      </c>
      <c r="H307" s="241" t="n"/>
    </row>
    <row r="308">
      <c r="A308" s="241" t="n"/>
      <c r="B308" s="247" t="n"/>
      <c r="C308" s="248" t="n"/>
      <c r="D308" s="248" t="n"/>
      <c r="E308" s="249" t="n"/>
      <c r="F308" s="250" t="n"/>
      <c r="G308" s="242">
        <f>IF(ISNUMBER(F308),F308,IF(AND(ISNUMBER(C308),ISNUMBER(D308)),ROUND(MOD(D308-C308,1)*24-N(E308)/60,2),""))</f>
        <v/>
      </c>
      <c r="H308" s="241" t="n"/>
    </row>
    <row r="309">
      <c r="A309" s="241" t="n"/>
      <c r="B309" s="247" t="n"/>
      <c r="C309" s="248" t="n"/>
      <c r="D309" s="248" t="n"/>
      <c r="E309" s="249" t="n"/>
      <c r="F309" s="250" t="n"/>
      <c r="G309" s="242">
        <f>IF(ISNUMBER(F309),F309,IF(AND(ISNUMBER(C309),ISNUMBER(D309)),ROUND(MOD(D309-C309,1)*24-N(E309)/60,2),""))</f>
        <v/>
      </c>
      <c r="H309" s="241" t="n"/>
    </row>
    <row r="310">
      <c r="A310" s="241" t="n"/>
      <c r="B310" s="247" t="n"/>
      <c r="C310" s="248" t="n"/>
      <c r="D310" s="248" t="n"/>
      <c r="E310" s="249" t="n"/>
      <c r="F310" s="250" t="n"/>
      <c r="G310" s="242">
        <f>IF(ISNUMBER(F310),F310,IF(AND(ISNUMBER(C310),ISNUMBER(D310)),ROUND(MOD(D310-C310,1)*24-N(E310)/60,2),""))</f>
        <v/>
      </c>
      <c r="H310" s="241" t="n"/>
    </row>
    <row r="311">
      <c r="A311" s="241" t="n"/>
      <c r="B311" s="247" t="n"/>
      <c r="C311" s="248" t="n"/>
      <c r="D311" s="248" t="n"/>
      <c r="E311" s="249" t="n"/>
      <c r="F311" s="250" t="n"/>
      <c r="G311" s="242">
        <f>IF(ISNUMBER(F311),F311,IF(AND(ISNUMBER(C311),ISNUMBER(D311)),ROUND(MOD(D311-C311,1)*24-N(E311)/60,2),""))</f>
        <v/>
      </c>
      <c r="H311" s="241" t="n"/>
    </row>
    <row r="312">
      <c r="A312" s="241" t="n"/>
      <c r="B312" s="247" t="n"/>
      <c r="C312" s="248" t="n"/>
      <c r="D312" s="248" t="n"/>
      <c r="E312" s="249" t="n"/>
      <c r="F312" s="250" t="n"/>
      <c r="G312" s="242">
        <f>IF(ISNUMBER(F312),F312,IF(AND(ISNUMBER(C312),ISNUMBER(D312)),ROUND(MOD(D312-C312,1)*24-N(E312)/60,2),""))</f>
        <v/>
      </c>
      <c r="H312" s="241" t="n"/>
    </row>
    <row r="313">
      <c r="A313" s="241" t="n"/>
      <c r="B313" s="247" t="n"/>
      <c r="C313" s="248" t="n"/>
      <c r="D313" s="248" t="n"/>
      <c r="E313" s="249" t="n"/>
      <c r="F313" s="250" t="n"/>
      <c r="G313" s="242">
        <f>IF(ISNUMBER(F313),F313,IF(AND(ISNUMBER(C313),ISNUMBER(D313)),ROUND(MOD(D313-C313,1)*24-N(E313)/60,2),""))</f>
        <v/>
      </c>
      <c r="H313" s="241" t="n"/>
    </row>
    <row r="314">
      <c r="A314" s="241" t="n"/>
      <c r="B314" s="247" t="n"/>
      <c r="C314" s="248" t="n"/>
      <c r="D314" s="248" t="n"/>
      <c r="E314" s="249" t="n"/>
      <c r="F314" s="250" t="n"/>
      <c r="G314" s="242">
        <f>IF(ISNUMBER(F314),F314,IF(AND(ISNUMBER(C314),ISNUMBER(D314)),ROUND(MOD(D314-C314,1)*24-N(E314)/60,2),""))</f>
        <v/>
      </c>
      <c r="H314" s="241" t="n"/>
    </row>
    <row r="315">
      <c r="A315" s="241" t="n"/>
      <c r="B315" s="247" t="n"/>
      <c r="C315" s="248" t="n"/>
      <c r="D315" s="248" t="n"/>
      <c r="E315" s="249" t="n"/>
      <c r="F315" s="250" t="n"/>
      <c r="G315" s="242">
        <f>IF(ISNUMBER(F315),F315,IF(AND(ISNUMBER(C315),ISNUMBER(D315)),ROUND(MOD(D315-C315,1)*24-N(E315)/60,2),""))</f>
        <v/>
      </c>
      <c r="H315" s="241" t="n"/>
    </row>
    <row r="316">
      <c r="A316" s="241" t="n"/>
      <c r="B316" s="247" t="n"/>
      <c r="C316" s="248" t="n"/>
      <c r="D316" s="248" t="n"/>
      <c r="E316" s="249" t="n"/>
      <c r="F316" s="250" t="n"/>
      <c r="G316" s="242">
        <f>IF(ISNUMBER(F316),F316,IF(AND(ISNUMBER(C316),ISNUMBER(D316)),ROUND(MOD(D316-C316,1)*24-N(E316)/60,2),""))</f>
        <v/>
      </c>
      <c r="H316" s="241" t="n"/>
    </row>
    <row r="317">
      <c r="A317" s="241" t="n"/>
      <c r="B317" s="247" t="n"/>
      <c r="C317" s="248" t="n"/>
      <c r="D317" s="248" t="n"/>
      <c r="E317" s="249" t="n"/>
      <c r="F317" s="250" t="n"/>
      <c r="G317" s="242">
        <f>IF(ISNUMBER(F317),F317,IF(AND(ISNUMBER(C317),ISNUMBER(D317)),ROUND(MOD(D317-C317,1)*24-N(E317)/60,2),""))</f>
        <v/>
      </c>
      <c r="H317" s="241" t="n"/>
    </row>
    <row r="318">
      <c r="A318" s="241" t="n"/>
      <c r="B318" s="247" t="n"/>
      <c r="C318" s="248" t="n"/>
      <c r="D318" s="248" t="n"/>
      <c r="E318" s="249" t="n"/>
      <c r="F318" s="250" t="n"/>
      <c r="G318" s="242">
        <f>IF(ISNUMBER(F318),F318,IF(AND(ISNUMBER(C318),ISNUMBER(D318)),ROUND(MOD(D318-C318,1)*24-N(E318)/60,2),""))</f>
        <v/>
      </c>
      <c r="H318" s="241" t="n"/>
    </row>
    <row r="319">
      <c r="A319" s="241" t="n"/>
      <c r="B319" s="247" t="n"/>
      <c r="C319" s="248" t="n"/>
      <c r="D319" s="248" t="n"/>
      <c r="E319" s="249" t="n"/>
      <c r="F319" s="250" t="n"/>
      <c r="G319" s="242">
        <f>IF(ISNUMBER(F319),F319,IF(AND(ISNUMBER(C319),ISNUMBER(D319)),ROUND(MOD(D319-C319,1)*24-N(E319)/60,2),""))</f>
        <v/>
      </c>
      <c r="H319" s="241" t="n"/>
    </row>
    <row r="320">
      <c r="A320" s="241" t="n"/>
      <c r="B320" s="247" t="n"/>
      <c r="C320" s="248" t="n"/>
      <c r="D320" s="248" t="n"/>
      <c r="E320" s="249" t="n"/>
      <c r="F320" s="250" t="n"/>
      <c r="G320" s="242">
        <f>IF(ISNUMBER(F320),F320,IF(AND(ISNUMBER(C320),ISNUMBER(D320)),ROUND(MOD(D320-C320,1)*24-N(E320)/60,2),""))</f>
        <v/>
      </c>
      <c r="H320" s="241" t="n"/>
    </row>
    <row r="321">
      <c r="A321" s="241" t="n"/>
      <c r="B321" s="247" t="n"/>
      <c r="C321" s="248" t="n"/>
      <c r="D321" s="248" t="n"/>
      <c r="E321" s="249" t="n"/>
      <c r="F321" s="250" t="n"/>
      <c r="G321" s="242">
        <f>IF(ISNUMBER(F321),F321,IF(AND(ISNUMBER(C321),ISNUMBER(D321)),ROUND(MOD(D321-C321,1)*24-N(E321)/60,2),""))</f>
        <v/>
      </c>
      <c r="H321" s="241" t="n"/>
    </row>
    <row r="322">
      <c r="A322" s="241" t="n"/>
      <c r="B322" s="247" t="n"/>
      <c r="C322" s="248" t="n"/>
      <c r="D322" s="248" t="n"/>
      <c r="E322" s="249" t="n"/>
      <c r="F322" s="250" t="n"/>
      <c r="G322" s="242">
        <f>IF(ISNUMBER(F322),F322,IF(AND(ISNUMBER(C322),ISNUMBER(D322)),ROUND(MOD(D322-C322,1)*24-N(E322)/60,2),""))</f>
        <v/>
      </c>
      <c r="H322" s="241" t="n"/>
    </row>
    <row r="323">
      <c r="A323" s="241" t="n"/>
      <c r="B323" s="247" t="n"/>
      <c r="C323" s="248" t="n"/>
      <c r="D323" s="248" t="n"/>
      <c r="E323" s="249" t="n"/>
      <c r="F323" s="250" t="n"/>
      <c r="G323" s="242">
        <f>IF(ISNUMBER(F323),F323,IF(AND(ISNUMBER(C323),ISNUMBER(D323)),ROUND(MOD(D323-C323,1)*24-N(E323)/60,2),""))</f>
        <v/>
      </c>
      <c r="H323" s="241" t="n"/>
    </row>
    <row r="324">
      <c r="A324" s="241" t="n"/>
      <c r="B324" s="247" t="n"/>
      <c r="C324" s="248" t="n"/>
      <c r="D324" s="248" t="n"/>
      <c r="E324" s="249" t="n"/>
      <c r="F324" s="250" t="n"/>
      <c r="G324" s="242">
        <f>IF(ISNUMBER(F324),F324,IF(AND(ISNUMBER(C324),ISNUMBER(D324)),ROUND(MOD(D324-C324,1)*24-N(E324)/60,2),""))</f>
        <v/>
      </c>
      <c r="H324" s="241" t="n"/>
    </row>
    <row r="325">
      <c r="A325" s="241" t="n"/>
      <c r="B325" s="247" t="n"/>
      <c r="C325" s="248" t="n"/>
      <c r="D325" s="248" t="n"/>
      <c r="E325" s="249" t="n"/>
      <c r="F325" s="250" t="n"/>
      <c r="G325" s="242">
        <f>IF(ISNUMBER(F325),F325,IF(AND(ISNUMBER(C325),ISNUMBER(D325)),ROUND(MOD(D325-C325,1)*24-N(E325)/60,2),""))</f>
        <v/>
      </c>
      <c r="H325" s="241" t="n"/>
    </row>
    <row r="326">
      <c r="A326" s="241" t="n"/>
      <c r="B326" s="247" t="n"/>
      <c r="C326" s="248" t="n"/>
      <c r="D326" s="248" t="n"/>
      <c r="E326" s="249" t="n"/>
      <c r="F326" s="250" t="n"/>
      <c r="G326" s="242">
        <f>IF(ISNUMBER(F326),F326,IF(AND(ISNUMBER(C326),ISNUMBER(D326)),ROUND(MOD(D326-C326,1)*24-N(E326)/60,2),""))</f>
        <v/>
      </c>
      <c r="H326" s="241" t="n"/>
    </row>
    <row r="327">
      <c r="A327" s="241" t="n"/>
      <c r="B327" s="247" t="n"/>
      <c r="C327" s="248" t="n"/>
      <c r="D327" s="248" t="n"/>
      <c r="E327" s="249" t="n"/>
      <c r="F327" s="250" t="n"/>
      <c r="G327" s="242">
        <f>IF(ISNUMBER(F327),F327,IF(AND(ISNUMBER(C327),ISNUMBER(D327)),ROUND(MOD(D327-C327,1)*24-N(E327)/60,2),""))</f>
        <v/>
      </c>
      <c r="H327" s="241" t="n"/>
    </row>
    <row r="328">
      <c r="A328" s="241" t="n"/>
      <c r="B328" s="247" t="n"/>
      <c r="C328" s="248" t="n"/>
      <c r="D328" s="248" t="n"/>
      <c r="E328" s="249" t="n"/>
      <c r="F328" s="250" t="n"/>
      <c r="G328" s="242">
        <f>IF(ISNUMBER(F328),F328,IF(AND(ISNUMBER(C328),ISNUMBER(D328)),ROUND(MOD(D328-C328,1)*24-N(E328)/60,2),""))</f>
        <v/>
      </c>
      <c r="H328" s="241" t="n"/>
    </row>
    <row r="329">
      <c r="A329" s="241" t="n"/>
      <c r="B329" s="247" t="n"/>
      <c r="C329" s="248" t="n"/>
      <c r="D329" s="248" t="n"/>
      <c r="E329" s="249" t="n"/>
      <c r="F329" s="250" t="n"/>
      <c r="G329" s="242">
        <f>IF(ISNUMBER(F329),F329,IF(AND(ISNUMBER(C329),ISNUMBER(D329)),ROUND(MOD(D329-C329,1)*24-N(E329)/60,2),""))</f>
        <v/>
      </c>
      <c r="H329" s="241" t="n"/>
    </row>
    <row r="330">
      <c r="A330" s="241" t="n"/>
      <c r="B330" s="247" t="n"/>
      <c r="C330" s="248" t="n"/>
      <c r="D330" s="248" t="n"/>
      <c r="E330" s="249" t="n"/>
      <c r="F330" s="250" t="n"/>
      <c r="G330" s="242">
        <f>IF(ISNUMBER(F330),F330,IF(AND(ISNUMBER(C330),ISNUMBER(D330)),ROUND(MOD(D330-C330,1)*24-N(E330)/60,2),""))</f>
        <v/>
      </c>
      <c r="H330" s="241" t="n"/>
    </row>
    <row r="331">
      <c r="A331" s="241" t="n"/>
      <c r="B331" s="247" t="n"/>
      <c r="C331" s="248" t="n"/>
      <c r="D331" s="248" t="n"/>
      <c r="E331" s="249" t="n"/>
      <c r="F331" s="250" t="n"/>
      <c r="G331" s="242">
        <f>IF(ISNUMBER(F331),F331,IF(AND(ISNUMBER(C331),ISNUMBER(D331)),ROUND(MOD(D331-C331,1)*24-N(E331)/60,2),""))</f>
        <v/>
      </c>
      <c r="H331" s="241" t="n"/>
    </row>
    <row r="332">
      <c r="A332" s="241" t="n"/>
      <c r="B332" s="247" t="n"/>
      <c r="C332" s="248" t="n"/>
      <c r="D332" s="248" t="n"/>
      <c r="E332" s="249" t="n"/>
      <c r="F332" s="250" t="n"/>
      <c r="G332" s="242">
        <f>IF(ISNUMBER(F332),F332,IF(AND(ISNUMBER(C332),ISNUMBER(D332)),ROUND(MOD(D332-C332,1)*24-N(E332)/60,2),""))</f>
        <v/>
      </c>
      <c r="H332" s="241" t="n"/>
    </row>
    <row r="333">
      <c r="A333" s="241" t="n"/>
      <c r="B333" s="247" t="n"/>
      <c r="C333" s="248" t="n"/>
      <c r="D333" s="248" t="n"/>
      <c r="E333" s="249" t="n"/>
      <c r="F333" s="250" t="n"/>
      <c r="G333" s="242">
        <f>IF(ISNUMBER(F333),F333,IF(AND(ISNUMBER(C333),ISNUMBER(D333)),ROUND(MOD(D333-C333,1)*24-N(E333)/60,2),""))</f>
        <v/>
      </c>
      <c r="H333" s="241" t="n"/>
    </row>
    <row r="334">
      <c r="A334" s="241" t="n"/>
      <c r="B334" s="247" t="n"/>
      <c r="C334" s="248" t="n"/>
      <c r="D334" s="248" t="n"/>
      <c r="E334" s="249" t="n"/>
      <c r="F334" s="250" t="n"/>
      <c r="G334" s="242">
        <f>IF(ISNUMBER(F334),F334,IF(AND(ISNUMBER(C334),ISNUMBER(D334)),ROUND(MOD(D334-C334,1)*24-N(E334)/60,2),""))</f>
        <v/>
      </c>
      <c r="H334" s="241" t="n"/>
    </row>
    <row r="335">
      <c r="A335" s="241" t="n"/>
      <c r="B335" s="247" t="n"/>
      <c r="C335" s="248" t="n"/>
      <c r="D335" s="248" t="n"/>
      <c r="E335" s="249" t="n"/>
      <c r="F335" s="250" t="n"/>
      <c r="G335" s="242">
        <f>IF(ISNUMBER(F335),F335,IF(AND(ISNUMBER(C335),ISNUMBER(D335)),ROUND(MOD(D335-C335,1)*24-N(E335)/60,2),""))</f>
        <v/>
      </c>
      <c r="H335" s="241" t="n"/>
    </row>
    <row r="336">
      <c r="A336" s="241" t="n"/>
      <c r="B336" s="247" t="n"/>
      <c r="C336" s="248" t="n"/>
      <c r="D336" s="248" t="n"/>
      <c r="E336" s="249" t="n"/>
      <c r="F336" s="250" t="n"/>
      <c r="G336" s="242">
        <f>IF(ISNUMBER(F336),F336,IF(AND(ISNUMBER(C336),ISNUMBER(D336)),ROUND(MOD(D336-C336,1)*24-N(E336)/60,2),""))</f>
        <v/>
      </c>
      <c r="H336" s="241" t="n"/>
    </row>
    <row r="337">
      <c r="A337" s="241" t="n"/>
      <c r="B337" s="247" t="n"/>
      <c r="C337" s="248" t="n"/>
      <c r="D337" s="248" t="n"/>
      <c r="E337" s="249" t="n"/>
      <c r="F337" s="250" t="n"/>
      <c r="G337" s="242">
        <f>IF(ISNUMBER(F337),F337,IF(AND(ISNUMBER(C337),ISNUMBER(D337)),ROUND(MOD(D337-C337,1)*24-N(E337)/60,2),""))</f>
        <v/>
      </c>
      <c r="H337" s="241" t="n"/>
    </row>
    <row r="338">
      <c r="A338" s="241" t="n"/>
      <c r="B338" s="247" t="n"/>
      <c r="C338" s="248" t="n"/>
      <c r="D338" s="248" t="n"/>
      <c r="E338" s="249" t="n"/>
      <c r="F338" s="250" t="n"/>
      <c r="G338" s="242">
        <f>IF(ISNUMBER(F338),F338,IF(AND(ISNUMBER(C338),ISNUMBER(D338)),ROUND(MOD(D338-C338,1)*24-N(E338)/60,2),""))</f>
        <v/>
      </c>
      <c r="H338" s="241" t="n"/>
    </row>
    <row r="339">
      <c r="A339" s="241" t="n"/>
      <c r="B339" s="247" t="n"/>
      <c r="C339" s="248" t="n"/>
      <c r="D339" s="248" t="n"/>
      <c r="E339" s="249" t="n"/>
      <c r="F339" s="250" t="n"/>
      <c r="G339" s="242">
        <f>IF(ISNUMBER(F339),F339,IF(AND(ISNUMBER(C339),ISNUMBER(D339)),ROUND(MOD(D339-C339,1)*24-N(E339)/60,2),""))</f>
        <v/>
      </c>
      <c r="H339" s="241" t="n"/>
    </row>
    <row r="340">
      <c r="A340" s="241" t="n"/>
      <c r="B340" s="247" t="n"/>
      <c r="C340" s="248" t="n"/>
      <c r="D340" s="248" t="n"/>
      <c r="E340" s="249" t="n"/>
      <c r="F340" s="250" t="n"/>
      <c r="G340" s="242">
        <f>IF(ISNUMBER(F340),F340,IF(AND(ISNUMBER(C340),ISNUMBER(D340)),ROUND(MOD(D340-C340,1)*24-N(E340)/60,2),""))</f>
        <v/>
      </c>
      <c r="H340" s="241" t="n"/>
    </row>
    <row r="341">
      <c r="A341" s="241" t="n"/>
      <c r="B341" s="247" t="n"/>
      <c r="C341" s="248" t="n"/>
      <c r="D341" s="248" t="n"/>
      <c r="E341" s="249" t="n"/>
      <c r="F341" s="250" t="n"/>
      <c r="G341" s="242">
        <f>IF(ISNUMBER(F341),F341,IF(AND(ISNUMBER(C341),ISNUMBER(D341)),ROUND(MOD(D341-C341,1)*24-N(E341)/60,2),""))</f>
        <v/>
      </c>
      <c r="H341" s="241" t="n"/>
    </row>
    <row r="342">
      <c r="A342" s="241" t="n"/>
      <c r="B342" s="247" t="n"/>
      <c r="C342" s="248" t="n"/>
      <c r="D342" s="248" t="n"/>
      <c r="E342" s="249" t="n"/>
      <c r="F342" s="250" t="n"/>
      <c r="G342" s="242">
        <f>IF(ISNUMBER(F342),F342,IF(AND(ISNUMBER(C342),ISNUMBER(D342)),ROUND(MOD(D342-C342,1)*24-N(E342)/60,2),""))</f>
        <v/>
      </c>
      <c r="H342" s="241" t="n"/>
    </row>
    <row r="343">
      <c r="A343" s="241" t="n"/>
      <c r="B343" s="247" t="n"/>
      <c r="C343" s="248" t="n"/>
      <c r="D343" s="248" t="n"/>
      <c r="E343" s="249" t="n"/>
      <c r="F343" s="250" t="n"/>
      <c r="G343" s="242">
        <f>IF(ISNUMBER(F343),F343,IF(AND(ISNUMBER(C343),ISNUMBER(D343)),ROUND(MOD(D343-C343,1)*24-N(E343)/60,2),""))</f>
        <v/>
      </c>
      <c r="H343" s="241" t="n"/>
    </row>
    <row r="344">
      <c r="A344" s="241" t="n"/>
      <c r="B344" s="247" t="n"/>
      <c r="C344" s="248" t="n"/>
      <c r="D344" s="248" t="n"/>
      <c r="E344" s="249" t="n"/>
      <c r="F344" s="250" t="n"/>
      <c r="G344" s="242">
        <f>IF(ISNUMBER(F344),F344,IF(AND(ISNUMBER(C344),ISNUMBER(D344)),ROUND(MOD(D344-C344,1)*24-N(E344)/60,2),""))</f>
        <v/>
      </c>
      <c r="H344" s="241" t="n"/>
    </row>
    <row r="345">
      <c r="A345" s="241" t="n"/>
      <c r="B345" s="247" t="n"/>
      <c r="C345" s="248" t="n"/>
      <c r="D345" s="248" t="n"/>
      <c r="E345" s="249" t="n"/>
      <c r="F345" s="250" t="n"/>
      <c r="G345" s="242">
        <f>IF(ISNUMBER(F345),F345,IF(AND(ISNUMBER(C345),ISNUMBER(D345)),ROUND(MOD(D345-C345,1)*24-N(E345)/60,2),""))</f>
        <v/>
      </c>
      <c r="H345" s="241" t="n"/>
    </row>
    <row r="346">
      <c r="A346" s="241" t="n"/>
      <c r="B346" s="247" t="n"/>
      <c r="C346" s="248" t="n"/>
      <c r="D346" s="248" t="n"/>
      <c r="E346" s="249" t="n"/>
      <c r="F346" s="250" t="n"/>
      <c r="G346" s="242">
        <f>IF(ISNUMBER(F346),F346,IF(AND(ISNUMBER(C346),ISNUMBER(D346)),ROUND(MOD(D346-C346,1)*24-N(E346)/60,2),""))</f>
        <v/>
      </c>
      <c r="H346" s="241" t="n"/>
    </row>
    <row r="347">
      <c r="A347" s="241" t="n"/>
      <c r="B347" s="247" t="n"/>
      <c r="C347" s="248" t="n"/>
      <c r="D347" s="248" t="n"/>
      <c r="E347" s="249" t="n"/>
      <c r="F347" s="250" t="n"/>
      <c r="G347" s="242">
        <f>IF(ISNUMBER(F347),F347,IF(AND(ISNUMBER(C347),ISNUMBER(D347)),ROUND(MOD(D347-C347,1)*24-N(E347)/60,2),""))</f>
        <v/>
      </c>
      <c r="H347" s="241" t="n"/>
    </row>
    <row r="348">
      <c r="A348" s="241" t="n"/>
      <c r="B348" s="247" t="n"/>
      <c r="C348" s="248" t="n"/>
      <c r="D348" s="248" t="n"/>
      <c r="E348" s="249" t="n"/>
      <c r="F348" s="250" t="n"/>
      <c r="G348" s="242">
        <f>IF(ISNUMBER(F348),F348,IF(AND(ISNUMBER(C348),ISNUMBER(D348)),ROUND(MOD(D348-C348,1)*24-N(E348)/60,2),""))</f>
        <v/>
      </c>
      <c r="H348" s="241" t="n"/>
    </row>
    <row r="349">
      <c r="A349" s="241" t="n"/>
      <c r="B349" s="247" t="n"/>
      <c r="C349" s="248" t="n"/>
      <c r="D349" s="248" t="n"/>
      <c r="E349" s="249" t="n"/>
      <c r="F349" s="250" t="n"/>
      <c r="G349" s="242">
        <f>IF(ISNUMBER(F349),F349,IF(AND(ISNUMBER(C349),ISNUMBER(D349)),ROUND(MOD(D349-C349,1)*24-N(E349)/60,2),""))</f>
        <v/>
      </c>
      <c r="H349" s="241" t="n"/>
    </row>
    <row r="350">
      <c r="A350" s="241" t="n"/>
      <c r="B350" s="247" t="n"/>
      <c r="C350" s="248" t="n"/>
      <c r="D350" s="248" t="n"/>
      <c r="E350" s="249" t="n"/>
      <c r="F350" s="250" t="n"/>
      <c r="G350" s="242">
        <f>IF(ISNUMBER(F350),F350,IF(AND(ISNUMBER(C350),ISNUMBER(D350)),ROUND(MOD(D350-C350,1)*24-N(E350)/60,2),""))</f>
        <v/>
      </c>
      <c r="H350" s="241" t="n"/>
    </row>
    <row r="351">
      <c r="A351" s="241" t="n"/>
      <c r="B351" s="247" t="n"/>
      <c r="C351" s="248" t="n"/>
      <c r="D351" s="248" t="n"/>
      <c r="E351" s="249" t="n"/>
      <c r="F351" s="250" t="n"/>
      <c r="G351" s="242">
        <f>IF(ISNUMBER(F351),F351,IF(AND(ISNUMBER(C351),ISNUMBER(D351)),ROUND(MOD(D351-C351,1)*24-N(E351)/60,2),""))</f>
        <v/>
      </c>
      <c r="H351" s="241" t="n"/>
    </row>
    <row r="352">
      <c r="A352" s="241" t="n"/>
      <c r="B352" s="247" t="n"/>
      <c r="C352" s="248" t="n"/>
      <c r="D352" s="248" t="n"/>
      <c r="E352" s="249" t="n"/>
      <c r="F352" s="250" t="n"/>
      <c r="G352" s="242">
        <f>IF(ISNUMBER(F352),F352,IF(AND(ISNUMBER(C352),ISNUMBER(D352)),ROUND(MOD(D352-C352,1)*24-N(E352)/60,2),""))</f>
        <v/>
      </c>
      <c r="H352" s="241" t="n"/>
    </row>
    <row r="353">
      <c r="A353" s="241" t="n"/>
      <c r="B353" s="247" t="n"/>
      <c r="C353" s="248" t="n"/>
      <c r="D353" s="248" t="n"/>
      <c r="E353" s="249" t="n"/>
      <c r="F353" s="250" t="n"/>
      <c r="G353" s="242">
        <f>IF(ISNUMBER(F353),F353,IF(AND(ISNUMBER(C353),ISNUMBER(D353)),ROUND(MOD(D353-C353,1)*24-N(E353)/60,2),""))</f>
        <v/>
      </c>
      <c r="H353" s="241" t="n"/>
    </row>
    <row r="354">
      <c r="A354" s="241" t="n"/>
      <c r="B354" s="247" t="n"/>
      <c r="C354" s="248" t="n"/>
      <c r="D354" s="248" t="n"/>
      <c r="E354" s="249" t="n"/>
      <c r="F354" s="250" t="n"/>
      <c r="G354" s="242">
        <f>IF(ISNUMBER(F354),F354,IF(AND(ISNUMBER(C354),ISNUMBER(D354)),ROUND(MOD(D354-C354,1)*24-N(E354)/60,2),""))</f>
        <v/>
      </c>
      <c r="H354" s="241" t="n"/>
    </row>
    <row r="355">
      <c r="A355" s="241" t="n"/>
      <c r="B355" s="247" t="n"/>
      <c r="C355" s="248" t="n"/>
      <c r="D355" s="248" t="n"/>
      <c r="E355" s="249" t="n"/>
      <c r="F355" s="250" t="n"/>
      <c r="G355" s="242">
        <f>IF(ISNUMBER(F355),F355,IF(AND(ISNUMBER(C355),ISNUMBER(D355)),ROUND(MOD(D355-C355,1)*24-N(E355)/60,2),""))</f>
        <v/>
      </c>
      <c r="H355" s="241" t="n"/>
    </row>
    <row r="356">
      <c r="A356" s="241" t="n"/>
      <c r="B356" s="247" t="n"/>
      <c r="C356" s="248" t="n"/>
      <c r="D356" s="248" t="n"/>
      <c r="E356" s="249" t="n"/>
      <c r="F356" s="250" t="n"/>
      <c r="G356" s="242">
        <f>IF(ISNUMBER(F356),F356,IF(AND(ISNUMBER(C356),ISNUMBER(D356)),ROUND(MOD(D356-C356,1)*24-N(E356)/60,2),""))</f>
        <v/>
      </c>
      <c r="H356" s="241" t="n"/>
    </row>
    <row r="357">
      <c r="A357" s="241" t="n"/>
      <c r="B357" s="247" t="n"/>
      <c r="C357" s="248" t="n"/>
      <c r="D357" s="248" t="n"/>
      <c r="E357" s="249" t="n"/>
      <c r="F357" s="250" t="n"/>
      <c r="G357" s="242">
        <f>IF(ISNUMBER(F357),F357,IF(AND(ISNUMBER(C357),ISNUMBER(D357)),ROUND(MOD(D357-C357,1)*24-N(E357)/60,2),""))</f>
        <v/>
      </c>
      <c r="H357" s="241" t="n"/>
    </row>
    <row r="358">
      <c r="A358" s="241" t="n"/>
      <c r="B358" s="247" t="n"/>
      <c r="C358" s="248" t="n"/>
      <c r="D358" s="248" t="n"/>
      <c r="E358" s="249" t="n"/>
      <c r="F358" s="250" t="n"/>
      <c r="G358" s="242">
        <f>IF(ISNUMBER(F358),F358,IF(AND(ISNUMBER(C358),ISNUMBER(D358)),ROUND(MOD(D358-C358,1)*24-N(E358)/60,2),""))</f>
        <v/>
      </c>
      <c r="H358" s="241" t="n"/>
    </row>
    <row r="359">
      <c r="A359" s="241" t="n"/>
      <c r="B359" s="247" t="n"/>
      <c r="C359" s="248" t="n"/>
      <c r="D359" s="248" t="n"/>
      <c r="E359" s="249" t="n"/>
      <c r="F359" s="250" t="n"/>
      <c r="G359" s="242">
        <f>IF(ISNUMBER(F359),F359,IF(AND(ISNUMBER(C359),ISNUMBER(D359)),ROUND(MOD(D359-C359,1)*24-N(E359)/60,2),""))</f>
        <v/>
      </c>
      <c r="H359" s="241" t="n"/>
    </row>
    <row r="360">
      <c r="A360" s="241" t="n"/>
      <c r="B360" s="247" t="n"/>
      <c r="C360" s="248" t="n"/>
      <c r="D360" s="248" t="n"/>
      <c r="E360" s="249" t="n"/>
      <c r="F360" s="250" t="n"/>
      <c r="G360" s="242">
        <f>IF(ISNUMBER(F360),F360,IF(AND(ISNUMBER(C360),ISNUMBER(D360)),ROUND(MOD(D360-C360,1)*24-N(E360)/60,2),""))</f>
        <v/>
      </c>
      <c r="H360" s="241" t="n"/>
    </row>
    <row r="361">
      <c r="A361" s="241" t="n"/>
      <c r="B361" s="247" t="n"/>
      <c r="C361" s="248" t="n"/>
      <c r="D361" s="248" t="n"/>
      <c r="E361" s="249" t="n"/>
      <c r="F361" s="250" t="n"/>
      <c r="G361" s="242">
        <f>IF(ISNUMBER(F361),F361,IF(AND(ISNUMBER(C361),ISNUMBER(D361)),ROUND(MOD(D361-C361,1)*24-N(E361)/60,2),""))</f>
        <v/>
      </c>
      <c r="H361" s="241" t="n"/>
    </row>
    <row r="362">
      <c r="A362" s="241" t="n"/>
      <c r="B362" s="247" t="n"/>
      <c r="C362" s="248" t="n"/>
      <c r="D362" s="248" t="n"/>
      <c r="E362" s="249" t="n"/>
      <c r="F362" s="250" t="n"/>
      <c r="G362" s="242">
        <f>IF(ISNUMBER(F362),F362,IF(AND(ISNUMBER(C362),ISNUMBER(D362)),ROUND(MOD(D362-C362,1)*24-N(E362)/60,2),""))</f>
        <v/>
      </c>
      <c r="H362" s="241" t="n"/>
    </row>
    <row r="363">
      <c r="A363" s="241" t="n"/>
      <c r="B363" s="247" t="n"/>
      <c r="C363" s="248" t="n"/>
      <c r="D363" s="248" t="n"/>
      <c r="E363" s="249" t="n"/>
      <c r="F363" s="250" t="n"/>
      <c r="G363" s="242">
        <f>IF(ISNUMBER(F363),F363,IF(AND(ISNUMBER(C363),ISNUMBER(D363)),ROUND(MOD(D363-C363,1)*24-N(E363)/60,2),""))</f>
        <v/>
      </c>
      <c r="H363" s="241" t="n"/>
    </row>
    <row r="364">
      <c r="A364" s="241" t="n"/>
      <c r="B364" s="247" t="n"/>
      <c r="C364" s="248" t="n"/>
      <c r="D364" s="248" t="n"/>
      <c r="E364" s="249" t="n"/>
      <c r="F364" s="250" t="n"/>
      <c r="G364" s="242">
        <f>IF(ISNUMBER(F364),F364,IF(AND(ISNUMBER(C364),ISNUMBER(D364)),ROUND(MOD(D364-C364,1)*24-N(E364)/60,2),""))</f>
        <v/>
      </c>
      <c r="H364" s="241" t="n"/>
    </row>
    <row r="365">
      <c r="A365" s="241" t="n"/>
      <c r="B365" s="247" t="n"/>
      <c r="C365" s="248" t="n"/>
      <c r="D365" s="248" t="n"/>
      <c r="E365" s="249" t="n"/>
      <c r="F365" s="250" t="n"/>
      <c r="G365" s="242">
        <f>IF(ISNUMBER(F365),F365,IF(AND(ISNUMBER(C365),ISNUMBER(D365)),ROUND(MOD(D365-C365,1)*24-N(E365)/60,2),""))</f>
        <v/>
      </c>
      <c r="H365" s="241" t="n"/>
    </row>
    <row r="366">
      <c r="A366" s="241" t="n"/>
      <c r="B366" s="247" t="n"/>
      <c r="C366" s="248" t="n"/>
      <c r="D366" s="248" t="n"/>
      <c r="E366" s="249" t="n"/>
      <c r="F366" s="250" t="n"/>
      <c r="G366" s="242">
        <f>IF(ISNUMBER(F366),F366,IF(AND(ISNUMBER(C366),ISNUMBER(D366)),ROUND(MOD(D366-C366,1)*24-N(E366)/60,2),""))</f>
        <v/>
      </c>
      <c r="H366" s="241" t="n"/>
    </row>
    <row r="367">
      <c r="A367" s="241" t="n"/>
      <c r="B367" s="247" t="n"/>
      <c r="C367" s="248" t="n"/>
      <c r="D367" s="248" t="n"/>
      <c r="E367" s="249" t="n"/>
      <c r="F367" s="250" t="n"/>
      <c r="G367" s="242">
        <f>IF(ISNUMBER(F367),F367,IF(AND(ISNUMBER(C367),ISNUMBER(D367)),ROUND(MOD(D367-C367,1)*24-N(E367)/60,2),""))</f>
        <v/>
      </c>
      <c r="H367" s="241" t="n"/>
    </row>
    <row r="368">
      <c r="A368" s="241" t="n"/>
      <c r="B368" s="247" t="n"/>
      <c r="C368" s="248" t="n"/>
      <c r="D368" s="248" t="n"/>
      <c r="E368" s="249" t="n"/>
      <c r="F368" s="250" t="n"/>
      <c r="G368" s="242">
        <f>IF(ISNUMBER(F368),F368,IF(AND(ISNUMBER(C368),ISNUMBER(D368)),ROUND(MOD(D368-C368,1)*24-N(E368)/60,2),""))</f>
        <v/>
      </c>
      <c r="H368" s="241" t="n"/>
    </row>
    <row r="369">
      <c r="A369" s="241" t="n"/>
      <c r="B369" s="247" t="n"/>
      <c r="C369" s="248" t="n"/>
      <c r="D369" s="248" t="n"/>
      <c r="E369" s="249" t="n"/>
      <c r="F369" s="250" t="n"/>
      <c r="G369" s="242">
        <f>IF(ISNUMBER(F369),F369,IF(AND(ISNUMBER(C369),ISNUMBER(D369)),ROUND(MOD(D369-C369,1)*24-N(E369)/60,2),""))</f>
        <v/>
      </c>
      <c r="H369" s="241" t="n"/>
    </row>
    <row r="370">
      <c r="A370" s="241" t="n"/>
      <c r="B370" s="247" t="n"/>
      <c r="C370" s="248" t="n"/>
      <c r="D370" s="248" t="n"/>
      <c r="E370" s="249" t="n"/>
      <c r="F370" s="250" t="n"/>
      <c r="G370" s="242">
        <f>IF(ISNUMBER(F370),F370,IF(AND(ISNUMBER(C370),ISNUMBER(D370)),ROUND(MOD(D370-C370,1)*24-N(E370)/60,2),""))</f>
        <v/>
      </c>
      <c r="H370" s="241" t="n"/>
    </row>
    <row r="371">
      <c r="A371" s="241" t="n"/>
      <c r="B371" s="247" t="n"/>
      <c r="C371" s="248" t="n"/>
      <c r="D371" s="248" t="n"/>
      <c r="E371" s="249" t="n"/>
      <c r="F371" s="250" t="n"/>
      <c r="G371" s="242">
        <f>IF(ISNUMBER(F371),F371,IF(AND(ISNUMBER(C371),ISNUMBER(D371)),ROUND(MOD(D371-C371,1)*24-N(E371)/60,2),""))</f>
        <v/>
      </c>
      <c r="H371" s="241" t="n"/>
    </row>
    <row r="372">
      <c r="A372" s="241" t="n"/>
      <c r="B372" s="247" t="n"/>
      <c r="C372" s="248" t="n"/>
      <c r="D372" s="248" t="n"/>
      <c r="E372" s="249" t="n"/>
      <c r="F372" s="250" t="n"/>
      <c r="G372" s="242">
        <f>IF(ISNUMBER(F372),F372,IF(AND(ISNUMBER(C372),ISNUMBER(D372)),ROUND(MOD(D372-C372,1)*24-N(E372)/60,2),""))</f>
        <v/>
      </c>
      <c r="H372" s="241" t="n"/>
    </row>
    <row r="373">
      <c r="A373" s="241" t="n"/>
      <c r="B373" s="247" t="n"/>
      <c r="C373" s="248" t="n"/>
      <c r="D373" s="248" t="n"/>
      <c r="E373" s="249" t="n"/>
      <c r="F373" s="250" t="n"/>
      <c r="G373" s="242">
        <f>IF(ISNUMBER(F373),F373,IF(AND(ISNUMBER(C373),ISNUMBER(D373)),ROUND(MOD(D373-C373,1)*24-N(E373)/60,2),""))</f>
        <v/>
      </c>
      <c r="H373" s="241" t="n"/>
    </row>
    <row r="374">
      <c r="A374" s="241" t="n"/>
      <c r="B374" s="247" t="n"/>
      <c r="C374" s="248" t="n"/>
      <c r="D374" s="248" t="n"/>
      <c r="E374" s="249" t="n"/>
      <c r="F374" s="250" t="n"/>
      <c r="G374" s="242">
        <f>IF(ISNUMBER(F374),F374,IF(AND(ISNUMBER(C374),ISNUMBER(D374)),ROUND(MOD(D374-C374,1)*24-N(E374)/60,2),""))</f>
        <v/>
      </c>
      <c r="H374" s="241" t="n"/>
    </row>
    <row r="375">
      <c r="A375" s="241" t="n"/>
      <c r="B375" s="247" t="n"/>
      <c r="C375" s="248" t="n"/>
      <c r="D375" s="248" t="n"/>
      <c r="E375" s="249" t="n"/>
      <c r="F375" s="250" t="n"/>
      <c r="G375" s="242">
        <f>IF(ISNUMBER(F375),F375,IF(AND(ISNUMBER(C375),ISNUMBER(D375)),ROUND(MOD(D375-C375,1)*24-N(E375)/60,2),""))</f>
        <v/>
      </c>
      <c r="H375" s="241" t="n"/>
    </row>
    <row r="376">
      <c r="A376" s="241" t="n"/>
      <c r="B376" s="247" t="n"/>
      <c r="C376" s="248" t="n"/>
      <c r="D376" s="248" t="n"/>
      <c r="E376" s="249" t="n"/>
      <c r="F376" s="250" t="n"/>
      <c r="G376" s="242">
        <f>IF(ISNUMBER(F376),F376,IF(AND(ISNUMBER(C376),ISNUMBER(D376)),ROUND(MOD(D376-C376,1)*24-N(E376)/60,2),""))</f>
        <v/>
      </c>
      <c r="H376" s="241" t="n"/>
    </row>
    <row r="377">
      <c r="A377" s="241" t="n"/>
      <c r="B377" s="247" t="n"/>
      <c r="C377" s="248" t="n"/>
      <c r="D377" s="248" t="n"/>
      <c r="E377" s="249" t="n"/>
      <c r="F377" s="250" t="n"/>
      <c r="G377" s="242">
        <f>IF(ISNUMBER(F377),F377,IF(AND(ISNUMBER(C377),ISNUMBER(D377)),ROUND(MOD(D377-C377,1)*24-N(E377)/60,2),""))</f>
        <v/>
      </c>
      <c r="H377" s="241" t="n"/>
    </row>
    <row r="378">
      <c r="A378" s="241" t="n"/>
      <c r="B378" s="247" t="n"/>
      <c r="C378" s="248" t="n"/>
      <c r="D378" s="248" t="n"/>
      <c r="E378" s="249" t="n"/>
      <c r="F378" s="250" t="n"/>
      <c r="G378" s="242">
        <f>IF(ISNUMBER(F378),F378,IF(AND(ISNUMBER(C378),ISNUMBER(D378)),ROUND(MOD(D378-C378,1)*24-N(E378)/60,2),""))</f>
        <v/>
      </c>
      <c r="H378" s="241" t="n"/>
    </row>
    <row r="379">
      <c r="A379" s="241" t="n"/>
      <c r="B379" s="247" t="n"/>
      <c r="C379" s="248" t="n"/>
      <c r="D379" s="248" t="n"/>
      <c r="E379" s="249" t="n"/>
      <c r="F379" s="250" t="n"/>
      <c r="G379" s="242">
        <f>IF(ISNUMBER(F379),F379,IF(AND(ISNUMBER(C379),ISNUMBER(D379)),ROUND(MOD(D379-C379,1)*24-N(E379)/60,2),""))</f>
        <v/>
      </c>
      <c r="H379" s="241" t="n"/>
    </row>
    <row r="380">
      <c r="A380" s="241" t="n"/>
      <c r="B380" s="247" t="n"/>
      <c r="C380" s="248" t="n"/>
      <c r="D380" s="248" t="n"/>
      <c r="E380" s="249" t="n"/>
      <c r="F380" s="250" t="n"/>
      <c r="G380" s="242">
        <f>IF(ISNUMBER(F380),F380,IF(AND(ISNUMBER(C380),ISNUMBER(D380)),ROUND(MOD(D380-C380,1)*24-N(E380)/60,2),""))</f>
        <v/>
      </c>
      <c r="H380" s="241" t="n"/>
    </row>
    <row r="381">
      <c r="A381" s="241" t="n"/>
      <c r="B381" s="247" t="n"/>
      <c r="C381" s="248" t="n"/>
      <c r="D381" s="248" t="n"/>
      <c r="E381" s="249" t="n"/>
      <c r="F381" s="250" t="n"/>
      <c r="G381" s="242">
        <f>IF(ISNUMBER(F381),F381,IF(AND(ISNUMBER(C381),ISNUMBER(D381)),ROUND(MOD(D381-C381,1)*24-N(E381)/60,2),""))</f>
        <v/>
      </c>
      <c r="H381" s="241" t="n"/>
    </row>
    <row r="382">
      <c r="A382" s="241" t="n"/>
      <c r="B382" s="247" t="n"/>
      <c r="C382" s="248" t="n"/>
      <c r="D382" s="248" t="n"/>
      <c r="E382" s="249" t="n"/>
      <c r="F382" s="250" t="n"/>
      <c r="G382" s="242">
        <f>IF(ISNUMBER(F382),F382,IF(AND(ISNUMBER(C382),ISNUMBER(D382)),ROUND(MOD(D382-C382,1)*24-N(E382)/60,2),""))</f>
        <v/>
      </c>
      <c r="H382" s="241" t="n"/>
    </row>
    <row r="383">
      <c r="A383" s="241" t="n"/>
      <c r="B383" s="247" t="n"/>
      <c r="C383" s="248" t="n"/>
      <c r="D383" s="248" t="n"/>
      <c r="E383" s="249" t="n"/>
      <c r="F383" s="250" t="n"/>
      <c r="G383" s="242">
        <f>IF(ISNUMBER(F383),F383,IF(AND(ISNUMBER(C383),ISNUMBER(D383)),ROUND(MOD(D383-C383,1)*24-N(E383)/60,2),""))</f>
        <v/>
      </c>
      <c r="H383" s="241" t="n"/>
    </row>
    <row r="384">
      <c r="A384" s="241" t="n"/>
      <c r="B384" s="247" t="n"/>
      <c r="C384" s="248" t="n"/>
      <c r="D384" s="248" t="n"/>
      <c r="E384" s="249" t="n"/>
      <c r="F384" s="250" t="n"/>
      <c r="G384" s="242">
        <f>IF(ISNUMBER(F384),F384,IF(AND(ISNUMBER(C384),ISNUMBER(D384)),ROUND(MOD(D384-C384,1)*24-N(E384)/60,2),""))</f>
        <v/>
      </c>
      <c r="H384" s="241" t="n"/>
    </row>
    <row r="385">
      <c r="A385" s="241" t="n"/>
      <c r="B385" s="247" t="n"/>
      <c r="C385" s="248" t="n"/>
      <c r="D385" s="248" t="n"/>
      <c r="E385" s="249" t="n"/>
      <c r="F385" s="250" t="n"/>
      <c r="G385" s="242">
        <f>IF(ISNUMBER(F385),F385,IF(AND(ISNUMBER(C385),ISNUMBER(D385)),ROUND(MOD(D385-C385,1)*24-N(E385)/60,2),""))</f>
        <v/>
      </c>
      <c r="H385" s="241" t="n"/>
    </row>
    <row r="386">
      <c r="A386" s="241" t="n"/>
      <c r="B386" s="247" t="n"/>
      <c r="C386" s="248" t="n"/>
      <c r="D386" s="248" t="n"/>
      <c r="E386" s="249" t="n"/>
      <c r="F386" s="250" t="n"/>
      <c r="G386" s="242">
        <f>IF(ISNUMBER(F386),F386,IF(AND(ISNUMBER(C386),ISNUMBER(D386)),ROUND(MOD(D386-C386,1)*24-N(E386)/60,2),""))</f>
        <v/>
      </c>
      <c r="H386" s="241" t="n"/>
    </row>
    <row r="387">
      <c r="A387" s="241" t="n"/>
      <c r="B387" s="247" t="n"/>
      <c r="C387" s="248" t="n"/>
      <c r="D387" s="248" t="n"/>
      <c r="E387" s="249" t="n"/>
      <c r="F387" s="250" t="n"/>
      <c r="G387" s="242">
        <f>IF(ISNUMBER(F387),F387,IF(AND(ISNUMBER(C387),ISNUMBER(D387)),ROUND(MOD(D387-C387,1)*24-N(E387)/60,2),""))</f>
        <v/>
      </c>
      <c r="H387" s="241" t="n"/>
    </row>
    <row r="388">
      <c r="A388" s="241" t="n"/>
      <c r="B388" s="247" t="n"/>
      <c r="C388" s="248" t="n"/>
      <c r="D388" s="248" t="n"/>
      <c r="E388" s="249" t="n"/>
      <c r="F388" s="250" t="n"/>
      <c r="G388" s="242">
        <f>IF(ISNUMBER(F388),F388,IF(AND(ISNUMBER(C388),ISNUMBER(D388)),ROUND(MOD(D388-C388,1)*24-N(E388)/60,2),""))</f>
        <v/>
      </c>
      <c r="H388" s="241" t="n"/>
    </row>
    <row r="389">
      <c r="A389" s="241" t="n"/>
      <c r="B389" s="247" t="n"/>
      <c r="C389" s="248" t="n"/>
      <c r="D389" s="248" t="n"/>
      <c r="E389" s="249" t="n"/>
      <c r="F389" s="250" t="n"/>
      <c r="G389" s="242">
        <f>IF(ISNUMBER(F389),F389,IF(AND(ISNUMBER(C389),ISNUMBER(D389)),ROUND(MOD(D389-C389,1)*24-N(E389)/60,2),""))</f>
        <v/>
      </c>
      <c r="H389" s="241" t="n"/>
    </row>
    <row r="390">
      <c r="A390" s="241" t="n"/>
      <c r="B390" s="247" t="n"/>
      <c r="C390" s="248" t="n"/>
      <c r="D390" s="248" t="n"/>
      <c r="E390" s="249" t="n"/>
      <c r="F390" s="250" t="n"/>
      <c r="G390" s="242">
        <f>IF(ISNUMBER(F390),F390,IF(AND(ISNUMBER(C390),ISNUMBER(D390)),ROUND(MOD(D390-C390,1)*24-N(E390)/60,2),""))</f>
        <v/>
      </c>
      <c r="H390" s="241" t="n"/>
    </row>
    <row r="391">
      <c r="A391" s="241" t="n"/>
      <c r="B391" s="247" t="n"/>
      <c r="C391" s="248" t="n"/>
      <c r="D391" s="248" t="n"/>
      <c r="E391" s="249" t="n"/>
      <c r="F391" s="250" t="n"/>
      <c r="G391" s="242">
        <f>IF(ISNUMBER(F391),F391,IF(AND(ISNUMBER(C391),ISNUMBER(D391)),ROUND(MOD(D391-C391,1)*24-N(E391)/60,2),""))</f>
        <v/>
      </c>
      <c r="H391" s="241" t="n"/>
    </row>
    <row r="392">
      <c r="A392" s="241" t="n"/>
      <c r="B392" s="247" t="n"/>
      <c r="C392" s="248" t="n"/>
      <c r="D392" s="248" t="n"/>
      <c r="E392" s="249" t="n"/>
      <c r="F392" s="250" t="n"/>
      <c r="G392" s="242">
        <f>IF(ISNUMBER(F392),F392,IF(AND(ISNUMBER(C392),ISNUMBER(D392)),ROUND(MOD(D392-C392,1)*24-N(E392)/60,2),""))</f>
        <v/>
      </c>
      <c r="H392" s="241" t="n"/>
    </row>
    <row r="393">
      <c r="A393" s="241" t="n"/>
      <c r="B393" s="247" t="n"/>
      <c r="C393" s="248" t="n"/>
      <c r="D393" s="248" t="n"/>
      <c r="E393" s="249" t="n"/>
      <c r="F393" s="250" t="n"/>
      <c r="G393" s="242">
        <f>IF(ISNUMBER(F393),F393,IF(AND(ISNUMBER(C393),ISNUMBER(D393)),ROUND(MOD(D393-C393,1)*24-N(E393)/60,2),""))</f>
        <v/>
      </c>
      <c r="H393" s="241" t="n"/>
    </row>
    <row r="394">
      <c r="A394" s="241" t="n"/>
      <c r="B394" s="247" t="n"/>
      <c r="C394" s="248" t="n"/>
      <c r="D394" s="248" t="n"/>
      <c r="E394" s="249" t="n"/>
      <c r="F394" s="250" t="n"/>
      <c r="G394" s="242">
        <f>IF(ISNUMBER(F394),F394,IF(AND(ISNUMBER(C394),ISNUMBER(D394)),ROUND(MOD(D394-C394,1)*24-N(E394)/60,2),""))</f>
        <v/>
      </c>
      <c r="H394" s="241" t="n"/>
    </row>
    <row r="395">
      <c r="A395" s="241" t="n"/>
      <c r="B395" s="247" t="n"/>
      <c r="C395" s="248" t="n"/>
      <c r="D395" s="248" t="n"/>
      <c r="E395" s="249" t="n"/>
      <c r="F395" s="250" t="n"/>
      <c r="G395" s="242">
        <f>IF(ISNUMBER(F395),F395,IF(AND(ISNUMBER(C395),ISNUMBER(D395)),ROUND(MOD(D395-C395,1)*24-N(E395)/60,2),""))</f>
        <v/>
      </c>
      <c r="H395" s="241" t="n"/>
    </row>
    <row r="396">
      <c r="A396" s="241" t="n"/>
      <c r="B396" s="247" t="n"/>
      <c r="C396" s="248" t="n"/>
      <c r="D396" s="248" t="n"/>
      <c r="E396" s="249" t="n"/>
      <c r="F396" s="250" t="n"/>
      <c r="G396" s="242">
        <f>IF(ISNUMBER(F396),F396,IF(AND(ISNUMBER(C396),ISNUMBER(D396)),ROUND(MOD(D396-C396,1)*24-N(E396)/60,2),""))</f>
        <v/>
      </c>
      <c r="H396" s="241" t="n"/>
    </row>
    <row r="397">
      <c r="A397" s="241" t="n"/>
      <c r="B397" s="247" t="n"/>
      <c r="C397" s="248" t="n"/>
      <c r="D397" s="248" t="n"/>
      <c r="E397" s="249" t="n"/>
      <c r="F397" s="250" t="n"/>
      <c r="G397" s="242">
        <f>IF(ISNUMBER(F397),F397,IF(AND(ISNUMBER(C397),ISNUMBER(D397)),ROUND(MOD(D397-C397,1)*24-N(E397)/60,2),""))</f>
        <v/>
      </c>
      <c r="H397" s="241" t="n"/>
    </row>
    <row r="398">
      <c r="A398" s="241" t="n"/>
      <c r="B398" s="247" t="n"/>
      <c r="C398" s="248" t="n"/>
      <c r="D398" s="248" t="n"/>
      <c r="E398" s="249" t="n"/>
      <c r="F398" s="250" t="n"/>
      <c r="G398" s="242">
        <f>IF(ISNUMBER(F398),F398,IF(AND(ISNUMBER(C398),ISNUMBER(D398)),ROUND(MOD(D398-C398,1)*24-N(E398)/60,2),""))</f>
        <v/>
      </c>
      <c r="H398" s="241" t="n"/>
    </row>
    <row r="399">
      <c r="A399" s="241" t="n"/>
      <c r="B399" s="247" t="n"/>
      <c r="C399" s="248" t="n"/>
      <c r="D399" s="248" t="n"/>
      <c r="E399" s="249" t="n"/>
      <c r="F399" s="250" t="n"/>
      <c r="G399" s="242">
        <f>IF(ISNUMBER(F399),F399,IF(AND(ISNUMBER(C399),ISNUMBER(D399)),ROUND(MOD(D399-C399,1)*24-N(E399)/60,2),""))</f>
        <v/>
      </c>
      <c r="H399" s="241" t="n"/>
    </row>
    <row r="400">
      <c r="A400" s="241" t="n"/>
      <c r="B400" s="247" t="n"/>
      <c r="C400" s="248" t="n"/>
      <c r="D400" s="248" t="n"/>
      <c r="E400" s="249" t="n"/>
      <c r="F400" s="250" t="n"/>
      <c r="G400" s="242">
        <f>IF(ISNUMBER(F400),F400,IF(AND(ISNUMBER(C400),ISNUMBER(D400)),ROUND(MOD(D400-C400,1)*24-N(E400)/60,2),""))</f>
        <v/>
      </c>
      <c r="H400" s="241" t="n"/>
    </row>
    <row r="401">
      <c r="A401" s="241" t="n"/>
      <c r="B401" s="247" t="n"/>
      <c r="C401" s="248" t="n"/>
      <c r="D401" s="248" t="n"/>
      <c r="E401" s="249" t="n"/>
      <c r="F401" s="250" t="n"/>
      <c r="G401" s="242">
        <f>IF(ISNUMBER(F401),F401,IF(AND(ISNUMBER(C401),ISNUMBER(D401)),ROUND(MOD(D401-C401,1)*24-N(E401)/60,2),""))</f>
        <v/>
      </c>
      <c r="H401" s="241" t="n"/>
    </row>
    <row r="402">
      <c r="A402" s="241" t="n"/>
      <c r="B402" s="247" t="n"/>
      <c r="C402" s="248" t="n"/>
      <c r="D402" s="248" t="n"/>
      <c r="E402" s="249" t="n"/>
      <c r="F402" s="250" t="n"/>
      <c r="G402" s="242">
        <f>IF(ISNUMBER(F402),F402,IF(AND(ISNUMBER(C402),ISNUMBER(D402)),ROUND(MOD(D402-C402,1)*24-N(E402)/60,2),""))</f>
        <v/>
      </c>
      <c r="H402" s="241" t="n"/>
    </row>
    <row r="403">
      <c r="A403" s="241" t="n"/>
      <c r="B403" s="247" t="n"/>
      <c r="C403" s="248" t="n"/>
      <c r="D403" s="248" t="n"/>
      <c r="E403" s="249" t="n"/>
      <c r="F403" s="250" t="n"/>
      <c r="G403" s="242">
        <f>IF(ISNUMBER(F403),F403,IF(AND(ISNUMBER(C403),ISNUMBER(D403)),ROUND(MOD(D403-C403,1)*24-N(E403)/60,2),""))</f>
        <v/>
      </c>
      <c r="H403" s="241" t="n"/>
    </row>
    <row r="404">
      <c r="A404" s="241" t="n"/>
      <c r="B404" s="247" t="n"/>
      <c r="C404" s="248" t="n"/>
      <c r="D404" s="248" t="n"/>
      <c r="E404" s="249" t="n"/>
      <c r="F404" s="250" t="n"/>
      <c r="G404" s="242">
        <f>IF(ISNUMBER(F404),F404,IF(AND(ISNUMBER(C404),ISNUMBER(D404)),ROUND(MOD(D404-C404,1)*24-N(E404)/60,2),""))</f>
        <v/>
      </c>
      <c r="H404" s="241" t="n"/>
    </row>
    <row r="405">
      <c r="A405" s="241" t="n"/>
      <c r="B405" s="247" t="n"/>
      <c r="C405" s="248" t="n"/>
      <c r="D405" s="248" t="n"/>
      <c r="E405" s="249" t="n"/>
      <c r="F405" s="250" t="n"/>
      <c r="G405" s="242">
        <f>IF(ISNUMBER(F405),F405,IF(AND(ISNUMBER(C405),ISNUMBER(D405)),ROUND(MOD(D405-C405,1)*24-N(E405)/60,2),""))</f>
        <v/>
      </c>
      <c r="H405" s="241" t="n"/>
    </row>
    <row r="406">
      <c r="A406" s="241" t="n"/>
      <c r="B406" s="247" t="n"/>
      <c r="C406" s="248" t="n"/>
      <c r="D406" s="248" t="n"/>
      <c r="E406" s="249" t="n"/>
      <c r="F406" s="250" t="n"/>
      <c r="G406" s="242">
        <f>IF(ISNUMBER(F406),F406,IF(AND(ISNUMBER(C406),ISNUMBER(D406)),ROUND(MOD(D406-C406,1)*24-N(E406)/60,2),""))</f>
        <v/>
      </c>
      <c r="H406" s="241" t="n"/>
    </row>
    <row r="407">
      <c r="A407" s="241" t="n"/>
      <c r="B407" s="247" t="n"/>
      <c r="C407" s="248" t="n"/>
      <c r="D407" s="248" t="n"/>
      <c r="E407" s="249" t="n"/>
      <c r="F407" s="250" t="n"/>
      <c r="G407" s="242">
        <f>IF(ISNUMBER(F407),F407,IF(AND(ISNUMBER(C407),ISNUMBER(D407)),ROUND(MOD(D407-C407,1)*24-N(E407)/60,2),""))</f>
        <v/>
      </c>
      <c r="H407" s="241" t="n"/>
    </row>
    <row r="408">
      <c r="A408" s="241" t="n"/>
      <c r="B408" s="247" t="n"/>
      <c r="C408" s="248" t="n"/>
      <c r="D408" s="248" t="n"/>
      <c r="E408" s="249" t="n"/>
      <c r="F408" s="250" t="n"/>
      <c r="G408" s="242">
        <f>IF(ISNUMBER(F408),F408,IF(AND(ISNUMBER(C408),ISNUMBER(D408)),ROUND(MOD(D408-C408,1)*24-N(E408)/60,2),""))</f>
        <v/>
      </c>
      <c r="H408" s="241" t="n"/>
    </row>
    <row r="409">
      <c r="A409" s="241" t="n"/>
      <c r="B409" s="247" t="n"/>
      <c r="C409" s="248" t="n"/>
      <c r="D409" s="248" t="n"/>
      <c r="E409" s="249" t="n"/>
      <c r="F409" s="250" t="n"/>
      <c r="G409" s="242">
        <f>IF(ISNUMBER(F409),F409,IF(AND(ISNUMBER(C409),ISNUMBER(D409)),ROUND(MOD(D409-C409,1)*24-N(E409)/60,2),""))</f>
        <v/>
      </c>
      <c r="H409" s="241" t="n"/>
    </row>
    <row r="410">
      <c r="A410" s="241" t="n"/>
      <c r="B410" s="247" t="n"/>
      <c r="C410" s="248" t="n"/>
      <c r="D410" s="248" t="n"/>
      <c r="E410" s="249" t="n"/>
      <c r="F410" s="250" t="n"/>
      <c r="G410" s="242">
        <f>IF(ISNUMBER(F410),F410,IF(AND(ISNUMBER(C410),ISNUMBER(D410)),ROUND(MOD(D410-C410,1)*24-N(E410)/60,2),""))</f>
        <v/>
      </c>
      <c r="H410" s="241" t="n"/>
    </row>
    <row r="411">
      <c r="A411" s="241" t="n"/>
      <c r="B411" s="247" t="n"/>
      <c r="C411" s="248" t="n"/>
      <c r="D411" s="248" t="n"/>
      <c r="E411" s="249" t="n"/>
      <c r="F411" s="250" t="n"/>
      <c r="G411" s="242">
        <f>IF(ISNUMBER(F411),F411,IF(AND(ISNUMBER(C411),ISNUMBER(D411)),ROUND(MOD(D411-C411,1)*24-N(E411)/60,2),""))</f>
        <v/>
      </c>
      <c r="H411" s="241" t="n"/>
    </row>
    <row r="412">
      <c r="A412" s="241" t="n"/>
      <c r="B412" s="247" t="n"/>
      <c r="C412" s="248" t="n"/>
      <c r="D412" s="248" t="n"/>
      <c r="E412" s="249" t="n"/>
      <c r="F412" s="250" t="n"/>
      <c r="G412" s="242">
        <f>IF(ISNUMBER(F412),F412,IF(AND(ISNUMBER(C412),ISNUMBER(D412)),ROUND(MOD(D412-C412,1)*24-N(E412)/60,2),""))</f>
        <v/>
      </c>
      <c r="H412" s="241" t="n"/>
    </row>
    <row r="413">
      <c r="A413" s="241" t="n"/>
      <c r="B413" s="247" t="n"/>
      <c r="C413" s="248" t="n"/>
      <c r="D413" s="248" t="n"/>
      <c r="E413" s="249" t="n"/>
      <c r="F413" s="250" t="n"/>
      <c r="G413" s="242">
        <f>IF(ISNUMBER(F413),F413,IF(AND(ISNUMBER(C413),ISNUMBER(D413)),ROUND(MOD(D413-C413,1)*24-N(E413)/60,2),""))</f>
        <v/>
      </c>
      <c r="H413" s="241" t="n"/>
    </row>
    <row r="414">
      <c r="A414" s="241" t="n"/>
      <c r="B414" s="247" t="n"/>
      <c r="C414" s="248" t="n"/>
      <c r="D414" s="248" t="n"/>
      <c r="E414" s="249" t="n"/>
      <c r="F414" s="250" t="n"/>
      <c r="G414" s="242">
        <f>IF(ISNUMBER(F414),F414,IF(AND(ISNUMBER(C414),ISNUMBER(D414)),ROUND(MOD(D414-C414,1)*24-N(E414)/60,2),""))</f>
        <v/>
      </c>
      <c r="H414" s="241" t="n"/>
    </row>
    <row r="415">
      <c r="A415" s="241" t="n"/>
      <c r="B415" s="247" t="n"/>
      <c r="C415" s="248" t="n"/>
      <c r="D415" s="248" t="n"/>
      <c r="E415" s="249" t="n"/>
      <c r="F415" s="250" t="n"/>
      <c r="G415" s="242">
        <f>IF(ISNUMBER(F415),F415,IF(AND(ISNUMBER(C415),ISNUMBER(D415)),ROUND(MOD(D415-C415,1)*24-N(E415)/60,2),""))</f>
        <v/>
      </c>
      <c r="H415" s="241" t="n"/>
    </row>
    <row r="416">
      <c r="A416" s="241" t="n"/>
      <c r="B416" s="247" t="n"/>
      <c r="C416" s="248" t="n"/>
      <c r="D416" s="248" t="n"/>
      <c r="E416" s="249" t="n"/>
      <c r="F416" s="250" t="n"/>
      <c r="G416" s="242">
        <f>IF(ISNUMBER(F416),F416,IF(AND(ISNUMBER(C416),ISNUMBER(D416)),ROUND(MOD(D416-C416,1)*24-N(E416)/60,2),""))</f>
        <v/>
      </c>
      <c r="H416" s="241" t="n"/>
    </row>
    <row r="417">
      <c r="A417" s="241" t="n"/>
      <c r="B417" s="247" t="n"/>
      <c r="C417" s="248" t="n"/>
      <c r="D417" s="248" t="n"/>
      <c r="E417" s="249" t="n"/>
      <c r="F417" s="250" t="n"/>
      <c r="G417" s="242">
        <f>IF(ISNUMBER(F417),F417,IF(AND(ISNUMBER(C417),ISNUMBER(D417)),ROUND(MOD(D417-C417,1)*24-N(E417)/60,2),""))</f>
        <v/>
      </c>
      <c r="H417" s="241" t="n"/>
    </row>
    <row r="418">
      <c r="A418" s="241" t="n"/>
      <c r="B418" s="247" t="n"/>
      <c r="C418" s="248" t="n"/>
      <c r="D418" s="248" t="n"/>
      <c r="E418" s="249" t="n"/>
      <c r="F418" s="250" t="n"/>
      <c r="G418" s="242">
        <f>IF(ISNUMBER(F418),F418,IF(AND(ISNUMBER(C418),ISNUMBER(D418)),ROUND(MOD(D418-C418,1)*24-N(E418)/60,2),""))</f>
        <v/>
      </c>
      <c r="H418" s="241" t="n"/>
    </row>
    <row r="419">
      <c r="A419" s="241" t="n"/>
      <c r="B419" s="247" t="n"/>
      <c r="C419" s="248" t="n"/>
      <c r="D419" s="248" t="n"/>
      <c r="E419" s="249" t="n"/>
      <c r="F419" s="250" t="n"/>
      <c r="G419" s="242">
        <f>IF(ISNUMBER(F419),F419,IF(AND(ISNUMBER(C419),ISNUMBER(D419)),ROUND(MOD(D419-C419,1)*24-N(E419)/60,2),""))</f>
        <v/>
      </c>
      <c r="H419" s="241" t="n"/>
    </row>
    <row r="420">
      <c r="A420" s="241" t="n"/>
      <c r="B420" s="247" t="n"/>
      <c r="C420" s="248" t="n"/>
      <c r="D420" s="248" t="n"/>
      <c r="E420" s="249" t="n"/>
      <c r="F420" s="250" t="n"/>
      <c r="G420" s="242">
        <f>IF(ISNUMBER(F420),F420,IF(AND(ISNUMBER(C420),ISNUMBER(D420)),ROUND(MOD(D420-C420,1)*24-N(E420)/60,2),""))</f>
        <v/>
      </c>
      <c r="H420" s="241" t="n"/>
    </row>
    <row r="421">
      <c r="A421" s="241" t="n"/>
      <c r="B421" s="247" t="n"/>
      <c r="C421" s="248" t="n"/>
      <c r="D421" s="248" t="n"/>
      <c r="E421" s="249" t="n"/>
      <c r="F421" s="250" t="n"/>
      <c r="G421" s="242">
        <f>IF(ISNUMBER(F421),F421,IF(AND(ISNUMBER(C421),ISNUMBER(D421)),ROUND(MOD(D421-C421,1)*24-N(E421)/60,2),""))</f>
        <v/>
      </c>
      <c r="H421" s="241" t="n"/>
    </row>
    <row r="422">
      <c r="A422" s="241" t="n"/>
      <c r="B422" s="247" t="n"/>
      <c r="C422" s="248" t="n"/>
      <c r="D422" s="248" t="n"/>
      <c r="E422" s="249" t="n"/>
      <c r="F422" s="250" t="n"/>
      <c r="G422" s="242">
        <f>IF(ISNUMBER(F422),F422,IF(AND(ISNUMBER(C422),ISNUMBER(D422)),ROUND(MOD(D422-C422,1)*24-N(E422)/60,2),""))</f>
        <v/>
      </c>
      <c r="H422" s="241" t="n"/>
    </row>
    <row r="423">
      <c r="A423" s="241" t="n"/>
      <c r="B423" s="247" t="n"/>
      <c r="C423" s="248" t="n"/>
      <c r="D423" s="248" t="n"/>
      <c r="E423" s="249" t="n"/>
      <c r="F423" s="250" t="n"/>
      <c r="G423" s="242">
        <f>IF(ISNUMBER(F423),F423,IF(AND(ISNUMBER(C423),ISNUMBER(D423)),ROUND(MOD(D423-C423,1)*24-N(E423)/60,2),""))</f>
        <v/>
      </c>
      <c r="H423" s="241" t="n"/>
    </row>
    <row r="424">
      <c r="A424" s="241" t="n"/>
      <c r="B424" s="247" t="n"/>
      <c r="C424" s="248" t="n"/>
      <c r="D424" s="248" t="n"/>
      <c r="E424" s="249" t="n"/>
      <c r="F424" s="250" t="n"/>
      <c r="G424" s="242">
        <f>IF(ISNUMBER(F424),F424,IF(AND(ISNUMBER(C424),ISNUMBER(D424)),ROUND(MOD(D424-C424,1)*24-N(E424)/60,2),""))</f>
        <v/>
      </c>
      <c r="H424" s="241" t="n"/>
    </row>
    <row r="425">
      <c r="A425" s="241" t="n"/>
      <c r="B425" s="247" t="n"/>
      <c r="C425" s="248" t="n"/>
      <c r="D425" s="248" t="n"/>
      <c r="E425" s="249" t="n"/>
      <c r="F425" s="250" t="n"/>
      <c r="G425" s="242">
        <f>IF(ISNUMBER(F425),F425,IF(AND(ISNUMBER(C425),ISNUMBER(D425)),ROUND(MOD(D425-C425,1)*24-N(E425)/60,2),""))</f>
        <v/>
      </c>
      <c r="H425" s="241" t="n"/>
    </row>
    <row r="426">
      <c r="A426" s="241" t="n"/>
      <c r="B426" s="247" t="n"/>
      <c r="C426" s="248" t="n"/>
      <c r="D426" s="248" t="n"/>
      <c r="E426" s="249" t="n"/>
      <c r="F426" s="250" t="n"/>
      <c r="G426" s="242">
        <f>IF(ISNUMBER(F426),F426,IF(AND(ISNUMBER(C426),ISNUMBER(D426)),ROUND(MOD(D426-C426,1)*24-N(E426)/60,2),""))</f>
        <v/>
      </c>
      <c r="H426" s="241" t="n"/>
    </row>
    <row r="427">
      <c r="A427" s="241" t="n"/>
      <c r="B427" s="247" t="n"/>
      <c r="C427" s="248" t="n"/>
      <c r="D427" s="248" t="n"/>
      <c r="E427" s="249" t="n"/>
      <c r="F427" s="250" t="n"/>
      <c r="G427" s="242">
        <f>IF(ISNUMBER(F427),F427,IF(AND(ISNUMBER(C427),ISNUMBER(D427)),ROUND(MOD(D427-C427,1)*24-N(E427)/60,2),""))</f>
        <v/>
      </c>
      <c r="H427" s="241" t="n"/>
    </row>
    <row r="428">
      <c r="A428" s="241" t="n"/>
      <c r="B428" s="247" t="n"/>
      <c r="C428" s="248" t="n"/>
      <c r="D428" s="248" t="n"/>
      <c r="E428" s="249" t="n"/>
      <c r="F428" s="250" t="n"/>
      <c r="G428" s="242">
        <f>IF(ISNUMBER(F428),F428,IF(AND(ISNUMBER(C428),ISNUMBER(D428)),ROUND(MOD(D428-C428,1)*24-N(E428)/60,2),""))</f>
        <v/>
      </c>
      <c r="H428" s="241" t="n"/>
    </row>
    <row r="429">
      <c r="A429" s="241" t="n"/>
      <c r="B429" s="247" t="n"/>
      <c r="C429" s="248" t="n"/>
      <c r="D429" s="248" t="n"/>
      <c r="E429" s="249" t="n"/>
      <c r="F429" s="250" t="n"/>
      <c r="G429" s="242">
        <f>IF(ISNUMBER(F429),F429,IF(AND(ISNUMBER(C429),ISNUMBER(D429)),ROUND(MOD(D429-C429,1)*24-N(E429)/60,2),""))</f>
        <v/>
      </c>
      <c r="H429" s="241" t="n"/>
    </row>
    <row r="430">
      <c r="A430" s="241" t="n"/>
      <c r="B430" s="247" t="n"/>
      <c r="C430" s="248" t="n"/>
      <c r="D430" s="248" t="n"/>
      <c r="E430" s="249" t="n"/>
      <c r="F430" s="250" t="n"/>
      <c r="G430" s="242">
        <f>IF(ISNUMBER(F430),F430,IF(AND(ISNUMBER(C430),ISNUMBER(D430)),ROUND(MOD(D430-C430,1)*24-N(E430)/60,2),""))</f>
        <v/>
      </c>
      <c r="H430" s="241" t="n"/>
    </row>
    <row r="431">
      <c r="A431" s="241" t="n"/>
      <c r="B431" s="247" t="n"/>
      <c r="C431" s="248" t="n"/>
      <c r="D431" s="248" t="n"/>
      <c r="E431" s="249" t="n"/>
      <c r="F431" s="250" t="n"/>
      <c r="G431" s="242">
        <f>IF(ISNUMBER(F431),F431,IF(AND(ISNUMBER(C431),ISNUMBER(D431)),ROUND(MOD(D431-C431,1)*24-N(E431)/60,2),""))</f>
        <v/>
      </c>
      <c r="H431" s="241" t="n"/>
    </row>
    <row r="432">
      <c r="A432" s="241" t="n"/>
      <c r="B432" s="247" t="n"/>
      <c r="C432" s="248" t="n"/>
      <c r="D432" s="248" t="n"/>
      <c r="E432" s="249" t="n"/>
      <c r="F432" s="250" t="n"/>
      <c r="G432" s="242">
        <f>IF(ISNUMBER(F432),F432,IF(AND(ISNUMBER(C432),ISNUMBER(D432)),ROUND(MOD(D432-C432,1)*24-N(E432)/60,2),""))</f>
        <v/>
      </c>
      <c r="H432" s="241" t="n"/>
    </row>
    <row r="433">
      <c r="A433" s="241" t="n"/>
      <c r="B433" s="247" t="n"/>
      <c r="C433" s="248" t="n"/>
      <c r="D433" s="248" t="n"/>
      <c r="E433" s="249" t="n"/>
      <c r="F433" s="250" t="n"/>
      <c r="G433" s="242">
        <f>IF(ISNUMBER(F433),F433,IF(AND(ISNUMBER(C433),ISNUMBER(D433)),ROUND(MOD(D433-C433,1)*24-N(E433)/60,2),""))</f>
        <v/>
      </c>
      <c r="H433" s="241" t="n"/>
    </row>
    <row r="434">
      <c r="A434" s="241" t="n"/>
      <c r="B434" s="247" t="n"/>
      <c r="C434" s="248" t="n"/>
      <c r="D434" s="248" t="n"/>
      <c r="E434" s="249" t="n"/>
      <c r="F434" s="250" t="n"/>
      <c r="G434" s="242">
        <f>IF(ISNUMBER(F434),F434,IF(AND(ISNUMBER(C434),ISNUMBER(D434)),ROUND(MOD(D434-C434,1)*24-N(E434)/60,2),""))</f>
        <v/>
      </c>
      <c r="H434" s="241" t="n"/>
    </row>
    <row r="435">
      <c r="A435" s="241" t="n"/>
      <c r="B435" s="247" t="n"/>
      <c r="C435" s="248" t="n"/>
      <c r="D435" s="248" t="n"/>
      <c r="E435" s="249" t="n"/>
      <c r="F435" s="250" t="n"/>
      <c r="G435" s="242">
        <f>IF(ISNUMBER(F435),F435,IF(AND(ISNUMBER(C435),ISNUMBER(D435)),ROUND(MOD(D435-C435,1)*24-N(E435)/60,2),""))</f>
        <v/>
      </c>
      <c r="H435" s="241" t="n"/>
    </row>
    <row r="436">
      <c r="A436" s="241" t="n"/>
      <c r="B436" s="247" t="n"/>
      <c r="C436" s="248" t="n"/>
      <c r="D436" s="248" t="n"/>
      <c r="E436" s="249" t="n"/>
      <c r="F436" s="250" t="n"/>
      <c r="G436" s="242">
        <f>IF(ISNUMBER(F436),F436,IF(AND(ISNUMBER(C436),ISNUMBER(D436)),ROUND(MOD(D436-C436,1)*24-N(E436)/60,2),""))</f>
        <v/>
      </c>
      <c r="H436" s="241" t="n"/>
    </row>
    <row r="437">
      <c r="A437" s="241" t="n"/>
      <c r="B437" s="247" t="n"/>
      <c r="C437" s="248" t="n"/>
      <c r="D437" s="248" t="n"/>
      <c r="E437" s="249" t="n"/>
      <c r="F437" s="250" t="n"/>
      <c r="G437" s="242">
        <f>IF(ISNUMBER(F437),F437,IF(AND(ISNUMBER(C437),ISNUMBER(D437)),ROUND(MOD(D437-C437,1)*24-N(E437)/60,2),""))</f>
        <v/>
      </c>
      <c r="H437" s="241" t="n"/>
    </row>
    <row r="438">
      <c r="A438" s="241" t="n"/>
      <c r="B438" s="247" t="n"/>
      <c r="C438" s="248" t="n"/>
      <c r="D438" s="248" t="n"/>
      <c r="E438" s="249" t="n"/>
      <c r="F438" s="250" t="n"/>
      <c r="G438" s="242">
        <f>IF(ISNUMBER(F438),F438,IF(AND(ISNUMBER(C438),ISNUMBER(D438)),ROUND(MOD(D438-C438,1)*24-N(E438)/60,2),""))</f>
        <v/>
      </c>
      <c r="H438" s="241" t="n"/>
    </row>
    <row r="439">
      <c r="A439" s="241" t="n"/>
      <c r="B439" s="247" t="n"/>
      <c r="C439" s="248" t="n"/>
      <c r="D439" s="248" t="n"/>
      <c r="E439" s="249" t="n"/>
      <c r="F439" s="250" t="n"/>
      <c r="G439" s="242">
        <f>IF(ISNUMBER(F439),F439,IF(AND(ISNUMBER(C439),ISNUMBER(D439)),ROUND(MOD(D439-C439,1)*24-N(E439)/60,2),""))</f>
        <v/>
      </c>
      <c r="H439" s="241" t="n"/>
    </row>
    <row r="440">
      <c r="A440" s="241" t="n"/>
      <c r="B440" s="247" t="n"/>
      <c r="C440" s="248" t="n"/>
      <c r="D440" s="248" t="n"/>
      <c r="E440" s="249" t="n"/>
      <c r="F440" s="250" t="n"/>
      <c r="G440" s="242">
        <f>IF(ISNUMBER(F440),F440,IF(AND(ISNUMBER(C440),ISNUMBER(D440)),ROUND(MOD(D440-C440,1)*24-N(E440)/60,2),""))</f>
        <v/>
      </c>
      <c r="H440" s="241" t="n"/>
    </row>
    <row r="441">
      <c r="A441" s="241" t="n"/>
      <c r="B441" s="247" t="n"/>
      <c r="C441" s="248" t="n"/>
      <c r="D441" s="248" t="n"/>
      <c r="E441" s="249" t="n"/>
      <c r="F441" s="250" t="n"/>
      <c r="G441" s="242">
        <f>IF(ISNUMBER(F441),F441,IF(AND(ISNUMBER(C441),ISNUMBER(D441)),ROUND(MOD(D441-C441,1)*24-N(E441)/60,2),""))</f>
        <v/>
      </c>
      <c r="H441" s="241" t="n"/>
    </row>
    <row r="442">
      <c r="A442" s="241" t="n"/>
      <c r="B442" s="247" t="n"/>
      <c r="C442" s="248" t="n"/>
      <c r="D442" s="248" t="n"/>
      <c r="E442" s="249" t="n"/>
      <c r="F442" s="250" t="n"/>
      <c r="G442" s="242">
        <f>IF(ISNUMBER(F442),F442,IF(AND(ISNUMBER(C442),ISNUMBER(D442)),ROUND(MOD(D442-C442,1)*24-N(E442)/60,2),""))</f>
        <v/>
      </c>
      <c r="H442" s="241" t="n"/>
    </row>
    <row r="443">
      <c r="A443" s="241" t="n"/>
      <c r="B443" s="247" t="n"/>
      <c r="C443" s="248" t="n"/>
      <c r="D443" s="248" t="n"/>
      <c r="E443" s="249" t="n"/>
      <c r="F443" s="250" t="n"/>
      <c r="G443" s="242">
        <f>IF(ISNUMBER(F443),F443,IF(AND(ISNUMBER(C443),ISNUMBER(D443)),ROUND(MOD(D443-C443,1)*24-N(E443)/60,2),""))</f>
        <v/>
      </c>
      <c r="H443" s="241" t="n"/>
    </row>
    <row r="444">
      <c r="A444" s="241" t="n"/>
      <c r="B444" s="247" t="n"/>
      <c r="C444" s="248" t="n"/>
      <c r="D444" s="248" t="n"/>
      <c r="E444" s="249" t="n"/>
      <c r="F444" s="250" t="n"/>
      <c r="G444" s="242">
        <f>IF(ISNUMBER(F444),F444,IF(AND(ISNUMBER(C444),ISNUMBER(D444)),ROUND(MOD(D444-C444,1)*24-N(E444)/60,2),""))</f>
        <v/>
      </c>
      <c r="H444" s="241" t="n"/>
    </row>
    <row r="445">
      <c r="A445" s="241" t="n"/>
      <c r="B445" s="247" t="n"/>
      <c r="C445" s="248" t="n"/>
      <c r="D445" s="248" t="n"/>
      <c r="E445" s="249" t="n"/>
      <c r="F445" s="250" t="n"/>
      <c r="G445" s="242">
        <f>IF(ISNUMBER(F445),F445,IF(AND(ISNUMBER(C445),ISNUMBER(D445)),ROUND(MOD(D445-C445,1)*24-N(E445)/60,2),""))</f>
        <v/>
      </c>
      <c r="H445" s="241" t="n"/>
    </row>
    <row r="446">
      <c r="A446" s="241" t="n"/>
      <c r="B446" s="247" t="n"/>
      <c r="C446" s="248" t="n"/>
      <c r="D446" s="248" t="n"/>
      <c r="E446" s="249" t="n"/>
      <c r="F446" s="250" t="n"/>
      <c r="G446" s="242">
        <f>IF(ISNUMBER(F446),F446,IF(AND(ISNUMBER(C446),ISNUMBER(D446)),ROUND(MOD(D446-C446,1)*24-N(E446)/60,2),""))</f>
        <v/>
      </c>
      <c r="H446" s="241" t="n"/>
    </row>
    <row r="447">
      <c r="A447" s="241" t="n"/>
      <c r="B447" s="247" t="n"/>
      <c r="C447" s="248" t="n"/>
      <c r="D447" s="248" t="n"/>
      <c r="E447" s="249" t="n"/>
      <c r="F447" s="250" t="n"/>
      <c r="G447" s="242">
        <f>IF(ISNUMBER(F447),F447,IF(AND(ISNUMBER(C447),ISNUMBER(D447)),ROUND(MOD(D447-C447,1)*24-N(E447)/60,2),""))</f>
        <v/>
      </c>
      <c r="H447" s="241" t="n"/>
    </row>
    <row r="448">
      <c r="A448" s="241" t="n"/>
      <c r="B448" s="247" t="n"/>
      <c r="C448" s="248" t="n"/>
      <c r="D448" s="248" t="n"/>
      <c r="E448" s="249" t="n"/>
      <c r="F448" s="250" t="n"/>
      <c r="G448" s="242">
        <f>IF(ISNUMBER(F448),F448,IF(AND(ISNUMBER(C448),ISNUMBER(D448)),ROUND(MOD(D448-C448,1)*24-N(E448)/60,2),""))</f>
        <v/>
      </c>
      <c r="H448" s="241" t="n"/>
    </row>
    <row r="449">
      <c r="A449" s="241" t="n"/>
      <c r="B449" s="247" t="n"/>
      <c r="C449" s="248" t="n"/>
      <c r="D449" s="248" t="n"/>
      <c r="E449" s="249" t="n"/>
      <c r="F449" s="250" t="n"/>
      <c r="G449" s="242">
        <f>IF(ISNUMBER(F449),F449,IF(AND(ISNUMBER(C449),ISNUMBER(D449)),ROUND(MOD(D449-C449,1)*24-N(E449)/60,2),""))</f>
        <v/>
      </c>
      <c r="H449" s="241" t="n"/>
    </row>
    <row r="450">
      <c r="A450" s="241" t="n"/>
      <c r="B450" s="247" t="n"/>
      <c r="C450" s="248" t="n"/>
      <c r="D450" s="248" t="n"/>
      <c r="E450" s="249" t="n"/>
      <c r="F450" s="250" t="n"/>
      <c r="G450" s="242">
        <f>IF(ISNUMBER(F450),F450,IF(AND(ISNUMBER(C450),ISNUMBER(D450)),ROUND(MOD(D450-C450,1)*24-N(E450)/60,2),""))</f>
        <v/>
      </c>
      <c r="H450" s="241" t="n"/>
    </row>
    <row r="451">
      <c r="A451" s="241" t="n"/>
      <c r="B451" s="247" t="n"/>
      <c r="C451" s="248" t="n"/>
      <c r="D451" s="248" t="n"/>
      <c r="E451" s="249" t="n"/>
      <c r="F451" s="250" t="n"/>
      <c r="G451" s="242">
        <f>IF(ISNUMBER(F451),F451,IF(AND(ISNUMBER(C451),ISNUMBER(D451)),ROUND(MOD(D451-C451,1)*24-N(E451)/60,2),""))</f>
        <v/>
      </c>
      <c r="H451" s="241" t="n"/>
    </row>
    <row r="452">
      <c r="A452" s="241" t="n"/>
      <c r="B452" s="247" t="n"/>
      <c r="C452" s="248" t="n"/>
      <c r="D452" s="248" t="n"/>
      <c r="E452" s="249" t="n"/>
      <c r="F452" s="250" t="n"/>
      <c r="G452" s="242">
        <f>IF(ISNUMBER(F452),F452,IF(AND(ISNUMBER(C452),ISNUMBER(D452)),ROUND(MOD(D452-C452,1)*24-N(E452)/60,2),""))</f>
        <v/>
      </c>
      <c r="H452" s="241" t="n"/>
    </row>
    <row r="453">
      <c r="A453" s="241" t="n"/>
      <c r="B453" s="247" t="n"/>
      <c r="C453" s="248" t="n"/>
      <c r="D453" s="248" t="n"/>
      <c r="E453" s="249" t="n"/>
      <c r="F453" s="250" t="n"/>
      <c r="G453" s="242">
        <f>IF(ISNUMBER(F453),F453,IF(AND(ISNUMBER(C453),ISNUMBER(D453)),ROUND(MOD(D453-C453,1)*24-N(E453)/60,2),""))</f>
        <v/>
      </c>
      <c r="H453" s="241" t="n"/>
    </row>
    <row r="454">
      <c r="A454" s="241" t="n"/>
      <c r="B454" s="247" t="n"/>
      <c r="C454" s="248" t="n"/>
      <c r="D454" s="248" t="n"/>
      <c r="E454" s="249" t="n"/>
      <c r="F454" s="250" t="n"/>
      <c r="G454" s="242">
        <f>IF(ISNUMBER(F454),F454,IF(AND(ISNUMBER(C454),ISNUMBER(D454)),ROUND(MOD(D454-C454,1)*24-N(E454)/60,2),""))</f>
        <v/>
      </c>
      <c r="H454" s="241" t="n"/>
    </row>
    <row r="455">
      <c r="A455" s="241" t="n"/>
      <c r="B455" s="247" t="n"/>
      <c r="C455" s="248" t="n"/>
      <c r="D455" s="248" t="n"/>
      <c r="E455" s="249" t="n"/>
      <c r="F455" s="250" t="n"/>
      <c r="G455" s="242">
        <f>IF(ISNUMBER(F455),F455,IF(AND(ISNUMBER(C455),ISNUMBER(D455)),ROUND(MOD(D455-C455,1)*24-N(E455)/60,2),""))</f>
        <v/>
      </c>
      <c r="H455" s="241" t="n"/>
    </row>
    <row r="456">
      <c r="A456" s="241" t="n"/>
      <c r="B456" s="247" t="n"/>
      <c r="C456" s="248" t="n"/>
      <c r="D456" s="248" t="n"/>
      <c r="E456" s="249" t="n"/>
      <c r="F456" s="250" t="n"/>
      <c r="G456" s="242">
        <f>IF(ISNUMBER(F456),F456,IF(AND(ISNUMBER(C456),ISNUMBER(D456)),ROUND(MOD(D456-C456,1)*24-N(E456)/60,2),""))</f>
        <v/>
      </c>
      <c r="H456" s="241" t="n"/>
    </row>
    <row r="457">
      <c r="A457" s="241" t="n"/>
      <c r="B457" s="247" t="n"/>
      <c r="C457" s="248" t="n"/>
      <c r="D457" s="248" t="n"/>
      <c r="E457" s="249" t="n"/>
      <c r="F457" s="250" t="n"/>
      <c r="G457" s="242">
        <f>IF(ISNUMBER(F457),F457,IF(AND(ISNUMBER(C457),ISNUMBER(D457)),ROUND(MOD(D457-C457,1)*24-N(E457)/60,2),""))</f>
        <v/>
      </c>
      <c r="H457" s="241" t="n"/>
    </row>
    <row r="458">
      <c r="A458" s="241" t="n"/>
      <c r="B458" s="247" t="n"/>
      <c r="C458" s="248" t="n"/>
      <c r="D458" s="248" t="n"/>
      <c r="E458" s="249" t="n"/>
      <c r="F458" s="250" t="n"/>
      <c r="G458" s="242">
        <f>IF(ISNUMBER(F458),F458,IF(AND(ISNUMBER(C458),ISNUMBER(D458)),ROUND(MOD(D458-C458,1)*24-N(E458)/60,2),""))</f>
        <v/>
      </c>
      <c r="H458" s="241" t="n"/>
    </row>
    <row r="459">
      <c r="A459" s="241" t="n"/>
      <c r="B459" s="247" t="n"/>
      <c r="C459" s="248" t="n"/>
      <c r="D459" s="248" t="n"/>
      <c r="E459" s="249" t="n"/>
      <c r="F459" s="250" t="n"/>
      <c r="G459" s="242">
        <f>IF(ISNUMBER(F459),F459,IF(AND(ISNUMBER(C459),ISNUMBER(D459)),ROUND(MOD(D459-C459,1)*24-N(E459)/60,2),""))</f>
        <v/>
      </c>
      <c r="H459" s="241" t="n"/>
    </row>
    <row r="460">
      <c r="A460" s="241" t="n"/>
      <c r="B460" s="247" t="n"/>
      <c r="C460" s="248" t="n"/>
      <c r="D460" s="248" t="n"/>
      <c r="E460" s="249" t="n"/>
      <c r="F460" s="250" t="n"/>
      <c r="G460" s="242">
        <f>IF(ISNUMBER(F460),F460,IF(AND(ISNUMBER(C460),ISNUMBER(D460)),ROUND(MOD(D460-C460,1)*24-N(E460)/60,2),""))</f>
        <v/>
      </c>
      <c r="H460" s="241" t="n"/>
    </row>
    <row r="461">
      <c r="A461" s="241" t="n"/>
      <c r="B461" s="247" t="n"/>
      <c r="C461" s="248" t="n"/>
      <c r="D461" s="248" t="n"/>
      <c r="E461" s="249" t="n"/>
      <c r="F461" s="250" t="n"/>
      <c r="G461" s="242">
        <f>IF(ISNUMBER(F461),F461,IF(AND(ISNUMBER(C461),ISNUMBER(D461)),ROUND(MOD(D461-C461,1)*24-N(E461)/60,2),""))</f>
        <v/>
      </c>
      <c r="H461" s="241" t="n"/>
    </row>
    <row r="462">
      <c r="A462" s="241" t="n"/>
      <c r="B462" s="247" t="n"/>
      <c r="C462" s="248" t="n"/>
      <c r="D462" s="248" t="n"/>
      <c r="E462" s="249" t="n"/>
      <c r="F462" s="250" t="n"/>
      <c r="G462" s="242">
        <f>IF(ISNUMBER(F462),F462,IF(AND(ISNUMBER(C462),ISNUMBER(D462)),ROUND(MOD(D462-C462,1)*24-N(E462)/60,2),""))</f>
        <v/>
      </c>
      <c r="H462" s="241" t="n"/>
    </row>
    <row r="463">
      <c r="A463" s="241" t="n"/>
      <c r="B463" s="247" t="n"/>
      <c r="C463" s="248" t="n"/>
      <c r="D463" s="248" t="n"/>
      <c r="E463" s="249" t="n"/>
      <c r="F463" s="250" t="n"/>
      <c r="G463" s="242">
        <f>IF(ISNUMBER(F463),F463,IF(AND(ISNUMBER(C463),ISNUMBER(D463)),ROUND(MOD(D463-C463,1)*24-N(E463)/60,2),""))</f>
        <v/>
      </c>
      <c r="H463" s="241" t="n"/>
    </row>
    <row r="464">
      <c r="A464" s="241" t="n"/>
      <c r="B464" s="247" t="n"/>
      <c r="C464" s="248" t="n"/>
      <c r="D464" s="248" t="n"/>
      <c r="E464" s="249" t="n"/>
      <c r="F464" s="250" t="n"/>
      <c r="G464" s="242">
        <f>IF(ISNUMBER(F464),F464,IF(AND(ISNUMBER(C464),ISNUMBER(D464)),ROUND(MOD(D464-C464,1)*24-N(E464)/60,2),""))</f>
        <v/>
      </c>
      <c r="H464" s="241" t="n"/>
    </row>
    <row r="465">
      <c r="A465" s="241" t="n"/>
      <c r="B465" s="247" t="n"/>
      <c r="C465" s="248" t="n"/>
      <c r="D465" s="248" t="n"/>
      <c r="E465" s="249" t="n"/>
      <c r="F465" s="250" t="n"/>
      <c r="G465" s="242">
        <f>IF(ISNUMBER(F465),F465,IF(AND(ISNUMBER(C465),ISNUMBER(D465)),ROUND(MOD(D465-C465,1)*24-N(E465)/60,2),""))</f>
        <v/>
      </c>
      <c r="H465" s="241" t="n"/>
    </row>
    <row r="466">
      <c r="A466" s="241" t="n"/>
      <c r="B466" s="247" t="n"/>
      <c r="C466" s="248" t="n"/>
      <c r="D466" s="248" t="n"/>
      <c r="E466" s="249" t="n"/>
      <c r="F466" s="250" t="n"/>
      <c r="G466" s="242">
        <f>IF(ISNUMBER(F466),F466,IF(AND(ISNUMBER(C466),ISNUMBER(D466)),ROUND(MOD(D466-C466,1)*24-N(E466)/60,2),""))</f>
        <v/>
      </c>
      <c r="H466" s="241" t="n"/>
    </row>
    <row r="467">
      <c r="A467" s="241" t="n"/>
      <c r="B467" s="247" t="n"/>
      <c r="C467" s="248" t="n"/>
      <c r="D467" s="248" t="n"/>
      <c r="E467" s="249" t="n"/>
      <c r="F467" s="250" t="n"/>
      <c r="G467" s="242">
        <f>IF(ISNUMBER(F467),F467,IF(AND(ISNUMBER(C467),ISNUMBER(D467)),ROUND(MOD(D467-C467,1)*24-N(E467)/60,2),""))</f>
        <v/>
      </c>
      <c r="H467" s="241" t="n"/>
    </row>
    <row r="468">
      <c r="A468" s="241" t="n"/>
      <c r="B468" s="247" t="n"/>
      <c r="C468" s="248" t="n"/>
      <c r="D468" s="248" t="n"/>
      <c r="E468" s="249" t="n"/>
      <c r="F468" s="250" t="n"/>
      <c r="G468" s="242">
        <f>IF(ISNUMBER(F468),F468,IF(AND(ISNUMBER(C468),ISNUMBER(D468)),ROUND(MOD(D468-C468,1)*24-N(E468)/60,2),""))</f>
        <v/>
      </c>
      <c r="H468" s="241" t="n"/>
    </row>
    <row r="469">
      <c r="A469" s="241" t="n"/>
      <c r="B469" s="247" t="n"/>
      <c r="C469" s="248" t="n"/>
      <c r="D469" s="248" t="n"/>
      <c r="E469" s="249" t="n"/>
      <c r="F469" s="250" t="n"/>
      <c r="G469" s="242">
        <f>IF(ISNUMBER(F469),F469,IF(AND(ISNUMBER(C469),ISNUMBER(D469)),ROUND(MOD(D469-C469,1)*24-N(E469)/60,2),""))</f>
        <v/>
      </c>
      <c r="H469" s="241" t="n"/>
    </row>
    <row r="470">
      <c r="A470" s="241" t="n"/>
      <c r="B470" s="247" t="n"/>
      <c r="C470" s="248" t="n"/>
      <c r="D470" s="248" t="n"/>
      <c r="E470" s="249" t="n"/>
      <c r="F470" s="250" t="n"/>
      <c r="G470" s="242">
        <f>IF(ISNUMBER(F470),F470,IF(AND(ISNUMBER(C470),ISNUMBER(D470)),ROUND(MOD(D470-C470,1)*24-N(E470)/60,2),""))</f>
        <v/>
      </c>
      <c r="H470" s="241" t="n"/>
    </row>
    <row r="471">
      <c r="A471" s="241" t="n"/>
      <c r="B471" s="247" t="n"/>
      <c r="C471" s="248" t="n"/>
      <c r="D471" s="248" t="n"/>
      <c r="E471" s="249" t="n"/>
      <c r="F471" s="250" t="n"/>
      <c r="G471" s="242">
        <f>IF(ISNUMBER(F471),F471,IF(AND(ISNUMBER(C471),ISNUMBER(D471)),ROUND(MOD(D471-C471,1)*24-N(E471)/60,2),""))</f>
        <v/>
      </c>
      <c r="H471" s="241" t="n"/>
    </row>
    <row r="472">
      <c r="A472" s="241" t="n"/>
      <c r="B472" s="247" t="n"/>
      <c r="C472" s="248" t="n"/>
      <c r="D472" s="248" t="n"/>
      <c r="E472" s="249" t="n"/>
      <c r="F472" s="250" t="n"/>
      <c r="G472" s="242">
        <f>IF(ISNUMBER(F472),F472,IF(AND(ISNUMBER(C472),ISNUMBER(D472)),ROUND(MOD(D472-C472,1)*24-N(E472)/60,2),""))</f>
        <v/>
      </c>
      <c r="H472" s="241" t="n"/>
    </row>
    <row r="473">
      <c r="A473" s="241" t="n"/>
      <c r="B473" s="247" t="n"/>
      <c r="C473" s="248" t="n"/>
      <c r="D473" s="248" t="n"/>
      <c r="E473" s="249" t="n"/>
      <c r="F473" s="250" t="n"/>
      <c r="G473" s="242">
        <f>IF(ISNUMBER(F473),F473,IF(AND(ISNUMBER(C473),ISNUMBER(D473)),ROUND(MOD(D473-C473,1)*24-N(E473)/60,2),""))</f>
        <v/>
      </c>
      <c r="H473" s="241" t="n"/>
    </row>
    <row r="474">
      <c r="A474" s="241" t="n"/>
      <c r="B474" s="247" t="n"/>
      <c r="C474" s="248" t="n"/>
      <c r="D474" s="248" t="n"/>
      <c r="E474" s="249" t="n"/>
      <c r="F474" s="250" t="n"/>
      <c r="G474" s="242">
        <f>IF(ISNUMBER(F474),F474,IF(AND(ISNUMBER(C474),ISNUMBER(D474)),ROUND(MOD(D474-C474,1)*24-N(E474)/60,2),""))</f>
        <v/>
      </c>
      <c r="H474" s="241" t="n"/>
    </row>
    <row r="475">
      <c r="A475" s="241" t="n"/>
      <c r="B475" s="247" t="n"/>
      <c r="C475" s="248" t="n"/>
      <c r="D475" s="248" t="n"/>
      <c r="E475" s="249" t="n"/>
      <c r="F475" s="250" t="n"/>
      <c r="G475" s="242">
        <f>IF(ISNUMBER(F475),F475,IF(AND(ISNUMBER(C475),ISNUMBER(D475)),ROUND(MOD(D475-C475,1)*24-N(E475)/60,2),""))</f>
        <v/>
      </c>
      <c r="H475" s="241" t="n"/>
    </row>
    <row r="476">
      <c r="A476" s="241" t="n"/>
      <c r="B476" s="247" t="n"/>
      <c r="C476" s="248" t="n"/>
      <c r="D476" s="248" t="n"/>
      <c r="E476" s="249" t="n"/>
      <c r="F476" s="250" t="n"/>
      <c r="G476" s="242">
        <f>IF(ISNUMBER(F476),F476,IF(AND(ISNUMBER(C476),ISNUMBER(D476)),ROUND(MOD(D476-C476,1)*24-N(E476)/60,2),""))</f>
        <v/>
      </c>
      <c r="H476" s="241" t="n"/>
    </row>
    <row r="477">
      <c r="A477" s="241" t="n"/>
      <c r="B477" s="247" t="n"/>
      <c r="C477" s="248" t="n"/>
      <c r="D477" s="248" t="n"/>
      <c r="E477" s="249" t="n"/>
      <c r="F477" s="250" t="n"/>
      <c r="G477" s="242">
        <f>IF(ISNUMBER(F477),F477,IF(AND(ISNUMBER(C477),ISNUMBER(D477)),ROUND(MOD(D477-C477,1)*24-N(E477)/60,2),""))</f>
        <v/>
      </c>
      <c r="H477" s="241" t="n"/>
    </row>
    <row r="478">
      <c r="A478" s="241" t="n"/>
      <c r="B478" s="247" t="n"/>
      <c r="C478" s="248" t="n"/>
      <c r="D478" s="248" t="n"/>
      <c r="E478" s="249" t="n"/>
      <c r="F478" s="250" t="n"/>
      <c r="G478" s="242">
        <f>IF(ISNUMBER(F478),F478,IF(AND(ISNUMBER(C478),ISNUMBER(D478)),ROUND(MOD(D478-C478,1)*24-N(E478)/60,2),""))</f>
        <v/>
      </c>
      <c r="H478" s="241" t="n"/>
    </row>
    <row r="479">
      <c r="A479" s="241" t="n"/>
      <c r="B479" s="247" t="n"/>
      <c r="C479" s="248" t="n"/>
      <c r="D479" s="248" t="n"/>
      <c r="E479" s="249" t="n"/>
      <c r="F479" s="250" t="n"/>
      <c r="G479" s="242">
        <f>IF(ISNUMBER(F479),F479,IF(AND(ISNUMBER(C479),ISNUMBER(D479)),ROUND(MOD(D479-C479,1)*24-N(E479)/60,2),""))</f>
        <v/>
      </c>
      <c r="H479" s="241" t="n"/>
    </row>
    <row r="480">
      <c r="A480" s="241" t="n"/>
      <c r="B480" s="247" t="n"/>
      <c r="C480" s="248" t="n"/>
      <c r="D480" s="248" t="n"/>
      <c r="E480" s="249" t="n"/>
      <c r="F480" s="250" t="n"/>
      <c r="G480" s="242">
        <f>IF(ISNUMBER(F480),F480,IF(AND(ISNUMBER(C480),ISNUMBER(D480)),ROUND(MOD(D480-C480,1)*24-N(E480)/60,2),""))</f>
        <v/>
      </c>
      <c r="H480" s="241" t="n"/>
    </row>
    <row r="481">
      <c r="A481" s="241" t="n"/>
      <c r="B481" s="247" t="n"/>
      <c r="C481" s="248" t="n"/>
      <c r="D481" s="248" t="n"/>
      <c r="E481" s="249" t="n"/>
      <c r="F481" s="250" t="n"/>
      <c r="G481" s="242">
        <f>IF(ISNUMBER(F481),F481,IF(AND(ISNUMBER(C481),ISNUMBER(D481)),ROUND(MOD(D481-C481,1)*24-N(E481)/60,2),""))</f>
        <v/>
      </c>
      <c r="H481" s="241" t="n"/>
    </row>
    <row r="482">
      <c r="A482" s="241" t="n"/>
      <c r="B482" s="247" t="n"/>
      <c r="C482" s="248" t="n"/>
      <c r="D482" s="248" t="n"/>
      <c r="E482" s="249" t="n"/>
      <c r="F482" s="250" t="n"/>
      <c r="G482" s="242">
        <f>IF(ISNUMBER(F482),F482,IF(AND(ISNUMBER(C482),ISNUMBER(D482)),ROUND(MOD(D482-C482,1)*24-N(E482)/60,2),""))</f>
        <v/>
      </c>
      <c r="H482" s="241" t="n"/>
    </row>
    <row r="483">
      <c r="A483" s="241" t="n"/>
      <c r="B483" s="247" t="n"/>
      <c r="C483" s="248" t="n"/>
      <c r="D483" s="248" t="n"/>
      <c r="E483" s="249" t="n"/>
      <c r="F483" s="250" t="n"/>
      <c r="G483" s="242">
        <f>IF(ISNUMBER(F483),F483,IF(AND(ISNUMBER(C483),ISNUMBER(D483)),ROUND(MOD(D483-C483,1)*24-N(E483)/60,2),""))</f>
        <v/>
      </c>
      <c r="H483" s="241" t="n"/>
    </row>
    <row r="484">
      <c r="A484" s="241" t="n"/>
      <c r="B484" s="247" t="n"/>
      <c r="C484" s="248" t="n"/>
      <c r="D484" s="248" t="n"/>
      <c r="E484" s="249" t="n"/>
      <c r="F484" s="250" t="n"/>
      <c r="G484" s="242">
        <f>IF(ISNUMBER(F484),F484,IF(AND(ISNUMBER(C484),ISNUMBER(D484)),ROUND(MOD(D484-C484,1)*24-N(E484)/60,2),""))</f>
        <v/>
      </c>
      <c r="H484" s="241" t="n"/>
    </row>
    <row r="485">
      <c r="A485" s="241" t="n"/>
      <c r="B485" s="247" t="n"/>
      <c r="C485" s="248" t="n"/>
      <c r="D485" s="248" t="n"/>
      <c r="E485" s="249" t="n"/>
      <c r="F485" s="250" t="n"/>
      <c r="G485" s="242">
        <f>IF(ISNUMBER(F485),F485,IF(AND(ISNUMBER(C485),ISNUMBER(D485)),ROUND(MOD(D485-C485,1)*24-N(E485)/60,2),""))</f>
        <v/>
      </c>
      <c r="H485" s="241" t="n"/>
    </row>
    <row r="486">
      <c r="A486" s="241" t="n"/>
      <c r="B486" s="247" t="n"/>
      <c r="C486" s="248" t="n"/>
      <c r="D486" s="248" t="n"/>
      <c r="E486" s="249" t="n"/>
      <c r="F486" s="250" t="n"/>
      <c r="G486" s="242">
        <f>IF(ISNUMBER(F486),F486,IF(AND(ISNUMBER(C486),ISNUMBER(D486)),ROUND(MOD(D486-C486,1)*24-N(E486)/60,2),""))</f>
        <v/>
      </c>
      <c r="H486" s="241" t="n"/>
    </row>
    <row r="487">
      <c r="A487" s="241" t="n"/>
      <c r="B487" s="247" t="n"/>
      <c r="C487" s="248" t="n"/>
      <c r="D487" s="248" t="n"/>
      <c r="E487" s="249" t="n"/>
      <c r="F487" s="250" t="n"/>
      <c r="G487" s="242">
        <f>IF(ISNUMBER(F487),F487,IF(AND(ISNUMBER(C487),ISNUMBER(D487)),ROUND(MOD(D487-C487,1)*24-N(E487)/60,2),""))</f>
        <v/>
      </c>
      <c r="H487" s="241" t="n"/>
    </row>
    <row r="488">
      <c r="A488" s="241" t="n"/>
      <c r="B488" s="247" t="n"/>
      <c r="C488" s="248" t="n"/>
      <c r="D488" s="248" t="n"/>
      <c r="E488" s="249" t="n"/>
      <c r="F488" s="250" t="n"/>
      <c r="G488" s="242">
        <f>IF(ISNUMBER(F488),F488,IF(AND(ISNUMBER(C488),ISNUMBER(D488)),ROUND(MOD(D488-C488,1)*24-N(E488)/60,2),""))</f>
        <v/>
      </c>
      <c r="H488" s="241" t="n"/>
    </row>
    <row r="489">
      <c r="A489" s="241" t="n"/>
      <c r="B489" s="247" t="n"/>
      <c r="C489" s="248" t="n"/>
      <c r="D489" s="248" t="n"/>
      <c r="E489" s="249" t="n"/>
      <c r="F489" s="250" t="n"/>
      <c r="G489" s="242">
        <f>IF(ISNUMBER(F489),F489,IF(AND(ISNUMBER(C489),ISNUMBER(D489)),ROUND(MOD(D489-C489,1)*24-N(E489)/60,2),""))</f>
        <v/>
      </c>
      <c r="H489" s="241" t="n"/>
    </row>
    <row r="490">
      <c r="A490" s="241" t="n"/>
      <c r="B490" s="247" t="n"/>
      <c r="C490" s="248" t="n"/>
      <c r="D490" s="248" t="n"/>
      <c r="E490" s="249" t="n"/>
      <c r="F490" s="250" t="n"/>
      <c r="G490" s="242">
        <f>IF(ISNUMBER(F490),F490,IF(AND(ISNUMBER(C490),ISNUMBER(D490)),ROUND(MOD(D490-C490,1)*24-N(E490)/60,2),""))</f>
        <v/>
      </c>
      <c r="H490" s="241" t="n"/>
    </row>
    <row r="491">
      <c r="A491" s="241" t="n"/>
      <c r="B491" s="247" t="n"/>
      <c r="C491" s="248" t="n"/>
      <c r="D491" s="248" t="n"/>
      <c r="E491" s="249" t="n"/>
      <c r="F491" s="250" t="n"/>
      <c r="G491" s="242">
        <f>IF(ISNUMBER(F491),F491,IF(AND(ISNUMBER(C491),ISNUMBER(D491)),ROUND(MOD(D491-C491,1)*24-N(E491)/60,2),""))</f>
        <v/>
      </c>
      <c r="H491" s="241" t="n"/>
    </row>
    <row r="492">
      <c r="A492" s="241" t="n"/>
      <c r="B492" s="247" t="n"/>
      <c r="C492" s="248" t="n"/>
      <c r="D492" s="248" t="n"/>
      <c r="E492" s="249" t="n"/>
      <c r="F492" s="250" t="n"/>
      <c r="G492" s="242">
        <f>IF(ISNUMBER(F492),F492,IF(AND(ISNUMBER(C492),ISNUMBER(D492)),ROUND(MOD(D492-C492,1)*24-N(E492)/60,2),""))</f>
        <v/>
      </c>
      <c r="H492" s="241" t="n"/>
    </row>
    <row r="493">
      <c r="A493" s="241" t="n"/>
      <c r="B493" s="247" t="n"/>
      <c r="C493" s="248" t="n"/>
      <c r="D493" s="248" t="n"/>
      <c r="E493" s="249" t="n"/>
      <c r="F493" s="250" t="n"/>
      <c r="G493" s="242">
        <f>IF(ISNUMBER(F493),F493,IF(AND(ISNUMBER(C493),ISNUMBER(D493)),ROUND(MOD(D493-C493,1)*24-N(E493)/60,2),""))</f>
        <v/>
      </c>
      <c r="H493" s="241" t="n"/>
    </row>
    <row r="494">
      <c r="A494" s="241" t="n"/>
      <c r="B494" s="247" t="n"/>
      <c r="C494" s="248" t="n"/>
      <c r="D494" s="248" t="n"/>
      <c r="E494" s="249" t="n"/>
      <c r="F494" s="250" t="n"/>
      <c r="G494" s="242">
        <f>IF(ISNUMBER(F494),F494,IF(AND(ISNUMBER(C494),ISNUMBER(D494)),ROUND(MOD(D494-C494,1)*24-N(E494)/60,2),""))</f>
        <v/>
      </c>
      <c r="H494" s="241" t="n"/>
    </row>
    <row r="495">
      <c r="A495" s="241" t="n"/>
      <c r="B495" s="247" t="n"/>
      <c r="C495" s="248" t="n"/>
      <c r="D495" s="248" t="n"/>
      <c r="E495" s="249" t="n"/>
      <c r="F495" s="250" t="n"/>
      <c r="G495" s="242">
        <f>IF(ISNUMBER(F495),F495,IF(AND(ISNUMBER(C495),ISNUMBER(D495)),ROUND(MOD(D495-C495,1)*24-N(E495)/60,2),""))</f>
        <v/>
      </c>
      <c r="H495" s="241" t="n"/>
    </row>
    <row r="496">
      <c r="A496" s="241" t="n"/>
      <c r="B496" s="247" t="n"/>
      <c r="C496" s="248" t="n"/>
      <c r="D496" s="248" t="n"/>
      <c r="E496" s="249" t="n"/>
      <c r="F496" s="250" t="n"/>
      <c r="G496" s="242">
        <f>IF(ISNUMBER(F496),F496,IF(AND(ISNUMBER(C496),ISNUMBER(D496)),ROUND(MOD(D496-C496,1)*24-N(E496)/60,2),""))</f>
        <v/>
      </c>
      <c r="H496" s="241" t="n"/>
    </row>
    <row r="497">
      <c r="A497" s="241" t="n"/>
      <c r="B497" s="247" t="n"/>
      <c r="C497" s="248" t="n"/>
      <c r="D497" s="248" t="n"/>
      <c r="E497" s="249" t="n"/>
      <c r="F497" s="250" t="n"/>
      <c r="G497" s="242">
        <f>IF(ISNUMBER(F497),F497,IF(AND(ISNUMBER(C497),ISNUMBER(D497)),ROUND(MOD(D497-C497,1)*24-N(E497)/60,2),""))</f>
        <v/>
      </c>
      <c r="H497" s="241" t="n"/>
    </row>
    <row r="498">
      <c r="A498" s="241" t="n"/>
      <c r="B498" s="247" t="n"/>
      <c r="C498" s="248" t="n"/>
      <c r="D498" s="248" t="n"/>
      <c r="E498" s="249" t="n"/>
      <c r="F498" s="250" t="n"/>
      <c r="G498" s="242">
        <f>IF(ISNUMBER(F498),F498,IF(AND(ISNUMBER(C498),ISNUMBER(D498)),ROUND(MOD(D498-C498,1)*24-N(E498)/60,2),""))</f>
        <v/>
      </c>
      <c r="H498" s="241" t="n"/>
    </row>
    <row r="499">
      <c r="A499" s="241" t="n"/>
      <c r="B499" s="247" t="n"/>
      <c r="C499" s="248" t="n"/>
      <c r="D499" s="248" t="n"/>
      <c r="E499" s="249" t="n"/>
      <c r="F499" s="250" t="n"/>
      <c r="G499" s="242">
        <f>IF(ISNUMBER(F499),F499,IF(AND(ISNUMBER(C499),ISNUMBER(D499)),ROUND(MOD(D499-C499,1)*24-N(E499)/60,2),""))</f>
        <v/>
      </c>
      <c r="H499" s="241" t="n"/>
    </row>
    <row r="500">
      <c r="A500" s="241" t="n"/>
      <c r="B500" s="247" t="n"/>
      <c r="C500" s="248" t="n"/>
      <c r="D500" s="248" t="n"/>
      <c r="E500" s="249" t="n"/>
      <c r="F500" s="250" t="n"/>
      <c r="G500" s="242">
        <f>IF(ISNUMBER(F500),F500,IF(AND(ISNUMBER(C500),ISNUMBER(D500)),ROUND(MOD(D500-C500,1)*24-N(E500)/60,2),""))</f>
        <v/>
      </c>
      <c r="H500" s="241" t="n"/>
    </row>
    <row r="501">
      <c r="A501" s="241" t="n"/>
      <c r="B501" s="247" t="n"/>
      <c r="C501" s="248" t="n"/>
      <c r="D501" s="248" t="n"/>
      <c r="E501" s="249" t="n"/>
      <c r="F501" s="250" t="n"/>
      <c r="G501" s="242">
        <f>IF(ISNUMBER(F501),F501,IF(AND(ISNUMBER(C501),ISNUMBER(D501)),ROUND(MOD(D501-C501,1)*24-N(E501)/60,2),""))</f>
        <v/>
      </c>
      <c r="H501" s="241" t="n"/>
    </row>
    <row r="502">
      <c r="A502" s="241" t="n"/>
      <c r="B502" s="247" t="n"/>
      <c r="C502" s="248" t="n"/>
      <c r="D502" s="248" t="n"/>
      <c r="E502" s="249" t="n"/>
      <c r="F502" s="250" t="n"/>
      <c r="G502" s="242">
        <f>IF(ISNUMBER(F502),F502,IF(AND(ISNUMBER(C502),ISNUMBER(D502)),ROUND(MOD(D502-C502,1)*24-N(E502)/60,2),""))</f>
        <v/>
      </c>
      <c r="H502" s="241" t="n"/>
    </row>
    <row r="503">
      <c r="A503" s="241" t="n"/>
      <c r="B503" s="247" t="n"/>
      <c r="C503" s="248" t="n"/>
      <c r="D503" s="248" t="n"/>
      <c r="E503" s="249" t="n"/>
      <c r="F503" s="250" t="n"/>
      <c r="G503" s="242">
        <f>IF(ISNUMBER(F503),F503,IF(AND(ISNUMBER(C503),ISNUMBER(D503)),ROUND(MOD(D503-C503,1)*24-N(E503)/60,2),""))</f>
        <v/>
      </c>
      <c r="H503" s="241" t="n"/>
    </row>
    <row r="504">
      <c r="A504" s="241" t="n"/>
      <c r="B504" s="247" t="n"/>
      <c r="C504" s="248" t="n"/>
      <c r="D504" s="248" t="n"/>
      <c r="E504" s="249" t="n"/>
      <c r="F504" s="250" t="n"/>
      <c r="G504" s="242">
        <f>IF(ISNUMBER(F504),F504,IF(AND(ISNUMBER(C504),ISNUMBER(D504)),ROUND(MOD(D504-C504,1)*24-N(E504)/60,2),""))</f>
        <v/>
      </c>
      <c r="H504" s="241" t="n"/>
    </row>
    <row r="505">
      <c r="A505" s="241" t="n"/>
      <c r="B505" s="247" t="n"/>
      <c r="C505" s="248" t="n"/>
      <c r="D505" s="248" t="n"/>
      <c r="E505" s="249" t="n"/>
      <c r="F505" s="250" t="n"/>
      <c r="G505" s="242">
        <f>IF(ISNUMBER(F505),F505,IF(AND(ISNUMBER(C505),ISNUMBER(D505)),ROUND(MOD(D505-C505,1)*24-N(E505)/60,2),""))</f>
        <v/>
      </c>
      <c r="H505" s="241" t="n"/>
    </row>
    <row r="506">
      <c r="A506" s="241" t="n"/>
      <c r="B506" s="247" t="n"/>
      <c r="C506" s="248" t="n"/>
      <c r="D506" s="248" t="n"/>
      <c r="E506" s="249" t="n"/>
      <c r="F506" s="250" t="n"/>
      <c r="G506" s="242">
        <f>IF(ISNUMBER(F506),F506,IF(AND(ISNUMBER(C506),ISNUMBER(D506)),ROUND(MOD(D506-C506,1)*24-N(E506)/60,2),""))</f>
        <v/>
      </c>
      <c r="H506" s="241" t="n"/>
    </row>
    <row r="507">
      <c r="A507" s="241" t="n"/>
      <c r="B507" s="247" t="n"/>
      <c r="C507" s="248" t="n"/>
      <c r="D507" s="248" t="n"/>
      <c r="E507" s="249" t="n"/>
      <c r="F507" s="250" t="n"/>
      <c r="G507" s="242">
        <f>IF(ISNUMBER(F507),F507,IF(AND(ISNUMBER(C507),ISNUMBER(D507)),ROUND(MOD(D507-C507,1)*24-N(E507)/60,2),""))</f>
        <v/>
      </c>
      <c r="H507" s="241" t="n"/>
    </row>
    <row r="508">
      <c r="A508" s="241" t="n"/>
      <c r="B508" s="247" t="n"/>
      <c r="C508" s="248" t="n"/>
      <c r="D508" s="248" t="n"/>
      <c r="E508" s="249" t="n"/>
      <c r="F508" s="250" t="n"/>
      <c r="G508" s="242">
        <f>IF(ISNUMBER(F508),F508,IF(AND(ISNUMBER(C508),ISNUMBER(D508)),ROUND(MOD(D508-C508,1)*24-N(E508)/60,2),""))</f>
        <v/>
      </c>
      <c r="H508" s="241" t="n"/>
    </row>
    <row r="509">
      <c r="A509" s="241" t="n"/>
      <c r="B509" s="247" t="n"/>
      <c r="C509" s="248" t="n"/>
      <c r="D509" s="248" t="n"/>
      <c r="E509" s="249" t="n"/>
      <c r="F509" s="250" t="n"/>
      <c r="G509" s="242">
        <f>IF(ISNUMBER(F509),F509,IF(AND(ISNUMBER(C509),ISNUMBER(D509)),ROUND(MOD(D509-C509,1)*24-N(E509)/60,2),""))</f>
        <v/>
      </c>
      <c r="H509" s="241" t="n"/>
    </row>
    <row r="510">
      <c r="A510" s="241" t="n"/>
      <c r="B510" s="247" t="n"/>
      <c r="C510" s="248" t="n"/>
      <c r="D510" s="248" t="n"/>
      <c r="E510" s="249" t="n"/>
      <c r="F510" s="250" t="n"/>
      <c r="G510" s="242">
        <f>IF(ISNUMBER(F510),F510,IF(AND(ISNUMBER(C510),ISNUMBER(D510)),ROUND(MOD(D510-C510,1)*24-N(E510)/60,2),""))</f>
        <v/>
      </c>
      <c r="H510" s="241" t="n"/>
    </row>
    <row r="511">
      <c r="A511" s="241" t="n"/>
      <c r="B511" s="247" t="n"/>
      <c r="C511" s="248" t="n"/>
      <c r="D511" s="248" t="n"/>
      <c r="E511" s="249" t="n"/>
      <c r="F511" s="250" t="n"/>
      <c r="G511" s="242">
        <f>IF(ISNUMBER(F511),F511,IF(AND(ISNUMBER(C511),ISNUMBER(D511)),ROUND(MOD(D511-C511,1)*24-N(E511)/60,2),""))</f>
        <v/>
      </c>
      <c r="H511" s="241" t="n"/>
    </row>
    <row r="512">
      <c r="A512" s="241" t="n"/>
      <c r="B512" s="247" t="n"/>
      <c r="C512" s="248" t="n"/>
      <c r="D512" s="248" t="n"/>
      <c r="E512" s="249" t="n"/>
      <c r="F512" s="250" t="n"/>
      <c r="G512" s="242">
        <f>IF(ISNUMBER(F512),F512,IF(AND(ISNUMBER(C512),ISNUMBER(D512)),ROUND(MOD(D512-C512,1)*24-N(E512)/60,2),""))</f>
        <v/>
      </c>
      <c r="H512" s="241" t="n"/>
    </row>
    <row r="513">
      <c r="A513" s="241" t="n"/>
      <c r="B513" s="247" t="n"/>
      <c r="C513" s="248" t="n"/>
      <c r="D513" s="248" t="n"/>
      <c r="E513" s="249" t="n"/>
      <c r="F513" s="250" t="n"/>
      <c r="G513" s="242">
        <f>IF(ISNUMBER(F513),F513,IF(AND(ISNUMBER(C513),ISNUMBER(D513)),ROUND(MOD(D513-C513,1)*24-N(E513)/60,2),""))</f>
        <v/>
      </c>
      <c r="H513" s="241" t="n"/>
    </row>
    <row r="514">
      <c r="A514" s="241" t="n"/>
      <c r="B514" s="247" t="n"/>
      <c r="C514" s="248" t="n"/>
      <c r="D514" s="248" t="n"/>
      <c r="E514" s="249" t="n"/>
      <c r="F514" s="250" t="n"/>
      <c r="G514" s="242">
        <f>IF(ISNUMBER(F514),F514,IF(AND(ISNUMBER(C514),ISNUMBER(D514)),ROUND(MOD(D514-C514,1)*24-N(E514)/60,2),""))</f>
        <v/>
      </c>
      <c r="H514" s="241" t="n"/>
    </row>
    <row r="515">
      <c r="A515" s="241" t="n"/>
      <c r="B515" s="247" t="n"/>
      <c r="C515" s="248" t="n"/>
      <c r="D515" s="248" t="n"/>
      <c r="E515" s="249" t="n"/>
      <c r="F515" s="250" t="n"/>
      <c r="G515" s="242">
        <f>IF(ISNUMBER(F515),F515,IF(AND(ISNUMBER(C515),ISNUMBER(D515)),ROUND(MOD(D515-C515,1)*24-N(E515)/60,2),""))</f>
        <v/>
      </c>
      <c r="H515" s="241" t="n"/>
    </row>
    <row r="516">
      <c r="A516" s="241" t="n"/>
      <c r="B516" s="247" t="n"/>
      <c r="C516" s="248" t="n"/>
      <c r="D516" s="248" t="n"/>
      <c r="E516" s="249" t="n"/>
      <c r="F516" s="250" t="n"/>
      <c r="G516" s="242">
        <f>IF(ISNUMBER(F516),F516,IF(AND(ISNUMBER(C516),ISNUMBER(D516)),ROUND(MOD(D516-C516,1)*24-N(E516)/60,2),""))</f>
        <v/>
      </c>
      <c r="H516" s="241" t="n"/>
    </row>
    <row r="517">
      <c r="A517" s="241" t="n"/>
      <c r="B517" s="247" t="n"/>
      <c r="C517" s="248" t="n"/>
      <c r="D517" s="248" t="n"/>
      <c r="E517" s="249" t="n"/>
      <c r="F517" s="250" t="n"/>
      <c r="G517" s="242">
        <f>IF(ISNUMBER(F517),F517,IF(AND(ISNUMBER(C517),ISNUMBER(D517)),ROUND(MOD(D517-C517,1)*24-N(E517)/60,2),""))</f>
        <v/>
      </c>
      <c r="H517" s="241" t="n"/>
    </row>
    <row r="518">
      <c r="A518" s="241" t="n"/>
      <c r="B518" s="247" t="n"/>
      <c r="C518" s="248" t="n"/>
      <c r="D518" s="248" t="n"/>
      <c r="E518" s="249" t="n"/>
      <c r="F518" s="250" t="n"/>
      <c r="G518" s="242">
        <f>IF(ISNUMBER(F518),F518,IF(AND(ISNUMBER(C518),ISNUMBER(D518)),ROUND(MOD(D518-C518,1)*24-N(E518)/60,2),""))</f>
        <v/>
      </c>
      <c r="H518" s="241" t="n"/>
    </row>
    <row r="519">
      <c r="A519" s="241" t="n"/>
      <c r="B519" s="247" t="n"/>
      <c r="C519" s="248" t="n"/>
      <c r="D519" s="248" t="n"/>
      <c r="E519" s="249" t="n"/>
      <c r="F519" s="250" t="n"/>
      <c r="G519" s="242">
        <f>IF(ISNUMBER(F519),F519,IF(AND(ISNUMBER(C519),ISNUMBER(D519)),ROUND(MOD(D519-C519,1)*24-N(E519)/60,2),""))</f>
        <v/>
      </c>
      <c r="H519" s="241" t="n"/>
    </row>
    <row r="520">
      <c r="A520" s="241" t="n"/>
      <c r="B520" s="247" t="n"/>
      <c r="C520" s="248" t="n"/>
      <c r="D520" s="248" t="n"/>
      <c r="E520" s="249" t="n"/>
      <c r="F520" s="250" t="n"/>
      <c r="G520" s="242">
        <f>IF(ISNUMBER(F520),F520,IF(AND(ISNUMBER(C520),ISNUMBER(D520)),ROUND(MOD(D520-C520,1)*24-N(E520)/60,2),""))</f>
        <v/>
      </c>
      <c r="H520" s="241" t="n"/>
    </row>
    <row r="521">
      <c r="A521" s="241" t="n"/>
      <c r="B521" s="247" t="n"/>
      <c r="C521" s="248" t="n"/>
      <c r="D521" s="248" t="n"/>
      <c r="E521" s="249" t="n"/>
      <c r="F521" s="250" t="n"/>
      <c r="G521" s="242">
        <f>IF(ISNUMBER(F521),F521,IF(AND(ISNUMBER(C521),ISNUMBER(D521)),ROUND(MOD(D521-C521,1)*24-N(E521)/60,2),""))</f>
        <v/>
      </c>
      <c r="H521" s="241" t="n"/>
    </row>
    <row r="522">
      <c r="A522" s="241" t="n"/>
      <c r="B522" s="247" t="n"/>
      <c r="C522" s="248" t="n"/>
      <c r="D522" s="248" t="n"/>
      <c r="E522" s="249" t="n"/>
      <c r="F522" s="250" t="n"/>
      <c r="G522" s="242">
        <f>IF(ISNUMBER(F522),F522,IF(AND(ISNUMBER(C522),ISNUMBER(D522)),ROUND(MOD(D522-C522,1)*24-N(E522)/60,2),""))</f>
        <v/>
      </c>
      <c r="H522" s="241" t="n"/>
    </row>
    <row r="523">
      <c r="A523" s="241" t="n"/>
      <c r="B523" s="247" t="n"/>
      <c r="C523" s="248" t="n"/>
      <c r="D523" s="248" t="n"/>
      <c r="E523" s="249" t="n"/>
      <c r="F523" s="250" t="n"/>
      <c r="G523" s="242">
        <f>IF(ISNUMBER(F523),F523,IF(AND(ISNUMBER(C523),ISNUMBER(D523)),ROUND(MOD(D523-C523,1)*24-N(E523)/60,2),""))</f>
        <v/>
      </c>
      <c r="H523" s="241" t="n"/>
    </row>
    <row r="524">
      <c r="A524" s="241" t="n"/>
      <c r="B524" s="247" t="n"/>
      <c r="C524" s="248" t="n"/>
      <c r="D524" s="248" t="n"/>
      <c r="E524" s="249" t="n"/>
      <c r="F524" s="250" t="n"/>
      <c r="G524" s="242">
        <f>IF(ISNUMBER(F524),F524,IF(AND(ISNUMBER(C524),ISNUMBER(D524)),ROUND(MOD(D524-C524,1)*24-N(E524)/60,2),""))</f>
        <v/>
      </c>
      <c r="H524" s="241" t="n"/>
    </row>
    <row r="525">
      <c r="A525" s="241" t="n"/>
      <c r="B525" s="247" t="n"/>
      <c r="C525" s="248" t="n"/>
      <c r="D525" s="248" t="n"/>
      <c r="E525" s="249" t="n"/>
      <c r="F525" s="250" t="n"/>
      <c r="G525" s="242">
        <f>IF(ISNUMBER(F525),F525,IF(AND(ISNUMBER(C525),ISNUMBER(D525)),ROUND(MOD(D525-C525,1)*24-N(E525)/60,2),""))</f>
        <v/>
      </c>
      <c r="H525" s="241" t="n"/>
    </row>
    <row r="526">
      <c r="A526" s="241" t="n"/>
      <c r="B526" s="247" t="n"/>
      <c r="C526" s="248" t="n"/>
      <c r="D526" s="248" t="n"/>
      <c r="E526" s="249" t="n"/>
      <c r="F526" s="250" t="n"/>
      <c r="G526" s="242">
        <f>IF(ISNUMBER(F526),F526,IF(AND(ISNUMBER(C526),ISNUMBER(D526)),ROUND(MOD(D526-C526,1)*24-N(E526)/60,2),""))</f>
        <v/>
      </c>
      <c r="H526" s="241" t="n"/>
    </row>
    <row r="527">
      <c r="A527" s="241" t="n"/>
      <c r="B527" s="247" t="n"/>
      <c r="C527" s="248" t="n"/>
      <c r="D527" s="248" t="n"/>
      <c r="E527" s="249" t="n"/>
      <c r="F527" s="250" t="n"/>
      <c r="G527" s="242">
        <f>IF(ISNUMBER(F527),F527,IF(AND(ISNUMBER(C527),ISNUMBER(D527)),ROUND(MOD(D527-C527,1)*24-N(E527)/60,2),""))</f>
        <v/>
      </c>
      <c r="H527" s="241" t="n"/>
    </row>
    <row r="528">
      <c r="A528" s="241" t="n"/>
      <c r="B528" s="247" t="n"/>
      <c r="C528" s="248" t="n"/>
      <c r="D528" s="248" t="n"/>
      <c r="E528" s="249" t="n"/>
      <c r="F528" s="250" t="n"/>
      <c r="G528" s="242">
        <f>IF(ISNUMBER(F528),F528,IF(AND(ISNUMBER(C528),ISNUMBER(D528)),ROUND(MOD(D528-C528,1)*24-N(E528)/60,2),""))</f>
        <v/>
      </c>
      <c r="H528" s="241" t="n"/>
    </row>
    <row r="529">
      <c r="A529" s="241" t="n"/>
      <c r="B529" s="247" t="n"/>
      <c r="C529" s="248" t="n"/>
      <c r="D529" s="248" t="n"/>
      <c r="E529" s="249" t="n"/>
      <c r="F529" s="250" t="n"/>
      <c r="G529" s="242">
        <f>IF(ISNUMBER(F529),F529,IF(AND(ISNUMBER(C529),ISNUMBER(D529)),ROUND(MOD(D529-C529,1)*24-N(E529)/60,2),""))</f>
        <v/>
      </c>
      <c r="H529" s="241" t="n"/>
    </row>
    <row r="530">
      <c r="A530" s="241" t="n"/>
      <c r="B530" s="247" t="n"/>
      <c r="C530" s="248" t="n"/>
      <c r="D530" s="248" t="n"/>
      <c r="E530" s="249" t="n"/>
      <c r="F530" s="250" t="n"/>
      <c r="G530" s="242">
        <f>IF(ISNUMBER(F530),F530,IF(AND(ISNUMBER(C530),ISNUMBER(D530)),ROUND(MOD(D530-C530,1)*24-N(E530)/60,2),""))</f>
        <v/>
      </c>
      <c r="H530" s="241" t="n"/>
    </row>
    <row r="531">
      <c r="A531" s="241" t="n"/>
      <c r="B531" s="247" t="n"/>
      <c r="C531" s="248" t="n"/>
      <c r="D531" s="248" t="n"/>
      <c r="E531" s="249" t="n"/>
      <c r="F531" s="250" t="n"/>
      <c r="G531" s="242">
        <f>IF(ISNUMBER(F531),F531,IF(AND(ISNUMBER(C531),ISNUMBER(D531)),ROUND(MOD(D531-C531,1)*24-N(E531)/60,2),""))</f>
        <v/>
      </c>
      <c r="H531" s="241" t="n"/>
    </row>
    <row r="532">
      <c r="A532" s="241" t="n"/>
      <c r="B532" s="247" t="n"/>
      <c r="C532" s="248" t="n"/>
      <c r="D532" s="248" t="n"/>
      <c r="E532" s="249" t="n"/>
      <c r="F532" s="250" t="n"/>
      <c r="G532" s="242">
        <f>IF(ISNUMBER(F532),F532,IF(AND(ISNUMBER(C532),ISNUMBER(D532)),ROUND(MOD(D532-C532,1)*24-N(E532)/60,2),""))</f>
        <v/>
      </c>
      <c r="H532" s="241" t="n"/>
    </row>
    <row r="533">
      <c r="A533" s="241" t="n"/>
      <c r="B533" s="247" t="n"/>
      <c r="C533" s="248" t="n"/>
      <c r="D533" s="248" t="n"/>
      <c r="E533" s="249" t="n"/>
      <c r="F533" s="250" t="n"/>
      <c r="G533" s="242">
        <f>IF(ISNUMBER(F533),F533,IF(AND(ISNUMBER(C533),ISNUMBER(D533)),ROUND(MOD(D533-C533,1)*24-N(E533)/60,2),""))</f>
        <v/>
      </c>
      <c r="H533" s="241" t="n"/>
    </row>
    <row r="534">
      <c r="A534" s="241" t="n"/>
      <c r="B534" s="247" t="n"/>
      <c r="C534" s="248" t="n"/>
      <c r="D534" s="248" t="n"/>
      <c r="E534" s="249" t="n"/>
      <c r="F534" s="250" t="n"/>
      <c r="G534" s="242">
        <f>IF(ISNUMBER(F534),F534,IF(AND(ISNUMBER(C534),ISNUMBER(D534)),ROUND(MOD(D534-C534,1)*24-N(E534)/60,2),""))</f>
        <v/>
      </c>
      <c r="H534" s="241" t="n"/>
    </row>
    <row r="535">
      <c r="A535" s="241" t="n"/>
      <c r="B535" s="247" t="n"/>
      <c r="C535" s="248" t="n"/>
      <c r="D535" s="248" t="n"/>
      <c r="E535" s="249" t="n"/>
      <c r="F535" s="250" t="n"/>
      <c r="G535" s="242">
        <f>IF(ISNUMBER(F535),F535,IF(AND(ISNUMBER(C535),ISNUMBER(D535)),ROUND(MOD(D535-C535,1)*24-N(E535)/60,2),""))</f>
        <v/>
      </c>
      <c r="H535" s="241" t="n"/>
    </row>
    <row r="536">
      <c r="A536" s="241" t="n"/>
      <c r="B536" s="247" t="n"/>
      <c r="C536" s="248" t="n"/>
      <c r="D536" s="248" t="n"/>
      <c r="E536" s="249" t="n"/>
      <c r="F536" s="250" t="n"/>
      <c r="G536" s="242">
        <f>IF(ISNUMBER(F536),F536,IF(AND(ISNUMBER(C536),ISNUMBER(D536)),ROUND(MOD(D536-C536,1)*24-N(E536)/60,2),""))</f>
        <v/>
      </c>
      <c r="H536" s="241" t="n"/>
    </row>
    <row r="537">
      <c r="A537" s="241" t="n"/>
      <c r="B537" s="247" t="n"/>
      <c r="C537" s="248" t="n"/>
      <c r="D537" s="248" t="n"/>
      <c r="E537" s="249" t="n"/>
      <c r="F537" s="250" t="n"/>
      <c r="G537" s="242">
        <f>IF(ISNUMBER(F537),F537,IF(AND(ISNUMBER(C537),ISNUMBER(D537)),ROUND(MOD(D537-C537,1)*24-N(E537)/60,2),""))</f>
        <v/>
      </c>
      <c r="H537" s="241" t="n"/>
    </row>
    <row r="538">
      <c r="A538" s="241" t="n"/>
      <c r="B538" s="247" t="n"/>
      <c r="C538" s="248" t="n"/>
      <c r="D538" s="248" t="n"/>
      <c r="E538" s="249" t="n"/>
      <c r="F538" s="250" t="n"/>
      <c r="G538" s="242">
        <f>IF(ISNUMBER(F538),F538,IF(AND(ISNUMBER(C538),ISNUMBER(D538)),ROUND(MOD(D538-C538,1)*24-N(E538)/60,2),""))</f>
        <v/>
      </c>
      <c r="H538" s="241" t="n"/>
    </row>
    <row r="539">
      <c r="A539" s="241" t="n"/>
      <c r="B539" s="247" t="n"/>
      <c r="C539" s="248" t="n"/>
      <c r="D539" s="248" t="n"/>
      <c r="E539" s="249" t="n"/>
      <c r="F539" s="250" t="n"/>
      <c r="G539" s="242">
        <f>IF(ISNUMBER(F539),F539,IF(AND(ISNUMBER(C539),ISNUMBER(D539)),ROUND(MOD(D539-C539,1)*24-N(E539)/60,2),""))</f>
        <v/>
      </c>
      <c r="H539" s="241" t="n"/>
    </row>
    <row r="540">
      <c r="A540" s="241" t="n"/>
      <c r="B540" s="247" t="n"/>
      <c r="C540" s="248" t="n"/>
      <c r="D540" s="248" t="n"/>
      <c r="E540" s="249" t="n"/>
      <c r="F540" s="250" t="n"/>
      <c r="G540" s="242">
        <f>IF(ISNUMBER(F540),F540,IF(AND(ISNUMBER(C540),ISNUMBER(D540)),ROUND(MOD(D540-C540,1)*24-N(E540)/60,2),""))</f>
        <v/>
      </c>
      <c r="H540" s="241" t="n"/>
    </row>
    <row r="541">
      <c r="A541" s="241" t="n"/>
      <c r="B541" s="247" t="n"/>
      <c r="C541" s="248" t="n"/>
      <c r="D541" s="248" t="n"/>
      <c r="E541" s="249" t="n"/>
      <c r="F541" s="250" t="n"/>
      <c r="G541" s="242">
        <f>IF(ISNUMBER(F541),F541,IF(AND(ISNUMBER(C541),ISNUMBER(D541)),ROUND(MOD(D541-C541,1)*24-N(E541)/60,2),""))</f>
        <v/>
      </c>
      <c r="H541" s="241" t="n"/>
    </row>
    <row r="542">
      <c r="A542" s="241" t="n"/>
      <c r="B542" s="247" t="n"/>
      <c r="C542" s="248" t="n"/>
      <c r="D542" s="248" t="n"/>
      <c r="E542" s="249" t="n"/>
      <c r="F542" s="250" t="n"/>
      <c r="G542" s="242">
        <f>IF(ISNUMBER(F542),F542,IF(AND(ISNUMBER(C542),ISNUMBER(D542)),ROUND(MOD(D542-C542,1)*24-N(E542)/60,2),""))</f>
        <v/>
      </c>
      <c r="H542" s="241" t="n"/>
    </row>
    <row r="543">
      <c r="A543" s="241" t="n"/>
      <c r="B543" s="247" t="n"/>
      <c r="C543" s="248" t="n"/>
      <c r="D543" s="248" t="n"/>
      <c r="E543" s="249" t="n"/>
      <c r="F543" s="250" t="n"/>
      <c r="G543" s="242">
        <f>IF(ISNUMBER(F543),F543,IF(AND(ISNUMBER(C543),ISNUMBER(D543)),ROUND(MOD(D543-C543,1)*24-N(E543)/60,2),""))</f>
        <v/>
      </c>
      <c r="H543" s="241" t="n"/>
    </row>
    <row r="544">
      <c r="A544" s="241" t="n"/>
      <c r="B544" s="247" t="n"/>
      <c r="C544" s="248" t="n"/>
      <c r="D544" s="248" t="n"/>
      <c r="E544" s="249" t="n"/>
      <c r="F544" s="250" t="n"/>
      <c r="G544" s="242">
        <f>IF(ISNUMBER(F544),F544,IF(AND(ISNUMBER(C544),ISNUMBER(D544)),ROUND(MOD(D544-C544,1)*24-N(E544)/60,2),""))</f>
        <v/>
      </c>
      <c r="H544" s="241" t="n"/>
    </row>
    <row r="545">
      <c r="A545" s="241" t="n"/>
      <c r="B545" s="247" t="n"/>
      <c r="C545" s="248" t="n"/>
      <c r="D545" s="248" t="n"/>
      <c r="E545" s="249" t="n"/>
      <c r="F545" s="250" t="n"/>
      <c r="G545" s="242">
        <f>IF(ISNUMBER(F545),F545,IF(AND(ISNUMBER(C545),ISNUMBER(D545)),ROUND(MOD(D545-C545,1)*24-N(E545)/60,2),""))</f>
        <v/>
      </c>
      <c r="H545" s="241" t="n"/>
    </row>
    <row r="546">
      <c r="A546" s="241" t="n"/>
      <c r="B546" s="247" t="n"/>
      <c r="C546" s="248" t="n"/>
      <c r="D546" s="248" t="n"/>
      <c r="E546" s="249" t="n"/>
      <c r="F546" s="250" t="n"/>
      <c r="G546" s="242">
        <f>IF(ISNUMBER(F546),F546,IF(AND(ISNUMBER(C546),ISNUMBER(D546)),ROUND(MOD(D546-C546,1)*24-N(E546)/60,2),""))</f>
        <v/>
      </c>
      <c r="H546" s="241" t="n"/>
    </row>
    <row r="547">
      <c r="A547" s="241" t="n"/>
      <c r="B547" s="247" t="n"/>
      <c r="C547" s="248" t="n"/>
      <c r="D547" s="248" t="n"/>
      <c r="E547" s="249" t="n"/>
      <c r="F547" s="250" t="n"/>
      <c r="G547" s="242">
        <f>IF(ISNUMBER(F547),F547,IF(AND(ISNUMBER(C547),ISNUMBER(D547)),ROUND(MOD(D547-C547,1)*24-N(E547)/60,2),""))</f>
        <v/>
      </c>
      <c r="H547" s="241" t="n"/>
    </row>
    <row r="548">
      <c r="A548" s="241" t="n"/>
      <c r="B548" s="247" t="n"/>
      <c r="C548" s="248" t="n"/>
      <c r="D548" s="248" t="n"/>
      <c r="E548" s="249" t="n"/>
      <c r="F548" s="250" t="n"/>
      <c r="G548" s="242">
        <f>IF(ISNUMBER(F548),F548,IF(AND(ISNUMBER(C548),ISNUMBER(D548)),ROUND(MOD(D548-C548,1)*24-N(E548)/60,2),""))</f>
        <v/>
      </c>
      <c r="H548" s="241" t="n"/>
    </row>
    <row r="549">
      <c r="A549" s="241" t="n"/>
      <c r="B549" s="247" t="n"/>
      <c r="C549" s="248" t="n"/>
      <c r="D549" s="248" t="n"/>
      <c r="E549" s="249" t="n"/>
      <c r="F549" s="250" t="n"/>
      <c r="G549" s="242">
        <f>IF(ISNUMBER(F549),F549,IF(AND(ISNUMBER(C549),ISNUMBER(D549)),ROUND(MOD(D549-C549,1)*24-N(E549)/60,2),""))</f>
        <v/>
      </c>
      <c r="H549" s="241" t="n"/>
    </row>
    <row r="550">
      <c r="A550" s="241" t="n"/>
      <c r="B550" s="247" t="n"/>
      <c r="C550" s="248" t="n"/>
      <c r="D550" s="248" t="n"/>
      <c r="E550" s="249" t="n"/>
      <c r="F550" s="250" t="n"/>
      <c r="G550" s="242">
        <f>IF(ISNUMBER(F550),F550,IF(AND(ISNUMBER(C550),ISNUMBER(D550)),ROUND(MOD(D550-C550,1)*24-N(E550)/60,2),""))</f>
        <v/>
      </c>
      <c r="H550" s="241" t="n"/>
    </row>
    <row r="551">
      <c r="A551" s="241" t="n"/>
      <c r="B551" s="247" t="n"/>
      <c r="C551" s="248" t="n"/>
      <c r="D551" s="248" t="n"/>
      <c r="E551" s="249" t="n"/>
      <c r="F551" s="250" t="n"/>
      <c r="G551" s="242">
        <f>IF(ISNUMBER(F551),F551,IF(AND(ISNUMBER(C551),ISNUMBER(D551)),ROUND(MOD(D551-C551,1)*24-N(E551)/60,2),""))</f>
        <v/>
      </c>
      <c r="H551" s="241" t="n"/>
    </row>
    <row r="552">
      <c r="A552" s="241" t="n"/>
      <c r="B552" s="247" t="n"/>
      <c r="C552" s="248" t="n"/>
      <c r="D552" s="248" t="n"/>
      <c r="E552" s="249" t="n"/>
      <c r="F552" s="250" t="n"/>
      <c r="G552" s="242">
        <f>IF(ISNUMBER(F552),F552,IF(AND(ISNUMBER(C552),ISNUMBER(D552)),ROUND(MOD(D552-C552,1)*24-N(E552)/60,2),""))</f>
        <v/>
      </c>
      <c r="H552" s="241" t="n"/>
    </row>
    <row r="553">
      <c r="A553" s="241" t="n"/>
      <c r="B553" s="247" t="n"/>
      <c r="C553" s="248" t="n"/>
      <c r="D553" s="248" t="n"/>
      <c r="E553" s="249" t="n"/>
      <c r="F553" s="250" t="n"/>
      <c r="G553" s="242">
        <f>IF(ISNUMBER(F553),F553,IF(AND(ISNUMBER(C553),ISNUMBER(D553)),ROUND(MOD(D553-C553,1)*24-N(E553)/60,2),""))</f>
        <v/>
      </c>
      <c r="H553" s="241" t="n"/>
    </row>
    <row r="554">
      <c r="A554" s="241" t="n"/>
      <c r="B554" s="247" t="n"/>
      <c r="C554" s="248" t="n"/>
      <c r="D554" s="248" t="n"/>
      <c r="E554" s="249" t="n"/>
      <c r="F554" s="250" t="n"/>
      <c r="G554" s="242">
        <f>IF(ISNUMBER(F554),F554,IF(AND(ISNUMBER(C554),ISNUMBER(D554)),ROUND(MOD(D554-C554,1)*24-N(E554)/60,2),""))</f>
        <v/>
      </c>
      <c r="H554" s="241" t="n"/>
    </row>
    <row r="555">
      <c r="A555" s="241" t="n"/>
      <c r="B555" s="247" t="n"/>
      <c r="C555" s="248" t="n"/>
      <c r="D555" s="248" t="n"/>
      <c r="E555" s="249" t="n"/>
      <c r="F555" s="250" t="n"/>
      <c r="G555" s="242">
        <f>IF(ISNUMBER(F555),F555,IF(AND(ISNUMBER(C555),ISNUMBER(D555)),ROUND(MOD(D555-C555,1)*24-N(E555)/60,2),""))</f>
        <v/>
      </c>
      <c r="H555" s="241" t="n"/>
    </row>
    <row r="556">
      <c r="A556" s="241" t="n"/>
      <c r="B556" s="247" t="n"/>
      <c r="C556" s="248" t="n"/>
      <c r="D556" s="248" t="n"/>
      <c r="E556" s="249" t="n"/>
      <c r="F556" s="250" t="n"/>
      <c r="G556" s="242">
        <f>IF(ISNUMBER(F556),F556,IF(AND(ISNUMBER(C556),ISNUMBER(D556)),ROUND(MOD(D556-C556,1)*24-N(E556)/60,2),""))</f>
        <v/>
      </c>
      <c r="H556" s="241" t="n"/>
    </row>
    <row r="557">
      <c r="A557" s="241" t="n"/>
      <c r="B557" s="247" t="n"/>
      <c r="C557" s="248" t="n"/>
      <c r="D557" s="248" t="n"/>
      <c r="E557" s="249" t="n"/>
      <c r="F557" s="250" t="n"/>
      <c r="G557" s="242">
        <f>IF(ISNUMBER(F557),F557,IF(AND(ISNUMBER(C557),ISNUMBER(D557)),ROUND(MOD(D557-C557,1)*24-N(E557)/60,2),""))</f>
        <v/>
      </c>
      <c r="H557" s="241" t="n"/>
    </row>
    <row r="558">
      <c r="A558" s="241" t="n"/>
      <c r="B558" s="247" t="n"/>
      <c r="C558" s="248" t="n"/>
      <c r="D558" s="248" t="n"/>
      <c r="E558" s="249" t="n"/>
      <c r="F558" s="250" t="n"/>
      <c r="G558" s="242">
        <f>IF(ISNUMBER(F558),F558,IF(AND(ISNUMBER(C558),ISNUMBER(D558)),ROUND(MOD(D558-C558,1)*24-N(E558)/60,2),""))</f>
        <v/>
      </c>
      <c r="H558" s="241" t="n"/>
    </row>
    <row r="559">
      <c r="A559" s="241" t="n"/>
      <c r="B559" s="247" t="n"/>
      <c r="C559" s="248" t="n"/>
      <c r="D559" s="248" t="n"/>
      <c r="E559" s="249" t="n"/>
      <c r="F559" s="250" t="n"/>
      <c r="G559" s="242">
        <f>IF(ISNUMBER(F559),F559,IF(AND(ISNUMBER(C559),ISNUMBER(D559)),ROUND(MOD(D559-C559,1)*24-N(E559)/60,2),""))</f>
        <v/>
      </c>
      <c r="H559" s="241" t="n"/>
    </row>
    <row r="560">
      <c r="A560" s="241" t="n"/>
      <c r="B560" s="247" t="n"/>
      <c r="C560" s="248" t="n"/>
      <c r="D560" s="248" t="n"/>
      <c r="E560" s="249" t="n"/>
      <c r="F560" s="250" t="n"/>
      <c r="G560" s="242">
        <f>IF(ISNUMBER(F560),F560,IF(AND(ISNUMBER(C560),ISNUMBER(D560)),ROUND(MOD(D560-C560,1)*24-N(E560)/60,2),""))</f>
        <v/>
      </c>
      <c r="H560" s="241" t="n"/>
    </row>
    <row r="561">
      <c r="A561" s="241" t="n"/>
      <c r="B561" s="247" t="n"/>
      <c r="C561" s="248" t="n"/>
      <c r="D561" s="248" t="n"/>
      <c r="E561" s="249" t="n"/>
      <c r="F561" s="250" t="n"/>
      <c r="G561" s="242">
        <f>IF(ISNUMBER(F561),F561,IF(AND(ISNUMBER(C561),ISNUMBER(D561)),ROUND(MOD(D561-C561,1)*24-N(E561)/60,2),""))</f>
        <v/>
      </c>
      <c r="H561" s="241" t="n"/>
    </row>
    <row r="562">
      <c r="A562" s="241" t="n"/>
      <c r="B562" s="247" t="n"/>
      <c r="C562" s="248" t="n"/>
      <c r="D562" s="248" t="n"/>
      <c r="E562" s="249" t="n"/>
      <c r="F562" s="250" t="n"/>
      <c r="G562" s="242">
        <f>IF(ISNUMBER(F562),F562,IF(AND(ISNUMBER(C562),ISNUMBER(D562)),ROUND(MOD(D562-C562,1)*24-N(E562)/60,2),""))</f>
        <v/>
      </c>
      <c r="H562" s="241" t="n"/>
    </row>
    <row r="563">
      <c r="A563" s="241" t="n"/>
      <c r="B563" s="247" t="n"/>
      <c r="C563" s="248" t="n"/>
      <c r="D563" s="248" t="n"/>
      <c r="E563" s="249" t="n"/>
      <c r="F563" s="250" t="n"/>
      <c r="G563" s="242">
        <f>IF(ISNUMBER(F563),F563,IF(AND(ISNUMBER(C563),ISNUMBER(D563)),ROUND(MOD(D563-C563,1)*24-N(E563)/60,2),""))</f>
        <v/>
      </c>
      <c r="H563" s="241" t="n"/>
    </row>
    <row r="564">
      <c r="A564" s="241" t="n"/>
      <c r="B564" s="247" t="n"/>
      <c r="C564" s="248" t="n"/>
      <c r="D564" s="248" t="n"/>
      <c r="E564" s="249" t="n"/>
      <c r="F564" s="250" t="n"/>
      <c r="G564" s="242">
        <f>IF(ISNUMBER(F564),F564,IF(AND(ISNUMBER(C564),ISNUMBER(D564)),ROUND(MOD(D564-C564,1)*24-N(E564)/60,2),""))</f>
        <v/>
      </c>
      <c r="H564" s="241" t="n"/>
    </row>
    <row r="565">
      <c r="A565" s="241" t="n"/>
      <c r="B565" s="247" t="n"/>
      <c r="C565" s="248" t="n"/>
      <c r="D565" s="248" t="n"/>
      <c r="E565" s="249" t="n"/>
      <c r="F565" s="250" t="n"/>
      <c r="G565" s="242">
        <f>IF(ISNUMBER(F565),F565,IF(AND(ISNUMBER(C565),ISNUMBER(D565)),ROUND(MOD(D565-C565,1)*24-N(E565)/60,2),""))</f>
        <v/>
      </c>
      <c r="H565" s="241" t="n"/>
    </row>
    <row r="566">
      <c r="A566" s="241" t="n"/>
      <c r="B566" s="247" t="n"/>
      <c r="C566" s="248" t="n"/>
      <c r="D566" s="248" t="n"/>
      <c r="E566" s="249" t="n"/>
      <c r="F566" s="250" t="n"/>
      <c r="G566" s="242">
        <f>IF(ISNUMBER(F566),F566,IF(AND(ISNUMBER(C566),ISNUMBER(D566)),ROUND(MOD(D566-C566,1)*24-N(E566)/60,2),""))</f>
        <v/>
      </c>
      <c r="H566" s="241" t="n"/>
    </row>
    <row r="567">
      <c r="A567" s="241" t="n"/>
      <c r="B567" s="247" t="n"/>
      <c r="C567" s="248" t="n"/>
      <c r="D567" s="248" t="n"/>
      <c r="E567" s="249" t="n"/>
      <c r="F567" s="250" t="n"/>
      <c r="G567" s="242">
        <f>IF(ISNUMBER(F567),F567,IF(AND(ISNUMBER(C567),ISNUMBER(D567)),ROUND(MOD(D567-C567,1)*24-N(E567)/60,2),""))</f>
        <v/>
      </c>
      <c r="H567" s="241" t="n"/>
    </row>
    <row r="568">
      <c r="A568" s="241" t="n"/>
      <c r="B568" s="247" t="n"/>
      <c r="C568" s="248" t="n"/>
      <c r="D568" s="248" t="n"/>
      <c r="E568" s="249" t="n"/>
      <c r="F568" s="250" t="n"/>
      <c r="G568" s="242">
        <f>IF(ISNUMBER(F568),F568,IF(AND(ISNUMBER(C568),ISNUMBER(D568)),ROUND(MOD(D568-C568,1)*24-N(E568)/60,2),""))</f>
        <v/>
      </c>
      <c r="H568" s="241" t="n"/>
    </row>
    <row r="569">
      <c r="A569" s="241" t="n"/>
      <c r="B569" s="247" t="n"/>
      <c r="C569" s="248" t="n"/>
      <c r="D569" s="248" t="n"/>
      <c r="E569" s="249" t="n"/>
      <c r="F569" s="250" t="n"/>
      <c r="G569" s="242">
        <f>IF(ISNUMBER(F569),F569,IF(AND(ISNUMBER(C569),ISNUMBER(D569)),ROUND(MOD(D569-C569,1)*24-N(E569)/60,2),""))</f>
        <v/>
      </c>
      <c r="H569" s="241" t="n"/>
    </row>
    <row r="570">
      <c r="A570" s="241" t="n"/>
      <c r="B570" s="247" t="n"/>
      <c r="C570" s="248" t="n"/>
      <c r="D570" s="248" t="n"/>
      <c r="E570" s="249" t="n"/>
      <c r="F570" s="250" t="n"/>
      <c r="G570" s="242">
        <f>IF(ISNUMBER(F570),F570,IF(AND(ISNUMBER(C570),ISNUMBER(D570)),ROUND(MOD(D570-C570,1)*24-N(E570)/60,2),""))</f>
        <v/>
      </c>
      <c r="H570" s="241" t="n"/>
    </row>
    <row r="571">
      <c r="A571" s="241" t="n"/>
      <c r="B571" s="247" t="n"/>
      <c r="C571" s="248" t="n"/>
      <c r="D571" s="248" t="n"/>
      <c r="E571" s="249" t="n"/>
      <c r="F571" s="250" t="n"/>
      <c r="G571" s="242">
        <f>IF(ISNUMBER(F571),F571,IF(AND(ISNUMBER(C571),ISNUMBER(D571)),ROUND(MOD(D571-C571,1)*24-N(E571)/60,2),""))</f>
        <v/>
      </c>
      <c r="H571" s="241" t="n"/>
    </row>
    <row r="572">
      <c r="A572" s="241" t="n"/>
      <c r="B572" s="247" t="n"/>
      <c r="C572" s="248" t="n"/>
      <c r="D572" s="248" t="n"/>
      <c r="E572" s="249" t="n"/>
      <c r="F572" s="250" t="n"/>
      <c r="G572" s="242">
        <f>IF(ISNUMBER(F572),F572,IF(AND(ISNUMBER(C572),ISNUMBER(D572)),ROUND(MOD(D572-C572,1)*24-N(E572)/60,2),""))</f>
        <v/>
      </c>
      <c r="H572" s="241" t="n"/>
    </row>
    <row r="573">
      <c r="A573" s="241" t="n"/>
      <c r="B573" s="247" t="n"/>
      <c r="C573" s="248" t="n"/>
      <c r="D573" s="248" t="n"/>
      <c r="E573" s="249" t="n"/>
      <c r="F573" s="250" t="n"/>
      <c r="G573" s="242">
        <f>IF(ISNUMBER(F573),F573,IF(AND(ISNUMBER(C573),ISNUMBER(D573)),ROUND(MOD(D573-C573,1)*24-N(E573)/60,2),""))</f>
        <v/>
      </c>
      <c r="H573" s="241" t="n"/>
    </row>
    <row r="574">
      <c r="A574" s="241" t="n"/>
      <c r="B574" s="247" t="n"/>
      <c r="C574" s="248" t="n"/>
      <c r="D574" s="248" t="n"/>
      <c r="E574" s="249" t="n"/>
      <c r="F574" s="250" t="n"/>
      <c r="G574" s="242">
        <f>IF(ISNUMBER(F574),F574,IF(AND(ISNUMBER(C574),ISNUMBER(D574)),ROUND(MOD(D574-C574,1)*24-N(E574)/60,2),""))</f>
        <v/>
      </c>
      <c r="H574" s="241" t="n"/>
    </row>
    <row r="575">
      <c r="A575" s="241" t="n"/>
      <c r="B575" s="247" t="n"/>
      <c r="C575" s="248" t="n"/>
      <c r="D575" s="248" t="n"/>
      <c r="E575" s="249" t="n"/>
      <c r="F575" s="250" t="n"/>
      <c r="G575" s="242">
        <f>IF(ISNUMBER(F575),F575,IF(AND(ISNUMBER(C575),ISNUMBER(D575)),ROUND(MOD(D575-C575,1)*24-N(E575)/60,2),""))</f>
        <v/>
      </c>
      <c r="H575" s="241" t="n"/>
    </row>
    <row r="576">
      <c r="A576" s="241" t="n"/>
      <c r="B576" s="247" t="n"/>
      <c r="C576" s="248" t="n"/>
      <c r="D576" s="248" t="n"/>
      <c r="E576" s="249" t="n"/>
      <c r="F576" s="250" t="n"/>
      <c r="G576" s="242">
        <f>IF(ISNUMBER(F576),F576,IF(AND(ISNUMBER(C576),ISNUMBER(D576)),ROUND(MOD(D576-C576,1)*24-N(E576)/60,2),""))</f>
        <v/>
      </c>
      <c r="H576" s="241" t="n"/>
    </row>
    <row r="577">
      <c r="A577" s="241" t="n"/>
      <c r="B577" s="247" t="n"/>
      <c r="C577" s="248" t="n"/>
      <c r="D577" s="248" t="n"/>
      <c r="E577" s="249" t="n"/>
      <c r="F577" s="250" t="n"/>
      <c r="G577" s="242">
        <f>IF(ISNUMBER(F577),F577,IF(AND(ISNUMBER(C577),ISNUMBER(D577)),ROUND(MOD(D577-C577,1)*24-N(E577)/60,2),""))</f>
        <v/>
      </c>
      <c r="H577" s="241" t="n"/>
    </row>
    <row r="578">
      <c r="A578" s="241" t="n"/>
      <c r="B578" s="247" t="n"/>
      <c r="C578" s="248" t="n"/>
      <c r="D578" s="248" t="n"/>
      <c r="E578" s="249" t="n"/>
      <c r="F578" s="250" t="n"/>
      <c r="G578" s="242">
        <f>IF(ISNUMBER(F578),F578,IF(AND(ISNUMBER(C578),ISNUMBER(D578)),ROUND(MOD(D578-C578,1)*24-N(E578)/60,2),""))</f>
        <v/>
      </c>
      <c r="H578" s="241" t="n"/>
    </row>
    <row r="579">
      <c r="A579" s="241" t="n"/>
      <c r="B579" s="247" t="n"/>
      <c r="C579" s="248" t="n"/>
      <c r="D579" s="248" t="n"/>
      <c r="E579" s="249" t="n"/>
      <c r="F579" s="250" t="n"/>
      <c r="G579" s="242">
        <f>IF(ISNUMBER(F579),F579,IF(AND(ISNUMBER(C579),ISNUMBER(D579)),ROUND(MOD(D579-C579,1)*24-N(E579)/60,2),""))</f>
        <v/>
      </c>
      <c r="H579" s="241" t="n"/>
    </row>
    <row r="580">
      <c r="A580" s="241" t="n"/>
      <c r="B580" s="247" t="n"/>
      <c r="C580" s="248" t="n"/>
      <c r="D580" s="248" t="n"/>
      <c r="E580" s="249" t="n"/>
      <c r="F580" s="250" t="n"/>
      <c r="G580" s="242">
        <f>IF(ISNUMBER(F580),F580,IF(AND(ISNUMBER(C580),ISNUMBER(D580)),ROUND(MOD(D580-C580,1)*24-N(E580)/60,2),""))</f>
        <v/>
      </c>
      <c r="H580" s="241" t="n"/>
    </row>
    <row r="581">
      <c r="A581" s="241" t="n"/>
      <c r="B581" s="247" t="n"/>
      <c r="C581" s="248" t="n"/>
      <c r="D581" s="248" t="n"/>
      <c r="E581" s="249" t="n"/>
      <c r="F581" s="250" t="n"/>
      <c r="G581" s="242">
        <f>IF(ISNUMBER(F581),F581,IF(AND(ISNUMBER(C581),ISNUMBER(D581)),ROUND(MOD(D581-C581,1)*24-N(E581)/60,2),""))</f>
        <v/>
      </c>
      <c r="H581" s="241" t="n"/>
    </row>
    <row r="582">
      <c r="A582" s="241" t="n"/>
      <c r="B582" s="247" t="n"/>
      <c r="C582" s="248" t="n"/>
      <c r="D582" s="248" t="n"/>
      <c r="E582" s="249" t="n"/>
      <c r="F582" s="250" t="n"/>
      <c r="G582" s="242">
        <f>IF(ISNUMBER(F582),F582,IF(AND(ISNUMBER(C582),ISNUMBER(D582)),ROUND(MOD(D582-C582,1)*24-N(E582)/60,2),""))</f>
        <v/>
      </c>
      <c r="H582" s="241" t="n"/>
    </row>
    <row r="583">
      <c r="A583" s="241" t="n"/>
      <c r="B583" s="247" t="n"/>
      <c r="C583" s="248" t="n"/>
      <c r="D583" s="248" t="n"/>
      <c r="E583" s="249" t="n"/>
      <c r="F583" s="250" t="n"/>
      <c r="G583" s="242">
        <f>IF(ISNUMBER(F583),F583,IF(AND(ISNUMBER(C583),ISNUMBER(D583)),ROUND(MOD(D583-C583,1)*24-N(E583)/60,2),""))</f>
        <v/>
      </c>
      <c r="H583" s="241" t="n"/>
    </row>
    <row r="584">
      <c r="A584" s="241" t="n"/>
      <c r="B584" s="247" t="n"/>
      <c r="C584" s="248" t="n"/>
      <c r="D584" s="248" t="n"/>
      <c r="E584" s="249" t="n"/>
      <c r="F584" s="250" t="n"/>
      <c r="G584" s="242">
        <f>IF(ISNUMBER(F584),F584,IF(AND(ISNUMBER(C584),ISNUMBER(D584)),ROUND(MOD(D584-C584,1)*24-N(E584)/60,2),""))</f>
        <v/>
      </c>
      <c r="H584" s="241" t="n"/>
    </row>
    <row r="585">
      <c r="A585" s="241" t="n"/>
      <c r="B585" s="247" t="n"/>
      <c r="C585" s="248" t="n"/>
      <c r="D585" s="248" t="n"/>
      <c r="E585" s="249" t="n"/>
      <c r="F585" s="250" t="n"/>
      <c r="G585" s="242">
        <f>IF(ISNUMBER(F585),F585,IF(AND(ISNUMBER(C585),ISNUMBER(D585)),ROUND(MOD(D585-C585,1)*24-N(E585)/60,2),""))</f>
        <v/>
      </c>
      <c r="H585" s="241" t="n"/>
    </row>
    <row r="586">
      <c r="A586" s="241" t="n"/>
      <c r="B586" s="247" t="n"/>
      <c r="C586" s="248" t="n"/>
      <c r="D586" s="248" t="n"/>
      <c r="E586" s="249" t="n"/>
      <c r="F586" s="250" t="n"/>
      <c r="G586" s="242">
        <f>IF(ISNUMBER(F586),F586,IF(AND(ISNUMBER(C586),ISNUMBER(D586)),ROUND(MOD(D586-C586,1)*24-N(E586)/60,2),""))</f>
        <v/>
      </c>
      <c r="H586" s="241" t="n"/>
    </row>
    <row r="587">
      <c r="A587" s="241" t="n"/>
      <c r="B587" s="247" t="n"/>
      <c r="C587" s="248" t="n"/>
      <c r="D587" s="248" t="n"/>
      <c r="E587" s="249" t="n"/>
      <c r="F587" s="250" t="n"/>
      <c r="G587" s="242">
        <f>IF(ISNUMBER(F587),F587,IF(AND(ISNUMBER(C587),ISNUMBER(D587)),ROUND(MOD(D587-C587,1)*24-N(E587)/60,2),""))</f>
        <v/>
      </c>
      <c r="H587" s="241" t="n"/>
    </row>
    <row r="588">
      <c r="A588" s="241" t="n"/>
      <c r="B588" s="247" t="n"/>
      <c r="C588" s="248" t="n"/>
      <c r="D588" s="248" t="n"/>
      <c r="E588" s="249" t="n"/>
      <c r="F588" s="250" t="n"/>
      <c r="G588" s="242">
        <f>IF(ISNUMBER(F588),F588,IF(AND(ISNUMBER(C588),ISNUMBER(D588)),ROUND(MOD(D588-C588,1)*24-N(E588)/60,2),""))</f>
        <v/>
      </c>
      <c r="H588" s="241" t="n"/>
    </row>
    <row r="589">
      <c r="A589" s="241" t="n"/>
      <c r="B589" s="247" t="n"/>
      <c r="C589" s="248" t="n"/>
      <c r="D589" s="248" t="n"/>
      <c r="E589" s="249" t="n"/>
      <c r="F589" s="250" t="n"/>
      <c r="G589" s="242">
        <f>IF(ISNUMBER(F589),F589,IF(AND(ISNUMBER(C589),ISNUMBER(D589)),ROUND(MOD(D589-C589,1)*24-N(E589)/60,2),""))</f>
        <v/>
      </c>
      <c r="H589" s="241" t="n"/>
    </row>
    <row r="590">
      <c r="A590" s="241" t="n"/>
      <c r="B590" s="247" t="n"/>
      <c r="C590" s="248" t="n"/>
      <c r="D590" s="248" t="n"/>
      <c r="E590" s="249" t="n"/>
      <c r="F590" s="250" t="n"/>
      <c r="G590" s="242">
        <f>IF(ISNUMBER(F590),F590,IF(AND(ISNUMBER(C590),ISNUMBER(D590)),ROUND(MOD(D590-C590,1)*24-N(E590)/60,2),""))</f>
        <v/>
      </c>
      <c r="H590" s="241" t="n"/>
    </row>
    <row r="591">
      <c r="A591" s="241" t="n"/>
      <c r="B591" s="247" t="n"/>
      <c r="C591" s="248" t="n"/>
      <c r="D591" s="248" t="n"/>
      <c r="E591" s="249" t="n"/>
      <c r="F591" s="250" t="n"/>
      <c r="G591" s="242">
        <f>IF(ISNUMBER(F591),F591,IF(AND(ISNUMBER(C591),ISNUMBER(D591)),ROUND(MOD(D591-C591,1)*24-N(E591)/60,2),""))</f>
        <v/>
      </c>
      <c r="H591" s="241" t="n"/>
    </row>
    <row r="592">
      <c r="A592" s="241" t="n"/>
      <c r="B592" s="247" t="n"/>
      <c r="C592" s="248" t="n"/>
      <c r="D592" s="248" t="n"/>
      <c r="E592" s="249" t="n"/>
      <c r="F592" s="250" t="n"/>
      <c r="G592" s="242">
        <f>IF(ISNUMBER(F592),F592,IF(AND(ISNUMBER(C592),ISNUMBER(D592)),ROUND(MOD(D592-C592,1)*24-N(E592)/60,2),""))</f>
        <v/>
      </c>
      <c r="H592" s="241" t="n"/>
    </row>
    <row r="593">
      <c r="A593" s="241" t="n"/>
      <c r="B593" s="247" t="n"/>
      <c r="C593" s="248" t="n"/>
      <c r="D593" s="248" t="n"/>
      <c r="E593" s="249" t="n"/>
      <c r="F593" s="250" t="n"/>
      <c r="G593" s="242">
        <f>IF(ISNUMBER(F593),F593,IF(AND(ISNUMBER(C593),ISNUMBER(D593)),ROUND(MOD(D593-C593,1)*24-N(E593)/60,2),""))</f>
        <v/>
      </c>
      <c r="H593" s="241" t="n"/>
    </row>
    <row r="594">
      <c r="A594" s="241" t="n"/>
      <c r="B594" s="247" t="n"/>
      <c r="C594" s="248" t="n"/>
      <c r="D594" s="248" t="n"/>
      <c r="E594" s="249" t="n"/>
      <c r="F594" s="250" t="n"/>
      <c r="G594" s="242">
        <f>IF(ISNUMBER(F594),F594,IF(AND(ISNUMBER(C594),ISNUMBER(D594)),ROUND(MOD(D594-C594,1)*24-N(E594)/60,2),""))</f>
        <v/>
      </c>
      <c r="H594" s="241" t="n"/>
    </row>
    <row r="595">
      <c r="A595" s="241" t="n"/>
      <c r="B595" s="247" t="n"/>
      <c r="C595" s="248" t="n"/>
      <c r="D595" s="248" t="n"/>
      <c r="E595" s="249" t="n"/>
      <c r="F595" s="250" t="n"/>
      <c r="G595" s="242">
        <f>IF(ISNUMBER(F595),F595,IF(AND(ISNUMBER(C595),ISNUMBER(D595)),ROUND(MOD(D595-C595,1)*24-N(E595)/60,2),""))</f>
        <v/>
      </c>
      <c r="H595" s="241" t="n"/>
    </row>
    <row r="596">
      <c r="A596" s="241" t="n"/>
      <c r="B596" s="247" t="n"/>
      <c r="C596" s="248" t="n"/>
      <c r="D596" s="248" t="n"/>
      <c r="E596" s="249" t="n"/>
      <c r="F596" s="250" t="n"/>
      <c r="G596" s="242">
        <f>IF(ISNUMBER(F596),F596,IF(AND(ISNUMBER(C596),ISNUMBER(D596)),ROUND(MOD(D596-C596,1)*24-N(E596)/60,2),""))</f>
        <v/>
      </c>
      <c r="H596" s="241" t="n"/>
    </row>
    <row r="597">
      <c r="A597" s="241" t="n"/>
      <c r="B597" s="247" t="n"/>
      <c r="C597" s="248" t="n"/>
      <c r="D597" s="248" t="n"/>
      <c r="E597" s="249" t="n"/>
      <c r="F597" s="250" t="n"/>
      <c r="G597" s="242">
        <f>IF(ISNUMBER(F597),F597,IF(AND(ISNUMBER(C597),ISNUMBER(D597)),ROUND(MOD(D597-C597,1)*24-N(E597)/60,2),""))</f>
        <v/>
      </c>
      <c r="H597" s="241" t="n"/>
    </row>
    <row r="598">
      <c r="A598" s="241" t="n"/>
      <c r="B598" s="247" t="n"/>
      <c r="C598" s="248" t="n"/>
      <c r="D598" s="248" t="n"/>
      <c r="E598" s="249" t="n"/>
      <c r="F598" s="250" t="n"/>
      <c r="G598" s="242">
        <f>IF(ISNUMBER(F598),F598,IF(AND(ISNUMBER(C598),ISNUMBER(D598)),ROUND(MOD(D598-C598,1)*24-N(E598)/60,2),""))</f>
        <v/>
      </c>
      <c r="H598" s="241" t="n"/>
    </row>
    <row r="599">
      <c r="A599" s="241" t="n"/>
      <c r="B599" s="247" t="n"/>
      <c r="C599" s="248" t="n"/>
      <c r="D599" s="248" t="n"/>
      <c r="E599" s="249" t="n"/>
      <c r="F599" s="250" t="n"/>
      <c r="G599" s="242">
        <f>IF(ISNUMBER(F599),F599,IF(AND(ISNUMBER(C599),ISNUMBER(D599)),ROUND(MOD(D599-C599,1)*24-N(E599)/60,2),""))</f>
        <v/>
      </c>
      <c r="H599" s="241" t="n"/>
    </row>
    <row r="600">
      <c r="A600" s="241" t="n"/>
      <c r="B600" s="247" t="n"/>
      <c r="C600" s="248" t="n"/>
      <c r="D600" s="248" t="n"/>
      <c r="E600" s="249" t="n"/>
      <c r="F600" s="250" t="n"/>
      <c r="G600" s="242">
        <f>IF(ISNUMBER(F600),F600,IF(AND(ISNUMBER(C600),ISNUMBER(D600)),ROUND(MOD(D600-C600,1)*24-N(E600)/60,2),""))</f>
        <v/>
      </c>
      <c r="H600" s="241" t="n"/>
    </row>
    <row r="601">
      <c r="A601" s="241" t="n"/>
      <c r="B601" s="247" t="n"/>
      <c r="C601" s="248" t="n"/>
      <c r="D601" s="248" t="n"/>
      <c r="E601" s="249" t="n"/>
      <c r="F601" s="250" t="n"/>
      <c r="G601" s="242">
        <f>IF(ISNUMBER(F601),F601,IF(AND(ISNUMBER(C601),ISNUMBER(D601)),ROUND(MOD(D601-C601,1)*24-N(E601)/60,2),""))</f>
        <v/>
      </c>
      <c r="H601" s="241" t="n"/>
    </row>
    <row r="602">
      <c r="A602" s="241" t="n"/>
      <c r="B602" s="247" t="n"/>
      <c r="C602" s="248" t="n"/>
      <c r="D602" s="248" t="n"/>
      <c r="E602" s="249" t="n"/>
      <c r="F602" s="250" t="n"/>
      <c r="G602" s="242">
        <f>IF(ISNUMBER(F602),F602,IF(AND(ISNUMBER(C602),ISNUMBER(D602)),ROUND(MOD(D602-C602,1)*24-N(E602)/60,2),""))</f>
        <v/>
      </c>
      <c r="H602" s="241" t="n"/>
    </row>
    <row r="603">
      <c r="A603" s="241" t="n"/>
      <c r="B603" s="247" t="n"/>
      <c r="C603" s="248" t="n"/>
      <c r="D603" s="248" t="n"/>
      <c r="E603" s="249" t="n"/>
      <c r="F603" s="250" t="n"/>
      <c r="G603" s="242">
        <f>IF(ISNUMBER(F603),F603,IF(AND(ISNUMBER(C603),ISNUMBER(D603)),ROUND(MOD(D603-C603,1)*24-N(E603)/60,2),""))</f>
        <v/>
      </c>
      <c r="H603" s="241" t="n"/>
    </row>
    <row r="604">
      <c r="A604" s="241" t="n"/>
      <c r="B604" s="247" t="n"/>
      <c r="C604" s="248" t="n"/>
      <c r="D604" s="248" t="n"/>
      <c r="E604" s="249" t="n"/>
      <c r="F604" s="250" t="n"/>
      <c r="G604" s="242">
        <f>IF(ISNUMBER(F604),F604,IF(AND(ISNUMBER(C604),ISNUMBER(D604)),ROUND(MOD(D604-C604,1)*24-N(E604)/60,2),""))</f>
        <v/>
      </c>
      <c r="H604" s="241" t="n"/>
    </row>
    <row r="605">
      <c r="A605" s="241" t="n"/>
      <c r="B605" s="247" t="n"/>
      <c r="C605" s="248" t="n"/>
      <c r="D605" s="248" t="n"/>
      <c r="E605" s="249" t="n"/>
      <c r="F605" s="250" t="n"/>
      <c r="G605" s="242">
        <f>IF(ISNUMBER(F605),F605,IF(AND(ISNUMBER(C605),ISNUMBER(D605)),ROUND(MOD(D605-C605,1)*24-N(E605)/60,2),""))</f>
        <v/>
      </c>
      <c r="H605" s="241" t="n"/>
    </row>
    <row r="606">
      <c r="A606" s="241" t="n"/>
      <c r="B606" s="247" t="n"/>
      <c r="C606" s="248" t="n"/>
      <c r="D606" s="248" t="n"/>
      <c r="E606" s="249" t="n"/>
      <c r="F606" s="250" t="n"/>
      <c r="G606" s="242">
        <f>IF(ISNUMBER(F606),F606,IF(AND(ISNUMBER(C606),ISNUMBER(D606)),ROUND(MOD(D606-C606,1)*24-N(E606)/60,2),""))</f>
        <v/>
      </c>
      <c r="H606" s="241" t="n"/>
    </row>
    <row r="607">
      <c r="A607" s="241" t="n"/>
      <c r="B607" s="247" t="n"/>
      <c r="C607" s="248" t="n"/>
      <c r="D607" s="248" t="n"/>
      <c r="E607" s="249" t="n"/>
      <c r="F607" s="250" t="n"/>
      <c r="G607" s="242">
        <f>IF(ISNUMBER(F607),F607,IF(AND(ISNUMBER(C607),ISNUMBER(D607)),ROUND(MOD(D607-C607,1)*24-N(E607)/60,2),""))</f>
        <v/>
      </c>
      <c r="H607" s="241" t="n"/>
    </row>
    <row r="608">
      <c r="A608" s="241" t="n"/>
      <c r="B608" s="247" t="n"/>
      <c r="C608" s="248" t="n"/>
      <c r="D608" s="248" t="n"/>
      <c r="E608" s="249" t="n"/>
      <c r="F608" s="250" t="n"/>
      <c r="G608" s="242">
        <f>IF(ISNUMBER(F608),F608,IF(AND(ISNUMBER(C608),ISNUMBER(D608)),ROUND(MOD(D608-C608,1)*24-N(E608)/60,2),""))</f>
        <v/>
      </c>
      <c r="H608" s="241" t="n"/>
    </row>
    <row r="609">
      <c r="A609" s="241" t="n"/>
      <c r="B609" s="247" t="n"/>
      <c r="C609" s="248" t="n"/>
      <c r="D609" s="248" t="n"/>
      <c r="E609" s="249" t="n"/>
      <c r="F609" s="250" t="n"/>
      <c r="G609" s="242">
        <f>IF(ISNUMBER(F609),F609,IF(AND(ISNUMBER(C609),ISNUMBER(D609)),ROUND(MOD(D609-C609,1)*24-N(E609)/60,2),""))</f>
        <v/>
      </c>
      <c r="H609" s="241" t="n"/>
    </row>
    <row r="610">
      <c r="A610" s="241" t="n"/>
      <c r="B610" s="247" t="n"/>
      <c r="C610" s="248" t="n"/>
      <c r="D610" s="248" t="n"/>
      <c r="E610" s="249" t="n"/>
      <c r="F610" s="250" t="n"/>
      <c r="G610" s="242">
        <f>IF(ISNUMBER(F610),F610,IF(AND(ISNUMBER(C610),ISNUMBER(D610)),ROUND(MOD(D610-C610,1)*24-N(E610)/60,2),""))</f>
        <v/>
      </c>
      <c r="H610" s="241" t="n"/>
    </row>
    <row r="611">
      <c r="A611" s="241" t="n"/>
      <c r="B611" s="247" t="n"/>
      <c r="C611" s="248" t="n"/>
      <c r="D611" s="248" t="n"/>
      <c r="E611" s="249" t="n"/>
      <c r="F611" s="250" t="n"/>
      <c r="G611" s="242">
        <f>IF(ISNUMBER(F611),F611,IF(AND(ISNUMBER(C611),ISNUMBER(D611)),ROUND(MOD(D611-C611,1)*24-N(E611)/60,2),""))</f>
        <v/>
      </c>
      <c r="H611" s="241" t="n"/>
    </row>
    <row r="612">
      <c r="A612" s="241" t="n"/>
      <c r="B612" s="247" t="n"/>
      <c r="C612" s="248" t="n"/>
      <c r="D612" s="248" t="n"/>
      <c r="E612" s="249" t="n"/>
      <c r="F612" s="250" t="n"/>
      <c r="G612" s="242">
        <f>IF(ISNUMBER(F612),F612,IF(AND(ISNUMBER(C612),ISNUMBER(D612)),ROUND(MOD(D612-C612,1)*24-N(E612)/60,2),""))</f>
        <v/>
      </c>
      <c r="H612" s="241" t="n"/>
    </row>
    <row r="613">
      <c r="A613" s="241" t="n"/>
      <c r="B613" s="247" t="n"/>
      <c r="C613" s="248" t="n"/>
      <c r="D613" s="248" t="n"/>
      <c r="E613" s="249" t="n"/>
      <c r="F613" s="250" t="n"/>
      <c r="G613" s="242">
        <f>IF(ISNUMBER(F613),F613,IF(AND(ISNUMBER(C613),ISNUMBER(D613)),ROUND(MOD(D613-C613,1)*24-N(E613)/60,2),""))</f>
        <v/>
      </c>
      <c r="H613" s="241" t="n"/>
    </row>
    <row r="614">
      <c r="A614" s="241" t="n"/>
      <c r="B614" s="247" t="n"/>
      <c r="C614" s="248" t="n"/>
      <c r="D614" s="248" t="n"/>
      <c r="E614" s="249" t="n"/>
      <c r="F614" s="250" t="n"/>
      <c r="G614" s="242">
        <f>IF(ISNUMBER(F614),F614,IF(AND(ISNUMBER(C614),ISNUMBER(D614)),ROUND(MOD(D614-C614,1)*24-N(E614)/60,2),""))</f>
        <v/>
      </c>
      <c r="H614" s="241" t="n"/>
    </row>
    <row r="615">
      <c r="A615" s="241" t="n"/>
      <c r="B615" s="247" t="n"/>
      <c r="C615" s="248" t="n"/>
      <c r="D615" s="248" t="n"/>
      <c r="E615" s="249" t="n"/>
      <c r="F615" s="250" t="n"/>
      <c r="G615" s="242">
        <f>IF(ISNUMBER(F615),F615,IF(AND(ISNUMBER(C615),ISNUMBER(D615)),ROUND(MOD(D615-C615,1)*24-N(E615)/60,2),""))</f>
        <v/>
      </c>
      <c r="H615" s="241" t="n"/>
    </row>
    <row r="616">
      <c r="A616" s="241" t="n"/>
      <c r="B616" s="247" t="n"/>
      <c r="C616" s="248" t="n"/>
      <c r="D616" s="248" t="n"/>
      <c r="E616" s="249" t="n"/>
      <c r="F616" s="250" t="n"/>
      <c r="G616" s="242">
        <f>IF(ISNUMBER(F616),F616,IF(AND(ISNUMBER(C616),ISNUMBER(D616)),ROUND(MOD(D616-C616,1)*24-N(E616)/60,2),""))</f>
        <v/>
      </c>
      <c r="H616" s="241" t="n"/>
    </row>
    <row r="617">
      <c r="A617" s="241" t="n"/>
      <c r="B617" s="247" t="n"/>
      <c r="C617" s="248" t="n"/>
      <c r="D617" s="248" t="n"/>
      <c r="E617" s="249" t="n"/>
      <c r="F617" s="250" t="n"/>
      <c r="G617" s="242">
        <f>IF(ISNUMBER(F617),F617,IF(AND(ISNUMBER(C617),ISNUMBER(D617)),ROUND(MOD(D617-C617,1)*24-N(E617)/60,2),""))</f>
        <v/>
      </c>
      <c r="H617" s="241" t="n"/>
    </row>
    <row r="618">
      <c r="A618" s="241" t="n"/>
      <c r="B618" s="247" t="n"/>
      <c r="C618" s="248" t="n"/>
      <c r="D618" s="248" t="n"/>
      <c r="E618" s="249" t="n"/>
      <c r="F618" s="250" t="n"/>
      <c r="G618" s="242">
        <f>IF(ISNUMBER(F618),F618,IF(AND(ISNUMBER(C618),ISNUMBER(D618)),ROUND(MOD(D618-C618,1)*24-N(E618)/60,2),""))</f>
        <v/>
      </c>
      <c r="H618" s="241" t="n"/>
    </row>
    <row r="619">
      <c r="A619" s="241" t="n"/>
      <c r="B619" s="247" t="n"/>
      <c r="C619" s="248" t="n"/>
      <c r="D619" s="248" t="n"/>
      <c r="E619" s="249" t="n"/>
      <c r="F619" s="250" t="n"/>
      <c r="G619" s="242">
        <f>IF(ISNUMBER(F619),F619,IF(AND(ISNUMBER(C619),ISNUMBER(D619)),ROUND(MOD(D619-C619,1)*24-N(E619)/60,2),""))</f>
        <v/>
      </c>
      <c r="H619" s="241" t="n"/>
    </row>
    <row r="620">
      <c r="A620" s="241" t="n"/>
      <c r="B620" s="247" t="n"/>
      <c r="C620" s="248" t="n"/>
      <c r="D620" s="248" t="n"/>
      <c r="E620" s="249" t="n"/>
      <c r="F620" s="250" t="n"/>
      <c r="G620" s="242">
        <f>IF(ISNUMBER(F620),F620,IF(AND(ISNUMBER(C620),ISNUMBER(D620)),ROUND(MOD(D620-C620,1)*24-N(E620)/60,2),""))</f>
        <v/>
      </c>
      <c r="H620" s="241" t="n"/>
    </row>
    <row r="621">
      <c r="A621" s="241" t="n"/>
      <c r="B621" s="247" t="n"/>
      <c r="C621" s="248" t="n"/>
      <c r="D621" s="248" t="n"/>
      <c r="E621" s="249" t="n"/>
      <c r="F621" s="250" t="n"/>
      <c r="G621" s="242">
        <f>IF(ISNUMBER(F621),F621,IF(AND(ISNUMBER(C621),ISNUMBER(D621)),ROUND(MOD(D621-C621,1)*24-N(E621)/60,2),""))</f>
        <v/>
      </c>
      <c r="H621" s="241" t="n"/>
    </row>
    <row r="622">
      <c r="A622" s="241" t="n"/>
      <c r="B622" s="247" t="n"/>
      <c r="C622" s="248" t="n"/>
      <c r="D622" s="248" t="n"/>
      <c r="E622" s="249" t="n"/>
      <c r="F622" s="250" t="n"/>
      <c r="G622" s="242">
        <f>IF(ISNUMBER(F622),F622,IF(AND(ISNUMBER(C622),ISNUMBER(D622)),ROUND(MOD(D622-C622,1)*24-N(E622)/60,2),""))</f>
        <v/>
      </c>
      <c r="H622" s="241" t="n"/>
    </row>
    <row r="623">
      <c r="A623" s="241" t="n"/>
      <c r="B623" s="247" t="n"/>
      <c r="C623" s="248" t="n"/>
      <c r="D623" s="248" t="n"/>
      <c r="E623" s="249" t="n"/>
      <c r="F623" s="250" t="n"/>
      <c r="G623" s="242">
        <f>IF(ISNUMBER(F623),F623,IF(AND(ISNUMBER(C623),ISNUMBER(D623)),ROUND(MOD(D623-C623,1)*24-N(E623)/60,2),""))</f>
        <v/>
      </c>
      <c r="H623" s="241" t="n"/>
    </row>
    <row r="624">
      <c r="A624" s="241" t="n"/>
      <c r="B624" s="247" t="n"/>
      <c r="C624" s="248" t="n"/>
      <c r="D624" s="248" t="n"/>
      <c r="E624" s="249" t="n"/>
      <c r="F624" s="250" t="n"/>
      <c r="G624" s="242">
        <f>IF(ISNUMBER(F624),F624,IF(AND(ISNUMBER(C624),ISNUMBER(D624)),ROUND(MOD(D624-C624,1)*24-N(E624)/60,2),""))</f>
        <v/>
      </c>
      <c r="H624" s="241" t="n"/>
    </row>
    <row r="625">
      <c r="A625" s="241" t="n"/>
      <c r="B625" s="247" t="n"/>
      <c r="C625" s="248" t="n"/>
      <c r="D625" s="248" t="n"/>
      <c r="E625" s="249" t="n"/>
      <c r="F625" s="250" t="n"/>
      <c r="G625" s="242">
        <f>IF(ISNUMBER(F625),F625,IF(AND(ISNUMBER(C625),ISNUMBER(D625)),ROUND(MOD(D625-C625,1)*24-N(E625)/60,2),""))</f>
        <v/>
      </c>
      <c r="H625" s="241" t="n"/>
    </row>
    <row r="626">
      <c r="A626" s="241" t="n"/>
      <c r="B626" s="247" t="n"/>
      <c r="C626" s="248" t="n"/>
      <c r="D626" s="248" t="n"/>
      <c r="E626" s="249" t="n"/>
      <c r="F626" s="250" t="n"/>
      <c r="G626" s="242">
        <f>IF(ISNUMBER(F626),F626,IF(AND(ISNUMBER(C626),ISNUMBER(D626)),ROUND(MOD(D626-C626,1)*24-N(E626)/60,2),""))</f>
        <v/>
      </c>
      <c r="H626" s="241" t="n"/>
    </row>
    <row r="627">
      <c r="A627" s="241" t="n"/>
      <c r="B627" s="247" t="n"/>
      <c r="C627" s="248" t="n"/>
      <c r="D627" s="248" t="n"/>
      <c r="E627" s="249" t="n"/>
      <c r="F627" s="250" t="n"/>
      <c r="G627" s="242">
        <f>IF(ISNUMBER(F627),F627,IF(AND(ISNUMBER(C627),ISNUMBER(D627)),ROUND(MOD(D627-C627,1)*24-N(E627)/60,2),""))</f>
        <v/>
      </c>
      <c r="H627" s="241" t="n"/>
    </row>
    <row r="628">
      <c r="A628" s="241" t="n"/>
      <c r="B628" s="247" t="n"/>
      <c r="C628" s="248" t="n"/>
      <c r="D628" s="248" t="n"/>
      <c r="E628" s="249" t="n"/>
      <c r="F628" s="250" t="n"/>
      <c r="G628" s="242">
        <f>IF(ISNUMBER(F628),F628,IF(AND(ISNUMBER(C628),ISNUMBER(D628)),ROUND(MOD(D628-C628,1)*24-N(E628)/60,2),""))</f>
        <v/>
      </c>
      <c r="H628" s="241" t="n"/>
    </row>
    <row r="629">
      <c r="A629" s="241" t="n"/>
      <c r="B629" s="247" t="n"/>
      <c r="C629" s="248" t="n"/>
      <c r="D629" s="248" t="n"/>
      <c r="E629" s="249" t="n"/>
      <c r="F629" s="250" t="n"/>
      <c r="G629" s="242">
        <f>IF(ISNUMBER(F629),F629,IF(AND(ISNUMBER(C629),ISNUMBER(D629)),ROUND(MOD(D629-C629,1)*24-N(E629)/60,2),""))</f>
        <v/>
      </c>
      <c r="H629" s="241" t="n"/>
    </row>
    <row r="630">
      <c r="A630" s="241" t="n"/>
      <c r="B630" s="247" t="n"/>
      <c r="C630" s="248" t="n"/>
      <c r="D630" s="248" t="n"/>
      <c r="E630" s="249" t="n"/>
      <c r="F630" s="250" t="n"/>
      <c r="G630" s="242">
        <f>IF(ISNUMBER(F630),F630,IF(AND(ISNUMBER(C630),ISNUMBER(D630)),ROUND(MOD(D630-C630,1)*24-N(E630)/60,2),""))</f>
        <v/>
      </c>
      <c r="H630" s="241" t="n"/>
    </row>
    <row r="631">
      <c r="A631" s="241" t="n"/>
      <c r="B631" s="247" t="n"/>
      <c r="C631" s="248" t="n"/>
      <c r="D631" s="248" t="n"/>
      <c r="E631" s="249" t="n"/>
      <c r="F631" s="250" t="n"/>
      <c r="G631" s="242">
        <f>IF(ISNUMBER(F631),F631,IF(AND(ISNUMBER(C631),ISNUMBER(D631)),ROUND(MOD(D631-C631,1)*24-N(E631)/60,2),""))</f>
        <v/>
      </c>
      <c r="H631" s="241" t="n"/>
    </row>
    <row r="632">
      <c r="A632" s="241" t="n"/>
      <c r="B632" s="247" t="n"/>
      <c r="C632" s="248" t="n"/>
      <c r="D632" s="248" t="n"/>
      <c r="E632" s="249" t="n"/>
      <c r="F632" s="250" t="n"/>
      <c r="G632" s="242">
        <f>IF(ISNUMBER(F632),F632,IF(AND(ISNUMBER(C632),ISNUMBER(D632)),ROUND(MOD(D632-C632,1)*24-N(E632)/60,2),""))</f>
        <v/>
      </c>
      <c r="H632" s="241" t="n"/>
    </row>
    <row r="633">
      <c r="A633" s="241" t="n"/>
      <c r="B633" s="247" t="n"/>
      <c r="C633" s="248" t="n"/>
      <c r="D633" s="248" t="n"/>
      <c r="E633" s="249" t="n"/>
      <c r="F633" s="250" t="n"/>
      <c r="G633" s="242">
        <f>IF(ISNUMBER(F633),F633,IF(AND(ISNUMBER(C633),ISNUMBER(D633)),ROUND(MOD(D633-C633,1)*24-N(E633)/60,2),""))</f>
        <v/>
      </c>
      <c r="H633" s="241" t="n"/>
    </row>
    <row r="634">
      <c r="A634" s="241" t="n"/>
      <c r="B634" s="247" t="n"/>
      <c r="C634" s="248" t="n"/>
      <c r="D634" s="248" t="n"/>
      <c r="E634" s="249" t="n"/>
      <c r="F634" s="250" t="n"/>
      <c r="G634" s="242">
        <f>IF(ISNUMBER(F634),F634,IF(AND(ISNUMBER(C634),ISNUMBER(D634)),ROUND(MOD(D634-C634,1)*24-N(E634)/60,2),""))</f>
        <v/>
      </c>
      <c r="H634" s="241" t="n"/>
    </row>
    <row r="635">
      <c r="A635" s="241" t="n"/>
      <c r="B635" s="247" t="n"/>
      <c r="C635" s="248" t="n"/>
      <c r="D635" s="248" t="n"/>
      <c r="E635" s="249" t="n"/>
      <c r="F635" s="250" t="n"/>
      <c r="G635" s="242">
        <f>IF(ISNUMBER(F635),F635,IF(AND(ISNUMBER(C635),ISNUMBER(D635)),ROUND(MOD(D635-C635,1)*24-N(E635)/60,2),""))</f>
        <v/>
      </c>
      <c r="H635" s="241" t="n"/>
    </row>
    <row r="636">
      <c r="A636" s="241" t="n"/>
      <c r="B636" s="247" t="n"/>
      <c r="C636" s="248" t="n"/>
      <c r="D636" s="248" t="n"/>
      <c r="E636" s="249" t="n"/>
      <c r="F636" s="250" t="n"/>
      <c r="G636" s="242">
        <f>IF(ISNUMBER(F636),F636,IF(AND(ISNUMBER(C636),ISNUMBER(D636)),ROUND(MOD(D636-C636,1)*24-N(E636)/60,2),""))</f>
        <v/>
      </c>
      <c r="H636" s="241" t="n"/>
    </row>
    <row r="637">
      <c r="A637" s="241" t="n"/>
      <c r="B637" s="247" t="n"/>
      <c r="C637" s="248" t="n"/>
      <c r="D637" s="248" t="n"/>
      <c r="E637" s="249" t="n"/>
      <c r="F637" s="250" t="n"/>
      <c r="G637" s="242">
        <f>IF(ISNUMBER(F637),F637,IF(AND(ISNUMBER(C637),ISNUMBER(D637)),ROUND(MOD(D637-C637,1)*24-N(E637)/60,2),""))</f>
        <v/>
      </c>
      <c r="H637" s="241" t="n"/>
    </row>
    <row r="638">
      <c r="A638" s="241" t="n"/>
      <c r="B638" s="247" t="n"/>
      <c r="C638" s="248" t="n"/>
      <c r="D638" s="248" t="n"/>
      <c r="E638" s="249" t="n"/>
      <c r="F638" s="250" t="n"/>
      <c r="G638" s="242">
        <f>IF(ISNUMBER(F638),F638,IF(AND(ISNUMBER(C638),ISNUMBER(D638)),ROUND(MOD(D638-C638,1)*24-N(E638)/60,2),""))</f>
        <v/>
      </c>
      <c r="H638" s="241" t="n"/>
    </row>
    <row r="639">
      <c r="A639" s="241" t="n"/>
      <c r="B639" s="247" t="n"/>
      <c r="C639" s="248" t="n"/>
      <c r="D639" s="248" t="n"/>
      <c r="E639" s="249" t="n"/>
      <c r="F639" s="250" t="n"/>
      <c r="G639" s="242">
        <f>IF(ISNUMBER(F639),F639,IF(AND(ISNUMBER(C639),ISNUMBER(D639)),ROUND(MOD(D639-C639,1)*24-N(E639)/60,2),""))</f>
        <v/>
      </c>
      <c r="H639" s="241" t="n"/>
    </row>
    <row r="640">
      <c r="A640" s="241" t="n"/>
      <c r="B640" s="247" t="n"/>
      <c r="C640" s="248" t="n"/>
      <c r="D640" s="248" t="n"/>
      <c r="E640" s="249" t="n"/>
      <c r="F640" s="250" t="n"/>
      <c r="G640" s="242">
        <f>IF(ISNUMBER(F640),F640,IF(AND(ISNUMBER(C640),ISNUMBER(D640)),ROUND(MOD(D640-C640,1)*24-N(E640)/60,2),""))</f>
        <v/>
      </c>
      <c r="H640" s="241" t="n"/>
    </row>
    <row r="641">
      <c r="A641" s="241" t="n"/>
      <c r="B641" s="247" t="n"/>
      <c r="C641" s="248" t="n"/>
      <c r="D641" s="248" t="n"/>
      <c r="E641" s="249" t="n"/>
      <c r="F641" s="250" t="n"/>
      <c r="G641" s="242">
        <f>IF(ISNUMBER(F641),F641,IF(AND(ISNUMBER(C641),ISNUMBER(D641)),ROUND(MOD(D641-C641,1)*24-N(E641)/60,2),""))</f>
        <v/>
      </c>
      <c r="H641" s="241" t="n"/>
    </row>
    <row r="642">
      <c r="A642" s="241" t="n"/>
      <c r="B642" s="247" t="n"/>
      <c r="C642" s="248" t="n"/>
      <c r="D642" s="248" t="n"/>
      <c r="E642" s="249" t="n"/>
      <c r="F642" s="250" t="n"/>
      <c r="G642" s="242">
        <f>IF(ISNUMBER(F642),F642,IF(AND(ISNUMBER(C642),ISNUMBER(D642)),ROUND(MOD(D642-C642,1)*24-N(E642)/60,2),""))</f>
        <v/>
      </c>
      <c r="H642" s="241" t="n"/>
    </row>
    <row r="643">
      <c r="A643" s="241" t="n"/>
      <c r="B643" s="247" t="n"/>
      <c r="C643" s="248" t="n"/>
      <c r="D643" s="248" t="n"/>
      <c r="E643" s="249" t="n"/>
      <c r="F643" s="250" t="n"/>
      <c r="G643" s="242">
        <f>IF(ISNUMBER(F643),F643,IF(AND(ISNUMBER(C643),ISNUMBER(D643)),ROUND(MOD(D643-C643,1)*24-N(E643)/60,2),""))</f>
        <v/>
      </c>
      <c r="H643" s="241" t="n"/>
    </row>
    <row r="644">
      <c r="A644" s="241" t="n"/>
      <c r="B644" s="247" t="n"/>
      <c r="C644" s="248" t="n"/>
      <c r="D644" s="248" t="n"/>
      <c r="E644" s="249" t="n"/>
      <c r="F644" s="250" t="n"/>
      <c r="G644" s="242">
        <f>IF(ISNUMBER(F644),F644,IF(AND(ISNUMBER(C644),ISNUMBER(D644)),ROUND(MOD(D644-C644,1)*24-N(E644)/60,2),""))</f>
        <v/>
      </c>
      <c r="H644" s="241" t="n"/>
    </row>
    <row r="645">
      <c r="A645" s="241" t="n"/>
      <c r="B645" s="247" t="n"/>
      <c r="C645" s="248" t="n"/>
      <c r="D645" s="248" t="n"/>
      <c r="E645" s="249" t="n"/>
      <c r="F645" s="250" t="n"/>
      <c r="G645" s="242">
        <f>IF(ISNUMBER(F645),F645,IF(AND(ISNUMBER(C645),ISNUMBER(D645)),ROUND(MOD(D645-C645,1)*24-N(E645)/60,2),""))</f>
        <v/>
      </c>
      <c r="H645" s="241" t="n"/>
    </row>
    <row r="646">
      <c r="A646" s="241" t="n"/>
      <c r="B646" s="247" t="n"/>
      <c r="C646" s="248" t="n"/>
      <c r="D646" s="248" t="n"/>
      <c r="E646" s="249" t="n"/>
      <c r="F646" s="250" t="n"/>
      <c r="G646" s="242">
        <f>IF(ISNUMBER(F646),F646,IF(AND(ISNUMBER(C646),ISNUMBER(D646)),ROUND(MOD(D646-C646,1)*24-N(E646)/60,2),""))</f>
        <v/>
      </c>
      <c r="H646" s="241" t="n"/>
    </row>
    <row r="647">
      <c r="A647" s="241" t="n"/>
      <c r="B647" s="247" t="n"/>
      <c r="C647" s="248" t="n"/>
      <c r="D647" s="248" t="n"/>
      <c r="E647" s="249" t="n"/>
      <c r="F647" s="250" t="n"/>
      <c r="G647" s="242">
        <f>IF(ISNUMBER(F647),F647,IF(AND(ISNUMBER(C647),ISNUMBER(D647)),ROUND(MOD(D647-C647,1)*24-N(E647)/60,2),""))</f>
        <v/>
      </c>
      <c r="H647" s="241" t="n"/>
    </row>
    <row r="648">
      <c r="A648" s="241" t="n"/>
      <c r="B648" s="247" t="n"/>
      <c r="C648" s="248" t="n"/>
      <c r="D648" s="248" t="n"/>
      <c r="E648" s="249" t="n"/>
      <c r="F648" s="250" t="n"/>
      <c r="G648" s="242">
        <f>IF(ISNUMBER(F648),F648,IF(AND(ISNUMBER(C648),ISNUMBER(D648)),ROUND(MOD(D648-C648,1)*24-N(E648)/60,2),""))</f>
        <v/>
      </c>
      <c r="H648" s="241" t="n"/>
    </row>
    <row r="649">
      <c r="A649" s="241" t="n"/>
      <c r="B649" s="247" t="n"/>
      <c r="C649" s="248" t="n"/>
      <c r="D649" s="248" t="n"/>
      <c r="E649" s="249" t="n"/>
      <c r="F649" s="250" t="n"/>
      <c r="G649" s="242">
        <f>IF(ISNUMBER(F649),F649,IF(AND(ISNUMBER(C649),ISNUMBER(D649)),ROUND(MOD(D649-C649,1)*24-N(E649)/60,2),""))</f>
        <v/>
      </c>
      <c r="H649" s="241" t="n"/>
    </row>
    <row r="650">
      <c r="A650" s="241" t="n"/>
      <c r="B650" s="247" t="n"/>
      <c r="C650" s="248" t="n"/>
      <c r="D650" s="248" t="n"/>
      <c r="E650" s="249" t="n"/>
      <c r="F650" s="250" t="n"/>
      <c r="G650" s="242">
        <f>IF(ISNUMBER(F650),F650,IF(AND(ISNUMBER(C650),ISNUMBER(D650)),ROUND(MOD(D650-C650,1)*24-N(E650)/60,2),""))</f>
        <v/>
      </c>
      <c r="H650" s="241" t="n"/>
    </row>
    <row r="651">
      <c r="A651" s="241" t="n"/>
      <c r="B651" s="247" t="n"/>
      <c r="C651" s="248" t="n"/>
      <c r="D651" s="248" t="n"/>
      <c r="E651" s="249" t="n"/>
      <c r="F651" s="250" t="n"/>
      <c r="G651" s="242">
        <f>IF(ISNUMBER(F651),F651,IF(AND(ISNUMBER(C651),ISNUMBER(D651)),ROUND(MOD(D651-C651,1)*24-N(E651)/60,2),""))</f>
        <v/>
      </c>
      <c r="H651" s="241" t="n"/>
    </row>
    <row r="652">
      <c r="A652" s="241" t="n"/>
      <c r="B652" s="247" t="n"/>
      <c r="C652" s="248" t="n"/>
      <c r="D652" s="248" t="n"/>
      <c r="E652" s="249" t="n"/>
      <c r="F652" s="250" t="n"/>
      <c r="G652" s="242">
        <f>IF(ISNUMBER(F652),F652,IF(AND(ISNUMBER(C652),ISNUMBER(D652)),ROUND(MOD(D652-C652,1)*24-N(E652)/60,2),""))</f>
        <v/>
      </c>
      <c r="H652" s="241" t="n"/>
    </row>
    <row r="653">
      <c r="A653" s="241" t="n"/>
      <c r="B653" s="247" t="n"/>
      <c r="C653" s="248" t="n"/>
      <c r="D653" s="248" t="n"/>
      <c r="E653" s="249" t="n"/>
      <c r="F653" s="250" t="n"/>
      <c r="G653" s="242">
        <f>IF(ISNUMBER(F653),F653,IF(AND(ISNUMBER(C653),ISNUMBER(D653)),ROUND(MOD(D653-C653,1)*24-N(E653)/60,2),""))</f>
        <v/>
      </c>
      <c r="H653" s="241" t="n"/>
    </row>
    <row r="654">
      <c r="A654" s="241" t="n"/>
      <c r="B654" s="247" t="n"/>
      <c r="C654" s="248" t="n"/>
      <c r="D654" s="248" t="n"/>
      <c r="E654" s="249" t="n"/>
      <c r="F654" s="250" t="n"/>
      <c r="G654" s="242">
        <f>IF(ISNUMBER(F654),F654,IF(AND(ISNUMBER(C654),ISNUMBER(D654)),ROUND(MOD(D654-C654,1)*24-N(E654)/60,2),""))</f>
        <v/>
      </c>
      <c r="H654" s="241" t="n"/>
    </row>
    <row r="655">
      <c r="A655" s="241" t="n"/>
      <c r="B655" s="247" t="n"/>
      <c r="C655" s="248" t="n"/>
      <c r="D655" s="248" t="n"/>
      <c r="E655" s="249" t="n"/>
      <c r="F655" s="250" t="n"/>
      <c r="G655" s="242">
        <f>IF(ISNUMBER(F655),F655,IF(AND(ISNUMBER(C655),ISNUMBER(D655)),ROUND(MOD(D655-C655,1)*24-N(E655)/60,2),""))</f>
        <v/>
      </c>
      <c r="H655" s="241" t="n"/>
    </row>
    <row r="656">
      <c r="A656" s="241" t="n"/>
      <c r="B656" s="247" t="n"/>
      <c r="C656" s="248" t="n"/>
      <c r="D656" s="248" t="n"/>
      <c r="E656" s="249" t="n"/>
      <c r="F656" s="250" t="n"/>
      <c r="G656" s="242">
        <f>IF(ISNUMBER(F656),F656,IF(AND(ISNUMBER(C656),ISNUMBER(D656)),ROUND(MOD(D656-C656,1)*24-N(E656)/60,2),""))</f>
        <v/>
      </c>
      <c r="H656" s="241" t="n"/>
    </row>
    <row r="657">
      <c r="A657" s="241" t="n"/>
      <c r="B657" s="247" t="n"/>
      <c r="C657" s="248" t="n"/>
      <c r="D657" s="248" t="n"/>
      <c r="E657" s="249" t="n"/>
      <c r="F657" s="250" t="n"/>
      <c r="G657" s="242">
        <f>IF(ISNUMBER(F657),F657,IF(AND(ISNUMBER(C657),ISNUMBER(D657)),ROUND(MOD(D657-C657,1)*24-N(E657)/60,2),""))</f>
        <v/>
      </c>
      <c r="H657" s="241" t="n"/>
    </row>
    <row r="658">
      <c r="A658" s="241" t="n"/>
      <c r="B658" s="247" t="n"/>
      <c r="C658" s="248" t="n"/>
      <c r="D658" s="248" t="n"/>
      <c r="E658" s="249" t="n"/>
      <c r="F658" s="250" t="n"/>
      <c r="G658" s="242">
        <f>IF(ISNUMBER(F658),F658,IF(AND(ISNUMBER(C658),ISNUMBER(D658)),ROUND(MOD(D658-C658,1)*24-N(E658)/60,2),""))</f>
        <v/>
      </c>
      <c r="H658" s="241" t="n"/>
    </row>
    <row r="659">
      <c r="A659" s="241" t="n"/>
      <c r="B659" s="247" t="n"/>
      <c r="C659" s="248" t="n"/>
      <c r="D659" s="248" t="n"/>
      <c r="E659" s="249" t="n"/>
      <c r="F659" s="250" t="n"/>
      <c r="G659" s="242">
        <f>IF(ISNUMBER(F659),F659,IF(AND(ISNUMBER(C659),ISNUMBER(D659)),ROUND(MOD(D659-C659,1)*24-N(E659)/60,2),""))</f>
        <v/>
      </c>
      <c r="H659" s="241" t="n"/>
    </row>
    <row r="660">
      <c r="A660" s="241" t="n"/>
      <c r="B660" s="247" t="n"/>
      <c r="C660" s="248" t="n"/>
      <c r="D660" s="248" t="n"/>
      <c r="E660" s="249" t="n"/>
      <c r="F660" s="250" t="n"/>
      <c r="G660" s="242">
        <f>IF(ISNUMBER(F660),F660,IF(AND(ISNUMBER(C660),ISNUMBER(D660)),ROUND(MOD(D660-C660,1)*24-N(E660)/60,2),""))</f>
        <v/>
      </c>
      <c r="H660" s="241" t="n"/>
    </row>
    <row r="661">
      <c r="A661" s="241" t="n"/>
      <c r="B661" s="247" t="n"/>
      <c r="C661" s="248" t="n"/>
      <c r="D661" s="248" t="n"/>
      <c r="E661" s="249" t="n"/>
      <c r="F661" s="250" t="n"/>
      <c r="G661" s="242">
        <f>IF(ISNUMBER(F661),F661,IF(AND(ISNUMBER(C661),ISNUMBER(D661)),ROUND(MOD(D661-C661,1)*24-N(E661)/60,2),""))</f>
        <v/>
      </c>
      <c r="H661" s="241" t="n"/>
    </row>
    <row r="662">
      <c r="A662" s="241" t="n"/>
      <c r="B662" s="247" t="n"/>
      <c r="C662" s="248" t="n"/>
      <c r="D662" s="248" t="n"/>
      <c r="E662" s="249" t="n"/>
      <c r="F662" s="250" t="n"/>
      <c r="G662" s="242">
        <f>IF(ISNUMBER(F662),F662,IF(AND(ISNUMBER(C662),ISNUMBER(D662)),ROUND(MOD(D662-C662,1)*24-N(E662)/60,2),""))</f>
        <v/>
      </c>
      <c r="H662" s="241" t="n"/>
    </row>
    <row r="663">
      <c r="A663" s="241" t="n"/>
      <c r="B663" s="247" t="n"/>
      <c r="C663" s="248" t="n"/>
      <c r="D663" s="248" t="n"/>
      <c r="E663" s="249" t="n"/>
      <c r="F663" s="250" t="n"/>
      <c r="G663" s="242">
        <f>IF(ISNUMBER(F663),F663,IF(AND(ISNUMBER(C663),ISNUMBER(D663)),ROUND(MOD(D663-C663,1)*24-N(E663)/60,2),""))</f>
        <v/>
      </c>
      <c r="H663" s="241" t="n"/>
    </row>
    <row r="664">
      <c r="A664" s="241" t="n"/>
      <c r="B664" s="247" t="n"/>
      <c r="C664" s="248" t="n"/>
      <c r="D664" s="248" t="n"/>
      <c r="E664" s="249" t="n"/>
      <c r="F664" s="250" t="n"/>
      <c r="G664" s="242">
        <f>IF(ISNUMBER(F664),F664,IF(AND(ISNUMBER(C664),ISNUMBER(D664)),ROUND(MOD(D664-C664,1)*24-N(E664)/60,2),""))</f>
        <v/>
      </c>
      <c r="H664" s="241" t="n"/>
    </row>
    <row r="665">
      <c r="A665" s="241" t="n"/>
      <c r="B665" s="247" t="n"/>
      <c r="C665" s="248" t="n"/>
      <c r="D665" s="248" t="n"/>
      <c r="E665" s="249" t="n"/>
      <c r="F665" s="250" t="n"/>
      <c r="G665" s="242">
        <f>IF(ISNUMBER(F665),F665,IF(AND(ISNUMBER(C665),ISNUMBER(D665)),ROUND(MOD(D665-C665,1)*24-N(E665)/60,2),""))</f>
        <v/>
      </c>
      <c r="H665" s="241" t="n"/>
    </row>
    <row r="666">
      <c r="A666" s="241" t="n"/>
      <c r="B666" s="247" t="n"/>
      <c r="C666" s="248" t="n"/>
      <c r="D666" s="248" t="n"/>
      <c r="E666" s="249" t="n"/>
      <c r="F666" s="250" t="n"/>
      <c r="G666" s="242">
        <f>IF(ISNUMBER(F666),F666,IF(AND(ISNUMBER(C666),ISNUMBER(D666)),ROUND(MOD(D666-C666,1)*24-N(E666)/60,2),""))</f>
        <v/>
      </c>
      <c r="H666" s="241" t="n"/>
    </row>
    <row r="667">
      <c r="A667" s="241" t="n"/>
      <c r="B667" s="247" t="n"/>
      <c r="C667" s="248" t="n"/>
      <c r="D667" s="248" t="n"/>
      <c r="E667" s="249" t="n"/>
      <c r="F667" s="250" t="n"/>
      <c r="G667" s="242">
        <f>IF(ISNUMBER(F667),F667,IF(AND(ISNUMBER(C667),ISNUMBER(D667)),ROUND(MOD(D667-C667,1)*24-N(E667)/60,2),""))</f>
        <v/>
      </c>
      <c r="H667" s="241" t="n"/>
    </row>
    <row r="668">
      <c r="A668" s="241" t="n"/>
      <c r="B668" s="247" t="n"/>
      <c r="C668" s="248" t="n"/>
      <c r="D668" s="248" t="n"/>
      <c r="E668" s="249" t="n"/>
      <c r="F668" s="250" t="n"/>
      <c r="G668" s="242">
        <f>IF(ISNUMBER(F668),F668,IF(AND(ISNUMBER(C668),ISNUMBER(D668)),ROUND(MOD(D668-C668,1)*24-N(E668)/60,2),""))</f>
        <v/>
      </c>
      <c r="H668" s="241" t="n"/>
    </row>
    <row r="669">
      <c r="A669" s="241" t="n"/>
      <c r="B669" s="247" t="n"/>
      <c r="C669" s="248" t="n"/>
      <c r="D669" s="248" t="n"/>
      <c r="E669" s="249" t="n"/>
      <c r="F669" s="250" t="n"/>
      <c r="G669" s="242">
        <f>IF(ISNUMBER(F669),F669,IF(AND(ISNUMBER(C669),ISNUMBER(D669)),ROUND(MOD(D669-C669,1)*24-N(E669)/60,2),""))</f>
        <v/>
      </c>
      <c r="H669" s="241" t="n"/>
    </row>
    <row r="670">
      <c r="A670" s="241" t="n"/>
      <c r="B670" s="247" t="n"/>
      <c r="C670" s="248" t="n"/>
      <c r="D670" s="248" t="n"/>
      <c r="E670" s="249" t="n"/>
      <c r="F670" s="250" t="n"/>
      <c r="G670" s="242">
        <f>IF(ISNUMBER(F670),F670,IF(AND(ISNUMBER(C670),ISNUMBER(D670)),ROUND(MOD(D670-C670,1)*24-N(E670)/60,2),""))</f>
        <v/>
      </c>
      <c r="H670" s="241" t="n"/>
    </row>
    <row r="671">
      <c r="A671" s="241" t="n"/>
      <c r="B671" s="247" t="n"/>
      <c r="C671" s="248" t="n"/>
      <c r="D671" s="248" t="n"/>
      <c r="E671" s="249" t="n"/>
      <c r="F671" s="250" t="n"/>
      <c r="G671" s="242">
        <f>IF(ISNUMBER(F671),F671,IF(AND(ISNUMBER(C671),ISNUMBER(D671)),ROUND(MOD(D671-C671,1)*24-N(E671)/60,2),""))</f>
        <v/>
      </c>
      <c r="H671" s="241" t="n"/>
    </row>
    <row r="672">
      <c r="A672" s="241" t="n"/>
      <c r="B672" s="247" t="n"/>
      <c r="C672" s="248" t="n"/>
      <c r="D672" s="248" t="n"/>
      <c r="E672" s="249" t="n"/>
      <c r="F672" s="250" t="n"/>
      <c r="G672" s="242">
        <f>IF(ISNUMBER(F672),F672,IF(AND(ISNUMBER(C672),ISNUMBER(D672)),ROUND(MOD(D672-C672,1)*24-N(E672)/60,2),""))</f>
        <v/>
      </c>
      <c r="H672" s="241" t="n"/>
    </row>
    <row r="673">
      <c r="A673" s="241" t="n"/>
      <c r="B673" s="247" t="n"/>
      <c r="C673" s="248" t="n"/>
      <c r="D673" s="248" t="n"/>
      <c r="E673" s="249" t="n"/>
      <c r="F673" s="250" t="n"/>
      <c r="G673" s="242">
        <f>IF(ISNUMBER(F673),F673,IF(AND(ISNUMBER(C673),ISNUMBER(D673)),ROUND(MOD(D673-C673,1)*24-N(E673)/60,2),""))</f>
        <v/>
      </c>
      <c r="H673" s="241" t="n"/>
    </row>
    <row r="674">
      <c r="A674" s="241" t="n"/>
      <c r="B674" s="247" t="n"/>
      <c r="C674" s="248" t="n"/>
      <c r="D674" s="248" t="n"/>
      <c r="E674" s="249" t="n"/>
      <c r="F674" s="250" t="n"/>
      <c r="G674" s="242">
        <f>IF(ISNUMBER(F674),F674,IF(AND(ISNUMBER(C674),ISNUMBER(D674)),ROUND(MOD(D674-C674,1)*24-N(E674)/60,2),""))</f>
        <v/>
      </c>
      <c r="H674" s="241" t="n"/>
    </row>
    <row r="675">
      <c r="A675" s="241" t="n"/>
      <c r="B675" s="247" t="n"/>
      <c r="C675" s="248" t="n"/>
      <c r="D675" s="248" t="n"/>
      <c r="E675" s="249" t="n"/>
      <c r="F675" s="250" t="n"/>
      <c r="G675" s="242">
        <f>IF(ISNUMBER(F675),F675,IF(AND(ISNUMBER(C675),ISNUMBER(D675)),ROUND(MOD(D675-C675,1)*24-N(E675)/60,2),""))</f>
        <v/>
      </c>
      <c r="H675" s="241" t="n"/>
    </row>
    <row r="676">
      <c r="A676" s="241" t="n"/>
      <c r="B676" s="247" t="n"/>
      <c r="C676" s="248" t="n"/>
      <c r="D676" s="248" t="n"/>
      <c r="E676" s="249" t="n"/>
      <c r="F676" s="250" t="n"/>
      <c r="G676" s="242">
        <f>IF(ISNUMBER(F676),F676,IF(AND(ISNUMBER(C676),ISNUMBER(D676)),ROUND(MOD(D676-C676,1)*24-N(E676)/60,2),""))</f>
        <v/>
      </c>
      <c r="H676" s="241" t="n"/>
    </row>
    <row r="677">
      <c r="A677" s="241" t="n"/>
      <c r="B677" s="247" t="n"/>
      <c r="C677" s="248" t="n"/>
      <c r="D677" s="248" t="n"/>
      <c r="E677" s="249" t="n"/>
      <c r="F677" s="250" t="n"/>
      <c r="G677" s="242">
        <f>IF(ISNUMBER(F677),F677,IF(AND(ISNUMBER(C677),ISNUMBER(D677)),ROUND(MOD(D677-C677,1)*24-N(E677)/60,2),""))</f>
        <v/>
      </c>
      <c r="H677" s="241" t="n"/>
    </row>
    <row r="678">
      <c r="A678" s="241" t="n"/>
      <c r="B678" s="247" t="n"/>
      <c r="C678" s="248" t="n"/>
      <c r="D678" s="248" t="n"/>
      <c r="E678" s="249" t="n"/>
      <c r="F678" s="250" t="n"/>
      <c r="G678" s="242">
        <f>IF(ISNUMBER(F678),F678,IF(AND(ISNUMBER(C678),ISNUMBER(D678)),ROUND(MOD(D678-C678,1)*24-N(E678)/60,2),""))</f>
        <v/>
      </c>
      <c r="H678" s="241" t="n"/>
    </row>
    <row r="679">
      <c r="A679" s="241" t="n"/>
      <c r="B679" s="247" t="n"/>
      <c r="C679" s="248" t="n"/>
      <c r="D679" s="248" t="n"/>
      <c r="E679" s="249" t="n"/>
      <c r="F679" s="250" t="n"/>
      <c r="G679" s="242">
        <f>IF(ISNUMBER(F679),F679,IF(AND(ISNUMBER(C679),ISNUMBER(D679)),ROUND(MOD(D679-C679,1)*24-N(E679)/60,2),""))</f>
        <v/>
      </c>
      <c r="H679" s="241" t="n"/>
    </row>
    <row r="680">
      <c r="A680" s="241" t="n"/>
      <c r="B680" s="247" t="n"/>
      <c r="C680" s="248" t="n"/>
      <c r="D680" s="248" t="n"/>
      <c r="E680" s="249" t="n"/>
      <c r="F680" s="250" t="n"/>
      <c r="G680" s="242">
        <f>IF(ISNUMBER(F680),F680,IF(AND(ISNUMBER(C680),ISNUMBER(D680)),ROUND(MOD(D680-C680,1)*24-N(E680)/60,2),""))</f>
        <v/>
      </c>
      <c r="H680" s="241" t="n"/>
    </row>
    <row r="681">
      <c r="A681" s="241" t="n"/>
      <c r="B681" s="247" t="n"/>
      <c r="C681" s="248" t="n"/>
      <c r="D681" s="248" t="n"/>
      <c r="E681" s="249" t="n"/>
      <c r="F681" s="250" t="n"/>
      <c r="G681" s="242">
        <f>IF(ISNUMBER(F681),F681,IF(AND(ISNUMBER(C681),ISNUMBER(D681)),ROUND(MOD(D681-C681,1)*24-N(E681)/60,2),""))</f>
        <v/>
      </c>
      <c r="H681" s="241" t="n"/>
    </row>
    <row r="682">
      <c r="A682" s="241" t="n"/>
      <c r="B682" s="247" t="n"/>
      <c r="C682" s="248" t="n"/>
      <c r="D682" s="248" t="n"/>
      <c r="E682" s="249" t="n"/>
      <c r="F682" s="250" t="n"/>
      <c r="G682" s="242">
        <f>IF(ISNUMBER(F682),F682,IF(AND(ISNUMBER(C682),ISNUMBER(D682)),ROUND(MOD(D682-C682,1)*24-N(E682)/60,2),""))</f>
        <v/>
      </c>
      <c r="H682" s="241" t="n"/>
    </row>
    <row r="683">
      <c r="A683" s="241" t="n"/>
      <c r="B683" s="247" t="n"/>
      <c r="C683" s="248" t="n"/>
      <c r="D683" s="248" t="n"/>
      <c r="E683" s="249" t="n"/>
      <c r="F683" s="250" t="n"/>
      <c r="G683" s="242">
        <f>IF(ISNUMBER(F683),F683,IF(AND(ISNUMBER(C683),ISNUMBER(D683)),ROUND(MOD(D683-C683,1)*24-N(E683)/60,2),""))</f>
        <v/>
      </c>
      <c r="H683" s="241" t="n"/>
    </row>
    <row r="684">
      <c r="A684" s="241" t="n"/>
      <c r="B684" s="247" t="n"/>
      <c r="C684" s="248" t="n"/>
      <c r="D684" s="248" t="n"/>
      <c r="E684" s="249" t="n"/>
      <c r="F684" s="250" t="n"/>
      <c r="G684" s="242">
        <f>IF(ISNUMBER(F684),F684,IF(AND(ISNUMBER(C684),ISNUMBER(D684)),ROUND(MOD(D684-C684,1)*24-N(E684)/60,2),""))</f>
        <v/>
      </c>
      <c r="H684" s="241" t="n"/>
    </row>
    <row r="685">
      <c r="A685" s="241" t="n"/>
      <c r="B685" s="247" t="n"/>
      <c r="C685" s="248" t="n"/>
      <c r="D685" s="248" t="n"/>
      <c r="E685" s="249" t="n"/>
      <c r="F685" s="250" t="n"/>
      <c r="G685" s="242">
        <f>IF(ISNUMBER(F685),F685,IF(AND(ISNUMBER(C685),ISNUMBER(D685)),ROUND(MOD(D685-C685,1)*24-N(E685)/60,2),""))</f>
        <v/>
      </c>
      <c r="H685" s="241" t="n"/>
    </row>
    <row r="686">
      <c r="A686" s="241" t="n"/>
      <c r="B686" s="247" t="n"/>
      <c r="C686" s="248" t="n"/>
      <c r="D686" s="248" t="n"/>
      <c r="E686" s="249" t="n"/>
      <c r="F686" s="250" t="n"/>
      <c r="G686" s="242">
        <f>IF(ISNUMBER(F686),F686,IF(AND(ISNUMBER(C686),ISNUMBER(D686)),ROUND(MOD(D686-C686,1)*24-N(E686)/60,2),""))</f>
        <v/>
      </c>
      <c r="H686" s="241" t="n"/>
    </row>
    <row r="687">
      <c r="A687" s="241" t="n"/>
      <c r="B687" s="247" t="n"/>
      <c r="C687" s="248" t="n"/>
      <c r="D687" s="248" t="n"/>
      <c r="E687" s="249" t="n"/>
      <c r="F687" s="250" t="n"/>
      <c r="G687" s="242">
        <f>IF(ISNUMBER(F687),F687,IF(AND(ISNUMBER(C687),ISNUMBER(D687)),ROUND(MOD(D687-C687,1)*24-N(E687)/60,2),""))</f>
        <v/>
      </c>
      <c r="H687" s="241" t="n"/>
    </row>
    <row r="688">
      <c r="A688" s="241" t="n"/>
      <c r="B688" s="247" t="n"/>
      <c r="C688" s="248" t="n"/>
      <c r="D688" s="248" t="n"/>
      <c r="E688" s="249" t="n"/>
      <c r="F688" s="250" t="n"/>
      <c r="G688" s="242">
        <f>IF(ISNUMBER(F688),F688,IF(AND(ISNUMBER(C688),ISNUMBER(D688)),ROUND(MOD(D688-C688,1)*24-N(E688)/60,2),""))</f>
        <v/>
      </c>
      <c r="H688" s="241" t="n"/>
    </row>
    <row r="689">
      <c r="A689" s="241" t="n"/>
      <c r="B689" s="247" t="n"/>
      <c r="C689" s="248" t="n"/>
      <c r="D689" s="248" t="n"/>
      <c r="E689" s="249" t="n"/>
      <c r="F689" s="250" t="n"/>
      <c r="G689" s="242">
        <f>IF(ISNUMBER(F689),F689,IF(AND(ISNUMBER(C689),ISNUMBER(D689)),ROUND(MOD(D689-C689,1)*24-N(E689)/60,2),""))</f>
        <v/>
      </c>
      <c r="H689" s="241" t="n"/>
    </row>
    <row r="690">
      <c r="A690" s="241" t="n"/>
      <c r="B690" s="247" t="n"/>
      <c r="C690" s="248" t="n"/>
      <c r="D690" s="248" t="n"/>
      <c r="E690" s="249" t="n"/>
      <c r="F690" s="250" t="n"/>
      <c r="G690" s="242">
        <f>IF(ISNUMBER(F690),F690,IF(AND(ISNUMBER(C690),ISNUMBER(D690)),ROUND(MOD(D690-C690,1)*24-N(E690)/60,2),""))</f>
        <v/>
      </c>
      <c r="H690" s="241" t="n"/>
    </row>
    <row r="691">
      <c r="A691" s="241" t="n"/>
      <c r="B691" s="247" t="n"/>
      <c r="C691" s="248" t="n"/>
      <c r="D691" s="248" t="n"/>
      <c r="E691" s="249" t="n"/>
      <c r="F691" s="250" t="n"/>
      <c r="G691" s="242">
        <f>IF(ISNUMBER(F691),F691,IF(AND(ISNUMBER(C691),ISNUMBER(D691)),ROUND(MOD(D691-C691,1)*24-N(E691)/60,2),""))</f>
        <v/>
      </c>
      <c r="H691" s="241" t="n"/>
    </row>
    <row r="692">
      <c r="A692" s="241" t="n"/>
      <c r="B692" s="247" t="n"/>
      <c r="C692" s="248" t="n"/>
      <c r="D692" s="248" t="n"/>
      <c r="E692" s="249" t="n"/>
      <c r="F692" s="250" t="n"/>
      <c r="G692" s="242">
        <f>IF(ISNUMBER(F692),F692,IF(AND(ISNUMBER(C692),ISNUMBER(D692)),ROUND(MOD(D692-C692,1)*24-N(E692)/60,2),""))</f>
        <v/>
      </c>
      <c r="H692" s="241" t="n"/>
    </row>
    <row r="693">
      <c r="A693" s="241" t="n"/>
      <c r="B693" s="247" t="n"/>
      <c r="C693" s="248" t="n"/>
      <c r="D693" s="248" t="n"/>
      <c r="E693" s="249" t="n"/>
      <c r="F693" s="250" t="n"/>
      <c r="G693" s="242">
        <f>IF(ISNUMBER(F693),F693,IF(AND(ISNUMBER(C693),ISNUMBER(D693)),ROUND(MOD(D693-C693,1)*24-N(E693)/60,2),""))</f>
        <v/>
      </c>
      <c r="H693" s="241" t="n"/>
    </row>
    <row r="694">
      <c r="A694" s="241" t="n"/>
      <c r="B694" s="247" t="n"/>
      <c r="C694" s="248" t="n"/>
      <c r="D694" s="248" t="n"/>
      <c r="E694" s="249" t="n"/>
      <c r="F694" s="250" t="n"/>
      <c r="G694" s="242">
        <f>IF(ISNUMBER(F694),F694,IF(AND(ISNUMBER(C694),ISNUMBER(D694)),ROUND(MOD(D694-C694,1)*24-N(E694)/60,2),""))</f>
        <v/>
      </c>
      <c r="H694" s="241" t="n"/>
    </row>
    <row r="695">
      <c r="A695" s="241" t="n"/>
      <c r="B695" s="247" t="n"/>
      <c r="C695" s="248" t="n"/>
      <c r="D695" s="248" t="n"/>
      <c r="E695" s="249" t="n"/>
      <c r="F695" s="250" t="n"/>
      <c r="G695" s="242">
        <f>IF(ISNUMBER(F695),F695,IF(AND(ISNUMBER(C695),ISNUMBER(D695)),ROUND(MOD(D695-C695,1)*24-N(E695)/60,2),""))</f>
        <v/>
      </c>
      <c r="H695" s="241" t="n"/>
    </row>
    <row r="696">
      <c r="A696" s="241" t="n"/>
      <c r="B696" s="247" t="n"/>
      <c r="C696" s="248" t="n"/>
      <c r="D696" s="248" t="n"/>
      <c r="E696" s="249" t="n"/>
      <c r="F696" s="250" t="n"/>
      <c r="G696" s="242">
        <f>IF(ISNUMBER(F696),F696,IF(AND(ISNUMBER(C696),ISNUMBER(D696)),ROUND(MOD(D696-C696,1)*24-N(E696)/60,2),""))</f>
        <v/>
      </c>
      <c r="H696" s="241" t="n"/>
    </row>
    <row r="697">
      <c r="A697" s="241" t="n"/>
      <c r="B697" s="247" t="n"/>
      <c r="C697" s="248" t="n"/>
      <c r="D697" s="248" t="n"/>
      <c r="E697" s="249" t="n"/>
      <c r="F697" s="250" t="n"/>
      <c r="G697" s="242">
        <f>IF(ISNUMBER(F697),F697,IF(AND(ISNUMBER(C697),ISNUMBER(D697)),ROUND(MOD(D697-C697,1)*24-N(E697)/60,2),""))</f>
        <v/>
      </c>
      <c r="H697" s="241" t="n"/>
    </row>
    <row r="698">
      <c r="A698" s="241" t="n"/>
      <c r="B698" s="247" t="n"/>
      <c r="C698" s="248" t="n"/>
      <c r="D698" s="248" t="n"/>
      <c r="E698" s="249" t="n"/>
      <c r="F698" s="250" t="n"/>
      <c r="G698" s="242">
        <f>IF(ISNUMBER(F698),F698,IF(AND(ISNUMBER(C698),ISNUMBER(D698)),ROUND(MOD(D698-C698,1)*24-N(E698)/60,2),""))</f>
        <v/>
      </c>
      <c r="H698" s="241" t="n"/>
    </row>
    <row r="699">
      <c r="A699" s="241" t="n"/>
      <c r="B699" s="247" t="n"/>
      <c r="C699" s="248" t="n"/>
      <c r="D699" s="248" t="n"/>
      <c r="E699" s="249" t="n"/>
      <c r="F699" s="250" t="n"/>
      <c r="G699" s="242">
        <f>IF(ISNUMBER(F699),F699,IF(AND(ISNUMBER(C699),ISNUMBER(D699)),ROUND(MOD(D699-C699,1)*24-N(E699)/60,2),""))</f>
        <v/>
      </c>
      <c r="H699" s="241" t="n"/>
    </row>
    <row r="700">
      <c r="A700" s="241" t="n"/>
      <c r="B700" s="247" t="n"/>
      <c r="C700" s="248" t="n"/>
      <c r="D700" s="248" t="n"/>
      <c r="E700" s="249" t="n"/>
      <c r="F700" s="250" t="n"/>
      <c r="G700" s="242">
        <f>IF(ISNUMBER(F700),F700,IF(AND(ISNUMBER(C700),ISNUMBER(D700)),ROUND(MOD(D700-C700,1)*24-N(E700)/60,2),""))</f>
        <v/>
      </c>
      <c r="H700" s="241" t="n"/>
    </row>
    <row r="701">
      <c r="A701" s="241" t="n"/>
      <c r="B701" s="247" t="n"/>
      <c r="C701" s="248" t="n"/>
      <c r="D701" s="248" t="n"/>
      <c r="E701" s="249" t="n"/>
      <c r="F701" s="250" t="n"/>
      <c r="G701" s="242">
        <f>IF(ISNUMBER(F701),F701,IF(AND(ISNUMBER(C701),ISNUMBER(D701)),ROUND(MOD(D701-C701,1)*24-N(E701)/60,2),""))</f>
        <v/>
      </c>
      <c r="H701" s="241" t="n"/>
    </row>
    <row r="702">
      <c r="A702" s="241" t="n"/>
      <c r="B702" s="247" t="n"/>
      <c r="C702" s="248" t="n"/>
      <c r="D702" s="248" t="n"/>
      <c r="E702" s="249" t="n"/>
      <c r="F702" s="250" t="n"/>
      <c r="G702" s="242">
        <f>IF(ISNUMBER(F702),F702,IF(AND(ISNUMBER(C702),ISNUMBER(D702)),ROUND(MOD(D702-C702,1)*24-N(E702)/60,2),""))</f>
        <v/>
      </c>
      <c r="H702" s="241" t="n"/>
    </row>
    <row r="703">
      <c r="A703" s="241" t="n"/>
      <c r="B703" s="247" t="n"/>
      <c r="C703" s="248" t="n"/>
      <c r="D703" s="248" t="n"/>
      <c r="E703" s="249" t="n"/>
      <c r="F703" s="250" t="n"/>
      <c r="G703" s="242">
        <f>IF(ISNUMBER(F703),F703,IF(AND(ISNUMBER(C703),ISNUMBER(D703)),ROUND(MOD(D703-C703,1)*24-N(E703)/60,2),""))</f>
        <v/>
      </c>
      <c r="H703" s="241" t="n"/>
    </row>
    <row r="704">
      <c r="A704" s="241" t="n"/>
      <c r="B704" s="247" t="n"/>
      <c r="C704" s="248" t="n"/>
      <c r="D704" s="248" t="n"/>
      <c r="E704" s="249" t="n"/>
      <c r="F704" s="250" t="n"/>
      <c r="G704" s="242">
        <f>IF(ISNUMBER(F704),F704,IF(AND(ISNUMBER(C704),ISNUMBER(D704)),ROUND(MOD(D704-C704,1)*24-N(E704)/60,2),""))</f>
        <v/>
      </c>
      <c r="H704" s="241" t="n"/>
    </row>
    <row r="705">
      <c r="A705" s="241" t="n"/>
      <c r="B705" s="247" t="n"/>
      <c r="C705" s="248" t="n"/>
      <c r="D705" s="248" t="n"/>
      <c r="E705" s="249" t="n"/>
      <c r="F705" s="250" t="n"/>
      <c r="G705" s="242">
        <f>IF(ISNUMBER(F705),F705,IF(AND(ISNUMBER(C705),ISNUMBER(D705)),ROUND(MOD(D705-C705,1)*24-N(E705)/60,2),""))</f>
        <v/>
      </c>
      <c r="H705" s="241" t="n"/>
    </row>
    <row r="706">
      <c r="A706" s="241" t="n"/>
      <c r="B706" s="247" t="n"/>
      <c r="C706" s="248" t="n"/>
      <c r="D706" s="248" t="n"/>
      <c r="E706" s="249" t="n"/>
      <c r="F706" s="250" t="n"/>
      <c r="G706" s="242">
        <f>IF(ISNUMBER(F706),F706,IF(AND(ISNUMBER(C706),ISNUMBER(D706)),ROUND(MOD(D706-C706,1)*24-N(E706)/60,2),""))</f>
        <v/>
      </c>
      <c r="H706" s="241" t="n"/>
    </row>
    <row r="707">
      <c r="A707" s="241" t="n"/>
      <c r="B707" s="247" t="n"/>
      <c r="C707" s="248" t="n"/>
      <c r="D707" s="248" t="n"/>
      <c r="E707" s="249" t="n"/>
      <c r="F707" s="250" t="n"/>
      <c r="G707" s="242">
        <f>IF(ISNUMBER(F707),F707,IF(AND(ISNUMBER(C707),ISNUMBER(D707)),ROUND(MOD(D707-C707,1)*24-N(E707)/60,2),""))</f>
        <v/>
      </c>
      <c r="H707" s="241" t="n"/>
    </row>
    <row r="708">
      <c r="A708" s="241" t="n"/>
      <c r="B708" s="247" t="n"/>
      <c r="C708" s="248" t="n"/>
      <c r="D708" s="248" t="n"/>
      <c r="E708" s="249" t="n"/>
      <c r="F708" s="250" t="n"/>
      <c r="G708" s="242">
        <f>IF(ISNUMBER(F708),F708,IF(AND(ISNUMBER(C708),ISNUMBER(D708)),ROUND(MOD(D708-C708,1)*24-N(E708)/60,2),""))</f>
        <v/>
      </c>
      <c r="H708" s="241" t="n"/>
    </row>
    <row r="709">
      <c r="A709" s="241" t="n"/>
      <c r="B709" s="247" t="n"/>
      <c r="C709" s="248" t="n"/>
      <c r="D709" s="248" t="n"/>
      <c r="E709" s="249" t="n"/>
      <c r="F709" s="250" t="n"/>
      <c r="G709" s="242">
        <f>IF(ISNUMBER(F709),F709,IF(AND(ISNUMBER(C709),ISNUMBER(D709)),ROUND(MOD(D709-C709,1)*24-N(E709)/60,2),""))</f>
        <v/>
      </c>
      <c r="H709" s="241" t="n"/>
    </row>
    <row r="710">
      <c r="A710" s="241" t="n"/>
      <c r="B710" s="247" t="n"/>
      <c r="C710" s="248" t="n"/>
      <c r="D710" s="248" t="n"/>
      <c r="E710" s="249" t="n"/>
      <c r="F710" s="250" t="n"/>
      <c r="G710" s="242">
        <f>IF(ISNUMBER(F710),F710,IF(AND(ISNUMBER(C710),ISNUMBER(D710)),ROUND(MOD(D710-C710,1)*24-N(E710)/60,2),""))</f>
        <v/>
      </c>
      <c r="H710" s="241" t="n"/>
    </row>
    <row r="711">
      <c r="A711" s="241" t="n"/>
      <c r="B711" s="247" t="n"/>
      <c r="C711" s="248" t="n"/>
      <c r="D711" s="248" t="n"/>
      <c r="E711" s="249" t="n"/>
      <c r="F711" s="250" t="n"/>
      <c r="G711" s="242">
        <f>IF(ISNUMBER(F711),F711,IF(AND(ISNUMBER(C711),ISNUMBER(D711)),ROUND(MOD(D711-C711,1)*24-N(E711)/60,2),""))</f>
        <v/>
      </c>
      <c r="H711" s="241" t="n"/>
    </row>
    <row r="712">
      <c r="A712" s="241" t="n"/>
      <c r="B712" s="247" t="n"/>
      <c r="C712" s="248" t="n"/>
      <c r="D712" s="248" t="n"/>
      <c r="E712" s="249" t="n"/>
      <c r="F712" s="250" t="n"/>
      <c r="G712" s="242">
        <f>IF(ISNUMBER(F712),F712,IF(AND(ISNUMBER(C712),ISNUMBER(D712)),ROUND(MOD(D712-C712,1)*24-N(E712)/60,2),""))</f>
        <v/>
      </c>
      <c r="H712" s="241" t="n"/>
    </row>
    <row r="713">
      <c r="A713" s="241" t="n"/>
      <c r="B713" s="247" t="n"/>
      <c r="C713" s="248" t="n"/>
      <c r="D713" s="248" t="n"/>
      <c r="E713" s="249" t="n"/>
      <c r="F713" s="250" t="n"/>
      <c r="G713" s="242">
        <f>IF(ISNUMBER(F713),F713,IF(AND(ISNUMBER(C713),ISNUMBER(D713)),ROUND(MOD(D713-C713,1)*24-N(E713)/60,2),""))</f>
        <v/>
      </c>
      <c r="H713" s="241" t="n"/>
    </row>
    <row r="714">
      <c r="A714" s="241" t="n"/>
      <c r="B714" s="247" t="n"/>
      <c r="C714" s="248" t="n"/>
      <c r="D714" s="248" t="n"/>
      <c r="E714" s="249" t="n"/>
      <c r="F714" s="250" t="n"/>
      <c r="G714" s="242">
        <f>IF(ISNUMBER(F714),F714,IF(AND(ISNUMBER(C714),ISNUMBER(D714)),ROUND(MOD(D714-C714,1)*24-N(E714)/60,2),""))</f>
        <v/>
      </c>
      <c r="H714" s="241" t="n"/>
    </row>
    <row r="715">
      <c r="A715" s="241" t="n"/>
      <c r="B715" s="247" t="n"/>
      <c r="C715" s="248" t="n"/>
      <c r="D715" s="248" t="n"/>
      <c r="E715" s="249" t="n"/>
      <c r="F715" s="250" t="n"/>
      <c r="G715" s="242">
        <f>IF(ISNUMBER(F715),F715,IF(AND(ISNUMBER(C715),ISNUMBER(D715)),ROUND(MOD(D715-C715,1)*24-N(E715)/60,2),""))</f>
        <v/>
      </c>
      <c r="H715" s="241" t="n"/>
    </row>
    <row r="716">
      <c r="A716" s="241" t="n"/>
      <c r="B716" s="247" t="n"/>
      <c r="C716" s="248" t="n"/>
      <c r="D716" s="248" t="n"/>
      <c r="E716" s="249" t="n"/>
      <c r="F716" s="250" t="n"/>
      <c r="G716" s="242">
        <f>IF(ISNUMBER(F716),F716,IF(AND(ISNUMBER(C716),ISNUMBER(D716)),ROUND(MOD(D716-C716,1)*24-N(E716)/60,2),""))</f>
        <v/>
      </c>
      <c r="H716" s="241" t="n"/>
    </row>
    <row r="717">
      <c r="A717" s="241" t="n"/>
      <c r="B717" s="247" t="n"/>
      <c r="C717" s="248" t="n"/>
      <c r="D717" s="248" t="n"/>
      <c r="E717" s="249" t="n"/>
      <c r="F717" s="250" t="n"/>
      <c r="G717" s="242">
        <f>IF(ISNUMBER(F717),F717,IF(AND(ISNUMBER(C717),ISNUMBER(D717)),ROUND(MOD(D717-C717,1)*24-N(E717)/60,2),""))</f>
        <v/>
      </c>
      <c r="H717" s="241" t="n"/>
    </row>
    <row r="718">
      <c r="A718" s="241" t="n"/>
      <c r="B718" s="247" t="n"/>
      <c r="C718" s="248" t="n"/>
      <c r="D718" s="248" t="n"/>
      <c r="E718" s="249" t="n"/>
      <c r="F718" s="250" t="n"/>
      <c r="G718" s="242">
        <f>IF(ISNUMBER(F718),F718,IF(AND(ISNUMBER(C718),ISNUMBER(D718)),ROUND(MOD(D718-C718,1)*24-N(E718)/60,2),""))</f>
        <v/>
      </c>
      <c r="H718" s="241" t="n"/>
    </row>
    <row r="719">
      <c r="A719" s="241" t="n"/>
      <c r="B719" s="247" t="n"/>
      <c r="C719" s="248" t="n"/>
      <c r="D719" s="248" t="n"/>
      <c r="E719" s="249" t="n"/>
      <c r="F719" s="250" t="n"/>
      <c r="G719" s="242">
        <f>IF(ISNUMBER(F719),F719,IF(AND(ISNUMBER(C719),ISNUMBER(D719)),ROUND(MOD(D719-C719,1)*24-N(E719)/60,2),""))</f>
        <v/>
      </c>
      <c r="H719" s="241" t="n"/>
    </row>
    <row r="720">
      <c r="A720" s="241" t="n"/>
      <c r="B720" s="247" t="n"/>
      <c r="C720" s="248" t="n"/>
      <c r="D720" s="248" t="n"/>
      <c r="E720" s="249" t="n"/>
      <c r="F720" s="250" t="n"/>
      <c r="G720" s="242">
        <f>IF(ISNUMBER(F720),F720,IF(AND(ISNUMBER(C720),ISNUMBER(D720)),ROUND(MOD(D720-C720,1)*24-N(E720)/60,2),""))</f>
        <v/>
      </c>
      <c r="H720" s="241" t="n"/>
    </row>
    <row r="721">
      <c r="A721" s="241" t="n"/>
      <c r="B721" s="247" t="n"/>
      <c r="C721" s="248" t="n"/>
      <c r="D721" s="248" t="n"/>
      <c r="E721" s="249" t="n"/>
      <c r="F721" s="250" t="n"/>
      <c r="G721" s="242">
        <f>IF(ISNUMBER(F721),F721,IF(AND(ISNUMBER(C721),ISNUMBER(D721)),ROUND(MOD(D721-C721,1)*24-N(E721)/60,2),""))</f>
        <v/>
      </c>
      <c r="H721" s="241" t="n"/>
    </row>
    <row r="722">
      <c r="A722" s="241" t="n"/>
      <c r="B722" s="247" t="n"/>
      <c r="C722" s="248" t="n"/>
      <c r="D722" s="248" t="n"/>
      <c r="E722" s="249" t="n"/>
      <c r="F722" s="250" t="n"/>
      <c r="G722" s="242">
        <f>IF(ISNUMBER(F722),F722,IF(AND(ISNUMBER(C722),ISNUMBER(D722)),ROUND(MOD(D722-C722,1)*24-N(E722)/60,2),""))</f>
        <v/>
      </c>
      <c r="H722" s="241" t="n"/>
    </row>
    <row r="723">
      <c r="A723" s="241" t="n"/>
      <c r="B723" s="247" t="n"/>
      <c r="C723" s="248" t="n"/>
      <c r="D723" s="248" t="n"/>
      <c r="E723" s="249" t="n"/>
      <c r="F723" s="250" t="n"/>
      <c r="G723" s="242">
        <f>IF(ISNUMBER(F723),F723,IF(AND(ISNUMBER(C723),ISNUMBER(D723)),ROUND(MOD(D723-C723,1)*24-N(E723)/60,2),""))</f>
        <v/>
      </c>
      <c r="H723" s="241" t="n"/>
    </row>
    <row r="724">
      <c r="A724" s="241" t="n"/>
      <c r="B724" s="247" t="n"/>
      <c r="C724" s="248" t="n"/>
      <c r="D724" s="248" t="n"/>
      <c r="E724" s="249" t="n"/>
      <c r="F724" s="250" t="n"/>
      <c r="G724" s="242">
        <f>IF(ISNUMBER(F724),F724,IF(AND(ISNUMBER(C724),ISNUMBER(D724)),ROUND(MOD(D724-C724,1)*24-N(E724)/60,2),""))</f>
        <v/>
      </c>
      <c r="H724" s="241" t="n"/>
    </row>
    <row r="725">
      <c r="A725" s="241" t="n"/>
      <c r="B725" s="247" t="n"/>
      <c r="C725" s="248" t="n"/>
      <c r="D725" s="248" t="n"/>
      <c r="E725" s="249" t="n"/>
      <c r="F725" s="250" t="n"/>
      <c r="G725" s="242">
        <f>IF(ISNUMBER(F725),F725,IF(AND(ISNUMBER(C725),ISNUMBER(D725)),ROUND(MOD(D725-C725,1)*24-N(E725)/60,2),""))</f>
        <v/>
      </c>
      <c r="H725" s="241" t="n"/>
    </row>
    <row r="726">
      <c r="A726" s="241" t="n"/>
      <c r="B726" s="247" t="n"/>
      <c r="C726" s="248" t="n"/>
      <c r="D726" s="248" t="n"/>
      <c r="E726" s="249" t="n"/>
      <c r="F726" s="250" t="n"/>
      <c r="G726" s="242">
        <f>IF(ISNUMBER(F726),F726,IF(AND(ISNUMBER(C726),ISNUMBER(D726)),ROUND(MOD(D726-C726,1)*24-N(E726)/60,2),""))</f>
        <v/>
      </c>
      <c r="H726" s="241" t="n"/>
    </row>
    <row r="727">
      <c r="A727" s="241" t="n"/>
      <c r="B727" s="247" t="n"/>
      <c r="C727" s="248" t="n"/>
      <c r="D727" s="248" t="n"/>
      <c r="E727" s="249" t="n"/>
      <c r="F727" s="250" t="n"/>
      <c r="G727" s="242">
        <f>IF(ISNUMBER(F727),F727,IF(AND(ISNUMBER(C727),ISNUMBER(D727)),ROUND(MOD(D727-C727,1)*24-N(E727)/60,2),""))</f>
        <v/>
      </c>
      <c r="H727" s="241" t="n"/>
    </row>
    <row r="728">
      <c r="A728" s="241" t="n"/>
      <c r="B728" s="247" t="n"/>
      <c r="C728" s="248" t="n"/>
      <c r="D728" s="248" t="n"/>
      <c r="E728" s="249" t="n"/>
      <c r="F728" s="250" t="n"/>
      <c r="G728" s="242">
        <f>IF(ISNUMBER(F728),F728,IF(AND(ISNUMBER(C728),ISNUMBER(D728)),ROUND(MOD(D728-C728,1)*24-N(E728)/60,2),""))</f>
        <v/>
      </c>
      <c r="H728" s="241" t="n"/>
    </row>
    <row r="729">
      <c r="A729" s="241" t="n"/>
      <c r="B729" s="247" t="n"/>
      <c r="C729" s="248" t="n"/>
      <c r="D729" s="248" t="n"/>
      <c r="E729" s="249" t="n"/>
      <c r="F729" s="250" t="n"/>
      <c r="G729" s="242">
        <f>IF(ISNUMBER(F729),F729,IF(AND(ISNUMBER(C729),ISNUMBER(D729)),ROUND(MOD(D729-C729,1)*24-N(E729)/60,2),""))</f>
        <v/>
      </c>
      <c r="H729" s="241" t="n"/>
    </row>
    <row r="730">
      <c r="A730" s="241" t="n"/>
      <c r="B730" s="247" t="n"/>
      <c r="C730" s="248" t="n"/>
      <c r="D730" s="248" t="n"/>
      <c r="E730" s="249" t="n"/>
      <c r="F730" s="250" t="n"/>
      <c r="G730" s="242">
        <f>IF(ISNUMBER(F730),F730,IF(AND(ISNUMBER(C730),ISNUMBER(D730)),ROUND(MOD(D730-C730,1)*24-N(E730)/60,2),""))</f>
        <v/>
      </c>
      <c r="H730" s="241" t="n"/>
    </row>
    <row r="731">
      <c r="A731" s="241" t="n"/>
      <c r="B731" s="247" t="n"/>
      <c r="C731" s="248" t="n"/>
      <c r="D731" s="248" t="n"/>
      <c r="E731" s="249" t="n"/>
      <c r="F731" s="250" t="n"/>
      <c r="G731" s="242">
        <f>IF(ISNUMBER(F731),F731,IF(AND(ISNUMBER(C731),ISNUMBER(D731)),ROUND(MOD(D731-C731,1)*24-N(E731)/60,2),""))</f>
        <v/>
      </c>
      <c r="H731" s="241" t="n"/>
    </row>
    <row r="732">
      <c r="A732" s="241" t="n"/>
      <c r="B732" s="247" t="n"/>
      <c r="C732" s="248" t="n"/>
      <c r="D732" s="248" t="n"/>
      <c r="E732" s="249" t="n"/>
      <c r="F732" s="250" t="n"/>
      <c r="G732" s="242">
        <f>IF(ISNUMBER(F732),F732,IF(AND(ISNUMBER(C732),ISNUMBER(D732)),ROUND(MOD(D732-C732,1)*24-N(E732)/60,2),""))</f>
        <v/>
      </c>
      <c r="H732" s="241" t="n"/>
    </row>
    <row r="733">
      <c r="A733" s="241" t="n"/>
      <c r="B733" s="247" t="n"/>
      <c r="C733" s="248" t="n"/>
      <c r="D733" s="248" t="n"/>
      <c r="E733" s="249" t="n"/>
      <c r="F733" s="250" t="n"/>
      <c r="G733" s="242">
        <f>IF(ISNUMBER(F733),F733,IF(AND(ISNUMBER(C733),ISNUMBER(D733)),ROUND(MOD(D733-C733,1)*24-N(E733)/60,2),""))</f>
        <v/>
      </c>
      <c r="H733" s="241" t="n"/>
    </row>
    <row r="734">
      <c r="A734" s="241" t="n"/>
      <c r="B734" s="247" t="n"/>
      <c r="C734" s="248" t="n"/>
      <c r="D734" s="248" t="n"/>
      <c r="E734" s="249" t="n"/>
      <c r="F734" s="250" t="n"/>
      <c r="G734" s="242">
        <f>IF(ISNUMBER(F734),F734,IF(AND(ISNUMBER(C734),ISNUMBER(D734)),ROUND(MOD(D734-C734,1)*24-N(E734)/60,2),""))</f>
        <v/>
      </c>
      <c r="H734" s="241" t="n"/>
    </row>
    <row r="735">
      <c r="A735" s="241" t="n"/>
      <c r="B735" s="247" t="n"/>
      <c r="C735" s="248" t="n"/>
      <c r="D735" s="248" t="n"/>
      <c r="E735" s="249" t="n"/>
      <c r="F735" s="250" t="n"/>
      <c r="G735" s="242">
        <f>IF(ISNUMBER(F735),F735,IF(AND(ISNUMBER(C735),ISNUMBER(D735)),ROUND(MOD(D735-C735,1)*24-N(E735)/60,2),""))</f>
        <v/>
      </c>
      <c r="H735" s="241" t="n"/>
    </row>
    <row r="736">
      <c r="A736" s="241" t="n"/>
      <c r="B736" s="247" t="n"/>
      <c r="C736" s="248" t="n"/>
      <c r="D736" s="248" t="n"/>
      <c r="E736" s="249" t="n"/>
      <c r="F736" s="250" t="n"/>
      <c r="G736" s="242">
        <f>IF(ISNUMBER(F736),F736,IF(AND(ISNUMBER(C736),ISNUMBER(D736)),ROUND(MOD(D736-C736,1)*24-N(E736)/60,2),""))</f>
        <v/>
      </c>
      <c r="H736" s="241" t="n"/>
    </row>
    <row r="737">
      <c r="A737" s="241" t="n"/>
      <c r="B737" s="247" t="n"/>
      <c r="C737" s="248" t="n"/>
      <c r="D737" s="248" t="n"/>
      <c r="E737" s="249" t="n"/>
      <c r="F737" s="250" t="n"/>
      <c r="G737" s="242">
        <f>IF(ISNUMBER(F737),F737,IF(AND(ISNUMBER(C737),ISNUMBER(D737)),ROUND(MOD(D737-C737,1)*24-N(E737)/60,2),""))</f>
        <v/>
      </c>
      <c r="H737" s="241" t="n"/>
    </row>
    <row r="738">
      <c r="A738" s="241" t="n"/>
      <c r="B738" s="247" t="n"/>
      <c r="C738" s="248" t="n"/>
      <c r="D738" s="248" t="n"/>
      <c r="E738" s="249" t="n"/>
      <c r="F738" s="250" t="n"/>
      <c r="G738" s="242">
        <f>IF(ISNUMBER(F738),F738,IF(AND(ISNUMBER(C738),ISNUMBER(D738)),ROUND(MOD(D738-C738,1)*24-N(E738)/60,2),""))</f>
        <v/>
      </c>
      <c r="H738" s="241" t="n"/>
    </row>
    <row r="739">
      <c r="A739" s="241" t="n"/>
      <c r="B739" s="247" t="n"/>
      <c r="C739" s="248" t="n"/>
      <c r="D739" s="248" t="n"/>
      <c r="E739" s="249" t="n"/>
      <c r="F739" s="250" t="n"/>
      <c r="G739" s="242">
        <f>IF(ISNUMBER(F739),F739,IF(AND(ISNUMBER(C739),ISNUMBER(D739)),ROUND(MOD(D739-C739,1)*24-N(E739)/60,2),""))</f>
        <v/>
      </c>
      <c r="H739" s="241" t="n"/>
    </row>
    <row r="740">
      <c r="A740" s="241" t="n"/>
      <c r="B740" s="247" t="n"/>
      <c r="C740" s="248" t="n"/>
      <c r="D740" s="248" t="n"/>
      <c r="E740" s="249" t="n"/>
      <c r="F740" s="250" t="n"/>
      <c r="G740" s="242">
        <f>IF(ISNUMBER(F740),F740,IF(AND(ISNUMBER(C740),ISNUMBER(D740)),ROUND(MOD(D740-C740,1)*24-N(E740)/60,2),""))</f>
        <v/>
      </c>
      <c r="H740" s="241" t="n"/>
    </row>
    <row r="741">
      <c r="A741" s="241" t="n"/>
      <c r="B741" s="247" t="n"/>
      <c r="C741" s="248" t="n"/>
      <c r="D741" s="248" t="n"/>
      <c r="E741" s="249" t="n"/>
      <c r="F741" s="250" t="n"/>
      <c r="G741" s="242">
        <f>IF(ISNUMBER(F741),F741,IF(AND(ISNUMBER(C741),ISNUMBER(D741)),ROUND(MOD(D741-C741,1)*24-N(E741)/60,2),""))</f>
        <v/>
      </c>
      <c r="H741" s="241" t="n"/>
    </row>
    <row r="742">
      <c r="A742" s="241" t="n"/>
      <c r="B742" s="247" t="n"/>
      <c r="C742" s="248" t="n"/>
      <c r="D742" s="248" t="n"/>
      <c r="E742" s="249" t="n"/>
      <c r="F742" s="250" t="n"/>
      <c r="G742" s="242">
        <f>IF(ISNUMBER(F742),F742,IF(AND(ISNUMBER(C742),ISNUMBER(D742)),ROUND(MOD(D742-C742,1)*24-N(E742)/60,2),""))</f>
        <v/>
      </c>
      <c r="H742" s="241" t="n"/>
    </row>
    <row r="743">
      <c r="A743" s="241" t="n"/>
      <c r="B743" s="247" t="n"/>
      <c r="C743" s="248" t="n"/>
      <c r="D743" s="248" t="n"/>
      <c r="E743" s="249" t="n"/>
      <c r="F743" s="250" t="n"/>
      <c r="G743" s="242">
        <f>IF(ISNUMBER(F743),F743,IF(AND(ISNUMBER(C743),ISNUMBER(D743)),ROUND(MOD(D743-C743,1)*24-N(E743)/60,2),""))</f>
        <v/>
      </c>
      <c r="H743" s="241" t="n"/>
    </row>
    <row r="744">
      <c r="A744" s="241" t="n"/>
      <c r="B744" s="247" t="n"/>
      <c r="C744" s="248" t="n"/>
      <c r="D744" s="248" t="n"/>
      <c r="E744" s="249" t="n"/>
      <c r="F744" s="250" t="n"/>
      <c r="G744" s="242">
        <f>IF(ISNUMBER(F744),F744,IF(AND(ISNUMBER(C744),ISNUMBER(D744)),ROUND(MOD(D744-C744,1)*24-N(E744)/60,2),""))</f>
        <v/>
      </c>
      <c r="H744" s="241" t="n"/>
    </row>
    <row r="745">
      <c r="A745" s="241" t="n"/>
      <c r="B745" s="247" t="n"/>
      <c r="C745" s="248" t="n"/>
      <c r="D745" s="248" t="n"/>
      <c r="E745" s="249" t="n"/>
      <c r="F745" s="250" t="n"/>
      <c r="G745" s="242">
        <f>IF(ISNUMBER(F745),F745,IF(AND(ISNUMBER(C745),ISNUMBER(D745)),ROUND(MOD(D745-C745,1)*24-N(E745)/60,2),""))</f>
        <v/>
      </c>
      <c r="H745" s="241" t="n"/>
    </row>
    <row r="746">
      <c r="A746" s="241" t="n"/>
      <c r="B746" s="247" t="n"/>
      <c r="C746" s="248" t="n"/>
      <c r="D746" s="248" t="n"/>
      <c r="E746" s="249" t="n"/>
      <c r="F746" s="250" t="n"/>
      <c r="G746" s="242">
        <f>IF(ISNUMBER(F746),F746,IF(AND(ISNUMBER(C746),ISNUMBER(D746)),ROUND(MOD(D746-C746,1)*24-N(E746)/60,2),""))</f>
        <v/>
      </c>
      <c r="H746" s="241" t="n"/>
    </row>
    <row r="747">
      <c r="A747" s="241" t="n"/>
      <c r="B747" s="247" t="n"/>
      <c r="C747" s="248" t="n"/>
      <c r="D747" s="248" t="n"/>
      <c r="E747" s="249" t="n"/>
      <c r="F747" s="250" t="n"/>
      <c r="G747" s="242">
        <f>IF(ISNUMBER(F747),F747,IF(AND(ISNUMBER(C747),ISNUMBER(D747)),ROUND(MOD(D747-C747,1)*24-N(E747)/60,2),""))</f>
        <v/>
      </c>
      <c r="H747" s="241" t="n"/>
    </row>
    <row r="748">
      <c r="A748" s="241" t="n"/>
      <c r="B748" s="247" t="n"/>
      <c r="C748" s="248" t="n"/>
      <c r="D748" s="248" t="n"/>
      <c r="E748" s="249" t="n"/>
      <c r="F748" s="250" t="n"/>
      <c r="G748" s="242">
        <f>IF(ISNUMBER(F748),F748,IF(AND(ISNUMBER(C748),ISNUMBER(D748)),ROUND(MOD(D748-C748,1)*24-N(E748)/60,2),""))</f>
        <v/>
      </c>
      <c r="H748" s="241" t="n"/>
    </row>
    <row r="749">
      <c r="A749" s="241" t="n"/>
      <c r="B749" s="247" t="n"/>
      <c r="C749" s="248" t="n"/>
      <c r="D749" s="248" t="n"/>
      <c r="E749" s="249" t="n"/>
      <c r="F749" s="250" t="n"/>
      <c r="G749" s="242">
        <f>IF(ISNUMBER(F749),F749,IF(AND(ISNUMBER(C749),ISNUMBER(D749)),ROUND(MOD(D749-C749,1)*24-N(E749)/60,2),""))</f>
        <v/>
      </c>
      <c r="H749" s="241" t="n"/>
    </row>
    <row r="750">
      <c r="A750" s="241" t="n"/>
      <c r="B750" s="247" t="n"/>
      <c r="C750" s="248" t="n"/>
      <c r="D750" s="248" t="n"/>
      <c r="E750" s="249" t="n"/>
      <c r="F750" s="250" t="n"/>
      <c r="G750" s="242">
        <f>IF(ISNUMBER(F750),F750,IF(AND(ISNUMBER(C750),ISNUMBER(D750)),ROUND(MOD(D750-C750,1)*24-N(E750)/60,2),""))</f>
        <v/>
      </c>
      <c r="H750" s="241" t="n"/>
    </row>
    <row r="751">
      <c r="A751" s="241" t="n"/>
      <c r="B751" s="247" t="n"/>
      <c r="C751" s="248" t="n"/>
      <c r="D751" s="248" t="n"/>
      <c r="E751" s="249" t="n"/>
      <c r="F751" s="250" t="n"/>
      <c r="G751" s="242">
        <f>IF(ISNUMBER(F751),F751,IF(AND(ISNUMBER(C751),ISNUMBER(D751)),ROUND(MOD(D751-C751,1)*24-N(E751)/60,2),""))</f>
        <v/>
      </c>
      <c r="H751" s="241" t="n"/>
    </row>
    <row r="752">
      <c r="A752" s="241" t="n"/>
      <c r="B752" s="247" t="n"/>
      <c r="C752" s="248" t="n"/>
      <c r="D752" s="248" t="n"/>
      <c r="E752" s="249" t="n"/>
      <c r="F752" s="250" t="n"/>
      <c r="G752" s="242">
        <f>IF(ISNUMBER(F752),F752,IF(AND(ISNUMBER(C752),ISNUMBER(D752)),ROUND(MOD(D752-C752,1)*24-N(E752)/60,2),""))</f>
        <v/>
      </c>
      <c r="H752" s="241" t="n"/>
    </row>
    <row r="753">
      <c r="A753" s="241" t="n"/>
      <c r="B753" s="247" t="n"/>
      <c r="C753" s="248" t="n"/>
      <c r="D753" s="248" t="n"/>
      <c r="E753" s="249" t="n"/>
      <c r="F753" s="250" t="n"/>
      <c r="G753" s="242">
        <f>IF(ISNUMBER(F753),F753,IF(AND(ISNUMBER(C753),ISNUMBER(D753)),ROUND(MOD(D753-C753,1)*24-N(E753)/60,2),""))</f>
        <v/>
      </c>
      <c r="H753" s="241" t="n"/>
    </row>
    <row r="754">
      <c r="A754" s="241" t="n"/>
      <c r="B754" s="247" t="n"/>
      <c r="C754" s="248" t="n"/>
      <c r="D754" s="248" t="n"/>
      <c r="E754" s="249" t="n"/>
      <c r="F754" s="250" t="n"/>
      <c r="G754" s="242">
        <f>IF(ISNUMBER(F754),F754,IF(AND(ISNUMBER(C754),ISNUMBER(D754)),ROUND(MOD(D754-C754,1)*24-N(E754)/60,2),""))</f>
        <v/>
      </c>
      <c r="H754" s="241" t="n"/>
    </row>
    <row r="755">
      <c r="A755" s="241" t="n"/>
      <c r="B755" s="247" t="n"/>
      <c r="C755" s="248" t="n"/>
      <c r="D755" s="248" t="n"/>
      <c r="E755" s="249" t="n"/>
      <c r="F755" s="250" t="n"/>
      <c r="G755" s="242">
        <f>IF(ISNUMBER(F755),F755,IF(AND(ISNUMBER(C755),ISNUMBER(D755)),ROUND(MOD(D755-C755,1)*24-N(E755)/60,2),""))</f>
        <v/>
      </c>
      <c r="H755" s="241" t="n"/>
    </row>
    <row r="756">
      <c r="A756" s="241" t="n"/>
      <c r="B756" s="247" t="n"/>
      <c r="C756" s="248" t="n"/>
      <c r="D756" s="248" t="n"/>
      <c r="E756" s="249" t="n"/>
      <c r="F756" s="250" t="n"/>
      <c r="G756" s="242">
        <f>IF(ISNUMBER(F756),F756,IF(AND(ISNUMBER(C756),ISNUMBER(D756)),ROUND(MOD(D756-C756,1)*24-N(E756)/60,2),""))</f>
        <v/>
      </c>
      <c r="H756" s="241" t="n"/>
    </row>
    <row r="757">
      <c r="A757" s="241" t="n"/>
      <c r="B757" s="247" t="n"/>
      <c r="C757" s="248" t="n"/>
      <c r="D757" s="248" t="n"/>
      <c r="E757" s="249" t="n"/>
      <c r="F757" s="250" t="n"/>
      <c r="G757" s="242">
        <f>IF(ISNUMBER(F757),F757,IF(AND(ISNUMBER(C757),ISNUMBER(D757)),ROUND(MOD(D757-C757,1)*24-N(E757)/60,2),""))</f>
        <v/>
      </c>
      <c r="H757" s="241" t="n"/>
    </row>
    <row r="758">
      <c r="A758" s="241" t="n"/>
      <c r="B758" s="247" t="n"/>
      <c r="C758" s="248" t="n"/>
      <c r="D758" s="248" t="n"/>
      <c r="E758" s="249" t="n"/>
      <c r="F758" s="250" t="n"/>
      <c r="G758" s="242">
        <f>IF(ISNUMBER(F758),F758,IF(AND(ISNUMBER(C758),ISNUMBER(D758)),ROUND(MOD(D758-C758,1)*24-N(E758)/60,2),""))</f>
        <v/>
      </c>
      <c r="H758" s="241" t="n"/>
    </row>
    <row r="759">
      <c r="A759" s="241" t="n"/>
      <c r="B759" s="247" t="n"/>
      <c r="C759" s="248" t="n"/>
      <c r="D759" s="248" t="n"/>
      <c r="E759" s="249" t="n"/>
      <c r="F759" s="250" t="n"/>
      <c r="G759" s="242">
        <f>IF(ISNUMBER(F759),F759,IF(AND(ISNUMBER(C759),ISNUMBER(D759)),ROUND(MOD(D759-C759,1)*24-N(E759)/60,2),""))</f>
        <v/>
      </c>
      <c r="H759" s="241" t="n"/>
    </row>
    <row r="760">
      <c r="A760" s="241" t="n"/>
      <c r="B760" s="247" t="n"/>
      <c r="C760" s="248" t="n"/>
      <c r="D760" s="248" t="n"/>
      <c r="E760" s="249" t="n"/>
      <c r="F760" s="250" t="n"/>
      <c r="G760" s="242">
        <f>IF(ISNUMBER(F760),F760,IF(AND(ISNUMBER(C760),ISNUMBER(D760)),ROUND(MOD(D760-C760,1)*24-N(E760)/60,2),""))</f>
        <v/>
      </c>
      <c r="H760" s="241" t="n"/>
    </row>
    <row r="761">
      <c r="A761" s="241" t="n"/>
      <c r="B761" s="247" t="n"/>
      <c r="C761" s="248" t="n"/>
      <c r="D761" s="248" t="n"/>
      <c r="E761" s="249" t="n"/>
      <c r="F761" s="250" t="n"/>
      <c r="G761" s="242">
        <f>IF(ISNUMBER(F761),F761,IF(AND(ISNUMBER(C761),ISNUMBER(D761)),ROUND(MOD(D761-C761,1)*24-N(E761)/60,2),""))</f>
        <v/>
      </c>
      <c r="H761" s="241" t="n"/>
    </row>
    <row r="762">
      <c r="A762" s="241" t="n"/>
      <c r="B762" s="247" t="n"/>
      <c r="C762" s="248" t="n"/>
      <c r="D762" s="248" t="n"/>
      <c r="E762" s="249" t="n"/>
      <c r="F762" s="250" t="n"/>
      <c r="G762" s="242">
        <f>IF(ISNUMBER(F762),F762,IF(AND(ISNUMBER(C762),ISNUMBER(D762)),ROUND(MOD(D762-C762,1)*24-N(E762)/60,2),""))</f>
        <v/>
      </c>
      <c r="H762" s="241" t="n"/>
    </row>
    <row r="763">
      <c r="A763" s="241" t="n"/>
      <c r="B763" s="247" t="n"/>
      <c r="C763" s="248" t="n"/>
      <c r="D763" s="248" t="n"/>
      <c r="E763" s="249" t="n"/>
      <c r="F763" s="250" t="n"/>
      <c r="G763" s="242">
        <f>IF(ISNUMBER(F763),F763,IF(AND(ISNUMBER(C763),ISNUMBER(D763)),ROUND(MOD(D763-C763,1)*24-N(E763)/60,2),""))</f>
        <v/>
      </c>
      <c r="H763" s="241" t="n"/>
    </row>
    <row r="764">
      <c r="A764" s="241" t="n"/>
      <c r="B764" s="247" t="n"/>
      <c r="C764" s="248" t="n"/>
      <c r="D764" s="248" t="n"/>
      <c r="E764" s="249" t="n"/>
      <c r="F764" s="250" t="n"/>
      <c r="G764" s="242">
        <f>IF(ISNUMBER(F764),F764,IF(AND(ISNUMBER(C764),ISNUMBER(D764)),ROUND(MOD(D764-C764,1)*24-N(E764)/60,2),""))</f>
        <v/>
      </c>
      <c r="H764" s="241" t="n"/>
    </row>
    <row r="765">
      <c r="A765" s="241" t="n"/>
      <c r="B765" s="247" t="n"/>
      <c r="C765" s="248" t="n"/>
      <c r="D765" s="248" t="n"/>
      <c r="E765" s="249" t="n"/>
      <c r="F765" s="250" t="n"/>
      <c r="G765" s="242">
        <f>IF(ISNUMBER(F765),F765,IF(AND(ISNUMBER(C765),ISNUMBER(D765)),ROUND(MOD(D765-C765,1)*24-N(E765)/60,2),""))</f>
        <v/>
      </c>
      <c r="H765" s="241" t="n"/>
    </row>
    <row r="766">
      <c r="A766" s="241" t="n"/>
      <c r="B766" s="247" t="n"/>
      <c r="C766" s="248" t="n"/>
      <c r="D766" s="248" t="n"/>
      <c r="E766" s="249" t="n"/>
      <c r="F766" s="250" t="n"/>
      <c r="G766" s="242">
        <f>IF(ISNUMBER(F766),F766,IF(AND(ISNUMBER(C766),ISNUMBER(D766)),ROUND(MOD(D766-C766,1)*24-N(E766)/60,2),""))</f>
        <v/>
      </c>
      <c r="H766" s="241" t="n"/>
    </row>
    <row r="767">
      <c r="A767" s="241" t="n"/>
      <c r="B767" s="247" t="n"/>
      <c r="C767" s="248" t="n"/>
      <c r="D767" s="248" t="n"/>
      <c r="E767" s="249" t="n"/>
      <c r="F767" s="250" t="n"/>
      <c r="G767" s="242">
        <f>IF(ISNUMBER(F767),F767,IF(AND(ISNUMBER(C767),ISNUMBER(D767)),ROUND(MOD(D767-C767,1)*24-N(E767)/60,2),""))</f>
        <v/>
      </c>
      <c r="H767" s="241" t="n"/>
    </row>
    <row r="768">
      <c r="A768" s="241" t="n"/>
      <c r="B768" s="247" t="n"/>
      <c r="C768" s="248" t="n"/>
      <c r="D768" s="248" t="n"/>
      <c r="E768" s="249" t="n"/>
      <c r="F768" s="250" t="n"/>
      <c r="G768" s="242">
        <f>IF(ISNUMBER(F768),F768,IF(AND(ISNUMBER(C768),ISNUMBER(D768)),ROUND(MOD(D768-C768,1)*24-N(E768)/60,2),""))</f>
        <v/>
      </c>
      <c r="H768" s="241" t="n"/>
    </row>
    <row r="769">
      <c r="A769" s="241" t="n"/>
      <c r="B769" s="247" t="n"/>
      <c r="C769" s="248" t="n"/>
      <c r="D769" s="248" t="n"/>
      <c r="E769" s="249" t="n"/>
      <c r="F769" s="250" t="n"/>
      <c r="G769" s="242">
        <f>IF(ISNUMBER(F769),F769,IF(AND(ISNUMBER(C769),ISNUMBER(D769)),ROUND(MOD(D769-C769,1)*24-N(E769)/60,2),""))</f>
        <v/>
      </c>
      <c r="H769" s="241" t="n"/>
    </row>
    <row r="770">
      <c r="A770" s="241" t="n"/>
      <c r="B770" s="247" t="n"/>
      <c r="C770" s="248" t="n"/>
      <c r="D770" s="248" t="n"/>
      <c r="E770" s="249" t="n"/>
      <c r="F770" s="250" t="n"/>
      <c r="G770" s="242">
        <f>IF(ISNUMBER(F770),F770,IF(AND(ISNUMBER(C770),ISNUMBER(D770)),ROUND(MOD(D770-C770,1)*24-N(E770)/60,2),""))</f>
        <v/>
      </c>
      <c r="H770" s="241" t="n"/>
    </row>
    <row r="771">
      <c r="A771" s="241" t="n"/>
      <c r="B771" s="247" t="n"/>
      <c r="C771" s="248" t="n"/>
      <c r="D771" s="248" t="n"/>
      <c r="E771" s="249" t="n"/>
      <c r="F771" s="250" t="n"/>
      <c r="G771" s="242">
        <f>IF(ISNUMBER(F771),F771,IF(AND(ISNUMBER(C771),ISNUMBER(D771)),ROUND(MOD(D771-C771,1)*24-N(E771)/60,2),""))</f>
        <v/>
      </c>
      <c r="H771" s="241" t="n"/>
    </row>
    <row r="772">
      <c r="A772" s="241" t="n"/>
      <c r="B772" s="247" t="n"/>
      <c r="C772" s="248" t="n"/>
      <c r="D772" s="248" t="n"/>
      <c r="E772" s="249" t="n"/>
      <c r="F772" s="250" t="n"/>
      <c r="G772" s="242">
        <f>IF(ISNUMBER(F772),F772,IF(AND(ISNUMBER(C772),ISNUMBER(D772)),ROUND(MOD(D772-C772,1)*24-N(E772)/60,2),""))</f>
        <v/>
      </c>
      <c r="H772" s="241" t="n"/>
    </row>
    <row r="773">
      <c r="A773" s="241" t="n"/>
      <c r="B773" s="247" t="n"/>
      <c r="C773" s="248" t="n"/>
      <c r="D773" s="248" t="n"/>
      <c r="E773" s="249" t="n"/>
      <c r="F773" s="250" t="n"/>
      <c r="G773" s="242">
        <f>IF(ISNUMBER(F773),F773,IF(AND(ISNUMBER(C773),ISNUMBER(D773)),ROUND(MOD(D773-C773,1)*24-N(E773)/60,2),""))</f>
        <v/>
      </c>
      <c r="H773" s="241" t="n"/>
    </row>
    <row r="774">
      <c r="A774" s="241" t="n"/>
      <c r="B774" s="247" t="n"/>
      <c r="C774" s="248" t="n"/>
      <c r="D774" s="248" t="n"/>
      <c r="E774" s="249" t="n"/>
      <c r="F774" s="250" t="n"/>
      <c r="G774" s="242">
        <f>IF(ISNUMBER(F774),F774,IF(AND(ISNUMBER(C774),ISNUMBER(D774)),ROUND(MOD(D774-C774,1)*24-N(E774)/60,2),""))</f>
        <v/>
      </c>
      <c r="H774" s="241" t="n"/>
    </row>
    <row r="775">
      <c r="A775" s="241" t="n"/>
      <c r="B775" s="247" t="n"/>
      <c r="C775" s="248" t="n"/>
      <c r="D775" s="248" t="n"/>
      <c r="E775" s="249" t="n"/>
      <c r="F775" s="250" t="n"/>
      <c r="G775" s="242">
        <f>IF(ISNUMBER(F775),F775,IF(AND(ISNUMBER(C775),ISNUMBER(D775)),ROUND(MOD(D775-C775,1)*24-N(E775)/60,2),""))</f>
        <v/>
      </c>
      <c r="H775" s="241" t="n"/>
    </row>
    <row r="776">
      <c r="A776" s="241" t="n"/>
      <c r="B776" s="247" t="n"/>
      <c r="C776" s="248" t="n"/>
      <c r="D776" s="248" t="n"/>
      <c r="E776" s="249" t="n"/>
      <c r="F776" s="250" t="n"/>
      <c r="G776" s="242">
        <f>IF(ISNUMBER(F776),F776,IF(AND(ISNUMBER(C776),ISNUMBER(D776)),ROUND(MOD(D776-C776,1)*24-N(E776)/60,2),""))</f>
        <v/>
      </c>
      <c r="H776" s="241" t="n"/>
    </row>
    <row r="777">
      <c r="A777" s="241" t="n"/>
      <c r="B777" s="247" t="n"/>
      <c r="C777" s="248" t="n"/>
      <c r="D777" s="248" t="n"/>
      <c r="E777" s="249" t="n"/>
      <c r="F777" s="250" t="n"/>
      <c r="G777" s="242">
        <f>IF(ISNUMBER(F777),F777,IF(AND(ISNUMBER(C777),ISNUMBER(D777)),ROUND(MOD(D777-C777,1)*24-N(E777)/60,2),""))</f>
        <v/>
      </c>
      <c r="H777" s="241" t="n"/>
    </row>
    <row r="778">
      <c r="A778" s="241" t="n"/>
      <c r="B778" s="247" t="n"/>
      <c r="C778" s="248" t="n"/>
      <c r="D778" s="248" t="n"/>
      <c r="E778" s="249" t="n"/>
      <c r="F778" s="250" t="n"/>
      <c r="G778" s="242">
        <f>IF(ISNUMBER(F778),F778,IF(AND(ISNUMBER(C778),ISNUMBER(D778)),ROUND(MOD(D778-C778,1)*24-N(E778)/60,2),""))</f>
        <v/>
      </c>
      <c r="H778" s="241" t="n"/>
    </row>
    <row r="779">
      <c r="A779" s="241" t="n"/>
      <c r="B779" s="247" t="n"/>
      <c r="C779" s="248" t="n"/>
      <c r="D779" s="248" t="n"/>
      <c r="E779" s="249" t="n"/>
      <c r="F779" s="250" t="n"/>
      <c r="G779" s="242">
        <f>IF(ISNUMBER(F779),F779,IF(AND(ISNUMBER(C779),ISNUMBER(D779)),ROUND(MOD(D779-C779,1)*24-N(E779)/60,2),""))</f>
        <v/>
      </c>
      <c r="H779" s="241" t="n"/>
    </row>
    <row r="780">
      <c r="A780" s="241" t="n"/>
      <c r="B780" s="247" t="n"/>
      <c r="C780" s="248" t="n"/>
      <c r="D780" s="248" t="n"/>
      <c r="E780" s="249" t="n"/>
      <c r="F780" s="250" t="n"/>
      <c r="G780" s="242">
        <f>IF(ISNUMBER(F780),F780,IF(AND(ISNUMBER(C780),ISNUMBER(D780)),ROUND(MOD(D780-C780,1)*24-N(E780)/60,2),""))</f>
        <v/>
      </c>
      <c r="H780" s="241" t="n"/>
    </row>
    <row r="781">
      <c r="A781" s="241" t="n"/>
      <c r="B781" s="247" t="n"/>
      <c r="C781" s="248" t="n"/>
      <c r="D781" s="248" t="n"/>
      <c r="E781" s="249" t="n"/>
      <c r="F781" s="250" t="n"/>
      <c r="G781" s="242">
        <f>IF(ISNUMBER(F781),F781,IF(AND(ISNUMBER(C781),ISNUMBER(D781)),ROUND(MOD(D781-C781,1)*24-N(E781)/60,2),""))</f>
        <v/>
      </c>
      <c r="H781" s="241" t="n"/>
    </row>
    <row r="782">
      <c r="A782" s="241" t="n"/>
      <c r="B782" s="247" t="n"/>
      <c r="C782" s="248" t="n"/>
      <c r="D782" s="248" t="n"/>
      <c r="E782" s="249" t="n"/>
      <c r="F782" s="250" t="n"/>
      <c r="G782" s="242">
        <f>IF(ISNUMBER(F782),F782,IF(AND(ISNUMBER(C782),ISNUMBER(D782)),ROUND(MOD(D782-C782,1)*24-N(E782)/60,2),""))</f>
        <v/>
      </c>
      <c r="H782" s="241" t="n"/>
    </row>
    <row r="783">
      <c r="A783" s="241" t="n"/>
      <c r="B783" s="247" t="n"/>
      <c r="C783" s="248" t="n"/>
      <c r="D783" s="248" t="n"/>
      <c r="E783" s="249" t="n"/>
      <c r="F783" s="250" t="n"/>
      <c r="G783" s="242">
        <f>IF(ISNUMBER(F783),F783,IF(AND(ISNUMBER(C783),ISNUMBER(D783)),ROUND(MOD(D783-C783,1)*24-N(E783)/60,2),""))</f>
        <v/>
      </c>
      <c r="H783" s="241" t="n"/>
    </row>
    <row r="784">
      <c r="A784" s="241" t="n"/>
      <c r="B784" s="247" t="n"/>
      <c r="C784" s="248" t="n"/>
      <c r="D784" s="248" t="n"/>
      <c r="E784" s="249" t="n"/>
      <c r="F784" s="250" t="n"/>
      <c r="G784" s="242">
        <f>IF(ISNUMBER(F784),F784,IF(AND(ISNUMBER(C784),ISNUMBER(D784)),ROUND(MOD(D784-C784,1)*24-N(E784)/60,2),""))</f>
        <v/>
      </c>
      <c r="H784" s="241" t="n"/>
    </row>
    <row r="785">
      <c r="A785" s="241" t="n"/>
      <c r="B785" s="247" t="n"/>
      <c r="C785" s="248" t="n"/>
      <c r="D785" s="248" t="n"/>
      <c r="E785" s="249" t="n"/>
      <c r="F785" s="250" t="n"/>
      <c r="G785" s="242">
        <f>IF(ISNUMBER(F785),F785,IF(AND(ISNUMBER(C785),ISNUMBER(D785)),ROUND(MOD(D785-C785,1)*24-N(E785)/60,2),""))</f>
        <v/>
      </c>
      <c r="H785" s="241" t="n"/>
    </row>
    <row r="786">
      <c r="A786" s="241" t="n"/>
      <c r="B786" s="247" t="n"/>
      <c r="C786" s="248" t="n"/>
      <c r="D786" s="248" t="n"/>
      <c r="E786" s="249" t="n"/>
      <c r="F786" s="250" t="n"/>
      <c r="G786" s="242">
        <f>IF(ISNUMBER(F786),F786,IF(AND(ISNUMBER(C786),ISNUMBER(D786)),ROUND(MOD(D786-C786,1)*24-N(E786)/60,2),""))</f>
        <v/>
      </c>
      <c r="H786" s="241" t="n"/>
    </row>
    <row r="787">
      <c r="A787" s="241" t="n"/>
      <c r="B787" s="247" t="n"/>
      <c r="C787" s="248" t="n"/>
      <c r="D787" s="248" t="n"/>
      <c r="E787" s="249" t="n"/>
      <c r="F787" s="250" t="n"/>
      <c r="G787" s="242">
        <f>IF(ISNUMBER(F787),F787,IF(AND(ISNUMBER(C787),ISNUMBER(D787)),ROUND(MOD(D787-C787,1)*24-N(E787)/60,2),""))</f>
        <v/>
      </c>
      <c r="H787" s="241" t="n"/>
    </row>
    <row r="788">
      <c r="A788" s="241" t="n"/>
      <c r="B788" s="247" t="n"/>
      <c r="C788" s="248" t="n"/>
      <c r="D788" s="248" t="n"/>
      <c r="E788" s="249" t="n"/>
      <c r="F788" s="250" t="n"/>
      <c r="G788" s="242">
        <f>IF(ISNUMBER(F788),F788,IF(AND(ISNUMBER(C788),ISNUMBER(D788)),ROUND(MOD(D788-C788,1)*24-N(E788)/60,2),""))</f>
        <v/>
      </c>
      <c r="H788" s="241" t="n"/>
    </row>
    <row r="789">
      <c r="A789" s="241" t="n"/>
      <c r="B789" s="247" t="n"/>
      <c r="C789" s="248" t="n"/>
      <c r="D789" s="248" t="n"/>
      <c r="E789" s="249" t="n"/>
      <c r="F789" s="250" t="n"/>
      <c r="G789" s="242">
        <f>IF(ISNUMBER(F789),F789,IF(AND(ISNUMBER(C789),ISNUMBER(D789)),ROUND(MOD(D789-C789,1)*24-N(E789)/60,2),""))</f>
        <v/>
      </c>
      <c r="H789" s="241" t="n"/>
    </row>
    <row r="790">
      <c r="A790" s="241" t="n"/>
      <c r="B790" s="247" t="n"/>
      <c r="C790" s="248" t="n"/>
      <c r="D790" s="248" t="n"/>
      <c r="E790" s="249" t="n"/>
      <c r="F790" s="250" t="n"/>
      <c r="G790" s="242">
        <f>IF(ISNUMBER(F790),F790,IF(AND(ISNUMBER(C790),ISNUMBER(D790)),ROUND(MOD(D790-C790,1)*24-N(E790)/60,2),""))</f>
        <v/>
      </c>
      <c r="H790" s="241" t="n"/>
    </row>
    <row r="791">
      <c r="A791" s="241" t="n"/>
      <c r="B791" s="247" t="n"/>
      <c r="C791" s="248" t="n"/>
      <c r="D791" s="248" t="n"/>
      <c r="E791" s="249" t="n"/>
      <c r="F791" s="250" t="n"/>
      <c r="G791" s="242">
        <f>IF(ISNUMBER(F791),F791,IF(AND(ISNUMBER(C791),ISNUMBER(D791)),ROUND(MOD(D791-C791,1)*24-N(E791)/60,2),""))</f>
        <v/>
      </c>
      <c r="H791" s="241" t="n"/>
    </row>
    <row r="792">
      <c r="A792" s="241" t="n"/>
      <c r="B792" s="247" t="n"/>
      <c r="C792" s="248" t="n"/>
      <c r="D792" s="248" t="n"/>
      <c r="E792" s="249" t="n"/>
      <c r="F792" s="250" t="n"/>
      <c r="G792" s="242">
        <f>IF(ISNUMBER(F792),F792,IF(AND(ISNUMBER(C792),ISNUMBER(D792)),ROUND(MOD(D792-C792,1)*24-N(E792)/60,2),""))</f>
        <v/>
      </c>
      <c r="H792" s="241" t="n"/>
    </row>
    <row r="793">
      <c r="A793" s="241" t="n"/>
      <c r="B793" s="247" t="n"/>
      <c r="C793" s="248" t="n"/>
      <c r="D793" s="248" t="n"/>
      <c r="E793" s="249" t="n"/>
      <c r="F793" s="250" t="n"/>
      <c r="G793" s="242">
        <f>IF(ISNUMBER(F793),F793,IF(AND(ISNUMBER(C793),ISNUMBER(D793)),ROUND(MOD(D793-C793,1)*24-N(E793)/60,2),""))</f>
        <v/>
      </c>
      <c r="H793" s="241" t="n"/>
    </row>
    <row r="794">
      <c r="A794" s="241" t="n"/>
      <c r="B794" s="247" t="n"/>
      <c r="C794" s="248" t="n"/>
      <c r="D794" s="248" t="n"/>
      <c r="E794" s="249" t="n"/>
      <c r="F794" s="250" t="n"/>
      <c r="G794" s="242">
        <f>IF(ISNUMBER(F794),F794,IF(AND(ISNUMBER(C794),ISNUMBER(D794)),ROUND(MOD(D794-C794,1)*24-N(E794)/60,2),""))</f>
        <v/>
      </c>
      <c r="H794" s="241" t="n"/>
    </row>
    <row r="795">
      <c r="A795" s="241" t="n"/>
      <c r="B795" s="247" t="n"/>
      <c r="C795" s="248" t="n"/>
      <c r="D795" s="248" t="n"/>
      <c r="E795" s="249" t="n"/>
      <c r="F795" s="250" t="n"/>
      <c r="G795" s="242">
        <f>IF(ISNUMBER(F795),F795,IF(AND(ISNUMBER(C795),ISNUMBER(D795)),ROUND(MOD(D795-C795,1)*24-N(E795)/60,2),""))</f>
        <v/>
      </c>
      <c r="H795" s="241" t="n"/>
    </row>
    <row r="796">
      <c r="A796" s="241" t="n"/>
      <c r="B796" s="247" t="n"/>
      <c r="C796" s="248" t="n"/>
      <c r="D796" s="248" t="n"/>
      <c r="E796" s="249" t="n"/>
      <c r="F796" s="250" t="n"/>
      <c r="G796" s="242">
        <f>IF(ISNUMBER(F796),F796,IF(AND(ISNUMBER(C796),ISNUMBER(D796)),ROUND(MOD(D796-C796,1)*24-N(E796)/60,2),""))</f>
        <v/>
      </c>
      <c r="H796" s="241" t="n"/>
    </row>
    <row r="797">
      <c r="A797" s="241" t="n"/>
      <c r="B797" s="247" t="n"/>
      <c r="C797" s="248" t="n"/>
      <c r="D797" s="248" t="n"/>
      <c r="E797" s="249" t="n"/>
      <c r="F797" s="250" t="n"/>
      <c r="G797" s="242">
        <f>IF(ISNUMBER(F797),F797,IF(AND(ISNUMBER(C797),ISNUMBER(D797)),ROUND(MOD(D797-C797,1)*24-N(E797)/60,2),""))</f>
        <v/>
      </c>
      <c r="H797" s="241" t="n"/>
    </row>
    <row r="798">
      <c r="A798" s="241" t="n"/>
      <c r="B798" s="247" t="n"/>
      <c r="C798" s="248" t="n"/>
      <c r="D798" s="248" t="n"/>
      <c r="E798" s="249" t="n"/>
      <c r="F798" s="250" t="n"/>
      <c r="G798" s="242">
        <f>IF(ISNUMBER(F798),F798,IF(AND(ISNUMBER(C798),ISNUMBER(D798)),ROUND(MOD(D798-C798,1)*24-N(E798)/60,2),""))</f>
        <v/>
      </c>
      <c r="H798" s="241" t="n"/>
    </row>
    <row r="799">
      <c r="A799" s="241" t="n"/>
      <c r="B799" s="247" t="n"/>
      <c r="C799" s="248" t="n"/>
      <c r="D799" s="248" t="n"/>
      <c r="E799" s="249" t="n"/>
      <c r="F799" s="250" t="n"/>
      <c r="G799" s="242">
        <f>IF(ISNUMBER(F799),F799,IF(AND(ISNUMBER(C799),ISNUMBER(D799)),ROUND(MOD(D799-C799,1)*24-N(E799)/60,2),""))</f>
        <v/>
      </c>
      <c r="H799" s="241" t="n"/>
    </row>
    <row r="800">
      <c r="A800" s="241" t="n"/>
      <c r="B800" s="247" t="n"/>
      <c r="C800" s="248" t="n"/>
      <c r="D800" s="248" t="n"/>
      <c r="E800" s="249" t="n"/>
      <c r="F800" s="250" t="n"/>
      <c r="G800" s="242">
        <f>IF(ISNUMBER(F800),F800,IF(AND(ISNUMBER(C800),ISNUMBER(D800)),ROUND(MOD(D800-C800,1)*24-N(E800)/60,2),""))</f>
        <v/>
      </c>
      <c r="H800" s="241" t="n"/>
    </row>
    <row r="801">
      <c r="A801" s="241" t="n"/>
      <c r="B801" s="247" t="n"/>
      <c r="C801" s="248" t="n"/>
      <c r="D801" s="248" t="n"/>
      <c r="E801" s="249" t="n"/>
      <c r="F801" s="250" t="n"/>
      <c r="G801" s="242">
        <f>IF(ISNUMBER(F801),F801,IF(AND(ISNUMBER(C801),ISNUMBER(D801)),ROUND(MOD(D801-C801,1)*24-N(E801)/60,2),""))</f>
        <v/>
      </c>
      <c r="H801" s="241" t="n"/>
    </row>
    <row r="802">
      <c r="A802" s="241" t="n"/>
      <c r="B802" s="247" t="n"/>
      <c r="C802" s="248" t="n"/>
      <c r="D802" s="248" t="n"/>
      <c r="E802" s="249" t="n"/>
      <c r="F802" s="250" t="n"/>
      <c r="G802" s="242">
        <f>IF(ISNUMBER(F802),F802,IF(AND(ISNUMBER(C802),ISNUMBER(D802)),ROUND(MOD(D802-C802,1)*24-N(E802)/60,2),""))</f>
        <v/>
      </c>
      <c r="H802" s="241" t="n"/>
    </row>
    <row r="803">
      <c r="A803" s="241" t="n"/>
      <c r="B803" s="247" t="n"/>
      <c r="C803" s="248" t="n"/>
      <c r="D803" s="248" t="n"/>
      <c r="E803" s="249" t="n"/>
      <c r="F803" s="250" t="n"/>
      <c r="G803" s="242">
        <f>IF(ISNUMBER(F803),F803,IF(AND(ISNUMBER(C803),ISNUMBER(D803)),ROUND(MOD(D803-C803,1)*24-N(E803)/60,2),""))</f>
        <v/>
      </c>
      <c r="H803" s="241" t="n"/>
    </row>
    <row r="804">
      <c r="A804" s="241" t="n"/>
      <c r="B804" s="247" t="n"/>
      <c r="C804" s="248" t="n"/>
      <c r="D804" s="248" t="n"/>
      <c r="E804" s="249" t="n"/>
      <c r="F804" s="250" t="n"/>
      <c r="G804" s="242">
        <f>IF(ISNUMBER(F804),F804,IF(AND(ISNUMBER(C804),ISNUMBER(D804)),ROUND(MOD(D804-C804,1)*24-N(E804)/60,2),""))</f>
        <v/>
      </c>
      <c r="H804" s="241" t="n"/>
    </row>
    <row r="805">
      <c r="A805" s="241" t="n"/>
      <c r="B805" s="247" t="n"/>
      <c r="C805" s="248" t="n"/>
      <c r="D805" s="248" t="n"/>
      <c r="E805" s="249" t="n"/>
      <c r="F805" s="250" t="n"/>
      <c r="G805" s="242">
        <f>IF(ISNUMBER(F805),F805,IF(AND(ISNUMBER(C805),ISNUMBER(D805)),ROUND(MOD(D805-C805,1)*24-N(E805)/60,2),""))</f>
        <v/>
      </c>
      <c r="H805" s="241" t="n"/>
    </row>
    <row r="806">
      <c r="A806" s="241" t="n"/>
      <c r="B806" s="247" t="n"/>
      <c r="C806" s="248" t="n"/>
      <c r="D806" s="248" t="n"/>
      <c r="E806" s="249" t="n"/>
      <c r="F806" s="250" t="n"/>
      <c r="G806" s="242">
        <f>IF(ISNUMBER(F806),F806,IF(AND(ISNUMBER(C806),ISNUMBER(D806)),ROUND(MOD(D806-C806,1)*24-N(E806)/60,2),""))</f>
        <v/>
      </c>
      <c r="H806" s="241" t="n"/>
    </row>
    <row r="807">
      <c r="A807" s="241" t="n"/>
      <c r="B807" s="247" t="n"/>
      <c r="C807" s="248" t="n"/>
      <c r="D807" s="248" t="n"/>
      <c r="E807" s="249" t="n"/>
      <c r="F807" s="250" t="n"/>
      <c r="G807" s="242">
        <f>IF(ISNUMBER(F807),F807,IF(AND(ISNUMBER(C807),ISNUMBER(D807)),ROUND(MOD(D807-C807,1)*24-N(E807)/60,2),""))</f>
        <v/>
      </c>
      <c r="H807" s="241" t="n"/>
    </row>
    <row r="808">
      <c r="A808" s="241" t="n"/>
      <c r="B808" s="247" t="n"/>
      <c r="C808" s="248" t="n"/>
      <c r="D808" s="248" t="n"/>
      <c r="E808" s="249" t="n"/>
      <c r="F808" s="250" t="n"/>
      <c r="G808" s="242">
        <f>IF(ISNUMBER(F808),F808,IF(AND(ISNUMBER(C808),ISNUMBER(D808)),ROUND(MOD(D808-C808,1)*24-N(E808)/60,2),""))</f>
        <v/>
      </c>
      <c r="H808" s="241" t="n"/>
    </row>
    <row r="809">
      <c r="A809" s="241" t="n"/>
      <c r="B809" s="247" t="n"/>
      <c r="C809" s="248" t="n"/>
      <c r="D809" s="248" t="n"/>
      <c r="E809" s="249" t="n"/>
      <c r="F809" s="250" t="n"/>
      <c r="G809" s="242">
        <f>IF(ISNUMBER(F809),F809,IF(AND(ISNUMBER(C809),ISNUMBER(D809)),ROUND(MOD(D809-C809,1)*24-N(E809)/60,2),""))</f>
        <v/>
      </c>
      <c r="H809" s="241" t="n"/>
    </row>
    <row r="810">
      <c r="A810" s="241" t="n"/>
      <c r="B810" s="247" t="n"/>
      <c r="C810" s="248" t="n"/>
      <c r="D810" s="248" t="n"/>
      <c r="E810" s="249" t="n"/>
      <c r="F810" s="250" t="n"/>
      <c r="G810" s="242">
        <f>IF(ISNUMBER(F810),F810,IF(AND(ISNUMBER(C810),ISNUMBER(D810)),ROUND(MOD(D810-C810,1)*24-N(E810)/60,2),""))</f>
        <v/>
      </c>
      <c r="H810" s="241" t="n"/>
    </row>
    <row r="811">
      <c r="A811" s="241" t="n"/>
      <c r="B811" s="247" t="n"/>
      <c r="C811" s="248" t="n"/>
      <c r="D811" s="248" t="n"/>
      <c r="E811" s="249" t="n"/>
      <c r="F811" s="250" t="n"/>
      <c r="G811" s="242">
        <f>IF(ISNUMBER(F811),F811,IF(AND(ISNUMBER(C811),ISNUMBER(D811)),ROUND(MOD(D811-C811,1)*24-N(E811)/60,2),""))</f>
        <v/>
      </c>
      <c r="H811" s="241" t="n"/>
    </row>
    <row r="812">
      <c r="A812" s="241" t="n"/>
      <c r="B812" s="247" t="n"/>
      <c r="C812" s="248" t="n"/>
      <c r="D812" s="248" t="n"/>
      <c r="E812" s="249" t="n"/>
      <c r="F812" s="250" t="n"/>
      <c r="G812" s="242">
        <f>IF(ISNUMBER(F812),F812,IF(AND(ISNUMBER(C812),ISNUMBER(D812)),ROUND(MOD(D812-C812,1)*24-N(E812)/60,2),""))</f>
        <v/>
      </c>
      <c r="H812" s="241" t="n"/>
    </row>
    <row r="813">
      <c r="A813" s="241" t="n"/>
      <c r="B813" s="247" t="n"/>
      <c r="C813" s="248" t="n"/>
      <c r="D813" s="248" t="n"/>
      <c r="E813" s="249" t="n"/>
      <c r="F813" s="250" t="n"/>
      <c r="G813" s="242">
        <f>IF(ISNUMBER(F813),F813,IF(AND(ISNUMBER(C813),ISNUMBER(D813)),ROUND(MOD(D813-C813,1)*24-N(E813)/60,2),""))</f>
        <v/>
      </c>
      <c r="H813" s="241" t="n"/>
    </row>
    <row r="814">
      <c r="A814" s="241" t="n"/>
      <c r="B814" s="247" t="n"/>
      <c r="C814" s="248" t="n"/>
      <c r="D814" s="248" t="n"/>
      <c r="E814" s="249" t="n"/>
      <c r="F814" s="250" t="n"/>
      <c r="G814" s="242">
        <f>IF(ISNUMBER(F814),F814,IF(AND(ISNUMBER(C814),ISNUMBER(D814)),ROUND(MOD(D814-C814,1)*24-N(E814)/60,2),""))</f>
        <v/>
      </c>
      <c r="H814" s="241" t="n"/>
    </row>
    <row r="815">
      <c r="A815" s="241" t="n"/>
      <c r="B815" s="247" t="n"/>
      <c r="C815" s="248" t="n"/>
      <c r="D815" s="248" t="n"/>
      <c r="E815" s="249" t="n"/>
      <c r="F815" s="250" t="n"/>
      <c r="G815" s="242">
        <f>IF(ISNUMBER(F815),F815,IF(AND(ISNUMBER(C815),ISNUMBER(D815)),ROUND(MOD(D815-C815,1)*24-N(E815)/60,2),""))</f>
        <v/>
      </c>
      <c r="H815" s="241" t="n"/>
    </row>
    <row r="816">
      <c r="A816" s="241" t="n"/>
      <c r="B816" s="247" t="n"/>
      <c r="C816" s="248" t="n"/>
      <c r="D816" s="248" t="n"/>
      <c r="E816" s="249" t="n"/>
      <c r="F816" s="250" t="n"/>
      <c r="G816" s="242">
        <f>IF(ISNUMBER(F816),F816,IF(AND(ISNUMBER(C816),ISNUMBER(D816)),ROUND(MOD(D816-C816,1)*24-N(E816)/60,2),""))</f>
        <v/>
      </c>
      <c r="H816" s="241" t="n"/>
    </row>
    <row r="817">
      <c r="A817" s="241" t="n"/>
      <c r="B817" s="247" t="n"/>
      <c r="C817" s="248" t="n"/>
      <c r="D817" s="248" t="n"/>
      <c r="E817" s="249" t="n"/>
      <c r="F817" s="250" t="n"/>
      <c r="G817" s="242">
        <f>IF(ISNUMBER(F817),F817,IF(AND(ISNUMBER(C817),ISNUMBER(D817)),ROUND(MOD(D817-C817,1)*24-N(E817)/60,2),""))</f>
        <v/>
      </c>
      <c r="H817" s="241" t="n"/>
    </row>
    <row r="818">
      <c r="A818" s="241" t="n"/>
      <c r="B818" s="247" t="n"/>
      <c r="C818" s="248" t="n"/>
      <c r="D818" s="248" t="n"/>
      <c r="E818" s="249" t="n"/>
      <c r="F818" s="250" t="n"/>
      <c r="G818" s="242">
        <f>IF(ISNUMBER(F818),F818,IF(AND(ISNUMBER(C818),ISNUMBER(D818)),ROUND(MOD(D818-C818,1)*24-N(E818)/60,2),""))</f>
        <v/>
      </c>
      <c r="H818" s="241" t="n"/>
    </row>
    <row r="819">
      <c r="A819" s="241" t="n"/>
      <c r="B819" s="247" t="n"/>
      <c r="C819" s="248" t="n"/>
      <c r="D819" s="248" t="n"/>
      <c r="E819" s="249" t="n"/>
      <c r="F819" s="250" t="n"/>
      <c r="G819" s="242">
        <f>IF(ISNUMBER(F819),F819,IF(AND(ISNUMBER(C819),ISNUMBER(D819)),ROUND(MOD(D819-C819,1)*24-N(E819)/60,2),""))</f>
        <v/>
      </c>
      <c r="H819" s="241" t="n"/>
    </row>
    <row r="820">
      <c r="A820" s="241" t="n"/>
      <c r="B820" s="247" t="n"/>
      <c r="C820" s="248" t="n"/>
      <c r="D820" s="248" t="n"/>
      <c r="E820" s="249" t="n"/>
      <c r="F820" s="250" t="n"/>
      <c r="G820" s="242">
        <f>IF(ISNUMBER(F820),F820,IF(AND(ISNUMBER(C820),ISNUMBER(D820)),ROUND(MOD(D820-C820,1)*24-N(E820)/60,2),""))</f>
        <v/>
      </c>
      <c r="H820" s="241" t="n"/>
    </row>
    <row r="821">
      <c r="A821" s="241" t="n"/>
      <c r="B821" s="247" t="n"/>
      <c r="C821" s="248" t="n"/>
      <c r="D821" s="248" t="n"/>
      <c r="E821" s="249" t="n"/>
      <c r="F821" s="250" t="n"/>
      <c r="G821" s="242">
        <f>IF(ISNUMBER(F821),F821,IF(AND(ISNUMBER(C821),ISNUMBER(D821)),ROUND(MOD(D821-C821,1)*24-N(E821)/60,2),""))</f>
        <v/>
      </c>
      <c r="H821" s="241" t="n"/>
    </row>
    <row r="822">
      <c r="A822" s="241" t="n"/>
      <c r="B822" s="247" t="n"/>
      <c r="C822" s="248" t="n"/>
      <c r="D822" s="248" t="n"/>
      <c r="E822" s="249" t="n"/>
      <c r="F822" s="250" t="n"/>
      <c r="G822" s="242">
        <f>IF(ISNUMBER(F822),F822,IF(AND(ISNUMBER(C822),ISNUMBER(D822)),ROUND(MOD(D822-C822,1)*24-N(E822)/60,2),""))</f>
        <v/>
      </c>
      <c r="H822" s="241" t="n"/>
    </row>
    <row r="823">
      <c r="A823" s="241" t="n"/>
      <c r="B823" s="247" t="n"/>
      <c r="C823" s="248" t="n"/>
      <c r="D823" s="248" t="n"/>
      <c r="E823" s="249" t="n"/>
      <c r="F823" s="250" t="n"/>
      <c r="G823" s="242">
        <f>IF(ISNUMBER(F823),F823,IF(AND(ISNUMBER(C823),ISNUMBER(D823)),ROUND(MOD(D823-C823,1)*24-N(E823)/60,2),""))</f>
        <v/>
      </c>
      <c r="H823" s="241" t="n"/>
    </row>
    <row r="824">
      <c r="A824" s="241" t="n"/>
      <c r="B824" s="247" t="n"/>
      <c r="C824" s="248" t="n"/>
      <c r="D824" s="248" t="n"/>
      <c r="E824" s="249" t="n"/>
      <c r="F824" s="250" t="n"/>
      <c r="G824" s="242">
        <f>IF(ISNUMBER(F824),F824,IF(AND(ISNUMBER(C824),ISNUMBER(D824)),ROUND(MOD(D824-C824,1)*24-N(E824)/60,2),""))</f>
        <v/>
      </c>
      <c r="H824" s="241" t="n"/>
    </row>
    <row r="825">
      <c r="A825" s="241" t="n"/>
      <c r="B825" s="247" t="n"/>
      <c r="C825" s="248" t="n"/>
      <c r="D825" s="248" t="n"/>
      <c r="E825" s="249" t="n"/>
      <c r="F825" s="250" t="n"/>
      <c r="G825" s="242">
        <f>IF(ISNUMBER(F825),F825,IF(AND(ISNUMBER(C825),ISNUMBER(D825)),ROUND(MOD(D825-C825,1)*24-N(E825)/60,2),""))</f>
        <v/>
      </c>
      <c r="H825" s="241" t="n"/>
    </row>
    <row r="826">
      <c r="A826" s="241" t="n"/>
      <c r="B826" s="247" t="n"/>
      <c r="C826" s="248" t="n"/>
      <c r="D826" s="248" t="n"/>
      <c r="E826" s="249" t="n"/>
      <c r="F826" s="250" t="n"/>
      <c r="G826" s="242">
        <f>IF(ISNUMBER(F826),F826,IF(AND(ISNUMBER(C826),ISNUMBER(D826)),ROUND(MOD(D826-C826,1)*24-N(E826)/60,2),""))</f>
        <v/>
      </c>
      <c r="H826" s="241" t="n"/>
    </row>
    <row r="827">
      <c r="A827" s="241" t="n"/>
      <c r="B827" s="247" t="n"/>
      <c r="C827" s="248" t="n"/>
      <c r="D827" s="248" t="n"/>
      <c r="E827" s="249" t="n"/>
      <c r="F827" s="250" t="n"/>
      <c r="G827" s="242">
        <f>IF(ISNUMBER(F827),F827,IF(AND(ISNUMBER(C827),ISNUMBER(D827)),ROUND(MOD(D827-C827,1)*24-N(E827)/60,2),""))</f>
        <v/>
      </c>
      <c r="H827" s="241" t="n"/>
    </row>
    <row r="828">
      <c r="A828" s="241" t="n"/>
      <c r="B828" s="247" t="n"/>
      <c r="C828" s="248" t="n"/>
      <c r="D828" s="248" t="n"/>
      <c r="E828" s="249" t="n"/>
      <c r="F828" s="250" t="n"/>
      <c r="G828" s="242">
        <f>IF(ISNUMBER(F828),F828,IF(AND(ISNUMBER(C828),ISNUMBER(D828)),ROUND(MOD(D828-C828,1)*24-N(E828)/60,2),""))</f>
        <v/>
      </c>
      <c r="H828" s="241" t="n"/>
    </row>
    <row r="829">
      <c r="A829" s="241" t="n"/>
      <c r="B829" s="247" t="n"/>
      <c r="C829" s="248" t="n"/>
      <c r="D829" s="248" t="n"/>
      <c r="E829" s="249" t="n"/>
      <c r="F829" s="250" t="n"/>
      <c r="G829" s="242">
        <f>IF(ISNUMBER(F829),F829,IF(AND(ISNUMBER(C829),ISNUMBER(D829)),ROUND(MOD(D829-C829,1)*24-N(E829)/60,2),""))</f>
        <v/>
      </c>
      <c r="H829" s="241" t="n"/>
    </row>
    <row r="830">
      <c r="A830" s="241" t="n"/>
      <c r="B830" s="247" t="n"/>
      <c r="C830" s="248" t="n"/>
      <c r="D830" s="248" t="n"/>
      <c r="E830" s="249" t="n"/>
      <c r="F830" s="250" t="n"/>
      <c r="G830" s="242">
        <f>IF(ISNUMBER(F830),F830,IF(AND(ISNUMBER(C830),ISNUMBER(D830)),ROUND(MOD(D830-C830,1)*24-N(E830)/60,2),""))</f>
        <v/>
      </c>
      <c r="H830" s="241" t="n"/>
    </row>
    <row r="831">
      <c r="A831" s="241" t="n"/>
      <c r="B831" s="247" t="n"/>
      <c r="C831" s="248" t="n"/>
      <c r="D831" s="248" t="n"/>
      <c r="E831" s="249" t="n"/>
      <c r="F831" s="250" t="n"/>
      <c r="G831" s="242">
        <f>IF(ISNUMBER(F831),F831,IF(AND(ISNUMBER(C831),ISNUMBER(D831)),ROUND(MOD(D831-C831,1)*24-N(E831)/60,2),""))</f>
        <v/>
      </c>
      <c r="H831" s="241" t="n"/>
    </row>
    <row r="832">
      <c r="A832" s="241" t="n"/>
      <c r="B832" s="247" t="n"/>
      <c r="C832" s="248" t="n"/>
      <c r="D832" s="248" t="n"/>
      <c r="E832" s="249" t="n"/>
      <c r="F832" s="250" t="n"/>
      <c r="G832" s="242">
        <f>IF(ISNUMBER(F832),F832,IF(AND(ISNUMBER(C832),ISNUMBER(D832)),ROUND(MOD(D832-C832,1)*24-N(E832)/60,2),""))</f>
        <v/>
      </c>
      <c r="H832" s="241" t="n"/>
    </row>
    <row r="833">
      <c r="A833" s="241" t="n"/>
      <c r="B833" s="247" t="n"/>
      <c r="C833" s="248" t="n"/>
      <c r="D833" s="248" t="n"/>
      <c r="E833" s="249" t="n"/>
      <c r="F833" s="250" t="n"/>
      <c r="G833" s="242">
        <f>IF(ISNUMBER(F833),F833,IF(AND(ISNUMBER(C833),ISNUMBER(D833)),ROUND(MOD(D833-C833,1)*24-N(E833)/60,2),""))</f>
        <v/>
      </c>
      <c r="H833" s="241" t="n"/>
    </row>
    <row r="834">
      <c r="A834" s="241" t="n"/>
      <c r="B834" s="247" t="n"/>
      <c r="C834" s="248" t="n"/>
      <c r="D834" s="248" t="n"/>
      <c r="E834" s="249" t="n"/>
      <c r="F834" s="250" t="n"/>
      <c r="G834" s="242">
        <f>IF(ISNUMBER(F834),F834,IF(AND(ISNUMBER(C834),ISNUMBER(D834)),ROUND(MOD(D834-C834,1)*24-N(E834)/60,2),""))</f>
        <v/>
      </c>
      <c r="H834" s="241" t="n"/>
    </row>
    <row r="835">
      <c r="A835" s="241" t="n"/>
      <c r="B835" s="247" t="n"/>
      <c r="C835" s="248" t="n"/>
      <c r="D835" s="248" t="n"/>
      <c r="E835" s="249" t="n"/>
      <c r="F835" s="250" t="n"/>
      <c r="G835" s="242">
        <f>IF(ISNUMBER(F835),F835,IF(AND(ISNUMBER(C835),ISNUMBER(D835)),ROUND(MOD(D835-C835,1)*24-N(E835)/60,2),""))</f>
        <v/>
      </c>
      <c r="H835" s="241" t="n"/>
    </row>
    <row r="836">
      <c r="A836" s="241" t="n"/>
      <c r="B836" s="247" t="n"/>
      <c r="C836" s="248" t="n"/>
      <c r="D836" s="248" t="n"/>
      <c r="E836" s="249" t="n"/>
      <c r="F836" s="250" t="n"/>
      <c r="G836" s="242">
        <f>IF(ISNUMBER(F836),F836,IF(AND(ISNUMBER(C836),ISNUMBER(D836)),ROUND(MOD(D836-C836,1)*24-N(E836)/60,2),""))</f>
        <v/>
      </c>
      <c r="H836" s="241" t="n"/>
    </row>
    <row r="837">
      <c r="A837" s="241" t="n"/>
      <c r="B837" s="247" t="n"/>
      <c r="C837" s="248" t="n"/>
      <c r="D837" s="248" t="n"/>
      <c r="E837" s="249" t="n"/>
      <c r="F837" s="250" t="n"/>
      <c r="G837" s="242">
        <f>IF(ISNUMBER(F837),F837,IF(AND(ISNUMBER(C837),ISNUMBER(D837)),ROUND(MOD(D837-C837,1)*24-N(E837)/60,2),""))</f>
        <v/>
      </c>
      <c r="H837" s="241" t="n"/>
    </row>
    <row r="838">
      <c r="A838" s="241" t="n"/>
      <c r="B838" s="247" t="n"/>
      <c r="C838" s="248" t="n"/>
      <c r="D838" s="248" t="n"/>
      <c r="E838" s="249" t="n"/>
      <c r="F838" s="250" t="n"/>
      <c r="G838" s="242">
        <f>IF(ISNUMBER(F838),F838,IF(AND(ISNUMBER(C838),ISNUMBER(D838)),ROUND(MOD(D838-C838,1)*24-N(E838)/60,2),""))</f>
        <v/>
      </c>
      <c r="H838" s="241" t="n"/>
    </row>
    <row r="839">
      <c r="A839" s="241" t="n"/>
      <c r="B839" s="247" t="n"/>
      <c r="C839" s="248" t="n"/>
      <c r="D839" s="248" t="n"/>
      <c r="E839" s="249" t="n"/>
      <c r="F839" s="250" t="n"/>
      <c r="G839" s="242">
        <f>IF(ISNUMBER(F839),F839,IF(AND(ISNUMBER(C839),ISNUMBER(D839)),ROUND(MOD(D839-C839,1)*24-N(E839)/60,2),""))</f>
        <v/>
      </c>
      <c r="H839" s="241" t="n"/>
    </row>
    <row r="840">
      <c r="A840" s="241" t="n"/>
      <c r="B840" s="247" t="n"/>
      <c r="C840" s="248" t="n"/>
      <c r="D840" s="248" t="n"/>
      <c r="E840" s="249" t="n"/>
      <c r="F840" s="250" t="n"/>
      <c r="G840" s="242">
        <f>IF(ISNUMBER(F840),F840,IF(AND(ISNUMBER(C840),ISNUMBER(D840)),ROUND(MOD(D840-C840,1)*24-N(E840)/60,2),""))</f>
        <v/>
      </c>
      <c r="H840" s="241" t="n"/>
    </row>
    <row r="841">
      <c r="A841" s="241" t="n"/>
      <c r="B841" s="247" t="n"/>
      <c r="C841" s="248" t="n"/>
      <c r="D841" s="248" t="n"/>
      <c r="E841" s="249" t="n"/>
      <c r="F841" s="250" t="n"/>
      <c r="G841" s="242">
        <f>IF(ISNUMBER(F841),F841,IF(AND(ISNUMBER(C841),ISNUMBER(D841)),ROUND(MOD(D841-C841,1)*24-N(E841)/60,2),""))</f>
        <v/>
      </c>
      <c r="H841" s="241" t="n"/>
    </row>
    <row r="842">
      <c r="A842" s="241" t="n"/>
      <c r="B842" s="247" t="n"/>
      <c r="C842" s="248" t="n"/>
      <c r="D842" s="248" t="n"/>
      <c r="E842" s="249" t="n"/>
      <c r="F842" s="250" t="n"/>
      <c r="G842" s="242">
        <f>IF(ISNUMBER(F842),F842,IF(AND(ISNUMBER(C842),ISNUMBER(D842)),ROUND(MOD(D842-C842,1)*24-N(E842)/60,2),""))</f>
        <v/>
      </c>
      <c r="H842" s="241" t="n"/>
    </row>
    <row r="843">
      <c r="A843" s="241" t="n"/>
      <c r="B843" s="247" t="n"/>
      <c r="C843" s="248" t="n"/>
      <c r="D843" s="248" t="n"/>
      <c r="E843" s="249" t="n"/>
      <c r="F843" s="250" t="n"/>
      <c r="G843" s="242">
        <f>IF(ISNUMBER(F843),F843,IF(AND(ISNUMBER(C843),ISNUMBER(D843)),ROUND(MOD(D843-C843,1)*24-N(E843)/60,2),""))</f>
        <v/>
      </c>
      <c r="H843" s="241" t="n"/>
    </row>
    <row r="844">
      <c r="A844" s="241" t="n"/>
      <c r="B844" s="247" t="n"/>
      <c r="C844" s="248" t="n"/>
      <c r="D844" s="248" t="n"/>
      <c r="E844" s="249" t="n"/>
      <c r="F844" s="250" t="n"/>
      <c r="G844" s="242">
        <f>IF(ISNUMBER(F844),F844,IF(AND(ISNUMBER(C844),ISNUMBER(D844)),ROUND(MOD(D844-C844,1)*24-N(E844)/60,2),""))</f>
        <v/>
      </c>
      <c r="H844" s="241" t="n"/>
    </row>
    <row r="845">
      <c r="A845" s="241" t="n"/>
      <c r="B845" s="247" t="n"/>
      <c r="C845" s="248" t="n"/>
      <c r="D845" s="248" t="n"/>
      <c r="E845" s="249" t="n"/>
      <c r="F845" s="250" t="n"/>
      <c r="G845" s="242">
        <f>IF(ISNUMBER(F845),F845,IF(AND(ISNUMBER(C845),ISNUMBER(D845)),ROUND(MOD(D845-C845,1)*24-N(E845)/60,2),""))</f>
        <v/>
      </c>
      <c r="H845" s="241" t="n"/>
    </row>
    <row r="846">
      <c r="A846" s="241" t="n"/>
      <c r="B846" s="247" t="n"/>
      <c r="C846" s="248" t="n"/>
      <c r="D846" s="248" t="n"/>
      <c r="E846" s="249" t="n"/>
      <c r="F846" s="250" t="n"/>
      <c r="G846" s="242">
        <f>IF(ISNUMBER(F846),F846,IF(AND(ISNUMBER(C846),ISNUMBER(D846)),ROUND(MOD(D846-C846,1)*24-N(E846)/60,2),""))</f>
        <v/>
      </c>
      <c r="H846" s="241" t="n"/>
    </row>
    <row r="847">
      <c r="A847" s="241" t="n"/>
      <c r="B847" s="247" t="n"/>
      <c r="C847" s="248" t="n"/>
      <c r="D847" s="248" t="n"/>
      <c r="E847" s="249" t="n"/>
      <c r="F847" s="250" t="n"/>
      <c r="G847" s="242">
        <f>IF(ISNUMBER(F847),F847,IF(AND(ISNUMBER(C847),ISNUMBER(D847)),ROUND(MOD(D847-C847,1)*24-N(E847)/60,2),""))</f>
        <v/>
      </c>
      <c r="H847" s="241" t="n"/>
    </row>
    <row r="848">
      <c r="A848" s="241" t="n"/>
      <c r="B848" s="247" t="n"/>
      <c r="C848" s="248" t="n"/>
      <c r="D848" s="248" t="n"/>
      <c r="E848" s="249" t="n"/>
      <c r="F848" s="250" t="n"/>
      <c r="G848" s="242">
        <f>IF(ISNUMBER(F848),F848,IF(AND(ISNUMBER(C848),ISNUMBER(D848)),ROUND(MOD(D848-C848,1)*24-N(E848)/60,2),""))</f>
        <v/>
      </c>
      <c r="H848" s="241" t="n"/>
    </row>
    <row r="849">
      <c r="A849" s="241" t="n"/>
      <c r="B849" s="247" t="n"/>
      <c r="C849" s="248" t="n"/>
      <c r="D849" s="248" t="n"/>
      <c r="E849" s="249" t="n"/>
      <c r="F849" s="250" t="n"/>
      <c r="G849" s="242">
        <f>IF(ISNUMBER(F849),F849,IF(AND(ISNUMBER(C849),ISNUMBER(D849)),ROUND(MOD(D849-C849,1)*24-N(E849)/60,2),""))</f>
        <v/>
      </c>
      <c r="H849" s="241" t="n"/>
    </row>
    <row r="850">
      <c r="A850" s="241" t="n"/>
      <c r="B850" s="247" t="n"/>
      <c r="C850" s="248" t="n"/>
      <c r="D850" s="248" t="n"/>
      <c r="E850" s="249" t="n"/>
      <c r="F850" s="250" t="n"/>
      <c r="G850" s="242">
        <f>IF(ISNUMBER(F850),F850,IF(AND(ISNUMBER(C850),ISNUMBER(D850)),ROUND(MOD(D850-C850,1)*24-N(E850)/60,2),""))</f>
        <v/>
      </c>
      <c r="H850" s="241" t="n"/>
    </row>
    <row r="851">
      <c r="A851" s="241" t="n"/>
      <c r="B851" s="247" t="n"/>
      <c r="C851" s="248" t="n"/>
      <c r="D851" s="248" t="n"/>
      <c r="E851" s="249" t="n"/>
      <c r="F851" s="250" t="n"/>
      <c r="G851" s="242">
        <f>IF(ISNUMBER(F851),F851,IF(AND(ISNUMBER(C851),ISNUMBER(D851)),ROUND(MOD(D851-C851,1)*24-N(E851)/60,2),""))</f>
        <v/>
      </c>
      <c r="H851" s="241" t="n"/>
    </row>
    <row r="852">
      <c r="A852" s="241" t="n"/>
      <c r="B852" s="247" t="n"/>
      <c r="C852" s="248" t="n"/>
      <c r="D852" s="248" t="n"/>
      <c r="E852" s="249" t="n"/>
      <c r="F852" s="250" t="n"/>
      <c r="G852" s="242">
        <f>IF(ISNUMBER(F852),F852,IF(AND(ISNUMBER(C852),ISNUMBER(D852)),ROUND(MOD(D852-C852,1)*24-N(E852)/60,2),""))</f>
        <v/>
      </c>
      <c r="H852" s="241" t="n"/>
    </row>
    <row r="853">
      <c r="A853" s="241" t="n"/>
      <c r="B853" s="247" t="n"/>
      <c r="C853" s="248" t="n"/>
      <c r="D853" s="248" t="n"/>
      <c r="E853" s="249" t="n"/>
      <c r="F853" s="250" t="n"/>
      <c r="G853" s="242">
        <f>IF(ISNUMBER(F853),F853,IF(AND(ISNUMBER(C853),ISNUMBER(D853)),ROUND(MOD(D853-C853,1)*24-N(E853)/60,2),""))</f>
        <v/>
      </c>
      <c r="H853" s="241" t="n"/>
    </row>
    <row r="854">
      <c r="A854" s="241" t="n"/>
      <c r="B854" s="247" t="n"/>
      <c r="C854" s="248" t="n"/>
      <c r="D854" s="248" t="n"/>
      <c r="E854" s="249" t="n"/>
      <c r="F854" s="250" t="n"/>
      <c r="G854" s="242">
        <f>IF(ISNUMBER(F854),F854,IF(AND(ISNUMBER(C854),ISNUMBER(D854)),ROUND(MOD(D854-C854,1)*24-N(E854)/60,2),""))</f>
        <v/>
      </c>
      <c r="H854" s="241" t="n"/>
    </row>
    <row r="855">
      <c r="A855" s="241" t="n"/>
      <c r="B855" s="247" t="n"/>
      <c r="C855" s="248" t="n"/>
      <c r="D855" s="248" t="n"/>
      <c r="E855" s="249" t="n"/>
      <c r="F855" s="250" t="n"/>
      <c r="G855" s="242">
        <f>IF(ISNUMBER(F855),F855,IF(AND(ISNUMBER(C855),ISNUMBER(D855)),ROUND(MOD(D855-C855,1)*24-N(E855)/60,2),""))</f>
        <v/>
      </c>
      <c r="H855" s="241" t="n"/>
    </row>
    <row r="856">
      <c r="A856" s="241" t="n"/>
      <c r="B856" s="247" t="n"/>
      <c r="C856" s="248" t="n"/>
      <c r="D856" s="248" t="n"/>
      <c r="E856" s="249" t="n"/>
      <c r="F856" s="250" t="n"/>
      <c r="G856" s="242">
        <f>IF(ISNUMBER(F856),F856,IF(AND(ISNUMBER(C856),ISNUMBER(D856)),ROUND(MOD(D856-C856,1)*24-N(E856)/60,2),""))</f>
        <v/>
      </c>
      <c r="H856" s="241" t="n"/>
    </row>
    <row r="857">
      <c r="A857" s="241" t="n"/>
      <c r="B857" s="247" t="n"/>
      <c r="C857" s="248" t="n"/>
      <c r="D857" s="248" t="n"/>
      <c r="E857" s="249" t="n"/>
      <c r="F857" s="250" t="n"/>
      <c r="G857" s="242">
        <f>IF(ISNUMBER(F857),F857,IF(AND(ISNUMBER(C857),ISNUMBER(D857)),ROUND(MOD(D857-C857,1)*24-N(E857)/60,2),""))</f>
        <v/>
      </c>
      <c r="H857" s="241" t="n"/>
    </row>
    <row r="858">
      <c r="A858" s="241" t="n"/>
      <c r="B858" s="247" t="n"/>
      <c r="C858" s="248" t="n"/>
      <c r="D858" s="248" t="n"/>
      <c r="E858" s="249" t="n"/>
      <c r="F858" s="250" t="n"/>
      <c r="G858" s="242">
        <f>IF(ISNUMBER(F858),F858,IF(AND(ISNUMBER(C858),ISNUMBER(D858)),ROUND(MOD(D858-C858,1)*24-N(E858)/60,2),""))</f>
        <v/>
      </c>
      <c r="H858" s="241" t="n"/>
    </row>
    <row r="859">
      <c r="A859" s="241" t="n"/>
      <c r="B859" s="247" t="n"/>
      <c r="C859" s="248" t="n"/>
      <c r="D859" s="248" t="n"/>
      <c r="E859" s="249" t="n"/>
      <c r="F859" s="250" t="n"/>
      <c r="G859" s="242">
        <f>IF(ISNUMBER(F859),F859,IF(AND(ISNUMBER(C859),ISNUMBER(D859)),ROUND(MOD(D859-C859,1)*24-N(E859)/60,2),""))</f>
        <v/>
      </c>
      <c r="H859" s="241" t="n"/>
    </row>
    <row r="860">
      <c r="A860" s="241" t="n"/>
      <c r="B860" s="247" t="n"/>
      <c r="C860" s="248" t="n"/>
      <c r="D860" s="248" t="n"/>
      <c r="E860" s="249" t="n"/>
      <c r="F860" s="250" t="n"/>
      <c r="G860" s="242">
        <f>IF(ISNUMBER(F860),F860,IF(AND(ISNUMBER(C860),ISNUMBER(D860)),ROUND(MOD(D860-C860,1)*24-N(E860)/60,2),""))</f>
        <v/>
      </c>
      <c r="H860" s="241" t="n"/>
    </row>
    <row r="861">
      <c r="A861" s="241" t="n"/>
      <c r="B861" s="247" t="n"/>
      <c r="C861" s="248" t="n"/>
      <c r="D861" s="248" t="n"/>
      <c r="E861" s="249" t="n"/>
      <c r="F861" s="250" t="n"/>
      <c r="G861" s="242">
        <f>IF(ISNUMBER(F861),F861,IF(AND(ISNUMBER(C861),ISNUMBER(D861)),ROUND(MOD(D861-C861,1)*24-N(E861)/60,2),""))</f>
        <v/>
      </c>
      <c r="H861" s="241" t="n"/>
    </row>
    <row r="862">
      <c r="A862" s="241" t="n"/>
      <c r="B862" s="247" t="n"/>
      <c r="C862" s="248" t="n"/>
      <c r="D862" s="248" t="n"/>
      <c r="E862" s="249" t="n"/>
      <c r="F862" s="250" t="n"/>
      <c r="G862" s="242">
        <f>IF(ISNUMBER(F862),F862,IF(AND(ISNUMBER(C862),ISNUMBER(D862)),ROUND(MOD(D862-C862,1)*24-N(E862)/60,2),""))</f>
        <v/>
      </c>
      <c r="H862" s="241" t="n"/>
    </row>
    <row r="863">
      <c r="A863" s="241" t="n"/>
      <c r="B863" s="247" t="n"/>
      <c r="C863" s="248" t="n"/>
      <c r="D863" s="248" t="n"/>
      <c r="E863" s="249" t="n"/>
      <c r="F863" s="250" t="n"/>
      <c r="G863" s="242">
        <f>IF(ISNUMBER(F863),F863,IF(AND(ISNUMBER(C863),ISNUMBER(D863)),ROUND(MOD(D863-C863,1)*24-N(E863)/60,2),""))</f>
        <v/>
      </c>
      <c r="H863" s="241" t="n"/>
    </row>
    <row r="864">
      <c r="A864" s="241" t="n"/>
      <c r="B864" s="247" t="n"/>
      <c r="C864" s="248" t="n"/>
      <c r="D864" s="248" t="n"/>
      <c r="E864" s="249" t="n"/>
      <c r="F864" s="250" t="n"/>
      <c r="G864" s="242">
        <f>IF(ISNUMBER(F864),F864,IF(AND(ISNUMBER(C864),ISNUMBER(D864)),ROUND(MOD(D864-C864,1)*24-N(E864)/60,2),""))</f>
        <v/>
      </c>
      <c r="H864" s="241" t="n"/>
    </row>
    <row r="865">
      <c r="A865" s="241" t="n"/>
      <c r="B865" s="247" t="n"/>
      <c r="C865" s="248" t="n"/>
      <c r="D865" s="248" t="n"/>
      <c r="E865" s="249" t="n"/>
      <c r="F865" s="250" t="n"/>
      <c r="G865" s="242">
        <f>IF(ISNUMBER(F865),F865,IF(AND(ISNUMBER(C865),ISNUMBER(D865)),ROUND(MOD(D865-C865,1)*24-N(E865)/60,2),""))</f>
        <v/>
      </c>
      <c r="H865" s="241" t="n"/>
    </row>
    <row r="866">
      <c r="A866" s="241" t="n"/>
      <c r="B866" s="247" t="n"/>
      <c r="C866" s="248" t="n"/>
      <c r="D866" s="248" t="n"/>
      <c r="E866" s="249" t="n"/>
      <c r="F866" s="250" t="n"/>
      <c r="G866" s="242">
        <f>IF(ISNUMBER(F866),F866,IF(AND(ISNUMBER(C866),ISNUMBER(D866)),ROUND(MOD(D866-C866,1)*24-N(E866)/60,2),""))</f>
        <v/>
      </c>
      <c r="H866" s="241" t="n"/>
    </row>
    <row r="867">
      <c r="A867" s="241" t="n"/>
      <c r="B867" s="247" t="n"/>
      <c r="C867" s="248" t="n"/>
      <c r="D867" s="248" t="n"/>
      <c r="E867" s="249" t="n"/>
      <c r="F867" s="250" t="n"/>
      <c r="G867" s="242">
        <f>IF(ISNUMBER(F867),F867,IF(AND(ISNUMBER(C867),ISNUMBER(D867)),ROUND(MOD(D867-C867,1)*24-N(E867)/60,2),""))</f>
        <v/>
      </c>
      <c r="H867" s="241" t="n"/>
    </row>
    <row r="868">
      <c r="A868" s="241" t="n"/>
      <c r="B868" s="247" t="n"/>
      <c r="C868" s="248" t="n"/>
      <c r="D868" s="248" t="n"/>
      <c r="E868" s="249" t="n"/>
      <c r="F868" s="250" t="n"/>
      <c r="G868" s="242">
        <f>IF(ISNUMBER(F868),F868,IF(AND(ISNUMBER(C868),ISNUMBER(D868)),ROUND(MOD(D868-C868,1)*24-N(E868)/60,2),""))</f>
        <v/>
      </c>
      <c r="H868" s="241" t="n"/>
    </row>
    <row r="869">
      <c r="A869" s="241" t="n"/>
      <c r="B869" s="247" t="n"/>
      <c r="C869" s="248" t="n"/>
      <c r="D869" s="248" t="n"/>
      <c r="E869" s="249" t="n"/>
      <c r="F869" s="250" t="n"/>
      <c r="G869" s="242">
        <f>IF(ISNUMBER(F869),F869,IF(AND(ISNUMBER(C869),ISNUMBER(D869)),ROUND(MOD(D869-C869,1)*24-N(E869)/60,2),""))</f>
        <v/>
      </c>
      <c r="H869" s="241" t="n"/>
    </row>
    <row r="870">
      <c r="A870" s="241" t="n"/>
      <c r="B870" s="247" t="n"/>
      <c r="C870" s="248" t="n"/>
      <c r="D870" s="248" t="n"/>
      <c r="E870" s="249" t="n"/>
      <c r="F870" s="250" t="n"/>
      <c r="G870" s="242">
        <f>IF(ISNUMBER(F870),F870,IF(AND(ISNUMBER(C870),ISNUMBER(D870)),ROUND(MOD(D870-C870,1)*24-N(E870)/60,2),""))</f>
        <v/>
      </c>
      <c r="H870" s="241" t="n"/>
    </row>
    <row r="871">
      <c r="A871" s="241" t="n"/>
      <c r="B871" s="247" t="n"/>
      <c r="C871" s="248" t="n"/>
      <c r="D871" s="248" t="n"/>
      <c r="E871" s="249" t="n"/>
      <c r="F871" s="250" t="n"/>
      <c r="G871" s="242">
        <f>IF(ISNUMBER(F871),F871,IF(AND(ISNUMBER(C871),ISNUMBER(D871)),ROUND(MOD(D871-C871,1)*24-N(E871)/60,2),""))</f>
        <v/>
      </c>
      <c r="H871" s="241" t="n"/>
    </row>
    <row r="872">
      <c r="A872" s="241" t="n"/>
      <c r="B872" s="247" t="n"/>
      <c r="C872" s="248" t="n"/>
      <c r="D872" s="248" t="n"/>
      <c r="E872" s="249" t="n"/>
      <c r="F872" s="250" t="n"/>
      <c r="G872" s="242">
        <f>IF(ISNUMBER(F872),F872,IF(AND(ISNUMBER(C872),ISNUMBER(D872)),ROUND(MOD(D872-C872,1)*24-N(E872)/60,2),""))</f>
        <v/>
      </c>
      <c r="H872" s="241" t="n"/>
    </row>
    <row r="873">
      <c r="A873" s="241" t="n"/>
      <c r="B873" s="247" t="n"/>
      <c r="C873" s="248" t="n"/>
      <c r="D873" s="248" t="n"/>
      <c r="E873" s="249" t="n"/>
      <c r="F873" s="250" t="n"/>
      <c r="G873" s="242">
        <f>IF(ISNUMBER(F873),F873,IF(AND(ISNUMBER(C873),ISNUMBER(D873)),ROUND(MOD(D873-C873,1)*24-N(E873)/60,2),""))</f>
        <v/>
      </c>
      <c r="H873" s="241" t="n"/>
    </row>
    <row r="874">
      <c r="A874" s="241" t="n"/>
      <c r="B874" s="247" t="n"/>
      <c r="C874" s="248" t="n"/>
      <c r="D874" s="248" t="n"/>
      <c r="E874" s="249" t="n"/>
      <c r="F874" s="250" t="n"/>
      <c r="G874" s="242">
        <f>IF(ISNUMBER(F874),F874,IF(AND(ISNUMBER(C874),ISNUMBER(D874)),ROUND(MOD(D874-C874,1)*24-N(E874)/60,2),""))</f>
        <v/>
      </c>
      <c r="H874" s="241" t="n"/>
    </row>
    <row r="875">
      <c r="A875" s="241" t="n"/>
      <c r="B875" s="247" t="n"/>
      <c r="C875" s="248" t="n"/>
      <c r="D875" s="248" t="n"/>
      <c r="E875" s="249" t="n"/>
      <c r="F875" s="250" t="n"/>
      <c r="G875" s="242">
        <f>IF(ISNUMBER(F875),F875,IF(AND(ISNUMBER(C875),ISNUMBER(D875)),ROUND(MOD(D875-C875,1)*24-N(E875)/60,2),""))</f>
        <v/>
      </c>
      <c r="H875" s="241" t="n"/>
    </row>
    <row r="876">
      <c r="A876" s="241" t="n"/>
      <c r="B876" s="247" t="n"/>
      <c r="C876" s="248" t="n"/>
      <c r="D876" s="248" t="n"/>
      <c r="E876" s="249" t="n"/>
      <c r="F876" s="250" t="n"/>
      <c r="G876" s="242">
        <f>IF(ISNUMBER(F876),F876,IF(AND(ISNUMBER(C876),ISNUMBER(D876)),ROUND(MOD(D876-C876,1)*24-N(E876)/60,2),""))</f>
        <v/>
      </c>
      <c r="H876" s="241" t="n"/>
    </row>
    <row r="877">
      <c r="A877" s="241" t="n"/>
      <c r="B877" s="247" t="n"/>
      <c r="C877" s="248" t="n"/>
      <c r="D877" s="248" t="n"/>
      <c r="E877" s="249" t="n"/>
      <c r="F877" s="250" t="n"/>
      <c r="G877" s="242">
        <f>IF(ISNUMBER(F877),F877,IF(AND(ISNUMBER(C877),ISNUMBER(D877)),ROUND(MOD(D877-C877,1)*24-N(E877)/60,2),""))</f>
        <v/>
      </c>
      <c r="H877" s="241" t="n"/>
    </row>
    <row r="878">
      <c r="A878" s="241" t="n"/>
      <c r="B878" s="247" t="n"/>
      <c r="C878" s="248" t="n"/>
      <c r="D878" s="248" t="n"/>
      <c r="E878" s="249" t="n"/>
      <c r="F878" s="250" t="n"/>
      <c r="G878" s="242">
        <f>IF(ISNUMBER(F878),F878,IF(AND(ISNUMBER(C878),ISNUMBER(D878)),ROUND(MOD(D878-C878,1)*24-N(E878)/60,2),""))</f>
        <v/>
      </c>
      <c r="H878" s="241" t="n"/>
    </row>
    <row r="879">
      <c r="A879" s="241" t="n"/>
      <c r="B879" s="247" t="n"/>
      <c r="C879" s="248" t="n"/>
      <c r="D879" s="248" t="n"/>
      <c r="E879" s="249" t="n"/>
      <c r="F879" s="250" t="n"/>
      <c r="G879" s="242">
        <f>IF(ISNUMBER(F879),F879,IF(AND(ISNUMBER(C879),ISNUMBER(D879)),ROUND(MOD(D879-C879,1)*24-N(E879)/60,2),""))</f>
        <v/>
      </c>
      <c r="H879" s="241" t="n"/>
    </row>
    <row r="880">
      <c r="A880" s="241" t="n"/>
      <c r="B880" s="247" t="n"/>
      <c r="C880" s="248" t="n"/>
      <c r="D880" s="248" t="n"/>
      <c r="E880" s="249" t="n"/>
      <c r="F880" s="250" t="n"/>
      <c r="G880" s="242">
        <f>IF(ISNUMBER(F880),F880,IF(AND(ISNUMBER(C880),ISNUMBER(D880)),ROUND(MOD(D880-C880,1)*24-N(E880)/60,2),""))</f>
        <v/>
      </c>
      <c r="H880" s="241" t="n"/>
    </row>
    <row r="881">
      <c r="A881" s="241" t="n"/>
      <c r="B881" s="247" t="n"/>
      <c r="C881" s="248" t="n"/>
      <c r="D881" s="248" t="n"/>
      <c r="E881" s="249" t="n"/>
      <c r="F881" s="250" t="n"/>
      <c r="G881" s="242">
        <f>IF(ISNUMBER(F881),F881,IF(AND(ISNUMBER(C881),ISNUMBER(D881)),ROUND(MOD(D881-C881,1)*24-N(E881)/60,2),""))</f>
        <v/>
      </c>
      <c r="H881" s="241" t="n"/>
    </row>
    <row r="882">
      <c r="A882" s="241" t="n"/>
      <c r="B882" s="247" t="n"/>
      <c r="C882" s="248" t="n"/>
      <c r="D882" s="248" t="n"/>
      <c r="E882" s="249" t="n"/>
      <c r="F882" s="250" t="n"/>
      <c r="G882" s="242">
        <f>IF(ISNUMBER(F882),F882,IF(AND(ISNUMBER(C882),ISNUMBER(D882)),ROUND(MOD(D882-C882,1)*24-N(E882)/60,2),""))</f>
        <v/>
      </c>
      <c r="H882" s="241" t="n"/>
    </row>
    <row r="883">
      <c r="A883" s="241" t="n"/>
      <c r="B883" s="247" t="n"/>
      <c r="C883" s="248" t="n"/>
      <c r="D883" s="248" t="n"/>
      <c r="E883" s="249" t="n"/>
      <c r="F883" s="250" t="n"/>
      <c r="G883" s="242">
        <f>IF(ISNUMBER(F883),F883,IF(AND(ISNUMBER(C883),ISNUMBER(D883)),ROUND(MOD(D883-C883,1)*24-N(E883)/60,2),""))</f>
        <v/>
      </c>
      <c r="H883" s="241" t="n"/>
    </row>
    <row r="884">
      <c r="A884" s="241" t="n"/>
      <c r="B884" s="247" t="n"/>
      <c r="C884" s="248" t="n"/>
      <c r="D884" s="248" t="n"/>
      <c r="E884" s="249" t="n"/>
      <c r="F884" s="250" t="n"/>
      <c r="G884" s="242">
        <f>IF(ISNUMBER(F884),F884,IF(AND(ISNUMBER(C884),ISNUMBER(D884)),ROUND(MOD(D884-C884,1)*24-N(E884)/60,2),""))</f>
        <v/>
      </c>
      <c r="H884" s="241" t="n"/>
    </row>
    <row r="885">
      <c r="A885" s="241" t="n"/>
      <c r="B885" s="247" t="n"/>
      <c r="C885" s="248" t="n"/>
      <c r="D885" s="248" t="n"/>
      <c r="E885" s="249" t="n"/>
      <c r="F885" s="250" t="n"/>
      <c r="G885" s="242">
        <f>IF(ISNUMBER(F885),F885,IF(AND(ISNUMBER(C885),ISNUMBER(D885)),ROUND(MOD(D885-C885,1)*24-N(E885)/60,2),""))</f>
        <v/>
      </c>
      <c r="H885" s="241" t="n"/>
    </row>
    <row r="886">
      <c r="A886" s="241" t="n"/>
      <c r="B886" s="247" t="n"/>
      <c r="C886" s="248" t="n"/>
      <c r="D886" s="248" t="n"/>
      <c r="E886" s="249" t="n"/>
      <c r="F886" s="250" t="n"/>
      <c r="G886" s="242">
        <f>IF(ISNUMBER(F886),F886,IF(AND(ISNUMBER(C886),ISNUMBER(D886)),ROUND(MOD(D886-C886,1)*24-N(E886)/60,2),""))</f>
        <v/>
      </c>
      <c r="H886" s="241" t="n"/>
    </row>
    <row r="887">
      <c r="A887" s="241" t="n"/>
      <c r="B887" s="247" t="n"/>
      <c r="C887" s="248" t="n"/>
      <c r="D887" s="248" t="n"/>
      <c r="E887" s="249" t="n"/>
      <c r="F887" s="250" t="n"/>
      <c r="G887" s="242">
        <f>IF(ISNUMBER(F887),F887,IF(AND(ISNUMBER(C887),ISNUMBER(D887)),ROUND(MOD(D887-C887,1)*24-N(E887)/60,2),""))</f>
        <v/>
      </c>
      <c r="H887" s="241" t="n"/>
    </row>
    <row r="888">
      <c r="A888" s="241" t="n"/>
      <c r="B888" s="247" t="n"/>
      <c r="C888" s="248" t="n"/>
      <c r="D888" s="248" t="n"/>
      <c r="E888" s="249" t="n"/>
      <c r="F888" s="250" t="n"/>
      <c r="G888" s="242">
        <f>IF(ISNUMBER(F888),F888,IF(AND(ISNUMBER(C888),ISNUMBER(D888)),ROUND(MOD(D888-C888,1)*24-N(E888)/60,2),""))</f>
        <v/>
      </c>
      <c r="H888" s="241" t="n"/>
    </row>
    <row r="889">
      <c r="A889" s="241" t="n"/>
      <c r="B889" s="247" t="n"/>
      <c r="C889" s="248" t="n"/>
      <c r="D889" s="248" t="n"/>
      <c r="E889" s="249" t="n"/>
      <c r="F889" s="250" t="n"/>
      <c r="G889" s="242">
        <f>IF(ISNUMBER(F889),F889,IF(AND(ISNUMBER(C889),ISNUMBER(D889)),ROUND(MOD(D889-C889,1)*24-N(E889)/60,2),""))</f>
        <v/>
      </c>
      <c r="H889" s="241" t="n"/>
    </row>
    <row r="890">
      <c r="A890" s="241" t="n"/>
      <c r="B890" s="247" t="n"/>
      <c r="C890" s="248" t="n"/>
      <c r="D890" s="248" t="n"/>
      <c r="E890" s="249" t="n"/>
      <c r="F890" s="250" t="n"/>
      <c r="G890" s="242">
        <f>IF(ISNUMBER(F890),F890,IF(AND(ISNUMBER(C890),ISNUMBER(D890)),ROUND(MOD(D890-C890,1)*24-N(E890)/60,2),""))</f>
        <v/>
      </c>
      <c r="H890" s="241" t="n"/>
    </row>
    <row r="891">
      <c r="A891" s="241" t="n"/>
      <c r="B891" s="247" t="n"/>
      <c r="C891" s="248" t="n"/>
      <c r="D891" s="248" t="n"/>
      <c r="E891" s="249" t="n"/>
      <c r="F891" s="250" t="n"/>
      <c r="G891" s="242">
        <f>IF(ISNUMBER(F891),F891,IF(AND(ISNUMBER(C891),ISNUMBER(D891)),ROUND(MOD(D891-C891,1)*24-N(E891)/60,2),""))</f>
        <v/>
      </c>
      <c r="H891" s="241" t="n"/>
    </row>
    <row r="892">
      <c r="A892" s="241" t="n"/>
      <c r="B892" s="247" t="n"/>
      <c r="C892" s="248" t="n"/>
      <c r="D892" s="248" t="n"/>
      <c r="E892" s="249" t="n"/>
      <c r="F892" s="250" t="n"/>
      <c r="G892" s="242">
        <f>IF(ISNUMBER(F892),F892,IF(AND(ISNUMBER(C892),ISNUMBER(D892)),ROUND(MOD(D892-C892,1)*24-N(E892)/60,2),""))</f>
        <v/>
      </c>
      <c r="H892" s="241" t="n"/>
    </row>
    <row r="893">
      <c r="A893" s="241" t="n"/>
      <c r="B893" s="247" t="n"/>
      <c r="C893" s="248" t="n"/>
      <c r="D893" s="248" t="n"/>
      <c r="E893" s="249" t="n"/>
      <c r="F893" s="250" t="n"/>
      <c r="G893" s="242">
        <f>IF(ISNUMBER(F893),F893,IF(AND(ISNUMBER(C893),ISNUMBER(D893)),ROUND(MOD(D893-C893,1)*24-N(E893)/60,2),""))</f>
        <v/>
      </c>
      <c r="H893" s="241" t="n"/>
    </row>
    <row r="894">
      <c r="A894" s="241" t="n"/>
      <c r="B894" s="247" t="n"/>
      <c r="C894" s="248" t="n"/>
      <c r="D894" s="248" t="n"/>
      <c r="E894" s="249" t="n"/>
      <c r="F894" s="250" t="n"/>
      <c r="G894" s="242">
        <f>IF(ISNUMBER(F894),F894,IF(AND(ISNUMBER(C894),ISNUMBER(D894)),ROUND(MOD(D894-C894,1)*24-N(E894)/60,2),""))</f>
        <v/>
      </c>
      <c r="H894" s="241" t="n"/>
    </row>
    <row r="895">
      <c r="A895" s="241" t="n"/>
      <c r="B895" s="247" t="n"/>
      <c r="C895" s="248" t="n"/>
      <c r="D895" s="248" t="n"/>
      <c r="E895" s="249" t="n"/>
      <c r="F895" s="250" t="n"/>
      <c r="G895" s="242">
        <f>IF(ISNUMBER(F895),F895,IF(AND(ISNUMBER(C895),ISNUMBER(D895)),ROUND(MOD(D895-C895,1)*24-N(E895)/60,2),""))</f>
        <v/>
      </c>
      <c r="H895" s="241" t="n"/>
    </row>
    <row r="896">
      <c r="A896" s="241" t="n"/>
      <c r="B896" s="247" t="n"/>
      <c r="C896" s="248" t="n"/>
      <c r="D896" s="248" t="n"/>
      <c r="E896" s="249" t="n"/>
      <c r="F896" s="250" t="n"/>
      <c r="G896" s="242">
        <f>IF(ISNUMBER(F896),F896,IF(AND(ISNUMBER(C896),ISNUMBER(D896)),ROUND(MOD(D896-C896,1)*24-N(E896)/60,2),""))</f>
        <v/>
      </c>
      <c r="H896" s="241" t="n"/>
    </row>
    <row r="897">
      <c r="A897" s="241" t="n"/>
      <c r="B897" s="247" t="n"/>
      <c r="C897" s="248" t="n"/>
      <c r="D897" s="248" t="n"/>
      <c r="E897" s="249" t="n"/>
      <c r="F897" s="250" t="n"/>
      <c r="G897" s="242">
        <f>IF(ISNUMBER(F897),F897,IF(AND(ISNUMBER(C897),ISNUMBER(D897)),ROUND(MOD(D897-C897,1)*24-N(E897)/60,2),""))</f>
        <v/>
      </c>
      <c r="H897" s="241" t="n"/>
    </row>
    <row r="898">
      <c r="A898" s="241" t="n"/>
      <c r="B898" s="247" t="n"/>
      <c r="C898" s="248" t="n"/>
      <c r="D898" s="248" t="n"/>
      <c r="E898" s="249" t="n"/>
      <c r="F898" s="250" t="n"/>
      <c r="G898" s="242">
        <f>IF(ISNUMBER(F898),F898,IF(AND(ISNUMBER(C898),ISNUMBER(D898)),ROUND(MOD(D898-C898,1)*24-N(E898)/60,2),""))</f>
        <v/>
      </c>
      <c r="H898" s="241" t="n"/>
    </row>
    <row r="899">
      <c r="A899" s="241" t="n"/>
      <c r="B899" s="247" t="n"/>
      <c r="C899" s="248" t="n"/>
      <c r="D899" s="248" t="n"/>
      <c r="E899" s="249" t="n"/>
      <c r="F899" s="250" t="n"/>
      <c r="G899" s="242">
        <f>IF(ISNUMBER(F899),F899,IF(AND(ISNUMBER(C899),ISNUMBER(D899)),ROUND(MOD(D899-C899,1)*24-N(E899)/60,2),""))</f>
        <v/>
      </c>
      <c r="H899" s="241" t="n"/>
    </row>
    <row r="900">
      <c r="A900" s="241" t="n"/>
      <c r="B900" s="247" t="n"/>
      <c r="C900" s="248" t="n"/>
      <c r="D900" s="248" t="n"/>
      <c r="E900" s="249" t="n"/>
      <c r="F900" s="250" t="n"/>
      <c r="G900" s="242">
        <f>IF(ISNUMBER(F900),F900,IF(AND(ISNUMBER(C900),ISNUMBER(D900)),ROUND(MOD(D900-C900,1)*24-N(E900)/60,2),""))</f>
        <v/>
      </c>
      <c r="H900" s="241" t="n"/>
    </row>
    <row r="901">
      <c r="A901" s="241" t="n"/>
      <c r="B901" s="247" t="n"/>
      <c r="C901" s="248" t="n"/>
      <c r="D901" s="248" t="n"/>
      <c r="E901" s="249" t="n"/>
      <c r="F901" s="250" t="n"/>
      <c r="G901" s="242">
        <f>IF(ISNUMBER(F901),F901,IF(AND(ISNUMBER(C901),ISNUMBER(D901)),ROUND(MOD(D901-C901,1)*24-N(E901)/60,2),""))</f>
        <v/>
      </c>
      <c r="H901" s="241" t="n"/>
    </row>
    <row r="902">
      <c r="A902" s="241" t="n"/>
      <c r="B902" s="247" t="n"/>
      <c r="C902" s="248" t="n"/>
      <c r="D902" s="248" t="n"/>
      <c r="E902" s="249" t="n"/>
      <c r="F902" s="250" t="n"/>
      <c r="G902" s="242">
        <f>IF(ISNUMBER(F902),F902,IF(AND(ISNUMBER(C902),ISNUMBER(D902)),ROUND(MOD(D902-C902,1)*24-N(E902)/60,2),""))</f>
        <v/>
      </c>
      <c r="H902" s="241" t="n"/>
    </row>
    <row r="903">
      <c r="A903" s="241" t="n"/>
      <c r="B903" s="247" t="n"/>
      <c r="C903" s="248" t="n"/>
      <c r="D903" s="248" t="n"/>
      <c r="E903" s="249" t="n"/>
      <c r="F903" s="250" t="n"/>
      <c r="G903" s="242">
        <f>IF(ISNUMBER(F903),F903,IF(AND(ISNUMBER(C903),ISNUMBER(D903)),ROUND(MOD(D903-C903,1)*24-N(E903)/60,2),""))</f>
        <v/>
      </c>
      <c r="H903" s="241" t="n"/>
    </row>
    <row r="904">
      <c r="A904" s="241" t="n"/>
      <c r="B904" s="247" t="n"/>
      <c r="C904" s="248" t="n"/>
      <c r="D904" s="248" t="n"/>
      <c r="E904" s="249" t="n"/>
      <c r="F904" s="250" t="n"/>
      <c r="G904" s="242">
        <f>IF(ISNUMBER(F904),F904,IF(AND(ISNUMBER(C904),ISNUMBER(D904)),ROUND(MOD(D904-C904,1)*24-N(E904)/60,2),""))</f>
        <v/>
      </c>
      <c r="H904" s="241" t="n"/>
    </row>
    <row r="905">
      <c r="A905" s="241" t="n"/>
      <c r="B905" s="247" t="n"/>
      <c r="C905" s="248" t="n"/>
      <c r="D905" s="248" t="n"/>
      <c r="E905" s="249" t="n"/>
      <c r="F905" s="250" t="n"/>
      <c r="G905" s="242">
        <f>IF(ISNUMBER(F905),F905,IF(AND(ISNUMBER(C905),ISNUMBER(D905)),ROUND(MOD(D905-C905,1)*24-N(E905)/60,2),""))</f>
        <v/>
      </c>
      <c r="H905" s="241" t="n"/>
    </row>
    <row r="906">
      <c r="A906" s="241" t="n"/>
      <c r="B906" s="247" t="n"/>
      <c r="C906" s="248" t="n"/>
      <c r="D906" s="248" t="n"/>
      <c r="E906" s="249" t="n"/>
      <c r="F906" s="250" t="n"/>
      <c r="G906" s="242">
        <f>IF(ISNUMBER(F906),F906,IF(AND(ISNUMBER(C906),ISNUMBER(D906)),ROUND(MOD(D906-C906,1)*24-N(E906)/60,2),""))</f>
        <v/>
      </c>
      <c r="H906" s="241" t="n"/>
    </row>
    <row r="907">
      <c r="A907" s="241" t="n"/>
      <c r="B907" s="247" t="n"/>
      <c r="C907" s="248" t="n"/>
      <c r="D907" s="248" t="n"/>
      <c r="E907" s="249" t="n"/>
      <c r="F907" s="250" t="n"/>
      <c r="G907" s="242">
        <f>IF(ISNUMBER(F907),F907,IF(AND(ISNUMBER(C907),ISNUMBER(D907)),ROUND(MOD(D907-C907,1)*24-N(E907)/60,2),""))</f>
        <v/>
      </c>
      <c r="H907" s="241" t="n"/>
    </row>
    <row r="908">
      <c r="A908" s="241" t="n"/>
      <c r="B908" s="247" t="n"/>
      <c r="C908" s="248" t="n"/>
      <c r="D908" s="248" t="n"/>
      <c r="E908" s="249" t="n"/>
      <c r="F908" s="250" t="n"/>
      <c r="G908" s="242">
        <f>IF(ISNUMBER(F908),F908,IF(AND(ISNUMBER(C908),ISNUMBER(D908)),ROUND(MOD(D908-C908,1)*24-N(E908)/60,2),""))</f>
        <v/>
      </c>
      <c r="H908" s="241" t="n"/>
    </row>
    <row r="909">
      <c r="A909" s="241" t="n"/>
      <c r="B909" s="247" t="n"/>
      <c r="C909" s="248" t="n"/>
      <c r="D909" s="248" t="n"/>
      <c r="E909" s="249" t="n"/>
      <c r="F909" s="250" t="n"/>
      <c r="G909" s="242">
        <f>IF(ISNUMBER(F909),F909,IF(AND(ISNUMBER(C909),ISNUMBER(D909)),ROUND(MOD(D909-C909,1)*24-N(E909)/60,2),""))</f>
        <v/>
      </c>
      <c r="H909" s="241" t="n"/>
    </row>
    <row r="910">
      <c r="A910" s="241" t="n"/>
      <c r="B910" s="247" t="n"/>
      <c r="C910" s="248" t="n"/>
      <c r="D910" s="248" t="n"/>
      <c r="E910" s="249" t="n"/>
      <c r="F910" s="250" t="n"/>
      <c r="G910" s="242">
        <f>IF(ISNUMBER(F910),F910,IF(AND(ISNUMBER(C910),ISNUMBER(D910)),ROUND(MOD(D910-C910,1)*24-N(E910)/60,2),""))</f>
        <v/>
      </c>
      <c r="H910" s="241" t="n"/>
    </row>
    <row r="911">
      <c r="A911" s="241" t="n"/>
      <c r="B911" s="247" t="n"/>
      <c r="C911" s="248" t="n"/>
      <c r="D911" s="248" t="n"/>
      <c r="E911" s="249" t="n"/>
      <c r="F911" s="250" t="n"/>
      <c r="G911" s="242">
        <f>IF(ISNUMBER(F911),F911,IF(AND(ISNUMBER(C911),ISNUMBER(D911)),ROUND(MOD(D911-C911,1)*24-N(E911)/60,2),""))</f>
        <v/>
      </c>
      <c r="H911" s="241" t="n"/>
    </row>
    <row r="912">
      <c r="A912" s="241" t="n"/>
      <c r="B912" s="247" t="n"/>
      <c r="C912" s="248" t="n"/>
      <c r="D912" s="248" t="n"/>
      <c r="E912" s="249" t="n"/>
      <c r="F912" s="250" t="n"/>
      <c r="G912" s="242">
        <f>IF(ISNUMBER(F912),F912,IF(AND(ISNUMBER(C912),ISNUMBER(D912)),ROUND(MOD(D912-C912,1)*24-N(E912)/60,2),""))</f>
        <v/>
      </c>
      <c r="H912" s="241" t="n"/>
    </row>
    <row r="913">
      <c r="A913" s="241" t="n"/>
      <c r="B913" s="247" t="n"/>
      <c r="C913" s="248" t="n"/>
      <c r="D913" s="248" t="n"/>
      <c r="E913" s="249" t="n"/>
      <c r="F913" s="250" t="n"/>
      <c r="G913" s="242">
        <f>IF(ISNUMBER(F913),F913,IF(AND(ISNUMBER(C913),ISNUMBER(D913)),ROUND(MOD(D913-C913,1)*24-N(E913)/60,2),""))</f>
        <v/>
      </c>
      <c r="H913" s="241" t="n"/>
    </row>
    <row r="914">
      <c r="A914" s="241" t="n"/>
      <c r="B914" s="247" t="n"/>
      <c r="C914" s="248" t="n"/>
      <c r="D914" s="248" t="n"/>
      <c r="E914" s="249" t="n"/>
      <c r="F914" s="250" t="n"/>
      <c r="G914" s="242">
        <f>IF(ISNUMBER(F914),F914,IF(AND(ISNUMBER(C914),ISNUMBER(D914)),ROUND(MOD(D914-C914,1)*24-N(E914)/60,2),""))</f>
        <v/>
      </c>
      <c r="H914" s="241" t="n"/>
    </row>
    <row r="915">
      <c r="A915" s="241" t="n"/>
      <c r="B915" s="247" t="n"/>
      <c r="C915" s="248" t="n"/>
      <c r="D915" s="248" t="n"/>
      <c r="E915" s="249" t="n"/>
      <c r="F915" s="250" t="n"/>
      <c r="G915" s="242">
        <f>IF(ISNUMBER(F915),F915,IF(AND(ISNUMBER(C915),ISNUMBER(D915)),ROUND(MOD(D915-C915,1)*24-N(E915)/60,2),""))</f>
        <v/>
      </c>
      <c r="H915" s="241" t="n"/>
    </row>
    <row r="916">
      <c r="A916" s="241" t="n"/>
      <c r="B916" s="247" t="n"/>
      <c r="C916" s="248" t="n"/>
      <c r="D916" s="248" t="n"/>
      <c r="E916" s="249" t="n"/>
      <c r="F916" s="250" t="n"/>
      <c r="G916" s="242">
        <f>IF(ISNUMBER(F916),F916,IF(AND(ISNUMBER(C916),ISNUMBER(D916)),ROUND(MOD(D916-C916,1)*24-N(E916)/60,2),""))</f>
        <v/>
      </c>
      <c r="H916" s="241" t="n"/>
    </row>
    <row r="917">
      <c r="A917" s="241" t="n"/>
      <c r="B917" s="247" t="n"/>
      <c r="C917" s="248" t="n"/>
      <c r="D917" s="248" t="n"/>
      <c r="E917" s="249" t="n"/>
      <c r="F917" s="250" t="n"/>
      <c r="G917" s="242">
        <f>IF(ISNUMBER(F917),F917,IF(AND(ISNUMBER(C917),ISNUMBER(D917)),ROUND(MOD(D917-C917,1)*24-N(E917)/60,2),""))</f>
        <v/>
      </c>
      <c r="H917" s="241" t="n"/>
    </row>
    <row r="918">
      <c r="A918" s="241" t="n"/>
      <c r="B918" s="247" t="n"/>
      <c r="C918" s="248" t="n"/>
      <c r="D918" s="248" t="n"/>
      <c r="E918" s="249" t="n"/>
      <c r="F918" s="250" t="n"/>
      <c r="G918" s="242">
        <f>IF(ISNUMBER(F918),F918,IF(AND(ISNUMBER(C918),ISNUMBER(D918)),ROUND(MOD(D918-C918,1)*24-N(E918)/60,2),""))</f>
        <v/>
      </c>
      <c r="H918" s="241" t="n"/>
    </row>
    <row r="919">
      <c r="A919" s="241" t="n"/>
      <c r="B919" s="247" t="n"/>
      <c r="C919" s="248" t="n"/>
      <c r="D919" s="248" t="n"/>
      <c r="E919" s="249" t="n"/>
      <c r="F919" s="250" t="n"/>
      <c r="G919" s="242">
        <f>IF(ISNUMBER(F919),F919,IF(AND(ISNUMBER(C919),ISNUMBER(D919)),ROUND(MOD(D919-C919,1)*24-N(E919)/60,2),""))</f>
        <v/>
      </c>
      <c r="H919" s="241" t="n"/>
    </row>
    <row r="920">
      <c r="A920" s="241" t="n"/>
      <c r="B920" s="247" t="n"/>
      <c r="C920" s="248" t="n"/>
      <c r="D920" s="248" t="n"/>
      <c r="E920" s="249" t="n"/>
      <c r="F920" s="250" t="n"/>
      <c r="G920" s="242">
        <f>IF(ISNUMBER(F920),F920,IF(AND(ISNUMBER(C920),ISNUMBER(D920)),ROUND(MOD(D920-C920,1)*24-N(E920)/60,2),""))</f>
        <v/>
      </c>
      <c r="H920" s="241" t="n"/>
    </row>
    <row r="921">
      <c r="A921" s="241" t="n"/>
      <c r="B921" s="247" t="n"/>
      <c r="C921" s="248" t="n"/>
      <c r="D921" s="248" t="n"/>
      <c r="E921" s="249" t="n"/>
      <c r="F921" s="250" t="n"/>
      <c r="G921" s="242">
        <f>IF(ISNUMBER(F921),F921,IF(AND(ISNUMBER(C921),ISNUMBER(D921)),ROUND(MOD(D921-C921,1)*24-N(E921)/60,2),""))</f>
        <v/>
      </c>
      <c r="H921" s="241" t="n"/>
    </row>
    <row r="922">
      <c r="A922" s="241" t="n"/>
      <c r="B922" s="247" t="n"/>
      <c r="C922" s="248" t="n"/>
      <c r="D922" s="248" t="n"/>
      <c r="E922" s="249" t="n"/>
      <c r="F922" s="250" t="n"/>
      <c r="G922" s="242">
        <f>IF(ISNUMBER(F922),F922,IF(AND(ISNUMBER(C922),ISNUMBER(D922)),ROUND(MOD(D922-C922,1)*24-N(E922)/60,2),""))</f>
        <v/>
      </c>
      <c r="H922" s="241" t="n"/>
    </row>
    <row r="923">
      <c r="A923" s="241" t="n"/>
      <c r="B923" s="247" t="n"/>
      <c r="C923" s="248" t="n"/>
      <c r="D923" s="248" t="n"/>
      <c r="E923" s="249" t="n"/>
      <c r="F923" s="250" t="n"/>
      <c r="G923" s="242">
        <f>IF(ISNUMBER(F923),F923,IF(AND(ISNUMBER(C923),ISNUMBER(D923)),ROUND(MOD(D923-C923,1)*24-N(E923)/60,2),""))</f>
        <v/>
      </c>
      <c r="H923" s="241" t="n"/>
    </row>
    <row r="924">
      <c r="A924" s="241" t="n"/>
      <c r="B924" s="247" t="n"/>
      <c r="C924" s="248" t="n"/>
      <c r="D924" s="248" t="n"/>
      <c r="E924" s="249" t="n"/>
      <c r="F924" s="250" t="n"/>
      <c r="G924" s="242">
        <f>IF(ISNUMBER(F924),F924,IF(AND(ISNUMBER(C924),ISNUMBER(D924)),ROUND(MOD(D924-C924,1)*24-N(E924)/60,2),""))</f>
        <v/>
      </c>
      <c r="H924" s="241" t="n"/>
    </row>
    <row r="925">
      <c r="A925" s="241" t="n"/>
      <c r="B925" s="247" t="n"/>
      <c r="C925" s="248" t="n"/>
      <c r="D925" s="248" t="n"/>
      <c r="E925" s="249" t="n"/>
      <c r="F925" s="250" t="n"/>
      <c r="G925" s="242">
        <f>IF(ISNUMBER(F925),F925,IF(AND(ISNUMBER(C925),ISNUMBER(D925)),ROUND(MOD(D925-C925,1)*24-N(E925)/60,2),""))</f>
        <v/>
      </c>
      <c r="H925" s="241" t="n"/>
    </row>
    <row r="926">
      <c r="A926" s="241" t="n"/>
      <c r="B926" s="247" t="n"/>
      <c r="C926" s="248" t="n"/>
      <c r="D926" s="248" t="n"/>
      <c r="E926" s="249" t="n"/>
      <c r="F926" s="250" t="n"/>
      <c r="G926" s="242">
        <f>IF(ISNUMBER(F926),F926,IF(AND(ISNUMBER(C926),ISNUMBER(D926)),ROUND(MOD(D926-C926,1)*24-N(E926)/60,2),""))</f>
        <v/>
      </c>
      <c r="H926" s="241" t="n"/>
    </row>
    <row r="927">
      <c r="A927" s="241" t="n"/>
      <c r="B927" s="247" t="n"/>
      <c r="C927" s="248" t="n"/>
      <c r="D927" s="248" t="n"/>
      <c r="E927" s="249" t="n"/>
      <c r="F927" s="250" t="n"/>
      <c r="G927" s="242">
        <f>IF(ISNUMBER(F927),F927,IF(AND(ISNUMBER(C927),ISNUMBER(D927)),ROUND(MOD(D927-C927,1)*24-N(E927)/60,2),""))</f>
        <v/>
      </c>
      <c r="H927" s="241" t="n"/>
    </row>
    <row r="928">
      <c r="A928" s="241" t="n"/>
      <c r="B928" s="247" t="n"/>
      <c r="C928" s="248" t="n"/>
      <c r="D928" s="248" t="n"/>
      <c r="E928" s="249" t="n"/>
      <c r="F928" s="250" t="n"/>
      <c r="G928" s="242">
        <f>IF(ISNUMBER(F928),F928,IF(AND(ISNUMBER(C928),ISNUMBER(D928)),ROUND(MOD(D928-C928,1)*24-N(E928)/60,2),""))</f>
        <v/>
      </c>
      <c r="H928" s="241" t="n"/>
    </row>
    <row r="929">
      <c r="A929" s="241" t="n"/>
      <c r="B929" s="247" t="n"/>
      <c r="C929" s="248" t="n"/>
      <c r="D929" s="248" t="n"/>
      <c r="E929" s="249" t="n"/>
      <c r="F929" s="250" t="n"/>
      <c r="G929" s="242">
        <f>IF(ISNUMBER(F929),F929,IF(AND(ISNUMBER(C929),ISNUMBER(D929)),ROUND(MOD(D929-C929,1)*24-N(E929)/60,2),""))</f>
        <v/>
      </c>
      <c r="H929" s="241" t="n"/>
    </row>
    <row r="930">
      <c r="A930" s="241" t="n"/>
      <c r="B930" s="247" t="n"/>
      <c r="C930" s="248" t="n"/>
      <c r="D930" s="248" t="n"/>
      <c r="E930" s="249" t="n"/>
      <c r="F930" s="250" t="n"/>
      <c r="G930" s="242">
        <f>IF(ISNUMBER(F930),F930,IF(AND(ISNUMBER(C930),ISNUMBER(D930)),ROUND(MOD(D930-C930,1)*24-N(E930)/60,2),""))</f>
        <v/>
      </c>
      <c r="H930" s="241" t="n"/>
    </row>
    <row r="931">
      <c r="A931" s="241" t="n"/>
      <c r="B931" s="247" t="n"/>
      <c r="C931" s="248" t="n"/>
      <c r="D931" s="248" t="n"/>
      <c r="E931" s="249" t="n"/>
      <c r="F931" s="250" t="n"/>
      <c r="G931" s="242">
        <f>IF(ISNUMBER(F931),F931,IF(AND(ISNUMBER(C931),ISNUMBER(D931)),ROUND(MOD(D931-C931,1)*24-N(E931)/60,2),""))</f>
        <v/>
      </c>
      <c r="H931" s="241" t="n"/>
    </row>
    <row r="932">
      <c r="A932" s="241" t="n"/>
      <c r="B932" s="247" t="n"/>
      <c r="C932" s="248" t="n"/>
      <c r="D932" s="248" t="n"/>
      <c r="E932" s="249" t="n"/>
      <c r="F932" s="250" t="n"/>
      <c r="G932" s="242">
        <f>IF(ISNUMBER(F932),F932,IF(AND(ISNUMBER(C932),ISNUMBER(D932)),ROUND(MOD(D932-C932,1)*24-N(E932)/60,2),""))</f>
        <v/>
      </c>
      <c r="H932" s="241" t="n"/>
    </row>
    <row r="933">
      <c r="A933" s="241" t="n"/>
      <c r="B933" s="247" t="n"/>
      <c r="C933" s="248" t="n"/>
      <c r="D933" s="248" t="n"/>
      <c r="E933" s="249" t="n"/>
      <c r="F933" s="250" t="n"/>
      <c r="G933" s="242">
        <f>IF(ISNUMBER(F933),F933,IF(AND(ISNUMBER(C933),ISNUMBER(D933)),ROUND(MOD(D933-C933,1)*24-N(E933)/60,2),""))</f>
        <v/>
      </c>
      <c r="H933" s="241" t="n"/>
    </row>
    <row r="934">
      <c r="A934" s="241" t="n"/>
      <c r="B934" s="247" t="n"/>
      <c r="C934" s="248" t="n"/>
      <c r="D934" s="248" t="n"/>
      <c r="E934" s="249" t="n"/>
      <c r="F934" s="250" t="n"/>
      <c r="G934" s="242">
        <f>IF(ISNUMBER(F934),F934,IF(AND(ISNUMBER(C934),ISNUMBER(D934)),ROUND(MOD(D934-C934,1)*24-N(E934)/60,2),""))</f>
        <v/>
      </c>
      <c r="H934" s="241" t="n"/>
    </row>
    <row r="935">
      <c r="A935" s="241" t="n"/>
      <c r="B935" s="247" t="n"/>
      <c r="C935" s="248" t="n"/>
      <c r="D935" s="248" t="n"/>
      <c r="E935" s="249" t="n"/>
      <c r="F935" s="250" t="n"/>
      <c r="G935" s="242">
        <f>IF(ISNUMBER(F935),F935,IF(AND(ISNUMBER(C935),ISNUMBER(D935)),ROUND(MOD(D935-C935,1)*24-N(E935)/60,2),""))</f>
        <v/>
      </c>
      <c r="H935" s="241" t="n"/>
    </row>
    <row r="936">
      <c r="A936" s="241" t="n"/>
      <c r="B936" s="247" t="n"/>
      <c r="C936" s="248" t="n"/>
      <c r="D936" s="248" t="n"/>
      <c r="E936" s="249" t="n"/>
      <c r="F936" s="250" t="n"/>
      <c r="G936" s="242">
        <f>IF(ISNUMBER(F936),F936,IF(AND(ISNUMBER(C936),ISNUMBER(D936)),ROUND(MOD(D936-C936,1)*24-N(E936)/60,2),""))</f>
        <v/>
      </c>
      <c r="H936" s="241" t="n"/>
    </row>
    <row r="937">
      <c r="A937" s="241" t="n"/>
      <c r="B937" s="247" t="n"/>
      <c r="C937" s="248" t="n"/>
      <c r="D937" s="248" t="n"/>
      <c r="E937" s="249" t="n"/>
      <c r="F937" s="250" t="n"/>
      <c r="G937" s="242">
        <f>IF(ISNUMBER(F937),F937,IF(AND(ISNUMBER(C937),ISNUMBER(D937)),ROUND(MOD(D937-C937,1)*24-N(E937)/60,2),""))</f>
        <v/>
      </c>
      <c r="H937" s="241" t="n"/>
    </row>
    <row r="938">
      <c r="A938" s="241" t="n"/>
      <c r="B938" s="247" t="n"/>
      <c r="C938" s="248" t="n"/>
      <c r="D938" s="248" t="n"/>
      <c r="E938" s="249" t="n"/>
      <c r="F938" s="250" t="n"/>
      <c r="G938" s="242">
        <f>IF(ISNUMBER(F938),F938,IF(AND(ISNUMBER(C938),ISNUMBER(D938)),ROUND(MOD(D938-C938,1)*24-N(E938)/60,2),""))</f>
        <v/>
      </c>
      <c r="H938" s="241" t="n"/>
    </row>
    <row r="939">
      <c r="A939" s="241" t="n"/>
      <c r="B939" s="247" t="n"/>
      <c r="C939" s="248" t="n"/>
      <c r="D939" s="248" t="n"/>
      <c r="E939" s="249" t="n"/>
      <c r="F939" s="250" t="n"/>
      <c r="G939" s="242">
        <f>IF(ISNUMBER(F939),F939,IF(AND(ISNUMBER(C939),ISNUMBER(D939)),ROUND(MOD(D939-C939,1)*24-N(E939)/60,2),""))</f>
        <v/>
      </c>
      <c r="H939" s="241" t="n"/>
    </row>
    <row r="940">
      <c r="A940" s="241" t="n"/>
      <c r="B940" s="247" t="n"/>
      <c r="C940" s="248" t="n"/>
      <c r="D940" s="248" t="n"/>
      <c r="E940" s="249" t="n"/>
      <c r="F940" s="250" t="n"/>
      <c r="G940" s="242">
        <f>IF(ISNUMBER(F940),F940,IF(AND(ISNUMBER(C940),ISNUMBER(D940)),ROUND(MOD(D940-C940,1)*24-N(E940)/60,2),""))</f>
        <v/>
      </c>
      <c r="H940" s="241" t="n"/>
    </row>
    <row r="941">
      <c r="A941" s="241" t="n"/>
      <c r="B941" s="247" t="n"/>
      <c r="C941" s="248" t="n"/>
      <c r="D941" s="248" t="n"/>
      <c r="E941" s="249" t="n"/>
      <c r="F941" s="250" t="n"/>
      <c r="G941" s="242">
        <f>IF(ISNUMBER(F941),F941,IF(AND(ISNUMBER(C941),ISNUMBER(D941)),ROUND(MOD(D941-C941,1)*24-N(E941)/60,2),""))</f>
        <v/>
      </c>
      <c r="H941" s="241" t="n"/>
    </row>
    <row r="942">
      <c r="A942" s="241" t="n"/>
      <c r="B942" s="247" t="n"/>
      <c r="C942" s="248" t="n"/>
      <c r="D942" s="248" t="n"/>
      <c r="E942" s="249" t="n"/>
      <c r="F942" s="250" t="n"/>
      <c r="G942" s="242">
        <f>IF(ISNUMBER(F942),F942,IF(AND(ISNUMBER(C942),ISNUMBER(D942)),ROUND(MOD(D942-C942,1)*24-N(E942)/60,2),""))</f>
        <v/>
      </c>
      <c r="H942" s="241" t="n"/>
    </row>
    <row r="943">
      <c r="A943" s="241" t="n"/>
      <c r="B943" s="247" t="n"/>
      <c r="C943" s="248" t="n"/>
      <c r="D943" s="248" t="n"/>
      <c r="E943" s="249" t="n"/>
      <c r="F943" s="250" t="n"/>
      <c r="G943" s="242">
        <f>IF(ISNUMBER(F943),F943,IF(AND(ISNUMBER(C943),ISNUMBER(D943)),ROUND(MOD(D943-C943,1)*24-N(E943)/60,2),""))</f>
        <v/>
      </c>
      <c r="H943" s="241" t="n"/>
    </row>
    <row r="944">
      <c r="A944" s="241" t="n"/>
      <c r="B944" s="247" t="n"/>
      <c r="C944" s="248" t="n"/>
      <c r="D944" s="248" t="n"/>
      <c r="E944" s="249" t="n"/>
      <c r="F944" s="250" t="n"/>
      <c r="G944" s="242">
        <f>IF(ISNUMBER(F944),F944,IF(AND(ISNUMBER(C944),ISNUMBER(D944)),ROUND(MOD(D944-C944,1)*24-N(E944)/60,2),""))</f>
        <v/>
      </c>
      <c r="H944" s="241" t="n"/>
    </row>
    <row r="945">
      <c r="A945" s="241" t="n"/>
      <c r="B945" s="247" t="n"/>
      <c r="C945" s="248" t="n"/>
      <c r="D945" s="248" t="n"/>
      <c r="E945" s="249" t="n"/>
      <c r="F945" s="250" t="n"/>
      <c r="G945" s="242">
        <f>IF(ISNUMBER(F945),F945,IF(AND(ISNUMBER(C945),ISNUMBER(D945)),ROUND(MOD(D945-C945,1)*24-N(E945)/60,2),""))</f>
        <v/>
      </c>
      <c r="H945" s="241" t="n"/>
    </row>
    <row r="946">
      <c r="A946" s="241" t="n"/>
      <c r="B946" s="247" t="n"/>
      <c r="C946" s="248" t="n"/>
      <c r="D946" s="248" t="n"/>
      <c r="E946" s="249" t="n"/>
      <c r="F946" s="250" t="n"/>
      <c r="G946" s="242">
        <f>IF(ISNUMBER(F946),F946,IF(AND(ISNUMBER(C946),ISNUMBER(D946)),ROUND(MOD(D946-C946,1)*24-N(E946)/60,2),""))</f>
        <v/>
      </c>
      <c r="H946" s="241" t="n"/>
    </row>
    <row r="947">
      <c r="A947" s="241" t="n"/>
      <c r="B947" s="247" t="n"/>
      <c r="C947" s="248" t="n"/>
      <c r="D947" s="248" t="n"/>
      <c r="E947" s="249" t="n"/>
      <c r="F947" s="250" t="n"/>
      <c r="G947" s="242">
        <f>IF(ISNUMBER(F947),F947,IF(AND(ISNUMBER(C947),ISNUMBER(D947)),ROUND(MOD(D947-C947,1)*24-N(E947)/60,2),""))</f>
        <v/>
      </c>
      <c r="H947" s="241" t="n"/>
    </row>
    <row r="948">
      <c r="A948" s="241" t="n"/>
      <c r="B948" s="247" t="n"/>
      <c r="C948" s="248" t="n"/>
      <c r="D948" s="248" t="n"/>
      <c r="E948" s="249" t="n"/>
      <c r="F948" s="250" t="n"/>
      <c r="G948" s="242">
        <f>IF(ISNUMBER(F948),F948,IF(AND(ISNUMBER(C948),ISNUMBER(D948)),ROUND(MOD(D948-C948,1)*24-N(E948)/60,2),""))</f>
        <v/>
      </c>
      <c r="H948" s="241" t="n"/>
    </row>
    <row r="949">
      <c r="A949" s="241" t="n"/>
      <c r="B949" s="247" t="n"/>
      <c r="C949" s="248" t="n"/>
      <c r="D949" s="248" t="n"/>
      <c r="E949" s="249" t="n"/>
      <c r="F949" s="250" t="n"/>
      <c r="G949" s="242">
        <f>IF(ISNUMBER(F949),F949,IF(AND(ISNUMBER(C949),ISNUMBER(D949)),ROUND(MOD(D949-C949,1)*24-N(E949)/60,2),""))</f>
        <v/>
      </c>
      <c r="H949" s="241" t="n"/>
    </row>
    <row r="950">
      <c r="A950" s="241" t="n"/>
      <c r="B950" s="247" t="n"/>
      <c r="C950" s="248" t="n"/>
      <c r="D950" s="248" t="n"/>
      <c r="E950" s="249" t="n"/>
      <c r="F950" s="250" t="n"/>
      <c r="G950" s="242">
        <f>IF(ISNUMBER(F950),F950,IF(AND(ISNUMBER(C950),ISNUMBER(D950)),ROUND(MOD(D950-C950,1)*24-N(E950)/60,2),""))</f>
        <v/>
      </c>
      <c r="H950" s="241" t="n"/>
    </row>
    <row r="951">
      <c r="A951" s="241" t="n"/>
      <c r="B951" s="247" t="n"/>
      <c r="C951" s="248" t="n"/>
      <c r="D951" s="248" t="n"/>
      <c r="E951" s="249" t="n"/>
      <c r="F951" s="250" t="n"/>
      <c r="G951" s="242">
        <f>IF(ISNUMBER(F951),F951,IF(AND(ISNUMBER(C951),ISNUMBER(D951)),ROUND(MOD(D951-C951,1)*24-N(E951)/60,2),""))</f>
        <v/>
      </c>
      <c r="H951" s="241" t="n"/>
    </row>
    <row r="952">
      <c r="A952" s="241" t="n"/>
      <c r="B952" s="247" t="n"/>
      <c r="C952" s="248" t="n"/>
      <c r="D952" s="248" t="n"/>
      <c r="E952" s="249" t="n"/>
      <c r="F952" s="250" t="n"/>
      <c r="G952" s="242">
        <f>IF(ISNUMBER(F952),F952,IF(AND(ISNUMBER(C952),ISNUMBER(D952)),ROUND(MOD(D952-C952,1)*24-N(E952)/60,2),""))</f>
        <v/>
      </c>
      <c r="H952" s="241" t="n"/>
    </row>
    <row r="953">
      <c r="A953" s="241" t="n"/>
      <c r="B953" s="247" t="n"/>
      <c r="C953" s="248" t="n"/>
      <c r="D953" s="248" t="n"/>
      <c r="E953" s="249" t="n"/>
      <c r="F953" s="250" t="n"/>
      <c r="G953" s="242">
        <f>IF(ISNUMBER(F953),F953,IF(AND(ISNUMBER(C953),ISNUMBER(D953)),ROUND(MOD(D953-C953,1)*24-N(E953)/60,2),""))</f>
        <v/>
      </c>
      <c r="H953" s="241" t="n"/>
    </row>
    <row r="954">
      <c r="A954" s="241" t="n"/>
      <c r="B954" s="247" t="n"/>
      <c r="C954" s="248" t="n"/>
      <c r="D954" s="248" t="n"/>
      <c r="E954" s="249" t="n"/>
      <c r="F954" s="250" t="n"/>
      <c r="G954" s="242">
        <f>IF(ISNUMBER(F954),F954,IF(AND(ISNUMBER(C954),ISNUMBER(D954)),ROUND(MOD(D954-C954,1)*24-N(E954)/60,2),""))</f>
        <v/>
      </c>
      <c r="H954" s="241" t="n"/>
    </row>
    <row r="955">
      <c r="A955" s="241" t="n"/>
      <c r="B955" s="247" t="n"/>
      <c r="C955" s="248" t="n"/>
      <c r="D955" s="248" t="n"/>
      <c r="E955" s="249" t="n"/>
      <c r="F955" s="250" t="n"/>
      <c r="G955" s="242">
        <f>IF(ISNUMBER(F955),F955,IF(AND(ISNUMBER(C955),ISNUMBER(D955)),ROUND(MOD(D955-C955,1)*24-N(E955)/60,2),""))</f>
        <v/>
      </c>
      <c r="H955" s="241" t="n"/>
    </row>
    <row r="956">
      <c r="A956" s="241" t="n"/>
      <c r="B956" s="247" t="n"/>
      <c r="C956" s="248" t="n"/>
      <c r="D956" s="248" t="n"/>
      <c r="E956" s="249" t="n"/>
      <c r="F956" s="250" t="n"/>
      <c r="G956" s="242">
        <f>IF(ISNUMBER(F956),F956,IF(AND(ISNUMBER(C956),ISNUMBER(D956)),ROUND(MOD(D956-C956,1)*24-N(E956)/60,2),""))</f>
        <v/>
      </c>
      <c r="H956" s="241" t="n"/>
    </row>
    <row r="957">
      <c r="A957" s="241" t="n"/>
      <c r="B957" s="247" t="n"/>
      <c r="C957" s="248" t="n"/>
      <c r="D957" s="248" t="n"/>
      <c r="E957" s="249" t="n"/>
      <c r="F957" s="250" t="n"/>
      <c r="G957" s="242">
        <f>IF(ISNUMBER(F957),F957,IF(AND(ISNUMBER(C957),ISNUMBER(D957)),ROUND(MOD(D957-C957,1)*24-N(E957)/60,2),""))</f>
        <v/>
      </c>
      <c r="H957" s="241" t="n"/>
    </row>
    <row r="958">
      <c r="A958" s="241" t="n"/>
      <c r="B958" s="247" t="n"/>
      <c r="C958" s="248" t="n"/>
      <c r="D958" s="248" t="n"/>
      <c r="E958" s="249" t="n"/>
      <c r="F958" s="250" t="n"/>
      <c r="G958" s="242">
        <f>IF(ISNUMBER(F958),F958,IF(AND(ISNUMBER(C958),ISNUMBER(D958)),ROUND(MOD(D958-C958,1)*24-N(E958)/60,2),""))</f>
        <v/>
      </c>
      <c r="H958" s="241" t="n"/>
    </row>
    <row r="959">
      <c r="A959" s="241" t="n"/>
      <c r="B959" s="247" t="n"/>
      <c r="C959" s="248" t="n"/>
      <c r="D959" s="248" t="n"/>
      <c r="E959" s="249" t="n"/>
      <c r="F959" s="250" t="n"/>
      <c r="G959" s="242">
        <f>IF(ISNUMBER(F959),F959,IF(AND(ISNUMBER(C959),ISNUMBER(D959)),ROUND(MOD(D959-C959,1)*24-N(E959)/60,2),""))</f>
        <v/>
      </c>
      <c r="H959" s="241" t="n"/>
    </row>
    <row r="960">
      <c r="A960" s="241" t="n"/>
      <c r="B960" s="247" t="n"/>
      <c r="C960" s="248" t="n"/>
      <c r="D960" s="248" t="n"/>
      <c r="E960" s="249" t="n"/>
      <c r="F960" s="250" t="n"/>
      <c r="G960" s="242">
        <f>IF(ISNUMBER(F960),F960,IF(AND(ISNUMBER(C960),ISNUMBER(D960)),ROUND(MOD(D960-C960,1)*24-N(E960)/60,2),""))</f>
        <v/>
      </c>
      <c r="H960" s="241" t="n"/>
    </row>
    <row r="961">
      <c r="A961" s="241" t="n"/>
      <c r="B961" s="247" t="n"/>
      <c r="C961" s="248" t="n"/>
      <c r="D961" s="248" t="n"/>
      <c r="E961" s="249" t="n"/>
      <c r="F961" s="250" t="n"/>
      <c r="G961" s="242">
        <f>IF(ISNUMBER(F961),F961,IF(AND(ISNUMBER(C961),ISNUMBER(D961)),ROUND(MOD(D961-C961,1)*24-N(E961)/60,2),""))</f>
        <v/>
      </c>
      <c r="H961" s="241" t="n"/>
    </row>
    <row r="962">
      <c r="A962" s="241" t="n"/>
      <c r="B962" s="247" t="n"/>
      <c r="C962" s="248" t="n"/>
      <c r="D962" s="248" t="n"/>
      <c r="E962" s="249" t="n"/>
      <c r="F962" s="250" t="n"/>
      <c r="G962" s="242">
        <f>IF(ISNUMBER(F962),F962,IF(AND(ISNUMBER(C962),ISNUMBER(D962)),ROUND(MOD(D962-C962,1)*24-N(E962)/60,2),""))</f>
        <v/>
      </c>
      <c r="H962" s="241" t="n"/>
    </row>
    <row r="963">
      <c r="A963" s="241" t="n"/>
      <c r="B963" s="247" t="n"/>
      <c r="C963" s="248" t="n"/>
      <c r="D963" s="248" t="n"/>
      <c r="E963" s="249" t="n"/>
      <c r="F963" s="250" t="n"/>
      <c r="G963" s="242">
        <f>IF(ISNUMBER(F963),F963,IF(AND(ISNUMBER(C963),ISNUMBER(D963)),ROUND(MOD(D963-C963,1)*24-N(E963)/60,2),""))</f>
        <v/>
      </c>
      <c r="H963" s="241" t="n"/>
    </row>
    <row r="964">
      <c r="A964" s="241" t="n"/>
      <c r="B964" s="247" t="n"/>
      <c r="C964" s="248" t="n"/>
      <c r="D964" s="248" t="n"/>
      <c r="E964" s="249" t="n"/>
      <c r="F964" s="250" t="n"/>
      <c r="G964" s="242">
        <f>IF(ISNUMBER(F964),F964,IF(AND(ISNUMBER(C964),ISNUMBER(D964)),ROUND(MOD(D964-C964,1)*24-N(E964)/60,2),""))</f>
        <v/>
      </c>
      <c r="H964" s="241" t="n"/>
    </row>
    <row r="965">
      <c r="A965" s="241" t="n"/>
      <c r="B965" s="247" t="n"/>
      <c r="C965" s="248" t="n"/>
      <c r="D965" s="248" t="n"/>
      <c r="E965" s="249" t="n"/>
      <c r="F965" s="250" t="n"/>
      <c r="G965" s="242">
        <f>IF(ISNUMBER(F965),F965,IF(AND(ISNUMBER(C965),ISNUMBER(D965)),ROUND(MOD(D965-C965,1)*24-N(E965)/60,2),""))</f>
        <v/>
      </c>
      <c r="H965" s="241" t="n"/>
    </row>
    <row r="966">
      <c r="A966" s="241" t="n"/>
      <c r="B966" s="247" t="n"/>
      <c r="C966" s="248" t="n"/>
      <c r="D966" s="248" t="n"/>
      <c r="E966" s="249" t="n"/>
      <c r="F966" s="250" t="n"/>
      <c r="G966" s="242">
        <f>IF(ISNUMBER(F966),F966,IF(AND(ISNUMBER(C966),ISNUMBER(D966)),ROUND(MOD(D966-C966,1)*24-N(E966)/60,2),""))</f>
        <v/>
      </c>
      <c r="H966" s="241" t="n"/>
    </row>
    <row r="967">
      <c r="A967" s="241" t="n"/>
      <c r="B967" s="247" t="n"/>
      <c r="C967" s="248" t="n"/>
      <c r="D967" s="248" t="n"/>
      <c r="E967" s="249" t="n"/>
      <c r="F967" s="250" t="n"/>
      <c r="G967" s="242">
        <f>IF(ISNUMBER(F967),F967,IF(AND(ISNUMBER(C967),ISNUMBER(D967)),ROUND(MOD(D967-C967,1)*24-N(E967)/60,2),""))</f>
        <v/>
      </c>
      <c r="H967" s="241" t="n"/>
    </row>
    <row r="968">
      <c r="A968" s="241" t="n"/>
      <c r="B968" s="247" t="n"/>
      <c r="C968" s="248" t="n"/>
      <c r="D968" s="248" t="n"/>
      <c r="E968" s="249" t="n"/>
      <c r="F968" s="250" t="n"/>
      <c r="G968" s="242">
        <f>IF(ISNUMBER(F968),F968,IF(AND(ISNUMBER(C968),ISNUMBER(D968)),ROUND(MOD(D968-C968,1)*24-N(E968)/60,2),""))</f>
        <v/>
      </c>
      <c r="H968" s="241" t="n"/>
    </row>
    <row r="969">
      <c r="A969" s="241" t="n"/>
      <c r="B969" s="247" t="n"/>
      <c r="C969" s="248" t="n"/>
      <c r="D969" s="248" t="n"/>
      <c r="E969" s="249" t="n"/>
      <c r="F969" s="250" t="n"/>
      <c r="G969" s="242">
        <f>IF(ISNUMBER(F969),F969,IF(AND(ISNUMBER(C969),ISNUMBER(D969)),ROUND(MOD(D969-C969,1)*24-N(E969)/60,2),""))</f>
        <v/>
      </c>
      <c r="H969" s="241" t="n"/>
    </row>
    <row r="970">
      <c r="A970" s="241" t="n"/>
      <c r="B970" s="247" t="n"/>
      <c r="C970" s="248" t="n"/>
      <c r="D970" s="248" t="n"/>
      <c r="E970" s="249" t="n"/>
      <c r="F970" s="250" t="n"/>
      <c r="G970" s="242">
        <f>IF(ISNUMBER(F970),F970,IF(AND(ISNUMBER(C970),ISNUMBER(D970)),ROUND(MOD(D970-C970,1)*24-N(E970)/60,2),""))</f>
        <v/>
      </c>
      <c r="H970" s="241" t="n"/>
    </row>
    <row r="971">
      <c r="A971" s="241" t="n"/>
      <c r="B971" s="247" t="n"/>
      <c r="C971" s="248" t="n"/>
      <c r="D971" s="248" t="n"/>
      <c r="E971" s="249" t="n"/>
      <c r="F971" s="250" t="n"/>
      <c r="G971" s="242">
        <f>IF(ISNUMBER(F971),F971,IF(AND(ISNUMBER(C971),ISNUMBER(D971)),ROUND(MOD(D971-C971,1)*24-N(E971)/60,2),""))</f>
        <v/>
      </c>
      <c r="H971" s="241" t="n"/>
    </row>
    <row r="972">
      <c r="A972" s="241" t="n"/>
      <c r="B972" s="247" t="n"/>
      <c r="C972" s="248" t="n"/>
      <c r="D972" s="248" t="n"/>
      <c r="E972" s="249" t="n"/>
      <c r="F972" s="250" t="n"/>
      <c r="G972" s="242">
        <f>IF(ISNUMBER(F972),F972,IF(AND(ISNUMBER(C972),ISNUMBER(D972)),ROUND(MOD(D972-C972,1)*24-N(E972)/60,2),""))</f>
        <v/>
      </c>
      <c r="H972" s="241" t="n"/>
    </row>
    <row r="973">
      <c r="A973" s="241" t="n"/>
      <c r="B973" s="247" t="n"/>
      <c r="C973" s="248" t="n"/>
      <c r="D973" s="248" t="n"/>
      <c r="E973" s="249" t="n"/>
      <c r="F973" s="250" t="n"/>
      <c r="G973" s="242">
        <f>IF(ISNUMBER(F973),F973,IF(AND(ISNUMBER(C973),ISNUMBER(D973)),ROUND(MOD(D973-C973,1)*24-N(E973)/60,2),""))</f>
        <v/>
      </c>
      <c r="H973" s="241" t="n"/>
    </row>
    <row r="974">
      <c r="A974" s="241" t="n"/>
      <c r="B974" s="247" t="n"/>
      <c r="C974" s="248" t="n"/>
      <c r="D974" s="248" t="n"/>
      <c r="E974" s="249" t="n"/>
      <c r="F974" s="250" t="n"/>
      <c r="G974" s="242">
        <f>IF(ISNUMBER(F974),F974,IF(AND(ISNUMBER(C974),ISNUMBER(D974)),ROUND(MOD(D974-C974,1)*24-N(E974)/60,2),""))</f>
        <v/>
      </c>
      <c r="H974" s="241" t="n"/>
    </row>
    <row r="975">
      <c r="A975" s="241" t="n"/>
      <c r="B975" s="247" t="n"/>
      <c r="C975" s="248" t="n"/>
      <c r="D975" s="248" t="n"/>
      <c r="E975" s="249" t="n"/>
      <c r="F975" s="250" t="n"/>
      <c r="G975" s="242">
        <f>IF(ISNUMBER(F975),F975,IF(AND(ISNUMBER(C975),ISNUMBER(D975)),ROUND(MOD(D975-C975,1)*24-N(E975)/60,2),""))</f>
        <v/>
      </c>
      <c r="H975" s="241" t="n"/>
    </row>
    <row r="976">
      <c r="A976" s="241" t="n"/>
      <c r="B976" s="247" t="n"/>
      <c r="C976" s="248" t="n"/>
      <c r="D976" s="248" t="n"/>
      <c r="E976" s="249" t="n"/>
      <c r="F976" s="250" t="n"/>
      <c r="G976" s="242">
        <f>IF(ISNUMBER(F976),F976,IF(AND(ISNUMBER(C976),ISNUMBER(D976)),ROUND(MOD(D976-C976,1)*24-N(E976)/60,2),""))</f>
        <v/>
      </c>
      <c r="H976" s="241" t="n"/>
    </row>
    <row r="977">
      <c r="A977" s="241" t="n"/>
      <c r="B977" s="247" t="n"/>
      <c r="C977" s="248" t="n"/>
      <c r="D977" s="248" t="n"/>
      <c r="E977" s="249" t="n"/>
      <c r="F977" s="250" t="n"/>
      <c r="G977" s="242">
        <f>IF(ISNUMBER(F977),F977,IF(AND(ISNUMBER(C977),ISNUMBER(D977)),ROUND(MOD(D977-C977,1)*24-N(E977)/60,2),""))</f>
        <v/>
      </c>
      <c r="H977" s="241" t="n"/>
    </row>
    <row r="978">
      <c r="A978" s="241" t="n"/>
      <c r="B978" s="247" t="n"/>
      <c r="C978" s="248" t="n"/>
      <c r="D978" s="248" t="n"/>
      <c r="E978" s="249" t="n"/>
      <c r="F978" s="250" t="n"/>
      <c r="G978" s="242">
        <f>IF(ISNUMBER(F978),F978,IF(AND(ISNUMBER(C978),ISNUMBER(D978)),ROUND(MOD(D978-C978,1)*24-N(E978)/60,2),""))</f>
        <v/>
      </c>
      <c r="H978" s="241" t="n"/>
    </row>
    <row r="979">
      <c r="A979" s="241" t="n"/>
      <c r="B979" s="247" t="n"/>
      <c r="C979" s="248" t="n"/>
      <c r="D979" s="248" t="n"/>
      <c r="E979" s="249" t="n"/>
      <c r="F979" s="250" t="n"/>
      <c r="G979" s="242">
        <f>IF(ISNUMBER(F979),F979,IF(AND(ISNUMBER(C979),ISNUMBER(D979)),ROUND(MOD(D979-C979,1)*24-N(E979)/60,2),""))</f>
        <v/>
      </c>
      <c r="H979" s="241" t="n"/>
    </row>
    <row r="980">
      <c r="A980" s="241" t="n"/>
      <c r="B980" s="247" t="n"/>
      <c r="C980" s="248" t="n"/>
      <c r="D980" s="248" t="n"/>
      <c r="E980" s="249" t="n"/>
      <c r="F980" s="250" t="n"/>
      <c r="G980" s="242">
        <f>IF(ISNUMBER(F980),F980,IF(AND(ISNUMBER(C980),ISNUMBER(D980)),ROUND(MOD(D980-C980,1)*24-N(E980)/60,2),""))</f>
        <v/>
      </c>
      <c r="H980" s="241" t="n"/>
    </row>
    <row r="981">
      <c r="A981" s="241" t="n"/>
      <c r="B981" s="247" t="n"/>
      <c r="C981" s="248" t="n"/>
      <c r="D981" s="248" t="n"/>
      <c r="E981" s="249" t="n"/>
      <c r="F981" s="250" t="n"/>
      <c r="G981" s="242">
        <f>IF(ISNUMBER(F981),F981,IF(AND(ISNUMBER(C981),ISNUMBER(D981)),ROUND(MOD(D981-C981,1)*24-N(E981)/60,2),""))</f>
        <v/>
      </c>
      <c r="H981" s="241" t="n"/>
    </row>
    <row r="982">
      <c r="A982" s="241" t="n"/>
      <c r="B982" s="247" t="n"/>
      <c r="C982" s="248" t="n"/>
      <c r="D982" s="248" t="n"/>
      <c r="E982" s="249" t="n"/>
      <c r="F982" s="250" t="n"/>
      <c r="G982" s="242">
        <f>IF(ISNUMBER(F982),F982,IF(AND(ISNUMBER(C982),ISNUMBER(D982)),ROUND(MOD(D982-C982,1)*24-N(E982)/60,2),""))</f>
        <v/>
      </c>
      <c r="H982" s="241" t="n"/>
    </row>
    <row r="983">
      <c r="A983" s="241" t="n"/>
      <c r="B983" s="247" t="n"/>
      <c r="C983" s="248" t="n"/>
      <c r="D983" s="248" t="n"/>
      <c r="E983" s="249" t="n"/>
      <c r="F983" s="250" t="n"/>
      <c r="G983" s="242">
        <f>IF(ISNUMBER(F983),F983,IF(AND(ISNUMBER(C983),ISNUMBER(D983)),ROUND(MOD(D983-C983,1)*24-N(E983)/60,2),""))</f>
        <v/>
      </c>
      <c r="H983" s="241" t="n"/>
    </row>
    <row r="984">
      <c r="A984" s="241" t="n"/>
      <c r="B984" s="247" t="n"/>
      <c r="C984" s="248" t="n"/>
      <c r="D984" s="248" t="n"/>
      <c r="E984" s="249" t="n"/>
      <c r="F984" s="250" t="n"/>
      <c r="G984" s="242">
        <f>IF(ISNUMBER(F984),F984,IF(AND(ISNUMBER(C984),ISNUMBER(D984)),ROUND(MOD(D984-C984,1)*24-N(E984)/60,2),""))</f>
        <v/>
      </c>
      <c r="H984" s="241" t="n"/>
    </row>
    <row r="985">
      <c r="A985" s="241" t="n"/>
      <c r="B985" s="247" t="n"/>
      <c r="C985" s="248" t="n"/>
      <c r="D985" s="248" t="n"/>
      <c r="E985" s="249" t="n"/>
      <c r="F985" s="250" t="n"/>
      <c r="G985" s="242">
        <f>IF(ISNUMBER(F985),F985,IF(AND(ISNUMBER(C985),ISNUMBER(D985)),ROUND(MOD(D985-C985,1)*24-N(E985)/60,2),""))</f>
        <v/>
      </c>
      <c r="H985" s="241" t="n"/>
    </row>
    <row r="986">
      <c r="A986" s="241" t="n"/>
      <c r="B986" s="247" t="n"/>
      <c r="C986" s="248" t="n"/>
      <c r="D986" s="248" t="n"/>
      <c r="E986" s="249" t="n"/>
      <c r="F986" s="250" t="n"/>
      <c r="G986" s="242">
        <f>IF(ISNUMBER(F986),F986,IF(AND(ISNUMBER(C986),ISNUMBER(D986)),ROUND(MOD(D986-C986,1)*24-N(E986)/60,2),""))</f>
        <v/>
      </c>
      <c r="H986" s="241" t="n"/>
    </row>
    <row r="987">
      <c r="A987" s="241" t="n"/>
      <c r="B987" s="247" t="n"/>
      <c r="C987" s="248" t="n"/>
      <c r="D987" s="248" t="n"/>
      <c r="E987" s="249" t="n"/>
      <c r="F987" s="250" t="n"/>
      <c r="G987" s="242">
        <f>IF(ISNUMBER(F987),F987,IF(AND(ISNUMBER(C987),ISNUMBER(D987)),ROUND(MOD(D987-C987,1)*24-N(E987)/60,2),""))</f>
        <v/>
      </c>
      <c r="H987" s="241" t="n"/>
    </row>
    <row r="988">
      <c r="A988" s="241" t="n"/>
      <c r="B988" s="247" t="n"/>
      <c r="C988" s="248" t="n"/>
      <c r="D988" s="248" t="n"/>
      <c r="E988" s="249" t="n"/>
      <c r="F988" s="250" t="n"/>
      <c r="G988" s="242">
        <f>IF(ISNUMBER(F988),F988,IF(AND(ISNUMBER(C988),ISNUMBER(D988)),ROUND(MOD(D988-C988,1)*24-N(E988)/60,2),""))</f>
        <v/>
      </c>
      <c r="H988" s="241" t="n"/>
    </row>
    <row r="989">
      <c r="A989" s="241" t="n"/>
      <c r="B989" s="247" t="n"/>
      <c r="C989" s="248" t="n"/>
      <c r="D989" s="248" t="n"/>
      <c r="E989" s="249" t="n"/>
      <c r="F989" s="250" t="n"/>
      <c r="G989" s="242">
        <f>IF(ISNUMBER(F989),F989,IF(AND(ISNUMBER(C989),ISNUMBER(D989)),ROUND(MOD(D989-C989,1)*24-N(E989)/60,2),""))</f>
        <v/>
      </c>
      <c r="H989" s="241" t="n"/>
    </row>
    <row r="990">
      <c r="A990" s="241" t="n"/>
      <c r="B990" s="247" t="n"/>
      <c r="C990" s="248" t="n"/>
      <c r="D990" s="248" t="n"/>
      <c r="E990" s="249" t="n"/>
      <c r="F990" s="250" t="n"/>
      <c r="G990" s="242">
        <f>IF(ISNUMBER(F990),F990,IF(AND(ISNUMBER(C990),ISNUMBER(D990)),ROUND(MOD(D990-C990,1)*24-N(E990)/60,2),""))</f>
        <v/>
      </c>
      <c r="H990" s="241" t="n"/>
    </row>
    <row r="991">
      <c r="A991" s="241" t="n"/>
      <c r="B991" s="247" t="n"/>
      <c r="C991" s="248" t="n"/>
      <c r="D991" s="248" t="n"/>
      <c r="E991" s="249" t="n"/>
      <c r="F991" s="250" t="n"/>
      <c r="G991" s="242">
        <f>IF(ISNUMBER(F991),F991,IF(AND(ISNUMBER(C991),ISNUMBER(D991)),ROUND(MOD(D991-C991,1)*24-N(E991)/60,2),""))</f>
        <v/>
      </c>
      <c r="H991" s="241" t="n"/>
    </row>
    <row r="992">
      <c r="A992" s="241" t="n"/>
      <c r="B992" s="247" t="n"/>
      <c r="C992" s="248" t="n"/>
      <c r="D992" s="248" t="n"/>
      <c r="E992" s="249" t="n"/>
      <c r="F992" s="250" t="n"/>
      <c r="G992" s="242">
        <f>IF(ISNUMBER(F992),F992,IF(AND(ISNUMBER(C992),ISNUMBER(D992)),ROUND(MOD(D992-C992,1)*24-N(E992)/60,2),""))</f>
        <v/>
      </c>
      <c r="H992" s="241" t="n"/>
    </row>
    <row r="993">
      <c r="A993" s="241" t="n"/>
      <c r="B993" s="247" t="n"/>
      <c r="C993" s="248" t="n"/>
      <c r="D993" s="248" t="n"/>
      <c r="E993" s="249" t="n"/>
      <c r="F993" s="250" t="n"/>
      <c r="G993" s="242">
        <f>IF(ISNUMBER(F993),F993,IF(AND(ISNUMBER(C993),ISNUMBER(D993)),ROUND(MOD(D993-C993,1)*24-N(E993)/60,2),""))</f>
        <v/>
      </c>
      <c r="H993" s="241" t="n"/>
    </row>
    <row r="994">
      <c r="A994" s="241" t="n"/>
      <c r="B994" s="247" t="n"/>
      <c r="C994" s="248" t="n"/>
      <c r="D994" s="248" t="n"/>
      <c r="E994" s="249" t="n"/>
      <c r="F994" s="250" t="n"/>
      <c r="G994" s="242">
        <f>IF(ISNUMBER(F994),F994,IF(AND(ISNUMBER(C994),ISNUMBER(D994)),ROUND(MOD(D994-C994,1)*24-N(E994)/60,2),""))</f>
        <v/>
      </c>
      <c r="H994" s="241" t="n"/>
    </row>
    <row r="995">
      <c r="A995" s="241" t="n"/>
      <c r="B995" s="247" t="n"/>
      <c r="C995" s="248" t="n"/>
      <c r="D995" s="248" t="n"/>
      <c r="E995" s="249" t="n"/>
      <c r="F995" s="250" t="n"/>
      <c r="G995" s="242">
        <f>IF(ISNUMBER(F995),F995,IF(AND(ISNUMBER(C995),ISNUMBER(D995)),ROUND(MOD(D995-C995,1)*24-N(E995)/60,2),""))</f>
        <v/>
      </c>
      <c r="H995" s="241" t="n"/>
    </row>
    <row r="996">
      <c r="A996" s="241" t="n"/>
      <c r="B996" s="247" t="n"/>
      <c r="C996" s="248" t="n"/>
      <c r="D996" s="248" t="n"/>
      <c r="E996" s="249" t="n"/>
      <c r="F996" s="250" t="n"/>
      <c r="G996" s="242">
        <f>IF(ISNUMBER(F996),F996,IF(AND(ISNUMBER(C996),ISNUMBER(D996)),ROUND(MOD(D996-C996,1)*24-N(E996)/60,2),""))</f>
        <v/>
      </c>
      <c r="H996" s="241" t="n"/>
    </row>
    <row r="997">
      <c r="A997" s="241" t="n"/>
      <c r="B997" s="247" t="n"/>
      <c r="C997" s="248" t="n"/>
      <c r="D997" s="248" t="n"/>
      <c r="E997" s="249" t="n"/>
      <c r="F997" s="250" t="n"/>
      <c r="G997" s="242">
        <f>IF(ISNUMBER(F997),F997,IF(AND(ISNUMBER(C997),ISNUMBER(D997)),ROUND(MOD(D997-C997,1)*24-N(E997)/60,2),""))</f>
        <v/>
      </c>
      <c r="H997" s="241" t="n"/>
    </row>
    <row r="998">
      <c r="A998" s="241" t="n"/>
      <c r="B998" s="247" t="n"/>
      <c r="C998" s="248" t="n"/>
      <c r="D998" s="248" t="n"/>
      <c r="E998" s="249" t="n"/>
      <c r="F998" s="250" t="n"/>
      <c r="G998" s="242">
        <f>IF(ISNUMBER(F998),F998,IF(AND(ISNUMBER(C998),ISNUMBER(D998)),ROUND(MOD(D998-C998,1)*24-N(E998)/60,2),""))</f>
        <v/>
      </c>
      <c r="H998" s="241" t="n"/>
    </row>
    <row r="999">
      <c r="A999" s="241" t="n"/>
      <c r="B999" s="247" t="n"/>
      <c r="C999" s="248" t="n"/>
      <c r="D999" s="248" t="n"/>
      <c r="E999" s="249" t="n"/>
      <c r="F999" s="250" t="n"/>
      <c r="G999" s="242">
        <f>IF(ISNUMBER(F999),F999,IF(AND(ISNUMBER(C999),ISNUMBER(D999)),ROUND(MOD(D999-C999,1)*24-N(E999)/60,2),""))</f>
        <v/>
      </c>
      <c r="H999" s="241" t="n"/>
    </row>
    <row r="1000">
      <c r="A1000" s="241" t="n"/>
      <c r="B1000" s="247" t="n"/>
      <c r="C1000" s="248" t="n"/>
      <c r="D1000" s="248" t="n"/>
      <c r="E1000" s="249" t="n"/>
      <c r="F1000" s="250" t="n"/>
      <c r="G1000" s="242">
        <f>IF(ISNUMBER(F1000),F1000,IF(AND(ISNUMBER(C1000),ISNUMBER(D1000)),ROUND(MOD(D1000-C1000,1)*24-N(E1000)/60,2),""))</f>
        <v/>
      </c>
      <c r="H1000" s="241" t="n"/>
    </row>
    <row r="1001">
      <c r="A1001" s="241" t="n"/>
      <c r="B1001" s="247" t="n"/>
      <c r="C1001" s="248" t="n"/>
      <c r="D1001" s="248" t="n"/>
      <c r="E1001" s="249" t="n"/>
      <c r="F1001" s="250" t="n"/>
      <c r="G1001" s="242">
        <f>IF(ISNUMBER(F1001),F1001,IF(AND(ISNUMBER(C1001),ISNUMBER(D1001)),ROUND(MOD(D1001-C1001,1)*24-N(E1001)/60,2),""))</f>
        <v/>
      </c>
      <c r="H1001" s="241" t="n"/>
    </row>
    <row r="1002">
      <c r="A1002" s="241" t="n"/>
      <c r="B1002" s="247" t="n"/>
      <c r="C1002" s="248" t="n"/>
      <c r="D1002" s="248" t="n"/>
      <c r="E1002" s="249" t="n"/>
      <c r="F1002" s="250" t="n"/>
      <c r="G1002" s="242">
        <f>IF(ISNUMBER(F1002),F1002,IF(AND(ISNUMBER(C1002),ISNUMBER(D1002)),ROUND(MOD(D1002-C1002,1)*24-N(E1002)/60,2),""))</f>
        <v/>
      </c>
      <c r="H1002" s="241" t="n"/>
    </row>
    <row r="1003">
      <c r="A1003" s="241" t="n"/>
      <c r="B1003" s="247" t="n"/>
      <c r="C1003" s="248" t="n"/>
      <c r="D1003" s="248" t="n"/>
      <c r="E1003" s="249" t="n"/>
      <c r="F1003" s="250" t="n"/>
      <c r="G1003" s="242">
        <f>IF(ISNUMBER(F1003),F1003,IF(AND(ISNUMBER(C1003),ISNUMBER(D1003)),ROUND(MOD(D1003-C1003,1)*24-N(E1003)/60,2),""))</f>
        <v/>
      </c>
      <c r="H1003" s="241" t="n"/>
    </row>
    <row r="1004">
      <c r="A1004" s="241" t="n"/>
      <c r="B1004" s="247" t="n"/>
      <c r="C1004" s="248" t="n"/>
      <c r="D1004" s="248" t="n"/>
      <c r="E1004" s="249" t="n"/>
      <c r="F1004" s="250" t="n"/>
      <c r="G1004" s="242">
        <f>IF(ISNUMBER(F1004),F1004,IF(AND(ISNUMBER(C1004),ISNUMBER(D1004)),ROUND(MOD(D1004-C1004,1)*24-N(E1004)/60,2),""))</f>
        <v/>
      </c>
      <c r="H1004" s="241" t="n"/>
    </row>
    <row r="1005">
      <c r="A1005" s="241" t="n"/>
      <c r="B1005" s="247" t="n"/>
      <c r="C1005" s="248" t="n"/>
      <c r="D1005" s="248" t="n"/>
      <c r="E1005" s="249" t="n"/>
      <c r="F1005" s="250" t="n"/>
      <c r="G1005" s="242">
        <f>IF(ISNUMBER(F1005),F1005,IF(AND(ISNUMBER(C1005),ISNUMBER(D1005)),ROUND(MOD(D1005-C1005,1)*24-N(E1005)/60,2),""))</f>
        <v/>
      </c>
      <c r="H1005" s="241" t="n"/>
    </row>
  </sheetData>
  <autoFilter ref="A5:H1005"/>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2" t="inlineStr">
        <is>
          <t>EMPLOYMENT HERO ROSTER - paste here</t>
        </is>
      </c>
      <c r="B1" s="232" t="n"/>
      <c r="C1" s="232" t="n"/>
      <c r="D1" s="232" t="n"/>
      <c r="E1" s="232" t="n"/>
      <c r="F1" s="232" t="n"/>
      <c r="G1" s="232" t="n"/>
      <c r="H1" s="232" t="n"/>
    </row>
    <row r="2">
      <c r="A2" s="238" t="inlineStr">
        <is>
          <t>Export the roster for the same pay run from Employment Hero, then paste values into columns A to F from row 6 down (one line per rostered shift). Column G works itself out. Column H is optional.</t>
        </is>
      </c>
    </row>
    <row r="3">
      <c r="A3" s="238" t="inlineStr">
        <is>
          <t>Minimum needed: Employee + Date + either Hours (col F) or Start/End/Break (cols C to E). Employee must be spelt exactly as in the Staff list on the Roster Check sheet. Dates must be real dates, not text.</t>
        </is>
      </c>
    </row>
    <row r="5" ht="30" customHeight="1">
      <c r="A5" s="240" t="inlineStr">
        <is>
          <t>Employee</t>
        </is>
      </c>
      <c r="B5" s="240" t="inlineStr">
        <is>
          <t>Date</t>
        </is>
      </c>
      <c r="C5" s="240" t="inlineStr">
        <is>
          <t>Start</t>
        </is>
      </c>
      <c r="D5" s="240" t="inlineStr">
        <is>
          <t>End</t>
        </is>
      </c>
      <c r="E5" s="240" t="inlineStr">
        <is>
          <t>Break (mins)</t>
        </is>
      </c>
      <c r="F5" s="240" t="inlineStr">
        <is>
          <t>Hours per EH</t>
        </is>
      </c>
      <c r="G5" s="240" t="inlineStr">
        <is>
          <t>Hours used (auto)</t>
        </is>
      </c>
      <c r="H5" s="240" t="inlineStr">
        <is>
          <t>Location / Work type / Notes</t>
        </is>
      </c>
    </row>
    <row r="6">
      <c r="A6" s="241" t="n"/>
      <c r="B6" s="247" t="n"/>
      <c r="C6" s="248" t="n"/>
      <c r="D6" s="248" t="n"/>
      <c r="E6" s="249" t="n"/>
      <c r="F6" s="250" t="n"/>
      <c r="G6" s="242">
        <f>IF(ISNUMBER(F6),F6,IF(AND(ISNUMBER(C6),ISNUMBER(D6)),ROUND(MOD(D6-C6,1)*24-N(E6)/60,2),""))</f>
        <v/>
      </c>
      <c r="H6" s="241" t="n"/>
    </row>
    <row r="7">
      <c r="A7" s="241" t="n"/>
      <c r="B7" s="247" t="n"/>
      <c r="C7" s="248" t="n"/>
      <c r="D7" s="248" t="n"/>
      <c r="E7" s="249" t="n"/>
      <c r="F7" s="250" t="n"/>
      <c r="G7" s="242">
        <f>IF(ISNUMBER(F7),F7,IF(AND(ISNUMBER(C7),ISNUMBER(D7)),ROUND(MOD(D7-C7,1)*24-N(E7)/60,2),""))</f>
        <v/>
      </c>
      <c r="H7" s="241" t="n"/>
    </row>
    <row r="8">
      <c r="A8" s="241" t="n"/>
      <c r="B8" s="247" t="n"/>
      <c r="C8" s="248" t="n"/>
      <c r="D8" s="248" t="n"/>
      <c r="E8" s="249" t="n"/>
      <c r="F8" s="250" t="n"/>
      <c r="G8" s="242">
        <f>IF(ISNUMBER(F8),F8,IF(AND(ISNUMBER(C8),ISNUMBER(D8)),ROUND(MOD(D8-C8,1)*24-N(E8)/60,2),""))</f>
        <v/>
      </c>
      <c r="H8" s="241" t="n"/>
    </row>
    <row r="9">
      <c r="A9" s="241" t="n"/>
      <c r="B9" s="247" t="n"/>
      <c r="C9" s="248" t="n"/>
      <c r="D9" s="248" t="n"/>
      <c r="E9" s="249" t="n"/>
      <c r="F9" s="250" t="n"/>
      <c r="G9" s="242">
        <f>IF(ISNUMBER(F9),F9,IF(AND(ISNUMBER(C9),ISNUMBER(D9)),ROUND(MOD(D9-C9,1)*24-N(E9)/60,2),""))</f>
        <v/>
      </c>
      <c r="H9" s="241" t="n"/>
    </row>
    <row r="10">
      <c r="A10" s="241" t="n"/>
      <c r="B10" s="247" t="n"/>
      <c r="C10" s="248" t="n"/>
      <c r="D10" s="248" t="n"/>
      <c r="E10" s="249" t="n"/>
      <c r="F10" s="250" t="n"/>
      <c r="G10" s="242">
        <f>IF(ISNUMBER(F10),F10,IF(AND(ISNUMBER(C10),ISNUMBER(D10)),ROUND(MOD(D10-C10,1)*24-N(E10)/60,2),""))</f>
        <v/>
      </c>
      <c r="H10" s="241" t="n"/>
    </row>
    <row r="11">
      <c r="A11" s="241" t="n"/>
      <c r="B11" s="247" t="n"/>
      <c r="C11" s="248" t="n"/>
      <c r="D11" s="248" t="n"/>
      <c r="E11" s="249" t="n"/>
      <c r="F11" s="250" t="n"/>
      <c r="G11" s="242">
        <f>IF(ISNUMBER(F11),F11,IF(AND(ISNUMBER(C11),ISNUMBER(D11)),ROUND(MOD(D11-C11,1)*24-N(E11)/60,2),""))</f>
        <v/>
      </c>
      <c r="H11" s="241" t="n"/>
    </row>
    <row r="12">
      <c r="A12" s="241" t="n"/>
      <c r="B12" s="247" t="n"/>
      <c r="C12" s="248" t="n"/>
      <c r="D12" s="248" t="n"/>
      <c r="E12" s="249" t="n"/>
      <c r="F12" s="250" t="n"/>
      <c r="G12" s="242">
        <f>IF(ISNUMBER(F12),F12,IF(AND(ISNUMBER(C12),ISNUMBER(D12)),ROUND(MOD(D12-C12,1)*24-N(E12)/60,2),""))</f>
        <v/>
      </c>
      <c r="H12" s="241" t="n"/>
    </row>
    <row r="13">
      <c r="A13" s="241" t="n"/>
      <c r="B13" s="247" t="n"/>
      <c r="C13" s="248" t="n"/>
      <c r="D13" s="248" t="n"/>
      <c r="E13" s="249" t="n"/>
      <c r="F13" s="250" t="n"/>
      <c r="G13" s="242">
        <f>IF(ISNUMBER(F13),F13,IF(AND(ISNUMBER(C13),ISNUMBER(D13)),ROUND(MOD(D13-C13,1)*24-N(E13)/60,2),""))</f>
        <v/>
      </c>
      <c r="H13" s="241" t="n"/>
    </row>
    <row r="14">
      <c r="A14" s="241" t="n"/>
      <c r="B14" s="247" t="n"/>
      <c r="C14" s="248" t="n"/>
      <c r="D14" s="248" t="n"/>
      <c r="E14" s="249" t="n"/>
      <c r="F14" s="250" t="n"/>
      <c r="G14" s="242">
        <f>IF(ISNUMBER(F14),F14,IF(AND(ISNUMBER(C14),ISNUMBER(D14)),ROUND(MOD(D14-C14,1)*24-N(E14)/60,2),""))</f>
        <v/>
      </c>
      <c r="H14" s="241" t="n"/>
    </row>
    <row r="15">
      <c r="A15" s="241" t="n"/>
      <c r="B15" s="247" t="n"/>
      <c r="C15" s="248" t="n"/>
      <c r="D15" s="248" t="n"/>
      <c r="E15" s="249" t="n"/>
      <c r="F15" s="250" t="n"/>
      <c r="G15" s="242">
        <f>IF(ISNUMBER(F15),F15,IF(AND(ISNUMBER(C15),ISNUMBER(D15)),ROUND(MOD(D15-C15,1)*24-N(E15)/60,2),""))</f>
        <v/>
      </c>
      <c r="H15" s="241" t="n"/>
    </row>
    <row r="16">
      <c r="A16" s="241" t="n"/>
      <c r="B16" s="247" t="n"/>
      <c r="C16" s="248" t="n"/>
      <c r="D16" s="248" t="n"/>
      <c r="E16" s="249" t="n"/>
      <c r="F16" s="250" t="n"/>
      <c r="G16" s="242">
        <f>IF(ISNUMBER(F16),F16,IF(AND(ISNUMBER(C16),ISNUMBER(D16)),ROUND(MOD(D16-C16,1)*24-N(E16)/60,2),""))</f>
        <v/>
      </c>
      <c r="H16" s="241" t="n"/>
    </row>
    <row r="17">
      <c r="A17" s="241" t="n"/>
      <c r="B17" s="247" t="n"/>
      <c r="C17" s="248" t="n"/>
      <c r="D17" s="248" t="n"/>
      <c r="E17" s="249" t="n"/>
      <c r="F17" s="250" t="n"/>
      <c r="G17" s="242">
        <f>IF(ISNUMBER(F17),F17,IF(AND(ISNUMBER(C17),ISNUMBER(D17)),ROUND(MOD(D17-C17,1)*24-N(E17)/60,2),""))</f>
        <v/>
      </c>
      <c r="H17" s="241" t="n"/>
    </row>
    <row r="18">
      <c r="A18" s="241" t="n"/>
      <c r="B18" s="247" t="n"/>
      <c r="C18" s="248" t="n"/>
      <c r="D18" s="248" t="n"/>
      <c r="E18" s="249" t="n"/>
      <c r="F18" s="250" t="n"/>
      <c r="G18" s="242">
        <f>IF(ISNUMBER(F18),F18,IF(AND(ISNUMBER(C18),ISNUMBER(D18)),ROUND(MOD(D18-C18,1)*24-N(E18)/60,2),""))</f>
        <v/>
      </c>
      <c r="H18" s="241" t="n"/>
    </row>
    <row r="19">
      <c r="A19" s="241" t="n"/>
      <c r="B19" s="247" t="n"/>
      <c r="C19" s="248" t="n"/>
      <c r="D19" s="248" t="n"/>
      <c r="E19" s="249" t="n"/>
      <c r="F19" s="250" t="n"/>
      <c r="G19" s="242">
        <f>IF(ISNUMBER(F19),F19,IF(AND(ISNUMBER(C19),ISNUMBER(D19)),ROUND(MOD(D19-C19,1)*24-N(E19)/60,2),""))</f>
        <v/>
      </c>
      <c r="H19" s="241" t="n"/>
    </row>
    <row r="20">
      <c r="A20" s="241" t="n"/>
      <c r="B20" s="247" t="n"/>
      <c r="C20" s="248" t="n"/>
      <c r="D20" s="248" t="n"/>
      <c r="E20" s="249" t="n"/>
      <c r="F20" s="250" t="n"/>
      <c r="G20" s="242">
        <f>IF(ISNUMBER(F20),F20,IF(AND(ISNUMBER(C20),ISNUMBER(D20)),ROUND(MOD(D20-C20,1)*24-N(E20)/60,2),""))</f>
        <v/>
      </c>
      <c r="H20" s="241" t="n"/>
    </row>
    <row r="21">
      <c r="A21" s="241" t="n"/>
      <c r="B21" s="247" t="n"/>
      <c r="C21" s="248" t="n"/>
      <c r="D21" s="248" t="n"/>
      <c r="E21" s="249" t="n"/>
      <c r="F21" s="250" t="n"/>
      <c r="G21" s="242">
        <f>IF(ISNUMBER(F21),F21,IF(AND(ISNUMBER(C21),ISNUMBER(D21)),ROUND(MOD(D21-C21,1)*24-N(E21)/60,2),""))</f>
        <v/>
      </c>
      <c r="H21" s="241" t="n"/>
    </row>
    <row r="22">
      <c r="A22" s="241" t="n"/>
      <c r="B22" s="247" t="n"/>
      <c r="C22" s="248" t="n"/>
      <c r="D22" s="248" t="n"/>
      <c r="E22" s="249" t="n"/>
      <c r="F22" s="250" t="n"/>
      <c r="G22" s="242">
        <f>IF(ISNUMBER(F22),F22,IF(AND(ISNUMBER(C22),ISNUMBER(D22)),ROUND(MOD(D22-C22,1)*24-N(E22)/60,2),""))</f>
        <v/>
      </c>
      <c r="H22" s="241" t="n"/>
    </row>
    <row r="23">
      <c r="A23" s="241" t="n"/>
      <c r="B23" s="247" t="n"/>
      <c r="C23" s="248" t="n"/>
      <c r="D23" s="248" t="n"/>
      <c r="E23" s="249" t="n"/>
      <c r="F23" s="250" t="n"/>
      <c r="G23" s="242">
        <f>IF(ISNUMBER(F23),F23,IF(AND(ISNUMBER(C23),ISNUMBER(D23)),ROUND(MOD(D23-C23,1)*24-N(E23)/60,2),""))</f>
        <v/>
      </c>
      <c r="H23" s="241" t="n"/>
    </row>
    <row r="24">
      <c r="A24" s="241" t="n"/>
      <c r="B24" s="247" t="n"/>
      <c r="C24" s="248" t="n"/>
      <c r="D24" s="248" t="n"/>
      <c r="E24" s="249" t="n"/>
      <c r="F24" s="250" t="n"/>
      <c r="G24" s="242">
        <f>IF(ISNUMBER(F24),F24,IF(AND(ISNUMBER(C24),ISNUMBER(D24)),ROUND(MOD(D24-C24,1)*24-N(E24)/60,2),""))</f>
        <v/>
      </c>
      <c r="H24" s="241" t="n"/>
    </row>
    <row r="25">
      <c r="A25" s="241" t="n"/>
      <c r="B25" s="247" t="n"/>
      <c r="C25" s="248" t="n"/>
      <c r="D25" s="248" t="n"/>
      <c r="E25" s="249" t="n"/>
      <c r="F25" s="250" t="n"/>
      <c r="G25" s="242">
        <f>IF(ISNUMBER(F25),F25,IF(AND(ISNUMBER(C25),ISNUMBER(D25)),ROUND(MOD(D25-C25,1)*24-N(E25)/60,2),""))</f>
        <v/>
      </c>
      <c r="H25" s="241" t="n"/>
    </row>
    <row r="26">
      <c r="A26" s="241" t="n"/>
      <c r="B26" s="247" t="n"/>
      <c r="C26" s="248" t="n"/>
      <c r="D26" s="248" t="n"/>
      <c r="E26" s="249" t="n"/>
      <c r="F26" s="250" t="n"/>
      <c r="G26" s="242">
        <f>IF(ISNUMBER(F26),F26,IF(AND(ISNUMBER(C26),ISNUMBER(D26)),ROUND(MOD(D26-C26,1)*24-N(E26)/60,2),""))</f>
        <v/>
      </c>
      <c r="H26" s="241" t="n"/>
    </row>
    <row r="27">
      <c r="A27" s="241" t="n"/>
      <c r="B27" s="247" t="n"/>
      <c r="C27" s="248" t="n"/>
      <c r="D27" s="248" t="n"/>
      <c r="E27" s="249" t="n"/>
      <c r="F27" s="250" t="n"/>
      <c r="G27" s="242">
        <f>IF(ISNUMBER(F27),F27,IF(AND(ISNUMBER(C27),ISNUMBER(D27)),ROUND(MOD(D27-C27,1)*24-N(E27)/60,2),""))</f>
        <v/>
      </c>
      <c r="H27" s="241" t="n"/>
    </row>
    <row r="28">
      <c r="A28" s="241" t="n"/>
      <c r="B28" s="247" t="n"/>
      <c r="C28" s="248" t="n"/>
      <c r="D28" s="248" t="n"/>
      <c r="E28" s="249" t="n"/>
      <c r="F28" s="250" t="n"/>
      <c r="G28" s="242">
        <f>IF(ISNUMBER(F28),F28,IF(AND(ISNUMBER(C28),ISNUMBER(D28)),ROUND(MOD(D28-C28,1)*24-N(E28)/60,2),""))</f>
        <v/>
      </c>
      <c r="H28" s="241" t="n"/>
    </row>
    <row r="29">
      <c r="A29" s="241" t="n"/>
      <c r="B29" s="247" t="n"/>
      <c r="C29" s="248" t="n"/>
      <c r="D29" s="248" t="n"/>
      <c r="E29" s="249" t="n"/>
      <c r="F29" s="250" t="n"/>
      <c r="G29" s="242">
        <f>IF(ISNUMBER(F29),F29,IF(AND(ISNUMBER(C29),ISNUMBER(D29)),ROUND(MOD(D29-C29,1)*24-N(E29)/60,2),""))</f>
        <v/>
      </c>
      <c r="H29" s="241" t="n"/>
    </row>
    <row r="30">
      <c r="A30" s="241" t="n"/>
      <c r="B30" s="247" t="n"/>
      <c r="C30" s="248" t="n"/>
      <c r="D30" s="248" t="n"/>
      <c r="E30" s="249" t="n"/>
      <c r="F30" s="250" t="n"/>
      <c r="G30" s="242">
        <f>IF(ISNUMBER(F30),F30,IF(AND(ISNUMBER(C30),ISNUMBER(D30)),ROUND(MOD(D30-C30,1)*24-N(E30)/60,2),""))</f>
        <v/>
      </c>
      <c r="H30" s="241" t="n"/>
    </row>
    <row r="31">
      <c r="A31" s="241" t="n"/>
      <c r="B31" s="247" t="n"/>
      <c r="C31" s="248" t="n"/>
      <c r="D31" s="248" t="n"/>
      <c r="E31" s="249" t="n"/>
      <c r="F31" s="250" t="n"/>
      <c r="G31" s="242">
        <f>IF(ISNUMBER(F31),F31,IF(AND(ISNUMBER(C31),ISNUMBER(D31)),ROUND(MOD(D31-C31,1)*24-N(E31)/60,2),""))</f>
        <v/>
      </c>
      <c r="H31" s="241" t="n"/>
    </row>
    <row r="32">
      <c r="A32" s="241" t="n"/>
      <c r="B32" s="247" t="n"/>
      <c r="C32" s="248" t="n"/>
      <c r="D32" s="248" t="n"/>
      <c r="E32" s="249" t="n"/>
      <c r="F32" s="250" t="n"/>
      <c r="G32" s="242">
        <f>IF(ISNUMBER(F32),F32,IF(AND(ISNUMBER(C32),ISNUMBER(D32)),ROUND(MOD(D32-C32,1)*24-N(E32)/60,2),""))</f>
        <v/>
      </c>
      <c r="H32" s="241" t="n"/>
    </row>
    <row r="33">
      <c r="A33" s="241" t="n"/>
      <c r="B33" s="247" t="n"/>
      <c r="C33" s="248" t="n"/>
      <c r="D33" s="248" t="n"/>
      <c r="E33" s="249" t="n"/>
      <c r="F33" s="250" t="n"/>
      <c r="G33" s="242">
        <f>IF(ISNUMBER(F33),F33,IF(AND(ISNUMBER(C33),ISNUMBER(D33)),ROUND(MOD(D33-C33,1)*24-N(E33)/60,2),""))</f>
        <v/>
      </c>
      <c r="H33" s="241" t="n"/>
    </row>
    <row r="34">
      <c r="A34" s="241" t="n"/>
      <c r="B34" s="247" t="n"/>
      <c r="C34" s="248" t="n"/>
      <c r="D34" s="248" t="n"/>
      <c r="E34" s="249" t="n"/>
      <c r="F34" s="250" t="n"/>
      <c r="G34" s="242">
        <f>IF(ISNUMBER(F34),F34,IF(AND(ISNUMBER(C34),ISNUMBER(D34)),ROUND(MOD(D34-C34,1)*24-N(E34)/60,2),""))</f>
        <v/>
      </c>
      <c r="H34" s="241" t="n"/>
    </row>
    <row r="35">
      <c r="A35" s="241" t="n"/>
      <c r="B35" s="247" t="n"/>
      <c r="C35" s="248" t="n"/>
      <c r="D35" s="248" t="n"/>
      <c r="E35" s="249" t="n"/>
      <c r="F35" s="250" t="n"/>
      <c r="G35" s="242">
        <f>IF(ISNUMBER(F35),F35,IF(AND(ISNUMBER(C35),ISNUMBER(D35)),ROUND(MOD(D35-C35,1)*24-N(E35)/60,2),""))</f>
        <v/>
      </c>
      <c r="H35" s="241" t="n"/>
    </row>
    <row r="36">
      <c r="A36" s="241" t="n"/>
      <c r="B36" s="247" t="n"/>
      <c r="C36" s="248" t="n"/>
      <c r="D36" s="248" t="n"/>
      <c r="E36" s="249" t="n"/>
      <c r="F36" s="250" t="n"/>
      <c r="G36" s="242">
        <f>IF(ISNUMBER(F36),F36,IF(AND(ISNUMBER(C36),ISNUMBER(D36)),ROUND(MOD(D36-C36,1)*24-N(E36)/60,2),""))</f>
        <v/>
      </c>
      <c r="H36" s="241" t="n"/>
    </row>
    <row r="37">
      <c r="A37" s="241" t="n"/>
      <c r="B37" s="247" t="n"/>
      <c r="C37" s="248" t="n"/>
      <c r="D37" s="248" t="n"/>
      <c r="E37" s="249" t="n"/>
      <c r="F37" s="250" t="n"/>
      <c r="G37" s="242">
        <f>IF(ISNUMBER(F37),F37,IF(AND(ISNUMBER(C37),ISNUMBER(D37)),ROUND(MOD(D37-C37,1)*24-N(E37)/60,2),""))</f>
        <v/>
      </c>
      <c r="H37" s="241" t="n"/>
    </row>
    <row r="38">
      <c r="A38" s="241" t="n"/>
      <c r="B38" s="247" t="n"/>
      <c r="C38" s="248" t="n"/>
      <c r="D38" s="248" t="n"/>
      <c r="E38" s="249" t="n"/>
      <c r="F38" s="250" t="n"/>
      <c r="G38" s="242">
        <f>IF(ISNUMBER(F38),F38,IF(AND(ISNUMBER(C38),ISNUMBER(D38)),ROUND(MOD(D38-C38,1)*24-N(E38)/60,2),""))</f>
        <v/>
      </c>
      <c r="H38" s="241" t="n"/>
    </row>
    <row r="39">
      <c r="A39" s="241" t="n"/>
      <c r="B39" s="247" t="n"/>
      <c r="C39" s="248" t="n"/>
      <c r="D39" s="248" t="n"/>
      <c r="E39" s="249" t="n"/>
      <c r="F39" s="250" t="n"/>
      <c r="G39" s="242">
        <f>IF(ISNUMBER(F39),F39,IF(AND(ISNUMBER(C39),ISNUMBER(D39)),ROUND(MOD(D39-C39,1)*24-N(E39)/60,2),""))</f>
        <v/>
      </c>
      <c r="H39" s="241" t="n"/>
    </row>
    <row r="40">
      <c r="A40" s="241" t="n"/>
      <c r="B40" s="247" t="n"/>
      <c r="C40" s="248" t="n"/>
      <c r="D40" s="248" t="n"/>
      <c r="E40" s="249" t="n"/>
      <c r="F40" s="250" t="n"/>
      <c r="G40" s="242">
        <f>IF(ISNUMBER(F40),F40,IF(AND(ISNUMBER(C40),ISNUMBER(D40)),ROUND(MOD(D40-C40,1)*24-N(E40)/60,2),""))</f>
        <v/>
      </c>
      <c r="H40" s="241" t="n"/>
    </row>
    <row r="41">
      <c r="A41" s="241" t="n"/>
      <c r="B41" s="247" t="n"/>
      <c r="C41" s="248" t="n"/>
      <c r="D41" s="248" t="n"/>
      <c r="E41" s="249" t="n"/>
      <c r="F41" s="250" t="n"/>
      <c r="G41" s="242">
        <f>IF(ISNUMBER(F41),F41,IF(AND(ISNUMBER(C41),ISNUMBER(D41)),ROUND(MOD(D41-C41,1)*24-N(E41)/60,2),""))</f>
        <v/>
      </c>
      <c r="H41" s="241" t="n"/>
    </row>
    <row r="42">
      <c r="A42" s="241" t="n"/>
      <c r="B42" s="247" t="n"/>
      <c r="C42" s="248" t="n"/>
      <c r="D42" s="248" t="n"/>
      <c r="E42" s="249" t="n"/>
      <c r="F42" s="250" t="n"/>
      <c r="G42" s="242">
        <f>IF(ISNUMBER(F42),F42,IF(AND(ISNUMBER(C42),ISNUMBER(D42)),ROUND(MOD(D42-C42,1)*24-N(E42)/60,2),""))</f>
        <v/>
      </c>
      <c r="H42" s="241" t="n"/>
    </row>
    <row r="43">
      <c r="A43" s="241" t="n"/>
      <c r="B43" s="247" t="n"/>
      <c r="C43" s="248" t="n"/>
      <c r="D43" s="248" t="n"/>
      <c r="E43" s="249" t="n"/>
      <c r="F43" s="250" t="n"/>
      <c r="G43" s="242">
        <f>IF(ISNUMBER(F43),F43,IF(AND(ISNUMBER(C43),ISNUMBER(D43)),ROUND(MOD(D43-C43,1)*24-N(E43)/60,2),""))</f>
        <v/>
      </c>
      <c r="H43" s="241" t="n"/>
    </row>
    <row r="44">
      <c r="A44" s="241" t="n"/>
      <c r="B44" s="247" t="n"/>
      <c r="C44" s="248" t="n"/>
      <c r="D44" s="248" t="n"/>
      <c r="E44" s="249" t="n"/>
      <c r="F44" s="250" t="n"/>
      <c r="G44" s="242">
        <f>IF(ISNUMBER(F44),F44,IF(AND(ISNUMBER(C44),ISNUMBER(D44)),ROUND(MOD(D44-C44,1)*24-N(E44)/60,2),""))</f>
        <v/>
      </c>
      <c r="H44" s="241" t="n"/>
    </row>
    <row r="45">
      <c r="A45" s="241" t="n"/>
      <c r="B45" s="247" t="n"/>
      <c r="C45" s="248" t="n"/>
      <c r="D45" s="248" t="n"/>
      <c r="E45" s="249" t="n"/>
      <c r="F45" s="250" t="n"/>
      <c r="G45" s="242">
        <f>IF(ISNUMBER(F45),F45,IF(AND(ISNUMBER(C45),ISNUMBER(D45)),ROUND(MOD(D45-C45,1)*24-N(E45)/60,2),""))</f>
        <v/>
      </c>
      <c r="H45" s="241" t="n"/>
    </row>
    <row r="46">
      <c r="A46" s="241" t="n"/>
      <c r="B46" s="247" t="n"/>
      <c r="C46" s="248" t="n"/>
      <c r="D46" s="248" t="n"/>
      <c r="E46" s="249" t="n"/>
      <c r="F46" s="250" t="n"/>
      <c r="G46" s="242">
        <f>IF(ISNUMBER(F46),F46,IF(AND(ISNUMBER(C46),ISNUMBER(D46)),ROUND(MOD(D46-C46,1)*24-N(E46)/60,2),""))</f>
        <v/>
      </c>
      <c r="H46" s="241" t="n"/>
    </row>
    <row r="47">
      <c r="A47" s="241" t="n"/>
      <c r="B47" s="247" t="n"/>
      <c r="C47" s="248" t="n"/>
      <c r="D47" s="248" t="n"/>
      <c r="E47" s="249" t="n"/>
      <c r="F47" s="250" t="n"/>
      <c r="G47" s="242">
        <f>IF(ISNUMBER(F47),F47,IF(AND(ISNUMBER(C47),ISNUMBER(D47)),ROUND(MOD(D47-C47,1)*24-N(E47)/60,2),""))</f>
        <v/>
      </c>
      <c r="H47" s="241" t="n"/>
    </row>
    <row r="48">
      <c r="A48" s="241" t="n"/>
      <c r="B48" s="247" t="n"/>
      <c r="C48" s="248" t="n"/>
      <c r="D48" s="248" t="n"/>
      <c r="E48" s="249" t="n"/>
      <c r="F48" s="250" t="n"/>
      <c r="G48" s="242">
        <f>IF(ISNUMBER(F48),F48,IF(AND(ISNUMBER(C48),ISNUMBER(D48)),ROUND(MOD(D48-C48,1)*24-N(E48)/60,2),""))</f>
        <v/>
      </c>
      <c r="H48" s="241" t="n"/>
    </row>
    <row r="49">
      <c r="A49" s="241" t="n"/>
      <c r="B49" s="247" t="n"/>
      <c r="C49" s="248" t="n"/>
      <c r="D49" s="248" t="n"/>
      <c r="E49" s="249" t="n"/>
      <c r="F49" s="250" t="n"/>
      <c r="G49" s="242">
        <f>IF(ISNUMBER(F49),F49,IF(AND(ISNUMBER(C49),ISNUMBER(D49)),ROUND(MOD(D49-C49,1)*24-N(E49)/60,2),""))</f>
        <v/>
      </c>
      <c r="H49" s="241" t="n"/>
    </row>
    <row r="50">
      <c r="A50" s="241" t="n"/>
      <c r="B50" s="247" t="n"/>
      <c r="C50" s="248" t="n"/>
      <c r="D50" s="248" t="n"/>
      <c r="E50" s="249" t="n"/>
      <c r="F50" s="250" t="n"/>
      <c r="G50" s="242">
        <f>IF(ISNUMBER(F50),F50,IF(AND(ISNUMBER(C50),ISNUMBER(D50)),ROUND(MOD(D50-C50,1)*24-N(E50)/60,2),""))</f>
        <v/>
      </c>
      <c r="H50" s="241" t="n"/>
    </row>
    <row r="51">
      <c r="A51" s="241" t="n"/>
      <c r="B51" s="247" t="n"/>
      <c r="C51" s="248" t="n"/>
      <c r="D51" s="248" t="n"/>
      <c r="E51" s="249" t="n"/>
      <c r="F51" s="250" t="n"/>
      <c r="G51" s="242">
        <f>IF(ISNUMBER(F51),F51,IF(AND(ISNUMBER(C51),ISNUMBER(D51)),ROUND(MOD(D51-C51,1)*24-N(E51)/60,2),""))</f>
        <v/>
      </c>
      <c r="H51" s="241" t="n"/>
    </row>
    <row r="52">
      <c r="A52" s="241" t="n"/>
      <c r="B52" s="247" t="n"/>
      <c r="C52" s="248" t="n"/>
      <c r="D52" s="248" t="n"/>
      <c r="E52" s="249" t="n"/>
      <c r="F52" s="250" t="n"/>
      <c r="G52" s="242">
        <f>IF(ISNUMBER(F52),F52,IF(AND(ISNUMBER(C52),ISNUMBER(D52)),ROUND(MOD(D52-C52,1)*24-N(E52)/60,2),""))</f>
        <v/>
      </c>
      <c r="H52" s="241" t="n"/>
    </row>
    <row r="53">
      <c r="A53" s="241" t="n"/>
      <c r="B53" s="247" t="n"/>
      <c r="C53" s="248" t="n"/>
      <c r="D53" s="248" t="n"/>
      <c r="E53" s="249" t="n"/>
      <c r="F53" s="250" t="n"/>
      <c r="G53" s="242">
        <f>IF(ISNUMBER(F53),F53,IF(AND(ISNUMBER(C53),ISNUMBER(D53)),ROUND(MOD(D53-C53,1)*24-N(E53)/60,2),""))</f>
        <v/>
      </c>
      <c r="H53" s="241" t="n"/>
    </row>
    <row r="54">
      <c r="A54" s="241" t="n"/>
      <c r="B54" s="247" t="n"/>
      <c r="C54" s="248" t="n"/>
      <c r="D54" s="248" t="n"/>
      <c r="E54" s="249" t="n"/>
      <c r="F54" s="250" t="n"/>
      <c r="G54" s="242">
        <f>IF(ISNUMBER(F54),F54,IF(AND(ISNUMBER(C54),ISNUMBER(D54)),ROUND(MOD(D54-C54,1)*24-N(E54)/60,2),""))</f>
        <v/>
      </c>
      <c r="H54" s="241" t="n"/>
    </row>
    <row r="55">
      <c r="A55" s="241" t="n"/>
      <c r="B55" s="247" t="n"/>
      <c r="C55" s="248" t="n"/>
      <c r="D55" s="248" t="n"/>
      <c r="E55" s="249" t="n"/>
      <c r="F55" s="250" t="n"/>
      <c r="G55" s="242">
        <f>IF(ISNUMBER(F55),F55,IF(AND(ISNUMBER(C55),ISNUMBER(D55)),ROUND(MOD(D55-C55,1)*24-N(E55)/60,2),""))</f>
        <v/>
      </c>
      <c r="H55" s="241" t="n"/>
    </row>
    <row r="56">
      <c r="A56" s="241" t="n"/>
      <c r="B56" s="247" t="n"/>
      <c r="C56" s="248" t="n"/>
      <c r="D56" s="248" t="n"/>
      <c r="E56" s="249" t="n"/>
      <c r="F56" s="250" t="n"/>
      <c r="G56" s="242">
        <f>IF(ISNUMBER(F56),F56,IF(AND(ISNUMBER(C56),ISNUMBER(D56)),ROUND(MOD(D56-C56,1)*24-N(E56)/60,2),""))</f>
        <v/>
      </c>
      <c r="H56" s="241" t="n"/>
    </row>
    <row r="57">
      <c r="A57" s="241" t="n"/>
      <c r="B57" s="247" t="n"/>
      <c r="C57" s="248" t="n"/>
      <c r="D57" s="248" t="n"/>
      <c r="E57" s="249" t="n"/>
      <c r="F57" s="250" t="n"/>
      <c r="G57" s="242">
        <f>IF(ISNUMBER(F57),F57,IF(AND(ISNUMBER(C57),ISNUMBER(D57)),ROUND(MOD(D57-C57,1)*24-N(E57)/60,2),""))</f>
        <v/>
      </c>
      <c r="H57" s="241" t="n"/>
    </row>
    <row r="58">
      <c r="A58" s="241" t="n"/>
      <c r="B58" s="247" t="n"/>
      <c r="C58" s="248" t="n"/>
      <c r="D58" s="248" t="n"/>
      <c r="E58" s="249" t="n"/>
      <c r="F58" s="250" t="n"/>
      <c r="G58" s="242">
        <f>IF(ISNUMBER(F58),F58,IF(AND(ISNUMBER(C58),ISNUMBER(D58)),ROUND(MOD(D58-C58,1)*24-N(E58)/60,2),""))</f>
        <v/>
      </c>
      <c r="H58" s="241" t="n"/>
    </row>
    <row r="59">
      <c r="A59" s="241" t="n"/>
      <c r="B59" s="247" t="n"/>
      <c r="C59" s="248" t="n"/>
      <c r="D59" s="248" t="n"/>
      <c r="E59" s="249" t="n"/>
      <c r="F59" s="250" t="n"/>
      <c r="G59" s="242">
        <f>IF(ISNUMBER(F59),F59,IF(AND(ISNUMBER(C59),ISNUMBER(D59)),ROUND(MOD(D59-C59,1)*24-N(E59)/60,2),""))</f>
        <v/>
      </c>
      <c r="H59" s="241" t="n"/>
    </row>
    <row r="60">
      <c r="A60" s="241" t="n"/>
      <c r="B60" s="247" t="n"/>
      <c r="C60" s="248" t="n"/>
      <c r="D60" s="248" t="n"/>
      <c r="E60" s="249" t="n"/>
      <c r="F60" s="250" t="n"/>
      <c r="G60" s="242">
        <f>IF(ISNUMBER(F60),F60,IF(AND(ISNUMBER(C60),ISNUMBER(D60)),ROUND(MOD(D60-C60,1)*24-N(E60)/60,2),""))</f>
        <v/>
      </c>
      <c r="H60" s="241" t="n"/>
    </row>
    <row r="61">
      <c r="A61" s="241" t="n"/>
      <c r="B61" s="247" t="n"/>
      <c r="C61" s="248" t="n"/>
      <c r="D61" s="248" t="n"/>
      <c r="E61" s="249" t="n"/>
      <c r="F61" s="250" t="n"/>
      <c r="G61" s="242">
        <f>IF(ISNUMBER(F61),F61,IF(AND(ISNUMBER(C61),ISNUMBER(D61)),ROUND(MOD(D61-C61,1)*24-N(E61)/60,2),""))</f>
        <v/>
      </c>
      <c r="H61" s="241" t="n"/>
    </row>
    <row r="62">
      <c r="A62" s="241" t="n"/>
      <c r="B62" s="247" t="n"/>
      <c r="C62" s="248" t="n"/>
      <c r="D62" s="248" t="n"/>
      <c r="E62" s="249" t="n"/>
      <c r="F62" s="250" t="n"/>
      <c r="G62" s="242">
        <f>IF(ISNUMBER(F62),F62,IF(AND(ISNUMBER(C62),ISNUMBER(D62)),ROUND(MOD(D62-C62,1)*24-N(E62)/60,2),""))</f>
        <v/>
      </c>
      <c r="H62" s="241" t="n"/>
    </row>
    <row r="63">
      <c r="A63" s="241" t="n"/>
      <c r="B63" s="247" t="n"/>
      <c r="C63" s="248" t="n"/>
      <c r="D63" s="248" t="n"/>
      <c r="E63" s="249" t="n"/>
      <c r="F63" s="250" t="n"/>
      <c r="G63" s="242">
        <f>IF(ISNUMBER(F63),F63,IF(AND(ISNUMBER(C63),ISNUMBER(D63)),ROUND(MOD(D63-C63,1)*24-N(E63)/60,2),""))</f>
        <v/>
      </c>
      <c r="H63" s="241" t="n"/>
    </row>
    <row r="64">
      <c r="A64" s="241" t="n"/>
      <c r="B64" s="247" t="n"/>
      <c r="C64" s="248" t="n"/>
      <c r="D64" s="248" t="n"/>
      <c r="E64" s="249" t="n"/>
      <c r="F64" s="250" t="n"/>
      <c r="G64" s="242">
        <f>IF(ISNUMBER(F64),F64,IF(AND(ISNUMBER(C64),ISNUMBER(D64)),ROUND(MOD(D64-C64,1)*24-N(E64)/60,2),""))</f>
        <v/>
      </c>
      <c r="H64" s="241" t="n"/>
    </row>
    <row r="65">
      <c r="A65" s="241" t="n"/>
      <c r="B65" s="247" t="n"/>
      <c r="C65" s="248" t="n"/>
      <c r="D65" s="248" t="n"/>
      <c r="E65" s="249" t="n"/>
      <c r="F65" s="250" t="n"/>
      <c r="G65" s="242">
        <f>IF(ISNUMBER(F65),F65,IF(AND(ISNUMBER(C65),ISNUMBER(D65)),ROUND(MOD(D65-C65,1)*24-N(E65)/60,2),""))</f>
        <v/>
      </c>
      <c r="H65" s="241" t="n"/>
    </row>
    <row r="66">
      <c r="A66" s="241" t="n"/>
      <c r="B66" s="247" t="n"/>
      <c r="C66" s="248" t="n"/>
      <c r="D66" s="248" t="n"/>
      <c r="E66" s="249" t="n"/>
      <c r="F66" s="250" t="n"/>
      <c r="G66" s="242">
        <f>IF(ISNUMBER(F66),F66,IF(AND(ISNUMBER(C66),ISNUMBER(D66)),ROUND(MOD(D66-C66,1)*24-N(E66)/60,2),""))</f>
        <v/>
      </c>
      <c r="H66" s="241" t="n"/>
    </row>
    <row r="67">
      <c r="A67" s="241" t="n"/>
      <c r="B67" s="247" t="n"/>
      <c r="C67" s="248" t="n"/>
      <c r="D67" s="248" t="n"/>
      <c r="E67" s="249" t="n"/>
      <c r="F67" s="250" t="n"/>
      <c r="G67" s="242">
        <f>IF(ISNUMBER(F67),F67,IF(AND(ISNUMBER(C67),ISNUMBER(D67)),ROUND(MOD(D67-C67,1)*24-N(E67)/60,2),""))</f>
        <v/>
      </c>
      <c r="H67" s="241" t="n"/>
    </row>
    <row r="68">
      <c r="A68" s="241" t="n"/>
      <c r="B68" s="247" t="n"/>
      <c r="C68" s="248" t="n"/>
      <c r="D68" s="248" t="n"/>
      <c r="E68" s="249" t="n"/>
      <c r="F68" s="250" t="n"/>
      <c r="G68" s="242">
        <f>IF(ISNUMBER(F68),F68,IF(AND(ISNUMBER(C68),ISNUMBER(D68)),ROUND(MOD(D68-C68,1)*24-N(E68)/60,2),""))</f>
        <v/>
      </c>
      <c r="H68" s="241" t="n"/>
    </row>
    <row r="69">
      <c r="A69" s="241" t="n"/>
      <c r="B69" s="247" t="n"/>
      <c r="C69" s="248" t="n"/>
      <c r="D69" s="248" t="n"/>
      <c r="E69" s="249" t="n"/>
      <c r="F69" s="250" t="n"/>
      <c r="G69" s="242">
        <f>IF(ISNUMBER(F69),F69,IF(AND(ISNUMBER(C69),ISNUMBER(D69)),ROUND(MOD(D69-C69,1)*24-N(E69)/60,2),""))</f>
        <v/>
      </c>
      <c r="H69" s="241" t="n"/>
    </row>
    <row r="70">
      <c r="A70" s="241" t="n"/>
      <c r="B70" s="247" t="n"/>
      <c r="C70" s="248" t="n"/>
      <c r="D70" s="248" t="n"/>
      <c r="E70" s="249" t="n"/>
      <c r="F70" s="250" t="n"/>
      <c r="G70" s="242">
        <f>IF(ISNUMBER(F70),F70,IF(AND(ISNUMBER(C70),ISNUMBER(D70)),ROUND(MOD(D70-C70,1)*24-N(E70)/60,2),""))</f>
        <v/>
      </c>
      <c r="H70" s="241" t="n"/>
    </row>
    <row r="71">
      <c r="A71" s="241" t="n"/>
      <c r="B71" s="247" t="n"/>
      <c r="C71" s="248" t="n"/>
      <c r="D71" s="248" t="n"/>
      <c r="E71" s="249" t="n"/>
      <c r="F71" s="250" t="n"/>
      <c r="G71" s="242">
        <f>IF(ISNUMBER(F71),F71,IF(AND(ISNUMBER(C71),ISNUMBER(D71)),ROUND(MOD(D71-C71,1)*24-N(E71)/60,2),""))</f>
        <v/>
      </c>
      <c r="H71" s="241" t="n"/>
    </row>
    <row r="72">
      <c r="A72" s="241" t="n"/>
      <c r="B72" s="247" t="n"/>
      <c r="C72" s="248" t="n"/>
      <c r="D72" s="248" t="n"/>
      <c r="E72" s="249" t="n"/>
      <c r="F72" s="250" t="n"/>
      <c r="G72" s="242">
        <f>IF(ISNUMBER(F72),F72,IF(AND(ISNUMBER(C72),ISNUMBER(D72)),ROUND(MOD(D72-C72,1)*24-N(E72)/60,2),""))</f>
        <v/>
      </c>
      <c r="H72" s="241" t="n"/>
    </row>
    <row r="73">
      <c r="A73" s="241" t="n"/>
      <c r="B73" s="247" t="n"/>
      <c r="C73" s="248" t="n"/>
      <c r="D73" s="248" t="n"/>
      <c r="E73" s="249" t="n"/>
      <c r="F73" s="250" t="n"/>
      <c r="G73" s="242">
        <f>IF(ISNUMBER(F73),F73,IF(AND(ISNUMBER(C73),ISNUMBER(D73)),ROUND(MOD(D73-C73,1)*24-N(E73)/60,2),""))</f>
        <v/>
      </c>
      <c r="H73" s="241" t="n"/>
    </row>
    <row r="74">
      <c r="A74" s="241" t="n"/>
      <c r="B74" s="247" t="n"/>
      <c r="C74" s="248" t="n"/>
      <c r="D74" s="248" t="n"/>
      <c r="E74" s="249" t="n"/>
      <c r="F74" s="250" t="n"/>
      <c r="G74" s="242">
        <f>IF(ISNUMBER(F74),F74,IF(AND(ISNUMBER(C74),ISNUMBER(D74)),ROUND(MOD(D74-C74,1)*24-N(E74)/60,2),""))</f>
        <v/>
      </c>
      <c r="H74" s="241" t="n"/>
    </row>
    <row r="75">
      <c r="A75" s="241" t="n"/>
      <c r="B75" s="247" t="n"/>
      <c r="C75" s="248" t="n"/>
      <c r="D75" s="248" t="n"/>
      <c r="E75" s="249" t="n"/>
      <c r="F75" s="250" t="n"/>
      <c r="G75" s="242">
        <f>IF(ISNUMBER(F75),F75,IF(AND(ISNUMBER(C75),ISNUMBER(D75)),ROUND(MOD(D75-C75,1)*24-N(E75)/60,2),""))</f>
        <v/>
      </c>
      <c r="H75" s="241" t="n"/>
    </row>
    <row r="76">
      <c r="A76" s="241" t="n"/>
      <c r="B76" s="247" t="n"/>
      <c r="C76" s="248" t="n"/>
      <c r="D76" s="248" t="n"/>
      <c r="E76" s="249" t="n"/>
      <c r="F76" s="250" t="n"/>
      <c r="G76" s="242">
        <f>IF(ISNUMBER(F76),F76,IF(AND(ISNUMBER(C76),ISNUMBER(D76)),ROUND(MOD(D76-C76,1)*24-N(E76)/60,2),""))</f>
        <v/>
      </c>
      <c r="H76" s="241" t="n"/>
    </row>
    <row r="77">
      <c r="A77" s="241" t="n"/>
      <c r="B77" s="247" t="n"/>
      <c r="C77" s="248" t="n"/>
      <c r="D77" s="248" t="n"/>
      <c r="E77" s="249" t="n"/>
      <c r="F77" s="250" t="n"/>
      <c r="G77" s="242">
        <f>IF(ISNUMBER(F77),F77,IF(AND(ISNUMBER(C77),ISNUMBER(D77)),ROUND(MOD(D77-C77,1)*24-N(E77)/60,2),""))</f>
        <v/>
      </c>
      <c r="H77" s="241" t="n"/>
    </row>
    <row r="78">
      <c r="A78" s="241" t="n"/>
      <c r="B78" s="247" t="n"/>
      <c r="C78" s="248" t="n"/>
      <c r="D78" s="248" t="n"/>
      <c r="E78" s="249" t="n"/>
      <c r="F78" s="250" t="n"/>
      <c r="G78" s="242">
        <f>IF(ISNUMBER(F78),F78,IF(AND(ISNUMBER(C78),ISNUMBER(D78)),ROUND(MOD(D78-C78,1)*24-N(E78)/60,2),""))</f>
        <v/>
      </c>
      <c r="H78" s="241" t="n"/>
    </row>
    <row r="79">
      <c r="A79" s="241" t="n"/>
      <c r="B79" s="247" t="n"/>
      <c r="C79" s="248" t="n"/>
      <c r="D79" s="248" t="n"/>
      <c r="E79" s="249" t="n"/>
      <c r="F79" s="250" t="n"/>
      <c r="G79" s="242">
        <f>IF(ISNUMBER(F79),F79,IF(AND(ISNUMBER(C79),ISNUMBER(D79)),ROUND(MOD(D79-C79,1)*24-N(E79)/60,2),""))</f>
        <v/>
      </c>
      <c r="H79" s="241" t="n"/>
    </row>
    <row r="80">
      <c r="A80" s="241" t="n"/>
      <c r="B80" s="247" t="n"/>
      <c r="C80" s="248" t="n"/>
      <c r="D80" s="248" t="n"/>
      <c r="E80" s="249" t="n"/>
      <c r="F80" s="250" t="n"/>
      <c r="G80" s="242">
        <f>IF(ISNUMBER(F80),F80,IF(AND(ISNUMBER(C80),ISNUMBER(D80)),ROUND(MOD(D80-C80,1)*24-N(E80)/60,2),""))</f>
        <v/>
      </c>
      <c r="H80" s="241" t="n"/>
    </row>
    <row r="81">
      <c r="A81" s="241" t="n"/>
      <c r="B81" s="247" t="n"/>
      <c r="C81" s="248" t="n"/>
      <c r="D81" s="248" t="n"/>
      <c r="E81" s="249" t="n"/>
      <c r="F81" s="250" t="n"/>
      <c r="G81" s="242">
        <f>IF(ISNUMBER(F81),F81,IF(AND(ISNUMBER(C81),ISNUMBER(D81)),ROUND(MOD(D81-C81,1)*24-N(E81)/60,2),""))</f>
        <v/>
      </c>
      <c r="H81" s="241" t="n"/>
    </row>
    <row r="82">
      <c r="A82" s="241" t="n"/>
      <c r="B82" s="247" t="n"/>
      <c r="C82" s="248" t="n"/>
      <c r="D82" s="248" t="n"/>
      <c r="E82" s="249" t="n"/>
      <c r="F82" s="250" t="n"/>
      <c r="G82" s="242">
        <f>IF(ISNUMBER(F82),F82,IF(AND(ISNUMBER(C82),ISNUMBER(D82)),ROUND(MOD(D82-C82,1)*24-N(E82)/60,2),""))</f>
        <v/>
      </c>
      <c r="H82" s="241" t="n"/>
    </row>
    <row r="83">
      <c r="A83" s="241" t="n"/>
      <c r="B83" s="247" t="n"/>
      <c r="C83" s="248" t="n"/>
      <c r="D83" s="248" t="n"/>
      <c r="E83" s="249" t="n"/>
      <c r="F83" s="250" t="n"/>
      <c r="G83" s="242">
        <f>IF(ISNUMBER(F83),F83,IF(AND(ISNUMBER(C83),ISNUMBER(D83)),ROUND(MOD(D83-C83,1)*24-N(E83)/60,2),""))</f>
        <v/>
      </c>
      <c r="H83" s="241" t="n"/>
    </row>
    <row r="84">
      <c r="A84" s="241" t="n"/>
      <c r="B84" s="247" t="n"/>
      <c r="C84" s="248" t="n"/>
      <c r="D84" s="248" t="n"/>
      <c r="E84" s="249" t="n"/>
      <c r="F84" s="250" t="n"/>
      <c r="G84" s="242">
        <f>IF(ISNUMBER(F84),F84,IF(AND(ISNUMBER(C84),ISNUMBER(D84)),ROUND(MOD(D84-C84,1)*24-N(E84)/60,2),""))</f>
        <v/>
      </c>
      <c r="H84" s="241" t="n"/>
    </row>
    <row r="85">
      <c r="A85" s="241" t="n"/>
      <c r="B85" s="247" t="n"/>
      <c r="C85" s="248" t="n"/>
      <c r="D85" s="248" t="n"/>
      <c r="E85" s="249" t="n"/>
      <c r="F85" s="250" t="n"/>
      <c r="G85" s="242">
        <f>IF(ISNUMBER(F85),F85,IF(AND(ISNUMBER(C85),ISNUMBER(D85)),ROUND(MOD(D85-C85,1)*24-N(E85)/60,2),""))</f>
        <v/>
      </c>
      <c r="H85" s="241" t="n"/>
    </row>
    <row r="86">
      <c r="A86" s="241" t="n"/>
      <c r="B86" s="247" t="n"/>
      <c r="C86" s="248" t="n"/>
      <c r="D86" s="248" t="n"/>
      <c r="E86" s="249" t="n"/>
      <c r="F86" s="250" t="n"/>
      <c r="G86" s="242">
        <f>IF(ISNUMBER(F86),F86,IF(AND(ISNUMBER(C86),ISNUMBER(D86)),ROUND(MOD(D86-C86,1)*24-N(E86)/60,2),""))</f>
        <v/>
      </c>
      <c r="H86" s="241" t="n"/>
    </row>
    <row r="87">
      <c r="A87" s="241" t="n"/>
      <c r="B87" s="247" t="n"/>
      <c r="C87" s="248" t="n"/>
      <c r="D87" s="248" t="n"/>
      <c r="E87" s="249" t="n"/>
      <c r="F87" s="250" t="n"/>
      <c r="G87" s="242">
        <f>IF(ISNUMBER(F87),F87,IF(AND(ISNUMBER(C87),ISNUMBER(D87)),ROUND(MOD(D87-C87,1)*24-N(E87)/60,2),""))</f>
        <v/>
      </c>
      <c r="H87" s="241" t="n"/>
    </row>
    <row r="88">
      <c r="A88" s="241" t="n"/>
      <c r="B88" s="247" t="n"/>
      <c r="C88" s="248" t="n"/>
      <c r="D88" s="248" t="n"/>
      <c r="E88" s="249" t="n"/>
      <c r="F88" s="250" t="n"/>
      <c r="G88" s="242">
        <f>IF(ISNUMBER(F88),F88,IF(AND(ISNUMBER(C88),ISNUMBER(D88)),ROUND(MOD(D88-C88,1)*24-N(E88)/60,2),""))</f>
        <v/>
      </c>
      <c r="H88" s="241" t="n"/>
    </row>
    <row r="89">
      <c r="A89" s="241" t="n"/>
      <c r="B89" s="247" t="n"/>
      <c r="C89" s="248" t="n"/>
      <c r="D89" s="248" t="n"/>
      <c r="E89" s="249" t="n"/>
      <c r="F89" s="250" t="n"/>
      <c r="G89" s="242">
        <f>IF(ISNUMBER(F89),F89,IF(AND(ISNUMBER(C89),ISNUMBER(D89)),ROUND(MOD(D89-C89,1)*24-N(E89)/60,2),""))</f>
        <v/>
      </c>
      <c r="H89" s="241" t="n"/>
    </row>
    <row r="90">
      <c r="A90" s="241" t="n"/>
      <c r="B90" s="247" t="n"/>
      <c r="C90" s="248" t="n"/>
      <c r="D90" s="248" t="n"/>
      <c r="E90" s="249" t="n"/>
      <c r="F90" s="250" t="n"/>
      <c r="G90" s="242">
        <f>IF(ISNUMBER(F90),F90,IF(AND(ISNUMBER(C90),ISNUMBER(D90)),ROUND(MOD(D90-C90,1)*24-N(E90)/60,2),""))</f>
        <v/>
      </c>
      <c r="H90" s="241" t="n"/>
    </row>
    <row r="91">
      <c r="A91" s="241" t="n"/>
      <c r="B91" s="247" t="n"/>
      <c r="C91" s="248" t="n"/>
      <c r="D91" s="248" t="n"/>
      <c r="E91" s="249" t="n"/>
      <c r="F91" s="250" t="n"/>
      <c r="G91" s="242">
        <f>IF(ISNUMBER(F91),F91,IF(AND(ISNUMBER(C91),ISNUMBER(D91)),ROUND(MOD(D91-C91,1)*24-N(E91)/60,2),""))</f>
        <v/>
      </c>
      <c r="H91" s="241" t="n"/>
    </row>
    <row r="92">
      <c r="A92" s="241" t="n"/>
      <c r="B92" s="247" t="n"/>
      <c r="C92" s="248" t="n"/>
      <c r="D92" s="248" t="n"/>
      <c r="E92" s="249" t="n"/>
      <c r="F92" s="250" t="n"/>
      <c r="G92" s="242">
        <f>IF(ISNUMBER(F92),F92,IF(AND(ISNUMBER(C92),ISNUMBER(D92)),ROUND(MOD(D92-C92,1)*24-N(E92)/60,2),""))</f>
        <v/>
      </c>
      <c r="H92" s="241" t="n"/>
    </row>
    <row r="93">
      <c r="A93" s="241" t="n"/>
      <c r="B93" s="247" t="n"/>
      <c r="C93" s="248" t="n"/>
      <c r="D93" s="248" t="n"/>
      <c r="E93" s="249" t="n"/>
      <c r="F93" s="250" t="n"/>
      <c r="G93" s="242">
        <f>IF(ISNUMBER(F93),F93,IF(AND(ISNUMBER(C93),ISNUMBER(D93)),ROUND(MOD(D93-C93,1)*24-N(E93)/60,2),""))</f>
        <v/>
      </c>
      <c r="H93" s="241" t="n"/>
    </row>
    <row r="94">
      <c r="A94" s="241" t="n"/>
      <c r="B94" s="247" t="n"/>
      <c r="C94" s="248" t="n"/>
      <c r="D94" s="248" t="n"/>
      <c r="E94" s="249" t="n"/>
      <c r="F94" s="250" t="n"/>
      <c r="G94" s="242">
        <f>IF(ISNUMBER(F94),F94,IF(AND(ISNUMBER(C94),ISNUMBER(D94)),ROUND(MOD(D94-C94,1)*24-N(E94)/60,2),""))</f>
        <v/>
      </c>
      <c r="H94" s="241" t="n"/>
    </row>
    <row r="95">
      <c r="A95" s="241" t="n"/>
      <c r="B95" s="247" t="n"/>
      <c r="C95" s="248" t="n"/>
      <c r="D95" s="248" t="n"/>
      <c r="E95" s="249" t="n"/>
      <c r="F95" s="250" t="n"/>
      <c r="G95" s="242">
        <f>IF(ISNUMBER(F95),F95,IF(AND(ISNUMBER(C95),ISNUMBER(D95)),ROUND(MOD(D95-C95,1)*24-N(E95)/60,2),""))</f>
        <v/>
      </c>
      <c r="H95" s="241" t="n"/>
    </row>
    <row r="96">
      <c r="A96" s="241" t="n"/>
      <c r="B96" s="247" t="n"/>
      <c r="C96" s="248" t="n"/>
      <c r="D96" s="248" t="n"/>
      <c r="E96" s="249" t="n"/>
      <c r="F96" s="250" t="n"/>
      <c r="G96" s="242">
        <f>IF(ISNUMBER(F96),F96,IF(AND(ISNUMBER(C96),ISNUMBER(D96)),ROUND(MOD(D96-C96,1)*24-N(E96)/60,2),""))</f>
        <v/>
      </c>
      <c r="H96" s="241" t="n"/>
    </row>
    <row r="97">
      <c r="A97" s="241" t="n"/>
      <c r="B97" s="247" t="n"/>
      <c r="C97" s="248" t="n"/>
      <c r="D97" s="248" t="n"/>
      <c r="E97" s="249" t="n"/>
      <c r="F97" s="250" t="n"/>
      <c r="G97" s="242">
        <f>IF(ISNUMBER(F97),F97,IF(AND(ISNUMBER(C97),ISNUMBER(D97)),ROUND(MOD(D97-C97,1)*24-N(E97)/60,2),""))</f>
        <v/>
      </c>
      <c r="H97" s="241" t="n"/>
    </row>
    <row r="98">
      <c r="A98" s="241" t="n"/>
      <c r="B98" s="247" t="n"/>
      <c r="C98" s="248" t="n"/>
      <c r="D98" s="248" t="n"/>
      <c r="E98" s="249" t="n"/>
      <c r="F98" s="250" t="n"/>
      <c r="G98" s="242">
        <f>IF(ISNUMBER(F98),F98,IF(AND(ISNUMBER(C98),ISNUMBER(D98)),ROUND(MOD(D98-C98,1)*24-N(E98)/60,2),""))</f>
        <v/>
      </c>
      <c r="H98" s="241" t="n"/>
    </row>
    <row r="99">
      <c r="A99" s="241" t="n"/>
      <c r="B99" s="247" t="n"/>
      <c r="C99" s="248" t="n"/>
      <c r="D99" s="248" t="n"/>
      <c r="E99" s="249" t="n"/>
      <c r="F99" s="250" t="n"/>
      <c r="G99" s="242">
        <f>IF(ISNUMBER(F99),F99,IF(AND(ISNUMBER(C99),ISNUMBER(D99)),ROUND(MOD(D99-C99,1)*24-N(E99)/60,2),""))</f>
        <v/>
      </c>
      <c r="H99" s="241" t="n"/>
    </row>
    <row r="100">
      <c r="A100" s="241" t="n"/>
      <c r="B100" s="247" t="n"/>
      <c r="C100" s="248" t="n"/>
      <c r="D100" s="248" t="n"/>
      <c r="E100" s="249" t="n"/>
      <c r="F100" s="250" t="n"/>
      <c r="G100" s="242">
        <f>IF(ISNUMBER(F100),F100,IF(AND(ISNUMBER(C100),ISNUMBER(D100)),ROUND(MOD(D100-C100,1)*24-N(E100)/60,2),""))</f>
        <v/>
      </c>
      <c r="H100" s="241" t="n"/>
    </row>
    <row r="101">
      <c r="A101" s="241" t="n"/>
      <c r="B101" s="247" t="n"/>
      <c r="C101" s="248" t="n"/>
      <c r="D101" s="248" t="n"/>
      <c r="E101" s="249" t="n"/>
      <c r="F101" s="250" t="n"/>
      <c r="G101" s="242">
        <f>IF(ISNUMBER(F101),F101,IF(AND(ISNUMBER(C101),ISNUMBER(D101)),ROUND(MOD(D101-C101,1)*24-N(E101)/60,2),""))</f>
        <v/>
      </c>
      <c r="H101" s="241" t="n"/>
    </row>
    <row r="102">
      <c r="A102" s="241" t="n"/>
      <c r="B102" s="247" t="n"/>
      <c r="C102" s="248" t="n"/>
      <c r="D102" s="248" t="n"/>
      <c r="E102" s="249" t="n"/>
      <c r="F102" s="250" t="n"/>
      <c r="G102" s="242">
        <f>IF(ISNUMBER(F102),F102,IF(AND(ISNUMBER(C102),ISNUMBER(D102)),ROUND(MOD(D102-C102,1)*24-N(E102)/60,2),""))</f>
        <v/>
      </c>
      <c r="H102" s="241" t="n"/>
    </row>
    <row r="103">
      <c r="A103" s="241" t="n"/>
      <c r="B103" s="247" t="n"/>
      <c r="C103" s="248" t="n"/>
      <c r="D103" s="248" t="n"/>
      <c r="E103" s="249" t="n"/>
      <c r="F103" s="250" t="n"/>
      <c r="G103" s="242">
        <f>IF(ISNUMBER(F103),F103,IF(AND(ISNUMBER(C103),ISNUMBER(D103)),ROUND(MOD(D103-C103,1)*24-N(E103)/60,2),""))</f>
        <v/>
      </c>
      <c r="H103" s="241" t="n"/>
    </row>
    <row r="104">
      <c r="A104" s="241" t="n"/>
      <c r="B104" s="247" t="n"/>
      <c r="C104" s="248" t="n"/>
      <c r="D104" s="248" t="n"/>
      <c r="E104" s="249" t="n"/>
      <c r="F104" s="250" t="n"/>
      <c r="G104" s="242">
        <f>IF(ISNUMBER(F104),F104,IF(AND(ISNUMBER(C104),ISNUMBER(D104)),ROUND(MOD(D104-C104,1)*24-N(E104)/60,2),""))</f>
        <v/>
      </c>
      <c r="H104" s="241" t="n"/>
    </row>
    <row r="105">
      <c r="A105" s="241" t="n"/>
      <c r="B105" s="247" t="n"/>
      <c r="C105" s="248" t="n"/>
      <c r="D105" s="248" t="n"/>
      <c r="E105" s="249" t="n"/>
      <c r="F105" s="250" t="n"/>
      <c r="G105" s="242">
        <f>IF(ISNUMBER(F105),F105,IF(AND(ISNUMBER(C105),ISNUMBER(D105)),ROUND(MOD(D105-C105,1)*24-N(E105)/60,2),""))</f>
        <v/>
      </c>
      <c r="H105" s="241" t="n"/>
    </row>
    <row r="106">
      <c r="A106" s="241" t="n"/>
      <c r="B106" s="247" t="n"/>
      <c r="C106" s="248" t="n"/>
      <c r="D106" s="248" t="n"/>
      <c r="E106" s="249" t="n"/>
      <c r="F106" s="250" t="n"/>
      <c r="G106" s="242">
        <f>IF(ISNUMBER(F106),F106,IF(AND(ISNUMBER(C106),ISNUMBER(D106)),ROUND(MOD(D106-C106,1)*24-N(E106)/60,2),""))</f>
        <v/>
      </c>
      <c r="H106" s="241" t="n"/>
    </row>
    <row r="107">
      <c r="A107" s="241" t="n"/>
      <c r="B107" s="247" t="n"/>
      <c r="C107" s="248" t="n"/>
      <c r="D107" s="248" t="n"/>
      <c r="E107" s="249" t="n"/>
      <c r="F107" s="250" t="n"/>
      <c r="G107" s="242">
        <f>IF(ISNUMBER(F107),F107,IF(AND(ISNUMBER(C107),ISNUMBER(D107)),ROUND(MOD(D107-C107,1)*24-N(E107)/60,2),""))</f>
        <v/>
      </c>
      <c r="H107" s="241" t="n"/>
    </row>
    <row r="108">
      <c r="A108" s="241" t="n"/>
      <c r="B108" s="247" t="n"/>
      <c r="C108" s="248" t="n"/>
      <c r="D108" s="248" t="n"/>
      <c r="E108" s="249" t="n"/>
      <c r="F108" s="250" t="n"/>
      <c r="G108" s="242">
        <f>IF(ISNUMBER(F108),F108,IF(AND(ISNUMBER(C108),ISNUMBER(D108)),ROUND(MOD(D108-C108,1)*24-N(E108)/60,2),""))</f>
        <v/>
      </c>
      <c r="H108" s="241" t="n"/>
    </row>
    <row r="109">
      <c r="A109" s="241" t="n"/>
      <c r="B109" s="247" t="n"/>
      <c r="C109" s="248" t="n"/>
      <c r="D109" s="248" t="n"/>
      <c r="E109" s="249" t="n"/>
      <c r="F109" s="250" t="n"/>
      <c r="G109" s="242">
        <f>IF(ISNUMBER(F109),F109,IF(AND(ISNUMBER(C109),ISNUMBER(D109)),ROUND(MOD(D109-C109,1)*24-N(E109)/60,2),""))</f>
        <v/>
      </c>
      <c r="H109" s="241" t="n"/>
    </row>
    <row r="110">
      <c r="A110" s="241" t="n"/>
      <c r="B110" s="247" t="n"/>
      <c r="C110" s="248" t="n"/>
      <c r="D110" s="248" t="n"/>
      <c r="E110" s="249" t="n"/>
      <c r="F110" s="250" t="n"/>
      <c r="G110" s="242">
        <f>IF(ISNUMBER(F110),F110,IF(AND(ISNUMBER(C110),ISNUMBER(D110)),ROUND(MOD(D110-C110,1)*24-N(E110)/60,2),""))</f>
        <v/>
      </c>
      <c r="H110" s="241" t="n"/>
    </row>
    <row r="111">
      <c r="A111" s="241" t="n"/>
      <c r="B111" s="247" t="n"/>
      <c r="C111" s="248" t="n"/>
      <c r="D111" s="248" t="n"/>
      <c r="E111" s="249" t="n"/>
      <c r="F111" s="250" t="n"/>
      <c r="G111" s="242">
        <f>IF(ISNUMBER(F111),F111,IF(AND(ISNUMBER(C111),ISNUMBER(D111)),ROUND(MOD(D111-C111,1)*24-N(E111)/60,2),""))</f>
        <v/>
      </c>
      <c r="H111" s="241" t="n"/>
    </row>
    <row r="112">
      <c r="A112" s="241" t="n"/>
      <c r="B112" s="247" t="n"/>
      <c r="C112" s="248" t="n"/>
      <c r="D112" s="248" t="n"/>
      <c r="E112" s="249" t="n"/>
      <c r="F112" s="250" t="n"/>
      <c r="G112" s="242">
        <f>IF(ISNUMBER(F112),F112,IF(AND(ISNUMBER(C112),ISNUMBER(D112)),ROUND(MOD(D112-C112,1)*24-N(E112)/60,2),""))</f>
        <v/>
      </c>
      <c r="H112" s="241" t="n"/>
    </row>
    <row r="113">
      <c r="A113" s="241" t="n"/>
      <c r="B113" s="247" t="n"/>
      <c r="C113" s="248" t="n"/>
      <c r="D113" s="248" t="n"/>
      <c r="E113" s="249" t="n"/>
      <c r="F113" s="250" t="n"/>
      <c r="G113" s="242">
        <f>IF(ISNUMBER(F113),F113,IF(AND(ISNUMBER(C113),ISNUMBER(D113)),ROUND(MOD(D113-C113,1)*24-N(E113)/60,2),""))</f>
        <v/>
      </c>
      <c r="H113" s="241" t="n"/>
    </row>
    <row r="114">
      <c r="A114" s="241" t="n"/>
      <c r="B114" s="247" t="n"/>
      <c r="C114" s="248" t="n"/>
      <c r="D114" s="248" t="n"/>
      <c r="E114" s="249" t="n"/>
      <c r="F114" s="250" t="n"/>
      <c r="G114" s="242">
        <f>IF(ISNUMBER(F114),F114,IF(AND(ISNUMBER(C114),ISNUMBER(D114)),ROUND(MOD(D114-C114,1)*24-N(E114)/60,2),""))</f>
        <v/>
      </c>
      <c r="H114" s="241" t="n"/>
    </row>
    <row r="115">
      <c r="A115" s="241" t="n"/>
      <c r="B115" s="247" t="n"/>
      <c r="C115" s="248" t="n"/>
      <c r="D115" s="248" t="n"/>
      <c r="E115" s="249" t="n"/>
      <c r="F115" s="250" t="n"/>
      <c r="G115" s="242">
        <f>IF(ISNUMBER(F115),F115,IF(AND(ISNUMBER(C115),ISNUMBER(D115)),ROUND(MOD(D115-C115,1)*24-N(E115)/60,2),""))</f>
        <v/>
      </c>
      <c r="H115" s="241" t="n"/>
    </row>
    <row r="116">
      <c r="A116" s="241" t="n"/>
      <c r="B116" s="247" t="n"/>
      <c r="C116" s="248" t="n"/>
      <c r="D116" s="248" t="n"/>
      <c r="E116" s="249" t="n"/>
      <c r="F116" s="250" t="n"/>
      <c r="G116" s="242">
        <f>IF(ISNUMBER(F116),F116,IF(AND(ISNUMBER(C116),ISNUMBER(D116)),ROUND(MOD(D116-C116,1)*24-N(E116)/60,2),""))</f>
        <v/>
      </c>
      <c r="H116" s="241" t="n"/>
    </row>
    <row r="117">
      <c r="A117" s="241" t="n"/>
      <c r="B117" s="247" t="n"/>
      <c r="C117" s="248" t="n"/>
      <c r="D117" s="248" t="n"/>
      <c r="E117" s="249" t="n"/>
      <c r="F117" s="250" t="n"/>
      <c r="G117" s="242">
        <f>IF(ISNUMBER(F117),F117,IF(AND(ISNUMBER(C117),ISNUMBER(D117)),ROUND(MOD(D117-C117,1)*24-N(E117)/60,2),""))</f>
        <v/>
      </c>
      <c r="H117" s="241" t="n"/>
    </row>
    <row r="118">
      <c r="A118" s="241" t="n"/>
      <c r="B118" s="247" t="n"/>
      <c r="C118" s="248" t="n"/>
      <c r="D118" s="248" t="n"/>
      <c r="E118" s="249" t="n"/>
      <c r="F118" s="250" t="n"/>
      <c r="G118" s="242">
        <f>IF(ISNUMBER(F118),F118,IF(AND(ISNUMBER(C118),ISNUMBER(D118)),ROUND(MOD(D118-C118,1)*24-N(E118)/60,2),""))</f>
        <v/>
      </c>
      <c r="H118" s="241" t="n"/>
    </row>
    <row r="119">
      <c r="A119" s="241" t="n"/>
      <c r="B119" s="247" t="n"/>
      <c r="C119" s="248" t="n"/>
      <c r="D119" s="248" t="n"/>
      <c r="E119" s="249" t="n"/>
      <c r="F119" s="250" t="n"/>
      <c r="G119" s="242">
        <f>IF(ISNUMBER(F119),F119,IF(AND(ISNUMBER(C119),ISNUMBER(D119)),ROUND(MOD(D119-C119,1)*24-N(E119)/60,2),""))</f>
        <v/>
      </c>
      <c r="H119" s="241" t="n"/>
    </row>
    <row r="120">
      <c r="A120" s="241" t="n"/>
      <c r="B120" s="247" t="n"/>
      <c r="C120" s="248" t="n"/>
      <c r="D120" s="248" t="n"/>
      <c r="E120" s="249" t="n"/>
      <c r="F120" s="250" t="n"/>
      <c r="G120" s="242">
        <f>IF(ISNUMBER(F120),F120,IF(AND(ISNUMBER(C120),ISNUMBER(D120)),ROUND(MOD(D120-C120,1)*24-N(E120)/60,2),""))</f>
        <v/>
      </c>
      <c r="H120" s="241" t="n"/>
    </row>
    <row r="121">
      <c r="A121" s="241" t="n"/>
      <c r="B121" s="247" t="n"/>
      <c r="C121" s="248" t="n"/>
      <c r="D121" s="248" t="n"/>
      <c r="E121" s="249" t="n"/>
      <c r="F121" s="250" t="n"/>
      <c r="G121" s="242">
        <f>IF(ISNUMBER(F121),F121,IF(AND(ISNUMBER(C121),ISNUMBER(D121)),ROUND(MOD(D121-C121,1)*24-N(E121)/60,2),""))</f>
        <v/>
      </c>
      <c r="H121" s="241" t="n"/>
    </row>
    <row r="122">
      <c r="A122" s="241" t="n"/>
      <c r="B122" s="247" t="n"/>
      <c r="C122" s="248" t="n"/>
      <c r="D122" s="248" t="n"/>
      <c r="E122" s="249" t="n"/>
      <c r="F122" s="250" t="n"/>
      <c r="G122" s="242">
        <f>IF(ISNUMBER(F122),F122,IF(AND(ISNUMBER(C122),ISNUMBER(D122)),ROUND(MOD(D122-C122,1)*24-N(E122)/60,2),""))</f>
        <v/>
      </c>
      <c r="H122" s="241" t="n"/>
    </row>
    <row r="123">
      <c r="A123" s="241" t="n"/>
      <c r="B123" s="247" t="n"/>
      <c r="C123" s="248" t="n"/>
      <c r="D123" s="248" t="n"/>
      <c r="E123" s="249" t="n"/>
      <c r="F123" s="250" t="n"/>
      <c r="G123" s="242">
        <f>IF(ISNUMBER(F123),F123,IF(AND(ISNUMBER(C123),ISNUMBER(D123)),ROUND(MOD(D123-C123,1)*24-N(E123)/60,2),""))</f>
        <v/>
      </c>
      <c r="H123" s="241" t="n"/>
    </row>
    <row r="124">
      <c r="A124" s="241" t="n"/>
      <c r="B124" s="247" t="n"/>
      <c r="C124" s="248" t="n"/>
      <c r="D124" s="248" t="n"/>
      <c r="E124" s="249" t="n"/>
      <c r="F124" s="250" t="n"/>
      <c r="G124" s="242">
        <f>IF(ISNUMBER(F124),F124,IF(AND(ISNUMBER(C124),ISNUMBER(D124)),ROUND(MOD(D124-C124,1)*24-N(E124)/60,2),""))</f>
        <v/>
      </c>
      <c r="H124" s="241" t="n"/>
    </row>
    <row r="125">
      <c r="A125" s="241" t="n"/>
      <c r="B125" s="247" t="n"/>
      <c r="C125" s="248" t="n"/>
      <c r="D125" s="248" t="n"/>
      <c r="E125" s="249" t="n"/>
      <c r="F125" s="250" t="n"/>
      <c r="G125" s="242">
        <f>IF(ISNUMBER(F125),F125,IF(AND(ISNUMBER(C125),ISNUMBER(D125)),ROUND(MOD(D125-C125,1)*24-N(E125)/60,2),""))</f>
        <v/>
      </c>
      <c r="H125" s="241" t="n"/>
    </row>
    <row r="126">
      <c r="A126" s="241" t="n"/>
      <c r="B126" s="247" t="n"/>
      <c r="C126" s="248" t="n"/>
      <c r="D126" s="248" t="n"/>
      <c r="E126" s="249" t="n"/>
      <c r="F126" s="250" t="n"/>
      <c r="G126" s="242">
        <f>IF(ISNUMBER(F126),F126,IF(AND(ISNUMBER(C126),ISNUMBER(D126)),ROUND(MOD(D126-C126,1)*24-N(E126)/60,2),""))</f>
        <v/>
      </c>
      <c r="H126" s="241" t="n"/>
    </row>
    <row r="127">
      <c r="A127" s="241" t="n"/>
      <c r="B127" s="247" t="n"/>
      <c r="C127" s="248" t="n"/>
      <c r="D127" s="248" t="n"/>
      <c r="E127" s="249" t="n"/>
      <c r="F127" s="250" t="n"/>
      <c r="G127" s="242">
        <f>IF(ISNUMBER(F127),F127,IF(AND(ISNUMBER(C127),ISNUMBER(D127)),ROUND(MOD(D127-C127,1)*24-N(E127)/60,2),""))</f>
        <v/>
      </c>
      <c r="H127" s="241" t="n"/>
    </row>
    <row r="128">
      <c r="A128" s="241" t="n"/>
      <c r="B128" s="247" t="n"/>
      <c r="C128" s="248" t="n"/>
      <c r="D128" s="248" t="n"/>
      <c r="E128" s="249" t="n"/>
      <c r="F128" s="250" t="n"/>
      <c r="G128" s="242">
        <f>IF(ISNUMBER(F128),F128,IF(AND(ISNUMBER(C128),ISNUMBER(D128)),ROUND(MOD(D128-C128,1)*24-N(E128)/60,2),""))</f>
        <v/>
      </c>
      <c r="H128" s="241" t="n"/>
    </row>
    <row r="129">
      <c r="A129" s="241" t="n"/>
      <c r="B129" s="247" t="n"/>
      <c r="C129" s="248" t="n"/>
      <c r="D129" s="248" t="n"/>
      <c r="E129" s="249" t="n"/>
      <c r="F129" s="250" t="n"/>
      <c r="G129" s="242">
        <f>IF(ISNUMBER(F129),F129,IF(AND(ISNUMBER(C129),ISNUMBER(D129)),ROUND(MOD(D129-C129,1)*24-N(E129)/60,2),""))</f>
        <v/>
      </c>
      <c r="H129" s="241" t="n"/>
    </row>
    <row r="130">
      <c r="A130" s="241" t="n"/>
      <c r="B130" s="247" t="n"/>
      <c r="C130" s="248" t="n"/>
      <c r="D130" s="248" t="n"/>
      <c r="E130" s="249" t="n"/>
      <c r="F130" s="250" t="n"/>
      <c r="G130" s="242">
        <f>IF(ISNUMBER(F130),F130,IF(AND(ISNUMBER(C130),ISNUMBER(D130)),ROUND(MOD(D130-C130,1)*24-N(E130)/60,2),""))</f>
        <v/>
      </c>
      <c r="H130" s="241" t="n"/>
    </row>
    <row r="131">
      <c r="A131" s="241" t="n"/>
      <c r="B131" s="247" t="n"/>
      <c r="C131" s="248" t="n"/>
      <c r="D131" s="248" t="n"/>
      <c r="E131" s="249" t="n"/>
      <c r="F131" s="250" t="n"/>
      <c r="G131" s="242">
        <f>IF(ISNUMBER(F131),F131,IF(AND(ISNUMBER(C131),ISNUMBER(D131)),ROUND(MOD(D131-C131,1)*24-N(E131)/60,2),""))</f>
        <v/>
      </c>
      <c r="H131" s="241" t="n"/>
    </row>
    <row r="132">
      <c r="A132" s="241" t="n"/>
      <c r="B132" s="247" t="n"/>
      <c r="C132" s="248" t="n"/>
      <c r="D132" s="248" t="n"/>
      <c r="E132" s="249" t="n"/>
      <c r="F132" s="250" t="n"/>
      <c r="G132" s="242">
        <f>IF(ISNUMBER(F132),F132,IF(AND(ISNUMBER(C132),ISNUMBER(D132)),ROUND(MOD(D132-C132,1)*24-N(E132)/60,2),""))</f>
        <v/>
      </c>
      <c r="H132" s="241" t="n"/>
    </row>
    <row r="133">
      <c r="A133" s="241" t="n"/>
      <c r="B133" s="247" t="n"/>
      <c r="C133" s="248" t="n"/>
      <c r="D133" s="248" t="n"/>
      <c r="E133" s="249" t="n"/>
      <c r="F133" s="250" t="n"/>
      <c r="G133" s="242">
        <f>IF(ISNUMBER(F133),F133,IF(AND(ISNUMBER(C133),ISNUMBER(D133)),ROUND(MOD(D133-C133,1)*24-N(E133)/60,2),""))</f>
        <v/>
      </c>
      <c r="H133" s="241" t="n"/>
    </row>
    <row r="134">
      <c r="A134" s="241" t="n"/>
      <c r="B134" s="247" t="n"/>
      <c r="C134" s="248" t="n"/>
      <c r="D134" s="248" t="n"/>
      <c r="E134" s="249" t="n"/>
      <c r="F134" s="250" t="n"/>
      <c r="G134" s="242">
        <f>IF(ISNUMBER(F134),F134,IF(AND(ISNUMBER(C134),ISNUMBER(D134)),ROUND(MOD(D134-C134,1)*24-N(E134)/60,2),""))</f>
        <v/>
      </c>
      <c r="H134" s="241" t="n"/>
    </row>
    <row r="135">
      <c r="A135" s="241" t="n"/>
      <c r="B135" s="247" t="n"/>
      <c r="C135" s="248" t="n"/>
      <c r="D135" s="248" t="n"/>
      <c r="E135" s="249" t="n"/>
      <c r="F135" s="250" t="n"/>
      <c r="G135" s="242">
        <f>IF(ISNUMBER(F135),F135,IF(AND(ISNUMBER(C135),ISNUMBER(D135)),ROUND(MOD(D135-C135,1)*24-N(E135)/60,2),""))</f>
        <v/>
      </c>
      <c r="H135" s="241" t="n"/>
    </row>
    <row r="136">
      <c r="A136" s="241" t="n"/>
      <c r="B136" s="247" t="n"/>
      <c r="C136" s="248" t="n"/>
      <c r="D136" s="248" t="n"/>
      <c r="E136" s="249" t="n"/>
      <c r="F136" s="250" t="n"/>
      <c r="G136" s="242">
        <f>IF(ISNUMBER(F136),F136,IF(AND(ISNUMBER(C136),ISNUMBER(D136)),ROUND(MOD(D136-C136,1)*24-N(E136)/60,2),""))</f>
        <v/>
      </c>
      <c r="H136" s="241" t="n"/>
    </row>
    <row r="137">
      <c r="A137" s="241" t="n"/>
      <c r="B137" s="247" t="n"/>
      <c r="C137" s="248" t="n"/>
      <c r="D137" s="248" t="n"/>
      <c r="E137" s="249" t="n"/>
      <c r="F137" s="250" t="n"/>
      <c r="G137" s="242">
        <f>IF(ISNUMBER(F137),F137,IF(AND(ISNUMBER(C137),ISNUMBER(D137)),ROUND(MOD(D137-C137,1)*24-N(E137)/60,2),""))</f>
        <v/>
      </c>
      <c r="H137" s="241" t="n"/>
    </row>
    <row r="138">
      <c r="A138" s="241" t="n"/>
      <c r="B138" s="247" t="n"/>
      <c r="C138" s="248" t="n"/>
      <c r="D138" s="248" t="n"/>
      <c r="E138" s="249" t="n"/>
      <c r="F138" s="250" t="n"/>
      <c r="G138" s="242">
        <f>IF(ISNUMBER(F138),F138,IF(AND(ISNUMBER(C138),ISNUMBER(D138)),ROUND(MOD(D138-C138,1)*24-N(E138)/60,2),""))</f>
        <v/>
      </c>
      <c r="H138" s="241" t="n"/>
    </row>
    <row r="139">
      <c r="A139" s="241" t="n"/>
      <c r="B139" s="247" t="n"/>
      <c r="C139" s="248" t="n"/>
      <c r="D139" s="248" t="n"/>
      <c r="E139" s="249" t="n"/>
      <c r="F139" s="250" t="n"/>
      <c r="G139" s="242">
        <f>IF(ISNUMBER(F139),F139,IF(AND(ISNUMBER(C139),ISNUMBER(D139)),ROUND(MOD(D139-C139,1)*24-N(E139)/60,2),""))</f>
        <v/>
      </c>
      <c r="H139" s="241" t="n"/>
    </row>
    <row r="140">
      <c r="A140" s="241" t="n"/>
      <c r="B140" s="247" t="n"/>
      <c r="C140" s="248" t="n"/>
      <c r="D140" s="248" t="n"/>
      <c r="E140" s="249" t="n"/>
      <c r="F140" s="250" t="n"/>
      <c r="G140" s="242">
        <f>IF(ISNUMBER(F140),F140,IF(AND(ISNUMBER(C140),ISNUMBER(D140)),ROUND(MOD(D140-C140,1)*24-N(E140)/60,2),""))</f>
        <v/>
      </c>
      <c r="H140" s="241" t="n"/>
    </row>
    <row r="141">
      <c r="A141" s="241" t="n"/>
      <c r="B141" s="247" t="n"/>
      <c r="C141" s="248" t="n"/>
      <c r="D141" s="248" t="n"/>
      <c r="E141" s="249" t="n"/>
      <c r="F141" s="250" t="n"/>
      <c r="G141" s="242">
        <f>IF(ISNUMBER(F141),F141,IF(AND(ISNUMBER(C141),ISNUMBER(D141)),ROUND(MOD(D141-C141,1)*24-N(E141)/60,2),""))</f>
        <v/>
      </c>
      <c r="H141" s="241" t="n"/>
    </row>
    <row r="142">
      <c r="A142" s="241" t="n"/>
      <c r="B142" s="247" t="n"/>
      <c r="C142" s="248" t="n"/>
      <c r="D142" s="248" t="n"/>
      <c r="E142" s="249" t="n"/>
      <c r="F142" s="250" t="n"/>
      <c r="G142" s="242">
        <f>IF(ISNUMBER(F142),F142,IF(AND(ISNUMBER(C142),ISNUMBER(D142)),ROUND(MOD(D142-C142,1)*24-N(E142)/60,2),""))</f>
        <v/>
      </c>
      <c r="H142" s="241" t="n"/>
    </row>
    <row r="143">
      <c r="A143" s="241" t="n"/>
      <c r="B143" s="247" t="n"/>
      <c r="C143" s="248" t="n"/>
      <c r="D143" s="248" t="n"/>
      <c r="E143" s="249" t="n"/>
      <c r="F143" s="250" t="n"/>
      <c r="G143" s="242">
        <f>IF(ISNUMBER(F143),F143,IF(AND(ISNUMBER(C143),ISNUMBER(D143)),ROUND(MOD(D143-C143,1)*24-N(E143)/60,2),""))</f>
        <v/>
      </c>
      <c r="H143" s="241" t="n"/>
    </row>
    <row r="144">
      <c r="A144" s="241" t="n"/>
      <c r="B144" s="247" t="n"/>
      <c r="C144" s="248" t="n"/>
      <c r="D144" s="248" t="n"/>
      <c r="E144" s="249" t="n"/>
      <c r="F144" s="250" t="n"/>
      <c r="G144" s="242">
        <f>IF(ISNUMBER(F144),F144,IF(AND(ISNUMBER(C144),ISNUMBER(D144)),ROUND(MOD(D144-C144,1)*24-N(E144)/60,2),""))</f>
        <v/>
      </c>
      <c r="H144" s="241" t="n"/>
    </row>
    <row r="145">
      <c r="A145" s="241" t="n"/>
      <c r="B145" s="247" t="n"/>
      <c r="C145" s="248" t="n"/>
      <c r="D145" s="248" t="n"/>
      <c r="E145" s="249" t="n"/>
      <c r="F145" s="250" t="n"/>
      <c r="G145" s="242">
        <f>IF(ISNUMBER(F145),F145,IF(AND(ISNUMBER(C145),ISNUMBER(D145)),ROUND(MOD(D145-C145,1)*24-N(E145)/60,2),""))</f>
        <v/>
      </c>
      <c r="H145" s="241" t="n"/>
    </row>
    <row r="146">
      <c r="A146" s="241" t="n"/>
      <c r="B146" s="247" t="n"/>
      <c r="C146" s="248" t="n"/>
      <c r="D146" s="248" t="n"/>
      <c r="E146" s="249" t="n"/>
      <c r="F146" s="250" t="n"/>
      <c r="G146" s="242">
        <f>IF(ISNUMBER(F146),F146,IF(AND(ISNUMBER(C146),ISNUMBER(D146)),ROUND(MOD(D146-C146,1)*24-N(E146)/60,2),""))</f>
        <v/>
      </c>
      <c r="H146" s="241" t="n"/>
    </row>
    <row r="147">
      <c r="A147" s="241" t="n"/>
      <c r="B147" s="247" t="n"/>
      <c r="C147" s="248" t="n"/>
      <c r="D147" s="248" t="n"/>
      <c r="E147" s="249" t="n"/>
      <c r="F147" s="250" t="n"/>
      <c r="G147" s="242">
        <f>IF(ISNUMBER(F147),F147,IF(AND(ISNUMBER(C147),ISNUMBER(D147)),ROUND(MOD(D147-C147,1)*24-N(E147)/60,2),""))</f>
        <v/>
      </c>
      <c r="H147" s="241" t="n"/>
    </row>
    <row r="148">
      <c r="A148" s="241" t="n"/>
      <c r="B148" s="247" t="n"/>
      <c r="C148" s="248" t="n"/>
      <c r="D148" s="248" t="n"/>
      <c r="E148" s="249" t="n"/>
      <c r="F148" s="250" t="n"/>
      <c r="G148" s="242">
        <f>IF(ISNUMBER(F148),F148,IF(AND(ISNUMBER(C148),ISNUMBER(D148)),ROUND(MOD(D148-C148,1)*24-N(E148)/60,2),""))</f>
        <v/>
      </c>
      <c r="H148" s="241" t="n"/>
    </row>
    <row r="149">
      <c r="A149" s="241" t="n"/>
      <c r="B149" s="247" t="n"/>
      <c r="C149" s="248" t="n"/>
      <c r="D149" s="248" t="n"/>
      <c r="E149" s="249" t="n"/>
      <c r="F149" s="250" t="n"/>
      <c r="G149" s="242">
        <f>IF(ISNUMBER(F149),F149,IF(AND(ISNUMBER(C149),ISNUMBER(D149)),ROUND(MOD(D149-C149,1)*24-N(E149)/60,2),""))</f>
        <v/>
      </c>
      <c r="H149" s="241" t="n"/>
    </row>
    <row r="150">
      <c r="A150" s="241" t="n"/>
      <c r="B150" s="247" t="n"/>
      <c r="C150" s="248" t="n"/>
      <c r="D150" s="248" t="n"/>
      <c r="E150" s="249" t="n"/>
      <c r="F150" s="250" t="n"/>
      <c r="G150" s="242">
        <f>IF(ISNUMBER(F150),F150,IF(AND(ISNUMBER(C150),ISNUMBER(D150)),ROUND(MOD(D150-C150,1)*24-N(E150)/60,2),""))</f>
        <v/>
      </c>
      <c r="H150" s="241" t="n"/>
    </row>
    <row r="151">
      <c r="A151" s="241" t="n"/>
      <c r="B151" s="247" t="n"/>
      <c r="C151" s="248" t="n"/>
      <c r="D151" s="248" t="n"/>
      <c r="E151" s="249" t="n"/>
      <c r="F151" s="250" t="n"/>
      <c r="G151" s="242">
        <f>IF(ISNUMBER(F151),F151,IF(AND(ISNUMBER(C151),ISNUMBER(D151)),ROUND(MOD(D151-C151,1)*24-N(E151)/60,2),""))</f>
        <v/>
      </c>
      <c r="H151" s="241" t="n"/>
    </row>
    <row r="152">
      <c r="A152" s="241" t="n"/>
      <c r="B152" s="247" t="n"/>
      <c r="C152" s="248" t="n"/>
      <c r="D152" s="248" t="n"/>
      <c r="E152" s="249" t="n"/>
      <c r="F152" s="250" t="n"/>
      <c r="G152" s="242">
        <f>IF(ISNUMBER(F152),F152,IF(AND(ISNUMBER(C152),ISNUMBER(D152)),ROUND(MOD(D152-C152,1)*24-N(E152)/60,2),""))</f>
        <v/>
      </c>
      <c r="H152" s="241" t="n"/>
    </row>
    <row r="153">
      <c r="A153" s="241" t="n"/>
      <c r="B153" s="247" t="n"/>
      <c r="C153" s="248" t="n"/>
      <c r="D153" s="248" t="n"/>
      <c r="E153" s="249" t="n"/>
      <c r="F153" s="250" t="n"/>
      <c r="G153" s="242">
        <f>IF(ISNUMBER(F153),F153,IF(AND(ISNUMBER(C153),ISNUMBER(D153)),ROUND(MOD(D153-C153,1)*24-N(E153)/60,2),""))</f>
        <v/>
      </c>
      <c r="H153" s="241" t="n"/>
    </row>
    <row r="154">
      <c r="A154" s="241" t="n"/>
      <c r="B154" s="247" t="n"/>
      <c r="C154" s="248" t="n"/>
      <c r="D154" s="248" t="n"/>
      <c r="E154" s="249" t="n"/>
      <c r="F154" s="250" t="n"/>
      <c r="G154" s="242">
        <f>IF(ISNUMBER(F154),F154,IF(AND(ISNUMBER(C154),ISNUMBER(D154)),ROUND(MOD(D154-C154,1)*24-N(E154)/60,2),""))</f>
        <v/>
      </c>
      <c r="H154" s="241" t="n"/>
    </row>
    <row r="155">
      <c r="A155" s="241" t="n"/>
      <c r="B155" s="247" t="n"/>
      <c r="C155" s="248" t="n"/>
      <c r="D155" s="248" t="n"/>
      <c r="E155" s="249" t="n"/>
      <c r="F155" s="250" t="n"/>
      <c r="G155" s="242">
        <f>IF(ISNUMBER(F155),F155,IF(AND(ISNUMBER(C155),ISNUMBER(D155)),ROUND(MOD(D155-C155,1)*24-N(E155)/60,2),""))</f>
        <v/>
      </c>
      <c r="H155" s="241" t="n"/>
    </row>
    <row r="156">
      <c r="A156" s="241" t="n"/>
      <c r="B156" s="247" t="n"/>
      <c r="C156" s="248" t="n"/>
      <c r="D156" s="248" t="n"/>
      <c r="E156" s="249" t="n"/>
      <c r="F156" s="250" t="n"/>
      <c r="G156" s="242">
        <f>IF(ISNUMBER(F156),F156,IF(AND(ISNUMBER(C156),ISNUMBER(D156)),ROUND(MOD(D156-C156,1)*24-N(E156)/60,2),""))</f>
        <v/>
      </c>
      <c r="H156" s="241" t="n"/>
    </row>
    <row r="157">
      <c r="A157" s="241" t="n"/>
      <c r="B157" s="247" t="n"/>
      <c r="C157" s="248" t="n"/>
      <c r="D157" s="248" t="n"/>
      <c r="E157" s="249" t="n"/>
      <c r="F157" s="250" t="n"/>
      <c r="G157" s="242">
        <f>IF(ISNUMBER(F157),F157,IF(AND(ISNUMBER(C157),ISNUMBER(D157)),ROUND(MOD(D157-C157,1)*24-N(E157)/60,2),""))</f>
        <v/>
      </c>
      <c r="H157" s="241" t="n"/>
    </row>
    <row r="158">
      <c r="A158" s="241" t="n"/>
      <c r="B158" s="247" t="n"/>
      <c r="C158" s="248" t="n"/>
      <c r="D158" s="248" t="n"/>
      <c r="E158" s="249" t="n"/>
      <c r="F158" s="250" t="n"/>
      <c r="G158" s="242">
        <f>IF(ISNUMBER(F158),F158,IF(AND(ISNUMBER(C158),ISNUMBER(D158)),ROUND(MOD(D158-C158,1)*24-N(E158)/60,2),""))</f>
        <v/>
      </c>
      <c r="H158" s="241" t="n"/>
    </row>
    <row r="159">
      <c r="A159" s="241" t="n"/>
      <c r="B159" s="247" t="n"/>
      <c r="C159" s="248" t="n"/>
      <c r="D159" s="248" t="n"/>
      <c r="E159" s="249" t="n"/>
      <c r="F159" s="250" t="n"/>
      <c r="G159" s="242">
        <f>IF(ISNUMBER(F159),F159,IF(AND(ISNUMBER(C159),ISNUMBER(D159)),ROUND(MOD(D159-C159,1)*24-N(E159)/60,2),""))</f>
        <v/>
      </c>
      <c r="H159" s="241" t="n"/>
    </row>
    <row r="160">
      <c r="A160" s="241" t="n"/>
      <c r="B160" s="247" t="n"/>
      <c r="C160" s="248" t="n"/>
      <c r="D160" s="248" t="n"/>
      <c r="E160" s="249" t="n"/>
      <c r="F160" s="250" t="n"/>
      <c r="G160" s="242">
        <f>IF(ISNUMBER(F160),F160,IF(AND(ISNUMBER(C160),ISNUMBER(D160)),ROUND(MOD(D160-C160,1)*24-N(E160)/60,2),""))</f>
        <v/>
      </c>
      <c r="H160" s="241" t="n"/>
    </row>
    <row r="161">
      <c r="A161" s="241" t="n"/>
      <c r="B161" s="247" t="n"/>
      <c r="C161" s="248" t="n"/>
      <c r="D161" s="248" t="n"/>
      <c r="E161" s="249" t="n"/>
      <c r="F161" s="250" t="n"/>
      <c r="G161" s="242">
        <f>IF(ISNUMBER(F161),F161,IF(AND(ISNUMBER(C161),ISNUMBER(D161)),ROUND(MOD(D161-C161,1)*24-N(E161)/60,2),""))</f>
        <v/>
      </c>
      <c r="H161" s="241" t="n"/>
    </row>
    <row r="162">
      <c r="A162" s="241" t="n"/>
      <c r="B162" s="247" t="n"/>
      <c r="C162" s="248" t="n"/>
      <c r="D162" s="248" t="n"/>
      <c r="E162" s="249" t="n"/>
      <c r="F162" s="250" t="n"/>
      <c r="G162" s="242">
        <f>IF(ISNUMBER(F162),F162,IF(AND(ISNUMBER(C162),ISNUMBER(D162)),ROUND(MOD(D162-C162,1)*24-N(E162)/60,2),""))</f>
        <v/>
      </c>
      <c r="H162" s="241" t="n"/>
    </row>
    <row r="163">
      <c r="A163" s="241" t="n"/>
      <c r="B163" s="247" t="n"/>
      <c r="C163" s="248" t="n"/>
      <c r="D163" s="248" t="n"/>
      <c r="E163" s="249" t="n"/>
      <c r="F163" s="250" t="n"/>
      <c r="G163" s="242">
        <f>IF(ISNUMBER(F163),F163,IF(AND(ISNUMBER(C163),ISNUMBER(D163)),ROUND(MOD(D163-C163,1)*24-N(E163)/60,2),""))</f>
        <v/>
      </c>
      <c r="H163" s="241" t="n"/>
    </row>
    <row r="164">
      <c r="A164" s="241" t="n"/>
      <c r="B164" s="247" t="n"/>
      <c r="C164" s="248" t="n"/>
      <c r="D164" s="248" t="n"/>
      <c r="E164" s="249" t="n"/>
      <c r="F164" s="250" t="n"/>
      <c r="G164" s="242">
        <f>IF(ISNUMBER(F164),F164,IF(AND(ISNUMBER(C164),ISNUMBER(D164)),ROUND(MOD(D164-C164,1)*24-N(E164)/60,2),""))</f>
        <v/>
      </c>
      <c r="H164" s="241" t="n"/>
    </row>
    <row r="165">
      <c r="A165" s="241" t="n"/>
      <c r="B165" s="247" t="n"/>
      <c r="C165" s="248" t="n"/>
      <c r="D165" s="248" t="n"/>
      <c r="E165" s="249" t="n"/>
      <c r="F165" s="250" t="n"/>
      <c r="G165" s="242">
        <f>IF(ISNUMBER(F165),F165,IF(AND(ISNUMBER(C165),ISNUMBER(D165)),ROUND(MOD(D165-C165,1)*24-N(E165)/60,2),""))</f>
        <v/>
      </c>
      <c r="H165" s="241" t="n"/>
    </row>
    <row r="166">
      <c r="A166" s="241" t="n"/>
      <c r="B166" s="247" t="n"/>
      <c r="C166" s="248" t="n"/>
      <c r="D166" s="248" t="n"/>
      <c r="E166" s="249" t="n"/>
      <c r="F166" s="250" t="n"/>
      <c r="G166" s="242">
        <f>IF(ISNUMBER(F166),F166,IF(AND(ISNUMBER(C166),ISNUMBER(D166)),ROUND(MOD(D166-C166,1)*24-N(E166)/60,2),""))</f>
        <v/>
      </c>
      <c r="H166" s="241" t="n"/>
    </row>
    <row r="167">
      <c r="A167" s="241" t="n"/>
      <c r="B167" s="247" t="n"/>
      <c r="C167" s="248" t="n"/>
      <c r="D167" s="248" t="n"/>
      <c r="E167" s="249" t="n"/>
      <c r="F167" s="250" t="n"/>
      <c r="G167" s="242">
        <f>IF(ISNUMBER(F167),F167,IF(AND(ISNUMBER(C167),ISNUMBER(D167)),ROUND(MOD(D167-C167,1)*24-N(E167)/60,2),""))</f>
        <v/>
      </c>
      <c r="H167" s="241" t="n"/>
    </row>
    <row r="168">
      <c r="A168" s="241" t="n"/>
      <c r="B168" s="247" t="n"/>
      <c r="C168" s="248" t="n"/>
      <c r="D168" s="248" t="n"/>
      <c r="E168" s="249" t="n"/>
      <c r="F168" s="250" t="n"/>
      <c r="G168" s="242">
        <f>IF(ISNUMBER(F168),F168,IF(AND(ISNUMBER(C168),ISNUMBER(D168)),ROUND(MOD(D168-C168,1)*24-N(E168)/60,2),""))</f>
        <v/>
      </c>
      <c r="H168" s="241" t="n"/>
    </row>
    <row r="169">
      <c r="A169" s="241" t="n"/>
      <c r="B169" s="247" t="n"/>
      <c r="C169" s="248" t="n"/>
      <c r="D169" s="248" t="n"/>
      <c r="E169" s="249" t="n"/>
      <c r="F169" s="250" t="n"/>
      <c r="G169" s="242">
        <f>IF(ISNUMBER(F169),F169,IF(AND(ISNUMBER(C169),ISNUMBER(D169)),ROUND(MOD(D169-C169,1)*24-N(E169)/60,2),""))</f>
        <v/>
      </c>
      <c r="H169" s="241" t="n"/>
    </row>
    <row r="170">
      <c r="A170" s="241" t="n"/>
      <c r="B170" s="247" t="n"/>
      <c r="C170" s="248" t="n"/>
      <c r="D170" s="248" t="n"/>
      <c r="E170" s="249" t="n"/>
      <c r="F170" s="250" t="n"/>
      <c r="G170" s="242">
        <f>IF(ISNUMBER(F170),F170,IF(AND(ISNUMBER(C170),ISNUMBER(D170)),ROUND(MOD(D170-C170,1)*24-N(E170)/60,2),""))</f>
        <v/>
      </c>
      <c r="H170" s="241" t="n"/>
    </row>
    <row r="171">
      <c r="A171" s="241" t="n"/>
      <c r="B171" s="247" t="n"/>
      <c r="C171" s="248" t="n"/>
      <c r="D171" s="248" t="n"/>
      <c r="E171" s="249" t="n"/>
      <c r="F171" s="250" t="n"/>
      <c r="G171" s="242">
        <f>IF(ISNUMBER(F171),F171,IF(AND(ISNUMBER(C171),ISNUMBER(D171)),ROUND(MOD(D171-C171,1)*24-N(E171)/60,2),""))</f>
        <v/>
      </c>
      <c r="H171" s="241" t="n"/>
    </row>
    <row r="172">
      <c r="A172" s="241" t="n"/>
      <c r="B172" s="247" t="n"/>
      <c r="C172" s="248" t="n"/>
      <c r="D172" s="248" t="n"/>
      <c r="E172" s="249" t="n"/>
      <c r="F172" s="250" t="n"/>
      <c r="G172" s="242">
        <f>IF(ISNUMBER(F172),F172,IF(AND(ISNUMBER(C172),ISNUMBER(D172)),ROUND(MOD(D172-C172,1)*24-N(E172)/60,2),""))</f>
        <v/>
      </c>
      <c r="H172" s="241" t="n"/>
    </row>
    <row r="173">
      <c r="A173" s="241" t="n"/>
      <c r="B173" s="247" t="n"/>
      <c r="C173" s="248" t="n"/>
      <c r="D173" s="248" t="n"/>
      <c r="E173" s="249" t="n"/>
      <c r="F173" s="250" t="n"/>
      <c r="G173" s="242">
        <f>IF(ISNUMBER(F173),F173,IF(AND(ISNUMBER(C173),ISNUMBER(D173)),ROUND(MOD(D173-C173,1)*24-N(E173)/60,2),""))</f>
        <v/>
      </c>
      <c r="H173" s="241" t="n"/>
    </row>
    <row r="174">
      <c r="A174" s="241" t="n"/>
      <c r="B174" s="247" t="n"/>
      <c r="C174" s="248" t="n"/>
      <c r="D174" s="248" t="n"/>
      <c r="E174" s="249" t="n"/>
      <c r="F174" s="250" t="n"/>
      <c r="G174" s="242">
        <f>IF(ISNUMBER(F174),F174,IF(AND(ISNUMBER(C174),ISNUMBER(D174)),ROUND(MOD(D174-C174,1)*24-N(E174)/60,2),""))</f>
        <v/>
      </c>
      <c r="H174" s="241" t="n"/>
    </row>
    <row r="175">
      <c r="A175" s="241" t="n"/>
      <c r="B175" s="247" t="n"/>
      <c r="C175" s="248" t="n"/>
      <c r="D175" s="248" t="n"/>
      <c r="E175" s="249" t="n"/>
      <c r="F175" s="250" t="n"/>
      <c r="G175" s="242">
        <f>IF(ISNUMBER(F175),F175,IF(AND(ISNUMBER(C175),ISNUMBER(D175)),ROUND(MOD(D175-C175,1)*24-N(E175)/60,2),""))</f>
        <v/>
      </c>
      <c r="H175" s="241" t="n"/>
    </row>
    <row r="176">
      <c r="A176" s="241" t="n"/>
      <c r="B176" s="247" t="n"/>
      <c r="C176" s="248" t="n"/>
      <c r="D176" s="248" t="n"/>
      <c r="E176" s="249" t="n"/>
      <c r="F176" s="250" t="n"/>
      <c r="G176" s="242">
        <f>IF(ISNUMBER(F176),F176,IF(AND(ISNUMBER(C176),ISNUMBER(D176)),ROUND(MOD(D176-C176,1)*24-N(E176)/60,2),""))</f>
        <v/>
      </c>
      <c r="H176" s="241" t="n"/>
    </row>
    <row r="177">
      <c r="A177" s="241" t="n"/>
      <c r="B177" s="247" t="n"/>
      <c r="C177" s="248" t="n"/>
      <c r="D177" s="248" t="n"/>
      <c r="E177" s="249" t="n"/>
      <c r="F177" s="250" t="n"/>
      <c r="G177" s="242">
        <f>IF(ISNUMBER(F177),F177,IF(AND(ISNUMBER(C177),ISNUMBER(D177)),ROUND(MOD(D177-C177,1)*24-N(E177)/60,2),""))</f>
        <v/>
      </c>
      <c r="H177" s="241" t="n"/>
    </row>
    <row r="178">
      <c r="A178" s="241" t="n"/>
      <c r="B178" s="247" t="n"/>
      <c r="C178" s="248" t="n"/>
      <c r="D178" s="248" t="n"/>
      <c r="E178" s="249" t="n"/>
      <c r="F178" s="250" t="n"/>
      <c r="G178" s="242">
        <f>IF(ISNUMBER(F178),F178,IF(AND(ISNUMBER(C178),ISNUMBER(D178)),ROUND(MOD(D178-C178,1)*24-N(E178)/60,2),""))</f>
        <v/>
      </c>
      <c r="H178" s="241" t="n"/>
    </row>
    <row r="179">
      <c r="A179" s="241" t="n"/>
      <c r="B179" s="247" t="n"/>
      <c r="C179" s="248" t="n"/>
      <c r="D179" s="248" t="n"/>
      <c r="E179" s="249" t="n"/>
      <c r="F179" s="250" t="n"/>
      <c r="G179" s="242">
        <f>IF(ISNUMBER(F179),F179,IF(AND(ISNUMBER(C179),ISNUMBER(D179)),ROUND(MOD(D179-C179,1)*24-N(E179)/60,2),""))</f>
        <v/>
      </c>
      <c r="H179" s="241" t="n"/>
    </row>
    <row r="180">
      <c r="A180" s="241" t="n"/>
      <c r="B180" s="247" t="n"/>
      <c r="C180" s="248" t="n"/>
      <c r="D180" s="248" t="n"/>
      <c r="E180" s="249" t="n"/>
      <c r="F180" s="250" t="n"/>
      <c r="G180" s="242">
        <f>IF(ISNUMBER(F180),F180,IF(AND(ISNUMBER(C180),ISNUMBER(D180)),ROUND(MOD(D180-C180,1)*24-N(E180)/60,2),""))</f>
        <v/>
      </c>
      <c r="H180" s="241" t="n"/>
    </row>
    <row r="181">
      <c r="A181" s="241" t="n"/>
      <c r="B181" s="247" t="n"/>
      <c r="C181" s="248" t="n"/>
      <c r="D181" s="248" t="n"/>
      <c r="E181" s="249" t="n"/>
      <c r="F181" s="250" t="n"/>
      <c r="G181" s="242">
        <f>IF(ISNUMBER(F181),F181,IF(AND(ISNUMBER(C181),ISNUMBER(D181)),ROUND(MOD(D181-C181,1)*24-N(E181)/60,2),""))</f>
        <v/>
      </c>
      <c r="H181" s="241" t="n"/>
    </row>
    <row r="182">
      <c r="A182" s="241" t="n"/>
      <c r="B182" s="247" t="n"/>
      <c r="C182" s="248" t="n"/>
      <c r="D182" s="248" t="n"/>
      <c r="E182" s="249" t="n"/>
      <c r="F182" s="250" t="n"/>
      <c r="G182" s="242">
        <f>IF(ISNUMBER(F182),F182,IF(AND(ISNUMBER(C182),ISNUMBER(D182)),ROUND(MOD(D182-C182,1)*24-N(E182)/60,2),""))</f>
        <v/>
      </c>
      <c r="H182" s="241" t="n"/>
    </row>
    <row r="183">
      <c r="A183" s="241" t="n"/>
      <c r="B183" s="247" t="n"/>
      <c r="C183" s="248" t="n"/>
      <c r="D183" s="248" t="n"/>
      <c r="E183" s="249" t="n"/>
      <c r="F183" s="250" t="n"/>
      <c r="G183" s="242">
        <f>IF(ISNUMBER(F183),F183,IF(AND(ISNUMBER(C183),ISNUMBER(D183)),ROUND(MOD(D183-C183,1)*24-N(E183)/60,2),""))</f>
        <v/>
      </c>
      <c r="H183" s="241" t="n"/>
    </row>
    <row r="184">
      <c r="A184" s="241" t="n"/>
      <c r="B184" s="247" t="n"/>
      <c r="C184" s="248" t="n"/>
      <c r="D184" s="248" t="n"/>
      <c r="E184" s="249" t="n"/>
      <c r="F184" s="250" t="n"/>
      <c r="G184" s="242">
        <f>IF(ISNUMBER(F184),F184,IF(AND(ISNUMBER(C184),ISNUMBER(D184)),ROUND(MOD(D184-C184,1)*24-N(E184)/60,2),""))</f>
        <v/>
      </c>
      <c r="H184" s="241" t="n"/>
    </row>
    <row r="185">
      <c r="A185" s="241" t="n"/>
      <c r="B185" s="247" t="n"/>
      <c r="C185" s="248" t="n"/>
      <c r="D185" s="248" t="n"/>
      <c r="E185" s="249" t="n"/>
      <c r="F185" s="250" t="n"/>
      <c r="G185" s="242">
        <f>IF(ISNUMBER(F185),F185,IF(AND(ISNUMBER(C185),ISNUMBER(D185)),ROUND(MOD(D185-C185,1)*24-N(E185)/60,2),""))</f>
        <v/>
      </c>
      <c r="H185" s="241" t="n"/>
    </row>
    <row r="186">
      <c r="A186" s="241" t="n"/>
      <c r="B186" s="247" t="n"/>
      <c r="C186" s="248" t="n"/>
      <c r="D186" s="248" t="n"/>
      <c r="E186" s="249" t="n"/>
      <c r="F186" s="250" t="n"/>
      <c r="G186" s="242">
        <f>IF(ISNUMBER(F186),F186,IF(AND(ISNUMBER(C186),ISNUMBER(D186)),ROUND(MOD(D186-C186,1)*24-N(E186)/60,2),""))</f>
        <v/>
      </c>
      <c r="H186" s="241" t="n"/>
    </row>
    <row r="187">
      <c r="A187" s="241" t="n"/>
      <c r="B187" s="247" t="n"/>
      <c r="C187" s="248" t="n"/>
      <c r="D187" s="248" t="n"/>
      <c r="E187" s="249" t="n"/>
      <c r="F187" s="250" t="n"/>
      <c r="G187" s="242">
        <f>IF(ISNUMBER(F187),F187,IF(AND(ISNUMBER(C187),ISNUMBER(D187)),ROUND(MOD(D187-C187,1)*24-N(E187)/60,2),""))</f>
        <v/>
      </c>
      <c r="H187" s="241" t="n"/>
    </row>
    <row r="188">
      <c r="A188" s="241" t="n"/>
      <c r="B188" s="247" t="n"/>
      <c r="C188" s="248" t="n"/>
      <c r="D188" s="248" t="n"/>
      <c r="E188" s="249" t="n"/>
      <c r="F188" s="250" t="n"/>
      <c r="G188" s="242">
        <f>IF(ISNUMBER(F188),F188,IF(AND(ISNUMBER(C188),ISNUMBER(D188)),ROUND(MOD(D188-C188,1)*24-N(E188)/60,2),""))</f>
        <v/>
      </c>
      <c r="H188" s="241" t="n"/>
    </row>
    <row r="189">
      <c r="A189" s="241" t="n"/>
      <c r="B189" s="247" t="n"/>
      <c r="C189" s="248" t="n"/>
      <c r="D189" s="248" t="n"/>
      <c r="E189" s="249" t="n"/>
      <c r="F189" s="250" t="n"/>
      <c r="G189" s="242">
        <f>IF(ISNUMBER(F189),F189,IF(AND(ISNUMBER(C189),ISNUMBER(D189)),ROUND(MOD(D189-C189,1)*24-N(E189)/60,2),""))</f>
        <v/>
      </c>
      <c r="H189" s="241" t="n"/>
    </row>
    <row r="190">
      <c r="A190" s="241" t="n"/>
      <c r="B190" s="247" t="n"/>
      <c r="C190" s="248" t="n"/>
      <c r="D190" s="248" t="n"/>
      <c r="E190" s="249" t="n"/>
      <c r="F190" s="250" t="n"/>
      <c r="G190" s="242">
        <f>IF(ISNUMBER(F190),F190,IF(AND(ISNUMBER(C190),ISNUMBER(D190)),ROUND(MOD(D190-C190,1)*24-N(E190)/60,2),""))</f>
        <v/>
      </c>
      <c r="H190" s="241" t="n"/>
    </row>
    <row r="191">
      <c r="A191" s="241" t="n"/>
      <c r="B191" s="247" t="n"/>
      <c r="C191" s="248" t="n"/>
      <c r="D191" s="248" t="n"/>
      <c r="E191" s="249" t="n"/>
      <c r="F191" s="250" t="n"/>
      <c r="G191" s="242">
        <f>IF(ISNUMBER(F191),F191,IF(AND(ISNUMBER(C191),ISNUMBER(D191)),ROUND(MOD(D191-C191,1)*24-N(E191)/60,2),""))</f>
        <v/>
      </c>
      <c r="H191" s="241" t="n"/>
    </row>
    <row r="192">
      <c r="A192" s="241" t="n"/>
      <c r="B192" s="247" t="n"/>
      <c r="C192" s="248" t="n"/>
      <c r="D192" s="248" t="n"/>
      <c r="E192" s="249" t="n"/>
      <c r="F192" s="250" t="n"/>
      <c r="G192" s="242">
        <f>IF(ISNUMBER(F192),F192,IF(AND(ISNUMBER(C192),ISNUMBER(D192)),ROUND(MOD(D192-C192,1)*24-N(E192)/60,2),""))</f>
        <v/>
      </c>
      <c r="H192" s="241" t="n"/>
    </row>
    <row r="193">
      <c r="A193" s="241" t="n"/>
      <c r="B193" s="247" t="n"/>
      <c r="C193" s="248" t="n"/>
      <c r="D193" s="248" t="n"/>
      <c r="E193" s="249" t="n"/>
      <c r="F193" s="250" t="n"/>
      <c r="G193" s="242">
        <f>IF(ISNUMBER(F193),F193,IF(AND(ISNUMBER(C193),ISNUMBER(D193)),ROUND(MOD(D193-C193,1)*24-N(E193)/60,2),""))</f>
        <v/>
      </c>
      <c r="H193" s="241" t="n"/>
    </row>
    <row r="194">
      <c r="A194" s="241" t="n"/>
      <c r="B194" s="247" t="n"/>
      <c r="C194" s="248" t="n"/>
      <c r="D194" s="248" t="n"/>
      <c r="E194" s="249" t="n"/>
      <c r="F194" s="250" t="n"/>
      <c r="G194" s="242">
        <f>IF(ISNUMBER(F194),F194,IF(AND(ISNUMBER(C194),ISNUMBER(D194)),ROUND(MOD(D194-C194,1)*24-N(E194)/60,2),""))</f>
        <v/>
      </c>
      <c r="H194" s="241" t="n"/>
    </row>
    <row r="195">
      <c r="A195" s="241" t="n"/>
      <c r="B195" s="247" t="n"/>
      <c r="C195" s="248" t="n"/>
      <c r="D195" s="248" t="n"/>
      <c r="E195" s="249" t="n"/>
      <c r="F195" s="250" t="n"/>
      <c r="G195" s="242">
        <f>IF(ISNUMBER(F195),F195,IF(AND(ISNUMBER(C195),ISNUMBER(D195)),ROUND(MOD(D195-C195,1)*24-N(E195)/60,2),""))</f>
        <v/>
      </c>
      <c r="H195" s="241" t="n"/>
    </row>
    <row r="196">
      <c r="A196" s="241" t="n"/>
      <c r="B196" s="247" t="n"/>
      <c r="C196" s="248" t="n"/>
      <c r="D196" s="248" t="n"/>
      <c r="E196" s="249" t="n"/>
      <c r="F196" s="250" t="n"/>
      <c r="G196" s="242">
        <f>IF(ISNUMBER(F196),F196,IF(AND(ISNUMBER(C196),ISNUMBER(D196)),ROUND(MOD(D196-C196,1)*24-N(E196)/60,2),""))</f>
        <v/>
      </c>
      <c r="H196" s="241" t="n"/>
    </row>
    <row r="197">
      <c r="A197" s="241" t="n"/>
      <c r="B197" s="247" t="n"/>
      <c r="C197" s="248" t="n"/>
      <c r="D197" s="248" t="n"/>
      <c r="E197" s="249" t="n"/>
      <c r="F197" s="250" t="n"/>
      <c r="G197" s="242">
        <f>IF(ISNUMBER(F197),F197,IF(AND(ISNUMBER(C197),ISNUMBER(D197)),ROUND(MOD(D197-C197,1)*24-N(E197)/60,2),""))</f>
        <v/>
      </c>
      <c r="H197" s="241" t="n"/>
    </row>
    <row r="198">
      <c r="A198" s="241" t="n"/>
      <c r="B198" s="247" t="n"/>
      <c r="C198" s="248" t="n"/>
      <c r="D198" s="248" t="n"/>
      <c r="E198" s="249" t="n"/>
      <c r="F198" s="250" t="n"/>
      <c r="G198" s="242">
        <f>IF(ISNUMBER(F198),F198,IF(AND(ISNUMBER(C198),ISNUMBER(D198)),ROUND(MOD(D198-C198,1)*24-N(E198)/60,2),""))</f>
        <v/>
      </c>
      <c r="H198" s="241" t="n"/>
    </row>
    <row r="199">
      <c r="A199" s="241" t="n"/>
      <c r="B199" s="247" t="n"/>
      <c r="C199" s="248" t="n"/>
      <c r="D199" s="248" t="n"/>
      <c r="E199" s="249" t="n"/>
      <c r="F199" s="250" t="n"/>
      <c r="G199" s="242">
        <f>IF(ISNUMBER(F199),F199,IF(AND(ISNUMBER(C199),ISNUMBER(D199)),ROUND(MOD(D199-C199,1)*24-N(E199)/60,2),""))</f>
        <v/>
      </c>
      <c r="H199" s="241" t="n"/>
    </row>
    <row r="200">
      <c r="A200" s="241" t="n"/>
      <c r="B200" s="247" t="n"/>
      <c r="C200" s="248" t="n"/>
      <c r="D200" s="248" t="n"/>
      <c r="E200" s="249" t="n"/>
      <c r="F200" s="250" t="n"/>
      <c r="G200" s="242">
        <f>IF(ISNUMBER(F200),F200,IF(AND(ISNUMBER(C200),ISNUMBER(D200)),ROUND(MOD(D200-C200,1)*24-N(E200)/60,2),""))</f>
        <v/>
      </c>
      <c r="H200" s="241" t="n"/>
    </row>
    <row r="201">
      <c r="A201" s="241" t="n"/>
      <c r="B201" s="247" t="n"/>
      <c r="C201" s="248" t="n"/>
      <c r="D201" s="248" t="n"/>
      <c r="E201" s="249" t="n"/>
      <c r="F201" s="250" t="n"/>
      <c r="G201" s="242">
        <f>IF(ISNUMBER(F201),F201,IF(AND(ISNUMBER(C201),ISNUMBER(D201)),ROUND(MOD(D201-C201,1)*24-N(E201)/60,2),""))</f>
        <v/>
      </c>
      <c r="H201" s="241" t="n"/>
    </row>
    <row r="202">
      <c r="A202" s="241" t="n"/>
      <c r="B202" s="247" t="n"/>
      <c r="C202" s="248" t="n"/>
      <c r="D202" s="248" t="n"/>
      <c r="E202" s="249" t="n"/>
      <c r="F202" s="250" t="n"/>
      <c r="G202" s="242">
        <f>IF(ISNUMBER(F202),F202,IF(AND(ISNUMBER(C202),ISNUMBER(D202)),ROUND(MOD(D202-C202,1)*24-N(E202)/60,2),""))</f>
        <v/>
      </c>
      <c r="H202" s="241" t="n"/>
    </row>
    <row r="203">
      <c r="A203" s="241" t="n"/>
      <c r="B203" s="247" t="n"/>
      <c r="C203" s="248" t="n"/>
      <c r="D203" s="248" t="n"/>
      <c r="E203" s="249" t="n"/>
      <c r="F203" s="250" t="n"/>
      <c r="G203" s="242">
        <f>IF(ISNUMBER(F203),F203,IF(AND(ISNUMBER(C203),ISNUMBER(D203)),ROUND(MOD(D203-C203,1)*24-N(E203)/60,2),""))</f>
        <v/>
      </c>
      <c r="H203" s="241" t="n"/>
    </row>
    <row r="204">
      <c r="A204" s="241" t="n"/>
      <c r="B204" s="247" t="n"/>
      <c r="C204" s="248" t="n"/>
      <c r="D204" s="248" t="n"/>
      <c r="E204" s="249" t="n"/>
      <c r="F204" s="250" t="n"/>
      <c r="G204" s="242">
        <f>IF(ISNUMBER(F204),F204,IF(AND(ISNUMBER(C204),ISNUMBER(D204)),ROUND(MOD(D204-C204,1)*24-N(E204)/60,2),""))</f>
        <v/>
      </c>
      <c r="H204" s="241" t="n"/>
    </row>
    <row r="205">
      <c r="A205" s="241" t="n"/>
      <c r="B205" s="247" t="n"/>
      <c r="C205" s="248" t="n"/>
      <c r="D205" s="248" t="n"/>
      <c r="E205" s="249" t="n"/>
      <c r="F205" s="250" t="n"/>
      <c r="G205" s="242">
        <f>IF(ISNUMBER(F205),F205,IF(AND(ISNUMBER(C205),ISNUMBER(D205)),ROUND(MOD(D205-C205,1)*24-N(E205)/60,2),""))</f>
        <v/>
      </c>
      <c r="H205" s="241" t="n"/>
    </row>
    <row r="206">
      <c r="A206" s="241" t="n"/>
      <c r="B206" s="247" t="n"/>
      <c r="C206" s="248" t="n"/>
      <c r="D206" s="248" t="n"/>
      <c r="E206" s="249" t="n"/>
      <c r="F206" s="250" t="n"/>
      <c r="G206" s="242">
        <f>IF(ISNUMBER(F206),F206,IF(AND(ISNUMBER(C206),ISNUMBER(D206)),ROUND(MOD(D206-C206,1)*24-N(E206)/60,2),""))</f>
        <v/>
      </c>
      <c r="H206" s="241" t="n"/>
    </row>
    <row r="207">
      <c r="A207" s="241" t="n"/>
      <c r="B207" s="247" t="n"/>
      <c r="C207" s="248" t="n"/>
      <c r="D207" s="248" t="n"/>
      <c r="E207" s="249" t="n"/>
      <c r="F207" s="250" t="n"/>
      <c r="G207" s="242">
        <f>IF(ISNUMBER(F207),F207,IF(AND(ISNUMBER(C207),ISNUMBER(D207)),ROUND(MOD(D207-C207,1)*24-N(E207)/60,2),""))</f>
        <v/>
      </c>
      <c r="H207" s="241" t="n"/>
    </row>
    <row r="208">
      <c r="A208" s="241" t="n"/>
      <c r="B208" s="247" t="n"/>
      <c r="C208" s="248" t="n"/>
      <c r="D208" s="248" t="n"/>
      <c r="E208" s="249" t="n"/>
      <c r="F208" s="250" t="n"/>
      <c r="G208" s="242">
        <f>IF(ISNUMBER(F208),F208,IF(AND(ISNUMBER(C208),ISNUMBER(D208)),ROUND(MOD(D208-C208,1)*24-N(E208)/60,2),""))</f>
        <v/>
      </c>
      <c r="H208" s="241" t="n"/>
    </row>
    <row r="209">
      <c r="A209" s="241" t="n"/>
      <c r="B209" s="247" t="n"/>
      <c r="C209" s="248" t="n"/>
      <c r="D209" s="248" t="n"/>
      <c r="E209" s="249" t="n"/>
      <c r="F209" s="250" t="n"/>
      <c r="G209" s="242">
        <f>IF(ISNUMBER(F209),F209,IF(AND(ISNUMBER(C209),ISNUMBER(D209)),ROUND(MOD(D209-C209,1)*24-N(E209)/60,2),""))</f>
        <v/>
      </c>
      <c r="H209" s="241" t="n"/>
    </row>
    <row r="210">
      <c r="A210" s="241" t="n"/>
      <c r="B210" s="247" t="n"/>
      <c r="C210" s="248" t="n"/>
      <c r="D210" s="248" t="n"/>
      <c r="E210" s="249" t="n"/>
      <c r="F210" s="250" t="n"/>
      <c r="G210" s="242">
        <f>IF(ISNUMBER(F210),F210,IF(AND(ISNUMBER(C210),ISNUMBER(D210)),ROUND(MOD(D210-C210,1)*24-N(E210)/60,2),""))</f>
        <v/>
      </c>
      <c r="H210" s="241" t="n"/>
    </row>
    <row r="211">
      <c r="A211" s="241" t="n"/>
      <c r="B211" s="247" t="n"/>
      <c r="C211" s="248" t="n"/>
      <c r="D211" s="248" t="n"/>
      <c r="E211" s="249" t="n"/>
      <c r="F211" s="250" t="n"/>
      <c r="G211" s="242">
        <f>IF(ISNUMBER(F211),F211,IF(AND(ISNUMBER(C211),ISNUMBER(D211)),ROUND(MOD(D211-C211,1)*24-N(E211)/60,2),""))</f>
        <v/>
      </c>
      <c r="H211" s="241" t="n"/>
    </row>
    <row r="212">
      <c r="A212" s="241" t="n"/>
      <c r="B212" s="247" t="n"/>
      <c r="C212" s="248" t="n"/>
      <c r="D212" s="248" t="n"/>
      <c r="E212" s="249" t="n"/>
      <c r="F212" s="250" t="n"/>
      <c r="G212" s="242">
        <f>IF(ISNUMBER(F212),F212,IF(AND(ISNUMBER(C212),ISNUMBER(D212)),ROUND(MOD(D212-C212,1)*24-N(E212)/60,2),""))</f>
        <v/>
      </c>
      <c r="H212" s="241" t="n"/>
    </row>
    <row r="213">
      <c r="A213" s="241" t="n"/>
      <c r="B213" s="247" t="n"/>
      <c r="C213" s="248" t="n"/>
      <c r="D213" s="248" t="n"/>
      <c r="E213" s="249" t="n"/>
      <c r="F213" s="250" t="n"/>
      <c r="G213" s="242">
        <f>IF(ISNUMBER(F213),F213,IF(AND(ISNUMBER(C213),ISNUMBER(D213)),ROUND(MOD(D213-C213,1)*24-N(E213)/60,2),""))</f>
        <v/>
      </c>
      <c r="H213" s="241" t="n"/>
    </row>
    <row r="214">
      <c r="A214" s="241" t="n"/>
      <c r="B214" s="247" t="n"/>
      <c r="C214" s="248" t="n"/>
      <c r="D214" s="248" t="n"/>
      <c r="E214" s="249" t="n"/>
      <c r="F214" s="250" t="n"/>
      <c r="G214" s="242">
        <f>IF(ISNUMBER(F214),F214,IF(AND(ISNUMBER(C214),ISNUMBER(D214)),ROUND(MOD(D214-C214,1)*24-N(E214)/60,2),""))</f>
        <v/>
      </c>
      <c r="H214" s="241" t="n"/>
    </row>
    <row r="215">
      <c r="A215" s="241" t="n"/>
      <c r="B215" s="247" t="n"/>
      <c r="C215" s="248" t="n"/>
      <c r="D215" s="248" t="n"/>
      <c r="E215" s="249" t="n"/>
      <c r="F215" s="250" t="n"/>
      <c r="G215" s="242">
        <f>IF(ISNUMBER(F215),F215,IF(AND(ISNUMBER(C215),ISNUMBER(D215)),ROUND(MOD(D215-C215,1)*24-N(E215)/60,2),""))</f>
        <v/>
      </c>
      <c r="H215" s="241" t="n"/>
    </row>
    <row r="216">
      <c r="A216" s="241" t="n"/>
      <c r="B216" s="247" t="n"/>
      <c r="C216" s="248" t="n"/>
      <c r="D216" s="248" t="n"/>
      <c r="E216" s="249" t="n"/>
      <c r="F216" s="250" t="n"/>
      <c r="G216" s="242">
        <f>IF(ISNUMBER(F216),F216,IF(AND(ISNUMBER(C216),ISNUMBER(D216)),ROUND(MOD(D216-C216,1)*24-N(E216)/60,2),""))</f>
        <v/>
      </c>
      <c r="H216" s="241" t="n"/>
    </row>
    <row r="217">
      <c r="A217" s="241" t="n"/>
      <c r="B217" s="247" t="n"/>
      <c r="C217" s="248" t="n"/>
      <c r="D217" s="248" t="n"/>
      <c r="E217" s="249" t="n"/>
      <c r="F217" s="250" t="n"/>
      <c r="G217" s="242">
        <f>IF(ISNUMBER(F217),F217,IF(AND(ISNUMBER(C217),ISNUMBER(D217)),ROUND(MOD(D217-C217,1)*24-N(E217)/60,2),""))</f>
        <v/>
      </c>
      <c r="H217" s="241" t="n"/>
    </row>
    <row r="218">
      <c r="A218" s="241" t="n"/>
      <c r="B218" s="247" t="n"/>
      <c r="C218" s="248" t="n"/>
      <c r="D218" s="248" t="n"/>
      <c r="E218" s="249" t="n"/>
      <c r="F218" s="250" t="n"/>
      <c r="G218" s="242">
        <f>IF(ISNUMBER(F218),F218,IF(AND(ISNUMBER(C218),ISNUMBER(D218)),ROUND(MOD(D218-C218,1)*24-N(E218)/60,2),""))</f>
        <v/>
      </c>
      <c r="H218" s="241" t="n"/>
    </row>
    <row r="219">
      <c r="A219" s="241" t="n"/>
      <c r="B219" s="247" t="n"/>
      <c r="C219" s="248" t="n"/>
      <c r="D219" s="248" t="n"/>
      <c r="E219" s="249" t="n"/>
      <c r="F219" s="250" t="n"/>
      <c r="G219" s="242">
        <f>IF(ISNUMBER(F219),F219,IF(AND(ISNUMBER(C219),ISNUMBER(D219)),ROUND(MOD(D219-C219,1)*24-N(E219)/60,2),""))</f>
        <v/>
      </c>
      <c r="H219" s="241" t="n"/>
    </row>
    <row r="220">
      <c r="A220" s="241" t="n"/>
      <c r="B220" s="247" t="n"/>
      <c r="C220" s="248" t="n"/>
      <c r="D220" s="248" t="n"/>
      <c r="E220" s="249" t="n"/>
      <c r="F220" s="250" t="n"/>
      <c r="G220" s="242">
        <f>IF(ISNUMBER(F220),F220,IF(AND(ISNUMBER(C220),ISNUMBER(D220)),ROUND(MOD(D220-C220,1)*24-N(E220)/60,2),""))</f>
        <v/>
      </c>
      <c r="H220" s="241" t="n"/>
    </row>
    <row r="221">
      <c r="A221" s="241" t="n"/>
      <c r="B221" s="247" t="n"/>
      <c r="C221" s="248" t="n"/>
      <c r="D221" s="248" t="n"/>
      <c r="E221" s="249" t="n"/>
      <c r="F221" s="250" t="n"/>
      <c r="G221" s="242">
        <f>IF(ISNUMBER(F221),F221,IF(AND(ISNUMBER(C221),ISNUMBER(D221)),ROUND(MOD(D221-C221,1)*24-N(E221)/60,2),""))</f>
        <v/>
      </c>
      <c r="H221" s="241" t="n"/>
    </row>
    <row r="222">
      <c r="A222" s="241" t="n"/>
      <c r="B222" s="247" t="n"/>
      <c r="C222" s="248" t="n"/>
      <c r="D222" s="248" t="n"/>
      <c r="E222" s="249" t="n"/>
      <c r="F222" s="250" t="n"/>
      <c r="G222" s="242">
        <f>IF(ISNUMBER(F222),F222,IF(AND(ISNUMBER(C222),ISNUMBER(D222)),ROUND(MOD(D222-C222,1)*24-N(E222)/60,2),""))</f>
        <v/>
      </c>
      <c r="H222" s="241" t="n"/>
    </row>
    <row r="223">
      <c r="A223" s="241" t="n"/>
      <c r="B223" s="247" t="n"/>
      <c r="C223" s="248" t="n"/>
      <c r="D223" s="248" t="n"/>
      <c r="E223" s="249" t="n"/>
      <c r="F223" s="250" t="n"/>
      <c r="G223" s="242">
        <f>IF(ISNUMBER(F223),F223,IF(AND(ISNUMBER(C223),ISNUMBER(D223)),ROUND(MOD(D223-C223,1)*24-N(E223)/60,2),""))</f>
        <v/>
      </c>
      <c r="H223" s="241" t="n"/>
    </row>
    <row r="224">
      <c r="A224" s="241" t="n"/>
      <c r="B224" s="247" t="n"/>
      <c r="C224" s="248" t="n"/>
      <c r="D224" s="248" t="n"/>
      <c r="E224" s="249" t="n"/>
      <c r="F224" s="250" t="n"/>
      <c r="G224" s="242">
        <f>IF(ISNUMBER(F224),F224,IF(AND(ISNUMBER(C224),ISNUMBER(D224)),ROUND(MOD(D224-C224,1)*24-N(E224)/60,2),""))</f>
        <v/>
      </c>
      <c r="H224" s="241" t="n"/>
    </row>
    <row r="225">
      <c r="A225" s="241" t="n"/>
      <c r="B225" s="247" t="n"/>
      <c r="C225" s="248" t="n"/>
      <c r="D225" s="248" t="n"/>
      <c r="E225" s="249" t="n"/>
      <c r="F225" s="250" t="n"/>
      <c r="G225" s="242">
        <f>IF(ISNUMBER(F225),F225,IF(AND(ISNUMBER(C225),ISNUMBER(D225)),ROUND(MOD(D225-C225,1)*24-N(E225)/60,2),""))</f>
        <v/>
      </c>
      <c r="H225" s="241" t="n"/>
    </row>
    <row r="226">
      <c r="A226" s="241" t="n"/>
      <c r="B226" s="247" t="n"/>
      <c r="C226" s="248" t="n"/>
      <c r="D226" s="248" t="n"/>
      <c r="E226" s="249" t="n"/>
      <c r="F226" s="250" t="n"/>
      <c r="G226" s="242">
        <f>IF(ISNUMBER(F226),F226,IF(AND(ISNUMBER(C226),ISNUMBER(D226)),ROUND(MOD(D226-C226,1)*24-N(E226)/60,2),""))</f>
        <v/>
      </c>
      <c r="H226" s="241" t="n"/>
    </row>
    <row r="227">
      <c r="A227" s="241" t="n"/>
      <c r="B227" s="247" t="n"/>
      <c r="C227" s="248" t="n"/>
      <c r="D227" s="248" t="n"/>
      <c r="E227" s="249" t="n"/>
      <c r="F227" s="250" t="n"/>
      <c r="G227" s="242">
        <f>IF(ISNUMBER(F227),F227,IF(AND(ISNUMBER(C227),ISNUMBER(D227)),ROUND(MOD(D227-C227,1)*24-N(E227)/60,2),""))</f>
        <v/>
      </c>
      <c r="H227" s="241" t="n"/>
    </row>
    <row r="228">
      <c r="A228" s="241" t="n"/>
      <c r="B228" s="247" t="n"/>
      <c r="C228" s="248" t="n"/>
      <c r="D228" s="248" t="n"/>
      <c r="E228" s="249" t="n"/>
      <c r="F228" s="250" t="n"/>
      <c r="G228" s="242">
        <f>IF(ISNUMBER(F228),F228,IF(AND(ISNUMBER(C228),ISNUMBER(D228)),ROUND(MOD(D228-C228,1)*24-N(E228)/60,2),""))</f>
        <v/>
      </c>
      <c r="H228" s="241" t="n"/>
    </row>
    <row r="229">
      <c r="A229" s="241" t="n"/>
      <c r="B229" s="247" t="n"/>
      <c r="C229" s="248" t="n"/>
      <c r="D229" s="248" t="n"/>
      <c r="E229" s="249" t="n"/>
      <c r="F229" s="250" t="n"/>
      <c r="G229" s="242">
        <f>IF(ISNUMBER(F229),F229,IF(AND(ISNUMBER(C229),ISNUMBER(D229)),ROUND(MOD(D229-C229,1)*24-N(E229)/60,2),""))</f>
        <v/>
      </c>
      <c r="H229" s="241" t="n"/>
    </row>
    <row r="230">
      <c r="A230" s="241" t="n"/>
      <c r="B230" s="247" t="n"/>
      <c r="C230" s="248" t="n"/>
      <c r="D230" s="248" t="n"/>
      <c r="E230" s="249" t="n"/>
      <c r="F230" s="250" t="n"/>
      <c r="G230" s="242">
        <f>IF(ISNUMBER(F230),F230,IF(AND(ISNUMBER(C230),ISNUMBER(D230)),ROUND(MOD(D230-C230,1)*24-N(E230)/60,2),""))</f>
        <v/>
      </c>
      <c r="H230" s="241" t="n"/>
    </row>
    <row r="231">
      <c r="A231" s="241" t="n"/>
      <c r="B231" s="247" t="n"/>
      <c r="C231" s="248" t="n"/>
      <c r="D231" s="248" t="n"/>
      <c r="E231" s="249" t="n"/>
      <c r="F231" s="250" t="n"/>
      <c r="G231" s="242">
        <f>IF(ISNUMBER(F231),F231,IF(AND(ISNUMBER(C231),ISNUMBER(D231)),ROUND(MOD(D231-C231,1)*24-N(E231)/60,2),""))</f>
        <v/>
      </c>
      <c r="H231" s="241" t="n"/>
    </row>
    <row r="232">
      <c r="A232" s="241" t="n"/>
      <c r="B232" s="247" t="n"/>
      <c r="C232" s="248" t="n"/>
      <c r="D232" s="248" t="n"/>
      <c r="E232" s="249" t="n"/>
      <c r="F232" s="250" t="n"/>
      <c r="G232" s="242">
        <f>IF(ISNUMBER(F232),F232,IF(AND(ISNUMBER(C232),ISNUMBER(D232)),ROUND(MOD(D232-C232,1)*24-N(E232)/60,2),""))</f>
        <v/>
      </c>
      <c r="H232" s="241" t="n"/>
    </row>
    <row r="233">
      <c r="A233" s="241" t="n"/>
      <c r="B233" s="247" t="n"/>
      <c r="C233" s="248" t="n"/>
      <c r="D233" s="248" t="n"/>
      <c r="E233" s="249" t="n"/>
      <c r="F233" s="250" t="n"/>
      <c r="G233" s="242">
        <f>IF(ISNUMBER(F233),F233,IF(AND(ISNUMBER(C233),ISNUMBER(D233)),ROUND(MOD(D233-C233,1)*24-N(E233)/60,2),""))</f>
        <v/>
      </c>
      <c r="H233" s="241" t="n"/>
    </row>
    <row r="234">
      <c r="A234" s="241" t="n"/>
      <c r="B234" s="247" t="n"/>
      <c r="C234" s="248" t="n"/>
      <c r="D234" s="248" t="n"/>
      <c r="E234" s="249" t="n"/>
      <c r="F234" s="250" t="n"/>
      <c r="G234" s="242">
        <f>IF(ISNUMBER(F234),F234,IF(AND(ISNUMBER(C234),ISNUMBER(D234)),ROUND(MOD(D234-C234,1)*24-N(E234)/60,2),""))</f>
        <v/>
      </c>
      <c r="H234" s="241" t="n"/>
    </row>
    <row r="235">
      <c r="A235" s="241" t="n"/>
      <c r="B235" s="247" t="n"/>
      <c r="C235" s="248" t="n"/>
      <c r="D235" s="248" t="n"/>
      <c r="E235" s="249" t="n"/>
      <c r="F235" s="250" t="n"/>
      <c r="G235" s="242">
        <f>IF(ISNUMBER(F235),F235,IF(AND(ISNUMBER(C235),ISNUMBER(D235)),ROUND(MOD(D235-C235,1)*24-N(E235)/60,2),""))</f>
        <v/>
      </c>
      <c r="H235" s="241" t="n"/>
    </row>
    <row r="236">
      <c r="A236" s="241" t="n"/>
      <c r="B236" s="247" t="n"/>
      <c r="C236" s="248" t="n"/>
      <c r="D236" s="248" t="n"/>
      <c r="E236" s="249" t="n"/>
      <c r="F236" s="250" t="n"/>
      <c r="G236" s="242">
        <f>IF(ISNUMBER(F236),F236,IF(AND(ISNUMBER(C236),ISNUMBER(D236)),ROUND(MOD(D236-C236,1)*24-N(E236)/60,2),""))</f>
        <v/>
      </c>
      <c r="H236" s="241" t="n"/>
    </row>
    <row r="237">
      <c r="A237" s="241" t="n"/>
      <c r="B237" s="247" t="n"/>
      <c r="C237" s="248" t="n"/>
      <c r="D237" s="248" t="n"/>
      <c r="E237" s="249" t="n"/>
      <c r="F237" s="250" t="n"/>
      <c r="G237" s="242">
        <f>IF(ISNUMBER(F237),F237,IF(AND(ISNUMBER(C237),ISNUMBER(D237)),ROUND(MOD(D237-C237,1)*24-N(E237)/60,2),""))</f>
        <v/>
      </c>
      <c r="H237" s="241" t="n"/>
    </row>
    <row r="238">
      <c r="A238" s="241" t="n"/>
      <c r="B238" s="247" t="n"/>
      <c r="C238" s="248" t="n"/>
      <c r="D238" s="248" t="n"/>
      <c r="E238" s="249" t="n"/>
      <c r="F238" s="250" t="n"/>
      <c r="G238" s="242">
        <f>IF(ISNUMBER(F238),F238,IF(AND(ISNUMBER(C238),ISNUMBER(D238)),ROUND(MOD(D238-C238,1)*24-N(E238)/60,2),""))</f>
        <v/>
      </c>
      <c r="H238" s="241" t="n"/>
    </row>
    <row r="239">
      <c r="A239" s="241" t="n"/>
      <c r="B239" s="247" t="n"/>
      <c r="C239" s="248" t="n"/>
      <c r="D239" s="248" t="n"/>
      <c r="E239" s="249" t="n"/>
      <c r="F239" s="250" t="n"/>
      <c r="G239" s="242">
        <f>IF(ISNUMBER(F239),F239,IF(AND(ISNUMBER(C239),ISNUMBER(D239)),ROUND(MOD(D239-C239,1)*24-N(E239)/60,2),""))</f>
        <v/>
      </c>
      <c r="H239" s="241" t="n"/>
    </row>
    <row r="240">
      <c r="A240" s="241" t="n"/>
      <c r="B240" s="247" t="n"/>
      <c r="C240" s="248" t="n"/>
      <c r="D240" s="248" t="n"/>
      <c r="E240" s="249" t="n"/>
      <c r="F240" s="250" t="n"/>
      <c r="G240" s="242">
        <f>IF(ISNUMBER(F240),F240,IF(AND(ISNUMBER(C240),ISNUMBER(D240)),ROUND(MOD(D240-C240,1)*24-N(E240)/60,2),""))</f>
        <v/>
      </c>
      <c r="H240" s="241" t="n"/>
    </row>
    <row r="241">
      <c r="A241" s="241" t="n"/>
      <c r="B241" s="247" t="n"/>
      <c r="C241" s="248" t="n"/>
      <c r="D241" s="248" t="n"/>
      <c r="E241" s="249" t="n"/>
      <c r="F241" s="250" t="n"/>
      <c r="G241" s="242">
        <f>IF(ISNUMBER(F241),F241,IF(AND(ISNUMBER(C241),ISNUMBER(D241)),ROUND(MOD(D241-C241,1)*24-N(E241)/60,2),""))</f>
        <v/>
      </c>
      <c r="H241" s="241" t="n"/>
    </row>
    <row r="242">
      <c r="A242" s="241" t="n"/>
      <c r="B242" s="247" t="n"/>
      <c r="C242" s="248" t="n"/>
      <c r="D242" s="248" t="n"/>
      <c r="E242" s="249" t="n"/>
      <c r="F242" s="250" t="n"/>
      <c r="G242" s="242">
        <f>IF(ISNUMBER(F242),F242,IF(AND(ISNUMBER(C242),ISNUMBER(D242)),ROUND(MOD(D242-C242,1)*24-N(E242)/60,2),""))</f>
        <v/>
      </c>
      <c r="H242" s="241" t="n"/>
    </row>
    <row r="243">
      <c r="A243" s="241" t="n"/>
      <c r="B243" s="247" t="n"/>
      <c r="C243" s="248" t="n"/>
      <c r="D243" s="248" t="n"/>
      <c r="E243" s="249" t="n"/>
      <c r="F243" s="250" t="n"/>
      <c r="G243" s="242">
        <f>IF(ISNUMBER(F243),F243,IF(AND(ISNUMBER(C243),ISNUMBER(D243)),ROUND(MOD(D243-C243,1)*24-N(E243)/60,2),""))</f>
        <v/>
      </c>
      <c r="H243" s="241" t="n"/>
    </row>
    <row r="244">
      <c r="A244" s="241" t="n"/>
      <c r="B244" s="247" t="n"/>
      <c r="C244" s="248" t="n"/>
      <c r="D244" s="248" t="n"/>
      <c r="E244" s="249" t="n"/>
      <c r="F244" s="250" t="n"/>
      <c r="G244" s="242">
        <f>IF(ISNUMBER(F244),F244,IF(AND(ISNUMBER(C244),ISNUMBER(D244)),ROUND(MOD(D244-C244,1)*24-N(E244)/60,2),""))</f>
        <v/>
      </c>
      <c r="H244" s="241" t="n"/>
    </row>
    <row r="245">
      <c r="A245" s="241" t="n"/>
      <c r="B245" s="247" t="n"/>
      <c r="C245" s="248" t="n"/>
      <c r="D245" s="248" t="n"/>
      <c r="E245" s="249" t="n"/>
      <c r="F245" s="250" t="n"/>
      <c r="G245" s="242">
        <f>IF(ISNUMBER(F245),F245,IF(AND(ISNUMBER(C245),ISNUMBER(D245)),ROUND(MOD(D245-C245,1)*24-N(E245)/60,2),""))</f>
        <v/>
      </c>
      <c r="H245" s="241" t="n"/>
    </row>
    <row r="246">
      <c r="A246" s="241" t="n"/>
      <c r="B246" s="247" t="n"/>
      <c r="C246" s="248" t="n"/>
      <c r="D246" s="248" t="n"/>
      <c r="E246" s="249" t="n"/>
      <c r="F246" s="250" t="n"/>
      <c r="G246" s="242">
        <f>IF(ISNUMBER(F246),F246,IF(AND(ISNUMBER(C246),ISNUMBER(D246)),ROUND(MOD(D246-C246,1)*24-N(E246)/60,2),""))</f>
        <v/>
      </c>
      <c r="H246" s="241" t="n"/>
    </row>
    <row r="247">
      <c r="A247" s="241" t="n"/>
      <c r="B247" s="247" t="n"/>
      <c r="C247" s="248" t="n"/>
      <c r="D247" s="248" t="n"/>
      <c r="E247" s="249" t="n"/>
      <c r="F247" s="250" t="n"/>
      <c r="G247" s="242">
        <f>IF(ISNUMBER(F247),F247,IF(AND(ISNUMBER(C247),ISNUMBER(D247)),ROUND(MOD(D247-C247,1)*24-N(E247)/60,2),""))</f>
        <v/>
      </c>
      <c r="H247" s="241" t="n"/>
    </row>
    <row r="248">
      <c r="A248" s="241" t="n"/>
      <c r="B248" s="247" t="n"/>
      <c r="C248" s="248" t="n"/>
      <c r="D248" s="248" t="n"/>
      <c r="E248" s="249" t="n"/>
      <c r="F248" s="250" t="n"/>
      <c r="G248" s="242">
        <f>IF(ISNUMBER(F248),F248,IF(AND(ISNUMBER(C248),ISNUMBER(D248)),ROUND(MOD(D248-C248,1)*24-N(E248)/60,2),""))</f>
        <v/>
      </c>
      <c r="H248" s="241" t="n"/>
    </row>
    <row r="249">
      <c r="A249" s="241" t="n"/>
      <c r="B249" s="247" t="n"/>
      <c r="C249" s="248" t="n"/>
      <c r="D249" s="248" t="n"/>
      <c r="E249" s="249" t="n"/>
      <c r="F249" s="250" t="n"/>
      <c r="G249" s="242">
        <f>IF(ISNUMBER(F249),F249,IF(AND(ISNUMBER(C249),ISNUMBER(D249)),ROUND(MOD(D249-C249,1)*24-N(E249)/60,2),""))</f>
        <v/>
      </c>
      <c r="H249" s="241" t="n"/>
    </row>
    <row r="250">
      <c r="A250" s="241" t="n"/>
      <c r="B250" s="247" t="n"/>
      <c r="C250" s="248" t="n"/>
      <c r="D250" s="248" t="n"/>
      <c r="E250" s="249" t="n"/>
      <c r="F250" s="250" t="n"/>
      <c r="G250" s="242">
        <f>IF(ISNUMBER(F250),F250,IF(AND(ISNUMBER(C250),ISNUMBER(D250)),ROUND(MOD(D250-C250,1)*24-N(E250)/60,2),""))</f>
        <v/>
      </c>
      <c r="H250" s="241" t="n"/>
    </row>
    <row r="251">
      <c r="A251" s="241" t="n"/>
      <c r="B251" s="247" t="n"/>
      <c r="C251" s="248" t="n"/>
      <c r="D251" s="248" t="n"/>
      <c r="E251" s="249" t="n"/>
      <c r="F251" s="250" t="n"/>
      <c r="G251" s="242">
        <f>IF(ISNUMBER(F251),F251,IF(AND(ISNUMBER(C251),ISNUMBER(D251)),ROUND(MOD(D251-C251,1)*24-N(E251)/60,2),""))</f>
        <v/>
      </c>
      <c r="H251" s="241" t="n"/>
    </row>
    <row r="252">
      <c r="A252" s="241" t="n"/>
      <c r="B252" s="247" t="n"/>
      <c r="C252" s="248" t="n"/>
      <c r="D252" s="248" t="n"/>
      <c r="E252" s="249" t="n"/>
      <c r="F252" s="250" t="n"/>
      <c r="G252" s="242">
        <f>IF(ISNUMBER(F252),F252,IF(AND(ISNUMBER(C252),ISNUMBER(D252)),ROUND(MOD(D252-C252,1)*24-N(E252)/60,2),""))</f>
        <v/>
      </c>
      <c r="H252" s="241" t="n"/>
    </row>
    <row r="253">
      <c r="A253" s="241" t="n"/>
      <c r="B253" s="247" t="n"/>
      <c r="C253" s="248" t="n"/>
      <c r="D253" s="248" t="n"/>
      <c r="E253" s="249" t="n"/>
      <c r="F253" s="250" t="n"/>
      <c r="G253" s="242">
        <f>IF(ISNUMBER(F253),F253,IF(AND(ISNUMBER(C253),ISNUMBER(D253)),ROUND(MOD(D253-C253,1)*24-N(E253)/60,2),""))</f>
        <v/>
      </c>
      <c r="H253" s="241" t="n"/>
    </row>
    <row r="254">
      <c r="A254" s="241" t="n"/>
      <c r="B254" s="247" t="n"/>
      <c r="C254" s="248" t="n"/>
      <c r="D254" s="248" t="n"/>
      <c r="E254" s="249" t="n"/>
      <c r="F254" s="250" t="n"/>
      <c r="G254" s="242">
        <f>IF(ISNUMBER(F254),F254,IF(AND(ISNUMBER(C254),ISNUMBER(D254)),ROUND(MOD(D254-C254,1)*24-N(E254)/60,2),""))</f>
        <v/>
      </c>
      <c r="H254" s="241" t="n"/>
    </row>
    <row r="255">
      <c r="A255" s="241" t="n"/>
      <c r="B255" s="247" t="n"/>
      <c r="C255" s="248" t="n"/>
      <c r="D255" s="248" t="n"/>
      <c r="E255" s="249" t="n"/>
      <c r="F255" s="250" t="n"/>
      <c r="G255" s="242">
        <f>IF(ISNUMBER(F255),F255,IF(AND(ISNUMBER(C255),ISNUMBER(D255)),ROUND(MOD(D255-C255,1)*24-N(E255)/60,2),""))</f>
        <v/>
      </c>
      <c r="H255" s="241" t="n"/>
    </row>
    <row r="256">
      <c r="A256" s="241" t="n"/>
      <c r="B256" s="247" t="n"/>
      <c r="C256" s="248" t="n"/>
      <c r="D256" s="248" t="n"/>
      <c r="E256" s="249" t="n"/>
      <c r="F256" s="250" t="n"/>
      <c r="G256" s="242">
        <f>IF(ISNUMBER(F256),F256,IF(AND(ISNUMBER(C256),ISNUMBER(D256)),ROUND(MOD(D256-C256,1)*24-N(E256)/60,2),""))</f>
        <v/>
      </c>
      <c r="H256" s="241" t="n"/>
    </row>
    <row r="257">
      <c r="A257" s="241" t="n"/>
      <c r="B257" s="247" t="n"/>
      <c r="C257" s="248" t="n"/>
      <c r="D257" s="248" t="n"/>
      <c r="E257" s="249" t="n"/>
      <c r="F257" s="250" t="n"/>
      <c r="G257" s="242">
        <f>IF(ISNUMBER(F257),F257,IF(AND(ISNUMBER(C257),ISNUMBER(D257)),ROUND(MOD(D257-C257,1)*24-N(E257)/60,2),""))</f>
        <v/>
      </c>
      <c r="H257" s="241" t="n"/>
    </row>
    <row r="258">
      <c r="A258" s="241" t="n"/>
      <c r="B258" s="247" t="n"/>
      <c r="C258" s="248" t="n"/>
      <c r="D258" s="248" t="n"/>
      <c r="E258" s="249" t="n"/>
      <c r="F258" s="250" t="n"/>
      <c r="G258" s="242">
        <f>IF(ISNUMBER(F258),F258,IF(AND(ISNUMBER(C258),ISNUMBER(D258)),ROUND(MOD(D258-C258,1)*24-N(E258)/60,2),""))</f>
        <v/>
      </c>
      <c r="H258" s="241" t="n"/>
    </row>
    <row r="259">
      <c r="A259" s="241" t="n"/>
      <c r="B259" s="247" t="n"/>
      <c r="C259" s="248" t="n"/>
      <c r="D259" s="248" t="n"/>
      <c r="E259" s="249" t="n"/>
      <c r="F259" s="250" t="n"/>
      <c r="G259" s="242">
        <f>IF(ISNUMBER(F259),F259,IF(AND(ISNUMBER(C259),ISNUMBER(D259)),ROUND(MOD(D259-C259,1)*24-N(E259)/60,2),""))</f>
        <v/>
      </c>
      <c r="H259" s="241" t="n"/>
    </row>
    <row r="260">
      <c r="A260" s="241" t="n"/>
      <c r="B260" s="247" t="n"/>
      <c r="C260" s="248" t="n"/>
      <c r="D260" s="248" t="n"/>
      <c r="E260" s="249" t="n"/>
      <c r="F260" s="250" t="n"/>
      <c r="G260" s="242">
        <f>IF(ISNUMBER(F260),F260,IF(AND(ISNUMBER(C260),ISNUMBER(D260)),ROUND(MOD(D260-C260,1)*24-N(E260)/60,2),""))</f>
        <v/>
      </c>
      <c r="H260" s="241" t="n"/>
    </row>
    <row r="261">
      <c r="A261" s="241" t="n"/>
      <c r="B261" s="247" t="n"/>
      <c r="C261" s="248" t="n"/>
      <c r="D261" s="248" t="n"/>
      <c r="E261" s="249" t="n"/>
      <c r="F261" s="250" t="n"/>
      <c r="G261" s="242">
        <f>IF(ISNUMBER(F261),F261,IF(AND(ISNUMBER(C261),ISNUMBER(D261)),ROUND(MOD(D261-C261,1)*24-N(E261)/60,2),""))</f>
        <v/>
      </c>
      <c r="H261" s="241" t="n"/>
    </row>
    <row r="262">
      <c r="A262" s="241" t="n"/>
      <c r="B262" s="247" t="n"/>
      <c r="C262" s="248" t="n"/>
      <c r="D262" s="248" t="n"/>
      <c r="E262" s="249" t="n"/>
      <c r="F262" s="250" t="n"/>
      <c r="G262" s="242">
        <f>IF(ISNUMBER(F262),F262,IF(AND(ISNUMBER(C262),ISNUMBER(D262)),ROUND(MOD(D262-C262,1)*24-N(E262)/60,2),""))</f>
        <v/>
      </c>
      <c r="H262" s="241" t="n"/>
    </row>
    <row r="263">
      <c r="A263" s="241" t="n"/>
      <c r="B263" s="247" t="n"/>
      <c r="C263" s="248" t="n"/>
      <c r="D263" s="248" t="n"/>
      <c r="E263" s="249" t="n"/>
      <c r="F263" s="250" t="n"/>
      <c r="G263" s="242">
        <f>IF(ISNUMBER(F263),F263,IF(AND(ISNUMBER(C263),ISNUMBER(D263)),ROUND(MOD(D263-C263,1)*24-N(E263)/60,2),""))</f>
        <v/>
      </c>
      <c r="H263" s="241" t="n"/>
    </row>
    <row r="264">
      <c r="A264" s="241" t="n"/>
      <c r="B264" s="247" t="n"/>
      <c r="C264" s="248" t="n"/>
      <c r="D264" s="248" t="n"/>
      <c r="E264" s="249" t="n"/>
      <c r="F264" s="250" t="n"/>
      <c r="G264" s="242">
        <f>IF(ISNUMBER(F264),F264,IF(AND(ISNUMBER(C264),ISNUMBER(D264)),ROUND(MOD(D264-C264,1)*24-N(E264)/60,2),""))</f>
        <v/>
      </c>
      <c r="H264" s="241" t="n"/>
    </row>
    <row r="265">
      <c r="A265" s="241" t="n"/>
      <c r="B265" s="247" t="n"/>
      <c r="C265" s="248" t="n"/>
      <c r="D265" s="248" t="n"/>
      <c r="E265" s="249" t="n"/>
      <c r="F265" s="250" t="n"/>
      <c r="G265" s="242">
        <f>IF(ISNUMBER(F265),F265,IF(AND(ISNUMBER(C265),ISNUMBER(D265)),ROUND(MOD(D265-C265,1)*24-N(E265)/60,2),""))</f>
        <v/>
      </c>
      <c r="H265" s="241" t="n"/>
    </row>
    <row r="266">
      <c r="A266" s="241" t="n"/>
      <c r="B266" s="247" t="n"/>
      <c r="C266" s="248" t="n"/>
      <c r="D266" s="248" t="n"/>
      <c r="E266" s="249" t="n"/>
      <c r="F266" s="250" t="n"/>
      <c r="G266" s="242">
        <f>IF(ISNUMBER(F266),F266,IF(AND(ISNUMBER(C266),ISNUMBER(D266)),ROUND(MOD(D266-C266,1)*24-N(E266)/60,2),""))</f>
        <v/>
      </c>
      <c r="H266" s="241" t="n"/>
    </row>
    <row r="267">
      <c r="A267" s="241" t="n"/>
      <c r="B267" s="247" t="n"/>
      <c r="C267" s="248" t="n"/>
      <c r="D267" s="248" t="n"/>
      <c r="E267" s="249" t="n"/>
      <c r="F267" s="250" t="n"/>
      <c r="G267" s="242">
        <f>IF(ISNUMBER(F267),F267,IF(AND(ISNUMBER(C267),ISNUMBER(D267)),ROUND(MOD(D267-C267,1)*24-N(E267)/60,2),""))</f>
        <v/>
      </c>
      <c r="H267" s="241" t="n"/>
    </row>
    <row r="268">
      <c r="A268" s="241" t="n"/>
      <c r="B268" s="247" t="n"/>
      <c r="C268" s="248" t="n"/>
      <c r="D268" s="248" t="n"/>
      <c r="E268" s="249" t="n"/>
      <c r="F268" s="250" t="n"/>
      <c r="G268" s="242">
        <f>IF(ISNUMBER(F268),F268,IF(AND(ISNUMBER(C268),ISNUMBER(D268)),ROUND(MOD(D268-C268,1)*24-N(E268)/60,2),""))</f>
        <v/>
      </c>
      <c r="H268" s="241" t="n"/>
    </row>
    <row r="269">
      <c r="A269" s="241" t="n"/>
      <c r="B269" s="247" t="n"/>
      <c r="C269" s="248" t="n"/>
      <c r="D269" s="248" t="n"/>
      <c r="E269" s="249" t="n"/>
      <c r="F269" s="250" t="n"/>
      <c r="G269" s="242">
        <f>IF(ISNUMBER(F269),F269,IF(AND(ISNUMBER(C269),ISNUMBER(D269)),ROUND(MOD(D269-C269,1)*24-N(E269)/60,2),""))</f>
        <v/>
      </c>
      <c r="H269" s="241" t="n"/>
    </row>
    <row r="270">
      <c r="A270" s="241" t="n"/>
      <c r="B270" s="247" t="n"/>
      <c r="C270" s="248" t="n"/>
      <c r="D270" s="248" t="n"/>
      <c r="E270" s="249" t="n"/>
      <c r="F270" s="250" t="n"/>
      <c r="G270" s="242">
        <f>IF(ISNUMBER(F270),F270,IF(AND(ISNUMBER(C270),ISNUMBER(D270)),ROUND(MOD(D270-C270,1)*24-N(E270)/60,2),""))</f>
        <v/>
      </c>
      <c r="H270" s="241" t="n"/>
    </row>
    <row r="271">
      <c r="A271" s="241" t="n"/>
      <c r="B271" s="247" t="n"/>
      <c r="C271" s="248" t="n"/>
      <c r="D271" s="248" t="n"/>
      <c r="E271" s="249" t="n"/>
      <c r="F271" s="250" t="n"/>
      <c r="G271" s="242">
        <f>IF(ISNUMBER(F271),F271,IF(AND(ISNUMBER(C271),ISNUMBER(D271)),ROUND(MOD(D271-C271,1)*24-N(E271)/60,2),""))</f>
        <v/>
      </c>
      <c r="H271" s="241" t="n"/>
    </row>
    <row r="272">
      <c r="A272" s="241" t="n"/>
      <c r="B272" s="247" t="n"/>
      <c r="C272" s="248" t="n"/>
      <c r="D272" s="248" t="n"/>
      <c r="E272" s="249" t="n"/>
      <c r="F272" s="250" t="n"/>
      <c r="G272" s="242">
        <f>IF(ISNUMBER(F272),F272,IF(AND(ISNUMBER(C272),ISNUMBER(D272)),ROUND(MOD(D272-C272,1)*24-N(E272)/60,2),""))</f>
        <v/>
      </c>
      <c r="H272" s="241" t="n"/>
    </row>
    <row r="273">
      <c r="A273" s="241" t="n"/>
      <c r="B273" s="247" t="n"/>
      <c r="C273" s="248" t="n"/>
      <c r="D273" s="248" t="n"/>
      <c r="E273" s="249" t="n"/>
      <c r="F273" s="250" t="n"/>
      <c r="G273" s="242">
        <f>IF(ISNUMBER(F273),F273,IF(AND(ISNUMBER(C273),ISNUMBER(D273)),ROUND(MOD(D273-C273,1)*24-N(E273)/60,2),""))</f>
        <v/>
      </c>
      <c r="H273" s="241" t="n"/>
    </row>
    <row r="274">
      <c r="A274" s="241" t="n"/>
      <c r="B274" s="247" t="n"/>
      <c r="C274" s="248" t="n"/>
      <c r="D274" s="248" t="n"/>
      <c r="E274" s="249" t="n"/>
      <c r="F274" s="250" t="n"/>
      <c r="G274" s="242">
        <f>IF(ISNUMBER(F274),F274,IF(AND(ISNUMBER(C274),ISNUMBER(D274)),ROUND(MOD(D274-C274,1)*24-N(E274)/60,2),""))</f>
        <v/>
      </c>
      <c r="H274" s="241" t="n"/>
    </row>
    <row r="275">
      <c r="A275" s="241" t="n"/>
      <c r="B275" s="247" t="n"/>
      <c r="C275" s="248" t="n"/>
      <c r="D275" s="248" t="n"/>
      <c r="E275" s="249" t="n"/>
      <c r="F275" s="250" t="n"/>
      <c r="G275" s="242">
        <f>IF(ISNUMBER(F275),F275,IF(AND(ISNUMBER(C275),ISNUMBER(D275)),ROUND(MOD(D275-C275,1)*24-N(E275)/60,2),""))</f>
        <v/>
      </c>
      <c r="H275" s="241" t="n"/>
    </row>
    <row r="276">
      <c r="A276" s="241" t="n"/>
      <c r="B276" s="247" t="n"/>
      <c r="C276" s="248" t="n"/>
      <c r="D276" s="248" t="n"/>
      <c r="E276" s="249" t="n"/>
      <c r="F276" s="250" t="n"/>
      <c r="G276" s="242">
        <f>IF(ISNUMBER(F276),F276,IF(AND(ISNUMBER(C276),ISNUMBER(D276)),ROUND(MOD(D276-C276,1)*24-N(E276)/60,2),""))</f>
        <v/>
      </c>
      <c r="H276" s="241" t="n"/>
    </row>
    <row r="277">
      <c r="A277" s="241" t="n"/>
      <c r="B277" s="247" t="n"/>
      <c r="C277" s="248" t="n"/>
      <c r="D277" s="248" t="n"/>
      <c r="E277" s="249" t="n"/>
      <c r="F277" s="250" t="n"/>
      <c r="G277" s="242">
        <f>IF(ISNUMBER(F277),F277,IF(AND(ISNUMBER(C277),ISNUMBER(D277)),ROUND(MOD(D277-C277,1)*24-N(E277)/60,2),""))</f>
        <v/>
      </c>
      <c r="H277" s="241" t="n"/>
    </row>
    <row r="278">
      <c r="A278" s="241" t="n"/>
      <c r="B278" s="247" t="n"/>
      <c r="C278" s="248" t="n"/>
      <c r="D278" s="248" t="n"/>
      <c r="E278" s="249" t="n"/>
      <c r="F278" s="250" t="n"/>
      <c r="G278" s="242">
        <f>IF(ISNUMBER(F278),F278,IF(AND(ISNUMBER(C278),ISNUMBER(D278)),ROUND(MOD(D278-C278,1)*24-N(E278)/60,2),""))</f>
        <v/>
      </c>
      <c r="H278" s="241" t="n"/>
    </row>
    <row r="279">
      <c r="A279" s="241" t="n"/>
      <c r="B279" s="247" t="n"/>
      <c r="C279" s="248" t="n"/>
      <c r="D279" s="248" t="n"/>
      <c r="E279" s="249" t="n"/>
      <c r="F279" s="250" t="n"/>
      <c r="G279" s="242">
        <f>IF(ISNUMBER(F279),F279,IF(AND(ISNUMBER(C279),ISNUMBER(D279)),ROUND(MOD(D279-C279,1)*24-N(E279)/60,2),""))</f>
        <v/>
      </c>
      <c r="H279" s="241" t="n"/>
    </row>
    <row r="280">
      <c r="A280" s="241" t="n"/>
      <c r="B280" s="247" t="n"/>
      <c r="C280" s="248" t="n"/>
      <c r="D280" s="248" t="n"/>
      <c r="E280" s="249" t="n"/>
      <c r="F280" s="250" t="n"/>
      <c r="G280" s="242">
        <f>IF(ISNUMBER(F280),F280,IF(AND(ISNUMBER(C280),ISNUMBER(D280)),ROUND(MOD(D280-C280,1)*24-N(E280)/60,2),""))</f>
        <v/>
      </c>
      <c r="H280" s="241" t="n"/>
    </row>
    <row r="281">
      <c r="A281" s="241" t="n"/>
      <c r="B281" s="247" t="n"/>
      <c r="C281" s="248" t="n"/>
      <c r="D281" s="248" t="n"/>
      <c r="E281" s="249" t="n"/>
      <c r="F281" s="250" t="n"/>
      <c r="G281" s="242">
        <f>IF(ISNUMBER(F281),F281,IF(AND(ISNUMBER(C281),ISNUMBER(D281)),ROUND(MOD(D281-C281,1)*24-N(E281)/60,2),""))</f>
        <v/>
      </c>
      <c r="H281" s="241" t="n"/>
    </row>
    <row r="282">
      <c r="A282" s="241" t="n"/>
      <c r="B282" s="247" t="n"/>
      <c r="C282" s="248" t="n"/>
      <c r="D282" s="248" t="n"/>
      <c r="E282" s="249" t="n"/>
      <c r="F282" s="250" t="n"/>
      <c r="G282" s="242">
        <f>IF(ISNUMBER(F282),F282,IF(AND(ISNUMBER(C282),ISNUMBER(D282)),ROUND(MOD(D282-C282,1)*24-N(E282)/60,2),""))</f>
        <v/>
      </c>
      <c r="H282" s="241" t="n"/>
    </row>
    <row r="283">
      <c r="A283" s="241" t="n"/>
      <c r="B283" s="247" t="n"/>
      <c r="C283" s="248" t="n"/>
      <c r="D283" s="248" t="n"/>
      <c r="E283" s="249" t="n"/>
      <c r="F283" s="250" t="n"/>
      <c r="G283" s="242">
        <f>IF(ISNUMBER(F283),F283,IF(AND(ISNUMBER(C283),ISNUMBER(D283)),ROUND(MOD(D283-C283,1)*24-N(E283)/60,2),""))</f>
        <v/>
      </c>
      <c r="H283" s="241" t="n"/>
    </row>
    <row r="284">
      <c r="A284" s="241" t="n"/>
      <c r="B284" s="247" t="n"/>
      <c r="C284" s="248" t="n"/>
      <c r="D284" s="248" t="n"/>
      <c r="E284" s="249" t="n"/>
      <c r="F284" s="250" t="n"/>
      <c r="G284" s="242">
        <f>IF(ISNUMBER(F284),F284,IF(AND(ISNUMBER(C284),ISNUMBER(D284)),ROUND(MOD(D284-C284,1)*24-N(E284)/60,2),""))</f>
        <v/>
      </c>
      <c r="H284" s="241" t="n"/>
    </row>
    <row r="285">
      <c r="A285" s="241" t="n"/>
      <c r="B285" s="247" t="n"/>
      <c r="C285" s="248" t="n"/>
      <c r="D285" s="248" t="n"/>
      <c r="E285" s="249" t="n"/>
      <c r="F285" s="250" t="n"/>
      <c r="G285" s="242">
        <f>IF(ISNUMBER(F285),F285,IF(AND(ISNUMBER(C285),ISNUMBER(D285)),ROUND(MOD(D285-C285,1)*24-N(E285)/60,2),""))</f>
        <v/>
      </c>
      <c r="H285" s="241" t="n"/>
    </row>
    <row r="286">
      <c r="A286" s="241" t="n"/>
      <c r="B286" s="247" t="n"/>
      <c r="C286" s="248" t="n"/>
      <c r="D286" s="248" t="n"/>
      <c r="E286" s="249" t="n"/>
      <c r="F286" s="250" t="n"/>
      <c r="G286" s="242">
        <f>IF(ISNUMBER(F286),F286,IF(AND(ISNUMBER(C286),ISNUMBER(D286)),ROUND(MOD(D286-C286,1)*24-N(E286)/60,2),""))</f>
        <v/>
      </c>
      <c r="H286" s="241" t="n"/>
    </row>
    <row r="287">
      <c r="A287" s="241" t="n"/>
      <c r="B287" s="247" t="n"/>
      <c r="C287" s="248" t="n"/>
      <c r="D287" s="248" t="n"/>
      <c r="E287" s="249" t="n"/>
      <c r="F287" s="250" t="n"/>
      <c r="G287" s="242">
        <f>IF(ISNUMBER(F287),F287,IF(AND(ISNUMBER(C287),ISNUMBER(D287)),ROUND(MOD(D287-C287,1)*24-N(E287)/60,2),""))</f>
        <v/>
      </c>
      <c r="H287" s="241" t="n"/>
    </row>
    <row r="288">
      <c r="A288" s="241" t="n"/>
      <c r="B288" s="247" t="n"/>
      <c r="C288" s="248" t="n"/>
      <c r="D288" s="248" t="n"/>
      <c r="E288" s="249" t="n"/>
      <c r="F288" s="250" t="n"/>
      <c r="G288" s="242">
        <f>IF(ISNUMBER(F288),F288,IF(AND(ISNUMBER(C288),ISNUMBER(D288)),ROUND(MOD(D288-C288,1)*24-N(E288)/60,2),""))</f>
        <v/>
      </c>
      <c r="H288" s="241" t="n"/>
    </row>
    <row r="289">
      <c r="A289" s="241" t="n"/>
      <c r="B289" s="247" t="n"/>
      <c r="C289" s="248" t="n"/>
      <c r="D289" s="248" t="n"/>
      <c r="E289" s="249" t="n"/>
      <c r="F289" s="250" t="n"/>
      <c r="G289" s="242">
        <f>IF(ISNUMBER(F289),F289,IF(AND(ISNUMBER(C289),ISNUMBER(D289)),ROUND(MOD(D289-C289,1)*24-N(E289)/60,2),""))</f>
        <v/>
      </c>
      <c r="H289" s="241" t="n"/>
    </row>
    <row r="290">
      <c r="A290" s="241" t="n"/>
      <c r="B290" s="247" t="n"/>
      <c r="C290" s="248" t="n"/>
      <c r="D290" s="248" t="n"/>
      <c r="E290" s="249" t="n"/>
      <c r="F290" s="250" t="n"/>
      <c r="G290" s="242">
        <f>IF(ISNUMBER(F290),F290,IF(AND(ISNUMBER(C290),ISNUMBER(D290)),ROUND(MOD(D290-C290,1)*24-N(E290)/60,2),""))</f>
        <v/>
      </c>
      <c r="H290" s="241" t="n"/>
    </row>
    <row r="291">
      <c r="A291" s="241" t="n"/>
      <c r="B291" s="247" t="n"/>
      <c r="C291" s="248" t="n"/>
      <c r="D291" s="248" t="n"/>
      <c r="E291" s="249" t="n"/>
      <c r="F291" s="250" t="n"/>
      <c r="G291" s="242">
        <f>IF(ISNUMBER(F291),F291,IF(AND(ISNUMBER(C291),ISNUMBER(D291)),ROUND(MOD(D291-C291,1)*24-N(E291)/60,2),""))</f>
        <v/>
      </c>
      <c r="H291" s="241" t="n"/>
    </row>
    <row r="292">
      <c r="A292" s="241" t="n"/>
      <c r="B292" s="247" t="n"/>
      <c r="C292" s="248" t="n"/>
      <c r="D292" s="248" t="n"/>
      <c r="E292" s="249" t="n"/>
      <c r="F292" s="250" t="n"/>
      <c r="G292" s="242">
        <f>IF(ISNUMBER(F292),F292,IF(AND(ISNUMBER(C292),ISNUMBER(D292)),ROUND(MOD(D292-C292,1)*24-N(E292)/60,2),""))</f>
        <v/>
      </c>
      <c r="H292" s="241" t="n"/>
    </row>
    <row r="293">
      <c r="A293" s="241" t="n"/>
      <c r="B293" s="247" t="n"/>
      <c r="C293" s="248" t="n"/>
      <c r="D293" s="248" t="n"/>
      <c r="E293" s="249" t="n"/>
      <c r="F293" s="250" t="n"/>
      <c r="G293" s="242">
        <f>IF(ISNUMBER(F293),F293,IF(AND(ISNUMBER(C293),ISNUMBER(D293)),ROUND(MOD(D293-C293,1)*24-N(E293)/60,2),""))</f>
        <v/>
      </c>
      <c r="H293" s="241" t="n"/>
    </row>
    <row r="294">
      <c r="A294" s="241" t="n"/>
      <c r="B294" s="247" t="n"/>
      <c r="C294" s="248" t="n"/>
      <c r="D294" s="248" t="n"/>
      <c r="E294" s="249" t="n"/>
      <c r="F294" s="250" t="n"/>
      <c r="G294" s="242">
        <f>IF(ISNUMBER(F294),F294,IF(AND(ISNUMBER(C294),ISNUMBER(D294)),ROUND(MOD(D294-C294,1)*24-N(E294)/60,2),""))</f>
        <v/>
      </c>
      <c r="H294" s="241" t="n"/>
    </row>
    <row r="295">
      <c r="A295" s="241" t="n"/>
      <c r="B295" s="247" t="n"/>
      <c r="C295" s="248" t="n"/>
      <c r="D295" s="248" t="n"/>
      <c r="E295" s="249" t="n"/>
      <c r="F295" s="250" t="n"/>
      <c r="G295" s="242">
        <f>IF(ISNUMBER(F295),F295,IF(AND(ISNUMBER(C295),ISNUMBER(D295)),ROUND(MOD(D295-C295,1)*24-N(E295)/60,2),""))</f>
        <v/>
      </c>
      <c r="H295" s="241" t="n"/>
    </row>
    <row r="296">
      <c r="A296" s="241" t="n"/>
      <c r="B296" s="247" t="n"/>
      <c r="C296" s="248" t="n"/>
      <c r="D296" s="248" t="n"/>
      <c r="E296" s="249" t="n"/>
      <c r="F296" s="250" t="n"/>
      <c r="G296" s="242">
        <f>IF(ISNUMBER(F296),F296,IF(AND(ISNUMBER(C296),ISNUMBER(D296)),ROUND(MOD(D296-C296,1)*24-N(E296)/60,2),""))</f>
        <v/>
      </c>
      <c r="H296" s="241" t="n"/>
    </row>
    <row r="297">
      <c r="A297" s="241" t="n"/>
      <c r="B297" s="247" t="n"/>
      <c r="C297" s="248" t="n"/>
      <c r="D297" s="248" t="n"/>
      <c r="E297" s="249" t="n"/>
      <c r="F297" s="250" t="n"/>
      <c r="G297" s="242">
        <f>IF(ISNUMBER(F297),F297,IF(AND(ISNUMBER(C297),ISNUMBER(D297)),ROUND(MOD(D297-C297,1)*24-N(E297)/60,2),""))</f>
        <v/>
      </c>
      <c r="H297" s="241" t="n"/>
    </row>
    <row r="298">
      <c r="A298" s="241" t="n"/>
      <c r="B298" s="247" t="n"/>
      <c r="C298" s="248" t="n"/>
      <c r="D298" s="248" t="n"/>
      <c r="E298" s="249" t="n"/>
      <c r="F298" s="250" t="n"/>
      <c r="G298" s="242">
        <f>IF(ISNUMBER(F298),F298,IF(AND(ISNUMBER(C298),ISNUMBER(D298)),ROUND(MOD(D298-C298,1)*24-N(E298)/60,2),""))</f>
        <v/>
      </c>
      <c r="H298" s="241" t="n"/>
    </row>
    <row r="299">
      <c r="A299" s="241" t="n"/>
      <c r="B299" s="247" t="n"/>
      <c r="C299" s="248" t="n"/>
      <c r="D299" s="248" t="n"/>
      <c r="E299" s="249" t="n"/>
      <c r="F299" s="250" t="n"/>
      <c r="G299" s="242">
        <f>IF(ISNUMBER(F299),F299,IF(AND(ISNUMBER(C299),ISNUMBER(D299)),ROUND(MOD(D299-C299,1)*24-N(E299)/60,2),""))</f>
        <v/>
      </c>
      <c r="H299" s="241" t="n"/>
    </row>
    <row r="300">
      <c r="A300" s="241" t="n"/>
      <c r="B300" s="247" t="n"/>
      <c r="C300" s="248" t="n"/>
      <c r="D300" s="248" t="n"/>
      <c r="E300" s="249" t="n"/>
      <c r="F300" s="250" t="n"/>
      <c r="G300" s="242">
        <f>IF(ISNUMBER(F300),F300,IF(AND(ISNUMBER(C300),ISNUMBER(D300)),ROUND(MOD(D300-C300,1)*24-N(E300)/60,2),""))</f>
        <v/>
      </c>
      <c r="H300" s="241" t="n"/>
    </row>
    <row r="301">
      <c r="A301" s="241" t="n"/>
      <c r="B301" s="247" t="n"/>
      <c r="C301" s="248" t="n"/>
      <c r="D301" s="248" t="n"/>
      <c r="E301" s="249" t="n"/>
      <c r="F301" s="250" t="n"/>
      <c r="G301" s="242">
        <f>IF(ISNUMBER(F301),F301,IF(AND(ISNUMBER(C301),ISNUMBER(D301)),ROUND(MOD(D301-C301,1)*24-N(E301)/60,2),""))</f>
        <v/>
      </c>
      <c r="H301" s="241" t="n"/>
    </row>
    <row r="302">
      <c r="A302" s="241" t="n"/>
      <c r="B302" s="247" t="n"/>
      <c r="C302" s="248" t="n"/>
      <c r="D302" s="248" t="n"/>
      <c r="E302" s="249" t="n"/>
      <c r="F302" s="250" t="n"/>
      <c r="G302" s="242">
        <f>IF(ISNUMBER(F302),F302,IF(AND(ISNUMBER(C302),ISNUMBER(D302)),ROUND(MOD(D302-C302,1)*24-N(E302)/60,2),""))</f>
        <v/>
      </c>
      <c r="H302" s="241" t="n"/>
    </row>
    <row r="303">
      <c r="A303" s="241" t="n"/>
      <c r="B303" s="247" t="n"/>
      <c r="C303" s="248" t="n"/>
      <c r="D303" s="248" t="n"/>
      <c r="E303" s="249" t="n"/>
      <c r="F303" s="250" t="n"/>
      <c r="G303" s="242">
        <f>IF(ISNUMBER(F303),F303,IF(AND(ISNUMBER(C303),ISNUMBER(D303)),ROUND(MOD(D303-C303,1)*24-N(E303)/60,2),""))</f>
        <v/>
      </c>
      <c r="H303" s="241" t="n"/>
    </row>
    <row r="304">
      <c r="A304" s="241" t="n"/>
      <c r="B304" s="247" t="n"/>
      <c r="C304" s="248" t="n"/>
      <c r="D304" s="248" t="n"/>
      <c r="E304" s="249" t="n"/>
      <c r="F304" s="250" t="n"/>
      <c r="G304" s="242">
        <f>IF(ISNUMBER(F304),F304,IF(AND(ISNUMBER(C304),ISNUMBER(D304)),ROUND(MOD(D304-C304,1)*24-N(E304)/60,2),""))</f>
        <v/>
      </c>
      <c r="H304" s="241" t="n"/>
    </row>
    <row r="305">
      <c r="A305" s="241" t="n"/>
      <c r="B305" s="247" t="n"/>
      <c r="C305" s="248" t="n"/>
      <c r="D305" s="248" t="n"/>
      <c r="E305" s="249" t="n"/>
      <c r="F305" s="250" t="n"/>
      <c r="G305" s="242">
        <f>IF(ISNUMBER(F305),F305,IF(AND(ISNUMBER(C305),ISNUMBER(D305)),ROUND(MOD(D305-C305,1)*24-N(E305)/60,2),""))</f>
        <v/>
      </c>
      <c r="H305" s="241" t="n"/>
    </row>
    <row r="306">
      <c r="A306" s="241" t="n"/>
      <c r="B306" s="247" t="n"/>
      <c r="C306" s="248" t="n"/>
      <c r="D306" s="248" t="n"/>
      <c r="E306" s="249" t="n"/>
      <c r="F306" s="250" t="n"/>
      <c r="G306" s="242">
        <f>IF(ISNUMBER(F306),F306,IF(AND(ISNUMBER(C306),ISNUMBER(D306)),ROUND(MOD(D306-C306,1)*24-N(E306)/60,2),""))</f>
        <v/>
      </c>
      <c r="H306" s="241" t="n"/>
    </row>
    <row r="307">
      <c r="A307" s="241" t="n"/>
      <c r="B307" s="247" t="n"/>
      <c r="C307" s="248" t="n"/>
      <c r="D307" s="248" t="n"/>
      <c r="E307" s="249" t="n"/>
      <c r="F307" s="250" t="n"/>
      <c r="G307" s="242">
        <f>IF(ISNUMBER(F307),F307,IF(AND(ISNUMBER(C307),ISNUMBER(D307)),ROUND(MOD(D307-C307,1)*24-N(E307)/60,2),""))</f>
        <v/>
      </c>
      <c r="H307" s="241" t="n"/>
    </row>
    <row r="308">
      <c r="A308" s="241" t="n"/>
      <c r="B308" s="247" t="n"/>
      <c r="C308" s="248" t="n"/>
      <c r="D308" s="248" t="n"/>
      <c r="E308" s="249" t="n"/>
      <c r="F308" s="250" t="n"/>
      <c r="G308" s="242">
        <f>IF(ISNUMBER(F308),F308,IF(AND(ISNUMBER(C308),ISNUMBER(D308)),ROUND(MOD(D308-C308,1)*24-N(E308)/60,2),""))</f>
        <v/>
      </c>
      <c r="H308" s="241" t="n"/>
    </row>
    <row r="309">
      <c r="A309" s="241" t="n"/>
      <c r="B309" s="247" t="n"/>
      <c r="C309" s="248" t="n"/>
      <c r="D309" s="248" t="n"/>
      <c r="E309" s="249" t="n"/>
      <c r="F309" s="250" t="n"/>
      <c r="G309" s="242">
        <f>IF(ISNUMBER(F309),F309,IF(AND(ISNUMBER(C309),ISNUMBER(D309)),ROUND(MOD(D309-C309,1)*24-N(E309)/60,2),""))</f>
        <v/>
      </c>
      <c r="H309" s="241" t="n"/>
    </row>
    <row r="310">
      <c r="A310" s="241" t="n"/>
      <c r="B310" s="247" t="n"/>
      <c r="C310" s="248" t="n"/>
      <c r="D310" s="248" t="n"/>
      <c r="E310" s="249" t="n"/>
      <c r="F310" s="250" t="n"/>
      <c r="G310" s="242">
        <f>IF(ISNUMBER(F310),F310,IF(AND(ISNUMBER(C310),ISNUMBER(D310)),ROUND(MOD(D310-C310,1)*24-N(E310)/60,2),""))</f>
        <v/>
      </c>
      <c r="H310" s="241" t="n"/>
    </row>
    <row r="311">
      <c r="A311" s="241" t="n"/>
      <c r="B311" s="247" t="n"/>
      <c r="C311" s="248" t="n"/>
      <c r="D311" s="248" t="n"/>
      <c r="E311" s="249" t="n"/>
      <c r="F311" s="250" t="n"/>
      <c r="G311" s="242">
        <f>IF(ISNUMBER(F311),F311,IF(AND(ISNUMBER(C311),ISNUMBER(D311)),ROUND(MOD(D311-C311,1)*24-N(E311)/60,2),""))</f>
        <v/>
      </c>
      <c r="H311" s="241" t="n"/>
    </row>
    <row r="312">
      <c r="A312" s="241" t="n"/>
      <c r="B312" s="247" t="n"/>
      <c r="C312" s="248" t="n"/>
      <c r="D312" s="248" t="n"/>
      <c r="E312" s="249" t="n"/>
      <c r="F312" s="250" t="n"/>
      <c r="G312" s="242">
        <f>IF(ISNUMBER(F312),F312,IF(AND(ISNUMBER(C312),ISNUMBER(D312)),ROUND(MOD(D312-C312,1)*24-N(E312)/60,2),""))</f>
        <v/>
      </c>
      <c r="H312" s="241" t="n"/>
    </row>
    <row r="313">
      <c r="A313" s="241" t="n"/>
      <c r="B313" s="247" t="n"/>
      <c r="C313" s="248" t="n"/>
      <c r="D313" s="248" t="n"/>
      <c r="E313" s="249" t="n"/>
      <c r="F313" s="250" t="n"/>
      <c r="G313" s="242">
        <f>IF(ISNUMBER(F313),F313,IF(AND(ISNUMBER(C313),ISNUMBER(D313)),ROUND(MOD(D313-C313,1)*24-N(E313)/60,2),""))</f>
        <v/>
      </c>
      <c r="H313" s="241" t="n"/>
    </row>
    <row r="314">
      <c r="A314" s="241" t="n"/>
      <c r="B314" s="247" t="n"/>
      <c r="C314" s="248" t="n"/>
      <c r="D314" s="248" t="n"/>
      <c r="E314" s="249" t="n"/>
      <c r="F314" s="250" t="n"/>
      <c r="G314" s="242">
        <f>IF(ISNUMBER(F314),F314,IF(AND(ISNUMBER(C314),ISNUMBER(D314)),ROUND(MOD(D314-C314,1)*24-N(E314)/60,2),""))</f>
        <v/>
      </c>
      <c r="H314" s="241" t="n"/>
    </row>
    <row r="315">
      <c r="A315" s="241" t="n"/>
      <c r="B315" s="247" t="n"/>
      <c r="C315" s="248" t="n"/>
      <c r="D315" s="248" t="n"/>
      <c r="E315" s="249" t="n"/>
      <c r="F315" s="250" t="n"/>
      <c r="G315" s="242">
        <f>IF(ISNUMBER(F315),F315,IF(AND(ISNUMBER(C315),ISNUMBER(D315)),ROUND(MOD(D315-C315,1)*24-N(E315)/60,2),""))</f>
        <v/>
      </c>
      <c r="H315" s="241" t="n"/>
    </row>
    <row r="316">
      <c r="A316" s="241" t="n"/>
      <c r="B316" s="247" t="n"/>
      <c r="C316" s="248" t="n"/>
      <c r="D316" s="248" t="n"/>
      <c r="E316" s="249" t="n"/>
      <c r="F316" s="250" t="n"/>
      <c r="G316" s="242">
        <f>IF(ISNUMBER(F316),F316,IF(AND(ISNUMBER(C316),ISNUMBER(D316)),ROUND(MOD(D316-C316,1)*24-N(E316)/60,2),""))</f>
        <v/>
      </c>
      <c r="H316" s="241" t="n"/>
    </row>
    <row r="317">
      <c r="A317" s="241" t="n"/>
      <c r="B317" s="247" t="n"/>
      <c r="C317" s="248" t="n"/>
      <c r="D317" s="248" t="n"/>
      <c r="E317" s="249" t="n"/>
      <c r="F317" s="250" t="n"/>
      <c r="G317" s="242">
        <f>IF(ISNUMBER(F317),F317,IF(AND(ISNUMBER(C317),ISNUMBER(D317)),ROUND(MOD(D317-C317,1)*24-N(E317)/60,2),""))</f>
        <v/>
      </c>
      <c r="H317" s="241" t="n"/>
    </row>
    <row r="318">
      <c r="A318" s="241" t="n"/>
      <c r="B318" s="247" t="n"/>
      <c r="C318" s="248" t="n"/>
      <c r="D318" s="248" t="n"/>
      <c r="E318" s="249" t="n"/>
      <c r="F318" s="250" t="n"/>
      <c r="G318" s="242">
        <f>IF(ISNUMBER(F318),F318,IF(AND(ISNUMBER(C318),ISNUMBER(D318)),ROUND(MOD(D318-C318,1)*24-N(E318)/60,2),""))</f>
        <v/>
      </c>
      <c r="H318" s="241" t="n"/>
    </row>
    <row r="319">
      <c r="A319" s="241" t="n"/>
      <c r="B319" s="247" t="n"/>
      <c r="C319" s="248" t="n"/>
      <c r="D319" s="248" t="n"/>
      <c r="E319" s="249" t="n"/>
      <c r="F319" s="250" t="n"/>
      <c r="G319" s="242">
        <f>IF(ISNUMBER(F319),F319,IF(AND(ISNUMBER(C319),ISNUMBER(D319)),ROUND(MOD(D319-C319,1)*24-N(E319)/60,2),""))</f>
        <v/>
      </c>
      <c r="H319" s="241" t="n"/>
    </row>
    <row r="320">
      <c r="A320" s="241" t="n"/>
      <c r="B320" s="247" t="n"/>
      <c r="C320" s="248" t="n"/>
      <c r="D320" s="248" t="n"/>
      <c r="E320" s="249" t="n"/>
      <c r="F320" s="250" t="n"/>
      <c r="G320" s="242">
        <f>IF(ISNUMBER(F320),F320,IF(AND(ISNUMBER(C320),ISNUMBER(D320)),ROUND(MOD(D320-C320,1)*24-N(E320)/60,2),""))</f>
        <v/>
      </c>
      <c r="H320" s="241" t="n"/>
    </row>
    <row r="321">
      <c r="A321" s="241" t="n"/>
      <c r="B321" s="247" t="n"/>
      <c r="C321" s="248" t="n"/>
      <c r="D321" s="248" t="n"/>
      <c r="E321" s="249" t="n"/>
      <c r="F321" s="250" t="n"/>
      <c r="G321" s="242">
        <f>IF(ISNUMBER(F321),F321,IF(AND(ISNUMBER(C321),ISNUMBER(D321)),ROUND(MOD(D321-C321,1)*24-N(E321)/60,2),""))</f>
        <v/>
      </c>
      <c r="H321" s="241" t="n"/>
    </row>
    <row r="322">
      <c r="A322" s="241" t="n"/>
      <c r="B322" s="247" t="n"/>
      <c r="C322" s="248" t="n"/>
      <c r="D322" s="248" t="n"/>
      <c r="E322" s="249" t="n"/>
      <c r="F322" s="250" t="n"/>
      <c r="G322" s="242">
        <f>IF(ISNUMBER(F322),F322,IF(AND(ISNUMBER(C322),ISNUMBER(D322)),ROUND(MOD(D322-C322,1)*24-N(E322)/60,2),""))</f>
        <v/>
      </c>
      <c r="H322" s="241" t="n"/>
    </row>
    <row r="323">
      <c r="A323" s="241" t="n"/>
      <c r="B323" s="247" t="n"/>
      <c r="C323" s="248" t="n"/>
      <c r="D323" s="248" t="n"/>
      <c r="E323" s="249" t="n"/>
      <c r="F323" s="250" t="n"/>
      <c r="G323" s="242">
        <f>IF(ISNUMBER(F323),F323,IF(AND(ISNUMBER(C323),ISNUMBER(D323)),ROUND(MOD(D323-C323,1)*24-N(E323)/60,2),""))</f>
        <v/>
      </c>
      <c r="H323" s="241" t="n"/>
    </row>
    <row r="324">
      <c r="A324" s="241" t="n"/>
      <c r="B324" s="247" t="n"/>
      <c r="C324" s="248" t="n"/>
      <c r="D324" s="248" t="n"/>
      <c r="E324" s="249" t="n"/>
      <c r="F324" s="250" t="n"/>
      <c r="G324" s="242">
        <f>IF(ISNUMBER(F324),F324,IF(AND(ISNUMBER(C324),ISNUMBER(D324)),ROUND(MOD(D324-C324,1)*24-N(E324)/60,2),""))</f>
        <v/>
      </c>
      <c r="H324" s="241" t="n"/>
    </row>
    <row r="325">
      <c r="A325" s="241" t="n"/>
      <c r="B325" s="247" t="n"/>
      <c r="C325" s="248" t="n"/>
      <c r="D325" s="248" t="n"/>
      <c r="E325" s="249" t="n"/>
      <c r="F325" s="250" t="n"/>
      <c r="G325" s="242">
        <f>IF(ISNUMBER(F325),F325,IF(AND(ISNUMBER(C325),ISNUMBER(D325)),ROUND(MOD(D325-C325,1)*24-N(E325)/60,2),""))</f>
        <v/>
      </c>
      <c r="H325" s="241" t="n"/>
    </row>
    <row r="326">
      <c r="A326" s="241" t="n"/>
      <c r="B326" s="247" t="n"/>
      <c r="C326" s="248" t="n"/>
      <c r="D326" s="248" t="n"/>
      <c r="E326" s="249" t="n"/>
      <c r="F326" s="250" t="n"/>
      <c r="G326" s="242">
        <f>IF(ISNUMBER(F326),F326,IF(AND(ISNUMBER(C326),ISNUMBER(D326)),ROUND(MOD(D326-C326,1)*24-N(E326)/60,2),""))</f>
        <v/>
      </c>
      <c r="H326" s="241" t="n"/>
    </row>
    <row r="327">
      <c r="A327" s="241" t="n"/>
      <c r="B327" s="247" t="n"/>
      <c r="C327" s="248" t="n"/>
      <c r="D327" s="248" t="n"/>
      <c r="E327" s="249" t="n"/>
      <c r="F327" s="250" t="n"/>
      <c r="G327" s="242">
        <f>IF(ISNUMBER(F327),F327,IF(AND(ISNUMBER(C327),ISNUMBER(D327)),ROUND(MOD(D327-C327,1)*24-N(E327)/60,2),""))</f>
        <v/>
      </c>
      <c r="H327" s="241" t="n"/>
    </row>
    <row r="328">
      <c r="A328" s="241" t="n"/>
      <c r="B328" s="247" t="n"/>
      <c r="C328" s="248" t="n"/>
      <c r="D328" s="248" t="n"/>
      <c r="E328" s="249" t="n"/>
      <c r="F328" s="250" t="n"/>
      <c r="G328" s="242">
        <f>IF(ISNUMBER(F328),F328,IF(AND(ISNUMBER(C328),ISNUMBER(D328)),ROUND(MOD(D328-C328,1)*24-N(E328)/60,2),""))</f>
        <v/>
      </c>
      <c r="H328" s="241" t="n"/>
    </row>
    <row r="329">
      <c r="A329" s="241" t="n"/>
      <c r="B329" s="247" t="n"/>
      <c r="C329" s="248" t="n"/>
      <c r="D329" s="248" t="n"/>
      <c r="E329" s="249" t="n"/>
      <c r="F329" s="250" t="n"/>
      <c r="G329" s="242">
        <f>IF(ISNUMBER(F329),F329,IF(AND(ISNUMBER(C329),ISNUMBER(D329)),ROUND(MOD(D329-C329,1)*24-N(E329)/60,2),""))</f>
        <v/>
      </c>
      <c r="H329" s="241" t="n"/>
    </row>
    <row r="330">
      <c r="A330" s="241" t="n"/>
      <c r="B330" s="247" t="n"/>
      <c r="C330" s="248" t="n"/>
      <c r="D330" s="248" t="n"/>
      <c r="E330" s="249" t="n"/>
      <c r="F330" s="250" t="n"/>
      <c r="G330" s="242">
        <f>IF(ISNUMBER(F330),F330,IF(AND(ISNUMBER(C330),ISNUMBER(D330)),ROUND(MOD(D330-C330,1)*24-N(E330)/60,2),""))</f>
        <v/>
      </c>
      <c r="H330" s="241" t="n"/>
    </row>
    <row r="331">
      <c r="A331" s="241" t="n"/>
      <c r="B331" s="247" t="n"/>
      <c r="C331" s="248" t="n"/>
      <c r="D331" s="248" t="n"/>
      <c r="E331" s="249" t="n"/>
      <c r="F331" s="250" t="n"/>
      <c r="G331" s="242">
        <f>IF(ISNUMBER(F331),F331,IF(AND(ISNUMBER(C331),ISNUMBER(D331)),ROUND(MOD(D331-C331,1)*24-N(E331)/60,2),""))</f>
        <v/>
      </c>
      <c r="H331" s="241" t="n"/>
    </row>
    <row r="332">
      <c r="A332" s="241" t="n"/>
      <c r="B332" s="247" t="n"/>
      <c r="C332" s="248" t="n"/>
      <c r="D332" s="248" t="n"/>
      <c r="E332" s="249" t="n"/>
      <c r="F332" s="250" t="n"/>
      <c r="G332" s="242">
        <f>IF(ISNUMBER(F332),F332,IF(AND(ISNUMBER(C332),ISNUMBER(D332)),ROUND(MOD(D332-C332,1)*24-N(E332)/60,2),""))</f>
        <v/>
      </c>
      <c r="H332" s="241" t="n"/>
    </row>
    <row r="333">
      <c r="A333" s="241" t="n"/>
      <c r="B333" s="247" t="n"/>
      <c r="C333" s="248" t="n"/>
      <c r="D333" s="248" t="n"/>
      <c r="E333" s="249" t="n"/>
      <c r="F333" s="250" t="n"/>
      <c r="G333" s="242">
        <f>IF(ISNUMBER(F333),F333,IF(AND(ISNUMBER(C333),ISNUMBER(D333)),ROUND(MOD(D333-C333,1)*24-N(E333)/60,2),""))</f>
        <v/>
      </c>
      <c r="H333" s="241" t="n"/>
    </row>
    <row r="334">
      <c r="A334" s="241" t="n"/>
      <c r="B334" s="247" t="n"/>
      <c r="C334" s="248" t="n"/>
      <c r="D334" s="248" t="n"/>
      <c r="E334" s="249" t="n"/>
      <c r="F334" s="250" t="n"/>
      <c r="G334" s="242">
        <f>IF(ISNUMBER(F334),F334,IF(AND(ISNUMBER(C334),ISNUMBER(D334)),ROUND(MOD(D334-C334,1)*24-N(E334)/60,2),""))</f>
        <v/>
      </c>
      <c r="H334" s="241" t="n"/>
    </row>
    <row r="335">
      <c r="A335" s="241" t="n"/>
      <c r="B335" s="247" t="n"/>
      <c r="C335" s="248" t="n"/>
      <c r="D335" s="248" t="n"/>
      <c r="E335" s="249" t="n"/>
      <c r="F335" s="250" t="n"/>
      <c r="G335" s="242">
        <f>IF(ISNUMBER(F335),F335,IF(AND(ISNUMBER(C335),ISNUMBER(D335)),ROUND(MOD(D335-C335,1)*24-N(E335)/60,2),""))</f>
        <v/>
      </c>
      <c r="H335" s="241" t="n"/>
    </row>
    <row r="336">
      <c r="A336" s="241" t="n"/>
      <c r="B336" s="247" t="n"/>
      <c r="C336" s="248" t="n"/>
      <c r="D336" s="248" t="n"/>
      <c r="E336" s="249" t="n"/>
      <c r="F336" s="250" t="n"/>
      <c r="G336" s="242">
        <f>IF(ISNUMBER(F336),F336,IF(AND(ISNUMBER(C336),ISNUMBER(D336)),ROUND(MOD(D336-C336,1)*24-N(E336)/60,2),""))</f>
        <v/>
      </c>
      <c r="H336" s="241" t="n"/>
    </row>
    <row r="337">
      <c r="A337" s="241" t="n"/>
      <c r="B337" s="247" t="n"/>
      <c r="C337" s="248" t="n"/>
      <c r="D337" s="248" t="n"/>
      <c r="E337" s="249" t="n"/>
      <c r="F337" s="250" t="n"/>
      <c r="G337" s="242">
        <f>IF(ISNUMBER(F337),F337,IF(AND(ISNUMBER(C337),ISNUMBER(D337)),ROUND(MOD(D337-C337,1)*24-N(E337)/60,2),""))</f>
        <v/>
      </c>
      <c r="H337" s="241" t="n"/>
    </row>
    <row r="338">
      <c r="A338" s="241" t="n"/>
      <c r="B338" s="247" t="n"/>
      <c r="C338" s="248" t="n"/>
      <c r="D338" s="248" t="n"/>
      <c r="E338" s="249" t="n"/>
      <c r="F338" s="250" t="n"/>
      <c r="G338" s="242">
        <f>IF(ISNUMBER(F338),F338,IF(AND(ISNUMBER(C338),ISNUMBER(D338)),ROUND(MOD(D338-C338,1)*24-N(E338)/60,2),""))</f>
        <v/>
      </c>
      <c r="H338" s="241" t="n"/>
    </row>
    <row r="339">
      <c r="A339" s="241" t="n"/>
      <c r="B339" s="247" t="n"/>
      <c r="C339" s="248" t="n"/>
      <c r="D339" s="248" t="n"/>
      <c r="E339" s="249" t="n"/>
      <c r="F339" s="250" t="n"/>
      <c r="G339" s="242">
        <f>IF(ISNUMBER(F339),F339,IF(AND(ISNUMBER(C339),ISNUMBER(D339)),ROUND(MOD(D339-C339,1)*24-N(E339)/60,2),""))</f>
        <v/>
      </c>
      <c r="H339" s="241" t="n"/>
    </row>
    <row r="340">
      <c r="A340" s="241" t="n"/>
      <c r="B340" s="247" t="n"/>
      <c r="C340" s="248" t="n"/>
      <c r="D340" s="248" t="n"/>
      <c r="E340" s="249" t="n"/>
      <c r="F340" s="250" t="n"/>
      <c r="G340" s="242">
        <f>IF(ISNUMBER(F340),F340,IF(AND(ISNUMBER(C340),ISNUMBER(D340)),ROUND(MOD(D340-C340,1)*24-N(E340)/60,2),""))</f>
        <v/>
      </c>
      <c r="H340" s="241" t="n"/>
    </row>
    <row r="341">
      <c r="A341" s="241" t="n"/>
      <c r="B341" s="247" t="n"/>
      <c r="C341" s="248" t="n"/>
      <c r="D341" s="248" t="n"/>
      <c r="E341" s="249" t="n"/>
      <c r="F341" s="250" t="n"/>
      <c r="G341" s="242">
        <f>IF(ISNUMBER(F341),F341,IF(AND(ISNUMBER(C341),ISNUMBER(D341)),ROUND(MOD(D341-C341,1)*24-N(E341)/60,2),""))</f>
        <v/>
      </c>
      <c r="H341" s="241" t="n"/>
    </row>
    <row r="342">
      <c r="A342" s="241" t="n"/>
      <c r="B342" s="247" t="n"/>
      <c r="C342" s="248" t="n"/>
      <c r="D342" s="248" t="n"/>
      <c r="E342" s="249" t="n"/>
      <c r="F342" s="250" t="n"/>
      <c r="G342" s="242">
        <f>IF(ISNUMBER(F342),F342,IF(AND(ISNUMBER(C342),ISNUMBER(D342)),ROUND(MOD(D342-C342,1)*24-N(E342)/60,2),""))</f>
        <v/>
      </c>
      <c r="H342" s="241" t="n"/>
    </row>
    <row r="343">
      <c r="A343" s="241" t="n"/>
      <c r="B343" s="247" t="n"/>
      <c r="C343" s="248" t="n"/>
      <c r="D343" s="248" t="n"/>
      <c r="E343" s="249" t="n"/>
      <c r="F343" s="250" t="n"/>
      <c r="G343" s="242">
        <f>IF(ISNUMBER(F343),F343,IF(AND(ISNUMBER(C343),ISNUMBER(D343)),ROUND(MOD(D343-C343,1)*24-N(E343)/60,2),""))</f>
        <v/>
      </c>
      <c r="H343" s="241" t="n"/>
    </row>
    <row r="344">
      <c r="A344" s="241" t="n"/>
      <c r="B344" s="247" t="n"/>
      <c r="C344" s="248" t="n"/>
      <c r="D344" s="248" t="n"/>
      <c r="E344" s="249" t="n"/>
      <c r="F344" s="250" t="n"/>
      <c r="G344" s="242">
        <f>IF(ISNUMBER(F344),F344,IF(AND(ISNUMBER(C344),ISNUMBER(D344)),ROUND(MOD(D344-C344,1)*24-N(E344)/60,2),""))</f>
        <v/>
      </c>
      <c r="H344" s="241" t="n"/>
    </row>
    <row r="345">
      <c r="A345" s="241" t="n"/>
      <c r="B345" s="247" t="n"/>
      <c r="C345" s="248" t="n"/>
      <c r="D345" s="248" t="n"/>
      <c r="E345" s="249" t="n"/>
      <c r="F345" s="250" t="n"/>
      <c r="G345" s="242">
        <f>IF(ISNUMBER(F345),F345,IF(AND(ISNUMBER(C345),ISNUMBER(D345)),ROUND(MOD(D345-C345,1)*24-N(E345)/60,2),""))</f>
        <v/>
      </c>
      <c r="H345" s="241" t="n"/>
    </row>
    <row r="346">
      <c r="A346" s="241" t="n"/>
      <c r="B346" s="247" t="n"/>
      <c r="C346" s="248" t="n"/>
      <c r="D346" s="248" t="n"/>
      <c r="E346" s="249" t="n"/>
      <c r="F346" s="250" t="n"/>
      <c r="G346" s="242">
        <f>IF(ISNUMBER(F346),F346,IF(AND(ISNUMBER(C346),ISNUMBER(D346)),ROUND(MOD(D346-C346,1)*24-N(E346)/60,2),""))</f>
        <v/>
      </c>
      <c r="H346" s="241" t="n"/>
    </row>
    <row r="347">
      <c r="A347" s="241" t="n"/>
      <c r="B347" s="247" t="n"/>
      <c r="C347" s="248" t="n"/>
      <c r="D347" s="248" t="n"/>
      <c r="E347" s="249" t="n"/>
      <c r="F347" s="250" t="n"/>
      <c r="G347" s="242">
        <f>IF(ISNUMBER(F347),F347,IF(AND(ISNUMBER(C347),ISNUMBER(D347)),ROUND(MOD(D347-C347,1)*24-N(E347)/60,2),""))</f>
        <v/>
      </c>
      <c r="H347" s="241" t="n"/>
    </row>
    <row r="348">
      <c r="A348" s="241" t="n"/>
      <c r="B348" s="247" t="n"/>
      <c r="C348" s="248" t="n"/>
      <c r="D348" s="248" t="n"/>
      <c r="E348" s="249" t="n"/>
      <c r="F348" s="250" t="n"/>
      <c r="G348" s="242">
        <f>IF(ISNUMBER(F348),F348,IF(AND(ISNUMBER(C348),ISNUMBER(D348)),ROUND(MOD(D348-C348,1)*24-N(E348)/60,2),""))</f>
        <v/>
      </c>
      <c r="H348" s="241" t="n"/>
    </row>
    <row r="349">
      <c r="A349" s="241" t="n"/>
      <c r="B349" s="247" t="n"/>
      <c r="C349" s="248" t="n"/>
      <c r="D349" s="248" t="n"/>
      <c r="E349" s="249" t="n"/>
      <c r="F349" s="250" t="n"/>
      <c r="G349" s="242">
        <f>IF(ISNUMBER(F349),F349,IF(AND(ISNUMBER(C349),ISNUMBER(D349)),ROUND(MOD(D349-C349,1)*24-N(E349)/60,2),""))</f>
        <v/>
      </c>
      <c r="H349" s="241" t="n"/>
    </row>
    <row r="350">
      <c r="A350" s="241" t="n"/>
      <c r="B350" s="247" t="n"/>
      <c r="C350" s="248" t="n"/>
      <c r="D350" s="248" t="n"/>
      <c r="E350" s="249" t="n"/>
      <c r="F350" s="250" t="n"/>
      <c r="G350" s="242">
        <f>IF(ISNUMBER(F350),F350,IF(AND(ISNUMBER(C350),ISNUMBER(D350)),ROUND(MOD(D350-C350,1)*24-N(E350)/60,2),""))</f>
        <v/>
      </c>
      <c r="H350" s="241" t="n"/>
    </row>
    <row r="351">
      <c r="A351" s="241" t="n"/>
      <c r="B351" s="247" t="n"/>
      <c r="C351" s="248" t="n"/>
      <c r="D351" s="248" t="n"/>
      <c r="E351" s="249" t="n"/>
      <c r="F351" s="250" t="n"/>
      <c r="G351" s="242">
        <f>IF(ISNUMBER(F351),F351,IF(AND(ISNUMBER(C351),ISNUMBER(D351)),ROUND(MOD(D351-C351,1)*24-N(E351)/60,2),""))</f>
        <v/>
      </c>
      <c r="H351" s="241" t="n"/>
    </row>
    <row r="352">
      <c r="A352" s="241" t="n"/>
      <c r="B352" s="247" t="n"/>
      <c r="C352" s="248" t="n"/>
      <c r="D352" s="248" t="n"/>
      <c r="E352" s="249" t="n"/>
      <c r="F352" s="250" t="n"/>
      <c r="G352" s="242">
        <f>IF(ISNUMBER(F352),F352,IF(AND(ISNUMBER(C352),ISNUMBER(D352)),ROUND(MOD(D352-C352,1)*24-N(E352)/60,2),""))</f>
        <v/>
      </c>
      <c r="H352" s="241" t="n"/>
    </row>
    <row r="353">
      <c r="A353" s="241" t="n"/>
      <c r="B353" s="247" t="n"/>
      <c r="C353" s="248" t="n"/>
      <c r="D353" s="248" t="n"/>
      <c r="E353" s="249" t="n"/>
      <c r="F353" s="250" t="n"/>
      <c r="G353" s="242">
        <f>IF(ISNUMBER(F353),F353,IF(AND(ISNUMBER(C353),ISNUMBER(D353)),ROUND(MOD(D353-C353,1)*24-N(E353)/60,2),""))</f>
        <v/>
      </c>
      <c r="H353" s="241" t="n"/>
    </row>
    <row r="354">
      <c r="A354" s="241" t="n"/>
      <c r="B354" s="247" t="n"/>
      <c r="C354" s="248" t="n"/>
      <c r="D354" s="248" t="n"/>
      <c r="E354" s="249" t="n"/>
      <c r="F354" s="250" t="n"/>
      <c r="G354" s="242">
        <f>IF(ISNUMBER(F354),F354,IF(AND(ISNUMBER(C354),ISNUMBER(D354)),ROUND(MOD(D354-C354,1)*24-N(E354)/60,2),""))</f>
        <v/>
      </c>
      <c r="H354" s="241" t="n"/>
    </row>
    <row r="355">
      <c r="A355" s="241" t="n"/>
      <c r="B355" s="247" t="n"/>
      <c r="C355" s="248" t="n"/>
      <c r="D355" s="248" t="n"/>
      <c r="E355" s="249" t="n"/>
      <c r="F355" s="250" t="n"/>
      <c r="G355" s="242">
        <f>IF(ISNUMBER(F355),F355,IF(AND(ISNUMBER(C355),ISNUMBER(D355)),ROUND(MOD(D355-C355,1)*24-N(E355)/60,2),""))</f>
        <v/>
      </c>
      <c r="H355" s="241" t="n"/>
    </row>
    <row r="356">
      <c r="A356" s="241" t="n"/>
      <c r="B356" s="247" t="n"/>
      <c r="C356" s="248" t="n"/>
      <c r="D356" s="248" t="n"/>
      <c r="E356" s="249" t="n"/>
      <c r="F356" s="250" t="n"/>
      <c r="G356" s="242">
        <f>IF(ISNUMBER(F356),F356,IF(AND(ISNUMBER(C356),ISNUMBER(D356)),ROUND(MOD(D356-C356,1)*24-N(E356)/60,2),""))</f>
        <v/>
      </c>
      <c r="H356" s="241" t="n"/>
    </row>
    <row r="357">
      <c r="A357" s="241" t="n"/>
      <c r="B357" s="247" t="n"/>
      <c r="C357" s="248" t="n"/>
      <c r="D357" s="248" t="n"/>
      <c r="E357" s="249" t="n"/>
      <c r="F357" s="250" t="n"/>
      <c r="G357" s="242">
        <f>IF(ISNUMBER(F357),F357,IF(AND(ISNUMBER(C357),ISNUMBER(D357)),ROUND(MOD(D357-C357,1)*24-N(E357)/60,2),""))</f>
        <v/>
      </c>
      <c r="H357" s="241" t="n"/>
    </row>
    <row r="358">
      <c r="A358" s="241" t="n"/>
      <c r="B358" s="247" t="n"/>
      <c r="C358" s="248" t="n"/>
      <c r="D358" s="248" t="n"/>
      <c r="E358" s="249" t="n"/>
      <c r="F358" s="250" t="n"/>
      <c r="G358" s="242">
        <f>IF(ISNUMBER(F358),F358,IF(AND(ISNUMBER(C358),ISNUMBER(D358)),ROUND(MOD(D358-C358,1)*24-N(E358)/60,2),""))</f>
        <v/>
      </c>
      <c r="H358" s="241" t="n"/>
    </row>
    <row r="359">
      <c r="A359" s="241" t="n"/>
      <c r="B359" s="247" t="n"/>
      <c r="C359" s="248" t="n"/>
      <c r="D359" s="248" t="n"/>
      <c r="E359" s="249" t="n"/>
      <c r="F359" s="250" t="n"/>
      <c r="G359" s="242">
        <f>IF(ISNUMBER(F359),F359,IF(AND(ISNUMBER(C359),ISNUMBER(D359)),ROUND(MOD(D359-C359,1)*24-N(E359)/60,2),""))</f>
        <v/>
      </c>
      <c r="H359" s="241" t="n"/>
    </row>
    <row r="360">
      <c r="A360" s="241" t="n"/>
      <c r="B360" s="247" t="n"/>
      <c r="C360" s="248" t="n"/>
      <c r="D360" s="248" t="n"/>
      <c r="E360" s="249" t="n"/>
      <c r="F360" s="250" t="n"/>
      <c r="G360" s="242">
        <f>IF(ISNUMBER(F360),F360,IF(AND(ISNUMBER(C360),ISNUMBER(D360)),ROUND(MOD(D360-C360,1)*24-N(E360)/60,2),""))</f>
        <v/>
      </c>
      <c r="H360" s="241" t="n"/>
    </row>
    <row r="361">
      <c r="A361" s="241" t="n"/>
      <c r="B361" s="247" t="n"/>
      <c r="C361" s="248" t="n"/>
      <c r="D361" s="248" t="n"/>
      <c r="E361" s="249" t="n"/>
      <c r="F361" s="250" t="n"/>
      <c r="G361" s="242">
        <f>IF(ISNUMBER(F361),F361,IF(AND(ISNUMBER(C361),ISNUMBER(D361)),ROUND(MOD(D361-C361,1)*24-N(E361)/60,2),""))</f>
        <v/>
      </c>
      <c r="H361" s="241" t="n"/>
    </row>
    <row r="362">
      <c r="A362" s="241" t="n"/>
      <c r="B362" s="247" t="n"/>
      <c r="C362" s="248" t="n"/>
      <c r="D362" s="248" t="n"/>
      <c r="E362" s="249" t="n"/>
      <c r="F362" s="250" t="n"/>
      <c r="G362" s="242">
        <f>IF(ISNUMBER(F362),F362,IF(AND(ISNUMBER(C362),ISNUMBER(D362)),ROUND(MOD(D362-C362,1)*24-N(E362)/60,2),""))</f>
        <v/>
      </c>
      <c r="H362" s="241" t="n"/>
    </row>
    <row r="363">
      <c r="A363" s="241" t="n"/>
      <c r="B363" s="247" t="n"/>
      <c r="C363" s="248" t="n"/>
      <c r="D363" s="248" t="n"/>
      <c r="E363" s="249" t="n"/>
      <c r="F363" s="250" t="n"/>
      <c r="G363" s="242">
        <f>IF(ISNUMBER(F363),F363,IF(AND(ISNUMBER(C363),ISNUMBER(D363)),ROUND(MOD(D363-C363,1)*24-N(E363)/60,2),""))</f>
        <v/>
      </c>
      <c r="H363" s="241" t="n"/>
    </row>
    <row r="364">
      <c r="A364" s="241" t="n"/>
      <c r="B364" s="247" t="n"/>
      <c r="C364" s="248" t="n"/>
      <c r="D364" s="248" t="n"/>
      <c r="E364" s="249" t="n"/>
      <c r="F364" s="250" t="n"/>
      <c r="G364" s="242">
        <f>IF(ISNUMBER(F364),F364,IF(AND(ISNUMBER(C364),ISNUMBER(D364)),ROUND(MOD(D364-C364,1)*24-N(E364)/60,2),""))</f>
        <v/>
      </c>
      <c r="H364" s="241" t="n"/>
    </row>
    <row r="365">
      <c r="A365" s="241" t="n"/>
      <c r="B365" s="247" t="n"/>
      <c r="C365" s="248" t="n"/>
      <c r="D365" s="248" t="n"/>
      <c r="E365" s="249" t="n"/>
      <c r="F365" s="250" t="n"/>
      <c r="G365" s="242">
        <f>IF(ISNUMBER(F365),F365,IF(AND(ISNUMBER(C365),ISNUMBER(D365)),ROUND(MOD(D365-C365,1)*24-N(E365)/60,2),""))</f>
        <v/>
      </c>
      <c r="H365" s="241" t="n"/>
    </row>
    <row r="366">
      <c r="A366" s="241" t="n"/>
      <c r="B366" s="247" t="n"/>
      <c r="C366" s="248" t="n"/>
      <c r="D366" s="248" t="n"/>
      <c r="E366" s="249" t="n"/>
      <c r="F366" s="250" t="n"/>
      <c r="G366" s="242">
        <f>IF(ISNUMBER(F366),F366,IF(AND(ISNUMBER(C366),ISNUMBER(D366)),ROUND(MOD(D366-C366,1)*24-N(E366)/60,2),""))</f>
        <v/>
      </c>
      <c r="H366" s="241" t="n"/>
    </row>
    <row r="367">
      <c r="A367" s="241" t="n"/>
      <c r="B367" s="247" t="n"/>
      <c r="C367" s="248" t="n"/>
      <c r="D367" s="248" t="n"/>
      <c r="E367" s="249" t="n"/>
      <c r="F367" s="250" t="n"/>
      <c r="G367" s="242">
        <f>IF(ISNUMBER(F367),F367,IF(AND(ISNUMBER(C367),ISNUMBER(D367)),ROUND(MOD(D367-C367,1)*24-N(E367)/60,2),""))</f>
        <v/>
      </c>
      <c r="H367" s="241" t="n"/>
    </row>
    <row r="368">
      <c r="A368" s="241" t="n"/>
      <c r="B368" s="247" t="n"/>
      <c r="C368" s="248" t="n"/>
      <c r="D368" s="248" t="n"/>
      <c r="E368" s="249" t="n"/>
      <c r="F368" s="250" t="n"/>
      <c r="G368" s="242">
        <f>IF(ISNUMBER(F368),F368,IF(AND(ISNUMBER(C368),ISNUMBER(D368)),ROUND(MOD(D368-C368,1)*24-N(E368)/60,2),""))</f>
        <v/>
      </c>
      <c r="H368" s="241" t="n"/>
    </row>
    <row r="369">
      <c r="A369" s="241" t="n"/>
      <c r="B369" s="247" t="n"/>
      <c r="C369" s="248" t="n"/>
      <c r="D369" s="248" t="n"/>
      <c r="E369" s="249" t="n"/>
      <c r="F369" s="250" t="n"/>
      <c r="G369" s="242">
        <f>IF(ISNUMBER(F369),F369,IF(AND(ISNUMBER(C369),ISNUMBER(D369)),ROUND(MOD(D369-C369,1)*24-N(E369)/60,2),""))</f>
        <v/>
      </c>
      <c r="H369" s="241" t="n"/>
    </row>
    <row r="370">
      <c r="A370" s="241" t="n"/>
      <c r="B370" s="247" t="n"/>
      <c r="C370" s="248" t="n"/>
      <c r="D370" s="248" t="n"/>
      <c r="E370" s="249" t="n"/>
      <c r="F370" s="250" t="n"/>
      <c r="G370" s="242">
        <f>IF(ISNUMBER(F370),F370,IF(AND(ISNUMBER(C370),ISNUMBER(D370)),ROUND(MOD(D370-C370,1)*24-N(E370)/60,2),""))</f>
        <v/>
      </c>
      <c r="H370" s="241" t="n"/>
    </row>
    <row r="371">
      <c r="A371" s="241" t="n"/>
      <c r="B371" s="247" t="n"/>
      <c r="C371" s="248" t="n"/>
      <c r="D371" s="248" t="n"/>
      <c r="E371" s="249" t="n"/>
      <c r="F371" s="250" t="n"/>
      <c r="G371" s="242">
        <f>IF(ISNUMBER(F371),F371,IF(AND(ISNUMBER(C371),ISNUMBER(D371)),ROUND(MOD(D371-C371,1)*24-N(E371)/60,2),""))</f>
        <v/>
      </c>
      <c r="H371" s="241" t="n"/>
    </row>
    <row r="372">
      <c r="A372" s="241" t="n"/>
      <c r="B372" s="247" t="n"/>
      <c r="C372" s="248" t="n"/>
      <c r="D372" s="248" t="n"/>
      <c r="E372" s="249" t="n"/>
      <c r="F372" s="250" t="n"/>
      <c r="G372" s="242">
        <f>IF(ISNUMBER(F372),F372,IF(AND(ISNUMBER(C372),ISNUMBER(D372)),ROUND(MOD(D372-C372,1)*24-N(E372)/60,2),""))</f>
        <v/>
      </c>
      <c r="H372" s="241" t="n"/>
    </row>
    <row r="373">
      <c r="A373" s="241" t="n"/>
      <c r="B373" s="247" t="n"/>
      <c r="C373" s="248" t="n"/>
      <c r="D373" s="248" t="n"/>
      <c r="E373" s="249" t="n"/>
      <c r="F373" s="250" t="n"/>
      <c r="G373" s="242">
        <f>IF(ISNUMBER(F373),F373,IF(AND(ISNUMBER(C373),ISNUMBER(D373)),ROUND(MOD(D373-C373,1)*24-N(E373)/60,2),""))</f>
        <v/>
      </c>
      <c r="H373" s="241" t="n"/>
    </row>
    <row r="374">
      <c r="A374" s="241" t="n"/>
      <c r="B374" s="247" t="n"/>
      <c r="C374" s="248" t="n"/>
      <c r="D374" s="248" t="n"/>
      <c r="E374" s="249" t="n"/>
      <c r="F374" s="250" t="n"/>
      <c r="G374" s="242">
        <f>IF(ISNUMBER(F374),F374,IF(AND(ISNUMBER(C374),ISNUMBER(D374)),ROUND(MOD(D374-C374,1)*24-N(E374)/60,2),""))</f>
        <v/>
      </c>
      <c r="H374" s="241" t="n"/>
    </row>
    <row r="375">
      <c r="A375" s="241" t="n"/>
      <c r="B375" s="247" t="n"/>
      <c r="C375" s="248" t="n"/>
      <c r="D375" s="248" t="n"/>
      <c r="E375" s="249" t="n"/>
      <c r="F375" s="250" t="n"/>
      <c r="G375" s="242">
        <f>IF(ISNUMBER(F375),F375,IF(AND(ISNUMBER(C375),ISNUMBER(D375)),ROUND(MOD(D375-C375,1)*24-N(E375)/60,2),""))</f>
        <v/>
      </c>
      <c r="H375" s="241" t="n"/>
    </row>
    <row r="376">
      <c r="A376" s="241" t="n"/>
      <c r="B376" s="247" t="n"/>
      <c r="C376" s="248" t="n"/>
      <c r="D376" s="248" t="n"/>
      <c r="E376" s="249" t="n"/>
      <c r="F376" s="250" t="n"/>
      <c r="G376" s="242">
        <f>IF(ISNUMBER(F376),F376,IF(AND(ISNUMBER(C376),ISNUMBER(D376)),ROUND(MOD(D376-C376,1)*24-N(E376)/60,2),""))</f>
        <v/>
      </c>
      <c r="H376" s="241" t="n"/>
    </row>
    <row r="377">
      <c r="A377" s="241" t="n"/>
      <c r="B377" s="247" t="n"/>
      <c r="C377" s="248" t="n"/>
      <c r="D377" s="248" t="n"/>
      <c r="E377" s="249" t="n"/>
      <c r="F377" s="250" t="n"/>
      <c r="G377" s="242">
        <f>IF(ISNUMBER(F377),F377,IF(AND(ISNUMBER(C377),ISNUMBER(D377)),ROUND(MOD(D377-C377,1)*24-N(E377)/60,2),""))</f>
        <v/>
      </c>
      <c r="H377" s="241" t="n"/>
    </row>
    <row r="378">
      <c r="A378" s="241" t="n"/>
      <c r="B378" s="247" t="n"/>
      <c r="C378" s="248" t="n"/>
      <c r="D378" s="248" t="n"/>
      <c r="E378" s="249" t="n"/>
      <c r="F378" s="250" t="n"/>
      <c r="G378" s="242">
        <f>IF(ISNUMBER(F378),F378,IF(AND(ISNUMBER(C378),ISNUMBER(D378)),ROUND(MOD(D378-C378,1)*24-N(E378)/60,2),""))</f>
        <v/>
      </c>
      <c r="H378" s="241" t="n"/>
    </row>
    <row r="379">
      <c r="A379" s="241" t="n"/>
      <c r="B379" s="247" t="n"/>
      <c r="C379" s="248" t="n"/>
      <c r="D379" s="248" t="n"/>
      <c r="E379" s="249" t="n"/>
      <c r="F379" s="250" t="n"/>
      <c r="G379" s="242">
        <f>IF(ISNUMBER(F379),F379,IF(AND(ISNUMBER(C379),ISNUMBER(D379)),ROUND(MOD(D379-C379,1)*24-N(E379)/60,2),""))</f>
        <v/>
      </c>
      <c r="H379" s="241" t="n"/>
    </row>
    <row r="380">
      <c r="A380" s="241" t="n"/>
      <c r="B380" s="247" t="n"/>
      <c r="C380" s="248" t="n"/>
      <c r="D380" s="248" t="n"/>
      <c r="E380" s="249" t="n"/>
      <c r="F380" s="250" t="n"/>
      <c r="G380" s="242">
        <f>IF(ISNUMBER(F380),F380,IF(AND(ISNUMBER(C380),ISNUMBER(D380)),ROUND(MOD(D380-C380,1)*24-N(E380)/60,2),""))</f>
        <v/>
      </c>
      <c r="H380" s="241" t="n"/>
    </row>
    <row r="381">
      <c r="A381" s="241" t="n"/>
      <c r="B381" s="247" t="n"/>
      <c r="C381" s="248" t="n"/>
      <c r="D381" s="248" t="n"/>
      <c r="E381" s="249" t="n"/>
      <c r="F381" s="250" t="n"/>
      <c r="G381" s="242">
        <f>IF(ISNUMBER(F381),F381,IF(AND(ISNUMBER(C381),ISNUMBER(D381)),ROUND(MOD(D381-C381,1)*24-N(E381)/60,2),""))</f>
        <v/>
      </c>
      <c r="H381" s="241" t="n"/>
    </row>
    <row r="382">
      <c r="A382" s="241" t="n"/>
      <c r="B382" s="247" t="n"/>
      <c r="C382" s="248" t="n"/>
      <c r="D382" s="248" t="n"/>
      <c r="E382" s="249" t="n"/>
      <c r="F382" s="250" t="n"/>
      <c r="G382" s="242">
        <f>IF(ISNUMBER(F382),F382,IF(AND(ISNUMBER(C382),ISNUMBER(D382)),ROUND(MOD(D382-C382,1)*24-N(E382)/60,2),""))</f>
        <v/>
      </c>
      <c r="H382" s="241" t="n"/>
    </row>
    <row r="383">
      <c r="A383" s="241" t="n"/>
      <c r="B383" s="247" t="n"/>
      <c r="C383" s="248" t="n"/>
      <c r="D383" s="248" t="n"/>
      <c r="E383" s="249" t="n"/>
      <c r="F383" s="250" t="n"/>
      <c r="G383" s="242">
        <f>IF(ISNUMBER(F383),F383,IF(AND(ISNUMBER(C383),ISNUMBER(D383)),ROUND(MOD(D383-C383,1)*24-N(E383)/60,2),""))</f>
        <v/>
      </c>
      <c r="H383" s="241" t="n"/>
    </row>
    <row r="384">
      <c r="A384" s="241" t="n"/>
      <c r="B384" s="247" t="n"/>
      <c r="C384" s="248" t="n"/>
      <c r="D384" s="248" t="n"/>
      <c r="E384" s="249" t="n"/>
      <c r="F384" s="250" t="n"/>
      <c r="G384" s="242">
        <f>IF(ISNUMBER(F384),F384,IF(AND(ISNUMBER(C384),ISNUMBER(D384)),ROUND(MOD(D384-C384,1)*24-N(E384)/60,2),""))</f>
        <v/>
      </c>
      <c r="H384" s="241" t="n"/>
    </row>
    <row r="385">
      <c r="A385" s="241" t="n"/>
      <c r="B385" s="247" t="n"/>
      <c r="C385" s="248" t="n"/>
      <c r="D385" s="248" t="n"/>
      <c r="E385" s="249" t="n"/>
      <c r="F385" s="250" t="n"/>
      <c r="G385" s="242">
        <f>IF(ISNUMBER(F385),F385,IF(AND(ISNUMBER(C385),ISNUMBER(D385)),ROUND(MOD(D385-C385,1)*24-N(E385)/60,2),""))</f>
        <v/>
      </c>
      <c r="H385" s="241" t="n"/>
    </row>
    <row r="386">
      <c r="A386" s="241" t="n"/>
      <c r="B386" s="247" t="n"/>
      <c r="C386" s="248" t="n"/>
      <c r="D386" s="248" t="n"/>
      <c r="E386" s="249" t="n"/>
      <c r="F386" s="250" t="n"/>
      <c r="G386" s="242">
        <f>IF(ISNUMBER(F386),F386,IF(AND(ISNUMBER(C386),ISNUMBER(D386)),ROUND(MOD(D386-C386,1)*24-N(E386)/60,2),""))</f>
        <v/>
      </c>
      <c r="H386" s="241" t="n"/>
    </row>
    <row r="387">
      <c r="A387" s="241" t="n"/>
      <c r="B387" s="247" t="n"/>
      <c r="C387" s="248" t="n"/>
      <c r="D387" s="248" t="n"/>
      <c r="E387" s="249" t="n"/>
      <c r="F387" s="250" t="n"/>
      <c r="G387" s="242">
        <f>IF(ISNUMBER(F387),F387,IF(AND(ISNUMBER(C387),ISNUMBER(D387)),ROUND(MOD(D387-C387,1)*24-N(E387)/60,2),""))</f>
        <v/>
      </c>
      <c r="H387" s="241" t="n"/>
    </row>
    <row r="388">
      <c r="A388" s="241" t="n"/>
      <c r="B388" s="247" t="n"/>
      <c r="C388" s="248" t="n"/>
      <c r="D388" s="248" t="n"/>
      <c r="E388" s="249" t="n"/>
      <c r="F388" s="250" t="n"/>
      <c r="G388" s="242">
        <f>IF(ISNUMBER(F388),F388,IF(AND(ISNUMBER(C388),ISNUMBER(D388)),ROUND(MOD(D388-C388,1)*24-N(E388)/60,2),""))</f>
        <v/>
      </c>
      <c r="H388" s="241" t="n"/>
    </row>
    <row r="389">
      <c r="A389" s="241" t="n"/>
      <c r="B389" s="247" t="n"/>
      <c r="C389" s="248" t="n"/>
      <c r="D389" s="248" t="n"/>
      <c r="E389" s="249" t="n"/>
      <c r="F389" s="250" t="n"/>
      <c r="G389" s="242">
        <f>IF(ISNUMBER(F389),F389,IF(AND(ISNUMBER(C389),ISNUMBER(D389)),ROUND(MOD(D389-C389,1)*24-N(E389)/60,2),""))</f>
        <v/>
      </c>
      <c r="H389" s="241" t="n"/>
    </row>
    <row r="390">
      <c r="A390" s="241" t="n"/>
      <c r="B390" s="247" t="n"/>
      <c r="C390" s="248" t="n"/>
      <c r="D390" s="248" t="n"/>
      <c r="E390" s="249" t="n"/>
      <c r="F390" s="250" t="n"/>
      <c r="G390" s="242">
        <f>IF(ISNUMBER(F390),F390,IF(AND(ISNUMBER(C390),ISNUMBER(D390)),ROUND(MOD(D390-C390,1)*24-N(E390)/60,2),""))</f>
        <v/>
      </c>
      <c r="H390" s="241" t="n"/>
    </row>
    <row r="391">
      <c r="A391" s="241" t="n"/>
      <c r="B391" s="247" t="n"/>
      <c r="C391" s="248" t="n"/>
      <c r="D391" s="248" t="n"/>
      <c r="E391" s="249" t="n"/>
      <c r="F391" s="250" t="n"/>
      <c r="G391" s="242">
        <f>IF(ISNUMBER(F391),F391,IF(AND(ISNUMBER(C391),ISNUMBER(D391)),ROUND(MOD(D391-C391,1)*24-N(E391)/60,2),""))</f>
        <v/>
      </c>
      <c r="H391" s="241" t="n"/>
    </row>
    <row r="392">
      <c r="A392" s="241" t="n"/>
      <c r="B392" s="247" t="n"/>
      <c r="C392" s="248" t="n"/>
      <c r="D392" s="248" t="n"/>
      <c r="E392" s="249" t="n"/>
      <c r="F392" s="250" t="n"/>
      <c r="G392" s="242">
        <f>IF(ISNUMBER(F392),F392,IF(AND(ISNUMBER(C392),ISNUMBER(D392)),ROUND(MOD(D392-C392,1)*24-N(E392)/60,2),""))</f>
        <v/>
      </c>
      <c r="H392" s="241" t="n"/>
    </row>
    <row r="393">
      <c r="A393" s="241" t="n"/>
      <c r="B393" s="247" t="n"/>
      <c r="C393" s="248" t="n"/>
      <c r="D393" s="248" t="n"/>
      <c r="E393" s="249" t="n"/>
      <c r="F393" s="250" t="n"/>
      <c r="G393" s="242">
        <f>IF(ISNUMBER(F393),F393,IF(AND(ISNUMBER(C393),ISNUMBER(D393)),ROUND(MOD(D393-C393,1)*24-N(E393)/60,2),""))</f>
        <v/>
      </c>
      <c r="H393" s="241" t="n"/>
    </row>
    <row r="394">
      <c r="A394" s="241" t="n"/>
      <c r="B394" s="247" t="n"/>
      <c r="C394" s="248" t="n"/>
      <c r="D394" s="248" t="n"/>
      <c r="E394" s="249" t="n"/>
      <c r="F394" s="250" t="n"/>
      <c r="G394" s="242">
        <f>IF(ISNUMBER(F394),F394,IF(AND(ISNUMBER(C394),ISNUMBER(D394)),ROUND(MOD(D394-C394,1)*24-N(E394)/60,2),""))</f>
        <v/>
      </c>
      <c r="H394" s="241" t="n"/>
    </row>
    <row r="395">
      <c r="A395" s="241" t="n"/>
      <c r="B395" s="247" t="n"/>
      <c r="C395" s="248" t="n"/>
      <c r="D395" s="248" t="n"/>
      <c r="E395" s="249" t="n"/>
      <c r="F395" s="250" t="n"/>
      <c r="G395" s="242">
        <f>IF(ISNUMBER(F395),F395,IF(AND(ISNUMBER(C395),ISNUMBER(D395)),ROUND(MOD(D395-C395,1)*24-N(E395)/60,2),""))</f>
        <v/>
      </c>
      <c r="H395" s="241" t="n"/>
    </row>
    <row r="396">
      <c r="A396" s="241" t="n"/>
      <c r="B396" s="247" t="n"/>
      <c r="C396" s="248" t="n"/>
      <c r="D396" s="248" t="n"/>
      <c r="E396" s="249" t="n"/>
      <c r="F396" s="250" t="n"/>
      <c r="G396" s="242">
        <f>IF(ISNUMBER(F396),F396,IF(AND(ISNUMBER(C396),ISNUMBER(D396)),ROUND(MOD(D396-C396,1)*24-N(E396)/60,2),""))</f>
        <v/>
      </c>
      <c r="H396" s="241" t="n"/>
    </row>
    <row r="397">
      <c r="A397" s="241" t="n"/>
      <c r="B397" s="247" t="n"/>
      <c r="C397" s="248" t="n"/>
      <c r="D397" s="248" t="n"/>
      <c r="E397" s="249" t="n"/>
      <c r="F397" s="250" t="n"/>
      <c r="G397" s="242">
        <f>IF(ISNUMBER(F397),F397,IF(AND(ISNUMBER(C397),ISNUMBER(D397)),ROUND(MOD(D397-C397,1)*24-N(E397)/60,2),""))</f>
        <v/>
      </c>
      <c r="H397" s="241" t="n"/>
    </row>
    <row r="398">
      <c r="A398" s="241" t="n"/>
      <c r="B398" s="247" t="n"/>
      <c r="C398" s="248" t="n"/>
      <c r="D398" s="248" t="n"/>
      <c r="E398" s="249" t="n"/>
      <c r="F398" s="250" t="n"/>
      <c r="G398" s="242">
        <f>IF(ISNUMBER(F398),F398,IF(AND(ISNUMBER(C398),ISNUMBER(D398)),ROUND(MOD(D398-C398,1)*24-N(E398)/60,2),""))</f>
        <v/>
      </c>
      <c r="H398" s="241" t="n"/>
    </row>
    <row r="399">
      <c r="A399" s="241" t="n"/>
      <c r="B399" s="247" t="n"/>
      <c r="C399" s="248" t="n"/>
      <c r="D399" s="248" t="n"/>
      <c r="E399" s="249" t="n"/>
      <c r="F399" s="250" t="n"/>
      <c r="G399" s="242">
        <f>IF(ISNUMBER(F399),F399,IF(AND(ISNUMBER(C399),ISNUMBER(D399)),ROUND(MOD(D399-C399,1)*24-N(E399)/60,2),""))</f>
        <v/>
      </c>
      <c r="H399" s="241" t="n"/>
    </row>
    <row r="400">
      <c r="A400" s="241" t="n"/>
      <c r="B400" s="247" t="n"/>
      <c r="C400" s="248" t="n"/>
      <c r="D400" s="248" t="n"/>
      <c r="E400" s="249" t="n"/>
      <c r="F400" s="250" t="n"/>
      <c r="G400" s="242">
        <f>IF(ISNUMBER(F400),F400,IF(AND(ISNUMBER(C400),ISNUMBER(D400)),ROUND(MOD(D400-C400,1)*24-N(E400)/60,2),""))</f>
        <v/>
      </c>
      <c r="H400" s="241" t="n"/>
    </row>
    <row r="401">
      <c r="A401" s="241" t="n"/>
      <c r="B401" s="247" t="n"/>
      <c r="C401" s="248" t="n"/>
      <c r="D401" s="248" t="n"/>
      <c r="E401" s="249" t="n"/>
      <c r="F401" s="250" t="n"/>
      <c r="G401" s="242">
        <f>IF(ISNUMBER(F401),F401,IF(AND(ISNUMBER(C401),ISNUMBER(D401)),ROUND(MOD(D401-C401,1)*24-N(E401)/60,2),""))</f>
        <v/>
      </c>
      <c r="H401" s="241" t="n"/>
    </row>
    <row r="402">
      <c r="A402" s="241" t="n"/>
      <c r="B402" s="247" t="n"/>
      <c r="C402" s="248" t="n"/>
      <c r="D402" s="248" t="n"/>
      <c r="E402" s="249" t="n"/>
      <c r="F402" s="250" t="n"/>
      <c r="G402" s="242">
        <f>IF(ISNUMBER(F402),F402,IF(AND(ISNUMBER(C402),ISNUMBER(D402)),ROUND(MOD(D402-C402,1)*24-N(E402)/60,2),""))</f>
        <v/>
      </c>
      <c r="H402" s="241" t="n"/>
    </row>
    <row r="403">
      <c r="A403" s="241" t="n"/>
      <c r="B403" s="247" t="n"/>
      <c r="C403" s="248" t="n"/>
      <c r="D403" s="248" t="n"/>
      <c r="E403" s="249" t="n"/>
      <c r="F403" s="250" t="n"/>
      <c r="G403" s="242">
        <f>IF(ISNUMBER(F403),F403,IF(AND(ISNUMBER(C403),ISNUMBER(D403)),ROUND(MOD(D403-C403,1)*24-N(E403)/60,2),""))</f>
        <v/>
      </c>
      <c r="H403" s="241" t="n"/>
    </row>
    <row r="404">
      <c r="A404" s="241" t="n"/>
      <c r="B404" s="247" t="n"/>
      <c r="C404" s="248" t="n"/>
      <c r="D404" s="248" t="n"/>
      <c r="E404" s="249" t="n"/>
      <c r="F404" s="250" t="n"/>
      <c r="G404" s="242">
        <f>IF(ISNUMBER(F404),F404,IF(AND(ISNUMBER(C404),ISNUMBER(D404)),ROUND(MOD(D404-C404,1)*24-N(E404)/60,2),""))</f>
        <v/>
      </c>
      <c r="H404" s="241" t="n"/>
    </row>
    <row r="405">
      <c r="A405" s="241" t="n"/>
      <c r="B405" s="247" t="n"/>
      <c r="C405" s="248" t="n"/>
      <c r="D405" s="248" t="n"/>
      <c r="E405" s="249" t="n"/>
      <c r="F405" s="250" t="n"/>
      <c r="G405" s="242">
        <f>IF(ISNUMBER(F405),F405,IF(AND(ISNUMBER(C405),ISNUMBER(D405)),ROUND(MOD(D405-C405,1)*24-N(E405)/60,2),""))</f>
        <v/>
      </c>
      <c r="H405" s="241" t="n"/>
    </row>
    <row r="406">
      <c r="A406" s="241" t="n"/>
      <c r="B406" s="247" t="n"/>
      <c r="C406" s="248" t="n"/>
      <c r="D406" s="248" t="n"/>
      <c r="E406" s="249" t="n"/>
      <c r="F406" s="250" t="n"/>
      <c r="G406" s="242">
        <f>IF(ISNUMBER(F406),F406,IF(AND(ISNUMBER(C406),ISNUMBER(D406)),ROUND(MOD(D406-C406,1)*24-N(E406)/60,2),""))</f>
        <v/>
      </c>
      <c r="H406" s="241" t="n"/>
    </row>
    <row r="407">
      <c r="A407" s="241" t="n"/>
      <c r="B407" s="247" t="n"/>
      <c r="C407" s="248" t="n"/>
      <c r="D407" s="248" t="n"/>
      <c r="E407" s="249" t="n"/>
      <c r="F407" s="250" t="n"/>
      <c r="G407" s="242">
        <f>IF(ISNUMBER(F407),F407,IF(AND(ISNUMBER(C407),ISNUMBER(D407)),ROUND(MOD(D407-C407,1)*24-N(E407)/60,2),""))</f>
        <v/>
      </c>
      <c r="H407" s="241" t="n"/>
    </row>
    <row r="408">
      <c r="A408" s="241" t="n"/>
      <c r="B408" s="247" t="n"/>
      <c r="C408" s="248" t="n"/>
      <c r="D408" s="248" t="n"/>
      <c r="E408" s="249" t="n"/>
      <c r="F408" s="250" t="n"/>
      <c r="G408" s="242">
        <f>IF(ISNUMBER(F408),F408,IF(AND(ISNUMBER(C408),ISNUMBER(D408)),ROUND(MOD(D408-C408,1)*24-N(E408)/60,2),""))</f>
        <v/>
      </c>
      <c r="H408" s="241" t="n"/>
    </row>
    <row r="409">
      <c r="A409" s="241" t="n"/>
      <c r="B409" s="247" t="n"/>
      <c r="C409" s="248" t="n"/>
      <c r="D409" s="248" t="n"/>
      <c r="E409" s="249" t="n"/>
      <c r="F409" s="250" t="n"/>
      <c r="G409" s="242">
        <f>IF(ISNUMBER(F409),F409,IF(AND(ISNUMBER(C409),ISNUMBER(D409)),ROUND(MOD(D409-C409,1)*24-N(E409)/60,2),""))</f>
        <v/>
      </c>
      <c r="H409" s="241" t="n"/>
    </row>
    <row r="410">
      <c r="A410" s="241" t="n"/>
      <c r="B410" s="247" t="n"/>
      <c r="C410" s="248" t="n"/>
      <c r="D410" s="248" t="n"/>
      <c r="E410" s="249" t="n"/>
      <c r="F410" s="250" t="n"/>
      <c r="G410" s="242">
        <f>IF(ISNUMBER(F410),F410,IF(AND(ISNUMBER(C410),ISNUMBER(D410)),ROUND(MOD(D410-C410,1)*24-N(E410)/60,2),""))</f>
        <v/>
      </c>
      <c r="H410" s="241" t="n"/>
    </row>
    <row r="411">
      <c r="A411" s="241" t="n"/>
      <c r="B411" s="247" t="n"/>
      <c r="C411" s="248" t="n"/>
      <c r="D411" s="248" t="n"/>
      <c r="E411" s="249" t="n"/>
      <c r="F411" s="250" t="n"/>
      <c r="G411" s="242">
        <f>IF(ISNUMBER(F411),F411,IF(AND(ISNUMBER(C411),ISNUMBER(D411)),ROUND(MOD(D411-C411,1)*24-N(E411)/60,2),""))</f>
        <v/>
      </c>
      <c r="H411" s="241" t="n"/>
    </row>
    <row r="412">
      <c r="A412" s="241" t="n"/>
      <c r="B412" s="247" t="n"/>
      <c r="C412" s="248" t="n"/>
      <c r="D412" s="248" t="n"/>
      <c r="E412" s="249" t="n"/>
      <c r="F412" s="250" t="n"/>
      <c r="G412" s="242">
        <f>IF(ISNUMBER(F412),F412,IF(AND(ISNUMBER(C412),ISNUMBER(D412)),ROUND(MOD(D412-C412,1)*24-N(E412)/60,2),""))</f>
        <v/>
      </c>
      <c r="H412" s="241" t="n"/>
    </row>
    <row r="413">
      <c r="A413" s="241" t="n"/>
      <c r="B413" s="247" t="n"/>
      <c r="C413" s="248" t="n"/>
      <c r="D413" s="248" t="n"/>
      <c r="E413" s="249" t="n"/>
      <c r="F413" s="250" t="n"/>
      <c r="G413" s="242">
        <f>IF(ISNUMBER(F413),F413,IF(AND(ISNUMBER(C413),ISNUMBER(D413)),ROUND(MOD(D413-C413,1)*24-N(E413)/60,2),""))</f>
        <v/>
      </c>
      <c r="H413" s="241" t="n"/>
    </row>
    <row r="414">
      <c r="A414" s="241" t="n"/>
      <c r="B414" s="247" t="n"/>
      <c r="C414" s="248" t="n"/>
      <c r="D414" s="248" t="n"/>
      <c r="E414" s="249" t="n"/>
      <c r="F414" s="250" t="n"/>
      <c r="G414" s="242">
        <f>IF(ISNUMBER(F414),F414,IF(AND(ISNUMBER(C414),ISNUMBER(D414)),ROUND(MOD(D414-C414,1)*24-N(E414)/60,2),""))</f>
        <v/>
      </c>
      <c r="H414" s="241" t="n"/>
    </row>
    <row r="415">
      <c r="A415" s="241" t="n"/>
      <c r="B415" s="247" t="n"/>
      <c r="C415" s="248" t="n"/>
      <c r="D415" s="248" t="n"/>
      <c r="E415" s="249" t="n"/>
      <c r="F415" s="250" t="n"/>
      <c r="G415" s="242">
        <f>IF(ISNUMBER(F415),F415,IF(AND(ISNUMBER(C415),ISNUMBER(D415)),ROUND(MOD(D415-C415,1)*24-N(E415)/60,2),""))</f>
        <v/>
      </c>
      <c r="H415" s="241" t="n"/>
    </row>
    <row r="416">
      <c r="A416" s="241" t="n"/>
      <c r="B416" s="247" t="n"/>
      <c r="C416" s="248" t="n"/>
      <c r="D416" s="248" t="n"/>
      <c r="E416" s="249" t="n"/>
      <c r="F416" s="250" t="n"/>
      <c r="G416" s="242">
        <f>IF(ISNUMBER(F416),F416,IF(AND(ISNUMBER(C416),ISNUMBER(D416)),ROUND(MOD(D416-C416,1)*24-N(E416)/60,2),""))</f>
        <v/>
      </c>
      <c r="H416" s="241" t="n"/>
    </row>
    <row r="417">
      <c r="A417" s="241" t="n"/>
      <c r="B417" s="247" t="n"/>
      <c r="C417" s="248" t="n"/>
      <c r="D417" s="248" t="n"/>
      <c r="E417" s="249" t="n"/>
      <c r="F417" s="250" t="n"/>
      <c r="G417" s="242">
        <f>IF(ISNUMBER(F417),F417,IF(AND(ISNUMBER(C417),ISNUMBER(D417)),ROUND(MOD(D417-C417,1)*24-N(E417)/60,2),""))</f>
        <v/>
      </c>
      <c r="H417" s="241" t="n"/>
    </row>
    <row r="418">
      <c r="A418" s="241" t="n"/>
      <c r="B418" s="247" t="n"/>
      <c r="C418" s="248" t="n"/>
      <c r="D418" s="248" t="n"/>
      <c r="E418" s="249" t="n"/>
      <c r="F418" s="250" t="n"/>
      <c r="G418" s="242">
        <f>IF(ISNUMBER(F418),F418,IF(AND(ISNUMBER(C418),ISNUMBER(D418)),ROUND(MOD(D418-C418,1)*24-N(E418)/60,2),""))</f>
        <v/>
      </c>
      <c r="H418" s="241" t="n"/>
    </row>
    <row r="419">
      <c r="A419" s="241" t="n"/>
      <c r="B419" s="247" t="n"/>
      <c r="C419" s="248" t="n"/>
      <c r="D419" s="248" t="n"/>
      <c r="E419" s="249" t="n"/>
      <c r="F419" s="250" t="n"/>
      <c r="G419" s="242">
        <f>IF(ISNUMBER(F419),F419,IF(AND(ISNUMBER(C419),ISNUMBER(D419)),ROUND(MOD(D419-C419,1)*24-N(E419)/60,2),""))</f>
        <v/>
      </c>
      <c r="H419" s="241" t="n"/>
    </row>
    <row r="420">
      <c r="A420" s="241" t="n"/>
      <c r="B420" s="247" t="n"/>
      <c r="C420" s="248" t="n"/>
      <c r="D420" s="248" t="n"/>
      <c r="E420" s="249" t="n"/>
      <c r="F420" s="250" t="n"/>
      <c r="G420" s="242">
        <f>IF(ISNUMBER(F420),F420,IF(AND(ISNUMBER(C420),ISNUMBER(D420)),ROUND(MOD(D420-C420,1)*24-N(E420)/60,2),""))</f>
        <v/>
      </c>
      <c r="H420" s="241" t="n"/>
    </row>
    <row r="421">
      <c r="A421" s="241" t="n"/>
      <c r="B421" s="247" t="n"/>
      <c r="C421" s="248" t="n"/>
      <c r="D421" s="248" t="n"/>
      <c r="E421" s="249" t="n"/>
      <c r="F421" s="250" t="n"/>
      <c r="G421" s="242">
        <f>IF(ISNUMBER(F421),F421,IF(AND(ISNUMBER(C421),ISNUMBER(D421)),ROUND(MOD(D421-C421,1)*24-N(E421)/60,2),""))</f>
        <v/>
      </c>
      <c r="H421" s="241" t="n"/>
    </row>
    <row r="422">
      <c r="A422" s="241" t="n"/>
      <c r="B422" s="247" t="n"/>
      <c r="C422" s="248" t="n"/>
      <c r="D422" s="248" t="n"/>
      <c r="E422" s="249" t="n"/>
      <c r="F422" s="250" t="n"/>
      <c r="G422" s="242">
        <f>IF(ISNUMBER(F422),F422,IF(AND(ISNUMBER(C422),ISNUMBER(D422)),ROUND(MOD(D422-C422,1)*24-N(E422)/60,2),""))</f>
        <v/>
      </c>
      <c r="H422" s="241" t="n"/>
    </row>
    <row r="423">
      <c r="A423" s="241" t="n"/>
      <c r="B423" s="247" t="n"/>
      <c r="C423" s="248" t="n"/>
      <c r="D423" s="248" t="n"/>
      <c r="E423" s="249" t="n"/>
      <c r="F423" s="250" t="n"/>
      <c r="G423" s="242">
        <f>IF(ISNUMBER(F423),F423,IF(AND(ISNUMBER(C423),ISNUMBER(D423)),ROUND(MOD(D423-C423,1)*24-N(E423)/60,2),""))</f>
        <v/>
      </c>
      <c r="H423" s="241" t="n"/>
    </row>
    <row r="424">
      <c r="A424" s="241" t="n"/>
      <c r="B424" s="247" t="n"/>
      <c r="C424" s="248" t="n"/>
      <c r="D424" s="248" t="n"/>
      <c r="E424" s="249" t="n"/>
      <c r="F424" s="250" t="n"/>
      <c r="G424" s="242">
        <f>IF(ISNUMBER(F424),F424,IF(AND(ISNUMBER(C424),ISNUMBER(D424)),ROUND(MOD(D424-C424,1)*24-N(E424)/60,2),""))</f>
        <v/>
      </c>
      <c r="H424" s="241" t="n"/>
    </row>
    <row r="425">
      <c r="A425" s="241" t="n"/>
      <c r="B425" s="247" t="n"/>
      <c r="C425" s="248" t="n"/>
      <c r="D425" s="248" t="n"/>
      <c r="E425" s="249" t="n"/>
      <c r="F425" s="250" t="n"/>
      <c r="G425" s="242">
        <f>IF(ISNUMBER(F425),F425,IF(AND(ISNUMBER(C425),ISNUMBER(D425)),ROUND(MOD(D425-C425,1)*24-N(E425)/60,2),""))</f>
        <v/>
      </c>
      <c r="H425" s="241" t="n"/>
    </row>
    <row r="426">
      <c r="A426" s="241" t="n"/>
      <c r="B426" s="247" t="n"/>
      <c r="C426" s="248" t="n"/>
      <c r="D426" s="248" t="n"/>
      <c r="E426" s="249" t="n"/>
      <c r="F426" s="250" t="n"/>
      <c r="G426" s="242">
        <f>IF(ISNUMBER(F426),F426,IF(AND(ISNUMBER(C426),ISNUMBER(D426)),ROUND(MOD(D426-C426,1)*24-N(E426)/60,2),""))</f>
        <v/>
      </c>
      <c r="H426" s="241" t="n"/>
    </row>
    <row r="427">
      <c r="A427" s="241" t="n"/>
      <c r="B427" s="247" t="n"/>
      <c r="C427" s="248" t="n"/>
      <c r="D427" s="248" t="n"/>
      <c r="E427" s="249" t="n"/>
      <c r="F427" s="250" t="n"/>
      <c r="G427" s="242">
        <f>IF(ISNUMBER(F427),F427,IF(AND(ISNUMBER(C427),ISNUMBER(D427)),ROUND(MOD(D427-C427,1)*24-N(E427)/60,2),""))</f>
        <v/>
      </c>
      <c r="H427" s="241" t="n"/>
    </row>
    <row r="428">
      <c r="A428" s="241" t="n"/>
      <c r="B428" s="247" t="n"/>
      <c r="C428" s="248" t="n"/>
      <c r="D428" s="248" t="n"/>
      <c r="E428" s="249" t="n"/>
      <c r="F428" s="250" t="n"/>
      <c r="G428" s="242">
        <f>IF(ISNUMBER(F428),F428,IF(AND(ISNUMBER(C428),ISNUMBER(D428)),ROUND(MOD(D428-C428,1)*24-N(E428)/60,2),""))</f>
        <v/>
      </c>
      <c r="H428" s="241" t="n"/>
    </row>
    <row r="429">
      <c r="A429" s="241" t="n"/>
      <c r="B429" s="247" t="n"/>
      <c r="C429" s="248" t="n"/>
      <c r="D429" s="248" t="n"/>
      <c r="E429" s="249" t="n"/>
      <c r="F429" s="250" t="n"/>
      <c r="G429" s="242">
        <f>IF(ISNUMBER(F429),F429,IF(AND(ISNUMBER(C429),ISNUMBER(D429)),ROUND(MOD(D429-C429,1)*24-N(E429)/60,2),""))</f>
        <v/>
      </c>
      <c r="H429" s="241" t="n"/>
    </row>
    <row r="430">
      <c r="A430" s="241" t="n"/>
      <c r="B430" s="247" t="n"/>
      <c r="C430" s="248" t="n"/>
      <c r="D430" s="248" t="n"/>
      <c r="E430" s="249" t="n"/>
      <c r="F430" s="250" t="n"/>
      <c r="G430" s="242">
        <f>IF(ISNUMBER(F430),F430,IF(AND(ISNUMBER(C430),ISNUMBER(D430)),ROUND(MOD(D430-C430,1)*24-N(E430)/60,2),""))</f>
        <v/>
      </c>
      <c r="H430" s="241" t="n"/>
    </row>
    <row r="431">
      <c r="A431" s="241" t="n"/>
      <c r="B431" s="247" t="n"/>
      <c r="C431" s="248" t="n"/>
      <c r="D431" s="248" t="n"/>
      <c r="E431" s="249" t="n"/>
      <c r="F431" s="250" t="n"/>
      <c r="G431" s="242">
        <f>IF(ISNUMBER(F431),F431,IF(AND(ISNUMBER(C431),ISNUMBER(D431)),ROUND(MOD(D431-C431,1)*24-N(E431)/60,2),""))</f>
        <v/>
      </c>
      <c r="H431" s="241" t="n"/>
    </row>
    <row r="432">
      <c r="A432" s="241" t="n"/>
      <c r="B432" s="247" t="n"/>
      <c r="C432" s="248" t="n"/>
      <c r="D432" s="248" t="n"/>
      <c r="E432" s="249" t="n"/>
      <c r="F432" s="250" t="n"/>
      <c r="G432" s="242">
        <f>IF(ISNUMBER(F432),F432,IF(AND(ISNUMBER(C432),ISNUMBER(D432)),ROUND(MOD(D432-C432,1)*24-N(E432)/60,2),""))</f>
        <v/>
      </c>
      <c r="H432" s="241" t="n"/>
    </row>
    <row r="433">
      <c r="A433" s="241" t="n"/>
      <c r="B433" s="247" t="n"/>
      <c r="C433" s="248" t="n"/>
      <c r="D433" s="248" t="n"/>
      <c r="E433" s="249" t="n"/>
      <c r="F433" s="250" t="n"/>
      <c r="G433" s="242">
        <f>IF(ISNUMBER(F433),F433,IF(AND(ISNUMBER(C433),ISNUMBER(D433)),ROUND(MOD(D433-C433,1)*24-N(E433)/60,2),""))</f>
        <v/>
      </c>
      <c r="H433" s="241" t="n"/>
    </row>
    <row r="434">
      <c r="A434" s="241" t="n"/>
      <c r="B434" s="247" t="n"/>
      <c r="C434" s="248" t="n"/>
      <c r="D434" s="248" t="n"/>
      <c r="E434" s="249" t="n"/>
      <c r="F434" s="250" t="n"/>
      <c r="G434" s="242">
        <f>IF(ISNUMBER(F434),F434,IF(AND(ISNUMBER(C434),ISNUMBER(D434)),ROUND(MOD(D434-C434,1)*24-N(E434)/60,2),""))</f>
        <v/>
      </c>
      <c r="H434" s="241" t="n"/>
    </row>
    <row r="435">
      <c r="A435" s="241" t="n"/>
      <c r="B435" s="247" t="n"/>
      <c r="C435" s="248" t="n"/>
      <c r="D435" s="248" t="n"/>
      <c r="E435" s="249" t="n"/>
      <c r="F435" s="250" t="n"/>
      <c r="G435" s="242">
        <f>IF(ISNUMBER(F435),F435,IF(AND(ISNUMBER(C435),ISNUMBER(D435)),ROUND(MOD(D435-C435,1)*24-N(E435)/60,2),""))</f>
        <v/>
      </c>
      <c r="H435" s="241" t="n"/>
    </row>
    <row r="436">
      <c r="A436" s="241" t="n"/>
      <c r="B436" s="247" t="n"/>
      <c r="C436" s="248" t="n"/>
      <c r="D436" s="248" t="n"/>
      <c r="E436" s="249" t="n"/>
      <c r="F436" s="250" t="n"/>
      <c r="G436" s="242">
        <f>IF(ISNUMBER(F436),F436,IF(AND(ISNUMBER(C436),ISNUMBER(D436)),ROUND(MOD(D436-C436,1)*24-N(E436)/60,2),""))</f>
        <v/>
      </c>
      <c r="H436" s="241" t="n"/>
    </row>
    <row r="437">
      <c r="A437" s="241" t="n"/>
      <c r="B437" s="247" t="n"/>
      <c r="C437" s="248" t="n"/>
      <c r="D437" s="248" t="n"/>
      <c r="E437" s="249" t="n"/>
      <c r="F437" s="250" t="n"/>
      <c r="G437" s="242">
        <f>IF(ISNUMBER(F437),F437,IF(AND(ISNUMBER(C437),ISNUMBER(D437)),ROUND(MOD(D437-C437,1)*24-N(E437)/60,2),""))</f>
        <v/>
      </c>
      <c r="H437" s="241" t="n"/>
    </row>
    <row r="438">
      <c r="A438" s="241" t="n"/>
      <c r="B438" s="247" t="n"/>
      <c r="C438" s="248" t="n"/>
      <c r="D438" s="248" t="n"/>
      <c r="E438" s="249" t="n"/>
      <c r="F438" s="250" t="n"/>
      <c r="G438" s="242">
        <f>IF(ISNUMBER(F438),F438,IF(AND(ISNUMBER(C438),ISNUMBER(D438)),ROUND(MOD(D438-C438,1)*24-N(E438)/60,2),""))</f>
        <v/>
      </c>
      <c r="H438" s="241" t="n"/>
    </row>
    <row r="439">
      <c r="A439" s="241" t="n"/>
      <c r="B439" s="247" t="n"/>
      <c r="C439" s="248" t="n"/>
      <c r="D439" s="248" t="n"/>
      <c r="E439" s="249" t="n"/>
      <c r="F439" s="250" t="n"/>
      <c r="G439" s="242">
        <f>IF(ISNUMBER(F439),F439,IF(AND(ISNUMBER(C439),ISNUMBER(D439)),ROUND(MOD(D439-C439,1)*24-N(E439)/60,2),""))</f>
        <v/>
      </c>
      <c r="H439" s="241" t="n"/>
    </row>
    <row r="440">
      <c r="A440" s="241" t="n"/>
      <c r="B440" s="247" t="n"/>
      <c r="C440" s="248" t="n"/>
      <c r="D440" s="248" t="n"/>
      <c r="E440" s="249" t="n"/>
      <c r="F440" s="250" t="n"/>
      <c r="G440" s="242">
        <f>IF(ISNUMBER(F440),F440,IF(AND(ISNUMBER(C440),ISNUMBER(D440)),ROUND(MOD(D440-C440,1)*24-N(E440)/60,2),""))</f>
        <v/>
      </c>
      <c r="H440" s="241" t="n"/>
    </row>
    <row r="441">
      <c r="A441" s="241" t="n"/>
      <c r="B441" s="247" t="n"/>
      <c r="C441" s="248" t="n"/>
      <c r="D441" s="248" t="n"/>
      <c r="E441" s="249" t="n"/>
      <c r="F441" s="250" t="n"/>
      <c r="G441" s="242">
        <f>IF(ISNUMBER(F441),F441,IF(AND(ISNUMBER(C441),ISNUMBER(D441)),ROUND(MOD(D441-C441,1)*24-N(E441)/60,2),""))</f>
        <v/>
      </c>
      <c r="H441" s="241" t="n"/>
    </row>
    <row r="442">
      <c r="A442" s="241" t="n"/>
      <c r="B442" s="247" t="n"/>
      <c r="C442" s="248" t="n"/>
      <c r="D442" s="248" t="n"/>
      <c r="E442" s="249" t="n"/>
      <c r="F442" s="250" t="n"/>
      <c r="G442" s="242">
        <f>IF(ISNUMBER(F442),F442,IF(AND(ISNUMBER(C442),ISNUMBER(D442)),ROUND(MOD(D442-C442,1)*24-N(E442)/60,2),""))</f>
        <v/>
      </c>
      <c r="H442" s="241" t="n"/>
    </row>
    <row r="443">
      <c r="A443" s="241" t="n"/>
      <c r="B443" s="247" t="n"/>
      <c r="C443" s="248" t="n"/>
      <c r="D443" s="248" t="n"/>
      <c r="E443" s="249" t="n"/>
      <c r="F443" s="250" t="n"/>
      <c r="G443" s="242">
        <f>IF(ISNUMBER(F443),F443,IF(AND(ISNUMBER(C443),ISNUMBER(D443)),ROUND(MOD(D443-C443,1)*24-N(E443)/60,2),""))</f>
        <v/>
      </c>
      <c r="H443" s="241" t="n"/>
    </row>
    <row r="444">
      <c r="A444" s="241" t="n"/>
      <c r="B444" s="247" t="n"/>
      <c r="C444" s="248" t="n"/>
      <c r="D444" s="248" t="n"/>
      <c r="E444" s="249" t="n"/>
      <c r="F444" s="250" t="n"/>
      <c r="G444" s="242">
        <f>IF(ISNUMBER(F444),F444,IF(AND(ISNUMBER(C444),ISNUMBER(D444)),ROUND(MOD(D444-C444,1)*24-N(E444)/60,2),""))</f>
        <v/>
      </c>
      <c r="H444" s="241" t="n"/>
    </row>
    <row r="445">
      <c r="A445" s="241" t="n"/>
      <c r="B445" s="247" t="n"/>
      <c r="C445" s="248" t="n"/>
      <c r="D445" s="248" t="n"/>
      <c r="E445" s="249" t="n"/>
      <c r="F445" s="250" t="n"/>
      <c r="G445" s="242">
        <f>IF(ISNUMBER(F445),F445,IF(AND(ISNUMBER(C445),ISNUMBER(D445)),ROUND(MOD(D445-C445,1)*24-N(E445)/60,2),""))</f>
        <v/>
      </c>
      <c r="H445" s="241" t="n"/>
    </row>
    <row r="446">
      <c r="A446" s="241" t="n"/>
      <c r="B446" s="247" t="n"/>
      <c r="C446" s="248" t="n"/>
      <c r="D446" s="248" t="n"/>
      <c r="E446" s="249" t="n"/>
      <c r="F446" s="250" t="n"/>
      <c r="G446" s="242">
        <f>IF(ISNUMBER(F446),F446,IF(AND(ISNUMBER(C446),ISNUMBER(D446)),ROUND(MOD(D446-C446,1)*24-N(E446)/60,2),""))</f>
        <v/>
      </c>
      <c r="H446" s="241" t="n"/>
    </row>
    <row r="447">
      <c r="A447" s="241" t="n"/>
      <c r="B447" s="247" t="n"/>
      <c r="C447" s="248" t="n"/>
      <c r="D447" s="248" t="n"/>
      <c r="E447" s="249" t="n"/>
      <c r="F447" s="250" t="n"/>
      <c r="G447" s="242">
        <f>IF(ISNUMBER(F447),F447,IF(AND(ISNUMBER(C447),ISNUMBER(D447)),ROUND(MOD(D447-C447,1)*24-N(E447)/60,2),""))</f>
        <v/>
      </c>
      <c r="H447" s="241" t="n"/>
    </row>
    <row r="448">
      <c r="A448" s="241" t="n"/>
      <c r="B448" s="247" t="n"/>
      <c r="C448" s="248" t="n"/>
      <c r="D448" s="248" t="n"/>
      <c r="E448" s="249" t="n"/>
      <c r="F448" s="250" t="n"/>
      <c r="G448" s="242">
        <f>IF(ISNUMBER(F448),F448,IF(AND(ISNUMBER(C448),ISNUMBER(D448)),ROUND(MOD(D448-C448,1)*24-N(E448)/60,2),""))</f>
        <v/>
      </c>
      <c r="H448" s="241" t="n"/>
    </row>
    <row r="449">
      <c r="A449" s="241" t="n"/>
      <c r="B449" s="247" t="n"/>
      <c r="C449" s="248" t="n"/>
      <c r="D449" s="248" t="n"/>
      <c r="E449" s="249" t="n"/>
      <c r="F449" s="250" t="n"/>
      <c r="G449" s="242">
        <f>IF(ISNUMBER(F449),F449,IF(AND(ISNUMBER(C449),ISNUMBER(D449)),ROUND(MOD(D449-C449,1)*24-N(E449)/60,2),""))</f>
        <v/>
      </c>
      <c r="H449" s="241" t="n"/>
    </row>
    <row r="450">
      <c r="A450" s="241" t="n"/>
      <c r="B450" s="247" t="n"/>
      <c r="C450" s="248" t="n"/>
      <c r="D450" s="248" t="n"/>
      <c r="E450" s="249" t="n"/>
      <c r="F450" s="250" t="n"/>
      <c r="G450" s="242">
        <f>IF(ISNUMBER(F450),F450,IF(AND(ISNUMBER(C450),ISNUMBER(D450)),ROUND(MOD(D450-C450,1)*24-N(E450)/60,2),""))</f>
        <v/>
      </c>
      <c r="H450" s="241" t="n"/>
    </row>
    <row r="451">
      <c r="A451" s="241" t="n"/>
      <c r="B451" s="247" t="n"/>
      <c r="C451" s="248" t="n"/>
      <c r="D451" s="248" t="n"/>
      <c r="E451" s="249" t="n"/>
      <c r="F451" s="250" t="n"/>
      <c r="G451" s="242">
        <f>IF(ISNUMBER(F451),F451,IF(AND(ISNUMBER(C451),ISNUMBER(D451)),ROUND(MOD(D451-C451,1)*24-N(E451)/60,2),""))</f>
        <v/>
      </c>
      <c r="H451" s="241" t="n"/>
    </row>
    <row r="452">
      <c r="A452" s="241" t="n"/>
      <c r="B452" s="247" t="n"/>
      <c r="C452" s="248" t="n"/>
      <c r="D452" s="248" t="n"/>
      <c r="E452" s="249" t="n"/>
      <c r="F452" s="250" t="n"/>
      <c r="G452" s="242">
        <f>IF(ISNUMBER(F452),F452,IF(AND(ISNUMBER(C452),ISNUMBER(D452)),ROUND(MOD(D452-C452,1)*24-N(E452)/60,2),""))</f>
        <v/>
      </c>
      <c r="H452" s="241" t="n"/>
    </row>
    <row r="453">
      <c r="A453" s="241" t="n"/>
      <c r="B453" s="247" t="n"/>
      <c r="C453" s="248" t="n"/>
      <c r="D453" s="248" t="n"/>
      <c r="E453" s="249" t="n"/>
      <c r="F453" s="250" t="n"/>
      <c r="G453" s="242">
        <f>IF(ISNUMBER(F453),F453,IF(AND(ISNUMBER(C453),ISNUMBER(D453)),ROUND(MOD(D453-C453,1)*24-N(E453)/60,2),""))</f>
        <v/>
      </c>
      <c r="H453" s="241" t="n"/>
    </row>
    <row r="454">
      <c r="A454" s="241" t="n"/>
      <c r="B454" s="247" t="n"/>
      <c r="C454" s="248" t="n"/>
      <c r="D454" s="248" t="n"/>
      <c r="E454" s="249" t="n"/>
      <c r="F454" s="250" t="n"/>
      <c r="G454" s="242">
        <f>IF(ISNUMBER(F454),F454,IF(AND(ISNUMBER(C454),ISNUMBER(D454)),ROUND(MOD(D454-C454,1)*24-N(E454)/60,2),""))</f>
        <v/>
      </c>
      <c r="H454" s="241" t="n"/>
    </row>
    <row r="455">
      <c r="A455" s="241" t="n"/>
      <c r="B455" s="247" t="n"/>
      <c r="C455" s="248" t="n"/>
      <c r="D455" s="248" t="n"/>
      <c r="E455" s="249" t="n"/>
      <c r="F455" s="250" t="n"/>
      <c r="G455" s="242">
        <f>IF(ISNUMBER(F455),F455,IF(AND(ISNUMBER(C455),ISNUMBER(D455)),ROUND(MOD(D455-C455,1)*24-N(E455)/60,2),""))</f>
        <v/>
      </c>
      <c r="H455" s="241" t="n"/>
    </row>
    <row r="456">
      <c r="A456" s="241" t="n"/>
      <c r="B456" s="247" t="n"/>
      <c r="C456" s="248" t="n"/>
      <c r="D456" s="248" t="n"/>
      <c r="E456" s="249" t="n"/>
      <c r="F456" s="250" t="n"/>
      <c r="G456" s="242">
        <f>IF(ISNUMBER(F456),F456,IF(AND(ISNUMBER(C456),ISNUMBER(D456)),ROUND(MOD(D456-C456,1)*24-N(E456)/60,2),""))</f>
        <v/>
      </c>
      <c r="H456" s="241" t="n"/>
    </row>
    <row r="457">
      <c r="A457" s="241" t="n"/>
      <c r="B457" s="247" t="n"/>
      <c r="C457" s="248" t="n"/>
      <c r="D457" s="248" t="n"/>
      <c r="E457" s="249" t="n"/>
      <c r="F457" s="250" t="n"/>
      <c r="G457" s="242">
        <f>IF(ISNUMBER(F457),F457,IF(AND(ISNUMBER(C457),ISNUMBER(D457)),ROUND(MOD(D457-C457,1)*24-N(E457)/60,2),""))</f>
        <v/>
      </c>
      <c r="H457" s="241" t="n"/>
    </row>
    <row r="458">
      <c r="A458" s="241" t="n"/>
      <c r="B458" s="247" t="n"/>
      <c r="C458" s="248" t="n"/>
      <c r="D458" s="248" t="n"/>
      <c r="E458" s="249" t="n"/>
      <c r="F458" s="250" t="n"/>
      <c r="G458" s="242">
        <f>IF(ISNUMBER(F458),F458,IF(AND(ISNUMBER(C458),ISNUMBER(D458)),ROUND(MOD(D458-C458,1)*24-N(E458)/60,2),""))</f>
        <v/>
      </c>
      <c r="H458" s="241" t="n"/>
    </row>
    <row r="459">
      <c r="A459" s="241" t="n"/>
      <c r="B459" s="247" t="n"/>
      <c r="C459" s="248" t="n"/>
      <c r="D459" s="248" t="n"/>
      <c r="E459" s="249" t="n"/>
      <c r="F459" s="250" t="n"/>
      <c r="G459" s="242">
        <f>IF(ISNUMBER(F459),F459,IF(AND(ISNUMBER(C459),ISNUMBER(D459)),ROUND(MOD(D459-C459,1)*24-N(E459)/60,2),""))</f>
        <v/>
      </c>
      <c r="H459" s="241" t="n"/>
    </row>
    <row r="460">
      <c r="A460" s="241" t="n"/>
      <c r="B460" s="247" t="n"/>
      <c r="C460" s="248" t="n"/>
      <c r="D460" s="248" t="n"/>
      <c r="E460" s="249" t="n"/>
      <c r="F460" s="250" t="n"/>
      <c r="G460" s="242">
        <f>IF(ISNUMBER(F460),F460,IF(AND(ISNUMBER(C460),ISNUMBER(D460)),ROUND(MOD(D460-C460,1)*24-N(E460)/60,2),""))</f>
        <v/>
      </c>
      <c r="H460" s="241" t="n"/>
    </row>
    <row r="461">
      <c r="A461" s="241" t="n"/>
      <c r="B461" s="247" t="n"/>
      <c r="C461" s="248" t="n"/>
      <c r="D461" s="248" t="n"/>
      <c r="E461" s="249" t="n"/>
      <c r="F461" s="250" t="n"/>
      <c r="G461" s="242">
        <f>IF(ISNUMBER(F461),F461,IF(AND(ISNUMBER(C461),ISNUMBER(D461)),ROUND(MOD(D461-C461,1)*24-N(E461)/60,2),""))</f>
        <v/>
      </c>
      <c r="H461" s="241" t="n"/>
    </row>
    <row r="462">
      <c r="A462" s="241" t="n"/>
      <c r="B462" s="247" t="n"/>
      <c r="C462" s="248" t="n"/>
      <c r="D462" s="248" t="n"/>
      <c r="E462" s="249" t="n"/>
      <c r="F462" s="250" t="n"/>
      <c r="G462" s="242">
        <f>IF(ISNUMBER(F462),F462,IF(AND(ISNUMBER(C462),ISNUMBER(D462)),ROUND(MOD(D462-C462,1)*24-N(E462)/60,2),""))</f>
        <v/>
      </c>
      <c r="H462" s="241" t="n"/>
    </row>
    <row r="463">
      <c r="A463" s="241" t="n"/>
      <c r="B463" s="247" t="n"/>
      <c r="C463" s="248" t="n"/>
      <c r="D463" s="248" t="n"/>
      <c r="E463" s="249" t="n"/>
      <c r="F463" s="250" t="n"/>
      <c r="G463" s="242">
        <f>IF(ISNUMBER(F463),F463,IF(AND(ISNUMBER(C463),ISNUMBER(D463)),ROUND(MOD(D463-C463,1)*24-N(E463)/60,2),""))</f>
        <v/>
      </c>
      <c r="H463" s="241" t="n"/>
    </row>
    <row r="464">
      <c r="A464" s="241" t="n"/>
      <c r="B464" s="247" t="n"/>
      <c r="C464" s="248" t="n"/>
      <c r="D464" s="248" t="n"/>
      <c r="E464" s="249" t="n"/>
      <c r="F464" s="250" t="n"/>
      <c r="G464" s="242">
        <f>IF(ISNUMBER(F464),F464,IF(AND(ISNUMBER(C464),ISNUMBER(D464)),ROUND(MOD(D464-C464,1)*24-N(E464)/60,2),""))</f>
        <v/>
      </c>
      <c r="H464" s="241" t="n"/>
    </row>
    <row r="465">
      <c r="A465" s="241" t="n"/>
      <c r="B465" s="247" t="n"/>
      <c r="C465" s="248" t="n"/>
      <c r="D465" s="248" t="n"/>
      <c r="E465" s="249" t="n"/>
      <c r="F465" s="250" t="n"/>
      <c r="G465" s="242">
        <f>IF(ISNUMBER(F465),F465,IF(AND(ISNUMBER(C465),ISNUMBER(D465)),ROUND(MOD(D465-C465,1)*24-N(E465)/60,2),""))</f>
        <v/>
      </c>
      <c r="H465" s="241" t="n"/>
    </row>
    <row r="466">
      <c r="A466" s="241" t="n"/>
      <c r="B466" s="247" t="n"/>
      <c r="C466" s="248" t="n"/>
      <c r="D466" s="248" t="n"/>
      <c r="E466" s="249" t="n"/>
      <c r="F466" s="250" t="n"/>
      <c r="G466" s="242">
        <f>IF(ISNUMBER(F466),F466,IF(AND(ISNUMBER(C466),ISNUMBER(D466)),ROUND(MOD(D466-C466,1)*24-N(E466)/60,2),""))</f>
        <v/>
      </c>
      <c r="H466" s="241" t="n"/>
    </row>
    <row r="467">
      <c r="A467" s="241" t="n"/>
      <c r="B467" s="247" t="n"/>
      <c r="C467" s="248" t="n"/>
      <c r="D467" s="248" t="n"/>
      <c r="E467" s="249" t="n"/>
      <c r="F467" s="250" t="n"/>
      <c r="G467" s="242">
        <f>IF(ISNUMBER(F467),F467,IF(AND(ISNUMBER(C467),ISNUMBER(D467)),ROUND(MOD(D467-C467,1)*24-N(E467)/60,2),""))</f>
        <v/>
      </c>
      <c r="H467" s="241" t="n"/>
    </row>
    <row r="468">
      <c r="A468" s="241" t="n"/>
      <c r="B468" s="247" t="n"/>
      <c r="C468" s="248" t="n"/>
      <c r="D468" s="248" t="n"/>
      <c r="E468" s="249" t="n"/>
      <c r="F468" s="250" t="n"/>
      <c r="G468" s="242">
        <f>IF(ISNUMBER(F468),F468,IF(AND(ISNUMBER(C468),ISNUMBER(D468)),ROUND(MOD(D468-C468,1)*24-N(E468)/60,2),""))</f>
        <v/>
      </c>
      <c r="H468" s="241" t="n"/>
    </row>
    <row r="469">
      <c r="A469" s="241" t="n"/>
      <c r="B469" s="247" t="n"/>
      <c r="C469" s="248" t="n"/>
      <c r="D469" s="248" t="n"/>
      <c r="E469" s="249" t="n"/>
      <c r="F469" s="250" t="n"/>
      <c r="G469" s="242">
        <f>IF(ISNUMBER(F469),F469,IF(AND(ISNUMBER(C469),ISNUMBER(D469)),ROUND(MOD(D469-C469,1)*24-N(E469)/60,2),""))</f>
        <v/>
      </c>
      <c r="H469" s="241" t="n"/>
    </row>
    <row r="470">
      <c r="A470" s="241" t="n"/>
      <c r="B470" s="247" t="n"/>
      <c r="C470" s="248" t="n"/>
      <c r="D470" s="248" t="n"/>
      <c r="E470" s="249" t="n"/>
      <c r="F470" s="250" t="n"/>
      <c r="G470" s="242">
        <f>IF(ISNUMBER(F470),F470,IF(AND(ISNUMBER(C470),ISNUMBER(D470)),ROUND(MOD(D470-C470,1)*24-N(E470)/60,2),""))</f>
        <v/>
      </c>
      <c r="H470" s="241" t="n"/>
    </row>
    <row r="471">
      <c r="A471" s="241" t="n"/>
      <c r="B471" s="247" t="n"/>
      <c r="C471" s="248" t="n"/>
      <c r="D471" s="248" t="n"/>
      <c r="E471" s="249" t="n"/>
      <c r="F471" s="250" t="n"/>
      <c r="G471" s="242">
        <f>IF(ISNUMBER(F471),F471,IF(AND(ISNUMBER(C471),ISNUMBER(D471)),ROUND(MOD(D471-C471,1)*24-N(E471)/60,2),""))</f>
        <v/>
      </c>
      <c r="H471" s="241" t="n"/>
    </row>
    <row r="472">
      <c r="A472" s="241" t="n"/>
      <c r="B472" s="247" t="n"/>
      <c r="C472" s="248" t="n"/>
      <c r="D472" s="248" t="n"/>
      <c r="E472" s="249" t="n"/>
      <c r="F472" s="250" t="n"/>
      <c r="G472" s="242">
        <f>IF(ISNUMBER(F472),F472,IF(AND(ISNUMBER(C472),ISNUMBER(D472)),ROUND(MOD(D472-C472,1)*24-N(E472)/60,2),""))</f>
        <v/>
      </c>
      <c r="H472" s="241" t="n"/>
    </row>
    <row r="473">
      <c r="A473" s="241" t="n"/>
      <c r="B473" s="247" t="n"/>
      <c r="C473" s="248" t="n"/>
      <c r="D473" s="248" t="n"/>
      <c r="E473" s="249" t="n"/>
      <c r="F473" s="250" t="n"/>
      <c r="G473" s="242">
        <f>IF(ISNUMBER(F473),F473,IF(AND(ISNUMBER(C473),ISNUMBER(D473)),ROUND(MOD(D473-C473,1)*24-N(E473)/60,2),""))</f>
        <v/>
      </c>
      <c r="H473" s="241" t="n"/>
    </row>
    <row r="474">
      <c r="A474" s="241" t="n"/>
      <c r="B474" s="247" t="n"/>
      <c r="C474" s="248" t="n"/>
      <c r="D474" s="248" t="n"/>
      <c r="E474" s="249" t="n"/>
      <c r="F474" s="250" t="n"/>
      <c r="G474" s="242">
        <f>IF(ISNUMBER(F474),F474,IF(AND(ISNUMBER(C474),ISNUMBER(D474)),ROUND(MOD(D474-C474,1)*24-N(E474)/60,2),""))</f>
        <v/>
      </c>
      <c r="H474" s="241" t="n"/>
    </row>
    <row r="475">
      <c r="A475" s="241" t="n"/>
      <c r="B475" s="247" t="n"/>
      <c r="C475" s="248" t="n"/>
      <c r="D475" s="248" t="n"/>
      <c r="E475" s="249" t="n"/>
      <c r="F475" s="250" t="n"/>
      <c r="G475" s="242">
        <f>IF(ISNUMBER(F475),F475,IF(AND(ISNUMBER(C475),ISNUMBER(D475)),ROUND(MOD(D475-C475,1)*24-N(E475)/60,2),""))</f>
        <v/>
      </c>
      <c r="H475" s="241" t="n"/>
    </row>
    <row r="476">
      <c r="A476" s="241" t="n"/>
      <c r="B476" s="247" t="n"/>
      <c r="C476" s="248" t="n"/>
      <c r="D476" s="248" t="n"/>
      <c r="E476" s="249" t="n"/>
      <c r="F476" s="250" t="n"/>
      <c r="G476" s="242">
        <f>IF(ISNUMBER(F476),F476,IF(AND(ISNUMBER(C476),ISNUMBER(D476)),ROUND(MOD(D476-C476,1)*24-N(E476)/60,2),""))</f>
        <v/>
      </c>
      <c r="H476" s="241" t="n"/>
    </row>
    <row r="477">
      <c r="A477" s="241" t="n"/>
      <c r="B477" s="247" t="n"/>
      <c r="C477" s="248" t="n"/>
      <c r="D477" s="248" t="n"/>
      <c r="E477" s="249" t="n"/>
      <c r="F477" s="250" t="n"/>
      <c r="G477" s="242">
        <f>IF(ISNUMBER(F477),F477,IF(AND(ISNUMBER(C477),ISNUMBER(D477)),ROUND(MOD(D477-C477,1)*24-N(E477)/60,2),""))</f>
        <v/>
      </c>
      <c r="H477" s="241" t="n"/>
    </row>
    <row r="478">
      <c r="A478" s="241" t="n"/>
      <c r="B478" s="247" t="n"/>
      <c r="C478" s="248" t="n"/>
      <c r="D478" s="248" t="n"/>
      <c r="E478" s="249" t="n"/>
      <c r="F478" s="250" t="n"/>
      <c r="G478" s="242">
        <f>IF(ISNUMBER(F478),F478,IF(AND(ISNUMBER(C478),ISNUMBER(D478)),ROUND(MOD(D478-C478,1)*24-N(E478)/60,2),""))</f>
        <v/>
      </c>
      <c r="H478" s="241" t="n"/>
    </row>
    <row r="479">
      <c r="A479" s="241" t="n"/>
      <c r="B479" s="247" t="n"/>
      <c r="C479" s="248" t="n"/>
      <c r="D479" s="248" t="n"/>
      <c r="E479" s="249" t="n"/>
      <c r="F479" s="250" t="n"/>
      <c r="G479" s="242">
        <f>IF(ISNUMBER(F479),F479,IF(AND(ISNUMBER(C479),ISNUMBER(D479)),ROUND(MOD(D479-C479,1)*24-N(E479)/60,2),""))</f>
        <v/>
      </c>
      <c r="H479" s="241" t="n"/>
    </row>
    <row r="480">
      <c r="A480" s="241" t="n"/>
      <c r="B480" s="247" t="n"/>
      <c r="C480" s="248" t="n"/>
      <c r="D480" s="248" t="n"/>
      <c r="E480" s="249" t="n"/>
      <c r="F480" s="250" t="n"/>
      <c r="G480" s="242">
        <f>IF(ISNUMBER(F480),F480,IF(AND(ISNUMBER(C480),ISNUMBER(D480)),ROUND(MOD(D480-C480,1)*24-N(E480)/60,2),""))</f>
        <v/>
      </c>
      <c r="H480" s="241" t="n"/>
    </row>
    <row r="481">
      <c r="A481" s="241" t="n"/>
      <c r="B481" s="247" t="n"/>
      <c r="C481" s="248" t="n"/>
      <c r="D481" s="248" t="n"/>
      <c r="E481" s="249" t="n"/>
      <c r="F481" s="250" t="n"/>
      <c r="G481" s="242">
        <f>IF(ISNUMBER(F481),F481,IF(AND(ISNUMBER(C481),ISNUMBER(D481)),ROUND(MOD(D481-C481,1)*24-N(E481)/60,2),""))</f>
        <v/>
      </c>
      <c r="H481" s="241" t="n"/>
    </row>
    <row r="482">
      <c r="A482" s="241" t="n"/>
      <c r="B482" s="247" t="n"/>
      <c r="C482" s="248" t="n"/>
      <c r="D482" s="248" t="n"/>
      <c r="E482" s="249" t="n"/>
      <c r="F482" s="250" t="n"/>
      <c r="G482" s="242">
        <f>IF(ISNUMBER(F482),F482,IF(AND(ISNUMBER(C482),ISNUMBER(D482)),ROUND(MOD(D482-C482,1)*24-N(E482)/60,2),""))</f>
        <v/>
      </c>
      <c r="H482" s="241" t="n"/>
    </row>
    <row r="483">
      <c r="A483" s="241" t="n"/>
      <c r="B483" s="247" t="n"/>
      <c r="C483" s="248" t="n"/>
      <c r="D483" s="248" t="n"/>
      <c r="E483" s="249" t="n"/>
      <c r="F483" s="250" t="n"/>
      <c r="G483" s="242">
        <f>IF(ISNUMBER(F483),F483,IF(AND(ISNUMBER(C483),ISNUMBER(D483)),ROUND(MOD(D483-C483,1)*24-N(E483)/60,2),""))</f>
        <v/>
      </c>
      <c r="H483" s="241" t="n"/>
    </row>
    <row r="484">
      <c r="A484" s="241" t="n"/>
      <c r="B484" s="247" t="n"/>
      <c r="C484" s="248" t="n"/>
      <c r="D484" s="248" t="n"/>
      <c r="E484" s="249" t="n"/>
      <c r="F484" s="250" t="n"/>
      <c r="G484" s="242">
        <f>IF(ISNUMBER(F484),F484,IF(AND(ISNUMBER(C484),ISNUMBER(D484)),ROUND(MOD(D484-C484,1)*24-N(E484)/60,2),""))</f>
        <v/>
      </c>
      <c r="H484" s="241" t="n"/>
    </row>
    <row r="485">
      <c r="A485" s="241" t="n"/>
      <c r="B485" s="247" t="n"/>
      <c r="C485" s="248" t="n"/>
      <c r="D485" s="248" t="n"/>
      <c r="E485" s="249" t="n"/>
      <c r="F485" s="250" t="n"/>
      <c r="G485" s="242">
        <f>IF(ISNUMBER(F485),F485,IF(AND(ISNUMBER(C485),ISNUMBER(D485)),ROUND(MOD(D485-C485,1)*24-N(E485)/60,2),""))</f>
        <v/>
      </c>
      <c r="H485" s="241" t="n"/>
    </row>
    <row r="486">
      <c r="A486" s="241" t="n"/>
      <c r="B486" s="247" t="n"/>
      <c r="C486" s="248" t="n"/>
      <c r="D486" s="248" t="n"/>
      <c r="E486" s="249" t="n"/>
      <c r="F486" s="250" t="n"/>
      <c r="G486" s="242">
        <f>IF(ISNUMBER(F486),F486,IF(AND(ISNUMBER(C486),ISNUMBER(D486)),ROUND(MOD(D486-C486,1)*24-N(E486)/60,2),""))</f>
        <v/>
      </c>
      <c r="H486" s="241" t="n"/>
    </row>
    <row r="487">
      <c r="A487" s="241" t="n"/>
      <c r="B487" s="247" t="n"/>
      <c r="C487" s="248" t="n"/>
      <c r="D487" s="248" t="n"/>
      <c r="E487" s="249" t="n"/>
      <c r="F487" s="250" t="n"/>
      <c r="G487" s="242">
        <f>IF(ISNUMBER(F487),F487,IF(AND(ISNUMBER(C487),ISNUMBER(D487)),ROUND(MOD(D487-C487,1)*24-N(E487)/60,2),""))</f>
        <v/>
      </c>
      <c r="H487" s="241" t="n"/>
    </row>
    <row r="488">
      <c r="A488" s="241" t="n"/>
      <c r="B488" s="247" t="n"/>
      <c r="C488" s="248" t="n"/>
      <c r="D488" s="248" t="n"/>
      <c r="E488" s="249" t="n"/>
      <c r="F488" s="250" t="n"/>
      <c r="G488" s="242">
        <f>IF(ISNUMBER(F488),F488,IF(AND(ISNUMBER(C488),ISNUMBER(D488)),ROUND(MOD(D488-C488,1)*24-N(E488)/60,2),""))</f>
        <v/>
      </c>
      <c r="H488" s="241" t="n"/>
    </row>
    <row r="489">
      <c r="A489" s="241" t="n"/>
      <c r="B489" s="247" t="n"/>
      <c r="C489" s="248" t="n"/>
      <c r="D489" s="248" t="n"/>
      <c r="E489" s="249" t="n"/>
      <c r="F489" s="250" t="n"/>
      <c r="G489" s="242">
        <f>IF(ISNUMBER(F489),F489,IF(AND(ISNUMBER(C489),ISNUMBER(D489)),ROUND(MOD(D489-C489,1)*24-N(E489)/60,2),""))</f>
        <v/>
      </c>
      <c r="H489" s="241" t="n"/>
    </row>
    <row r="490">
      <c r="A490" s="241" t="n"/>
      <c r="B490" s="247" t="n"/>
      <c r="C490" s="248" t="n"/>
      <c r="D490" s="248" t="n"/>
      <c r="E490" s="249" t="n"/>
      <c r="F490" s="250" t="n"/>
      <c r="G490" s="242">
        <f>IF(ISNUMBER(F490),F490,IF(AND(ISNUMBER(C490),ISNUMBER(D490)),ROUND(MOD(D490-C490,1)*24-N(E490)/60,2),""))</f>
        <v/>
      </c>
      <c r="H490" s="241" t="n"/>
    </row>
    <row r="491">
      <c r="A491" s="241" t="n"/>
      <c r="B491" s="247" t="n"/>
      <c r="C491" s="248" t="n"/>
      <c r="D491" s="248" t="n"/>
      <c r="E491" s="249" t="n"/>
      <c r="F491" s="250" t="n"/>
      <c r="G491" s="242">
        <f>IF(ISNUMBER(F491),F491,IF(AND(ISNUMBER(C491),ISNUMBER(D491)),ROUND(MOD(D491-C491,1)*24-N(E491)/60,2),""))</f>
        <v/>
      </c>
      <c r="H491" s="241" t="n"/>
    </row>
    <row r="492">
      <c r="A492" s="241" t="n"/>
      <c r="B492" s="247" t="n"/>
      <c r="C492" s="248" t="n"/>
      <c r="D492" s="248" t="n"/>
      <c r="E492" s="249" t="n"/>
      <c r="F492" s="250" t="n"/>
      <c r="G492" s="242">
        <f>IF(ISNUMBER(F492),F492,IF(AND(ISNUMBER(C492),ISNUMBER(D492)),ROUND(MOD(D492-C492,1)*24-N(E492)/60,2),""))</f>
        <v/>
      </c>
      <c r="H492" s="241" t="n"/>
    </row>
    <row r="493">
      <c r="A493" s="241" t="n"/>
      <c r="B493" s="247" t="n"/>
      <c r="C493" s="248" t="n"/>
      <c r="D493" s="248" t="n"/>
      <c r="E493" s="249" t="n"/>
      <c r="F493" s="250" t="n"/>
      <c r="G493" s="242">
        <f>IF(ISNUMBER(F493),F493,IF(AND(ISNUMBER(C493),ISNUMBER(D493)),ROUND(MOD(D493-C493,1)*24-N(E493)/60,2),""))</f>
        <v/>
      </c>
      <c r="H493" s="241" t="n"/>
    </row>
    <row r="494">
      <c r="A494" s="241" t="n"/>
      <c r="B494" s="247" t="n"/>
      <c r="C494" s="248" t="n"/>
      <c r="D494" s="248" t="n"/>
      <c r="E494" s="249" t="n"/>
      <c r="F494" s="250" t="n"/>
      <c r="G494" s="242">
        <f>IF(ISNUMBER(F494),F494,IF(AND(ISNUMBER(C494),ISNUMBER(D494)),ROUND(MOD(D494-C494,1)*24-N(E494)/60,2),""))</f>
        <v/>
      </c>
      <c r="H494" s="241" t="n"/>
    </row>
    <row r="495">
      <c r="A495" s="241" t="n"/>
      <c r="B495" s="247" t="n"/>
      <c r="C495" s="248" t="n"/>
      <c r="D495" s="248" t="n"/>
      <c r="E495" s="249" t="n"/>
      <c r="F495" s="250" t="n"/>
      <c r="G495" s="242">
        <f>IF(ISNUMBER(F495),F495,IF(AND(ISNUMBER(C495),ISNUMBER(D495)),ROUND(MOD(D495-C495,1)*24-N(E495)/60,2),""))</f>
        <v/>
      </c>
      <c r="H495" s="241" t="n"/>
    </row>
    <row r="496">
      <c r="A496" s="241" t="n"/>
      <c r="B496" s="247" t="n"/>
      <c r="C496" s="248" t="n"/>
      <c r="D496" s="248" t="n"/>
      <c r="E496" s="249" t="n"/>
      <c r="F496" s="250" t="n"/>
      <c r="G496" s="242">
        <f>IF(ISNUMBER(F496),F496,IF(AND(ISNUMBER(C496),ISNUMBER(D496)),ROUND(MOD(D496-C496,1)*24-N(E496)/60,2),""))</f>
        <v/>
      </c>
      <c r="H496" s="241" t="n"/>
    </row>
    <row r="497">
      <c r="A497" s="241" t="n"/>
      <c r="B497" s="247" t="n"/>
      <c r="C497" s="248" t="n"/>
      <c r="D497" s="248" t="n"/>
      <c r="E497" s="249" t="n"/>
      <c r="F497" s="250" t="n"/>
      <c r="G497" s="242">
        <f>IF(ISNUMBER(F497),F497,IF(AND(ISNUMBER(C497),ISNUMBER(D497)),ROUND(MOD(D497-C497,1)*24-N(E497)/60,2),""))</f>
        <v/>
      </c>
      <c r="H497" s="241" t="n"/>
    </row>
    <row r="498">
      <c r="A498" s="241" t="n"/>
      <c r="B498" s="247" t="n"/>
      <c r="C498" s="248" t="n"/>
      <c r="D498" s="248" t="n"/>
      <c r="E498" s="249" t="n"/>
      <c r="F498" s="250" t="n"/>
      <c r="G498" s="242">
        <f>IF(ISNUMBER(F498),F498,IF(AND(ISNUMBER(C498),ISNUMBER(D498)),ROUND(MOD(D498-C498,1)*24-N(E498)/60,2),""))</f>
        <v/>
      </c>
      <c r="H498" s="241" t="n"/>
    </row>
    <row r="499">
      <c r="A499" s="241" t="n"/>
      <c r="B499" s="247" t="n"/>
      <c r="C499" s="248" t="n"/>
      <c r="D499" s="248" t="n"/>
      <c r="E499" s="249" t="n"/>
      <c r="F499" s="250" t="n"/>
      <c r="G499" s="242">
        <f>IF(ISNUMBER(F499),F499,IF(AND(ISNUMBER(C499),ISNUMBER(D499)),ROUND(MOD(D499-C499,1)*24-N(E499)/60,2),""))</f>
        <v/>
      </c>
      <c r="H499" s="241" t="n"/>
    </row>
    <row r="500">
      <c r="A500" s="241" t="n"/>
      <c r="B500" s="247" t="n"/>
      <c r="C500" s="248" t="n"/>
      <c r="D500" s="248" t="n"/>
      <c r="E500" s="249" t="n"/>
      <c r="F500" s="250" t="n"/>
      <c r="G500" s="242">
        <f>IF(ISNUMBER(F500),F500,IF(AND(ISNUMBER(C500),ISNUMBER(D500)),ROUND(MOD(D500-C500,1)*24-N(E500)/60,2),""))</f>
        <v/>
      </c>
      <c r="H500" s="241" t="n"/>
    </row>
    <row r="501">
      <c r="A501" s="241" t="n"/>
      <c r="B501" s="247" t="n"/>
      <c r="C501" s="248" t="n"/>
      <c r="D501" s="248" t="n"/>
      <c r="E501" s="249" t="n"/>
      <c r="F501" s="250" t="n"/>
      <c r="G501" s="242">
        <f>IF(ISNUMBER(F501),F501,IF(AND(ISNUMBER(C501),ISNUMBER(D501)),ROUND(MOD(D501-C501,1)*24-N(E501)/60,2),""))</f>
        <v/>
      </c>
      <c r="H501" s="241" t="n"/>
    </row>
    <row r="502">
      <c r="A502" s="241" t="n"/>
      <c r="B502" s="247" t="n"/>
      <c r="C502" s="248" t="n"/>
      <c r="D502" s="248" t="n"/>
      <c r="E502" s="249" t="n"/>
      <c r="F502" s="250" t="n"/>
      <c r="G502" s="242">
        <f>IF(ISNUMBER(F502),F502,IF(AND(ISNUMBER(C502),ISNUMBER(D502)),ROUND(MOD(D502-C502,1)*24-N(E502)/60,2),""))</f>
        <v/>
      </c>
      <c r="H502" s="241" t="n"/>
    </row>
    <row r="503">
      <c r="A503" s="241" t="n"/>
      <c r="B503" s="247" t="n"/>
      <c r="C503" s="248" t="n"/>
      <c r="D503" s="248" t="n"/>
      <c r="E503" s="249" t="n"/>
      <c r="F503" s="250" t="n"/>
      <c r="G503" s="242">
        <f>IF(ISNUMBER(F503),F503,IF(AND(ISNUMBER(C503),ISNUMBER(D503)),ROUND(MOD(D503-C503,1)*24-N(E503)/60,2),""))</f>
        <v/>
      </c>
      <c r="H503" s="241" t="n"/>
    </row>
    <row r="504">
      <c r="A504" s="241" t="n"/>
      <c r="B504" s="247" t="n"/>
      <c r="C504" s="248" t="n"/>
      <c r="D504" s="248" t="n"/>
      <c r="E504" s="249" t="n"/>
      <c r="F504" s="250" t="n"/>
      <c r="G504" s="242">
        <f>IF(ISNUMBER(F504),F504,IF(AND(ISNUMBER(C504),ISNUMBER(D504)),ROUND(MOD(D504-C504,1)*24-N(E504)/60,2),""))</f>
        <v/>
      </c>
      <c r="H504" s="241" t="n"/>
    </row>
    <row r="505">
      <c r="A505" s="241" t="n"/>
      <c r="B505" s="247" t="n"/>
      <c r="C505" s="248" t="n"/>
      <c r="D505" s="248" t="n"/>
      <c r="E505" s="249" t="n"/>
      <c r="F505" s="250" t="n"/>
      <c r="G505" s="242">
        <f>IF(ISNUMBER(F505),F505,IF(AND(ISNUMBER(C505),ISNUMBER(D505)),ROUND(MOD(D505-C505,1)*24-N(E505)/60,2),""))</f>
        <v/>
      </c>
      <c r="H505" s="241" t="n"/>
    </row>
    <row r="506">
      <c r="A506" s="241" t="n"/>
      <c r="B506" s="247" t="n"/>
      <c r="C506" s="248" t="n"/>
      <c r="D506" s="248" t="n"/>
      <c r="E506" s="249" t="n"/>
      <c r="F506" s="250" t="n"/>
      <c r="G506" s="242">
        <f>IF(ISNUMBER(F506),F506,IF(AND(ISNUMBER(C506),ISNUMBER(D506)),ROUND(MOD(D506-C506,1)*24-N(E506)/60,2),""))</f>
        <v/>
      </c>
      <c r="H506" s="241" t="n"/>
    </row>
    <row r="507">
      <c r="A507" s="241" t="n"/>
      <c r="B507" s="247" t="n"/>
      <c r="C507" s="248" t="n"/>
      <c r="D507" s="248" t="n"/>
      <c r="E507" s="249" t="n"/>
      <c r="F507" s="250" t="n"/>
      <c r="G507" s="242">
        <f>IF(ISNUMBER(F507),F507,IF(AND(ISNUMBER(C507),ISNUMBER(D507)),ROUND(MOD(D507-C507,1)*24-N(E507)/60,2),""))</f>
        <v/>
      </c>
      <c r="H507" s="241" t="n"/>
    </row>
    <row r="508">
      <c r="A508" s="241" t="n"/>
      <c r="B508" s="247" t="n"/>
      <c r="C508" s="248" t="n"/>
      <c r="D508" s="248" t="n"/>
      <c r="E508" s="249" t="n"/>
      <c r="F508" s="250" t="n"/>
      <c r="G508" s="242">
        <f>IF(ISNUMBER(F508),F508,IF(AND(ISNUMBER(C508),ISNUMBER(D508)),ROUND(MOD(D508-C508,1)*24-N(E508)/60,2),""))</f>
        <v/>
      </c>
      <c r="H508" s="241" t="n"/>
    </row>
    <row r="509">
      <c r="A509" s="241" t="n"/>
      <c r="B509" s="247" t="n"/>
      <c r="C509" s="248" t="n"/>
      <c r="D509" s="248" t="n"/>
      <c r="E509" s="249" t="n"/>
      <c r="F509" s="250" t="n"/>
      <c r="G509" s="242">
        <f>IF(ISNUMBER(F509),F509,IF(AND(ISNUMBER(C509),ISNUMBER(D509)),ROUND(MOD(D509-C509,1)*24-N(E509)/60,2),""))</f>
        <v/>
      </c>
      <c r="H509" s="241" t="n"/>
    </row>
    <row r="510">
      <c r="A510" s="241" t="n"/>
      <c r="B510" s="247" t="n"/>
      <c r="C510" s="248" t="n"/>
      <c r="D510" s="248" t="n"/>
      <c r="E510" s="249" t="n"/>
      <c r="F510" s="250" t="n"/>
      <c r="G510" s="242">
        <f>IF(ISNUMBER(F510),F510,IF(AND(ISNUMBER(C510),ISNUMBER(D510)),ROUND(MOD(D510-C510,1)*24-N(E510)/60,2),""))</f>
        <v/>
      </c>
      <c r="H510" s="241" t="n"/>
    </row>
    <row r="511">
      <c r="A511" s="241" t="n"/>
      <c r="B511" s="247" t="n"/>
      <c r="C511" s="248" t="n"/>
      <c r="D511" s="248" t="n"/>
      <c r="E511" s="249" t="n"/>
      <c r="F511" s="250" t="n"/>
      <c r="G511" s="242">
        <f>IF(ISNUMBER(F511),F511,IF(AND(ISNUMBER(C511),ISNUMBER(D511)),ROUND(MOD(D511-C511,1)*24-N(E511)/60,2),""))</f>
        <v/>
      </c>
      <c r="H511" s="241" t="n"/>
    </row>
    <row r="512">
      <c r="A512" s="241" t="n"/>
      <c r="B512" s="247" t="n"/>
      <c r="C512" s="248" t="n"/>
      <c r="D512" s="248" t="n"/>
      <c r="E512" s="249" t="n"/>
      <c r="F512" s="250" t="n"/>
      <c r="G512" s="242">
        <f>IF(ISNUMBER(F512),F512,IF(AND(ISNUMBER(C512),ISNUMBER(D512)),ROUND(MOD(D512-C512,1)*24-N(E512)/60,2),""))</f>
        <v/>
      </c>
      <c r="H512" s="241" t="n"/>
    </row>
    <row r="513">
      <c r="A513" s="241" t="n"/>
      <c r="B513" s="247" t="n"/>
      <c r="C513" s="248" t="n"/>
      <c r="D513" s="248" t="n"/>
      <c r="E513" s="249" t="n"/>
      <c r="F513" s="250" t="n"/>
      <c r="G513" s="242">
        <f>IF(ISNUMBER(F513),F513,IF(AND(ISNUMBER(C513),ISNUMBER(D513)),ROUND(MOD(D513-C513,1)*24-N(E513)/60,2),""))</f>
        <v/>
      </c>
      <c r="H513" s="241" t="n"/>
    </row>
    <row r="514">
      <c r="A514" s="241" t="n"/>
      <c r="B514" s="247" t="n"/>
      <c r="C514" s="248" t="n"/>
      <c r="D514" s="248" t="n"/>
      <c r="E514" s="249" t="n"/>
      <c r="F514" s="250" t="n"/>
      <c r="G514" s="242">
        <f>IF(ISNUMBER(F514),F514,IF(AND(ISNUMBER(C514),ISNUMBER(D514)),ROUND(MOD(D514-C514,1)*24-N(E514)/60,2),""))</f>
        <v/>
      </c>
      <c r="H514" s="241" t="n"/>
    </row>
    <row r="515">
      <c r="A515" s="241" t="n"/>
      <c r="B515" s="247" t="n"/>
      <c r="C515" s="248" t="n"/>
      <c r="D515" s="248" t="n"/>
      <c r="E515" s="249" t="n"/>
      <c r="F515" s="250" t="n"/>
      <c r="G515" s="242">
        <f>IF(ISNUMBER(F515),F515,IF(AND(ISNUMBER(C515),ISNUMBER(D515)),ROUND(MOD(D515-C515,1)*24-N(E515)/60,2),""))</f>
        <v/>
      </c>
      <c r="H515" s="241" t="n"/>
    </row>
    <row r="516">
      <c r="A516" s="241" t="n"/>
      <c r="B516" s="247" t="n"/>
      <c r="C516" s="248" t="n"/>
      <c r="D516" s="248" t="n"/>
      <c r="E516" s="249" t="n"/>
      <c r="F516" s="250" t="n"/>
      <c r="G516" s="242">
        <f>IF(ISNUMBER(F516),F516,IF(AND(ISNUMBER(C516),ISNUMBER(D516)),ROUND(MOD(D516-C516,1)*24-N(E516)/60,2),""))</f>
        <v/>
      </c>
      <c r="H516" s="241" t="n"/>
    </row>
    <row r="517">
      <c r="A517" s="241" t="n"/>
      <c r="B517" s="247" t="n"/>
      <c r="C517" s="248" t="n"/>
      <c r="D517" s="248" t="n"/>
      <c r="E517" s="249" t="n"/>
      <c r="F517" s="250" t="n"/>
      <c r="G517" s="242">
        <f>IF(ISNUMBER(F517),F517,IF(AND(ISNUMBER(C517),ISNUMBER(D517)),ROUND(MOD(D517-C517,1)*24-N(E517)/60,2),""))</f>
        <v/>
      </c>
      <c r="H517" s="241" t="n"/>
    </row>
    <row r="518">
      <c r="A518" s="241" t="n"/>
      <c r="B518" s="247" t="n"/>
      <c r="C518" s="248" t="n"/>
      <c r="D518" s="248" t="n"/>
      <c r="E518" s="249" t="n"/>
      <c r="F518" s="250" t="n"/>
      <c r="G518" s="242">
        <f>IF(ISNUMBER(F518),F518,IF(AND(ISNUMBER(C518),ISNUMBER(D518)),ROUND(MOD(D518-C518,1)*24-N(E518)/60,2),""))</f>
        <v/>
      </c>
      <c r="H518" s="241" t="n"/>
    </row>
    <row r="519">
      <c r="A519" s="241" t="n"/>
      <c r="B519" s="247" t="n"/>
      <c r="C519" s="248" t="n"/>
      <c r="D519" s="248" t="n"/>
      <c r="E519" s="249" t="n"/>
      <c r="F519" s="250" t="n"/>
      <c r="G519" s="242">
        <f>IF(ISNUMBER(F519),F519,IF(AND(ISNUMBER(C519),ISNUMBER(D519)),ROUND(MOD(D519-C519,1)*24-N(E519)/60,2),""))</f>
        <v/>
      </c>
      <c r="H519" s="241" t="n"/>
    </row>
    <row r="520">
      <c r="A520" s="241" t="n"/>
      <c r="B520" s="247" t="n"/>
      <c r="C520" s="248" t="n"/>
      <c r="D520" s="248" t="n"/>
      <c r="E520" s="249" t="n"/>
      <c r="F520" s="250" t="n"/>
      <c r="G520" s="242">
        <f>IF(ISNUMBER(F520),F520,IF(AND(ISNUMBER(C520),ISNUMBER(D520)),ROUND(MOD(D520-C520,1)*24-N(E520)/60,2),""))</f>
        <v/>
      </c>
      <c r="H520" s="241" t="n"/>
    </row>
    <row r="521">
      <c r="A521" s="241" t="n"/>
      <c r="B521" s="247" t="n"/>
      <c r="C521" s="248" t="n"/>
      <c r="D521" s="248" t="n"/>
      <c r="E521" s="249" t="n"/>
      <c r="F521" s="250" t="n"/>
      <c r="G521" s="242">
        <f>IF(ISNUMBER(F521),F521,IF(AND(ISNUMBER(C521),ISNUMBER(D521)),ROUND(MOD(D521-C521,1)*24-N(E521)/60,2),""))</f>
        <v/>
      </c>
      <c r="H521" s="241" t="n"/>
    </row>
    <row r="522">
      <c r="A522" s="241" t="n"/>
      <c r="B522" s="247" t="n"/>
      <c r="C522" s="248" t="n"/>
      <c r="D522" s="248" t="n"/>
      <c r="E522" s="249" t="n"/>
      <c r="F522" s="250" t="n"/>
      <c r="G522" s="242">
        <f>IF(ISNUMBER(F522),F522,IF(AND(ISNUMBER(C522),ISNUMBER(D522)),ROUND(MOD(D522-C522,1)*24-N(E522)/60,2),""))</f>
        <v/>
      </c>
      <c r="H522" s="241" t="n"/>
    </row>
    <row r="523">
      <c r="A523" s="241" t="n"/>
      <c r="B523" s="247" t="n"/>
      <c r="C523" s="248" t="n"/>
      <c r="D523" s="248" t="n"/>
      <c r="E523" s="249" t="n"/>
      <c r="F523" s="250" t="n"/>
      <c r="G523" s="242">
        <f>IF(ISNUMBER(F523),F523,IF(AND(ISNUMBER(C523),ISNUMBER(D523)),ROUND(MOD(D523-C523,1)*24-N(E523)/60,2),""))</f>
        <v/>
      </c>
      <c r="H523" s="241" t="n"/>
    </row>
    <row r="524">
      <c r="A524" s="241" t="n"/>
      <c r="B524" s="247" t="n"/>
      <c r="C524" s="248" t="n"/>
      <c r="D524" s="248" t="n"/>
      <c r="E524" s="249" t="n"/>
      <c r="F524" s="250" t="n"/>
      <c r="G524" s="242">
        <f>IF(ISNUMBER(F524),F524,IF(AND(ISNUMBER(C524),ISNUMBER(D524)),ROUND(MOD(D524-C524,1)*24-N(E524)/60,2),""))</f>
        <v/>
      </c>
      <c r="H524" s="241" t="n"/>
    </row>
    <row r="525">
      <c r="A525" s="241" t="n"/>
      <c r="B525" s="247" t="n"/>
      <c r="C525" s="248" t="n"/>
      <c r="D525" s="248" t="n"/>
      <c r="E525" s="249" t="n"/>
      <c r="F525" s="250" t="n"/>
      <c r="G525" s="242">
        <f>IF(ISNUMBER(F525),F525,IF(AND(ISNUMBER(C525),ISNUMBER(D525)),ROUND(MOD(D525-C525,1)*24-N(E525)/60,2),""))</f>
        <v/>
      </c>
      <c r="H525" s="241" t="n"/>
    </row>
    <row r="526">
      <c r="A526" s="241" t="n"/>
      <c r="B526" s="247" t="n"/>
      <c r="C526" s="248" t="n"/>
      <c r="D526" s="248" t="n"/>
      <c r="E526" s="249" t="n"/>
      <c r="F526" s="250" t="n"/>
      <c r="G526" s="242">
        <f>IF(ISNUMBER(F526),F526,IF(AND(ISNUMBER(C526),ISNUMBER(D526)),ROUND(MOD(D526-C526,1)*24-N(E526)/60,2),""))</f>
        <v/>
      </c>
      <c r="H526" s="241" t="n"/>
    </row>
    <row r="527">
      <c r="A527" s="241" t="n"/>
      <c r="B527" s="247" t="n"/>
      <c r="C527" s="248" t="n"/>
      <c r="D527" s="248" t="n"/>
      <c r="E527" s="249" t="n"/>
      <c r="F527" s="250" t="n"/>
      <c r="G527" s="242">
        <f>IF(ISNUMBER(F527),F527,IF(AND(ISNUMBER(C527),ISNUMBER(D527)),ROUND(MOD(D527-C527,1)*24-N(E527)/60,2),""))</f>
        <v/>
      </c>
      <c r="H527" s="241" t="n"/>
    </row>
    <row r="528">
      <c r="A528" s="241" t="n"/>
      <c r="B528" s="247" t="n"/>
      <c r="C528" s="248" t="n"/>
      <c r="D528" s="248" t="n"/>
      <c r="E528" s="249" t="n"/>
      <c r="F528" s="250" t="n"/>
      <c r="G528" s="242">
        <f>IF(ISNUMBER(F528),F528,IF(AND(ISNUMBER(C528),ISNUMBER(D528)),ROUND(MOD(D528-C528,1)*24-N(E528)/60,2),""))</f>
        <v/>
      </c>
      <c r="H528" s="241" t="n"/>
    </row>
    <row r="529">
      <c r="A529" s="241" t="n"/>
      <c r="B529" s="247" t="n"/>
      <c r="C529" s="248" t="n"/>
      <c r="D529" s="248" t="n"/>
      <c r="E529" s="249" t="n"/>
      <c r="F529" s="250" t="n"/>
      <c r="G529" s="242">
        <f>IF(ISNUMBER(F529),F529,IF(AND(ISNUMBER(C529),ISNUMBER(D529)),ROUND(MOD(D529-C529,1)*24-N(E529)/60,2),""))</f>
        <v/>
      </c>
      <c r="H529" s="241" t="n"/>
    </row>
    <row r="530">
      <c r="A530" s="241" t="n"/>
      <c r="B530" s="247" t="n"/>
      <c r="C530" s="248" t="n"/>
      <c r="D530" s="248" t="n"/>
      <c r="E530" s="249" t="n"/>
      <c r="F530" s="250" t="n"/>
      <c r="G530" s="242">
        <f>IF(ISNUMBER(F530),F530,IF(AND(ISNUMBER(C530),ISNUMBER(D530)),ROUND(MOD(D530-C530,1)*24-N(E530)/60,2),""))</f>
        <v/>
      </c>
      <c r="H530" s="241" t="n"/>
    </row>
    <row r="531">
      <c r="A531" s="241" t="n"/>
      <c r="B531" s="247" t="n"/>
      <c r="C531" s="248" t="n"/>
      <c r="D531" s="248" t="n"/>
      <c r="E531" s="249" t="n"/>
      <c r="F531" s="250" t="n"/>
      <c r="G531" s="242">
        <f>IF(ISNUMBER(F531),F531,IF(AND(ISNUMBER(C531),ISNUMBER(D531)),ROUND(MOD(D531-C531,1)*24-N(E531)/60,2),""))</f>
        <v/>
      </c>
      <c r="H531" s="241" t="n"/>
    </row>
    <row r="532">
      <c r="A532" s="241" t="n"/>
      <c r="B532" s="247" t="n"/>
      <c r="C532" s="248" t="n"/>
      <c r="D532" s="248" t="n"/>
      <c r="E532" s="249" t="n"/>
      <c r="F532" s="250" t="n"/>
      <c r="G532" s="242">
        <f>IF(ISNUMBER(F532),F532,IF(AND(ISNUMBER(C532),ISNUMBER(D532)),ROUND(MOD(D532-C532,1)*24-N(E532)/60,2),""))</f>
        <v/>
      </c>
      <c r="H532" s="241" t="n"/>
    </row>
    <row r="533">
      <c r="A533" s="241" t="n"/>
      <c r="B533" s="247" t="n"/>
      <c r="C533" s="248" t="n"/>
      <c r="D533" s="248" t="n"/>
      <c r="E533" s="249" t="n"/>
      <c r="F533" s="250" t="n"/>
      <c r="G533" s="242">
        <f>IF(ISNUMBER(F533),F533,IF(AND(ISNUMBER(C533),ISNUMBER(D533)),ROUND(MOD(D533-C533,1)*24-N(E533)/60,2),""))</f>
        <v/>
      </c>
      <c r="H533" s="241" t="n"/>
    </row>
    <row r="534">
      <c r="A534" s="241" t="n"/>
      <c r="B534" s="247" t="n"/>
      <c r="C534" s="248" t="n"/>
      <c r="D534" s="248" t="n"/>
      <c r="E534" s="249" t="n"/>
      <c r="F534" s="250" t="n"/>
      <c r="G534" s="242">
        <f>IF(ISNUMBER(F534),F534,IF(AND(ISNUMBER(C534),ISNUMBER(D534)),ROUND(MOD(D534-C534,1)*24-N(E534)/60,2),""))</f>
        <v/>
      </c>
      <c r="H534" s="241" t="n"/>
    </row>
    <row r="535">
      <c r="A535" s="241" t="n"/>
      <c r="B535" s="247" t="n"/>
      <c r="C535" s="248" t="n"/>
      <c r="D535" s="248" t="n"/>
      <c r="E535" s="249" t="n"/>
      <c r="F535" s="250" t="n"/>
      <c r="G535" s="242">
        <f>IF(ISNUMBER(F535),F535,IF(AND(ISNUMBER(C535),ISNUMBER(D535)),ROUND(MOD(D535-C535,1)*24-N(E535)/60,2),""))</f>
        <v/>
      </c>
      <c r="H535" s="241" t="n"/>
    </row>
    <row r="536">
      <c r="A536" s="241" t="n"/>
      <c r="B536" s="247" t="n"/>
      <c r="C536" s="248" t="n"/>
      <c r="D536" s="248" t="n"/>
      <c r="E536" s="249" t="n"/>
      <c r="F536" s="250" t="n"/>
      <c r="G536" s="242">
        <f>IF(ISNUMBER(F536),F536,IF(AND(ISNUMBER(C536),ISNUMBER(D536)),ROUND(MOD(D536-C536,1)*24-N(E536)/60,2),""))</f>
        <v/>
      </c>
      <c r="H536" s="241" t="n"/>
    </row>
    <row r="537">
      <c r="A537" s="241" t="n"/>
      <c r="B537" s="247" t="n"/>
      <c r="C537" s="248" t="n"/>
      <c r="D537" s="248" t="n"/>
      <c r="E537" s="249" t="n"/>
      <c r="F537" s="250" t="n"/>
      <c r="G537" s="242">
        <f>IF(ISNUMBER(F537),F537,IF(AND(ISNUMBER(C537),ISNUMBER(D537)),ROUND(MOD(D537-C537,1)*24-N(E537)/60,2),""))</f>
        <v/>
      </c>
      <c r="H537" s="241" t="n"/>
    </row>
    <row r="538">
      <c r="A538" s="241" t="n"/>
      <c r="B538" s="247" t="n"/>
      <c r="C538" s="248" t="n"/>
      <c r="D538" s="248" t="n"/>
      <c r="E538" s="249" t="n"/>
      <c r="F538" s="250" t="n"/>
      <c r="G538" s="242">
        <f>IF(ISNUMBER(F538),F538,IF(AND(ISNUMBER(C538),ISNUMBER(D538)),ROUND(MOD(D538-C538,1)*24-N(E538)/60,2),""))</f>
        <v/>
      </c>
      <c r="H538" s="241" t="n"/>
    </row>
    <row r="539">
      <c r="A539" s="241" t="n"/>
      <c r="B539" s="247" t="n"/>
      <c r="C539" s="248" t="n"/>
      <c r="D539" s="248" t="n"/>
      <c r="E539" s="249" t="n"/>
      <c r="F539" s="250" t="n"/>
      <c r="G539" s="242">
        <f>IF(ISNUMBER(F539),F539,IF(AND(ISNUMBER(C539),ISNUMBER(D539)),ROUND(MOD(D539-C539,1)*24-N(E539)/60,2),""))</f>
        <v/>
      </c>
      <c r="H539" s="241" t="n"/>
    </row>
    <row r="540">
      <c r="A540" s="241" t="n"/>
      <c r="B540" s="247" t="n"/>
      <c r="C540" s="248" t="n"/>
      <c r="D540" s="248" t="n"/>
      <c r="E540" s="249" t="n"/>
      <c r="F540" s="250" t="n"/>
      <c r="G540" s="242">
        <f>IF(ISNUMBER(F540),F540,IF(AND(ISNUMBER(C540),ISNUMBER(D540)),ROUND(MOD(D540-C540,1)*24-N(E540)/60,2),""))</f>
        <v/>
      </c>
      <c r="H540" s="241" t="n"/>
    </row>
    <row r="541">
      <c r="A541" s="241" t="n"/>
      <c r="B541" s="247" t="n"/>
      <c r="C541" s="248" t="n"/>
      <c r="D541" s="248" t="n"/>
      <c r="E541" s="249" t="n"/>
      <c r="F541" s="250" t="n"/>
      <c r="G541" s="242">
        <f>IF(ISNUMBER(F541),F541,IF(AND(ISNUMBER(C541),ISNUMBER(D541)),ROUND(MOD(D541-C541,1)*24-N(E541)/60,2),""))</f>
        <v/>
      </c>
      <c r="H541" s="241" t="n"/>
    </row>
    <row r="542">
      <c r="A542" s="241" t="n"/>
      <c r="B542" s="247" t="n"/>
      <c r="C542" s="248" t="n"/>
      <c r="D542" s="248" t="n"/>
      <c r="E542" s="249" t="n"/>
      <c r="F542" s="250" t="n"/>
      <c r="G542" s="242">
        <f>IF(ISNUMBER(F542),F542,IF(AND(ISNUMBER(C542),ISNUMBER(D542)),ROUND(MOD(D542-C542,1)*24-N(E542)/60,2),""))</f>
        <v/>
      </c>
      <c r="H542" s="241" t="n"/>
    </row>
    <row r="543">
      <c r="A543" s="241" t="n"/>
      <c r="B543" s="247" t="n"/>
      <c r="C543" s="248" t="n"/>
      <c r="D543" s="248" t="n"/>
      <c r="E543" s="249" t="n"/>
      <c r="F543" s="250" t="n"/>
      <c r="G543" s="242">
        <f>IF(ISNUMBER(F543),F543,IF(AND(ISNUMBER(C543),ISNUMBER(D543)),ROUND(MOD(D543-C543,1)*24-N(E543)/60,2),""))</f>
        <v/>
      </c>
      <c r="H543" s="241" t="n"/>
    </row>
    <row r="544">
      <c r="A544" s="241" t="n"/>
      <c r="B544" s="247" t="n"/>
      <c r="C544" s="248" t="n"/>
      <c r="D544" s="248" t="n"/>
      <c r="E544" s="249" t="n"/>
      <c r="F544" s="250" t="n"/>
      <c r="G544" s="242">
        <f>IF(ISNUMBER(F544),F544,IF(AND(ISNUMBER(C544),ISNUMBER(D544)),ROUND(MOD(D544-C544,1)*24-N(E544)/60,2),""))</f>
        <v/>
      </c>
      <c r="H544" s="241" t="n"/>
    </row>
    <row r="545">
      <c r="A545" s="241" t="n"/>
      <c r="B545" s="247" t="n"/>
      <c r="C545" s="248" t="n"/>
      <c r="D545" s="248" t="n"/>
      <c r="E545" s="249" t="n"/>
      <c r="F545" s="250" t="n"/>
      <c r="G545" s="242">
        <f>IF(ISNUMBER(F545),F545,IF(AND(ISNUMBER(C545),ISNUMBER(D545)),ROUND(MOD(D545-C545,1)*24-N(E545)/60,2),""))</f>
        <v/>
      </c>
      <c r="H545" s="241" t="n"/>
    </row>
    <row r="546">
      <c r="A546" s="241" t="n"/>
      <c r="B546" s="247" t="n"/>
      <c r="C546" s="248" t="n"/>
      <c r="D546" s="248" t="n"/>
      <c r="E546" s="249" t="n"/>
      <c r="F546" s="250" t="n"/>
      <c r="G546" s="242">
        <f>IF(ISNUMBER(F546),F546,IF(AND(ISNUMBER(C546),ISNUMBER(D546)),ROUND(MOD(D546-C546,1)*24-N(E546)/60,2),""))</f>
        <v/>
      </c>
      <c r="H546" s="241" t="n"/>
    </row>
    <row r="547">
      <c r="A547" s="241" t="n"/>
      <c r="B547" s="247" t="n"/>
      <c r="C547" s="248" t="n"/>
      <c r="D547" s="248" t="n"/>
      <c r="E547" s="249" t="n"/>
      <c r="F547" s="250" t="n"/>
      <c r="G547" s="242">
        <f>IF(ISNUMBER(F547),F547,IF(AND(ISNUMBER(C547),ISNUMBER(D547)),ROUND(MOD(D547-C547,1)*24-N(E547)/60,2),""))</f>
        <v/>
      </c>
      <c r="H547" s="241" t="n"/>
    </row>
    <row r="548">
      <c r="A548" s="241" t="n"/>
      <c r="B548" s="247" t="n"/>
      <c r="C548" s="248" t="n"/>
      <c r="D548" s="248" t="n"/>
      <c r="E548" s="249" t="n"/>
      <c r="F548" s="250" t="n"/>
      <c r="G548" s="242">
        <f>IF(ISNUMBER(F548),F548,IF(AND(ISNUMBER(C548),ISNUMBER(D548)),ROUND(MOD(D548-C548,1)*24-N(E548)/60,2),""))</f>
        <v/>
      </c>
      <c r="H548" s="241" t="n"/>
    </row>
    <row r="549">
      <c r="A549" s="241" t="n"/>
      <c r="B549" s="247" t="n"/>
      <c r="C549" s="248" t="n"/>
      <c r="D549" s="248" t="n"/>
      <c r="E549" s="249" t="n"/>
      <c r="F549" s="250" t="n"/>
      <c r="G549" s="242">
        <f>IF(ISNUMBER(F549),F549,IF(AND(ISNUMBER(C549),ISNUMBER(D549)),ROUND(MOD(D549-C549,1)*24-N(E549)/60,2),""))</f>
        <v/>
      </c>
      <c r="H549" s="241" t="n"/>
    </row>
    <row r="550">
      <c r="A550" s="241" t="n"/>
      <c r="B550" s="247" t="n"/>
      <c r="C550" s="248" t="n"/>
      <c r="D550" s="248" t="n"/>
      <c r="E550" s="249" t="n"/>
      <c r="F550" s="250" t="n"/>
      <c r="G550" s="242">
        <f>IF(ISNUMBER(F550),F550,IF(AND(ISNUMBER(C550),ISNUMBER(D550)),ROUND(MOD(D550-C550,1)*24-N(E550)/60,2),""))</f>
        <v/>
      </c>
      <c r="H550" s="241" t="n"/>
    </row>
    <row r="551">
      <c r="A551" s="241" t="n"/>
      <c r="B551" s="247" t="n"/>
      <c r="C551" s="248" t="n"/>
      <c r="D551" s="248" t="n"/>
      <c r="E551" s="249" t="n"/>
      <c r="F551" s="250" t="n"/>
      <c r="G551" s="242">
        <f>IF(ISNUMBER(F551),F551,IF(AND(ISNUMBER(C551),ISNUMBER(D551)),ROUND(MOD(D551-C551,1)*24-N(E551)/60,2),""))</f>
        <v/>
      </c>
      <c r="H551" s="241" t="n"/>
    </row>
    <row r="552">
      <c r="A552" s="241" t="n"/>
      <c r="B552" s="247" t="n"/>
      <c r="C552" s="248" t="n"/>
      <c r="D552" s="248" t="n"/>
      <c r="E552" s="249" t="n"/>
      <c r="F552" s="250" t="n"/>
      <c r="G552" s="242">
        <f>IF(ISNUMBER(F552),F552,IF(AND(ISNUMBER(C552),ISNUMBER(D552)),ROUND(MOD(D552-C552,1)*24-N(E552)/60,2),""))</f>
        <v/>
      </c>
      <c r="H552" s="241" t="n"/>
    </row>
    <row r="553">
      <c r="A553" s="241" t="n"/>
      <c r="B553" s="247" t="n"/>
      <c r="C553" s="248" t="n"/>
      <c r="D553" s="248" t="n"/>
      <c r="E553" s="249" t="n"/>
      <c r="F553" s="250" t="n"/>
      <c r="G553" s="242">
        <f>IF(ISNUMBER(F553),F553,IF(AND(ISNUMBER(C553),ISNUMBER(D553)),ROUND(MOD(D553-C553,1)*24-N(E553)/60,2),""))</f>
        <v/>
      </c>
      <c r="H553" s="241" t="n"/>
    </row>
    <row r="554">
      <c r="A554" s="241" t="n"/>
      <c r="B554" s="247" t="n"/>
      <c r="C554" s="248" t="n"/>
      <c r="D554" s="248" t="n"/>
      <c r="E554" s="249" t="n"/>
      <c r="F554" s="250" t="n"/>
      <c r="G554" s="242">
        <f>IF(ISNUMBER(F554),F554,IF(AND(ISNUMBER(C554),ISNUMBER(D554)),ROUND(MOD(D554-C554,1)*24-N(E554)/60,2),""))</f>
        <v/>
      </c>
      <c r="H554" s="241" t="n"/>
    </row>
    <row r="555">
      <c r="A555" s="241" t="n"/>
      <c r="B555" s="247" t="n"/>
      <c r="C555" s="248" t="n"/>
      <c r="D555" s="248" t="n"/>
      <c r="E555" s="249" t="n"/>
      <c r="F555" s="250" t="n"/>
      <c r="G555" s="242">
        <f>IF(ISNUMBER(F555),F555,IF(AND(ISNUMBER(C555),ISNUMBER(D555)),ROUND(MOD(D555-C555,1)*24-N(E555)/60,2),""))</f>
        <v/>
      </c>
      <c r="H555" s="241" t="n"/>
    </row>
    <row r="556">
      <c r="A556" s="241" t="n"/>
      <c r="B556" s="247" t="n"/>
      <c r="C556" s="248" t="n"/>
      <c r="D556" s="248" t="n"/>
      <c r="E556" s="249" t="n"/>
      <c r="F556" s="250" t="n"/>
      <c r="G556" s="242">
        <f>IF(ISNUMBER(F556),F556,IF(AND(ISNUMBER(C556),ISNUMBER(D556)),ROUND(MOD(D556-C556,1)*24-N(E556)/60,2),""))</f>
        <v/>
      </c>
      <c r="H556" s="241" t="n"/>
    </row>
    <row r="557">
      <c r="A557" s="241" t="n"/>
      <c r="B557" s="247" t="n"/>
      <c r="C557" s="248" t="n"/>
      <c r="D557" s="248" t="n"/>
      <c r="E557" s="249" t="n"/>
      <c r="F557" s="250" t="n"/>
      <c r="G557" s="242">
        <f>IF(ISNUMBER(F557),F557,IF(AND(ISNUMBER(C557),ISNUMBER(D557)),ROUND(MOD(D557-C557,1)*24-N(E557)/60,2),""))</f>
        <v/>
      </c>
      <c r="H557" s="241" t="n"/>
    </row>
    <row r="558">
      <c r="A558" s="241" t="n"/>
      <c r="B558" s="247" t="n"/>
      <c r="C558" s="248" t="n"/>
      <c r="D558" s="248" t="n"/>
      <c r="E558" s="249" t="n"/>
      <c r="F558" s="250" t="n"/>
      <c r="G558" s="242">
        <f>IF(ISNUMBER(F558),F558,IF(AND(ISNUMBER(C558),ISNUMBER(D558)),ROUND(MOD(D558-C558,1)*24-N(E558)/60,2),""))</f>
        <v/>
      </c>
      <c r="H558" s="241" t="n"/>
    </row>
    <row r="559">
      <c r="A559" s="241" t="n"/>
      <c r="B559" s="247" t="n"/>
      <c r="C559" s="248" t="n"/>
      <c r="D559" s="248" t="n"/>
      <c r="E559" s="249" t="n"/>
      <c r="F559" s="250" t="n"/>
      <c r="G559" s="242">
        <f>IF(ISNUMBER(F559),F559,IF(AND(ISNUMBER(C559),ISNUMBER(D559)),ROUND(MOD(D559-C559,1)*24-N(E559)/60,2),""))</f>
        <v/>
      </c>
      <c r="H559" s="241" t="n"/>
    </row>
    <row r="560">
      <c r="A560" s="241" t="n"/>
      <c r="B560" s="247" t="n"/>
      <c r="C560" s="248" t="n"/>
      <c r="D560" s="248" t="n"/>
      <c r="E560" s="249" t="n"/>
      <c r="F560" s="250" t="n"/>
      <c r="G560" s="242">
        <f>IF(ISNUMBER(F560),F560,IF(AND(ISNUMBER(C560),ISNUMBER(D560)),ROUND(MOD(D560-C560,1)*24-N(E560)/60,2),""))</f>
        <v/>
      </c>
      <c r="H560" s="241" t="n"/>
    </row>
    <row r="561">
      <c r="A561" s="241" t="n"/>
      <c r="B561" s="247" t="n"/>
      <c r="C561" s="248" t="n"/>
      <c r="D561" s="248" t="n"/>
      <c r="E561" s="249" t="n"/>
      <c r="F561" s="250" t="n"/>
      <c r="G561" s="242">
        <f>IF(ISNUMBER(F561),F561,IF(AND(ISNUMBER(C561),ISNUMBER(D561)),ROUND(MOD(D561-C561,1)*24-N(E561)/60,2),""))</f>
        <v/>
      </c>
      <c r="H561" s="241" t="n"/>
    </row>
    <row r="562">
      <c r="A562" s="241" t="n"/>
      <c r="B562" s="247" t="n"/>
      <c r="C562" s="248" t="n"/>
      <c r="D562" s="248" t="n"/>
      <c r="E562" s="249" t="n"/>
      <c r="F562" s="250" t="n"/>
      <c r="G562" s="242">
        <f>IF(ISNUMBER(F562),F562,IF(AND(ISNUMBER(C562),ISNUMBER(D562)),ROUND(MOD(D562-C562,1)*24-N(E562)/60,2),""))</f>
        <v/>
      </c>
      <c r="H562" s="241" t="n"/>
    </row>
    <row r="563">
      <c r="A563" s="241" t="n"/>
      <c r="B563" s="247" t="n"/>
      <c r="C563" s="248" t="n"/>
      <c r="D563" s="248" t="n"/>
      <c r="E563" s="249" t="n"/>
      <c r="F563" s="250" t="n"/>
      <c r="G563" s="242">
        <f>IF(ISNUMBER(F563),F563,IF(AND(ISNUMBER(C563),ISNUMBER(D563)),ROUND(MOD(D563-C563,1)*24-N(E563)/60,2),""))</f>
        <v/>
      </c>
      <c r="H563" s="241" t="n"/>
    </row>
    <row r="564">
      <c r="A564" s="241" t="n"/>
      <c r="B564" s="247" t="n"/>
      <c r="C564" s="248" t="n"/>
      <c r="D564" s="248" t="n"/>
      <c r="E564" s="249" t="n"/>
      <c r="F564" s="250" t="n"/>
      <c r="G564" s="242">
        <f>IF(ISNUMBER(F564),F564,IF(AND(ISNUMBER(C564),ISNUMBER(D564)),ROUND(MOD(D564-C564,1)*24-N(E564)/60,2),""))</f>
        <v/>
      </c>
      <c r="H564" s="241" t="n"/>
    </row>
    <row r="565">
      <c r="A565" s="241" t="n"/>
      <c r="B565" s="247" t="n"/>
      <c r="C565" s="248" t="n"/>
      <c r="D565" s="248" t="n"/>
      <c r="E565" s="249" t="n"/>
      <c r="F565" s="250" t="n"/>
      <c r="G565" s="242">
        <f>IF(ISNUMBER(F565),F565,IF(AND(ISNUMBER(C565),ISNUMBER(D565)),ROUND(MOD(D565-C565,1)*24-N(E565)/60,2),""))</f>
        <v/>
      </c>
      <c r="H565" s="241" t="n"/>
    </row>
    <row r="566">
      <c r="A566" s="241" t="n"/>
      <c r="B566" s="247" t="n"/>
      <c r="C566" s="248" t="n"/>
      <c r="D566" s="248" t="n"/>
      <c r="E566" s="249" t="n"/>
      <c r="F566" s="250" t="n"/>
      <c r="G566" s="242">
        <f>IF(ISNUMBER(F566),F566,IF(AND(ISNUMBER(C566),ISNUMBER(D566)),ROUND(MOD(D566-C566,1)*24-N(E566)/60,2),""))</f>
        <v/>
      </c>
      <c r="H566" s="241" t="n"/>
    </row>
    <row r="567">
      <c r="A567" s="241" t="n"/>
      <c r="B567" s="247" t="n"/>
      <c r="C567" s="248" t="n"/>
      <c r="D567" s="248" t="n"/>
      <c r="E567" s="249" t="n"/>
      <c r="F567" s="250" t="n"/>
      <c r="G567" s="242">
        <f>IF(ISNUMBER(F567),F567,IF(AND(ISNUMBER(C567),ISNUMBER(D567)),ROUND(MOD(D567-C567,1)*24-N(E567)/60,2),""))</f>
        <v/>
      </c>
      <c r="H567" s="241" t="n"/>
    </row>
    <row r="568">
      <c r="A568" s="241" t="n"/>
      <c r="B568" s="247" t="n"/>
      <c r="C568" s="248" t="n"/>
      <c r="D568" s="248" t="n"/>
      <c r="E568" s="249" t="n"/>
      <c r="F568" s="250" t="n"/>
      <c r="G568" s="242">
        <f>IF(ISNUMBER(F568),F568,IF(AND(ISNUMBER(C568),ISNUMBER(D568)),ROUND(MOD(D568-C568,1)*24-N(E568)/60,2),""))</f>
        <v/>
      </c>
      <c r="H568" s="241" t="n"/>
    </row>
    <row r="569">
      <c r="A569" s="241" t="n"/>
      <c r="B569" s="247" t="n"/>
      <c r="C569" s="248" t="n"/>
      <c r="D569" s="248" t="n"/>
      <c r="E569" s="249" t="n"/>
      <c r="F569" s="250" t="n"/>
      <c r="G569" s="242">
        <f>IF(ISNUMBER(F569),F569,IF(AND(ISNUMBER(C569),ISNUMBER(D569)),ROUND(MOD(D569-C569,1)*24-N(E569)/60,2),""))</f>
        <v/>
      </c>
      <c r="H569" s="241" t="n"/>
    </row>
    <row r="570">
      <c r="A570" s="241" t="n"/>
      <c r="B570" s="247" t="n"/>
      <c r="C570" s="248" t="n"/>
      <c r="D570" s="248" t="n"/>
      <c r="E570" s="249" t="n"/>
      <c r="F570" s="250" t="n"/>
      <c r="G570" s="242">
        <f>IF(ISNUMBER(F570),F570,IF(AND(ISNUMBER(C570),ISNUMBER(D570)),ROUND(MOD(D570-C570,1)*24-N(E570)/60,2),""))</f>
        <v/>
      </c>
      <c r="H570" s="241" t="n"/>
    </row>
    <row r="571">
      <c r="A571" s="241" t="n"/>
      <c r="B571" s="247" t="n"/>
      <c r="C571" s="248" t="n"/>
      <c r="D571" s="248" t="n"/>
      <c r="E571" s="249" t="n"/>
      <c r="F571" s="250" t="n"/>
      <c r="G571" s="242">
        <f>IF(ISNUMBER(F571),F571,IF(AND(ISNUMBER(C571),ISNUMBER(D571)),ROUND(MOD(D571-C571,1)*24-N(E571)/60,2),""))</f>
        <v/>
      </c>
      <c r="H571" s="241" t="n"/>
    </row>
    <row r="572">
      <c r="A572" s="241" t="n"/>
      <c r="B572" s="247" t="n"/>
      <c r="C572" s="248" t="n"/>
      <c r="D572" s="248" t="n"/>
      <c r="E572" s="249" t="n"/>
      <c r="F572" s="250" t="n"/>
      <c r="G572" s="242">
        <f>IF(ISNUMBER(F572),F572,IF(AND(ISNUMBER(C572),ISNUMBER(D572)),ROUND(MOD(D572-C572,1)*24-N(E572)/60,2),""))</f>
        <v/>
      </c>
      <c r="H572" s="241" t="n"/>
    </row>
    <row r="573">
      <c r="A573" s="241" t="n"/>
      <c r="B573" s="247" t="n"/>
      <c r="C573" s="248" t="n"/>
      <c r="D573" s="248" t="n"/>
      <c r="E573" s="249" t="n"/>
      <c r="F573" s="250" t="n"/>
      <c r="G573" s="242">
        <f>IF(ISNUMBER(F573),F573,IF(AND(ISNUMBER(C573),ISNUMBER(D573)),ROUND(MOD(D573-C573,1)*24-N(E573)/60,2),""))</f>
        <v/>
      </c>
      <c r="H573" s="241" t="n"/>
    </row>
    <row r="574">
      <c r="A574" s="241" t="n"/>
      <c r="B574" s="247" t="n"/>
      <c r="C574" s="248" t="n"/>
      <c r="D574" s="248" t="n"/>
      <c r="E574" s="249" t="n"/>
      <c r="F574" s="250" t="n"/>
      <c r="G574" s="242">
        <f>IF(ISNUMBER(F574),F574,IF(AND(ISNUMBER(C574),ISNUMBER(D574)),ROUND(MOD(D574-C574,1)*24-N(E574)/60,2),""))</f>
        <v/>
      </c>
      <c r="H574" s="241" t="n"/>
    </row>
    <row r="575">
      <c r="A575" s="241" t="n"/>
      <c r="B575" s="247" t="n"/>
      <c r="C575" s="248" t="n"/>
      <c r="D575" s="248" t="n"/>
      <c r="E575" s="249" t="n"/>
      <c r="F575" s="250" t="n"/>
      <c r="G575" s="242">
        <f>IF(ISNUMBER(F575),F575,IF(AND(ISNUMBER(C575),ISNUMBER(D575)),ROUND(MOD(D575-C575,1)*24-N(E575)/60,2),""))</f>
        <v/>
      </c>
      <c r="H575" s="241" t="n"/>
    </row>
    <row r="576">
      <c r="A576" s="241" t="n"/>
      <c r="B576" s="247" t="n"/>
      <c r="C576" s="248" t="n"/>
      <c r="D576" s="248" t="n"/>
      <c r="E576" s="249" t="n"/>
      <c r="F576" s="250" t="n"/>
      <c r="G576" s="242">
        <f>IF(ISNUMBER(F576),F576,IF(AND(ISNUMBER(C576),ISNUMBER(D576)),ROUND(MOD(D576-C576,1)*24-N(E576)/60,2),""))</f>
        <v/>
      </c>
      <c r="H576" s="241" t="n"/>
    </row>
    <row r="577">
      <c r="A577" s="241" t="n"/>
      <c r="B577" s="247" t="n"/>
      <c r="C577" s="248" t="n"/>
      <c r="D577" s="248" t="n"/>
      <c r="E577" s="249" t="n"/>
      <c r="F577" s="250" t="n"/>
      <c r="G577" s="242">
        <f>IF(ISNUMBER(F577),F577,IF(AND(ISNUMBER(C577),ISNUMBER(D577)),ROUND(MOD(D577-C577,1)*24-N(E577)/60,2),""))</f>
        <v/>
      </c>
      <c r="H577" s="241" t="n"/>
    </row>
    <row r="578">
      <c r="A578" s="241" t="n"/>
      <c r="B578" s="247" t="n"/>
      <c r="C578" s="248" t="n"/>
      <c r="D578" s="248" t="n"/>
      <c r="E578" s="249" t="n"/>
      <c r="F578" s="250" t="n"/>
      <c r="G578" s="242">
        <f>IF(ISNUMBER(F578),F578,IF(AND(ISNUMBER(C578),ISNUMBER(D578)),ROUND(MOD(D578-C578,1)*24-N(E578)/60,2),""))</f>
        <v/>
      </c>
      <c r="H578" s="241" t="n"/>
    </row>
    <row r="579">
      <c r="A579" s="241" t="n"/>
      <c r="B579" s="247" t="n"/>
      <c r="C579" s="248" t="n"/>
      <c r="D579" s="248" t="n"/>
      <c r="E579" s="249" t="n"/>
      <c r="F579" s="250" t="n"/>
      <c r="G579" s="242">
        <f>IF(ISNUMBER(F579),F579,IF(AND(ISNUMBER(C579),ISNUMBER(D579)),ROUND(MOD(D579-C579,1)*24-N(E579)/60,2),""))</f>
        <v/>
      </c>
      <c r="H579" s="241" t="n"/>
    </row>
    <row r="580">
      <c r="A580" s="241" t="n"/>
      <c r="B580" s="247" t="n"/>
      <c r="C580" s="248" t="n"/>
      <c r="D580" s="248" t="n"/>
      <c r="E580" s="249" t="n"/>
      <c r="F580" s="250" t="n"/>
      <c r="G580" s="242">
        <f>IF(ISNUMBER(F580),F580,IF(AND(ISNUMBER(C580),ISNUMBER(D580)),ROUND(MOD(D580-C580,1)*24-N(E580)/60,2),""))</f>
        <v/>
      </c>
      <c r="H580" s="241" t="n"/>
    </row>
    <row r="581">
      <c r="A581" s="241" t="n"/>
      <c r="B581" s="247" t="n"/>
      <c r="C581" s="248" t="n"/>
      <c r="D581" s="248" t="n"/>
      <c r="E581" s="249" t="n"/>
      <c r="F581" s="250" t="n"/>
      <c r="G581" s="242">
        <f>IF(ISNUMBER(F581),F581,IF(AND(ISNUMBER(C581),ISNUMBER(D581)),ROUND(MOD(D581-C581,1)*24-N(E581)/60,2),""))</f>
        <v/>
      </c>
      <c r="H581" s="241" t="n"/>
    </row>
    <row r="582">
      <c r="A582" s="241" t="n"/>
      <c r="B582" s="247" t="n"/>
      <c r="C582" s="248" t="n"/>
      <c r="D582" s="248" t="n"/>
      <c r="E582" s="249" t="n"/>
      <c r="F582" s="250" t="n"/>
      <c r="G582" s="242">
        <f>IF(ISNUMBER(F582),F582,IF(AND(ISNUMBER(C582),ISNUMBER(D582)),ROUND(MOD(D582-C582,1)*24-N(E582)/60,2),""))</f>
        <v/>
      </c>
      <c r="H582" s="241" t="n"/>
    </row>
    <row r="583">
      <c r="A583" s="241" t="n"/>
      <c r="B583" s="247" t="n"/>
      <c r="C583" s="248" t="n"/>
      <c r="D583" s="248" t="n"/>
      <c r="E583" s="249" t="n"/>
      <c r="F583" s="250" t="n"/>
      <c r="G583" s="242">
        <f>IF(ISNUMBER(F583),F583,IF(AND(ISNUMBER(C583),ISNUMBER(D583)),ROUND(MOD(D583-C583,1)*24-N(E583)/60,2),""))</f>
        <v/>
      </c>
      <c r="H583" s="241" t="n"/>
    </row>
    <row r="584">
      <c r="A584" s="241" t="n"/>
      <c r="B584" s="247" t="n"/>
      <c r="C584" s="248" t="n"/>
      <c r="D584" s="248" t="n"/>
      <c r="E584" s="249" t="n"/>
      <c r="F584" s="250" t="n"/>
      <c r="G584" s="242">
        <f>IF(ISNUMBER(F584),F584,IF(AND(ISNUMBER(C584),ISNUMBER(D584)),ROUND(MOD(D584-C584,1)*24-N(E584)/60,2),""))</f>
        <v/>
      </c>
      <c r="H584" s="241" t="n"/>
    </row>
    <row r="585">
      <c r="A585" s="241" t="n"/>
      <c r="B585" s="247" t="n"/>
      <c r="C585" s="248" t="n"/>
      <c r="D585" s="248" t="n"/>
      <c r="E585" s="249" t="n"/>
      <c r="F585" s="250" t="n"/>
      <c r="G585" s="242">
        <f>IF(ISNUMBER(F585),F585,IF(AND(ISNUMBER(C585),ISNUMBER(D585)),ROUND(MOD(D585-C585,1)*24-N(E585)/60,2),""))</f>
        <v/>
      </c>
      <c r="H585" s="241" t="n"/>
    </row>
    <row r="586">
      <c r="A586" s="241" t="n"/>
      <c r="B586" s="247" t="n"/>
      <c r="C586" s="248" t="n"/>
      <c r="D586" s="248" t="n"/>
      <c r="E586" s="249" t="n"/>
      <c r="F586" s="250" t="n"/>
      <c r="G586" s="242">
        <f>IF(ISNUMBER(F586),F586,IF(AND(ISNUMBER(C586),ISNUMBER(D586)),ROUND(MOD(D586-C586,1)*24-N(E586)/60,2),""))</f>
        <v/>
      </c>
      <c r="H586" s="241" t="n"/>
    </row>
    <row r="587">
      <c r="A587" s="241" t="n"/>
      <c r="B587" s="247" t="n"/>
      <c r="C587" s="248" t="n"/>
      <c r="D587" s="248" t="n"/>
      <c r="E587" s="249" t="n"/>
      <c r="F587" s="250" t="n"/>
      <c r="G587" s="242">
        <f>IF(ISNUMBER(F587),F587,IF(AND(ISNUMBER(C587),ISNUMBER(D587)),ROUND(MOD(D587-C587,1)*24-N(E587)/60,2),""))</f>
        <v/>
      </c>
      <c r="H587" s="241" t="n"/>
    </row>
    <row r="588">
      <c r="A588" s="241" t="n"/>
      <c r="B588" s="247" t="n"/>
      <c r="C588" s="248" t="n"/>
      <c r="D588" s="248" t="n"/>
      <c r="E588" s="249" t="n"/>
      <c r="F588" s="250" t="n"/>
      <c r="G588" s="242">
        <f>IF(ISNUMBER(F588),F588,IF(AND(ISNUMBER(C588),ISNUMBER(D588)),ROUND(MOD(D588-C588,1)*24-N(E588)/60,2),""))</f>
        <v/>
      </c>
      <c r="H588" s="241" t="n"/>
    </row>
    <row r="589">
      <c r="A589" s="241" t="n"/>
      <c r="B589" s="247" t="n"/>
      <c r="C589" s="248" t="n"/>
      <c r="D589" s="248" t="n"/>
      <c r="E589" s="249" t="n"/>
      <c r="F589" s="250" t="n"/>
      <c r="G589" s="242">
        <f>IF(ISNUMBER(F589),F589,IF(AND(ISNUMBER(C589),ISNUMBER(D589)),ROUND(MOD(D589-C589,1)*24-N(E589)/60,2),""))</f>
        <v/>
      </c>
      <c r="H589" s="241" t="n"/>
    </row>
    <row r="590">
      <c r="A590" s="241" t="n"/>
      <c r="B590" s="247" t="n"/>
      <c r="C590" s="248" t="n"/>
      <c r="D590" s="248" t="n"/>
      <c r="E590" s="249" t="n"/>
      <c r="F590" s="250" t="n"/>
      <c r="G590" s="242">
        <f>IF(ISNUMBER(F590),F590,IF(AND(ISNUMBER(C590),ISNUMBER(D590)),ROUND(MOD(D590-C590,1)*24-N(E590)/60,2),""))</f>
        <v/>
      </c>
      <c r="H590" s="241" t="n"/>
    </row>
    <row r="591">
      <c r="A591" s="241" t="n"/>
      <c r="B591" s="247" t="n"/>
      <c r="C591" s="248" t="n"/>
      <c r="D591" s="248" t="n"/>
      <c r="E591" s="249" t="n"/>
      <c r="F591" s="250" t="n"/>
      <c r="G591" s="242">
        <f>IF(ISNUMBER(F591),F591,IF(AND(ISNUMBER(C591),ISNUMBER(D591)),ROUND(MOD(D591-C591,1)*24-N(E591)/60,2),""))</f>
        <v/>
      </c>
      <c r="H591" s="241" t="n"/>
    </row>
    <row r="592">
      <c r="A592" s="241" t="n"/>
      <c r="B592" s="247" t="n"/>
      <c r="C592" s="248" t="n"/>
      <c r="D592" s="248" t="n"/>
      <c r="E592" s="249" t="n"/>
      <c r="F592" s="250" t="n"/>
      <c r="G592" s="242">
        <f>IF(ISNUMBER(F592),F592,IF(AND(ISNUMBER(C592),ISNUMBER(D592)),ROUND(MOD(D592-C592,1)*24-N(E592)/60,2),""))</f>
        <v/>
      </c>
      <c r="H592" s="241" t="n"/>
    </row>
    <row r="593">
      <c r="A593" s="241" t="n"/>
      <c r="B593" s="247" t="n"/>
      <c r="C593" s="248" t="n"/>
      <c r="D593" s="248" t="n"/>
      <c r="E593" s="249" t="n"/>
      <c r="F593" s="250" t="n"/>
      <c r="G593" s="242">
        <f>IF(ISNUMBER(F593),F593,IF(AND(ISNUMBER(C593),ISNUMBER(D593)),ROUND(MOD(D593-C593,1)*24-N(E593)/60,2),""))</f>
        <v/>
      </c>
      <c r="H593" s="241" t="n"/>
    </row>
    <row r="594">
      <c r="A594" s="241" t="n"/>
      <c r="B594" s="247" t="n"/>
      <c r="C594" s="248" t="n"/>
      <c r="D594" s="248" t="n"/>
      <c r="E594" s="249" t="n"/>
      <c r="F594" s="250" t="n"/>
      <c r="G594" s="242">
        <f>IF(ISNUMBER(F594),F594,IF(AND(ISNUMBER(C594),ISNUMBER(D594)),ROUND(MOD(D594-C594,1)*24-N(E594)/60,2),""))</f>
        <v/>
      </c>
      <c r="H594" s="241" t="n"/>
    </row>
    <row r="595">
      <c r="A595" s="241" t="n"/>
      <c r="B595" s="247" t="n"/>
      <c r="C595" s="248" t="n"/>
      <c r="D595" s="248" t="n"/>
      <c r="E595" s="249" t="n"/>
      <c r="F595" s="250" t="n"/>
      <c r="G595" s="242">
        <f>IF(ISNUMBER(F595),F595,IF(AND(ISNUMBER(C595),ISNUMBER(D595)),ROUND(MOD(D595-C595,1)*24-N(E595)/60,2),""))</f>
        <v/>
      </c>
      <c r="H595" s="241" t="n"/>
    </row>
    <row r="596">
      <c r="A596" s="241" t="n"/>
      <c r="B596" s="247" t="n"/>
      <c r="C596" s="248" t="n"/>
      <c r="D596" s="248" t="n"/>
      <c r="E596" s="249" t="n"/>
      <c r="F596" s="250" t="n"/>
      <c r="G596" s="242">
        <f>IF(ISNUMBER(F596),F596,IF(AND(ISNUMBER(C596),ISNUMBER(D596)),ROUND(MOD(D596-C596,1)*24-N(E596)/60,2),""))</f>
        <v/>
      </c>
      <c r="H596" s="241" t="n"/>
    </row>
    <row r="597">
      <c r="A597" s="241" t="n"/>
      <c r="B597" s="247" t="n"/>
      <c r="C597" s="248" t="n"/>
      <c r="D597" s="248" t="n"/>
      <c r="E597" s="249" t="n"/>
      <c r="F597" s="250" t="n"/>
      <c r="G597" s="242">
        <f>IF(ISNUMBER(F597),F597,IF(AND(ISNUMBER(C597),ISNUMBER(D597)),ROUND(MOD(D597-C597,1)*24-N(E597)/60,2),""))</f>
        <v/>
      </c>
      <c r="H597" s="241" t="n"/>
    </row>
    <row r="598">
      <c r="A598" s="241" t="n"/>
      <c r="B598" s="247" t="n"/>
      <c r="C598" s="248" t="n"/>
      <c r="D598" s="248" t="n"/>
      <c r="E598" s="249" t="n"/>
      <c r="F598" s="250" t="n"/>
      <c r="G598" s="242">
        <f>IF(ISNUMBER(F598),F598,IF(AND(ISNUMBER(C598),ISNUMBER(D598)),ROUND(MOD(D598-C598,1)*24-N(E598)/60,2),""))</f>
        <v/>
      </c>
      <c r="H598" s="241" t="n"/>
    </row>
    <row r="599">
      <c r="A599" s="241" t="n"/>
      <c r="B599" s="247" t="n"/>
      <c r="C599" s="248" t="n"/>
      <c r="D599" s="248" t="n"/>
      <c r="E599" s="249" t="n"/>
      <c r="F599" s="250" t="n"/>
      <c r="G599" s="242">
        <f>IF(ISNUMBER(F599),F599,IF(AND(ISNUMBER(C599),ISNUMBER(D599)),ROUND(MOD(D599-C599,1)*24-N(E599)/60,2),""))</f>
        <v/>
      </c>
      <c r="H599" s="241" t="n"/>
    </row>
    <row r="600">
      <c r="A600" s="241" t="n"/>
      <c r="B600" s="247" t="n"/>
      <c r="C600" s="248" t="n"/>
      <c r="D600" s="248" t="n"/>
      <c r="E600" s="249" t="n"/>
      <c r="F600" s="250" t="n"/>
      <c r="G600" s="242">
        <f>IF(ISNUMBER(F600),F600,IF(AND(ISNUMBER(C600),ISNUMBER(D600)),ROUND(MOD(D600-C600,1)*24-N(E600)/60,2),""))</f>
        <v/>
      </c>
      <c r="H600" s="241" t="n"/>
    </row>
    <row r="601">
      <c r="A601" s="241" t="n"/>
      <c r="B601" s="247" t="n"/>
      <c r="C601" s="248" t="n"/>
      <c r="D601" s="248" t="n"/>
      <c r="E601" s="249" t="n"/>
      <c r="F601" s="250" t="n"/>
      <c r="G601" s="242">
        <f>IF(ISNUMBER(F601),F601,IF(AND(ISNUMBER(C601),ISNUMBER(D601)),ROUND(MOD(D601-C601,1)*24-N(E601)/60,2),""))</f>
        <v/>
      </c>
      <c r="H601" s="241" t="n"/>
    </row>
    <row r="602">
      <c r="A602" s="241" t="n"/>
      <c r="B602" s="247" t="n"/>
      <c r="C602" s="248" t="n"/>
      <c r="D602" s="248" t="n"/>
      <c r="E602" s="249" t="n"/>
      <c r="F602" s="250" t="n"/>
      <c r="G602" s="242">
        <f>IF(ISNUMBER(F602),F602,IF(AND(ISNUMBER(C602),ISNUMBER(D602)),ROUND(MOD(D602-C602,1)*24-N(E602)/60,2),""))</f>
        <v/>
      </c>
      <c r="H602" s="241" t="n"/>
    </row>
    <row r="603">
      <c r="A603" s="241" t="n"/>
      <c r="B603" s="247" t="n"/>
      <c r="C603" s="248" t="n"/>
      <c r="D603" s="248" t="n"/>
      <c r="E603" s="249" t="n"/>
      <c r="F603" s="250" t="n"/>
      <c r="G603" s="242">
        <f>IF(ISNUMBER(F603),F603,IF(AND(ISNUMBER(C603),ISNUMBER(D603)),ROUND(MOD(D603-C603,1)*24-N(E603)/60,2),""))</f>
        <v/>
      </c>
      <c r="H603" s="241" t="n"/>
    </row>
    <row r="604">
      <c r="A604" s="241" t="n"/>
      <c r="B604" s="247" t="n"/>
      <c r="C604" s="248" t="n"/>
      <c r="D604" s="248" t="n"/>
      <c r="E604" s="249" t="n"/>
      <c r="F604" s="250" t="n"/>
      <c r="G604" s="242">
        <f>IF(ISNUMBER(F604),F604,IF(AND(ISNUMBER(C604),ISNUMBER(D604)),ROUND(MOD(D604-C604,1)*24-N(E604)/60,2),""))</f>
        <v/>
      </c>
      <c r="H604" s="241" t="n"/>
    </row>
    <row r="605">
      <c r="A605" s="241" t="n"/>
      <c r="B605" s="247" t="n"/>
      <c r="C605" s="248" t="n"/>
      <c r="D605" s="248" t="n"/>
      <c r="E605" s="249" t="n"/>
      <c r="F605" s="250" t="n"/>
      <c r="G605" s="242">
        <f>IF(ISNUMBER(F605),F605,IF(AND(ISNUMBER(C605),ISNUMBER(D605)),ROUND(MOD(D605-C605,1)*24-N(E605)/60,2),""))</f>
        <v/>
      </c>
      <c r="H605" s="241" t="n"/>
    </row>
    <row r="606">
      <c r="A606" s="241" t="n"/>
      <c r="B606" s="247" t="n"/>
      <c r="C606" s="248" t="n"/>
      <c r="D606" s="248" t="n"/>
      <c r="E606" s="249" t="n"/>
      <c r="F606" s="250" t="n"/>
      <c r="G606" s="242">
        <f>IF(ISNUMBER(F606),F606,IF(AND(ISNUMBER(C606),ISNUMBER(D606)),ROUND(MOD(D606-C606,1)*24-N(E606)/60,2),""))</f>
        <v/>
      </c>
      <c r="H606" s="241" t="n"/>
    </row>
    <row r="607">
      <c r="A607" s="241" t="n"/>
      <c r="B607" s="247" t="n"/>
      <c r="C607" s="248" t="n"/>
      <c r="D607" s="248" t="n"/>
      <c r="E607" s="249" t="n"/>
      <c r="F607" s="250" t="n"/>
      <c r="G607" s="242">
        <f>IF(ISNUMBER(F607),F607,IF(AND(ISNUMBER(C607),ISNUMBER(D607)),ROUND(MOD(D607-C607,1)*24-N(E607)/60,2),""))</f>
        <v/>
      </c>
      <c r="H607" s="241" t="n"/>
    </row>
    <row r="608">
      <c r="A608" s="241" t="n"/>
      <c r="B608" s="247" t="n"/>
      <c r="C608" s="248" t="n"/>
      <c r="D608" s="248" t="n"/>
      <c r="E608" s="249" t="n"/>
      <c r="F608" s="250" t="n"/>
      <c r="G608" s="242">
        <f>IF(ISNUMBER(F608),F608,IF(AND(ISNUMBER(C608),ISNUMBER(D608)),ROUND(MOD(D608-C608,1)*24-N(E608)/60,2),""))</f>
        <v/>
      </c>
      <c r="H608" s="241" t="n"/>
    </row>
    <row r="609">
      <c r="A609" s="241" t="n"/>
      <c r="B609" s="247" t="n"/>
      <c r="C609" s="248" t="n"/>
      <c r="D609" s="248" t="n"/>
      <c r="E609" s="249" t="n"/>
      <c r="F609" s="250" t="n"/>
      <c r="G609" s="242">
        <f>IF(ISNUMBER(F609),F609,IF(AND(ISNUMBER(C609),ISNUMBER(D609)),ROUND(MOD(D609-C609,1)*24-N(E609)/60,2),""))</f>
        <v/>
      </c>
      <c r="H609" s="241" t="n"/>
    </row>
    <row r="610">
      <c r="A610" s="241" t="n"/>
      <c r="B610" s="247" t="n"/>
      <c r="C610" s="248" t="n"/>
      <c r="D610" s="248" t="n"/>
      <c r="E610" s="249" t="n"/>
      <c r="F610" s="250" t="n"/>
      <c r="G610" s="242">
        <f>IF(ISNUMBER(F610),F610,IF(AND(ISNUMBER(C610),ISNUMBER(D610)),ROUND(MOD(D610-C610,1)*24-N(E610)/60,2),""))</f>
        <v/>
      </c>
      <c r="H610" s="241" t="n"/>
    </row>
    <row r="611">
      <c r="A611" s="241" t="n"/>
      <c r="B611" s="247" t="n"/>
      <c r="C611" s="248" t="n"/>
      <c r="D611" s="248" t="n"/>
      <c r="E611" s="249" t="n"/>
      <c r="F611" s="250" t="n"/>
      <c r="G611" s="242">
        <f>IF(ISNUMBER(F611),F611,IF(AND(ISNUMBER(C611),ISNUMBER(D611)),ROUND(MOD(D611-C611,1)*24-N(E611)/60,2),""))</f>
        <v/>
      </c>
      <c r="H611" s="241" t="n"/>
    </row>
    <row r="612">
      <c r="A612" s="241" t="n"/>
      <c r="B612" s="247" t="n"/>
      <c r="C612" s="248" t="n"/>
      <c r="D612" s="248" t="n"/>
      <c r="E612" s="249" t="n"/>
      <c r="F612" s="250" t="n"/>
      <c r="G612" s="242">
        <f>IF(ISNUMBER(F612),F612,IF(AND(ISNUMBER(C612),ISNUMBER(D612)),ROUND(MOD(D612-C612,1)*24-N(E612)/60,2),""))</f>
        <v/>
      </c>
      <c r="H612" s="241" t="n"/>
    </row>
    <row r="613">
      <c r="A613" s="241" t="n"/>
      <c r="B613" s="247" t="n"/>
      <c r="C613" s="248" t="n"/>
      <c r="D613" s="248" t="n"/>
      <c r="E613" s="249" t="n"/>
      <c r="F613" s="250" t="n"/>
      <c r="G613" s="242">
        <f>IF(ISNUMBER(F613),F613,IF(AND(ISNUMBER(C613),ISNUMBER(D613)),ROUND(MOD(D613-C613,1)*24-N(E613)/60,2),""))</f>
        <v/>
      </c>
      <c r="H613" s="241" t="n"/>
    </row>
    <row r="614">
      <c r="A614" s="241" t="n"/>
      <c r="B614" s="247" t="n"/>
      <c r="C614" s="248" t="n"/>
      <c r="D614" s="248" t="n"/>
      <c r="E614" s="249" t="n"/>
      <c r="F614" s="250" t="n"/>
      <c r="G614" s="242">
        <f>IF(ISNUMBER(F614),F614,IF(AND(ISNUMBER(C614),ISNUMBER(D614)),ROUND(MOD(D614-C614,1)*24-N(E614)/60,2),""))</f>
        <v/>
      </c>
      <c r="H614" s="241" t="n"/>
    </row>
    <row r="615">
      <c r="A615" s="241" t="n"/>
      <c r="B615" s="247" t="n"/>
      <c r="C615" s="248" t="n"/>
      <c r="D615" s="248" t="n"/>
      <c r="E615" s="249" t="n"/>
      <c r="F615" s="250" t="n"/>
      <c r="G615" s="242">
        <f>IF(ISNUMBER(F615),F615,IF(AND(ISNUMBER(C615),ISNUMBER(D615)),ROUND(MOD(D615-C615,1)*24-N(E615)/60,2),""))</f>
        <v/>
      </c>
      <c r="H615" s="241" t="n"/>
    </row>
    <row r="616">
      <c r="A616" s="241" t="n"/>
      <c r="B616" s="247" t="n"/>
      <c r="C616" s="248" t="n"/>
      <c r="D616" s="248" t="n"/>
      <c r="E616" s="249" t="n"/>
      <c r="F616" s="250" t="n"/>
      <c r="G616" s="242">
        <f>IF(ISNUMBER(F616),F616,IF(AND(ISNUMBER(C616),ISNUMBER(D616)),ROUND(MOD(D616-C616,1)*24-N(E616)/60,2),""))</f>
        <v/>
      </c>
      <c r="H616" s="241" t="n"/>
    </row>
    <row r="617">
      <c r="A617" s="241" t="n"/>
      <c r="B617" s="247" t="n"/>
      <c r="C617" s="248" t="n"/>
      <c r="D617" s="248" t="n"/>
      <c r="E617" s="249" t="n"/>
      <c r="F617" s="250" t="n"/>
      <c r="G617" s="242">
        <f>IF(ISNUMBER(F617),F617,IF(AND(ISNUMBER(C617),ISNUMBER(D617)),ROUND(MOD(D617-C617,1)*24-N(E617)/60,2),""))</f>
        <v/>
      </c>
      <c r="H617" s="241" t="n"/>
    </row>
    <row r="618">
      <c r="A618" s="241" t="n"/>
      <c r="B618" s="247" t="n"/>
      <c r="C618" s="248" t="n"/>
      <c r="D618" s="248" t="n"/>
      <c r="E618" s="249" t="n"/>
      <c r="F618" s="250" t="n"/>
      <c r="G618" s="242">
        <f>IF(ISNUMBER(F618),F618,IF(AND(ISNUMBER(C618),ISNUMBER(D618)),ROUND(MOD(D618-C618,1)*24-N(E618)/60,2),""))</f>
        <v/>
      </c>
      <c r="H618" s="241" t="n"/>
    </row>
    <row r="619">
      <c r="A619" s="241" t="n"/>
      <c r="B619" s="247" t="n"/>
      <c r="C619" s="248" t="n"/>
      <c r="D619" s="248" t="n"/>
      <c r="E619" s="249" t="n"/>
      <c r="F619" s="250" t="n"/>
      <c r="G619" s="242">
        <f>IF(ISNUMBER(F619),F619,IF(AND(ISNUMBER(C619),ISNUMBER(D619)),ROUND(MOD(D619-C619,1)*24-N(E619)/60,2),""))</f>
        <v/>
      </c>
      <c r="H619" s="241" t="n"/>
    </row>
    <row r="620">
      <c r="A620" s="241" t="n"/>
      <c r="B620" s="247" t="n"/>
      <c r="C620" s="248" t="n"/>
      <c r="D620" s="248" t="n"/>
      <c r="E620" s="249" t="n"/>
      <c r="F620" s="250" t="n"/>
      <c r="G620" s="242">
        <f>IF(ISNUMBER(F620),F620,IF(AND(ISNUMBER(C620),ISNUMBER(D620)),ROUND(MOD(D620-C620,1)*24-N(E620)/60,2),""))</f>
        <v/>
      </c>
      <c r="H620" s="241" t="n"/>
    </row>
    <row r="621">
      <c r="A621" s="241" t="n"/>
      <c r="B621" s="247" t="n"/>
      <c r="C621" s="248" t="n"/>
      <c r="D621" s="248" t="n"/>
      <c r="E621" s="249" t="n"/>
      <c r="F621" s="250" t="n"/>
      <c r="G621" s="242">
        <f>IF(ISNUMBER(F621),F621,IF(AND(ISNUMBER(C621),ISNUMBER(D621)),ROUND(MOD(D621-C621,1)*24-N(E621)/60,2),""))</f>
        <v/>
      </c>
      <c r="H621" s="241" t="n"/>
    </row>
    <row r="622">
      <c r="A622" s="241" t="n"/>
      <c r="B622" s="247" t="n"/>
      <c r="C622" s="248" t="n"/>
      <c r="D622" s="248" t="n"/>
      <c r="E622" s="249" t="n"/>
      <c r="F622" s="250" t="n"/>
      <c r="G622" s="242">
        <f>IF(ISNUMBER(F622),F622,IF(AND(ISNUMBER(C622),ISNUMBER(D622)),ROUND(MOD(D622-C622,1)*24-N(E622)/60,2),""))</f>
        <v/>
      </c>
      <c r="H622" s="241" t="n"/>
    </row>
    <row r="623">
      <c r="A623" s="241" t="n"/>
      <c r="B623" s="247" t="n"/>
      <c r="C623" s="248" t="n"/>
      <c r="D623" s="248" t="n"/>
      <c r="E623" s="249" t="n"/>
      <c r="F623" s="250" t="n"/>
      <c r="G623" s="242">
        <f>IF(ISNUMBER(F623),F623,IF(AND(ISNUMBER(C623),ISNUMBER(D623)),ROUND(MOD(D623-C623,1)*24-N(E623)/60,2),""))</f>
        <v/>
      </c>
      <c r="H623" s="241" t="n"/>
    </row>
    <row r="624">
      <c r="A624" s="241" t="n"/>
      <c r="B624" s="247" t="n"/>
      <c r="C624" s="248" t="n"/>
      <c r="D624" s="248" t="n"/>
      <c r="E624" s="249" t="n"/>
      <c r="F624" s="250" t="n"/>
      <c r="G624" s="242">
        <f>IF(ISNUMBER(F624),F624,IF(AND(ISNUMBER(C624),ISNUMBER(D624)),ROUND(MOD(D624-C624,1)*24-N(E624)/60,2),""))</f>
        <v/>
      </c>
      <c r="H624" s="241" t="n"/>
    </row>
    <row r="625">
      <c r="A625" s="241" t="n"/>
      <c r="B625" s="247" t="n"/>
      <c r="C625" s="248" t="n"/>
      <c r="D625" s="248" t="n"/>
      <c r="E625" s="249" t="n"/>
      <c r="F625" s="250" t="n"/>
      <c r="G625" s="242">
        <f>IF(ISNUMBER(F625),F625,IF(AND(ISNUMBER(C625),ISNUMBER(D625)),ROUND(MOD(D625-C625,1)*24-N(E625)/60,2),""))</f>
        <v/>
      </c>
      <c r="H625" s="241" t="n"/>
    </row>
    <row r="626">
      <c r="A626" s="241" t="n"/>
      <c r="B626" s="247" t="n"/>
      <c r="C626" s="248" t="n"/>
      <c r="D626" s="248" t="n"/>
      <c r="E626" s="249" t="n"/>
      <c r="F626" s="250" t="n"/>
      <c r="G626" s="242">
        <f>IF(ISNUMBER(F626),F626,IF(AND(ISNUMBER(C626),ISNUMBER(D626)),ROUND(MOD(D626-C626,1)*24-N(E626)/60,2),""))</f>
        <v/>
      </c>
      <c r="H626" s="241" t="n"/>
    </row>
    <row r="627">
      <c r="A627" s="241" t="n"/>
      <c r="B627" s="247" t="n"/>
      <c r="C627" s="248" t="n"/>
      <c r="D627" s="248" t="n"/>
      <c r="E627" s="249" t="n"/>
      <c r="F627" s="250" t="n"/>
      <c r="G627" s="242">
        <f>IF(ISNUMBER(F627),F627,IF(AND(ISNUMBER(C627),ISNUMBER(D627)),ROUND(MOD(D627-C627,1)*24-N(E627)/60,2),""))</f>
        <v/>
      </c>
      <c r="H627" s="241" t="n"/>
    </row>
    <row r="628">
      <c r="A628" s="241" t="n"/>
      <c r="B628" s="247" t="n"/>
      <c r="C628" s="248" t="n"/>
      <c r="D628" s="248" t="n"/>
      <c r="E628" s="249" t="n"/>
      <c r="F628" s="250" t="n"/>
      <c r="G628" s="242">
        <f>IF(ISNUMBER(F628),F628,IF(AND(ISNUMBER(C628),ISNUMBER(D628)),ROUND(MOD(D628-C628,1)*24-N(E628)/60,2),""))</f>
        <v/>
      </c>
      <c r="H628" s="241" t="n"/>
    </row>
    <row r="629">
      <c r="A629" s="241" t="n"/>
      <c r="B629" s="247" t="n"/>
      <c r="C629" s="248" t="n"/>
      <c r="D629" s="248" t="n"/>
      <c r="E629" s="249" t="n"/>
      <c r="F629" s="250" t="n"/>
      <c r="G629" s="242">
        <f>IF(ISNUMBER(F629),F629,IF(AND(ISNUMBER(C629),ISNUMBER(D629)),ROUND(MOD(D629-C629,1)*24-N(E629)/60,2),""))</f>
        <v/>
      </c>
      <c r="H629" s="241" t="n"/>
    </row>
    <row r="630">
      <c r="A630" s="241" t="n"/>
      <c r="B630" s="247" t="n"/>
      <c r="C630" s="248" t="n"/>
      <c r="D630" s="248" t="n"/>
      <c r="E630" s="249" t="n"/>
      <c r="F630" s="250" t="n"/>
      <c r="G630" s="242">
        <f>IF(ISNUMBER(F630),F630,IF(AND(ISNUMBER(C630),ISNUMBER(D630)),ROUND(MOD(D630-C630,1)*24-N(E630)/60,2),""))</f>
        <v/>
      </c>
      <c r="H630" s="241" t="n"/>
    </row>
    <row r="631">
      <c r="A631" s="241" t="n"/>
      <c r="B631" s="247" t="n"/>
      <c r="C631" s="248" t="n"/>
      <c r="D631" s="248" t="n"/>
      <c r="E631" s="249" t="n"/>
      <c r="F631" s="250" t="n"/>
      <c r="G631" s="242">
        <f>IF(ISNUMBER(F631),F631,IF(AND(ISNUMBER(C631),ISNUMBER(D631)),ROUND(MOD(D631-C631,1)*24-N(E631)/60,2),""))</f>
        <v/>
      </c>
      <c r="H631" s="241" t="n"/>
    </row>
    <row r="632">
      <c r="A632" s="241" t="n"/>
      <c r="B632" s="247" t="n"/>
      <c r="C632" s="248" t="n"/>
      <c r="D632" s="248" t="n"/>
      <c r="E632" s="249" t="n"/>
      <c r="F632" s="250" t="n"/>
      <c r="G632" s="242">
        <f>IF(ISNUMBER(F632),F632,IF(AND(ISNUMBER(C632),ISNUMBER(D632)),ROUND(MOD(D632-C632,1)*24-N(E632)/60,2),""))</f>
        <v/>
      </c>
      <c r="H632" s="241" t="n"/>
    </row>
    <row r="633">
      <c r="A633" s="241" t="n"/>
      <c r="B633" s="247" t="n"/>
      <c r="C633" s="248" t="n"/>
      <c r="D633" s="248" t="n"/>
      <c r="E633" s="249" t="n"/>
      <c r="F633" s="250" t="n"/>
      <c r="G633" s="242">
        <f>IF(ISNUMBER(F633),F633,IF(AND(ISNUMBER(C633),ISNUMBER(D633)),ROUND(MOD(D633-C633,1)*24-N(E633)/60,2),""))</f>
        <v/>
      </c>
      <c r="H633" s="241" t="n"/>
    </row>
    <row r="634">
      <c r="A634" s="241" t="n"/>
      <c r="B634" s="247" t="n"/>
      <c r="C634" s="248" t="n"/>
      <c r="D634" s="248" t="n"/>
      <c r="E634" s="249" t="n"/>
      <c r="F634" s="250" t="n"/>
      <c r="G634" s="242">
        <f>IF(ISNUMBER(F634),F634,IF(AND(ISNUMBER(C634),ISNUMBER(D634)),ROUND(MOD(D634-C634,1)*24-N(E634)/60,2),""))</f>
        <v/>
      </c>
      <c r="H634" s="241" t="n"/>
    </row>
    <row r="635">
      <c r="A635" s="241" t="n"/>
      <c r="B635" s="247" t="n"/>
      <c r="C635" s="248" t="n"/>
      <c r="D635" s="248" t="n"/>
      <c r="E635" s="249" t="n"/>
      <c r="F635" s="250" t="n"/>
      <c r="G635" s="242">
        <f>IF(ISNUMBER(F635),F635,IF(AND(ISNUMBER(C635),ISNUMBER(D635)),ROUND(MOD(D635-C635,1)*24-N(E635)/60,2),""))</f>
        <v/>
      </c>
      <c r="H635" s="241" t="n"/>
    </row>
    <row r="636">
      <c r="A636" s="241" t="n"/>
      <c r="B636" s="247" t="n"/>
      <c r="C636" s="248" t="n"/>
      <c r="D636" s="248" t="n"/>
      <c r="E636" s="249" t="n"/>
      <c r="F636" s="250" t="n"/>
      <c r="G636" s="242">
        <f>IF(ISNUMBER(F636),F636,IF(AND(ISNUMBER(C636),ISNUMBER(D636)),ROUND(MOD(D636-C636,1)*24-N(E636)/60,2),""))</f>
        <v/>
      </c>
      <c r="H636" s="241" t="n"/>
    </row>
    <row r="637">
      <c r="A637" s="241" t="n"/>
      <c r="B637" s="247" t="n"/>
      <c r="C637" s="248" t="n"/>
      <c r="D637" s="248" t="n"/>
      <c r="E637" s="249" t="n"/>
      <c r="F637" s="250" t="n"/>
      <c r="G637" s="242">
        <f>IF(ISNUMBER(F637),F637,IF(AND(ISNUMBER(C637),ISNUMBER(D637)),ROUND(MOD(D637-C637,1)*24-N(E637)/60,2),""))</f>
        <v/>
      </c>
      <c r="H637" s="241" t="n"/>
    </row>
    <row r="638">
      <c r="A638" s="241" t="n"/>
      <c r="B638" s="247" t="n"/>
      <c r="C638" s="248" t="n"/>
      <c r="D638" s="248" t="n"/>
      <c r="E638" s="249" t="n"/>
      <c r="F638" s="250" t="n"/>
      <c r="G638" s="242">
        <f>IF(ISNUMBER(F638),F638,IF(AND(ISNUMBER(C638),ISNUMBER(D638)),ROUND(MOD(D638-C638,1)*24-N(E638)/60,2),""))</f>
        <v/>
      </c>
      <c r="H638" s="241" t="n"/>
    </row>
    <row r="639">
      <c r="A639" s="241" t="n"/>
      <c r="B639" s="247" t="n"/>
      <c r="C639" s="248" t="n"/>
      <c r="D639" s="248" t="n"/>
      <c r="E639" s="249" t="n"/>
      <c r="F639" s="250" t="n"/>
      <c r="G639" s="242">
        <f>IF(ISNUMBER(F639),F639,IF(AND(ISNUMBER(C639),ISNUMBER(D639)),ROUND(MOD(D639-C639,1)*24-N(E639)/60,2),""))</f>
        <v/>
      </c>
      <c r="H639" s="241" t="n"/>
    </row>
    <row r="640">
      <c r="A640" s="241" t="n"/>
      <c r="B640" s="247" t="n"/>
      <c r="C640" s="248" t="n"/>
      <c r="D640" s="248" t="n"/>
      <c r="E640" s="249" t="n"/>
      <c r="F640" s="250" t="n"/>
      <c r="G640" s="242">
        <f>IF(ISNUMBER(F640),F640,IF(AND(ISNUMBER(C640),ISNUMBER(D640)),ROUND(MOD(D640-C640,1)*24-N(E640)/60,2),""))</f>
        <v/>
      </c>
      <c r="H640" s="241" t="n"/>
    </row>
    <row r="641">
      <c r="A641" s="241" t="n"/>
      <c r="B641" s="247" t="n"/>
      <c r="C641" s="248" t="n"/>
      <c r="D641" s="248" t="n"/>
      <c r="E641" s="249" t="n"/>
      <c r="F641" s="250" t="n"/>
      <c r="G641" s="242">
        <f>IF(ISNUMBER(F641),F641,IF(AND(ISNUMBER(C641),ISNUMBER(D641)),ROUND(MOD(D641-C641,1)*24-N(E641)/60,2),""))</f>
        <v/>
      </c>
      <c r="H641" s="241" t="n"/>
    </row>
    <row r="642">
      <c r="A642" s="241" t="n"/>
      <c r="B642" s="247" t="n"/>
      <c r="C642" s="248" t="n"/>
      <c r="D642" s="248" t="n"/>
      <c r="E642" s="249" t="n"/>
      <c r="F642" s="250" t="n"/>
      <c r="G642" s="242">
        <f>IF(ISNUMBER(F642),F642,IF(AND(ISNUMBER(C642),ISNUMBER(D642)),ROUND(MOD(D642-C642,1)*24-N(E642)/60,2),""))</f>
        <v/>
      </c>
      <c r="H642" s="241" t="n"/>
    </row>
    <row r="643">
      <c r="A643" s="241" t="n"/>
      <c r="B643" s="247" t="n"/>
      <c r="C643" s="248" t="n"/>
      <c r="D643" s="248" t="n"/>
      <c r="E643" s="249" t="n"/>
      <c r="F643" s="250" t="n"/>
      <c r="G643" s="242">
        <f>IF(ISNUMBER(F643),F643,IF(AND(ISNUMBER(C643),ISNUMBER(D643)),ROUND(MOD(D643-C643,1)*24-N(E643)/60,2),""))</f>
        <v/>
      </c>
      <c r="H643" s="241" t="n"/>
    </row>
    <row r="644">
      <c r="A644" s="241" t="n"/>
      <c r="B644" s="247" t="n"/>
      <c r="C644" s="248" t="n"/>
      <c r="D644" s="248" t="n"/>
      <c r="E644" s="249" t="n"/>
      <c r="F644" s="250" t="n"/>
      <c r="G644" s="242">
        <f>IF(ISNUMBER(F644),F644,IF(AND(ISNUMBER(C644),ISNUMBER(D644)),ROUND(MOD(D644-C644,1)*24-N(E644)/60,2),""))</f>
        <v/>
      </c>
      <c r="H644" s="241" t="n"/>
    </row>
    <row r="645">
      <c r="A645" s="241" t="n"/>
      <c r="B645" s="247" t="n"/>
      <c r="C645" s="248" t="n"/>
      <c r="D645" s="248" t="n"/>
      <c r="E645" s="249" t="n"/>
      <c r="F645" s="250" t="n"/>
      <c r="G645" s="242">
        <f>IF(ISNUMBER(F645),F645,IF(AND(ISNUMBER(C645),ISNUMBER(D645)),ROUND(MOD(D645-C645,1)*24-N(E645)/60,2),""))</f>
        <v/>
      </c>
      <c r="H645" s="241" t="n"/>
    </row>
    <row r="646">
      <c r="A646" s="241" t="n"/>
      <c r="B646" s="247" t="n"/>
      <c r="C646" s="248" t="n"/>
      <c r="D646" s="248" t="n"/>
      <c r="E646" s="249" t="n"/>
      <c r="F646" s="250" t="n"/>
      <c r="G646" s="242">
        <f>IF(ISNUMBER(F646),F646,IF(AND(ISNUMBER(C646),ISNUMBER(D646)),ROUND(MOD(D646-C646,1)*24-N(E646)/60,2),""))</f>
        <v/>
      </c>
      <c r="H646" s="241" t="n"/>
    </row>
    <row r="647">
      <c r="A647" s="241" t="n"/>
      <c r="B647" s="247" t="n"/>
      <c r="C647" s="248" t="n"/>
      <c r="D647" s="248" t="n"/>
      <c r="E647" s="249" t="n"/>
      <c r="F647" s="250" t="n"/>
      <c r="G647" s="242">
        <f>IF(ISNUMBER(F647),F647,IF(AND(ISNUMBER(C647),ISNUMBER(D647)),ROUND(MOD(D647-C647,1)*24-N(E647)/60,2),""))</f>
        <v/>
      </c>
      <c r="H647" s="241" t="n"/>
    </row>
    <row r="648">
      <c r="A648" s="241" t="n"/>
      <c r="B648" s="247" t="n"/>
      <c r="C648" s="248" t="n"/>
      <c r="D648" s="248" t="n"/>
      <c r="E648" s="249" t="n"/>
      <c r="F648" s="250" t="n"/>
      <c r="G648" s="242">
        <f>IF(ISNUMBER(F648),F648,IF(AND(ISNUMBER(C648),ISNUMBER(D648)),ROUND(MOD(D648-C648,1)*24-N(E648)/60,2),""))</f>
        <v/>
      </c>
      <c r="H648" s="241" t="n"/>
    </row>
    <row r="649">
      <c r="A649" s="241" t="n"/>
      <c r="B649" s="247" t="n"/>
      <c r="C649" s="248" t="n"/>
      <c r="D649" s="248" t="n"/>
      <c r="E649" s="249" t="n"/>
      <c r="F649" s="250" t="n"/>
      <c r="G649" s="242">
        <f>IF(ISNUMBER(F649),F649,IF(AND(ISNUMBER(C649),ISNUMBER(D649)),ROUND(MOD(D649-C649,1)*24-N(E649)/60,2),""))</f>
        <v/>
      </c>
      <c r="H649" s="241" t="n"/>
    </row>
    <row r="650">
      <c r="A650" s="241" t="n"/>
      <c r="B650" s="247" t="n"/>
      <c r="C650" s="248" t="n"/>
      <c r="D650" s="248" t="n"/>
      <c r="E650" s="249" t="n"/>
      <c r="F650" s="250" t="n"/>
      <c r="G650" s="242">
        <f>IF(ISNUMBER(F650),F650,IF(AND(ISNUMBER(C650),ISNUMBER(D650)),ROUND(MOD(D650-C650,1)*24-N(E650)/60,2),""))</f>
        <v/>
      </c>
      <c r="H650" s="241" t="n"/>
    </row>
    <row r="651">
      <c r="A651" s="241" t="n"/>
      <c r="B651" s="247" t="n"/>
      <c r="C651" s="248" t="n"/>
      <c r="D651" s="248" t="n"/>
      <c r="E651" s="249" t="n"/>
      <c r="F651" s="250" t="n"/>
      <c r="G651" s="242">
        <f>IF(ISNUMBER(F651),F651,IF(AND(ISNUMBER(C651),ISNUMBER(D651)),ROUND(MOD(D651-C651,1)*24-N(E651)/60,2),""))</f>
        <v/>
      </c>
      <c r="H651" s="241" t="n"/>
    </row>
    <row r="652">
      <c r="A652" s="241" t="n"/>
      <c r="B652" s="247" t="n"/>
      <c r="C652" s="248" t="n"/>
      <c r="D652" s="248" t="n"/>
      <c r="E652" s="249" t="n"/>
      <c r="F652" s="250" t="n"/>
      <c r="G652" s="242">
        <f>IF(ISNUMBER(F652),F652,IF(AND(ISNUMBER(C652),ISNUMBER(D652)),ROUND(MOD(D652-C652,1)*24-N(E652)/60,2),""))</f>
        <v/>
      </c>
      <c r="H652" s="241" t="n"/>
    </row>
    <row r="653">
      <c r="A653" s="241" t="n"/>
      <c r="B653" s="247" t="n"/>
      <c r="C653" s="248" t="n"/>
      <c r="D653" s="248" t="n"/>
      <c r="E653" s="249" t="n"/>
      <c r="F653" s="250" t="n"/>
      <c r="G653" s="242">
        <f>IF(ISNUMBER(F653),F653,IF(AND(ISNUMBER(C653),ISNUMBER(D653)),ROUND(MOD(D653-C653,1)*24-N(E653)/60,2),""))</f>
        <v/>
      </c>
      <c r="H653" s="241" t="n"/>
    </row>
    <row r="654">
      <c r="A654" s="241" t="n"/>
      <c r="B654" s="247" t="n"/>
      <c r="C654" s="248" t="n"/>
      <c r="D654" s="248" t="n"/>
      <c r="E654" s="249" t="n"/>
      <c r="F654" s="250" t="n"/>
      <c r="G654" s="242">
        <f>IF(ISNUMBER(F654),F654,IF(AND(ISNUMBER(C654),ISNUMBER(D654)),ROUND(MOD(D654-C654,1)*24-N(E654)/60,2),""))</f>
        <v/>
      </c>
      <c r="H654" s="241" t="n"/>
    </row>
    <row r="655">
      <c r="A655" s="241" t="n"/>
      <c r="B655" s="247" t="n"/>
      <c r="C655" s="248" t="n"/>
      <c r="D655" s="248" t="n"/>
      <c r="E655" s="249" t="n"/>
      <c r="F655" s="250" t="n"/>
      <c r="G655" s="242">
        <f>IF(ISNUMBER(F655),F655,IF(AND(ISNUMBER(C655),ISNUMBER(D655)),ROUND(MOD(D655-C655,1)*24-N(E655)/60,2),""))</f>
        <v/>
      </c>
      <c r="H655" s="241" t="n"/>
    </row>
    <row r="656">
      <c r="A656" s="241" t="n"/>
      <c r="B656" s="247" t="n"/>
      <c r="C656" s="248" t="n"/>
      <c r="D656" s="248" t="n"/>
      <c r="E656" s="249" t="n"/>
      <c r="F656" s="250" t="n"/>
      <c r="G656" s="242">
        <f>IF(ISNUMBER(F656),F656,IF(AND(ISNUMBER(C656),ISNUMBER(D656)),ROUND(MOD(D656-C656,1)*24-N(E656)/60,2),""))</f>
        <v/>
      </c>
      <c r="H656" s="241" t="n"/>
    </row>
    <row r="657">
      <c r="A657" s="241" t="n"/>
      <c r="B657" s="247" t="n"/>
      <c r="C657" s="248" t="n"/>
      <c r="D657" s="248" t="n"/>
      <c r="E657" s="249" t="n"/>
      <c r="F657" s="250" t="n"/>
      <c r="G657" s="242">
        <f>IF(ISNUMBER(F657),F657,IF(AND(ISNUMBER(C657),ISNUMBER(D657)),ROUND(MOD(D657-C657,1)*24-N(E657)/60,2),""))</f>
        <v/>
      </c>
      <c r="H657" s="241" t="n"/>
    </row>
    <row r="658">
      <c r="A658" s="241" t="n"/>
      <c r="B658" s="247" t="n"/>
      <c r="C658" s="248" t="n"/>
      <c r="D658" s="248" t="n"/>
      <c r="E658" s="249" t="n"/>
      <c r="F658" s="250" t="n"/>
      <c r="G658" s="242">
        <f>IF(ISNUMBER(F658),F658,IF(AND(ISNUMBER(C658),ISNUMBER(D658)),ROUND(MOD(D658-C658,1)*24-N(E658)/60,2),""))</f>
        <v/>
      </c>
      <c r="H658" s="241" t="n"/>
    </row>
    <row r="659">
      <c r="A659" s="241" t="n"/>
      <c r="B659" s="247" t="n"/>
      <c r="C659" s="248" t="n"/>
      <c r="D659" s="248" t="n"/>
      <c r="E659" s="249" t="n"/>
      <c r="F659" s="250" t="n"/>
      <c r="G659" s="242">
        <f>IF(ISNUMBER(F659),F659,IF(AND(ISNUMBER(C659),ISNUMBER(D659)),ROUND(MOD(D659-C659,1)*24-N(E659)/60,2),""))</f>
        <v/>
      </c>
      <c r="H659" s="241" t="n"/>
    </row>
    <row r="660">
      <c r="A660" s="241" t="n"/>
      <c r="B660" s="247" t="n"/>
      <c r="C660" s="248" t="n"/>
      <c r="D660" s="248" t="n"/>
      <c r="E660" s="249" t="n"/>
      <c r="F660" s="250" t="n"/>
      <c r="G660" s="242">
        <f>IF(ISNUMBER(F660),F660,IF(AND(ISNUMBER(C660),ISNUMBER(D660)),ROUND(MOD(D660-C660,1)*24-N(E660)/60,2),""))</f>
        <v/>
      </c>
      <c r="H660" s="241" t="n"/>
    </row>
    <row r="661">
      <c r="A661" s="241" t="n"/>
      <c r="B661" s="247" t="n"/>
      <c r="C661" s="248" t="n"/>
      <c r="D661" s="248" t="n"/>
      <c r="E661" s="249" t="n"/>
      <c r="F661" s="250" t="n"/>
      <c r="G661" s="242">
        <f>IF(ISNUMBER(F661),F661,IF(AND(ISNUMBER(C661),ISNUMBER(D661)),ROUND(MOD(D661-C661,1)*24-N(E661)/60,2),""))</f>
        <v/>
      </c>
      <c r="H661" s="241" t="n"/>
    </row>
    <row r="662">
      <c r="A662" s="241" t="n"/>
      <c r="B662" s="247" t="n"/>
      <c r="C662" s="248" t="n"/>
      <c r="D662" s="248" t="n"/>
      <c r="E662" s="249" t="n"/>
      <c r="F662" s="250" t="n"/>
      <c r="G662" s="242">
        <f>IF(ISNUMBER(F662),F662,IF(AND(ISNUMBER(C662),ISNUMBER(D662)),ROUND(MOD(D662-C662,1)*24-N(E662)/60,2),""))</f>
        <v/>
      </c>
      <c r="H662" s="241" t="n"/>
    </row>
    <row r="663">
      <c r="A663" s="241" t="n"/>
      <c r="B663" s="247" t="n"/>
      <c r="C663" s="248" t="n"/>
      <c r="D663" s="248" t="n"/>
      <c r="E663" s="249" t="n"/>
      <c r="F663" s="250" t="n"/>
      <c r="G663" s="242">
        <f>IF(ISNUMBER(F663),F663,IF(AND(ISNUMBER(C663),ISNUMBER(D663)),ROUND(MOD(D663-C663,1)*24-N(E663)/60,2),""))</f>
        <v/>
      </c>
      <c r="H663" s="241" t="n"/>
    </row>
    <row r="664">
      <c r="A664" s="241" t="n"/>
      <c r="B664" s="247" t="n"/>
      <c r="C664" s="248" t="n"/>
      <c r="D664" s="248" t="n"/>
      <c r="E664" s="249" t="n"/>
      <c r="F664" s="250" t="n"/>
      <c r="G664" s="242">
        <f>IF(ISNUMBER(F664),F664,IF(AND(ISNUMBER(C664),ISNUMBER(D664)),ROUND(MOD(D664-C664,1)*24-N(E664)/60,2),""))</f>
        <v/>
      </c>
      <c r="H664" s="241" t="n"/>
    </row>
    <row r="665">
      <c r="A665" s="241" t="n"/>
      <c r="B665" s="247" t="n"/>
      <c r="C665" s="248" t="n"/>
      <c r="D665" s="248" t="n"/>
      <c r="E665" s="249" t="n"/>
      <c r="F665" s="250" t="n"/>
      <c r="G665" s="242">
        <f>IF(ISNUMBER(F665),F665,IF(AND(ISNUMBER(C665),ISNUMBER(D665)),ROUND(MOD(D665-C665,1)*24-N(E665)/60,2),""))</f>
        <v/>
      </c>
      <c r="H665" s="241" t="n"/>
    </row>
    <row r="666">
      <c r="A666" s="241" t="n"/>
      <c r="B666" s="247" t="n"/>
      <c r="C666" s="248" t="n"/>
      <c r="D666" s="248" t="n"/>
      <c r="E666" s="249" t="n"/>
      <c r="F666" s="250" t="n"/>
      <c r="G666" s="242">
        <f>IF(ISNUMBER(F666),F666,IF(AND(ISNUMBER(C666),ISNUMBER(D666)),ROUND(MOD(D666-C666,1)*24-N(E666)/60,2),""))</f>
        <v/>
      </c>
      <c r="H666" s="241" t="n"/>
    </row>
    <row r="667">
      <c r="A667" s="241" t="n"/>
      <c r="B667" s="247" t="n"/>
      <c r="C667" s="248" t="n"/>
      <c r="D667" s="248" t="n"/>
      <c r="E667" s="249" t="n"/>
      <c r="F667" s="250" t="n"/>
      <c r="G667" s="242">
        <f>IF(ISNUMBER(F667),F667,IF(AND(ISNUMBER(C667),ISNUMBER(D667)),ROUND(MOD(D667-C667,1)*24-N(E667)/60,2),""))</f>
        <v/>
      </c>
      <c r="H667" s="241" t="n"/>
    </row>
    <row r="668">
      <c r="A668" s="241" t="n"/>
      <c r="B668" s="247" t="n"/>
      <c r="C668" s="248" t="n"/>
      <c r="D668" s="248" t="n"/>
      <c r="E668" s="249" t="n"/>
      <c r="F668" s="250" t="n"/>
      <c r="G668" s="242">
        <f>IF(ISNUMBER(F668),F668,IF(AND(ISNUMBER(C668),ISNUMBER(D668)),ROUND(MOD(D668-C668,1)*24-N(E668)/60,2),""))</f>
        <v/>
      </c>
      <c r="H668" s="241" t="n"/>
    </row>
    <row r="669">
      <c r="A669" s="241" t="n"/>
      <c r="B669" s="247" t="n"/>
      <c r="C669" s="248" t="n"/>
      <c r="D669" s="248" t="n"/>
      <c r="E669" s="249" t="n"/>
      <c r="F669" s="250" t="n"/>
      <c r="G669" s="242">
        <f>IF(ISNUMBER(F669),F669,IF(AND(ISNUMBER(C669),ISNUMBER(D669)),ROUND(MOD(D669-C669,1)*24-N(E669)/60,2),""))</f>
        <v/>
      </c>
      <c r="H669" s="241" t="n"/>
    </row>
    <row r="670">
      <c r="A670" s="241" t="n"/>
      <c r="B670" s="247" t="n"/>
      <c r="C670" s="248" t="n"/>
      <c r="D670" s="248" t="n"/>
      <c r="E670" s="249" t="n"/>
      <c r="F670" s="250" t="n"/>
      <c r="G670" s="242">
        <f>IF(ISNUMBER(F670),F670,IF(AND(ISNUMBER(C670),ISNUMBER(D670)),ROUND(MOD(D670-C670,1)*24-N(E670)/60,2),""))</f>
        <v/>
      </c>
      <c r="H670" s="241" t="n"/>
    </row>
    <row r="671">
      <c r="A671" s="241" t="n"/>
      <c r="B671" s="247" t="n"/>
      <c r="C671" s="248" t="n"/>
      <c r="D671" s="248" t="n"/>
      <c r="E671" s="249" t="n"/>
      <c r="F671" s="250" t="n"/>
      <c r="G671" s="242">
        <f>IF(ISNUMBER(F671),F671,IF(AND(ISNUMBER(C671),ISNUMBER(D671)),ROUND(MOD(D671-C671,1)*24-N(E671)/60,2),""))</f>
        <v/>
      </c>
      <c r="H671" s="241" t="n"/>
    </row>
    <row r="672">
      <c r="A672" s="241" t="n"/>
      <c r="B672" s="247" t="n"/>
      <c r="C672" s="248" t="n"/>
      <c r="D672" s="248" t="n"/>
      <c r="E672" s="249" t="n"/>
      <c r="F672" s="250" t="n"/>
      <c r="G672" s="242">
        <f>IF(ISNUMBER(F672),F672,IF(AND(ISNUMBER(C672),ISNUMBER(D672)),ROUND(MOD(D672-C672,1)*24-N(E672)/60,2),""))</f>
        <v/>
      </c>
      <c r="H672" s="241" t="n"/>
    </row>
    <row r="673">
      <c r="A673" s="241" t="n"/>
      <c r="B673" s="247" t="n"/>
      <c r="C673" s="248" t="n"/>
      <c r="D673" s="248" t="n"/>
      <c r="E673" s="249" t="n"/>
      <c r="F673" s="250" t="n"/>
      <c r="G673" s="242">
        <f>IF(ISNUMBER(F673),F673,IF(AND(ISNUMBER(C673),ISNUMBER(D673)),ROUND(MOD(D673-C673,1)*24-N(E673)/60,2),""))</f>
        <v/>
      </c>
      <c r="H673" s="241" t="n"/>
    </row>
    <row r="674">
      <c r="A674" s="241" t="n"/>
      <c r="B674" s="247" t="n"/>
      <c r="C674" s="248" t="n"/>
      <c r="D674" s="248" t="n"/>
      <c r="E674" s="249" t="n"/>
      <c r="F674" s="250" t="n"/>
      <c r="G674" s="242">
        <f>IF(ISNUMBER(F674),F674,IF(AND(ISNUMBER(C674),ISNUMBER(D674)),ROUND(MOD(D674-C674,1)*24-N(E674)/60,2),""))</f>
        <v/>
      </c>
      <c r="H674" s="241" t="n"/>
    </row>
    <row r="675">
      <c r="A675" s="241" t="n"/>
      <c r="B675" s="247" t="n"/>
      <c r="C675" s="248" t="n"/>
      <c r="D675" s="248" t="n"/>
      <c r="E675" s="249" t="n"/>
      <c r="F675" s="250" t="n"/>
      <c r="G675" s="242">
        <f>IF(ISNUMBER(F675),F675,IF(AND(ISNUMBER(C675),ISNUMBER(D675)),ROUND(MOD(D675-C675,1)*24-N(E675)/60,2),""))</f>
        <v/>
      </c>
      <c r="H675" s="241" t="n"/>
    </row>
    <row r="676">
      <c r="A676" s="241" t="n"/>
      <c r="B676" s="247" t="n"/>
      <c r="C676" s="248" t="n"/>
      <c r="D676" s="248" t="n"/>
      <c r="E676" s="249" t="n"/>
      <c r="F676" s="250" t="n"/>
      <c r="G676" s="242">
        <f>IF(ISNUMBER(F676),F676,IF(AND(ISNUMBER(C676),ISNUMBER(D676)),ROUND(MOD(D676-C676,1)*24-N(E676)/60,2),""))</f>
        <v/>
      </c>
      <c r="H676" s="241" t="n"/>
    </row>
    <row r="677">
      <c r="A677" s="241" t="n"/>
      <c r="B677" s="247" t="n"/>
      <c r="C677" s="248" t="n"/>
      <c r="D677" s="248" t="n"/>
      <c r="E677" s="249" t="n"/>
      <c r="F677" s="250" t="n"/>
      <c r="G677" s="242">
        <f>IF(ISNUMBER(F677),F677,IF(AND(ISNUMBER(C677),ISNUMBER(D677)),ROUND(MOD(D677-C677,1)*24-N(E677)/60,2),""))</f>
        <v/>
      </c>
      <c r="H677" s="241" t="n"/>
    </row>
    <row r="678">
      <c r="A678" s="241" t="n"/>
      <c r="B678" s="247" t="n"/>
      <c r="C678" s="248" t="n"/>
      <c r="D678" s="248" t="n"/>
      <c r="E678" s="249" t="n"/>
      <c r="F678" s="250" t="n"/>
      <c r="G678" s="242">
        <f>IF(ISNUMBER(F678),F678,IF(AND(ISNUMBER(C678),ISNUMBER(D678)),ROUND(MOD(D678-C678,1)*24-N(E678)/60,2),""))</f>
        <v/>
      </c>
      <c r="H678" s="241" t="n"/>
    </row>
    <row r="679">
      <c r="A679" s="241" t="n"/>
      <c r="B679" s="247" t="n"/>
      <c r="C679" s="248" t="n"/>
      <c r="D679" s="248" t="n"/>
      <c r="E679" s="249" t="n"/>
      <c r="F679" s="250" t="n"/>
      <c r="G679" s="242">
        <f>IF(ISNUMBER(F679),F679,IF(AND(ISNUMBER(C679),ISNUMBER(D679)),ROUND(MOD(D679-C679,1)*24-N(E679)/60,2),""))</f>
        <v/>
      </c>
      <c r="H679" s="241" t="n"/>
    </row>
    <row r="680">
      <c r="A680" s="241" t="n"/>
      <c r="B680" s="247" t="n"/>
      <c r="C680" s="248" t="n"/>
      <c r="D680" s="248" t="n"/>
      <c r="E680" s="249" t="n"/>
      <c r="F680" s="250" t="n"/>
      <c r="G680" s="242">
        <f>IF(ISNUMBER(F680),F680,IF(AND(ISNUMBER(C680),ISNUMBER(D680)),ROUND(MOD(D680-C680,1)*24-N(E680)/60,2),""))</f>
        <v/>
      </c>
      <c r="H680" s="241" t="n"/>
    </row>
    <row r="681">
      <c r="A681" s="241" t="n"/>
      <c r="B681" s="247" t="n"/>
      <c r="C681" s="248" t="n"/>
      <c r="D681" s="248" t="n"/>
      <c r="E681" s="249" t="n"/>
      <c r="F681" s="250" t="n"/>
      <c r="G681" s="242">
        <f>IF(ISNUMBER(F681),F681,IF(AND(ISNUMBER(C681),ISNUMBER(D681)),ROUND(MOD(D681-C681,1)*24-N(E681)/60,2),""))</f>
        <v/>
      </c>
      <c r="H681" s="241" t="n"/>
    </row>
    <row r="682">
      <c r="A682" s="241" t="n"/>
      <c r="B682" s="247" t="n"/>
      <c r="C682" s="248" t="n"/>
      <c r="D682" s="248" t="n"/>
      <c r="E682" s="249" t="n"/>
      <c r="F682" s="250" t="n"/>
      <c r="G682" s="242">
        <f>IF(ISNUMBER(F682),F682,IF(AND(ISNUMBER(C682),ISNUMBER(D682)),ROUND(MOD(D682-C682,1)*24-N(E682)/60,2),""))</f>
        <v/>
      </c>
      <c r="H682" s="241" t="n"/>
    </row>
    <row r="683">
      <c r="A683" s="241" t="n"/>
      <c r="B683" s="247" t="n"/>
      <c r="C683" s="248" t="n"/>
      <c r="D683" s="248" t="n"/>
      <c r="E683" s="249" t="n"/>
      <c r="F683" s="250" t="n"/>
      <c r="G683" s="242">
        <f>IF(ISNUMBER(F683),F683,IF(AND(ISNUMBER(C683),ISNUMBER(D683)),ROUND(MOD(D683-C683,1)*24-N(E683)/60,2),""))</f>
        <v/>
      </c>
      <c r="H683" s="241" t="n"/>
    </row>
    <row r="684">
      <c r="A684" s="241" t="n"/>
      <c r="B684" s="247" t="n"/>
      <c r="C684" s="248" t="n"/>
      <c r="D684" s="248" t="n"/>
      <c r="E684" s="249" t="n"/>
      <c r="F684" s="250" t="n"/>
      <c r="G684" s="242">
        <f>IF(ISNUMBER(F684),F684,IF(AND(ISNUMBER(C684),ISNUMBER(D684)),ROUND(MOD(D684-C684,1)*24-N(E684)/60,2),""))</f>
        <v/>
      </c>
      <c r="H684" s="241" t="n"/>
    </row>
    <row r="685">
      <c r="A685" s="241" t="n"/>
      <c r="B685" s="247" t="n"/>
      <c r="C685" s="248" t="n"/>
      <c r="D685" s="248" t="n"/>
      <c r="E685" s="249" t="n"/>
      <c r="F685" s="250" t="n"/>
      <c r="G685" s="242">
        <f>IF(ISNUMBER(F685),F685,IF(AND(ISNUMBER(C685),ISNUMBER(D685)),ROUND(MOD(D685-C685,1)*24-N(E685)/60,2),""))</f>
        <v/>
      </c>
      <c r="H685" s="241" t="n"/>
    </row>
    <row r="686">
      <c r="A686" s="241" t="n"/>
      <c r="B686" s="247" t="n"/>
      <c r="C686" s="248" t="n"/>
      <c r="D686" s="248" t="n"/>
      <c r="E686" s="249" t="n"/>
      <c r="F686" s="250" t="n"/>
      <c r="G686" s="242">
        <f>IF(ISNUMBER(F686),F686,IF(AND(ISNUMBER(C686),ISNUMBER(D686)),ROUND(MOD(D686-C686,1)*24-N(E686)/60,2),""))</f>
        <v/>
      </c>
      <c r="H686" s="241" t="n"/>
    </row>
    <row r="687">
      <c r="A687" s="241" t="n"/>
      <c r="B687" s="247" t="n"/>
      <c r="C687" s="248" t="n"/>
      <c r="D687" s="248" t="n"/>
      <c r="E687" s="249" t="n"/>
      <c r="F687" s="250" t="n"/>
      <c r="G687" s="242">
        <f>IF(ISNUMBER(F687),F687,IF(AND(ISNUMBER(C687),ISNUMBER(D687)),ROUND(MOD(D687-C687,1)*24-N(E687)/60,2),""))</f>
        <v/>
      </c>
      <c r="H687" s="241" t="n"/>
    </row>
    <row r="688">
      <c r="A688" s="241" t="n"/>
      <c r="B688" s="247" t="n"/>
      <c r="C688" s="248" t="n"/>
      <c r="D688" s="248" t="n"/>
      <c r="E688" s="249" t="n"/>
      <c r="F688" s="250" t="n"/>
      <c r="G688" s="242">
        <f>IF(ISNUMBER(F688),F688,IF(AND(ISNUMBER(C688),ISNUMBER(D688)),ROUND(MOD(D688-C688,1)*24-N(E688)/60,2),""))</f>
        <v/>
      </c>
      <c r="H688" s="241" t="n"/>
    </row>
    <row r="689">
      <c r="A689" s="241" t="n"/>
      <c r="B689" s="247" t="n"/>
      <c r="C689" s="248" t="n"/>
      <c r="D689" s="248" t="n"/>
      <c r="E689" s="249" t="n"/>
      <c r="F689" s="250" t="n"/>
      <c r="G689" s="242">
        <f>IF(ISNUMBER(F689),F689,IF(AND(ISNUMBER(C689),ISNUMBER(D689)),ROUND(MOD(D689-C689,1)*24-N(E689)/60,2),""))</f>
        <v/>
      </c>
      <c r="H689" s="241" t="n"/>
    </row>
    <row r="690">
      <c r="A690" s="241" t="n"/>
      <c r="B690" s="247" t="n"/>
      <c r="C690" s="248" t="n"/>
      <c r="D690" s="248" t="n"/>
      <c r="E690" s="249" t="n"/>
      <c r="F690" s="250" t="n"/>
      <c r="G690" s="242">
        <f>IF(ISNUMBER(F690),F690,IF(AND(ISNUMBER(C690),ISNUMBER(D690)),ROUND(MOD(D690-C690,1)*24-N(E690)/60,2),""))</f>
        <v/>
      </c>
      <c r="H690" s="241" t="n"/>
    </row>
    <row r="691">
      <c r="A691" s="241" t="n"/>
      <c r="B691" s="247" t="n"/>
      <c r="C691" s="248" t="n"/>
      <c r="D691" s="248" t="n"/>
      <c r="E691" s="249" t="n"/>
      <c r="F691" s="250" t="n"/>
      <c r="G691" s="242">
        <f>IF(ISNUMBER(F691),F691,IF(AND(ISNUMBER(C691),ISNUMBER(D691)),ROUND(MOD(D691-C691,1)*24-N(E691)/60,2),""))</f>
        <v/>
      </c>
      <c r="H691" s="241" t="n"/>
    </row>
    <row r="692">
      <c r="A692" s="241" t="n"/>
      <c r="B692" s="247" t="n"/>
      <c r="C692" s="248" t="n"/>
      <c r="D692" s="248" t="n"/>
      <c r="E692" s="249" t="n"/>
      <c r="F692" s="250" t="n"/>
      <c r="G692" s="242">
        <f>IF(ISNUMBER(F692),F692,IF(AND(ISNUMBER(C692),ISNUMBER(D692)),ROUND(MOD(D692-C692,1)*24-N(E692)/60,2),""))</f>
        <v/>
      </c>
      <c r="H692" s="241" t="n"/>
    </row>
    <row r="693">
      <c r="A693" s="241" t="n"/>
      <c r="B693" s="247" t="n"/>
      <c r="C693" s="248" t="n"/>
      <c r="D693" s="248" t="n"/>
      <c r="E693" s="249" t="n"/>
      <c r="F693" s="250" t="n"/>
      <c r="G693" s="242">
        <f>IF(ISNUMBER(F693),F693,IF(AND(ISNUMBER(C693),ISNUMBER(D693)),ROUND(MOD(D693-C693,1)*24-N(E693)/60,2),""))</f>
        <v/>
      </c>
      <c r="H693" s="241" t="n"/>
    </row>
    <row r="694">
      <c r="A694" s="241" t="n"/>
      <c r="B694" s="247" t="n"/>
      <c r="C694" s="248" t="n"/>
      <c r="D694" s="248" t="n"/>
      <c r="E694" s="249" t="n"/>
      <c r="F694" s="250" t="n"/>
      <c r="G694" s="242">
        <f>IF(ISNUMBER(F694),F694,IF(AND(ISNUMBER(C694),ISNUMBER(D694)),ROUND(MOD(D694-C694,1)*24-N(E694)/60,2),""))</f>
        <v/>
      </c>
      <c r="H694" s="241" t="n"/>
    </row>
    <row r="695">
      <c r="A695" s="241" t="n"/>
      <c r="B695" s="247" t="n"/>
      <c r="C695" s="248" t="n"/>
      <c r="D695" s="248" t="n"/>
      <c r="E695" s="249" t="n"/>
      <c r="F695" s="250" t="n"/>
      <c r="G695" s="242">
        <f>IF(ISNUMBER(F695),F695,IF(AND(ISNUMBER(C695),ISNUMBER(D695)),ROUND(MOD(D695-C695,1)*24-N(E695)/60,2),""))</f>
        <v/>
      </c>
      <c r="H695" s="241" t="n"/>
    </row>
    <row r="696">
      <c r="A696" s="241" t="n"/>
      <c r="B696" s="247" t="n"/>
      <c r="C696" s="248" t="n"/>
      <c r="D696" s="248" t="n"/>
      <c r="E696" s="249" t="n"/>
      <c r="F696" s="250" t="n"/>
      <c r="G696" s="242">
        <f>IF(ISNUMBER(F696),F696,IF(AND(ISNUMBER(C696),ISNUMBER(D696)),ROUND(MOD(D696-C696,1)*24-N(E696)/60,2),""))</f>
        <v/>
      </c>
      <c r="H696" s="241" t="n"/>
    </row>
    <row r="697">
      <c r="A697" s="241" t="n"/>
      <c r="B697" s="247" t="n"/>
      <c r="C697" s="248" t="n"/>
      <c r="D697" s="248" t="n"/>
      <c r="E697" s="249" t="n"/>
      <c r="F697" s="250" t="n"/>
      <c r="G697" s="242">
        <f>IF(ISNUMBER(F697),F697,IF(AND(ISNUMBER(C697),ISNUMBER(D697)),ROUND(MOD(D697-C697,1)*24-N(E697)/60,2),""))</f>
        <v/>
      </c>
      <c r="H697" s="241" t="n"/>
    </row>
    <row r="698">
      <c r="A698" s="241" t="n"/>
      <c r="B698" s="247" t="n"/>
      <c r="C698" s="248" t="n"/>
      <c r="D698" s="248" t="n"/>
      <c r="E698" s="249" t="n"/>
      <c r="F698" s="250" t="n"/>
      <c r="G698" s="242">
        <f>IF(ISNUMBER(F698),F698,IF(AND(ISNUMBER(C698),ISNUMBER(D698)),ROUND(MOD(D698-C698,1)*24-N(E698)/60,2),""))</f>
        <v/>
      </c>
      <c r="H698" s="241" t="n"/>
    </row>
    <row r="699">
      <c r="A699" s="241" t="n"/>
      <c r="B699" s="247" t="n"/>
      <c r="C699" s="248" t="n"/>
      <c r="D699" s="248" t="n"/>
      <c r="E699" s="249" t="n"/>
      <c r="F699" s="250" t="n"/>
      <c r="G699" s="242">
        <f>IF(ISNUMBER(F699),F699,IF(AND(ISNUMBER(C699),ISNUMBER(D699)),ROUND(MOD(D699-C699,1)*24-N(E699)/60,2),""))</f>
        <v/>
      </c>
      <c r="H699" s="241" t="n"/>
    </row>
    <row r="700">
      <c r="A700" s="241" t="n"/>
      <c r="B700" s="247" t="n"/>
      <c r="C700" s="248" t="n"/>
      <c r="D700" s="248" t="n"/>
      <c r="E700" s="249" t="n"/>
      <c r="F700" s="250" t="n"/>
      <c r="G700" s="242">
        <f>IF(ISNUMBER(F700),F700,IF(AND(ISNUMBER(C700),ISNUMBER(D700)),ROUND(MOD(D700-C700,1)*24-N(E700)/60,2),""))</f>
        <v/>
      </c>
      <c r="H700" s="241" t="n"/>
    </row>
    <row r="701">
      <c r="A701" s="241" t="n"/>
      <c r="B701" s="247" t="n"/>
      <c r="C701" s="248" t="n"/>
      <c r="D701" s="248" t="n"/>
      <c r="E701" s="249" t="n"/>
      <c r="F701" s="250" t="n"/>
      <c r="G701" s="242">
        <f>IF(ISNUMBER(F701),F701,IF(AND(ISNUMBER(C701),ISNUMBER(D701)),ROUND(MOD(D701-C701,1)*24-N(E701)/60,2),""))</f>
        <v/>
      </c>
      <c r="H701" s="241" t="n"/>
    </row>
    <row r="702">
      <c r="A702" s="241" t="n"/>
      <c r="B702" s="247" t="n"/>
      <c r="C702" s="248" t="n"/>
      <c r="D702" s="248" t="n"/>
      <c r="E702" s="249" t="n"/>
      <c r="F702" s="250" t="n"/>
      <c r="G702" s="242">
        <f>IF(ISNUMBER(F702),F702,IF(AND(ISNUMBER(C702),ISNUMBER(D702)),ROUND(MOD(D702-C702,1)*24-N(E702)/60,2),""))</f>
        <v/>
      </c>
      <c r="H702" s="241" t="n"/>
    </row>
    <row r="703">
      <c r="A703" s="241" t="n"/>
      <c r="B703" s="247" t="n"/>
      <c r="C703" s="248" t="n"/>
      <c r="D703" s="248" t="n"/>
      <c r="E703" s="249" t="n"/>
      <c r="F703" s="250" t="n"/>
      <c r="G703" s="242">
        <f>IF(ISNUMBER(F703),F703,IF(AND(ISNUMBER(C703),ISNUMBER(D703)),ROUND(MOD(D703-C703,1)*24-N(E703)/60,2),""))</f>
        <v/>
      </c>
      <c r="H703" s="241" t="n"/>
    </row>
    <row r="704">
      <c r="A704" s="241" t="n"/>
      <c r="B704" s="247" t="n"/>
      <c r="C704" s="248" t="n"/>
      <c r="D704" s="248" t="n"/>
      <c r="E704" s="249" t="n"/>
      <c r="F704" s="250" t="n"/>
      <c r="G704" s="242">
        <f>IF(ISNUMBER(F704),F704,IF(AND(ISNUMBER(C704),ISNUMBER(D704)),ROUND(MOD(D704-C704,1)*24-N(E704)/60,2),""))</f>
        <v/>
      </c>
      <c r="H704" s="241" t="n"/>
    </row>
    <row r="705">
      <c r="A705" s="241" t="n"/>
      <c r="B705" s="247" t="n"/>
      <c r="C705" s="248" t="n"/>
      <c r="D705" s="248" t="n"/>
      <c r="E705" s="249" t="n"/>
      <c r="F705" s="250" t="n"/>
      <c r="G705" s="242">
        <f>IF(ISNUMBER(F705),F705,IF(AND(ISNUMBER(C705),ISNUMBER(D705)),ROUND(MOD(D705-C705,1)*24-N(E705)/60,2),""))</f>
        <v/>
      </c>
      <c r="H705" s="241" t="n"/>
    </row>
    <row r="706">
      <c r="A706" s="241" t="n"/>
      <c r="B706" s="247" t="n"/>
      <c r="C706" s="248" t="n"/>
      <c r="D706" s="248" t="n"/>
      <c r="E706" s="249" t="n"/>
      <c r="F706" s="250" t="n"/>
      <c r="G706" s="242">
        <f>IF(ISNUMBER(F706),F706,IF(AND(ISNUMBER(C706),ISNUMBER(D706)),ROUND(MOD(D706-C706,1)*24-N(E706)/60,2),""))</f>
        <v/>
      </c>
      <c r="H706" s="241" t="n"/>
    </row>
    <row r="707">
      <c r="A707" s="241" t="n"/>
      <c r="B707" s="247" t="n"/>
      <c r="C707" s="248" t="n"/>
      <c r="D707" s="248" t="n"/>
      <c r="E707" s="249" t="n"/>
      <c r="F707" s="250" t="n"/>
      <c r="G707" s="242">
        <f>IF(ISNUMBER(F707),F707,IF(AND(ISNUMBER(C707),ISNUMBER(D707)),ROUND(MOD(D707-C707,1)*24-N(E707)/60,2),""))</f>
        <v/>
      </c>
      <c r="H707" s="241" t="n"/>
    </row>
    <row r="708">
      <c r="A708" s="241" t="n"/>
      <c r="B708" s="247" t="n"/>
      <c r="C708" s="248" t="n"/>
      <c r="D708" s="248" t="n"/>
      <c r="E708" s="249" t="n"/>
      <c r="F708" s="250" t="n"/>
      <c r="G708" s="242">
        <f>IF(ISNUMBER(F708),F708,IF(AND(ISNUMBER(C708),ISNUMBER(D708)),ROUND(MOD(D708-C708,1)*24-N(E708)/60,2),""))</f>
        <v/>
      </c>
      <c r="H708" s="241" t="n"/>
    </row>
    <row r="709">
      <c r="A709" s="241" t="n"/>
      <c r="B709" s="247" t="n"/>
      <c r="C709" s="248" t="n"/>
      <c r="D709" s="248" t="n"/>
      <c r="E709" s="249" t="n"/>
      <c r="F709" s="250" t="n"/>
      <c r="G709" s="242">
        <f>IF(ISNUMBER(F709),F709,IF(AND(ISNUMBER(C709),ISNUMBER(D709)),ROUND(MOD(D709-C709,1)*24-N(E709)/60,2),""))</f>
        <v/>
      </c>
      <c r="H709" s="241" t="n"/>
    </row>
    <row r="710">
      <c r="A710" s="241" t="n"/>
      <c r="B710" s="247" t="n"/>
      <c r="C710" s="248" t="n"/>
      <c r="D710" s="248" t="n"/>
      <c r="E710" s="249" t="n"/>
      <c r="F710" s="250" t="n"/>
      <c r="G710" s="242">
        <f>IF(ISNUMBER(F710),F710,IF(AND(ISNUMBER(C710),ISNUMBER(D710)),ROUND(MOD(D710-C710,1)*24-N(E710)/60,2),""))</f>
        <v/>
      </c>
      <c r="H710" s="241" t="n"/>
    </row>
    <row r="711">
      <c r="A711" s="241" t="n"/>
      <c r="B711" s="247" t="n"/>
      <c r="C711" s="248" t="n"/>
      <c r="D711" s="248" t="n"/>
      <c r="E711" s="249" t="n"/>
      <c r="F711" s="250" t="n"/>
      <c r="G711" s="242">
        <f>IF(ISNUMBER(F711),F711,IF(AND(ISNUMBER(C711),ISNUMBER(D711)),ROUND(MOD(D711-C711,1)*24-N(E711)/60,2),""))</f>
        <v/>
      </c>
      <c r="H711" s="241" t="n"/>
    </row>
    <row r="712">
      <c r="A712" s="241" t="n"/>
      <c r="B712" s="247" t="n"/>
      <c r="C712" s="248" t="n"/>
      <c r="D712" s="248" t="n"/>
      <c r="E712" s="249" t="n"/>
      <c r="F712" s="250" t="n"/>
      <c r="G712" s="242">
        <f>IF(ISNUMBER(F712),F712,IF(AND(ISNUMBER(C712),ISNUMBER(D712)),ROUND(MOD(D712-C712,1)*24-N(E712)/60,2),""))</f>
        <v/>
      </c>
      <c r="H712" s="241" t="n"/>
    </row>
    <row r="713">
      <c r="A713" s="241" t="n"/>
      <c r="B713" s="247" t="n"/>
      <c r="C713" s="248" t="n"/>
      <c r="D713" s="248" t="n"/>
      <c r="E713" s="249" t="n"/>
      <c r="F713" s="250" t="n"/>
      <c r="G713" s="242">
        <f>IF(ISNUMBER(F713),F713,IF(AND(ISNUMBER(C713),ISNUMBER(D713)),ROUND(MOD(D713-C713,1)*24-N(E713)/60,2),""))</f>
        <v/>
      </c>
      <c r="H713" s="241" t="n"/>
    </row>
    <row r="714">
      <c r="A714" s="241" t="n"/>
      <c r="B714" s="247" t="n"/>
      <c r="C714" s="248" t="n"/>
      <c r="D714" s="248" t="n"/>
      <c r="E714" s="249" t="n"/>
      <c r="F714" s="250" t="n"/>
      <c r="G714" s="242">
        <f>IF(ISNUMBER(F714),F714,IF(AND(ISNUMBER(C714),ISNUMBER(D714)),ROUND(MOD(D714-C714,1)*24-N(E714)/60,2),""))</f>
        <v/>
      </c>
      <c r="H714" s="241" t="n"/>
    </row>
    <row r="715">
      <c r="A715" s="241" t="n"/>
      <c r="B715" s="247" t="n"/>
      <c r="C715" s="248" t="n"/>
      <c r="D715" s="248" t="n"/>
      <c r="E715" s="249" t="n"/>
      <c r="F715" s="250" t="n"/>
      <c r="G715" s="242">
        <f>IF(ISNUMBER(F715),F715,IF(AND(ISNUMBER(C715),ISNUMBER(D715)),ROUND(MOD(D715-C715,1)*24-N(E715)/60,2),""))</f>
        <v/>
      </c>
      <c r="H715" s="241" t="n"/>
    </row>
    <row r="716">
      <c r="A716" s="241" t="n"/>
      <c r="B716" s="247" t="n"/>
      <c r="C716" s="248" t="n"/>
      <c r="D716" s="248" t="n"/>
      <c r="E716" s="249" t="n"/>
      <c r="F716" s="250" t="n"/>
      <c r="G716" s="242">
        <f>IF(ISNUMBER(F716),F716,IF(AND(ISNUMBER(C716),ISNUMBER(D716)),ROUND(MOD(D716-C716,1)*24-N(E716)/60,2),""))</f>
        <v/>
      </c>
      <c r="H716" s="241" t="n"/>
    </row>
    <row r="717">
      <c r="A717" s="241" t="n"/>
      <c r="B717" s="247" t="n"/>
      <c r="C717" s="248" t="n"/>
      <c r="D717" s="248" t="n"/>
      <c r="E717" s="249" t="n"/>
      <c r="F717" s="250" t="n"/>
      <c r="G717" s="242">
        <f>IF(ISNUMBER(F717),F717,IF(AND(ISNUMBER(C717),ISNUMBER(D717)),ROUND(MOD(D717-C717,1)*24-N(E717)/60,2),""))</f>
        <v/>
      </c>
      <c r="H717" s="241" t="n"/>
    </row>
    <row r="718">
      <c r="A718" s="241" t="n"/>
      <c r="B718" s="247" t="n"/>
      <c r="C718" s="248" t="n"/>
      <c r="D718" s="248" t="n"/>
      <c r="E718" s="249" t="n"/>
      <c r="F718" s="250" t="n"/>
      <c r="G718" s="242">
        <f>IF(ISNUMBER(F718),F718,IF(AND(ISNUMBER(C718),ISNUMBER(D718)),ROUND(MOD(D718-C718,1)*24-N(E718)/60,2),""))</f>
        <v/>
      </c>
      <c r="H718" s="241" t="n"/>
    </row>
    <row r="719">
      <c r="A719" s="241" t="n"/>
      <c r="B719" s="247" t="n"/>
      <c r="C719" s="248" t="n"/>
      <c r="D719" s="248" t="n"/>
      <c r="E719" s="249" t="n"/>
      <c r="F719" s="250" t="n"/>
      <c r="G719" s="242">
        <f>IF(ISNUMBER(F719),F719,IF(AND(ISNUMBER(C719),ISNUMBER(D719)),ROUND(MOD(D719-C719,1)*24-N(E719)/60,2),""))</f>
        <v/>
      </c>
      <c r="H719" s="241" t="n"/>
    </row>
    <row r="720">
      <c r="A720" s="241" t="n"/>
      <c r="B720" s="247" t="n"/>
      <c r="C720" s="248" t="n"/>
      <c r="D720" s="248" t="n"/>
      <c r="E720" s="249" t="n"/>
      <c r="F720" s="250" t="n"/>
      <c r="G720" s="242">
        <f>IF(ISNUMBER(F720),F720,IF(AND(ISNUMBER(C720),ISNUMBER(D720)),ROUND(MOD(D720-C720,1)*24-N(E720)/60,2),""))</f>
        <v/>
      </c>
      <c r="H720" s="241" t="n"/>
    </row>
    <row r="721">
      <c r="A721" s="241" t="n"/>
      <c r="B721" s="247" t="n"/>
      <c r="C721" s="248" t="n"/>
      <c r="D721" s="248" t="n"/>
      <c r="E721" s="249" t="n"/>
      <c r="F721" s="250" t="n"/>
      <c r="G721" s="242">
        <f>IF(ISNUMBER(F721),F721,IF(AND(ISNUMBER(C721),ISNUMBER(D721)),ROUND(MOD(D721-C721,1)*24-N(E721)/60,2),""))</f>
        <v/>
      </c>
      <c r="H721" s="241" t="n"/>
    </row>
    <row r="722">
      <c r="A722" s="241" t="n"/>
      <c r="B722" s="247" t="n"/>
      <c r="C722" s="248" t="n"/>
      <c r="D722" s="248" t="n"/>
      <c r="E722" s="249" t="n"/>
      <c r="F722" s="250" t="n"/>
      <c r="G722" s="242">
        <f>IF(ISNUMBER(F722),F722,IF(AND(ISNUMBER(C722),ISNUMBER(D722)),ROUND(MOD(D722-C722,1)*24-N(E722)/60,2),""))</f>
        <v/>
      </c>
      <c r="H722" s="241" t="n"/>
    </row>
    <row r="723">
      <c r="A723" s="241" t="n"/>
      <c r="B723" s="247" t="n"/>
      <c r="C723" s="248" t="n"/>
      <c r="D723" s="248" t="n"/>
      <c r="E723" s="249" t="n"/>
      <c r="F723" s="250" t="n"/>
      <c r="G723" s="242">
        <f>IF(ISNUMBER(F723),F723,IF(AND(ISNUMBER(C723),ISNUMBER(D723)),ROUND(MOD(D723-C723,1)*24-N(E723)/60,2),""))</f>
        <v/>
      </c>
      <c r="H723" s="241" t="n"/>
    </row>
    <row r="724">
      <c r="A724" s="241" t="n"/>
      <c r="B724" s="247" t="n"/>
      <c r="C724" s="248" t="n"/>
      <c r="D724" s="248" t="n"/>
      <c r="E724" s="249" t="n"/>
      <c r="F724" s="250" t="n"/>
      <c r="G724" s="242">
        <f>IF(ISNUMBER(F724),F724,IF(AND(ISNUMBER(C724),ISNUMBER(D724)),ROUND(MOD(D724-C724,1)*24-N(E724)/60,2),""))</f>
        <v/>
      </c>
      <c r="H724" s="241" t="n"/>
    </row>
    <row r="725">
      <c r="A725" s="241" t="n"/>
      <c r="B725" s="247" t="n"/>
      <c r="C725" s="248" t="n"/>
      <c r="D725" s="248" t="n"/>
      <c r="E725" s="249" t="n"/>
      <c r="F725" s="250" t="n"/>
      <c r="G725" s="242">
        <f>IF(ISNUMBER(F725),F725,IF(AND(ISNUMBER(C725),ISNUMBER(D725)),ROUND(MOD(D725-C725,1)*24-N(E725)/60,2),""))</f>
        <v/>
      </c>
      <c r="H725" s="241" t="n"/>
    </row>
    <row r="726">
      <c r="A726" s="241" t="n"/>
      <c r="B726" s="247" t="n"/>
      <c r="C726" s="248" t="n"/>
      <c r="D726" s="248" t="n"/>
      <c r="E726" s="249" t="n"/>
      <c r="F726" s="250" t="n"/>
      <c r="G726" s="242">
        <f>IF(ISNUMBER(F726),F726,IF(AND(ISNUMBER(C726),ISNUMBER(D726)),ROUND(MOD(D726-C726,1)*24-N(E726)/60,2),""))</f>
        <v/>
      </c>
      <c r="H726" s="241" t="n"/>
    </row>
    <row r="727">
      <c r="A727" s="241" t="n"/>
      <c r="B727" s="247" t="n"/>
      <c r="C727" s="248" t="n"/>
      <c r="D727" s="248" t="n"/>
      <c r="E727" s="249" t="n"/>
      <c r="F727" s="250" t="n"/>
      <c r="G727" s="242">
        <f>IF(ISNUMBER(F727),F727,IF(AND(ISNUMBER(C727),ISNUMBER(D727)),ROUND(MOD(D727-C727,1)*24-N(E727)/60,2),""))</f>
        <v/>
      </c>
      <c r="H727" s="241" t="n"/>
    </row>
    <row r="728">
      <c r="A728" s="241" t="n"/>
      <c r="B728" s="247" t="n"/>
      <c r="C728" s="248" t="n"/>
      <c r="D728" s="248" t="n"/>
      <c r="E728" s="249" t="n"/>
      <c r="F728" s="250" t="n"/>
      <c r="G728" s="242">
        <f>IF(ISNUMBER(F728),F728,IF(AND(ISNUMBER(C728),ISNUMBER(D728)),ROUND(MOD(D728-C728,1)*24-N(E728)/60,2),""))</f>
        <v/>
      </c>
      <c r="H728" s="241" t="n"/>
    </row>
    <row r="729">
      <c r="A729" s="241" t="n"/>
      <c r="B729" s="247" t="n"/>
      <c r="C729" s="248" t="n"/>
      <c r="D729" s="248" t="n"/>
      <c r="E729" s="249" t="n"/>
      <c r="F729" s="250" t="n"/>
      <c r="G729" s="242">
        <f>IF(ISNUMBER(F729),F729,IF(AND(ISNUMBER(C729),ISNUMBER(D729)),ROUND(MOD(D729-C729,1)*24-N(E729)/60,2),""))</f>
        <v/>
      </c>
      <c r="H729" s="241" t="n"/>
    </row>
    <row r="730">
      <c r="A730" s="241" t="n"/>
      <c r="B730" s="247" t="n"/>
      <c r="C730" s="248" t="n"/>
      <c r="D730" s="248" t="n"/>
      <c r="E730" s="249" t="n"/>
      <c r="F730" s="250" t="n"/>
      <c r="G730" s="242">
        <f>IF(ISNUMBER(F730),F730,IF(AND(ISNUMBER(C730),ISNUMBER(D730)),ROUND(MOD(D730-C730,1)*24-N(E730)/60,2),""))</f>
        <v/>
      </c>
      <c r="H730" s="241" t="n"/>
    </row>
    <row r="731">
      <c r="A731" s="241" t="n"/>
      <c r="B731" s="247" t="n"/>
      <c r="C731" s="248" t="n"/>
      <c r="D731" s="248" t="n"/>
      <c r="E731" s="249" t="n"/>
      <c r="F731" s="250" t="n"/>
      <c r="G731" s="242">
        <f>IF(ISNUMBER(F731),F731,IF(AND(ISNUMBER(C731),ISNUMBER(D731)),ROUND(MOD(D731-C731,1)*24-N(E731)/60,2),""))</f>
        <v/>
      </c>
      <c r="H731" s="241" t="n"/>
    </row>
    <row r="732">
      <c r="A732" s="241" t="n"/>
      <c r="B732" s="247" t="n"/>
      <c r="C732" s="248" t="n"/>
      <c r="D732" s="248" t="n"/>
      <c r="E732" s="249" t="n"/>
      <c r="F732" s="250" t="n"/>
      <c r="G732" s="242">
        <f>IF(ISNUMBER(F732),F732,IF(AND(ISNUMBER(C732),ISNUMBER(D732)),ROUND(MOD(D732-C732,1)*24-N(E732)/60,2),""))</f>
        <v/>
      </c>
      <c r="H732" s="241" t="n"/>
    </row>
    <row r="733">
      <c r="A733" s="241" t="n"/>
      <c r="B733" s="247" t="n"/>
      <c r="C733" s="248" t="n"/>
      <c r="D733" s="248" t="n"/>
      <c r="E733" s="249" t="n"/>
      <c r="F733" s="250" t="n"/>
      <c r="G733" s="242">
        <f>IF(ISNUMBER(F733),F733,IF(AND(ISNUMBER(C733),ISNUMBER(D733)),ROUND(MOD(D733-C733,1)*24-N(E733)/60,2),""))</f>
        <v/>
      </c>
      <c r="H733" s="241" t="n"/>
    </row>
    <row r="734">
      <c r="A734" s="241" t="n"/>
      <c r="B734" s="247" t="n"/>
      <c r="C734" s="248" t="n"/>
      <c r="D734" s="248" t="n"/>
      <c r="E734" s="249" t="n"/>
      <c r="F734" s="250" t="n"/>
      <c r="G734" s="242">
        <f>IF(ISNUMBER(F734),F734,IF(AND(ISNUMBER(C734),ISNUMBER(D734)),ROUND(MOD(D734-C734,1)*24-N(E734)/60,2),""))</f>
        <v/>
      </c>
      <c r="H734" s="241" t="n"/>
    </row>
    <row r="735">
      <c r="A735" s="241" t="n"/>
      <c r="B735" s="247" t="n"/>
      <c r="C735" s="248" t="n"/>
      <c r="D735" s="248" t="n"/>
      <c r="E735" s="249" t="n"/>
      <c r="F735" s="250" t="n"/>
      <c r="G735" s="242">
        <f>IF(ISNUMBER(F735),F735,IF(AND(ISNUMBER(C735),ISNUMBER(D735)),ROUND(MOD(D735-C735,1)*24-N(E735)/60,2),""))</f>
        <v/>
      </c>
      <c r="H735" s="241" t="n"/>
    </row>
    <row r="736">
      <c r="A736" s="241" t="n"/>
      <c r="B736" s="247" t="n"/>
      <c r="C736" s="248" t="n"/>
      <c r="D736" s="248" t="n"/>
      <c r="E736" s="249" t="n"/>
      <c r="F736" s="250" t="n"/>
      <c r="G736" s="242">
        <f>IF(ISNUMBER(F736),F736,IF(AND(ISNUMBER(C736),ISNUMBER(D736)),ROUND(MOD(D736-C736,1)*24-N(E736)/60,2),""))</f>
        <v/>
      </c>
      <c r="H736" s="241" t="n"/>
    </row>
    <row r="737">
      <c r="A737" s="241" t="n"/>
      <c r="B737" s="247" t="n"/>
      <c r="C737" s="248" t="n"/>
      <c r="D737" s="248" t="n"/>
      <c r="E737" s="249" t="n"/>
      <c r="F737" s="250" t="n"/>
      <c r="G737" s="242">
        <f>IF(ISNUMBER(F737),F737,IF(AND(ISNUMBER(C737),ISNUMBER(D737)),ROUND(MOD(D737-C737,1)*24-N(E737)/60,2),""))</f>
        <v/>
      </c>
      <c r="H737" s="241" t="n"/>
    </row>
    <row r="738">
      <c r="A738" s="241" t="n"/>
      <c r="B738" s="247" t="n"/>
      <c r="C738" s="248" t="n"/>
      <c r="D738" s="248" t="n"/>
      <c r="E738" s="249" t="n"/>
      <c r="F738" s="250" t="n"/>
      <c r="G738" s="242">
        <f>IF(ISNUMBER(F738),F738,IF(AND(ISNUMBER(C738),ISNUMBER(D738)),ROUND(MOD(D738-C738,1)*24-N(E738)/60,2),""))</f>
        <v/>
      </c>
      <c r="H738" s="241" t="n"/>
    </row>
    <row r="739">
      <c r="A739" s="241" t="n"/>
      <c r="B739" s="247" t="n"/>
      <c r="C739" s="248" t="n"/>
      <c r="D739" s="248" t="n"/>
      <c r="E739" s="249" t="n"/>
      <c r="F739" s="250" t="n"/>
      <c r="G739" s="242">
        <f>IF(ISNUMBER(F739),F739,IF(AND(ISNUMBER(C739),ISNUMBER(D739)),ROUND(MOD(D739-C739,1)*24-N(E739)/60,2),""))</f>
        <v/>
      </c>
      <c r="H739" s="241" t="n"/>
    </row>
    <row r="740">
      <c r="A740" s="241" t="n"/>
      <c r="B740" s="247" t="n"/>
      <c r="C740" s="248" t="n"/>
      <c r="D740" s="248" t="n"/>
      <c r="E740" s="249" t="n"/>
      <c r="F740" s="250" t="n"/>
      <c r="G740" s="242">
        <f>IF(ISNUMBER(F740),F740,IF(AND(ISNUMBER(C740),ISNUMBER(D740)),ROUND(MOD(D740-C740,1)*24-N(E740)/60,2),""))</f>
        <v/>
      </c>
      <c r="H740" s="241" t="n"/>
    </row>
    <row r="741">
      <c r="A741" s="241" t="n"/>
      <c r="B741" s="247" t="n"/>
      <c r="C741" s="248" t="n"/>
      <c r="D741" s="248" t="n"/>
      <c r="E741" s="249" t="n"/>
      <c r="F741" s="250" t="n"/>
      <c r="G741" s="242">
        <f>IF(ISNUMBER(F741),F741,IF(AND(ISNUMBER(C741),ISNUMBER(D741)),ROUND(MOD(D741-C741,1)*24-N(E741)/60,2),""))</f>
        <v/>
      </c>
      <c r="H741" s="241" t="n"/>
    </row>
    <row r="742">
      <c r="A742" s="241" t="n"/>
      <c r="B742" s="247" t="n"/>
      <c r="C742" s="248" t="n"/>
      <c r="D742" s="248" t="n"/>
      <c r="E742" s="249" t="n"/>
      <c r="F742" s="250" t="n"/>
      <c r="G742" s="242">
        <f>IF(ISNUMBER(F742),F742,IF(AND(ISNUMBER(C742),ISNUMBER(D742)),ROUND(MOD(D742-C742,1)*24-N(E742)/60,2),""))</f>
        <v/>
      </c>
      <c r="H742" s="241" t="n"/>
    </row>
    <row r="743">
      <c r="A743" s="241" t="n"/>
      <c r="B743" s="247" t="n"/>
      <c r="C743" s="248" t="n"/>
      <c r="D743" s="248" t="n"/>
      <c r="E743" s="249" t="n"/>
      <c r="F743" s="250" t="n"/>
      <c r="G743" s="242">
        <f>IF(ISNUMBER(F743),F743,IF(AND(ISNUMBER(C743),ISNUMBER(D743)),ROUND(MOD(D743-C743,1)*24-N(E743)/60,2),""))</f>
        <v/>
      </c>
      <c r="H743" s="241" t="n"/>
    </row>
    <row r="744">
      <c r="A744" s="241" t="n"/>
      <c r="B744" s="247" t="n"/>
      <c r="C744" s="248" t="n"/>
      <c r="D744" s="248" t="n"/>
      <c r="E744" s="249" t="n"/>
      <c r="F744" s="250" t="n"/>
      <c r="G744" s="242">
        <f>IF(ISNUMBER(F744),F744,IF(AND(ISNUMBER(C744),ISNUMBER(D744)),ROUND(MOD(D744-C744,1)*24-N(E744)/60,2),""))</f>
        <v/>
      </c>
      <c r="H744" s="241" t="n"/>
    </row>
    <row r="745">
      <c r="A745" s="241" t="n"/>
      <c r="B745" s="247" t="n"/>
      <c r="C745" s="248" t="n"/>
      <c r="D745" s="248" t="n"/>
      <c r="E745" s="249" t="n"/>
      <c r="F745" s="250" t="n"/>
      <c r="G745" s="242">
        <f>IF(ISNUMBER(F745),F745,IF(AND(ISNUMBER(C745),ISNUMBER(D745)),ROUND(MOD(D745-C745,1)*24-N(E745)/60,2),""))</f>
        <v/>
      </c>
      <c r="H745" s="241" t="n"/>
    </row>
    <row r="746">
      <c r="A746" s="241" t="n"/>
      <c r="B746" s="247" t="n"/>
      <c r="C746" s="248" t="n"/>
      <c r="D746" s="248" t="n"/>
      <c r="E746" s="249" t="n"/>
      <c r="F746" s="250" t="n"/>
      <c r="G746" s="242">
        <f>IF(ISNUMBER(F746),F746,IF(AND(ISNUMBER(C746),ISNUMBER(D746)),ROUND(MOD(D746-C746,1)*24-N(E746)/60,2),""))</f>
        <v/>
      </c>
      <c r="H746" s="241" t="n"/>
    </row>
    <row r="747">
      <c r="A747" s="241" t="n"/>
      <c r="B747" s="247" t="n"/>
      <c r="C747" s="248" t="n"/>
      <c r="D747" s="248" t="n"/>
      <c r="E747" s="249" t="n"/>
      <c r="F747" s="250" t="n"/>
      <c r="G747" s="242">
        <f>IF(ISNUMBER(F747),F747,IF(AND(ISNUMBER(C747),ISNUMBER(D747)),ROUND(MOD(D747-C747,1)*24-N(E747)/60,2),""))</f>
        <v/>
      </c>
      <c r="H747" s="241" t="n"/>
    </row>
    <row r="748">
      <c r="A748" s="241" t="n"/>
      <c r="B748" s="247" t="n"/>
      <c r="C748" s="248" t="n"/>
      <c r="D748" s="248" t="n"/>
      <c r="E748" s="249" t="n"/>
      <c r="F748" s="250" t="n"/>
      <c r="G748" s="242">
        <f>IF(ISNUMBER(F748),F748,IF(AND(ISNUMBER(C748),ISNUMBER(D748)),ROUND(MOD(D748-C748,1)*24-N(E748)/60,2),""))</f>
        <v/>
      </c>
      <c r="H748" s="241" t="n"/>
    </row>
    <row r="749">
      <c r="A749" s="241" t="n"/>
      <c r="B749" s="247" t="n"/>
      <c r="C749" s="248" t="n"/>
      <c r="D749" s="248" t="n"/>
      <c r="E749" s="249" t="n"/>
      <c r="F749" s="250" t="n"/>
      <c r="G749" s="242">
        <f>IF(ISNUMBER(F749),F749,IF(AND(ISNUMBER(C749),ISNUMBER(D749)),ROUND(MOD(D749-C749,1)*24-N(E749)/60,2),""))</f>
        <v/>
      </c>
      <c r="H749" s="241" t="n"/>
    </row>
    <row r="750">
      <c r="A750" s="241" t="n"/>
      <c r="B750" s="247" t="n"/>
      <c r="C750" s="248" t="n"/>
      <c r="D750" s="248" t="n"/>
      <c r="E750" s="249" t="n"/>
      <c r="F750" s="250" t="n"/>
      <c r="G750" s="242">
        <f>IF(ISNUMBER(F750),F750,IF(AND(ISNUMBER(C750),ISNUMBER(D750)),ROUND(MOD(D750-C750,1)*24-N(E750)/60,2),""))</f>
        <v/>
      </c>
      <c r="H750" s="241" t="n"/>
    </row>
    <row r="751">
      <c r="A751" s="241" t="n"/>
      <c r="B751" s="247" t="n"/>
      <c r="C751" s="248" t="n"/>
      <c r="D751" s="248" t="n"/>
      <c r="E751" s="249" t="n"/>
      <c r="F751" s="250" t="n"/>
      <c r="G751" s="242">
        <f>IF(ISNUMBER(F751),F751,IF(AND(ISNUMBER(C751),ISNUMBER(D751)),ROUND(MOD(D751-C751,1)*24-N(E751)/60,2),""))</f>
        <v/>
      </c>
      <c r="H751" s="241" t="n"/>
    </row>
    <row r="752">
      <c r="A752" s="241" t="n"/>
      <c r="B752" s="247" t="n"/>
      <c r="C752" s="248" t="n"/>
      <c r="D752" s="248" t="n"/>
      <c r="E752" s="249" t="n"/>
      <c r="F752" s="250" t="n"/>
      <c r="G752" s="242">
        <f>IF(ISNUMBER(F752),F752,IF(AND(ISNUMBER(C752),ISNUMBER(D752)),ROUND(MOD(D752-C752,1)*24-N(E752)/60,2),""))</f>
        <v/>
      </c>
      <c r="H752" s="241" t="n"/>
    </row>
    <row r="753">
      <c r="A753" s="241" t="n"/>
      <c r="B753" s="247" t="n"/>
      <c r="C753" s="248" t="n"/>
      <c r="D753" s="248" t="n"/>
      <c r="E753" s="249" t="n"/>
      <c r="F753" s="250" t="n"/>
      <c r="G753" s="242">
        <f>IF(ISNUMBER(F753),F753,IF(AND(ISNUMBER(C753),ISNUMBER(D753)),ROUND(MOD(D753-C753,1)*24-N(E753)/60,2),""))</f>
        <v/>
      </c>
      <c r="H753" s="241" t="n"/>
    </row>
    <row r="754">
      <c r="A754" s="241" t="n"/>
      <c r="B754" s="247" t="n"/>
      <c r="C754" s="248" t="n"/>
      <c r="D754" s="248" t="n"/>
      <c r="E754" s="249" t="n"/>
      <c r="F754" s="250" t="n"/>
      <c r="G754" s="242">
        <f>IF(ISNUMBER(F754),F754,IF(AND(ISNUMBER(C754),ISNUMBER(D754)),ROUND(MOD(D754-C754,1)*24-N(E754)/60,2),""))</f>
        <v/>
      </c>
      <c r="H754" s="241" t="n"/>
    </row>
    <row r="755">
      <c r="A755" s="241" t="n"/>
      <c r="B755" s="247" t="n"/>
      <c r="C755" s="248" t="n"/>
      <c r="D755" s="248" t="n"/>
      <c r="E755" s="249" t="n"/>
      <c r="F755" s="250" t="n"/>
      <c r="G755" s="242">
        <f>IF(ISNUMBER(F755),F755,IF(AND(ISNUMBER(C755),ISNUMBER(D755)),ROUND(MOD(D755-C755,1)*24-N(E755)/60,2),""))</f>
        <v/>
      </c>
      <c r="H755" s="241" t="n"/>
    </row>
    <row r="756">
      <c r="A756" s="241" t="n"/>
      <c r="B756" s="247" t="n"/>
      <c r="C756" s="248" t="n"/>
      <c r="D756" s="248" t="n"/>
      <c r="E756" s="249" t="n"/>
      <c r="F756" s="250" t="n"/>
      <c r="G756" s="242">
        <f>IF(ISNUMBER(F756),F756,IF(AND(ISNUMBER(C756),ISNUMBER(D756)),ROUND(MOD(D756-C756,1)*24-N(E756)/60,2),""))</f>
        <v/>
      </c>
      <c r="H756" s="241" t="n"/>
    </row>
    <row r="757">
      <c r="A757" s="241" t="n"/>
      <c r="B757" s="247" t="n"/>
      <c r="C757" s="248" t="n"/>
      <c r="D757" s="248" t="n"/>
      <c r="E757" s="249" t="n"/>
      <c r="F757" s="250" t="n"/>
      <c r="G757" s="242">
        <f>IF(ISNUMBER(F757),F757,IF(AND(ISNUMBER(C757),ISNUMBER(D757)),ROUND(MOD(D757-C757,1)*24-N(E757)/60,2),""))</f>
        <v/>
      </c>
      <c r="H757" s="241" t="n"/>
    </row>
    <row r="758">
      <c r="A758" s="241" t="n"/>
      <c r="B758" s="247" t="n"/>
      <c r="C758" s="248" t="n"/>
      <c r="D758" s="248" t="n"/>
      <c r="E758" s="249" t="n"/>
      <c r="F758" s="250" t="n"/>
      <c r="G758" s="242">
        <f>IF(ISNUMBER(F758),F758,IF(AND(ISNUMBER(C758),ISNUMBER(D758)),ROUND(MOD(D758-C758,1)*24-N(E758)/60,2),""))</f>
        <v/>
      </c>
      <c r="H758" s="241" t="n"/>
    </row>
    <row r="759">
      <c r="A759" s="241" t="n"/>
      <c r="B759" s="247" t="n"/>
      <c r="C759" s="248" t="n"/>
      <c r="D759" s="248" t="n"/>
      <c r="E759" s="249" t="n"/>
      <c r="F759" s="250" t="n"/>
      <c r="G759" s="242">
        <f>IF(ISNUMBER(F759),F759,IF(AND(ISNUMBER(C759),ISNUMBER(D759)),ROUND(MOD(D759-C759,1)*24-N(E759)/60,2),""))</f>
        <v/>
      </c>
      <c r="H759" s="241" t="n"/>
    </row>
    <row r="760">
      <c r="A760" s="241" t="n"/>
      <c r="B760" s="247" t="n"/>
      <c r="C760" s="248" t="n"/>
      <c r="D760" s="248" t="n"/>
      <c r="E760" s="249" t="n"/>
      <c r="F760" s="250" t="n"/>
      <c r="G760" s="242">
        <f>IF(ISNUMBER(F760),F760,IF(AND(ISNUMBER(C760),ISNUMBER(D760)),ROUND(MOD(D760-C760,1)*24-N(E760)/60,2),""))</f>
        <v/>
      </c>
      <c r="H760" s="241" t="n"/>
    </row>
    <row r="761">
      <c r="A761" s="241" t="n"/>
      <c r="B761" s="247" t="n"/>
      <c r="C761" s="248" t="n"/>
      <c r="D761" s="248" t="n"/>
      <c r="E761" s="249" t="n"/>
      <c r="F761" s="250" t="n"/>
      <c r="G761" s="242">
        <f>IF(ISNUMBER(F761),F761,IF(AND(ISNUMBER(C761),ISNUMBER(D761)),ROUND(MOD(D761-C761,1)*24-N(E761)/60,2),""))</f>
        <v/>
      </c>
      <c r="H761" s="241" t="n"/>
    </row>
    <row r="762">
      <c r="A762" s="241" t="n"/>
      <c r="B762" s="247" t="n"/>
      <c r="C762" s="248" t="n"/>
      <c r="D762" s="248" t="n"/>
      <c r="E762" s="249" t="n"/>
      <c r="F762" s="250" t="n"/>
      <c r="G762" s="242">
        <f>IF(ISNUMBER(F762),F762,IF(AND(ISNUMBER(C762),ISNUMBER(D762)),ROUND(MOD(D762-C762,1)*24-N(E762)/60,2),""))</f>
        <v/>
      </c>
      <c r="H762" s="241" t="n"/>
    </row>
    <row r="763">
      <c r="A763" s="241" t="n"/>
      <c r="B763" s="247" t="n"/>
      <c r="C763" s="248" t="n"/>
      <c r="D763" s="248" t="n"/>
      <c r="E763" s="249" t="n"/>
      <c r="F763" s="250" t="n"/>
      <c r="G763" s="242">
        <f>IF(ISNUMBER(F763),F763,IF(AND(ISNUMBER(C763),ISNUMBER(D763)),ROUND(MOD(D763-C763,1)*24-N(E763)/60,2),""))</f>
        <v/>
      </c>
      <c r="H763" s="241" t="n"/>
    </row>
    <row r="764">
      <c r="A764" s="241" t="n"/>
      <c r="B764" s="247" t="n"/>
      <c r="C764" s="248" t="n"/>
      <c r="D764" s="248" t="n"/>
      <c r="E764" s="249" t="n"/>
      <c r="F764" s="250" t="n"/>
      <c r="G764" s="242">
        <f>IF(ISNUMBER(F764),F764,IF(AND(ISNUMBER(C764),ISNUMBER(D764)),ROUND(MOD(D764-C764,1)*24-N(E764)/60,2),""))</f>
        <v/>
      </c>
      <c r="H764" s="241" t="n"/>
    </row>
    <row r="765">
      <c r="A765" s="241" t="n"/>
      <c r="B765" s="247" t="n"/>
      <c r="C765" s="248" t="n"/>
      <c r="D765" s="248" t="n"/>
      <c r="E765" s="249" t="n"/>
      <c r="F765" s="250" t="n"/>
      <c r="G765" s="242">
        <f>IF(ISNUMBER(F765),F765,IF(AND(ISNUMBER(C765),ISNUMBER(D765)),ROUND(MOD(D765-C765,1)*24-N(E765)/60,2),""))</f>
        <v/>
      </c>
      <c r="H765" s="241" t="n"/>
    </row>
    <row r="766">
      <c r="A766" s="241" t="n"/>
      <c r="B766" s="247" t="n"/>
      <c r="C766" s="248" t="n"/>
      <c r="D766" s="248" t="n"/>
      <c r="E766" s="249" t="n"/>
      <c r="F766" s="250" t="n"/>
      <c r="G766" s="242">
        <f>IF(ISNUMBER(F766),F766,IF(AND(ISNUMBER(C766),ISNUMBER(D766)),ROUND(MOD(D766-C766,1)*24-N(E766)/60,2),""))</f>
        <v/>
      </c>
      <c r="H766" s="241" t="n"/>
    </row>
    <row r="767">
      <c r="A767" s="241" t="n"/>
      <c r="B767" s="247" t="n"/>
      <c r="C767" s="248" t="n"/>
      <c r="D767" s="248" t="n"/>
      <c r="E767" s="249" t="n"/>
      <c r="F767" s="250" t="n"/>
      <c r="G767" s="242">
        <f>IF(ISNUMBER(F767),F767,IF(AND(ISNUMBER(C767),ISNUMBER(D767)),ROUND(MOD(D767-C767,1)*24-N(E767)/60,2),""))</f>
        <v/>
      </c>
      <c r="H767" s="241" t="n"/>
    </row>
    <row r="768">
      <c r="A768" s="241" t="n"/>
      <c r="B768" s="247" t="n"/>
      <c r="C768" s="248" t="n"/>
      <c r="D768" s="248" t="n"/>
      <c r="E768" s="249" t="n"/>
      <c r="F768" s="250" t="n"/>
      <c r="G768" s="242">
        <f>IF(ISNUMBER(F768),F768,IF(AND(ISNUMBER(C768),ISNUMBER(D768)),ROUND(MOD(D768-C768,1)*24-N(E768)/60,2),""))</f>
        <v/>
      </c>
      <c r="H768" s="241" t="n"/>
    </row>
    <row r="769">
      <c r="A769" s="241" t="n"/>
      <c r="B769" s="247" t="n"/>
      <c r="C769" s="248" t="n"/>
      <c r="D769" s="248" t="n"/>
      <c r="E769" s="249" t="n"/>
      <c r="F769" s="250" t="n"/>
      <c r="G769" s="242">
        <f>IF(ISNUMBER(F769),F769,IF(AND(ISNUMBER(C769),ISNUMBER(D769)),ROUND(MOD(D769-C769,1)*24-N(E769)/60,2),""))</f>
        <v/>
      </c>
      <c r="H769" s="241" t="n"/>
    </row>
    <row r="770">
      <c r="A770" s="241" t="n"/>
      <c r="B770" s="247" t="n"/>
      <c r="C770" s="248" t="n"/>
      <c r="D770" s="248" t="n"/>
      <c r="E770" s="249" t="n"/>
      <c r="F770" s="250" t="n"/>
      <c r="G770" s="242">
        <f>IF(ISNUMBER(F770),F770,IF(AND(ISNUMBER(C770),ISNUMBER(D770)),ROUND(MOD(D770-C770,1)*24-N(E770)/60,2),""))</f>
        <v/>
      </c>
      <c r="H770" s="241" t="n"/>
    </row>
    <row r="771">
      <c r="A771" s="241" t="n"/>
      <c r="B771" s="247" t="n"/>
      <c r="C771" s="248" t="n"/>
      <c r="D771" s="248" t="n"/>
      <c r="E771" s="249" t="n"/>
      <c r="F771" s="250" t="n"/>
      <c r="G771" s="242">
        <f>IF(ISNUMBER(F771),F771,IF(AND(ISNUMBER(C771),ISNUMBER(D771)),ROUND(MOD(D771-C771,1)*24-N(E771)/60,2),""))</f>
        <v/>
      </c>
      <c r="H771" s="241" t="n"/>
    </row>
    <row r="772">
      <c r="A772" s="241" t="n"/>
      <c r="B772" s="247" t="n"/>
      <c r="C772" s="248" t="n"/>
      <c r="D772" s="248" t="n"/>
      <c r="E772" s="249" t="n"/>
      <c r="F772" s="250" t="n"/>
      <c r="G772" s="242">
        <f>IF(ISNUMBER(F772),F772,IF(AND(ISNUMBER(C772),ISNUMBER(D772)),ROUND(MOD(D772-C772,1)*24-N(E772)/60,2),""))</f>
        <v/>
      </c>
      <c r="H772" s="241" t="n"/>
    </row>
    <row r="773">
      <c r="A773" s="241" t="n"/>
      <c r="B773" s="247" t="n"/>
      <c r="C773" s="248" t="n"/>
      <c r="D773" s="248" t="n"/>
      <c r="E773" s="249" t="n"/>
      <c r="F773" s="250" t="n"/>
      <c r="G773" s="242">
        <f>IF(ISNUMBER(F773),F773,IF(AND(ISNUMBER(C773),ISNUMBER(D773)),ROUND(MOD(D773-C773,1)*24-N(E773)/60,2),""))</f>
        <v/>
      </c>
      <c r="H773" s="241" t="n"/>
    </row>
    <row r="774">
      <c r="A774" s="241" t="n"/>
      <c r="B774" s="247" t="n"/>
      <c r="C774" s="248" t="n"/>
      <c r="D774" s="248" t="n"/>
      <c r="E774" s="249" t="n"/>
      <c r="F774" s="250" t="n"/>
      <c r="G774" s="242">
        <f>IF(ISNUMBER(F774),F774,IF(AND(ISNUMBER(C774),ISNUMBER(D774)),ROUND(MOD(D774-C774,1)*24-N(E774)/60,2),""))</f>
        <v/>
      </c>
      <c r="H774" s="241" t="n"/>
    </row>
    <row r="775">
      <c r="A775" s="241" t="n"/>
      <c r="B775" s="247" t="n"/>
      <c r="C775" s="248" t="n"/>
      <c r="D775" s="248" t="n"/>
      <c r="E775" s="249" t="n"/>
      <c r="F775" s="250" t="n"/>
      <c r="G775" s="242">
        <f>IF(ISNUMBER(F775),F775,IF(AND(ISNUMBER(C775),ISNUMBER(D775)),ROUND(MOD(D775-C775,1)*24-N(E775)/60,2),""))</f>
        <v/>
      </c>
      <c r="H775" s="241" t="n"/>
    </row>
    <row r="776">
      <c r="A776" s="241" t="n"/>
      <c r="B776" s="247" t="n"/>
      <c r="C776" s="248" t="n"/>
      <c r="D776" s="248" t="n"/>
      <c r="E776" s="249" t="n"/>
      <c r="F776" s="250" t="n"/>
      <c r="G776" s="242">
        <f>IF(ISNUMBER(F776),F776,IF(AND(ISNUMBER(C776),ISNUMBER(D776)),ROUND(MOD(D776-C776,1)*24-N(E776)/60,2),""))</f>
        <v/>
      </c>
      <c r="H776" s="241" t="n"/>
    </row>
    <row r="777">
      <c r="A777" s="241" t="n"/>
      <c r="B777" s="247" t="n"/>
      <c r="C777" s="248" t="n"/>
      <c r="D777" s="248" t="n"/>
      <c r="E777" s="249" t="n"/>
      <c r="F777" s="250" t="n"/>
      <c r="G777" s="242">
        <f>IF(ISNUMBER(F777),F777,IF(AND(ISNUMBER(C777),ISNUMBER(D777)),ROUND(MOD(D777-C777,1)*24-N(E777)/60,2),""))</f>
        <v/>
      </c>
      <c r="H777" s="241" t="n"/>
    </row>
    <row r="778">
      <c r="A778" s="241" t="n"/>
      <c r="B778" s="247" t="n"/>
      <c r="C778" s="248" t="n"/>
      <c r="D778" s="248" t="n"/>
      <c r="E778" s="249" t="n"/>
      <c r="F778" s="250" t="n"/>
      <c r="G778" s="242">
        <f>IF(ISNUMBER(F778),F778,IF(AND(ISNUMBER(C778),ISNUMBER(D778)),ROUND(MOD(D778-C778,1)*24-N(E778)/60,2),""))</f>
        <v/>
      </c>
      <c r="H778" s="241" t="n"/>
    </row>
    <row r="779">
      <c r="A779" s="241" t="n"/>
      <c r="B779" s="247" t="n"/>
      <c r="C779" s="248" t="n"/>
      <c r="D779" s="248" t="n"/>
      <c r="E779" s="249" t="n"/>
      <c r="F779" s="250" t="n"/>
      <c r="G779" s="242">
        <f>IF(ISNUMBER(F779),F779,IF(AND(ISNUMBER(C779),ISNUMBER(D779)),ROUND(MOD(D779-C779,1)*24-N(E779)/60,2),""))</f>
        <v/>
      </c>
      <c r="H779" s="241" t="n"/>
    </row>
    <row r="780">
      <c r="A780" s="241" t="n"/>
      <c r="B780" s="247" t="n"/>
      <c r="C780" s="248" t="n"/>
      <c r="D780" s="248" t="n"/>
      <c r="E780" s="249" t="n"/>
      <c r="F780" s="250" t="n"/>
      <c r="G780" s="242">
        <f>IF(ISNUMBER(F780),F780,IF(AND(ISNUMBER(C780),ISNUMBER(D780)),ROUND(MOD(D780-C780,1)*24-N(E780)/60,2),""))</f>
        <v/>
      </c>
      <c r="H780" s="241" t="n"/>
    </row>
    <row r="781">
      <c r="A781" s="241" t="n"/>
      <c r="B781" s="247" t="n"/>
      <c r="C781" s="248" t="n"/>
      <c r="D781" s="248" t="n"/>
      <c r="E781" s="249" t="n"/>
      <c r="F781" s="250" t="n"/>
      <c r="G781" s="242">
        <f>IF(ISNUMBER(F781),F781,IF(AND(ISNUMBER(C781),ISNUMBER(D781)),ROUND(MOD(D781-C781,1)*24-N(E781)/60,2),""))</f>
        <v/>
      </c>
      <c r="H781" s="241" t="n"/>
    </row>
    <row r="782">
      <c r="A782" s="241" t="n"/>
      <c r="B782" s="247" t="n"/>
      <c r="C782" s="248" t="n"/>
      <c r="D782" s="248" t="n"/>
      <c r="E782" s="249" t="n"/>
      <c r="F782" s="250" t="n"/>
      <c r="G782" s="242">
        <f>IF(ISNUMBER(F782),F782,IF(AND(ISNUMBER(C782),ISNUMBER(D782)),ROUND(MOD(D782-C782,1)*24-N(E782)/60,2),""))</f>
        <v/>
      </c>
      <c r="H782" s="241" t="n"/>
    </row>
    <row r="783">
      <c r="A783" s="241" t="n"/>
      <c r="B783" s="247" t="n"/>
      <c r="C783" s="248" t="n"/>
      <c r="D783" s="248" t="n"/>
      <c r="E783" s="249" t="n"/>
      <c r="F783" s="250" t="n"/>
      <c r="G783" s="242">
        <f>IF(ISNUMBER(F783),F783,IF(AND(ISNUMBER(C783),ISNUMBER(D783)),ROUND(MOD(D783-C783,1)*24-N(E783)/60,2),""))</f>
        <v/>
      </c>
      <c r="H783" s="241" t="n"/>
    </row>
    <row r="784">
      <c r="A784" s="241" t="n"/>
      <c r="B784" s="247" t="n"/>
      <c r="C784" s="248" t="n"/>
      <c r="D784" s="248" t="n"/>
      <c r="E784" s="249" t="n"/>
      <c r="F784" s="250" t="n"/>
      <c r="G784" s="242">
        <f>IF(ISNUMBER(F784),F784,IF(AND(ISNUMBER(C784),ISNUMBER(D784)),ROUND(MOD(D784-C784,1)*24-N(E784)/60,2),""))</f>
        <v/>
      </c>
      <c r="H784" s="241" t="n"/>
    </row>
    <row r="785">
      <c r="A785" s="241" t="n"/>
      <c r="B785" s="247" t="n"/>
      <c r="C785" s="248" t="n"/>
      <c r="D785" s="248" t="n"/>
      <c r="E785" s="249" t="n"/>
      <c r="F785" s="250" t="n"/>
      <c r="G785" s="242">
        <f>IF(ISNUMBER(F785),F785,IF(AND(ISNUMBER(C785),ISNUMBER(D785)),ROUND(MOD(D785-C785,1)*24-N(E785)/60,2),""))</f>
        <v/>
      </c>
      <c r="H785" s="241" t="n"/>
    </row>
    <row r="786">
      <c r="A786" s="241" t="n"/>
      <c r="B786" s="247" t="n"/>
      <c r="C786" s="248" t="n"/>
      <c r="D786" s="248" t="n"/>
      <c r="E786" s="249" t="n"/>
      <c r="F786" s="250" t="n"/>
      <c r="G786" s="242">
        <f>IF(ISNUMBER(F786),F786,IF(AND(ISNUMBER(C786),ISNUMBER(D786)),ROUND(MOD(D786-C786,1)*24-N(E786)/60,2),""))</f>
        <v/>
      </c>
      <c r="H786" s="241" t="n"/>
    </row>
    <row r="787">
      <c r="A787" s="241" t="n"/>
      <c r="B787" s="247" t="n"/>
      <c r="C787" s="248" t="n"/>
      <c r="D787" s="248" t="n"/>
      <c r="E787" s="249" t="n"/>
      <c r="F787" s="250" t="n"/>
      <c r="G787" s="242">
        <f>IF(ISNUMBER(F787),F787,IF(AND(ISNUMBER(C787),ISNUMBER(D787)),ROUND(MOD(D787-C787,1)*24-N(E787)/60,2),""))</f>
        <v/>
      </c>
      <c r="H787" s="241" t="n"/>
    </row>
    <row r="788">
      <c r="A788" s="241" t="n"/>
      <c r="B788" s="247" t="n"/>
      <c r="C788" s="248" t="n"/>
      <c r="D788" s="248" t="n"/>
      <c r="E788" s="249" t="n"/>
      <c r="F788" s="250" t="n"/>
      <c r="G788" s="242">
        <f>IF(ISNUMBER(F788),F788,IF(AND(ISNUMBER(C788),ISNUMBER(D788)),ROUND(MOD(D788-C788,1)*24-N(E788)/60,2),""))</f>
        <v/>
      </c>
      <c r="H788" s="241" t="n"/>
    </row>
    <row r="789">
      <c r="A789" s="241" t="n"/>
      <c r="B789" s="247" t="n"/>
      <c r="C789" s="248" t="n"/>
      <c r="D789" s="248" t="n"/>
      <c r="E789" s="249" t="n"/>
      <c r="F789" s="250" t="n"/>
      <c r="G789" s="242">
        <f>IF(ISNUMBER(F789),F789,IF(AND(ISNUMBER(C789),ISNUMBER(D789)),ROUND(MOD(D789-C789,1)*24-N(E789)/60,2),""))</f>
        <v/>
      </c>
      <c r="H789" s="241" t="n"/>
    </row>
    <row r="790">
      <c r="A790" s="241" t="n"/>
      <c r="B790" s="247" t="n"/>
      <c r="C790" s="248" t="n"/>
      <c r="D790" s="248" t="n"/>
      <c r="E790" s="249" t="n"/>
      <c r="F790" s="250" t="n"/>
      <c r="G790" s="242">
        <f>IF(ISNUMBER(F790),F790,IF(AND(ISNUMBER(C790),ISNUMBER(D790)),ROUND(MOD(D790-C790,1)*24-N(E790)/60,2),""))</f>
        <v/>
      </c>
      <c r="H790" s="241" t="n"/>
    </row>
    <row r="791">
      <c r="A791" s="241" t="n"/>
      <c r="B791" s="247" t="n"/>
      <c r="C791" s="248" t="n"/>
      <c r="D791" s="248" t="n"/>
      <c r="E791" s="249" t="n"/>
      <c r="F791" s="250" t="n"/>
      <c r="G791" s="242">
        <f>IF(ISNUMBER(F791),F791,IF(AND(ISNUMBER(C791),ISNUMBER(D791)),ROUND(MOD(D791-C791,1)*24-N(E791)/60,2),""))</f>
        <v/>
      </c>
      <c r="H791" s="241" t="n"/>
    </row>
    <row r="792">
      <c r="A792" s="241" t="n"/>
      <c r="B792" s="247" t="n"/>
      <c r="C792" s="248" t="n"/>
      <c r="D792" s="248" t="n"/>
      <c r="E792" s="249" t="n"/>
      <c r="F792" s="250" t="n"/>
      <c r="G792" s="242">
        <f>IF(ISNUMBER(F792),F792,IF(AND(ISNUMBER(C792),ISNUMBER(D792)),ROUND(MOD(D792-C792,1)*24-N(E792)/60,2),""))</f>
        <v/>
      </c>
      <c r="H792" s="241" t="n"/>
    </row>
    <row r="793">
      <c r="A793" s="241" t="n"/>
      <c r="B793" s="247" t="n"/>
      <c r="C793" s="248" t="n"/>
      <c r="D793" s="248" t="n"/>
      <c r="E793" s="249" t="n"/>
      <c r="F793" s="250" t="n"/>
      <c r="G793" s="242">
        <f>IF(ISNUMBER(F793),F793,IF(AND(ISNUMBER(C793),ISNUMBER(D793)),ROUND(MOD(D793-C793,1)*24-N(E793)/60,2),""))</f>
        <v/>
      </c>
      <c r="H793" s="241" t="n"/>
    </row>
    <row r="794">
      <c r="A794" s="241" t="n"/>
      <c r="B794" s="247" t="n"/>
      <c r="C794" s="248" t="n"/>
      <c r="D794" s="248" t="n"/>
      <c r="E794" s="249" t="n"/>
      <c r="F794" s="250" t="n"/>
      <c r="G794" s="242">
        <f>IF(ISNUMBER(F794),F794,IF(AND(ISNUMBER(C794),ISNUMBER(D794)),ROUND(MOD(D794-C794,1)*24-N(E794)/60,2),""))</f>
        <v/>
      </c>
      <c r="H794" s="241" t="n"/>
    </row>
    <row r="795">
      <c r="A795" s="241" t="n"/>
      <c r="B795" s="247" t="n"/>
      <c r="C795" s="248" t="n"/>
      <c r="D795" s="248" t="n"/>
      <c r="E795" s="249" t="n"/>
      <c r="F795" s="250" t="n"/>
      <c r="G795" s="242">
        <f>IF(ISNUMBER(F795),F795,IF(AND(ISNUMBER(C795),ISNUMBER(D795)),ROUND(MOD(D795-C795,1)*24-N(E795)/60,2),""))</f>
        <v/>
      </c>
      <c r="H795" s="241" t="n"/>
    </row>
    <row r="796">
      <c r="A796" s="241" t="n"/>
      <c r="B796" s="247" t="n"/>
      <c r="C796" s="248" t="n"/>
      <c r="D796" s="248" t="n"/>
      <c r="E796" s="249" t="n"/>
      <c r="F796" s="250" t="n"/>
      <c r="G796" s="242">
        <f>IF(ISNUMBER(F796),F796,IF(AND(ISNUMBER(C796),ISNUMBER(D796)),ROUND(MOD(D796-C796,1)*24-N(E796)/60,2),""))</f>
        <v/>
      </c>
      <c r="H796" s="241" t="n"/>
    </row>
    <row r="797">
      <c r="A797" s="241" t="n"/>
      <c r="B797" s="247" t="n"/>
      <c r="C797" s="248" t="n"/>
      <c r="D797" s="248" t="n"/>
      <c r="E797" s="249" t="n"/>
      <c r="F797" s="250" t="n"/>
      <c r="G797" s="242">
        <f>IF(ISNUMBER(F797),F797,IF(AND(ISNUMBER(C797),ISNUMBER(D797)),ROUND(MOD(D797-C797,1)*24-N(E797)/60,2),""))</f>
        <v/>
      </c>
      <c r="H797" s="241" t="n"/>
    </row>
    <row r="798">
      <c r="A798" s="241" t="n"/>
      <c r="B798" s="247" t="n"/>
      <c r="C798" s="248" t="n"/>
      <c r="D798" s="248" t="n"/>
      <c r="E798" s="249" t="n"/>
      <c r="F798" s="250" t="n"/>
      <c r="G798" s="242">
        <f>IF(ISNUMBER(F798),F798,IF(AND(ISNUMBER(C798),ISNUMBER(D798)),ROUND(MOD(D798-C798,1)*24-N(E798)/60,2),""))</f>
        <v/>
      </c>
      <c r="H798" s="241" t="n"/>
    </row>
    <row r="799">
      <c r="A799" s="241" t="n"/>
      <c r="B799" s="247" t="n"/>
      <c r="C799" s="248" t="n"/>
      <c r="D799" s="248" t="n"/>
      <c r="E799" s="249" t="n"/>
      <c r="F799" s="250" t="n"/>
      <c r="G799" s="242">
        <f>IF(ISNUMBER(F799),F799,IF(AND(ISNUMBER(C799),ISNUMBER(D799)),ROUND(MOD(D799-C799,1)*24-N(E799)/60,2),""))</f>
        <v/>
      </c>
      <c r="H799" s="241" t="n"/>
    </row>
    <row r="800">
      <c r="A800" s="241" t="n"/>
      <c r="B800" s="247" t="n"/>
      <c r="C800" s="248" t="n"/>
      <c r="D800" s="248" t="n"/>
      <c r="E800" s="249" t="n"/>
      <c r="F800" s="250" t="n"/>
      <c r="G800" s="242">
        <f>IF(ISNUMBER(F800),F800,IF(AND(ISNUMBER(C800),ISNUMBER(D800)),ROUND(MOD(D800-C800,1)*24-N(E800)/60,2),""))</f>
        <v/>
      </c>
      <c r="H800" s="241" t="n"/>
    </row>
    <row r="801">
      <c r="A801" s="241" t="n"/>
      <c r="B801" s="247" t="n"/>
      <c r="C801" s="248" t="n"/>
      <c r="D801" s="248" t="n"/>
      <c r="E801" s="249" t="n"/>
      <c r="F801" s="250" t="n"/>
      <c r="G801" s="242">
        <f>IF(ISNUMBER(F801),F801,IF(AND(ISNUMBER(C801),ISNUMBER(D801)),ROUND(MOD(D801-C801,1)*24-N(E801)/60,2),""))</f>
        <v/>
      </c>
      <c r="H801" s="241" t="n"/>
    </row>
    <row r="802">
      <c r="A802" s="241" t="n"/>
      <c r="B802" s="247" t="n"/>
      <c r="C802" s="248" t="n"/>
      <c r="D802" s="248" t="n"/>
      <c r="E802" s="249" t="n"/>
      <c r="F802" s="250" t="n"/>
      <c r="G802" s="242">
        <f>IF(ISNUMBER(F802),F802,IF(AND(ISNUMBER(C802),ISNUMBER(D802)),ROUND(MOD(D802-C802,1)*24-N(E802)/60,2),""))</f>
        <v/>
      </c>
      <c r="H802" s="241" t="n"/>
    </row>
    <row r="803">
      <c r="A803" s="241" t="n"/>
      <c r="B803" s="247" t="n"/>
      <c r="C803" s="248" t="n"/>
      <c r="D803" s="248" t="n"/>
      <c r="E803" s="249" t="n"/>
      <c r="F803" s="250" t="n"/>
      <c r="G803" s="242">
        <f>IF(ISNUMBER(F803),F803,IF(AND(ISNUMBER(C803),ISNUMBER(D803)),ROUND(MOD(D803-C803,1)*24-N(E803)/60,2),""))</f>
        <v/>
      </c>
      <c r="H803" s="241" t="n"/>
    </row>
    <row r="804">
      <c r="A804" s="241" t="n"/>
      <c r="B804" s="247" t="n"/>
      <c r="C804" s="248" t="n"/>
      <c r="D804" s="248" t="n"/>
      <c r="E804" s="249" t="n"/>
      <c r="F804" s="250" t="n"/>
      <c r="G804" s="242">
        <f>IF(ISNUMBER(F804),F804,IF(AND(ISNUMBER(C804),ISNUMBER(D804)),ROUND(MOD(D804-C804,1)*24-N(E804)/60,2),""))</f>
        <v/>
      </c>
      <c r="H804" s="241" t="n"/>
    </row>
    <row r="805">
      <c r="A805" s="241" t="n"/>
      <c r="B805" s="247" t="n"/>
      <c r="C805" s="248" t="n"/>
      <c r="D805" s="248" t="n"/>
      <c r="E805" s="249" t="n"/>
      <c r="F805" s="250" t="n"/>
      <c r="G805" s="242">
        <f>IF(ISNUMBER(F805),F805,IF(AND(ISNUMBER(C805),ISNUMBER(D805)),ROUND(MOD(D805-C805,1)*24-N(E805)/60,2),""))</f>
        <v/>
      </c>
      <c r="H805" s="241" t="n"/>
    </row>
    <row r="806">
      <c r="A806" s="241" t="n"/>
      <c r="B806" s="247" t="n"/>
      <c r="C806" s="248" t="n"/>
      <c r="D806" s="248" t="n"/>
      <c r="E806" s="249" t="n"/>
      <c r="F806" s="250" t="n"/>
      <c r="G806" s="242">
        <f>IF(ISNUMBER(F806),F806,IF(AND(ISNUMBER(C806),ISNUMBER(D806)),ROUND(MOD(D806-C806,1)*24-N(E806)/60,2),""))</f>
        <v/>
      </c>
      <c r="H806" s="241" t="n"/>
    </row>
    <row r="807">
      <c r="A807" s="241" t="n"/>
      <c r="B807" s="247" t="n"/>
      <c r="C807" s="248" t="n"/>
      <c r="D807" s="248" t="n"/>
      <c r="E807" s="249" t="n"/>
      <c r="F807" s="250" t="n"/>
      <c r="G807" s="242">
        <f>IF(ISNUMBER(F807),F807,IF(AND(ISNUMBER(C807),ISNUMBER(D807)),ROUND(MOD(D807-C807,1)*24-N(E807)/60,2),""))</f>
        <v/>
      </c>
      <c r="H807" s="241" t="n"/>
    </row>
    <row r="808">
      <c r="A808" s="241" t="n"/>
      <c r="B808" s="247" t="n"/>
      <c r="C808" s="248" t="n"/>
      <c r="D808" s="248" t="n"/>
      <c r="E808" s="249" t="n"/>
      <c r="F808" s="250" t="n"/>
      <c r="G808" s="242">
        <f>IF(ISNUMBER(F808),F808,IF(AND(ISNUMBER(C808),ISNUMBER(D808)),ROUND(MOD(D808-C808,1)*24-N(E808)/60,2),""))</f>
        <v/>
      </c>
      <c r="H808" s="241" t="n"/>
    </row>
    <row r="809">
      <c r="A809" s="241" t="n"/>
      <c r="B809" s="247" t="n"/>
      <c r="C809" s="248" t="n"/>
      <c r="D809" s="248" t="n"/>
      <c r="E809" s="249" t="n"/>
      <c r="F809" s="250" t="n"/>
      <c r="G809" s="242">
        <f>IF(ISNUMBER(F809),F809,IF(AND(ISNUMBER(C809),ISNUMBER(D809)),ROUND(MOD(D809-C809,1)*24-N(E809)/60,2),""))</f>
        <v/>
      </c>
      <c r="H809" s="241" t="n"/>
    </row>
    <row r="810">
      <c r="A810" s="241" t="n"/>
      <c r="B810" s="247" t="n"/>
      <c r="C810" s="248" t="n"/>
      <c r="D810" s="248" t="n"/>
      <c r="E810" s="249" t="n"/>
      <c r="F810" s="250" t="n"/>
      <c r="G810" s="242">
        <f>IF(ISNUMBER(F810),F810,IF(AND(ISNUMBER(C810),ISNUMBER(D810)),ROUND(MOD(D810-C810,1)*24-N(E810)/60,2),""))</f>
        <v/>
      </c>
      <c r="H810" s="241" t="n"/>
    </row>
    <row r="811">
      <c r="A811" s="241" t="n"/>
      <c r="B811" s="247" t="n"/>
      <c r="C811" s="248" t="n"/>
      <c r="D811" s="248" t="n"/>
      <c r="E811" s="249" t="n"/>
      <c r="F811" s="250" t="n"/>
      <c r="G811" s="242">
        <f>IF(ISNUMBER(F811),F811,IF(AND(ISNUMBER(C811),ISNUMBER(D811)),ROUND(MOD(D811-C811,1)*24-N(E811)/60,2),""))</f>
        <v/>
      </c>
      <c r="H811" s="241" t="n"/>
    </row>
    <row r="812">
      <c r="A812" s="241" t="n"/>
      <c r="B812" s="247" t="n"/>
      <c r="C812" s="248" t="n"/>
      <c r="D812" s="248" t="n"/>
      <c r="E812" s="249" t="n"/>
      <c r="F812" s="250" t="n"/>
      <c r="G812" s="242">
        <f>IF(ISNUMBER(F812),F812,IF(AND(ISNUMBER(C812),ISNUMBER(D812)),ROUND(MOD(D812-C812,1)*24-N(E812)/60,2),""))</f>
        <v/>
      </c>
      <c r="H812" s="241" t="n"/>
    </row>
    <row r="813">
      <c r="A813" s="241" t="n"/>
      <c r="B813" s="247" t="n"/>
      <c r="C813" s="248" t="n"/>
      <c r="D813" s="248" t="n"/>
      <c r="E813" s="249" t="n"/>
      <c r="F813" s="250" t="n"/>
      <c r="G813" s="242">
        <f>IF(ISNUMBER(F813),F813,IF(AND(ISNUMBER(C813),ISNUMBER(D813)),ROUND(MOD(D813-C813,1)*24-N(E813)/60,2),""))</f>
        <v/>
      </c>
      <c r="H813" s="241" t="n"/>
    </row>
    <row r="814">
      <c r="A814" s="241" t="n"/>
      <c r="B814" s="247" t="n"/>
      <c r="C814" s="248" t="n"/>
      <c r="D814" s="248" t="n"/>
      <c r="E814" s="249" t="n"/>
      <c r="F814" s="250" t="n"/>
      <c r="G814" s="242">
        <f>IF(ISNUMBER(F814),F814,IF(AND(ISNUMBER(C814),ISNUMBER(D814)),ROUND(MOD(D814-C814,1)*24-N(E814)/60,2),""))</f>
        <v/>
      </c>
      <c r="H814" s="241" t="n"/>
    </row>
    <row r="815">
      <c r="A815" s="241" t="n"/>
      <c r="B815" s="247" t="n"/>
      <c r="C815" s="248" t="n"/>
      <c r="D815" s="248" t="n"/>
      <c r="E815" s="249" t="n"/>
      <c r="F815" s="250" t="n"/>
      <c r="G815" s="242">
        <f>IF(ISNUMBER(F815),F815,IF(AND(ISNUMBER(C815),ISNUMBER(D815)),ROUND(MOD(D815-C815,1)*24-N(E815)/60,2),""))</f>
        <v/>
      </c>
      <c r="H815" s="241" t="n"/>
    </row>
    <row r="816">
      <c r="A816" s="241" t="n"/>
      <c r="B816" s="247" t="n"/>
      <c r="C816" s="248" t="n"/>
      <c r="D816" s="248" t="n"/>
      <c r="E816" s="249" t="n"/>
      <c r="F816" s="250" t="n"/>
      <c r="G816" s="242">
        <f>IF(ISNUMBER(F816),F816,IF(AND(ISNUMBER(C816),ISNUMBER(D816)),ROUND(MOD(D816-C816,1)*24-N(E816)/60,2),""))</f>
        <v/>
      </c>
      <c r="H816" s="241" t="n"/>
    </row>
    <row r="817">
      <c r="A817" s="241" t="n"/>
      <c r="B817" s="247" t="n"/>
      <c r="C817" s="248" t="n"/>
      <c r="D817" s="248" t="n"/>
      <c r="E817" s="249" t="n"/>
      <c r="F817" s="250" t="n"/>
      <c r="G817" s="242">
        <f>IF(ISNUMBER(F817),F817,IF(AND(ISNUMBER(C817),ISNUMBER(D817)),ROUND(MOD(D817-C817,1)*24-N(E817)/60,2),""))</f>
        <v/>
      </c>
      <c r="H817" s="241" t="n"/>
    </row>
    <row r="818">
      <c r="A818" s="241" t="n"/>
      <c r="B818" s="247" t="n"/>
      <c r="C818" s="248" t="n"/>
      <c r="D818" s="248" t="n"/>
      <c r="E818" s="249" t="n"/>
      <c r="F818" s="250" t="n"/>
      <c r="G818" s="242">
        <f>IF(ISNUMBER(F818),F818,IF(AND(ISNUMBER(C818),ISNUMBER(D818)),ROUND(MOD(D818-C818,1)*24-N(E818)/60,2),""))</f>
        <v/>
      </c>
      <c r="H818" s="241" t="n"/>
    </row>
    <row r="819">
      <c r="A819" s="241" t="n"/>
      <c r="B819" s="247" t="n"/>
      <c r="C819" s="248" t="n"/>
      <c r="D819" s="248" t="n"/>
      <c r="E819" s="249" t="n"/>
      <c r="F819" s="250" t="n"/>
      <c r="G819" s="242">
        <f>IF(ISNUMBER(F819),F819,IF(AND(ISNUMBER(C819),ISNUMBER(D819)),ROUND(MOD(D819-C819,1)*24-N(E819)/60,2),""))</f>
        <v/>
      </c>
      <c r="H819" s="241" t="n"/>
    </row>
    <row r="820">
      <c r="A820" s="241" t="n"/>
      <c r="B820" s="247" t="n"/>
      <c r="C820" s="248" t="n"/>
      <c r="D820" s="248" t="n"/>
      <c r="E820" s="249" t="n"/>
      <c r="F820" s="250" t="n"/>
      <c r="G820" s="242">
        <f>IF(ISNUMBER(F820),F820,IF(AND(ISNUMBER(C820),ISNUMBER(D820)),ROUND(MOD(D820-C820,1)*24-N(E820)/60,2),""))</f>
        <v/>
      </c>
      <c r="H820" s="241" t="n"/>
    </row>
    <row r="821">
      <c r="A821" s="241" t="n"/>
      <c r="B821" s="247" t="n"/>
      <c r="C821" s="248" t="n"/>
      <c r="D821" s="248" t="n"/>
      <c r="E821" s="249" t="n"/>
      <c r="F821" s="250" t="n"/>
      <c r="G821" s="242">
        <f>IF(ISNUMBER(F821),F821,IF(AND(ISNUMBER(C821),ISNUMBER(D821)),ROUND(MOD(D821-C821,1)*24-N(E821)/60,2),""))</f>
        <v/>
      </c>
      <c r="H821" s="241" t="n"/>
    </row>
    <row r="822">
      <c r="A822" s="241" t="n"/>
      <c r="B822" s="247" t="n"/>
      <c r="C822" s="248" t="n"/>
      <c r="D822" s="248" t="n"/>
      <c r="E822" s="249" t="n"/>
      <c r="F822" s="250" t="n"/>
      <c r="G822" s="242">
        <f>IF(ISNUMBER(F822),F822,IF(AND(ISNUMBER(C822),ISNUMBER(D822)),ROUND(MOD(D822-C822,1)*24-N(E822)/60,2),""))</f>
        <v/>
      </c>
      <c r="H822" s="241" t="n"/>
    </row>
    <row r="823">
      <c r="A823" s="241" t="n"/>
      <c r="B823" s="247" t="n"/>
      <c r="C823" s="248" t="n"/>
      <c r="D823" s="248" t="n"/>
      <c r="E823" s="249" t="n"/>
      <c r="F823" s="250" t="n"/>
      <c r="G823" s="242">
        <f>IF(ISNUMBER(F823),F823,IF(AND(ISNUMBER(C823),ISNUMBER(D823)),ROUND(MOD(D823-C823,1)*24-N(E823)/60,2),""))</f>
        <v/>
      </c>
      <c r="H823" s="241" t="n"/>
    </row>
    <row r="824">
      <c r="A824" s="241" t="n"/>
      <c r="B824" s="247" t="n"/>
      <c r="C824" s="248" t="n"/>
      <c r="D824" s="248" t="n"/>
      <c r="E824" s="249" t="n"/>
      <c r="F824" s="250" t="n"/>
      <c r="G824" s="242">
        <f>IF(ISNUMBER(F824),F824,IF(AND(ISNUMBER(C824),ISNUMBER(D824)),ROUND(MOD(D824-C824,1)*24-N(E824)/60,2),""))</f>
        <v/>
      </c>
      <c r="H824" s="241" t="n"/>
    </row>
    <row r="825">
      <c r="A825" s="241" t="n"/>
      <c r="B825" s="247" t="n"/>
      <c r="C825" s="248" t="n"/>
      <c r="D825" s="248" t="n"/>
      <c r="E825" s="249" t="n"/>
      <c r="F825" s="250" t="n"/>
      <c r="G825" s="242">
        <f>IF(ISNUMBER(F825),F825,IF(AND(ISNUMBER(C825),ISNUMBER(D825)),ROUND(MOD(D825-C825,1)*24-N(E825)/60,2),""))</f>
        <v/>
      </c>
      <c r="H825" s="241" t="n"/>
    </row>
    <row r="826">
      <c r="A826" s="241" t="n"/>
      <c r="B826" s="247" t="n"/>
      <c r="C826" s="248" t="n"/>
      <c r="D826" s="248" t="n"/>
      <c r="E826" s="249" t="n"/>
      <c r="F826" s="250" t="n"/>
      <c r="G826" s="242">
        <f>IF(ISNUMBER(F826),F826,IF(AND(ISNUMBER(C826),ISNUMBER(D826)),ROUND(MOD(D826-C826,1)*24-N(E826)/60,2),""))</f>
        <v/>
      </c>
      <c r="H826" s="241" t="n"/>
    </row>
    <row r="827">
      <c r="A827" s="241" t="n"/>
      <c r="B827" s="247" t="n"/>
      <c r="C827" s="248" t="n"/>
      <c r="D827" s="248" t="n"/>
      <c r="E827" s="249" t="n"/>
      <c r="F827" s="250" t="n"/>
      <c r="G827" s="242">
        <f>IF(ISNUMBER(F827),F827,IF(AND(ISNUMBER(C827),ISNUMBER(D827)),ROUND(MOD(D827-C827,1)*24-N(E827)/60,2),""))</f>
        <v/>
      </c>
      <c r="H827" s="241" t="n"/>
    </row>
    <row r="828">
      <c r="A828" s="241" t="n"/>
      <c r="B828" s="247" t="n"/>
      <c r="C828" s="248" t="n"/>
      <c r="D828" s="248" t="n"/>
      <c r="E828" s="249" t="n"/>
      <c r="F828" s="250" t="n"/>
      <c r="G828" s="242">
        <f>IF(ISNUMBER(F828),F828,IF(AND(ISNUMBER(C828),ISNUMBER(D828)),ROUND(MOD(D828-C828,1)*24-N(E828)/60,2),""))</f>
        <v/>
      </c>
      <c r="H828" s="241" t="n"/>
    </row>
    <row r="829">
      <c r="A829" s="241" t="n"/>
      <c r="B829" s="247" t="n"/>
      <c r="C829" s="248" t="n"/>
      <c r="D829" s="248" t="n"/>
      <c r="E829" s="249" t="n"/>
      <c r="F829" s="250" t="n"/>
      <c r="G829" s="242">
        <f>IF(ISNUMBER(F829),F829,IF(AND(ISNUMBER(C829),ISNUMBER(D829)),ROUND(MOD(D829-C829,1)*24-N(E829)/60,2),""))</f>
        <v/>
      </c>
      <c r="H829" s="241" t="n"/>
    </row>
    <row r="830">
      <c r="A830" s="241" t="n"/>
      <c r="B830" s="247" t="n"/>
      <c r="C830" s="248" t="n"/>
      <c r="D830" s="248" t="n"/>
      <c r="E830" s="249" t="n"/>
      <c r="F830" s="250" t="n"/>
      <c r="G830" s="242">
        <f>IF(ISNUMBER(F830),F830,IF(AND(ISNUMBER(C830),ISNUMBER(D830)),ROUND(MOD(D830-C830,1)*24-N(E830)/60,2),""))</f>
        <v/>
      </c>
      <c r="H830" s="241" t="n"/>
    </row>
    <row r="831">
      <c r="A831" s="241" t="n"/>
      <c r="B831" s="247" t="n"/>
      <c r="C831" s="248" t="n"/>
      <c r="D831" s="248" t="n"/>
      <c r="E831" s="249" t="n"/>
      <c r="F831" s="250" t="n"/>
      <c r="G831" s="242">
        <f>IF(ISNUMBER(F831),F831,IF(AND(ISNUMBER(C831),ISNUMBER(D831)),ROUND(MOD(D831-C831,1)*24-N(E831)/60,2),""))</f>
        <v/>
      </c>
      <c r="H831" s="241" t="n"/>
    </row>
    <row r="832">
      <c r="A832" s="241" t="n"/>
      <c r="B832" s="247" t="n"/>
      <c r="C832" s="248" t="n"/>
      <c r="D832" s="248" t="n"/>
      <c r="E832" s="249" t="n"/>
      <c r="F832" s="250" t="n"/>
      <c r="G832" s="242">
        <f>IF(ISNUMBER(F832),F832,IF(AND(ISNUMBER(C832),ISNUMBER(D832)),ROUND(MOD(D832-C832,1)*24-N(E832)/60,2),""))</f>
        <v/>
      </c>
      <c r="H832" s="241" t="n"/>
    </row>
    <row r="833">
      <c r="A833" s="241" t="n"/>
      <c r="B833" s="247" t="n"/>
      <c r="C833" s="248" t="n"/>
      <c r="D833" s="248" t="n"/>
      <c r="E833" s="249" t="n"/>
      <c r="F833" s="250" t="n"/>
      <c r="G833" s="242">
        <f>IF(ISNUMBER(F833),F833,IF(AND(ISNUMBER(C833),ISNUMBER(D833)),ROUND(MOD(D833-C833,1)*24-N(E833)/60,2),""))</f>
        <v/>
      </c>
      <c r="H833" s="241" t="n"/>
    </row>
    <row r="834">
      <c r="A834" s="241" t="n"/>
      <c r="B834" s="247" t="n"/>
      <c r="C834" s="248" t="n"/>
      <c r="D834" s="248" t="n"/>
      <c r="E834" s="249" t="n"/>
      <c r="F834" s="250" t="n"/>
      <c r="G834" s="242">
        <f>IF(ISNUMBER(F834),F834,IF(AND(ISNUMBER(C834),ISNUMBER(D834)),ROUND(MOD(D834-C834,1)*24-N(E834)/60,2),""))</f>
        <v/>
      </c>
      <c r="H834" s="241" t="n"/>
    </row>
    <row r="835">
      <c r="A835" s="241" t="n"/>
      <c r="B835" s="247" t="n"/>
      <c r="C835" s="248" t="n"/>
      <c r="D835" s="248" t="n"/>
      <c r="E835" s="249" t="n"/>
      <c r="F835" s="250" t="n"/>
      <c r="G835" s="242">
        <f>IF(ISNUMBER(F835),F835,IF(AND(ISNUMBER(C835),ISNUMBER(D835)),ROUND(MOD(D835-C835,1)*24-N(E835)/60,2),""))</f>
        <v/>
      </c>
      <c r="H835" s="241" t="n"/>
    </row>
    <row r="836">
      <c r="A836" s="241" t="n"/>
      <c r="B836" s="247" t="n"/>
      <c r="C836" s="248" t="n"/>
      <c r="D836" s="248" t="n"/>
      <c r="E836" s="249" t="n"/>
      <c r="F836" s="250" t="n"/>
      <c r="G836" s="242">
        <f>IF(ISNUMBER(F836),F836,IF(AND(ISNUMBER(C836),ISNUMBER(D836)),ROUND(MOD(D836-C836,1)*24-N(E836)/60,2),""))</f>
        <v/>
      </c>
      <c r="H836" s="241" t="n"/>
    </row>
    <row r="837">
      <c r="A837" s="241" t="n"/>
      <c r="B837" s="247" t="n"/>
      <c r="C837" s="248" t="n"/>
      <c r="D837" s="248" t="n"/>
      <c r="E837" s="249" t="n"/>
      <c r="F837" s="250" t="n"/>
      <c r="G837" s="242">
        <f>IF(ISNUMBER(F837),F837,IF(AND(ISNUMBER(C837),ISNUMBER(D837)),ROUND(MOD(D837-C837,1)*24-N(E837)/60,2),""))</f>
        <v/>
      </c>
      <c r="H837" s="241" t="n"/>
    </row>
    <row r="838">
      <c r="A838" s="241" t="n"/>
      <c r="B838" s="247" t="n"/>
      <c r="C838" s="248" t="n"/>
      <c r="D838" s="248" t="n"/>
      <c r="E838" s="249" t="n"/>
      <c r="F838" s="250" t="n"/>
      <c r="G838" s="242">
        <f>IF(ISNUMBER(F838),F838,IF(AND(ISNUMBER(C838),ISNUMBER(D838)),ROUND(MOD(D838-C838,1)*24-N(E838)/60,2),""))</f>
        <v/>
      </c>
      <c r="H838" s="241" t="n"/>
    </row>
    <row r="839">
      <c r="A839" s="241" t="n"/>
      <c r="B839" s="247" t="n"/>
      <c r="C839" s="248" t="n"/>
      <c r="D839" s="248" t="n"/>
      <c r="E839" s="249" t="n"/>
      <c r="F839" s="250" t="n"/>
      <c r="G839" s="242">
        <f>IF(ISNUMBER(F839),F839,IF(AND(ISNUMBER(C839),ISNUMBER(D839)),ROUND(MOD(D839-C839,1)*24-N(E839)/60,2),""))</f>
        <v/>
      </c>
      <c r="H839" s="241" t="n"/>
    </row>
    <row r="840">
      <c r="A840" s="241" t="n"/>
      <c r="B840" s="247" t="n"/>
      <c r="C840" s="248" t="n"/>
      <c r="D840" s="248" t="n"/>
      <c r="E840" s="249" t="n"/>
      <c r="F840" s="250" t="n"/>
      <c r="G840" s="242">
        <f>IF(ISNUMBER(F840),F840,IF(AND(ISNUMBER(C840),ISNUMBER(D840)),ROUND(MOD(D840-C840,1)*24-N(E840)/60,2),""))</f>
        <v/>
      </c>
      <c r="H840" s="241" t="n"/>
    </row>
    <row r="841">
      <c r="A841" s="241" t="n"/>
      <c r="B841" s="247" t="n"/>
      <c r="C841" s="248" t="n"/>
      <c r="D841" s="248" t="n"/>
      <c r="E841" s="249" t="n"/>
      <c r="F841" s="250" t="n"/>
      <c r="G841" s="242">
        <f>IF(ISNUMBER(F841),F841,IF(AND(ISNUMBER(C841),ISNUMBER(D841)),ROUND(MOD(D841-C841,1)*24-N(E841)/60,2),""))</f>
        <v/>
      </c>
      <c r="H841" s="241" t="n"/>
    </row>
    <row r="842">
      <c r="A842" s="241" t="n"/>
      <c r="B842" s="247" t="n"/>
      <c r="C842" s="248" t="n"/>
      <c r="D842" s="248" t="n"/>
      <c r="E842" s="249" t="n"/>
      <c r="F842" s="250" t="n"/>
      <c r="G842" s="242">
        <f>IF(ISNUMBER(F842),F842,IF(AND(ISNUMBER(C842),ISNUMBER(D842)),ROUND(MOD(D842-C842,1)*24-N(E842)/60,2),""))</f>
        <v/>
      </c>
      <c r="H842" s="241" t="n"/>
    </row>
    <row r="843">
      <c r="A843" s="241" t="n"/>
      <c r="B843" s="247" t="n"/>
      <c r="C843" s="248" t="n"/>
      <c r="D843" s="248" t="n"/>
      <c r="E843" s="249" t="n"/>
      <c r="F843" s="250" t="n"/>
      <c r="G843" s="242">
        <f>IF(ISNUMBER(F843),F843,IF(AND(ISNUMBER(C843),ISNUMBER(D843)),ROUND(MOD(D843-C843,1)*24-N(E843)/60,2),""))</f>
        <v/>
      </c>
      <c r="H843" s="241" t="n"/>
    </row>
    <row r="844">
      <c r="A844" s="241" t="n"/>
      <c r="B844" s="247" t="n"/>
      <c r="C844" s="248" t="n"/>
      <c r="D844" s="248" t="n"/>
      <c r="E844" s="249" t="n"/>
      <c r="F844" s="250" t="n"/>
      <c r="G844" s="242">
        <f>IF(ISNUMBER(F844),F844,IF(AND(ISNUMBER(C844),ISNUMBER(D844)),ROUND(MOD(D844-C844,1)*24-N(E844)/60,2),""))</f>
        <v/>
      </c>
      <c r="H844" s="241" t="n"/>
    </row>
    <row r="845">
      <c r="A845" s="241" t="n"/>
      <c r="B845" s="247" t="n"/>
      <c r="C845" s="248" t="n"/>
      <c r="D845" s="248" t="n"/>
      <c r="E845" s="249" t="n"/>
      <c r="F845" s="250" t="n"/>
      <c r="G845" s="242">
        <f>IF(ISNUMBER(F845),F845,IF(AND(ISNUMBER(C845),ISNUMBER(D845)),ROUND(MOD(D845-C845,1)*24-N(E845)/60,2),""))</f>
        <v/>
      </c>
      <c r="H845" s="241" t="n"/>
    </row>
    <row r="846">
      <c r="A846" s="241" t="n"/>
      <c r="B846" s="247" t="n"/>
      <c r="C846" s="248" t="n"/>
      <c r="D846" s="248" t="n"/>
      <c r="E846" s="249" t="n"/>
      <c r="F846" s="250" t="n"/>
      <c r="G846" s="242">
        <f>IF(ISNUMBER(F846),F846,IF(AND(ISNUMBER(C846),ISNUMBER(D846)),ROUND(MOD(D846-C846,1)*24-N(E846)/60,2),""))</f>
        <v/>
      </c>
      <c r="H846" s="241" t="n"/>
    </row>
    <row r="847">
      <c r="A847" s="241" t="n"/>
      <c r="B847" s="247" t="n"/>
      <c r="C847" s="248" t="n"/>
      <c r="D847" s="248" t="n"/>
      <c r="E847" s="249" t="n"/>
      <c r="F847" s="250" t="n"/>
      <c r="G847" s="242">
        <f>IF(ISNUMBER(F847),F847,IF(AND(ISNUMBER(C847),ISNUMBER(D847)),ROUND(MOD(D847-C847,1)*24-N(E847)/60,2),""))</f>
        <v/>
      </c>
      <c r="H847" s="241" t="n"/>
    </row>
    <row r="848">
      <c r="A848" s="241" t="n"/>
      <c r="B848" s="247" t="n"/>
      <c r="C848" s="248" t="n"/>
      <c r="D848" s="248" t="n"/>
      <c r="E848" s="249" t="n"/>
      <c r="F848" s="250" t="n"/>
      <c r="G848" s="242">
        <f>IF(ISNUMBER(F848),F848,IF(AND(ISNUMBER(C848),ISNUMBER(D848)),ROUND(MOD(D848-C848,1)*24-N(E848)/60,2),""))</f>
        <v/>
      </c>
      <c r="H848" s="241" t="n"/>
    </row>
    <row r="849">
      <c r="A849" s="241" t="n"/>
      <c r="B849" s="247" t="n"/>
      <c r="C849" s="248" t="n"/>
      <c r="D849" s="248" t="n"/>
      <c r="E849" s="249" t="n"/>
      <c r="F849" s="250" t="n"/>
      <c r="G849" s="242">
        <f>IF(ISNUMBER(F849),F849,IF(AND(ISNUMBER(C849),ISNUMBER(D849)),ROUND(MOD(D849-C849,1)*24-N(E849)/60,2),""))</f>
        <v/>
      </c>
      <c r="H849" s="241" t="n"/>
    </row>
    <row r="850">
      <c r="A850" s="241" t="n"/>
      <c r="B850" s="247" t="n"/>
      <c r="C850" s="248" t="n"/>
      <c r="D850" s="248" t="n"/>
      <c r="E850" s="249" t="n"/>
      <c r="F850" s="250" t="n"/>
      <c r="G850" s="242">
        <f>IF(ISNUMBER(F850),F850,IF(AND(ISNUMBER(C850),ISNUMBER(D850)),ROUND(MOD(D850-C850,1)*24-N(E850)/60,2),""))</f>
        <v/>
      </c>
      <c r="H850" s="241" t="n"/>
    </row>
    <row r="851">
      <c r="A851" s="241" t="n"/>
      <c r="B851" s="247" t="n"/>
      <c r="C851" s="248" t="n"/>
      <c r="D851" s="248" t="n"/>
      <c r="E851" s="249" t="n"/>
      <c r="F851" s="250" t="n"/>
      <c r="G851" s="242">
        <f>IF(ISNUMBER(F851),F851,IF(AND(ISNUMBER(C851),ISNUMBER(D851)),ROUND(MOD(D851-C851,1)*24-N(E851)/60,2),""))</f>
        <v/>
      </c>
      <c r="H851" s="241" t="n"/>
    </row>
    <row r="852">
      <c r="A852" s="241" t="n"/>
      <c r="B852" s="247" t="n"/>
      <c r="C852" s="248" t="n"/>
      <c r="D852" s="248" t="n"/>
      <c r="E852" s="249" t="n"/>
      <c r="F852" s="250" t="n"/>
      <c r="G852" s="242">
        <f>IF(ISNUMBER(F852),F852,IF(AND(ISNUMBER(C852),ISNUMBER(D852)),ROUND(MOD(D852-C852,1)*24-N(E852)/60,2),""))</f>
        <v/>
      </c>
      <c r="H852" s="241" t="n"/>
    </row>
    <row r="853">
      <c r="A853" s="241" t="n"/>
      <c r="B853" s="247" t="n"/>
      <c r="C853" s="248" t="n"/>
      <c r="D853" s="248" t="n"/>
      <c r="E853" s="249" t="n"/>
      <c r="F853" s="250" t="n"/>
      <c r="G853" s="242">
        <f>IF(ISNUMBER(F853),F853,IF(AND(ISNUMBER(C853),ISNUMBER(D853)),ROUND(MOD(D853-C853,1)*24-N(E853)/60,2),""))</f>
        <v/>
      </c>
      <c r="H853" s="241" t="n"/>
    </row>
    <row r="854">
      <c r="A854" s="241" t="n"/>
      <c r="B854" s="247" t="n"/>
      <c r="C854" s="248" t="n"/>
      <c r="D854" s="248" t="n"/>
      <c r="E854" s="249" t="n"/>
      <c r="F854" s="250" t="n"/>
      <c r="G854" s="242">
        <f>IF(ISNUMBER(F854),F854,IF(AND(ISNUMBER(C854),ISNUMBER(D854)),ROUND(MOD(D854-C854,1)*24-N(E854)/60,2),""))</f>
        <v/>
      </c>
      <c r="H854" s="241" t="n"/>
    </row>
    <row r="855">
      <c r="A855" s="241" t="n"/>
      <c r="B855" s="247" t="n"/>
      <c r="C855" s="248" t="n"/>
      <c r="D855" s="248" t="n"/>
      <c r="E855" s="249" t="n"/>
      <c r="F855" s="250" t="n"/>
      <c r="G855" s="242">
        <f>IF(ISNUMBER(F855),F855,IF(AND(ISNUMBER(C855),ISNUMBER(D855)),ROUND(MOD(D855-C855,1)*24-N(E855)/60,2),""))</f>
        <v/>
      </c>
      <c r="H855" s="241" t="n"/>
    </row>
    <row r="856">
      <c r="A856" s="241" t="n"/>
      <c r="B856" s="247" t="n"/>
      <c r="C856" s="248" t="n"/>
      <c r="D856" s="248" t="n"/>
      <c r="E856" s="249" t="n"/>
      <c r="F856" s="250" t="n"/>
      <c r="G856" s="242">
        <f>IF(ISNUMBER(F856),F856,IF(AND(ISNUMBER(C856),ISNUMBER(D856)),ROUND(MOD(D856-C856,1)*24-N(E856)/60,2),""))</f>
        <v/>
      </c>
      <c r="H856" s="241" t="n"/>
    </row>
    <row r="857">
      <c r="A857" s="241" t="n"/>
      <c r="B857" s="247" t="n"/>
      <c r="C857" s="248" t="n"/>
      <c r="D857" s="248" t="n"/>
      <c r="E857" s="249" t="n"/>
      <c r="F857" s="250" t="n"/>
      <c r="G857" s="242">
        <f>IF(ISNUMBER(F857),F857,IF(AND(ISNUMBER(C857),ISNUMBER(D857)),ROUND(MOD(D857-C857,1)*24-N(E857)/60,2),""))</f>
        <v/>
      </c>
      <c r="H857" s="241" t="n"/>
    </row>
    <row r="858">
      <c r="A858" s="241" t="n"/>
      <c r="B858" s="247" t="n"/>
      <c r="C858" s="248" t="n"/>
      <c r="D858" s="248" t="n"/>
      <c r="E858" s="249" t="n"/>
      <c r="F858" s="250" t="n"/>
      <c r="G858" s="242">
        <f>IF(ISNUMBER(F858),F858,IF(AND(ISNUMBER(C858),ISNUMBER(D858)),ROUND(MOD(D858-C858,1)*24-N(E858)/60,2),""))</f>
        <v/>
      </c>
      <c r="H858" s="241" t="n"/>
    </row>
    <row r="859">
      <c r="A859" s="241" t="n"/>
      <c r="B859" s="247" t="n"/>
      <c r="C859" s="248" t="n"/>
      <c r="D859" s="248" t="n"/>
      <c r="E859" s="249" t="n"/>
      <c r="F859" s="250" t="n"/>
      <c r="G859" s="242">
        <f>IF(ISNUMBER(F859),F859,IF(AND(ISNUMBER(C859),ISNUMBER(D859)),ROUND(MOD(D859-C859,1)*24-N(E859)/60,2),""))</f>
        <v/>
      </c>
      <c r="H859" s="241" t="n"/>
    </row>
    <row r="860">
      <c r="A860" s="241" t="n"/>
      <c r="B860" s="247" t="n"/>
      <c r="C860" s="248" t="n"/>
      <c r="D860" s="248" t="n"/>
      <c r="E860" s="249" t="n"/>
      <c r="F860" s="250" t="n"/>
      <c r="G860" s="242">
        <f>IF(ISNUMBER(F860),F860,IF(AND(ISNUMBER(C860),ISNUMBER(D860)),ROUND(MOD(D860-C860,1)*24-N(E860)/60,2),""))</f>
        <v/>
      </c>
      <c r="H860" s="241" t="n"/>
    </row>
    <row r="861">
      <c r="A861" s="241" t="n"/>
      <c r="B861" s="247" t="n"/>
      <c r="C861" s="248" t="n"/>
      <c r="D861" s="248" t="n"/>
      <c r="E861" s="249" t="n"/>
      <c r="F861" s="250" t="n"/>
      <c r="G861" s="242">
        <f>IF(ISNUMBER(F861),F861,IF(AND(ISNUMBER(C861),ISNUMBER(D861)),ROUND(MOD(D861-C861,1)*24-N(E861)/60,2),""))</f>
        <v/>
      </c>
      <c r="H861" s="241" t="n"/>
    </row>
    <row r="862">
      <c r="A862" s="241" t="n"/>
      <c r="B862" s="247" t="n"/>
      <c r="C862" s="248" t="n"/>
      <c r="D862" s="248" t="n"/>
      <c r="E862" s="249" t="n"/>
      <c r="F862" s="250" t="n"/>
      <c r="G862" s="242">
        <f>IF(ISNUMBER(F862),F862,IF(AND(ISNUMBER(C862),ISNUMBER(D862)),ROUND(MOD(D862-C862,1)*24-N(E862)/60,2),""))</f>
        <v/>
      </c>
      <c r="H862" s="241" t="n"/>
    </row>
    <row r="863">
      <c r="A863" s="241" t="n"/>
      <c r="B863" s="247" t="n"/>
      <c r="C863" s="248" t="n"/>
      <c r="D863" s="248" t="n"/>
      <c r="E863" s="249" t="n"/>
      <c r="F863" s="250" t="n"/>
      <c r="G863" s="242">
        <f>IF(ISNUMBER(F863),F863,IF(AND(ISNUMBER(C863),ISNUMBER(D863)),ROUND(MOD(D863-C863,1)*24-N(E863)/60,2),""))</f>
        <v/>
      </c>
      <c r="H863" s="241" t="n"/>
    </row>
    <row r="864">
      <c r="A864" s="241" t="n"/>
      <c r="B864" s="247" t="n"/>
      <c r="C864" s="248" t="n"/>
      <c r="D864" s="248" t="n"/>
      <c r="E864" s="249" t="n"/>
      <c r="F864" s="250" t="n"/>
      <c r="G864" s="242">
        <f>IF(ISNUMBER(F864),F864,IF(AND(ISNUMBER(C864),ISNUMBER(D864)),ROUND(MOD(D864-C864,1)*24-N(E864)/60,2),""))</f>
        <v/>
      </c>
      <c r="H864" s="241" t="n"/>
    </row>
    <row r="865">
      <c r="A865" s="241" t="n"/>
      <c r="B865" s="247" t="n"/>
      <c r="C865" s="248" t="n"/>
      <c r="D865" s="248" t="n"/>
      <c r="E865" s="249" t="n"/>
      <c r="F865" s="250" t="n"/>
      <c r="G865" s="242">
        <f>IF(ISNUMBER(F865),F865,IF(AND(ISNUMBER(C865),ISNUMBER(D865)),ROUND(MOD(D865-C865,1)*24-N(E865)/60,2),""))</f>
        <v/>
      </c>
      <c r="H865" s="241" t="n"/>
    </row>
    <row r="866">
      <c r="A866" s="241" t="n"/>
      <c r="B866" s="247" t="n"/>
      <c r="C866" s="248" t="n"/>
      <c r="D866" s="248" t="n"/>
      <c r="E866" s="249" t="n"/>
      <c r="F866" s="250" t="n"/>
      <c r="G866" s="242">
        <f>IF(ISNUMBER(F866),F866,IF(AND(ISNUMBER(C866),ISNUMBER(D866)),ROUND(MOD(D866-C866,1)*24-N(E866)/60,2),""))</f>
        <v/>
      </c>
      <c r="H866" s="241" t="n"/>
    </row>
    <row r="867">
      <c r="A867" s="241" t="n"/>
      <c r="B867" s="247" t="n"/>
      <c r="C867" s="248" t="n"/>
      <c r="D867" s="248" t="n"/>
      <c r="E867" s="249" t="n"/>
      <c r="F867" s="250" t="n"/>
      <c r="G867" s="242">
        <f>IF(ISNUMBER(F867),F867,IF(AND(ISNUMBER(C867),ISNUMBER(D867)),ROUND(MOD(D867-C867,1)*24-N(E867)/60,2),""))</f>
        <v/>
      </c>
      <c r="H867" s="241" t="n"/>
    </row>
    <row r="868">
      <c r="A868" s="241" t="n"/>
      <c r="B868" s="247" t="n"/>
      <c r="C868" s="248" t="n"/>
      <c r="D868" s="248" t="n"/>
      <c r="E868" s="249" t="n"/>
      <c r="F868" s="250" t="n"/>
      <c r="G868" s="242">
        <f>IF(ISNUMBER(F868),F868,IF(AND(ISNUMBER(C868),ISNUMBER(D868)),ROUND(MOD(D868-C868,1)*24-N(E868)/60,2),""))</f>
        <v/>
      </c>
      <c r="H868" s="241" t="n"/>
    </row>
    <row r="869">
      <c r="A869" s="241" t="n"/>
      <c r="B869" s="247" t="n"/>
      <c r="C869" s="248" t="n"/>
      <c r="D869" s="248" t="n"/>
      <c r="E869" s="249" t="n"/>
      <c r="F869" s="250" t="n"/>
      <c r="G869" s="242">
        <f>IF(ISNUMBER(F869),F869,IF(AND(ISNUMBER(C869),ISNUMBER(D869)),ROUND(MOD(D869-C869,1)*24-N(E869)/60,2),""))</f>
        <v/>
      </c>
      <c r="H869" s="241" t="n"/>
    </row>
    <row r="870">
      <c r="A870" s="241" t="n"/>
      <c r="B870" s="247" t="n"/>
      <c r="C870" s="248" t="n"/>
      <c r="D870" s="248" t="n"/>
      <c r="E870" s="249" t="n"/>
      <c r="F870" s="250" t="n"/>
      <c r="G870" s="242">
        <f>IF(ISNUMBER(F870),F870,IF(AND(ISNUMBER(C870),ISNUMBER(D870)),ROUND(MOD(D870-C870,1)*24-N(E870)/60,2),""))</f>
        <v/>
      </c>
      <c r="H870" s="241" t="n"/>
    </row>
    <row r="871">
      <c r="A871" s="241" t="n"/>
      <c r="B871" s="247" t="n"/>
      <c r="C871" s="248" t="n"/>
      <c r="D871" s="248" t="n"/>
      <c r="E871" s="249" t="n"/>
      <c r="F871" s="250" t="n"/>
      <c r="G871" s="242">
        <f>IF(ISNUMBER(F871),F871,IF(AND(ISNUMBER(C871),ISNUMBER(D871)),ROUND(MOD(D871-C871,1)*24-N(E871)/60,2),""))</f>
        <v/>
      </c>
      <c r="H871" s="241" t="n"/>
    </row>
    <row r="872">
      <c r="A872" s="241" t="n"/>
      <c r="B872" s="247" t="n"/>
      <c r="C872" s="248" t="n"/>
      <c r="D872" s="248" t="n"/>
      <c r="E872" s="249" t="n"/>
      <c r="F872" s="250" t="n"/>
      <c r="G872" s="242">
        <f>IF(ISNUMBER(F872),F872,IF(AND(ISNUMBER(C872),ISNUMBER(D872)),ROUND(MOD(D872-C872,1)*24-N(E872)/60,2),""))</f>
        <v/>
      </c>
      <c r="H872" s="241" t="n"/>
    </row>
    <row r="873">
      <c r="A873" s="241" t="n"/>
      <c r="B873" s="247" t="n"/>
      <c r="C873" s="248" t="n"/>
      <c r="D873" s="248" t="n"/>
      <c r="E873" s="249" t="n"/>
      <c r="F873" s="250" t="n"/>
      <c r="G873" s="242">
        <f>IF(ISNUMBER(F873),F873,IF(AND(ISNUMBER(C873),ISNUMBER(D873)),ROUND(MOD(D873-C873,1)*24-N(E873)/60,2),""))</f>
        <v/>
      </c>
      <c r="H873" s="241" t="n"/>
    </row>
    <row r="874">
      <c r="A874" s="241" t="n"/>
      <c r="B874" s="247" t="n"/>
      <c r="C874" s="248" t="n"/>
      <c r="D874" s="248" t="n"/>
      <c r="E874" s="249" t="n"/>
      <c r="F874" s="250" t="n"/>
      <c r="G874" s="242">
        <f>IF(ISNUMBER(F874),F874,IF(AND(ISNUMBER(C874),ISNUMBER(D874)),ROUND(MOD(D874-C874,1)*24-N(E874)/60,2),""))</f>
        <v/>
      </c>
      <c r="H874" s="241" t="n"/>
    </row>
    <row r="875">
      <c r="A875" s="241" t="n"/>
      <c r="B875" s="247" t="n"/>
      <c r="C875" s="248" t="n"/>
      <c r="D875" s="248" t="n"/>
      <c r="E875" s="249" t="n"/>
      <c r="F875" s="250" t="n"/>
      <c r="G875" s="242">
        <f>IF(ISNUMBER(F875),F875,IF(AND(ISNUMBER(C875),ISNUMBER(D875)),ROUND(MOD(D875-C875,1)*24-N(E875)/60,2),""))</f>
        <v/>
      </c>
      <c r="H875" s="241" t="n"/>
    </row>
    <row r="876">
      <c r="A876" s="241" t="n"/>
      <c r="B876" s="247" t="n"/>
      <c r="C876" s="248" t="n"/>
      <c r="D876" s="248" t="n"/>
      <c r="E876" s="249" t="n"/>
      <c r="F876" s="250" t="n"/>
      <c r="G876" s="242">
        <f>IF(ISNUMBER(F876),F876,IF(AND(ISNUMBER(C876),ISNUMBER(D876)),ROUND(MOD(D876-C876,1)*24-N(E876)/60,2),""))</f>
        <v/>
      </c>
      <c r="H876" s="241" t="n"/>
    </row>
    <row r="877">
      <c r="A877" s="241" t="n"/>
      <c r="B877" s="247" t="n"/>
      <c r="C877" s="248" t="n"/>
      <c r="D877" s="248" t="n"/>
      <c r="E877" s="249" t="n"/>
      <c r="F877" s="250" t="n"/>
      <c r="G877" s="242">
        <f>IF(ISNUMBER(F877),F877,IF(AND(ISNUMBER(C877),ISNUMBER(D877)),ROUND(MOD(D877-C877,1)*24-N(E877)/60,2),""))</f>
        <v/>
      </c>
      <c r="H877" s="241" t="n"/>
    </row>
    <row r="878">
      <c r="A878" s="241" t="n"/>
      <c r="B878" s="247" t="n"/>
      <c r="C878" s="248" t="n"/>
      <c r="D878" s="248" t="n"/>
      <c r="E878" s="249" t="n"/>
      <c r="F878" s="250" t="n"/>
      <c r="G878" s="242">
        <f>IF(ISNUMBER(F878),F878,IF(AND(ISNUMBER(C878),ISNUMBER(D878)),ROUND(MOD(D878-C878,1)*24-N(E878)/60,2),""))</f>
        <v/>
      </c>
      <c r="H878" s="241" t="n"/>
    </row>
    <row r="879">
      <c r="A879" s="241" t="n"/>
      <c r="B879" s="247" t="n"/>
      <c r="C879" s="248" t="n"/>
      <c r="D879" s="248" t="n"/>
      <c r="E879" s="249" t="n"/>
      <c r="F879" s="250" t="n"/>
      <c r="G879" s="242">
        <f>IF(ISNUMBER(F879),F879,IF(AND(ISNUMBER(C879),ISNUMBER(D879)),ROUND(MOD(D879-C879,1)*24-N(E879)/60,2),""))</f>
        <v/>
      </c>
      <c r="H879" s="241" t="n"/>
    </row>
    <row r="880">
      <c r="A880" s="241" t="n"/>
      <c r="B880" s="247" t="n"/>
      <c r="C880" s="248" t="n"/>
      <c r="D880" s="248" t="n"/>
      <c r="E880" s="249" t="n"/>
      <c r="F880" s="250" t="n"/>
      <c r="G880" s="242">
        <f>IF(ISNUMBER(F880),F880,IF(AND(ISNUMBER(C880),ISNUMBER(D880)),ROUND(MOD(D880-C880,1)*24-N(E880)/60,2),""))</f>
        <v/>
      </c>
      <c r="H880" s="241" t="n"/>
    </row>
    <row r="881">
      <c r="A881" s="241" t="n"/>
      <c r="B881" s="247" t="n"/>
      <c r="C881" s="248" t="n"/>
      <c r="D881" s="248" t="n"/>
      <c r="E881" s="249" t="n"/>
      <c r="F881" s="250" t="n"/>
      <c r="G881" s="242">
        <f>IF(ISNUMBER(F881),F881,IF(AND(ISNUMBER(C881),ISNUMBER(D881)),ROUND(MOD(D881-C881,1)*24-N(E881)/60,2),""))</f>
        <v/>
      </c>
      <c r="H881" s="241" t="n"/>
    </row>
    <row r="882">
      <c r="A882" s="241" t="n"/>
      <c r="B882" s="247" t="n"/>
      <c r="C882" s="248" t="n"/>
      <c r="D882" s="248" t="n"/>
      <c r="E882" s="249" t="n"/>
      <c r="F882" s="250" t="n"/>
      <c r="G882" s="242">
        <f>IF(ISNUMBER(F882),F882,IF(AND(ISNUMBER(C882),ISNUMBER(D882)),ROUND(MOD(D882-C882,1)*24-N(E882)/60,2),""))</f>
        <v/>
      </c>
      <c r="H882" s="241" t="n"/>
    </row>
    <row r="883">
      <c r="A883" s="241" t="n"/>
      <c r="B883" s="247" t="n"/>
      <c r="C883" s="248" t="n"/>
      <c r="D883" s="248" t="n"/>
      <c r="E883" s="249" t="n"/>
      <c r="F883" s="250" t="n"/>
      <c r="G883" s="242">
        <f>IF(ISNUMBER(F883),F883,IF(AND(ISNUMBER(C883),ISNUMBER(D883)),ROUND(MOD(D883-C883,1)*24-N(E883)/60,2),""))</f>
        <v/>
      </c>
      <c r="H883" s="241" t="n"/>
    </row>
    <row r="884">
      <c r="A884" s="241" t="n"/>
      <c r="B884" s="247" t="n"/>
      <c r="C884" s="248" t="n"/>
      <c r="D884" s="248" t="n"/>
      <c r="E884" s="249" t="n"/>
      <c r="F884" s="250" t="n"/>
      <c r="G884" s="242">
        <f>IF(ISNUMBER(F884),F884,IF(AND(ISNUMBER(C884),ISNUMBER(D884)),ROUND(MOD(D884-C884,1)*24-N(E884)/60,2),""))</f>
        <v/>
      </c>
      <c r="H884" s="241" t="n"/>
    </row>
    <row r="885">
      <c r="A885" s="241" t="n"/>
      <c r="B885" s="247" t="n"/>
      <c r="C885" s="248" t="n"/>
      <c r="D885" s="248" t="n"/>
      <c r="E885" s="249" t="n"/>
      <c r="F885" s="250" t="n"/>
      <c r="G885" s="242">
        <f>IF(ISNUMBER(F885),F885,IF(AND(ISNUMBER(C885),ISNUMBER(D885)),ROUND(MOD(D885-C885,1)*24-N(E885)/60,2),""))</f>
        <v/>
      </c>
      <c r="H885" s="241" t="n"/>
    </row>
    <row r="886">
      <c r="A886" s="241" t="n"/>
      <c r="B886" s="247" t="n"/>
      <c r="C886" s="248" t="n"/>
      <c r="D886" s="248" t="n"/>
      <c r="E886" s="249" t="n"/>
      <c r="F886" s="250" t="n"/>
      <c r="G886" s="242">
        <f>IF(ISNUMBER(F886),F886,IF(AND(ISNUMBER(C886),ISNUMBER(D886)),ROUND(MOD(D886-C886,1)*24-N(E886)/60,2),""))</f>
        <v/>
      </c>
      <c r="H886" s="241" t="n"/>
    </row>
    <row r="887">
      <c r="A887" s="241" t="n"/>
      <c r="B887" s="247" t="n"/>
      <c r="C887" s="248" t="n"/>
      <c r="D887" s="248" t="n"/>
      <c r="E887" s="249" t="n"/>
      <c r="F887" s="250" t="n"/>
      <c r="G887" s="242">
        <f>IF(ISNUMBER(F887),F887,IF(AND(ISNUMBER(C887),ISNUMBER(D887)),ROUND(MOD(D887-C887,1)*24-N(E887)/60,2),""))</f>
        <v/>
      </c>
      <c r="H887" s="241" t="n"/>
    </row>
    <row r="888">
      <c r="A888" s="241" t="n"/>
      <c r="B888" s="247" t="n"/>
      <c r="C888" s="248" t="n"/>
      <c r="D888" s="248" t="n"/>
      <c r="E888" s="249" t="n"/>
      <c r="F888" s="250" t="n"/>
      <c r="G888" s="242">
        <f>IF(ISNUMBER(F888),F888,IF(AND(ISNUMBER(C888),ISNUMBER(D888)),ROUND(MOD(D888-C888,1)*24-N(E888)/60,2),""))</f>
        <v/>
      </c>
      <c r="H888" s="241" t="n"/>
    </row>
    <row r="889">
      <c r="A889" s="241" t="n"/>
      <c r="B889" s="247" t="n"/>
      <c r="C889" s="248" t="n"/>
      <c r="D889" s="248" t="n"/>
      <c r="E889" s="249" t="n"/>
      <c r="F889" s="250" t="n"/>
      <c r="G889" s="242">
        <f>IF(ISNUMBER(F889),F889,IF(AND(ISNUMBER(C889),ISNUMBER(D889)),ROUND(MOD(D889-C889,1)*24-N(E889)/60,2),""))</f>
        <v/>
      </c>
      <c r="H889" s="241" t="n"/>
    </row>
    <row r="890">
      <c r="A890" s="241" t="n"/>
      <c r="B890" s="247" t="n"/>
      <c r="C890" s="248" t="n"/>
      <c r="D890" s="248" t="n"/>
      <c r="E890" s="249" t="n"/>
      <c r="F890" s="250" t="n"/>
      <c r="G890" s="242">
        <f>IF(ISNUMBER(F890),F890,IF(AND(ISNUMBER(C890),ISNUMBER(D890)),ROUND(MOD(D890-C890,1)*24-N(E890)/60,2),""))</f>
        <v/>
      </c>
      <c r="H890" s="241" t="n"/>
    </row>
    <row r="891">
      <c r="A891" s="241" t="n"/>
      <c r="B891" s="247" t="n"/>
      <c r="C891" s="248" t="n"/>
      <c r="D891" s="248" t="n"/>
      <c r="E891" s="249" t="n"/>
      <c r="F891" s="250" t="n"/>
      <c r="G891" s="242">
        <f>IF(ISNUMBER(F891),F891,IF(AND(ISNUMBER(C891),ISNUMBER(D891)),ROUND(MOD(D891-C891,1)*24-N(E891)/60,2),""))</f>
        <v/>
      </c>
      <c r="H891" s="241" t="n"/>
    </row>
    <row r="892">
      <c r="A892" s="241" t="n"/>
      <c r="B892" s="247" t="n"/>
      <c r="C892" s="248" t="n"/>
      <c r="D892" s="248" t="n"/>
      <c r="E892" s="249" t="n"/>
      <c r="F892" s="250" t="n"/>
      <c r="G892" s="242">
        <f>IF(ISNUMBER(F892),F892,IF(AND(ISNUMBER(C892),ISNUMBER(D892)),ROUND(MOD(D892-C892,1)*24-N(E892)/60,2),""))</f>
        <v/>
      </c>
      <c r="H892" s="241" t="n"/>
    </row>
    <row r="893">
      <c r="A893" s="241" t="n"/>
      <c r="B893" s="247" t="n"/>
      <c r="C893" s="248" t="n"/>
      <c r="D893" s="248" t="n"/>
      <c r="E893" s="249" t="n"/>
      <c r="F893" s="250" t="n"/>
      <c r="G893" s="242">
        <f>IF(ISNUMBER(F893),F893,IF(AND(ISNUMBER(C893),ISNUMBER(D893)),ROUND(MOD(D893-C893,1)*24-N(E893)/60,2),""))</f>
        <v/>
      </c>
      <c r="H893" s="241" t="n"/>
    </row>
    <row r="894">
      <c r="A894" s="241" t="n"/>
      <c r="B894" s="247" t="n"/>
      <c r="C894" s="248" t="n"/>
      <c r="D894" s="248" t="n"/>
      <c r="E894" s="249" t="n"/>
      <c r="F894" s="250" t="n"/>
      <c r="G894" s="242">
        <f>IF(ISNUMBER(F894),F894,IF(AND(ISNUMBER(C894),ISNUMBER(D894)),ROUND(MOD(D894-C894,1)*24-N(E894)/60,2),""))</f>
        <v/>
      </c>
      <c r="H894" s="241" t="n"/>
    </row>
    <row r="895">
      <c r="A895" s="241" t="n"/>
      <c r="B895" s="247" t="n"/>
      <c r="C895" s="248" t="n"/>
      <c r="D895" s="248" t="n"/>
      <c r="E895" s="249" t="n"/>
      <c r="F895" s="250" t="n"/>
      <c r="G895" s="242">
        <f>IF(ISNUMBER(F895),F895,IF(AND(ISNUMBER(C895),ISNUMBER(D895)),ROUND(MOD(D895-C895,1)*24-N(E895)/60,2),""))</f>
        <v/>
      </c>
      <c r="H895" s="241" t="n"/>
    </row>
    <row r="896">
      <c r="A896" s="241" t="n"/>
      <c r="B896" s="247" t="n"/>
      <c r="C896" s="248" t="n"/>
      <c r="D896" s="248" t="n"/>
      <c r="E896" s="249" t="n"/>
      <c r="F896" s="250" t="n"/>
      <c r="G896" s="242">
        <f>IF(ISNUMBER(F896),F896,IF(AND(ISNUMBER(C896),ISNUMBER(D896)),ROUND(MOD(D896-C896,1)*24-N(E896)/60,2),""))</f>
        <v/>
      </c>
      <c r="H896" s="241" t="n"/>
    </row>
    <row r="897">
      <c r="A897" s="241" t="n"/>
      <c r="B897" s="247" t="n"/>
      <c r="C897" s="248" t="n"/>
      <c r="D897" s="248" t="n"/>
      <c r="E897" s="249" t="n"/>
      <c r="F897" s="250" t="n"/>
      <c r="G897" s="242">
        <f>IF(ISNUMBER(F897),F897,IF(AND(ISNUMBER(C897),ISNUMBER(D897)),ROUND(MOD(D897-C897,1)*24-N(E897)/60,2),""))</f>
        <v/>
      </c>
      <c r="H897" s="241" t="n"/>
    </row>
    <row r="898">
      <c r="A898" s="241" t="n"/>
      <c r="B898" s="247" t="n"/>
      <c r="C898" s="248" t="n"/>
      <c r="D898" s="248" t="n"/>
      <c r="E898" s="249" t="n"/>
      <c r="F898" s="250" t="n"/>
      <c r="G898" s="242">
        <f>IF(ISNUMBER(F898),F898,IF(AND(ISNUMBER(C898),ISNUMBER(D898)),ROUND(MOD(D898-C898,1)*24-N(E898)/60,2),""))</f>
        <v/>
      </c>
      <c r="H898" s="241" t="n"/>
    </row>
    <row r="899">
      <c r="A899" s="241" t="n"/>
      <c r="B899" s="247" t="n"/>
      <c r="C899" s="248" t="n"/>
      <c r="D899" s="248" t="n"/>
      <c r="E899" s="249" t="n"/>
      <c r="F899" s="250" t="n"/>
      <c r="G899" s="242">
        <f>IF(ISNUMBER(F899),F899,IF(AND(ISNUMBER(C899),ISNUMBER(D899)),ROUND(MOD(D899-C899,1)*24-N(E899)/60,2),""))</f>
        <v/>
      </c>
      <c r="H899" s="241" t="n"/>
    </row>
    <row r="900">
      <c r="A900" s="241" t="n"/>
      <c r="B900" s="247" t="n"/>
      <c r="C900" s="248" t="n"/>
      <c r="D900" s="248" t="n"/>
      <c r="E900" s="249" t="n"/>
      <c r="F900" s="250" t="n"/>
      <c r="G900" s="242">
        <f>IF(ISNUMBER(F900),F900,IF(AND(ISNUMBER(C900),ISNUMBER(D900)),ROUND(MOD(D900-C900,1)*24-N(E900)/60,2),""))</f>
        <v/>
      </c>
      <c r="H900" s="241" t="n"/>
    </row>
    <row r="901">
      <c r="A901" s="241" t="n"/>
      <c r="B901" s="247" t="n"/>
      <c r="C901" s="248" t="n"/>
      <c r="D901" s="248" t="n"/>
      <c r="E901" s="249" t="n"/>
      <c r="F901" s="250" t="n"/>
      <c r="G901" s="242">
        <f>IF(ISNUMBER(F901),F901,IF(AND(ISNUMBER(C901),ISNUMBER(D901)),ROUND(MOD(D901-C901,1)*24-N(E901)/60,2),""))</f>
        <v/>
      </c>
      <c r="H901" s="241" t="n"/>
    </row>
    <row r="902">
      <c r="A902" s="241" t="n"/>
      <c r="B902" s="247" t="n"/>
      <c r="C902" s="248" t="n"/>
      <c r="D902" s="248" t="n"/>
      <c r="E902" s="249" t="n"/>
      <c r="F902" s="250" t="n"/>
      <c r="G902" s="242">
        <f>IF(ISNUMBER(F902),F902,IF(AND(ISNUMBER(C902),ISNUMBER(D902)),ROUND(MOD(D902-C902,1)*24-N(E902)/60,2),""))</f>
        <v/>
      </c>
      <c r="H902" s="241" t="n"/>
    </row>
    <row r="903">
      <c r="A903" s="241" t="n"/>
      <c r="B903" s="247" t="n"/>
      <c r="C903" s="248" t="n"/>
      <c r="D903" s="248" t="n"/>
      <c r="E903" s="249" t="n"/>
      <c r="F903" s="250" t="n"/>
      <c r="G903" s="242">
        <f>IF(ISNUMBER(F903),F903,IF(AND(ISNUMBER(C903),ISNUMBER(D903)),ROUND(MOD(D903-C903,1)*24-N(E903)/60,2),""))</f>
        <v/>
      </c>
      <c r="H903" s="241" t="n"/>
    </row>
    <row r="904">
      <c r="A904" s="241" t="n"/>
      <c r="B904" s="247" t="n"/>
      <c r="C904" s="248" t="n"/>
      <c r="D904" s="248" t="n"/>
      <c r="E904" s="249" t="n"/>
      <c r="F904" s="250" t="n"/>
      <c r="G904" s="242">
        <f>IF(ISNUMBER(F904),F904,IF(AND(ISNUMBER(C904),ISNUMBER(D904)),ROUND(MOD(D904-C904,1)*24-N(E904)/60,2),""))</f>
        <v/>
      </c>
      <c r="H904" s="241" t="n"/>
    </row>
    <row r="905">
      <c r="A905" s="241" t="n"/>
      <c r="B905" s="247" t="n"/>
      <c r="C905" s="248" t="n"/>
      <c r="D905" s="248" t="n"/>
      <c r="E905" s="249" t="n"/>
      <c r="F905" s="250" t="n"/>
      <c r="G905" s="242">
        <f>IF(ISNUMBER(F905),F905,IF(AND(ISNUMBER(C905),ISNUMBER(D905)),ROUND(MOD(D905-C905,1)*24-N(E905)/60,2),""))</f>
        <v/>
      </c>
      <c r="H905" s="241" t="n"/>
    </row>
    <row r="906">
      <c r="A906" s="241" t="n"/>
      <c r="B906" s="247" t="n"/>
      <c r="C906" s="248" t="n"/>
      <c r="D906" s="248" t="n"/>
      <c r="E906" s="249" t="n"/>
      <c r="F906" s="250" t="n"/>
      <c r="G906" s="242">
        <f>IF(ISNUMBER(F906),F906,IF(AND(ISNUMBER(C906),ISNUMBER(D906)),ROUND(MOD(D906-C906,1)*24-N(E906)/60,2),""))</f>
        <v/>
      </c>
      <c r="H906" s="241" t="n"/>
    </row>
    <row r="907">
      <c r="A907" s="241" t="n"/>
      <c r="B907" s="247" t="n"/>
      <c r="C907" s="248" t="n"/>
      <c r="D907" s="248" t="n"/>
      <c r="E907" s="249" t="n"/>
      <c r="F907" s="250" t="n"/>
      <c r="G907" s="242">
        <f>IF(ISNUMBER(F907),F907,IF(AND(ISNUMBER(C907),ISNUMBER(D907)),ROUND(MOD(D907-C907,1)*24-N(E907)/60,2),""))</f>
        <v/>
      </c>
      <c r="H907" s="241" t="n"/>
    </row>
    <row r="908">
      <c r="A908" s="241" t="n"/>
      <c r="B908" s="247" t="n"/>
      <c r="C908" s="248" t="n"/>
      <c r="D908" s="248" t="n"/>
      <c r="E908" s="249" t="n"/>
      <c r="F908" s="250" t="n"/>
      <c r="G908" s="242">
        <f>IF(ISNUMBER(F908),F908,IF(AND(ISNUMBER(C908),ISNUMBER(D908)),ROUND(MOD(D908-C908,1)*24-N(E908)/60,2),""))</f>
        <v/>
      </c>
      <c r="H908" s="241" t="n"/>
    </row>
    <row r="909">
      <c r="A909" s="241" t="n"/>
      <c r="B909" s="247" t="n"/>
      <c r="C909" s="248" t="n"/>
      <c r="D909" s="248" t="n"/>
      <c r="E909" s="249" t="n"/>
      <c r="F909" s="250" t="n"/>
      <c r="G909" s="242">
        <f>IF(ISNUMBER(F909),F909,IF(AND(ISNUMBER(C909),ISNUMBER(D909)),ROUND(MOD(D909-C909,1)*24-N(E909)/60,2),""))</f>
        <v/>
      </c>
      <c r="H909" s="241" t="n"/>
    </row>
    <row r="910">
      <c r="A910" s="241" t="n"/>
      <c r="B910" s="247" t="n"/>
      <c r="C910" s="248" t="n"/>
      <c r="D910" s="248" t="n"/>
      <c r="E910" s="249" t="n"/>
      <c r="F910" s="250" t="n"/>
      <c r="G910" s="242">
        <f>IF(ISNUMBER(F910),F910,IF(AND(ISNUMBER(C910),ISNUMBER(D910)),ROUND(MOD(D910-C910,1)*24-N(E910)/60,2),""))</f>
        <v/>
      </c>
      <c r="H910" s="241" t="n"/>
    </row>
    <row r="911">
      <c r="A911" s="241" t="n"/>
      <c r="B911" s="247" t="n"/>
      <c r="C911" s="248" t="n"/>
      <c r="D911" s="248" t="n"/>
      <c r="E911" s="249" t="n"/>
      <c r="F911" s="250" t="n"/>
      <c r="G911" s="242">
        <f>IF(ISNUMBER(F911),F911,IF(AND(ISNUMBER(C911),ISNUMBER(D911)),ROUND(MOD(D911-C911,1)*24-N(E911)/60,2),""))</f>
        <v/>
      </c>
      <c r="H911" s="241" t="n"/>
    </row>
    <row r="912">
      <c r="A912" s="241" t="n"/>
      <c r="B912" s="247" t="n"/>
      <c r="C912" s="248" t="n"/>
      <c r="D912" s="248" t="n"/>
      <c r="E912" s="249" t="n"/>
      <c r="F912" s="250" t="n"/>
      <c r="G912" s="242">
        <f>IF(ISNUMBER(F912),F912,IF(AND(ISNUMBER(C912),ISNUMBER(D912)),ROUND(MOD(D912-C912,1)*24-N(E912)/60,2),""))</f>
        <v/>
      </c>
      <c r="H912" s="241" t="n"/>
    </row>
    <row r="913">
      <c r="A913" s="241" t="n"/>
      <c r="B913" s="247" t="n"/>
      <c r="C913" s="248" t="n"/>
      <c r="D913" s="248" t="n"/>
      <c r="E913" s="249" t="n"/>
      <c r="F913" s="250" t="n"/>
      <c r="G913" s="242">
        <f>IF(ISNUMBER(F913),F913,IF(AND(ISNUMBER(C913),ISNUMBER(D913)),ROUND(MOD(D913-C913,1)*24-N(E913)/60,2),""))</f>
        <v/>
      </c>
      <c r="H913" s="241" t="n"/>
    </row>
    <row r="914">
      <c r="A914" s="241" t="n"/>
      <c r="B914" s="247" t="n"/>
      <c r="C914" s="248" t="n"/>
      <c r="D914" s="248" t="n"/>
      <c r="E914" s="249" t="n"/>
      <c r="F914" s="250" t="n"/>
      <c r="G914" s="242">
        <f>IF(ISNUMBER(F914),F914,IF(AND(ISNUMBER(C914),ISNUMBER(D914)),ROUND(MOD(D914-C914,1)*24-N(E914)/60,2),""))</f>
        <v/>
      </c>
      <c r="H914" s="241" t="n"/>
    </row>
    <row r="915">
      <c r="A915" s="241" t="n"/>
      <c r="B915" s="247" t="n"/>
      <c r="C915" s="248" t="n"/>
      <c r="D915" s="248" t="n"/>
      <c r="E915" s="249" t="n"/>
      <c r="F915" s="250" t="n"/>
      <c r="G915" s="242">
        <f>IF(ISNUMBER(F915),F915,IF(AND(ISNUMBER(C915),ISNUMBER(D915)),ROUND(MOD(D915-C915,1)*24-N(E915)/60,2),""))</f>
        <v/>
      </c>
      <c r="H915" s="241" t="n"/>
    </row>
    <row r="916">
      <c r="A916" s="241" t="n"/>
      <c r="B916" s="247" t="n"/>
      <c r="C916" s="248" t="n"/>
      <c r="D916" s="248" t="n"/>
      <c r="E916" s="249" t="n"/>
      <c r="F916" s="250" t="n"/>
      <c r="G916" s="242">
        <f>IF(ISNUMBER(F916),F916,IF(AND(ISNUMBER(C916),ISNUMBER(D916)),ROUND(MOD(D916-C916,1)*24-N(E916)/60,2),""))</f>
        <v/>
      </c>
      <c r="H916" s="241" t="n"/>
    </row>
    <row r="917">
      <c r="A917" s="241" t="n"/>
      <c r="B917" s="247" t="n"/>
      <c r="C917" s="248" t="n"/>
      <c r="D917" s="248" t="n"/>
      <c r="E917" s="249" t="n"/>
      <c r="F917" s="250" t="n"/>
      <c r="G917" s="242">
        <f>IF(ISNUMBER(F917),F917,IF(AND(ISNUMBER(C917),ISNUMBER(D917)),ROUND(MOD(D917-C917,1)*24-N(E917)/60,2),""))</f>
        <v/>
      </c>
      <c r="H917" s="241" t="n"/>
    </row>
    <row r="918">
      <c r="A918" s="241" t="n"/>
      <c r="B918" s="247" t="n"/>
      <c r="C918" s="248" t="n"/>
      <c r="D918" s="248" t="n"/>
      <c r="E918" s="249" t="n"/>
      <c r="F918" s="250" t="n"/>
      <c r="G918" s="242">
        <f>IF(ISNUMBER(F918),F918,IF(AND(ISNUMBER(C918),ISNUMBER(D918)),ROUND(MOD(D918-C918,1)*24-N(E918)/60,2),""))</f>
        <v/>
      </c>
      <c r="H918" s="241" t="n"/>
    </row>
    <row r="919">
      <c r="A919" s="241" t="n"/>
      <c r="B919" s="247" t="n"/>
      <c r="C919" s="248" t="n"/>
      <c r="D919" s="248" t="n"/>
      <c r="E919" s="249" t="n"/>
      <c r="F919" s="250" t="n"/>
      <c r="G919" s="242">
        <f>IF(ISNUMBER(F919),F919,IF(AND(ISNUMBER(C919),ISNUMBER(D919)),ROUND(MOD(D919-C919,1)*24-N(E919)/60,2),""))</f>
        <v/>
      </c>
      <c r="H919" s="241" t="n"/>
    </row>
    <row r="920">
      <c r="A920" s="241" t="n"/>
      <c r="B920" s="247" t="n"/>
      <c r="C920" s="248" t="n"/>
      <c r="D920" s="248" t="n"/>
      <c r="E920" s="249" t="n"/>
      <c r="F920" s="250" t="n"/>
      <c r="G920" s="242">
        <f>IF(ISNUMBER(F920),F920,IF(AND(ISNUMBER(C920),ISNUMBER(D920)),ROUND(MOD(D920-C920,1)*24-N(E920)/60,2),""))</f>
        <v/>
      </c>
      <c r="H920" s="241" t="n"/>
    </row>
    <row r="921">
      <c r="A921" s="241" t="n"/>
      <c r="B921" s="247" t="n"/>
      <c r="C921" s="248" t="n"/>
      <c r="D921" s="248" t="n"/>
      <c r="E921" s="249" t="n"/>
      <c r="F921" s="250" t="n"/>
      <c r="G921" s="242">
        <f>IF(ISNUMBER(F921),F921,IF(AND(ISNUMBER(C921),ISNUMBER(D921)),ROUND(MOD(D921-C921,1)*24-N(E921)/60,2),""))</f>
        <v/>
      </c>
      <c r="H921" s="241" t="n"/>
    </row>
    <row r="922">
      <c r="A922" s="241" t="n"/>
      <c r="B922" s="247" t="n"/>
      <c r="C922" s="248" t="n"/>
      <c r="D922" s="248" t="n"/>
      <c r="E922" s="249" t="n"/>
      <c r="F922" s="250" t="n"/>
      <c r="G922" s="242">
        <f>IF(ISNUMBER(F922),F922,IF(AND(ISNUMBER(C922),ISNUMBER(D922)),ROUND(MOD(D922-C922,1)*24-N(E922)/60,2),""))</f>
        <v/>
      </c>
      <c r="H922" s="241" t="n"/>
    </row>
    <row r="923">
      <c r="A923" s="241" t="n"/>
      <c r="B923" s="247" t="n"/>
      <c r="C923" s="248" t="n"/>
      <c r="D923" s="248" t="n"/>
      <c r="E923" s="249" t="n"/>
      <c r="F923" s="250" t="n"/>
      <c r="G923" s="242">
        <f>IF(ISNUMBER(F923),F923,IF(AND(ISNUMBER(C923),ISNUMBER(D923)),ROUND(MOD(D923-C923,1)*24-N(E923)/60,2),""))</f>
        <v/>
      </c>
      <c r="H923" s="241" t="n"/>
    </row>
    <row r="924">
      <c r="A924" s="241" t="n"/>
      <c r="B924" s="247" t="n"/>
      <c r="C924" s="248" t="n"/>
      <c r="D924" s="248" t="n"/>
      <c r="E924" s="249" t="n"/>
      <c r="F924" s="250" t="n"/>
      <c r="G924" s="242">
        <f>IF(ISNUMBER(F924),F924,IF(AND(ISNUMBER(C924),ISNUMBER(D924)),ROUND(MOD(D924-C924,1)*24-N(E924)/60,2),""))</f>
        <v/>
      </c>
      <c r="H924" s="241" t="n"/>
    </row>
    <row r="925">
      <c r="A925" s="241" t="n"/>
      <c r="B925" s="247" t="n"/>
      <c r="C925" s="248" t="n"/>
      <c r="D925" s="248" t="n"/>
      <c r="E925" s="249" t="n"/>
      <c r="F925" s="250" t="n"/>
      <c r="G925" s="242">
        <f>IF(ISNUMBER(F925),F925,IF(AND(ISNUMBER(C925),ISNUMBER(D925)),ROUND(MOD(D925-C925,1)*24-N(E925)/60,2),""))</f>
        <v/>
      </c>
      <c r="H925" s="241" t="n"/>
    </row>
    <row r="926">
      <c r="A926" s="241" t="n"/>
      <c r="B926" s="247" t="n"/>
      <c r="C926" s="248" t="n"/>
      <c r="D926" s="248" t="n"/>
      <c r="E926" s="249" t="n"/>
      <c r="F926" s="250" t="n"/>
      <c r="G926" s="242">
        <f>IF(ISNUMBER(F926),F926,IF(AND(ISNUMBER(C926),ISNUMBER(D926)),ROUND(MOD(D926-C926,1)*24-N(E926)/60,2),""))</f>
        <v/>
      </c>
      <c r="H926" s="241" t="n"/>
    </row>
    <row r="927">
      <c r="A927" s="241" t="n"/>
      <c r="B927" s="247" t="n"/>
      <c r="C927" s="248" t="n"/>
      <c r="D927" s="248" t="n"/>
      <c r="E927" s="249" t="n"/>
      <c r="F927" s="250" t="n"/>
      <c r="G927" s="242">
        <f>IF(ISNUMBER(F927),F927,IF(AND(ISNUMBER(C927),ISNUMBER(D927)),ROUND(MOD(D927-C927,1)*24-N(E927)/60,2),""))</f>
        <v/>
      </c>
      <c r="H927" s="241" t="n"/>
    </row>
    <row r="928">
      <c r="A928" s="241" t="n"/>
      <c r="B928" s="247" t="n"/>
      <c r="C928" s="248" t="n"/>
      <c r="D928" s="248" t="n"/>
      <c r="E928" s="249" t="n"/>
      <c r="F928" s="250" t="n"/>
      <c r="G928" s="242">
        <f>IF(ISNUMBER(F928),F928,IF(AND(ISNUMBER(C928),ISNUMBER(D928)),ROUND(MOD(D928-C928,1)*24-N(E928)/60,2),""))</f>
        <v/>
      </c>
      <c r="H928" s="241" t="n"/>
    </row>
    <row r="929">
      <c r="A929" s="241" t="n"/>
      <c r="B929" s="247" t="n"/>
      <c r="C929" s="248" t="n"/>
      <c r="D929" s="248" t="n"/>
      <c r="E929" s="249" t="n"/>
      <c r="F929" s="250" t="n"/>
      <c r="G929" s="242">
        <f>IF(ISNUMBER(F929),F929,IF(AND(ISNUMBER(C929),ISNUMBER(D929)),ROUND(MOD(D929-C929,1)*24-N(E929)/60,2),""))</f>
        <v/>
      </c>
      <c r="H929" s="241" t="n"/>
    </row>
    <row r="930">
      <c r="A930" s="241" t="n"/>
      <c r="B930" s="247" t="n"/>
      <c r="C930" s="248" t="n"/>
      <c r="D930" s="248" t="n"/>
      <c r="E930" s="249" t="n"/>
      <c r="F930" s="250" t="n"/>
      <c r="G930" s="242">
        <f>IF(ISNUMBER(F930),F930,IF(AND(ISNUMBER(C930),ISNUMBER(D930)),ROUND(MOD(D930-C930,1)*24-N(E930)/60,2),""))</f>
        <v/>
      </c>
      <c r="H930" s="241" t="n"/>
    </row>
    <row r="931">
      <c r="A931" s="241" t="n"/>
      <c r="B931" s="247" t="n"/>
      <c r="C931" s="248" t="n"/>
      <c r="D931" s="248" t="n"/>
      <c r="E931" s="249" t="n"/>
      <c r="F931" s="250" t="n"/>
      <c r="G931" s="242">
        <f>IF(ISNUMBER(F931),F931,IF(AND(ISNUMBER(C931),ISNUMBER(D931)),ROUND(MOD(D931-C931,1)*24-N(E931)/60,2),""))</f>
        <v/>
      </c>
      <c r="H931" s="241" t="n"/>
    </row>
    <row r="932">
      <c r="A932" s="241" t="n"/>
      <c r="B932" s="247" t="n"/>
      <c r="C932" s="248" t="n"/>
      <c r="D932" s="248" t="n"/>
      <c r="E932" s="249" t="n"/>
      <c r="F932" s="250" t="n"/>
      <c r="G932" s="242">
        <f>IF(ISNUMBER(F932),F932,IF(AND(ISNUMBER(C932),ISNUMBER(D932)),ROUND(MOD(D932-C932,1)*24-N(E932)/60,2),""))</f>
        <v/>
      </c>
      <c r="H932" s="241" t="n"/>
    </row>
    <row r="933">
      <c r="A933" s="241" t="n"/>
      <c r="B933" s="247" t="n"/>
      <c r="C933" s="248" t="n"/>
      <c r="D933" s="248" t="n"/>
      <c r="E933" s="249" t="n"/>
      <c r="F933" s="250" t="n"/>
      <c r="G933" s="242">
        <f>IF(ISNUMBER(F933),F933,IF(AND(ISNUMBER(C933),ISNUMBER(D933)),ROUND(MOD(D933-C933,1)*24-N(E933)/60,2),""))</f>
        <v/>
      </c>
      <c r="H933" s="241" t="n"/>
    </row>
    <row r="934">
      <c r="A934" s="241" t="n"/>
      <c r="B934" s="247" t="n"/>
      <c r="C934" s="248" t="n"/>
      <c r="D934" s="248" t="n"/>
      <c r="E934" s="249" t="n"/>
      <c r="F934" s="250" t="n"/>
      <c r="G934" s="242">
        <f>IF(ISNUMBER(F934),F934,IF(AND(ISNUMBER(C934),ISNUMBER(D934)),ROUND(MOD(D934-C934,1)*24-N(E934)/60,2),""))</f>
        <v/>
      </c>
      <c r="H934" s="241" t="n"/>
    </row>
    <row r="935">
      <c r="A935" s="241" t="n"/>
      <c r="B935" s="247" t="n"/>
      <c r="C935" s="248" t="n"/>
      <c r="D935" s="248" t="n"/>
      <c r="E935" s="249" t="n"/>
      <c r="F935" s="250" t="n"/>
      <c r="G935" s="242">
        <f>IF(ISNUMBER(F935),F935,IF(AND(ISNUMBER(C935),ISNUMBER(D935)),ROUND(MOD(D935-C935,1)*24-N(E935)/60,2),""))</f>
        <v/>
      </c>
      <c r="H935" s="241" t="n"/>
    </row>
    <row r="936">
      <c r="A936" s="241" t="n"/>
      <c r="B936" s="247" t="n"/>
      <c r="C936" s="248" t="n"/>
      <c r="D936" s="248" t="n"/>
      <c r="E936" s="249" t="n"/>
      <c r="F936" s="250" t="n"/>
      <c r="G936" s="242">
        <f>IF(ISNUMBER(F936),F936,IF(AND(ISNUMBER(C936),ISNUMBER(D936)),ROUND(MOD(D936-C936,1)*24-N(E936)/60,2),""))</f>
        <v/>
      </c>
      <c r="H936" s="241" t="n"/>
    </row>
    <row r="937">
      <c r="A937" s="241" t="n"/>
      <c r="B937" s="247" t="n"/>
      <c r="C937" s="248" t="n"/>
      <c r="D937" s="248" t="n"/>
      <c r="E937" s="249" t="n"/>
      <c r="F937" s="250" t="n"/>
      <c r="G937" s="242">
        <f>IF(ISNUMBER(F937),F937,IF(AND(ISNUMBER(C937),ISNUMBER(D937)),ROUND(MOD(D937-C937,1)*24-N(E937)/60,2),""))</f>
        <v/>
      </c>
      <c r="H937" s="241" t="n"/>
    </row>
    <row r="938">
      <c r="A938" s="241" t="n"/>
      <c r="B938" s="247" t="n"/>
      <c r="C938" s="248" t="n"/>
      <c r="D938" s="248" t="n"/>
      <c r="E938" s="249" t="n"/>
      <c r="F938" s="250" t="n"/>
      <c r="G938" s="242">
        <f>IF(ISNUMBER(F938),F938,IF(AND(ISNUMBER(C938),ISNUMBER(D938)),ROUND(MOD(D938-C938,1)*24-N(E938)/60,2),""))</f>
        <v/>
      </c>
      <c r="H938" s="241" t="n"/>
    </row>
    <row r="939">
      <c r="A939" s="241" t="n"/>
      <c r="B939" s="247" t="n"/>
      <c r="C939" s="248" t="n"/>
      <c r="D939" s="248" t="n"/>
      <c r="E939" s="249" t="n"/>
      <c r="F939" s="250" t="n"/>
      <c r="G939" s="242">
        <f>IF(ISNUMBER(F939),F939,IF(AND(ISNUMBER(C939),ISNUMBER(D939)),ROUND(MOD(D939-C939,1)*24-N(E939)/60,2),""))</f>
        <v/>
      </c>
      <c r="H939" s="241" t="n"/>
    </row>
    <row r="940">
      <c r="A940" s="241" t="n"/>
      <c r="B940" s="247" t="n"/>
      <c r="C940" s="248" t="n"/>
      <c r="D940" s="248" t="n"/>
      <c r="E940" s="249" t="n"/>
      <c r="F940" s="250" t="n"/>
      <c r="G940" s="242">
        <f>IF(ISNUMBER(F940),F940,IF(AND(ISNUMBER(C940),ISNUMBER(D940)),ROUND(MOD(D940-C940,1)*24-N(E940)/60,2),""))</f>
        <v/>
      </c>
      <c r="H940" s="241" t="n"/>
    </row>
    <row r="941">
      <c r="A941" s="241" t="n"/>
      <c r="B941" s="247" t="n"/>
      <c r="C941" s="248" t="n"/>
      <c r="D941" s="248" t="n"/>
      <c r="E941" s="249" t="n"/>
      <c r="F941" s="250" t="n"/>
      <c r="G941" s="242">
        <f>IF(ISNUMBER(F941),F941,IF(AND(ISNUMBER(C941),ISNUMBER(D941)),ROUND(MOD(D941-C941,1)*24-N(E941)/60,2),""))</f>
        <v/>
      </c>
      <c r="H941" s="241" t="n"/>
    </row>
    <row r="942">
      <c r="A942" s="241" t="n"/>
      <c r="B942" s="247" t="n"/>
      <c r="C942" s="248" t="n"/>
      <c r="D942" s="248" t="n"/>
      <c r="E942" s="249" t="n"/>
      <c r="F942" s="250" t="n"/>
      <c r="G942" s="242">
        <f>IF(ISNUMBER(F942),F942,IF(AND(ISNUMBER(C942),ISNUMBER(D942)),ROUND(MOD(D942-C942,1)*24-N(E942)/60,2),""))</f>
        <v/>
      </c>
      <c r="H942" s="241" t="n"/>
    </row>
    <row r="943">
      <c r="A943" s="241" t="n"/>
      <c r="B943" s="247" t="n"/>
      <c r="C943" s="248" t="n"/>
      <c r="D943" s="248" t="n"/>
      <c r="E943" s="249" t="n"/>
      <c r="F943" s="250" t="n"/>
      <c r="G943" s="242">
        <f>IF(ISNUMBER(F943),F943,IF(AND(ISNUMBER(C943),ISNUMBER(D943)),ROUND(MOD(D943-C943,1)*24-N(E943)/60,2),""))</f>
        <v/>
      </c>
      <c r="H943" s="241" t="n"/>
    </row>
    <row r="944">
      <c r="A944" s="241" t="n"/>
      <c r="B944" s="247" t="n"/>
      <c r="C944" s="248" t="n"/>
      <c r="D944" s="248" t="n"/>
      <c r="E944" s="249" t="n"/>
      <c r="F944" s="250" t="n"/>
      <c r="G944" s="242">
        <f>IF(ISNUMBER(F944),F944,IF(AND(ISNUMBER(C944),ISNUMBER(D944)),ROUND(MOD(D944-C944,1)*24-N(E944)/60,2),""))</f>
        <v/>
      </c>
      <c r="H944" s="241" t="n"/>
    </row>
    <row r="945">
      <c r="A945" s="241" t="n"/>
      <c r="B945" s="247" t="n"/>
      <c r="C945" s="248" t="n"/>
      <c r="D945" s="248" t="n"/>
      <c r="E945" s="249" t="n"/>
      <c r="F945" s="250" t="n"/>
      <c r="G945" s="242">
        <f>IF(ISNUMBER(F945),F945,IF(AND(ISNUMBER(C945),ISNUMBER(D945)),ROUND(MOD(D945-C945,1)*24-N(E945)/60,2),""))</f>
        <v/>
      </c>
      <c r="H945" s="241" t="n"/>
    </row>
    <row r="946">
      <c r="A946" s="241" t="n"/>
      <c r="B946" s="247" t="n"/>
      <c r="C946" s="248" t="n"/>
      <c r="D946" s="248" t="n"/>
      <c r="E946" s="249" t="n"/>
      <c r="F946" s="250" t="n"/>
      <c r="G946" s="242">
        <f>IF(ISNUMBER(F946),F946,IF(AND(ISNUMBER(C946),ISNUMBER(D946)),ROUND(MOD(D946-C946,1)*24-N(E946)/60,2),""))</f>
        <v/>
      </c>
      <c r="H946" s="241" t="n"/>
    </row>
    <row r="947">
      <c r="A947" s="241" t="n"/>
      <c r="B947" s="247" t="n"/>
      <c r="C947" s="248" t="n"/>
      <c r="D947" s="248" t="n"/>
      <c r="E947" s="249" t="n"/>
      <c r="F947" s="250" t="n"/>
      <c r="G947" s="242">
        <f>IF(ISNUMBER(F947),F947,IF(AND(ISNUMBER(C947),ISNUMBER(D947)),ROUND(MOD(D947-C947,1)*24-N(E947)/60,2),""))</f>
        <v/>
      </c>
      <c r="H947" s="241" t="n"/>
    </row>
    <row r="948">
      <c r="A948" s="241" t="n"/>
      <c r="B948" s="247" t="n"/>
      <c r="C948" s="248" t="n"/>
      <c r="D948" s="248" t="n"/>
      <c r="E948" s="249" t="n"/>
      <c r="F948" s="250" t="n"/>
      <c r="G948" s="242">
        <f>IF(ISNUMBER(F948),F948,IF(AND(ISNUMBER(C948),ISNUMBER(D948)),ROUND(MOD(D948-C948,1)*24-N(E948)/60,2),""))</f>
        <v/>
      </c>
      <c r="H948" s="241" t="n"/>
    </row>
    <row r="949">
      <c r="A949" s="241" t="n"/>
      <c r="B949" s="247" t="n"/>
      <c r="C949" s="248" t="n"/>
      <c r="D949" s="248" t="n"/>
      <c r="E949" s="249" t="n"/>
      <c r="F949" s="250" t="n"/>
      <c r="G949" s="242">
        <f>IF(ISNUMBER(F949),F949,IF(AND(ISNUMBER(C949),ISNUMBER(D949)),ROUND(MOD(D949-C949,1)*24-N(E949)/60,2),""))</f>
        <v/>
      </c>
      <c r="H949" s="241" t="n"/>
    </row>
    <row r="950">
      <c r="A950" s="241" t="n"/>
      <c r="B950" s="247" t="n"/>
      <c r="C950" s="248" t="n"/>
      <c r="D950" s="248" t="n"/>
      <c r="E950" s="249" t="n"/>
      <c r="F950" s="250" t="n"/>
      <c r="G950" s="242">
        <f>IF(ISNUMBER(F950),F950,IF(AND(ISNUMBER(C950),ISNUMBER(D950)),ROUND(MOD(D950-C950,1)*24-N(E950)/60,2),""))</f>
        <v/>
      </c>
      <c r="H950" s="241" t="n"/>
    </row>
    <row r="951">
      <c r="A951" s="241" t="n"/>
      <c r="B951" s="247" t="n"/>
      <c r="C951" s="248" t="n"/>
      <c r="D951" s="248" t="n"/>
      <c r="E951" s="249" t="n"/>
      <c r="F951" s="250" t="n"/>
      <c r="G951" s="242">
        <f>IF(ISNUMBER(F951),F951,IF(AND(ISNUMBER(C951),ISNUMBER(D951)),ROUND(MOD(D951-C951,1)*24-N(E951)/60,2),""))</f>
        <v/>
      </c>
      <c r="H951" s="241" t="n"/>
    </row>
    <row r="952">
      <c r="A952" s="241" t="n"/>
      <c r="B952" s="247" t="n"/>
      <c r="C952" s="248" t="n"/>
      <c r="D952" s="248" t="n"/>
      <c r="E952" s="249" t="n"/>
      <c r="F952" s="250" t="n"/>
      <c r="G952" s="242">
        <f>IF(ISNUMBER(F952),F952,IF(AND(ISNUMBER(C952),ISNUMBER(D952)),ROUND(MOD(D952-C952,1)*24-N(E952)/60,2),""))</f>
        <v/>
      </c>
      <c r="H952" s="241" t="n"/>
    </row>
    <row r="953">
      <c r="A953" s="241" t="n"/>
      <c r="B953" s="247" t="n"/>
      <c r="C953" s="248" t="n"/>
      <c r="D953" s="248" t="n"/>
      <c r="E953" s="249" t="n"/>
      <c r="F953" s="250" t="n"/>
      <c r="G953" s="242">
        <f>IF(ISNUMBER(F953),F953,IF(AND(ISNUMBER(C953),ISNUMBER(D953)),ROUND(MOD(D953-C953,1)*24-N(E953)/60,2),""))</f>
        <v/>
      </c>
      <c r="H953" s="241" t="n"/>
    </row>
    <row r="954">
      <c r="A954" s="241" t="n"/>
      <c r="B954" s="247" t="n"/>
      <c r="C954" s="248" t="n"/>
      <c r="D954" s="248" t="n"/>
      <c r="E954" s="249" t="n"/>
      <c r="F954" s="250" t="n"/>
      <c r="G954" s="242">
        <f>IF(ISNUMBER(F954),F954,IF(AND(ISNUMBER(C954),ISNUMBER(D954)),ROUND(MOD(D954-C954,1)*24-N(E954)/60,2),""))</f>
        <v/>
      </c>
      <c r="H954" s="241" t="n"/>
    </row>
    <row r="955">
      <c r="A955" s="241" t="n"/>
      <c r="B955" s="247" t="n"/>
      <c r="C955" s="248" t="n"/>
      <c r="D955" s="248" t="n"/>
      <c r="E955" s="249" t="n"/>
      <c r="F955" s="250" t="n"/>
      <c r="G955" s="242">
        <f>IF(ISNUMBER(F955),F955,IF(AND(ISNUMBER(C955),ISNUMBER(D955)),ROUND(MOD(D955-C955,1)*24-N(E955)/60,2),""))</f>
        <v/>
      </c>
      <c r="H955" s="241" t="n"/>
    </row>
    <row r="956">
      <c r="A956" s="241" t="n"/>
      <c r="B956" s="247" t="n"/>
      <c r="C956" s="248" t="n"/>
      <c r="D956" s="248" t="n"/>
      <c r="E956" s="249" t="n"/>
      <c r="F956" s="250" t="n"/>
      <c r="G956" s="242">
        <f>IF(ISNUMBER(F956),F956,IF(AND(ISNUMBER(C956),ISNUMBER(D956)),ROUND(MOD(D956-C956,1)*24-N(E956)/60,2),""))</f>
        <v/>
      </c>
      <c r="H956" s="241" t="n"/>
    </row>
    <row r="957">
      <c r="A957" s="241" t="n"/>
      <c r="B957" s="247" t="n"/>
      <c r="C957" s="248" t="n"/>
      <c r="D957" s="248" t="n"/>
      <c r="E957" s="249" t="n"/>
      <c r="F957" s="250" t="n"/>
      <c r="G957" s="242">
        <f>IF(ISNUMBER(F957),F957,IF(AND(ISNUMBER(C957),ISNUMBER(D957)),ROUND(MOD(D957-C957,1)*24-N(E957)/60,2),""))</f>
        <v/>
      </c>
      <c r="H957" s="241" t="n"/>
    </row>
    <row r="958">
      <c r="A958" s="241" t="n"/>
      <c r="B958" s="247" t="n"/>
      <c r="C958" s="248" t="n"/>
      <c r="D958" s="248" t="n"/>
      <c r="E958" s="249" t="n"/>
      <c r="F958" s="250" t="n"/>
      <c r="G958" s="242">
        <f>IF(ISNUMBER(F958),F958,IF(AND(ISNUMBER(C958),ISNUMBER(D958)),ROUND(MOD(D958-C958,1)*24-N(E958)/60,2),""))</f>
        <v/>
      </c>
      <c r="H958" s="241" t="n"/>
    </row>
    <row r="959">
      <c r="A959" s="241" t="n"/>
      <c r="B959" s="247" t="n"/>
      <c r="C959" s="248" t="n"/>
      <c r="D959" s="248" t="n"/>
      <c r="E959" s="249" t="n"/>
      <c r="F959" s="250" t="n"/>
      <c r="G959" s="242">
        <f>IF(ISNUMBER(F959),F959,IF(AND(ISNUMBER(C959),ISNUMBER(D959)),ROUND(MOD(D959-C959,1)*24-N(E959)/60,2),""))</f>
        <v/>
      </c>
      <c r="H959" s="241" t="n"/>
    </row>
    <row r="960">
      <c r="A960" s="241" t="n"/>
      <c r="B960" s="247" t="n"/>
      <c r="C960" s="248" t="n"/>
      <c r="D960" s="248" t="n"/>
      <c r="E960" s="249" t="n"/>
      <c r="F960" s="250" t="n"/>
      <c r="G960" s="242">
        <f>IF(ISNUMBER(F960),F960,IF(AND(ISNUMBER(C960),ISNUMBER(D960)),ROUND(MOD(D960-C960,1)*24-N(E960)/60,2),""))</f>
        <v/>
      </c>
      <c r="H960" s="241" t="n"/>
    </row>
    <row r="961">
      <c r="A961" s="241" t="n"/>
      <c r="B961" s="247" t="n"/>
      <c r="C961" s="248" t="n"/>
      <c r="D961" s="248" t="n"/>
      <c r="E961" s="249" t="n"/>
      <c r="F961" s="250" t="n"/>
      <c r="G961" s="242">
        <f>IF(ISNUMBER(F961),F961,IF(AND(ISNUMBER(C961),ISNUMBER(D961)),ROUND(MOD(D961-C961,1)*24-N(E961)/60,2),""))</f>
        <v/>
      </c>
      <c r="H961" s="241" t="n"/>
    </row>
    <row r="962">
      <c r="A962" s="241" t="n"/>
      <c r="B962" s="247" t="n"/>
      <c r="C962" s="248" t="n"/>
      <c r="D962" s="248" t="n"/>
      <c r="E962" s="249" t="n"/>
      <c r="F962" s="250" t="n"/>
      <c r="G962" s="242">
        <f>IF(ISNUMBER(F962),F962,IF(AND(ISNUMBER(C962),ISNUMBER(D962)),ROUND(MOD(D962-C962,1)*24-N(E962)/60,2),""))</f>
        <v/>
      </c>
      <c r="H962" s="241" t="n"/>
    </row>
    <row r="963">
      <c r="A963" s="241" t="n"/>
      <c r="B963" s="247" t="n"/>
      <c r="C963" s="248" t="n"/>
      <c r="D963" s="248" t="n"/>
      <c r="E963" s="249" t="n"/>
      <c r="F963" s="250" t="n"/>
      <c r="G963" s="242">
        <f>IF(ISNUMBER(F963),F963,IF(AND(ISNUMBER(C963),ISNUMBER(D963)),ROUND(MOD(D963-C963,1)*24-N(E963)/60,2),""))</f>
        <v/>
      </c>
      <c r="H963" s="241" t="n"/>
    </row>
    <row r="964">
      <c r="A964" s="241" t="n"/>
      <c r="B964" s="247" t="n"/>
      <c r="C964" s="248" t="n"/>
      <c r="D964" s="248" t="n"/>
      <c r="E964" s="249" t="n"/>
      <c r="F964" s="250" t="n"/>
      <c r="G964" s="242">
        <f>IF(ISNUMBER(F964),F964,IF(AND(ISNUMBER(C964),ISNUMBER(D964)),ROUND(MOD(D964-C964,1)*24-N(E964)/60,2),""))</f>
        <v/>
      </c>
      <c r="H964" s="241" t="n"/>
    </row>
    <row r="965">
      <c r="A965" s="241" t="n"/>
      <c r="B965" s="247" t="n"/>
      <c r="C965" s="248" t="n"/>
      <c r="D965" s="248" t="n"/>
      <c r="E965" s="249" t="n"/>
      <c r="F965" s="250" t="n"/>
      <c r="G965" s="242">
        <f>IF(ISNUMBER(F965),F965,IF(AND(ISNUMBER(C965),ISNUMBER(D965)),ROUND(MOD(D965-C965,1)*24-N(E965)/60,2),""))</f>
        <v/>
      </c>
      <c r="H965" s="241" t="n"/>
    </row>
    <row r="966">
      <c r="A966" s="241" t="n"/>
      <c r="B966" s="247" t="n"/>
      <c r="C966" s="248" t="n"/>
      <c r="D966" s="248" t="n"/>
      <c r="E966" s="249" t="n"/>
      <c r="F966" s="250" t="n"/>
      <c r="G966" s="242">
        <f>IF(ISNUMBER(F966),F966,IF(AND(ISNUMBER(C966),ISNUMBER(D966)),ROUND(MOD(D966-C966,1)*24-N(E966)/60,2),""))</f>
        <v/>
      </c>
      <c r="H966" s="241" t="n"/>
    </row>
    <row r="967">
      <c r="A967" s="241" t="n"/>
      <c r="B967" s="247" t="n"/>
      <c r="C967" s="248" t="n"/>
      <c r="D967" s="248" t="n"/>
      <c r="E967" s="249" t="n"/>
      <c r="F967" s="250" t="n"/>
      <c r="G967" s="242">
        <f>IF(ISNUMBER(F967),F967,IF(AND(ISNUMBER(C967),ISNUMBER(D967)),ROUND(MOD(D967-C967,1)*24-N(E967)/60,2),""))</f>
        <v/>
      </c>
      <c r="H967" s="241" t="n"/>
    </row>
    <row r="968">
      <c r="A968" s="241" t="n"/>
      <c r="B968" s="247" t="n"/>
      <c r="C968" s="248" t="n"/>
      <c r="D968" s="248" t="n"/>
      <c r="E968" s="249" t="n"/>
      <c r="F968" s="250" t="n"/>
      <c r="G968" s="242">
        <f>IF(ISNUMBER(F968),F968,IF(AND(ISNUMBER(C968),ISNUMBER(D968)),ROUND(MOD(D968-C968,1)*24-N(E968)/60,2),""))</f>
        <v/>
      </c>
      <c r="H968" s="241" t="n"/>
    </row>
    <row r="969">
      <c r="A969" s="241" t="n"/>
      <c r="B969" s="247" t="n"/>
      <c r="C969" s="248" t="n"/>
      <c r="D969" s="248" t="n"/>
      <c r="E969" s="249" t="n"/>
      <c r="F969" s="250" t="n"/>
      <c r="G969" s="242">
        <f>IF(ISNUMBER(F969),F969,IF(AND(ISNUMBER(C969),ISNUMBER(D969)),ROUND(MOD(D969-C969,1)*24-N(E969)/60,2),""))</f>
        <v/>
      </c>
      <c r="H969" s="241" t="n"/>
    </row>
    <row r="970">
      <c r="A970" s="241" t="n"/>
      <c r="B970" s="247" t="n"/>
      <c r="C970" s="248" t="n"/>
      <c r="D970" s="248" t="n"/>
      <c r="E970" s="249" t="n"/>
      <c r="F970" s="250" t="n"/>
      <c r="G970" s="242">
        <f>IF(ISNUMBER(F970),F970,IF(AND(ISNUMBER(C970),ISNUMBER(D970)),ROUND(MOD(D970-C970,1)*24-N(E970)/60,2),""))</f>
        <v/>
      </c>
      <c r="H970" s="241" t="n"/>
    </row>
    <row r="971">
      <c r="A971" s="241" t="n"/>
      <c r="B971" s="247" t="n"/>
      <c r="C971" s="248" t="n"/>
      <c r="D971" s="248" t="n"/>
      <c r="E971" s="249" t="n"/>
      <c r="F971" s="250" t="n"/>
      <c r="G971" s="242">
        <f>IF(ISNUMBER(F971),F971,IF(AND(ISNUMBER(C971),ISNUMBER(D971)),ROUND(MOD(D971-C971,1)*24-N(E971)/60,2),""))</f>
        <v/>
      </c>
      <c r="H971" s="241" t="n"/>
    </row>
    <row r="972">
      <c r="A972" s="241" t="n"/>
      <c r="B972" s="247" t="n"/>
      <c r="C972" s="248" t="n"/>
      <c r="D972" s="248" t="n"/>
      <c r="E972" s="249" t="n"/>
      <c r="F972" s="250" t="n"/>
      <c r="G972" s="242">
        <f>IF(ISNUMBER(F972),F972,IF(AND(ISNUMBER(C972),ISNUMBER(D972)),ROUND(MOD(D972-C972,1)*24-N(E972)/60,2),""))</f>
        <v/>
      </c>
      <c r="H972" s="241" t="n"/>
    </row>
    <row r="973">
      <c r="A973" s="241" t="n"/>
      <c r="B973" s="247" t="n"/>
      <c r="C973" s="248" t="n"/>
      <c r="D973" s="248" t="n"/>
      <c r="E973" s="249" t="n"/>
      <c r="F973" s="250" t="n"/>
      <c r="G973" s="242">
        <f>IF(ISNUMBER(F973),F973,IF(AND(ISNUMBER(C973),ISNUMBER(D973)),ROUND(MOD(D973-C973,1)*24-N(E973)/60,2),""))</f>
        <v/>
      </c>
      <c r="H973" s="241" t="n"/>
    </row>
    <row r="974">
      <c r="A974" s="241" t="n"/>
      <c r="B974" s="247" t="n"/>
      <c r="C974" s="248" t="n"/>
      <c r="D974" s="248" t="n"/>
      <c r="E974" s="249" t="n"/>
      <c r="F974" s="250" t="n"/>
      <c r="G974" s="242">
        <f>IF(ISNUMBER(F974),F974,IF(AND(ISNUMBER(C974),ISNUMBER(D974)),ROUND(MOD(D974-C974,1)*24-N(E974)/60,2),""))</f>
        <v/>
      </c>
      <c r="H974" s="241" t="n"/>
    </row>
    <row r="975">
      <c r="A975" s="241" t="n"/>
      <c r="B975" s="247" t="n"/>
      <c r="C975" s="248" t="n"/>
      <c r="D975" s="248" t="n"/>
      <c r="E975" s="249" t="n"/>
      <c r="F975" s="250" t="n"/>
      <c r="G975" s="242">
        <f>IF(ISNUMBER(F975),F975,IF(AND(ISNUMBER(C975),ISNUMBER(D975)),ROUND(MOD(D975-C975,1)*24-N(E975)/60,2),""))</f>
        <v/>
      </c>
      <c r="H975" s="241" t="n"/>
    </row>
    <row r="976">
      <c r="A976" s="241" t="n"/>
      <c r="B976" s="247" t="n"/>
      <c r="C976" s="248" t="n"/>
      <c r="D976" s="248" t="n"/>
      <c r="E976" s="249" t="n"/>
      <c r="F976" s="250" t="n"/>
      <c r="G976" s="242">
        <f>IF(ISNUMBER(F976),F976,IF(AND(ISNUMBER(C976),ISNUMBER(D976)),ROUND(MOD(D976-C976,1)*24-N(E976)/60,2),""))</f>
        <v/>
      </c>
      <c r="H976" s="241" t="n"/>
    </row>
    <row r="977">
      <c r="A977" s="241" t="n"/>
      <c r="B977" s="247" t="n"/>
      <c r="C977" s="248" t="n"/>
      <c r="D977" s="248" t="n"/>
      <c r="E977" s="249" t="n"/>
      <c r="F977" s="250" t="n"/>
      <c r="G977" s="242">
        <f>IF(ISNUMBER(F977),F977,IF(AND(ISNUMBER(C977),ISNUMBER(D977)),ROUND(MOD(D977-C977,1)*24-N(E977)/60,2),""))</f>
        <v/>
      </c>
      <c r="H977" s="241" t="n"/>
    </row>
    <row r="978">
      <c r="A978" s="241" t="n"/>
      <c r="B978" s="247" t="n"/>
      <c r="C978" s="248" t="n"/>
      <c r="D978" s="248" t="n"/>
      <c r="E978" s="249" t="n"/>
      <c r="F978" s="250" t="n"/>
      <c r="G978" s="242">
        <f>IF(ISNUMBER(F978),F978,IF(AND(ISNUMBER(C978),ISNUMBER(D978)),ROUND(MOD(D978-C978,1)*24-N(E978)/60,2),""))</f>
        <v/>
      </c>
      <c r="H978" s="241" t="n"/>
    </row>
    <row r="979">
      <c r="A979" s="241" t="n"/>
      <c r="B979" s="247" t="n"/>
      <c r="C979" s="248" t="n"/>
      <c r="D979" s="248" t="n"/>
      <c r="E979" s="249" t="n"/>
      <c r="F979" s="250" t="n"/>
      <c r="G979" s="242">
        <f>IF(ISNUMBER(F979),F979,IF(AND(ISNUMBER(C979),ISNUMBER(D979)),ROUND(MOD(D979-C979,1)*24-N(E979)/60,2),""))</f>
        <v/>
      </c>
      <c r="H979" s="241" t="n"/>
    </row>
    <row r="980">
      <c r="A980" s="241" t="n"/>
      <c r="B980" s="247" t="n"/>
      <c r="C980" s="248" t="n"/>
      <c r="D980" s="248" t="n"/>
      <c r="E980" s="249" t="n"/>
      <c r="F980" s="250" t="n"/>
      <c r="G980" s="242">
        <f>IF(ISNUMBER(F980),F980,IF(AND(ISNUMBER(C980),ISNUMBER(D980)),ROUND(MOD(D980-C980,1)*24-N(E980)/60,2),""))</f>
        <v/>
      </c>
      <c r="H980" s="241" t="n"/>
    </row>
    <row r="981">
      <c r="A981" s="241" t="n"/>
      <c r="B981" s="247" t="n"/>
      <c r="C981" s="248" t="n"/>
      <c r="D981" s="248" t="n"/>
      <c r="E981" s="249" t="n"/>
      <c r="F981" s="250" t="n"/>
      <c r="G981" s="242">
        <f>IF(ISNUMBER(F981),F981,IF(AND(ISNUMBER(C981),ISNUMBER(D981)),ROUND(MOD(D981-C981,1)*24-N(E981)/60,2),""))</f>
        <v/>
      </c>
      <c r="H981" s="241" t="n"/>
    </row>
    <row r="982">
      <c r="A982" s="241" t="n"/>
      <c r="B982" s="247" t="n"/>
      <c r="C982" s="248" t="n"/>
      <c r="D982" s="248" t="n"/>
      <c r="E982" s="249" t="n"/>
      <c r="F982" s="250" t="n"/>
      <c r="G982" s="242">
        <f>IF(ISNUMBER(F982),F982,IF(AND(ISNUMBER(C982),ISNUMBER(D982)),ROUND(MOD(D982-C982,1)*24-N(E982)/60,2),""))</f>
        <v/>
      </c>
      <c r="H982" s="241" t="n"/>
    </row>
    <row r="983">
      <c r="A983" s="241" t="n"/>
      <c r="B983" s="247" t="n"/>
      <c r="C983" s="248" t="n"/>
      <c r="D983" s="248" t="n"/>
      <c r="E983" s="249" t="n"/>
      <c r="F983" s="250" t="n"/>
      <c r="G983" s="242">
        <f>IF(ISNUMBER(F983),F983,IF(AND(ISNUMBER(C983),ISNUMBER(D983)),ROUND(MOD(D983-C983,1)*24-N(E983)/60,2),""))</f>
        <v/>
      </c>
      <c r="H983" s="241" t="n"/>
    </row>
    <row r="984">
      <c r="A984" s="241" t="n"/>
      <c r="B984" s="247" t="n"/>
      <c r="C984" s="248" t="n"/>
      <c r="D984" s="248" t="n"/>
      <c r="E984" s="249" t="n"/>
      <c r="F984" s="250" t="n"/>
      <c r="G984" s="242">
        <f>IF(ISNUMBER(F984),F984,IF(AND(ISNUMBER(C984),ISNUMBER(D984)),ROUND(MOD(D984-C984,1)*24-N(E984)/60,2),""))</f>
        <v/>
      </c>
      <c r="H984" s="241" t="n"/>
    </row>
    <row r="985">
      <c r="A985" s="241" t="n"/>
      <c r="B985" s="247" t="n"/>
      <c r="C985" s="248" t="n"/>
      <c r="D985" s="248" t="n"/>
      <c r="E985" s="249" t="n"/>
      <c r="F985" s="250" t="n"/>
      <c r="G985" s="242">
        <f>IF(ISNUMBER(F985),F985,IF(AND(ISNUMBER(C985),ISNUMBER(D985)),ROUND(MOD(D985-C985,1)*24-N(E985)/60,2),""))</f>
        <v/>
      </c>
      <c r="H985" s="241" t="n"/>
    </row>
    <row r="986">
      <c r="A986" s="241" t="n"/>
      <c r="B986" s="247" t="n"/>
      <c r="C986" s="248" t="n"/>
      <c r="D986" s="248" t="n"/>
      <c r="E986" s="249" t="n"/>
      <c r="F986" s="250" t="n"/>
      <c r="G986" s="242">
        <f>IF(ISNUMBER(F986),F986,IF(AND(ISNUMBER(C986),ISNUMBER(D986)),ROUND(MOD(D986-C986,1)*24-N(E986)/60,2),""))</f>
        <v/>
      </c>
      <c r="H986" s="241" t="n"/>
    </row>
    <row r="987">
      <c r="A987" s="241" t="n"/>
      <c r="B987" s="247" t="n"/>
      <c r="C987" s="248" t="n"/>
      <c r="D987" s="248" t="n"/>
      <c r="E987" s="249" t="n"/>
      <c r="F987" s="250" t="n"/>
      <c r="G987" s="242">
        <f>IF(ISNUMBER(F987),F987,IF(AND(ISNUMBER(C987),ISNUMBER(D987)),ROUND(MOD(D987-C987,1)*24-N(E987)/60,2),""))</f>
        <v/>
      </c>
      <c r="H987" s="241" t="n"/>
    </row>
    <row r="988">
      <c r="A988" s="241" t="n"/>
      <c r="B988" s="247" t="n"/>
      <c r="C988" s="248" t="n"/>
      <c r="D988" s="248" t="n"/>
      <c r="E988" s="249" t="n"/>
      <c r="F988" s="250" t="n"/>
      <c r="G988" s="242">
        <f>IF(ISNUMBER(F988),F988,IF(AND(ISNUMBER(C988),ISNUMBER(D988)),ROUND(MOD(D988-C988,1)*24-N(E988)/60,2),""))</f>
        <v/>
      </c>
      <c r="H988" s="241" t="n"/>
    </row>
    <row r="989">
      <c r="A989" s="241" t="n"/>
      <c r="B989" s="247" t="n"/>
      <c r="C989" s="248" t="n"/>
      <c r="D989" s="248" t="n"/>
      <c r="E989" s="249" t="n"/>
      <c r="F989" s="250" t="n"/>
      <c r="G989" s="242">
        <f>IF(ISNUMBER(F989),F989,IF(AND(ISNUMBER(C989),ISNUMBER(D989)),ROUND(MOD(D989-C989,1)*24-N(E989)/60,2),""))</f>
        <v/>
      </c>
      <c r="H989" s="241" t="n"/>
    </row>
    <row r="990">
      <c r="A990" s="241" t="n"/>
      <c r="B990" s="247" t="n"/>
      <c r="C990" s="248" t="n"/>
      <c r="D990" s="248" t="n"/>
      <c r="E990" s="249" t="n"/>
      <c r="F990" s="250" t="n"/>
      <c r="G990" s="242">
        <f>IF(ISNUMBER(F990),F990,IF(AND(ISNUMBER(C990),ISNUMBER(D990)),ROUND(MOD(D990-C990,1)*24-N(E990)/60,2),""))</f>
        <v/>
      </c>
      <c r="H990" s="241" t="n"/>
    </row>
    <row r="991">
      <c r="A991" s="241" t="n"/>
      <c r="B991" s="247" t="n"/>
      <c r="C991" s="248" t="n"/>
      <c r="D991" s="248" t="n"/>
      <c r="E991" s="249" t="n"/>
      <c r="F991" s="250" t="n"/>
      <c r="G991" s="242">
        <f>IF(ISNUMBER(F991),F991,IF(AND(ISNUMBER(C991),ISNUMBER(D991)),ROUND(MOD(D991-C991,1)*24-N(E991)/60,2),""))</f>
        <v/>
      </c>
      <c r="H991" s="241" t="n"/>
    </row>
    <row r="992">
      <c r="A992" s="241" t="n"/>
      <c r="B992" s="247" t="n"/>
      <c r="C992" s="248" t="n"/>
      <c r="D992" s="248" t="n"/>
      <c r="E992" s="249" t="n"/>
      <c r="F992" s="250" t="n"/>
      <c r="G992" s="242">
        <f>IF(ISNUMBER(F992),F992,IF(AND(ISNUMBER(C992),ISNUMBER(D992)),ROUND(MOD(D992-C992,1)*24-N(E992)/60,2),""))</f>
        <v/>
      </c>
      <c r="H992" s="241" t="n"/>
    </row>
    <row r="993">
      <c r="A993" s="241" t="n"/>
      <c r="B993" s="247" t="n"/>
      <c r="C993" s="248" t="n"/>
      <c r="D993" s="248" t="n"/>
      <c r="E993" s="249" t="n"/>
      <c r="F993" s="250" t="n"/>
      <c r="G993" s="242">
        <f>IF(ISNUMBER(F993),F993,IF(AND(ISNUMBER(C993),ISNUMBER(D993)),ROUND(MOD(D993-C993,1)*24-N(E993)/60,2),""))</f>
        <v/>
      </c>
      <c r="H993" s="241" t="n"/>
    </row>
    <row r="994">
      <c r="A994" s="241" t="n"/>
      <c r="B994" s="247" t="n"/>
      <c r="C994" s="248" t="n"/>
      <c r="D994" s="248" t="n"/>
      <c r="E994" s="249" t="n"/>
      <c r="F994" s="250" t="n"/>
      <c r="G994" s="242">
        <f>IF(ISNUMBER(F994),F994,IF(AND(ISNUMBER(C994),ISNUMBER(D994)),ROUND(MOD(D994-C994,1)*24-N(E994)/60,2),""))</f>
        <v/>
      </c>
      <c r="H994" s="241" t="n"/>
    </row>
    <row r="995">
      <c r="A995" s="241" t="n"/>
      <c r="B995" s="247" t="n"/>
      <c r="C995" s="248" t="n"/>
      <c r="D995" s="248" t="n"/>
      <c r="E995" s="249" t="n"/>
      <c r="F995" s="250" t="n"/>
      <c r="G995" s="242">
        <f>IF(ISNUMBER(F995),F995,IF(AND(ISNUMBER(C995),ISNUMBER(D995)),ROUND(MOD(D995-C995,1)*24-N(E995)/60,2),""))</f>
        <v/>
      </c>
      <c r="H995" s="241" t="n"/>
    </row>
    <row r="996">
      <c r="A996" s="241" t="n"/>
      <c r="B996" s="247" t="n"/>
      <c r="C996" s="248" t="n"/>
      <c r="D996" s="248" t="n"/>
      <c r="E996" s="249" t="n"/>
      <c r="F996" s="250" t="n"/>
      <c r="G996" s="242">
        <f>IF(ISNUMBER(F996),F996,IF(AND(ISNUMBER(C996),ISNUMBER(D996)),ROUND(MOD(D996-C996,1)*24-N(E996)/60,2),""))</f>
        <v/>
      </c>
      <c r="H996" s="241" t="n"/>
    </row>
    <row r="997">
      <c r="A997" s="241" t="n"/>
      <c r="B997" s="247" t="n"/>
      <c r="C997" s="248" t="n"/>
      <c r="D997" s="248" t="n"/>
      <c r="E997" s="249" t="n"/>
      <c r="F997" s="250" t="n"/>
      <c r="G997" s="242">
        <f>IF(ISNUMBER(F997),F997,IF(AND(ISNUMBER(C997),ISNUMBER(D997)),ROUND(MOD(D997-C997,1)*24-N(E997)/60,2),""))</f>
        <v/>
      </c>
      <c r="H997" s="241" t="n"/>
    </row>
    <row r="998">
      <c r="A998" s="241" t="n"/>
      <c r="B998" s="247" t="n"/>
      <c r="C998" s="248" t="n"/>
      <c r="D998" s="248" t="n"/>
      <c r="E998" s="249" t="n"/>
      <c r="F998" s="250" t="n"/>
      <c r="G998" s="242">
        <f>IF(ISNUMBER(F998),F998,IF(AND(ISNUMBER(C998),ISNUMBER(D998)),ROUND(MOD(D998-C998,1)*24-N(E998)/60,2),""))</f>
        <v/>
      </c>
      <c r="H998" s="241" t="n"/>
    </row>
    <row r="999">
      <c r="A999" s="241" t="n"/>
      <c r="B999" s="247" t="n"/>
      <c r="C999" s="248" t="n"/>
      <c r="D999" s="248" t="n"/>
      <c r="E999" s="249" t="n"/>
      <c r="F999" s="250" t="n"/>
      <c r="G999" s="242">
        <f>IF(ISNUMBER(F999),F999,IF(AND(ISNUMBER(C999),ISNUMBER(D999)),ROUND(MOD(D999-C999,1)*24-N(E999)/60,2),""))</f>
        <v/>
      </c>
      <c r="H999" s="241" t="n"/>
    </row>
    <row r="1000">
      <c r="A1000" s="241" t="n"/>
      <c r="B1000" s="247" t="n"/>
      <c r="C1000" s="248" t="n"/>
      <c r="D1000" s="248" t="n"/>
      <c r="E1000" s="249" t="n"/>
      <c r="F1000" s="250" t="n"/>
      <c r="G1000" s="242">
        <f>IF(ISNUMBER(F1000),F1000,IF(AND(ISNUMBER(C1000),ISNUMBER(D1000)),ROUND(MOD(D1000-C1000,1)*24-N(E1000)/60,2),""))</f>
        <v/>
      </c>
      <c r="H1000" s="241" t="n"/>
    </row>
    <row r="1001">
      <c r="A1001" s="241" t="n"/>
      <c r="B1001" s="247" t="n"/>
      <c r="C1001" s="248" t="n"/>
      <c r="D1001" s="248" t="n"/>
      <c r="E1001" s="249" t="n"/>
      <c r="F1001" s="250" t="n"/>
      <c r="G1001" s="242">
        <f>IF(ISNUMBER(F1001),F1001,IF(AND(ISNUMBER(C1001),ISNUMBER(D1001)),ROUND(MOD(D1001-C1001,1)*24-N(E1001)/60,2),""))</f>
        <v/>
      </c>
      <c r="H1001" s="241" t="n"/>
    </row>
    <row r="1002">
      <c r="A1002" s="241" t="n"/>
      <c r="B1002" s="247" t="n"/>
      <c r="C1002" s="248" t="n"/>
      <c r="D1002" s="248" t="n"/>
      <c r="E1002" s="249" t="n"/>
      <c r="F1002" s="250" t="n"/>
      <c r="G1002" s="242">
        <f>IF(ISNUMBER(F1002),F1002,IF(AND(ISNUMBER(C1002),ISNUMBER(D1002)),ROUND(MOD(D1002-C1002,1)*24-N(E1002)/60,2),""))</f>
        <v/>
      </c>
      <c r="H1002" s="241" t="n"/>
    </row>
    <row r="1003">
      <c r="A1003" s="241" t="n"/>
      <c r="B1003" s="247" t="n"/>
      <c r="C1003" s="248" t="n"/>
      <c r="D1003" s="248" t="n"/>
      <c r="E1003" s="249" t="n"/>
      <c r="F1003" s="250" t="n"/>
      <c r="G1003" s="242">
        <f>IF(ISNUMBER(F1003),F1003,IF(AND(ISNUMBER(C1003),ISNUMBER(D1003)),ROUND(MOD(D1003-C1003,1)*24-N(E1003)/60,2),""))</f>
        <v/>
      </c>
      <c r="H1003" s="241" t="n"/>
    </row>
    <row r="1004">
      <c r="A1004" s="241" t="n"/>
      <c r="B1004" s="247" t="n"/>
      <c r="C1004" s="248" t="n"/>
      <c r="D1004" s="248" t="n"/>
      <c r="E1004" s="249" t="n"/>
      <c r="F1004" s="250" t="n"/>
      <c r="G1004" s="242">
        <f>IF(ISNUMBER(F1004),F1004,IF(AND(ISNUMBER(C1004),ISNUMBER(D1004)),ROUND(MOD(D1004-C1004,1)*24-N(E1004)/60,2),""))</f>
        <v/>
      </c>
      <c r="H1004" s="241" t="n"/>
    </row>
    <row r="1005">
      <c r="A1005" s="241" t="n"/>
      <c r="B1005" s="247" t="n"/>
      <c r="C1005" s="248" t="n"/>
      <c r="D1005" s="248" t="n"/>
      <c r="E1005" s="249" t="n"/>
      <c r="F1005" s="250" t="n"/>
      <c r="G1005" s="242">
        <f>IF(ISNUMBER(F1005),F1005,IF(AND(ISNUMBER(C1005),ISNUMBER(D1005)),ROUND(MOD(D1005-C1005,1)*24-N(E1005)/60,2),""))</f>
        <v/>
      </c>
      <c r="H1005" s="241" t="n"/>
    </row>
  </sheetData>
  <autoFilter ref="A5:H100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51" t="inlineStr">
        <is>
          <t>Subject</t>
        </is>
      </c>
      <c r="B1" s="251" t="inlineStr">
        <is>
          <t>Location</t>
        </is>
      </c>
      <c r="C1" s="251" t="inlineStr">
        <is>
          <t>Start</t>
        </is>
      </c>
      <c r="D1" s="251" t="inlineStr">
        <is>
          <t>End</t>
        </is>
      </c>
      <c r="E1" s="251" t="inlineStr">
        <is>
          <t>Categories</t>
        </is>
      </c>
      <c r="F1" s="252" t="n"/>
      <c r="G1" s="251" t="inlineStr">
        <is>
          <t>Start (cleaned)</t>
        </is>
      </c>
      <c r="H1" s="251" t="inlineStr">
        <is>
          <t>End (cleaned)</t>
        </is>
      </c>
      <c r="I1" s="253" t="inlineStr">
        <is>
          <t>Start date/time</t>
        </is>
      </c>
      <c r="J1" s="253" t="inlineStr">
        <is>
          <t>End date/time</t>
        </is>
      </c>
      <c r="K1" s="251" t="inlineStr">
        <is>
          <t>Date</t>
        </is>
      </c>
      <c r="L1" s="251" t="inlineStr">
        <is>
          <t>Hours</t>
        </is>
      </c>
      <c r="M1" s="251" t="inlineStr">
        <is>
          <t>Names in ( )</t>
        </is>
      </c>
      <c r="N1" s="251" t="inlineStr">
        <is>
          <t>Type</t>
        </is>
      </c>
      <c r="P1" s="238"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54">
        <f>IF(C2="","",IF(ISNUMBER(C2),C2,IF(ISNUMBER(VALUE(LEFT(TRIM(C2),1))),TRIM(C2),TRIM(MID(TRIM(C2),FIND(" ",TRIM(C2))+1,99)))))</f>
        <v/>
      </c>
      <c r="H2" s="254">
        <f>IF(D2="","",IF(ISNUMBER(D2),D2,IF(ISNUMBER(VALUE(LEFT(TRIM(D2),1))),TRIM(D2),TRIM(MID(TRIM(D2),FIND(" ",TRIM(D2))+1,99)))))</f>
        <v/>
      </c>
      <c r="I2" s="255">
        <f>IF(G2="",0,IF(ISNUMBER(G2),G2,IFERROR(DATE(VALUE(MID(G2,FIND("/",G2,FIND("/",G2)+1)+1,4)),VALUE(MID(G2,FIND("/",G2)+1,FIND("/",G2,FIND("/",G2)+1)-FIND("/",G2)-1)),VALUE(LEFT(G2,FIND("/",G2)-1)))+IFERROR(TIMEVALUE(TRIM(MID(G2,FIND(" ",G2)+1,20))),0),0)))</f>
        <v/>
      </c>
      <c r="J2" s="255">
        <f>IF(H2="",0,IF(ISNUMBER(H2),H2,IFERROR(DATE(VALUE(MID(H2,FIND("/",H2,FIND("/",H2)+1)+1,4)),VALUE(MID(H2,FIND("/",H2)+1,FIND("/",H2,FIND("/",H2)+1)-FIND("/",H2)-1)),VALUE(LEFT(H2,FIND("/",H2)-1)))+IFERROR(TIMEVALUE(TRIM(MID(H2,FIND(" ",H2)+1,20))),0),0)))</f>
        <v/>
      </c>
      <c r="K2" s="256">
        <f>IF(I2=0,0,INT(I2))</f>
        <v/>
      </c>
      <c r="L2" s="257">
        <f>IF(OR(I2=0,J2=0),0,ROUND((J2-I2)*24,2))</f>
        <v/>
      </c>
      <c r="M2" s="254">
        <f>IFERROR(TRIM(MID(A2,FIND("@",SUBSTITUTE(A2,"(","@",LEN(A2)-LEN(SUBSTITUTE(A2,"(",""))))+1,FIND(")",A2,FIND("@",SUBSTITUTE(A2,"(","@",LEN(A2)-LEN(SUBSTITUTE(A2,"(","")))))-FIND("@",SUBSTITUTE(A2,"(","@",LEN(A2)-LEN(SUBSTITUTE(A2,"(",""))))-1)),"")</f>
        <v/>
      </c>
      <c r="N2" s="254">
        <f>IF(A2="","",IF(LEFT(TRIM(A2),5)="Leave","Leave",IF(OR(ISNUMBER(SEARCH("public holiday",A2)),ISNUMBER(SEARCH("Purple",E2))),"Public holiday","Event")))</f>
        <v/>
      </c>
      <c r="P2" s="238" t="inlineStr">
        <is>
          <t>Start/End can be Outlook text like 'Mon 19/06/2023 2:00 PM' (day/month/year) or real Excel date-times. Put the staff member's name in brackets in the Subject, e.g. 'ASX Strategy Day (Tyler, Milo)'.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54">
        <f>IF(C3="","",IF(ISNUMBER(C3),C3,IF(ISNUMBER(VALUE(LEFT(TRIM(C3),1))),TRIM(C3),TRIM(MID(TRIM(C3),FIND(" ",TRIM(C3))+1,99)))))</f>
        <v/>
      </c>
      <c r="H3" s="254">
        <f>IF(D3="","",IF(ISNUMBER(D3),D3,IF(ISNUMBER(VALUE(LEFT(TRIM(D3),1))),TRIM(D3),TRIM(MID(TRIM(D3),FIND(" ",TRIM(D3))+1,99)))))</f>
        <v/>
      </c>
      <c r="I3" s="255">
        <f>IF(G3="",0,IF(ISNUMBER(G3),G3,IFERROR(DATE(VALUE(MID(G3,FIND("/",G3,FIND("/",G3)+1)+1,4)),VALUE(MID(G3,FIND("/",G3)+1,FIND("/",G3,FIND("/",G3)+1)-FIND("/",G3)-1)),VALUE(LEFT(G3,FIND("/",G3)-1)))+IFERROR(TIMEVALUE(TRIM(MID(G3,FIND(" ",G3)+1,20))),0),0)))</f>
        <v/>
      </c>
      <c r="J3" s="255">
        <f>IF(H3="",0,IF(ISNUMBER(H3),H3,IFERROR(DATE(VALUE(MID(H3,FIND("/",H3,FIND("/",H3)+1)+1,4)),VALUE(MID(H3,FIND("/",H3)+1,FIND("/",H3,FIND("/",H3)+1)-FIND("/",H3)-1)),VALUE(LEFT(H3,FIND("/",H3)-1)))+IFERROR(TIMEVALUE(TRIM(MID(H3,FIND(" ",H3)+1,20))),0),0)))</f>
        <v/>
      </c>
      <c r="K3" s="256">
        <f>IF(I3=0,0,INT(I3))</f>
        <v/>
      </c>
      <c r="L3" s="257">
        <f>IF(OR(I3=0,J3=0),0,ROUND((J3-I3)*24,2))</f>
        <v/>
      </c>
      <c r="M3" s="254">
        <f>IFERROR(TRIM(MID(A3,FIND("@",SUBSTITUTE(A3,"(","@",LEN(A3)-LEN(SUBSTITUTE(A3,"(",""))))+1,FIND(")",A3,FIND("@",SUBSTITUTE(A3,"(","@",LEN(A3)-LEN(SUBSTITUTE(A3,"(","")))))-FIND("@",SUBSTITUTE(A3,"(","@",LEN(A3)-LEN(SUBSTITUTE(A3,"(",""))))-1)),"")</f>
        <v/>
      </c>
      <c r="N3" s="254">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54">
        <f>IF(C4="","",IF(ISNUMBER(C4),C4,IF(ISNUMBER(VALUE(LEFT(TRIM(C4),1))),TRIM(C4),TRIM(MID(TRIM(C4),FIND(" ",TRIM(C4))+1,99)))))</f>
        <v/>
      </c>
      <c r="H4" s="254">
        <f>IF(D4="","",IF(ISNUMBER(D4),D4,IF(ISNUMBER(VALUE(LEFT(TRIM(D4),1))),TRIM(D4),TRIM(MID(TRIM(D4),FIND(" ",TRIM(D4))+1,99)))))</f>
        <v/>
      </c>
      <c r="I4" s="255">
        <f>IF(G4="",0,IF(ISNUMBER(G4),G4,IFERROR(DATE(VALUE(MID(G4,FIND("/",G4,FIND("/",G4)+1)+1,4)),VALUE(MID(G4,FIND("/",G4)+1,FIND("/",G4,FIND("/",G4)+1)-FIND("/",G4)-1)),VALUE(LEFT(G4,FIND("/",G4)-1)))+IFERROR(TIMEVALUE(TRIM(MID(G4,FIND(" ",G4)+1,20))),0),0)))</f>
        <v/>
      </c>
      <c r="J4" s="255">
        <f>IF(H4="",0,IF(ISNUMBER(H4),H4,IFERROR(DATE(VALUE(MID(H4,FIND("/",H4,FIND("/",H4)+1)+1,4)),VALUE(MID(H4,FIND("/",H4)+1,FIND("/",H4,FIND("/",H4)+1)-FIND("/",H4)-1)),VALUE(LEFT(H4,FIND("/",H4)-1)))+IFERROR(TIMEVALUE(TRIM(MID(H4,FIND(" ",H4)+1,20))),0),0)))</f>
        <v/>
      </c>
      <c r="K4" s="256">
        <f>IF(I4=0,0,INT(I4))</f>
        <v/>
      </c>
      <c r="L4" s="257">
        <f>IF(OR(I4=0,J4=0),0,ROUND((J4-I4)*24,2))</f>
        <v/>
      </c>
      <c r="M4" s="254">
        <f>IFERROR(TRIM(MID(A4,FIND("@",SUBSTITUTE(A4,"(","@",LEN(A4)-LEN(SUBSTITUTE(A4,"(",""))))+1,FIND(")",A4,FIND("@",SUBSTITUTE(A4,"(","@",LEN(A4)-LEN(SUBSTITUTE(A4,"(","")))))-FIND("@",SUBSTITUTE(A4,"(","@",LEN(A4)-LEN(SUBSTITUTE(A4,"(",""))))-1)),"")</f>
        <v/>
      </c>
      <c r="N4" s="254">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54">
        <f>IF(C5="","",IF(ISNUMBER(C5),C5,IF(ISNUMBER(VALUE(LEFT(TRIM(C5),1))),TRIM(C5),TRIM(MID(TRIM(C5),FIND(" ",TRIM(C5))+1,99)))))</f>
        <v/>
      </c>
      <c r="H5" s="254">
        <f>IF(D5="","",IF(ISNUMBER(D5),D5,IF(ISNUMBER(VALUE(LEFT(TRIM(D5),1))),TRIM(D5),TRIM(MID(TRIM(D5),FIND(" ",TRIM(D5))+1,99)))))</f>
        <v/>
      </c>
      <c r="I5" s="255">
        <f>IF(G5="",0,IF(ISNUMBER(G5),G5,IFERROR(DATE(VALUE(MID(G5,FIND("/",G5,FIND("/",G5)+1)+1,4)),VALUE(MID(G5,FIND("/",G5)+1,FIND("/",G5,FIND("/",G5)+1)-FIND("/",G5)-1)),VALUE(LEFT(G5,FIND("/",G5)-1)))+IFERROR(TIMEVALUE(TRIM(MID(G5,FIND(" ",G5)+1,20))),0),0)))</f>
        <v/>
      </c>
      <c r="J5" s="255">
        <f>IF(H5="",0,IF(ISNUMBER(H5),H5,IFERROR(DATE(VALUE(MID(H5,FIND("/",H5,FIND("/",H5)+1)+1,4)),VALUE(MID(H5,FIND("/",H5)+1,FIND("/",H5,FIND("/",H5)+1)-FIND("/",H5)-1)),VALUE(LEFT(H5,FIND("/",H5)-1)))+IFERROR(TIMEVALUE(TRIM(MID(H5,FIND(" ",H5)+1,20))),0),0)))</f>
        <v/>
      </c>
      <c r="K5" s="256">
        <f>IF(I5=0,0,INT(I5))</f>
        <v/>
      </c>
      <c r="L5" s="257">
        <f>IF(OR(I5=0,J5=0),0,ROUND((J5-I5)*24,2))</f>
        <v/>
      </c>
      <c r="M5" s="254">
        <f>IFERROR(TRIM(MID(A5,FIND("@",SUBSTITUTE(A5,"(","@",LEN(A5)-LEN(SUBSTITUTE(A5,"(",""))))+1,FIND(")",A5,FIND("@",SUBSTITUTE(A5,"(","@",LEN(A5)-LEN(SUBSTITUTE(A5,"(","")))))-FIND("@",SUBSTITUTE(A5,"(","@",LEN(A5)-LEN(SUBSTITUTE(A5,"(",""))))-1)),"")</f>
        <v/>
      </c>
      <c r="N5" s="254">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54">
        <f>IF(C6="","",IF(ISNUMBER(C6),C6,IF(ISNUMBER(VALUE(LEFT(TRIM(C6),1))),TRIM(C6),TRIM(MID(TRIM(C6),FIND(" ",TRIM(C6))+1,99)))))</f>
        <v/>
      </c>
      <c r="H6" s="254">
        <f>IF(D6="","",IF(ISNUMBER(D6),D6,IF(ISNUMBER(VALUE(LEFT(TRIM(D6),1))),TRIM(D6),TRIM(MID(TRIM(D6),FIND(" ",TRIM(D6))+1,99)))))</f>
        <v/>
      </c>
      <c r="I6" s="255">
        <f>IF(G6="",0,IF(ISNUMBER(G6),G6,IFERROR(DATE(VALUE(MID(G6,FIND("/",G6,FIND("/",G6)+1)+1,4)),VALUE(MID(G6,FIND("/",G6)+1,FIND("/",G6,FIND("/",G6)+1)-FIND("/",G6)-1)),VALUE(LEFT(G6,FIND("/",G6)-1)))+IFERROR(TIMEVALUE(TRIM(MID(G6,FIND(" ",G6)+1,20))),0),0)))</f>
        <v/>
      </c>
      <c r="J6" s="255">
        <f>IF(H6="",0,IF(ISNUMBER(H6),H6,IFERROR(DATE(VALUE(MID(H6,FIND("/",H6,FIND("/",H6)+1)+1,4)),VALUE(MID(H6,FIND("/",H6)+1,FIND("/",H6,FIND("/",H6)+1)-FIND("/",H6)-1)),VALUE(LEFT(H6,FIND("/",H6)-1)))+IFERROR(TIMEVALUE(TRIM(MID(H6,FIND(" ",H6)+1,20))),0),0)))</f>
        <v/>
      </c>
      <c r="K6" s="256">
        <f>IF(I6=0,0,INT(I6))</f>
        <v/>
      </c>
      <c r="L6" s="257">
        <f>IF(OR(I6=0,J6=0),0,ROUND((J6-I6)*24,2))</f>
        <v/>
      </c>
      <c r="M6" s="254">
        <f>IFERROR(TRIM(MID(A6,FIND("@",SUBSTITUTE(A6,"(","@",LEN(A6)-LEN(SUBSTITUTE(A6,"(",""))))+1,FIND(")",A6,FIND("@",SUBSTITUTE(A6,"(","@",LEN(A6)-LEN(SUBSTITUTE(A6,"(","")))))-FIND("@",SUBSTITUTE(A6,"(","@",LEN(A6)-LEN(SUBSTITUTE(A6,"(",""))))-1)),"")</f>
        <v/>
      </c>
      <c r="N6" s="254">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54">
        <f>IF(C7="","",IF(ISNUMBER(C7),C7,IF(ISNUMBER(VALUE(LEFT(TRIM(C7),1))),TRIM(C7),TRIM(MID(TRIM(C7),FIND(" ",TRIM(C7))+1,99)))))</f>
        <v/>
      </c>
      <c r="H7" s="254">
        <f>IF(D7="","",IF(ISNUMBER(D7),D7,IF(ISNUMBER(VALUE(LEFT(TRIM(D7),1))),TRIM(D7),TRIM(MID(TRIM(D7),FIND(" ",TRIM(D7))+1,99)))))</f>
        <v/>
      </c>
      <c r="I7" s="255">
        <f>IF(G7="",0,IF(ISNUMBER(G7),G7,IFERROR(DATE(VALUE(MID(G7,FIND("/",G7,FIND("/",G7)+1)+1,4)),VALUE(MID(G7,FIND("/",G7)+1,FIND("/",G7,FIND("/",G7)+1)-FIND("/",G7)-1)),VALUE(LEFT(G7,FIND("/",G7)-1)))+IFERROR(TIMEVALUE(TRIM(MID(G7,FIND(" ",G7)+1,20))),0),0)))</f>
        <v/>
      </c>
      <c r="J7" s="255">
        <f>IF(H7="",0,IF(ISNUMBER(H7),H7,IFERROR(DATE(VALUE(MID(H7,FIND("/",H7,FIND("/",H7)+1)+1,4)),VALUE(MID(H7,FIND("/",H7)+1,FIND("/",H7,FIND("/",H7)+1)-FIND("/",H7)-1)),VALUE(LEFT(H7,FIND("/",H7)-1)))+IFERROR(TIMEVALUE(TRIM(MID(H7,FIND(" ",H7)+1,20))),0),0)))</f>
        <v/>
      </c>
      <c r="K7" s="256">
        <f>IF(I7=0,0,INT(I7))</f>
        <v/>
      </c>
      <c r="L7" s="257">
        <f>IF(OR(I7=0,J7=0),0,ROUND((J7-I7)*24,2))</f>
        <v/>
      </c>
      <c r="M7" s="254">
        <f>IFERROR(TRIM(MID(A7,FIND("@",SUBSTITUTE(A7,"(","@",LEN(A7)-LEN(SUBSTITUTE(A7,"(",""))))+1,FIND(")",A7,FIND("@",SUBSTITUTE(A7,"(","@",LEN(A7)-LEN(SUBSTITUTE(A7,"(","")))))-FIND("@",SUBSTITUTE(A7,"(","@",LEN(A7)-LEN(SUBSTITUTE(A7,"(",""))))-1)),"")</f>
        <v/>
      </c>
      <c r="N7" s="254">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54">
        <f>IF(C8="","",IF(ISNUMBER(C8),C8,IF(ISNUMBER(VALUE(LEFT(TRIM(C8),1))),TRIM(C8),TRIM(MID(TRIM(C8),FIND(" ",TRIM(C8))+1,99)))))</f>
        <v/>
      </c>
      <c r="H8" s="254">
        <f>IF(D8="","",IF(ISNUMBER(D8),D8,IF(ISNUMBER(VALUE(LEFT(TRIM(D8),1))),TRIM(D8),TRIM(MID(TRIM(D8),FIND(" ",TRIM(D8))+1,99)))))</f>
        <v/>
      </c>
      <c r="I8" s="255">
        <f>IF(G8="",0,IF(ISNUMBER(G8),G8,IFERROR(DATE(VALUE(MID(G8,FIND("/",G8,FIND("/",G8)+1)+1,4)),VALUE(MID(G8,FIND("/",G8)+1,FIND("/",G8,FIND("/",G8)+1)-FIND("/",G8)-1)),VALUE(LEFT(G8,FIND("/",G8)-1)))+IFERROR(TIMEVALUE(TRIM(MID(G8,FIND(" ",G8)+1,20))),0),0)))</f>
        <v/>
      </c>
      <c r="J8" s="255">
        <f>IF(H8="",0,IF(ISNUMBER(H8),H8,IFERROR(DATE(VALUE(MID(H8,FIND("/",H8,FIND("/",H8)+1)+1,4)),VALUE(MID(H8,FIND("/",H8)+1,FIND("/",H8,FIND("/",H8)+1)-FIND("/",H8)-1)),VALUE(LEFT(H8,FIND("/",H8)-1)))+IFERROR(TIMEVALUE(TRIM(MID(H8,FIND(" ",H8)+1,20))),0),0)))</f>
        <v/>
      </c>
      <c r="K8" s="256">
        <f>IF(I8=0,0,INT(I8))</f>
        <v/>
      </c>
      <c r="L8" s="257">
        <f>IF(OR(I8=0,J8=0),0,ROUND((J8-I8)*24,2))</f>
        <v/>
      </c>
      <c r="M8" s="254">
        <f>IFERROR(TRIM(MID(A8,FIND("@",SUBSTITUTE(A8,"(","@",LEN(A8)-LEN(SUBSTITUTE(A8,"(",""))))+1,FIND(")",A8,FIND("@",SUBSTITUTE(A8,"(","@",LEN(A8)-LEN(SUBSTITUTE(A8,"(","")))))-FIND("@",SUBSTITUTE(A8,"(","@",LEN(A8)-LEN(SUBSTITUTE(A8,"(",""))))-1)),"")</f>
        <v/>
      </c>
      <c r="N8" s="254">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54">
        <f>IF(C9="","",IF(ISNUMBER(C9),C9,IF(ISNUMBER(VALUE(LEFT(TRIM(C9),1))),TRIM(C9),TRIM(MID(TRIM(C9),FIND(" ",TRIM(C9))+1,99)))))</f>
        <v/>
      </c>
      <c r="H9" s="254">
        <f>IF(D9="","",IF(ISNUMBER(D9),D9,IF(ISNUMBER(VALUE(LEFT(TRIM(D9),1))),TRIM(D9),TRIM(MID(TRIM(D9),FIND(" ",TRIM(D9))+1,99)))))</f>
        <v/>
      </c>
      <c r="I9" s="255">
        <f>IF(G9="",0,IF(ISNUMBER(G9),G9,IFERROR(DATE(VALUE(MID(G9,FIND("/",G9,FIND("/",G9)+1)+1,4)),VALUE(MID(G9,FIND("/",G9)+1,FIND("/",G9,FIND("/",G9)+1)-FIND("/",G9)-1)),VALUE(LEFT(G9,FIND("/",G9)-1)))+IFERROR(TIMEVALUE(TRIM(MID(G9,FIND(" ",G9)+1,20))),0),0)))</f>
        <v/>
      </c>
      <c r="J9" s="255">
        <f>IF(H9="",0,IF(ISNUMBER(H9),H9,IFERROR(DATE(VALUE(MID(H9,FIND("/",H9,FIND("/",H9)+1)+1,4)),VALUE(MID(H9,FIND("/",H9)+1,FIND("/",H9,FIND("/",H9)+1)-FIND("/",H9)-1)),VALUE(LEFT(H9,FIND("/",H9)-1)))+IFERROR(TIMEVALUE(TRIM(MID(H9,FIND(" ",H9)+1,20))),0),0)))</f>
        <v/>
      </c>
      <c r="K9" s="256">
        <f>IF(I9=0,0,INT(I9))</f>
        <v/>
      </c>
      <c r="L9" s="257">
        <f>IF(OR(I9=0,J9=0),0,ROUND((J9-I9)*24,2))</f>
        <v/>
      </c>
      <c r="M9" s="254">
        <f>IFERROR(TRIM(MID(A9,FIND("@",SUBSTITUTE(A9,"(","@",LEN(A9)-LEN(SUBSTITUTE(A9,"(",""))))+1,FIND(")",A9,FIND("@",SUBSTITUTE(A9,"(","@",LEN(A9)-LEN(SUBSTITUTE(A9,"(","")))))-FIND("@",SUBSTITUTE(A9,"(","@",LEN(A9)-LEN(SUBSTITUTE(A9,"(",""))))-1)),"")</f>
        <v/>
      </c>
      <c r="N9" s="254">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54">
        <f>IF(C10="","",IF(ISNUMBER(C10),C10,IF(ISNUMBER(VALUE(LEFT(TRIM(C10),1))),TRIM(C10),TRIM(MID(TRIM(C10),FIND(" ",TRIM(C10))+1,99)))))</f>
        <v/>
      </c>
      <c r="H10" s="254">
        <f>IF(D10="","",IF(ISNUMBER(D10),D10,IF(ISNUMBER(VALUE(LEFT(TRIM(D10),1))),TRIM(D10),TRIM(MID(TRIM(D10),FIND(" ",TRIM(D10))+1,99)))))</f>
        <v/>
      </c>
      <c r="I10" s="255">
        <f>IF(G10="",0,IF(ISNUMBER(G10),G10,IFERROR(DATE(VALUE(MID(G10,FIND("/",G10,FIND("/",G10)+1)+1,4)),VALUE(MID(G10,FIND("/",G10)+1,FIND("/",G10,FIND("/",G10)+1)-FIND("/",G10)-1)),VALUE(LEFT(G10,FIND("/",G10)-1)))+IFERROR(TIMEVALUE(TRIM(MID(G10,FIND(" ",G10)+1,20))),0),0)))</f>
        <v/>
      </c>
      <c r="J10" s="255">
        <f>IF(H10="",0,IF(ISNUMBER(H10),H10,IFERROR(DATE(VALUE(MID(H10,FIND("/",H10,FIND("/",H10)+1)+1,4)),VALUE(MID(H10,FIND("/",H10)+1,FIND("/",H10,FIND("/",H10)+1)-FIND("/",H10)-1)),VALUE(LEFT(H10,FIND("/",H10)-1)))+IFERROR(TIMEVALUE(TRIM(MID(H10,FIND(" ",H10)+1,20))),0),0)))</f>
        <v/>
      </c>
      <c r="K10" s="256">
        <f>IF(I10=0,0,INT(I10))</f>
        <v/>
      </c>
      <c r="L10" s="257">
        <f>IF(OR(I10=0,J10=0),0,ROUND((J10-I10)*24,2))</f>
        <v/>
      </c>
      <c r="M10" s="254">
        <f>IFERROR(TRIM(MID(A10,FIND("@",SUBSTITUTE(A10,"(","@",LEN(A10)-LEN(SUBSTITUTE(A10,"(",""))))+1,FIND(")",A10,FIND("@",SUBSTITUTE(A10,"(","@",LEN(A10)-LEN(SUBSTITUTE(A10,"(","")))))-FIND("@",SUBSTITUTE(A10,"(","@",LEN(A10)-LEN(SUBSTITUTE(A10,"(",""))))-1)),"")</f>
        <v/>
      </c>
      <c r="N10" s="254">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54">
        <f>IF(C11="","",IF(ISNUMBER(C11),C11,IF(ISNUMBER(VALUE(LEFT(TRIM(C11),1))),TRIM(C11),TRIM(MID(TRIM(C11),FIND(" ",TRIM(C11))+1,99)))))</f>
        <v/>
      </c>
      <c r="H11" s="254">
        <f>IF(D11="","",IF(ISNUMBER(D11),D11,IF(ISNUMBER(VALUE(LEFT(TRIM(D11),1))),TRIM(D11),TRIM(MID(TRIM(D11),FIND(" ",TRIM(D11))+1,99)))))</f>
        <v/>
      </c>
      <c r="I11" s="255">
        <f>IF(G11="",0,IF(ISNUMBER(G11),G11,IFERROR(DATE(VALUE(MID(G11,FIND("/",G11,FIND("/",G11)+1)+1,4)),VALUE(MID(G11,FIND("/",G11)+1,FIND("/",G11,FIND("/",G11)+1)-FIND("/",G11)-1)),VALUE(LEFT(G11,FIND("/",G11)-1)))+IFERROR(TIMEVALUE(TRIM(MID(G11,FIND(" ",G11)+1,20))),0),0)))</f>
        <v/>
      </c>
      <c r="J11" s="255">
        <f>IF(H11="",0,IF(ISNUMBER(H11),H11,IFERROR(DATE(VALUE(MID(H11,FIND("/",H11,FIND("/",H11)+1)+1,4)),VALUE(MID(H11,FIND("/",H11)+1,FIND("/",H11,FIND("/",H11)+1)-FIND("/",H11)-1)),VALUE(LEFT(H11,FIND("/",H11)-1)))+IFERROR(TIMEVALUE(TRIM(MID(H11,FIND(" ",H11)+1,20))),0),0)))</f>
        <v/>
      </c>
      <c r="K11" s="256">
        <f>IF(I11=0,0,INT(I11))</f>
        <v/>
      </c>
      <c r="L11" s="257">
        <f>IF(OR(I11=0,J11=0),0,ROUND((J11-I11)*24,2))</f>
        <v/>
      </c>
      <c r="M11" s="254">
        <f>IFERROR(TRIM(MID(A11,FIND("@",SUBSTITUTE(A11,"(","@",LEN(A11)-LEN(SUBSTITUTE(A11,"(",""))))+1,FIND(")",A11,FIND("@",SUBSTITUTE(A11,"(","@",LEN(A11)-LEN(SUBSTITUTE(A11,"(","")))))-FIND("@",SUBSTITUTE(A11,"(","@",LEN(A11)-LEN(SUBSTITUTE(A11,"(",""))))-1)),"")</f>
        <v/>
      </c>
      <c r="N11" s="254">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54">
        <f>IF(C12="","",IF(ISNUMBER(C12),C12,IF(ISNUMBER(VALUE(LEFT(TRIM(C12),1))),TRIM(C12),TRIM(MID(TRIM(C12),FIND(" ",TRIM(C12))+1,99)))))</f>
        <v/>
      </c>
      <c r="H12" s="254">
        <f>IF(D12="","",IF(ISNUMBER(D12),D12,IF(ISNUMBER(VALUE(LEFT(TRIM(D12),1))),TRIM(D12),TRIM(MID(TRIM(D12),FIND(" ",TRIM(D12))+1,99)))))</f>
        <v/>
      </c>
      <c r="I12" s="255">
        <f>IF(G12="",0,IF(ISNUMBER(G12),G12,IFERROR(DATE(VALUE(MID(G12,FIND("/",G12,FIND("/",G12)+1)+1,4)),VALUE(MID(G12,FIND("/",G12)+1,FIND("/",G12,FIND("/",G12)+1)-FIND("/",G12)-1)),VALUE(LEFT(G12,FIND("/",G12)-1)))+IFERROR(TIMEVALUE(TRIM(MID(G12,FIND(" ",G12)+1,20))),0),0)))</f>
        <v/>
      </c>
      <c r="J12" s="255">
        <f>IF(H12="",0,IF(ISNUMBER(H12),H12,IFERROR(DATE(VALUE(MID(H12,FIND("/",H12,FIND("/",H12)+1)+1,4)),VALUE(MID(H12,FIND("/",H12)+1,FIND("/",H12,FIND("/",H12)+1)-FIND("/",H12)-1)),VALUE(LEFT(H12,FIND("/",H12)-1)))+IFERROR(TIMEVALUE(TRIM(MID(H12,FIND(" ",H12)+1,20))),0),0)))</f>
        <v/>
      </c>
      <c r="K12" s="256">
        <f>IF(I12=0,0,INT(I12))</f>
        <v/>
      </c>
      <c r="L12" s="257">
        <f>IF(OR(I12=0,J12=0),0,ROUND((J12-I12)*24,2))</f>
        <v/>
      </c>
      <c r="M12" s="254">
        <f>IFERROR(TRIM(MID(A12,FIND("@",SUBSTITUTE(A12,"(","@",LEN(A12)-LEN(SUBSTITUTE(A12,"(",""))))+1,FIND(")",A12,FIND("@",SUBSTITUTE(A12,"(","@",LEN(A12)-LEN(SUBSTITUTE(A12,"(","")))))-FIND("@",SUBSTITUTE(A12,"(","@",LEN(A12)-LEN(SUBSTITUTE(A12,"(",""))))-1)),"")</f>
        <v/>
      </c>
      <c r="N12" s="254">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54">
        <f>IF(C13="","",IF(ISNUMBER(C13),C13,IF(ISNUMBER(VALUE(LEFT(TRIM(C13),1))),TRIM(C13),TRIM(MID(TRIM(C13),FIND(" ",TRIM(C13))+1,99)))))</f>
        <v/>
      </c>
      <c r="H13" s="254">
        <f>IF(D13="","",IF(ISNUMBER(D13),D13,IF(ISNUMBER(VALUE(LEFT(TRIM(D13),1))),TRIM(D13),TRIM(MID(TRIM(D13),FIND(" ",TRIM(D13))+1,99)))))</f>
        <v/>
      </c>
      <c r="I13" s="255">
        <f>IF(G13="",0,IF(ISNUMBER(G13),G13,IFERROR(DATE(VALUE(MID(G13,FIND("/",G13,FIND("/",G13)+1)+1,4)),VALUE(MID(G13,FIND("/",G13)+1,FIND("/",G13,FIND("/",G13)+1)-FIND("/",G13)-1)),VALUE(LEFT(G13,FIND("/",G13)-1)))+IFERROR(TIMEVALUE(TRIM(MID(G13,FIND(" ",G13)+1,20))),0),0)))</f>
        <v/>
      </c>
      <c r="J13" s="255">
        <f>IF(H13="",0,IF(ISNUMBER(H13),H13,IFERROR(DATE(VALUE(MID(H13,FIND("/",H13,FIND("/",H13)+1)+1,4)),VALUE(MID(H13,FIND("/",H13)+1,FIND("/",H13,FIND("/",H13)+1)-FIND("/",H13)-1)),VALUE(LEFT(H13,FIND("/",H13)-1)))+IFERROR(TIMEVALUE(TRIM(MID(H13,FIND(" ",H13)+1,20))),0),0)))</f>
        <v/>
      </c>
      <c r="K13" s="256">
        <f>IF(I13=0,0,INT(I13))</f>
        <v/>
      </c>
      <c r="L13" s="257">
        <f>IF(OR(I13=0,J13=0),0,ROUND((J13-I13)*24,2))</f>
        <v/>
      </c>
      <c r="M13" s="254">
        <f>IFERROR(TRIM(MID(A13,FIND("@",SUBSTITUTE(A13,"(","@",LEN(A13)-LEN(SUBSTITUTE(A13,"(",""))))+1,FIND(")",A13,FIND("@",SUBSTITUTE(A13,"(","@",LEN(A13)-LEN(SUBSTITUTE(A13,"(","")))))-FIND("@",SUBSTITUTE(A13,"(","@",LEN(A13)-LEN(SUBSTITUTE(A13,"(",""))))-1)),"")</f>
        <v/>
      </c>
      <c r="N13" s="254">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54">
        <f>IF(C14="","",IF(ISNUMBER(C14),C14,IF(ISNUMBER(VALUE(LEFT(TRIM(C14),1))),TRIM(C14),TRIM(MID(TRIM(C14),FIND(" ",TRIM(C14))+1,99)))))</f>
        <v/>
      </c>
      <c r="H14" s="254">
        <f>IF(D14="","",IF(ISNUMBER(D14),D14,IF(ISNUMBER(VALUE(LEFT(TRIM(D14),1))),TRIM(D14),TRIM(MID(TRIM(D14),FIND(" ",TRIM(D14))+1,99)))))</f>
        <v/>
      </c>
      <c r="I14" s="255">
        <f>IF(G14="",0,IF(ISNUMBER(G14),G14,IFERROR(DATE(VALUE(MID(G14,FIND("/",G14,FIND("/",G14)+1)+1,4)),VALUE(MID(G14,FIND("/",G14)+1,FIND("/",G14,FIND("/",G14)+1)-FIND("/",G14)-1)),VALUE(LEFT(G14,FIND("/",G14)-1)))+IFERROR(TIMEVALUE(TRIM(MID(G14,FIND(" ",G14)+1,20))),0),0)))</f>
        <v/>
      </c>
      <c r="J14" s="255">
        <f>IF(H14="",0,IF(ISNUMBER(H14),H14,IFERROR(DATE(VALUE(MID(H14,FIND("/",H14,FIND("/",H14)+1)+1,4)),VALUE(MID(H14,FIND("/",H14)+1,FIND("/",H14,FIND("/",H14)+1)-FIND("/",H14)-1)),VALUE(LEFT(H14,FIND("/",H14)-1)))+IFERROR(TIMEVALUE(TRIM(MID(H14,FIND(" ",H14)+1,20))),0),0)))</f>
        <v/>
      </c>
      <c r="K14" s="256">
        <f>IF(I14=0,0,INT(I14))</f>
        <v/>
      </c>
      <c r="L14" s="257">
        <f>IF(OR(I14=0,J14=0),0,ROUND((J14-I14)*24,2))</f>
        <v/>
      </c>
      <c r="M14" s="254">
        <f>IFERROR(TRIM(MID(A14,FIND("@",SUBSTITUTE(A14,"(","@",LEN(A14)-LEN(SUBSTITUTE(A14,"(",""))))+1,FIND(")",A14,FIND("@",SUBSTITUTE(A14,"(","@",LEN(A14)-LEN(SUBSTITUTE(A14,"(","")))))-FIND("@",SUBSTITUTE(A14,"(","@",LEN(A14)-LEN(SUBSTITUTE(A14,"(",""))))-1)),"")</f>
        <v/>
      </c>
      <c r="N14" s="254">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54">
        <f>IF(C15="","",IF(ISNUMBER(C15),C15,IF(ISNUMBER(VALUE(LEFT(TRIM(C15),1))),TRIM(C15),TRIM(MID(TRIM(C15),FIND(" ",TRIM(C15))+1,99)))))</f>
        <v/>
      </c>
      <c r="H15" s="254">
        <f>IF(D15="","",IF(ISNUMBER(D15),D15,IF(ISNUMBER(VALUE(LEFT(TRIM(D15),1))),TRIM(D15),TRIM(MID(TRIM(D15),FIND(" ",TRIM(D15))+1,99)))))</f>
        <v/>
      </c>
      <c r="I15" s="255">
        <f>IF(G15="",0,IF(ISNUMBER(G15),G15,IFERROR(DATE(VALUE(MID(G15,FIND("/",G15,FIND("/",G15)+1)+1,4)),VALUE(MID(G15,FIND("/",G15)+1,FIND("/",G15,FIND("/",G15)+1)-FIND("/",G15)-1)),VALUE(LEFT(G15,FIND("/",G15)-1)))+IFERROR(TIMEVALUE(TRIM(MID(G15,FIND(" ",G15)+1,20))),0),0)))</f>
        <v/>
      </c>
      <c r="J15" s="255">
        <f>IF(H15="",0,IF(ISNUMBER(H15),H15,IFERROR(DATE(VALUE(MID(H15,FIND("/",H15,FIND("/",H15)+1)+1,4)),VALUE(MID(H15,FIND("/",H15)+1,FIND("/",H15,FIND("/",H15)+1)-FIND("/",H15)-1)),VALUE(LEFT(H15,FIND("/",H15)-1)))+IFERROR(TIMEVALUE(TRIM(MID(H15,FIND(" ",H15)+1,20))),0),0)))</f>
        <v/>
      </c>
      <c r="K15" s="256">
        <f>IF(I15=0,0,INT(I15))</f>
        <v/>
      </c>
      <c r="L15" s="257">
        <f>IF(OR(I15=0,J15=0),0,ROUND((J15-I15)*24,2))</f>
        <v/>
      </c>
      <c r="M15" s="254">
        <f>IFERROR(TRIM(MID(A15,FIND("@",SUBSTITUTE(A15,"(","@",LEN(A15)-LEN(SUBSTITUTE(A15,"(",""))))+1,FIND(")",A15,FIND("@",SUBSTITUTE(A15,"(","@",LEN(A15)-LEN(SUBSTITUTE(A15,"(","")))))-FIND("@",SUBSTITUTE(A15,"(","@",LEN(A15)-LEN(SUBSTITUTE(A15,"(",""))))-1)),"")</f>
        <v/>
      </c>
      <c r="N15" s="254">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54">
        <f>IF(C16="","",IF(ISNUMBER(C16),C16,IF(ISNUMBER(VALUE(LEFT(TRIM(C16),1))),TRIM(C16),TRIM(MID(TRIM(C16),FIND(" ",TRIM(C16))+1,99)))))</f>
        <v/>
      </c>
      <c r="H16" s="254">
        <f>IF(D16="","",IF(ISNUMBER(D16),D16,IF(ISNUMBER(VALUE(LEFT(TRIM(D16),1))),TRIM(D16),TRIM(MID(TRIM(D16),FIND(" ",TRIM(D16))+1,99)))))</f>
        <v/>
      </c>
      <c r="I16" s="255">
        <f>IF(G16="",0,IF(ISNUMBER(G16),G16,IFERROR(DATE(VALUE(MID(G16,FIND("/",G16,FIND("/",G16)+1)+1,4)),VALUE(MID(G16,FIND("/",G16)+1,FIND("/",G16,FIND("/",G16)+1)-FIND("/",G16)-1)),VALUE(LEFT(G16,FIND("/",G16)-1)))+IFERROR(TIMEVALUE(TRIM(MID(G16,FIND(" ",G16)+1,20))),0),0)))</f>
        <v/>
      </c>
      <c r="J16" s="255">
        <f>IF(H16="",0,IF(ISNUMBER(H16),H16,IFERROR(DATE(VALUE(MID(H16,FIND("/",H16,FIND("/",H16)+1)+1,4)),VALUE(MID(H16,FIND("/",H16)+1,FIND("/",H16,FIND("/",H16)+1)-FIND("/",H16)-1)),VALUE(LEFT(H16,FIND("/",H16)-1)))+IFERROR(TIMEVALUE(TRIM(MID(H16,FIND(" ",H16)+1,20))),0),0)))</f>
        <v/>
      </c>
      <c r="K16" s="256">
        <f>IF(I16=0,0,INT(I16))</f>
        <v/>
      </c>
      <c r="L16" s="257">
        <f>IF(OR(I16=0,J16=0),0,ROUND((J16-I16)*24,2))</f>
        <v/>
      </c>
      <c r="M16" s="254">
        <f>IFERROR(TRIM(MID(A16,FIND("@",SUBSTITUTE(A16,"(","@",LEN(A16)-LEN(SUBSTITUTE(A16,"(",""))))+1,FIND(")",A16,FIND("@",SUBSTITUTE(A16,"(","@",LEN(A16)-LEN(SUBSTITUTE(A16,"(","")))))-FIND("@",SUBSTITUTE(A16,"(","@",LEN(A16)-LEN(SUBSTITUTE(A16,"(",""))))-1)),"")</f>
        <v/>
      </c>
      <c r="N16" s="254">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54">
        <f>IF(C17="","",IF(ISNUMBER(C17),C17,IF(ISNUMBER(VALUE(LEFT(TRIM(C17),1))),TRIM(C17),TRIM(MID(TRIM(C17),FIND(" ",TRIM(C17))+1,99)))))</f>
        <v/>
      </c>
      <c r="H17" s="254">
        <f>IF(D17="","",IF(ISNUMBER(D17),D17,IF(ISNUMBER(VALUE(LEFT(TRIM(D17),1))),TRIM(D17),TRIM(MID(TRIM(D17),FIND(" ",TRIM(D17))+1,99)))))</f>
        <v/>
      </c>
      <c r="I17" s="255">
        <f>IF(G17="",0,IF(ISNUMBER(G17),G17,IFERROR(DATE(VALUE(MID(G17,FIND("/",G17,FIND("/",G17)+1)+1,4)),VALUE(MID(G17,FIND("/",G17)+1,FIND("/",G17,FIND("/",G17)+1)-FIND("/",G17)-1)),VALUE(LEFT(G17,FIND("/",G17)-1)))+IFERROR(TIMEVALUE(TRIM(MID(G17,FIND(" ",G17)+1,20))),0),0)))</f>
        <v/>
      </c>
      <c r="J17" s="255">
        <f>IF(H17="",0,IF(ISNUMBER(H17),H17,IFERROR(DATE(VALUE(MID(H17,FIND("/",H17,FIND("/",H17)+1)+1,4)),VALUE(MID(H17,FIND("/",H17)+1,FIND("/",H17,FIND("/",H17)+1)-FIND("/",H17)-1)),VALUE(LEFT(H17,FIND("/",H17)-1)))+IFERROR(TIMEVALUE(TRIM(MID(H17,FIND(" ",H17)+1,20))),0),0)))</f>
        <v/>
      </c>
      <c r="K17" s="256">
        <f>IF(I17=0,0,INT(I17))</f>
        <v/>
      </c>
      <c r="L17" s="257">
        <f>IF(OR(I17=0,J17=0),0,ROUND((J17-I17)*24,2))</f>
        <v/>
      </c>
      <c r="M17" s="254">
        <f>IFERROR(TRIM(MID(A17,FIND("@",SUBSTITUTE(A17,"(","@",LEN(A17)-LEN(SUBSTITUTE(A17,"(",""))))+1,FIND(")",A17,FIND("@",SUBSTITUTE(A17,"(","@",LEN(A17)-LEN(SUBSTITUTE(A17,"(","")))))-FIND("@",SUBSTITUTE(A17,"(","@",LEN(A17)-LEN(SUBSTITUTE(A17,"(",""))))-1)),"")</f>
        <v/>
      </c>
      <c r="N17" s="254">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54">
        <f>IF(C18="","",IF(ISNUMBER(C18),C18,IF(ISNUMBER(VALUE(LEFT(TRIM(C18),1))),TRIM(C18),TRIM(MID(TRIM(C18),FIND(" ",TRIM(C18))+1,99)))))</f>
        <v/>
      </c>
      <c r="H18" s="254">
        <f>IF(D18="","",IF(ISNUMBER(D18),D18,IF(ISNUMBER(VALUE(LEFT(TRIM(D18),1))),TRIM(D18),TRIM(MID(TRIM(D18),FIND(" ",TRIM(D18))+1,99)))))</f>
        <v/>
      </c>
      <c r="I18" s="255">
        <f>IF(G18="",0,IF(ISNUMBER(G18),G18,IFERROR(DATE(VALUE(MID(G18,FIND("/",G18,FIND("/",G18)+1)+1,4)),VALUE(MID(G18,FIND("/",G18)+1,FIND("/",G18,FIND("/",G18)+1)-FIND("/",G18)-1)),VALUE(LEFT(G18,FIND("/",G18)-1)))+IFERROR(TIMEVALUE(TRIM(MID(G18,FIND(" ",G18)+1,20))),0),0)))</f>
        <v/>
      </c>
      <c r="J18" s="255">
        <f>IF(H18="",0,IF(ISNUMBER(H18),H18,IFERROR(DATE(VALUE(MID(H18,FIND("/",H18,FIND("/",H18)+1)+1,4)),VALUE(MID(H18,FIND("/",H18)+1,FIND("/",H18,FIND("/",H18)+1)-FIND("/",H18)-1)),VALUE(LEFT(H18,FIND("/",H18)-1)))+IFERROR(TIMEVALUE(TRIM(MID(H18,FIND(" ",H18)+1,20))),0),0)))</f>
        <v/>
      </c>
      <c r="K18" s="256">
        <f>IF(I18=0,0,INT(I18))</f>
        <v/>
      </c>
      <c r="L18" s="257">
        <f>IF(OR(I18=0,J18=0),0,ROUND((J18-I18)*24,2))</f>
        <v/>
      </c>
      <c r="M18" s="254">
        <f>IFERROR(TRIM(MID(A18,FIND("@",SUBSTITUTE(A18,"(","@",LEN(A18)-LEN(SUBSTITUTE(A18,"(",""))))+1,FIND(")",A18,FIND("@",SUBSTITUTE(A18,"(","@",LEN(A18)-LEN(SUBSTITUTE(A18,"(","")))))-FIND("@",SUBSTITUTE(A18,"(","@",LEN(A18)-LEN(SUBSTITUTE(A18,"(",""))))-1)),"")</f>
        <v/>
      </c>
      <c r="N18" s="254">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54">
        <f>IF(C19="","",IF(ISNUMBER(C19),C19,IF(ISNUMBER(VALUE(LEFT(TRIM(C19),1))),TRIM(C19),TRIM(MID(TRIM(C19),FIND(" ",TRIM(C19))+1,99)))))</f>
        <v/>
      </c>
      <c r="H19" s="254">
        <f>IF(D19="","",IF(ISNUMBER(D19),D19,IF(ISNUMBER(VALUE(LEFT(TRIM(D19),1))),TRIM(D19),TRIM(MID(TRIM(D19),FIND(" ",TRIM(D19))+1,99)))))</f>
        <v/>
      </c>
      <c r="I19" s="255">
        <f>IF(G19="",0,IF(ISNUMBER(G19),G19,IFERROR(DATE(VALUE(MID(G19,FIND("/",G19,FIND("/",G19)+1)+1,4)),VALUE(MID(G19,FIND("/",G19)+1,FIND("/",G19,FIND("/",G19)+1)-FIND("/",G19)-1)),VALUE(LEFT(G19,FIND("/",G19)-1)))+IFERROR(TIMEVALUE(TRIM(MID(G19,FIND(" ",G19)+1,20))),0),0)))</f>
        <v/>
      </c>
      <c r="J19" s="255">
        <f>IF(H19="",0,IF(ISNUMBER(H19),H19,IFERROR(DATE(VALUE(MID(H19,FIND("/",H19,FIND("/",H19)+1)+1,4)),VALUE(MID(H19,FIND("/",H19)+1,FIND("/",H19,FIND("/",H19)+1)-FIND("/",H19)-1)),VALUE(LEFT(H19,FIND("/",H19)-1)))+IFERROR(TIMEVALUE(TRIM(MID(H19,FIND(" ",H19)+1,20))),0),0)))</f>
        <v/>
      </c>
      <c r="K19" s="256">
        <f>IF(I19=0,0,INT(I19))</f>
        <v/>
      </c>
      <c r="L19" s="257">
        <f>IF(OR(I19=0,J19=0),0,ROUND((J19-I19)*24,2))</f>
        <v/>
      </c>
      <c r="M19" s="254">
        <f>IFERROR(TRIM(MID(A19,FIND("@",SUBSTITUTE(A19,"(","@",LEN(A19)-LEN(SUBSTITUTE(A19,"(",""))))+1,FIND(")",A19,FIND("@",SUBSTITUTE(A19,"(","@",LEN(A19)-LEN(SUBSTITUTE(A19,"(","")))))-FIND("@",SUBSTITUTE(A19,"(","@",LEN(A19)-LEN(SUBSTITUTE(A19,"(",""))))-1)),"")</f>
        <v/>
      </c>
      <c r="N19" s="254">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54">
        <f>IF(C20="","",IF(ISNUMBER(C20),C20,IF(ISNUMBER(VALUE(LEFT(TRIM(C20),1))),TRIM(C20),TRIM(MID(TRIM(C20),FIND(" ",TRIM(C20))+1,99)))))</f>
        <v/>
      </c>
      <c r="H20" s="254">
        <f>IF(D20="","",IF(ISNUMBER(D20),D20,IF(ISNUMBER(VALUE(LEFT(TRIM(D20),1))),TRIM(D20),TRIM(MID(TRIM(D20),FIND(" ",TRIM(D20))+1,99)))))</f>
        <v/>
      </c>
      <c r="I20" s="255">
        <f>IF(G20="",0,IF(ISNUMBER(G20),G20,IFERROR(DATE(VALUE(MID(G20,FIND("/",G20,FIND("/",G20)+1)+1,4)),VALUE(MID(G20,FIND("/",G20)+1,FIND("/",G20,FIND("/",G20)+1)-FIND("/",G20)-1)),VALUE(LEFT(G20,FIND("/",G20)-1)))+IFERROR(TIMEVALUE(TRIM(MID(G20,FIND(" ",G20)+1,20))),0),0)))</f>
        <v/>
      </c>
      <c r="J20" s="255">
        <f>IF(H20="",0,IF(ISNUMBER(H20),H20,IFERROR(DATE(VALUE(MID(H20,FIND("/",H20,FIND("/",H20)+1)+1,4)),VALUE(MID(H20,FIND("/",H20)+1,FIND("/",H20,FIND("/",H20)+1)-FIND("/",H20)-1)),VALUE(LEFT(H20,FIND("/",H20)-1)))+IFERROR(TIMEVALUE(TRIM(MID(H20,FIND(" ",H20)+1,20))),0),0)))</f>
        <v/>
      </c>
      <c r="K20" s="256">
        <f>IF(I20=0,0,INT(I20))</f>
        <v/>
      </c>
      <c r="L20" s="257">
        <f>IF(OR(I20=0,J20=0),0,ROUND((J20-I20)*24,2))</f>
        <v/>
      </c>
      <c r="M20" s="254">
        <f>IFERROR(TRIM(MID(A20,FIND("@",SUBSTITUTE(A20,"(","@",LEN(A20)-LEN(SUBSTITUTE(A20,"(",""))))+1,FIND(")",A20,FIND("@",SUBSTITUTE(A20,"(","@",LEN(A20)-LEN(SUBSTITUTE(A20,"(","")))))-FIND("@",SUBSTITUTE(A20,"(","@",LEN(A20)-LEN(SUBSTITUTE(A20,"(",""))))-1)),"")</f>
        <v/>
      </c>
      <c r="N20" s="254">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54">
        <f>IF(C21="","",IF(ISNUMBER(C21),C21,IF(ISNUMBER(VALUE(LEFT(TRIM(C21),1))),TRIM(C21),TRIM(MID(TRIM(C21),FIND(" ",TRIM(C21))+1,99)))))</f>
        <v/>
      </c>
      <c r="H21" s="254">
        <f>IF(D21="","",IF(ISNUMBER(D21),D21,IF(ISNUMBER(VALUE(LEFT(TRIM(D21),1))),TRIM(D21),TRIM(MID(TRIM(D21),FIND(" ",TRIM(D21))+1,99)))))</f>
        <v/>
      </c>
      <c r="I21" s="255">
        <f>IF(G21="",0,IF(ISNUMBER(G21),G21,IFERROR(DATE(VALUE(MID(G21,FIND("/",G21,FIND("/",G21)+1)+1,4)),VALUE(MID(G21,FIND("/",G21)+1,FIND("/",G21,FIND("/",G21)+1)-FIND("/",G21)-1)),VALUE(LEFT(G21,FIND("/",G21)-1)))+IFERROR(TIMEVALUE(TRIM(MID(G21,FIND(" ",G21)+1,20))),0),0)))</f>
        <v/>
      </c>
      <c r="J21" s="255">
        <f>IF(H21="",0,IF(ISNUMBER(H21),H21,IFERROR(DATE(VALUE(MID(H21,FIND("/",H21,FIND("/",H21)+1)+1,4)),VALUE(MID(H21,FIND("/",H21)+1,FIND("/",H21,FIND("/",H21)+1)-FIND("/",H21)-1)),VALUE(LEFT(H21,FIND("/",H21)-1)))+IFERROR(TIMEVALUE(TRIM(MID(H21,FIND(" ",H21)+1,20))),0),0)))</f>
        <v/>
      </c>
      <c r="K21" s="256">
        <f>IF(I21=0,0,INT(I21))</f>
        <v/>
      </c>
      <c r="L21" s="257">
        <f>IF(OR(I21=0,J21=0),0,ROUND((J21-I21)*24,2))</f>
        <v/>
      </c>
      <c r="M21" s="254">
        <f>IFERROR(TRIM(MID(A21,FIND("@",SUBSTITUTE(A21,"(","@",LEN(A21)-LEN(SUBSTITUTE(A21,"(",""))))+1,FIND(")",A21,FIND("@",SUBSTITUTE(A21,"(","@",LEN(A21)-LEN(SUBSTITUTE(A21,"(","")))))-FIND("@",SUBSTITUTE(A21,"(","@",LEN(A21)-LEN(SUBSTITUTE(A21,"(",""))))-1)),"")</f>
        <v/>
      </c>
      <c r="N21" s="254">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54">
        <f>IF(C22="","",IF(ISNUMBER(C22),C22,IF(ISNUMBER(VALUE(LEFT(TRIM(C22),1))),TRIM(C22),TRIM(MID(TRIM(C22),FIND(" ",TRIM(C22))+1,99)))))</f>
        <v/>
      </c>
      <c r="H22" s="254">
        <f>IF(D22="","",IF(ISNUMBER(D22),D22,IF(ISNUMBER(VALUE(LEFT(TRIM(D22),1))),TRIM(D22),TRIM(MID(TRIM(D22),FIND(" ",TRIM(D22))+1,99)))))</f>
        <v/>
      </c>
      <c r="I22" s="255">
        <f>IF(G22="",0,IF(ISNUMBER(G22),G22,IFERROR(DATE(VALUE(MID(G22,FIND("/",G22,FIND("/",G22)+1)+1,4)),VALUE(MID(G22,FIND("/",G22)+1,FIND("/",G22,FIND("/",G22)+1)-FIND("/",G22)-1)),VALUE(LEFT(G22,FIND("/",G22)-1)))+IFERROR(TIMEVALUE(TRIM(MID(G22,FIND(" ",G22)+1,20))),0),0)))</f>
        <v/>
      </c>
      <c r="J22" s="255">
        <f>IF(H22="",0,IF(ISNUMBER(H22),H22,IFERROR(DATE(VALUE(MID(H22,FIND("/",H22,FIND("/",H22)+1)+1,4)),VALUE(MID(H22,FIND("/",H22)+1,FIND("/",H22,FIND("/",H22)+1)-FIND("/",H22)-1)),VALUE(LEFT(H22,FIND("/",H22)-1)))+IFERROR(TIMEVALUE(TRIM(MID(H22,FIND(" ",H22)+1,20))),0),0)))</f>
        <v/>
      </c>
      <c r="K22" s="256">
        <f>IF(I22=0,0,INT(I22))</f>
        <v/>
      </c>
      <c r="L22" s="257">
        <f>IF(OR(I22=0,J22=0),0,ROUND((J22-I22)*24,2))</f>
        <v/>
      </c>
      <c r="M22" s="254">
        <f>IFERROR(TRIM(MID(A22,FIND("@",SUBSTITUTE(A22,"(","@",LEN(A22)-LEN(SUBSTITUTE(A22,"(",""))))+1,FIND(")",A22,FIND("@",SUBSTITUTE(A22,"(","@",LEN(A22)-LEN(SUBSTITUTE(A22,"(","")))))-FIND("@",SUBSTITUTE(A22,"(","@",LEN(A22)-LEN(SUBSTITUTE(A22,"(",""))))-1)),"")</f>
        <v/>
      </c>
      <c r="N22" s="254">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54">
        <f>IF(C23="","",IF(ISNUMBER(C23),C23,IF(ISNUMBER(VALUE(LEFT(TRIM(C23),1))),TRIM(C23),TRIM(MID(TRIM(C23),FIND(" ",TRIM(C23))+1,99)))))</f>
        <v/>
      </c>
      <c r="H23" s="254">
        <f>IF(D23="","",IF(ISNUMBER(D23),D23,IF(ISNUMBER(VALUE(LEFT(TRIM(D23),1))),TRIM(D23),TRIM(MID(TRIM(D23),FIND(" ",TRIM(D23))+1,99)))))</f>
        <v/>
      </c>
      <c r="I23" s="255">
        <f>IF(G23="",0,IF(ISNUMBER(G23),G23,IFERROR(DATE(VALUE(MID(G23,FIND("/",G23,FIND("/",G23)+1)+1,4)),VALUE(MID(G23,FIND("/",G23)+1,FIND("/",G23,FIND("/",G23)+1)-FIND("/",G23)-1)),VALUE(LEFT(G23,FIND("/",G23)-1)))+IFERROR(TIMEVALUE(TRIM(MID(G23,FIND(" ",G23)+1,20))),0),0)))</f>
        <v/>
      </c>
      <c r="J23" s="255">
        <f>IF(H23="",0,IF(ISNUMBER(H23),H23,IFERROR(DATE(VALUE(MID(H23,FIND("/",H23,FIND("/",H23)+1)+1,4)),VALUE(MID(H23,FIND("/",H23)+1,FIND("/",H23,FIND("/",H23)+1)-FIND("/",H23)-1)),VALUE(LEFT(H23,FIND("/",H23)-1)))+IFERROR(TIMEVALUE(TRIM(MID(H23,FIND(" ",H23)+1,20))),0),0)))</f>
        <v/>
      </c>
      <c r="K23" s="256">
        <f>IF(I23=0,0,INT(I23))</f>
        <v/>
      </c>
      <c r="L23" s="257">
        <f>IF(OR(I23=0,J23=0),0,ROUND((J23-I23)*24,2))</f>
        <v/>
      </c>
      <c r="M23" s="254">
        <f>IFERROR(TRIM(MID(A23,FIND("@",SUBSTITUTE(A23,"(","@",LEN(A23)-LEN(SUBSTITUTE(A23,"(",""))))+1,FIND(")",A23,FIND("@",SUBSTITUTE(A23,"(","@",LEN(A23)-LEN(SUBSTITUTE(A23,"(","")))))-FIND("@",SUBSTITUTE(A23,"(","@",LEN(A23)-LEN(SUBSTITUTE(A23,"(",""))))-1)),"")</f>
        <v/>
      </c>
      <c r="N23" s="254">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54">
        <f>IF(C24="","",IF(ISNUMBER(C24),C24,IF(ISNUMBER(VALUE(LEFT(TRIM(C24),1))),TRIM(C24),TRIM(MID(TRIM(C24),FIND(" ",TRIM(C24))+1,99)))))</f>
        <v/>
      </c>
      <c r="H24" s="254">
        <f>IF(D24="","",IF(ISNUMBER(D24),D24,IF(ISNUMBER(VALUE(LEFT(TRIM(D24),1))),TRIM(D24),TRIM(MID(TRIM(D24),FIND(" ",TRIM(D24))+1,99)))))</f>
        <v/>
      </c>
      <c r="I24" s="255">
        <f>IF(G24="",0,IF(ISNUMBER(G24),G24,IFERROR(DATE(VALUE(MID(G24,FIND("/",G24,FIND("/",G24)+1)+1,4)),VALUE(MID(G24,FIND("/",G24)+1,FIND("/",G24,FIND("/",G24)+1)-FIND("/",G24)-1)),VALUE(LEFT(G24,FIND("/",G24)-1)))+IFERROR(TIMEVALUE(TRIM(MID(G24,FIND(" ",G24)+1,20))),0),0)))</f>
        <v/>
      </c>
      <c r="J24" s="255">
        <f>IF(H24="",0,IF(ISNUMBER(H24),H24,IFERROR(DATE(VALUE(MID(H24,FIND("/",H24,FIND("/",H24)+1)+1,4)),VALUE(MID(H24,FIND("/",H24)+1,FIND("/",H24,FIND("/",H24)+1)-FIND("/",H24)-1)),VALUE(LEFT(H24,FIND("/",H24)-1)))+IFERROR(TIMEVALUE(TRIM(MID(H24,FIND(" ",H24)+1,20))),0),0)))</f>
        <v/>
      </c>
      <c r="K24" s="256">
        <f>IF(I24=0,0,INT(I24))</f>
        <v/>
      </c>
      <c r="L24" s="257">
        <f>IF(OR(I24=0,J24=0),0,ROUND((J24-I24)*24,2))</f>
        <v/>
      </c>
      <c r="M24" s="254">
        <f>IFERROR(TRIM(MID(A24,FIND("@",SUBSTITUTE(A24,"(","@",LEN(A24)-LEN(SUBSTITUTE(A24,"(",""))))+1,FIND(")",A24,FIND("@",SUBSTITUTE(A24,"(","@",LEN(A24)-LEN(SUBSTITUTE(A24,"(","")))))-FIND("@",SUBSTITUTE(A24,"(","@",LEN(A24)-LEN(SUBSTITUTE(A24,"(",""))))-1)),"")</f>
        <v/>
      </c>
      <c r="N24" s="254">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54">
        <f>IF(C25="","",IF(ISNUMBER(C25),C25,IF(ISNUMBER(VALUE(LEFT(TRIM(C25),1))),TRIM(C25),TRIM(MID(TRIM(C25),FIND(" ",TRIM(C25))+1,99)))))</f>
        <v/>
      </c>
      <c r="H25" s="254">
        <f>IF(D25="","",IF(ISNUMBER(D25),D25,IF(ISNUMBER(VALUE(LEFT(TRIM(D25),1))),TRIM(D25),TRIM(MID(TRIM(D25),FIND(" ",TRIM(D25))+1,99)))))</f>
        <v/>
      </c>
      <c r="I25" s="255">
        <f>IF(G25="",0,IF(ISNUMBER(G25),G25,IFERROR(DATE(VALUE(MID(G25,FIND("/",G25,FIND("/",G25)+1)+1,4)),VALUE(MID(G25,FIND("/",G25)+1,FIND("/",G25,FIND("/",G25)+1)-FIND("/",G25)-1)),VALUE(LEFT(G25,FIND("/",G25)-1)))+IFERROR(TIMEVALUE(TRIM(MID(G25,FIND(" ",G25)+1,20))),0),0)))</f>
        <v/>
      </c>
      <c r="J25" s="255">
        <f>IF(H25="",0,IF(ISNUMBER(H25),H25,IFERROR(DATE(VALUE(MID(H25,FIND("/",H25,FIND("/",H25)+1)+1,4)),VALUE(MID(H25,FIND("/",H25)+1,FIND("/",H25,FIND("/",H25)+1)-FIND("/",H25)-1)),VALUE(LEFT(H25,FIND("/",H25)-1)))+IFERROR(TIMEVALUE(TRIM(MID(H25,FIND(" ",H25)+1,20))),0),0)))</f>
        <v/>
      </c>
      <c r="K25" s="256">
        <f>IF(I25=0,0,INT(I25))</f>
        <v/>
      </c>
      <c r="L25" s="257">
        <f>IF(OR(I25=0,J25=0),0,ROUND((J25-I25)*24,2))</f>
        <v/>
      </c>
      <c r="M25" s="254">
        <f>IFERROR(TRIM(MID(A25,FIND("@",SUBSTITUTE(A25,"(","@",LEN(A25)-LEN(SUBSTITUTE(A25,"(",""))))+1,FIND(")",A25,FIND("@",SUBSTITUTE(A25,"(","@",LEN(A25)-LEN(SUBSTITUTE(A25,"(","")))))-FIND("@",SUBSTITUTE(A25,"(","@",LEN(A25)-LEN(SUBSTITUTE(A25,"(",""))))-1)),"")</f>
        <v/>
      </c>
      <c r="N25" s="254">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54">
        <f>IF(C26="","",IF(ISNUMBER(C26),C26,IF(ISNUMBER(VALUE(LEFT(TRIM(C26),1))),TRIM(C26),TRIM(MID(TRIM(C26),FIND(" ",TRIM(C26))+1,99)))))</f>
        <v/>
      </c>
      <c r="H26" s="254">
        <f>IF(D26="","",IF(ISNUMBER(D26),D26,IF(ISNUMBER(VALUE(LEFT(TRIM(D26),1))),TRIM(D26),TRIM(MID(TRIM(D26),FIND(" ",TRIM(D26))+1,99)))))</f>
        <v/>
      </c>
      <c r="I26" s="255">
        <f>IF(G26="",0,IF(ISNUMBER(G26),G26,IFERROR(DATE(VALUE(MID(G26,FIND("/",G26,FIND("/",G26)+1)+1,4)),VALUE(MID(G26,FIND("/",G26)+1,FIND("/",G26,FIND("/",G26)+1)-FIND("/",G26)-1)),VALUE(LEFT(G26,FIND("/",G26)-1)))+IFERROR(TIMEVALUE(TRIM(MID(G26,FIND(" ",G26)+1,20))),0),0)))</f>
        <v/>
      </c>
      <c r="J26" s="255">
        <f>IF(H26="",0,IF(ISNUMBER(H26),H26,IFERROR(DATE(VALUE(MID(H26,FIND("/",H26,FIND("/",H26)+1)+1,4)),VALUE(MID(H26,FIND("/",H26)+1,FIND("/",H26,FIND("/",H26)+1)-FIND("/",H26)-1)),VALUE(LEFT(H26,FIND("/",H26)-1)))+IFERROR(TIMEVALUE(TRIM(MID(H26,FIND(" ",H26)+1,20))),0),0)))</f>
        <v/>
      </c>
      <c r="K26" s="256">
        <f>IF(I26=0,0,INT(I26))</f>
        <v/>
      </c>
      <c r="L26" s="257">
        <f>IF(OR(I26=0,J26=0),0,ROUND((J26-I26)*24,2))</f>
        <v/>
      </c>
      <c r="M26" s="254">
        <f>IFERROR(TRIM(MID(A26,FIND("@",SUBSTITUTE(A26,"(","@",LEN(A26)-LEN(SUBSTITUTE(A26,"(",""))))+1,FIND(")",A26,FIND("@",SUBSTITUTE(A26,"(","@",LEN(A26)-LEN(SUBSTITUTE(A26,"(","")))))-FIND("@",SUBSTITUTE(A26,"(","@",LEN(A26)-LEN(SUBSTITUTE(A26,"(",""))))-1)),"")</f>
        <v/>
      </c>
      <c r="N26" s="254">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54">
        <f>IF(C27="","",IF(ISNUMBER(C27),C27,IF(ISNUMBER(VALUE(LEFT(TRIM(C27),1))),TRIM(C27),TRIM(MID(TRIM(C27),FIND(" ",TRIM(C27))+1,99)))))</f>
        <v/>
      </c>
      <c r="H27" s="254">
        <f>IF(D27="","",IF(ISNUMBER(D27),D27,IF(ISNUMBER(VALUE(LEFT(TRIM(D27),1))),TRIM(D27),TRIM(MID(TRIM(D27),FIND(" ",TRIM(D27))+1,99)))))</f>
        <v/>
      </c>
      <c r="I27" s="255">
        <f>IF(G27="",0,IF(ISNUMBER(G27),G27,IFERROR(DATE(VALUE(MID(G27,FIND("/",G27,FIND("/",G27)+1)+1,4)),VALUE(MID(G27,FIND("/",G27)+1,FIND("/",G27,FIND("/",G27)+1)-FIND("/",G27)-1)),VALUE(LEFT(G27,FIND("/",G27)-1)))+IFERROR(TIMEVALUE(TRIM(MID(G27,FIND(" ",G27)+1,20))),0),0)))</f>
        <v/>
      </c>
      <c r="J27" s="255">
        <f>IF(H27="",0,IF(ISNUMBER(H27),H27,IFERROR(DATE(VALUE(MID(H27,FIND("/",H27,FIND("/",H27)+1)+1,4)),VALUE(MID(H27,FIND("/",H27)+1,FIND("/",H27,FIND("/",H27)+1)-FIND("/",H27)-1)),VALUE(LEFT(H27,FIND("/",H27)-1)))+IFERROR(TIMEVALUE(TRIM(MID(H27,FIND(" ",H27)+1,20))),0),0)))</f>
        <v/>
      </c>
      <c r="K27" s="256">
        <f>IF(I27=0,0,INT(I27))</f>
        <v/>
      </c>
      <c r="L27" s="257">
        <f>IF(OR(I27=0,J27=0),0,ROUND((J27-I27)*24,2))</f>
        <v/>
      </c>
      <c r="M27" s="254">
        <f>IFERROR(TRIM(MID(A27,FIND("@",SUBSTITUTE(A27,"(","@",LEN(A27)-LEN(SUBSTITUTE(A27,"(",""))))+1,FIND(")",A27,FIND("@",SUBSTITUTE(A27,"(","@",LEN(A27)-LEN(SUBSTITUTE(A27,"(","")))))-FIND("@",SUBSTITUTE(A27,"(","@",LEN(A27)-LEN(SUBSTITUTE(A27,"(",""))))-1)),"")</f>
        <v/>
      </c>
      <c r="N27" s="254">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54">
        <f>IF(C28="","",IF(ISNUMBER(C28),C28,IF(ISNUMBER(VALUE(LEFT(TRIM(C28),1))),TRIM(C28),TRIM(MID(TRIM(C28),FIND(" ",TRIM(C28))+1,99)))))</f>
        <v/>
      </c>
      <c r="H28" s="254">
        <f>IF(D28="","",IF(ISNUMBER(D28),D28,IF(ISNUMBER(VALUE(LEFT(TRIM(D28),1))),TRIM(D28),TRIM(MID(TRIM(D28),FIND(" ",TRIM(D28))+1,99)))))</f>
        <v/>
      </c>
      <c r="I28" s="255">
        <f>IF(G28="",0,IF(ISNUMBER(G28),G28,IFERROR(DATE(VALUE(MID(G28,FIND("/",G28,FIND("/",G28)+1)+1,4)),VALUE(MID(G28,FIND("/",G28)+1,FIND("/",G28,FIND("/",G28)+1)-FIND("/",G28)-1)),VALUE(LEFT(G28,FIND("/",G28)-1)))+IFERROR(TIMEVALUE(TRIM(MID(G28,FIND(" ",G28)+1,20))),0),0)))</f>
        <v/>
      </c>
      <c r="J28" s="255">
        <f>IF(H28="",0,IF(ISNUMBER(H28),H28,IFERROR(DATE(VALUE(MID(H28,FIND("/",H28,FIND("/",H28)+1)+1,4)),VALUE(MID(H28,FIND("/",H28)+1,FIND("/",H28,FIND("/",H28)+1)-FIND("/",H28)-1)),VALUE(LEFT(H28,FIND("/",H28)-1)))+IFERROR(TIMEVALUE(TRIM(MID(H28,FIND(" ",H28)+1,20))),0),0)))</f>
        <v/>
      </c>
      <c r="K28" s="256">
        <f>IF(I28=0,0,INT(I28))</f>
        <v/>
      </c>
      <c r="L28" s="257">
        <f>IF(OR(I28=0,J28=0),0,ROUND((J28-I28)*24,2))</f>
        <v/>
      </c>
      <c r="M28" s="254">
        <f>IFERROR(TRIM(MID(A28,FIND("@",SUBSTITUTE(A28,"(","@",LEN(A28)-LEN(SUBSTITUTE(A28,"(",""))))+1,FIND(")",A28,FIND("@",SUBSTITUTE(A28,"(","@",LEN(A28)-LEN(SUBSTITUTE(A28,"(","")))))-FIND("@",SUBSTITUTE(A28,"(","@",LEN(A28)-LEN(SUBSTITUTE(A28,"(",""))))-1)),"")</f>
        <v/>
      </c>
      <c r="N28" s="254">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54">
        <f>IF(C29="","",IF(ISNUMBER(C29),C29,IF(ISNUMBER(VALUE(LEFT(TRIM(C29),1))),TRIM(C29),TRIM(MID(TRIM(C29),FIND(" ",TRIM(C29))+1,99)))))</f>
        <v/>
      </c>
      <c r="H29" s="254">
        <f>IF(D29="","",IF(ISNUMBER(D29),D29,IF(ISNUMBER(VALUE(LEFT(TRIM(D29),1))),TRIM(D29),TRIM(MID(TRIM(D29),FIND(" ",TRIM(D29))+1,99)))))</f>
        <v/>
      </c>
      <c r="I29" s="255">
        <f>IF(G29="",0,IF(ISNUMBER(G29),G29,IFERROR(DATE(VALUE(MID(G29,FIND("/",G29,FIND("/",G29)+1)+1,4)),VALUE(MID(G29,FIND("/",G29)+1,FIND("/",G29,FIND("/",G29)+1)-FIND("/",G29)-1)),VALUE(LEFT(G29,FIND("/",G29)-1)))+IFERROR(TIMEVALUE(TRIM(MID(G29,FIND(" ",G29)+1,20))),0),0)))</f>
        <v/>
      </c>
      <c r="J29" s="255">
        <f>IF(H29="",0,IF(ISNUMBER(H29),H29,IFERROR(DATE(VALUE(MID(H29,FIND("/",H29,FIND("/",H29)+1)+1,4)),VALUE(MID(H29,FIND("/",H29)+1,FIND("/",H29,FIND("/",H29)+1)-FIND("/",H29)-1)),VALUE(LEFT(H29,FIND("/",H29)-1)))+IFERROR(TIMEVALUE(TRIM(MID(H29,FIND(" ",H29)+1,20))),0),0)))</f>
        <v/>
      </c>
      <c r="K29" s="256">
        <f>IF(I29=0,0,INT(I29))</f>
        <v/>
      </c>
      <c r="L29" s="257">
        <f>IF(OR(I29=0,J29=0),0,ROUND((J29-I29)*24,2))</f>
        <v/>
      </c>
      <c r="M29" s="254">
        <f>IFERROR(TRIM(MID(A29,FIND("@",SUBSTITUTE(A29,"(","@",LEN(A29)-LEN(SUBSTITUTE(A29,"(",""))))+1,FIND(")",A29,FIND("@",SUBSTITUTE(A29,"(","@",LEN(A29)-LEN(SUBSTITUTE(A29,"(","")))))-FIND("@",SUBSTITUTE(A29,"(","@",LEN(A29)-LEN(SUBSTITUTE(A29,"(",""))))-1)),"")</f>
        <v/>
      </c>
      <c r="N29" s="254">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54">
        <f>IF(C30="","",IF(ISNUMBER(C30),C30,IF(ISNUMBER(VALUE(LEFT(TRIM(C30),1))),TRIM(C30),TRIM(MID(TRIM(C30),FIND(" ",TRIM(C30))+1,99)))))</f>
        <v/>
      </c>
      <c r="H30" s="254">
        <f>IF(D30="","",IF(ISNUMBER(D30),D30,IF(ISNUMBER(VALUE(LEFT(TRIM(D30),1))),TRIM(D30),TRIM(MID(TRIM(D30),FIND(" ",TRIM(D30))+1,99)))))</f>
        <v/>
      </c>
      <c r="I30" s="255">
        <f>IF(G30="",0,IF(ISNUMBER(G30),G30,IFERROR(DATE(VALUE(MID(G30,FIND("/",G30,FIND("/",G30)+1)+1,4)),VALUE(MID(G30,FIND("/",G30)+1,FIND("/",G30,FIND("/",G30)+1)-FIND("/",G30)-1)),VALUE(LEFT(G30,FIND("/",G30)-1)))+IFERROR(TIMEVALUE(TRIM(MID(G30,FIND(" ",G30)+1,20))),0),0)))</f>
        <v/>
      </c>
      <c r="J30" s="255">
        <f>IF(H30="",0,IF(ISNUMBER(H30),H30,IFERROR(DATE(VALUE(MID(H30,FIND("/",H30,FIND("/",H30)+1)+1,4)),VALUE(MID(H30,FIND("/",H30)+1,FIND("/",H30,FIND("/",H30)+1)-FIND("/",H30)-1)),VALUE(LEFT(H30,FIND("/",H30)-1)))+IFERROR(TIMEVALUE(TRIM(MID(H30,FIND(" ",H30)+1,20))),0),0)))</f>
        <v/>
      </c>
      <c r="K30" s="256">
        <f>IF(I30=0,0,INT(I30))</f>
        <v/>
      </c>
      <c r="L30" s="257">
        <f>IF(OR(I30=0,J30=0),0,ROUND((J30-I30)*24,2))</f>
        <v/>
      </c>
      <c r="M30" s="254">
        <f>IFERROR(TRIM(MID(A30,FIND("@",SUBSTITUTE(A30,"(","@",LEN(A30)-LEN(SUBSTITUTE(A30,"(",""))))+1,FIND(")",A30,FIND("@",SUBSTITUTE(A30,"(","@",LEN(A30)-LEN(SUBSTITUTE(A30,"(","")))))-FIND("@",SUBSTITUTE(A30,"(","@",LEN(A30)-LEN(SUBSTITUTE(A30,"(",""))))-1)),"")</f>
        <v/>
      </c>
      <c r="N30" s="254">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54">
        <f>IF(C31="","",IF(ISNUMBER(C31),C31,IF(ISNUMBER(VALUE(LEFT(TRIM(C31),1))),TRIM(C31),TRIM(MID(TRIM(C31),FIND(" ",TRIM(C31))+1,99)))))</f>
        <v/>
      </c>
      <c r="H31" s="254">
        <f>IF(D31="","",IF(ISNUMBER(D31),D31,IF(ISNUMBER(VALUE(LEFT(TRIM(D31),1))),TRIM(D31),TRIM(MID(TRIM(D31),FIND(" ",TRIM(D31))+1,99)))))</f>
        <v/>
      </c>
      <c r="I31" s="255">
        <f>IF(G31="",0,IF(ISNUMBER(G31),G31,IFERROR(DATE(VALUE(MID(G31,FIND("/",G31,FIND("/",G31)+1)+1,4)),VALUE(MID(G31,FIND("/",G31)+1,FIND("/",G31,FIND("/",G31)+1)-FIND("/",G31)-1)),VALUE(LEFT(G31,FIND("/",G31)-1)))+IFERROR(TIMEVALUE(TRIM(MID(G31,FIND(" ",G31)+1,20))),0),0)))</f>
        <v/>
      </c>
      <c r="J31" s="255">
        <f>IF(H31="",0,IF(ISNUMBER(H31),H31,IFERROR(DATE(VALUE(MID(H31,FIND("/",H31,FIND("/",H31)+1)+1,4)),VALUE(MID(H31,FIND("/",H31)+1,FIND("/",H31,FIND("/",H31)+1)-FIND("/",H31)-1)),VALUE(LEFT(H31,FIND("/",H31)-1)))+IFERROR(TIMEVALUE(TRIM(MID(H31,FIND(" ",H31)+1,20))),0),0)))</f>
        <v/>
      </c>
      <c r="K31" s="256">
        <f>IF(I31=0,0,INT(I31))</f>
        <v/>
      </c>
      <c r="L31" s="257">
        <f>IF(OR(I31=0,J31=0),0,ROUND((J31-I31)*24,2))</f>
        <v/>
      </c>
      <c r="M31" s="254">
        <f>IFERROR(TRIM(MID(A31,FIND("@",SUBSTITUTE(A31,"(","@",LEN(A31)-LEN(SUBSTITUTE(A31,"(",""))))+1,FIND(")",A31,FIND("@",SUBSTITUTE(A31,"(","@",LEN(A31)-LEN(SUBSTITUTE(A31,"(","")))))-FIND("@",SUBSTITUTE(A31,"(","@",LEN(A31)-LEN(SUBSTITUTE(A31,"(",""))))-1)),"")</f>
        <v/>
      </c>
      <c r="N31" s="254">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54">
        <f>IF(C32="","",IF(ISNUMBER(C32),C32,IF(ISNUMBER(VALUE(LEFT(TRIM(C32),1))),TRIM(C32),TRIM(MID(TRIM(C32),FIND(" ",TRIM(C32))+1,99)))))</f>
        <v/>
      </c>
      <c r="H32" s="254">
        <f>IF(D32="","",IF(ISNUMBER(D32),D32,IF(ISNUMBER(VALUE(LEFT(TRIM(D32),1))),TRIM(D32),TRIM(MID(TRIM(D32),FIND(" ",TRIM(D32))+1,99)))))</f>
        <v/>
      </c>
      <c r="I32" s="255">
        <f>IF(G32="",0,IF(ISNUMBER(G32),G32,IFERROR(DATE(VALUE(MID(G32,FIND("/",G32,FIND("/",G32)+1)+1,4)),VALUE(MID(G32,FIND("/",G32)+1,FIND("/",G32,FIND("/",G32)+1)-FIND("/",G32)-1)),VALUE(LEFT(G32,FIND("/",G32)-1)))+IFERROR(TIMEVALUE(TRIM(MID(G32,FIND(" ",G32)+1,20))),0),0)))</f>
        <v/>
      </c>
      <c r="J32" s="255">
        <f>IF(H32="",0,IF(ISNUMBER(H32),H32,IFERROR(DATE(VALUE(MID(H32,FIND("/",H32,FIND("/",H32)+1)+1,4)),VALUE(MID(H32,FIND("/",H32)+1,FIND("/",H32,FIND("/",H32)+1)-FIND("/",H32)-1)),VALUE(LEFT(H32,FIND("/",H32)-1)))+IFERROR(TIMEVALUE(TRIM(MID(H32,FIND(" ",H32)+1,20))),0),0)))</f>
        <v/>
      </c>
      <c r="K32" s="256">
        <f>IF(I32=0,0,INT(I32))</f>
        <v/>
      </c>
      <c r="L32" s="257">
        <f>IF(OR(I32=0,J32=0),0,ROUND((J32-I32)*24,2))</f>
        <v/>
      </c>
      <c r="M32" s="254">
        <f>IFERROR(TRIM(MID(A32,FIND("@",SUBSTITUTE(A32,"(","@",LEN(A32)-LEN(SUBSTITUTE(A32,"(",""))))+1,FIND(")",A32,FIND("@",SUBSTITUTE(A32,"(","@",LEN(A32)-LEN(SUBSTITUTE(A32,"(","")))))-FIND("@",SUBSTITUTE(A32,"(","@",LEN(A32)-LEN(SUBSTITUTE(A32,"(",""))))-1)),"")</f>
        <v/>
      </c>
      <c r="N32" s="254">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54">
        <f>IF(C33="","",IF(ISNUMBER(C33),C33,IF(ISNUMBER(VALUE(LEFT(TRIM(C33),1))),TRIM(C33),TRIM(MID(TRIM(C33),FIND(" ",TRIM(C33))+1,99)))))</f>
        <v/>
      </c>
      <c r="H33" s="254">
        <f>IF(D33="","",IF(ISNUMBER(D33),D33,IF(ISNUMBER(VALUE(LEFT(TRIM(D33),1))),TRIM(D33),TRIM(MID(TRIM(D33),FIND(" ",TRIM(D33))+1,99)))))</f>
        <v/>
      </c>
      <c r="I33" s="255">
        <f>IF(G33="",0,IF(ISNUMBER(G33),G33,IFERROR(DATE(VALUE(MID(G33,FIND("/",G33,FIND("/",G33)+1)+1,4)),VALUE(MID(G33,FIND("/",G33)+1,FIND("/",G33,FIND("/",G33)+1)-FIND("/",G33)-1)),VALUE(LEFT(G33,FIND("/",G33)-1)))+IFERROR(TIMEVALUE(TRIM(MID(G33,FIND(" ",G33)+1,20))),0),0)))</f>
        <v/>
      </c>
      <c r="J33" s="255">
        <f>IF(H33="",0,IF(ISNUMBER(H33),H33,IFERROR(DATE(VALUE(MID(H33,FIND("/",H33,FIND("/",H33)+1)+1,4)),VALUE(MID(H33,FIND("/",H33)+1,FIND("/",H33,FIND("/",H33)+1)-FIND("/",H33)-1)),VALUE(LEFT(H33,FIND("/",H33)-1)))+IFERROR(TIMEVALUE(TRIM(MID(H33,FIND(" ",H33)+1,20))),0),0)))</f>
        <v/>
      </c>
      <c r="K33" s="256">
        <f>IF(I33=0,0,INT(I33))</f>
        <v/>
      </c>
      <c r="L33" s="257">
        <f>IF(OR(I33=0,J33=0),0,ROUND((J33-I33)*24,2))</f>
        <v/>
      </c>
      <c r="M33" s="254">
        <f>IFERROR(TRIM(MID(A33,FIND("@",SUBSTITUTE(A33,"(","@",LEN(A33)-LEN(SUBSTITUTE(A33,"(",""))))+1,FIND(")",A33,FIND("@",SUBSTITUTE(A33,"(","@",LEN(A33)-LEN(SUBSTITUTE(A33,"(","")))))-FIND("@",SUBSTITUTE(A33,"(","@",LEN(A33)-LEN(SUBSTITUTE(A33,"(",""))))-1)),"")</f>
        <v/>
      </c>
      <c r="N33" s="254">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54">
        <f>IF(C34="","",IF(ISNUMBER(C34),C34,IF(ISNUMBER(VALUE(LEFT(TRIM(C34),1))),TRIM(C34),TRIM(MID(TRIM(C34),FIND(" ",TRIM(C34))+1,99)))))</f>
        <v/>
      </c>
      <c r="H34" s="254">
        <f>IF(D34="","",IF(ISNUMBER(D34),D34,IF(ISNUMBER(VALUE(LEFT(TRIM(D34),1))),TRIM(D34),TRIM(MID(TRIM(D34),FIND(" ",TRIM(D34))+1,99)))))</f>
        <v/>
      </c>
      <c r="I34" s="255">
        <f>IF(G34="",0,IF(ISNUMBER(G34),G34,IFERROR(DATE(VALUE(MID(G34,FIND("/",G34,FIND("/",G34)+1)+1,4)),VALUE(MID(G34,FIND("/",G34)+1,FIND("/",G34,FIND("/",G34)+1)-FIND("/",G34)-1)),VALUE(LEFT(G34,FIND("/",G34)-1)))+IFERROR(TIMEVALUE(TRIM(MID(G34,FIND(" ",G34)+1,20))),0),0)))</f>
        <v/>
      </c>
      <c r="J34" s="255">
        <f>IF(H34="",0,IF(ISNUMBER(H34),H34,IFERROR(DATE(VALUE(MID(H34,FIND("/",H34,FIND("/",H34)+1)+1,4)),VALUE(MID(H34,FIND("/",H34)+1,FIND("/",H34,FIND("/",H34)+1)-FIND("/",H34)-1)),VALUE(LEFT(H34,FIND("/",H34)-1)))+IFERROR(TIMEVALUE(TRIM(MID(H34,FIND(" ",H34)+1,20))),0),0)))</f>
        <v/>
      </c>
      <c r="K34" s="256">
        <f>IF(I34=0,0,INT(I34))</f>
        <v/>
      </c>
      <c r="L34" s="257">
        <f>IF(OR(I34=0,J34=0),0,ROUND((J34-I34)*24,2))</f>
        <v/>
      </c>
      <c r="M34" s="254">
        <f>IFERROR(TRIM(MID(A34,FIND("@",SUBSTITUTE(A34,"(","@",LEN(A34)-LEN(SUBSTITUTE(A34,"(",""))))+1,FIND(")",A34,FIND("@",SUBSTITUTE(A34,"(","@",LEN(A34)-LEN(SUBSTITUTE(A34,"(","")))))-FIND("@",SUBSTITUTE(A34,"(","@",LEN(A34)-LEN(SUBSTITUTE(A34,"(",""))))-1)),"")</f>
        <v/>
      </c>
      <c r="N34" s="254">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54">
        <f>IF(C35="","",IF(ISNUMBER(C35),C35,IF(ISNUMBER(VALUE(LEFT(TRIM(C35),1))),TRIM(C35),TRIM(MID(TRIM(C35),FIND(" ",TRIM(C35))+1,99)))))</f>
        <v/>
      </c>
      <c r="H35" s="254">
        <f>IF(D35="","",IF(ISNUMBER(D35),D35,IF(ISNUMBER(VALUE(LEFT(TRIM(D35),1))),TRIM(D35),TRIM(MID(TRIM(D35),FIND(" ",TRIM(D35))+1,99)))))</f>
        <v/>
      </c>
      <c r="I35" s="255">
        <f>IF(G35="",0,IF(ISNUMBER(G35),G35,IFERROR(DATE(VALUE(MID(G35,FIND("/",G35,FIND("/",G35)+1)+1,4)),VALUE(MID(G35,FIND("/",G35)+1,FIND("/",G35,FIND("/",G35)+1)-FIND("/",G35)-1)),VALUE(LEFT(G35,FIND("/",G35)-1)))+IFERROR(TIMEVALUE(TRIM(MID(G35,FIND(" ",G35)+1,20))),0),0)))</f>
        <v/>
      </c>
      <c r="J35" s="255">
        <f>IF(H35="",0,IF(ISNUMBER(H35),H35,IFERROR(DATE(VALUE(MID(H35,FIND("/",H35,FIND("/",H35)+1)+1,4)),VALUE(MID(H35,FIND("/",H35)+1,FIND("/",H35,FIND("/",H35)+1)-FIND("/",H35)-1)),VALUE(LEFT(H35,FIND("/",H35)-1)))+IFERROR(TIMEVALUE(TRIM(MID(H35,FIND(" ",H35)+1,20))),0),0)))</f>
        <v/>
      </c>
      <c r="K35" s="256">
        <f>IF(I35=0,0,INT(I35))</f>
        <v/>
      </c>
      <c r="L35" s="257">
        <f>IF(OR(I35=0,J35=0),0,ROUND((J35-I35)*24,2))</f>
        <v/>
      </c>
      <c r="M35" s="254">
        <f>IFERROR(TRIM(MID(A35,FIND("@",SUBSTITUTE(A35,"(","@",LEN(A35)-LEN(SUBSTITUTE(A35,"(",""))))+1,FIND(")",A35,FIND("@",SUBSTITUTE(A35,"(","@",LEN(A35)-LEN(SUBSTITUTE(A35,"(","")))))-FIND("@",SUBSTITUTE(A35,"(","@",LEN(A35)-LEN(SUBSTITUTE(A35,"(",""))))-1)),"")</f>
        <v/>
      </c>
      <c r="N35" s="254">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54">
        <f>IF(C36="","",IF(ISNUMBER(C36),C36,IF(ISNUMBER(VALUE(LEFT(TRIM(C36),1))),TRIM(C36),TRIM(MID(TRIM(C36),FIND(" ",TRIM(C36))+1,99)))))</f>
        <v/>
      </c>
      <c r="H36" s="254">
        <f>IF(D36="","",IF(ISNUMBER(D36),D36,IF(ISNUMBER(VALUE(LEFT(TRIM(D36),1))),TRIM(D36),TRIM(MID(TRIM(D36),FIND(" ",TRIM(D36))+1,99)))))</f>
        <v/>
      </c>
      <c r="I36" s="255">
        <f>IF(G36="",0,IF(ISNUMBER(G36),G36,IFERROR(DATE(VALUE(MID(G36,FIND("/",G36,FIND("/",G36)+1)+1,4)),VALUE(MID(G36,FIND("/",G36)+1,FIND("/",G36,FIND("/",G36)+1)-FIND("/",G36)-1)),VALUE(LEFT(G36,FIND("/",G36)-1)))+IFERROR(TIMEVALUE(TRIM(MID(G36,FIND(" ",G36)+1,20))),0),0)))</f>
        <v/>
      </c>
      <c r="J36" s="255">
        <f>IF(H36="",0,IF(ISNUMBER(H36),H36,IFERROR(DATE(VALUE(MID(H36,FIND("/",H36,FIND("/",H36)+1)+1,4)),VALUE(MID(H36,FIND("/",H36)+1,FIND("/",H36,FIND("/",H36)+1)-FIND("/",H36)-1)),VALUE(LEFT(H36,FIND("/",H36)-1)))+IFERROR(TIMEVALUE(TRIM(MID(H36,FIND(" ",H36)+1,20))),0),0)))</f>
        <v/>
      </c>
      <c r="K36" s="256">
        <f>IF(I36=0,0,INT(I36))</f>
        <v/>
      </c>
      <c r="L36" s="257">
        <f>IF(OR(I36=0,J36=0),0,ROUND((J36-I36)*24,2))</f>
        <v/>
      </c>
      <c r="M36" s="254">
        <f>IFERROR(TRIM(MID(A36,FIND("@",SUBSTITUTE(A36,"(","@",LEN(A36)-LEN(SUBSTITUTE(A36,"(",""))))+1,FIND(")",A36,FIND("@",SUBSTITUTE(A36,"(","@",LEN(A36)-LEN(SUBSTITUTE(A36,"(","")))))-FIND("@",SUBSTITUTE(A36,"(","@",LEN(A36)-LEN(SUBSTITUTE(A36,"(",""))))-1)),"")</f>
        <v/>
      </c>
      <c r="N36" s="254">
        <f>IF(A36="","",IF(LEFT(TRIM(A36),5)="Leave","Leave",IF(OR(ISNUMBER(SEARCH("public holiday",A36)),ISNUMBER(SEARCH("Purple",E36))),"Public holiday","Event")))</f>
        <v/>
      </c>
    </row>
    <row r="37">
      <c r="G37" s="254">
        <f>IF(C37="","",IF(ISNUMBER(C37),C37,IF(ISNUMBER(VALUE(LEFT(TRIM(C37),1))),TRIM(C37),TRIM(MID(TRIM(C37),FIND(" ",TRIM(C37))+1,99)))))</f>
        <v/>
      </c>
      <c r="H37" s="254">
        <f>IF(D37="","",IF(ISNUMBER(D37),D37,IF(ISNUMBER(VALUE(LEFT(TRIM(D37),1))),TRIM(D37),TRIM(MID(TRIM(D37),FIND(" ",TRIM(D37))+1,99)))))</f>
        <v/>
      </c>
      <c r="I37" s="255">
        <f>IF(G37="",0,IF(ISNUMBER(G37),G37,IFERROR(DATE(VALUE(MID(G37,FIND("/",G37,FIND("/",G37)+1)+1,4)),VALUE(MID(G37,FIND("/",G37)+1,FIND("/",G37,FIND("/",G37)+1)-FIND("/",G37)-1)),VALUE(LEFT(G37,FIND("/",G37)-1)))+IFERROR(TIMEVALUE(TRIM(MID(G37,FIND(" ",G37)+1,20))),0),0)))</f>
        <v/>
      </c>
      <c r="J37" s="255">
        <f>IF(H37="",0,IF(ISNUMBER(H37),H37,IFERROR(DATE(VALUE(MID(H37,FIND("/",H37,FIND("/",H37)+1)+1,4)),VALUE(MID(H37,FIND("/",H37)+1,FIND("/",H37,FIND("/",H37)+1)-FIND("/",H37)-1)),VALUE(LEFT(H37,FIND("/",H37)-1)))+IFERROR(TIMEVALUE(TRIM(MID(H37,FIND(" ",H37)+1,20))),0),0)))</f>
        <v/>
      </c>
      <c r="K37" s="256">
        <f>IF(I37=0,0,INT(I37))</f>
        <v/>
      </c>
      <c r="L37" s="257">
        <f>IF(OR(I37=0,J37=0),0,ROUND((J37-I37)*24,2))</f>
        <v/>
      </c>
      <c r="M37" s="254">
        <f>IFERROR(TRIM(MID(A37,FIND("@",SUBSTITUTE(A37,"(","@",LEN(A37)-LEN(SUBSTITUTE(A37,"(",""))))+1,FIND(")",A37,FIND("@",SUBSTITUTE(A37,"(","@",LEN(A37)-LEN(SUBSTITUTE(A37,"(","")))))-FIND("@",SUBSTITUTE(A37,"(","@",LEN(A37)-LEN(SUBSTITUTE(A37,"(",""))))-1)),"")</f>
        <v/>
      </c>
      <c r="N37" s="254">
        <f>IF(A37="","",IF(LEFT(TRIM(A37),5)="Leave","Leave",IF(OR(ISNUMBER(SEARCH("public holiday",A37)),ISNUMBER(SEARCH("Purple",E37))),"Public holiday","Event")))</f>
        <v/>
      </c>
    </row>
    <row r="38">
      <c r="G38" s="254">
        <f>IF(C38="","",IF(ISNUMBER(C38),C38,IF(ISNUMBER(VALUE(LEFT(TRIM(C38),1))),TRIM(C38),TRIM(MID(TRIM(C38),FIND(" ",TRIM(C38))+1,99)))))</f>
        <v/>
      </c>
      <c r="H38" s="254">
        <f>IF(D38="","",IF(ISNUMBER(D38),D38,IF(ISNUMBER(VALUE(LEFT(TRIM(D38),1))),TRIM(D38),TRIM(MID(TRIM(D38),FIND(" ",TRIM(D38))+1,99)))))</f>
        <v/>
      </c>
      <c r="I38" s="255">
        <f>IF(G38="",0,IF(ISNUMBER(G38),G38,IFERROR(DATE(VALUE(MID(G38,FIND("/",G38,FIND("/",G38)+1)+1,4)),VALUE(MID(G38,FIND("/",G38)+1,FIND("/",G38,FIND("/",G38)+1)-FIND("/",G38)-1)),VALUE(LEFT(G38,FIND("/",G38)-1)))+IFERROR(TIMEVALUE(TRIM(MID(G38,FIND(" ",G38)+1,20))),0),0)))</f>
        <v/>
      </c>
      <c r="J38" s="255">
        <f>IF(H38="",0,IF(ISNUMBER(H38),H38,IFERROR(DATE(VALUE(MID(H38,FIND("/",H38,FIND("/",H38)+1)+1,4)),VALUE(MID(H38,FIND("/",H38)+1,FIND("/",H38,FIND("/",H38)+1)-FIND("/",H38)-1)),VALUE(LEFT(H38,FIND("/",H38)-1)))+IFERROR(TIMEVALUE(TRIM(MID(H38,FIND(" ",H38)+1,20))),0),0)))</f>
        <v/>
      </c>
      <c r="K38" s="256">
        <f>IF(I38=0,0,INT(I38))</f>
        <v/>
      </c>
      <c r="L38" s="257">
        <f>IF(OR(I38=0,J38=0),0,ROUND((J38-I38)*24,2))</f>
        <v/>
      </c>
      <c r="M38" s="254">
        <f>IFERROR(TRIM(MID(A38,FIND("@",SUBSTITUTE(A38,"(","@",LEN(A38)-LEN(SUBSTITUTE(A38,"(",""))))+1,FIND(")",A38,FIND("@",SUBSTITUTE(A38,"(","@",LEN(A38)-LEN(SUBSTITUTE(A38,"(","")))))-FIND("@",SUBSTITUTE(A38,"(","@",LEN(A38)-LEN(SUBSTITUTE(A38,"(",""))))-1)),"")</f>
        <v/>
      </c>
      <c r="N38" s="254">
        <f>IF(A38="","",IF(LEFT(TRIM(A38),5)="Leave","Leave",IF(OR(ISNUMBER(SEARCH("public holiday",A38)),ISNUMBER(SEARCH("Purple",E38))),"Public holiday","Event")))</f>
        <v/>
      </c>
    </row>
    <row r="39">
      <c r="G39" s="254">
        <f>IF(C39="","",IF(ISNUMBER(C39),C39,IF(ISNUMBER(VALUE(LEFT(TRIM(C39),1))),TRIM(C39),TRIM(MID(TRIM(C39),FIND(" ",TRIM(C39))+1,99)))))</f>
        <v/>
      </c>
      <c r="H39" s="254">
        <f>IF(D39="","",IF(ISNUMBER(D39),D39,IF(ISNUMBER(VALUE(LEFT(TRIM(D39),1))),TRIM(D39),TRIM(MID(TRIM(D39),FIND(" ",TRIM(D39))+1,99)))))</f>
        <v/>
      </c>
      <c r="I39" s="255">
        <f>IF(G39="",0,IF(ISNUMBER(G39),G39,IFERROR(DATE(VALUE(MID(G39,FIND("/",G39,FIND("/",G39)+1)+1,4)),VALUE(MID(G39,FIND("/",G39)+1,FIND("/",G39,FIND("/",G39)+1)-FIND("/",G39)-1)),VALUE(LEFT(G39,FIND("/",G39)-1)))+IFERROR(TIMEVALUE(TRIM(MID(G39,FIND(" ",G39)+1,20))),0),0)))</f>
        <v/>
      </c>
      <c r="J39" s="255">
        <f>IF(H39="",0,IF(ISNUMBER(H39),H39,IFERROR(DATE(VALUE(MID(H39,FIND("/",H39,FIND("/",H39)+1)+1,4)),VALUE(MID(H39,FIND("/",H39)+1,FIND("/",H39,FIND("/",H39)+1)-FIND("/",H39)-1)),VALUE(LEFT(H39,FIND("/",H39)-1)))+IFERROR(TIMEVALUE(TRIM(MID(H39,FIND(" ",H39)+1,20))),0),0)))</f>
        <v/>
      </c>
      <c r="K39" s="256">
        <f>IF(I39=0,0,INT(I39))</f>
        <v/>
      </c>
      <c r="L39" s="257">
        <f>IF(OR(I39=0,J39=0),0,ROUND((J39-I39)*24,2))</f>
        <v/>
      </c>
      <c r="M39" s="254">
        <f>IFERROR(TRIM(MID(A39,FIND("@",SUBSTITUTE(A39,"(","@",LEN(A39)-LEN(SUBSTITUTE(A39,"(",""))))+1,FIND(")",A39,FIND("@",SUBSTITUTE(A39,"(","@",LEN(A39)-LEN(SUBSTITUTE(A39,"(","")))))-FIND("@",SUBSTITUTE(A39,"(","@",LEN(A39)-LEN(SUBSTITUTE(A39,"(",""))))-1)),"")</f>
        <v/>
      </c>
      <c r="N39" s="254">
        <f>IF(A39="","",IF(LEFT(TRIM(A39),5)="Leave","Leave",IF(OR(ISNUMBER(SEARCH("public holiday",A39)),ISNUMBER(SEARCH("Purple",E39))),"Public holiday","Event")))</f>
        <v/>
      </c>
    </row>
    <row r="40">
      <c r="G40" s="254">
        <f>IF(C40="","",IF(ISNUMBER(C40),C40,IF(ISNUMBER(VALUE(LEFT(TRIM(C40),1))),TRIM(C40),TRIM(MID(TRIM(C40),FIND(" ",TRIM(C40))+1,99)))))</f>
        <v/>
      </c>
      <c r="H40" s="254">
        <f>IF(D40="","",IF(ISNUMBER(D40),D40,IF(ISNUMBER(VALUE(LEFT(TRIM(D40),1))),TRIM(D40),TRIM(MID(TRIM(D40),FIND(" ",TRIM(D40))+1,99)))))</f>
        <v/>
      </c>
      <c r="I40" s="255">
        <f>IF(G40="",0,IF(ISNUMBER(G40),G40,IFERROR(DATE(VALUE(MID(G40,FIND("/",G40,FIND("/",G40)+1)+1,4)),VALUE(MID(G40,FIND("/",G40)+1,FIND("/",G40,FIND("/",G40)+1)-FIND("/",G40)-1)),VALUE(LEFT(G40,FIND("/",G40)-1)))+IFERROR(TIMEVALUE(TRIM(MID(G40,FIND(" ",G40)+1,20))),0),0)))</f>
        <v/>
      </c>
      <c r="J40" s="255">
        <f>IF(H40="",0,IF(ISNUMBER(H40),H40,IFERROR(DATE(VALUE(MID(H40,FIND("/",H40,FIND("/",H40)+1)+1,4)),VALUE(MID(H40,FIND("/",H40)+1,FIND("/",H40,FIND("/",H40)+1)-FIND("/",H40)-1)),VALUE(LEFT(H40,FIND("/",H40)-1)))+IFERROR(TIMEVALUE(TRIM(MID(H40,FIND(" ",H40)+1,20))),0),0)))</f>
        <v/>
      </c>
      <c r="K40" s="256">
        <f>IF(I40=0,0,INT(I40))</f>
        <v/>
      </c>
      <c r="L40" s="257">
        <f>IF(OR(I40=0,J40=0),0,ROUND((J40-I40)*24,2))</f>
        <v/>
      </c>
      <c r="M40" s="254">
        <f>IFERROR(TRIM(MID(A40,FIND("@",SUBSTITUTE(A40,"(","@",LEN(A40)-LEN(SUBSTITUTE(A40,"(",""))))+1,FIND(")",A40,FIND("@",SUBSTITUTE(A40,"(","@",LEN(A40)-LEN(SUBSTITUTE(A40,"(","")))))-FIND("@",SUBSTITUTE(A40,"(","@",LEN(A40)-LEN(SUBSTITUTE(A40,"(",""))))-1)),"")</f>
        <v/>
      </c>
      <c r="N40" s="254">
        <f>IF(A40="","",IF(LEFT(TRIM(A40),5)="Leave","Leave",IF(OR(ISNUMBER(SEARCH("public holiday",A40)),ISNUMBER(SEARCH("Purple",E40))),"Public holiday","Event")))</f>
        <v/>
      </c>
    </row>
    <row r="41">
      <c r="G41" s="254">
        <f>IF(C41="","",IF(ISNUMBER(C41),C41,IF(ISNUMBER(VALUE(LEFT(TRIM(C41),1))),TRIM(C41),TRIM(MID(TRIM(C41),FIND(" ",TRIM(C41))+1,99)))))</f>
        <v/>
      </c>
      <c r="H41" s="254">
        <f>IF(D41="","",IF(ISNUMBER(D41),D41,IF(ISNUMBER(VALUE(LEFT(TRIM(D41),1))),TRIM(D41),TRIM(MID(TRIM(D41),FIND(" ",TRIM(D41))+1,99)))))</f>
        <v/>
      </c>
      <c r="I41" s="255">
        <f>IF(G41="",0,IF(ISNUMBER(G41),G41,IFERROR(DATE(VALUE(MID(G41,FIND("/",G41,FIND("/",G41)+1)+1,4)),VALUE(MID(G41,FIND("/",G41)+1,FIND("/",G41,FIND("/",G41)+1)-FIND("/",G41)-1)),VALUE(LEFT(G41,FIND("/",G41)-1)))+IFERROR(TIMEVALUE(TRIM(MID(G41,FIND(" ",G41)+1,20))),0),0)))</f>
        <v/>
      </c>
      <c r="J41" s="255">
        <f>IF(H41="",0,IF(ISNUMBER(H41),H41,IFERROR(DATE(VALUE(MID(H41,FIND("/",H41,FIND("/",H41)+1)+1,4)),VALUE(MID(H41,FIND("/",H41)+1,FIND("/",H41,FIND("/",H41)+1)-FIND("/",H41)-1)),VALUE(LEFT(H41,FIND("/",H41)-1)))+IFERROR(TIMEVALUE(TRIM(MID(H41,FIND(" ",H41)+1,20))),0),0)))</f>
        <v/>
      </c>
      <c r="K41" s="256">
        <f>IF(I41=0,0,INT(I41))</f>
        <v/>
      </c>
      <c r="L41" s="257">
        <f>IF(OR(I41=0,J41=0),0,ROUND((J41-I41)*24,2))</f>
        <v/>
      </c>
      <c r="M41" s="254">
        <f>IFERROR(TRIM(MID(A41,FIND("@",SUBSTITUTE(A41,"(","@",LEN(A41)-LEN(SUBSTITUTE(A41,"(",""))))+1,FIND(")",A41,FIND("@",SUBSTITUTE(A41,"(","@",LEN(A41)-LEN(SUBSTITUTE(A41,"(","")))))-FIND("@",SUBSTITUTE(A41,"(","@",LEN(A41)-LEN(SUBSTITUTE(A41,"(",""))))-1)),"")</f>
        <v/>
      </c>
      <c r="N41" s="254">
        <f>IF(A41="","",IF(LEFT(TRIM(A41),5)="Leave","Leave",IF(OR(ISNUMBER(SEARCH("public holiday",A41)),ISNUMBER(SEARCH("Purple",E41))),"Public holiday","Event")))</f>
        <v/>
      </c>
    </row>
    <row r="42">
      <c r="G42" s="254">
        <f>IF(C42="","",IF(ISNUMBER(C42),C42,IF(ISNUMBER(VALUE(LEFT(TRIM(C42),1))),TRIM(C42),TRIM(MID(TRIM(C42),FIND(" ",TRIM(C42))+1,99)))))</f>
        <v/>
      </c>
      <c r="H42" s="254">
        <f>IF(D42="","",IF(ISNUMBER(D42),D42,IF(ISNUMBER(VALUE(LEFT(TRIM(D42),1))),TRIM(D42),TRIM(MID(TRIM(D42),FIND(" ",TRIM(D42))+1,99)))))</f>
        <v/>
      </c>
      <c r="I42" s="255">
        <f>IF(G42="",0,IF(ISNUMBER(G42),G42,IFERROR(DATE(VALUE(MID(G42,FIND("/",G42,FIND("/",G42)+1)+1,4)),VALUE(MID(G42,FIND("/",G42)+1,FIND("/",G42,FIND("/",G42)+1)-FIND("/",G42)-1)),VALUE(LEFT(G42,FIND("/",G42)-1)))+IFERROR(TIMEVALUE(TRIM(MID(G42,FIND(" ",G42)+1,20))),0),0)))</f>
        <v/>
      </c>
      <c r="J42" s="255">
        <f>IF(H42="",0,IF(ISNUMBER(H42),H42,IFERROR(DATE(VALUE(MID(H42,FIND("/",H42,FIND("/",H42)+1)+1,4)),VALUE(MID(H42,FIND("/",H42)+1,FIND("/",H42,FIND("/",H42)+1)-FIND("/",H42)-1)),VALUE(LEFT(H42,FIND("/",H42)-1)))+IFERROR(TIMEVALUE(TRIM(MID(H42,FIND(" ",H42)+1,20))),0),0)))</f>
        <v/>
      </c>
      <c r="K42" s="256">
        <f>IF(I42=0,0,INT(I42))</f>
        <v/>
      </c>
      <c r="L42" s="257">
        <f>IF(OR(I42=0,J42=0),0,ROUND((J42-I42)*24,2))</f>
        <v/>
      </c>
      <c r="M42" s="254">
        <f>IFERROR(TRIM(MID(A42,FIND("@",SUBSTITUTE(A42,"(","@",LEN(A42)-LEN(SUBSTITUTE(A42,"(",""))))+1,FIND(")",A42,FIND("@",SUBSTITUTE(A42,"(","@",LEN(A42)-LEN(SUBSTITUTE(A42,"(","")))))-FIND("@",SUBSTITUTE(A42,"(","@",LEN(A42)-LEN(SUBSTITUTE(A42,"(",""))))-1)),"")</f>
        <v/>
      </c>
      <c r="N42" s="254">
        <f>IF(A42="","",IF(LEFT(TRIM(A42),5)="Leave","Leave",IF(OR(ISNUMBER(SEARCH("public holiday",A42)),ISNUMBER(SEARCH("Purple",E42))),"Public holiday","Event")))</f>
        <v/>
      </c>
    </row>
    <row r="43">
      <c r="G43" s="254">
        <f>IF(C43="","",IF(ISNUMBER(C43),C43,IF(ISNUMBER(VALUE(LEFT(TRIM(C43),1))),TRIM(C43),TRIM(MID(TRIM(C43),FIND(" ",TRIM(C43))+1,99)))))</f>
        <v/>
      </c>
      <c r="H43" s="254">
        <f>IF(D43="","",IF(ISNUMBER(D43),D43,IF(ISNUMBER(VALUE(LEFT(TRIM(D43),1))),TRIM(D43),TRIM(MID(TRIM(D43),FIND(" ",TRIM(D43))+1,99)))))</f>
        <v/>
      </c>
      <c r="I43" s="255">
        <f>IF(G43="",0,IF(ISNUMBER(G43),G43,IFERROR(DATE(VALUE(MID(G43,FIND("/",G43,FIND("/",G43)+1)+1,4)),VALUE(MID(G43,FIND("/",G43)+1,FIND("/",G43,FIND("/",G43)+1)-FIND("/",G43)-1)),VALUE(LEFT(G43,FIND("/",G43)-1)))+IFERROR(TIMEVALUE(TRIM(MID(G43,FIND(" ",G43)+1,20))),0),0)))</f>
        <v/>
      </c>
      <c r="J43" s="255">
        <f>IF(H43="",0,IF(ISNUMBER(H43),H43,IFERROR(DATE(VALUE(MID(H43,FIND("/",H43,FIND("/",H43)+1)+1,4)),VALUE(MID(H43,FIND("/",H43)+1,FIND("/",H43,FIND("/",H43)+1)-FIND("/",H43)-1)),VALUE(LEFT(H43,FIND("/",H43)-1)))+IFERROR(TIMEVALUE(TRIM(MID(H43,FIND(" ",H43)+1,20))),0),0)))</f>
        <v/>
      </c>
      <c r="K43" s="256">
        <f>IF(I43=0,0,INT(I43))</f>
        <v/>
      </c>
      <c r="L43" s="257">
        <f>IF(OR(I43=0,J43=0),0,ROUND((J43-I43)*24,2))</f>
        <v/>
      </c>
      <c r="M43" s="254">
        <f>IFERROR(TRIM(MID(A43,FIND("@",SUBSTITUTE(A43,"(","@",LEN(A43)-LEN(SUBSTITUTE(A43,"(",""))))+1,FIND(")",A43,FIND("@",SUBSTITUTE(A43,"(","@",LEN(A43)-LEN(SUBSTITUTE(A43,"(","")))))-FIND("@",SUBSTITUTE(A43,"(","@",LEN(A43)-LEN(SUBSTITUTE(A43,"(",""))))-1)),"")</f>
        <v/>
      </c>
      <c r="N43" s="254">
        <f>IF(A43="","",IF(LEFT(TRIM(A43),5)="Leave","Leave",IF(OR(ISNUMBER(SEARCH("public holiday",A43)),ISNUMBER(SEARCH("Purple",E43))),"Public holiday","Event")))</f>
        <v/>
      </c>
    </row>
    <row r="44">
      <c r="G44" s="254">
        <f>IF(C44="","",IF(ISNUMBER(C44),C44,IF(ISNUMBER(VALUE(LEFT(TRIM(C44),1))),TRIM(C44),TRIM(MID(TRIM(C44),FIND(" ",TRIM(C44))+1,99)))))</f>
        <v/>
      </c>
      <c r="H44" s="254">
        <f>IF(D44="","",IF(ISNUMBER(D44),D44,IF(ISNUMBER(VALUE(LEFT(TRIM(D44),1))),TRIM(D44),TRIM(MID(TRIM(D44),FIND(" ",TRIM(D44))+1,99)))))</f>
        <v/>
      </c>
      <c r="I44" s="255">
        <f>IF(G44="",0,IF(ISNUMBER(G44),G44,IFERROR(DATE(VALUE(MID(G44,FIND("/",G44,FIND("/",G44)+1)+1,4)),VALUE(MID(G44,FIND("/",G44)+1,FIND("/",G44,FIND("/",G44)+1)-FIND("/",G44)-1)),VALUE(LEFT(G44,FIND("/",G44)-1)))+IFERROR(TIMEVALUE(TRIM(MID(G44,FIND(" ",G44)+1,20))),0),0)))</f>
        <v/>
      </c>
      <c r="J44" s="255">
        <f>IF(H44="",0,IF(ISNUMBER(H44),H44,IFERROR(DATE(VALUE(MID(H44,FIND("/",H44,FIND("/",H44)+1)+1,4)),VALUE(MID(H44,FIND("/",H44)+1,FIND("/",H44,FIND("/",H44)+1)-FIND("/",H44)-1)),VALUE(LEFT(H44,FIND("/",H44)-1)))+IFERROR(TIMEVALUE(TRIM(MID(H44,FIND(" ",H44)+1,20))),0),0)))</f>
        <v/>
      </c>
      <c r="K44" s="256">
        <f>IF(I44=0,0,INT(I44))</f>
        <v/>
      </c>
      <c r="L44" s="257">
        <f>IF(OR(I44=0,J44=0),0,ROUND((J44-I44)*24,2))</f>
        <v/>
      </c>
      <c r="M44" s="254">
        <f>IFERROR(TRIM(MID(A44,FIND("@",SUBSTITUTE(A44,"(","@",LEN(A44)-LEN(SUBSTITUTE(A44,"(",""))))+1,FIND(")",A44,FIND("@",SUBSTITUTE(A44,"(","@",LEN(A44)-LEN(SUBSTITUTE(A44,"(","")))))-FIND("@",SUBSTITUTE(A44,"(","@",LEN(A44)-LEN(SUBSTITUTE(A44,"(",""))))-1)),"")</f>
        <v/>
      </c>
      <c r="N44" s="254">
        <f>IF(A44="","",IF(LEFT(TRIM(A44),5)="Leave","Leave",IF(OR(ISNUMBER(SEARCH("public holiday",A44)),ISNUMBER(SEARCH("Purple",E44))),"Public holiday","Event")))</f>
        <v/>
      </c>
    </row>
    <row r="45">
      <c r="G45" s="254">
        <f>IF(C45="","",IF(ISNUMBER(C45),C45,IF(ISNUMBER(VALUE(LEFT(TRIM(C45),1))),TRIM(C45),TRIM(MID(TRIM(C45),FIND(" ",TRIM(C45))+1,99)))))</f>
        <v/>
      </c>
      <c r="H45" s="254">
        <f>IF(D45="","",IF(ISNUMBER(D45),D45,IF(ISNUMBER(VALUE(LEFT(TRIM(D45),1))),TRIM(D45),TRIM(MID(TRIM(D45),FIND(" ",TRIM(D45))+1,99)))))</f>
        <v/>
      </c>
      <c r="I45" s="255">
        <f>IF(G45="",0,IF(ISNUMBER(G45),G45,IFERROR(DATE(VALUE(MID(G45,FIND("/",G45,FIND("/",G45)+1)+1,4)),VALUE(MID(G45,FIND("/",G45)+1,FIND("/",G45,FIND("/",G45)+1)-FIND("/",G45)-1)),VALUE(LEFT(G45,FIND("/",G45)-1)))+IFERROR(TIMEVALUE(TRIM(MID(G45,FIND(" ",G45)+1,20))),0),0)))</f>
        <v/>
      </c>
      <c r="J45" s="255">
        <f>IF(H45="",0,IF(ISNUMBER(H45),H45,IFERROR(DATE(VALUE(MID(H45,FIND("/",H45,FIND("/",H45)+1)+1,4)),VALUE(MID(H45,FIND("/",H45)+1,FIND("/",H45,FIND("/",H45)+1)-FIND("/",H45)-1)),VALUE(LEFT(H45,FIND("/",H45)-1)))+IFERROR(TIMEVALUE(TRIM(MID(H45,FIND(" ",H45)+1,20))),0),0)))</f>
        <v/>
      </c>
      <c r="K45" s="256">
        <f>IF(I45=0,0,INT(I45))</f>
        <v/>
      </c>
      <c r="L45" s="257">
        <f>IF(OR(I45=0,J45=0),0,ROUND((J45-I45)*24,2))</f>
        <v/>
      </c>
      <c r="M45" s="254">
        <f>IFERROR(TRIM(MID(A45,FIND("@",SUBSTITUTE(A45,"(","@",LEN(A45)-LEN(SUBSTITUTE(A45,"(",""))))+1,FIND(")",A45,FIND("@",SUBSTITUTE(A45,"(","@",LEN(A45)-LEN(SUBSTITUTE(A45,"(","")))))-FIND("@",SUBSTITUTE(A45,"(","@",LEN(A45)-LEN(SUBSTITUTE(A45,"(",""))))-1)),"")</f>
        <v/>
      </c>
      <c r="N45" s="254">
        <f>IF(A45="","",IF(LEFT(TRIM(A45),5)="Leave","Leave",IF(OR(ISNUMBER(SEARCH("public holiday",A45)),ISNUMBER(SEARCH("Purple",E45))),"Public holiday","Event")))</f>
        <v/>
      </c>
    </row>
    <row r="46">
      <c r="G46" s="254">
        <f>IF(C46="","",IF(ISNUMBER(C46),C46,IF(ISNUMBER(VALUE(LEFT(TRIM(C46),1))),TRIM(C46),TRIM(MID(TRIM(C46),FIND(" ",TRIM(C46))+1,99)))))</f>
        <v/>
      </c>
      <c r="H46" s="254">
        <f>IF(D46="","",IF(ISNUMBER(D46),D46,IF(ISNUMBER(VALUE(LEFT(TRIM(D46),1))),TRIM(D46),TRIM(MID(TRIM(D46),FIND(" ",TRIM(D46))+1,99)))))</f>
        <v/>
      </c>
      <c r="I46" s="255">
        <f>IF(G46="",0,IF(ISNUMBER(G46),G46,IFERROR(DATE(VALUE(MID(G46,FIND("/",G46,FIND("/",G46)+1)+1,4)),VALUE(MID(G46,FIND("/",G46)+1,FIND("/",G46,FIND("/",G46)+1)-FIND("/",G46)-1)),VALUE(LEFT(G46,FIND("/",G46)-1)))+IFERROR(TIMEVALUE(TRIM(MID(G46,FIND(" ",G46)+1,20))),0),0)))</f>
        <v/>
      </c>
      <c r="J46" s="255">
        <f>IF(H46="",0,IF(ISNUMBER(H46),H46,IFERROR(DATE(VALUE(MID(H46,FIND("/",H46,FIND("/",H46)+1)+1,4)),VALUE(MID(H46,FIND("/",H46)+1,FIND("/",H46,FIND("/",H46)+1)-FIND("/",H46)-1)),VALUE(LEFT(H46,FIND("/",H46)-1)))+IFERROR(TIMEVALUE(TRIM(MID(H46,FIND(" ",H46)+1,20))),0),0)))</f>
        <v/>
      </c>
      <c r="K46" s="256">
        <f>IF(I46=0,0,INT(I46))</f>
        <v/>
      </c>
      <c r="L46" s="257">
        <f>IF(OR(I46=0,J46=0),0,ROUND((J46-I46)*24,2))</f>
        <v/>
      </c>
      <c r="M46" s="254">
        <f>IFERROR(TRIM(MID(A46,FIND("@",SUBSTITUTE(A46,"(","@",LEN(A46)-LEN(SUBSTITUTE(A46,"(",""))))+1,FIND(")",A46,FIND("@",SUBSTITUTE(A46,"(","@",LEN(A46)-LEN(SUBSTITUTE(A46,"(","")))))-FIND("@",SUBSTITUTE(A46,"(","@",LEN(A46)-LEN(SUBSTITUTE(A46,"(",""))))-1)),"")</f>
        <v/>
      </c>
      <c r="N46" s="254">
        <f>IF(A46="","",IF(LEFT(TRIM(A46),5)="Leave","Leave",IF(OR(ISNUMBER(SEARCH("public holiday",A46)),ISNUMBER(SEARCH("Purple",E46))),"Public holiday","Event")))</f>
        <v/>
      </c>
    </row>
    <row r="47">
      <c r="G47" s="254">
        <f>IF(C47="","",IF(ISNUMBER(C47),C47,IF(ISNUMBER(VALUE(LEFT(TRIM(C47),1))),TRIM(C47),TRIM(MID(TRIM(C47),FIND(" ",TRIM(C47))+1,99)))))</f>
        <v/>
      </c>
      <c r="H47" s="254">
        <f>IF(D47="","",IF(ISNUMBER(D47),D47,IF(ISNUMBER(VALUE(LEFT(TRIM(D47),1))),TRIM(D47),TRIM(MID(TRIM(D47),FIND(" ",TRIM(D47))+1,99)))))</f>
        <v/>
      </c>
      <c r="I47" s="255">
        <f>IF(G47="",0,IF(ISNUMBER(G47),G47,IFERROR(DATE(VALUE(MID(G47,FIND("/",G47,FIND("/",G47)+1)+1,4)),VALUE(MID(G47,FIND("/",G47)+1,FIND("/",G47,FIND("/",G47)+1)-FIND("/",G47)-1)),VALUE(LEFT(G47,FIND("/",G47)-1)))+IFERROR(TIMEVALUE(TRIM(MID(G47,FIND(" ",G47)+1,20))),0),0)))</f>
        <v/>
      </c>
      <c r="J47" s="255">
        <f>IF(H47="",0,IF(ISNUMBER(H47),H47,IFERROR(DATE(VALUE(MID(H47,FIND("/",H47,FIND("/",H47)+1)+1,4)),VALUE(MID(H47,FIND("/",H47)+1,FIND("/",H47,FIND("/",H47)+1)-FIND("/",H47)-1)),VALUE(LEFT(H47,FIND("/",H47)-1)))+IFERROR(TIMEVALUE(TRIM(MID(H47,FIND(" ",H47)+1,20))),0),0)))</f>
        <v/>
      </c>
      <c r="K47" s="256">
        <f>IF(I47=0,0,INT(I47))</f>
        <v/>
      </c>
      <c r="L47" s="257">
        <f>IF(OR(I47=0,J47=0),0,ROUND((J47-I47)*24,2))</f>
        <v/>
      </c>
      <c r="M47" s="254">
        <f>IFERROR(TRIM(MID(A47,FIND("@",SUBSTITUTE(A47,"(","@",LEN(A47)-LEN(SUBSTITUTE(A47,"(",""))))+1,FIND(")",A47,FIND("@",SUBSTITUTE(A47,"(","@",LEN(A47)-LEN(SUBSTITUTE(A47,"(","")))))-FIND("@",SUBSTITUTE(A47,"(","@",LEN(A47)-LEN(SUBSTITUTE(A47,"(",""))))-1)),"")</f>
        <v/>
      </c>
      <c r="N47" s="254">
        <f>IF(A47="","",IF(LEFT(TRIM(A47),5)="Leave","Leave",IF(OR(ISNUMBER(SEARCH("public holiday",A47)),ISNUMBER(SEARCH("Purple",E47))),"Public holiday","Event")))</f>
        <v/>
      </c>
    </row>
    <row r="48">
      <c r="G48" s="254">
        <f>IF(C48="","",IF(ISNUMBER(C48),C48,IF(ISNUMBER(VALUE(LEFT(TRIM(C48),1))),TRIM(C48),TRIM(MID(TRIM(C48),FIND(" ",TRIM(C48))+1,99)))))</f>
        <v/>
      </c>
      <c r="H48" s="254">
        <f>IF(D48="","",IF(ISNUMBER(D48),D48,IF(ISNUMBER(VALUE(LEFT(TRIM(D48),1))),TRIM(D48),TRIM(MID(TRIM(D48),FIND(" ",TRIM(D48))+1,99)))))</f>
        <v/>
      </c>
      <c r="I48" s="255">
        <f>IF(G48="",0,IF(ISNUMBER(G48),G48,IFERROR(DATE(VALUE(MID(G48,FIND("/",G48,FIND("/",G48)+1)+1,4)),VALUE(MID(G48,FIND("/",G48)+1,FIND("/",G48,FIND("/",G48)+1)-FIND("/",G48)-1)),VALUE(LEFT(G48,FIND("/",G48)-1)))+IFERROR(TIMEVALUE(TRIM(MID(G48,FIND(" ",G48)+1,20))),0),0)))</f>
        <v/>
      </c>
      <c r="J48" s="255">
        <f>IF(H48="",0,IF(ISNUMBER(H48),H48,IFERROR(DATE(VALUE(MID(H48,FIND("/",H48,FIND("/",H48)+1)+1,4)),VALUE(MID(H48,FIND("/",H48)+1,FIND("/",H48,FIND("/",H48)+1)-FIND("/",H48)-1)),VALUE(LEFT(H48,FIND("/",H48)-1)))+IFERROR(TIMEVALUE(TRIM(MID(H48,FIND(" ",H48)+1,20))),0),0)))</f>
        <v/>
      </c>
      <c r="K48" s="256">
        <f>IF(I48=0,0,INT(I48))</f>
        <v/>
      </c>
      <c r="L48" s="257">
        <f>IF(OR(I48=0,J48=0),0,ROUND((J48-I48)*24,2))</f>
        <v/>
      </c>
      <c r="M48" s="254">
        <f>IFERROR(TRIM(MID(A48,FIND("@",SUBSTITUTE(A48,"(","@",LEN(A48)-LEN(SUBSTITUTE(A48,"(",""))))+1,FIND(")",A48,FIND("@",SUBSTITUTE(A48,"(","@",LEN(A48)-LEN(SUBSTITUTE(A48,"(","")))))-FIND("@",SUBSTITUTE(A48,"(","@",LEN(A48)-LEN(SUBSTITUTE(A48,"(",""))))-1)),"")</f>
        <v/>
      </c>
      <c r="N48" s="254">
        <f>IF(A48="","",IF(LEFT(TRIM(A48),5)="Leave","Leave",IF(OR(ISNUMBER(SEARCH("public holiday",A48)),ISNUMBER(SEARCH("Purple",E48))),"Public holiday","Event")))</f>
        <v/>
      </c>
    </row>
    <row r="49">
      <c r="G49" s="254">
        <f>IF(C49="","",IF(ISNUMBER(C49),C49,IF(ISNUMBER(VALUE(LEFT(TRIM(C49),1))),TRIM(C49),TRIM(MID(TRIM(C49),FIND(" ",TRIM(C49))+1,99)))))</f>
        <v/>
      </c>
      <c r="H49" s="254">
        <f>IF(D49="","",IF(ISNUMBER(D49),D49,IF(ISNUMBER(VALUE(LEFT(TRIM(D49),1))),TRIM(D49),TRIM(MID(TRIM(D49),FIND(" ",TRIM(D49))+1,99)))))</f>
        <v/>
      </c>
      <c r="I49" s="255">
        <f>IF(G49="",0,IF(ISNUMBER(G49),G49,IFERROR(DATE(VALUE(MID(G49,FIND("/",G49,FIND("/",G49)+1)+1,4)),VALUE(MID(G49,FIND("/",G49)+1,FIND("/",G49,FIND("/",G49)+1)-FIND("/",G49)-1)),VALUE(LEFT(G49,FIND("/",G49)-1)))+IFERROR(TIMEVALUE(TRIM(MID(G49,FIND(" ",G49)+1,20))),0),0)))</f>
        <v/>
      </c>
      <c r="J49" s="255">
        <f>IF(H49="",0,IF(ISNUMBER(H49),H49,IFERROR(DATE(VALUE(MID(H49,FIND("/",H49,FIND("/",H49)+1)+1,4)),VALUE(MID(H49,FIND("/",H49)+1,FIND("/",H49,FIND("/",H49)+1)-FIND("/",H49)-1)),VALUE(LEFT(H49,FIND("/",H49)-1)))+IFERROR(TIMEVALUE(TRIM(MID(H49,FIND(" ",H49)+1,20))),0),0)))</f>
        <v/>
      </c>
      <c r="K49" s="256">
        <f>IF(I49=0,0,INT(I49))</f>
        <v/>
      </c>
      <c r="L49" s="257">
        <f>IF(OR(I49=0,J49=0),0,ROUND((J49-I49)*24,2))</f>
        <v/>
      </c>
      <c r="M49" s="254">
        <f>IFERROR(TRIM(MID(A49,FIND("@",SUBSTITUTE(A49,"(","@",LEN(A49)-LEN(SUBSTITUTE(A49,"(",""))))+1,FIND(")",A49,FIND("@",SUBSTITUTE(A49,"(","@",LEN(A49)-LEN(SUBSTITUTE(A49,"(","")))))-FIND("@",SUBSTITUTE(A49,"(","@",LEN(A49)-LEN(SUBSTITUTE(A49,"(",""))))-1)),"")</f>
        <v/>
      </c>
      <c r="N49" s="254">
        <f>IF(A49="","",IF(LEFT(TRIM(A49),5)="Leave","Leave",IF(OR(ISNUMBER(SEARCH("public holiday",A49)),ISNUMBER(SEARCH("Purple",E49))),"Public holiday","Event")))</f>
        <v/>
      </c>
    </row>
    <row r="50">
      <c r="G50" s="254">
        <f>IF(C50="","",IF(ISNUMBER(C50),C50,IF(ISNUMBER(VALUE(LEFT(TRIM(C50),1))),TRIM(C50),TRIM(MID(TRIM(C50),FIND(" ",TRIM(C50))+1,99)))))</f>
        <v/>
      </c>
      <c r="H50" s="254">
        <f>IF(D50="","",IF(ISNUMBER(D50),D50,IF(ISNUMBER(VALUE(LEFT(TRIM(D50),1))),TRIM(D50),TRIM(MID(TRIM(D50),FIND(" ",TRIM(D50))+1,99)))))</f>
        <v/>
      </c>
      <c r="I50" s="255">
        <f>IF(G50="",0,IF(ISNUMBER(G50),G50,IFERROR(DATE(VALUE(MID(G50,FIND("/",G50,FIND("/",G50)+1)+1,4)),VALUE(MID(G50,FIND("/",G50)+1,FIND("/",G50,FIND("/",G50)+1)-FIND("/",G50)-1)),VALUE(LEFT(G50,FIND("/",G50)-1)))+IFERROR(TIMEVALUE(TRIM(MID(G50,FIND(" ",G50)+1,20))),0),0)))</f>
        <v/>
      </c>
      <c r="J50" s="255">
        <f>IF(H50="",0,IF(ISNUMBER(H50),H50,IFERROR(DATE(VALUE(MID(H50,FIND("/",H50,FIND("/",H50)+1)+1,4)),VALUE(MID(H50,FIND("/",H50)+1,FIND("/",H50,FIND("/",H50)+1)-FIND("/",H50)-1)),VALUE(LEFT(H50,FIND("/",H50)-1)))+IFERROR(TIMEVALUE(TRIM(MID(H50,FIND(" ",H50)+1,20))),0),0)))</f>
        <v/>
      </c>
      <c r="K50" s="256">
        <f>IF(I50=0,0,INT(I50))</f>
        <v/>
      </c>
      <c r="L50" s="257">
        <f>IF(OR(I50=0,J50=0),0,ROUND((J50-I50)*24,2))</f>
        <v/>
      </c>
      <c r="M50" s="254">
        <f>IFERROR(TRIM(MID(A50,FIND("@",SUBSTITUTE(A50,"(","@",LEN(A50)-LEN(SUBSTITUTE(A50,"(",""))))+1,FIND(")",A50,FIND("@",SUBSTITUTE(A50,"(","@",LEN(A50)-LEN(SUBSTITUTE(A50,"(","")))))-FIND("@",SUBSTITUTE(A50,"(","@",LEN(A50)-LEN(SUBSTITUTE(A50,"(",""))))-1)),"")</f>
        <v/>
      </c>
      <c r="N50" s="254">
        <f>IF(A50="","",IF(LEFT(TRIM(A50),5)="Leave","Leave",IF(OR(ISNUMBER(SEARCH("public holiday",A50)),ISNUMBER(SEARCH("Purple",E50))),"Public holiday","Event")))</f>
        <v/>
      </c>
    </row>
    <row r="51">
      <c r="G51" s="254">
        <f>IF(C51="","",IF(ISNUMBER(C51),C51,IF(ISNUMBER(VALUE(LEFT(TRIM(C51),1))),TRIM(C51),TRIM(MID(TRIM(C51),FIND(" ",TRIM(C51))+1,99)))))</f>
        <v/>
      </c>
      <c r="H51" s="254">
        <f>IF(D51="","",IF(ISNUMBER(D51),D51,IF(ISNUMBER(VALUE(LEFT(TRIM(D51),1))),TRIM(D51),TRIM(MID(TRIM(D51),FIND(" ",TRIM(D51))+1,99)))))</f>
        <v/>
      </c>
      <c r="I51" s="255">
        <f>IF(G51="",0,IF(ISNUMBER(G51),G51,IFERROR(DATE(VALUE(MID(G51,FIND("/",G51,FIND("/",G51)+1)+1,4)),VALUE(MID(G51,FIND("/",G51)+1,FIND("/",G51,FIND("/",G51)+1)-FIND("/",G51)-1)),VALUE(LEFT(G51,FIND("/",G51)-1)))+IFERROR(TIMEVALUE(TRIM(MID(G51,FIND(" ",G51)+1,20))),0),0)))</f>
        <v/>
      </c>
      <c r="J51" s="255">
        <f>IF(H51="",0,IF(ISNUMBER(H51),H51,IFERROR(DATE(VALUE(MID(H51,FIND("/",H51,FIND("/",H51)+1)+1,4)),VALUE(MID(H51,FIND("/",H51)+1,FIND("/",H51,FIND("/",H51)+1)-FIND("/",H51)-1)),VALUE(LEFT(H51,FIND("/",H51)-1)))+IFERROR(TIMEVALUE(TRIM(MID(H51,FIND(" ",H51)+1,20))),0),0)))</f>
        <v/>
      </c>
      <c r="K51" s="256">
        <f>IF(I51=0,0,INT(I51))</f>
        <v/>
      </c>
      <c r="L51" s="257">
        <f>IF(OR(I51=0,J51=0),0,ROUND((J51-I51)*24,2))</f>
        <v/>
      </c>
      <c r="M51" s="254">
        <f>IFERROR(TRIM(MID(A51,FIND("@",SUBSTITUTE(A51,"(","@",LEN(A51)-LEN(SUBSTITUTE(A51,"(",""))))+1,FIND(")",A51,FIND("@",SUBSTITUTE(A51,"(","@",LEN(A51)-LEN(SUBSTITUTE(A51,"(","")))))-FIND("@",SUBSTITUTE(A51,"(","@",LEN(A51)-LEN(SUBSTITUTE(A51,"(",""))))-1)),"")</f>
        <v/>
      </c>
      <c r="N51" s="254">
        <f>IF(A51="","",IF(LEFT(TRIM(A51),5)="Leave","Leave",IF(OR(ISNUMBER(SEARCH("public holiday",A51)),ISNUMBER(SEARCH("Purple",E51))),"Public holiday","Event")))</f>
        <v/>
      </c>
    </row>
    <row r="52">
      <c r="G52" s="254">
        <f>IF(C52="","",IF(ISNUMBER(C52),C52,IF(ISNUMBER(VALUE(LEFT(TRIM(C52),1))),TRIM(C52),TRIM(MID(TRIM(C52),FIND(" ",TRIM(C52))+1,99)))))</f>
        <v/>
      </c>
      <c r="H52" s="254">
        <f>IF(D52="","",IF(ISNUMBER(D52),D52,IF(ISNUMBER(VALUE(LEFT(TRIM(D52),1))),TRIM(D52),TRIM(MID(TRIM(D52),FIND(" ",TRIM(D52))+1,99)))))</f>
        <v/>
      </c>
      <c r="I52" s="255">
        <f>IF(G52="",0,IF(ISNUMBER(G52),G52,IFERROR(DATE(VALUE(MID(G52,FIND("/",G52,FIND("/",G52)+1)+1,4)),VALUE(MID(G52,FIND("/",G52)+1,FIND("/",G52,FIND("/",G52)+1)-FIND("/",G52)-1)),VALUE(LEFT(G52,FIND("/",G52)-1)))+IFERROR(TIMEVALUE(TRIM(MID(G52,FIND(" ",G52)+1,20))),0),0)))</f>
        <v/>
      </c>
      <c r="J52" s="255">
        <f>IF(H52="",0,IF(ISNUMBER(H52),H52,IFERROR(DATE(VALUE(MID(H52,FIND("/",H52,FIND("/",H52)+1)+1,4)),VALUE(MID(H52,FIND("/",H52)+1,FIND("/",H52,FIND("/",H52)+1)-FIND("/",H52)-1)),VALUE(LEFT(H52,FIND("/",H52)-1)))+IFERROR(TIMEVALUE(TRIM(MID(H52,FIND(" ",H52)+1,20))),0),0)))</f>
        <v/>
      </c>
      <c r="K52" s="256">
        <f>IF(I52=0,0,INT(I52))</f>
        <v/>
      </c>
      <c r="L52" s="257">
        <f>IF(OR(I52=0,J52=0),0,ROUND((J52-I52)*24,2))</f>
        <v/>
      </c>
      <c r="M52" s="254">
        <f>IFERROR(TRIM(MID(A52,FIND("@",SUBSTITUTE(A52,"(","@",LEN(A52)-LEN(SUBSTITUTE(A52,"(",""))))+1,FIND(")",A52,FIND("@",SUBSTITUTE(A52,"(","@",LEN(A52)-LEN(SUBSTITUTE(A52,"(","")))))-FIND("@",SUBSTITUTE(A52,"(","@",LEN(A52)-LEN(SUBSTITUTE(A52,"(",""))))-1)),"")</f>
        <v/>
      </c>
      <c r="N52" s="254">
        <f>IF(A52="","",IF(LEFT(TRIM(A52),5)="Leave","Leave",IF(OR(ISNUMBER(SEARCH("public holiday",A52)),ISNUMBER(SEARCH("Purple",E52))),"Public holiday","Event")))</f>
        <v/>
      </c>
    </row>
    <row r="53">
      <c r="G53" s="254">
        <f>IF(C53="","",IF(ISNUMBER(C53),C53,IF(ISNUMBER(VALUE(LEFT(TRIM(C53),1))),TRIM(C53),TRIM(MID(TRIM(C53),FIND(" ",TRIM(C53))+1,99)))))</f>
        <v/>
      </c>
      <c r="H53" s="254">
        <f>IF(D53="","",IF(ISNUMBER(D53),D53,IF(ISNUMBER(VALUE(LEFT(TRIM(D53),1))),TRIM(D53),TRIM(MID(TRIM(D53),FIND(" ",TRIM(D53))+1,99)))))</f>
        <v/>
      </c>
      <c r="I53" s="255">
        <f>IF(G53="",0,IF(ISNUMBER(G53),G53,IFERROR(DATE(VALUE(MID(G53,FIND("/",G53,FIND("/",G53)+1)+1,4)),VALUE(MID(G53,FIND("/",G53)+1,FIND("/",G53,FIND("/",G53)+1)-FIND("/",G53)-1)),VALUE(LEFT(G53,FIND("/",G53)-1)))+IFERROR(TIMEVALUE(TRIM(MID(G53,FIND(" ",G53)+1,20))),0),0)))</f>
        <v/>
      </c>
      <c r="J53" s="255">
        <f>IF(H53="",0,IF(ISNUMBER(H53),H53,IFERROR(DATE(VALUE(MID(H53,FIND("/",H53,FIND("/",H53)+1)+1,4)),VALUE(MID(H53,FIND("/",H53)+1,FIND("/",H53,FIND("/",H53)+1)-FIND("/",H53)-1)),VALUE(LEFT(H53,FIND("/",H53)-1)))+IFERROR(TIMEVALUE(TRIM(MID(H53,FIND(" ",H53)+1,20))),0),0)))</f>
        <v/>
      </c>
      <c r="K53" s="256">
        <f>IF(I53=0,0,INT(I53))</f>
        <v/>
      </c>
      <c r="L53" s="257">
        <f>IF(OR(I53=0,J53=0),0,ROUND((J53-I53)*24,2))</f>
        <v/>
      </c>
      <c r="M53" s="254">
        <f>IFERROR(TRIM(MID(A53,FIND("@",SUBSTITUTE(A53,"(","@",LEN(A53)-LEN(SUBSTITUTE(A53,"(",""))))+1,FIND(")",A53,FIND("@",SUBSTITUTE(A53,"(","@",LEN(A53)-LEN(SUBSTITUTE(A53,"(","")))))-FIND("@",SUBSTITUTE(A53,"(","@",LEN(A53)-LEN(SUBSTITUTE(A53,"(",""))))-1)),"")</f>
        <v/>
      </c>
      <c r="N53" s="254">
        <f>IF(A53="","",IF(LEFT(TRIM(A53),5)="Leave","Leave",IF(OR(ISNUMBER(SEARCH("public holiday",A53)),ISNUMBER(SEARCH("Purple",E53))),"Public holiday","Event")))</f>
        <v/>
      </c>
    </row>
    <row r="54">
      <c r="G54" s="254">
        <f>IF(C54="","",IF(ISNUMBER(C54),C54,IF(ISNUMBER(VALUE(LEFT(TRIM(C54),1))),TRIM(C54),TRIM(MID(TRIM(C54),FIND(" ",TRIM(C54))+1,99)))))</f>
        <v/>
      </c>
      <c r="H54" s="254">
        <f>IF(D54="","",IF(ISNUMBER(D54),D54,IF(ISNUMBER(VALUE(LEFT(TRIM(D54),1))),TRIM(D54),TRIM(MID(TRIM(D54),FIND(" ",TRIM(D54))+1,99)))))</f>
        <v/>
      </c>
      <c r="I54" s="255">
        <f>IF(G54="",0,IF(ISNUMBER(G54),G54,IFERROR(DATE(VALUE(MID(G54,FIND("/",G54,FIND("/",G54)+1)+1,4)),VALUE(MID(G54,FIND("/",G54)+1,FIND("/",G54,FIND("/",G54)+1)-FIND("/",G54)-1)),VALUE(LEFT(G54,FIND("/",G54)-1)))+IFERROR(TIMEVALUE(TRIM(MID(G54,FIND(" ",G54)+1,20))),0),0)))</f>
        <v/>
      </c>
      <c r="J54" s="255">
        <f>IF(H54="",0,IF(ISNUMBER(H54),H54,IFERROR(DATE(VALUE(MID(H54,FIND("/",H54,FIND("/",H54)+1)+1,4)),VALUE(MID(H54,FIND("/",H54)+1,FIND("/",H54,FIND("/",H54)+1)-FIND("/",H54)-1)),VALUE(LEFT(H54,FIND("/",H54)-1)))+IFERROR(TIMEVALUE(TRIM(MID(H54,FIND(" ",H54)+1,20))),0),0)))</f>
        <v/>
      </c>
      <c r="K54" s="256">
        <f>IF(I54=0,0,INT(I54))</f>
        <v/>
      </c>
      <c r="L54" s="257">
        <f>IF(OR(I54=0,J54=0),0,ROUND((J54-I54)*24,2))</f>
        <v/>
      </c>
      <c r="M54" s="254">
        <f>IFERROR(TRIM(MID(A54,FIND("@",SUBSTITUTE(A54,"(","@",LEN(A54)-LEN(SUBSTITUTE(A54,"(",""))))+1,FIND(")",A54,FIND("@",SUBSTITUTE(A54,"(","@",LEN(A54)-LEN(SUBSTITUTE(A54,"(","")))))-FIND("@",SUBSTITUTE(A54,"(","@",LEN(A54)-LEN(SUBSTITUTE(A54,"(",""))))-1)),"")</f>
        <v/>
      </c>
      <c r="N54" s="254">
        <f>IF(A54="","",IF(LEFT(TRIM(A54),5)="Leave","Leave",IF(OR(ISNUMBER(SEARCH("public holiday",A54)),ISNUMBER(SEARCH("Purple",E54))),"Public holiday","Event")))</f>
        <v/>
      </c>
    </row>
    <row r="55">
      <c r="G55" s="254">
        <f>IF(C55="","",IF(ISNUMBER(C55),C55,IF(ISNUMBER(VALUE(LEFT(TRIM(C55),1))),TRIM(C55),TRIM(MID(TRIM(C55),FIND(" ",TRIM(C55))+1,99)))))</f>
        <v/>
      </c>
      <c r="H55" s="254">
        <f>IF(D55="","",IF(ISNUMBER(D55),D55,IF(ISNUMBER(VALUE(LEFT(TRIM(D55),1))),TRIM(D55),TRIM(MID(TRIM(D55),FIND(" ",TRIM(D55))+1,99)))))</f>
        <v/>
      </c>
      <c r="I55" s="255">
        <f>IF(G55="",0,IF(ISNUMBER(G55),G55,IFERROR(DATE(VALUE(MID(G55,FIND("/",G55,FIND("/",G55)+1)+1,4)),VALUE(MID(G55,FIND("/",G55)+1,FIND("/",G55,FIND("/",G55)+1)-FIND("/",G55)-1)),VALUE(LEFT(G55,FIND("/",G55)-1)))+IFERROR(TIMEVALUE(TRIM(MID(G55,FIND(" ",G55)+1,20))),0),0)))</f>
        <v/>
      </c>
      <c r="J55" s="255">
        <f>IF(H55="",0,IF(ISNUMBER(H55),H55,IFERROR(DATE(VALUE(MID(H55,FIND("/",H55,FIND("/",H55)+1)+1,4)),VALUE(MID(H55,FIND("/",H55)+1,FIND("/",H55,FIND("/",H55)+1)-FIND("/",H55)-1)),VALUE(LEFT(H55,FIND("/",H55)-1)))+IFERROR(TIMEVALUE(TRIM(MID(H55,FIND(" ",H55)+1,20))),0),0)))</f>
        <v/>
      </c>
      <c r="K55" s="256">
        <f>IF(I55=0,0,INT(I55))</f>
        <v/>
      </c>
      <c r="L55" s="257">
        <f>IF(OR(I55=0,J55=0),0,ROUND((J55-I55)*24,2))</f>
        <v/>
      </c>
      <c r="M55" s="254">
        <f>IFERROR(TRIM(MID(A55,FIND("@",SUBSTITUTE(A55,"(","@",LEN(A55)-LEN(SUBSTITUTE(A55,"(",""))))+1,FIND(")",A55,FIND("@",SUBSTITUTE(A55,"(","@",LEN(A55)-LEN(SUBSTITUTE(A55,"(","")))))-FIND("@",SUBSTITUTE(A55,"(","@",LEN(A55)-LEN(SUBSTITUTE(A55,"(",""))))-1)),"")</f>
        <v/>
      </c>
      <c r="N55" s="254">
        <f>IF(A55="","",IF(LEFT(TRIM(A55),5)="Leave","Leave",IF(OR(ISNUMBER(SEARCH("public holiday",A55)),ISNUMBER(SEARCH("Purple",E55))),"Public holiday","Event")))</f>
        <v/>
      </c>
    </row>
    <row r="56">
      <c r="G56" s="254">
        <f>IF(C56="","",IF(ISNUMBER(C56),C56,IF(ISNUMBER(VALUE(LEFT(TRIM(C56),1))),TRIM(C56),TRIM(MID(TRIM(C56),FIND(" ",TRIM(C56))+1,99)))))</f>
        <v/>
      </c>
      <c r="H56" s="254">
        <f>IF(D56="","",IF(ISNUMBER(D56),D56,IF(ISNUMBER(VALUE(LEFT(TRIM(D56),1))),TRIM(D56),TRIM(MID(TRIM(D56),FIND(" ",TRIM(D56))+1,99)))))</f>
        <v/>
      </c>
      <c r="I56" s="255">
        <f>IF(G56="",0,IF(ISNUMBER(G56),G56,IFERROR(DATE(VALUE(MID(G56,FIND("/",G56,FIND("/",G56)+1)+1,4)),VALUE(MID(G56,FIND("/",G56)+1,FIND("/",G56,FIND("/",G56)+1)-FIND("/",G56)-1)),VALUE(LEFT(G56,FIND("/",G56)-1)))+IFERROR(TIMEVALUE(TRIM(MID(G56,FIND(" ",G56)+1,20))),0),0)))</f>
        <v/>
      </c>
      <c r="J56" s="255">
        <f>IF(H56="",0,IF(ISNUMBER(H56),H56,IFERROR(DATE(VALUE(MID(H56,FIND("/",H56,FIND("/",H56)+1)+1,4)),VALUE(MID(H56,FIND("/",H56)+1,FIND("/",H56,FIND("/",H56)+1)-FIND("/",H56)-1)),VALUE(LEFT(H56,FIND("/",H56)-1)))+IFERROR(TIMEVALUE(TRIM(MID(H56,FIND(" ",H56)+1,20))),0),0)))</f>
        <v/>
      </c>
      <c r="K56" s="256">
        <f>IF(I56=0,0,INT(I56))</f>
        <v/>
      </c>
      <c r="L56" s="257">
        <f>IF(OR(I56=0,J56=0),0,ROUND((J56-I56)*24,2))</f>
        <v/>
      </c>
      <c r="M56" s="254">
        <f>IFERROR(TRIM(MID(A56,FIND("@",SUBSTITUTE(A56,"(","@",LEN(A56)-LEN(SUBSTITUTE(A56,"(",""))))+1,FIND(")",A56,FIND("@",SUBSTITUTE(A56,"(","@",LEN(A56)-LEN(SUBSTITUTE(A56,"(","")))))-FIND("@",SUBSTITUTE(A56,"(","@",LEN(A56)-LEN(SUBSTITUTE(A56,"(",""))))-1)),"")</f>
        <v/>
      </c>
      <c r="N56" s="254">
        <f>IF(A56="","",IF(LEFT(TRIM(A56),5)="Leave","Leave",IF(OR(ISNUMBER(SEARCH("public holiday",A56)),ISNUMBER(SEARCH("Purple",E56))),"Public holiday","Event")))</f>
        <v/>
      </c>
    </row>
    <row r="57">
      <c r="G57" s="254">
        <f>IF(C57="","",IF(ISNUMBER(C57),C57,IF(ISNUMBER(VALUE(LEFT(TRIM(C57),1))),TRIM(C57),TRIM(MID(TRIM(C57),FIND(" ",TRIM(C57))+1,99)))))</f>
        <v/>
      </c>
      <c r="H57" s="254">
        <f>IF(D57="","",IF(ISNUMBER(D57),D57,IF(ISNUMBER(VALUE(LEFT(TRIM(D57),1))),TRIM(D57),TRIM(MID(TRIM(D57),FIND(" ",TRIM(D57))+1,99)))))</f>
        <v/>
      </c>
      <c r="I57" s="255">
        <f>IF(G57="",0,IF(ISNUMBER(G57),G57,IFERROR(DATE(VALUE(MID(G57,FIND("/",G57,FIND("/",G57)+1)+1,4)),VALUE(MID(G57,FIND("/",G57)+1,FIND("/",G57,FIND("/",G57)+1)-FIND("/",G57)-1)),VALUE(LEFT(G57,FIND("/",G57)-1)))+IFERROR(TIMEVALUE(TRIM(MID(G57,FIND(" ",G57)+1,20))),0),0)))</f>
        <v/>
      </c>
      <c r="J57" s="255">
        <f>IF(H57="",0,IF(ISNUMBER(H57),H57,IFERROR(DATE(VALUE(MID(H57,FIND("/",H57,FIND("/",H57)+1)+1,4)),VALUE(MID(H57,FIND("/",H57)+1,FIND("/",H57,FIND("/",H57)+1)-FIND("/",H57)-1)),VALUE(LEFT(H57,FIND("/",H57)-1)))+IFERROR(TIMEVALUE(TRIM(MID(H57,FIND(" ",H57)+1,20))),0),0)))</f>
        <v/>
      </c>
      <c r="K57" s="256">
        <f>IF(I57=0,0,INT(I57))</f>
        <v/>
      </c>
      <c r="L57" s="257">
        <f>IF(OR(I57=0,J57=0),0,ROUND((J57-I57)*24,2))</f>
        <v/>
      </c>
      <c r="M57" s="254">
        <f>IFERROR(TRIM(MID(A57,FIND("@",SUBSTITUTE(A57,"(","@",LEN(A57)-LEN(SUBSTITUTE(A57,"(",""))))+1,FIND(")",A57,FIND("@",SUBSTITUTE(A57,"(","@",LEN(A57)-LEN(SUBSTITUTE(A57,"(","")))))-FIND("@",SUBSTITUTE(A57,"(","@",LEN(A57)-LEN(SUBSTITUTE(A57,"(",""))))-1)),"")</f>
        <v/>
      </c>
      <c r="N57" s="254">
        <f>IF(A57="","",IF(LEFT(TRIM(A57),5)="Leave","Leave",IF(OR(ISNUMBER(SEARCH("public holiday",A57)),ISNUMBER(SEARCH("Purple",E57))),"Public holiday","Event")))</f>
        <v/>
      </c>
    </row>
    <row r="58">
      <c r="G58" s="254">
        <f>IF(C58="","",IF(ISNUMBER(C58),C58,IF(ISNUMBER(VALUE(LEFT(TRIM(C58),1))),TRIM(C58),TRIM(MID(TRIM(C58),FIND(" ",TRIM(C58))+1,99)))))</f>
        <v/>
      </c>
      <c r="H58" s="254">
        <f>IF(D58="","",IF(ISNUMBER(D58),D58,IF(ISNUMBER(VALUE(LEFT(TRIM(D58),1))),TRIM(D58),TRIM(MID(TRIM(D58),FIND(" ",TRIM(D58))+1,99)))))</f>
        <v/>
      </c>
      <c r="I58" s="255">
        <f>IF(G58="",0,IF(ISNUMBER(G58),G58,IFERROR(DATE(VALUE(MID(G58,FIND("/",G58,FIND("/",G58)+1)+1,4)),VALUE(MID(G58,FIND("/",G58)+1,FIND("/",G58,FIND("/",G58)+1)-FIND("/",G58)-1)),VALUE(LEFT(G58,FIND("/",G58)-1)))+IFERROR(TIMEVALUE(TRIM(MID(G58,FIND(" ",G58)+1,20))),0),0)))</f>
        <v/>
      </c>
      <c r="J58" s="255">
        <f>IF(H58="",0,IF(ISNUMBER(H58),H58,IFERROR(DATE(VALUE(MID(H58,FIND("/",H58,FIND("/",H58)+1)+1,4)),VALUE(MID(H58,FIND("/",H58)+1,FIND("/",H58,FIND("/",H58)+1)-FIND("/",H58)-1)),VALUE(LEFT(H58,FIND("/",H58)-1)))+IFERROR(TIMEVALUE(TRIM(MID(H58,FIND(" ",H58)+1,20))),0),0)))</f>
        <v/>
      </c>
      <c r="K58" s="256">
        <f>IF(I58=0,0,INT(I58))</f>
        <v/>
      </c>
      <c r="L58" s="257">
        <f>IF(OR(I58=0,J58=0),0,ROUND((J58-I58)*24,2))</f>
        <v/>
      </c>
      <c r="M58" s="254">
        <f>IFERROR(TRIM(MID(A58,FIND("@",SUBSTITUTE(A58,"(","@",LEN(A58)-LEN(SUBSTITUTE(A58,"(",""))))+1,FIND(")",A58,FIND("@",SUBSTITUTE(A58,"(","@",LEN(A58)-LEN(SUBSTITUTE(A58,"(","")))))-FIND("@",SUBSTITUTE(A58,"(","@",LEN(A58)-LEN(SUBSTITUTE(A58,"(",""))))-1)),"")</f>
        <v/>
      </c>
      <c r="N58" s="254">
        <f>IF(A58="","",IF(LEFT(TRIM(A58),5)="Leave","Leave",IF(OR(ISNUMBER(SEARCH("public holiday",A58)),ISNUMBER(SEARCH("Purple",E58))),"Public holiday","Event")))</f>
        <v/>
      </c>
    </row>
    <row r="59">
      <c r="G59" s="254">
        <f>IF(C59="","",IF(ISNUMBER(C59),C59,IF(ISNUMBER(VALUE(LEFT(TRIM(C59),1))),TRIM(C59),TRIM(MID(TRIM(C59),FIND(" ",TRIM(C59))+1,99)))))</f>
        <v/>
      </c>
      <c r="H59" s="254">
        <f>IF(D59="","",IF(ISNUMBER(D59),D59,IF(ISNUMBER(VALUE(LEFT(TRIM(D59),1))),TRIM(D59),TRIM(MID(TRIM(D59),FIND(" ",TRIM(D59))+1,99)))))</f>
        <v/>
      </c>
      <c r="I59" s="255">
        <f>IF(G59="",0,IF(ISNUMBER(G59),G59,IFERROR(DATE(VALUE(MID(G59,FIND("/",G59,FIND("/",G59)+1)+1,4)),VALUE(MID(G59,FIND("/",G59)+1,FIND("/",G59,FIND("/",G59)+1)-FIND("/",G59)-1)),VALUE(LEFT(G59,FIND("/",G59)-1)))+IFERROR(TIMEVALUE(TRIM(MID(G59,FIND(" ",G59)+1,20))),0),0)))</f>
        <v/>
      </c>
      <c r="J59" s="255">
        <f>IF(H59="",0,IF(ISNUMBER(H59),H59,IFERROR(DATE(VALUE(MID(H59,FIND("/",H59,FIND("/",H59)+1)+1,4)),VALUE(MID(H59,FIND("/",H59)+1,FIND("/",H59,FIND("/",H59)+1)-FIND("/",H59)-1)),VALUE(LEFT(H59,FIND("/",H59)-1)))+IFERROR(TIMEVALUE(TRIM(MID(H59,FIND(" ",H59)+1,20))),0),0)))</f>
        <v/>
      </c>
      <c r="K59" s="256">
        <f>IF(I59=0,0,INT(I59))</f>
        <v/>
      </c>
      <c r="L59" s="257">
        <f>IF(OR(I59=0,J59=0),0,ROUND((J59-I59)*24,2))</f>
        <v/>
      </c>
      <c r="M59" s="254">
        <f>IFERROR(TRIM(MID(A59,FIND("@",SUBSTITUTE(A59,"(","@",LEN(A59)-LEN(SUBSTITUTE(A59,"(",""))))+1,FIND(")",A59,FIND("@",SUBSTITUTE(A59,"(","@",LEN(A59)-LEN(SUBSTITUTE(A59,"(","")))))-FIND("@",SUBSTITUTE(A59,"(","@",LEN(A59)-LEN(SUBSTITUTE(A59,"(",""))))-1)),"")</f>
        <v/>
      </c>
      <c r="N59" s="254">
        <f>IF(A59="","",IF(LEFT(TRIM(A59),5)="Leave","Leave",IF(OR(ISNUMBER(SEARCH("public holiday",A59)),ISNUMBER(SEARCH("Purple",E59))),"Public holiday","Event")))</f>
        <v/>
      </c>
    </row>
    <row r="60">
      <c r="G60" s="254">
        <f>IF(C60="","",IF(ISNUMBER(C60),C60,IF(ISNUMBER(VALUE(LEFT(TRIM(C60),1))),TRIM(C60),TRIM(MID(TRIM(C60),FIND(" ",TRIM(C60))+1,99)))))</f>
        <v/>
      </c>
      <c r="H60" s="254">
        <f>IF(D60="","",IF(ISNUMBER(D60),D60,IF(ISNUMBER(VALUE(LEFT(TRIM(D60),1))),TRIM(D60),TRIM(MID(TRIM(D60),FIND(" ",TRIM(D60))+1,99)))))</f>
        <v/>
      </c>
      <c r="I60" s="255">
        <f>IF(G60="",0,IF(ISNUMBER(G60),G60,IFERROR(DATE(VALUE(MID(G60,FIND("/",G60,FIND("/",G60)+1)+1,4)),VALUE(MID(G60,FIND("/",G60)+1,FIND("/",G60,FIND("/",G60)+1)-FIND("/",G60)-1)),VALUE(LEFT(G60,FIND("/",G60)-1)))+IFERROR(TIMEVALUE(TRIM(MID(G60,FIND(" ",G60)+1,20))),0),0)))</f>
        <v/>
      </c>
      <c r="J60" s="255">
        <f>IF(H60="",0,IF(ISNUMBER(H60),H60,IFERROR(DATE(VALUE(MID(H60,FIND("/",H60,FIND("/",H60)+1)+1,4)),VALUE(MID(H60,FIND("/",H60)+1,FIND("/",H60,FIND("/",H60)+1)-FIND("/",H60)-1)),VALUE(LEFT(H60,FIND("/",H60)-1)))+IFERROR(TIMEVALUE(TRIM(MID(H60,FIND(" ",H60)+1,20))),0),0)))</f>
        <v/>
      </c>
      <c r="K60" s="256">
        <f>IF(I60=0,0,INT(I60))</f>
        <v/>
      </c>
      <c r="L60" s="257">
        <f>IF(OR(I60=0,J60=0),0,ROUND((J60-I60)*24,2))</f>
        <v/>
      </c>
      <c r="M60" s="254">
        <f>IFERROR(TRIM(MID(A60,FIND("@",SUBSTITUTE(A60,"(","@",LEN(A60)-LEN(SUBSTITUTE(A60,"(",""))))+1,FIND(")",A60,FIND("@",SUBSTITUTE(A60,"(","@",LEN(A60)-LEN(SUBSTITUTE(A60,"(","")))))-FIND("@",SUBSTITUTE(A60,"(","@",LEN(A60)-LEN(SUBSTITUTE(A60,"(",""))))-1)),"")</f>
        <v/>
      </c>
      <c r="N60" s="254">
        <f>IF(A60="","",IF(LEFT(TRIM(A60),5)="Leave","Leave",IF(OR(ISNUMBER(SEARCH("public holiday",A60)),ISNUMBER(SEARCH("Purple",E60))),"Public holiday","Event")))</f>
        <v/>
      </c>
    </row>
    <row r="61">
      <c r="G61" s="254">
        <f>IF(C61="","",IF(ISNUMBER(C61),C61,IF(ISNUMBER(VALUE(LEFT(TRIM(C61),1))),TRIM(C61),TRIM(MID(TRIM(C61),FIND(" ",TRIM(C61))+1,99)))))</f>
        <v/>
      </c>
      <c r="H61" s="254">
        <f>IF(D61="","",IF(ISNUMBER(D61),D61,IF(ISNUMBER(VALUE(LEFT(TRIM(D61),1))),TRIM(D61),TRIM(MID(TRIM(D61),FIND(" ",TRIM(D61))+1,99)))))</f>
        <v/>
      </c>
      <c r="I61" s="255">
        <f>IF(G61="",0,IF(ISNUMBER(G61),G61,IFERROR(DATE(VALUE(MID(G61,FIND("/",G61,FIND("/",G61)+1)+1,4)),VALUE(MID(G61,FIND("/",G61)+1,FIND("/",G61,FIND("/",G61)+1)-FIND("/",G61)-1)),VALUE(LEFT(G61,FIND("/",G61)-1)))+IFERROR(TIMEVALUE(TRIM(MID(G61,FIND(" ",G61)+1,20))),0),0)))</f>
        <v/>
      </c>
      <c r="J61" s="255">
        <f>IF(H61="",0,IF(ISNUMBER(H61),H61,IFERROR(DATE(VALUE(MID(H61,FIND("/",H61,FIND("/",H61)+1)+1,4)),VALUE(MID(H61,FIND("/",H61)+1,FIND("/",H61,FIND("/",H61)+1)-FIND("/",H61)-1)),VALUE(LEFT(H61,FIND("/",H61)-1)))+IFERROR(TIMEVALUE(TRIM(MID(H61,FIND(" ",H61)+1,20))),0),0)))</f>
        <v/>
      </c>
      <c r="K61" s="256">
        <f>IF(I61=0,0,INT(I61))</f>
        <v/>
      </c>
      <c r="L61" s="257">
        <f>IF(OR(I61=0,J61=0),0,ROUND((J61-I61)*24,2))</f>
        <v/>
      </c>
      <c r="M61" s="254">
        <f>IFERROR(TRIM(MID(A61,FIND("@",SUBSTITUTE(A61,"(","@",LEN(A61)-LEN(SUBSTITUTE(A61,"(",""))))+1,FIND(")",A61,FIND("@",SUBSTITUTE(A61,"(","@",LEN(A61)-LEN(SUBSTITUTE(A61,"(","")))))-FIND("@",SUBSTITUTE(A61,"(","@",LEN(A61)-LEN(SUBSTITUTE(A61,"(",""))))-1)),"")</f>
        <v/>
      </c>
      <c r="N61" s="254">
        <f>IF(A61="","",IF(LEFT(TRIM(A61),5)="Leave","Leave",IF(OR(ISNUMBER(SEARCH("public holiday",A61)),ISNUMBER(SEARCH("Purple",E61))),"Public holiday","Event")))</f>
        <v/>
      </c>
    </row>
    <row r="62">
      <c r="G62" s="254">
        <f>IF(C62="","",IF(ISNUMBER(C62),C62,IF(ISNUMBER(VALUE(LEFT(TRIM(C62),1))),TRIM(C62),TRIM(MID(TRIM(C62),FIND(" ",TRIM(C62))+1,99)))))</f>
        <v/>
      </c>
      <c r="H62" s="254">
        <f>IF(D62="","",IF(ISNUMBER(D62),D62,IF(ISNUMBER(VALUE(LEFT(TRIM(D62),1))),TRIM(D62),TRIM(MID(TRIM(D62),FIND(" ",TRIM(D62))+1,99)))))</f>
        <v/>
      </c>
      <c r="I62" s="255">
        <f>IF(G62="",0,IF(ISNUMBER(G62),G62,IFERROR(DATE(VALUE(MID(G62,FIND("/",G62,FIND("/",G62)+1)+1,4)),VALUE(MID(G62,FIND("/",G62)+1,FIND("/",G62,FIND("/",G62)+1)-FIND("/",G62)-1)),VALUE(LEFT(G62,FIND("/",G62)-1)))+IFERROR(TIMEVALUE(TRIM(MID(G62,FIND(" ",G62)+1,20))),0),0)))</f>
        <v/>
      </c>
      <c r="J62" s="255">
        <f>IF(H62="",0,IF(ISNUMBER(H62),H62,IFERROR(DATE(VALUE(MID(H62,FIND("/",H62,FIND("/",H62)+1)+1,4)),VALUE(MID(H62,FIND("/",H62)+1,FIND("/",H62,FIND("/",H62)+1)-FIND("/",H62)-1)),VALUE(LEFT(H62,FIND("/",H62)-1)))+IFERROR(TIMEVALUE(TRIM(MID(H62,FIND(" ",H62)+1,20))),0),0)))</f>
        <v/>
      </c>
      <c r="K62" s="256">
        <f>IF(I62=0,0,INT(I62))</f>
        <v/>
      </c>
      <c r="L62" s="257">
        <f>IF(OR(I62=0,J62=0),0,ROUND((J62-I62)*24,2))</f>
        <v/>
      </c>
      <c r="M62" s="254">
        <f>IFERROR(TRIM(MID(A62,FIND("@",SUBSTITUTE(A62,"(","@",LEN(A62)-LEN(SUBSTITUTE(A62,"(",""))))+1,FIND(")",A62,FIND("@",SUBSTITUTE(A62,"(","@",LEN(A62)-LEN(SUBSTITUTE(A62,"(","")))))-FIND("@",SUBSTITUTE(A62,"(","@",LEN(A62)-LEN(SUBSTITUTE(A62,"(",""))))-1)),"")</f>
        <v/>
      </c>
      <c r="N62" s="254">
        <f>IF(A62="","",IF(LEFT(TRIM(A62),5)="Leave","Leave",IF(OR(ISNUMBER(SEARCH("public holiday",A62)),ISNUMBER(SEARCH("Purple",E62))),"Public holiday","Event")))</f>
        <v/>
      </c>
    </row>
    <row r="63">
      <c r="G63" s="254">
        <f>IF(C63="","",IF(ISNUMBER(C63),C63,IF(ISNUMBER(VALUE(LEFT(TRIM(C63),1))),TRIM(C63),TRIM(MID(TRIM(C63),FIND(" ",TRIM(C63))+1,99)))))</f>
        <v/>
      </c>
      <c r="H63" s="254">
        <f>IF(D63="","",IF(ISNUMBER(D63),D63,IF(ISNUMBER(VALUE(LEFT(TRIM(D63),1))),TRIM(D63),TRIM(MID(TRIM(D63),FIND(" ",TRIM(D63))+1,99)))))</f>
        <v/>
      </c>
      <c r="I63" s="255">
        <f>IF(G63="",0,IF(ISNUMBER(G63),G63,IFERROR(DATE(VALUE(MID(G63,FIND("/",G63,FIND("/",G63)+1)+1,4)),VALUE(MID(G63,FIND("/",G63)+1,FIND("/",G63,FIND("/",G63)+1)-FIND("/",G63)-1)),VALUE(LEFT(G63,FIND("/",G63)-1)))+IFERROR(TIMEVALUE(TRIM(MID(G63,FIND(" ",G63)+1,20))),0),0)))</f>
        <v/>
      </c>
      <c r="J63" s="255">
        <f>IF(H63="",0,IF(ISNUMBER(H63),H63,IFERROR(DATE(VALUE(MID(H63,FIND("/",H63,FIND("/",H63)+1)+1,4)),VALUE(MID(H63,FIND("/",H63)+1,FIND("/",H63,FIND("/",H63)+1)-FIND("/",H63)-1)),VALUE(LEFT(H63,FIND("/",H63)-1)))+IFERROR(TIMEVALUE(TRIM(MID(H63,FIND(" ",H63)+1,20))),0),0)))</f>
        <v/>
      </c>
      <c r="K63" s="256">
        <f>IF(I63=0,0,INT(I63))</f>
        <v/>
      </c>
      <c r="L63" s="257">
        <f>IF(OR(I63=0,J63=0),0,ROUND((J63-I63)*24,2))</f>
        <v/>
      </c>
      <c r="M63" s="254">
        <f>IFERROR(TRIM(MID(A63,FIND("@",SUBSTITUTE(A63,"(","@",LEN(A63)-LEN(SUBSTITUTE(A63,"(",""))))+1,FIND(")",A63,FIND("@",SUBSTITUTE(A63,"(","@",LEN(A63)-LEN(SUBSTITUTE(A63,"(","")))))-FIND("@",SUBSTITUTE(A63,"(","@",LEN(A63)-LEN(SUBSTITUTE(A63,"(",""))))-1)),"")</f>
        <v/>
      </c>
      <c r="N63" s="254">
        <f>IF(A63="","",IF(LEFT(TRIM(A63),5)="Leave","Leave",IF(OR(ISNUMBER(SEARCH("public holiday",A63)),ISNUMBER(SEARCH("Purple",E63))),"Public holiday","Event")))</f>
        <v/>
      </c>
    </row>
    <row r="64">
      <c r="G64" s="254">
        <f>IF(C64="","",IF(ISNUMBER(C64),C64,IF(ISNUMBER(VALUE(LEFT(TRIM(C64),1))),TRIM(C64),TRIM(MID(TRIM(C64),FIND(" ",TRIM(C64))+1,99)))))</f>
        <v/>
      </c>
      <c r="H64" s="254">
        <f>IF(D64="","",IF(ISNUMBER(D64),D64,IF(ISNUMBER(VALUE(LEFT(TRIM(D64),1))),TRIM(D64),TRIM(MID(TRIM(D64),FIND(" ",TRIM(D64))+1,99)))))</f>
        <v/>
      </c>
      <c r="I64" s="255">
        <f>IF(G64="",0,IF(ISNUMBER(G64),G64,IFERROR(DATE(VALUE(MID(G64,FIND("/",G64,FIND("/",G64)+1)+1,4)),VALUE(MID(G64,FIND("/",G64)+1,FIND("/",G64,FIND("/",G64)+1)-FIND("/",G64)-1)),VALUE(LEFT(G64,FIND("/",G64)-1)))+IFERROR(TIMEVALUE(TRIM(MID(G64,FIND(" ",G64)+1,20))),0),0)))</f>
        <v/>
      </c>
      <c r="J64" s="255">
        <f>IF(H64="",0,IF(ISNUMBER(H64),H64,IFERROR(DATE(VALUE(MID(H64,FIND("/",H64,FIND("/",H64)+1)+1,4)),VALUE(MID(H64,FIND("/",H64)+1,FIND("/",H64,FIND("/",H64)+1)-FIND("/",H64)-1)),VALUE(LEFT(H64,FIND("/",H64)-1)))+IFERROR(TIMEVALUE(TRIM(MID(H64,FIND(" ",H64)+1,20))),0),0)))</f>
        <v/>
      </c>
      <c r="K64" s="256">
        <f>IF(I64=0,0,INT(I64))</f>
        <v/>
      </c>
      <c r="L64" s="257">
        <f>IF(OR(I64=0,J64=0),0,ROUND((J64-I64)*24,2))</f>
        <v/>
      </c>
      <c r="M64" s="254">
        <f>IFERROR(TRIM(MID(A64,FIND("@",SUBSTITUTE(A64,"(","@",LEN(A64)-LEN(SUBSTITUTE(A64,"(",""))))+1,FIND(")",A64,FIND("@",SUBSTITUTE(A64,"(","@",LEN(A64)-LEN(SUBSTITUTE(A64,"(","")))))-FIND("@",SUBSTITUTE(A64,"(","@",LEN(A64)-LEN(SUBSTITUTE(A64,"(",""))))-1)),"")</f>
        <v/>
      </c>
      <c r="N64" s="254">
        <f>IF(A64="","",IF(LEFT(TRIM(A64),5)="Leave","Leave",IF(OR(ISNUMBER(SEARCH("public holiday",A64)),ISNUMBER(SEARCH("Purple",E64))),"Public holiday","Event")))</f>
        <v/>
      </c>
    </row>
    <row r="65">
      <c r="G65" s="254">
        <f>IF(C65="","",IF(ISNUMBER(C65),C65,IF(ISNUMBER(VALUE(LEFT(TRIM(C65),1))),TRIM(C65),TRIM(MID(TRIM(C65),FIND(" ",TRIM(C65))+1,99)))))</f>
        <v/>
      </c>
      <c r="H65" s="254">
        <f>IF(D65="","",IF(ISNUMBER(D65),D65,IF(ISNUMBER(VALUE(LEFT(TRIM(D65),1))),TRIM(D65),TRIM(MID(TRIM(D65),FIND(" ",TRIM(D65))+1,99)))))</f>
        <v/>
      </c>
      <c r="I65" s="255">
        <f>IF(G65="",0,IF(ISNUMBER(G65),G65,IFERROR(DATE(VALUE(MID(G65,FIND("/",G65,FIND("/",G65)+1)+1,4)),VALUE(MID(G65,FIND("/",G65)+1,FIND("/",G65,FIND("/",G65)+1)-FIND("/",G65)-1)),VALUE(LEFT(G65,FIND("/",G65)-1)))+IFERROR(TIMEVALUE(TRIM(MID(G65,FIND(" ",G65)+1,20))),0),0)))</f>
        <v/>
      </c>
      <c r="J65" s="255">
        <f>IF(H65="",0,IF(ISNUMBER(H65),H65,IFERROR(DATE(VALUE(MID(H65,FIND("/",H65,FIND("/",H65)+1)+1,4)),VALUE(MID(H65,FIND("/",H65)+1,FIND("/",H65,FIND("/",H65)+1)-FIND("/",H65)-1)),VALUE(LEFT(H65,FIND("/",H65)-1)))+IFERROR(TIMEVALUE(TRIM(MID(H65,FIND(" ",H65)+1,20))),0),0)))</f>
        <v/>
      </c>
      <c r="K65" s="256">
        <f>IF(I65=0,0,INT(I65))</f>
        <v/>
      </c>
      <c r="L65" s="257">
        <f>IF(OR(I65=0,J65=0),0,ROUND((J65-I65)*24,2))</f>
        <v/>
      </c>
      <c r="M65" s="254">
        <f>IFERROR(TRIM(MID(A65,FIND("@",SUBSTITUTE(A65,"(","@",LEN(A65)-LEN(SUBSTITUTE(A65,"(",""))))+1,FIND(")",A65,FIND("@",SUBSTITUTE(A65,"(","@",LEN(A65)-LEN(SUBSTITUTE(A65,"(","")))))-FIND("@",SUBSTITUTE(A65,"(","@",LEN(A65)-LEN(SUBSTITUTE(A65,"(",""))))-1)),"")</f>
        <v/>
      </c>
      <c r="N65" s="254">
        <f>IF(A65="","",IF(LEFT(TRIM(A65),5)="Leave","Leave",IF(OR(ISNUMBER(SEARCH("public holiday",A65)),ISNUMBER(SEARCH("Purple",E65))),"Public holiday","Event")))</f>
        <v/>
      </c>
    </row>
    <row r="66">
      <c r="G66" s="254">
        <f>IF(C66="","",IF(ISNUMBER(C66),C66,IF(ISNUMBER(VALUE(LEFT(TRIM(C66),1))),TRIM(C66),TRIM(MID(TRIM(C66),FIND(" ",TRIM(C66))+1,99)))))</f>
        <v/>
      </c>
      <c r="H66" s="254">
        <f>IF(D66="","",IF(ISNUMBER(D66),D66,IF(ISNUMBER(VALUE(LEFT(TRIM(D66),1))),TRIM(D66),TRIM(MID(TRIM(D66),FIND(" ",TRIM(D66))+1,99)))))</f>
        <v/>
      </c>
      <c r="I66" s="255">
        <f>IF(G66="",0,IF(ISNUMBER(G66),G66,IFERROR(DATE(VALUE(MID(G66,FIND("/",G66,FIND("/",G66)+1)+1,4)),VALUE(MID(G66,FIND("/",G66)+1,FIND("/",G66,FIND("/",G66)+1)-FIND("/",G66)-1)),VALUE(LEFT(G66,FIND("/",G66)-1)))+IFERROR(TIMEVALUE(TRIM(MID(G66,FIND(" ",G66)+1,20))),0),0)))</f>
        <v/>
      </c>
      <c r="J66" s="255">
        <f>IF(H66="",0,IF(ISNUMBER(H66),H66,IFERROR(DATE(VALUE(MID(H66,FIND("/",H66,FIND("/",H66)+1)+1,4)),VALUE(MID(H66,FIND("/",H66)+1,FIND("/",H66,FIND("/",H66)+1)-FIND("/",H66)-1)),VALUE(LEFT(H66,FIND("/",H66)-1)))+IFERROR(TIMEVALUE(TRIM(MID(H66,FIND(" ",H66)+1,20))),0),0)))</f>
        <v/>
      </c>
      <c r="K66" s="256">
        <f>IF(I66=0,0,INT(I66))</f>
        <v/>
      </c>
      <c r="L66" s="257">
        <f>IF(OR(I66=0,J66=0),0,ROUND((J66-I66)*24,2))</f>
        <v/>
      </c>
      <c r="M66" s="254">
        <f>IFERROR(TRIM(MID(A66,FIND("@",SUBSTITUTE(A66,"(","@",LEN(A66)-LEN(SUBSTITUTE(A66,"(",""))))+1,FIND(")",A66,FIND("@",SUBSTITUTE(A66,"(","@",LEN(A66)-LEN(SUBSTITUTE(A66,"(","")))))-FIND("@",SUBSTITUTE(A66,"(","@",LEN(A66)-LEN(SUBSTITUTE(A66,"(",""))))-1)),"")</f>
        <v/>
      </c>
      <c r="N66" s="254">
        <f>IF(A66="","",IF(LEFT(TRIM(A66),5)="Leave","Leave",IF(OR(ISNUMBER(SEARCH("public holiday",A66)),ISNUMBER(SEARCH("Purple",E66))),"Public holiday","Event")))</f>
        <v/>
      </c>
    </row>
    <row r="67">
      <c r="G67" s="254">
        <f>IF(C67="","",IF(ISNUMBER(C67),C67,IF(ISNUMBER(VALUE(LEFT(TRIM(C67),1))),TRIM(C67),TRIM(MID(TRIM(C67),FIND(" ",TRIM(C67))+1,99)))))</f>
        <v/>
      </c>
      <c r="H67" s="254">
        <f>IF(D67="","",IF(ISNUMBER(D67),D67,IF(ISNUMBER(VALUE(LEFT(TRIM(D67),1))),TRIM(D67),TRIM(MID(TRIM(D67),FIND(" ",TRIM(D67))+1,99)))))</f>
        <v/>
      </c>
      <c r="I67" s="255">
        <f>IF(G67="",0,IF(ISNUMBER(G67),G67,IFERROR(DATE(VALUE(MID(G67,FIND("/",G67,FIND("/",G67)+1)+1,4)),VALUE(MID(G67,FIND("/",G67)+1,FIND("/",G67,FIND("/",G67)+1)-FIND("/",G67)-1)),VALUE(LEFT(G67,FIND("/",G67)-1)))+IFERROR(TIMEVALUE(TRIM(MID(G67,FIND(" ",G67)+1,20))),0),0)))</f>
        <v/>
      </c>
      <c r="J67" s="255">
        <f>IF(H67="",0,IF(ISNUMBER(H67),H67,IFERROR(DATE(VALUE(MID(H67,FIND("/",H67,FIND("/",H67)+1)+1,4)),VALUE(MID(H67,FIND("/",H67)+1,FIND("/",H67,FIND("/",H67)+1)-FIND("/",H67)-1)),VALUE(LEFT(H67,FIND("/",H67)-1)))+IFERROR(TIMEVALUE(TRIM(MID(H67,FIND(" ",H67)+1,20))),0),0)))</f>
        <v/>
      </c>
      <c r="K67" s="256">
        <f>IF(I67=0,0,INT(I67))</f>
        <v/>
      </c>
      <c r="L67" s="257">
        <f>IF(OR(I67=0,J67=0),0,ROUND((J67-I67)*24,2))</f>
        <v/>
      </c>
      <c r="M67" s="254">
        <f>IFERROR(TRIM(MID(A67,FIND("@",SUBSTITUTE(A67,"(","@",LEN(A67)-LEN(SUBSTITUTE(A67,"(",""))))+1,FIND(")",A67,FIND("@",SUBSTITUTE(A67,"(","@",LEN(A67)-LEN(SUBSTITUTE(A67,"(","")))))-FIND("@",SUBSTITUTE(A67,"(","@",LEN(A67)-LEN(SUBSTITUTE(A67,"(",""))))-1)),"")</f>
        <v/>
      </c>
      <c r="N67" s="254">
        <f>IF(A67="","",IF(LEFT(TRIM(A67),5)="Leave","Leave",IF(OR(ISNUMBER(SEARCH("public holiday",A67)),ISNUMBER(SEARCH("Purple",E67))),"Public holiday","Event")))</f>
        <v/>
      </c>
    </row>
    <row r="68">
      <c r="G68" s="254">
        <f>IF(C68="","",IF(ISNUMBER(C68),C68,IF(ISNUMBER(VALUE(LEFT(TRIM(C68),1))),TRIM(C68),TRIM(MID(TRIM(C68),FIND(" ",TRIM(C68))+1,99)))))</f>
        <v/>
      </c>
      <c r="H68" s="254">
        <f>IF(D68="","",IF(ISNUMBER(D68),D68,IF(ISNUMBER(VALUE(LEFT(TRIM(D68),1))),TRIM(D68),TRIM(MID(TRIM(D68),FIND(" ",TRIM(D68))+1,99)))))</f>
        <v/>
      </c>
      <c r="I68" s="255">
        <f>IF(G68="",0,IF(ISNUMBER(G68),G68,IFERROR(DATE(VALUE(MID(G68,FIND("/",G68,FIND("/",G68)+1)+1,4)),VALUE(MID(G68,FIND("/",G68)+1,FIND("/",G68,FIND("/",G68)+1)-FIND("/",G68)-1)),VALUE(LEFT(G68,FIND("/",G68)-1)))+IFERROR(TIMEVALUE(TRIM(MID(G68,FIND(" ",G68)+1,20))),0),0)))</f>
        <v/>
      </c>
      <c r="J68" s="255">
        <f>IF(H68="",0,IF(ISNUMBER(H68),H68,IFERROR(DATE(VALUE(MID(H68,FIND("/",H68,FIND("/",H68)+1)+1,4)),VALUE(MID(H68,FIND("/",H68)+1,FIND("/",H68,FIND("/",H68)+1)-FIND("/",H68)-1)),VALUE(LEFT(H68,FIND("/",H68)-1)))+IFERROR(TIMEVALUE(TRIM(MID(H68,FIND(" ",H68)+1,20))),0),0)))</f>
        <v/>
      </c>
      <c r="K68" s="256">
        <f>IF(I68=0,0,INT(I68))</f>
        <v/>
      </c>
      <c r="L68" s="257">
        <f>IF(OR(I68=0,J68=0),0,ROUND((J68-I68)*24,2))</f>
        <v/>
      </c>
      <c r="M68" s="254">
        <f>IFERROR(TRIM(MID(A68,FIND("@",SUBSTITUTE(A68,"(","@",LEN(A68)-LEN(SUBSTITUTE(A68,"(",""))))+1,FIND(")",A68,FIND("@",SUBSTITUTE(A68,"(","@",LEN(A68)-LEN(SUBSTITUTE(A68,"(","")))))-FIND("@",SUBSTITUTE(A68,"(","@",LEN(A68)-LEN(SUBSTITUTE(A68,"(",""))))-1)),"")</f>
        <v/>
      </c>
      <c r="N68" s="254">
        <f>IF(A68="","",IF(LEFT(TRIM(A68),5)="Leave","Leave",IF(OR(ISNUMBER(SEARCH("public holiday",A68)),ISNUMBER(SEARCH("Purple",E68))),"Public holiday","Event")))</f>
        <v/>
      </c>
    </row>
    <row r="69">
      <c r="G69" s="254">
        <f>IF(C69="","",IF(ISNUMBER(C69),C69,IF(ISNUMBER(VALUE(LEFT(TRIM(C69),1))),TRIM(C69),TRIM(MID(TRIM(C69),FIND(" ",TRIM(C69))+1,99)))))</f>
        <v/>
      </c>
      <c r="H69" s="254">
        <f>IF(D69="","",IF(ISNUMBER(D69),D69,IF(ISNUMBER(VALUE(LEFT(TRIM(D69),1))),TRIM(D69),TRIM(MID(TRIM(D69),FIND(" ",TRIM(D69))+1,99)))))</f>
        <v/>
      </c>
      <c r="I69" s="255">
        <f>IF(G69="",0,IF(ISNUMBER(G69),G69,IFERROR(DATE(VALUE(MID(G69,FIND("/",G69,FIND("/",G69)+1)+1,4)),VALUE(MID(G69,FIND("/",G69)+1,FIND("/",G69,FIND("/",G69)+1)-FIND("/",G69)-1)),VALUE(LEFT(G69,FIND("/",G69)-1)))+IFERROR(TIMEVALUE(TRIM(MID(G69,FIND(" ",G69)+1,20))),0),0)))</f>
        <v/>
      </c>
      <c r="J69" s="255">
        <f>IF(H69="",0,IF(ISNUMBER(H69),H69,IFERROR(DATE(VALUE(MID(H69,FIND("/",H69,FIND("/",H69)+1)+1,4)),VALUE(MID(H69,FIND("/",H69)+1,FIND("/",H69,FIND("/",H69)+1)-FIND("/",H69)-1)),VALUE(LEFT(H69,FIND("/",H69)-1)))+IFERROR(TIMEVALUE(TRIM(MID(H69,FIND(" ",H69)+1,20))),0),0)))</f>
        <v/>
      </c>
      <c r="K69" s="256">
        <f>IF(I69=0,0,INT(I69))</f>
        <v/>
      </c>
      <c r="L69" s="257">
        <f>IF(OR(I69=0,J69=0),0,ROUND((J69-I69)*24,2))</f>
        <v/>
      </c>
      <c r="M69" s="254">
        <f>IFERROR(TRIM(MID(A69,FIND("@",SUBSTITUTE(A69,"(","@",LEN(A69)-LEN(SUBSTITUTE(A69,"(",""))))+1,FIND(")",A69,FIND("@",SUBSTITUTE(A69,"(","@",LEN(A69)-LEN(SUBSTITUTE(A69,"(","")))))-FIND("@",SUBSTITUTE(A69,"(","@",LEN(A69)-LEN(SUBSTITUTE(A69,"(",""))))-1)),"")</f>
        <v/>
      </c>
      <c r="N69" s="254">
        <f>IF(A69="","",IF(LEFT(TRIM(A69),5)="Leave","Leave",IF(OR(ISNUMBER(SEARCH("public holiday",A69)),ISNUMBER(SEARCH("Purple",E69))),"Public holiday","Event")))</f>
        <v/>
      </c>
    </row>
    <row r="70">
      <c r="G70" s="254">
        <f>IF(C70="","",IF(ISNUMBER(C70),C70,IF(ISNUMBER(VALUE(LEFT(TRIM(C70),1))),TRIM(C70),TRIM(MID(TRIM(C70),FIND(" ",TRIM(C70))+1,99)))))</f>
        <v/>
      </c>
      <c r="H70" s="254">
        <f>IF(D70="","",IF(ISNUMBER(D70),D70,IF(ISNUMBER(VALUE(LEFT(TRIM(D70),1))),TRIM(D70),TRIM(MID(TRIM(D70),FIND(" ",TRIM(D70))+1,99)))))</f>
        <v/>
      </c>
      <c r="I70" s="255">
        <f>IF(G70="",0,IF(ISNUMBER(G70),G70,IFERROR(DATE(VALUE(MID(G70,FIND("/",G70,FIND("/",G70)+1)+1,4)),VALUE(MID(G70,FIND("/",G70)+1,FIND("/",G70,FIND("/",G70)+1)-FIND("/",G70)-1)),VALUE(LEFT(G70,FIND("/",G70)-1)))+IFERROR(TIMEVALUE(TRIM(MID(G70,FIND(" ",G70)+1,20))),0),0)))</f>
        <v/>
      </c>
      <c r="J70" s="255">
        <f>IF(H70="",0,IF(ISNUMBER(H70),H70,IFERROR(DATE(VALUE(MID(H70,FIND("/",H70,FIND("/",H70)+1)+1,4)),VALUE(MID(H70,FIND("/",H70)+1,FIND("/",H70,FIND("/",H70)+1)-FIND("/",H70)-1)),VALUE(LEFT(H70,FIND("/",H70)-1)))+IFERROR(TIMEVALUE(TRIM(MID(H70,FIND(" ",H70)+1,20))),0),0)))</f>
        <v/>
      </c>
      <c r="K70" s="256">
        <f>IF(I70=0,0,INT(I70))</f>
        <v/>
      </c>
      <c r="L70" s="257">
        <f>IF(OR(I70=0,J70=0),0,ROUND((J70-I70)*24,2))</f>
        <v/>
      </c>
      <c r="M70" s="254">
        <f>IFERROR(TRIM(MID(A70,FIND("@",SUBSTITUTE(A70,"(","@",LEN(A70)-LEN(SUBSTITUTE(A70,"(",""))))+1,FIND(")",A70,FIND("@",SUBSTITUTE(A70,"(","@",LEN(A70)-LEN(SUBSTITUTE(A70,"(","")))))-FIND("@",SUBSTITUTE(A70,"(","@",LEN(A70)-LEN(SUBSTITUTE(A70,"(",""))))-1)),"")</f>
        <v/>
      </c>
      <c r="N70" s="254">
        <f>IF(A70="","",IF(LEFT(TRIM(A70),5)="Leave","Leave",IF(OR(ISNUMBER(SEARCH("public holiday",A70)),ISNUMBER(SEARCH("Purple",E70))),"Public holiday","Event")))</f>
        <v/>
      </c>
    </row>
    <row r="71">
      <c r="G71" s="254">
        <f>IF(C71="","",IF(ISNUMBER(C71),C71,IF(ISNUMBER(VALUE(LEFT(TRIM(C71),1))),TRIM(C71),TRIM(MID(TRIM(C71),FIND(" ",TRIM(C71))+1,99)))))</f>
        <v/>
      </c>
      <c r="H71" s="254">
        <f>IF(D71="","",IF(ISNUMBER(D71),D71,IF(ISNUMBER(VALUE(LEFT(TRIM(D71),1))),TRIM(D71),TRIM(MID(TRIM(D71),FIND(" ",TRIM(D71))+1,99)))))</f>
        <v/>
      </c>
      <c r="I71" s="255">
        <f>IF(G71="",0,IF(ISNUMBER(G71),G71,IFERROR(DATE(VALUE(MID(G71,FIND("/",G71,FIND("/",G71)+1)+1,4)),VALUE(MID(G71,FIND("/",G71)+1,FIND("/",G71,FIND("/",G71)+1)-FIND("/",G71)-1)),VALUE(LEFT(G71,FIND("/",G71)-1)))+IFERROR(TIMEVALUE(TRIM(MID(G71,FIND(" ",G71)+1,20))),0),0)))</f>
        <v/>
      </c>
      <c r="J71" s="255">
        <f>IF(H71="",0,IF(ISNUMBER(H71),H71,IFERROR(DATE(VALUE(MID(H71,FIND("/",H71,FIND("/",H71)+1)+1,4)),VALUE(MID(H71,FIND("/",H71)+1,FIND("/",H71,FIND("/",H71)+1)-FIND("/",H71)-1)),VALUE(LEFT(H71,FIND("/",H71)-1)))+IFERROR(TIMEVALUE(TRIM(MID(H71,FIND(" ",H71)+1,20))),0),0)))</f>
        <v/>
      </c>
      <c r="K71" s="256">
        <f>IF(I71=0,0,INT(I71))</f>
        <v/>
      </c>
      <c r="L71" s="257">
        <f>IF(OR(I71=0,J71=0),0,ROUND((J71-I71)*24,2))</f>
        <v/>
      </c>
      <c r="M71" s="254">
        <f>IFERROR(TRIM(MID(A71,FIND("@",SUBSTITUTE(A71,"(","@",LEN(A71)-LEN(SUBSTITUTE(A71,"(",""))))+1,FIND(")",A71,FIND("@",SUBSTITUTE(A71,"(","@",LEN(A71)-LEN(SUBSTITUTE(A71,"(","")))))-FIND("@",SUBSTITUTE(A71,"(","@",LEN(A71)-LEN(SUBSTITUTE(A71,"(",""))))-1)),"")</f>
        <v/>
      </c>
      <c r="N71" s="254">
        <f>IF(A71="","",IF(LEFT(TRIM(A71),5)="Leave","Leave",IF(OR(ISNUMBER(SEARCH("public holiday",A71)),ISNUMBER(SEARCH("Purple",E71))),"Public holiday","Event")))</f>
        <v/>
      </c>
    </row>
    <row r="72">
      <c r="G72" s="254">
        <f>IF(C72="","",IF(ISNUMBER(C72),C72,IF(ISNUMBER(VALUE(LEFT(TRIM(C72),1))),TRIM(C72),TRIM(MID(TRIM(C72),FIND(" ",TRIM(C72))+1,99)))))</f>
        <v/>
      </c>
      <c r="H72" s="254">
        <f>IF(D72="","",IF(ISNUMBER(D72),D72,IF(ISNUMBER(VALUE(LEFT(TRIM(D72),1))),TRIM(D72),TRIM(MID(TRIM(D72),FIND(" ",TRIM(D72))+1,99)))))</f>
        <v/>
      </c>
      <c r="I72" s="255">
        <f>IF(G72="",0,IF(ISNUMBER(G72),G72,IFERROR(DATE(VALUE(MID(G72,FIND("/",G72,FIND("/",G72)+1)+1,4)),VALUE(MID(G72,FIND("/",G72)+1,FIND("/",G72,FIND("/",G72)+1)-FIND("/",G72)-1)),VALUE(LEFT(G72,FIND("/",G72)-1)))+IFERROR(TIMEVALUE(TRIM(MID(G72,FIND(" ",G72)+1,20))),0),0)))</f>
        <v/>
      </c>
      <c r="J72" s="255">
        <f>IF(H72="",0,IF(ISNUMBER(H72),H72,IFERROR(DATE(VALUE(MID(H72,FIND("/",H72,FIND("/",H72)+1)+1,4)),VALUE(MID(H72,FIND("/",H72)+1,FIND("/",H72,FIND("/",H72)+1)-FIND("/",H72)-1)),VALUE(LEFT(H72,FIND("/",H72)-1)))+IFERROR(TIMEVALUE(TRIM(MID(H72,FIND(" ",H72)+1,20))),0),0)))</f>
        <v/>
      </c>
      <c r="K72" s="256">
        <f>IF(I72=0,0,INT(I72))</f>
        <v/>
      </c>
      <c r="L72" s="257">
        <f>IF(OR(I72=0,J72=0),0,ROUND((J72-I72)*24,2))</f>
        <v/>
      </c>
      <c r="M72" s="254">
        <f>IFERROR(TRIM(MID(A72,FIND("@",SUBSTITUTE(A72,"(","@",LEN(A72)-LEN(SUBSTITUTE(A72,"(",""))))+1,FIND(")",A72,FIND("@",SUBSTITUTE(A72,"(","@",LEN(A72)-LEN(SUBSTITUTE(A72,"(","")))))-FIND("@",SUBSTITUTE(A72,"(","@",LEN(A72)-LEN(SUBSTITUTE(A72,"(",""))))-1)),"")</f>
        <v/>
      </c>
      <c r="N72" s="254">
        <f>IF(A72="","",IF(LEFT(TRIM(A72),5)="Leave","Leave",IF(OR(ISNUMBER(SEARCH("public holiday",A72)),ISNUMBER(SEARCH("Purple",E72))),"Public holiday","Event")))</f>
        <v/>
      </c>
    </row>
    <row r="73">
      <c r="G73" s="254">
        <f>IF(C73="","",IF(ISNUMBER(C73),C73,IF(ISNUMBER(VALUE(LEFT(TRIM(C73),1))),TRIM(C73),TRIM(MID(TRIM(C73),FIND(" ",TRIM(C73))+1,99)))))</f>
        <v/>
      </c>
      <c r="H73" s="254">
        <f>IF(D73="","",IF(ISNUMBER(D73),D73,IF(ISNUMBER(VALUE(LEFT(TRIM(D73),1))),TRIM(D73),TRIM(MID(TRIM(D73),FIND(" ",TRIM(D73))+1,99)))))</f>
        <v/>
      </c>
      <c r="I73" s="255">
        <f>IF(G73="",0,IF(ISNUMBER(G73),G73,IFERROR(DATE(VALUE(MID(G73,FIND("/",G73,FIND("/",G73)+1)+1,4)),VALUE(MID(G73,FIND("/",G73)+1,FIND("/",G73,FIND("/",G73)+1)-FIND("/",G73)-1)),VALUE(LEFT(G73,FIND("/",G73)-1)))+IFERROR(TIMEVALUE(TRIM(MID(G73,FIND(" ",G73)+1,20))),0),0)))</f>
        <v/>
      </c>
      <c r="J73" s="255">
        <f>IF(H73="",0,IF(ISNUMBER(H73),H73,IFERROR(DATE(VALUE(MID(H73,FIND("/",H73,FIND("/",H73)+1)+1,4)),VALUE(MID(H73,FIND("/",H73)+1,FIND("/",H73,FIND("/",H73)+1)-FIND("/",H73)-1)),VALUE(LEFT(H73,FIND("/",H73)-1)))+IFERROR(TIMEVALUE(TRIM(MID(H73,FIND(" ",H73)+1,20))),0),0)))</f>
        <v/>
      </c>
      <c r="K73" s="256">
        <f>IF(I73=0,0,INT(I73))</f>
        <v/>
      </c>
      <c r="L73" s="257">
        <f>IF(OR(I73=0,J73=0),0,ROUND((J73-I73)*24,2))</f>
        <v/>
      </c>
      <c r="M73" s="254">
        <f>IFERROR(TRIM(MID(A73,FIND("@",SUBSTITUTE(A73,"(","@",LEN(A73)-LEN(SUBSTITUTE(A73,"(",""))))+1,FIND(")",A73,FIND("@",SUBSTITUTE(A73,"(","@",LEN(A73)-LEN(SUBSTITUTE(A73,"(","")))))-FIND("@",SUBSTITUTE(A73,"(","@",LEN(A73)-LEN(SUBSTITUTE(A73,"(",""))))-1)),"")</f>
        <v/>
      </c>
      <c r="N73" s="254">
        <f>IF(A73="","",IF(LEFT(TRIM(A73),5)="Leave","Leave",IF(OR(ISNUMBER(SEARCH("public holiday",A73)),ISNUMBER(SEARCH("Purple",E73))),"Public holiday","Event")))</f>
        <v/>
      </c>
    </row>
    <row r="74">
      <c r="G74" s="254">
        <f>IF(C74="","",IF(ISNUMBER(C74),C74,IF(ISNUMBER(VALUE(LEFT(TRIM(C74),1))),TRIM(C74),TRIM(MID(TRIM(C74),FIND(" ",TRIM(C74))+1,99)))))</f>
        <v/>
      </c>
      <c r="H74" s="254">
        <f>IF(D74="","",IF(ISNUMBER(D74),D74,IF(ISNUMBER(VALUE(LEFT(TRIM(D74),1))),TRIM(D74),TRIM(MID(TRIM(D74),FIND(" ",TRIM(D74))+1,99)))))</f>
        <v/>
      </c>
      <c r="I74" s="255">
        <f>IF(G74="",0,IF(ISNUMBER(G74),G74,IFERROR(DATE(VALUE(MID(G74,FIND("/",G74,FIND("/",G74)+1)+1,4)),VALUE(MID(G74,FIND("/",G74)+1,FIND("/",G74,FIND("/",G74)+1)-FIND("/",G74)-1)),VALUE(LEFT(G74,FIND("/",G74)-1)))+IFERROR(TIMEVALUE(TRIM(MID(G74,FIND(" ",G74)+1,20))),0),0)))</f>
        <v/>
      </c>
      <c r="J74" s="255">
        <f>IF(H74="",0,IF(ISNUMBER(H74),H74,IFERROR(DATE(VALUE(MID(H74,FIND("/",H74,FIND("/",H74)+1)+1,4)),VALUE(MID(H74,FIND("/",H74)+1,FIND("/",H74,FIND("/",H74)+1)-FIND("/",H74)-1)),VALUE(LEFT(H74,FIND("/",H74)-1)))+IFERROR(TIMEVALUE(TRIM(MID(H74,FIND(" ",H74)+1,20))),0),0)))</f>
        <v/>
      </c>
      <c r="K74" s="256">
        <f>IF(I74=0,0,INT(I74))</f>
        <v/>
      </c>
      <c r="L74" s="257">
        <f>IF(OR(I74=0,J74=0),0,ROUND((J74-I74)*24,2))</f>
        <v/>
      </c>
      <c r="M74" s="254">
        <f>IFERROR(TRIM(MID(A74,FIND("@",SUBSTITUTE(A74,"(","@",LEN(A74)-LEN(SUBSTITUTE(A74,"(",""))))+1,FIND(")",A74,FIND("@",SUBSTITUTE(A74,"(","@",LEN(A74)-LEN(SUBSTITUTE(A74,"(","")))))-FIND("@",SUBSTITUTE(A74,"(","@",LEN(A74)-LEN(SUBSTITUTE(A74,"(",""))))-1)),"")</f>
        <v/>
      </c>
      <c r="N74" s="254">
        <f>IF(A74="","",IF(LEFT(TRIM(A74),5)="Leave","Leave",IF(OR(ISNUMBER(SEARCH("public holiday",A74)),ISNUMBER(SEARCH("Purple",E74))),"Public holiday","Event")))</f>
        <v/>
      </c>
    </row>
    <row r="75">
      <c r="G75" s="254">
        <f>IF(C75="","",IF(ISNUMBER(C75),C75,IF(ISNUMBER(VALUE(LEFT(TRIM(C75),1))),TRIM(C75),TRIM(MID(TRIM(C75),FIND(" ",TRIM(C75))+1,99)))))</f>
        <v/>
      </c>
      <c r="H75" s="254">
        <f>IF(D75="","",IF(ISNUMBER(D75),D75,IF(ISNUMBER(VALUE(LEFT(TRIM(D75),1))),TRIM(D75),TRIM(MID(TRIM(D75),FIND(" ",TRIM(D75))+1,99)))))</f>
        <v/>
      </c>
      <c r="I75" s="255">
        <f>IF(G75="",0,IF(ISNUMBER(G75),G75,IFERROR(DATE(VALUE(MID(G75,FIND("/",G75,FIND("/",G75)+1)+1,4)),VALUE(MID(G75,FIND("/",G75)+1,FIND("/",G75,FIND("/",G75)+1)-FIND("/",G75)-1)),VALUE(LEFT(G75,FIND("/",G75)-1)))+IFERROR(TIMEVALUE(TRIM(MID(G75,FIND(" ",G75)+1,20))),0),0)))</f>
        <v/>
      </c>
      <c r="J75" s="255">
        <f>IF(H75="",0,IF(ISNUMBER(H75),H75,IFERROR(DATE(VALUE(MID(H75,FIND("/",H75,FIND("/",H75)+1)+1,4)),VALUE(MID(H75,FIND("/",H75)+1,FIND("/",H75,FIND("/",H75)+1)-FIND("/",H75)-1)),VALUE(LEFT(H75,FIND("/",H75)-1)))+IFERROR(TIMEVALUE(TRIM(MID(H75,FIND(" ",H75)+1,20))),0),0)))</f>
        <v/>
      </c>
      <c r="K75" s="256">
        <f>IF(I75=0,0,INT(I75))</f>
        <v/>
      </c>
      <c r="L75" s="257">
        <f>IF(OR(I75=0,J75=0),0,ROUND((J75-I75)*24,2))</f>
        <v/>
      </c>
      <c r="M75" s="254">
        <f>IFERROR(TRIM(MID(A75,FIND("@",SUBSTITUTE(A75,"(","@",LEN(A75)-LEN(SUBSTITUTE(A75,"(",""))))+1,FIND(")",A75,FIND("@",SUBSTITUTE(A75,"(","@",LEN(A75)-LEN(SUBSTITUTE(A75,"(","")))))-FIND("@",SUBSTITUTE(A75,"(","@",LEN(A75)-LEN(SUBSTITUTE(A75,"(",""))))-1)),"")</f>
        <v/>
      </c>
      <c r="N75" s="254">
        <f>IF(A75="","",IF(LEFT(TRIM(A75),5)="Leave","Leave",IF(OR(ISNUMBER(SEARCH("public holiday",A75)),ISNUMBER(SEARCH("Purple",E75))),"Public holiday","Event")))</f>
        <v/>
      </c>
    </row>
    <row r="76">
      <c r="G76" s="254">
        <f>IF(C76="","",IF(ISNUMBER(C76),C76,IF(ISNUMBER(VALUE(LEFT(TRIM(C76),1))),TRIM(C76),TRIM(MID(TRIM(C76),FIND(" ",TRIM(C76))+1,99)))))</f>
        <v/>
      </c>
      <c r="H76" s="254">
        <f>IF(D76="","",IF(ISNUMBER(D76),D76,IF(ISNUMBER(VALUE(LEFT(TRIM(D76),1))),TRIM(D76),TRIM(MID(TRIM(D76),FIND(" ",TRIM(D76))+1,99)))))</f>
        <v/>
      </c>
      <c r="I76" s="255">
        <f>IF(G76="",0,IF(ISNUMBER(G76),G76,IFERROR(DATE(VALUE(MID(G76,FIND("/",G76,FIND("/",G76)+1)+1,4)),VALUE(MID(G76,FIND("/",G76)+1,FIND("/",G76,FIND("/",G76)+1)-FIND("/",G76)-1)),VALUE(LEFT(G76,FIND("/",G76)-1)))+IFERROR(TIMEVALUE(TRIM(MID(G76,FIND(" ",G76)+1,20))),0),0)))</f>
        <v/>
      </c>
      <c r="J76" s="255">
        <f>IF(H76="",0,IF(ISNUMBER(H76),H76,IFERROR(DATE(VALUE(MID(H76,FIND("/",H76,FIND("/",H76)+1)+1,4)),VALUE(MID(H76,FIND("/",H76)+1,FIND("/",H76,FIND("/",H76)+1)-FIND("/",H76)-1)),VALUE(LEFT(H76,FIND("/",H76)-1)))+IFERROR(TIMEVALUE(TRIM(MID(H76,FIND(" ",H76)+1,20))),0),0)))</f>
        <v/>
      </c>
      <c r="K76" s="256">
        <f>IF(I76=0,0,INT(I76))</f>
        <v/>
      </c>
      <c r="L76" s="257">
        <f>IF(OR(I76=0,J76=0),0,ROUND((J76-I76)*24,2))</f>
        <v/>
      </c>
      <c r="M76" s="254">
        <f>IFERROR(TRIM(MID(A76,FIND("@",SUBSTITUTE(A76,"(","@",LEN(A76)-LEN(SUBSTITUTE(A76,"(",""))))+1,FIND(")",A76,FIND("@",SUBSTITUTE(A76,"(","@",LEN(A76)-LEN(SUBSTITUTE(A76,"(","")))))-FIND("@",SUBSTITUTE(A76,"(","@",LEN(A76)-LEN(SUBSTITUTE(A76,"(",""))))-1)),"")</f>
        <v/>
      </c>
      <c r="N76" s="254">
        <f>IF(A76="","",IF(LEFT(TRIM(A76),5)="Leave","Leave",IF(OR(ISNUMBER(SEARCH("public holiday",A76)),ISNUMBER(SEARCH("Purple",E76))),"Public holiday","Event")))</f>
        <v/>
      </c>
    </row>
    <row r="77">
      <c r="G77" s="254">
        <f>IF(C77="","",IF(ISNUMBER(C77),C77,IF(ISNUMBER(VALUE(LEFT(TRIM(C77),1))),TRIM(C77),TRIM(MID(TRIM(C77),FIND(" ",TRIM(C77))+1,99)))))</f>
        <v/>
      </c>
      <c r="H77" s="254">
        <f>IF(D77="","",IF(ISNUMBER(D77),D77,IF(ISNUMBER(VALUE(LEFT(TRIM(D77),1))),TRIM(D77),TRIM(MID(TRIM(D77),FIND(" ",TRIM(D77))+1,99)))))</f>
        <v/>
      </c>
      <c r="I77" s="255">
        <f>IF(G77="",0,IF(ISNUMBER(G77),G77,IFERROR(DATE(VALUE(MID(G77,FIND("/",G77,FIND("/",G77)+1)+1,4)),VALUE(MID(G77,FIND("/",G77)+1,FIND("/",G77,FIND("/",G77)+1)-FIND("/",G77)-1)),VALUE(LEFT(G77,FIND("/",G77)-1)))+IFERROR(TIMEVALUE(TRIM(MID(G77,FIND(" ",G77)+1,20))),0),0)))</f>
        <v/>
      </c>
      <c r="J77" s="255">
        <f>IF(H77="",0,IF(ISNUMBER(H77),H77,IFERROR(DATE(VALUE(MID(H77,FIND("/",H77,FIND("/",H77)+1)+1,4)),VALUE(MID(H77,FIND("/",H77)+1,FIND("/",H77,FIND("/",H77)+1)-FIND("/",H77)-1)),VALUE(LEFT(H77,FIND("/",H77)-1)))+IFERROR(TIMEVALUE(TRIM(MID(H77,FIND(" ",H77)+1,20))),0),0)))</f>
        <v/>
      </c>
      <c r="K77" s="256">
        <f>IF(I77=0,0,INT(I77))</f>
        <v/>
      </c>
      <c r="L77" s="257">
        <f>IF(OR(I77=0,J77=0),0,ROUND((J77-I77)*24,2))</f>
        <v/>
      </c>
      <c r="M77" s="254">
        <f>IFERROR(TRIM(MID(A77,FIND("@",SUBSTITUTE(A77,"(","@",LEN(A77)-LEN(SUBSTITUTE(A77,"(",""))))+1,FIND(")",A77,FIND("@",SUBSTITUTE(A77,"(","@",LEN(A77)-LEN(SUBSTITUTE(A77,"(","")))))-FIND("@",SUBSTITUTE(A77,"(","@",LEN(A77)-LEN(SUBSTITUTE(A77,"(",""))))-1)),"")</f>
        <v/>
      </c>
      <c r="N77" s="254">
        <f>IF(A77="","",IF(LEFT(TRIM(A77),5)="Leave","Leave",IF(OR(ISNUMBER(SEARCH("public holiday",A77)),ISNUMBER(SEARCH("Purple",E77))),"Public holiday","Event")))</f>
        <v/>
      </c>
    </row>
    <row r="78">
      <c r="G78" s="254">
        <f>IF(C78="","",IF(ISNUMBER(C78),C78,IF(ISNUMBER(VALUE(LEFT(TRIM(C78),1))),TRIM(C78),TRIM(MID(TRIM(C78),FIND(" ",TRIM(C78))+1,99)))))</f>
        <v/>
      </c>
      <c r="H78" s="254">
        <f>IF(D78="","",IF(ISNUMBER(D78),D78,IF(ISNUMBER(VALUE(LEFT(TRIM(D78),1))),TRIM(D78),TRIM(MID(TRIM(D78),FIND(" ",TRIM(D78))+1,99)))))</f>
        <v/>
      </c>
      <c r="I78" s="255">
        <f>IF(G78="",0,IF(ISNUMBER(G78),G78,IFERROR(DATE(VALUE(MID(G78,FIND("/",G78,FIND("/",G78)+1)+1,4)),VALUE(MID(G78,FIND("/",G78)+1,FIND("/",G78,FIND("/",G78)+1)-FIND("/",G78)-1)),VALUE(LEFT(G78,FIND("/",G78)-1)))+IFERROR(TIMEVALUE(TRIM(MID(G78,FIND(" ",G78)+1,20))),0),0)))</f>
        <v/>
      </c>
      <c r="J78" s="255">
        <f>IF(H78="",0,IF(ISNUMBER(H78),H78,IFERROR(DATE(VALUE(MID(H78,FIND("/",H78,FIND("/",H78)+1)+1,4)),VALUE(MID(H78,FIND("/",H78)+1,FIND("/",H78,FIND("/",H78)+1)-FIND("/",H78)-1)),VALUE(LEFT(H78,FIND("/",H78)-1)))+IFERROR(TIMEVALUE(TRIM(MID(H78,FIND(" ",H78)+1,20))),0),0)))</f>
        <v/>
      </c>
      <c r="K78" s="256">
        <f>IF(I78=0,0,INT(I78))</f>
        <v/>
      </c>
      <c r="L78" s="257">
        <f>IF(OR(I78=0,J78=0),0,ROUND((J78-I78)*24,2))</f>
        <v/>
      </c>
      <c r="M78" s="254">
        <f>IFERROR(TRIM(MID(A78,FIND("@",SUBSTITUTE(A78,"(","@",LEN(A78)-LEN(SUBSTITUTE(A78,"(",""))))+1,FIND(")",A78,FIND("@",SUBSTITUTE(A78,"(","@",LEN(A78)-LEN(SUBSTITUTE(A78,"(","")))))-FIND("@",SUBSTITUTE(A78,"(","@",LEN(A78)-LEN(SUBSTITUTE(A78,"(",""))))-1)),"")</f>
        <v/>
      </c>
      <c r="N78" s="254">
        <f>IF(A78="","",IF(LEFT(TRIM(A78),5)="Leave","Leave",IF(OR(ISNUMBER(SEARCH("public holiday",A78)),ISNUMBER(SEARCH("Purple",E78))),"Public holiday","Event")))</f>
        <v/>
      </c>
    </row>
    <row r="79">
      <c r="G79" s="254">
        <f>IF(C79="","",IF(ISNUMBER(C79),C79,IF(ISNUMBER(VALUE(LEFT(TRIM(C79),1))),TRIM(C79),TRIM(MID(TRIM(C79),FIND(" ",TRIM(C79))+1,99)))))</f>
        <v/>
      </c>
      <c r="H79" s="254">
        <f>IF(D79="","",IF(ISNUMBER(D79),D79,IF(ISNUMBER(VALUE(LEFT(TRIM(D79),1))),TRIM(D79),TRIM(MID(TRIM(D79),FIND(" ",TRIM(D79))+1,99)))))</f>
        <v/>
      </c>
      <c r="I79" s="255">
        <f>IF(G79="",0,IF(ISNUMBER(G79),G79,IFERROR(DATE(VALUE(MID(G79,FIND("/",G79,FIND("/",G79)+1)+1,4)),VALUE(MID(G79,FIND("/",G79)+1,FIND("/",G79,FIND("/",G79)+1)-FIND("/",G79)-1)),VALUE(LEFT(G79,FIND("/",G79)-1)))+IFERROR(TIMEVALUE(TRIM(MID(G79,FIND(" ",G79)+1,20))),0),0)))</f>
        <v/>
      </c>
      <c r="J79" s="255">
        <f>IF(H79="",0,IF(ISNUMBER(H79),H79,IFERROR(DATE(VALUE(MID(H79,FIND("/",H79,FIND("/",H79)+1)+1,4)),VALUE(MID(H79,FIND("/",H79)+1,FIND("/",H79,FIND("/",H79)+1)-FIND("/",H79)-1)),VALUE(LEFT(H79,FIND("/",H79)-1)))+IFERROR(TIMEVALUE(TRIM(MID(H79,FIND(" ",H79)+1,20))),0),0)))</f>
        <v/>
      </c>
      <c r="K79" s="256">
        <f>IF(I79=0,0,INT(I79))</f>
        <v/>
      </c>
      <c r="L79" s="257">
        <f>IF(OR(I79=0,J79=0),0,ROUND((J79-I79)*24,2))</f>
        <v/>
      </c>
      <c r="M79" s="254">
        <f>IFERROR(TRIM(MID(A79,FIND("@",SUBSTITUTE(A79,"(","@",LEN(A79)-LEN(SUBSTITUTE(A79,"(",""))))+1,FIND(")",A79,FIND("@",SUBSTITUTE(A79,"(","@",LEN(A79)-LEN(SUBSTITUTE(A79,"(","")))))-FIND("@",SUBSTITUTE(A79,"(","@",LEN(A79)-LEN(SUBSTITUTE(A79,"(",""))))-1)),"")</f>
        <v/>
      </c>
      <c r="N79" s="254">
        <f>IF(A79="","",IF(LEFT(TRIM(A79),5)="Leave","Leave",IF(OR(ISNUMBER(SEARCH("public holiday",A79)),ISNUMBER(SEARCH("Purple",E79))),"Public holiday","Event")))</f>
        <v/>
      </c>
    </row>
    <row r="80">
      <c r="G80" s="254">
        <f>IF(C80="","",IF(ISNUMBER(C80),C80,IF(ISNUMBER(VALUE(LEFT(TRIM(C80),1))),TRIM(C80),TRIM(MID(TRIM(C80),FIND(" ",TRIM(C80))+1,99)))))</f>
        <v/>
      </c>
      <c r="H80" s="254">
        <f>IF(D80="","",IF(ISNUMBER(D80),D80,IF(ISNUMBER(VALUE(LEFT(TRIM(D80),1))),TRIM(D80),TRIM(MID(TRIM(D80),FIND(" ",TRIM(D80))+1,99)))))</f>
        <v/>
      </c>
      <c r="I80" s="255">
        <f>IF(G80="",0,IF(ISNUMBER(G80),G80,IFERROR(DATE(VALUE(MID(G80,FIND("/",G80,FIND("/",G80)+1)+1,4)),VALUE(MID(G80,FIND("/",G80)+1,FIND("/",G80,FIND("/",G80)+1)-FIND("/",G80)-1)),VALUE(LEFT(G80,FIND("/",G80)-1)))+IFERROR(TIMEVALUE(TRIM(MID(G80,FIND(" ",G80)+1,20))),0),0)))</f>
        <v/>
      </c>
      <c r="J80" s="255">
        <f>IF(H80="",0,IF(ISNUMBER(H80),H80,IFERROR(DATE(VALUE(MID(H80,FIND("/",H80,FIND("/",H80)+1)+1,4)),VALUE(MID(H80,FIND("/",H80)+1,FIND("/",H80,FIND("/",H80)+1)-FIND("/",H80)-1)),VALUE(LEFT(H80,FIND("/",H80)-1)))+IFERROR(TIMEVALUE(TRIM(MID(H80,FIND(" ",H80)+1,20))),0),0)))</f>
        <v/>
      </c>
      <c r="K80" s="256">
        <f>IF(I80=0,0,INT(I80))</f>
        <v/>
      </c>
      <c r="L80" s="257">
        <f>IF(OR(I80=0,J80=0),0,ROUND((J80-I80)*24,2))</f>
        <v/>
      </c>
      <c r="M80" s="254">
        <f>IFERROR(TRIM(MID(A80,FIND("@",SUBSTITUTE(A80,"(","@",LEN(A80)-LEN(SUBSTITUTE(A80,"(",""))))+1,FIND(")",A80,FIND("@",SUBSTITUTE(A80,"(","@",LEN(A80)-LEN(SUBSTITUTE(A80,"(","")))))-FIND("@",SUBSTITUTE(A80,"(","@",LEN(A80)-LEN(SUBSTITUTE(A80,"(",""))))-1)),"")</f>
        <v/>
      </c>
      <c r="N80" s="254">
        <f>IF(A80="","",IF(LEFT(TRIM(A80),5)="Leave","Leave",IF(OR(ISNUMBER(SEARCH("public holiday",A80)),ISNUMBER(SEARCH("Purple",E80))),"Public holiday","Event")))</f>
        <v/>
      </c>
    </row>
    <row r="81">
      <c r="G81" s="254">
        <f>IF(C81="","",IF(ISNUMBER(C81),C81,IF(ISNUMBER(VALUE(LEFT(TRIM(C81),1))),TRIM(C81),TRIM(MID(TRIM(C81),FIND(" ",TRIM(C81))+1,99)))))</f>
        <v/>
      </c>
      <c r="H81" s="254">
        <f>IF(D81="","",IF(ISNUMBER(D81),D81,IF(ISNUMBER(VALUE(LEFT(TRIM(D81),1))),TRIM(D81),TRIM(MID(TRIM(D81),FIND(" ",TRIM(D81))+1,99)))))</f>
        <v/>
      </c>
      <c r="I81" s="255">
        <f>IF(G81="",0,IF(ISNUMBER(G81),G81,IFERROR(DATE(VALUE(MID(G81,FIND("/",G81,FIND("/",G81)+1)+1,4)),VALUE(MID(G81,FIND("/",G81)+1,FIND("/",G81,FIND("/",G81)+1)-FIND("/",G81)-1)),VALUE(LEFT(G81,FIND("/",G81)-1)))+IFERROR(TIMEVALUE(TRIM(MID(G81,FIND(" ",G81)+1,20))),0),0)))</f>
        <v/>
      </c>
      <c r="J81" s="255">
        <f>IF(H81="",0,IF(ISNUMBER(H81),H81,IFERROR(DATE(VALUE(MID(H81,FIND("/",H81,FIND("/",H81)+1)+1,4)),VALUE(MID(H81,FIND("/",H81)+1,FIND("/",H81,FIND("/",H81)+1)-FIND("/",H81)-1)),VALUE(LEFT(H81,FIND("/",H81)-1)))+IFERROR(TIMEVALUE(TRIM(MID(H81,FIND(" ",H81)+1,20))),0),0)))</f>
        <v/>
      </c>
      <c r="K81" s="256">
        <f>IF(I81=0,0,INT(I81))</f>
        <v/>
      </c>
      <c r="L81" s="257">
        <f>IF(OR(I81=0,J81=0),0,ROUND((J81-I81)*24,2))</f>
        <v/>
      </c>
      <c r="M81" s="254">
        <f>IFERROR(TRIM(MID(A81,FIND("@",SUBSTITUTE(A81,"(","@",LEN(A81)-LEN(SUBSTITUTE(A81,"(",""))))+1,FIND(")",A81,FIND("@",SUBSTITUTE(A81,"(","@",LEN(A81)-LEN(SUBSTITUTE(A81,"(","")))))-FIND("@",SUBSTITUTE(A81,"(","@",LEN(A81)-LEN(SUBSTITUTE(A81,"(",""))))-1)),"")</f>
        <v/>
      </c>
      <c r="N81" s="254">
        <f>IF(A81="","",IF(LEFT(TRIM(A81),5)="Leave","Leave",IF(OR(ISNUMBER(SEARCH("public holiday",A81)),ISNUMBER(SEARCH("Purple",E81))),"Public holiday","Event")))</f>
        <v/>
      </c>
    </row>
    <row r="82">
      <c r="G82" s="254">
        <f>IF(C82="","",IF(ISNUMBER(C82),C82,IF(ISNUMBER(VALUE(LEFT(TRIM(C82),1))),TRIM(C82),TRIM(MID(TRIM(C82),FIND(" ",TRIM(C82))+1,99)))))</f>
        <v/>
      </c>
      <c r="H82" s="254">
        <f>IF(D82="","",IF(ISNUMBER(D82),D82,IF(ISNUMBER(VALUE(LEFT(TRIM(D82),1))),TRIM(D82),TRIM(MID(TRIM(D82),FIND(" ",TRIM(D82))+1,99)))))</f>
        <v/>
      </c>
      <c r="I82" s="255">
        <f>IF(G82="",0,IF(ISNUMBER(G82),G82,IFERROR(DATE(VALUE(MID(G82,FIND("/",G82,FIND("/",G82)+1)+1,4)),VALUE(MID(G82,FIND("/",G82)+1,FIND("/",G82,FIND("/",G82)+1)-FIND("/",G82)-1)),VALUE(LEFT(G82,FIND("/",G82)-1)))+IFERROR(TIMEVALUE(TRIM(MID(G82,FIND(" ",G82)+1,20))),0),0)))</f>
        <v/>
      </c>
      <c r="J82" s="255">
        <f>IF(H82="",0,IF(ISNUMBER(H82),H82,IFERROR(DATE(VALUE(MID(H82,FIND("/",H82,FIND("/",H82)+1)+1,4)),VALUE(MID(H82,FIND("/",H82)+1,FIND("/",H82,FIND("/",H82)+1)-FIND("/",H82)-1)),VALUE(LEFT(H82,FIND("/",H82)-1)))+IFERROR(TIMEVALUE(TRIM(MID(H82,FIND(" ",H82)+1,20))),0),0)))</f>
        <v/>
      </c>
      <c r="K82" s="256">
        <f>IF(I82=0,0,INT(I82))</f>
        <v/>
      </c>
      <c r="L82" s="257">
        <f>IF(OR(I82=0,J82=0),0,ROUND((J82-I82)*24,2))</f>
        <v/>
      </c>
      <c r="M82" s="254">
        <f>IFERROR(TRIM(MID(A82,FIND("@",SUBSTITUTE(A82,"(","@",LEN(A82)-LEN(SUBSTITUTE(A82,"(",""))))+1,FIND(")",A82,FIND("@",SUBSTITUTE(A82,"(","@",LEN(A82)-LEN(SUBSTITUTE(A82,"(","")))))-FIND("@",SUBSTITUTE(A82,"(","@",LEN(A82)-LEN(SUBSTITUTE(A82,"(",""))))-1)),"")</f>
        <v/>
      </c>
      <c r="N82" s="254">
        <f>IF(A82="","",IF(LEFT(TRIM(A82),5)="Leave","Leave",IF(OR(ISNUMBER(SEARCH("public holiday",A82)),ISNUMBER(SEARCH("Purple",E82))),"Public holiday","Event")))</f>
        <v/>
      </c>
    </row>
    <row r="83">
      <c r="G83" s="254">
        <f>IF(C83="","",IF(ISNUMBER(C83),C83,IF(ISNUMBER(VALUE(LEFT(TRIM(C83),1))),TRIM(C83),TRIM(MID(TRIM(C83),FIND(" ",TRIM(C83))+1,99)))))</f>
        <v/>
      </c>
      <c r="H83" s="254">
        <f>IF(D83="","",IF(ISNUMBER(D83),D83,IF(ISNUMBER(VALUE(LEFT(TRIM(D83),1))),TRIM(D83),TRIM(MID(TRIM(D83),FIND(" ",TRIM(D83))+1,99)))))</f>
        <v/>
      </c>
      <c r="I83" s="255">
        <f>IF(G83="",0,IF(ISNUMBER(G83),G83,IFERROR(DATE(VALUE(MID(G83,FIND("/",G83,FIND("/",G83)+1)+1,4)),VALUE(MID(G83,FIND("/",G83)+1,FIND("/",G83,FIND("/",G83)+1)-FIND("/",G83)-1)),VALUE(LEFT(G83,FIND("/",G83)-1)))+IFERROR(TIMEVALUE(TRIM(MID(G83,FIND(" ",G83)+1,20))),0),0)))</f>
        <v/>
      </c>
      <c r="J83" s="255">
        <f>IF(H83="",0,IF(ISNUMBER(H83),H83,IFERROR(DATE(VALUE(MID(H83,FIND("/",H83,FIND("/",H83)+1)+1,4)),VALUE(MID(H83,FIND("/",H83)+1,FIND("/",H83,FIND("/",H83)+1)-FIND("/",H83)-1)),VALUE(LEFT(H83,FIND("/",H83)-1)))+IFERROR(TIMEVALUE(TRIM(MID(H83,FIND(" ",H83)+1,20))),0),0)))</f>
        <v/>
      </c>
      <c r="K83" s="256">
        <f>IF(I83=0,0,INT(I83))</f>
        <v/>
      </c>
      <c r="L83" s="257">
        <f>IF(OR(I83=0,J83=0),0,ROUND((J83-I83)*24,2))</f>
        <v/>
      </c>
      <c r="M83" s="254">
        <f>IFERROR(TRIM(MID(A83,FIND("@",SUBSTITUTE(A83,"(","@",LEN(A83)-LEN(SUBSTITUTE(A83,"(",""))))+1,FIND(")",A83,FIND("@",SUBSTITUTE(A83,"(","@",LEN(A83)-LEN(SUBSTITUTE(A83,"(","")))))-FIND("@",SUBSTITUTE(A83,"(","@",LEN(A83)-LEN(SUBSTITUTE(A83,"(",""))))-1)),"")</f>
        <v/>
      </c>
      <c r="N83" s="254">
        <f>IF(A83="","",IF(LEFT(TRIM(A83),5)="Leave","Leave",IF(OR(ISNUMBER(SEARCH("public holiday",A83)),ISNUMBER(SEARCH("Purple",E83))),"Public holiday","Event")))</f>
        <v/>
      </c>
    </row>
    <row r="84">
      <c r="G84" s="254">
        <f>IF(C84="","",IF(ISNUMBER(C84),C84,IF(ISNUMBER(VALUE(LEFT(TRIM(C84),1))),TRIM(C84),TRIM(MID(TRIM(C84),FIND(" ",TRIM(C84))+1,99)))))</f>
        <v/>
      </c>
      <c r="H84" s="254">
        <f>IF(D84="","",IF(ISNUMBER(D84),D84,IF(ISNUMBER(VALUE(LEFT(TRIM(D84),1))),TRIM(D84),TRIM(MID(TRIM(D84),FIND(" ",TRIM(D84))+1,99)))))</f>
        <v/>
      </c>
      <c r="I84" s="255">
        <f>IF(G84="",0,IF(ISNUMBER(G84),G84,IFERROR(DATE(VALUE(MID(G84,FIND("/",G84,FIND("/",G84)+1)+1,4)),VALUE(MID(G84,FIND("/",G84)+1,FIND("/",G84,FIND("/",G84)+1)-FIND("/",G84)-1)),VALUE(LEFT(G84,FIND("/",G84)-1)))+IFERROR(TIMEVALUE(TRIM(MID(G84,FIND(" ",G84)+1,20))),0),0)))</f>
        <v/>
      </c>
      <c r="J84" s="255">
        <f>IF(H84="",0,IF(ISNUMBER(H84),H84,IFERROR(DATE(VALUE(MID(H84,FIND("/",H84,FIND("/",H84)+1)+1,4)),VALUE(MID(H84,FIND("/",H84)+1,FIND("/",H84,FIND("/",H84)+1)-FIND("/",H84)-1)),VALUE(LEFT(H84,FIND("/",H84)-1)))+IFERROR(TIMEVALUE(TRIM(MID(H84,FIND(" ",H84)+1,20))),0),0)))</f>
        <v/>
      </c>
      <c r="K84" s="256">
        <f>IF(I84=0,0,INT(I84))</f>
        <v/>
      </c>
      <c r="L84" s="257">
        <f>IF(OR(I84=0,J84=0),0,ROUND((J84-I84)*24,2))</f>
        <v/>
      </c>
      <c r="M84" s="254">
        <f>IFERROR(TRIM(MID(A84,FIND("@",SUBSTITUTE(A84,"(","@",LEN(A84)-LEN(SUBSTITUTE(A84,"(",""))))+1,FIND(")",A84,FIND("@",SUBSTITUTE(A84,"(","@",LEN(A84)-LEN(SUBSTITUTE(A84,"(","")))))-FIND("@",SUBSTITUTE(A84,"(","@",LEN(A84)-LEN(SUBSTITUTE(A84,"(",""))))-1)),"")</f>
        <v/>
      </c>
      <c r="N84" s="254">
        <f>IF(A84="","",IF(LEFT(TRIM(A84),5)="Leave","Leave",IF(OR(ISNUMBER(SEARCH("public holiday",A84)),ISNUMBER(SEARCH("Purple",E84))),"Public holiday","Event")))</f>
        <v/>
      </c>
    </row>
    <row r="85">
      <c r="G85" s="254">
        <f>IF(C85="","",IF(ISNUMBER(C85),C85,IF(ISNUMBER(VALUE(LEFT(TRIM(C85),1))),TRIM(C85),TRIM(MID(TRIM(C85),FIND(" ",TRIM(C85))+1,99)))))</f>
        <v/>
      </c>
      <c r="H85" s="254">
        <f>IF(D85="","",IF(ISNUMBER(D85),D85,IF(ISNUMBER(VALUE(LEFT(TRIM(D85),1))),TRIM(D85),TRIM(MID(TRIM(D85),FIND(" ",TRIM(D85))+1,99)))))</f>
        <v/>
      </c>
      <c r="I85" s="255">
        <f>IF(G85="",0,IF(ISNUMBER(G85),G85,IFERROR(DATE(VALUE(MID(G85,FIND("/",G85,FIND("/",G85)+1)+1,4)),VALUE(MID(G85,FIND("/",G85)+1,FIND("/",G85,FIND("/",G85)+1)-FIND("/",G85)-1)),VALUE(LEFT(G85,FIND("/",G85)-1)))+IFERROR(TIMEVALUE(TRIM(MID(G85,FIND(" ",G85)+1,20))),0),0)))</f>
        <v/>
      </c>
      <c r="J85" s="255">
        <f>IF(H85="",0,IF(ISNUMBER(H85),H85,IFERROR(DATE(VALUE(MID(H85,FIND("/",H85,FIND("/",H85)+1)+1,4)),VALUE(MID(H85,FIND("/",H85)+1,FIND("/",H85,FIND("/",H85)+1)-FIND("/",H85)-1)),VALUE(LEFT(H85,FIND("/",H85)-1)))+IFERROR(TIMEVALUE(TRIM(MID(H85,FIND(" ",H85)+1,20))),0),0)))</f>
        <v/>
      </c>
      <c r="K85" s="256">
        <f>IF(I85=0,0,INT(I85))</f>
        <v/>
      </c>
      <c r="L85" s="257">
        <f>IF(OR(I85=0,J85=0),0,ROUND((J85-I85)*24,2))</f>
        <v/>
      </c>
      <c r="M85" s="254">
        <f>IFERROR(TRIM(MID(A85,FIND("@",SUBSTITUTE(A85,"(","@",LEN(A85)-LEN(SUBSTITUTE(A85,"(",""))))+1,FIND(")",A85,FIND("@",SUBSTITUTE(A85,"(","@",LEN(A85)-LEN(SUBSTITUTE(A85,"(","")))))-FIND("@",SUBSTITUTE(A85,"(","@",LEN(A85)-LEN(SUBSTITUTE(A85,"(",""))))-1)),"")</f>
        <v/>
      </c>
      <c r="N85" s="254">
        <f>IF(A85="","",IF(LEFT(TRIM(A85),5)="Leave","Leave",IF(OR(ISNUMBER(SEARCH("public holiday",A85)),ISNUMBER(SEARCH("Purple",E85))),"Public holiday","Event")))</f>
        <v/>
      </c>
    </row>
    <row r="86">
      <c r="G86" s="254">
        <f>IF(C86="","",IF(ISNUMBER(C86),C86,IF(ISNUMBER(VALUE(LEFT(TRIM(C86),1))),TRIM(C86),TRIM(MID(TRIM(C86),FIND(" ",TRIM(C86))+1,99)))))</f>
        <v/>
      </c>
      <c r="H86" s="254">
        <f>IF(D86="","",IF(ISNUMBER(D86),D86,IF(ISNUMBER(VALUE(LEFT(TRIM(D86),1))),TRIM(D86),TRIM(MID(TRIM(D86),FIND(" ",TRIM(D86))+1,99)))))</f>
        <v/>
      </c>
      <c r="I86" s="255">
        <f>IF(G86="",0,IF(ISNUMBER(G86),G86,IFERROR(DATE(VALUE(MID(G86,FIND("/",G86,FIND("/",G86)+1)+1,4)),VALUE(MID(G86,FIND("/",G86)+1,FIND("/",G86,FIND("/",G86)+1)-FIND("/",G86)-1)),VALUE(LEFT(G86,FIND("/",G86)-1)))+IFERROR(TIMEVALUE(TRIM(MID(G86,FIND(" ",G86)+1,20))),0),0)))</f>
        <v/>
      </c>
      <c r="J86" s="255">
        <f>IF(H86="",0,IF(ISNUMBER(H86),H86,IFERROR(DATE(VALUE(MID(H86,FIND("/",H86,FIND("/",H86)+1)+1,4)),VALUE(MID(H86,FIND("/",H86)+1,FIND("/",H86,FIND("/",H86)+1)-FIND("/",H86)-1)),VALUE(LEFT(H86,FIND("/",H86)-1)))+IFERROR(TIMEVALUE(TRIM(MID(H86,FIND(" ",H86)+1,20))),0),0)))</f>
        <v/>
      </c>
      <c r="K86" s="256">
        <f>IF(I86=0,0,INT(I86))</f>
        <v/>
      </c>
      <c r="L86" s="257">
        <f>IF(OR(I86=0,J86=0),0,ROUND((J86-I86)*24,2))</f>
        <v/>
      </c>
      <c r="M86" s="254">
        <f>IFERROR(TRIM(MID(A86,FIND("@",SUBSTITUTE(A86,"(","@",LEN(A86)-LEN(SUBSTITUTE(A86,"(",""))))+1,FIND(")",A86,FIND("@",SUBSTITUTE(A86,"(","@",LEN(A86)-LEN(SUBSTITUTE(A86,"(","")))))-FIND("@",SUBSTITUTE(A86,"(","@",LEN(A86)-LEN(SUBSTITUTE(A86,"(",""))))-1)),"")</f>
        <v/>
      </c>
      <c r="N86" s="254">
        <f>IF(A86="","",IF(LEFT(TRIM(A86),5)="Leave","Leave",IF(OR(ISNUMBER(SEARCH("public holiday",A86)),ISNUMBER(SEARCH("Purple",E86))),"Public holiday","Event")))</f>
        <v/>
      </c>
    </row>
    <row r="87">
      <c r="G87" s="254">
        <f>IF(C87="","",IF(ISNUMBER(C87),C87,IF(ISNUMBER(VALUE(LEFT(TRIM(C87),1))),TRIM(C87),TRIM(MID(TRIM(C87),FIND(" ",TRIM(C87))+1,99)))))</f>
        <v/>
      </c>
      <c r="H87" s="254">
        <f>IF(D87="","",IF(ISNUMBER(D87),D87,IF(ISNUMBER(VALUE(LEFT(TRIM(D87),1))),TRIM(D87),TRIM(MID(TRIM(D87),FIND(" ",TRIM(D87))+1,99)))))</f>
        <v/>
      </c>
      <c r="I87" s="255">
        <f>IF(G87="",0,IF(ISNUMBER(G87),G87,IFERROR(DATE(VALUE(MID(G87,FIND("/",G87,FIND("/",G87)+1)+1,4)),VALUE(MID(G87,FIND("/",G87)+1,FIND("/",G87,FIND("/",G87)+1)-FIND("/",G87)-1)),VALUE(LEFT(G87,FIND("/",G87)-1)))+IFERROR(TIMEVALUE(TRIM(MID(G87,FIND(" ",G87)+1,20))),0),0)))</f>
        <v/>
      </c>
      <c r="J87" s="255">
        <f>IF(H87="",0,IF(ISNUMBER(H87),H87,IFERROR(DATE(VALUE(MID(H87,FIND("/",H87,FIND("/",H87)+1)+1,4)),VALUE(MID(H87,FIND("/",H87)+1,FIND("/",H87,FIND("/",H87)+1)-FIND("/",H87)-1)),VALUE(LEFT(H87,FIND("/",H87)-1)))+IFERROR(TIMEVALUE(TRIM(MID(H87,FIND(" ",H87)+1,20))),0),0)))</f>
        <v/>
      </c>
      <c r="K87" s="256">
        <f>IF(I87=0,0,INT(I87))</f>
        <v/>
      </c>
      <c r="L87" s="257">
        <f>IF(OR(I87=0,J87=0),0,ROUND((J87-I87)*24,2))</f>
        <v/>
      </c>
      <c r="M87" s="254">
        <f>IFERROR(TRIM(MID(A87,FIND("@",SUBSTITUTE(A87,"(","@",LEN(A87)-LEN(SUBSTITUTE(A87,"(",""))))+1,FIND(")",A87,FIND("@",SUBSTITUTE(A87,"(","@",LEN(A87)-LEN(SUBSTITUTE(A87,"(","")))))-FIND("@",SUBSTITUTE(A87,"(","@",LEN(A87)-LEN(SUBSTITUTE(A87,"(",""))))-1)),"")</f>
        <v/>
      </c>
      <c r="N87" s="254">
        <f>IF(A87="","",IF(LEFT(TRIM(A87),5)="Leave","Leave",IF(OR(ISNUMBER(SEARCH("public holiday",A87)),ISNUMBER(SEARCH("Purple",E87))),"Public holiday","Event")))</f>
        <v/>
      </c>
    </row>
    <row r="88">
      <c r="G88" s="254">
        <f>IF(C88="","",IF(ISNUMBER(C88),C88,IF(ISNUMBER(VALUE(LEFT(TRIM(C88),1))),TRIM(C88),TRIM(MID(TRIM(C88),FIND(" ",TRIM(C88))+1,99)))))</f>
        <v/>
      </c>
      <c r="H88" s="254">
        <f>IF(D88="","",IF(ISNUMBER(D88),D88,IF(ISNUMBER(VALUE(LEFT(TRIM(D88),1))),TRIM(D88),TRIM(MID(TRIM(D88),FIND(" ",TRIM(D88))+1,99)))))</f>
        <v/>
      </c>
      <c r="I88" s="255">
        <f>IF(G88="",0,IF(ISNUMBER(G88),G88,IFERROR(DATE(VALUE(MID(G88,FIND("/",G88,FIND("/",G88)+1)+1,4)),VALUE(MID(G88,FIND("/",G88)+1,FIND("/",G88,FIND("/",G88)+1)-FIND("/",G88)-1)),VALUE(LEFT(G88,FIND("/",G88)-1)))+IFERROR(TIMEVALUE(TRIM(MID(G88,FIND(" ",G88)+1,20))),0),0)))</f>
        <v/>
      </c>
      <c r="J88" s="255">
        <f>IF(H88="",0,IF(ISNUMBER(H88),H88,IFERROR(DATE(VALUE(MID(H88,FIND("/",H88,FIND("/",H88)+1)+1,4)),VALUE(MID(H88,FIND("/",H88)+1,FIND("/",H88,FIND("/",H88)+1)-FIND("/",H88)-1)),VALUE(LEFT(H88,FIND("/",H88)-1)))+IFERROR(TIMEVALUE(TRIM(MID(H88,FIND(" ",H88)+1,20))),0),0)))</f>
        <v/>
      </c>
      <c r="K88" s="256">
        <f>IF(I88=0,0,INT(I88))</f>
        <v/>
      </c>
      <c r="L88" s="257">
        <f>IF(OR(I88=0,J88=0),0,ROUND((J88-I88)*24,2))</f>
        <v/>
      </c>
      <c r="M88" s="254">
        <f>IFERROR(TRIM(MID(A88,FIND("@",SUBSTITUTE(A88,"(","@",LEN(A88)-LEN(SUBSTITUTE(A88,"(",""))))+1,FIND(")",A88,FIND("@",SUBSTITUTE(A88,"(","@",LEN(A88)-LEN(SUBSTITUTE(A88,"(","")))))-FIND("@",SUBSTITUTE(A88,"(","@",LEN(A88)-LEN(SUBSTITUTE(A88,"(",""))))-1)),"")</f>
        <v/>
      </c>
      <c r="N88" s="254">
        <f>IF(A88="","",IF(LEFT(TRIM(A88),5)="Leave","Leave",IF(OR(ISNUMBER(SEARCH("public holiday",A88)),ISNUMBER(SEARCH("Purple",E88))),"Public holiday","Event")))</f>
        <v/>
      </c>
    </row>
    <row r="89">
      <c r="G89" s="254">
        <f>IF(C89="","",IF(ISNUMBER(C89),C89,IF(ISNUMBER(VALUE(LEFT(TRIM(C89),1))),TRIM(C89),TRIM(MID(TRIM(C89),FIND(" ",TRIM(C89))+1,99)))))</f>
        <v/>
      </c>
      <c r="H89" s="254">
        <f>IF(D89="","",IF(ISNUMBER(D89),D89,IF(ISNUMBER(VALUE(LEFT(TRIM(D89),1))),TRIM(D89),TRIM(MID(TRIM(D89),FIND(" ",TRIM(D89))+1,99)))))</f>
        <v/>
      </c>
      <c r="I89" s="255">
        <f>IF(G89="",0,IF(ISNUMBER(G89),G89,IFERROR(DATE(VALUE(MID(G89,FIND("/",G89,FIND("/",G89)+1)+1,4)),VALUE(MID(G89,FIND("/",G89)+1,FIND("/",G89,FIND("/",G89)+1)-FIND("/",G89)-1)),VALUE(LEFT(G89,FIND("/",G89)-1)))+IFERROR(TIMEVALUE(TRIM(MID(G89,FIND(" ",G89)+1,20))),0),0)))</f>
        <v/>
      </c>
      <c r="J89" s="255">
        <f>IF(H89="",0,IF(ISNUMBER(H89),H89,IFERROR(DATE(VALUE(MID(H89,FIND("/",H89,FIND("/",H89)+1)+1,4)),VALUE(MID(H89,FIND("/",H89)+1,FIND("/",H89,FIND("/",H89)+1)-FIND("/",H89)-1)),VALUE(LEFT(H89,FIND("/",H89)-1)))+IFERROR(TIMEVALUE(TRIM(MID(H89,FIND(" ",H89)+1,20))),0),0)))</f>
        <v/>
      </c>
      <c r="K89" s="256">
        <f>IF(I89=0,0,INT(I89))</f>
        <v/>
      </c>
      <c r="L89" s="257">
        <f>IF(OR(I89=0,J89=0),0,ROUND((J89-I89)*24,2))</f>
        <v/>
      </c>
      <c r="M89" s="254">
        <f>IFERROR(TRIM(MID(A89,FIND("@",SUBSTITUTE(A89,"(","@",LEN(A89)-LEN(SUBSTITUTE(A89,"(",""))))+1,FIND(")",A89,FIND("@",SUBSTITUTE(A89,"(","@",LEN(A89)-LEN(SUBSTITUTE(A89,"(","")))))-FIND("@",SUBSTITUTE(A89,"(","@",LEN(A89)-LEN(SUBSTITUTE(A89,"(",""))))-1)),"")</f>
        <v/>
      </c>
      <c r="N89" s="254">
        <f>IF(A89="","",IF(LEFT(TRIM(A89),5)="Leave","Leave",IF(OR(ISNUMBER(SEARCH("public holiday",A89)),ISNUMBER(SEARCH("Purple",E89))),"Public holiday","Event")))</f>
        <v/>
      </c>
    </row>
    <row r="90">
      <c r="G90" s="254">
        <f>IF(C90="","",IF(ISNUMBER(C90),C90,IF(ISNUMBER(VALUE(LEFT(TRIM(C90),1))),TRIM(C90),TRIM(MID(TRIM(C90),FIND(" ",TRIM(C90))+1,99)))))</f>
        <v/>
      </c>
      <c r="H90" s="254">
        <f>IF(D90="","",IF(ISNUMBER(D90),D90,IF(ISNUMBER(VALUE(LEFT(TRIM(D90),1))),TRIM(D90),TRIM(MID(TRIM(D90),FIND(" ",TRIM(D90))+1,99)))))</f>
        <v/>
      </c>
      <c r="I90" s="255">
        <f>IF(G90="",0,IF(ISNUMBER(G90),G90,IFERROR(DATE(VALUE(MID(G90,FIND("/",G90,FIND("/",G90)+1)+1,4)),VALUE(MID(G90,FIND("/",G90)+1,FIND("/",G90,FIND("/",G90)+1)-FIND("/",G90)-1)),VALUE(LEFT(G90,FIND("/",G90)-1)))+IFERROR(TIMEVALUE(TRIM(MID(G90,FIND(" ",G90)+1,20))),0),0)))</f>
        <v/>
      </c>
      <c r="J90" s="255">
        <f>IF(H90="",0,IF(ISNUMBER(H90),H90,IFERROR(DATE(VALUE(MID(H90,FIND("/",H90,FIND("/",H90)+1)+1,4)),VALUE(MID(H90,FIND("/",H90)+1,FIND("/",H90,FIND("/",H90)+1)-FIND("/",H90)-1)),VALUE(LEFT(H90,FIND("/",H90)-1)))+IFERROR(TIMEVALUE(TRIM(MID(H90,FIND(" ",H90)+1,20))),0),0)))</f>
        <v/>
      </c>
      <c r="K90" s="256">
        <f>IF(I90=0,0,INT(I90))</f>
        <v/>
      </c>
      <c r="L90" s="257">
        <f>IF(OR(I90=0,J90=0),0,ROUND((J90-I90)*24,2))</f>
        <v/>
      </c>
      <c r="M90" s="254">
        <f>IFERROR(TRIM(MID(A90,FIND("@",SUBSTITUTE(A90,"(","@",LEN(A90)-LEN(SUBSTITUTE(A90,"(",""))))+1,FIND(")",A90,FIND("@",SUBSTITUTE(A90,"(","@",LEN(A90)-LEN(SUBSTITUTE(A90,"(","")))))-FIND("@",SUBSTITUTE(A90,"(","@",LEN(A90)-LEN(SUBSTITUTE(A90,"(",""))))-1)),"")</f>
        <v/>
      </c>
      <c r="N90" s="254">
        <f>IF(A90="","",IF(LEFT(TRIM(A90),5)="Leave","Leave",IF(OR(ISNUMBER(SEARCH("public holiday",A90)),ISNUMBER(SEARCH("Purple",E90))),"Public holiday","Event")))</f>
        <v/>
      </c>
    </row>
    <row r="91">
      <c r="G91" s="254">
        <f>IF(C91="","",IF(ISNUMBER(C91),C91,IF(ISNUMBER(VALUE(LEFT(TRIM(C91),1))),TRIM(C91),TRIM(MID(TRIM(C91),FIND(" ",TRIM(C91))+1,99)))))</f>
        <v/>
      </c>
      <c r="H91" s="254">
        <f>IF(D91="","",IF(ISNUMBER(D91),D91,IF(ISNUMBER(VALUE(LEFT(TRIM(D91),1))),TRIM(D91),TRIM(MID(TRIM(D91),FIND(" ",TRIM(D91))+1,99)))))</f>
        <v/>
      </c>
      <c r="I91" s="255">
        <f>IF(G91="",0,IF(ISNUMBER(G91),G91,IFERROR(DATE(VALUE(MID(G91,FIND("/",G91,FIND("/",G91)+1)+1,4)),VALUE(MID(G91,FIND("/",G91)+1,FIND("/",G91,FIND("/",G91)+1)-FIND("/",G91)-1)),VALUE(LEFT(G91,FIND("/",G91)-1)))+IFERROR(TIMEVALUE(TRIM(MID(G91,FIND(" ",G91)+1,20))),0),0)))</f>
        <v/>
      </c>
      <c r="J91" s="255">
        <f>IF(H91="",0,IF(ISNUMBER(H91),H91,IFERROR(DATE(VALUE(MID(H91,FIND("/",H91,FIND("/",H91)+1)+1,4)),VALUE(MID(H91,FIND("/",H91)+1,FIND("/",H91,FIND("/",H91)+1)-FIND("/",H91)-1)),VALUE(LEFT(H91,FIND("/",H91)-1)))+IFERROR(TIMEVALUE(TRIM(MID(H91,FIND(" ",H91)+1,20))),0),0)))</f>
        <v/>
      </c>
      <c r="K91" s="256">
        <f>IF(I91=0,0,INT(I91))</f>
        <v/>
      </c>
      <c r="L91" s="257">
        <f>IF(OR(I91=0,J91=0),0,ROUND((J91-I91)*24,2))</f>
        <v/>
      </c>
      <c r="M91" s="254">
        <f>IFERROR(TRIM(MID(A91,FIND("@",SUBSTITUTE(A91,"(","@",LEN(A91)-LEN(SUBSTITUTE(A91,"(",""))))+1,FIND(")",A91,FIND("@",SUBSTITUTE(A91,"(","@",LEN(A91)-LEN(SUBSTITUTE(A91,"(","")))))-FIND("@",SUBSTITUTE(A91,"(","@",LEN(A91)-LEN(SUBSTITUTE(A91,"(",""))))-1)),"")</f>
        <v/>
      </c>
      <c r="N91" s="254">
        <f>IF(A91="","",IF(LEFT(TRIM(A91),5)="Leave","Leave",IF(OR(ISNUMBER(SEARCH("public holiday",A91)),ISNUMBER(SEARCH("Purple",E91))),"Public holiday","Event")))</f>
        <v/>
      </c>
    </row>
    <row r="92">
      <c r="G92" s="254">
        <f>IF(C92="","",IF(ISNUMBER(C92),C92,IF(ISNUMBER(VALUE(LEFT(TRIM(C92),1))),TRIM(C92),TRIM(MID(TRIM(C92),FIND(" ",TRIM(C92))+1,99)))))</f>
        <v/>
      </c>
      <c r="H92" s="254">
        <f>IF(D92="","",IF(ISNUMBER(D92),D92,IF(ISNUMBER(VALUE(LEFT(TRIM(D92),1))),TRIM(D92),TRIM(MID(TRIM(D92),FIND(" ",TRIM(D92))+1,99)))))</f>
        <v/>
      </c>
      <c r="I92" s="255">
        <f>IF(G92="",0,IF(ISNUMBER(G92),G92,IFERROR(DATE(VALUE(MID(G92,FIND("/",G92,FIND("/",G92)+1)+1,4)),VALUE(MID(G92,FIND("/",G92)+1,FIND("/",G92,FIND("/",G92)+1)-FIND("/",G92)-1)),VALUE(LEFT(G92,FIND("/",G92)-1)))+IFERROR(TIMEVALUE(TRIM(MID(G92,FIND(" ",G92)+1,20))),0),0)))</f>
        <v/>
      </c>
      <c r="J92" s="255">
        <f>IF(H92="",0,IF(ISNUMBER(H92),H92,IFERROR(DATE(VALUE(MID(H92,FIND("/",H92,FIND("/",H92)+1)+1,4)),VALUE(MID(H92,FIND("/",H92)+1,FIND("/",H92,FIND("/",H92)+1)-FIND("/",H92)-1)),VALUE(LEFT(H92,FIND("/",H92)-1)))+IFERROR(TIMEVALUE(TRIM(MID(H92,FIND(" ",H92)+1,20))),0),0)))</f>
        <v/>
      </c>
      <c r="K92" s="256">
        <f>IF(I92=0,0,INT(I92))</f>
        <v/>
      </c>
      <c r="L92" s="257">
        <f>IF(OR(I92=0,J92=0),0,ROUND((J92-I92)*24,2))</f>
        <v/>
      </c>
      <c r="M92" s="254">
        <f>IFERROR(TRIM(MID(A92,FIND("@",SUBSTITUTE(A92,"(","@",LEN(A92)-LEN(SUBSTITUTE(A92,"(",""))))+1,FIND(")",A92,FIND("@",SUBSTITUTE(A92,"(","@",LEN(A92)-LEN(SUBSTITUTE(A92,"(","")))))-FIND("@",SUBSTITUTE(A92,"(","@",LEN(A92)-LEN(SUBSTITUTE(A92,"(",""))))-1)),"")</f>
        <v/>
      </c>
      <c r="N92" s="254">
        <f>IF(A92="","",IF(LEFT(TRIM(A92),5)="Leave","Leave",IF(OR(ISNUMBER(SEARCH("public holiday",A92)),ISNUMBER(SEARCH("Purple",E92))),"Public holiday","Event")))</f>
        <v/>
      </c>
    </row>
    <row r="93">
      <c r="G93" s="254">
        <f>IF(C93="","",IF(ISNUMBER(C93),C93,IF(ISNUMBER(VALUE(LEFT(TRIM(C93),1))),TRIM(C93),TRIM(MID(TRIM(C93),FIND(" ",TRIM(C93))+1,99)))))</f>
        <v/>
      </c>
      <c r="H93" s="254">
        <f>IF(D93="","",IF(ISNUMBER(D93),D93,IF(ISNUMBER(VALUE(LEFT(TRIM(D93),1))),TRIM(D93),TRIM(MID(TRIM(D93),FIND(" ",TRIM(D93))+1,99)))))</f>
        <v/>
      </c>
      <c r="I93" s="255">
        <f>IF(G93="",0,IF(ISNUMBER(G93),G93,IFERROR(DATE(VALUE(MID(G93,FIND("/",G93,FIND("/",G93)+1)+1,4)),VALUE(MID(G93,FIND("/",G93)+1,FIND("/",G93,FIND("/",G93)+1)-FIND("/",G93)-1)),VALUE(LEFT(G93,FIND("/",G93)-1)))+IFERROR(TIMEVALUE(TRIM(MID(G93,FIND(" ",G93)+1,20))),0),0)))</f>
        <v/>
      </c>
      <c r="J93" s="255">
        <f>IF(H93="",0,IF(ISNUMBER(H93),H93,IFERROR(DATE(VALUE(MID(H93,FIND("/",H93,FIND("/",H93)+1)+1,4)),VALUE(MID(H93,FIND("/",H93)+1,FIND("/",H93,FIND("/",H93)+1)-FIND("/",H93)-1)),VALUE(LEFT(H93,FIND("/",H93)-1)))+IFERROR(TIMEVALUE(TRIM(MID(H93,FIND(" ",H93)+1,20))),0),0)))</f>
        <v/>
      </c>
      <c r="K93" s="256">
        <f>IF(I93=0,0,INT(I93))</f>
        <v/>
      </c>
      <c r="L93" s="257">
        <f>IF(OR(I93=0,J93=0),0,ROUND((J93-I93)*24,2))</f>
        <v/>
      </c>
      <c r="M93" s="254">
        <f>IFERROR(TRIM(MID(A93,FIND("@",SUBSTITUTE(A93,"(","@",LEN(A93)-LEN(SUBSTITUTE(A93,"(",""))))+1,FIND(")",A93,FIND("@",SUBSTITUTE(A93,"(","@",LEN(A93)-LEN(SUBSTITUTE(A93,"(","")))))-FIND("@",SUBSTITUTE(A93,"(","@",LEN(A93)-LEN(SUBSTITUTE(A93,"(",""))))-1)),"")</f>
        <v/>
      </c>
      <c r="N93" s="254">
        <f>IF(A93="","",IF(LEFT(TRIM(A93),5)="Leave","Leave",IF(OR(ISNUMBER(SEARCH("public holiday",A93)),ISNUMBER(SEARCH("Purple",E93))),"Public holiday","Event")))</f>
        <v/>
      </c>
    </row>
    <row r="94">
      <c r="G94" s="254">
        <f>IF(C94="","",IF(ISNUMBER(C94),C94,IF(ISNUMBER(VALUE(LEFT(TRIM(C94),1))),TRIM(C94),TRIM(MID(TRIM(C94),FIND(" ",TRIM(C94))+1,99)))))</f>
        <v/>
      </c>
      <c r="H94" s="254">
        <f>IF(D94="","",IF(ISNUMBER(D94),D94,IF(ISNUMBER(VALUE(LEFT(TRIM(D94),1))),TRIM(D94),TRIM(MID(TRIM(D94),FIND(" ",TRIM(D94))+1,99)))))</f>
        <v/>
      </c>
      <c r="I94" s="255">
        <f>IF(G94="",0,IF(ISNUMBER(G94),G94,IFERROR(DATE(VALUE(MID(G94,FIND("/",G94,FIND("/",G94)+1)+1,4)),VALUE(MID(G94,FIND("/",G94)+1,FIND("/",G94,FIND("/",G94)+1)-FIND("/",G94)-1)),VALUE(LEFT(G94,FIND("/",G94)-1)))+IFERROR(TIMEVALUE(TRIM(MID(G94,FIND(" ",G94)+1,20))),0),0)))</f>
        <v/>
      </c>
      <c r="J94" s="255">
        <f>IF(H94="",0,IF(ISNUMBER(H94),H94,IFERROR(DATE(VALUE(MID(H94,FIND("/",H94,FIND("/",H94)+1)+1,4)),VALUE(MID(H94,FIND("/",H94)+1,FIND("/",H94,FIND("/",H94)+1)-FIND("/",H94)-1)),VALUE(LEFT(H94,FIND("/",H94)-1)))+IFERROR(TIMEVALUE(TRIM(MID(H94,FIND(" ",H94)+1,20))),0),0)))</f>
        <v/>
      </c>
      <c r="K94" s="256">
        <f>IF(I94=0,0,INT(I94))</f>
        <v/>
      </c>
      <c r="L94" s="257">
        <f>IF(OR(I94=0,J94=0),0,ROUND((J94-I94)*24,2))</f>
        <v/>
      </c>
      <c r="M94" s="254">
        <f>IFERROR(TRIM(MID(A94,FIND("@",SUBSTITUTE(A94,"(","@",LEN(A94)-LEN(SUBSTITUTE(A94,"(",""))))+1,FIND(")",A94,FIND("@",SUBSTITUTE(A94,"(","@",LEN(A94)-LEN(SUBSTITUTE(A94,"(","")))))-FIND("@",SUBSTITUTE(A94,"(","@",LEN(A94)-LEN(SUBSTITUTE(A94,"(",""))))-1)),"")</f>
        <v/>
      </c>
      <c r="N94" s="254">
        <f>IF(A94="","",IF(LEFT(TRIM(A94),5)="Leave","Leave",IF(OR(ISNUMBER(SEARCH("public holiday",A94)),ISNUMBER(SEARCH("Purple",E94))),"Public holiday","Event")))</f>
        <v/>
      </c>
    </row>
    <row r="95">
      <c r="G95" s="254">
        <f>IF(C95="","",IF(ISNUMBER(C95),C95,IF(ISNUMBER(VALUE(LEFT(TRIM(C95),1))),TRIM(C95),TRIM(MID(TRIM(C95),FIND(" ",TRIM(C95))+1,99)))))</f>
        <v/>
      </c>
      <c r="H95" s="254">
        <f>IF(D95="","",IF(ISNUMBER(D95),D95,IF(ISNUMBER(VALUE(LEFT(TRIM(D95),1))),TRIM(D95),TRIM(MID(TRIM(D95),FIND(" ",TRIM(D95))+1,99)))))</f>
        <v/>
      </c>
      <c r="I95" s="255">
        <f>IF(G95="",0,IF(ISNUMBER(G95),G95,IFERROR(DATE(VALUE(MID(G95,FIND("/",G95,FIND("/",G95)+1)+1,4)),VALUE(MID(G95,FIND("/",G95)+1,FIND("/",G95,FIND("/",G95)+1)-FIND("/",G95)-1)),VALUE(LEFT(G95,FIND("/",G95)-1)))+IFERROR(TIMEVALUE(TRIM(MID(G95,FIND(" ",G95)+1,20))),0),0)))</f>
        <v/>
      </c>
      <c r="J95" s="255">
        <f>IF(H95="",0,IF(ISNUMBER(H95),H95,IFERROR(DATE(VALUE(MID(H95,FIND("/",H95,FIND("/",H95)+1)+1,4)),VALUE(MID(H95,FIND("/",H95)+1,FIND("/",H95,FIND("/",H95)+1)-FIND("/",H95)-1)),VALUE(LEFT(H95,FIND("/",H95)-1)))+IFERROR(TIMEVALUE(TRIM(MID(H95,FIND(" ",H95)+1,20))),0),0)))</f>
        <v/>
      </c>
      <c r="K95" s="256">
        <f>IF(I95=0,0,INT(I95))</f>
        <v/>
      </c>
      <c r="L95" s="257">
        <f>IF(OR(I95=0,J95=0),0,ROUND((J95-I95)*24,2))</f>
        <v/>
      </c>
      <c r="M95" s="254">
        <f>IFERROR(TRIM(MID(A95,FIND("@",SUBSTITUTE(A95,"(","@",LEN(A95)-LEN(SUBSTITUTE(A95,"(",""))))+1,FIND(")",A95,FIND("@",SUBSTITUTE(A95,"(","@",LEN(A95)-LEN(SUBSTITUTE(A95,"(","")))))-FIND("@",SUBSTITUTE(A95,"(","@",LEN(A95)-LEN(SUBSTITUTE(A95,"(",""))))-1)),"")</f>
        <v/>
      </c>
      <c r="N95" s="254">
        <f>IF(A95="","",IF(LEFT(TRIM(A95),5)="Leave","Leave",IF(OR(ISNUMBER(SEARCH("public holiday",A95)),ISNUMBER(SEARCH("Purple",E95))),"Public holiday","Event")))</f>
        <v/>
      </c>
    </row>
    <row r="96">
      <c r="G96" s="254">
        <f>IF(C96="","",IF(ISNUMBER(C96),C96,IF(ISNUMBER(VALUE(LEFT(TRIM(C96),1))),TRIM(C96),TRIM(MID(TRIM(C96),FIND(" ",TRIM(C96))+1,99)))))</f>
        <v/>
      </c>
      <c r="H96" s="254">
        <f>IF(D96="","",IF(ISNUMBER(D96),D96,IF(ISNUMBER(VALUE(LEFT(TRIM(D96),1))),TRIM(D96),TRIM(MID(TRIM(D96),FIND(" ",TRIM(D96))+1,99)))))</f>
        <v/>
      </c>
      <c r="I96" s="255">
        <f>IF(G96="",0,IF(ISNUMBER(G96),G96,IFERROR(DATE(VALUE(MID(G96,FIND("/",G96,FIND("/",G96)+1)+1,4)),VALUE(MID(G96,FIND("/",G96)+1,FIND("/",G96,FIND("/",G96)+1)-FIND("/",G96)-1)),VALUE(LEFT(G96,FIND("/",G96)-1)))+IFERROR(TIMEVALUE(TRIM(MID(G96,FIND(" ",G96)+1,20))),0),0)))</f>
        <v/>
      </c>
      <c r="J96" s="255">
        <f>IF(H96="",0,IF(ISNUMBER(H96),H96,IFERROR(DATE(VALUE(MID(H96,FIND("/",H96,FIND("/",H96)+1)+1,4)),VALUE(MID(H96,FIND("/",H96)+1,FIND("/",H96,FIND("/",H96)+1)-FIND("/",H96)-1)),VALUE(LEFT(H96,FIND("/",H96)-1)))+IFERROR(TIMEVALUE(TRIM(MID(H96,FIND(" ",H96)+1,20))),0),0)))</f>
        <v/>
      </c>
      <c r="K96" s="256">
        <f>IF(I96=0,0,INT(I96))</f>
        <v/>
      </c>
      <c r="L96" s="257">
        <f>IF(OR(I96=0,J96=0),0,ROUND((J96-I96)*24,2))</f>
        <v/>
      </c>
      <c r="M96" s="254">
        <f>IFERROR(TRIM(MID(A96,FIND("@",SUBSTITUTE(A96,"(","@",LEN(A96)-LEN(SUBSTITUTE(A96,"(",""))))+1,FIND(")",A96,FIND("@",SUBSTITUTE(A96,"(","@",LEN(A96)-LEN(SUBSTITUTE(A96,"(","")))))-FIND("@",SUBSTITUTE(A96,"(","@",LEN(A96)-LEN(SUBSTITUTE(A96,"(",""))))-1)),"")</f>
        <v/>
      </c>
      <c r="N96" s="254">
        <f>IF(A96="","",IF(LEFT(TRIM(A96),5)="Leave","Leave",IF(OR(ISNUMBER(SEARCH("public holiday",A96)),ISNUMBER(SEARCH("Purple",E96))),"Public holiday","Event")))</f>
        <v/>
      </c>
    </row>
    <row r="97">
      <c r="G97" s="254">
        <f>IF(C97="","",IF(ISNUMBER(C97),C97,IF(ISNUMBER(VALUE(LEFT(TRIM(C97),1))),TRIM(C97),TRIM(MID(TRIM(C97),FIND(" ",TRIM(C97))+1,99)))))</f>
        <v/>
      </c>
      <c r="H97" s="254">
        <f>IF(D97="","",IF(ISNUMBER(D97),D97,IF(ISNUMBER(VALUE(LEFT(TRIM(D97),1))),TRIM(D97),TRIM(MID(TRIM(D97),FIND(" ",TRIM(D97))+1,99)))))</f>
        <v/>
      </c>
      <c r="I97" s="255">
        <f>IF(G97="",0,IF(ISNUMBER(G97),G97,IFERROR(DATE(VALUE(MID(G97,FIND("/",G97,FIND("/",G97)+1)+1,4)),VALUE(MID(G97,FIND("/",G97)+1,FIND("/",G97,FIND("/",G97)+1)-FIND("/",G97)-1)),VALUE(LEFT(G97,FIND("/",G97)-1)))+IFERROR(TIMEVALUE(TRIM(MID(G97,FIND(" ",G97)+1,20))),0),0)))</f>
        <v/>
      </c>
      <c r="J97" s="255">
        <f>IF(H97="",0,IF(ISNUMBER(H97),H97,IFERROR(DATE(VALUE(MID(H97,FIND("/",H97,FIND("/",H97)+1)+1,4)),VALUE(MID(H97,FIND("/",H97)+1,FIND("/",H97,FIND("/",H97)+1)-FIND("/",H97)-1)),VALUE(LEFT(H97,FIND("/",H97)-1)))+IFERROR(TIMEVALUE(TRIM(MID(H97,FIND(" ",H97)+1,20))),0),0)))</f>
        <v/>
      </c>
      <c r="K97" s="256">
        <f>IF(I97=0,0,INT(I97))</f>
        <v/>
      </c>
      <c r="L97" s="257">
        <f>IF(OR(I97=0,J97=0),0,ROUND((J97-I97)*24,2))</f>
        <v/>
      </c>
      <c r="M97" s="254">
        <f>IFERROR(TRIM(MID(A97,FIND("@",SUBSTITUTE(A97,"(","@",LEN(A97)-LEN(SUBSTITUTE(A97,"(",""))))+1,FIND(")",A97,FIND("@",SUBSTITUTE(A97,"(","@",LEN(A97)-LEN(SUBSTITUTE(A97,"(","")))))-FIND("@",SUBSTITUTE(A97,"(","@",LEN(A97)-LEN(SUBSTITUTE(A97,"(",""))))-1)),"")</f>
        <v/>
      </c>
      <c r="N97" s="254">
        <f>IF(A97="","",IF(LEFT(TRIM(A97),5)="Leave","Leave",IF(OR(ISNUMBER(SEARCH("public holiday",A97)),ISNUMBER(SEARCH("Purple",E97))),"Public holiday","Event")))</f>
        <v/>
      </c>
    </row>
    <row r="98">
      <c r="G98" s="254">
        <f>IF(C98="","",IF(ISNUMBER(C98),C98,IF(ISNUMBER(VALUE(LEFT(TRIM(C98),1))),TRIM(C98),TRIM(MID(TRIM(C98),FIND(" ",TRIM(C98))+1,99)))))</f>
        <v/>
      </c>
      <c r="H98" s="254">
        <f>IF(D98="","",IF(ISNUMBER(D98),D98,IF(ISNUMBER(VALUE(LEFT(TRIM(D98),1))),TRIM(D98),TRIM(MID(TRIM(D98),FIND(" ",TRIM(D98))+1,99)))))</f>
        <v/>
      </c>
      <c r="I98" s="255">
        <f>IF(G98="",0,IF(ISNUMBER(G98),G98,IFERROR(DATE(VALUE(MID(G98,FIND("/",G98,FIND("/",G98)+1)+1,4)),VALUE(MID(G98,FIND("/",G98)+1,FIND("/",G98,FIND("/",G98)+1)-FIND("/",G98)-1)),VALUE(LEFT(G98,FIND("/",G98)-1)))+IFERROR(TIMEVALUE(TRIM(MID(G98,FIND(" ",G98)+1,20))),0),0)))</f>
        <v/>
      </c>
      <c r="J98" s="255">
        <f>IF(H98="",0,IF(ISNUMBER(H98),H98,IFERROR(DATE(VALUE(MID(H98,FIND("/",H98,FIND("/",H98)+1)+1,4)),VALUE(MID(H98,FIND("/",H98)+1,FIND("/",H98,FIND("/",H98)+1)-FIND("/",H98)-1)),VALUE(LEFT(H98,FIND("/",H98)-1)))+IFERROR(TIMEVALUE(TRIM(MID(H98,FIND(" ",H98)+1,20))),0),0)))</f>
        <v/>
      </c>
      <c r="K98" s="256">
        <f>IF(I98=0,0,INT(I98))</f>
        <v/>
      </c>
      <c r="L98" s="257">
        <f>IF(OR(I98=0,J98=0),0,ROUND((J98-I98)*24,2))</f>
        <v/>
      </c>
      <c r="M98" s="254">
        <f>IFERROR(TRIM(MID(A98,FIND("@",SUBSTITUTE(A98,"(","@",LEN(A98)-LEN(SUBSTITUTE(A98,"(",""))))+1,FIND(")",A98,FIND("@",SUBSTITUTE(A98,"(","@",LEN(A98)-LEN(SUBSTITUTE(A98,"(","")))))-FIND("@",SUBSTITUTE(A98,"(","@",LEN(A98)-LEN(SUBSTITUTE(A98,"(",""))))-1)),"")</f>
        <v/>
      </c>
      <c r="N98" s="254">
        <f>IF(A98="","",IF(LEFT(TRIM(A98),5)="Leave","Leave",IF(OR(ISNUMBER(SEARCH("public holiday",A98)),ISNUMBER(SEARCH("Purple",E98))),"Public holiday","Event")))</f>
        <v/>
      </c>
    </row>
    <row r="99">
      <c r="G99" s="254">
        <f>IF(C99="","",IF(ISNUMBER(C99),C99,IF(ISNUMBER(VALUE(LEFT(TRIM(C99),1))),TRIM(C99),TRIM(MID(TRIM(C99),FIND(" ",TRIM(C99))+1,99)))))</f>
        <v/>
      </c>
      <c r="H99" s="254">
        <f>IF(D99="","",IF(ISNUMBER(D99),D99,IF(ISNUMBER(VALUE(LEFT(TRIM(D99),1))),TRIM(D99),TRIM(MID(TRIM(D99),FIND(" ",TRIM(D99))+1,99)))))</f>
        <v/>
      </c>
      <c r="I99" s="255">
        <f>IF(G99="",0,IF(ISNUMBER(G99),G99,IFERROR(DATE(VALUE(MID(G99,FIND("/",G99,FIND("/",G99)+1)+1,4)),VALUE(MID(G99,FIND("/",G99)+1,FIND("/",G99,FIND("/",G99)+1)-FIND("/",G99)-1)),VALUE(LEFT(G99,FIND("/",G99)-1)))+IFERROR(TIMEVALUE(TRIM(MID(G99,FIND(" ",G99)+1,20))),0),0)))</f>
        <v/>
      </c>
      <c r="J99" s="255">
        <f>IF(H99="",0,IF(ISNUMBER(H99),H99,IFERROR(DATE(VALUE(MID(H99,FIND("/",H99,FIND("/",H99)+1)+1,4)),VALUE(MID(H99,FIND("/",H99)+1,FIND("/",H99,FIND("/",H99)+1)-FIND("/",H99)-1)),VALUE(LEFT(H99,FIND("/",H99)-1)))+IFERROR(TIMEVALUE(TRIM(MID(H99,FIND(" ",H99)+1,20))),0),0)))</f>
        <v/>
      </c>
      <c r="K99" s="256">
        <f>IF(I99=0,0,INT(I99))</f>
        <v/>
      </c>
      <c r="L99" s="257">
        <f>IF(OR(I99=0,J99=0),0,ROUND((J99-I99)*24,2))</f>
        <v/>
      </c>
      <c r="M99" s="254">
        <f>IFERROR(TRIM(MID(A99,FIND("@",SUBSTITUTE(A99,"(","@",LEN(A99)-LEN(SUBSTITUTE(A99,"(",""))))+1,FIND(")",A99,FIND("@",SUBSTITUTE(A99,"(","@",LEN(A99)-LEN(SUBSTITUTE(A99,"(","")))))-FIND("@",SUBSTITUTE(A99,"(","@",LEN(A99)-LEN(SUBSTITUTE(A99,"(",""))))-1)),"")</f>
        <v/>
      </c>
      <c r="N99" s="254">
        <f>IF(A99="","",IF(LEFT(TRIM(A99),5)="Leave","Leave",IF(OR(ISNUMBER(SEARCH("public holiday",A99)),ISNUMBER(SEARCH("Purple",E99))),"Public holiday","Event")))</f>
        <v/>
      </c>
    </row>
    <row r="100">
      <c r="G100" s="254">
        <f>IF(C100="","",IF(ISNUMBER(C100),C100,IF(ISNUMBER(VALUE(LEFT(TRIM(C100),1))),TRIM(C100),TRIM(MID(TRIM(C100),FIND(" ",TRIM(C100))+1,99)))))</f>
        <v/>
      </c>
      <c r="H100" s="254">
        <f>IF(D100="","",IF(ISNUMBER(D100),D100,IF(ISNUMBER(VALUE(LEFT(TRIM(D100),1))),TRIM(D100),TRIM(MID(TRIM(D100),FIND(" ",TRIM(D100))+1,99)))))</f>
        <v/>
      </c>
      <c r="I100" s="255">
        <f>IF(G100="",0,IF(ISNUMBER(G100),G100,IFERROR(DATE(VALUE(MID(G100,FIND("/",G100,FIND("/",G100)+1)+1,4)),VALUE(MID(G100,FIND("/",G100)+1,FIND("/",G100,FIND("/",G100)+1)-FIND("/",G100)-1)),VALUE(LEFT(G100,FIND("/",G100)-1)))+IFERROR(TIMEVALUE(TRIM(MID(G100,FIND(" ",G100)+1,20))),0),0)))</f>
        <v/>
      </c>
      <c r="J100" s="255">
        <f>IF(H100="",0,IF(ISNUMBER(H100),H100,IFERROR(DATE(VALUE(MID(H100,FIND("/",H100,FIND("/",H100)+1)+1,4)),VALUE(MID(H100,FIND("/",H100)+1,FIND("/",H100,FIND("/",H100)+1)-FIND("/",H100)-1)),VALUE(LEFT(H100,FIND("/",H100)-1)))+IFERROR(TIMEVALUE(TRIM(MID(H100,FIND(" ",H100)+1,20))),0),0)))</f>
        <v/>
      </c>
      <c r="K100" s="256">
        <f>IF(I100=0,0,INT(I100))</f>
        <v/>
      </c>
      <c r="L100" s="257">
        <f>IF(OR(I100=0,J100=0),0,ROUND((J100-I100)*24,2))</f>
        <v/>
      </c>
      <c r="M100" s="254">
        <f>IFERROR(TRIM(MID(A100,FIND("@",SUBSTITUTE(A100,"(","@",LEN(A100)-LEN(SUBSTITUTE(A100,"(",""))))+1,FIND(")",A100,FIND("@",SUBSTITUTE(A100,"(","@",LEN(A100)-LEN(SUBSTITUTE(A100,"(","")))))-FIND("@",SUBSTITUTE(A100,"(","@",LEN(A100)-LEN(SUBSTITUTE(A100,"(",""))))-1)),"")</f>
        <v/>
      </c>
      <c r="N100" s="254">
        <f>IF(A100="","",IF(LEFT(TRIM(A100),5)="Leave","Leave",IF(OR(ISNUMBER(SEARCH("public holiday",A100)),ISNUMBER(SEARCH("Purple",E100))),"Public holiday","Event")))</f>
        <v/>
      </c>
    </row>
    <row r="101">
      <c r="G101" s="254">
        <f>IF(C101="","",IF(ISNUMBER(C101),C101,IF(ISNUMBER(VALUE(LEFT(TRIM(C101),1))),TRIM(C101),TRIM(MID(TRIM(C101),FIND(" ",TRIM(C101))+1,99)))))</f>
        <v/>
      </c>
      <c r="H101" s="254">
        <f>IF(D101="","",IF(ISNUMBER(D101),D101,IF(ISNUMBER(VALUE(LEFT(TRIM(D101),1))),TRIM(D101),TRIM(MID(TRIM(D101),FIND(" ",TRIM(D101))+1,99)))))</f>
        <v/>
      </c>
      <c r="I101" s="255">
        <f>IF(G101="",0,IF(ISNUMBER(G101),G101,IFERROR(DATE(VALUE(MID(G101,FIND("/",G101,FIND("/",G101)+1)+1,4)),VALUE(MID(G101,FIND("/",G101)+1,FIND("/",G101,FIND("/",G101)+1)-FIND("/",G101)-1)),VALUE(LEFT(G101,FIND("/",G101)-1)))+IFERROR(TIMEVALUE(TRIM(MID(G101,FIND(" ",G101)+1,20))),0),0)))</f>
        <v/>
      </c>
      <c r="J101" s="255">
        <f>IF(H101="",0,IF(ISNUMBER(H101),H101,IFERROR(DATE(VALUE(MID(H101,FIND("/",H101,FIND("/",H101)+1)+1,4)),VALUE(MID(H101,FIND("/",H101)+1,FIND("/",H101,FIND("/",H101)+1)-FIND("/",H101)-1)),VALUE(LEFT(H101,FIND("/",H101)-1)))+IFERROR(TIMEVALUE(TRIM(MID(H101,FIND(" ",H101)+1,20))),0),0)))</f>
        <v/>
      </c>
      <c r="K101" s="256">
        <f>IF(I101=0,0,INT(I101))</f>
        <v/>
      </c>
      <c r="L101" s="257">
        <f>IF(OR(I101=0,J101=0),0,ROUND((J101-I101)*24,2))</f>
        <v/>
      </c>
      <c r="M101" s="254">
        <f>IFERROR(TRIM(MID(A101,FIND("@",SUBSTITUTE(A101,"(","@",LEN(A101)-LEN(SUBSTITUTE(A101,"(",""))))+1,FIND(")",A101,FIND("@",SUBSTITUTE(A101,"(","@",LEN(A101)-LEN(SUBSTITUTE(A101,"(","")))))-FIND("@",SUBSTITUTE(A101,"(","@",LEN(A101)-LEN(SUBSTITUTE(A101,"(",""))))-1)),"")</f>
        <v/>
      </c>
      <c r="N101" s="254">
        <f>IF(A101="","",IF(LEFT(TRIM(A101),5)="Leave","Leave",IF(OR(ISNUMBER(SEARCH("public holiday",A101)),ISNUMBER(SEARCH("Purple",E101))),"Public holiday","Event")))</f>
        <v/>
      </c>
    </row>
    <row r="102">
      <c r="G102" s="254">
        <f>IF(C102="","",IF(ISNUMBER(C102),C102,IF(ISNUMBER(VALUE(LEFT(TRIM(C102),1))),TRIM(C102),TRIM(MID(TRIM(C102),FIND(" ",TRIM(C102))+1,99)))))</f>
        <v/>
      </c>
      <c r="H102" s="254">
        <f>IF(D102="","",IF(ISNUMBER(D102),D102,IF(ISNUMBER(VALUE(LEFT(TRIM(D102),1))),TRIM(D102),TRIM(MID(TRIM(D102),FIND(" ",TRIM(D102))+1,99)))))</f>
        <v/>
      </c>
      <c r="I102" s="255">
        <f>IF(G102="",0,IF(ISNUMBER(G102),G102,IFERROR(DATE(VALUE(MID(G102,FIND("/",G102,FIND("/",G102)+1)+1,4)),VALUE(MID(G102,FIND("/",G102)+1,FIND("/",G102,FIND("/",G102)+1)-FIND("/",G102)-1)),VALUE(LEFT(G102,FIND("/",G102)-1)))+IFERROR(TIMEVALUE(TRIM(MID(G102,FIND(" ",G102)+1,20))),0),0)))</f>
        <v/>
      </c>
      <c r="J102" s="255">
        <f>IF(H102="",0,IF(ISNUMBER(H102),H102,IFERROR(DATE(VALUE(MID(H102,FIND("/",H102,FIND("/",H102)+1)+1,4)),VALUE(MID(H102,FIND("/",H102)+1,FIND("/",H102,FIND("/",H102)+1)-FIND("/",H102)-1)),VALUE(LEFT(H102,FIND("/",H102)-1)))+IFERROR(TIMEVALUE(TRIM(MID(H102,FIND(" ",H102)+1,20))),0),0)))</f>
        <v/>
      </c>
      <c r="K102" s="256">
        <f>IF(I102=0,0,INT(I102))</f>
        <v/>
      </c>
      <c r="L102" s="257">
        <f>IF(OR(I102=0,J102=0),0,ROUND((J102-I102)*24,2))</f>
        <v/>
      </c>
      <c r="M102" s="254">
        <f>IFERROR(TRIM(MID(A102,FIND("@",SUBSTITUTE(A102,"(","@",LEN(A102)-LEN(SUBSTITUTE(A102,"(",""))))+1,FIND(")",A102,FIND("@",SUBSTITUTE(A102,"(","@",LEN(A102)-LEN(SUBSTITUTE(A102,"(","")))))-FIND("@",SUBSTITUTE(A102,"(","@",LEN(A102)-LEN(SUBSTITUTE(A102,"(",""))))-1)),"")</f>
        <v/>
      </c>
      <c r="N102" s="254">
        <f>IF(A102="","",IF(LEFT(TRIM(A102),5)="Leave","Leave",IF(OR(ISNUMBER(SEARCH("public holiday",A102)),ISNUMBER(SEARCH("Purple",E102))),"Public holiday","Event")))</f>
        <v/>
      </c>
    </row>
    <row r="103">
      <c r="G103" s="254">
        <f>IF(C103="","",IF(ISNUMBER(C103),C103,IF(ISNUMBER(VALUE(LEFT(TRIM(C103),1))),TRIM(C103),TRIM(MID(TRIM(C103),FIND(" ",TRIM(C103))+1,99)))))</f>
        <v/>
      </c>
      <c r="H103" s="254">
        <f>IF(D103="","",IF(ISNUMBER(D103),D103,IF(ISNUMBER(VALUE(LEFT(TRIM(D103),1))),TRIM(D103),TRIM(MID(TRIM(D103),FIND(" ",TRIM(D103))+1,99)))))</f>
        <v/>
      </c>
      <c r="I103" s="255">
        <f>IF(G103="",0,IF(ISNUMBER(G103),G103,IFERROR(DATE(VALUE(MID(G103,FIND("/",G103,FIND("/",G103)+1)+1,4)),VALUE(MID(G103,FIND("/",G103)+1,FIND("/",G103,FIND("/",G103)+1)-FIND("/",G103)-1)),VALUE(LEFT(G103,FIND("/",G103)-1)))+IFERROR(TIMEVALUE(TRIM(MID(G103,FIND(" ",G103)+1,20))),0),0)))</f>
        <v/>
      </c>
      <c r="J103" s="255">
        <f>IF(H103="",0,IF(ISNUMBER(H103),H103,IFERROR(DATE(VALUE(MID(H103,FIND("/",H103,FIND("/",H103)+1)+1,4)),VALUE(MID(H103,FIND("/",H103)+1,FIND("/",H103,FIND("/",H103)+1)-FIND("/",H103)-1)),VALUE(LEFT(H103,FIND("/",H103)-1)))+IFERROR(TIMEVALUE(TRIM(MID(H103,FIND(" ",H103)+1,20))),0),0)))</f>
        <v/>
      </c>
      <c r="K103" s="256">
        <f>IF(I103=0,0,INT(I103))</f>
        <v/>
      </c>
      <c r="L103" s="257">
        <f>IF(OR(I103=0,J103=0),0,ROUND((J103-I103)*24,2))</f>
        <v/>
      </c>
      <c r="M103" s="254">
        <f>IFERROR(TRIM(MID(A103,FIND("@",SUBSTITUTE(A103,"(","@",LEN(A103)-LEN(SUBSTITUTE(A103,"(",""))))+1,FIND(")",A103,FIND("@",SUBSTITUTE(A103,"(","@",LEN(A103)-LEN(SUBSTITUTE(A103,"(","")))))-FIND("@",SUBSTITUTE(A103,"(","@",LEN(A103)-LEN(SUBSTITUTE(A103,"(",""))))-1)),"")</f>
        <v/>
      </c>
      <c r="N103" s="254">
        <f>IF(A103="","",IF(LEFT(TRIM(A103),5)="Leave","Leave",IF(OR(ISNUMBER(SEARCH("public holiday",A103)),ISNUMBER(SEARCH("Purple",E103))),"Public holiday","Event")))</f>
        <v/>
      </c>
    </row>
    <row r="104">
      <c r="G104" s="254">
        <f>IF(C104="","",IF(ISNUMBER(C104),C104,IF(ISNUMBER(VALUE(LEFT(TRIM(C104),1))),TRIM(C104),TRIM(MID(TRIM(C104),FIND(" ",TRIM(C104))+1,99)))))</f>
        <v/>
      </c>
      <c r="H104" s="254">
        <f>IF(D104="","",IF(ISNUMBER(D104),D104,IF(ISNUMBER(VALUE(LEFT(TRIM(D104),1))),TRIM(D104),TRIM(MID(TRIM(D104),FIND(" ",TRIM(D104))+1,99)))))</f>
        <v/>
      </c>
      <c r="I104" s="255">
        <f>IF(G104="",0,IF(ISNUMBER(G104),G104,IFERROR(DATE(VALUE(MID(G104,FIND("/",G104,FIND("/",G104)+1)+1,4)),VALUE(MID(G104,FIND("/",G104)+1,FIND("/",G104,FIND("/",G104)+1)-FIND("/",G104)-1)),VALUE(LEFT(G104,FIND("/",G104)-1)))+IFERROR(TIMEVALUE(TRIM(MID(G104,FIND(" ",G104)+1,20))),0),0)))</f>
        <v/>
      </c>
      <c r="J104" s="255">
        <f>IF(H104="",0,IF(ISNUMBER(H104),H104,IFERROR(DATE(VALUE(MID(H104,FIND("/",H104,FIND("/",H104)+1)+1,4)),VALUE(MID(H104,FIND("/",H104)+1,FIND("/",H104,FIND("/",H104)+1)-FIND("/",H104)-1)),VALUE(LEFT(H104,FIND("/",H104)-1)))+IFERROR(TIMEVALUE(TRIM(MID(H104,FIND(" ",H104)+1,20))),0),0)))</f>
        <v/>
      </c>
      <c r="K104" s="256">
        <f>IF(I104=0,0,INT(I104))</f>
        <v/>
      </c>
      <c r="L104" s="257">
        <f>IF(OR(I104=0,J104=0),0,ROUND((J104-I104)*24,2))</f>
        <v/>
      </c>
      <c r="M104" s="254">
        <f>IFERROR(TRIM(MID(A104,FIND("@",SUBSTITUTE(A104,"(","@",LEN(A104)-LEN(SUBSTITUTE(A104,"(",""))))+1,FIND(")",A104,FIND("@",SUBSTITUTE(A104,"(","@",LEN(A104)-LEN(SUBSTITUTE(A104,"(","")))))-FIND("@",SUBSTITUTE(A104,"(","@",LEN(A104)-LEN(SUBSTITUTE(A104,"(",""))))-1)),"")</f>
        <v/>
      </c>
      <c r="N104" s="254">
        <f>IF(A104="","",IF(LEFT(TRIM(A104),5)="Leave","Leave",IF(OR(ISNUMBER(SEARCH("public holiday",A104)),ISNUMBER(SEARCH("Purple",E104))),"Public holiday","Event")))</f>
        <v/>
      </c>
    </row>
    <row r="105">
      <c r="G105" s="254">
        <f>IF(C105="","",IF(ISNUMBER(C105),C105,IF(ISNUMBER(VALUE(LEFT(TRIM(C105),1))),TRIM(C105),TRIM(MID(TRIM(C105),FIND(" ",TRIM(C105))+1,99)))))</f>
        <v/>
      </c>
      <c r="H105" s="254">
        <f>IF(D105="","",IF(ISNUMBER(D105),D105,IF(ISNUMBER(VALUE(LEFT(TRIM(D105),1))),TRIM(D105),TRIM(MID(TRIM(D105),FIND(" ",TRIM(D105))+1,99)))))</f>
        <v/>
      </c>
      <c r="I105" s="255">
        <f>IF(G105="",0,IF(ISNUMBER(G105),G105,IFERROR(DATE(VALUE(MID(G105,FIND("/",G105,FIND("/",G105)+1)+1,4)),VALUE(MID(G105,FIND("/",G105)+1,FIND("/",G105,FIND("/",G105)+1)-FIND("/",G105)-1)),VALUE(LEFT(G105,FIND("/",G105)-1)))+IFERROR(TIMEVALUE(TRIM(MID(G105,FIND(" ",G105)+1,20))),0),0)))</f>
        <v/>
      </c>
      <c r="J105" s="255">
        <f>IF(H105="",0,IF(ISNUMBER(H105),H105,IFERROR(DATE(VALUE(MID(H105,FIND("/",H105,FIND("/",H105)+1)+1,4)),VALUE(MID(H105,FIND("/",H105)+1,FIND("/",H105,FIND("/",H105)+1)-FIND("/",H105)-1)),VALUE(LEFT(H105,FIND("/",H105)-1)))+IFERROR(TIMEVALUE(TRIM(MID(H105,FIND(" ",H105)+1,20))),0),0)))</f>
        <v/>
      </c>
      <c r="K105" s="256">
        <f>IF(I105=0,0,INT(I105))</f>
        <v/>
      </c>
      <c r="L105" s="257">
        <f>IF(OR(I105=0,J105=0),0,ROUND((J105-I105)*24,2))</f>
        <v/>
      </c>
      <c r="M105" s="254">
        <f>IFERROR(TRIM(MID(A105,FIND("@",SUBSTITUTE(A105,"(","@",LEN(A105)-LEN(SUBSTITUTE(A105,"(",""))))+1,FIND(")",A105,FIND("@",SUBSTITUTE(A105,"(","@",LEN(A105)-LEN(SUBSTITUTE(A105,"(","")))))-FIND("@",SUBSTITUTE(A105,"(","@",LEN(A105)-LEN(SUBSTITUTE(A105,"(",""))))-1)),"")</f>
        <v/>
      </c>
      <c r="N105" s="254">
        <f>IF(A105="","",IF(LEFT(TRIM(A105),5)="Leave","Leave",IF(OR(ISNUMBER(SEARCH("public holiday",A105)),ISNUMBER(SEARCH("Purple",E105))),"Public holiday","Event")))</f>
        <v/>
      </c>
    </row>
    <row r="106">
      <c r="G106" s="254">
        <f>IF(C106="","",IF(ISNUMBER(C106),C106,IF(ISNUMBER(VALUE(LEFT(TRIM(C106),1))),TRIM(C106),TRIM(MID(TRIM(C106),FIND(" ",TRIM(C106))+1,99)))))</f>
        <v/>
      </c>
      <c r="H106" s="254">
        <f>IF(D106="","",IF(ISNUMBER(D106),D106,IF(ISNUMBER(VALUE(LEFT(TRIM(D106),1))),TRIM(D106),TRIM(MID(TRIM(D106),FIND(" ",TRIM(D106))+1,99)))))</f>
        <v/>
      </c>
      <c r="I106" s="255">
        <f>IF(G106="",0,IF(ISNUMBER(G106),G106,IFERROR(DATE(VALUE(MID(G106,FIND("/",G106,FIND("/",G106)+1)+1,4)),VALUE(MID(G106,FIND("/",G106)+1,FIND("/",G106,FIND("/",G106)+1)-FIND("/",G106)-1)),VALUE(LEFT(G106,FIND("/",G106)-1)))+IFERROR(TIMEVALUE(TRIM(MID(G106,FIND(" ",G106)+1,20))),0),0)))</f>
        <v/>
      </c>
      <c r="J106" s="255">
        <f>IF(H106="",0,IF(ISNUMBER(H106),H106,IFERROR(DATE(VALUE(MID(H106,FIND("/",H106,FIND("/",H106)+1)+1,4)),VALUE(MID(H106,FIND("/",H106)+1,FIND("/",H106,FIND("/",H106)+1)-FIND("/",H106)-1)),VALUE(LEFT(H106,FIND("/",H106)-1)))+IFERROR(TIMEVALUE(TRIM(MID(H106,FIND(" ",H106)+1,20))),0),0)))</f>
        <v/>
      </c>
      <c r="K106" s="256">
        <f>IF(I106=0,0,INT(I106))</f>
        <v/>
      </c>
      <c r="L106" s="257">
        <f>IF(OR(I106=0,J106=0),0,ROUND((J106-I106)*24,2))</f>
        <v/>
      </c>
      <c r="M106" s="254">
        <f>IFERROR(TRIM(MID(A106,FIND("@",SUBSTITUTE(A106,"(","@",LEN(A106)-LEN(SUBSTITUTE(A106,"(",""))))+1,FIND(")",A106,FIND("@",SUBSTITUTE(A106,"(","@",LEN(A106)-LEN(SUBSTITUTE(A106,"(","")))))-FIND("@",SUBSTITUTE(A106,"(","@",LEN(A106)-LEN(SUBSTITUTE(A106,"(",""))))-1)),"")</f>
        <v/>
      </c>
      <c r="N106" s="254">
        <f>IF(A106="","",IF(LEFT(TRIM(A106),5)="Leave","Leave",IF(OR(ISNUMBER(SEARCH("public holiday",A106)),ISNUMBER(SEARCH("Purple",E106))),"Public holiday","Event")))</f>
        <v/>
      </c>
    </row>
    <row r="107">
      <c r="G107" s="254">
        <f>IF(C107="","",IF(ISNUMBER(C107),C107,IF(ISNUMBER(VALUE(LEFT(TRIM(C107),1))),TRIM(C107),TRIM(MID(TRIM(C107),FIND(" ",TRIM(C107))+1,99)))))</f>
        <v/>
      </c>
      <c r="H107" s="254">
        <f>IF(D107="","",IF(ISNUMBER(D107),D107,IF(ISNUMBER(VALUE(LEFT(TRIM(D107),1))),TRIM(D107),TRIM(MID(TRIM(D107),FIND(" ",TRIM(D107))+1,99)))))</f>
        <v/>
      </c>
      <c r="I107" s="255">
        <f>IF(G107="",0,IF(ISNUMBER(G107),G107,IFERROR(DATE(VALUE(MID(G107,FIND("/",G107,FIND("/",G107)+1)+1,4)),VALUE(MID(G107,FIND("/",G107)+1,FIND("/",G107,FIND("/",G107)+1)-FIND("/",G107)-1)),VALUE(LEFT(G107,FIND("/",G107)-1)))+IFERROR(TIMEVALUE(TRIM(MID(G107,FIND(" ",G107)+1,20))),0),0)))</f>
        <v/>
      </c>
      <c r="J107" s="255">
        <f>IF(H107="",0,IF(ISNUMBER(H107),H107,IFERROR(DATE(VALUE(MID(H107,FIND("/",H107,FIND("/",H107)+1)+1,4)),VALUE(MID(H107,FIND("/",H107)+1,FIND("/",H107,FIND("/",H107)+1)-FIND("/",H107)-1)),VALUE(LEFT(H107,FIND("/",H107)-1)))+IFERROR(TIMEVALUE(TRIM(MID(H107,FIND(" ",H107)+1,20))),0),0)))</f>
        <v/>
      </c>
      <c r="K107" s="256">
        <f>IF(I107=0,0,INT(I107))</f>
        <v/>
      </c>
      <c r="L107" s="257">
        <f>IF(OR(I107=0,J107=0),0,ROUND((J107-I107)*24,2))</f>
        <v/>
      </c>
      <c r="M107" s="254">
        <f>IFERROR(TRIM(MID(A107,FIND("@",SUBSTITUTE(A107,"(","@",LEN(A107)-LEN(SUBSTITUTE(A107,"(",""))))+1,FIND(")",A107,FIND("@",SUBSTITUTE(A107,"(","@",LEN(A107)-LEN(SUBSTITUTE(A107,"(","")))))-FIND("@",SUBSTITUTE(A107,"(","@",LEN(A107)-LEN(SUBSTITUTE(A107,"(",""))))-1)),"")</f>
        <v/>
      </c>
      <c r="N107" s="254">
        <f>IF(A107="","",IF(LEFT(TRIM(A107),5)="Leave","Leave",IF(OR(ISNUMBER(SEARCH("public holiday",A107)),ISNUMBER(SEARCH("Purple",E107))),"Public holiday","Event")))</f>
        <v/>
      </c>
    </row>
    <row r="108">
      <c r="G108" s="254">
        <f>IF(C108="","",IF(ISNUMBER(C108),C108,IF(ISNUMBER(VALUE(LEFT(TRIM(C108),1))),TRIM(C108),TRIM(MID(TRIM(C108),FIND(" ",TRIM(C108))+1,99)))))</f>
        <v/>
      </c>
      <c r="H108" s="254">
        <f>IF(D108="","",IF(ISNUMBER(D108),D108,IF(ISNUMBER(VALUE(LEFT(TRIM(D108),1))),TRIM(D108),TRIM(MID(TRIM(D108),FIND(" ",TRIM(D108))+1,99)))))</f>
        <v/>
      </c>
      <c r="I108" s="255">
        <f>IF(G108="",0,IF(ISNUMBER(G108),G108,IFERROR(DATE(VALUE(MID(G108,FIND("/",G108,FIND("/",G108)+1)+1,4)),VALUE(MID(G108,FIND("/",G108)+1,FIND("/",G108,FIND("/",G108)+1)-FIND("/",G108)-1)),VALUE(LEFT(G108,FIND("/",G108)-1)))+IFERROR(TIMEVALUE(TRIM(MID(G108,FIND(" ",G108)+1,20))),0),0)))</f>
        <v/>
      </c>
      <c r="J108" s="255">
        <f>IF(H108="",0,IF(ISNUMBER(H108),H108,IFERROR(DATE(VALUE(MID(H108,FIND("/",H108,FIND("/",H108)+1)+1,4)),VALUE(MID(H108,FIND("/",H108)+1,FIND("/",H108,FIND("/",H108)+1)-FIND("/",H108)-1)),VALUE(LEFT(H108,FIND("/",H108)-1)))+IFERROR(TIMEVALUE(TRIM(MID(H108,FIND(" ",H108)+1,20))),0),0)))</f>
        <v/>
      </c>
      <c r="K108" s="256">
        <f>IF(I108=0,0,INT(I108))</f>
        <v/>
      </c>
      <c r="L108" s="257">
        <f>IF(OR(I108=0,J108=0),0,ROUND((J108-I108)*24,2))</f>
        <v/>
      </c>
      <c r="M108" s="254">
        <f>IFERROR(TRIM(MID(A108,FIND("@",SUBSTITUTE(A108,"(","@",LEN(A108)-LEN(SUBSTITUTE(A108,"(",""))))+1,FIND(")",A108,FIND("@",SUBSTITUTE(A108,"(","@",LEN(A108)-LEN(SUBSTITUTE(A108,"(","")))))-FIND("@",SUBSTITUTE(A108,"(","@",LEN(A108)-LEN(SUBSTITUTE(A108,"(",""))))-1)),"")</f>
        <v/>
      </c>
      <c r="N108" s="254">
        <f>IF(A108="","",IF(LEFT(TRIM(A108),5)="Leave","Leave",IF(OR(ISNUMBER(SEARCH("public holiday",A108)),ISNUMBER(SEARCH("Purple",E108))),"Public holiday","Event")))</f>
        <v/>
      </c>
    </row>
    <row r="109">
      <c r="G109" s="254">
        <f>IF(C109="","",IF(ISNUMBER(C109),C109,IF(ISNUMBER(VALUE(LEFT(TRIM(C109),1))),TRIM(C109),TRIM(MID(TRIM(C109),FIND(" ",TRIM(C109))+1,99)))))</f>
        <v/>
      </c>
      <c r="H109" s="254">
        <f>IF(D109="","",IF(ISNUMBER(D109),D109,IF(ISNUMBER(VALUE(LEFT(TRIM(D109),1))),TRIM(D109),TRIM(MID(TRIM(D109),FIND(" ",TRIM(D109))+1,99)))))</f>
        <v/>
      </c>
      <c r="I109" s="255">
        <f>IF(G109="",0,IF(ISNUMBER(G109),G109,IFERROR(DATE(VALUE(MID(G109,FIND("/",G109,FIND("/",G109)+1)+1,4)),VALUE(MID(G109,FIND("/",G109)+1,FIND("/",G109,FIND("/",G109)+1)-FIND("/",G109)-1)),VALUE(LEFT(G109,FIND("/",G109)-1)))+IFERROR(TIMEVALUE(TRIM(MID(G109,FIND(" ",G109)+1,20))),0),0)))</f>
        <v/>
      </c>
      <c r="J109" s="255">
        <f>IF(H109="",0,IF(ISNUMBER(H109),H109,IFERROR(DATE(VALUE(MID(H109,FIND("/",H109,FIND("/",H109)+1)+1,4)),VALUE(MID(H109,FIND("/",H109)+1,FIND("/",H109,FIND("/",H109)+1)-FIND("/",H109)-1)),VALUE(LEFT(H109,FIND("/",H109)-1)))+IFERROR(TIMEVALUE(TRIM(MID(H109,FIND(" ",H109)+1,20))),0),0)))</f>
        <v/>
      </c>
      <c r="K109" s="256">
        <f>IF(I109=0,0,INT(I109))</f>
        <v/>
      </c>
      <c r="L109" s="257">
        <f>IF(OR(I109=0,J109=0),0,ROUND((J109-I109)*24,2))</f>
        <v/>
      </c>
      <c r="M109" s="254">
        <f>IFERROR(TRIM(MID(A109,FIND("@",SUBSTITUTE(A109,"(","@",LEN(A109)-LEN(SUBSTITUTE(A109,"(",""))))+1,FIND(")",A109,FIND("@",SUBSTITUTE(A109,"(","@",LEN(A109)-LEN(SUBSTITUTE(A109,"(","")))))-FIND("@",SUBSTITUTE(A109,"(","@",LEN(A109)-LEN(SUBSTITUTE(A109,"(",""))))-1)),"")</f>
        <v/>
      </c>
      <c r="N109" s="254">
        <f>IF(A109="","",IF(LEFT(TRIM(A109),5)="Leave","Leave",IF(OR(ISNUMBER(SEARCH("public holiday",A109)),ISNUMBER(SEARCH("Purple",E109))),"Public holiday","Event")))</f>
        <v/>
      </c>
    </row>
    <row r="110">
      <c r="G110" s="254">
        <f>IF(C110="","",IF(ISNUMBER(C110),C110,IF(ISNUMBER(VALUE(LEFT(TRIM(C110),1))),TRIM(C110),TRIM(MID(TRIM(C110),FIND(" ",TRIM(C110))+1,99)))))</f>
        <v/>
      </c>
      <c r="H110" s="254">
        <f>IF(D110="","",IF(ISNUMBER(D110),D110,IF(ISNUMBER(VALUE(LEFT(TRIM(D110),1))),TRIM(D110),TRIM(MID(TRIM(D110),FIND(" ",TRIM(D110))+1,99)))))</f>
        <v/>
      </c>
      <c r="I110" s="255">
        <f>IF(G110="",0,IF(ISNUMBER(G110),G110,IFERROR(DATE(VALUE(MID(G110,FIND("/",G110,FIND("/",G110)+1)+1,4)),VALUE(MID(G110,FIND("/",G110)+1,FIND("/",G110,FIND("/",G110)+1)-FIND("/",G110)-1)),VALUE(LEFT(G110,FIND("/",G110)-1)))+IFERROR(TIMEVALUE(TRIM(MID(G110,FIND(" ",G110)+1,20))),0),0)))</f>
        <v/>
      </c>
      <c r="J110" s="255">
        <f>IF(H110="",0,IF(ISNUMBER(H110),H110,IFERROR(DATE(VALUE(MID(H110,FIND("/",H110,FIND("/",H110)+1)+1,4)),VALUE(MID(H110,FIND("/",H110)+1,FIND("/",H110,FIND("/",H110)+1)-FIND("/",H110)-1)),VALUE(LEFT(H110,FIND("/",H110)-1)))+IFERROR(TIMEVALUE(TRIM(MID(H110,FIND(" ",H110)+1,20))),0),0)))</f>
        <v/>
      </c>
      <c r="K110" s="256">
        <f>IF(I110=0,0,INT(I110))</f>
        <v/>
      </c>
      <c r="L110" s="257">
        <f>IF(OR(I110=0,J110=0),0,ROUND((J110-I110)*24,2))</f>
        <v/>
      </c>
      <c r="M110" s="254">
        <f>IFERROR(TRIM(MID(A110,FIND("@",SUBSTITUTE(A110,"(","@",LEN(A110)-LEN(SUBSTITUTE(A110,"(",""))))+1,FIND(")",A110,FIND("@",SUBSTITUTE(A110,"(","@",LEN(A110)-LEN(SUBSTITUTE(A110,"(","")))))-FIND("@",SUBSTITUTE(A110,"(","@",LEN(A110)-LEN(SUBSTITUTE(A110,"(",""))))-1)),"")</f>
        <v/>
      </c>
      <c r="N110" s="254">
        <f>IF(A110="","",IF(LEFT(TRIM(A110),5)="Leave","Leave",IF(OR(ISNUMBER(SEARCH("public holiday",A110)),ISNUMBER(SEARCH("Purple",E110))),"Public holiday","Event")))</f>
        <v/>
      </c>
    </row>
    <row r="111">
      <c r="G111" s="254">
        <f>IF(C111="","",IF(ISNUMBER(C111),C111,IF(ISNUMBER(VALUE(LEFT(TRIM(C111),1))),TRIM(C111),TRIM(MID(TRIM(C111),FIND(" ",TRIM(C111))+1,99)))))</f>
        <v/>
      </c>
      <c r="H111" s="254">
        <f>IF(D111="","",IF(ISNUMBER(D111),D111,IF(ISNUMBER(VALUE(LEFT(TRIM(D111),1))),TRIM(D111),TRIM(MID(TRIM(D111),FIND(" ",TRIM(D111))+1,99)))))</f>
        <v/>
      </c>
      <c r="I111" s="255">
        <f>IF(G111="",0,IF(ISNUMBER(G111),G111,IFERROR(DATE(VALUE(MID(G111,FIND("/",G111,FIND("/",G111)+1)+1,4)),VALUE(MID(G111,FIND("/",G111)+1,FIND("/",G111,FIND("/",G111)+1)-FIND("/",G111)-1)),VALUE(LEFT(G111,FIND("/",G111)-1)))+IFERROR(TIMEVALUE(TRIM(MID(G111,FIND(" ",G111)+1,20))),0),0)))</f>
        <v/>
      </c>
      <c r="J111" s="255">
        <f>IF(H111="",0,IF(ISNUMBER(H111),H111,IFERROR(DATE(VALUE(MID(H111,FIND("/",H111,FIND("/",H111)+1)+1,4)),VALUE(MID(H111,FIND("/",H111)+1,FIND("/",H111,FIND("/",H111)+1)-FIND("/",H111)-1)),VALUE(LEFT(H111,FIND("/",H111)-1)))+IFERROR(TIMEVALUE(TRIM(MID(H111,FIND(" ",H111)+1,20))),0),0)))</f>
        <v/>
      </c>
      <c r="K111" s="256">
        <f>IF(I111=0,0,INT(I111))</f>
        <v/>
      </c>
      <c r="L111" s="257">
        <f>IF(OR(I111=0,J111=0),0,ROUND((J111-I111)*24,2))</f>
        <v/>
      </c>
      <c r="M111" s="254">
        <f>IFERROR(TRIM(MID(A111,FIND("@",SUBSTITUTE(A111,"(","@",LEN(A111)-LEN(SUBSTITUTE(A111,"(",""))))+1,FIND(")",A111,FIND("@",SUBSTITUTE(A111,"(","@",LEN(A111)-LEN(SUBSTITUTE(A111,"(","")))))-FIND("@",SUBSTITUTE(A111,"(","@",LEN(A111)-LEN(SUBSTITUTE(A111,"(",""))))-1)),"")</f>
        <v/>
      </c>
      <c r="N111" s="254">
        <f>IF(A111="","",IF(LEFT(TRIM(A111),5)="Leave","Leave",IF(OR(ISNUMBER(SEARCH("public holiday",A111)),ISNUMBER(SEARCH("Purple",E111))),"Public holiday","Event")))</f>
        <v/>
      </c>
    </row>
    <row r="112">
      <c r="G112" s="254">
        <f>IF(C112="","",IF(ISNUMBER(C112),C112,IF(ISNUMBER(VALUE(LEFT(TRIM(C112),1))),TRIM(C112),TRIM(MID(TRIM(C112),FIND(" ",TRIM(C112))+1,99)))))</f>
        <v/>
      </c>
      <c r="H112" s="254">
        <f>IF(D112="","",IF(ISNUMBER(D112),D112,IF(ISNUMBER(VALUE(LEFT(TRIM(D112),1))),TRIM(D112),TRIM(MID(TRIM(D112),FIND(" ",TRIM(D112))+1,99)))))</f>
        <v/>
      </c>
      <c r="I112" s="255">
        <f>IF(G112="",0,IF(ISNUMBER(G112),G112,IFERROR(DATE(VALUE(MID(G112,FIND("/",G112,FIND("/",G112)+1)+1,4)),VALUE(MID(G112,FIND("/",G112)+1,FIND("/",G112,FIND("/",G112)+1)-FIND("/",G112)-1)),VALUE(LEFT(G112,FIND("/",G112)-1)))+IFERROR(TIMEVALUE(TRIM(MID(G112,FIND(" ",G112)+1,20))),0),0)))</f>
        <v/>
      </c>
      <c r="J112" s="255">
        <f>IF(H112="",0,IF(ISNUMBER(H112),H112,IFERROR(DATE(VALUE(MID(H112,FIND("/",H112,FIND("/",H112)+1)+1,4)),VALUE(MID(H112,FIND("/",H112)+1,FIND("/",H112,FIND("/",H112)+1)-FIND("/",H112)-1)),VALUE(LEFT(H112,FIND("/",H112)-1)))+IFERROR(TIMEVALUE(TRIM(MID(H112,FIND(" ",H112)+1,20))),0),0)))</f>
        <v/>
      </c>
      <c r="K112" s="256">
        <f>IF(I112=0,0,INT(I112))</f>
        <v/>
      </c>
      <c r="L112" s="257">
        <f>IF(OR(I112=0,J112=0),0,ROUND((J112-I112)*24,2))</f>
        <v/>
      </c>
      <c r="M112" s="254">
        <f>IFERROR(TRIM(MID(A112,FIND("@",SUBSTITUTE(A112,"(","@",LEN(A112)-LEN(SUBSTITUTE(A112,"(",""))))+1,FIND(")",A112,FIND("@",SUBSTITUTE(A112,"(","@",LEN(A112)-LEN(SUBSTITUTE(A112,"(","")))))-FIND("@",SUBSTITUTE(A112,"(","@",LEN(A112)-LEN(SUBSTITUTE(A112,"(",""))))-1)),"")</f>
        <v/>
      </c>
      <c r="N112" s="254">
        <f>IF(A112="","",IF(LEFT(TRIM(A112),5)="Leave","Leave",IF(OR(ISNUMBER(SEARCH("public holiday",A112)),ISNUMBER(SEARCH("Purple",E112))),"Public holiday","Event")))</f>
        <v/>
      </c>
    </row>
    <row r="113">
      <c r="G113" s="254">
        <f>IF(C113="","",IF(ISNUMBER(C113),C113,IF(ISNUMBER(VALUE(LEFT(TRIM(C113),1))),TRIM(C113),TRIM(MID(TRIM(C113),FIND(" ",TRIM(C113))+1,99)))))</f>
        <v/>
      </c>
      <c r="H113" s="254">
        <f>IF(D113="","",IF(ISNUMBER(D113),D113,IF(ISNUMBER(VALUE(LEFT(TRIM(D113),1))),TRIM(D113),TRIM(MID(TRIM(D113),FIND(" ",TRIM(D113))+1,99)))))</f>
        <v/>
      </c>
      <c r="I113" s="255">
        <f>IF(G113="",0,IF(ISNUMBER(G113),G113,IFERROR(DATE(VALUE(MID(G113,FIND("/",G113,FIND("/",G113)+1)+1,4)),VALUE(MID(G113,FIND("/",G113)+1,FIND("/",G113,FIND("/",G113)+1)-FIND("/",G113)-1)),VALUE(LEFT(G113,FIND("/",G113)-1)))+IFERROR(TIMEVALUE(TRIM(MID(G113,FIND(" ",G113)+1,20))),0),0)))</f>
        <v/>
      </c>
      <c r="J113" s="255">
        <f>IF(H113="",0,IF(ISNUMBER(H113),H113,IFERROR(DATE(VALUE(MID(H113,FIND("/",H113,FIND("/",H113)+1)+1,4)),VALUE(MID(H113,FIND("/",H113)+1,FIND("/",H113,FIND("/",H113)+1)-FIND("/",H113)-1)),VALUE(LEFT(H113,FIND("/",H113)-1)))+IFERROR(TIMEVALUE(TRIM(MID(H113,FIND(" ",H113)+1,20))),0),0)))</f>
        <v/>
      </c>
      <c r="K113" s="256">
        <f>IF(I113=0,0,INT(I113))</f>
        <v/>
      </c>
      <c r="L113" s="257">
        <f>IF(OR(I113=0,J113=0),0,ROUND((J113-I113)*24,2))</f>
        <v/>
      </c>
      <c r="M113" s="254">
        <f>IFERROR(TRIM(MID(A113,FIND("@",SUBSTITUTE(A113,"(","@",LEN(A113)-LEN(SUBSTITUTE(A113,"(",""))))+1,FIND(")",A113,FIND("@",SUBSTITUTE(A113,"(","@",LEN(A113)-LEN(SUBSTITUTE(A113,"(","")))))-FIND("@",SUBSTITUTE(A113,"(","@",LEN(A113)-LEN(SUBSTITUTE(A113,"(",""))))-1)),"")</f>
        <v/>
      </c>
      <c r="N113" s="254">
        <f>IF(A113="","",IF(LEFT(TRIM(A113),5)="Leave","Leave",IF(OR(ISNUMBER(SEARCH("public holiday",A113)),ISNUMBER(SEARCH("Purple",E113))),"Public holiday","Event")))</f>
        <v/>
      </c>
    </row>
    <row r="114">
      <c r="G114" s="254">
        <f>IF(C114="","",IF(ISNUMBER(C114),C114,IF(ISNUMBER(VALUE(LEFT(TRIM(C114),1))),TRIM(C114),TRIM(MID(TRIM(C114),FIND(" ",TRIM(C114))+1,99)))))</f>
        <v/>
      </c>
      <c r="H114" s="254">
        <f>IF(D114="","",IF(ISNUMBER(D114),D114,IF(ISNUMBER(VALUE(LEFT(TRIM(D114),1))),TRIM(D114),TRIM(MID(TRIM(D114),FIND(" ",TRIM(D114))+1,99)))))</f>
        <v/>
      </c>
      <c r="I114" s="255">
        <f>IF(G114="",0,IF(ISNUMBER(G114),G114,IFERROR(DATE(VALUE(MID(G114,FIND("/",G114,FIND("/",G114)+1)+1,4)),VALUE(MID(G114,FIND("/",G114)+1,FIND("/",G114,FIND("/",G114)+1)-FIND("/",G114)-1)),VALUE(LEFT(G114,FIND("/",G114)-1)))+IFERROR(TIMEVALUE(TRIM(MID(G114,FIND(" ",G114)+1,20))),0),0)))</f>
        <v/>
      </c>
      <c r="J114" s="255">
        <f>IF(H114="",0,IF(ISNUMBER(H114),H114,IFERROR(DATE(VALUE(MID(H114,FIND("/",H114,FIND("/",H114)+1)+1,4)),VALUE(MID(H114,FIND("/",H114)+1,FIND("/",H114,FIND("/",H114)+1)-FIND("/",H114)-1)),VALUE(LEFT(H114,FIND("/",H114)-1)))+IFERROR(TIMEVALUE(TRIM(MID(H114,FIND(" ",H114)+1,20))),0),0)))</f>
        <v/>
      </c>
      <c r="K114" s="256">
        <f>IF(I114=0,0,INT(I114))</f>
        <v/>
      </c>
      <c r="L114" s="257">
        <f>IF(OR(I114=0,J114=0),0,ROUND((J114-I114)*24,2))</f>
        <v/>
      </c>
      <c r="M114" s="254">
        <f>IFERROR(TRIM(MID(A114,FIND("@",SUBSTITUTE(A114,"(","@",LEN(A114)-LEN(SUBSTITUTE(A114,"(",""))))+1,FIND(")",A114,FIND("@",SUBSTITUTE(A114,"(","@",LEN(A114)-LEN(SUBSTITUTE(A114,"(","")))))-FIND("@",SUBSTITUTE(A114,"(","@",LEN(A114)-LEN(SUBSTITUTE(A114,"(",""))))-1)),"")</f>
        <v/>
      </c>
      <c r="N114" s="254">
        <f>IF(A114="","",IF(LEFT(TRIM(A114),5)="Leave","Leave",IF(OR(ISNUMBER(SEARCH("public holiday",A114)),ISNUMBER(SEARCH("Purple",E114))),"Public holiday","Event")))</f>
        <v/>
      </c>
    </row>
    <row r="115">
      <c r="G115" s="254">
        <f>IF(C115="","",IF(ISNUMBER(C115),C115,IF(ISNUMBER(VALUE(LEFT(TRIM(C115),1))),TRIM(C115),TRIM(MID(TRIM(C115),FIND(" ",TRIM(C115))+1,99)))))</f>
        <v/>
      </c>
      <c r="H115" s="254">
        <f>IF(D115="","",IF(ISNUMBER(D115),D115,IF(ISNUMBER(VALUE(LEFT(TRIM(D115),1))),TRIM(D115),TRIM(MID(TRIM(D115),FIND(" ",TRIM(D115))+1,99)))))</f>
        <v/>
      </c>
      <c r="I115" s="255">
        <f>IF(G115="",0,IF(ISNUMBER(G115),G115,IFERROR(DATE(VALUE(MID(G115,FIND("/",G115,FIND("/",G115)+1)+1,4)),VALUE(MID(G115,FIND("/",G115)+1,FIND("/",G115,FIND("/",G115)+1)-FIND("/",G115)-1)),VALUE(LEFT(G115,FIND("/",G115)-1)))+IFERROR(TIMEVALUE(TRIM(MID(G115,FIND(" ",G115)+1,20))),0),0)))</f>
        <v/>
      </c>
      <c r="J115" s="255">
        <f>IF(H115="",0,IF(ISNUMBER(H115),H115,IFERROR(DATE(VALUE(MID(H115,FIND("/",H115,FIND("/",H115)+1)+1,4)),VALUE(MID(H115,FIND("/",H115)+1,FIND("/",H115,FIND("/",H115)+1)-FIND("/",H115)-1)),VALUE(LEFT(H115,FIND("/",H115)-1)))+IFERROR(TIMEVALUE(TRIM(MID(H115,FIND(" ",H115)+1,20))),0),0)))</f>
        <v/>
      </c>
      <c r="K115" s="256">
        <f>IF(I115=0,0,INT(I115))</f>
        <v/>
      </c>
      <c r="L115" s="257">
        <f>IF(OR(I115=0,J115=0),0,ROUND((J115-I115)*24,2))</f>
        <v/>
      </c>
      <c r="M115" s="254">
        <f>IFERROR(TRIM(MID(A115,FIND("@",SUBSTITUTE(A115,"(","@",LEN(A115)-LEN(SUBSTITUTE(A115,"(",""))))+1,FIND(")",A115,FIND("@",SUBSTITUTE(A115,"(","@",LEN(A115)-LEN(SUBSTITUTE(A115,"(","")))))-FIND("@",SUBSTITUTE(A115,"(","@",LEN(A115)-LEN(SUBSTITUTE(A115,"(",""))))-1)),"")</f>
        <v/>
      </c>
      <c r="N115" s="254">
        <f>IF(A115="","",IF(LEFT(TRIM(A115),5)="Leave","Leave",IF(OR(ISNUMBER(SEARCH("public holiday",A115)),ISNUMBER(SEARCH("Purple",E115))),"Public holiday","Event")))</f>
        <v/>
      </c>
    </row>
    <row r="116">
      <c r="G116" s="254">
        <f>IF(C116="","",IF(ISNUMBER(C116),C116,IF(ISNUMBER(VALUE(LEFT(TRIM(C116),1))),TRIM(C116),TRIM(MID(TRIM(C116),FIND(" ",TRIM(C116))+1,99)))))</f>
        <v/>
      </c>
      <c r="H116" s="254">
        <f>IF(D116="","",IF(ISNUMBER(D116),D116,IF(ISNUMBER(VALUE(LEFT(TRIM(D116),1))),TRIM(D116),TRIM(MID(TRIM(D116),FIND(" ",TRIM(D116))+1,99)))))</f>
        <v/>
      </c>
      <c r="I116" s="255">
        <f>IF(G116="",0,IF(ISNUMBER(G116),G116,IFERROR(DATE(VALUE(MID(G116,FIND("/",G116,FIND("/",G116)+1)+1,4)),VALUE(MID(G116,FIND("/",G116)+1,FIND("/",G116,FIND("/",G116)+1)-FIND("/",G116)-1)),VALUE(LEFT(G116,FIND("/",G116)-1)))+IFERROR(TIMEVALUE(TRIM(MID(G116,FIND(" ",G116)+1,20))),0),0)))</f>
        <v/>
      </c>
      <c r="J116" s="255">
        <f>IF(H116="",0,IF(ISNUMBER(H116),H116,IFERROR(DATE(VALUE(MID(H116,FIND("/",H116,FIND("/",H116)+1)+1,4)),VALUE(MID(H116,FIND("/",H116)+1,FIND("/",H116,FIND("/",H116)+1)-FIND("/",H116)-1)),VALUE(LEFT(H116,FIND("/",H116)-1)))+IFERROR(TIMEVALUE(TRIM(MID(H116,FIND(" ",H116)+1,20))),0),0)))</f>
        <v/>
      </c>
      <c r="K116" s="256">
        <f>IF(I116=0,0,INT(I116))</f>
        <v/>
      </c>
      <c r="L116" s="257">
        <f>IF(OR(I116=0,J116=0),0,ROUND((J116-I116)*24,2))</f>
        <v/>
      </c>
      <c r="M116" s="254">
        <f>IFERROR(TRIM(MID(A116,FIND("@",SUBSTITUTE(A116,"(","@",LEN(A116)-LEN(SUBSTITUTE(A116,"(",""))))+1,FIND(")",A116,FIND("@",SUBSTITUTE(A116,"(","@",LEN(A116)-LEN(SUBSTITUTE(A116,"(","")))))-FIND("@",SUBSTITUTE(A116,"(","@",LEN(A116)-LEN(SUBSTITUTE(A116,"(",""))))-1)),"")</f>
        <v/>
      </c>
      <c r="N116" s="254">
        <f>IF(A116="","",IF(LEFT(TRIM(A116),5)="Leave","Leave",IF(OR(ISNUMBER(SEARCH("public holiday",A116)),ISNUMBER(SEARCH("Purple",E116))),"Public holiday","Event")))</f>
        <v/>
      </c>
    </row>
    <row r="117">
      <c r="G117" s="254">
        <f>IF(C117="","",IF(ISNUMBER(C117),C117,IF(ISNUMBER(VALUE(LEFT(TRIM(C117),1))),TRIM(C117),TRIM(MID(TRIM(C117),FIND(" ",TRIM(C117))+1,99)))))</f>
        <v/>
      </c>
      <c r="H117" s="254">
        <f>IF(D117="","",IF(ISNUMBER(D117),D117,IF(ISNUMBER(VALUE(LEFT(TRIM(D117),1))),TRIM(D117),TRIM(MID(TRIM(D117),FIND(" ",TRIM(D117))+1,99)))))</f>
        <v/>
      </c>
      <c r="I117" s="255">
        <f>IF(G117="",0,IF(ISNUMBER(G117),G117,IFERROR(DATE(VALUE(MID(G117,FIND("/",G117,FIND("/",G117)+1)+1,4)),VALUE(MID(G117,FIND("/",G117)+1,FIND("/",G117,FIND("/",G117)+1)-FIND("/",G117)-1)),VALUE(LEFT(G117,FIND("/",G117)-1)))+IFERROR(TIMEVALUE(TRIM(MID(G117,FIND(" ",G117)+1,20))),0),0)))</f>
        <v/>
      </c>
      <c r="J117" s="255">
        <f>IF(H117="",0,IF(ISNUMBER(H117),H117,IFERROR(DATE(VALUE(MID(H117,FIND("/",H117,FIND("/",H117)+1)+1,4)),VALUE(MID(H117,FIND("/",H117)+1,FIND("/",H117,FIND("/",H117)+1)-FIND("/",H117)-1)),VALUE(LEFT(H117,FIND("/",H117)-1)))+IFERROR(TIMEVALUE(TRIM(MID(H117,FIND(" ",H117)+1,20))),0),0)))</f>
        <v/>
      </c>
      <c r="K117" s="256">
        <f>IF(I117=0,0,INT(I117))</f>
        <v/>
      </c>
      <c r="L117" s="257">
        <f>IF(OR(I117=0,J117=0),0,ROUND((J117-I117)*24,2))</f>
        <v/>
      </c>
      <c r="M117" s="254">
        <f>IFERROR(TRIM(MID(A117,FIND("@",SUBSTITUTE(A117,"(","@",LEN(A117)-LEN(SUBSTITUTE(A117,"(",""))))+1,FIND(")",A117,FIND("@",SUBSTITUTE(A117,"(","@",LEN(A117)-LEN(SUBSTITUTE(A117,"(","")))))-FIND("@",SUBSTITUTE(A117,"(","@",LEN(A117)-LEN(SUBSTITUTE(A117,"(",""))))-1)),"")</f>
        <v/>
      </c>
      <c r="N117" s="254">
        <f>IF(A117="","",IF(LEFT(TRIM(A117),5)="Leave","Leave",IF(OR(ISNUMBER(SEARCH("public holiday",A117)),ISNUMBER(SEARCH("Purple",E117))),"Public holiday","Event")))</f>
        <v/>
      </c>
    </row>
    <row r="118">
      <c r="G118" s="254">
        <f>IF(C118="","",IF(ISNUMBER(C118),C118,IF(ISNUMBER(VALUE(LEFT(TRIM(C118),1))),TRIM(C118),TRIM(MID(TRIM(C118),FIND(" ",TRIM(C118))+1,99)))))</f>
        <v/>
      </c>
      <c r="H118" s="254">
        <f>IF(D118="","",IF(ISNUMBER(D118),D118,IF(ISNUMBER(VALUE(LEFT(TRIM(D118),1))),TRIM(D118),TRIM(MID(TRIM(D118),FIND(" ",TRIM(D118))+1,99)))))</f>
        <v/>
      </c>
      <c r="I118" s="255">
        <f>IF(G118="",0,IF(ISNUMBER(G118),G118,IFERROR(DATE(VALUE(MID(G118,FIND("/",G118,FIND("/",G118)+1)+1,4)),VALUE(MID(G118,FIND("/",G118)+1,FIND("/",G118,FIND("/",G118)+1)-FIND("/",G118)-1)),VALUE(LEFT(G118,FIND("/",G118)-1)))+IFERROR(TIMEVALUE(TRIM(MID(G118,FIND(" ",G118)+1,20))),0),0)))</f>
        <v/>
      </c>
      <c r="J118" s="255">
        <f>IF(H118="",0,IF(ISNUMBER(H118),H118,IFERROR(DATE(VALUE(MID(H118,FIND("/",H118,FIND("/",H118)+1)+1,4)),VALUE(MID(H118,FIND("/",H118)+1,FIND("/",H118,FIND("/",H118)+1)-FIND("/",H118)-1)),VALUE(LEFT(H118,FIND("/",H118)-1)))+IFERROR(TIMEVALUE(TRIM(MID(H118,FIND(" ",H118)+1,20))),0),0)))</f>
        <v/>
      </c>
      <c r="K118" s="256">
        <f>IF(I118=0,0,INT(I118))</f>
        <v/>
      </c>
      <c r="L118" s="257">
        <f>IF(OR(I118=0,J118=0),0,ROUND((J118-I118)*24,2))</f>
        <v/>
      </c>
      <c r="M118" s="254">
        <f>IFERROR(TRIM(MID(A118,FIND("@",SUBSTITUTE(A118,"(","@",LEN(A118)-LEN(SUBSTITUTE(A118,"(",""))))+1,FIND(")",A118,FIND("@",SUBSTITUTE(A118,"(","@",LEN(A118)-LEN(SUBSTITUTE(A118,"(","")))))-FIND("@",SUBSTITUTE(A118,"(","@",LEN(A118)-LEN(SUBSTITUTE(A118,"(",""))))-1)),"")</f>
        <v/>
      </c>
      <c r="N118" s="254">
        <f>IF(A118="","",IF(LEFT(TRIM(A118),5)="Leave","Leave",IF(OR(ISNUMBER(SEARCH("public holiday",A118)),ISNUMBER(SEARCH("Purple",E118))),"Public holiday","Event")))</f>
        <v/>
      </c>
    </row>
    <row r="119">
      <c r="G119" s="254">
        <f>IF(C119="","",IF(ISNUMBER(C119),C119,IF(ISNUMBER(VALUE(LEFT(TRIM(C119),1))),TRIM(C119),TRIM(MID(TRIM(C119),FIND(" ",TRIM(C119))+1,99)))))</f>
        <v/>
      </c>
      <c r="H119" s="254">
        <f>IF(D119="","",IF(ISNUMBER(D119),D119,IF(ISNUMBER(VALUE(LEFT(TRIM(D119),1))),TRIM(D119),TRIM(MID(TRIM(D119),FIND(" ",TRIM(D119))+1,99)))))</f>
        <v/>
      </c>
      <c r="I119" s="255">
        <f>IF(G119="",0,IF(ISNUMBER(G119),G119,IFERROR(DATE(VALUE(MID(G119,FIND("/",G119,FIND("/",G119)+1)+1,4)),VALUE(MID(G119,FIND("/",G119)+1,FIND("/",G119,FIND("/",G119)+1)-FIND("/",G119)-1)),VALUE(LEFT(G119,FIND("/",G119)-1)))+IFERROR(TIMEVALUE(TRIM(MID(G119,FIND(" ",G119)+1,20))),0),0)))</f>
        <v/>
      </c>
      <c r="J119" s="255">
        <f>IF(H119="",0,IF(ISNUMBER(H119),H119,IFERROR(DATE(VALUE(MID(H119,FIND("/",H119,FIND("/",H119)+1)+1,4)),VALUE(MID(H119,FIND("/",H119)+1,FIND("/",H119,FIND("/",H119)+1)-FIND("/",H119)-1)),VALUE(LEFT(H119,FIND("/",H119)-1)))+IFERROR(TIMEVALUE(TRIM(MID(H119,FIND(" ",H119)+1,20))),0),0)))</f>
        <v/>
      </c>
      <c r="K119" s="256">
        <f>IF(I119=0,0,INT(I119))</f>
        <v/>
      </c>
      <c r="L119" s="257">
        <f>IF(OR(I119=0,J119=0),0,ROUND((J119-I119)*24,2))</f>
        <v/>
      </c>
      <c r="M119" s="254">
        <f>IFERROR(TRIM(MID(A119,FIND("@",SUBSTITUTE(A119,"(","@",LEN(A119)-LEN(SUBSTITUTE(A119,"(",""))))+1,FIND(")",A119,FIND("@",SUBSTITUTE(A119,"(","@",LEN(A119)-LEN(SUBSTITUTE(A119,"(","")))))-FIND("@",SUBSTITUTE(A119,"(","@",LEN(A119)-LEN(SUBSTITUTE(A119,"(",""))))-1)),"")</f>
        <v/>
      </c>
      <c r="N119" s="254">
        <f>IF(A119="","",IF(LEFT(TRIM(A119),5)="Leave","Leave",IF(OR(ISNUMBER(SEARCH("public holiday",A119)),ISNUMBER(SEARCH("Purple",E119))),"Public holiday","Event")))</f>
        <v/>
      </c>
    </row>
    <row r="120">
      <c r="G120" s="254">
        <f>IF(C120="","",IF(ISNUMBER(C120),C120,IF(ISNUMBER(VALUE(LEFT(TRIM(C120),1))),TRIM(C120),TRIM(MID(TRIM(C120),FIND(" ",TRIM(C120))+1,99)))))</f>
        <v/>
      </c>
      <c r="H120" s="254">
        <f>IF(D120="","",IF(ISNUMBER(D120),D120,IF(ISNUMBER(VALUE(LEFT(TRIM(D120),1))),TRIM(D120),TRIM(MID(TRIM(D120),FIND(" ",TRIM(D120))+1,99)))))</f>
        <v/>
      </c>
      <c r="I120" s="255">
        <f>IF(G120="",0,IF(ISNUMBER(G120),G120,IFERROR(DATE(VALUE(MID(G120,FIND("/",G120,FIND("/",G120)+1)+1,4)),VALUE(MID(G120,FIND("/",G120)+1,FIND("/",G120,FIND("/",G120)+1)-FIND("/",G120)-1)),VALUE(LEFT(G120,FIND("/",G120)-1)))+IFERROR(TIMEVALUE(TRIM(MID(G120,FIND(" ",G120)+1,20))),0),0)))</f>
        <v/>
      </c>
      <c r="J120" s="255">
        <f>IF(H120="",0,IF(ISNUMBER(H120),H120,IFERROR(DATE(VALUE(MID(H120,FIND("/",H120,FIND("/",H120)+1)+1,4)),VALUE(MID(H120,FIND("/",H120)+1,FIND("/",H120,FIND("/",H120)+1)-FIND("/",H120)-1)),VALUE(LEFT(H120,FIND("/",H120)-1)))+IFERROR(TIMEVALUE(TRIM(MID(H120,FIND(" ",H120)+1,20))),0),0)))</f>
        <v/>
      </c>
      <c r="K120" s="256">
        <f>IF(I120=0,0,INT(I120))</f>
        <v/>
      </c>
      <c r="L120" s="257">
        <f>IF(OR(I120=0,J120=0),0,ROUND((J120-I120)*24,2))</f>
        <v/>
      </c>
      <c r="M120" s="254">
        <f>IFERROR(TRIM(MID(A120,FIND("@",SUBSTITUTE(A120,"(","@",LEN(A120)-LEN(SUBSTITUTE(A120,"(",""))))+1,FIND(")",A120,FIND("@",SUBSTITUTE(A120,"(","@",LEN(A120)-LEN(SUBSTITUTE(A120,"(","")))))-FIND("@",SUBSTITUTE(A120,"(","@",LEN(A120)-LEN(SUBSTITUTE(A120,"(",""))))-1)),"")</f>
        <v/>
      </c>
      <c r="N120" s="254">
        <f>IF(A120="","",IF(LEFT(TRIM(A120),5)="Leave","Leave",IF(OR(ISNUMBER(SEARCH("public holiday",A120)),ISNUMBER(SEARCH("Purple",E120))),"Public holiday","Event")))</f>
        <v/>
      </c>
    </row>
    <row r="121">
      <c r="G121" s="254">
        <f>IF(C121="","",IF(ISNUMBER(C121),C121,IF(ISNUMBER(VALUE(LEFT(TRIM(C121),1))),TRIM(C121),TRIM(MID(TRIM(C121),FIND(" ",TRIM(C121))+1,99)))))</f>
        <v/>
      </c>
      <c r="H121" s="254">
        <f>IF(D121="","",IF(ISNUMBER(D121),D121,IF(ISNUMBER(VALUE(LEFT(TRIM(D121),1))),TRIM(D121),TRIM(MID(TRIM(D121),FIND(" ",TRIM(D121))+1,99)))))</f>
        <v/>
      </c>
      <c r="I121" s="255">
        <f>IF(G121="",0,IF(ISNUMBER(G121),G121,IFERROR(DATE(VALUE(MID(G121,FIND("/",G121,FIND("/",G121)+1)+1,4)),VALUE(MID(G121,FIND("/",G121)+1,FIND("/",G121,FIND("/",G121)+1)-FIND("/",G121)-1)),VALUE(LEFT(G121,FIND("/",G121)-1)))+IFERROR(TIMEVALUE(TRIM(MID(G121,FIND(" ",G121)+1,20))),0),0)))</f>
        <v/>
      </c>
      <c r="J121" s="255">
        <f>IF(H121="",0,IF(ISNUMBER(H121),H121,IFERROR(DATE(VALUE(MID(H121,FIND("/",H121,FIND("/",H121)+1)+1,4)),VALUE(MID(H121,FIND("/",H121)+1,FIND("/",H121,FIND("/",H121)+1)-FIND("/",H121)-1)),VALUE(LEFT(H121,FIND("/",H121)-1)))+IFERROR(TIMEVALUE(TRIM(MID(H121,FIND(" ",H121)+1,20))),0),0)))</f>
        <v/>
      </c>
      <c r="K121" s="256">
        <f>IF(I121=0,0,INT(I121))</f>
        <v/>
      </c>
      <c r="L121" s="257">
        <f>IF(OR(I121=0,J121=0),0,ROUND((J121-I121)*24,2))</f>
        <v/>
      </c>
      <c r="M121" s="254">
        <f>IFERROR(TRIM(MID(A121,FIND("@",SUBSTITUTE(A121,"(","@",LEN(A121)-LEN(SUBSTITUTE(A121,"(",""))))+1,FIND(")",A121,FIND("@",SUBSTITUTE(A121,"(","@",LEN(A121)-LEN(SUBSTITUTE(A121,"(","")))))-FIND("@",SUBSTITUTE(A121,"(","@",LEN(A121)-LEN(SUBSTITUTE(A121,"(",""))))-1)),"")</f>
        <v/>
      </c>
      <c r="N121" s="254">
        <f>IF(A121="","",IF(LEFT(TRIM(A121),5)="Leave","Leave",IF(OR(ISNUMBER(SEARCH("public holiday",A121)),ISNUMBER(SEARCH("Purple",E121))),"Public holiday","Event")))</f>
        <v/>
      </c>
    </row>
    <row r="122">
      <c r="G122" s="254">
        <f>IF(C122="","",IF(ISNUMBER(C122),C122,IF(ISNUMBER(VALUE(LEFT(TRIM(C122),1))),TRIM(C122),TRIM(MID(TRIM(C122),FIND(" ",TRIM(C122))+1,99)))))</f>
        <v/>
      </c>
      <c r="H122" s="254">
        <f>IF(D122="","",IF(ISNUMBER(D122),D122,IF(ISNUMBER(VALUE(LEFT(TRIM(D122),1))),TRIM(D122),TRIM(MID(TRIM(D122),FIND(" ",TRIM(D122))+1,99)))))</f>
        <v/>
      </c>
      <c r="I122" s="255">
        <f>IF(G122="",0,IF(ISNUMBER(G122),G122,IFERROR(DATE(VALUE(MID(G122,FIND("/",G122,FIND("/",G122)+1)+1,4)),VALUE(MID(G122,FIND("/",G122)+1,FIND("/",G122,FIND("/",G122)+1)-FIND("/",G122)-1)),VALUE(LEFT(G122,FIND("/",G122)-1)))+IFERROR(TIMEVALUE(TRIM(MID(G122,FIND(" ",G122)+1,20))),0),0)))</f>
        <v/>
      </c>
      <c r="J122" s="255">
        <f>IF(H122="",0,IF(ISNUMBER(H122),H122,IFERROR(DATE(VALUE(MID(H122,FIND("/",H122,FIND("/",H122)+1)+1,4)),VALUE(MID(H122,FIND("/",H122)+1,FIND("/",H122,FIND("/",H122)+1)-FIND("/",H122)-1)),VALUE(LEFT(H122,FIND("/",H122)-1)))+IFERROR(TIMEVALUE(TRIM(MID(H122,FIND(" ",H122)+1,20))),0),0)))</f>
        <v/>
      </c>
      <c r="K122" s="256">
        <f>IF(I122=0,0,INT(I122))</f>
        <v/>
      </c>
      <c r="L122" s="257">
        <f>IF(OR(I122=0,J122=0),0,ROUND((J122-I122)*24,2))</f>
        <v/>
      </c>
      <c r="M122" s="254">
        <f>IFERROR(TRIM(MID(A122,FIND("@",SUBSTITUTE(A122,"(","@",LEN(A122)-LEN(SUBSTITUTE(A122,"(",""))))+1,FIND(")",A122,FIND("@",SUBSTITUTE(A122,"(","@",LEN(A122)-LEN(SUBSTITUTE(A122,"(","")))))-FIND("@",SUBSTITUTE(A122,"(","@",LEN(A122)-LEN(SUBSTITUTE(A122,"(",""))))-1)),"")</f>
        <v/>
      </c>
      <c r="N122" s="254">
        <f>IF(A122="","",IF(LEFT(TRIM(A122),5)="Leave","Leave",IF(OR(ISNUMBER(SEARCH("public holiday",A122)),ISNUMBER(SEARCH("Purple",E122))),"Public holiday","Event")))</f>
        <v/>
      </c>
    </row>
    <row r="123">
      <c r="G123" s="254">
        <f>IF(C123="","",IF(ISNUMBER(C123),C123,IF(ISNUMBER(VALUE(LEFT(TRIM(C123),1))),TRIM(C123),TRIM(MID(TRIM(C123),FIND(" ",TRIM(C123))+1,99)))))</f>
        <v/>
      </c>
      <c r="H123" s="254">
        <f>IF(D123="","",IF(ISNUMBER(D123),D123,IF(ISNUMBER(VALUE(LEFT(TRIM(D123),1))),TRIM(D123),TRIM(MID(TRIM(D123),FIND(" ",TRIM(D123))+1,99)))))</f>
        <v/>
      </c>
      <c r="I123" s="255">
        <f>IF(G123="",0,IF(ISNUMBER(G123),G123,IFERROR(DATE(VALUE(MID(G123,FIND("/",G123,FIND("/",G123)+1)+1,4)),VALUE(MID(G123,FIND("/",G123)+1,FIND("/",G123,FIND("/",G123)+1)-FIND("/",G123)-1)),VALUE(LEFT(G123,FIND("/",G123)-1)))+IFERROR(TIMEVALUE(TRIM(MID(G123,FIND(" ",G123)+1,20))),0),0)))</f>
        <v/>
      </c>
      <c r="J123" s="255">
        <f>IF(H123="",0,IF(ISNUMBER(H123),H123,IFERROR(DATE(VALUE(MID(H123,FIND("/",H123,FIND("/",H123)+1)+1,4)),VALUE(MID(H123,FIND("/",H123)+1,FIND("/",H123,FIND("/",H123)+1)-FIND("/",H123)-1)),VALUE(LEFT(H123,FIND("/",H123)-1)))+IFERROR(TIMEVALUE(TRIM(MID(H123,FIND(" ",H123)+1,20))),0),0)))</f>
        <v/>
      </c>
      <c r="K123" s="256">
        <f>IF(I123=0,0,INT(I123))</f>
        <v/>
      </c>
      <c r="L123" s="257">
        <f>IF(OR(I123=0,J123=0),0,ROUND((J123-I123)*24,2))</f>
        <v/>
      </c>
      <c r="M123" s="254">
        <f>IFERROR(TRIM(MID(A123,FIND("@",SUBSTITUTE(A123,"(","@",LEN(A123)-LEN(SUBSTITUTE(A123,"(",""))))+1,FIND(")",A123,FIND("@",SUBSTITUTE(A123,"(","@",LEN(A123)-LEN(SUBSTITUTE(A123,"(","")))))-FIND("@",SUBSTITUTE(A123,"(","@",LEN(A123)-LEN(SUBSTITUTE(A123,"(",""))))-1)),"")</f>
        <v/>
      </c>
      <c r="N123" s="254">
        <f>IF(A123="","",IF(LEFT(TRIM(A123),5)="Leave","Leave",IF(OR(ISNUMBER(SEARCH("public holiday",A123)),ISNUMBER(SEARCH("Purple",E123))),"Public holiday","Event")))</f>
        <v/>
      </c>
    </row>
    <row r="124">
      <c r="G124" s="254">
        <f>IF(C124="","",IF(ISNUMBER(C124),C124,IF(ISNUMBER(VALUE(LEFT(TRIM(C124),1))),TRIM(C124),TRIM(MID(TRIM(C124),FIND(" ",TRIM(C124))+1,99)))))</f>
        <v/>
      </c>
      <c r="H124" s="254">
        <f>IF(D124="","",IF(ISNUMBER(D124),D124,IF(ISNUMBER(VALUE(LEFT(TRIM(D124),1))),TRIM(D124),TRIM(MID(TRIM(D124),FIND(" ",TRIM(D124))+1,99)))))</f>
        <v/>
      </c>
      <c r="I124" s="255">
        <f>IF(G124="",0,IF(ISNUMBER(G124),G124,IFERROR(DATE(VALUE(MID(G124,FIND("/",G124,FIND("/",G124)+1)+1,4)),VALUE(MID(G124,FIND("/",G124)+1,FIND("/",G124,FIND("/",G124)+1)-FIND("/",G124)-1)),VALUE(LEFT(G124,FIND("/",G124)-1)))+IFERROR(TIMEVALUE(TRIM(MID(G124,FIND(" ",G124)+1,20))),0),0)))</f>
        <v/>
      </c>
      <c r="J124" s="255">
        <f>IF(H124="",0,IF(ISNUMBER(H124),H124,IFERROR(DATE(VALUE(MID(H124,FIND("/",H124,FIND("/",H124)+1)+1,4)),VALUE(MID(H124,FIND("/",H124)+1,FIND("/",H124,FIND("/",H124)+1)-FIND("/",H124)-1)),VALUE(LEFT(H124,FIND("/",H124)-1)))+IFERROR(TIMEVALUE(TRIM(MID(H124,FIND(" ",H124)+1,20))),0),0)))</f>
        <v/>
      </c>
      <c r="K124" s="256">
        <f>IF(I124=0,0,INT(I124))</f>
        <v/>
      </c>
      <c r="L124" s="257">
        <f>IF(OR(I124=0,J124=0),0,ROUND((J124-I124)*24,2))</f>
        <v/>
      </c>
      <c r="M124" s="254">
        <f>IFERROR(TRIM(MID(A124,FIND("@",SUBSTITUTE(A124,"(","@",LEN(A124)-LEN(SUBSTITUTE(A124,"(",""))))+1,FIND(")",A124,FIND("@",SUBSTITUTE(A124,"(","@",LEN(A124)-LEN(SUBSTITUTE(A124,"(","")))))-FIND("@",SUBSTITUTE(A124,"(","@",LEN(A124)-LEN(SUBSTITUTE(A124,"(",""))))-1)),"")</f>
        <v/>
      </c>
      <c r="N124" s="254">
        <f>IF(A124="","",IF(LEFT(TRIM(A124),5)="Leave","Leave",IF(OR(ISNUMBER(SEARCH("public holiday",A124)),ISNUMBER(SEARCH("Purple",E124))),"Public holiday","Event")))</f>
        <v/>
      </c>
    </row>
    <row r="125">
      <c r="G125" s="254">
        <f>IF(C125="","",IF(ISNUMBER(C125),C125,IF(ISNUMBER(VALUE(LEFT(TRIM(C125),1))),TRIM(C125),TRIM(MID(TRIM(C125),FIND(" ",TRIM(C125))+1,99)))))</f>
        <v/>
      </c>
      <c r="H125" s="254">
        <f>IF(D125="","",IF(ISNUMBER(D125),D125,IF(ISNUMBER(VALUE(LEFT(TRIM(D125),1))),TRIM(D125),TRIM(MID(TRIM(D125),FIND(" ",TRIM(D125))+1,99)))))</f>
        <v/>
      </c>
      <c r="I125" s="255">
        <f>IF(G125="",0,IF(ISNUMBER(G125),G125,IFERROR(DATE(VALUE(MID(G125,FIND("/",G125,FIND("/",G125)+1)+1,4)),VALUE(MID(G125,FIND("/",G125)+1,FIND("/",G125,FIND("/",G125)+1)-FIND("/",G125)-1)),VALUE(LEFT(G125,FIND("/",G125)-1)))+IFERROR(TIMEVALUE(TRIM(MID(G125,FIND(" ",G125)+1,20))),0),0)))</f>
        <v/>
      </c>
      <c r="J125" s="255">
        <f>IF(H125="",0,IF(ISNUMBER(H125),H125,IFERROR(DATE(VALUE(MID(H125,FIND("/",H125,FIND("/",H125)+1)+1,4)),VALUE(MID(H125,FIND("/",H125)+1,FIND("/",H125,FIND("/",H125)+1)-FIND("/",H125)-1)),VALUE(LEFT(H125,FIND("/",H125)-1)))+IFERROR(TIMEVALUE(TRIM(MID(H125,FIND(" ",H125)+1,20))),0),0)))</f>
        <v/>
      </c>
      <c r="K125" s="256">
        <f>IF(I125=0,0,INT(I125))</f>
        <v/>
      </c>
      <c r="L125" s="257">
        <f>IF(OR(I125=0,J125=0),0,ROUND((J125-I125)*24,2))</f>
        <v/>
      </c>
      <c r="M125" s="254">
        <f>IFERROR(TRIM(MID(A125,FIND("@",SUBSTITUTE(A125,"(","@",LEN(A125)-LEN(SUBSTITUTE(A125,"(",""))))+1,FIND(")",A125,FIND("@",SUBSTITUTE(A125,"(","@",LEN(A125)-LEN(SUBSTITUTE(A125,"(","")))))-FIND("@",SUBSTITUTE(A125,"(","@",LEN(A125)-LEN(SUBSTITUTE(A125,"(",""))))-1)),"")</f>
        <v/>
      </c>
      <c r="N125" s="254">
        <f>IF(A125="","",IF(LEFT(TRIM(A125),5)="Leave","Leave",IF(OR(ISNUMBER(SEARCH("public holiday",A125)),ISNUMBER(SEARCH("Purple",E125))),"Public holiday","Event")))</f>
        <v/>
      </c>
    </row>
    <row r="126">
      <c r="G126" s="254">
        <f>IF(C126="","",IF(ISNUMBER(C126),C126,IF(ISNUMBER(VALUE(LEFT(TRIM(C126),1))),TRIM(C126),TRIM(MID(TRIM(C126),FIND(" ",TRIM(C126))+1,99)))))</f>
        <v/>
      </c>
      <c r="H126" s="254">
        <f>IF(D126="","",IF(ISNUMBER(D126),D126,IF(ISNUMBER(VALUE(LEFT(TRIM(D126),1))),TRIM(D126),TRIM(MID(TRIM(D126),FIND(" ",TRIM(D126))+1,99)))))</f>
        <v/>
      </c>
      <c r="I126" s="255">
        <f>IF(G126="",0,IF(ISNUMBER(G126),G126,IFERROR(DATE(VALUE(MID(G126,FIND("/",G126,FIND("/",G126)+1)+1,4)),VALUE(MID(G126,FIND("/",G126)+1,FIND("/",G126,FIND("/",G126)+1)-FIND("/",G126)-1)),VALUE(LEFT(G126,FIND("/",G126)-1)))+IFERROR(TIMEVALUE(TRIM(MID(G126,FIND(" ",G126)+1,20))),0),0)))</f>
        <v/>
      </c>
      <c r="J126" s="255">
        <f>IF(H126="",0,IF(ISNUMBER(H126),H126,IFERROR(DATE(VALUE(MID(H126,FIND("/",H126,FIND("/",H126)+1)+1,4)),VALUE(MID(H126,FIND("/",H126)+1,FIND("/",H126,FIND("/",H126)+1)-FIND("/",H126)-1)),VALUE(LEFT(H126,FIND("/",H126)-1)))+IFERROR(TIMEVALUE(TRIM(MID(H126,FIND(" ",H126)+1,20))),0),0)))</f>
        <v/>
      </c>
      <c r="K126" s="256">
        <f>IF(I126=0,0,INT(I126))</f>
        <v/>
      </c>
      <c r="L126" s="257">
        <f>IF(OR(I126=0,J126=0),0,ROUND((J126-I126)*24,2))</f>
        <v/>
      </c>
      <c r="M126" s="254">
        <f>IFERROR(TRIM(MID(A126,FIND("@",SUBSTITUTE(A126,"(","@",LEN(A126)-LEN(SUBSTITUTE(A126,"(",""))))+1,FIND(")",A126,FIND("@",SUBSTITUTE(A126,"(","@",LEN(A126)-LEN(SUBSTITUTE(A126,"(","")))))-FIND("@",SUBSTITUTE(A126,"(","@",LEN(A126)-LEN(SUBSTITUTE(A126,"(",""))))-1)),"")</f>
        <v/>
      </c>
      <c r="N126" s="254">
        <f>IF(A126="","",IF(LEFT(TRIM(A126),5)="Leave","Leave",IF(OR(ISNUMBER(SEARCH("public holiday",A126)),ISNUMBER(SEARCH("Purple",E126))),"Public holiday","Event")))</f>
        <v/>
      </c>
    </row>
    <row r="127">
      <c r="G127" s="254">
        <f>IF(C127="","",IF(ISNUMBER(C127),C127,IF(ISNUMBER(VALUE(LEFT(TRIM(C127),1))),TRIM(C127),TRIM(MID(TRIM(C127),FIND(" ",TRIM(C127))+1,99)))))</f>
        <v/>
      </c>
      <c r="H127" s="254">
        <f>IF(D127="","",IF(ISNUMBER(D127),D127,IF(ISNUMBER(VALUE(LEFT(TRIM(D127),1))),TRIM(D127),TRIM(MID(TRIM(D127),FIND(" ",TRIM(D127))+1,99)))))</f>
        <v/>
      </c>
      <c r="I127" s="255">
        <f>IF(G127="",0,IF(ISNUMBER(G127),G127,IFERROR(DATE(VALUE(MID(G127,FIND("/",G127,FIND("/",G127)+1)+1,4)),VALUE(MID(G127,FIND("/",G127)+1,FIND("/",G127,FIND("/",G127)+1)-FIND("/",G127)-1)),VALUE(LEFT(G127,FIND("/",G127)-1)))+IFERROR(TIMEVALUE(TRIM(MID(G127,FIND(" ",G127)+1,20))),0),0)))</f>
        <v/>
      </c>
      <c r="J127" s="255">
        <f>IF(H127="",0,IF(ISNUMBER(H127),H127,IFERROR(DATE(VALUE(MID(H127,FIND("/",H127,FIND("/",H127)+1)+1,4)),VALUE(MID(H127,FIND("/",H127)+1,FIND("/",H127,FIND("/",H127)+1)-FIND("/",H127)-1)),VALUE(LEFT(H127,FIND("/",H127)-1)))+IFERROR(TIMEVALUE(TRIM(MID(H127,FIND(" ",H127)+1,20))),0),0)))</f>
        <v/>
      </c>
      <c r="K127" s="256">
        <f>IF(I127=0,0,INT(I127))</f>
        <v/>
      </c>
      <c r="L127" s="257">
        <f>IF(OR(I127=0,J127=0),0,ROUND((J127-I127)*24,2))</f>
        <v/>
      </c>
      <c r="M127" s="254">
        <f>IFERROR(TRIM(MID(A127,FIND("@",SUBSTITUTE(A127,"(","@",LEN(A127)-LEN(SUBSTITUTE(A127,"(",""))))+1,FIND(")",A127,FIND("@",SUBSTITUTE(A127,"(","@",LEN(A127)-LEN(SUBSTITUTE(A127,"(","")))))-FIND("@",SUBSTITUTE(A127,"(","@",LEN(A127)-LEN(SUBSTITUTE(A127,"(",""))))-1)),"")</f>
        <v/>
      </c>
      <c r="N127" s="254">
        <f>IF(A127="","",IF(LEFT(TRIM(A127),5)="Leave","Leave",IF(OR(ISNUMBER(SEARCH("public holiday",A127)),ISNUMBER(SEARCH("Purple",E127))),"Public holiday","Event")))</f>
        <v/>
      </c>
    </row>
    <row r="128">
      <c r="G128" s="254">
        <f>IF(C128="","",IF(ISNUMBER(C128),C128,IF(ISNUMBER(VALUE(LEFT(TRIM(C128),1))),TRIM(C128),TRIM(MID(TRIM(C128),FIND(" ",TRIM(C128))+1,99)))))</f>
        <v/>
      </c>
      <c r="H128" s="254">
        <f>IF(D128="","",IF(ISNUMBER(D128),D128,IF(ISNUMBER(VALUE(LEFT(TRIM(D128),1))),TRIM(D128),TRIM(MID(TRIM(D128),FIND(" ",TRIM(D128))+1,99)))))</f>
        <v/>
      </c>
      <c r="I128" s="255">
        <f>IF(G128="",0,IF(ISNUMBER(G128),G128,IFERROR(DATE(VALUE(MID(G128,FIND("/",G128,FIND("/",G128)+1)+1,4)),VALUE(MID(G128,FIND("/",G128)+1,FIND("/",G128,FIND("/",G128)+1)-FIND("/",G128)-1)),VALUE(LEFT(G128,FIND("/",G128)-1)))+IFERROR(TIMEVALUE(TRIM(MID(G128,FIND(" ",G128)+1,20))),0),0)))</f>
        <v/>
      </c>
      <c r="J128" s="255">
        <f>IF(H128="",0,IF(ISNUMBER(H128),H128,IFERROR(DATE(VALUE(MID(H128,FIND("/",H128,FIND("/",H128)+1)+1,4)),VALUE(MID(H128,FIND("/",H128)+1,FIND("/",H128,FIND("/",H128)+1)-FIND("/",H128)-1)),VALUE(LEFT(H128,FIND("/",H128)-1)))+IFERROR(TIMEVALUE(TRIM(MID(H128,FIND(" ",H128)+1,20))),0),0)))</f>
        <v/>
      </c>
      <c r="K128" s="256">
        <f>IF(I128=0,0,INT(I128))</f>
        <v/>
      </c>
      <c r="L128" s="257">
        <f>IF(OR(I128=0,J128=0),0,ROUND((J128-I128)*24,2))</f>
        <v/>
      </c>
      <c r="M128" s="254">
        <f>IFERROR(TRIM(MID(A128,FIND("@",SUBSTITUTE(A128,"(","@",LEN(A128)-LEN(SUBSTITUTE(A128,"(",""))))+1,FIND(")",A128,FIND("@",SUBSTITUTE(A128,"(","@",LEN(A128)-LEN(SUBSTITUTE(A128,"(","")))))-FIND("@",SUBSTITUTE(A128,"(","@",LEN(A128)-LEN(SUBSTITUTE(A128,"(",""))))-1)),"")</f>
        <v/>
      </c>
      <c r="N128" s="254">
        <f>IF(A128="","",IF(LEFT(TRIM(A128),5)="Leave","Leave",IF(OR(ISNUMBER(SEARCH("public holiday",A128)),ISNUMBER(SEARCH("Purple",E128))),"Public holiday","Event")))</f>
        <v/>
      </c>
    </row>
    <row r="129">
      <c r="G129" s="254">
        <f>IF(C129="","",IF(ISNUMBER(C129),C129,IF(ISNUMBER(VALUE(LEFT(TRIM(C129),1))),TRIM(C129),TRIM(MID(TRIM(C129),FIND(" ",TRIM(C129))+1,99)))))</f>
        <v/>
      </c>
      <c r="H129" s="254">
        <f>IF(D129="","",IF(ISNUMBER(D129),D129,IF(ISNUMBER(VALUE(LEFT(TRIM(D129),1))),TRIM(D129),TRIM(MID(TRIM(D129),FIND(" ",TRIM(D129))+1,99)))))</f>
        <v/>
      </c>
      <c r="I129" s="255">
        <f>IF(G129="",0,IF(ISNUMBER(G129),G129,IFERROR(DATE(VALUE(MID(G129,FIND("/",G129,FIND("/",G129)+1)+1,4)),VALUE(MID(G129,FIND("/",G129)+1,FIND("/",G129,FIND("/",G129)+1)-FIND("/",G129)-1)),VALUE(LEFT(G129,FIND("/",G129)-1)))+IFERROR(TIMEVALUE(TRIM(MID(G129,FIND(" ",G129)+1,20))),0),0)))</f>
        <v/>
      </c>
      <c r="J129" s="255">
        <f>IF(H129="",0,IF(ISNUMBER(H129),H129,IFERROR(DATE(VALUE(MID(H129,FIND("/",H129,FIND("/",H129)+1)+1,4)),VALUE(MID(H129,FIND("/",H129)+1,FIND("/",H129,FIND("/",H129)+1)-FIND("/",H129)-1)),VALUE(LEFT(H129,FIND("/",H129)-1)))+IFERROR(TIMEVALUE(TRIM(MID(H129,FIND(" ",H129)+1,20))),0),0)))</f>
        <v/>
      </c>
      <c r="K129" s="256">
        <f>IF(I129=0,0,INT(I129))</f>
        <v/>
      </c>
      <c r="L129" s="257">
        <f>IF(OR(I129=0,J129=0),0,ROUND((J129-I129)*24,2))</f>
        <v/>
      </c>
      <c r="M129" s="254">
        <f>IFERROR(TRIM(MID(A129,FIND("@",SUBSTITUTE(A129,"(","@",LEN(A129)-LEN(SUBSTITUTE(A129,"(",""))))+1,FIND(")",A129,FIND("@",SUBSTITUTE(A129,"(","@",LEN(A129)-LEN(SUBSTITUTE(A129,"(","")))))-FIND("@",SUBSTITUTE(A129,"(","@",LEN(A129)-LEN(SUBSTITUTE(A129,"(",""))))-1)),"")</f>
        <v/>
      </c>
      <c r="N129" s="254">
        <f>IF(A129="","",IF(LEFT(TRIM(A129),5)="Leave","Leave",IF(OR(ISNUMBER(SEARCH("public holiday",A129)),ISNUMBER(SEARCH("Purple",E129))),"Public holiday","Event")))</f>
        <v/>
      </c>
    </row>
    <row r="130">
      <c r="G130" s="254">
        <f>IF(C130="","",IF(ISNUMBER(C130),C130,IF(ISNUMBER(VALUE(LEFT(TRIM(C130),1))),TRIM(C130),TRIM(MID(TRIM(C130),FIND(" ",TRIM(C130))+1,99)))))</f>
        <v/>
      </c>
      <c r="H130" s="254">
        <f>IF(D130="","",IF(ISNUMBER(D130),D130,IF(ISNUMBER(VALUE(LEFT(TRIM(D130),1))),TRIM(D130),TRIM(MID(TRIM(D130),FIND(" ",TRIM(D130))+1,99)))))</f>
        <v/>
      </c>
      <c r="I130" s="255">
        <f>IF(G130="",0,IF(ISNUMBER(G130),G130,IFERROR(DATE(VALUE(MID(G130,FIND("/",G130,FIND("/",G130)+1)+1,4)),VALUE(MID(G130,FIND("/",G130)+1,FIND("/",G130,FIND("/",G130)+1)-FIND("/",G130)-1)),VALUE(LEFT(G130,FIND("/",G130)-1)))+IFERROR(TIMEVALUE(TRIM(MID(G130,FIND(" ",G130)+1,20))),0),0)))</f>
        <v/>
      </c>
      <c r="J130" s="255">
        <f>IF(H130="",0,IF(ISNUMBER(H130),H130,IFERROR(DATE(VALUE(MID(H130,FIND("/",H130,FIND("/",H130)+1)+1,4)),VALUE(MID(H130,FIND("/",H130)+1,FIND("/",H130,FIND("/",H130)+1)-FIND("/",H130)-1)),VALUE(LEFT(H130,FIND("/",H130)-1)))+IFERROR(TIMEVALUE(TRIM(MID(H130,FIND(" ",H130)+1,20))),0),0)))</f>
        <v/>
      </c>
      <c r="K130" s="256">
        <f>IF(I130=0,0,INT(I130))</f>
        <v/>
      </c>
      <c r="L130" s="257">
        <f>IF(OR(I130=0,J130=0),0,ROUND((J130-I130)*24,2))</f>
        <v/>
      </c>
      <c r="M130" s="254">
        <f>IFERROR(TRIM(MID(A130,FIND("@",SUBSTITUTE(A130,"(","@",LEN(A130)-LEN(SUBSTITUTE(A130,"(",""))))+1,FIND(")",A130,FIND("@",SUBSTITUTE(A130,"(","@",LEN(A130)-LEN(SUBSTITUTE(A130,"(","")))))-FIND("@",SUBSTITUTE(A130,"(","@",LEN(A130)-LEN(SUBSTITUTE(A130,"(",""))))-1)),"")</f>
        <v/>
      </c>
      <c r="N130" s="254">
        <f>IF(A130="","",IF(LEFT(TRIM(A130),5)="Leave","Leave",IF(OR(ISNUMBER(SEARCH("public holiday",A130)),ISNUMBER(SEARCH("Purple",E130))),"Public holiday","Event")))</f>
        <v/>
      </c>
    </row>
    <row r="131">
      <c r="G131" s="254">
        <f>IF(C131="","",IF(ISNUMBER(C131),C131,IF(ISNUMBER(VALUE(LEFT(TRIM(C131),1))),TRIM(C131),TRIM(MID(TRIM(C131),FIND(" ",TRIM(C131))+1,99)))))</f>
        <v/>
      </c>
      <c r="H131" s="254">
        <f>IF(D131="","",IF(ISNUMBER(D131),D131,IF(ISNUMBER(VALUE(LEFT(TRIM(D131),1))),TRIM(D131),TRIM(MID(TRIM(D131),FIND(" ",TRIM(D131))+1,99)))))</f>
        <v/>
      </c>
      <c r="I131" s="255">
        <f>IF(G131="",0,IF(ISNUMBER(G131),G131,IFERROR(DATE(VALUE(MID(G131,FIND("/",G131,FIND("/",G131)+1)+1,4)),VALUE(MID(G131,FIND("/",G131)+1,FIND("/",G131,FIND("/",G131)+1)-FIND("/",G131)-1)),VALUE(LEFT(G131,FIND("/",G131)-1)))+IFERROR(TIMEVALUE(TRIM(MID(G131,FIND(" ",G131)+1,20))),0),0)))</f>
        <v/>
      </c>
      <c r="J131" s="255">
        <f>IF(H131="",0,IF(ISNUMBER(H131),H131,IFERROR(DATE(VALUE(MID(H131,FIND("/",H131,FIND("/",H131)+1)+1,4)),VALUE(MID(H131,FIND("/",H131)+1,FIND("/",H131,FIND("/",H131)+1)-FIND("/",H131)-1)),VALUE(LEFT(H131,FIND("/",H131)-1)))+IFERROR(TIMEVALUE(TRIM(MID(H131,FIND(" ",H131)+1,20))),0),0)))</f>
        <v/>
      </c>
      <c r="K131" s="256">
        <f>IF(I131=0,0,INT(I131))</f>
        <v/>
      </c>
      <c r="L131" s="257">
        <f>IF(OR(I131=0,J131=0),0,ROUND((J131-I131)*24,2))</f>
        <v/>
      </c>
      <c r="M131" s="254">
        <f>IFERROR(TRIM(MID(A131,FIND("@",SUBSTITUTE(A131,"(","@",LEN(A131)-LEN(SUBSTITUTE(A131,"(",""))))+1,FIND(")",A131,FIND("@",SUBSTITUTE(A131,"(","@",LEN(A131)-LEN(SUBSTITUTE(A131,"(","")))))-FIND("@",SUBSTITUTE(A131,"(","@",LEN(A131)-LEN(SUBSTITUTE(A131,"(",""))))-1)),"")</f>
        <v/>
      </c>
      <c r="N131" s="254">
        <f>IF(A131="","",IF(LEFT(TRIM(A131),5)="Leave","Leave",IF(OR(ISNUMBER(SEARCH("public holiday",A131)),ISNUMBER(SEARCH("Purple",E131))),"Public holiday","Event")))</f>
        <v/>
      </c>
    </row>
    <row r="132">
      <c r="G132" s="254">
        <f>IF(C132="","",IF(ISNUMBER(C132),C132,IF(ISNUMBER(VALUE(LEFT(TRIM(C132),1))),TRIM(C132),TRIM(MID(TRIM(C132),FIND(" ",TRIM(C132))+1,99)))))</f>
        <v/>
      </c>
      <c r="H132" s="254">
        <f>IF(D132="","",IF(ISNUMBER(D132),D132,IF(ISNUMBER(VALUE(LEFT(TRIM(D132),1))),TRIM(D132),TRIM(MID(TRIM(D132),FIND(" ",TRIM(D132))+1,99)))))</f>
        <v/>
      </c>
      <c r="I132" s="255">
        <f>IF(G132="",0,IF(ISNUMBER(G132),G132,IFERROR(DATE(VALUE(MID(G132,FIND("/",G132,FIND("/",G132)+1)+1,4)),VALUE(MID(G132,FIND("/",G132)+1,FIND("/",G132,FIND("/",G132)+1)-FIND("/",G132)-1)),VALUE(LEFT(G132,FIND("/",G132)-1)))+IFERROR(TIMEVALUE(TRIM(MID(G132,FIND(" ",G132)+1,20))),0),0)))</f>
        <v/>
      </c>
      <c r="J132" s="255">
        <f>IF(H132="",0,IF(ISNUMBER(H132),H132,IFERROR(DATE(VALUE(MID(H132,FIND("/",H132,FIND("/",H132)+1)+1,4)),VALUE(MID(H132,FIND("/",H132)+1,FIND("/",H132,FIND("/",H132)+1)-FIND("/",H132)-1)),VALUE(LEFT(H132,FIND("/",H132)-1)))+IFERROR(TIMEVALUE(TRIM(MID(H132,FIND(" ",H132)+1,20))),0),0)))</f>
        <v/>
      </c>
      <c r="K132" s="256">
        <f>IF(I132=0,0,INT(I132))</f>
        <v/>
      </c>
      <c r="L132" s="257">
        <f>IF(OR(I132=0,J132=0),0,ROUND((J132-I132)*24,2))</f>
        <v/>
      </c>
      <c r="M132" s="254">
        <f>IFERROR(TRIM(MID(A132,FIND("@",SUBSTITUTE(A132,"(","@",LEN(A132)-LEN(SUBSTITUTE(A132,"(",""))))+1,FIND(")",A132,FIND("@",SUBSTITUTE(A132,"(","@",LEN(A132)-LEN(SUBSTITUTE(A132,"(","")))))-FIND("@",SUBSTITUTE(A132,"(","@",LEN(A132)-LEN(SUBSTITUTE(A132,"(",""))))-1)),"")</f>
        <v/>
      </c>
      <c r="N132" s="254">
        <f>IF(A132="","",IF(LEFT(TRIM(A132),5)="Leave","Leave",IF(OR(ISNUMBER(SEARCH("public holiday",A132)),ISNUMBER(SEARCH("Purple",E132))),"Public holiday","Event")))</f>
        <v/>
      </c>
    </row>
    <row r="133">
      <c r="G133" s="254">
        <f>IF(C133="","",IF(ISNUMBER(C133),C133,IF(ISNUMBER(VALUE(LEFT(TRIM(C133),1))),TRIM(C133),TRIM(MID(TRIM(C133),FIND(" ",TRIM(C133))+1,99)))))</f>
        <v/>
      </c>
      <c r="H133" s="254">
        <f>IF(D133="","",IF(ISNUMBER(D133),D133,IF(ISNUMBER(VALUE(LEFT(TRIM(D133),1))),TRIM(D133),TRIM(MID(TRIM(D133),FIND(" ",TRIM(D133))+1,99)))))</f>
        <v/>
      </c>
      <c r="I133" s="255">
        <f>IF(G133="",0,IF(ISNUMBER(G133),G133,IFERROR(DATE(VALUE(MID(G133,FIND("/",G133,FIND("/",G133)+1)+1,4)),VALUE(MID(G133,FIND("/",G133)+1,FIND("/",G133,FIND("/",G133)+1)-FIND("/",G133)-1)),VALUE(LEFT(G133,FIND("/",G133)-1)))+IFERROR(TIMEVALUE(TRIM(MID(G133,FIND(" ",G133)+1,20))),0),0)))</f>
        <v/>
      </c>
      <c r="J133" s="255">
        <f>IF(H133="",0,IF(ISNUMBER(H133),H133,IFERROR(DATE(VALUE(MID(H133,FIND("/",H133,FIND("/",H133)+1)+1,4)),VALUE(MID(H133,FIND("/",H133)+1,FIND("/",H133,FIND("/",H133)+1)-FIND("/",H133)-1)),VALUE(LEFT(H133,FIND("/",H133)-1)))+IFERROR(TIMEVALUE(TRIM(MID(H133,FIND(" ",H133)+1,20))),0),0)))</f>
        <v/>
      </c>
      <c r="K133" s="256">
        <f>IF(I133=0,0,INT(I133))</f>
        <v/>
      </c>
      <c r="L133" s="257">
        <f>IF(OR(I133=0,J133=0),0,ROUND((J133-I133)*24,2))</f>
        <v/>
      </c>
      <c r="M133" s="254">
        <f>IFERROR(TRIM(MID(A133,FIND("@",SUBSTITUTE(A133,"(","@",LEN(A133)-LEN(SUBSTITUTE(A133,"(",""))))+1,FIND(")",A133,FIND("@",SUBSTITUTE(A133,"(","@",LEN(A133)-LEN(SUBSTITUTE(A133,"(","")))))-FIND("@",SUBSTITUTE(A133,"(","@",LEN(A133)-LEN(SUBSTITUTE(A133,"(",""))))-1)),"")</f>
        <v/>
      </c>
      <c r="N133" s="254">
        <f>IF(A133="","",IF(LEFT(TRIM(A133),5)="Leave","Leave",IF(OR(ISNUMBER(SEARCH("public holiday",A133)),ISNUMBER(SEARCH("Purple",E133))),"Public holiday","Event")))</f>
        <v/>
      </c>
    </row>
    <row r="134">
      <c r="G134" s="254">
        <f>IF(C134="","",IF(ISNUMBER(C134),C134,IF(ISNUMBER(VALUE(LEFT(TRIM(C134),1))),TRIM(C134),TRIM(MID(TRIM(C134),FIND(" ",TRIM(C134))+1,99)))))</f>
        <v/>
      </c>
      <c r="H134" s="254">
        <f>IF(D134="","",IF(ISNUMBER(D134),D134,IF(ISNUMBER(VALUE(LEFT(TRIM(D134),1))),TRIM(D134),TRIM(MID(TRIM(D134),FIND(" ",TRIM(D134))+1,99)))))</f>
        <v/>
      </c>
      <c r="I134" s="255">
        <f>IF(G134="",0,IF(ISNUMBER(G134),G134,IFERROR(DATE(VALUE(MID(G134,FIND("/",G134,FIND("/",G134)+1)+1,4)),VALUE(MID(G134,FIND("/",G134)+1,FIND("/",G134,FIND("/",G134)+1)-FIND("/",G134)-1)),VALUE(LEFT(G134,FIND("/",G134)-1)))+IFERROR(TIMEVALUE(TRIM(MID(G134,FIND(" ",G134)+1,20))),0),0)))</f>
        <v/>
      </c>
      <c r="J134" s="255">
        <f>IF(H134="",0,IF(ISNUMBER(H134),H134,IFERROR(DATE(VALUE(MID(H134,FIND("/",H134,FIND("/",H134)+1)+1,4)),VALUE(MID(H134,FIND("/",H134)+1,FIND("/",H134,FIND("/",H134)+1)-FIND("/",H134)-1)),VALUE(LEFT(H134,FIND("/",H134)-1)))+IFERROR(TIMEVALUE(TRIM(MID(H134,FIND(" ",H134)+1,20))),0),0)))</f>
        <v/>
      </c>
      <c r="K134" s="256">
        <f>IF(I134=0,0,INT(I134))</f>
        <v/>
      </c>
      <c r="L134" s="257">
        <f>IF(OR(I134=0,J134=0),0,ROUND((J134-I134)*24,2))</f>
        <v/>
      </c>
      <c r="M134" s="254">
        <f>IFERROR(TRIM(MID(A134,FIND("@",SUBSTITUTE(A134,"(","@",LEN(A134)-LEN(SUBSTITUTE(A134,"(",""))))+1,FIND(")",A134,FIND("@",SUBSTITUTE(A134,"(","@",LEN(A134)-LEN(SUBSTITUTE(A134,"(","")))))-FIND("@",SUBSTITUTE(A134,"(","@",LEN(A134)-LEN(SUBSTITUTE(A134,"(",""))))-1)),"")</f>
        <v/>
      </c>
      <c r="N134" s="254">
        <f>IF(A134="","",IF(LEFT(TRIM(A134),5)="Leave","Leave",IF(OR(ISNUMBER(SEARCH("public holiday",A134)),ISNUMBER(SEARCH("Purple",E134))),"Public holiday","Event")))</f>
        <v/>
      </c>
    </row>
    <row r="135">
      <c r="G135" s="254">
        <f>IF(C135="","",IF(ISNUMBER(C135),C135,IF(ISNUMBER(VALUE(LEFT(TRIM(C135),1))),TRIM(C135),TRIM(MID(TRIM(C135),FIND(" ",TRIM(C135))+1,99)))))</f>
        <v/>
      </c>
      <c r="H135" s="254">
        <f>IF(D135="","",IF(ISNUMBER(D135),D135,IF(ISNUMBER(VALUE(LEFT(TRIM(D135),1))),TRIM(D135),TRIM(MID(TRIM(D135),FIND(" ",TRIM(D135))+1,99)))))</f>
        <v/>
      </c>
      <c r="I135" s="255">
        <f>IF(G135="",0,IF(ISNUMBER(G135),G135,IFERROR(DATE(VALUE(MID(G135,FIND("/",G135,FIND("/",G135)+1)+1,4)),VALUE(MID(G135,FIND("/",G135)+1,FIND("/",G135,FIND("/",G135)+1)-FIND("/",G135)-1)),VALUE(LEFT(G135,FIND("/",G135)-1)))+IFERROR(TIMEVALUE(TRIM(MID(G135,FIND(" ",G135)+1,20))),0),0)))</f>
        <v/>
      </c>
      <c r="J135" s="255">
        <f>IF(H135="",0,IF(ISNUMBER(H135),H135,IFERROR(DATE(VALUE(MID(H135,FIND("/",H135,FIND("/",H135)+1)+1,4)),VALUE(MID(H135,FIND("/",H135)+1,FIND("/",H135,FIND("/",H135)+1)-FIND("/",H135)-1)),VALUE(LEFT(H135,FIND("/",H135)-1)))+IFERROR(TIMEVALUE(TRIM(MID(H135,FIND(" ",H135)+1,20))),0),0)))</f>
        <v/>
      </c>
      <c r="K135" s="256">
        <f>IF(I135=0,0,INT(I135))</f>
        <v/>
      </c>
      <c r="L135" s="257">
        <f>IF(OR(I135=0,J135=0),0,ROUND((J135-I135)*24,2))</f>
        <v/>
      </c>
      <c r="M135" s="254">
        <f>IFERROR(TRIM(MID(A135,FIND("@",SUBSTITUTE(A135,"(","@",LEN(A135)-LEN(SUBSTITUTE(A135,"(",""))))+1,FIND(")",A135,FIND("@",SUBSTITUTE(A135,"(","@",LEN(A135)-LEN(SUBSTITUTE(A135,"(","")))))-FIND("@",SUBSTITUTE(A135,"(","@",LEN(A135)-LEN(SUBSTITUTE(A135,"(",""))))-1)),"")</f>
        <v/>
      </c>
      <c r="N135" s="254">
        <f>IF(A135="","",IF(LEFT(TRIM(A135),5)="Leave","Leave",IF(OR(ISNUMBER(SEARCH("public holiday",A135)),ISNUMBER(SEARCH("Purple",E135))),"Public holiday","Event")))</f>
        <v/>
      </c>
    </row>
    <row r="136">
      <c r="G136" s="254">
        <f>IF(C136="","",IF(ISNUMBER(C136),C136,IF(ISNUMBER(VALUE(LEFT(TRIM(C136),1))),TRIM(C136),TRIM(MID(TRIM(C136),FIND(" ",TRIM(C136))+1,99)))))</f>
        <v/>
      </c>
      <c r="H136" s="254">
        <f>IF(D136="","",IF(ISNUMBER(D136),D136,IF(ISNUMBER(VALUE(LEFT(TRIM(D136),1))),TRIM(D136),TRIM(MID(TRIM(D136),FIND(" ",TRIM(D136))+1,99)))))</f>
        <v/>
      </c>
      <c r="I136" s="255">
        <f>IF(G136="",0,IF(ISNUMBER(G136),G136,IFERROR(DATE(VALUE(MID(G136,FIND("/",G136,FIND("/",G136)+1)+1,4)),VALUE(MID(G136,FIND("/",G136)+1,FIND("/",G136,FIND("/",G136)+1)-FIND("/",G136)-1)),VALUE(LEFT(G136,FIND("/",G136)-1)))+IFERROR(TIMEVALUE(TRIM(MID(G136,FIND(" ",G136)+1,20))),0),0)))</f>
        <v/>
      </c>
      <c r="J136" s="255">
        <f>IF(H136="",0,IF(ISNUMBER(H136),H136,IFERROR(DATE(VALUE(MID(H136,FIND("/",H136,FIND("/",H136)+1)+1,4)),VALUE(MID(H136,FIND("/",H136)+1,FIND("/",H136,FIND("/",H136)+1)-FIND("/",H136)-1)),VALUE(LEFT(H136,FIND("/",H136)-1)))+IFERROR(TIMEVALUE(TRIM(MID(H136,FIND(" ",H136)+1,20))),0),0)))</f>
        <v/>
      </c>
      <c r="K136" s="256">
        <f>IF(I136=0,0,INT(I136))</f>
        <v/>
      </c>
      <c r="L136" s="257">
        <f>IF(OR(I136=0,J136=0),0,ROUND((J136-I136)*24,2))</f>
        <v/>
      </c>
      <c r="M136" s="254">
        <f>IFERROR(TRIM(MID(A136,FIND("@",SUBSTITUTE(A136,"(","@",LEN(A136)-LEN(SUBSTITUTE(A136,"(",""))))+1,FIND(")",A136,FIND("@",SUBSTITUTE(A136,"(","@",LEN(A136)-LEN(SUBSTITUTE(A136,"(","")))))-FIND("@",SUBSTITUTE(A136,"(","@",LEN(A136)-LEN(SUBSTITUTE(A136,"(",""))))-1)),"")</f>
        <v/>
      </c>
      <c r="N136" s="254">
        <f>IF(A136="","",IF(LEFT(TRIM(A136),5)="Leave","Leave",IF(OR(ISNUMBER(SEARCH("public holiday",A136)),ISNUMBER(SEARCH("Purple",E136))),"Public holiday","Event")))</f>
        <v/>
      </c>
    </row>
    <row r="137">
      <c r="G137" s="254">
        <f>IF(C137="","",IF(ISNUMBER(C137),C137,IF(ISNUMBER(VALUE(LEFT(TRIM(C137),1))),TRIM(C137),TRIM(MID(TRIM(C137),FIND(" ",TRIM(C137))+1,99)))))</f>
        <v/>
      </c>
      <c r="H137" s="254">
        <f>IF(D137="","",IF(ISNUMBER(D137),D137,IF(ISNUMBER(VALUE(LEFT(TRIM(D137),1))),TRIM(D137),TRIM(MID(TRIM(D137),FIND(" ",TRIM(D137))+1,99)))))</f>
        <v/>
      </c>
      <c r="I137" s="255">
        <f>IF(G137="",0,IF(ISNUMBER(G137),G137,IFERROR(DATE(VALUE(MID(G137,FIND("/",G137,FIND("/",G137)+1)+1,4)),VALUE(MID(G137,FIND("/",G137)+1,FIND("/",G137,FIND("/",G137)+1)-FIND("/",G137)-1)),VALUE(LEFT(G137,FIND("/",G137)-1)))+IFERROR(TIMEVALUE(TRIM(MID(G137,FIND(" ",G137)+1,20))),0),0)))</f>
        <v/>
      </c>
      <c r="J137" s="255">
        <f>IF(H137="",0,IF(ISNUMBER(H137),H137,IFERROR(DATE(VALUE(MID(H137,FIND("/",H137,FIND("/",H137)+1)+1,4)),VALUE(MID(H137,FIND("/",H137)+1,FIND("/",H137,FIND("/",H137)+1)-FIND("/",H137)-1)),VALUE(LEFT(H137,FIND("/",H137)-1)))+IFERROR(TIMEVALUE(TRIM(MID(H137,FIND(" ",H137)+1,20))),0),0)))</f>
        <v/>
      </c>
      <c r="K137" s="256">
        <f>IF(I137=0,0,INT(I137))</f>
        <v/>
      </c>
      <c r="L137" s="257">
        <f>IF(OR(I137=0,J137=0),0,ROUND((J137-I137)*24,2))</f>
        <v/>
      </c>
      <c r="M137" s="254">
        <f>IFERROR(TRIM(MID(A137,FIND("@",SUBSTITUTE(A137,"(","@",LEN(A137)-LEN(SUBSTITUTE(A137,"(",""))))+1,FIND(")",A137,FIND("@",SUBSTITUTE(A137,"(","@",LEN(A137)-LEN(SUBSTITUTE(A137,"(","")))))-FIND("@",SUBSTITUTE(A137,"(","@",LEN(A137)-LEN(SUBSTITUTE(A137,"(",""))))-1)),"")</f>
        <v/>
      </c>
      <c r="N137" s="254">
        <f>IF(A137="","",IF(LEFT(TRIM(A137),5)="Leave","Leave",IF(OR(ISNUMBER(SEARCH("public holiday",A137)),ISNUMBER(SEARCH("Purple",E137))),"Public holiday","Event")))</f>
        <v/>
      </c>
    </row>
    <row r="138">
      <c r="G138" s="254">
        <f>IF(C138="","",IF(ISNUMBER(C138),C138,IF(ISNUMBER(VALUE(LEFT(TRIM(C138),1))),TRIM(C138),TRIM(MID(TRIM(C138),FIND(" ",TRIM(C138))+1,99)))))</f>
        <v/>
      </c>
      <c r="H138" s="254">
        <f>IF(D138="","",IF(ISNUMBER(D138),D138,IF(ISNUMBER(VALUE(LEFT(TRIM(D138),1))),TRIM(D138),TRIM(MID(TRIM(D138),FIND(" ",TRIM(D138))+1,99)))))</f>
        <v/>
      </c>
      <c r="I138" s="255">
        <f>IF(G138="",0,IF(ISNUMBER(G138),G138,IFERROR(DATE(VALUE(MID(G138,FIND("/",G138,FIND("/",G138)+1)+1,4)),VALUE(MID(G138,FIND("/",G138)+1,FIND("/",G138,FIND("/",G138)+1)-FIND("/",G138)-1)),VALUE(LEFT(G138,FIND("/",G138)-1)))+IFERROR(TIMEVALUE(TRIM(MID(G138,FIND(" ",G138)+1,20))),0),0)))</f>
        <v/>
      </c>
      <c r="J138" s="255">
        <f>IF(H138="",0,IF(ISNUMBER(H138),H138,IFERROR(DATE(VALUE(MID(H138,FIND("/",H138,FIND("/",H138)+1)+1,4)),VALUE(MID(H138,FIND("/",H138)+1,FIND("/",H138,FIND("/",H138)+1)-FIND("/",H138)-1)),VALUE(LEFT(H138,FIND("/",H138)-1)))+IFERROR(TIMEVALUE(TRIM(MID(H138,FIND(" ",H138)+1,20))),0),0)))</f>
        <v/>
      </c>
      <c r="K138" s="256">
        <f>IF(I138=0,0,INT(I138))</f>
        <v/>
      </c>
      <c r="L138" s="257">
        <f>IF(OR(I138=0,J138=0),0,ROUND((J138-I138)*24,2))</f>
        <v/>
      </c>
      <c r="M138" s="254">
        <f>IFERROR(TRIM(MID(A138,FIND("@",SUBSTITUTE(A138,"(","@",LEN(A138)-LEN(SUBSTITUTE(A138,"(",""))))+1,FIND(")",A138,FIND("@",SUBSTITUTE(A138,"(","@",LEN(A138)-LEN(SUBSTITUTE(A138,"(","")))))-FIND("@",SUBSTITUTE(A138,"(","@",LEN(A138)-LEN(SUBSTITUTE(A138,"(",""))))-1)),"")</f>
        <v/>
      </c>
      <c r="N138" s="254">
        <f>IF(A138="","",IF(LEFT(TRIM(A138),5)="Leave","Leave",IF(OR(ISNUMBER(SEARCH("public holiday",A138)),ISNUMBER(SEARCH("Purple",E138))),"Public holiday","Event")))</f>
        <v/>
      </c>
    </row>
    <row r="139">
      <c r="G139" s="254">
        <f>IF(C139="","",IF(ISNUMBER(C139),C139,IF(ISNUMBER(VALUE(LEFT(TRIM(C139),1))),TRIM(C139),TRIM(MID(TRIM(C139),FIND(" ",TRIM(C139))+1,99)))))</f>
        <v/>
      </c>
      <c r="H139" s="254">
        <f>IF(D139="","",IF(ISNUMBER(D139),D139,IF(ISNUMBER(VALUE(LEFT(TRIM(D139),1))),TRIM(D139),TRIM(MID(TRIM(D139),FIND(" ",TRIM(D139))+1,99)))))</f>
        <v/>
      </c>
      <c r="I139" s="255">
        <f>IF(G139="",0,IF(ISNUMBER(G139),G139,IFERROR(DATE(VALUE(MID(G139,FIND("/",G139,FIND("/",G139)+1)+1,4)),VALUE(MID(G139,FIND("/",G139)+1,FIND("/",G139,FIND("/",G139)+1)-FIND("/",G139)-1)),VALUE(LEFT(G139,FIND("/",G139)-1)))+IFERROR(TIMEVALUE(TRIM(MID(G139,FIND(" ",G139)+1,20))),0),0)))</f>
        <v/>
      </c>
      <c r="J139" s="255">
        <f>IF(H139="",0,IF(ISNUMBER(H139),H139,IFERROR(DATE(VALUE(MID(H139,FIND("/",H139,FIND("/",H139)+1)+1,4)),VALUE(MID(H139,FIND("/",H139)+1,FIND("/",H139,FIND("/",H139)+1)-FIND("/",H139)-1)),VALUE(LEFT(H139,FIND("/",H139)-1)))+IFERROR(TIMEVALUE(TRIM(MID(H139,FIND(" ",H139)+1,20))),0),0)))</f>
        <v/>
      </c>
      <c r="K139" s="256">
        <f>IF(I139=0,0,INT(I139))</f>
        <v/>
      </c>
      <c r="L139" s="257">
        <f>IF(OR(I139=0,J139=0),0,ROUND((J139-I139)*24,2))</f>
        <v/>
      </c>
      <c r="M139" s="254">
        <f>IFERROR(TRIM(MID(A139,FIND("@",SUBSTITUTE(A139,"(","@",LEN(A139)-LEN(SUBSTITUTE(A139,"(",""))))+1,FIND(")",A139,FIND("@",SUBSTITUTE(A139,"(","@",LEN(A139)-LEN(SUBSTITUTE(A139,"(","")))))-FIND("@",SUBSTITUTE(A139,"(","@",LEN(A139)-LEN(SUBSTITUTE(A139,"(",""))))-1)),"")</f>
        <v/>
      </c>
      <c r="N139" s="254">
        <f>IF(A139="","",IF(LEFT(TRIM(A139),5)="Leave","Leave",IF(OR(ISNUMBER(SEARCH("public holiday",A139)),ISNUMBER(SEARCH("Purple",E139))),"Public holiday","Event")))</f>
        <v/>
      </c>
    </row>
    <row r="140">
      <c r="G140" s="254">
        <f>IF(C140="","",IF(ISNUMBER(C140),C140,IF(ISNUMBER(VALUE(LEFT(TRIM(C140),1))),TRIM(C140),TRIM(MID(TRIM(C140),FIND(" ",TRIM(C140))+1,99)))))</f>
        <v/>
      </c>
      <c r="H140" s="254">
        <f>IF(D140="","",IF(ISNUMBER(D140),D140,IF(ISNUMBER(VALUE(LEFT(TRIM(D140),1))),TRIM(D140),TRIM(MID(TRIM(D140),FIND(" ",TRIM(D140))+1,99)))))</f>
        <v/>
      </c>
      <c r="I140" s="255">
        <f>IF(G140="",0,IF(ISNUMBER(G140),G140,IFERROR(DATE(VALUE(MID(G140,FIND("/",G140,FIND("/",G140)+1)+1,4)),VALUE(MID(G140,FIND("/",G140)+1,FIND("/",G140,FIND("/",G140)+1)-FIND("/",G140)-1)),VALUE(LEFT(G140,FIND("/",G140)-1)))+IFERROR(TIMEVALUE(TRIM(MID(G140,FIND(" ",G140)+1,20))),0),0)))</f>
        <v/>
      </c>
      <c r="J140" s="255">
        <f>IF(H140="",0,IF(ISNUMBER(H140),H140,IFERROR(DATE(VALUE(MID(H140,FIND("/",H140,FIND("/",H140)+1)+1,4)),VALUE(MID(H140,FIND("/",H140)+1,FIND("/",H140,FIND("/",H140)+1)-FIND("/",H140)-1)),VALUE(LEFT(H140,FIND("/",H140)-1)))+IFERROR(TIMEVALUE(TRIM(MID(H140,FIND(" ",H140)+1,20))),0),0)))</f>
        <v/>
      </c>
      <c r="K140" s="256">
        <f>IF(I140=0,0,INT(I140))</f>
        <v/>
      </c>
      <c r="L140" s="257">
        <f>IF(OR(I140=0,J140=0),0,ROUND((J140-I140)*24,2))</f>
        <v/>
      </c>
      <c r="M140" s="254">
        <f>IFERROR(TRIM(MID(A140,FIND("@",SUBSTITUTE(A140,"(","@",LEN(A140)-LEN(SUBSTITUTE(A140,"(",""))))+1,FIND(")",A140,FIND("@",SUBSTITUTE(A140,"(","@",LEN(A140)-LEN(SUBSTITUTE(A140,"(","")))))-FIND("@",SUBSTITUTE(A140,"(","@",LEN(A140)-LEN(SUBSTITUTE(A140,"(",""))))-1)),"")</f>
        <v/>
      </c>
      <c r="N140" s="254">
        <f>IF(A140="","",IF(LEFT(TRIM(A140),5)="Leave","Leave",IF(OR(ISNUMBER(SEARCH("public holiday",A140)),ISNUMBER(SEARCH("Purple",E140))),"Public holiday","Event")))</f>
        <v/>
      </c>
    </row>
    <row r="141">
      <c r="G141" s="254">
        <f>IF(C141="","",IF(ISNUMBER(C141),C141,IF(ISNUMBER(VALUE(LEFT(TRIM(C141),1))),TRIM(C141),TRIM(MID(TRIM(C141),FIND(" ",TRIM(C141))+1,99)))))</f>
        <v/>
      </c>
      <c r="H141" s="254">
        <f>IF(D141="","",IF(ISNUMBER(D141),D141,IF(ISNUMBER(VALUE(LEFT(TRIM(D141),1))),TRIM(D141),TRIM(MID(TRIM(D141),FIND(" ",TRIM(D141))+1,99)))))</f>
        <v/>
      </c>
      <c r="I141" s="255">
        <f>IF(G141="",0,IF(ISNUMBER(G141),G141,IFERROR(DATE(VALUE(MID(G141,FIND("/",G141,FIND("/",G141)+1)+1,4)),VALUE(MID(G141,FIND("/",G141)+1,FIND("/",G141,FIND("/",G141)+1)-FIND("/",G141)-1)),VALUE(LEFT(G141,FIND("/",G141)-1)))+IFERROR(TIMEVALUE(TRIM(MID(G141,FIND(" ",G141)+1,20))),0),0)))</f>
        <v/>
      </c>
      <c r="J141" s="255">
        <f>IF(H141="",0,IF(ISNUMBER(H141),H141,IFERROR(DATE(VALUE(MID(H141,FIND("/",H141,FIND("/",H141)+1)+1,4)),VALUE(MID(H141,FIND("/",H141)+1,FIND("/",H141,FIND("/",H141)+1)-FIND("/",H141)-1)),VALUE(LEFT(H141,FIND("/",H141)-1)))+IFERROR(TIMEVALUE(TRIM(MID(H141,FIND(" ",H141)+1,20))),0),0)))</f>
        <v/>
      </c>
      <c r="K141" s="256">
        <f>IF(I141=0,0,INT(I141))</f>
        <v/>
      </c>
      <c r="L141" s="257">
        <f>IF(OR(I141=0,J141=0),0,ROUND((J141-I141)*24,2))</f>
        <v/>
      </c>
      <c r="M141" s="254">
        <f>IFERROR(TRIM(MID(A141,FIND("@",SUBSTITUTE(A141,"(","@",LEN(A141)-LEN(SUBSTITUTE(A141,"(",""))))+1,FIND(")",A141,FIND("@",SUBSTITUTE(A141,"(","@",LEN(A141)-LEN(SUBSTITUTE(A141,"(","")))))-FIND("@",SUBSTITUTE(A141,"(","@",LEN(A141)-LEN(SUBSTITUTE(A141,"(",""))))-1)),"")</f>
        <v/>
      </c>
      <c r="N141" s="254">
        <f>IF(A141="","",IF(LEFT(TRIM(A141),5)="Leave","Leave",IF(OR(ISNUMBER(SEARCH("public holiday",A141)),ISNUMBER(SEARCH("Purple",E141))),"Public holiday","Event")))</f>
        <v/>
      </c>
    </row>
    <row r="142">
      <c r="G142" s="254">
        <f>IF(C142="","",IF(ISNUMBER(C142),C142,IF(ISNUMBER(VALUE(LEFT(TRIM(C142),1))),TRIM(C142),TRIM(MID(TRIM(C142),FIND(" ",TRIM(C142))+1,99)))))</f>
        <v/>
      </c>
      <c r="H142" s="254">
        <f>IF(D142="","",IF(ISNUMBER(D142),D142,IF(ISNUMBER(VALUE(LEFT(TRIM(D142),1))),TRIM(D142),TRIM(MID(TRIM(D142),FIND(" ",TRIM(D142))+1,99)))))</f>
        <v/>
      </c>
      <c r="I142" s="255">
        <f>IF(G142="",0,IF(ISNUMBER(G142),G142,IFERROR(DATE(VALUE(MID(G142,FIND("/",G142,FIND("/",G142)+1)+1,4)),VALUE(MID(G142,FIND("/",G142)+1,FIND("/",G142,FIND("/",G142)+1)-FIND("/",G142)-1)),VALUE(LEFT(G142,FIND("/",G142)-1)))+IFERROR(TIMEVALUE(TRIM(MID(G142,FIND(" ",G142)+1,20))),0),0)))</f>
        <v/>
      </c>
      <c r="J142" s="255">
        <f>IF(H142="",0,IF(ISNUMBER(H142),H142,IFERROR(DATE(VALUE(MID(H142,FIND("/",H142,FIND("/",H142)+1)+1,4)),VALUE(MID(H142,FIND("/",H142)+1,FIND("/",H142,FIND("/",H142)+1)-FIND("/",H142)-1)),VALUE(LEFT(H142,FIND("/",H142)-1)))+IFERROR(TIMEVALUE(TRIM(MID(H142,FIND(" ",H142)+1,20))),0),0)))</f>
        <v/>
      </c>
      <c r="K142" s="256">
        <f>IF(I142=0,0,INT(I142))</f>
        <v/>
      </c>
      <c r="L142" s="257">
        <f>IF(OR(I142=0,J142=0),0,ROUND((J142-I142)*24,2))</f>
        <v/>
      </c>
      <c r="M142" s="254">
        <f>IFERROR(TRIM(MID(A142,FIND("@",SUBSTITUTE(A142,"(","@",LEN(A142)-LEN(SUBSTITUTE(A142,"(",""))))+1,FIND(")",A142,FIND("@",SUBSTITUTE(A142,"(","@",LEN(A142)-LEN(SUBSTITUTE(A142,"(","")))))-FIND("@",SUBSTITUTE(A142,"(","@",LEN(A142)-LEN(SUBSTITUTE(A142,"(",""))))-1)),"")</f>
        <v/>
      </c>
      <c r="N142" s="254">
        <f>IF(A142="","",IF(LEFT(TRIM(A142),5)="Leave","Leave",IF(OR(ISNUMBER(SEARCH("public holiday",A142)),ISNUMBER(SEARCH("Purple",E142))),"Public holiday","Event")))</f>
        <v/>
      </c>
    </row>
    <row r="143">
      <c r="G143" s="254">
        <f>IF(C143="","",IF(ISNUMBER(C143),C143,IF(ISNUMBER(VALUE(LEFT(TRIM(C143),1))),TRIM(C143),TRIM(MID(TRIM(C143),FIND(" ",TRIM(C143))+1,99)))))</f>
        <v/>
      </c>
      <c r="H143" s="254">
        <f>IF(D143="","",IF(ISNUMBER(D143),D143,IF(ISNUMBER(VALUE(LEFT(TRIM(D143),1))),TRIM(D143),TRIM(MID(TRIM(D143),FIND(" ",TRIM(D143))+1,99)))))</f>
        <v/>
      </c>
      <c r="I143" s="255">
        <f>IF(G143="",0,IF(ISNUMBER(G143),G143,IFERROR(DATE(VALUE(MID(G143,FIND("/",G143,FIND("/",G143)+1)+1,4)),VALUE(MID(G143,FIND("/",G143)+1,FIND("/",G143,FIND("/",G143)+1)-FIND("/",G143)-1)),VALUE(LEFT(G143,FIND("/",G143)-1)))+IFERROR(TIMEVALUE(TRIM(MID(G143,FIND(" ",G143)+1,20))),0),0)))</f>
        <v/>
      </c>
      <c r="J143" s="255">
        <f>IF(H143="",0,IF(ISNUMBER(H143),H143,IFERROR(DATE(VALUE(MID(H143,FIND("/",H143,FIND("/",H143)+1)+1,4)),VALUE(MID(H143,FIND("/",H143)+1,FIND("/",H143,FIND("/",H143)+1)-FIND("/",H143)-1)),VALUE(LEFT(H143,FIND("/",H143)-1)))+IFERROR(TIMEVALUE(TRIM(MID(H143,FIND(" ",H143)+1,20))),0),0)))</f>
        <v/>
      </c>
      <c r="K143" s="256">
        <f>IF(I143=0,0,INT(I143))</f>
        <v/>
      </c>
      <c r="L143" s="257">
        <f>IF(OR(I143=0,J143=0),0,ROUND((J143-I143)*24,2))</f>
        <v/>
      </c>
      <c r="M143" s="254">
        <f>IFERROR(TRIM(MID(A143,FIND("@",SUBSTITUTE(A143,"(","@",LEN(A143)-LEN(SUBSTITUTE(A143,"(",""))))+1,FIND(")",A143,FIND("@",SUBSTITUTE(A143,"(","@",LEN(A143)-LEN(SUBSTITUTE(A143,"(","")))))-FIND("@",SUBSTITUTE(A143,"(","@",LEN(A143)-LEN(SUBSTITUTE(A143,"(",""))))-1)),"")</f>
        <v/>
      </c>
      <c r="N143" s="254">
        <f>IF(A143="","",IF(LEFT(TRIM(A143),5)="Leave","Leave",IF(OR(ISNUMBER(SEARCH("public holiday",A143)),ISNUMBER(SEARCH("Purple",E143))),"Public holiday","Event")))</f>
        <v/>
      </c>
    </row>
    <row r="144">
      <c r="G144" s="254">
        <f>IF(C144="","",IF(ISNUMBER(C144),C144,IF(ISNUMBER(VALUE(LEFT(TRIM(C144),1))),TRIM(C144),TRIM(MID(TRIM(C144),FIND(" ",TRIM(C144))+1,99)))))</f>
        <v/>
      </c>
      <c r="H144" s="254">
        <f>IF(D144="","",IF(ISNUMBER(D144),D144,IF(ISNUMBER(VALUE(LEFT(TRIM(D144),1))),TRIM(D144),TRIM(MID(TRIM(D144),FIND(" ",TRIM(D144))+1,99)))))</f>
        <v/>
      </c>
      <c r="I144" s="255">
        <f>IF(G144="",0,IF(ISNUMBER(G144),G144,IFERROR(DATE(VALUE(MID(G144,FIND("/",G144,FIND("/",G144)+1)+1,4)),VALUE(MID(G144,FIND("/",G144)+1,FIND("/",G144,FIND("/",G144)+1)-FIND("/",G144)-1)),VALUE(LEFT(G144,FIND("/",G144)-1)))+IFERROR(TIMEVALUE(TRIM(MID(G144,FIND(" ",G144)+1,20))),0),0)))</f>
        <v/>
      </c>
      <c r="J144" s="255">
        <f>IF(H144="",0,IF(ISNUMBER(H144),H144,IFERROR(DATE(VALUE(MID(H144,FIND("/",H144,FIND("/",H144)+1)+1,4)),VALUE(MID(H144,FIND("/",H144)+1,FIND("/",H144,FIND("/",H144)+1)-FIND("/",H144)-1)),VALUE(LEFT(H144,FIND("/",H144)-1)))+IFERROR(TIMEVALUE(TRIM(MID(H144,FIND(" ",H144)+1,20))),0),0)))</f>
        <v/>
      </c>
      <c r="K144" s="256">
        <f>IF(I144=0,0,INT(I144))</f>
        <v/>
      </c>
      <c r="L144" s="257">
        <f>IF(OR(I144=0,J144=0),0,ROUND((J144-I144)*24,2))</f>
        <v/>
      </c>
      <c r="M144" s="254">
        <f>IFERROR(TRIM(MID(A144,FIND("@",SUBSTITUTE(A144,"(","@",LEN(A144)-LEN(SUBSTITUTE(A144,"(",""))))+1,FIND(")",A144,FIND("@",SUBSTITUTE(A144,"(","@",LEN(A144)-LEN(SUBSTITUTE(A144,"(","")))))-FIND("@",SUBSTITUTE(A144,"(","@",LEN(A144)-LEN(SUBSTITUTE(A144,"(",""))))-1)),"")</f>
        <v/>
      </c>
      <c r="N144" s="254">
        <f>IF(A144="","",IF(LEFT(TRIM(A144),5)="Leave","Leave",IF(OR(ISNUMBER(SEARCH("public holiday",A144)),ISNUMBER(SEARCH("Purple",E144))),"Public holiday","Event")))</f>
        <v/>
      </c>
    </row>
    <row r="145">
      <c r="G145" s="254">
        <f>IF(C145="","",IF(ISNUMBER(C145),C145,IF(ISNUMBER(VALUE(LEFT(TRIM(C145),1))),TRIM(C145),TRIM(MID(TRIM(C145),FIND(" ",TRIM(C145))+1,99)))))</f>
        <v/>
      </c>
      <c r="H145" s="254">
        <f>IF(D145="","",IF(ISNUMBER(D145),D145,IF(ISNUMBER(VALUE(LEFT(TRIM(D145),1))),TRIM(D145),TRIM(MID(TRIM(D145),FIND(" ",TRIM(D145))+1,99)))))</f>
        <v/>
      </c>
      <c r="I145" s="255">
        <f>IF(G145="",0,IF(ISNUMBER(G145),G145,IFERROR(DATE(VALUE(MID(G145,FIND("/",G145,FIND("/",G145)+1)+1,4)),VALUE(MID(G145,FIND("/",G145)+1,FIND("/",G145,FIND("/",G145)+1)-FIND("/",G145)-1)),VALUE(LEFT(G145,FIND("/",G145)-1)))+IFERROR(TIMEVALUE(TRIM(MID(G145,FIND(" ",G145)+1,20))),0),0)))</f>
        <v/>
      </c>
      <c r="J145" s="255">
        <f>IF(H145="",0,IF(ISNUMBER(H145),H145,IFERROR(DATE(VALUE(MID(H145,FIND("/",H145,FIND("/",H145)+1)+1,4)),VALUE(MID(H145,FIND("/",H145)+1,FIND("/",H145,FIND("/",H145)+1)-FIND("/",H145)-1)),VALUE(LEFT(H145,FIND("/",H145)-1)))+IFERROR(TIMEVALUE(TRIM(MID(H145,FIND(" ",H145)+1,20))),0),0)))</f>
        <v/>
      </c>
      <c r="K145" s="256">
        <f>IF(I145=0,0,INT(I145))</f>
        <v/>
      </c>
      <c r="L145" s="257">
        <f>IF(OR(I145=0,J145=0),0,ROUND((J145-I145)*24,2))</f>
        <v/>
      </c>
      <c r="M145" s="254">
        <f>IFERROR(TRIM(MID(A145,FIND("@",SUBSTITUTE(A145,"(","@",LEN(A145)-LEN(SUBSTITUTE(A145,"(",""))))+1,FIND(")",A145,FIND("@",SUBSTITUTE(A145,"(","@",LEN(A145)-LEN(SUBSTITUTE(A145,"(","")))))-FIND("@",SUBSTITUTE(A145,"(","@",LEN(A145)-LEN(SUBSTITUTE(A145,"(",""))))-1)),"")</f>
        <v/>
      </c>
      <c r="N145" s="254">
        <f>IF(A145="","",IF(LEFT(TRIM(A145),5)="Leave","Leave",IF(OR(ISNUMBER(SEARCH("public holiday",A145)),ISNUMBER(SEARCH("Purple",E145))),"Public holiday","Event")))</f>
        <v/>
      </c>
    </row>
    <row r="146">
      <c r="G146" s="254">
        <f>IF(C146="","",IF(ISNUMBER(C146),C146,IF(ISNUMBER(VALUE(LEFT(TRIM(C146),1))),TRIM(C146),TRIM(MID(TRIM(C146),FIND(" ",TRIM(C146))+1,99)))))</f>
        <v/>
      </c>
      <c r="H146" s="254">
        <f>IF(D146="","",IF(ISNUMBER(D146),D146,IF(ISNUMBER(VALUE(LEFT(TRIM(D146),1))),TRIM(D146),TRIM(MID(TRIM(D146),FIND(" ",TRIM(D146))+1,99)))))</f>
        <v/>
      </c>
      <c r="I146" s="255">
        <f>IF(G146="",0,IF(ISNUMBER(G146),G146,IFERROR(DATE(VALUE(MID(G146,FIND("/",G146,FIND("/",G146)+1)+1,4)),VALUE(MID(G146,FIND("/",G146)+1,FIND("/",G146,FIND("/",G146)+1)-FIND("/",G146)-1)),VALUE(LEFT(G146,FIND("/",G146)-1)))+IFERROR(TIMEVALUE(TRIM(MID(G146,FIND(" ",G146)+1,20))),0),0)))</f>
        <v/>
      </c>
      <c r="J146" s="255">
        <f>IF(H146="",0,IF(ISNUMBER(H146),H146,IFERROR(DATE(VALUE(MID(H146,FIND("/",H146,FIND("/",H146)+1)+1,4)),VALUE(MID(H146,FIND("/",H146)+1,FIND("/",H146,FIND("/",H146)+1)-FIND("/",H146)-1)),VALUE(LEFT(H146,FIND("/",H146)-1)))+IFERROR(TIMEVALUE(TRIM(MID(H146,FIND(" ",H146)+1,20))),0),0)))</f>
        <v/>
      </c>
      <c r="K146" s="256">
        <f>IF(I146=0,0,INT(I146))</f>
        <v/>
      </c>
      <c r="L146" s="257">
        <f>IF(OR(I146=0,J146=0),0,ROUND((J146-I146)*24,2))</f>
        <v/>
      </c>
      <c r="M146" s="254">
        <f>IFERROR(TRIM(MID(A146,FIND("@",SUBSTITUTE(A146,"(","@",LEN(A146)-LEN(SUBSTITUTE(A146,"(",""))))+1,FIND(")",A146,FIND("@",SUBSTITUTE(A146,"(","@",LEN(A146)-LEN(SUBSTITUTE(A146,"(","")))))-FIND("@",SUBSTITUTE(A146,"(","@",LEN(A146)-LEN(SUBSTITUTE(A146,"(",""))))-1)),"")</f>
        <v/>
      </c>
      <c r="N146" s="254">
        <f>IF(A146="","",IF(LEFT(TRIM(A146),5)="Leave","Leave",IF(OR(ISNUMBER(SEARCH("public holiday",A146)),ISNUMBER(SEARCH("Purple",E146))),"Public holiday","Event")))</f>
        <v/>
      </c>
    </row>
    <row r="147">
      <c r="G147" s="254">
        <f>IF(C147="","",IF(ISNUMBER(C147),C147,IF(ISNUMBER(VALUE(LEFT(TRIM(C147),1))),TRIM(C147),TRIM(MID(TRIM(C147),FIND(" ",TRIM(C147))+1,99)))))</f>
        <v/>
      </c>
      <c r="H147" s="254">
        <f>IF(D147="","",IF(ISNUMBER(D147),D147,IF(ISNUMBER(VALUE(LEFT(TRIM(D147),1))),TRIM(D147),TRIM(MID(TRIM(D147),FIND(" ",TRIM(D147))+1,99)))))</f>
        <v/>
      </c>
      <c r="I147" s="255">
        <f>IF(G147="",0,IF(ISNUMBER(G147),G147,IFERROR(DATE(VALUE(MID(G147,FIND("/",G147,FIND("/",G147)+1)+1,4)),VALUE(MID(G147,FIND("/",G147)+1,FIND("/",G147,FIND("/",G147)+1)-FIND("/",G147)-1)),VALUE(LEFT(G147,FIND("/",G147)-1)))+IFERROR(TIMEVALUE(TRIM(MID(G147,FIND(" ",G147)+1,20))),0),0)))</f>
        <v/>
      </c>
      <c r="J147" s="255">
        <f>IF(H147="",0,IF(ISNUMBER(H147),H147,IFERROR(DATE(VALUE(MID(H147,FIND("/",H147,FIND("/",H147)+1)+1,4)),VALUE(MID(H147,FIND("/",H147)+1,FIND("/",H147,FIND("/",H147)+1)-FIND("/",H147)-1)),VALUE(LEFT(H147,FIND("/",H147)-1)))+IFERROR(TIMEVALUE(TRIM(MID(H147,FIND(" ",H147)+1,20))),0),0)))</f>
        <v/>
      </c>
      <c r="K147" s="256">
        <f>IF(I147=0,0,INT(I147))</f>
        <v/>
      </c>
      <c r="L147" s="257">
        <f>IF(OR(I147=0,J147=0),0,ROUND((J147-I147)*24,2))</f>
        <v/>
      </c>
      <c r="M147" s="254">
        <f>IFERROR(TRIM(MID(A147,FIND("@",SUBSTITUTE(A147,"(","@",LEN(A147)-LEN(SUBSTITUTE(A147,"(",""))))+1,FIND(")",A147,FIND("@",SUBSTITUTE(A147,"(","@",LEN(A147)-LEN(SUBSTITUTE(A147,"(","")))))-FIND("@",SUBSTITUTE(A147,"(","@",LEN(A147)-LEN(SUBSTITUTE(A147,"(",""))))-1)),"")</f>
        <v/>
      </c>
      <c r="N147" s="254">
        <f>IF(A147="","",IF(LEFT(TRIM(A147),5)="Leave","Leave",IF(OR(ISNUMBER(SEARCH("public holiday",A147)),ISNUMBER(SEARCH("Purple",E147))),"Public holiday","Event")))</f>
        <v/>
      </c>
    </row>
    <row r="148">
      <c r="G148" s="254">
        <f>IF(C148="","",IF(ISNUMBER(C148),C148,IF(ISNUMBER(VALUE(LEFT(TRIM(C148),1))),TRIM(C148),TRIM(MID(TRIM(C148),FIND(" ",TRIM(C148))+1,99)))))</f>
        <v/>
      </c>
      <c r="H148" s="254">
        <f>IF(D148="","",IF(ISNUMBER(D148),D148,IF(ISNUMBER(VALUE(LEFT(TRIM(D148),1))),TRIM(D148),TRIM(MID(TRIM(D148),FIND(" ",TRIM(D148))+1,99)))))</f>
        <v/>
      </c>
      <c r="I148" s="255">
        <f>IF(G148="",0,IF(ISNUMBER(G148),G148,IFERROR(DATE(VALUE(MID(G148,FIND("/",G148,FIND("/",G148)+1)+1,4)),VALUE(MID(G148,FIND("/",G148)+1,FIND("/",G148,FIND("/",G148)+1)-FIND("/",G148)-1)),VALUE(LEFT(G148,FIND("/",G148)-1)))+IFERROR(TIMEVALUE(TRIM(MID(G148,FIND(" ",G148)+1,20))),0),0)))</f>
        <v/>
      </c>
      <c r="J148" s="255">
        <f>IF(H148="",0,IF(ISNUMBER(H148),H148,IFERROR(DATE(VALUE(MID(H148,FIND("/",H148,FIND("/",H148)+1)+1,4)),VALUE(MID(H148,FIND("/",H148)+1,FIND("/",H148,FIND("/",H148)+1)-FIND("/",H148)-1)),VALUE(LEFT(H148,FIND("/",H148)-1)))+IFERROR(TIMEVALUE(TRIM(MID(H148,FIND(" ",H148)+1,20))),0),0)))</f>
        <v/>
      </c>
      <c r="K148" s="256">
        <f>IF(I148=0,0,INT(I148))</f>
        <v/>
      </c>
      <c r="L148" s="257">
        <f>IF(OR(I148=0,J148=0),0,ROUND((J148-I148)*24,2))</f>
        <v/>
      </c>
      <c r="M148" s="254">
        <f>IFERROR(TRIM(MID(A148,FIND("@",SUBSTITUTE(A148,"(","@",LEN(A148)-LEN(SUBSTITUTE(A148,"(",""))))+1,FIND(")",A148,FIND("@",SUBSTITUTE(A148,"(","@",LEN(A148)-LEN(SUBSTITUTE(A148,"(","")))))-FIND("@",SUBSTITUTE(A148,"(","@",LEN(A148)-LEN(SUBSTITUTE(A148,"(",""))))-1)),"")</f>
        <v/>
      </c>
      <c r="N148" s="254">
        <f>IF(A148="","",IF(LEFT(TRIM(A148),5)="Leave","Leave",IF(OR(ISNUMBER(SEARCH("public holiday",A148)),ISNUMBER(SEARCH("Purple",E148))),"Public holiday","Event")))</f>
        <v/>
      </c>
    </row>
    <row r="149">
      <c r="G149" s="254">
        <f>IF(C149="","",IF(ISNUMBER(C149),C149,IF(ISNUMBER(VALUE(LEFT(TRIM(C149),1))),TRIM(C149),TRIM(MID(TRIM(C149),FIND(" ",TRIM(C149))+1,99)))))</f>
        <v/>
      </c>
      <c r="H149" s="254">
        <f>IF(D149="","",IF(ISNUMBER(D149),D149,IF(ISNUMBER(VALUE(LEFT(TRIM(D149),1))),TRIM(D149),TRIM(MID(TRIM(D149),FIND(" ",TRIM(D149))+1,99)))))</f>
        <v/>
      </c>
      <c r="I149" s="255">
        <f>IF(G149="",0,IF(ISNUMBER(G149),G149,IFERROR(DATE(VALUE(MID(G149,FIND("/",G149,FIND("/",G149)+1)+1,4)),VALUE(MID(G149,FIND("/",G149)+1,FIND("/",G149,FIND("/",G149)+1)-FIND("/",G149)-1)),VALUE(LEFT(G149,FIND("/",G149)-1)))+IFERROR(TIMEVALUE(TRIM(MID(G149,FIND(" ",G149)+1,20))),0),0)))</f>
        <v/>
      </c>
      <c r="J149" s="255">
        <f>IF(H149="",0,IF(ISNUMBER(H149),H149,IFERROR(DATE(VALUE(MID(H149,FIND("/",H149,FIND("/",H149)+1)+1,4)),VALUE(MID(H149,FIND("/",H149)+1,FIND("/",H149,FIND("/",H149)+1)-FIND("/",H149)-1)),VALUE(LEFT(H149,FIND("/",H149)-1)))+IFERROR(TIMEVALUE(TRIM(MID(H149,FIND(" ",H149)+1,20))),0),0)))</f>
        <v/>
      </c>
      <c r="K149" s="256">
        <f>IF(I149=0,0,INT(I149))</f>
        <v/>
      </c>
      <c r="L149" s="257">
        <f>IF(OR(I149=0,J149=0),0,ROUND((J149-I149)*24,2))</f>
        <v/>
      </c>
      <c r="M149" s="254">
        <f>IFERROR(TRIM(MID(A149,FIND("@",SUBSTITUTE(A149,"(","@",LEN(A149)-LEN(SUBSTITUTE(A149,"(",""))))+1,FIND(")",A149,FIND("@",SUBSTITUTE(A149,"(","@",LEN(A149)-LEN(SUBSTITUTE(A149,"(","")))))-FIND("@",SUBSTITUTE(A149,"(","@",LEN(A149)-LEN(SUBSTITUTE(A149,"(",""))))-1)),"")</f>
        <v/>
      </c>
      <c r="N149" s="254">
        <f>IF(A149="","",IF(LEFT(TRIM(A149),5)="Leave","Leave",IF(OR(ISNUMBER(SEARCH("public holiday",A149)),ISNUMBER(SEARCH("Purple",E149))),"Public holiday","Event")))</f>
        <v/>
      </c>
    </row>
    <row r="150">
      <c r="G150" s="254">
        <f>IF(C150="","",IF(ISNUMBER(C150),C150,IF(ISNUMBER(VALUE(LEFT(TRIM(C150),1))),TRIM(C150),TRIM(MID(TRIM(C150),FIND(" ",TRIM(C150))+1,99)))))</f>
        <v/>
      </c>
      <c r="H150" s="254">
        <f>IF(D150="","",IF(ISNUMBER(D150),D150,IF(ISNUMBER(VALUE(LEFT(TRIM(D150),1))),TRIM(D150),TRIM(MID(TRIM(D150),FIND(" ",TRIM(D150))+1,99)))))</f>
        <v/>
      </c>
      <c r="I150" s="255">
        <f>IF(G150="",0,IF(ISNUMBER(G150),G150,IFERROR(DATE(VALUE(MID(G150,FIND("/",G150,FIND("/",G150)+1)+1,4)),VALUE(MID(G150,FIND("/",G150)+1,FIND("/",G150,FIND("/",G150)+1)-FIND("/",G150)-1)),VALUE(LEFT(G150,FIND("/",G150)-1)))+IFERROR(TIMEVALUE(TRIM(MID(G150,FIND(" ",G150)+1,20))),0),0)))</f>
        <v/>
      </c>
      <c r="J150" s="255">
        <f>IF(H150="",0,IF(ISNUMBER(H150),H150,IFERROR(DATE(VALUE(MID(H150,FIND("/",H150,FIND("/",H150)+1)+1,4)),VALUE(MID(H150,FIND("/",H150)+1,FIND("/",H150,FIND("/",H150)+1)-FIND("/",H150)-1)),VALUE(LEFT(H150,FIND("/",H150)-1)))+IFERROR(TIMEVALUE(TRIM(MID(H150,FIND(" ",H150)+1,20))),0),0)))</f>
        <v/>
      </c>
      <c r="K150" s="256">
        <f>IF(I150=0,0,INT(I150))</f>
        <v/>
      </c>
      <c r="L150" s="257">
        <f>IF(OR(I150=0,J150=0),0,ROUND((J150-I150)*24,2))</f>
        <v/>
      </c>
      <c r="M150" s="254">
        <f>IFERROR(TRIM(MID(A150,FIND("@",SUBSTITUTE(A150,"(","@",LEN(A150)-LEN(SUBSTITUTE(A150,"(",""))))+1,FIND(")",A150,FIND("@",SUBSTITUTE(A150,"(","@",LEN(A150)-LEN(SUBSTITUTE(A150,"(","")))))-FIND("@",SUBSTITUTE(A150,"(","@",LEN(A150)-LEN(SUBSTITUTE(A150,"(",""))))-1)),"")</f>
        <v/>
      </c>
      <c r="N150" s="254">
        <f>IF(A150="","",IF(LEFT(TRIM(A150),5)="Leave","Leave",IF(OR(ISNUMBER(SEARCH("public holiday",A150)),ISNUMBER(SEARCH("Purple",E150))),"Public holiday","Event")))</f>
        <v/>
      </c>
    </row>
    <row r="151">
      <c r="G151" s="254">
        <f>IF(C151="","",IF(ISNUMBER(C151),C151,IF(ISNUMBER(VALUE(LEFT(TRIM(C151),1))),TRIM(C151),TRIM(MID(TRIM(C151),FIND(" ",TRIM(C151))+1,99)))))</f>
        <v/>
      </c>
      <c r="H151" s="254">
        <f>IF(D151="","",IF(ISNUMBER(D151),D151,IF(ISNUMBER(VALUE(LEFT(TRIM(D151),1))),TRIM(D151),TRIM(MID(TRIM(D151),FIND(" ",TRIM(D151))+1,99)))))</f>
        <v/>
      </c>
      <c r="I151" s="255">
        <f>IF(G151="",0,IF(ISNUMBER(G151),G151,IFERROR(DATE(VALUE(MID(G151,FIND("/",G151,FIND("/",G151)+1)+1,4)),VALUE(MID(G151,FIND("/",G151)+1,FIND("/",G151,FIND("/",G151)+1)-FIND("/",G151)-1)),VALUE(LEFT(G151,FIND("/",G151)-1)))+IFERROR(TIMEVALUE(TRIM(MID(G151,FIND(" ",G151)+1,20))),0),0)))</f>
        <v/>
      </c>
      <c r="J151" s="255">
        <f>IF(H151="",0,IF(ISNUMBER(H151),H151,IFERROR(DATE(VALUE(MID(H151,FIND("/",H151,FIND("/",H151)+1)+1,4)),VALUE(MID(H151,FIND("/",H151)+1,FIND("/",H151,FIND("/",H151)+1)-FIND("/",H151)-1)),VALUE(LEFT(H151,FIND("/",H151)-1)))+IFERROR(TIMEVALUE(TRIM(MID(H151,FIND(" ",H151)+1,20))),0),0)))</f>
        <v/>
      </c>
      <c r="K151" s="256">
        <f>IF(I151=0,0,INT(I151))</f>
        <v/>
      </c>
      <c r="L151" s="257">
        <f>IF(OR(I151=0,J151=0),0,ROUND((J151-I151)*24,2))</f>
        <v/>
      </c>
      <c r="M151" s="254">
        <f>IFERROR(TRIM(MID(A151,FIND("@",SUBSTITUTE(A151,"(","@",LEN(A151)-LEN(SUBSTITUTE(A151,"(",""))))+1,FIND(")",A151,FIND("@",SUBSTITUTE(A151,"(","@",LEN(A151)-LEN(SUBSTITUTE(A151,"(","")))))-FIND("@",SUBSTITUTE(A151,"(","@",LEN(A151)-LEN(SUBSTITUTE(A151,"(",""))))-1)),"")</f>
        <v/>
      </c>
      <c r="N151" s="254">
        <f>IF(A151="","",IF(LEFT(TRIM(A151),5)="Leave","Leave",IF(OR(ISNUMBER(SEARCH("public holiday",A151)),ISNUMBER(SEARCH("Purple",E151))),"Public holiday","Event")))</f>
        <v/>
      </c>
    </row>
    <row r="152">
      <c r="G152" s="254">
        <f>IF(C152="","",IF(ISNUMBER(C152),C152,IF(ISNUMBER(VALUE(LEFT(TRIM(C152),1))),TRIM(C152),TRIM(MID(TRIM(C152),FIND(" ",TRIM(C152))+1,99)))))</f>
        <v/>
      </c>
      <c r="H152" s="254">
        <f>IF(D152="","",IF(ISNUMBER(D152),D152,IF(ISNUMBER(VALUE(LEFT(TRIM(D152),1))),TRIM(D152),TRIM(MID(TRIM(D152),FIND(" ",TRIM(D152))+1,99)))))</f>
        <v/>
      </c>
      <c r="I152" s="255">
        <f>IF(G152="",0,IF(ISNUMBER(G152),G152,IFERROR(DATE(VALUE(MID(G152,FIND("/",G152,FIND("/",G152)+1)+1,4)),VALUE(MID(G152,FIND("/",G152)+1,FIND("/",G152,FIND("/",G152)+1)-FIND("/",G152)-1)),VALUE(LEFT(G152,FIND("/",G152)-1)))+IFERROR(TIMEVALUE(TRIM(MID(G152,FIND(" ",G152)+1,20))),0),0)))</f>
        <v/>
      </c>
      <c r="J152" s="255">
        <f>IF(H152="",0,IF(ISNUMBER(H152),H152,IFERROR(DATE(VALUE(MID(H152,FIND("/",H152,FIND("/",H152)+1)+1,4)),VALUE(MID(H152,FIND("/",H152)+1,FIND("/",H152,FIND("/",H152)+1)-FIND("/",H152)-1)),VALUE(LEFT(H152,FIND("/",H152)-1)))+IFERROR(TIMEVALUE(TRIM(MID(H152,FIND(" ",H152)+1,20))),0),0)))</f>
        <v/>
      </c>
      <c r="K152" s="256">
        <f>IF(I152=0,0,INT(I152))</f>
        <v/>
      </c>
      <c r="L152" s="257">
        <f>IF(OR(I152=0,J152=0),0,ROUND((J152-I152)*24,2))</f>
        <v/>
      </c>
      <c r="M152" s="254">
        <f>IFERROR(TRIM(MID(A152,FIND("@",SUBSTITUTE(A152,"(","@",LEN(A152)-LEN(SUBSTITUTE(A152,"(",""))))+1,FIND(")",A152,FIND("@",SUBSTITUTE(A152,"(","@",LEN(A152)-LEN(SUBSTITUTE(A152,"(","")))))-FIND("@",SUBSTITUTE(A152,"(","@",LEN(A152)-LEN(SUBSTITUTE(A152,"(",""))))-1)),"")</f>
        <v/>
      </c>
      <c r="N152" s="254">
        <f>IF(A152="","",IF(LEFT(TRIM(A152),5)="Leave","Leave",IF(OR(ISNUMBER(SEARCH("public holiday",A152)),ISNUMBER(SEARCH("Purple",E152))),"Public holiday","Event")))</f>
        <v/>
      </c>
    </row>
    <row r="153">
      <c r="G153" s="254">
        <f>IF(C153="","",IF(ISNUMBER(C153),C153,IF(ISNUMBER(VALUE(LEFT(TRIM(C153),1))),TRIM(C153),TRIM(MID(TRIM(C153),FIND(" ",TRIM(C153))+1,99)))))</f>
        <v/>
      </c>
      <c r="H153" s="254">
        <f>IF(D153="","",IF(ISNUMBER(D153),D153,IF(ISNUMBER(VALUE(LEFT(TRIM(D153),1))),TRIM(D153),TRIM(MID(TRIM(D153),FIND(" ",TRIM(D153))+1,99)))))</f>
        <v/>
      </c>
      <c r="I153" s="255">
        <f>IF(G153="",0,IF(ISNUMBER(G153),G153,IFERROR(DATE(VALUE(MID(G153,FIND("/",G153,FIND("/",G153)+1)+1,4)),VALUE(MID(G153,FIND("/",G153)+1,FIND("/",G153,FIND("/",G153)+1)-FIND("/",G153)-1)),VALUE(LEFT(G153,FIND("/",G153)-1)))+IFERROR(TIMEVALUE(TRIM(MID(G153,FIND(" ",G153)+1,20))),0),0)))</f>
        <v/>
      </c>
      <c r="J153" s="255">
        <f>IF(H153="",0,IF(ISNUMBER(H153),H153,IFERROR(DATE(VALUE(MID(H153,FIND("/",H153,FIND("/",H153)+1)+1,4)),VALUE(MID(H153,FIND("/",H153)+1,FIND("/",H153,FIND("/",H153)+1)-FIND("/",H153)-1)),VALUE(LEFT(H153,FIND("/",H153)-1)))+IFERROR(TIMEVALUE(TRIM(MID(H153,FIND(" ",H153)+1,20))),0),0)))</f>
        <v/>
      </c>
      <c r="K153" s="256">
        <f>IF(I153=0,0,INT(I153))</f>
        <v/>
      </c>
      <c r="L153" s="257">
        <f>IF(OR(I153=0,J153=0),0,ROUND((J153-I153)*24,2))</f>
        <v/>
      </c>
      <c r="M153" s="254">
        <f>IFERROR(TRIM(MID(A153,FIND("@",SUBSTITUTE(A153,"(","@",LEN(A153)-LEN(SUBSTITUTE(A153,"(",""))))+1,FIND(")",A153,FIND("@",SUBSTITUTE(A153,"(","@",LEN(A153)-LEN(SUBSTITUTE(A153,"(","")))))-FIND("@",SUBSTITUTE(A153,"(","@",LEN(A153)-LEN(SUBSTITUTE(A153,"(",""))))-1)),"")</f>
        <v/>
      </c>
      <c r="N153" s="254">
        <f>IF(A153="","",IF(LEFT(TRIM(A153),5)="Leave","Leave",IF(OR(ISNUMBER(SEARCH("public holiday",A153)),ISNUMBER(SEARCH("Purple",E153))),"Public holiday","Event")))</f>
        <v/>
      </c>
    </row>
    <row r="154">
      <c r="G154" s="254">
        <f>IF(C154="","",IF(ISNUMBER(C154),C154,IF(ISNUMBER(VALUE(LEFT(TRIM(C154),1))),TRIM(C154),TRIM(MID(TRIM(C154),FIND(" ",TRIM(C154))+1,99)))))</f>
        <v/>
      </c>
      <c r="H154" s="254">
        <f>IF(D154="","",IF(ISNUMBER(D154),D154,IF(ISNUMBER(VALUE(LEFT(TRIM(D154),1))),TRIM(D154),TRIM(MID(TRIM(D154),FIND(" ",TRIM(D154))+1,99)))))</f>
        <v/>
      </c>
      <c r="I154" s="255">
        <f>IF(G154="",0,IF(ISNUMBER(G154),G154,IFERROR(DATE(VALUE(MID(G154,FIND("/",G154,FIND("/",G154)+1)+1,4)),VALUE(MID(G154,FIND("/",G154)+1,FIND("/",G154,FIND("/",G154)+1)-FIND("/",G154)-1)),VALUE(LEFT(G154,FIND("/",G154)-1)))+IFERROR(TIMEVALUE(TRIM(MID(G154,FIND(" ",G154)+1,20))),0),0)))</f>
        <v/>
      </c>
      <c r="J154" s="255">
        <f>IF(H154="",0,IF(ISNUMBER(H154),H154,IFERROR(DATE(VALUE(MID(H154,FIND("/",H154,FIND("/",H154)+1)+1,4)),VALUE(MID(H154,FIND("/",H154)+1,FIND("/",H154,FIND("/",H154)+1)-FIND("/",H154)-1)),VALUE(LEFT(H154,FIND("/",H154)-1)))+IFERROR(TIMEVALUE(TRIM(MID(H154,FIND(" ",H154)+1,20))),0),0)))</f>
        <v/>
      </c>
      <c r="K154" s="256">
        <f>IF(I154=0,0,INT(I154))</f>
        <v/>
      </c>
      <c r="L154" s="257">
        <f>IF(OR(I154=0,J154=0),0,ROUND((J154-I154)*24,2))</f>
        <v/>
      </c>
      <c r="M154" s="254">
        <f>IFERROR(TRIM(MID(A154,FIND("@",SUBSTITUTE(A154,"(","@",LEN(A154)-LEN(SUBSTITUTE(A154,"(",""))))+1,FIND(")",A154,FIND("@",SUBSTITUTE(A154,"(","@",LEN(A154)-LEN(SUBSTITUTE(A154,"(","")))))-FIND("@",SUBSTITUTE(A154,"(","@",LEN(A154)-LEN(SUBSTITUTE(A154,"(",""))))-1)),"")</f>
        <v/>
      </c>
      <c r="N154" s="254">
        <f>IF(A154="","",IF(LEFT(TRIM(A154),5)="Leave","Leave",IF(OR(ISNUMBER(SEARCH("public holiday",A154)),ISNUMBER(SEARCH("Purple",E154))),"Public holiday","Event")))</f>
        <v/>
      </c>
    </row>
    <row r="155">
      <c r="G155" s="254">
        <f>IF(C155="","",IF(ISNUMBER(C155),C155,IF(ISNUMBER(VALUE(LEFT(TRIM(C155),1))),TRIM(C155),TRIM(MID(TRIM(C155),FIND(" ",TRIM(C155))+1,99)))))</f>
        <v/>
      </c>
      <c r="H155" s="254">
        <f>IF(D155="","",IF(ISNUMBER(D155),D155,IF(ISNUMBER(VALUE(LEFT(TRIM(D155),1))),TRIM(D155),TRIM(MID(TRIM(D155),FIND(" ",TRIM(D155))+1,99)))))</f>
        <v/>
      </c>
      <c r="I155" s="255">
        <f>IF(G155="",0,IF(ISNUMBER(G155),G155,IFERROR(DATE(VALUE(MID(G155,FIND("/",G155,FIND("/",G155)+1)+1,4)),VALUE(MID(G155,FIND("/",G155)+1,FIND("/",G155,FIND("/",G155)+1)-FIND("/",G155)-1)),VALUE(LEFT(G155,FIND("/",G155)-1)))+IFERROR(TIMEVALUE(TRIM(MID(G155,FIND(" ",G155)+1,20))),0),0)))</f>
        <v/>
      </c>
      <c r="J155" s="255">
        <f>IF(H155="",0,IF(ISNUMBER(H155),H155,IFERROR(DATE(VALUE(MID(H155,FIND("/",H155,FIND("/",H155)+1)+1,4)),VALUE(MID(H155,FIND("/",H155)+1,FIND("/",H155,FIND("/",H155)+1)-FIND("/",H155)-1)),VALUE(LEFT(H155,FIND("/",H155)-1)))+IFERROR(TIMEVALUE(TRIM(MID(H155,FIND(" ",H155)+1,20))),0),0)))</f>
        <v/>
      </c>
      <c r="K155" s="256">
        <f>IF(I155=0,0,INT(I155))</f>
        <v/>
      </c>
      <c r="L155" s="257">
        <f>IF(OR(I155=0,J155=0),0,ROUND((J155-I155)*24,2))</f>
        <v/>
      </c>
      <c r="M155" s="254">
        <f>IFERROR(TRIM(MID(A155,FIND("@",SUBSTITUTE(A155,"(","@",LEN(A155)-LEN(SUBSTITUTE(A155,"(",""))))+1,FIND(")",A155,FIND("@",SUBSTITUTE(A155,"(","@",LEN(A155)-LEN(SUBSTITUTE(A155,"(","")))))-FIND("@",SUBSTITUTE(A155,"(","@",LEN(A155)-LEN(SUBSTITUTE(A155,"(",""))))-1)),"")</f>
        <v/>
      </c>
      <c r="N155" s="254">
        <f>IF(A155="","",IF(LEFT(TRIM(A155),5)="Leave","Leave",IF(OR(ISNUMBER(SEARCH("public holiday",A155)),ISNUMBER(SEARCH("Purple",E155))),"Public holiday","Event")))</f>
        <v/>
      </c>
    </row>
    <row r="156">
      <c r="G156" s="254">
        <f>IF(C156="","",IF(ISNUMBER(C156),C156,IF(ISNUMBER(VALUE(LEFT(TRIM(C156),1))),TRIM(C156),TRIM(MID(TRIM(C156),FIND(" ",TRIM(C156))+1,99)))))</f>
        <v/>
      </c>
      <c r="H156" s="254">
        <f>IF(D156="","",IF(ISNUMBER(D156),D156,IF(ISNUMBER(VALUE(LEFT(TRIM(D156),1))),TRIM(D156),TRIM(MID(TRIM(D156),FIND(" ",TRIM(D156))+1,99)))))</f>
        <v/>
      </c>
      <c r="I156" s="255">
        <f>IF(G156="",0,IF(ISNUMBER(G156),G156,IFERROR(DATE(VALUE(MID(G156,FIND("/",G156,FIND("/",G156)+1)+1,4)),VALUE(MID(G156,FIND("/",G156)+1,FIND("/",G156,FIND("/",G156)+1)-FIND("/",G156)-1)),VALUE(LEFT(G156,FIND("/",G156)-1)))+IFERROR(TIMEVALUE(TRIM(MID(G156,FIND(" ",G156)+1,20))),0),0)))</f>
        <v/>
      </c>
      <c r="J156" s="255">
        <f>IF(H156="",0,IF(ISNUMBER(H156),H156,IFERROR(DATE(VALUE(MID(H156,FIND("/",H156,FIND("/",H156)+1)+1,4)),VALUE(MID(H156,FIND("/",H156)+1,FIND("/",H156,FIND("/",H156)+1)-FIND("/",H156)-1)),VALUE(LEFT(H156,FIND("/",H156)-1)))+IFERROR(TIMEVALUE(TRIM(MID(H156,FIND(" ",H156)+1,20))),0),0)))</f>
        <v/>
      </c>
      <c r="K156" s="256">
        <f>IF(I156=0,0,INT(I156))</f>
        <v/>
      </c>
      <c r="L156" s="257">
        <f>IF(OR(I156=0,J156=0),0,ROUND((J156-I156)*24,2))</f>
        <v/>
      </c>
      <c r="M156" s="254">
        <f>IFERROR(TRIM(MID(A156,FIND("@",SUBSTITUTE(A156,"(","@",LEN(A156)-LEN(SUBSTITUTE(A156,"(",""))))+1,FIND(")",A156,FIND("@",SUBSTITUTE(A156,"(","@",LEN(A156)-LEN(SUBSTITUTE(A156,"(","")))))-FIND("@",SUBSTITUTE(A156,"(","@",LEN(A156)-LEN(SUBSTITUTE(A156,"(",""))))-1)),"")</f>
        <v/>
      </c>
      <c r="N156" s="254">
        <f>IF(A156="","",IF(LEFT(TRIM(A156),5)="Leave","Leave",IF(OR(ISNUMBER(SEARCH("public holiday",A156)),ISNUMBER(SEARCH("Purple",E156))),"Public holiday","Event")))</f>
        <v/>
      </c>
    </row>
    <row r="157">
      <c r="G157" s="254">
        <f>IF(C157="","",IF(ISNUMBER(C157),C157,IF(ISNUMBER(VALUE(LEFT(TRIM(C157),1))),TRIM(C157),TRIM(MID(TRIM(C157),FIND(" ",TRIM(C157))+1,99)))))</f>
        <v/>
      </c>
      <c r="H157" s="254">
        <f>IF(D157="","",IF(ISNUMBER(D157),D157,IF(ISNUMBER(VALUE(LEFT(TRIM(D157),1))),TRIM(D157),TRIM(MID(TRIM(D157),FIND(" ",TRIM(D157))+1,99)))))</f>
        <v/>
      </c>
      <c r="I157" s="255">
        <f>IF(G157="",0,IF(ISNUMBER(G157),G157,IFERROR(DATE(VALUE(MID(G157,FIND("/",G157,FIND("/",G157)+1)+1,4)),VALUE(MID(G157,FIND("/",G157)+1,FIND("/",G157,FIND("/",G157)+1)-FIND("/",G157)-1)),VALUE(LEFT(G157,FIND("/",G157)-1)))+IFERROR(TIMEVALUE(TRIM(MID(G157,FIND(" ",G157)+1,20))),0),0)))</f>
        <v/>
      </c>
      <c r="J157" s="255">
        <f>IF(H157="",0,IF(ISNUMBER(H157),H157,IFERROR(DATE(VALUE(MID(H157,FIND("/",H157,FIND("/",H157)+1)+1,4)),VALUE(MID(H157,FIND("/",H157)+1,FIND("/",H157,FIND("/",H157)+1)-FIND("/",H157)-1)),VALUE(LEFT(H157,FIND("/",H157)-1)))+IFERROR(TIMEVALUE(TRIM(MID(H157,FIND(" ",H157)+1,20))),0),0)))</f>
        <v/>
      </c>
      <c r="K157" s="256">
        <f>IF(I157=0,0,INT(I157))</f>
        <v/>
      </c>
      <c r="L157" s="257">
        <f>IF(OR(I157=0,J157=0),0,ROUND((J157-I157)*24,2))</f>
        <v/>
      </c>
      <c r="M157" s="254">
        <f>IFERROR(TRIM(MID(A157,FIND("@",SUBSTITUTE(A157,"(","@",LEN(A157)-LEN(SUBSTITUTE(A157,"(",""))))+1,FIND(")",A157,FIND("@",SUBSTITUTE(A157,"(","@",LEN(A157)-LEN(SUBSTITUTE(A157,"(","")))))-FIND("@",SUBSTITUTE(A157,"(","@",LEN(A157)-LEN(SUBSTITUTE(A157,"(",""))))-1)),"")</f>
        <v/>
      </c>
      <c r="N157" s="254">
        <f>IF(A157="","",IF(LEFT(TRIM(A157),5)="Leave","Leave",IF(OR(ISNUMBER(SEARCH("public holiday",A157)),ISNUMBER(SEARCH("Purple",E157))),"Public holiday","Event")))</f>
        <v/>
      </c>
    </row>
    <row r="158">
      <c r="G158" s="254">
        <f>IF(C158="","",IF(ISNUMBER(C158),C158,IF(ISNUMBER(VALUE(LEFT(TRIM(C158),1))),TRIM(C158),TRIM(MID(TRIM(C158),FIND(" ",TRIM(C158))+1,99)))))</f>
        <v/>
      </c>
      <c r="H158" s="254">
        <f>IF(D158="","",IF(ISNUMBER(D158),D158,IF(ISNUMBER(VALUE(LEFT(TRIM(D158),1))),TRIM(D158),TRIM(MID(TRIM(D158),FIND(" ",TRIM(D158))+1,99)))))</f>
        <v/>
      </c>
      <c r="I158" s="255">
        <f>IF(G158="",0,IF(ISNUMBER(G158),G158,IFERROR(DATE(VALUE(MID(G158,FIND("/",G158,FIND("/",G158)+1)+1,4)),VALUE(MID(G158,FIND("/",G158)+1,FIND("/",G158,FIND("/",G158)+1)-FIND("/",G158)-1)),VALUE(LEFT(G158,FIND("/",G158)-1)))+IFERROR(TIMEVALUE(TRIM(MID(G158,FIND(" ",G158)+1,20))),0),0)))</f>
        <v/>
      </c>
      <c r="J158" s="255">
        <f>IF(H158="",0,IF(ISNUMBER(H158),H158,IFERROR(DATE(VALUE(MID(H158,FIND("/",H158,FIND("/",H158)+1)+1,4)),VALUE(MID(H158,FIND("/",H158)+1,FIND("/",H158,FIND("/",H158)+1)-FIND("/",H158)-1)),VALUE(LEFT(H158,FIND("/",H158)-1)))+IFERROR(TIMEVALUE(TRIM(MID(H158,FIND(" ",H158)+1,20))),0),0)))</f>
        <v/>
      </c>
      <c r="K158" s="256">
        <f>IF(I158=0,0,INT(I158))</f>
        <v/>
      </c>
      <c r="L158" s="257">
        <f>IF(OR(I158=0,J158=0),0,ROUND((J158-I158)*24,2))</f>
        <v/>
      </c>
      <c r="M158" s="254">
        <f>IFERROR(TRIM(MID(A158,FIND("@",SUBSTITUTE(A158,"(","@",LEN(A158)-LEN(SUBSTITUTE(A158,"(",""))))+1,FIND(")",A158,FIND("@",SUBSTITUTE(A158,"(","@",LEN(A158)-LEN(SUBSTITUTE(A158,"(","")))))-FIND("@",SUBSTITUTE(A158,"(","@",LEN(A158)-LEN(SUBSTITUTE(A158,"(",""))))-1)),"")</f>
        <v/>
      </c>
      <c r="N158" s="254">
        <f>IF(A158="","",IF(LEFT(TRIM(A158),5)="Leave","Leave",IF(OR(ISNUMBER(SEARCH("public holiday",A158)),ISNUMBER(SEARCH("Purple",E158))),"Public holiday","Event")))</f>
        <v/>
      </c>
    </row>
    <row r="159">
      <c r="G159" s="254">
        <f>IF(C159="","",IF(ISNUMBER(C159),C159,IF(ISNUMBER(VALUE(LEFT(TRIM(C159),1))),TRIM(C159),TRIM(MID(TRIM(C159),FIND(" ",TRIM(C159))+1,99)))))</f>
        <v/>
      </c>
      <c r="H159" s="254">
        <f>IF(D159="","",IF(ISNUMBER(D159),D159,IF(ISNUMBER(VALUE(LEFT(TRIM(D159),1))),TRIM(D159),TRIM(MID(TRIM(D159),FIND(" ",TRIM(D159))+1,99)))))</f>
        <v/>
      </c>
      <c r="I159" s="255">
        <f>IF(G159="",0,IF(ISNUMBER(G159),G159,IFERROR(DATE(VALUE(MID(G159,FIND("/",G159,FIND("/",G159)+1)+1,4)),VALUE(MID(G159,FIND("/",G159)+1,FIND("/",G159,FIND("/",G159)+1)-FIND("/",G159)-1)),VALUE(LEFT(G159,FIND("/",G159)-1)))+IFERROR(TIMEVALUE(TRIM(MID(G159,FIND(" ",G159)+1,20))),0),0)))</f>
        <v/>
      </c>
      <c r="J159" s="255">
        <f>IF(H159="",0,IF(ISNUMBER(H159),H159,IFERROR(DATE(VALUE(MID(H159,FIND("/",H159,FIND("/",H159)+1)+1,4)),VALUE(MID(H159,FIND("/",H159)+1,FIND("/",H159,FIND("/",H159)+1)-FIND("/",H159)-1)),VALUE(LEFT(H159,FIND("/",H159)-1)))+IFERROR(TIMEVALUE(TRIM(MID(H159,FIND(" ",H159)+1,20))),0),0)))</f>
        <v/>
      </c>
      <c r="K159" s="256">
        <f>IF(I159=0,0,INT(I159))</f>
        <v/>
      </c>
      <c r="L159" s="257">
        <f>IF(OR(I159=0,J159=0),0,ROUND((J159-I159)*24,2))</f>
        <v/>
      </c>
      <c r="M159" s="254">
        <f>IFERROR(TRIM(MID(A159,FIND("@",SUBSTITUTE(A159,"(","@",LEN(A159)-LEN(SUBSTITUTE(A159,"(",""))))+1,FIND(")",A159,FIND("@",SUBSTITUTE(A159,"(","@",LEN(A159)-LEN(SUBSTITUTE(A159,"(","")))))-FIND("@",SUBSTITUTE(A159,"(","@",LEN(A159)-LEN(SUBSTITUTE(A159,"(",""))))-1)),"")</f>
        <v/>
      </c>
      <c r="N159" s="254">
        <f>IF(A159="","",IF(LEFT(TRIM(A159),5)="Leave","Leave",IF(OR(ISNUMBER(SEARCH("public holiday",A159)),ISNUMBER(SEARCH("Purple",E159))),"Public holiday","Event")))</f>
        <v/>
      </c>
    </row>
    <row r="160">
      <c r="G160" s="254">
        <f>IF(C160="","",IF(ISNUMBER(C160),C160,IF(ISNUMBER(VALUE(LEFT(TRIM(C160),1))),TRIM(C160),TRIM(MID(TRIM(C160),FIND(" ",TRIM(C160))+1,99)))))</f>
        <v/>
      </c>
      <c r="H160" s="254">
        <f>IF(D160="","",IF(ISNUMBER(D160),D160,IF(ISNUMBER(VALUE(LEFT(TRIM(D160),1))),TRIM(D160),TRIM(MID(TRIM(D160),FIND(" ",TRIM(D160))+1,99)))))</f>
        <v/>
      </c>
      <c r="I160" s="255">
        <f>IF(G160="",0,IF(ISNUMBER(G160),G160,IFERROR(DATE(VALUE(MID(G160,FIND("/",G160,FIND("/",G160)+1)+1,4)),VALUE(MID(G160,FIND("/",G160)+1,FIND("/",G160,FIND("/",G160)+1)-FIND("/",G160)-1)),VALUE(LEFT(G160,FIND("/",G160)-1)))+IFERROR(TIMEVALUE(TRIM(MID(G160,FIND(" ",G160)+1,20))),0),0)))</f>
        <v/>
      </c>
      <c r="J160" s="255">
        <f>IF(H160="",0,IF(ISNUMBER(H160),H160,IFERROR(DATE(VALUE(MID(H160,FIND("/",H160,FIND("/",H160)+1)+1,4)),VALUE(MID(H160,FIND("/",H160)+1,FIND("/",H160,FIND("/",H160)+1)-FIND("/",H160)-1)),VALUE(LEFT(H160,FIND("/",H160)-1)))+IFERROR(TIMEVALUE(TRIM(MID(H160,FIND(" ",H160)+1,20))),0),0)))</f>
        <v/>
      </c>
      <c r="K160" s="256">
        <f>IF(I160=0,0,INT(I160))</f>
        <v/>
      </c>
      <c r="L160" s="257">
        <f>IF(OR(I160=0,J160=0),0,ROUND((J160-I160)*24,2))</f>
        <v/>
      </c>
      <c r="M160" s="254">
        <f>IFERROR(TRIM(MID(A160,FIND("@",SUBSTITUTE(A160,"(","@",LEN(A160)-LEN(SUBSTITUTE(A160,"(",""))))+1,FIND(")",A160,FIND("@",SUBSTITUTE(A160,"(","@",LEN(A160)-LEN(SUBSTITUTE(A160,"(","")))))-FIND("@",SUBSTITUTE(A160,"(","@",LEN(A160)-LEN(SUBSTITUTE(A160,"(",""))))-1)),"")</f>
        <v/>
      </c>
      <c r="N160" s="254">
        <f>IF(A160="","",IF(LEFT(TRIM(A160),5)="Leave","Leave",IF(OR(ISNUMBER(SEARCH("public holiday",A160)),ISNUMBER(SEARCH("Purple",E160))),"Public holiday","Event")))</f>
        <v/>
      </c>
    </row>
    <row r="161">
      <c r="G161" s="254">
        <f>IF(C161="","",IF(ISNUMBER(C161),C161,IF(ISNUMBER(VALUE(LEFT(TRIM(C161),1))),TRIM(C161),TRIM(MID(TRIM(C161),FIND(" ",TRIM(C161))+1,99)))))</f>
        <v/>
      </c>
      <c r="H161" s="254">
        <f>IF(D161="","",IF(ISNUMBER(D161),D161,IF(ISNUMBER(VALUE(LEFT(TRIM(D161),1))),TRIM(D161),TRIM(MID(TRIM(D161),FIND(" ",TRIM(D161))+1,99)))))</f>
        <v/>
      </c>
      <c r="I161" s="255">
        <f>IF(G161="",0,IF(ISNUMBER(G161),G161,IFERROR(DATE(VALUE(MID(G161,FIND("/",G161,FIND("/",G161)+1)+1,4)),VALUE(MID(G161,FIND("/",G161)+1,FIND("/",G161,FIND("/",G161)+1)-FIND("/",G161)-1)),VALUE(LEFT(G161,FIND("/",G161)-1)))+IFERROR(TIMEVALUE(TRIM(MID(G161,FIND(" ",G161)+1,20))),0),0)))</f>
        <v/>
      </c>
      <c r="J161" s="255">
        <f>IF(H161="",0,IF(ISNUMBER(H161),H161,IFERROR(DATE(VALUE(MID(H161,FIND("/",H161,FIND("/",H161)+1)+1,4)),VALUE(MID(H161,FIND("/",H161)+1,FIND("/",H161,FIND("/",H161)+1)-FIND("/",H161)-1)),VALUE(LEFT(H161,FIND("/",H161)-1)))+IFERROR(TIMEVALUE(TRIM(MID(H161,FIND(" ",H161)+1,20))),0),0)))</f>
        <v/>
      </c>
      <c r="K161" s="256">
        <f>IF(I161=0,0,INT(I161))</f>
        <v/>
      </c>
      <c r="L161" s="257">
        <f>IF(OR(I161=0,J161=0),0,ROUND((J161-I161)*24,2))</f>
        <v/>
      </c>
      <c r="M161" s="254">
        <f>IFERROR(TRIM(MID(A161,FIND("@",SUBSTITUTE(A161,"(","@",LEN(A161)-LEN(SUBSTITUTE(A161,"(",""))))+1,FIND(")",A161,FIND("@",SUBSTITUTE(A161,"(","@",LEN(A161)-LEN(SUBSTITUTE(A161,"(","")))))-FIND("@",SUBSTITUTE(A161,"(","@",LEN(A161)-LEN(SUBSTITUTE(A161,"(",""))))-1)),"")</f>
        <v/>
      </c>
      <c r="N161" s="254">
        <f>IF(A161="","",IF(LEFT(TRIM(A161),5)="Leave","Leave",IF(OR(ISNUMBER(SEARCH("public holiday",A161)),ISNUMBER(SEARCH("Purple",E161))),"Public holiday","Event")))</f>
        <v/>
      </c>
    </row>
    <row r="162">
      <c r="G162" s="254">
        <f>IF(C162="","",IF(ISNUMBER(C162),C162,IF(ISNUMBER(VALUE(LEFT(TRIM(C162),1))),TRIM(C162),TRIM(MID(TRIM(C162),FIND(" ",TRIM(C162))+1,99)))))</f>
        <v/>
      </c>
      <c r="H162" s="254">
        <f>IF(D162="","",IF(ISNUMBER(D162),D162,IF(ISNUMBER(VALUE(LEFT(TRIM(D162),1))),TRIM(D162),TRIM(MID(TRIM(D162),FIND(" ",TRIM(D162))+1,99)))))</f>
        <v/>
      </c>
      <c r="I162" s="255">
        <f>IF(G162="",0,IF(ISNUMBER(G162),G162,IFERROR(DATE(VALUE(MID(G162,FIND("/",G162,FIND("/",G162)+1)+1,4)),VALUE(MID(G162,FIND("/",G162)+1,FIND("/",G162,FIND("/",G162)+1)-FIND("/",G162)-1)),VALUE(LEFT(G162,FIND("/",G162)-1)))+IFERROR(TIMEVALUE(TRIM(MID(G162,FIND(" ",G162)+1,20))),0),0)))</f>
        <v/>
      </c>
      <c r="J162" s="255">
        <f>IF(H162="",0,IF(ISNUMBER(H162),H162,IFERROR(DATE(VALUE(MID(H162,FIND("/",H162,FIND("/",H162)+1)+1,4)),VALUE(MID(H162,FIND("/",H162)+1,FIND("/",H162,FIND("/",H162)+1)-FIND("/",H162)-1)),VALUE(LEFT(H162,FIND("/",H162)-1)))+IFERROR(TIMEVALUE(TRIM(MID(H162,FIND(" ",H162)+1,20))),0),0)))</f>
        <v/>
      </c>
      <c r="K162" s="256">
        <f>IF(I162=0,0,INT(I162))</f>
        <v/>
      </c>
      <c r="L162" s="257">
        <f>IF(OR(I162=0,J162=0),0,ROUND((J162-I162)*24,2))</f>
        <v/>
      </c>
      <c r="M162" s="254">
        <f>IFERROR(TRIM(MID(A162,FIND("@",SUBSTITUTE(A162,"(","@",LEN(A162)-LEN(SUBSTITUTE(A162,"(",""))))+1,FIND(")",A162,FIND("@",SUBSTITUTE(A162,"(","@",LEN(A162)-LEN(SUBSTITUTE(A162,"(","")))))-FIND("@",SUBSTITUTE(A162,"(","@",LEN(A162)-LEN(SUBSTITUTE(A162,"(",""))))-1)),"")</f>
        <v/>
      </c>
      <c r="N162" s="254">
        <f>IF(A162="","",IF(LEFT(TRIM(A162),5)="Leave","Leave",IF(OR(ISNUMBER(SEARCH("public holiday",A162)),ISNUMBER(SEARCH("Purple",E162))),"Public holiday","Event")))</f>
        <v/>
      </c>
    </row>
    <row r="163">
      <c r="G163" s="254">
        <f>IF(C163="","",IF(ISNUMBER(C163),C163,IF(ISNUMBER(VALUE(LEFT(TRIM(C163),1))),TRIM(C163),TRIM(MID(TRIM(C163),FIND(" ",TRIM(C163))+1,99)))))</f>
        <v/>
      </c>
      <c r="H163" s="254">
        <f>IF(D163="","",IF(ISNUMBER(D163),D163,IF(ISNUMBER(VALUE(LEFT(TRIM(D163),1))),TRIM(D163),TRIM(MID(TRIM(D163),FIND(" ",TRIM(D163))+1,99)))))</f>
        <v/>
      </c>
      <c r="I163" s="255">
        <f>IF(G163="",0,IF(ISNUMBER(G163),G163,IFERROR(DATE(VALUE(MID(G163,FIND("/",G163,FIND("/",G163)+1)+1,4)),VALUE(MID(G163,FIND("/",G163)+1,FIND("/",G163,FIND("/",G163)+1)-FIND("/",G163)-1)),VALUE(LEFT(G163,FIND("/",G163)-1)))+IFERROR(TIMEVALUE(TRIM(MID(G163,FIND(" ",G163)+1,20))),0),0)))</f>
        <v/>
      </c>
      <c r="J163" s="255">
        <f>IF(H163="",0,IF(ISNUMBER(H163),H163,IFERROR(DATE(VALUE(MID(H163,FIND("/",H163,FIND("/",H163)+1)+1,4)),VALUE(MID(H163,FIND("/",H163)+1,FIND("/",H163,FIND("/",H163)+1)-FIND("/",H163)-1)),VALUE(LEFT(H163,FIND("/",H163)-1)))+IFERROR(TIMEVALUE(TRIM(MID(H163,FIND(" ",H163)+1,20))),0),0)))</f>
        <v/>
      </c>
      <c r="K163" s="256">
        <f>IF(I163=0,0,INT(I163))</f>
        <v/>
      </c>
      <c r="L163" s="257">
        <f>IF(OR(I163=0,J163=0),0,ROUND((J163-I163)*24,2))</f>
        <v/>
      </c>
      <c r="M163" s="254">
        <f>IFERROR(TRIM(MID(A163,FIND("@",SUBSTITUTE(A163,"(","@",LEN(A163)-LEN(SUBSTITUTE(A163,"(",""))))+1,FIND(")",A163,FIND("@",SUBSTITUTE(A163,"(","@",LEN(A163)-LEN(SUBSTITUTE(A163,"(","")))))-FIND("@",SUBSTITUTE(A163,"(","@",LEN(A163)-LEN(SUBSTITUTE(A163,"(",""))))-1)),"")</f>
        <v/>
      </c>
      <c r="N163" s="254">
        <f>IF(A163="","",IF(LEFT(TRIM(A163),5)="Leave","Leave",IF(OR(ISNUMBER(SEARCH("public holiday",A163)),ISNUMBER(SEARCH("Purple",E163))),"Public holiday","Event")))</f>
        <v/>
      </c>
    </row>
    <row r="164">
      <c r="G164" s="254">
        <f>IF(C164="","",IF(ISNUMBER(C164),C164,IF(ISNUMBER(VALUE(LEFT(TRIM(C164),1))),TRIM(C164),TRIM(MID(TRIM(C164),FIND(" ",TRIM(C164))+1,99)))))</f>
        <v/>
      </c>
      <c r="H164" s="254">
        <f>IF(D164="","",IF(ISNUMBER(D164),D164,IF(ISNUMBER(VALUE(LEFT(TRIM(D164),1))),TRIM(D164),TRIM(MID(TRIM(D164),FIND(" ",TRIM(D164))+1,99)))))</f>
        <v/>
      </c>
      <c r="I164" s="255">
        <f>IF(G164="",0,IF(ISNUMBER(G164),G164,IFERROR(DATE(VALUE(MID(G164,FIND("/",G164,FIND("/",G164)+1)+1,4)),VALUE(MID(G164,FIND("/",G164)+1,FIND("/",G164,FIND("/",G164)+1)-FIND("/",G164)-1)),VALUE(LEFT(G164,FIND("/",G164)-1)))+IFERROR(TIMEVALUE(TRIM(MID(G164,FIND(" ",G164)+1,20))),0),0)))</f>
        <v/>
      </c>
      <c r="J164" s="255">
        <f>IF(H164="",0,IF(ISNUMBER(H164),H164,IFERROR(DATE(VALUE(MID(H164,FIND("/",H164,FIND("/",H164)+1)+1,4)),VALUE(MID(H164,FIND("/",H164)+1,FIND("/",H164,FIND("/",H164)+1)-FIND("/",H164)-1)),VALUE(LEFT(H164,FIND("/",H164)-1)))+IFERROR(TIMEVALUE(TRIM(MID(H164,FIND(" ",H164)+1,20))),0),0)))</f>
        <v/>
      </c>
      <c r="K164" s="256">
        <f>IF(I164=0,0,INT(I164))</f>
        <v/>
      </c>
      <c r="L164" s="257">
        <f>IF(OR(I164=0,J164=0),0,ROUND((J164-I164)*24,2))</f>
        <v/>
      </c>
      <c r="M164" s="254">
        <f>IFERROR(TRIM(MID(A164,FIND("@",SUBSTITUTE(A164,"(","@",LEN(A164)-LEN(SUBSTITUTE(A164,"(",""))))+1,FIND(")",A164,FIND("@",SUBSTITUTE(A164,"(","@",LEN(A164)-LEN(SUBSTITUTE(A164,"(","")))))-FIND("@",SUBSTITUTE(A164,"(","@",LEN(A164)-LEN(SUBSTITUTE(A164,"(",""))))-1)),"")</f>
        <v/>
      </c>
      <c r="N164" s="254">
        <f>IF(A164="","",IF(LEFT(TRIM(A164),5)="Leave","Leave",IF(OR(ISNUMBER(SEARCH("public holiday",A164)),ISNUMBER(SEARCH("Purple",E164))),"Public holiday","Event")))</f>
        <v/>
      </c>
    </row>
    <row r="165">
      <c r="G165" s="254">
        <f>IF(C165="","",IF(ISNUMBER(C165),C165,IF(ISNUMBER(VALUE(LEFT(TRIM(C165),1))),TRIM(C165),TRIM(MID(TRIM(C165),FIND(" ",TRIM(C165))+1,99)))))</f>
        <v/>
      </c>
      <c r="H165" s="254">
        <f>IF(D165="","",IF(ISNUMBER(D165),D165,IF(ISNUMBER(VALUE(LEFT(TRIM(D165),1))),TRIM(D165),TRIM(MID(TRIM(D165),FIND(" ",TRIM(D165))+1,99)))))</f>
        <v/>
      </c>
      <c r="I165" s="255">
        <f>IF(G165="",0,IF(ISNUMBER(G165),G165,IFERROR(DATE(VALUE(MID(G165,FIND("/",G165,FIND("/",G165)+1)+1,4)),VALUE(MID(G165,FIND("/",G165)+1,FIND("/",G165,FIND("/",G165)+1)-FIND("/",G165)-1)),VALUE(LEFT(G165,FIND("/",G165)-1)))+IFERROR(TIMEVALUE(TRIM(MID(G165,FIND(" ",G165)+1,20))),0),0)))</f>
        <v/>
      </c>
      <c r="J165" s="255">
        <f>IF(H165="",0,IF(ISNUMBER(H165),H165,IFERROR(DATE(VALUE(MID(H165,FIND("/",H165,FIND("/",H165)+1)+1,4)),VALUE(MID(H165,FIND("/",H165)+1,FIND("/",H165,FIND("/",H165)+1)-FIND("/",H165)-1)),VALUE(LEFT(H165,FIND("/",H165)-1)))+IFERROR(TIMEVALUE(TRIM(MID(H165,FIND(" ",H165)+1,20))),0),0)))</f>
        <v/>
      </c>
      <c r="K165" s="256">
        <f>IF(I165=0,0,INT(I165))</f>
        <v/>
      </c>
      <c r="L165" s="257">
        <f>IF(OR(I165=0,J165=0),0,ROUND((J165-I165)*24,2))</f>
        <v/>
      </c>
      <c r="M165" s="254">
        <f>IFERROR(TRIM(MID(A165,FIND("@",SUBSTITUTE(A165,"(","@",LEN(A165)-LEN(SUBSTITUTE(A165,"(",""))))+1,FIND(")",A165,FIND("@",SUBSTITUTE(A165,"(","@",LEN(A165)-LEN(SUBSTITUTE(A165,"(","")))))-FIND("@",SUBSTITUTE(A165,"(","@",LEN(A165)-LEN(SUBSTITUTE(A165,"(",""))))-1)),"")</f>
        <v/>
      </c>
      <c r="N165" s="254">
        <f>IF(A165="","",IF(LEFT(TRIM(A165),5)="Leave","Leave",IF(OR(ISNUMBER(SEARCH("public holiday",A165)),ISNUMBER(SEARCH("Purple",E165))),"Public holiday","Event")))</f>
        <v/>
      </c>
    </row>
    <row r="166">
      <c r="G166" s="254">
        <f>IF(C166="","",IF(ISNUMBER(C166),C166,IF(ISNUMBER(VALUE(LEFT(TRIM(C166),1))),TRIM(C166),TRIM(MID(TRIM(C166),FIND(" ",TRIM(C166))+1,99)))))</f>
        <v/>
      </c>
      <c r="H166" s="254">
        <f>IF(D166="","",IF(ISNUMBER(D166),D166,IF(ISNUMBER(VALUE(LEFT(TRIM(D166),1))),TRIM(D166),TRIM(MID(TRIM(D166),FIND(" ",TRIM(D166))+1,99)))))</f>
        <v/>
      </c>
      <c r="I166" s="255">
        <f>IF(G166="",0,IF(ISNUMBER(G166),G166,IFERROR(DATE(VALUE(MID(G166,FIND("/",G166,FIND("/",G166)+1)+1,4)),VALUE(MID(G166,FIND("/",G166)+1,FIND("/",G166,FIND("/",G166)+1)-FIND("/",G166)-1)),VALUE(LEFT(G166,FIND("/",G166)-1)))+IFERROR(TIMEVALUE(TRIM(MID(G166,FIND(" ",G166)+1,20))),0),0)))</f>
        <v/>
      </c>
      <c r="J166" s="255">
        <f>IF(H166="",0,IF(ISNUMBER(H166),H166,IFERROR(DATE(VALUE(MID(H166,FIND("/",H166,FIND("/",H166)+1)+1,4)),VALUE(MID(H166,FIND("/",H166)+1,FIND("/",H166,FIND("/",H166)+1)-FIND("/",H166)-1)),VALUE(LEFT(H166,FIND("/",H166)-1)))+IFERROR(TIMEVALUE(TRIM(MID(H166,FIND(" ",H166)+1,20))),0),0)))</f>
        <v/>
      </c>
      <c r="K166" s="256">
        <f>IF(I166=0,0,INT(I166))</f>
        <v/>
      </c>
      <c r="L166" s="257">
        <f>IF(OR(I166=0,J166=0),0,ROUND((J166-I166)*24,2))</f>
        <v/>
      </c>
      <c r="M166" s="254">
        <f>IFERROR(TRIM(MID(A166,FIND("@",SUBSTITUTE(A166,"(","@",LEN(A166)-LEN(SUBSTITUTE(A166,"(",""))))+1,FIND(")",A166,FIND("@",SUBSTITUTE(A166,"(","@",LEN(A166)-LEN(SUBSTITUTE(A166,"(","")))))-FIND("@",SUBSTITUTE(A166,"(","@",LEN(A166)-LEN(SUBSTITUTE(A166,"(",""))))-1)),"")</f>
        <v/>
      </c>
      <c r="N166" s="254">
        <f>IF(A166="","",IF(LEFT(TRIM(A166),5)="Leave","Leave",IF(OR(ISNUMBER(SEARCH("public holiday",A166)),ISNUMBER(SEARCH("Purple",E166))),"Public holiday","Event")))</f>
        <v/>
      </c>
    </row>
    <row r="167">
      <c r="G167" s="254">
        <f>IF(C167="","",IF(ISNUMBER(C167),C167,IF(ISNUMBER(VALUE(LEFT(TRIM(C167),1))),TRIM(C167),TRIM(MID(TRIM(C167),FIND(" ",TRIM(C167))+1,99)))))</f>
        <v/>
      </c>
      <c r="H167" s="254">
        <f>IF(D167="","",IF(ISNUMBER(D167),D167,IF(ISNUMBER(VALUE(LEFT(TRIM(D167),1))),TRIM(D167),TRIM(MID(TRIM(D167),FIND(" ",TRIM(D167))+1,99)))))</f>
        <v/>
      </c>
      <c r="I167" s="255">
        <f>IF(G167="",0,IF(ISNUMBER(G167),G167,IFERROR(DATE(VALUE(MID(G167,FIND("/",G167,FIND("/",G167)+1)+1,4)),VALUE(MID(G167,FIND("/",G167)+1,FIND("/",G167,FIND("/",G167)+1)-FIND("/",G167)-1)),VALUE(LEFT(G167,FIND("/",G167)-1)))+IFERROR(TIMEVALUE(TRIM(MID(G167,FIND(" ",G167)+1,20))),0),0)))</f>
        <v/>
      </c>
      <c r="J167" s="255">
        <f>IF(H167="",0,IF(ISNUMBER(H167),H167,IFERROR(DATE(VALUE(MID(H167,FIND("/",H167,FIND("/",H167)+1)+1,4)),VALUE(MID(H167,FIND("/",H167)+1,FIND("/",H167,FIND("/",H167)+1)-FIND("/",H167)-1)),VALUE(LEFT(H167,FIND("/",H167)-1)))+IFERROR(TIMEVALUE(TRIM(MID(H167,FIND(" ",H167)+1,20))),0),0)))</f>
        <v/>
      </c>
      <c r="K167" s="256">
        <f>IF(I167=0,0,INT(I167))</f>
        <v/>
      </c>
      <c r="L167" s="257">
        <f>IF(OR(I167=0,J167=0),0,ROUND((J167-I167)*24,2))</f>
        <v/>
      </c>
      <c r="M167" s="254">
        <f>IFERROR(TRIM(MID(A167,FIND("@",SUBSTITUTE(A167,"(","@",LEN(A167)-LEN(SUBSTITUTE(A167,"(",""))))+1,FIND(")",A167,FIND("@",SUBSTITUTE(A167,"(","@",LEN(A167)-LEN(SUBSTITUTE(A167,"(","")))))-FIND("@",SUBSTITUTE(A167,"(","@",LEN(A167)-LEN(SUBSTITUTE(A167,"(",""))))-1)),"")</f>
        <v/>
      </c>
      <c r="N167" s="254">
        <f>IF(A167="","",IF(LEFT(TRIM(A167),5)="Leave","Leave",IF(OR(ISNUMBER(SEARCH("public holiday",A167)),ISNUMBER(SEARCH("Purple",E167))),"Public holiday","Event")))</f>
        <v/>
      </c>
    </row>
    <row r="168">
      <c r="G168" s="254">
        <f>IF(C168="","",IF(ISNUMBER(C168),C168,IF(ISNUMBER(VALUE(LEFT(TRIM(C168),1))),TRIM(C168),TRIM(MID(TRIM(C168),FIND(" ",TRIM(C168))+1,99)))))</f>
        <v/>
      </c>
      <c r="H168" s="254">
        <f>IF(D168="","",IF(ISNUMBER(D168),D168,IF(ISNUMBER(VALUE(LEFT(TRIM(D168),1))),TRIM(D168),TRIM(MID(TRIM(D168),FIND(" ",TRIM(D168))+1,99)))))</f>
        <v/>
      </c>
      <c r="I168" s="255">
        <f>IF(G168="",0,IF(ISNUMBER(G168),G168,IFERROR(DATE(VALUE(MID(G168,FIND("/",G168,FIND("/",G168)+1)+1,4)),VALUE(MID(G168,FIND("/",G168)+1,FIND("/",G168,FIND("/",G168)+1)-FIND("/",G168)-1)),VALUE(LEFT(G168,FIND("/",G168)-1)))+IFERROR(TIMEVALUE(TRIM(MID(G168,FIND(" ",G168)+1,20))),0),0)))</f>
        <v/>
      </c>
      <c r="J168" s="255">
        <f>IF(H168="",0,IF(ISNUMBER(H168),H168,IFERROR(DATE(VALUE(MID(H168,FIND("/",H168,FIND("/",H168)+1)+1,4)),VALUE(MID(H168,FIND("/",H168)+1,FIND("/",H168,FIND("/",H168)+1)-FIND("/",H168)-1)),VALUE(LEFT(H168,FIND("/",H168)-1)))+IFERROR(TIMEVALUE(TRIM(MID(H168,FIND(" ",H168)+1,20))),0),0)))</f>
        <v/>
      </c>
      <c r="K168" s="256">
        <f>IF(I168=0,0,INT(I168))</f>
        <v/>
      </c>
      <c r="L168" s="257">
        <f>IF(OR(I168=0,J168=0),0,ROUND((J168-I168)*24,2))</f>
        <v/>
      </c>
      <c r="M168" s="254">
        <f>IFERROR(TRIM(MID(A168,FIND("@",SUBSTITUTE(A168,"(","@",LEN(A168)-LEN(SUBSTITUTE(A168,"(",""))))+1,FIND(")",A168,FIND("@",SUBSTITUTE(A168,"(","@",LEN(A168)-LEN(SUBSTITUTE(A168,"(","")))))-FIND("@",SUBSTITUTE(A168,"(","@",LEN(A168)-LEN(SUBSTITUTE(A168,"(",""))))-1)),"")</f>
        <v/>
      </c>
      <c r="N168" s="254">
        <f>IF(A168="","",IF(LEFT(TRIM(A168),5)="Leave","Leave",IF(OR(ISNUMBER(SEARCH("public holiday",A168)),ISNUMBER(SEARCH("Purple",E168))),"Public holiday","Event")))</f>
        <v/>
      </c>
    </row>
    <row r="169">
      <c r="G169" s="254">
        <f>IF(C169="","",IF(ISNUMBER(C169),C169,IF(ISNUMBER(VALUE(LEFT(TRIM(C169),1))),TRIM(C169),TRIM(MID(TRIM(C169),FIND(" ",TRIM(C169))+1,99)))))</f>
        <v/>
      </c>
      <c r="H169" s="254">
        <f>IF(D169="","",IF(ISNUMBER(D169),D169,IF(ISNUMBER(VALUE(LEFT(TRIM(D169),1))),TRIM(D169),TRIM(MID(TRIM(D169),FIND(" ",TRIM(D169))+1,99)))))</f>
        <v/>
      </c>
      <c r="I169" s="255">
        <f>IF(G169="",0,IF(ISNUMBER(G169),G169,IFERROR(DATE(VALUE(MID(G169,FIND("/",G169,FIND("/",G169)+1)+1,4)),VALUE(MID(G169,FIND("/",G169)+1,FIND("/",G169,FIND("/",G169)+1)-FIND("/",G169)-1)),VALUE(LEFT(G169,FIND("/",G169)-1)))+IFERROR(TIMEVALUE(TRIM(MID(G169,FIND(" ",G169)+1,20))),0),0)))</f>
        <v/>
      </c>
      <c r="J169" s="255">
        <f>IF(H169="",0,IF(ISNUMBER(H169),H169,IFERROR(DATE(VALUE(MID(H169,FIND("/",H169,FIND("/",H169)+1)+1,4)),VALUE(MID(H169,FIND("/",H169)+1,FIND("/",H169,FIND("/",H169)+1)-FIND("/",H169)-1)),VALUE(LEFT(H169,FIND("/",H169)-1)))+IFERROR(TIMEVALUE(TRIM(MID(H169,FIND(" ",H169)+1,20))),0),0)))</f>
        <v/>
      </c>
      <c r="K169" s="256">
        <f>IF(I169=0,0,INT(I169))</f>
        <v/>
      </c>
      <c r="L169" s="257">
        <f>IF(OR(I169=0,J169=0),0,ROUND((J169-I169)*24,2))</f>
        <v/>
      </c>
      <c r="M169" s="254">
        <f>IFERROR(TRIM(MID(A169,FIND("@",SUBSTITUTE(A169,"(","@",LEN(A169)-LEN(SUBSTITUTE(A169,"(",""))))+1,FIND(")",A169,FIND("@",SUBSTITUTE(A169,"(","@",LEN(A169)-LEN(SUBSTITUTE(A169,"(","")))))-FIND("@",SUBSTITUTE(A169,"(","@",LEN(A169)-LEN(SUBSTITUTE(A169,"(",""))))-1)),"")</f>
        <v/>
      </c>
      <c r="N169" s="254">
        <f>IF(A169="","",IF(LEFT(TRIM(A169),5)="Leave","Leave",IF(OR(ISNUMBER(SEARCH("public holiday",A169)),ISNUMBER(SEARCH("Purple",E169))),"Public holiday","Event")))</f>
        <v/>
      </c>
    </row>
    <row r="170">
      <c r="G170" s="254">
        <f>IF(C170="","",IF(ISNUMBER(C170),C170,IF(ISNUMBER(VALUE(LEFT(TRIM(C170),1))),TRIM(C170),TRIM(MID(TRIM(C170),FIND(" ",TRIM(C170))+1,99)))))</f>
        <v/>
      </c>
      <c r="H170" s="254">
        <f>IF(D170="","",IF(ISNUMBER(D170),D170,IF(ISNUMBER(VALUE(LEFT(TRIM(D170),1))),TRIM(D170),TRIM(MID(TRIM(D170),FIND(" ",TRIM(D170))+1,99)))))</f>
        <v/>
      </c>
      <c r="I170" s="255">
        <f>IF(G170="",0,IF(ISNUMBER(G170),G170,IFERROR(DATE(VALUE(MID(G170,FIND("/",G170,FIND("/",G170)+1)+1,4)),VALUE(MID(G170,FIND("/",G170)+1,FIND("/",G170,FIND("/",G170)+1)-FIND("/",G170)-1)),VALUE(LEFT(G170,FIND("/",G170)-1)))+IFERROR(TIMEVALUE(TRIM(MID(G170,FIND(" ",G170)+1,20))),0),0)))</f>
        <v/>
      </c>
      <c r="J170" s="255">
        <f>IF(H170="",0,IF(ISNUMBER(H170),H170,IFERROR(DATE(VALUE(MID(H170,FIND("/",H170,FIND("/",H170)+1)+1,4)),VALUE(MID(H170,FIND("/",H170)+1,FIND("/",H170,FIND("/",H170)+1)-FIND("/",H170)-1)),VALUE(LEFT(H170,FIND("/",H170)-1)))+IFERROR(TIMEVALUE(TRIM(MID(H170,FIND(" ",H170)+1,20))),0),0)))</f>
        <v/>
      </c>
      <c r="K170" s="256">
        <f>IF(I170=0,0,INT(I170))</f>
        <v/>
      </c>
      <c r="L170" s="257">
        <f>IF(OR(I170=0,J170=0),0,ROUND((J170-I170)*24,2))</f>
        <v/>
      </c>
      <c r="M170" s="254">
        <f>IFERROR(TRIM(MID(A170,FIND("@",SUBSTITUTE(A170,"(","@",LEN(A170)-LEN(SUBSTITUTE(A170,"(",""))))+1,FIND(")",A170,FIND("@",SUBSTITUTE(A170,"(","@",LEN(A170)-LEN(SUBSTITUTE(A170,"(","")))))-FIND("@",SUBSTITUTE(A170,"(","@",LEN(A170)-LEN(SUBSTITUTE(A170,"(",""))))-1)),"")</f>
        <v/>
      </c>
      <c r="N170" s="254">
        <f>IF(A170="","",IF(LEFT(TRIM(A170),5)="Leave","Leave",IF(OR(ISNUMBER(SEARCH("public holiday",A170)),ISNUMBER(SEARCH("Purple",E170))),"Public holiday","Event")))</f>
        <v/>
      </c>
    </row>
    <row r="171">
      <c r="G171" s="254">
        <f>IF(C171="","",IF(ISNUMBER(C171),C171,IF(ISNUMBER(VALUE(LEFT(TRIM(C171),1))),TRIM(C171),TRIM(MID(TRIM(C171),FIND(" ",TRIM(C171))+1,99)))))</f>
        <v/>
      </c>
      <c r="H171" s="254">
        <f>IF(D171="","",IF(ISNUMBER(D171),D171,IF(ISNUMBER(VALUE(LEFT(TRIM(D171),1))),TRIM(D171),TRIM(MID(TRIM(D171),FIND(" ",TRIM(D171))+1,99)))))</f>
        <v/>
      </c>
      <c r="I171" s="255">
        <f>IF(G171="",0,IF(ISNUMBER(G171),G171,IFERROR(DATE(VALUE(MID(G171,FIND("/",G171,FIND("/",G171)+1)+1,4)),VALUE(MID(G171,FIND("/",G171)+1,FIND("/",G171,FIND("/",G171)+1)-FIND("/",G171)-1)),VALUE(LEFT(G171,FIND("/",G171)-1)))+IFERROR(TIMEVALUE(TRIM(MID(G171,FIND(" ",G171)+1,20))),0),0)))</f>
        <v/>
      </c>
      <c r="J171" s="255">
        <f>IF(H171="",0,IF(ISNUMBER(H171),H171,IFERROR(DATE(VALUE(MID(H171,FIND("/",H171,FIND("/",H171)+1)+1,4)),VALUE(MID(H171,FIND("/",H171)+1,FIND("/",H171,FIND("/",H171)+1)-FIND("/",H171)-1)),VALUE(LEFT(H171,FIND("/",H171)-1)))+IFERROR(TIMEVALUE(TRIM(MID(H171,FIND(" ",H171)+1,20))),0),0)))</f>
        <v/>
      </c>
      <c r="K171" s="256">
        <f>IF(I171=0,0,INT(I171))</f>
        <v/>
      </c>
      <c r="L171" s="257">
        <f>IF(OR(I171=0,J171=0),0,ROUND((J171-I171)*24,2))</f>
        <v/>
      </c>
      <c r="M171" s="254">
        <f>IFERROR(TRIM(MID(A171,FIND("@",SUBSTITUTE(A171,"(","@",LEN(A171)-LEN(SUBSTITUTE(A171,"(",""))))+1,FIND(")",A171,FIND("@",SUBSTITUTE(A171,"(","@",LEN(A171)-LEN(SUBSTITUTE(A171,"(","")))))-FIND("@",SUBSTITUTE(A171,"(","@",LEN(A171)-LEN(SUBSTITUTE(A171,"(",""))))-1)),"")</f>
        <v/>
      </c>
      <c r="N171" s="254">
        <f>IF(A171="","",IF(LEFT(TRIM(A171),5)="Leave","Leave",IF(OR(ISNUMBER(SEARCH("public holiday",A171)),ISNUMBER(SEARCH("Purple",E171))),"Public holiday","Event")))</f>
        <v/>
      </c>
    </row>
    <row r="172">
      <c r="G172" s="254">
        <f>IF(C172="","",IF(ISNUMBER(C172),C172,IF(ISNUMBER(VALUE(LEFT(TRIM(C172),1))),TRIM(C172),TRIM(MID(TRIM(C172),FIND(" ",TRIM(C172))+1,99)))))</f>
        <v/>
      </c>
      <c r="H172" s="254">
        <f>IF(D172="","",IF(ISNUMBER(D172),D172,IF(ISNUMBER(VALUE(LEFT(TRIM(D172),1))),TRIM(D172),TRIM(MID(TRIM(D172),FIND(" ",TRIM(D172))+1,99)))))</f>
        <v/>
      </c>
      <c r="I172" s="255">
        <f>IF(G172="",0,IF(ISNUMBER(G172),G172,IFERROR(DATE(VALUE(MID(G172,FIND("/",G172,FIND("/",G172)+1)+1,4)),VALUE(MID(G172,FIND("/",G172)+1,FIND("/",G172,FIND("/",G172)+1)-FIND("/",G172)-1)),VALUE(LEFT(G172,FIND("/",G172)-1)))+IFERROR(TIMEVALUE(TRIM(MID(G172,FIND(" ",G172)+1,20))),0),0)))</f>
        <v/>
      </c>
      <c r="J172" s="255">
        <f>IF(H172="",0,IF(ISNUMBER(H172),H172,IFERROR(DATE(VALUE(MID(H172,FIND("/",H172,FIND("/",H172)+1)+1,4)),VALUE(MID(H172,FIND("/",H172)+1,FIND("/",H172,FIND("/",H172)+1)-FIND("/",H172)-1)),VALUE(LEFT(H172,FIND("/",H172)-1)))+IFERROR(TIMEVALUE(TRIM(MID(H172,FIND(" ",H172)+1,20))),0),0)))</f>
        <v/>
      </c>
      <c r="K172" s="256">
        <f>IF(I172=0,0,INT(I172))</f>
        <v/>
      </c>
      <c r="L172" s="257">
        <f>IF(OR(I172=0,J172=0),0,ROUND((J172-I172)*24,2))</f>
        <v/>
      </c>
      <c r="M172" s="254">
        <f>IFERROR(TRIM(MID(A172,FIND("@",SUBSTITUTE(A172,"(","@",LEN(A172)-LEN(SUBSTITUTE(A172,"(",""))))+1,FIND(")",A172,FIND("@",SUBSTITUTE(A172,"(","@",LEN(A172)-LEN(SUBSTITUTE(A172,"(","")))))-FIND("@",SUBSTITUTE(A172,"(","@",LEN(A172)-LEN(SUBSTITUTE(A172,"(",""))))-1)),"")</f>
        <v/>
      </c>
      <c r="N172" s="254">
        <f>IF(A172="","",IF(LEFT(TRIM(A172),5)="Leave","Leave",IF(OR(ISNUMBER(SEARCH("public holiday",A172)),ISNUMBER(SEARCH("Purple",E172))),"Public holiday","Event")))</f>
        <v/>
      </c>
    </row>
    <row r="173">
      <c r="G173" s="254">
        <f>IF(C173="","",IF(ISNUMBER(C173),C173,IF(ISNUMBER(VALUE(LEFT(TRIM(C173),1))),TRIM(C173),TRIM(MID(TRIM(C173),FIND(" ",TRIM(C173))+1,99)))))</f>
        <v/>
      </c>
      <c r="H173" s="254">
        <f>IF(D173="","",IF(ISNUMBER(D173),D173,IF(ISNUMBER(VALUE(LEFT(TRIM(D173),1))),TRIM(D173),TRIM(MID(TRIM(D173),FIND(" ",TRIM(D173))+1,99)))))</f>
        <v/>
      </c>
      <c r="I173" s="255">
        <f>IF(G173="",0,IF(ISNUMBER(G173),G173,IFERROR(DATE(VALUE(MID(G173,FIND("/",G173,FIND("/",G173)+1)+1,4)),VALUE(MID(G173,FIND("/",G173)+1,FIND("/",G173,FIND("/",G173)+1)-FIND("/",G173)-1)),VALUE(LEFT(G173,FIND("/",G173)-1)))+IFERROR(TIMEVALUE(TRIM(MID(G173,FIND(" ",G173)+1,20))),0),0)))</f>
        <v/>
      </c>
      <c r="J173" s="255">
        <f>IF(H173="",0,IF(ISNUMBER(H173),H173,IFERROR(DATE(VALUE(MID(H173,FIND("/",H173,FIND("/",H173)+1)+1,4)),VALUE(MID(H173,FIND("/",H173)+1,FIND("/",H173,FIND("/",H173)+1)-FIND("/",H173)-1)),VALUE(LEFT(H173,FIND("/",H173)-1)))+IFERROR(TIMEVALUE(TRIM(MID(H173,FIND(" ",H173)+1,20))),0),0)))</f>
        <v/>
      </c>
      <c r="K173" s="256">
        <f>IF(I173=0,0,INT(I173))</f>
        <v/>
      </c>
      <c r="L173" s="257">
        <f>IF(OR(I173=0,J173=0),0,ROUND((J173-I173)*24,2))</f>
        <v/>
      </c>
      <c r="M173" s="254">
        <f>IFERROR(TRIM(MID(A173,FIND("@",SUBSTITUTE(A173,"(","@",LEN(A173)-LEN(SUBSTITUTE(A173,"(",""))))+1,FIND(")",A173,FIND("@",SUBSTITUTE(A173,"(","@",LEN(A173)-LEN(SUBSTITUTE(A173,"(","")))))-FIND("@",SUBSTITUTE(A173,"(","@",LEN(A173)-LEN(SUBSTITUTE(A173,"(",""))))-1)),"")</f>
        <v/>
      </c>
      <c r="N173" s="254">
        <f>IF(A173="","",IF(LEFT(TRIM(A173),5)="Leave","Leave",IF(OR(ISNUMBER(SEARCH("public holiday",A173)),ISNUMBER(SEARCH("Purple",E173))),"Public holiday","Event")))</f>
        <v/>
      </c>
    </row>
    <row r="174">
      <c r="G174" s="254">
        <f>IF(C174="","",IF(ISNUMBER(C174),C174,IF(ISNUMBER(VALUE(LEFT(TRIM(C174),1))),TRIM(C174),TRIM(MID(TRIM(C174),FIND(" ",TRIM(C174))+1,99)))))</f>
        <v/>
      </c>
      <c r="H174" s="254">
        <f>IF(D174="","",IF(ISNUMBER(D174),D174,IF(ISNUMBER(VALUE(LEFT(TRIM(D174),1))),TRIM(D174),TRIM(MID(TRIM(D174),FIND(" ",TRIM(D174))+1,99)))))</f>
        <v/>
      </c>
      <c r="I174" s="255">
        <f>IF(G174="",0,IF(ISNUMBER(G174),G174,IFERROR(DATE(VALUE(MID(G174,FIND("/",G174,FIND("/",G174)+1)+1,4)),VALUE(MID(G174,FIND("/",G174)+1,FIND("/",G174,FIND("/",G174)+1)-FIND("/",G174)-1)),VALUE(LEFT(G174,FIND("/",G174)-1)))+IFERROR(TIMEVALUE(TRIM(MID(G174,FIND(" ",G174)+1,20))),0),0)))</f>
        <v/>
      </c>
      <c r="J174" s="255">
        <f>IF(H174="",0,IF(ISNUMBER(H174),H174,IFERROR(DATE(VALUE(MID(H174,FIND("/",H174,FIND("/",H174)+1)+1,4)),VALUE(MID(H174,FIND("/",H174)+1,FIND("/",H174,FIND("/",H174)+1)-FIND("/",H174)-1)),VALUE(LEFT(H174,FIND("/",H174)-1)))+IFERROR(TIMEVALUE(TRIM(MID(H174,FIND(" ",H174)+1,20))),0),0)))</f>
        <v/>
      </c>
      <c r="K174" s="256">
        <f>IF(I174=0,0,INT(I174))</f>
        <v/>
      </c>
      <c r="L174" s="257">
        <f>IF(OR(I174=0,J174=0),0,ROUND((J174-I174)*24,2))</f>
        <v/>
      </c>
      <c r="M174" s="254">
        <f>IFERROR(TRIM(MID(A174,FIND("@",SUBSTITUTE(A174,"(","@",LEN(A174)-LEN(SUBSTITUTE(A174,"(",""))))+1,FIND(")",A174,FIND("@",SUBSTITUTE(A174,"(","@",LEN(A174)-LEN(SUBSTITUTE(A174,"(","")))))-FIND("@",SUBSTITUTE(A174,"(","@",LEN(A174)-LEN(SUBSTITUTE(A174,"(",""))))-1)),"")</f>
        <v/>
      </c>
      <c r="N174" s="254">
        <f>IF(A174="","",IF(LEFT(TRIM(A174),5)="Leave","Leave",IF(OR(ISNUMBER(SEARCH("public holiday",A174)),ISNUMBER(SEARCH("Purple",E174))),"Public holiday","Event")))</f>
        <v/>
      </c>
    </row>
    <row r="175">
      <c r="G175" s="254">
        <f>IF(C175="","",IF(ISNUMBER(C175),C175,IF(ISNUMBER(VALUE(LEFT(TRIM(C175),1))),TRIM(C175),TRIM(MID(TRIM(C175),FIND(" ",TRIM(C175))+1,99)))))</f>
        <v/>
      </c>
      <c r="H175" s="254">
        <f>IF(D175="","",IF(ISNUMBER(D175),D175,IF(ISNUMBER(VALUE(LEFT(TRIM(D175),1))),TRIM(D175),TRIM(MID(TRIM(D175),FIND(" ",TRIM(D175))+1,99)))))</f>
        <v/>
      </c>
      <c r="I175" s="255">
        <f>IF(G175="",0,IF(ISNUMBER(G175),G175,IFERROR(DATE(VALUE(MID(G175,FIND("/",G175,FIND("/",G175)+1)+1,4)),VALUE(MID(G175,FIND("/",G175)+1,FIND("/",G175,FIND("/",G175)+1)-FIND("/",G175)-1)),VALUE(LEFT(G175,FIND("/",G175)-1)))+IFERROR(TIMEVALUE(TRIM(MID(G175,FIND(" ",G175)+1,20))),0),0)))</f>
        <v/>
      </c>
      <c r="J175" s="255">
        <f>IF(H175="",0,IF(ISNUMBER(H175),H175,IFERROR(DATE(VALUE(MID(H175,FIND("/",H175,FIND("/",H175)+1)+1,4)),VALUE(MID(H175,FIND("/",H175)+1,FIND("/",H175,FIND("/",H175)+1)-FIND("/",H175)-1)),VALUE(LEFT(H175,FIND("/",H175)-1)))+IFERROR(TIMEVALUE(TRIM(MID(H175,FIND(" ",H175)+1,20))),0),0)))</f>
        <v/>
      </c>
      <c r="K175" s="256">
        <f>IF(I175=0,0,INT(I175))</f>
        <v/>
      </c>
      <c r="L175" s="257">
        <f>IF(OR(I175=0,J175=0),0,ROUND((J175-I175)*24,2))</f>
        <v/>
      </c>
      <c r="M175" s="254">
        <f>IFERROR(TRIM(MID(A175,FIND("@",SUBSTITUTE(A175,"(","@",LEN(A175)-LEN(SUBSTITUTE(A175,"(",""))))+1,FIND(")",A175,FIND("@",SUBSTITUTE(A175,"(","@",LEN(A175)-LEN(SUBSTITUTE(A175,"(","")))))-FIND("@",SUBSTITUTE(A175,"(","@",LEN(A175)-LEN(SUBSTITUTE(A175,"(",""))))-1)),"")</f>
        <v/>
      </c>
      <c r="N175" s="254">
        <f>IF(A175="","",IF(LEFT(TRIM(A175),5)="Leave","Leave",IF(OR(ISNUMBER(SEARCH("public holiday",A175)),ISNUMBER(SEARCH("Purple",E175))),"Public holiday","Event")))</f>
        <v/>
      </c>
    </row>
    <row r="176">
      <c r="G176" s="254">
        <f>IF(C176="","",IF(ISNUMBER(C176),C176,IF(ISNUMBER(VALUE(LEFT(TRIM(C176),1))),TRIM(C176),TRIM(MID(TRIM(C176),FIND(" ",TRIM(C176))+1,99)))))</f>
        <v/>
      </c>
      <c r="H176" s="254">
        <f>IF(D176="","",IF(ISNUMBER(D176),D176,IF(ISNUMBER(VALUE(LEFT(TRIM(D176),1))),TRIM(D176),TRIM(MID(TRIM(D176),FIND(" ",TRIM(D176))+1,99)))))</f>
        <v/>
      </c>
      <c r="I176" s="255">
        <f>IF(G176="",0,IF(ISNUMBER(G176),G176,IFERROR(DATE(VALUE(MID(G176,FIND("/",G176,FIND("/",G176)+1)+1,4)),VALUE(MID(G176,FIND("/",G176)+1,FIND("/",G176,FIND("/",G176)+1)-FIND("/",G176)-1)),VALUE(LEFT(G176,FIND("/",G176)-1)))+IFERROR(TIMEVALUE(TRIM(MID(G176,FIND(" ",G176)+1,20))),0),0)))</f>
        <v/>
      </c>
      <c r="J176" s="255">
        <f>IF(H176="",0,IF(ISNUMBER(H176),H176,IFERROR(DATE(VALUE(MID(H176,FIND("/",H176,FIND("/",H176)+1)+1,4)),VALUE(MID(H176,FIND("/",H176)+1,FIND("/",H176,FIND("/",H176)+1)-FIND("/",H176)-1)),VALUE(LEFT(H176,FIND("/",H176)-1)))+IFERROR(TIMEVALUE(TRIM(MID(H176,FIND(" ",H176)+1,20))),0),0)))</f>
        <v/>
      </c>
      <c r="K176" s="256">
        <f>IF(I176=0,0,INT(I176))</f>
        <v/>
      </c>
      <c r="L176" s="257">
        <f>IF(OR(I176=0,J176=0),0,ROUND((J176-I176)*24,2))</f>
        <v/>
      </c>
      <c r="M176" s="254">
        <f>IFERROR(TRIM(MID(A176,FIND("@",SUBSTITUTE(A176,"(","@",LEN(A176)-LEN(SUBSTITUTE(A176,"(",""))))+1,FIND(")",A176,FIND("@",SUBSTITUTE(A176,"(","@",LEN(A176)-LEN(SUBSTITUTE(A176,"(","")))))-FIND("@",SUBSTITUTE(A176,"(","@",LEN(A176)-LEN(SUBSTITUTE(A176,"(",""))))-1)),"")</f>
        <v/>
      </c>
      <c r="N176" s="254">
        <f>IF(A176="","",IF(LEFT(TRIM(A176),5)="Leave","Leave",IF(OR(ISNUMBER(SEARCH("public holiday",A176)),ISNUMBER(SEARCH("Purple",E176))),"Public holiday","Event")))</f>
        <v/>
      </c>
    </row>
    <row r="177">
      <c r="G177" s="254">
        <f>IF(C177="","",IF(ISNUMBER(C177),C177,IF(ISNUMBER(VALUE(LEFT(TRIM(C177),1))),TRIM(C177),TRIM(MID(TRIM(C177),FIND(" ",TRIM(C177))+1,99)))))</f>
        <v/>
      </c>
      <c r="H177" s="254">
        <f>IF(D177="","",IF(ISNUMBER(D177),D177,IF(ISNUMBER(VALUE(LEFT(TRIM(D177),1))),TRIM(D177),TRIM(MID(TRIM(D177),FIND(" ",TRIM(D177))+1,99)))))</f>
        <v/>
      </c>
      <c r="I177" s="255">
        <f>IF(G177="",0,IF(ISNUMBER(G177),G177,IFERROR(DATE(VALUE(MID(G177,FIND("/",G177,FIND("/",G177)+1)+1,4)),VALUE(MID(G177,FIND("/",G177)+1,FIND("/",G177,FIND("/",G177)+1)-FIND("/",G177)-1)),VALUE(LEFT(G177,FIND("/",G177)-1)))+IFERROR(TIMEVALUE(TRIM(MID(G177,FIND(" ",G177)+1,20))),0),0)))</f>
        <v/>
      </c>
      <c r="J177" s="255">
        <f>IF(H177="",0,IF(ISNUMBER(H177),H177,IFERROR(DATE(VALUE(MID(H177,FIND("/",H177,FIND("/",H177)+1)+1,4)),VALUE(MID(H177,FIND("/",H177)+1,FIND("/",H177,FIND("/",H177)+1)-FIND("/",H177)-1)),VALUE(LEFT(H177,FIND("/",H177)-1)))+IFERROR(TIMEVALUE(TRIM(MID(H177,FIND(" ",H177)+1,20))),0),0)))</f>
        <v/>
      </c>
      <c r="K177" s="256">
        <f>IF(I177=0,0,INT(I177))</f>
        <v/>
      </c>
      <c r="L177" s="257">
        <f>IF(OR(I177=0,J177=0),0,ROUND((J177-I177)*24,2))</f>
        <v/>
      </c>
      <c r="M177" s="254">
        <f>IFERROR(TRIM(MID(A177,FIND("@",SUBSTITUTE(A177,"(","@",LEN(A177)-LEN(SUBSTITUTE(A177,"(",""))))+1,FIND(")",A177,FIND("@",SUBSTITUTE(A177,"(","@",LEN(A177)-LEN(SUBSTITUTE(A177,"(","")))))-FIND("@",SUBSTITUTE(A177,"(","@",LEN(A177)-LEN(SUBSTITUTE(A177,"(",""))))-1)),"")</f>
        <v/>
      </c>
      <c r="N177" s="254">
        <f>IF(A177="","",IF(LEFT(TRIM(A177),5)="Leave","Leave",IF(OR(ISNUMBER(SEARCH("public holiday",A177)),ISNUMBER(SEARCH("Purple",E177))),"Public holiday","Event")))</f>
        <v/>
      </c>
    </row>
    <row r="178">
      <c r="G178" s="254">
        <f>IF(C178="","",IF(ISNUMBER(C178),C178,IF(ISNUMBER(VALUE(LEFT(TRIM(C178),1))),TRIM(C178),TRIM(MID(TRIM(C178),FIND(" ",TRIM(C178))+1,99)))))</f>
        <v/>
      </c>
      <c r="H178" s="254">
        <f>IF(D178="","",IF(ISNUMBER(D178),D178,IF(ISNUMBER(VALUE(LEFT(TRIM(D178),1))),TRIM(D178),TRIM(MID(TRIM(D178),FIND(" ",TRIM(D178))+1,99)))))</f>
        <v/>
      </c>
      <c r="I178" s="255">
        <f>IF(G178="",0,IF(ISNUMBER(G178),G178,IFERROR(DATE(VALUE(MID(G178,FIND("/",G178,FIND("/",G178)+1)+1,4)),VALUE(MID(G178,FIND("/",G178)+1,FIND("/",G178,FIND("/",G178)+1)-FIND("/",G178)-1)),VALUE(LEFT(G178,FIND("/",G178)-1)))+IFERROR(TIMEVALUE(TRIM(MID(G178,FIND(" ",G178)+1,20))),0),0)))</f>
        <v/>
      </c>
      <c r="J178" s="255">
        <f>IF(H178="",0,IF(ISNUMBER(H178),H178,IFERROR(DATE(VALUE(MID(H178,FIND("/",H178,FIND("/",H178)+1)+1,4)),VALUE(MID(H178,FIND("/",H178)+1,FIND("/",H178,FIND("/",H178)+1)-FIND("/",H178)-1)),VALUE(LEFT(H178,FIND("/",H178)-1)))+IFERROR(TIMEVALUE(TRIM(MID(H178,FIND(" ",H178)+1,20))),0),0)))</f>
        <v/>
      </c>
      <c r="K178" s="256">
        <f>IF(I178=0,0,INT(I178))</f>
        <v/>
      </c>
      <c r="L178" s="257">
        <f>IF(OR(I178=0,J178=0),0,ROUND((J178-I178)*24,2))</f>
        <v/>
      </c>
      <c r="M178" s="254">
        <f>IFERROR(TRIM(MID(A178,FIND("@",SUBSTITUTE(A178,"(","@",LEN(A178)-LEN(SUBSTITUTE(A178,"(",""))))+1,FIND(")",A178,FIND("@",SUBSTITUTE(A178,"(","@",LEN(A178)-LEN(SUBSTITUTE(A178,"(","")))))-FIND("@",SUBSTITUTE(A178,"(","@",LEN(A178)-LEN(SUBSTITUTE(A178,"(",""))))-1)),"")</f>
        <v/>
      </c>
      <c r="N178" s="254">
        <f>IF(A178="","",IF(LEFT(TRIM(A178),5)="Leave","Leave",IF(OR(ISNUMBER(SEARCH("public holiday",A178)),ISNUMBER(SEARCH("Purple",E178))),"Public holiday","Event")))</f>
        <v/>
      </c>
    </row>
    <row r="179">
      <c r="G179" s="254">
        <f>IF(C179="","",IF(ISNUMBER(C179),C179,IF(ISNUMBER(VALUE(LEFT(TRIM(C179),1))),TRIM(C179),TRIM(MID(TRIM(C179),FIND(" ",TRIM(C179))+1,99)))))</f>
        <v/>
      </c>
      <c r="H179" s="254">
        <f>IF(D179="","",IF(ISNUMBER(D179),D179,IF(ISNUMBER(VALUE(LEFT(TRIM(D179),1))),TRIM(D179),TRIM(MID(TRIM(D179),FIND(" ",TRIM(D179))+1,99)))))</f>
        <v/>
      </c>
      <c r="I179" s="255">
        <f>IF(G179="",0,IF(ISNUMBER(G179),G179,IFERROR(DATE(VALUE(MID(G179,FIND("/",G179,FIND("/",G179)+1)+1,4)),VALUE(MID(G179,FIND("/",G179)+1,FIND("/",G179,FIND("/",G179)+1)-FIND("/",G179)-1)),VALUE(LEFT(G179,FIND("/",G179)-1)))+IFERROR(TIMEVALUE(TRIM(MID(G179,FIND(" ",G179)+1,20))),0),0)))</f>
        <v/>
      </c>
      <c r="J179" s="255">
        <f>IF(H179="",0,IF(ISNUMBER(H179),H179,IFERROR(DATE(VALUE(MID(H179,FIND("/",H179,FIND("/",H179)+1)+1,4)),VALUE(MID(H179,FIND("/",H179)+1,FIND("/",H179,FIND("/",H179)+1)-FIND("/",H179)-1)),VALUE(LEFT(H179,FIND("/",H179)-1)))+IFERROR(TIMEVALUE(TRIM(MID(H179,FIND(" ",H179)+1,20))),0),0)))</f>
        <v/>
      </c>
      <c r="K179" s="256">
        <f>IF(I179=0,0,INT(I179))</f>
        <v/>
      </c>
      <c r="L179" s="257">
        <f>IF(OR(I179=0,J179=0),0,ROUND((J179-I179)*24,2))</f>
        <v/>
      </c>
      <c r="M179" s="254">
        <f>IFERROR(TRIM(MID(A179,FIND("@",SUBSTITUTE(A179,"(","@",LEN(A179)-LEN(SUBSTITUTE(A179,"(",""))))+1,FIND(")",A179,FIND("@",SUBSTITUTE(A179,"(","@",LEN(A179)-LEN(SUBSTITUTE(A179,"(","")))))-FIND("@",SUBSTITUTE(A179,"(","@",LEN(A179)-LEN(SUBSTITUTE(A179,"(",""))))-1)),"")</f>
        <v/>
      </c>
      <c r="N179" s="254">
        <f>IF(A179="","",IF(LEFT(TRIM(A179),5)="Leave","Leave",IF(OR(ISNUMBER(SEARCH("public holiday",A179)),ISNUMBER(SEARCH("Purple",E179))),"Public holiday","Event")))</f>
        <v/>
      </c>
    </row>
    <row r="180">
      <c r="G180" s="254">
        <f>IF(C180="","",IF(ISNUMBER(C180),C180,IF(ISNUMBER(VALUE(LEFT(TRIM(C180),1))),TRIM(C180),TRIM(MID(TRIM(C180),FIND(" ",TRIM(C180))+1,99)))))</f>
        <v/>
      </c>
      <c r="H180" s="254">
        <f>IF(D180="","",IF(ISNUMBER(D180),D180,IF(ISNUMBER(VALUE(LEFT(TRIM(D180),1))),TRIM(D180),TRIM(MID(TRIM(D180),FIND(" ",TRIM(D180))+1,99)))))</f>
        <v/>
      </c>
      <c r="I180" s="255">
        <f>IF(G180="",0,IF(ISNUMBER(G180),G180,IFERROR(DATE(VALUE(MID(G180,FIND("/",G180,FIND("/",G180)+1)+1,4)),VALUE(MID(G180,FIND("/",G180)+1,FIND("/",G180,FIND("/",G180)+1)-FIND("/",G180)-1)),VALUE(LEFT(G180,FIND("/",G180)-1)))+IFERROR(TIMEVALUE(TRIM(MID(G180,FIND(" ",G180)+1,20))),0),0)))</f>
        <v/>
      </c>
      <c r="J180" s="255">
        <f>IF(H180="",0,IF(ISNUMBER(H180),H180,IFERROR(DATE(VALUE(MID(H180,FIND("/",H180,FIND("/",H180)+1)+1,4)),VALUE(MID(H180,FIND("/",H180)+1,FIND("/",H180,FIND("/",H180)+1)-FIND("/",H180)-1)),VALUE(LEFT(H180,FIND("/",H180)-1)))+IFERROR(TIMEVALUE(TRIM(MID(H180,FIND(" ",H180)+1,20))),0),0)))</f>
        <v/>
      </c>
      <c r="K180" s="256">
        <f>IF(I180=0,0,INT(I180))</f>
        <v/>
      </c>
      <c r="L180" s="257">
        <f>IF(OR(I180=0,J180=0),0,ROUND((J180-I180)*24,2))</f>
        <v/>
      </c>
      <c r="M180" s="254">
        <f>IFERROR(TRIM(MID(A180,FIND("@",SUBSTITUTE(A180,"(","@",LEN(A180)-LEN(SUBSTITUTE(A180,"(",""))))+1,FIND(")",A180,FIND("@",SUBSTITUTE(A180,"(","@",LEN(A180)-LEN(SUBSTITUTE(A180,"(","")))))-FIND("@",SUBSTITUTE(A180,"(","@",LEN(A180)-LEN(SUBSTITUTE(A180,"(",""))))-1)),"")</f>
        <v/>
      </c>
      <c r="N180" s="254">
        <f>IF(A180="","",IF(LEFT(TRIM(A180),5)="Leave","Leave",IF(OR(ISNUMBER(SEARCH("public holiday",A180)),ISNUMBER(SEARCH("Purple",E180))),"Public holiday","Event")))</f>
        <v/>
      </c>
    </row>
    <row r="181">
      <c r="G181" s="254">
        <f>IF(C181="","",IF(ISNUMBER(C181),C181,IF(ISNUMBER(VALUE(LEFT(TRIM(C181),1))),TRIM(C181),TRIM(MID(TRIM(C181),FIND(" ",TRIM(C181))+1,99)))))</f>
        <v/>
      </c>
      <c r="H181" s="254">
        <f>IF(D181="","",IF(ISNUMBER(D181),D181,IF(ISNUMBER(VALUE(LEFT(TRIM(D181),1))),TRIM(D181),TRIM(MID(TRIM(D181),FIND(" ",TRIM(D181))+1,99)))))</f>
        <v/>
      </c>
      <c r="I181" s="255">
        <f>IF(G181="",0,IF(ISNUMBER(G181),G181,IFERROR(DATE(VALUE(MID(G181,FIND("/",G181,FIND("/",G181)+1)+1,4)),VALUE(MID(G181,FIND("/",G181)+1,FIND("/",G181,FIND("/",G181)+1)-FIND("/",G181)-1)),VALUE(LEFT(G181,FIND("/",G181)-1)))+IFERROR(TIMEVALUE(TRIM(MID(G181,FIND(" ",G181)+1,20))),0),0)))</f>
        <v/>
      </c>
      <c r="J181" s="255">
        <f>IF(H181="",0,IF(ISNUMBER(H181),H181,IFERROR(DATE(VALUE(MID(H181,FIND("/",H181,FIND("/",H181)+1)+1,4)),VALUE(MID(H181,FIND("/",H181)+1,FIND("/",H181,FIND("/",H181)+1)-FIND("/",H181)-1)),VALUE(LEFT(H181,FIND("/",H181)-1)))+IFERROR(TIMEVALUE(TRIM(MID(H181,FIND(" ",H181)+1,20))),0),0)))</f>
        <v/>
      </c>
      <c r="K181" s="256">
        <f>IF(I181=0,0,INT(I181))</f>
        <v/>
      </c>
      <c r="L181" s="257">
        <f>IF(OR(I181=0,J181=0),0,ROUND((J181-I181)*24,2))</f>
        <v/>
      </c>
      <c r="M181" s="254">
        <f>IFERROR(TRIM(MID(A181,FIND("@",SUBSTITUTE(A181,"(","@",LEN(A181)-LEN(SUBSTITUTE(A181,"(",""))))+1,FIND(")",A181,FIND("@",SUBSTITUTE(A181,"(","@",LEN(A181)-LEN(SUBSTITUTE(A181,"(","")))))-FIND("@",SUBSTITUTE(A181,"(","@",LEN(A181)-LEN(SUBSTITUTE(A181,"(",""))))-1)),"")</f>
        <v/>
      </c>
      <c r="N181" s="254">
        <f>IF(A181="","",IF(LEFT(TRIM(A181),5)="Leave","Leave",IF(OR(ISNUMBER(SEARCH("public holiday",A181)),ISNUMBER(SEARCH("Purple",E181))),"Public holiday","Event")))</f>
        <v/>
      </c>
    </row>
    <row r="182">
      <c r="G182" s="254">
        <f>IF(C182="","",IF(ISNUMBER(C182),C182,IF(ISNUMBER(VALUE(LEFT(TRIM(C182),1))),TRIM(C182),TRIM(MID(TRIM(C182),FIND(" ",TRIM(C182))+1,99)))))</f>
        <v/>
      </c>
      <c r="H182" s="254">
        <f>IF(D182="","",IF(ISNUMBER(D182),D182,IF(ISNUMBER(VALUE(LEFT(TRIM(D182),1))),TRIM(D182),TRIM(MID(TRIM(D182),FIND(" ",TRIM(D182))+1,99)))))</f>
        <v/>
      </c>
      <c r="I182" s="255">
        <f>IF(G182="",0,IF(ISNUMBER(G182),G182,IFERROR(DATE(VALUE(MID(G182,FIND("/",G182,FIND("/",G182)+1)+1,4)),VALUE(MID(G182,FIND("/",G182)+1,FIND("/",G182,FIND("/",G182)+1)-FIND("/",G182)-1)),VALUE(LEFT(G182,FIND("/",G182)-1)))+IFERROR(TIMEVALUE(TRIM(MID(G182,FIND(" ",G182)+1,20))),0),0)))</f>
        <v/>
      </c>
      <c r="J182" s="255">
        <f>IF(H182="",0,IF(ISNUMBER(H182),H182,IFERROR(DATE(VALUE(MID(H182,FIND("/",H182,FIND("/",H182)+1)+1,4)),VALUE(MID(H182,FIND("/",H182)+1,FIND("/",H182,FIND("/",H182)+1)-FIND("/",H182)-1)),VALUE(LEFT(H182,FIND("/",H182)-1)))+IFERROR(TIMEVALUE(TRIM(MID(H182,FIND(" ",H182)+1,20))),0),0)))</f>
        <v/>
      </c>
      <c r="K182" s="256">
        <f>IF(I182=0,0,INT(I182))</f>
        <v/>
      </c>
      <c r="L182" s="257">
        <f>IF(OR(I182=0,J182=0),0,ROUND((J182-I182)*24,2))</f>
        <v/>
      </c>
      <c r="M182" s="254">
        <f>IFERROR(TRIM(MID(A182,FIND("@",SUBSTITUTE(A182,"(","@",LEN(A182)-LEN(SUBSTITUTE(A182,"(",""))))+1,FIND(")",A182,FIND("@",SUBSTITUTE(A182,"(","@",LEN(A182)-LEN(SUBSTITUTE(A182,"(","")))))-FIND("@",SUBSTITUTE(A182,"(","@",LEN(A182)-LEN(SUBSTITUTE(A182,"(",""))))-1)),"")</f>
        <v/>
      </c>
      <c r="N182" s="254">
        <f>IF(A182="","",IF(LEFT(TRIM(A182),5)="Leave","Leave",IF(OR(ISNUMBER(SEARCH("public holiday",A182)),ISNUMBER(SEARCH("Purple",E182))),"Public holiday","Event")))</f>
        <v/>
      </c>
    </row>
    <row r="183">
      <c r="G183" s="254">
        <f>IF(C183="","",IF(ISNUMBER(C183),C183,IF(ISNUMBER(VALUE(LEFT(TRIM(C183),1))),TRIM(C183),TRIM(MID(TRIM(C183),FIND(" ",TRIM(C183))+1,99)))))</f>
        <v/>
      </c>
      <c r="H183" s="254">
        <f>IF(D183="","",IF(ISNUMBER(D183),D183,IF(ISNUMBER(VALUE(LEFT(TRIM(D183),1))),TRIM(D183),TRIM(MID(TRIM(D183),FIND(" ",TRIM(D183))+1,99)))))</f>
        <v/>
      </c>
      <c r="I183" s="255">
        <f>IF(G183="",0,IF(ISNUMBER(G183),G183,IFERROR(DATE(VALUE(MID(G183,FIND("/",G183,FIND("/",G183)+1)+1,4)),VALUE(MID(G183,FIND("/",G183)+1,FIND("/",G183,FIND("/",G183)+1)-FIND("/",G183)-1)),VALUE(LEFT(G183,FIND("/",G183)-1)))+IFERROR(TIMEVALUE(TRIM(MID(G183,FIND(" ",G183)+1,20))),0),0)))</f>
        <v/>
      </c>
      <c r="J183" s="255">
        <f>IF(H183="",0,IF(ISNUMBER(H183),H183,IFERROR(DATE(VALUE(MID(H183,FIND("/",H183,FIND("/",H183)+1)+1,4)),VALUE(MID(H183,FIND("/",H183)+1,FIND("/",H183,FIND("/",H183)+1)-FIND("/",H183)-1)),VALUE(LEFT(H183,FIND("/",H183)-1)))+IFERROR(TIMEVALUE(TRIM(MID(H183,FIND(" ",H183)+1,20))),0),0)))</f>
        <v/>
      </c>
      <c r="K183" s="256">
        <f>IF(I183=0,0,INT(I183))</f>
        <v/>
      </c>
      <c r="L183" s="257">
        <f>IF(OR(I183=0,J183=0),0,ROUND((J183-I183)*24,2))</f>
        <v/>
      </c>
      <c r="M183" s="254">
        <f>IFERROR(TRIM(MID(A183,FIND("@",SUBSTITUTE(A183,"(","@",LEN(A183)-LEN(SUBSTITUTE(A183,"(",""))))+1,FIND(")",A183,FIND("@",SUBSTITUTE(A183,"(","@",LEN(A183)-LEN(SUBSTITUTE(A183,"(","")))))-FIND("@",SUBSTITUTE(A183,"(","@",LEN(A183)-LEN(SUBSTITUTE(A183,"(",""))))-1)),"")</f>
        <v/>
      </c>
      <c r="N183" s="254">
        <f>IF(A183="","",IF(LEFT(TRIM(A183),5)="Leave","Leave",IF(OR(ISNUMBER(SEARCH("public holiday",A183)),ISNUMBER(SEARCH("Purple",E183))),"Public holiday","Event")))</f>
        <v/>
      </c>
    </row>
    <row r="184">
      <c r="G184" s="254">
        <f>IF(C184="","",IF(ISNUMBER(C184),C184,IF(ISNUMBER(VALUE(LEFT(TRIM(C184),1))),TRIM(C184),TRIM(MID(TRIM(C184),FIND(" ",TRIM(C184))+1,99)))))</f>
        <v/>
      </c>
      <c r="H184" s="254">
        <f>IF(D184="","",IF(ISNUMBER(D184),D184,IF(ISNUMBER(VALUE(LEFT(TRIM(D184),1))),TRIM(D184),TRIM(MID(TRIM(D184),FIND(" ",TRIM(D184))+1,99)))))</f>
        <v/>
      </c>
      <c r="I184" s="255">
        <f>IF(G184="",0,IF(ISNUMBER(G184),G184,IFERROR(DATE(VALUE(MID(G184,FIND("/",G184,FIND("/",G184)+1)+1,4)),VALUE(MID(G184,FIND("/",G184)+1,FIND("/",G184,FIND("/",G184)+1)-FIND("/",G184)-1)),VALUE(LEFT(G184,FIND("/",G184)-1)))+IFERROR(TIMEVALUE(TRIM(MID(G184,FIND(" ",G184)+1,20))),0),0)))</f>
        <v/>
      </c>
      <c r="J184" s="255">
        <f>IF(H184="",0,IF(ISNUMBER(H184),H184,IFERROR(DATE(VALUE(MID(H184,FIND("/",H184,FIND("/",H184)+1)+1,4)),VALUE(MID(H184,FIND("/",H184)+1,FIND("/",H184,FIND("/",H184)+1)-FIND("/",H184)-1)),VALUE(LEFT(H184,FIND("/",H184)-1)))+IFERROR(TIMEVALUE(TRIM(MID(H184,FIND(" ",H184)+1,20))),0),0)))</f>
        <v/>
      </c>
      <c r="K184" s="256">
        <f>IF(I184=0,0,INT(I184))</f>
        <v/>
      </c>
      <c r="L184" s="257">
        <f>IF(OR(I184=0,J184=0),0,ROUND((J184-I184)*24,2))</f>
        <v/>
      </c>
      <c r="M184" s="254">
        <f>IFERROR(TRIM(MID(A184,FIND("@",SUBSTITUTE(A184,"(","@",LEN(A184)-LEN(SUBSTITUTE(A184,"(",""))))+1,FIND(")",A184,FIND("@",SUBSTITUTE(A184,"(","@",LEN(A184)-LEN(SUBSTITUTE(A184,"(","")))))-FIND("@",SUBSTITUTE(A184,"(","@",LEN(A184)-LEN(SUBSTITUTE(A184,"(",""))))-1)),"")</f>
        <v/>
      </c>
      <c r="N184" s="254">
        <f>IF(A184="","",IF(LEFT(TRIM(A184),5)="Leave","Leave",IF(OR(ISNUMBER(SEARCH("public holiday",A184)),ISNUMBER(SEARCH("Purple",E184))),"Public holiday","Event")))</f>
        <v/>
      </c>
    </row>
    <row r="185">
      <c r="G185" s="254">
        <f>IF(C185="","",IF(ISNUMBER(C185),C185,IF(ISNUMBER(VALUE(LEFT(TRIM(C185),1))),TRIM(C185),TRIM(MID(TRIM(C185),FIND(" ",TRIM(C185))+1,99)))))</f>
        <v/>
      </c>
      <c r="H185" s="254">
        <f>IF(D185="","",IF(ISNUMBER(D185),D185,IF(ISNUMBER(VALUE(LEFT(TRIM(D185),1))),TRIM(D185),TRIM(MID(TRIM(D185),FIND(" ",TRIM(D185))+1,99)))))</f>
        <v/>
      </c>
      <c r="I185" s="255">
        <f>IF(G185="",0,IF(ISNUMBER(G185),G185,IFERROR(DATE(VALUE(MID(G185,FIND("/",G185,FIND("/",G185)+1)+1,4)),VALUE(MID(G185,FIND("/",G185)+1,FIND("/",G185,FIND("/",G185)+1)-FIND("/",G185)-1)),VALUE(LEFT(G185,FIND("/",G185)-1)))+IFERROR(TIMEVALUE(TRIM(MID(G185,FIND(" ",G185)+1,20))),0),0)))</f>
        <v/>
      </c>
      <c r="J185" s="255">
        <f>IF(H185="",0,IF(ISNUMBER(H185),H185,IFERROR(DATE(VALUE(MID(H185,FIND("/",H185,FIND("/",H185)+1)+1,4)),VALUE(MID(H185,FIND("/",H185)+1,FIND("/",H185,FIND("/",H185)+1)-FIND("/",H185)-1)),VALUE(LEFT(H185,FIND("/",H185)-1)))+IFERROR(TIMEVALUE(TRIM(MID(H185,FIND(" ",H185)+1,20))),0),0)))</f>
        <v/>
      </c>
      <c r="K185" s="256">
        <f>IF(I185=0,0,INT(I185))</f>
        <v/>
      </c>
      <c r="L185" s="257">
        <f>IF(OR(I185=0,J185=0),0,ROUND((J185-I185)*24,2))</f>
        <v/>
      </c>
      <c r="M185" s="254">
        <f>IFERROR(TRIM(MID(A185,FIND("@",SUBSTITUTE(A185,"(","@",LEN(A185)-LEN(SUBSTITUTE(A185,"(",""))))+1,FIND(")",A185,FIND("@",SUBSTITUTE(A185,"(","@",LEN(A185)-LEN(SUBSTITUTE(A185,"(","")))))-FIND("@",SUBSTITUTE(A185,"(","@",LEN(A185)-LEN(SUBSTITUTE(A185,"(",""))))-1)),"")</f>
        <v/>
      </c>
      <c r="N185" s="254">
        <f>IF(A185="","",IF(LEFT(TRIM(A185),5)="Leave","Leave",IF(OR(ISNUMBER(SEARCH("public holiday",A185)),ISNUMBER(SEARCH("Purple",E185))),"Public holiday","Event")))</f>
        <v/>
      </c>
    </row>
    <row r="186">
      <c r="G186" s="254">
        <f>IF(C186="","",IF(ISNUMBER(C186),C186,IF(ISNUMBER(VALUE(LEFT(TRIM(C186),1))),TRIM(C186),TRIM(MID(TRIM(C186),FIND(" ",TRIM(C186))+1,99)))))</f>
        <v/>
      </c>
      <c r="H186" s="254">
        <f>IF(D186="","",IF(ISNUMBER(D186),D186,IF(ISNUMBER(VALUE(LEFT(TRIM(D186),1))),TRIM(D186),TRIM(MID(TRIM(D186),FIND(" ",TRIM(D186))+1,99)))))</f>
        <v/>
      </c>
      <c r="I186" s="255">
        <f>IF(G186="",0,IF(ISNUMBER(G186),G186,IFERROR(DATE(VALUE(MID(G186,FIND("/",G186,FIND("/",G186)+1)+1,4)),VALUE(MID(G186,FIND("/",G186)+1,FIND("/",G186,FIND("/",G186)+1)-FIND("/",G186)-1)),VALUE(LEFT(G186,FIND("/",G186)-1)))+IFERROR(TIMEVALUE(TRIM(MID(G186,FIND(" ",G186)+1,20))),0),0)))</f>
        <v/>
      </c>
      <c r="J186" s="255">
        <f>IF(H186="",0,IF(ISNUMBER(H186),H186,IFERROR(DATE(VALUE(MID(H186,FIND("/",H186,FIND("/",H186)+1)+1,4)),VALUE(MID(H186,FIND("/",H186)+1,FIND("/",H186,FIND("/",H186)+1)-FIND("/",H186)-1)),VALUE(LEFT(H186,FIND("/",H186)-1)))+IFERROR(TIMEVALUE(TRIM(MID(H186,FIND(" ",H186)+1,20))),0),0)))</f>
        <v/>
      </c>
      <c r="K186" s="256">
        <f>IF(I186=0,0,INT(I186))</f>
        <v/>
      </c>
      <c r="L186" s="257">
        <f>IF(OR(I186=0,J186=0),0,ROUND((J186-I186)*24,2))</f>
        <v/>
      </c>
      <c r="M186" s="254">
        <f>IFERROR(TRIM(MID(A186,FIND("@",SUBSTITUTE(A186,"(","@",LEN(A186)-LEN(SUBSTITUTE(A186,"(",""))))+1,FIND(")",A186,FIND("@",SUBSTITUTE(A186,"(","@",LEN(A186)-LEN(SUBSTITUTE(A186,"(","")))))-FIND("@",SUBSTITUTE(A186,"(","@",LEN(A186)-LEN(SUBSTITUTE(A186,"(",""))))-1)),"")</f>
        <v/>
      </c>
      <c r="N186" s="254">
        <f>IF(A186="","",IF(LEFT(TRIM(A186),5)="Leave","Leave",IF(OR(ISNUMBER(SEARCH("public holiday",A186)),ISNUMBER(SEARCH("Purple",E186))),"Public holiday","Event")))</f>
        <v/>
      </c>
    </row>
    <row r="187">
      <c r="G187" s="254">
        <f>IF(C187="","",IF(ISNUMBER(C187),C187,IF(ISNUMBER(VALUE(LEFT(TRIM(C187),1))),TRIM(C187),TRIM(MID(TRIM(C187),FIND(" ",TRIM(C187))+1,99)))))</f>
        <v/>
      </c>
      <c r="H187" s="254">
        <f>IF(D187="","",IF(ISNUMBER(D187),D187,IF(ISNUMBER(VALUE(LEFT(TRIM(D187),1))),TRIM(D187),TRIM(MID(TRIM(D187),FIND(" ",TRIM(D187))+1,99)))))</f>
        <v/>
      </c>
      <c r="I187" s="255">
        <f>IF(G187="",0,IF(ISNUMBER(G187),G187,IFERROR(DATE(VALUE(MID(G187,FIND("/",G187,FIND("/",G187)+1)+1,4)),VALUE(MID(G187,FIND("/",G187)+1,FIND("/",G187,FIND("/",G187)+1)-FIND("/",G187)-1)),VALUE(LEFT(G187,FIND("/",G187)-1)))+IFERROR(TIMEVALUE(TRIM(MID(G187,FIND(" ",G187)+1,20))),0),0)))</f>
        <v/>
      </c>
      <c r="J187" s="255">
        <f>IF(H187="",0,IF(ISNUMBER(H187),H187,IFERROR(DATE(VALUE(MID(H187,FIND("/",H187,FIND("/",H187)+1)+1,4)),VALUE(MID(H187,FIND("/",H187)+1,FIND("/",H187,FIND("/",H187)+1)-FIND("/",H187)-1)),VALUE(LEFT(H187,FIND("/",H187)-1)))+IFERROR(TIMEVALUE(TRIM(MID(H187,FIND(" ",H187)+1,20))),0),0)))</f>
        <v/>
      </c>
      <c r="K187" s="256">
        <f>IF(I187=0,0,INT(I187))</f>
        <v/>
      </c>
      <c r="L187" s="257">
        <f>IF(OR(I187=0,J187=0),0,ROUND((J187-I187)*24,2))</f>
        <v/>
      </c>
      <c r="M187" s="254">
        <f>IFERROR(TRIM(MID(A187,FIND("@",SUBSTITUTE(A187,"(","@",LEN(A187)-LEN(SUBSTITUTE(A187,"(",""))))+1,FIND(")",A187,FIND("@",SUBSTITUTE(A187,"(","@",LEN(A187)-LEN(SUBSTITUTE(A187,"(","")))))-FIND("@",SUBSTITUTE(A187,"(","@",LEN(A187)-LEN(SUBSTITUTE(A187,"(",""))))-1)),"")</f>
        <v/>
      </c>
      <c r="N187" s="254">
        <f>IF(A187="","",IF(LEFT(TRIM(A187),5)="Leave","Leave",IF(OR(ISNUMBER(SEARCH("public holiday",A187)),ISNUMBER(SEARCH("Purple",E187))),"Public holiday","Event")))</f>
        <v/>
      </c>
    </row>
    <row r="188">
      <c r="G188" s="254">
        <f>IF(C188="","",IF(ISNUMBER(C188),C188,IF(ISNUMBER(VALUE(LEFT(TRIM(C188),1))),TRIM(C188),TRIM(MID(TRIM(C188),FIND(" ",TRIM(C188))+1,99)))))</f>
        <v/>
      </c>
      <c r="H188" s="254">
        <f>IF(D188="","",IF(ISNUMBER(D188),D188,IF(ISNUMBER(VALUE(LEFT(TRIM(D188),1))),TRIM(D188),TRIM(MID(TRIM(D188),FIND(" ",TRIM(D188))+1,99)))))</f>
        <v/>
      </c>
      <c r="I188" s="255">
        <f>IF(G188="",0,IF(ISNUMBER(G188),G188,IFERROR(DATE(VALUE(MID(G188,FIND("/",G188,FIND("/",G188)+1)+1,4)),VALUE(MID(G188,FIND("/",G188)+1,FIND("/",G188,FIND("/",G188)+1)-FIND("/",G188)-1)),VALUE(LEFT(G188,FIND("/",G188)-1)))+IFERROR(TIMEVALUE(TRIM(MID(G188,FIND(" ",G188)+1,20))),0),0)))</f>
        <v/>
      </c>
      <c r="J188" s="255">
        <f>IF(H188="",0,IF(ISNUMBER(H188),H188,IFERROR(DATE(VALUE(MID(H188,FIND("/",H188,FIND("/",H188)+1)+1,4)),VALUE(MID(H188,FIND("/",H188)+1,FIND("/",H188,FIND("/",H188)+1)-FIND("/",H188)-1)),VALUE(LEFT(H188,FIND("/",H188)-1)))+IFERROR(TIMEVALUE(TRIM(MID(H188,FIND(" ",H188)+1,20))),0),0)))</f>
        <v/>
      </c>
      <c r="K188" s="256">
        <f>IF(I188=0,0,INT(I188))</f>
        <v/>
      </c>
      <c r="L188" s="257">
        <f>IF(OR(I188=0,J188=0),0,ROUND((J188-I188)*24,2))</f>
        <v/>
      </c>
      <c r="M188" s="254">
        <f>IFERROR(TRIM(MID(A188,FIND("@",SUBSTITUTE(A188,"(","@",LEN(A188)-LEN(SUBSTITUTE(A188,"(",""))))+1,FIND(")",A188,FIND("@",SUBSTITUTE(A188,"(","@",LEN(A188)-LEN(SUBSTITUTE(A188,"(","")))))-FIND("@",SUBSTITUTE(A188,"(","@",LEN(A188)-LEN(SUBSTITUTE(A188,"(",""))))-1)),"")</f>
        <v/>
      </c>
      <c r="N188" s="254">
        <f>IF(A188="","",IF(LEFT(TRIM(A188),5)="Leave","Leave",IF(OR(ISNUMBER(SEARCH("public holiday",A188)),ISNUMBER(SEARCH("Purple",E188))),"Public holiday","Event")))</f>
        <v/>
      </c>
    </row>
    <row r="189">
      <c r="G189" s="254">
        <f>IF(C189="","",IF(ISNUMBER(C189),C189,IF(ISNUMBER(VALUE(LEFT(TRIM(C189),1))),TRIM(C189),TRIM(MID(TRIM(C189),FIND(" ",TRIM(C189))+1,99)))))</f>
        <v/>
      </c>
      <c r="H189" s="254">
        <f>IF(D189="","",IF(ISNUMBER(D189),D189,IF(ISNUMBER(VALUE(LEFT(TRIM(D189),1))),TRIM(D189),TRIM(MID(TRIM(D189),FIND(" ",TRIM(D189))+1,99)))))</f>
        <v/>
      </c>
      <c r="I189" s="255">
        <f>IF(G189="",0,IF(ISNUMBER(G189),G189,IFERROR(DATE(VALUE(MID(G189,FIND("/",G189,FIND("/",G189)+1)+1,4)),VALUE(MID(G189,FIND("/",G189)+1,FIND("/",G189,FIND("/",G189)+1)-FIND("/",G189)-1)),VALUE(LEFT(G189,FIND("/",G189)-1)))+IFERROR(TIMEVALUE(TRIM(MID(G189,FIND(" ",G189)+1,20))),0),0)))</f>
        <v/>
      </c>
      <c r="J189" s="255">
        <f>IF(H189="",0,IF(ISNUMBER(H189),H189,IFERROR(DATE(VALUE(MID(H189,FIND("/",H189,FIND("/",H189)+1)+1,4)),VALUE(MID(H189,FIND("/",H189)+1,FIND("/",H189,FIND("/",H189)+1)-FIND("/",H189)-1)),VALUE(LEFT(H189,FIND("/",H189)-1)))+IFERROR(TIMEVALUE(TRIM(MID(H189,FIND(" ",H189)+1,20))),0),0)))</f>
        <v/>
      </c>
      <c r="K189" s="256">
        <f>IF(I189=0,0,INT(I189))</f>
        <v/>
      </c>
      <c r="L189" s="257">
        <f>IF(OR(I189=0,J189=0),0,ROUND((J189-I189)*24,2))</f>
        <v/>
      </c>
      <c r="M189" s="254">
        <f>IFERROR(TRIM(MID(A189,FIND("@",SUBSTITUTE(A189,"(","@",LEN(A189)-LEN(SUBSTITUTE(A189,"(",""))))+1,FIND(")",A189,FIND("@",SUBSTITUTE(A189,"(","@",LEN(A189)-LEN(SUBSTITUTE(A189,"(","")))))-FIND("@",SUBSTITUTE(A189,"(","@",LEN(A189)-LEN(SUBSTITUTE(A189,"(",""))))-1)),"")</f>
        <v/>
      </c>
      <c r="N189" s="254">
        <f>IF(A189="","",IF(LEFT(TRIM(A189),5)="Leave","Leave",IF(OR(ISNUMBER(SEARCH("public holiday",A189)),ISNUMBER(SEARCH("Purple",E189))),"Public holiday","Event")))</f>
        <v/>
      </c>
    </row>
    <row r="190">
      <c r="G190" s="254">
        <f>IF(C190="","",IF(ISNUMBER(C190),C190,IF(ISNUMBER(VALUE(LEFT(TRIM(C190),1))),TRIM(C190),TRIM(MID(TRIM(C190),FIND(" ",TRIM(C190))+1,99)))))</f>
        <v/>
      </c>
      <c r="H190" s="254">
        <f>IF(D190="","",IF(ISNUMBER(D190),D190,IF(ISNUMBER(VALUE(LEFT(TRIM(D190),1))),TRIM(D190),TRIM(MID(TRIM(D190),FIND(" ",TRIM(D190))+1,99)))))</f>
        <v/>
      </c>
      <c r="I190" s="255">
        <f>IF(G190="",0,IF(ISNUMBER(G190),G190,IFERROR(DATE(VALUE(MID(G190,FIND("/",G190,FIND("/",G190)+1)+1,4)),VALUE(MID(G190,FIND("/",G190)+1,FIND("/",G190,FIND("/",G190)+1)-FIND("/",G190)-1)),VALUE(LEFT(G190,FIND("/",G190)-1)))+IFERROR(TIMEVALUE(TRIM(MID(G190,FIND(" ",G190)+1,20))),0),0)))</f>
        <v/>
      </c>
      <c r="J190" s="255">
        <f>IF(H190="",0,IF(ISNUMBER(H190),H190,IFERROR(DATE(VALUE(MID(H190,FIND("/",H190,FIND("/",H190)+1)+1,4)),VALUE(MID(H190,FIND("/",H190)+1,FIND("/",H190,FIND("/",H190)+1)-FIND("/",H190)-1)),VALUE(LEFT(H190,FIND("/",H190)-1)))+IFERROR(TIMEVALUE(TRIM(MID(H190,FIND(" ",H190)+1,20))),0),0)))</f>
        <v/>
      </c>
      <c r="K190" s="256">
        <f>IF(I190=0,0,INT(I190))</f>
        <v/>
      </c>
      <c r="L190" s="257">
        <f>IF(OR(I190=0,J190=0),0,ROUND((J190-I190)*24,2))</f>
        <v/>
      </c>
      <c r="M190" s="254">
        <f>IFERROR(TRIM(MID(A190,FIND("@",SUBSTITUTE(A190,"(","@",LEN(A190)-LEN(SUBSTITUTE(A190,"(",""))))+1,FIND(")",A190,FIND("@",SUBSTITUTE(A190,"(","@",LEN(A190)-LEN(SUBSTITUTE(A190,"(","")))))-FIND("@",SUBSTITUTE(A190,"(","@",LEN(A190)-LEN(SUBSTITUTE(A190,"(",""))))-1)),"")</f>
        <v/>
      </c>
      <c r="N190" s="254">
        <f>IF(A190="","",IF(LEFT(TRIM(A190),5)="Leave","Leave",IF(OR(ISNUMBER(SEARCH("public holiday",A190)),ISNUMBER(SEARCH("Purple",E190))),"Public holiday","Event")))</f>
        <v/>
      </c>
    </row>
    <row r="191">
      <c r="G191" s="254">
        <f>IF(C191="","",IF(ISNUMBER(C191),C191,IF(ISNUMBER(VALUE(LEFT(TRIM(C191),1))),TRIM(C191),TRIM(MID(TRIM(C191),FIND(" ",TRIM(C191))+1,99)))))</f>
        <v/>
      </c>
      <c r="H191" s="254">
        <f>IF(D191="","",IF(ISNUMBER(D191),D191,IF(ISNUMBER(VALUE(LEFT(TRIM(D191),1))),TRIM(D191),TRIM(MID(TRIM(D191),FIND(" ",TRIM(D191))+1,99)))))</f>
        <v/>
      </c>
      <c r="I191" s="255">
        <f>IF(G191="",0,IF(ISNUMBER(G191),G191,IFERROR(DATE(VALUE(MID(G191,FIND("/",G191,FIND("/",G191)+1)+1,4)),VALUE(MID(G191,FIND("/",G191)+1,FIND("/",G191,FIND("/",G191)+1)-FIND("/",G191)-1)),VALUE(LEFT(G191,FIND("/",G191)-1)))+IFERROR(TIMEVALUE(TRIM(MID(G191,FIND(" ",G191)+1,20))),0),0)))</f>
        <v/>
      </c>
      <c r="J191" s="255">
        <f>IF(H191="",0,IF(ISNUMBER(H191),H191,IFERROR(DATE(VALUE(MID(H191,FIND("/",H191,FIND("/",H191)+1)+1,4)),VALUE(MID(H191,FIND("/",H191)+1,FIND("/",H191,FIND("/",H191)+1)-FIND("/",H191)-1)),VALUE(LEFT(H191,FIND("/",H191)-1)))+IFERROR(TIMEVALUE(TRIM(MID(H191,FIND(" ",H191)+1,20))),0),0)))</f>
        <v/>
      </c>
      <c r="K191" s="256">
        <f>IF(I191=0,0,INT(I191))</f>
        <v/>
      </c>
      <c r="L191" s="257">
        <f>IF(OR(I191=0,J191=0),0,ROUND((J191-I191)*24,2))</f>
        <v/>
      </c>
      <c r="M191" s="254">
        <f>IFERROR(TRIM(MID(A191,FIND("@",SUBSTITUTE(A191,"(","@",LEN(A191)-LEN(SUBSTITUTE(A191,"(",""))))+1,FIND(")",A191,FIND("@",SUBSTITUTE(A191,"(","@",LEN(A191)-LEN(SUBSTITUTE(A191,"(","")))))-FIND("@",SUBSTITUTE(A191,"(","@",LEN(A191)-LEN(SUBSTITUTE(A191,"(",""))))-1)),"")</f>
        <v/>
      </c>
      <c r="N191" s="254">
        <f>IF(A191="","",IF(LEFT(TRIM(A191),5)="Leave","Leave",IF(OR(ISNUMBER(SEARCH("public holiday",A191)),ISNUMBER(SEARCH("Purple",E191))),"Public holiday","Event")))</f>
        <v/>
      </c>
    </row>
    <row r="192">
      <c r="G192" s="254">
        <f>IF(C192="","",IF(ISNUMBER(C192),C192,IF(ISNUMBER(VALUE(LEFT(TRIM(C192),1))),TRIM(C192),TRIM(MID(TRIM(C192),FIND(" ",TRIM(C192))+1,99)))))</f>
        <v/>
      </c>
      <c r="H192" s="254">
        <f>IF(D192="","",IF(ISNUMBER(D192),D192,IF(ISNUMBER(VALUE(LEFT(TRIM(D192),1))),TRIM(D192),TRIM(MID(TRIM(D192),FIND(" ",TRIM(D192))+1,99)))))</f>
        <v/>
      </c>
      <c r="I192" s="255">
        <f>IF(G192="",0,IF(ISNUMBER(G192),G192,IFERROR(DATE(VALUE(MID(G192,FIND("/",G192,FIND("/",G192)+1)+1,4)),VALUE(MID(G192,FIND("/",G192)+1,FIND("/",G192,FIND("/",G192)+1)-FIND("/",G192)-1)),VALUE(LEFT(G192,FIND("/",G192)-1)))+IFERROR(TIMEVALUE(TRIM(MID(G192,FIND(" ",G192)+1,20))),0),0)))</f>
        <v/>
      </c>
      <c r="J192" s="255">
        <f>IF(H192="",0,IF(ISNUMBER(H192),H192,IFERROR(DATE(VALUE(MID(H192,FIND("/",H192,FIND("/",H192)+1)+1,4)),VALUE(MID(H192,FIND("/",H192)+1,FIND("/",H192,FIND("/",H192)+1)-FIND("/",H192)-1)),VALUE(LEFT(H192,FIND("/",H192)-1)))+IFERROR(TIMEVALUE(TRIM(MID(H192,FIND(" ",H192)+1,20))),0),0)))</f>
        <v/>
      </c>
      <c r="K192" s="256">
        <f>IF(I192=0,0,INT(I192))</f>
        <v/>
      </c>
      <c r="L192" s="257">
        <f>IF(OR(I192=0,J192=0),0,ROUND((J192-I192)*24,2))</f>
        <v/>
      </c>
      <c r="M192" s="254">
        <f>IFERROR(TRIM(MID(A192,FIND("@",SUBSTITUTE(A192,"(","@",LEN(A192)-LEN(SUBSTITUTE(A192,"(",""))))+1,FIND(")",A192,FIND("@",SUBSTITUTE(A192,"(","@",LEN(A192)-LEN(SUBSTITUTE(A192,"(","")))))-FIND("@",SUBSTITUTE(A192,"(","@",LEN(A192)-LEN(SUBSTITUTE(A192,"(",""))))-1)),"")</f>
        <v/>
      </c>
      <c r="N192" s="254">
        <f>IF(A192="","",IF(LEFT(TRIM(A192),5)="Leave","Leave",IF(OR(ISNUMBER(SEARCH("public holiday",A192)),ISNUMBER(SEARCH("Purple",E192))),"Public holiday","Event")))</f>
        <v/>
      </c>
    </row>
    <row r="193">
      <c r="G193" s="254">
        <f>IF(C193="","",IF(ISNUMBER(C193),C193,IF(ISNUMBER(VALUE(LEFT(TRIM(C193),1))),TRIM(C193),TRIM(MID(TRIM(C193),FIND(" ",TRIM(C193))+1,99)))))</f>
        <v/>
      </c>
      <c r="H193" s="254">
        <f>IF(D193="","",IF(ISNUMBER(D193),D193,IF(ISNUMBER(VALUE(LEFT(TRIM(D193),1))),TRIM(D193),TRIM(MID(TRIM(D193),FIND(" ",TRIM(D193))+1,99)))))</f>
        <v/>
      </c>
      <c r="I193" s="255">
        <f>IF(G193="",0,IF(ISNUMBER(G193),G193,IFERROR(DATE(VALUE(MID(G193,FIND("/",G193,FIND("/",G193)+1)+1,4)),VALUE(MID(G193,FIND("/",G193)+1,FIND("/",G193,FIND("/",G193)+1)-FIND("/",G193)-1)),VALUE(LEFT(G193,FIND("/",G193)-1)))+IFERROR(TIMEVALUE(TRIM(MID(G193,FIND(" ",G193)+1,20))),0),0)))</f>
        <v/>
      </c>
      <c r="J193" s="255">
        <f>IF(H193="",0,IF(ISNUMBER(H193),H193,IFERROR(DATE(VALUE(MID(H193,FIND("/",H193,FIND("/",H193)+1)+1,4)),VALUE(MID(H193,FIND("/",H193)+1,FIND("/",H193,FIND("/",H193)+1)-FIND("/",H193)-1)),VALUE(LEFT(H193,FIND("/",H193)-1)))+IFERROR(TIMEVALUE(TRIM(MID(H193,FIND(" ",H193)+1,20))),0),0)))</f>
        <v/>
      </c>
      <c r="K193" s="256">
        <f>IF(I193=0,0,INT(I193))</f>
        <v/>
      </c>
      <c r="L193" s="257">
        <f>IF(OR(I193=0,J193=0),0,ROUND((J193-I193)*24,2))</f>
        <v/>
      </c>
      <c r="M193" s="254">
        <f>IFERROR(TRIM(MID(A193,FIND("@",SUBSTITUTE(A193,"(","@",LEN(A193)-LEN(SUBSTITUTE(A193,"(",""))))+1,FIND(")",A193,FIND("@",SUBSTITUTE(A193,"(","@",LEN(A193)-LEN(SUBSTITUTE(A193,"(","")))))-FIND("@",SUBSTITUTE(A193,"(","@",LEN(A193)-LEN(SUBSTITUTE(A193,"(",""))))-1)),"")</f>
        <v/>
      </c>
      <c r="N193" s="254">
        <f>IF(A193="","",IF(LEFT(TRIM(A193),5)="Leave","Leave",IF(OR(ISNUMBER(SEARCH("public holiday",A193)),ISNUMBER(SEARCH("Purple",E193))),"Public holiday","Event")))</f>
        <v/>
      </c>
    </row>
    <row r="194">
      <c r="G194" s="254">
        <f>IF(C194="","",IF(ISNUMBER(C194),C194,IF(ISNUMBER(VALUE(LEFT(TRIM(C194),1))),TRIM(C194),TRIM(MID(TRIM(C194),FIND(" ",TRIM(C194))+1,99)))))</f>
        <v/>
      </c>
      <c r="H194" s="254">
        <f>IF(D194="","",IF(ISNUMBER(D194),D194,IF(ISNUMBER(VALUE(LEFT(TRIM(D194),1))),TRIM(D194),TRIM(MID(TRIM(D194),FIND(" ",TRIM(D194))+1,99)))))</f>
        <v/>
      </c>
      <c r="I194" s="255">
        <f>IF(G194="",0,IF(ISNUMBER(G194),G194,IFERROR(DATE(VALUE(MID(G194,FIND("/",G194,FIND("/",G194)+1)+1,4)),VALUE(MID(G194,FIND("/",G194)+1,FIND("/",G194,FIND("/",G194)+1)-FIND("/",G194)-1)),VALUE(LEFT(G194,FIND("/",G194)-1)))+IFERROR(TIMEVALUE(TRIM(MID(G194,FIND(" ",G194)+1,20))),0),0)))</f>
        <v/>
      </c>
      <c r="J194" s="255">
        <f>IF(H194="",0,IF(ISNUMBER(H194),H194,IFERROR(DATE(VALUE(MID(H194,FIND("/",H194,FIND("/",H194)+1)+1,4)),VALUE(MID(H194,FIND("/",H194)+1,FIND("/",H194,FIND("/",H194)+1)-FIND("/",H194)-1)),VALUE(LEFT(H194,FIND("/",H194)-1)))+IFERROR(TIMEVALUE(TRIM(MID(H194,FIND(" ",H194)+1,20))),0),0)))</f>
        <v/>
      </c>
      <c r="K194" s="256">
        <f>IF(I194=0,0,INT(I194))</f>
        <v/>
      </c>
      <c r="L194" s="257">
        <f>IF(OR(I194=0,J194=0),0,ROUND((J194-I194)*24,2))</f>
        <v/>
      </c>
      <c r="M194" s="254">
        <f>IFERROR(TRIM(MID(A194,FIND("@",SUBSTITUTE(A194,"(","@",LEN(A194)-LEN(SUBSTITUTE(A194,"(",""))))+1,FIND(")",A194,FIND("@",SUBSTITUTE(A194,"(","@",LEN(A194)-LEN(SUBSTITUTE(A194,"(","")))))-FIND("@",SUBSTITUTE(A194,"(","@",LEN(A194)-LEN(SUBSTITUTE(A194,"(",""))))-1)),"")</f>
        <v/>
      </c>
      <c r="N194" s="254">
        <f>IF(A194="","",IF(LEFT(TRIM(A194),5)="Leave","Leave",IF(OR(ISNUMBER(SEARCH("public holiday",A194)),ISNUMBER(SEARCH("Purple",E194))),"Public holiday","Event")))</f>
        <v/>
      </c>
    </row>
    <row r="195">
      <c r="G195" s="254">
        <f>IF(C195="","",IF(ISNUMBER(C195),C195,IF(ISNUMBER(VALUE(LEFT(TRIM(C195),1))),TRIM(C195),TRIM(MID(TRIM(C195),FIND(" ",TRIM(C195))+1,99)))))</f>
        <v/>
      </c>
      <c r="H195" s="254">
        <f>IF(D195="","",IF(ISNUMBER(D195),D195,IF(ISNUMBER(VALUE(LEFT(TRIM(D195),1))),TRIM(D195),TRIM(MID(TRIM(D195),FIND(" ",TRIM(D195))+1,99)))))</f>
        <v/>
      </c>
      <c r="I195" s="255">
        <f>IF(G195="",0,IF(ISNUMBER(G195),G195,IFERROR(DATE(VALUE(MID(G195,FIND("/",G195,FIND("/",G195)+1)+1,4)),VALUE(MID(G195,FIND("/",G195)+1,FIND("/",G195,FIND("/",G195)+1)-FIND("/",G195)-1)),VALUE(LEFT(G195,FIND("/",G195)-1)))+IFERROR(TIMEVALUE(TRIM(MID(G195,FIND(" ",G195)+1,20))),0),0)))</f>
        <v/>
      </c>
      <c r="J195" s="255">
        <f>IF(H195="",0,IF(ISNUMBER(H195),H195,IFERROR(DATE(VALUE(MID(H195,FIND("/",H195,FIND("/",H195)+1)+1,4)),VALUE(MID(H195,FIND("/",H195)+1,FIND("/",H195,FIND("/",H195)+1)-FIND("/",H195)-1)),VALUE(LEFT(H195,FIND("/",H195)-1)))+IFERROR(TIMEVALUE(TRIM(MID(H195,FIND(" ",H195)+1,20))),0),0)))</f>
        <v/>
      </c>
      <c r="K195" s="256">
        <f>IF(I195=0,0,INT(I195))</f>
        <v/>
      </c>
      <c r="L195" s="257">
        <f>IF(OR(I195=0,J195=0),0,ROUND((J195-I195)*24,2))</f>
        <v/>
      </c>
      <c r="M195" s="254">
        <f>IFERROR(TRIM(MID(A195,FIND("@",SUBSTITUTE(A195,"(","@",LEN(A195)-LEN(SUBSTITUTE(A195,"(",""))))+1,FIND(")",A195,FIND("@",SUBSTITUTE(A195,"(","@",LEN(A195)-LEN(SUBSTITUTE(A195,"(","")))))-FIND("@",SUBSTITUTE(A195,"(","@",LEN(A195)-LEN(SUBSTITUTE(A195,"(",""))))-1)),"")</f>
        <v/>
      </c>
      <c r="N195" s="254">
        <f>IF(A195="","",IF(LEFT(TRIM(A195),5)="Leave","Leave",IF(OR(ISNUMBER(SEARCH("public holiday",A195)),ISNUMBER(SEARCH("Purple",E195))),"Public holiday","Event")))</f>
        <v/>
      </c>
    </row>
    <row r="196">
      <c r="G196" s="254">
        <f>IF(C196="","",IF(ISNUMBER(C196),C196,IF(ISNUMBER(VALUE(LEFT(TRIM(C196),1))),TRIM(C196),TRIM(MID(TRIM(C196),FIND(" ",TRIM(C196))+1,99)))))</f>
        <v/>
      </c>
      <c r="H196" s="254">
        <f>IF(D196="","",IF(ISNUMBER(D196),D196,IF(ISNUMBER(VALUE(LEFT(TRIM(D196),1))),TRIM(D196),TRIM(MID(TRIM(D196),FIND(" ",TRIM(D196))+1,99)))))</f>
        <v/>
      </c>
      <c r="I196" s="255">
        <f>IF(G196="",0,IF(ISNUMBER(G196),G196,IFERROR(DATE(VALUE(MID(G196,FIND("/",G196,FIND("/",G196)+1)+1,4)),VALUE(MID(G196,FIND("/",G196)+1,FIND("/",G196,FIND("/",G196)+1)-FIND("/",G196)-1)),VALUE(LEFT(G196,FIND("/",G196)-1)))+IFERROR(TIMEVALUE(TRIM(MID(G196,FIND(" ",G196)+1,20))),0),0)))</f>
        <v/>
      </c>
      <c r="J196" s="255">
        <f>IF(H196="",0,IF(ISNUMBER(H196),H196,IFERROR(DATE(VALUE(MID(H196,FIND("/",H196,FIND("/",H196)+1)+1,4)),VALUE(MID(H196,FIND("/",H196)+1,FIND("/",H196,FIND("/",H196)+1)-FIND("/",H196)-1)),VALUE(LEFT(H196,FIND("/",H196)-1)))+IFERROR(TIMEVALUE(TRIM(MID(H196,FIND(" ",H196)+1,20))),0),0)))</f>
        <v/>
      </c>
      <c r="K196" s="256">
        <f>IF(I196=0,0,INT(I196))</f>
        <v/>
      </c>
      <c r="L196" s="257">
        <f>IF(OR(I196=0,J196=0),0,ROUND((J196-I196)*24,2))</f>
        <v/>
      </c>
      <c r="M196" s="254">
        <f>IFERROR(TRIM(MID(A196,FIND("@",SUBSTITUTE(A196,"(","@",LEN(A196)-LEN(SUBSTITUTE(A196,"(",""))))+1,FIND(")",A196,FIND("@",SUBSTITUTE(A196,"(","@",LEN(A196)-LEN(SUBSTITUTE(A196,"(","")))))-FIND("@",SUBSTITUTE(A196,"(","@",LEN(A196)-LEN(SUBSTITUTE(A196,"(",""))))-1)),"")</f>
        <v/>
      </c>
      <c r="N196" s="254">
        <f>IF(A196="","",IF(LEFT(TRIM(A196),5)="Leave","Leave",IF(OR(ISNUMBER(SEARCH("public holiday",A196)),ISNUMBER(SEARCH("Purple",E196))),"Public holiday","Event")))</f>
        <v/>
      </c>
    </row>
    <row r="197">
      <c r="G197" s="254">
        <f>IF(C197="","",IF(ISNUMBER(C197),C197,IF(ISNUMBER(VALUE(LEFT(TRIM(C197),1))),TRIM(C197),TRIM(MID(TRIM(C197),FIND(" ",TRIM(C197))+1,99)))))</f>
        <v/>
      </c>
      <c r="H197" s="254">
        <f>IF(D197="","",IF(ISNUMBER(D197),D197,IF(ISNUMBER(VALUE(LEFT(TRIM(D197),1))),TRIM(D197),TRIM(MID(TRIM(D197),FIND(" ",TRIM(D197))+1,99)))))</f>
        <v/>
      </c>
      <c r="I197" s="255">
        <f>IF(G197="",0,IF(ISNUMBER(G197),G197,IFERROR(DATE(VALUE(MID(G197,FIND("/",G197,FIND("/",G197)+1)+1,4)),VALUE(MID(G197,FIND("/",G197)+1,FIND("/",G197,FIND("/",G197)+1)-FIND("/",G197)-1)),VALUE(LEFT(G197,FIND("/",G197)-1)))+IFERROR(TIMEVALUE(TRIM(MID(G197,FIND(" ",G197)+1,20))),0),0)))</f>
        <v/>
      </c>
      <c r="J197" s="255">
        <f>IF(H197="",0,IF(ISNUMBER(H197),H197,IFERROR(DATE(VALUE(MID(H197,FIND("/",H197,FIND("/",H197)+1)+1,4)),VALUE(MID(H197,FIND("/",H197)+1,FIND("/",H197,FIND("/",H197)+1)-FIND("/",H197)-1)),VALUE(LEFT(H197,FIND("/",H197)-1)))+IFERROR(TIMEVALUE(TRIM(MID(H197,FIND(" ",H197)+1,20))),0),0)))</f>
        <v/>
      </c>
      <c r="K197" s="256">
        <f>IF(I197=0,0,INT(I197))</f>
        <v/>
      </c>
      <c r="L197" s="257">
        <f>IF(OR(I197=0,J197=0),0,ROUND((J197-I197)*24,2))</f>
        <v/>
      </c>
      <c r="M197" s="254">
        <f>IFERROR(TRIM(MID(A197,FIND("@",SUBSTITUTE(A197,"(","@",LEN(A197)-LEN(SUBSTITUTE(A197,"(",""))))+1,FIND(")",A197,FIND("@",SUBSTITUTE(A197,"(","@",LEN(A197)-LEN(SUBSTITUTE(A197,"(","")))))-FIND("@",SUBSTITUTE(A197,"(","@",LEN(A197)-LEN(SUBSTITUTE(A197,"(",""))))-1)),"")</f>
        <v/>
      </c>
      <c r="N197" s="254">
        <f>IF(A197="","",IF(LEFT(TRIM(A197),5)="Leave","Leave",IF(OR(ISNUMBER(SEARCH("public holiday",A197)),ISNUMBER(SEARCH("Purple",E197))),"Public holiday","Event")))</f>
        <v/>
      </c>
    </row>
    <row r="198">
      <c r="G198" s="254">
        <f>IF(C198="","",IF(ISNUMBER(C198),C198,IF(ISNUMBER(VALUE(LEFT(TRIM(C198),1))),TRIM(C198),TRIM(MID(TRIM(C198),FIND(" ",TRIM(C198))+1,99)))))</f>
        <v/>
      </c>
      <c r="H198" s="254">
        <f>IF(D198="","",IF(ISNUMBER(D198),D198,IF(ISNUMBER(VALUE(LEFT(TRIM(D198),1))),TRIM(D198),TRIM(MID(TRIM(D198),FIND(" ",TRIM(D198))+1,99)))))</f>
        <v/>
      </c>
      <c r="I198" s="255">
        <f>IF(G198="",0,IF(ISNUMBER(G198),G198,IFERROR(DATE(VALUE(MID(G198,FIND("/",G198,FIND("/",G198)+1)+1,4)),VALUE(MID(G198,FIND("/",G198)+1,FIND("/",G198,FIND("/",G198)+1)-FIND("/",G198)-1)),VALUE(LEFT(G198,FIND("/",G198)-1)))+IFERROR(TIMEVALUE(TRIM(MID(G198,FIND(" ",G198)+1,20))),0),0)))</f>
        <v/>
      </c>
      <c r="J198" s="255">
        <f>IF(H198="",0,IF(ISNUMBER(H198),H198,IFERROR(DATE(VALUE(MID(H198,FIND("/",H198,FIND("/",H198)+1)+1,4)),VALUE(MID(H198,FIND("/",H198)+1,FIND("/",H198,FIND("/",H198)+1)-FIND("/",H198)-1)),VALUE(LEFT(H198,FIND("/",H198)-1)))+IFERROR(TIMEVALUE(TRIM(MID(H198,FIND(" ",H198)+1,20))),0),0)))</f>
        <v/>
      </c>
      <c r="K198" s="256">
        <f>IF(I198=0,0,INT(I198))</f>
        <v/>
      </c>
      <c r="L198" s="257">
        <f>IF(OR(I198=0,J198=0),0,ROUND((J198-I198)*24,2))</f>
        <v/>
      </c>
      <c r="M198" s="254">
        <f>IFERROR(TRIM(MID(A198,FIND("@",SUBSTITUTE(A198,"(","@",LEN(A198)-LEN(SUBSTITUTE(A198,"(",""))))+1,FIND(")",A198,FIND("@",SUBSTITUTE(A198,"(","@",LEN(A198)-LEN(SUBSTITUTE(A198,"(","")))))-FIND("@",SUBSTITUTE(A198,"(","@",LEN(A198)-LEN(SUBSTITUTE(A198,"(",""))))-1)),"")</f>
        <v/>
      </c>
      <c r="N198" s="254">
        <f>IF(A198="","",IF(LEFT(TRIM(A198),5)="Leave","Leave",IF(OR(ISNUMBER(SEARCH("public holiday",A198)),ISNUMBER(SEARCH("Purple",E198))),"Public holiday","Event")))</f>
        <v/>
      </c>
    </row>
    <row r="199">
      <c r="G199" s="254">
        <f>IF(C199="","",IF(ISNUMBER(C199),C199,IF(ISNUMBER(VALUE(LEFT(TRIM(C199),1))),TRIM(C199),TRIM(MID(TRIM(C199),FIND(" ",TRIM(C199))+1,99)))))</f>
        <v/>
      </c>
      <c r="H199" s="254">
        <f>IF(D199="","",IF(ISNUMBER(D199),D199,IF(ISNUMBER(VALUE(LEFT(TRIM(D199),1))),TRIM(D199),TRIM(MID(TRIM(D199),FIND(" ",TRIM(D199))+1,99)))))</f>
        <v/>
      </c>
      <c r="I199" s="255">
        <f>IF(G199="",0,IF(ISNUMBER(G199),G199,IFERROR(DATE(VALUE(MID(G199,FIND("/",G199,FIND("/",G199)+1)+1,4)),VALUE(MID(G199,FIND("/",G199)+1,FIND("/",G199,FIND("/",G199)+1)-FIND("/",G199)-1)),VALUE(LEFT(G199,FIND("/",G199)-1)))+IFERROR(TIMEVALUE(TRIM(MID(G199,FIND(" ",G199)+1,20))),0),0)))</f>
        <v/>
      </c>
      <c r="J199" s="255">
        <f>IF(H199="",0,IF(ISNUMBER(H199),H199,IFERROR(DATE(VALUE(MID(H199,FIND("/",H199,FIND("/",H199)+1)+1,4)),VALUE(MID(H199,FIND("/",H199)+1,FIND("/",H199,FIND("/",H199)+1)-FIND("/",H199)-1)),VALUE(LEFT(H199,FIND("/",H199)-1)))+IFERROR(TIMEVALUE(TRIM(MID(H199,FIND(" ",H199)+1,20))),0),0)))</f>
        <v/>
      </c>
      <c r="K199" s="256">
        <f>IF(I199=0,0,INT(I199))</f>
        <v/>
      </c>
      <c r="L199" s="257">
        <f>IF(OR(I199=0,J199=0),0,ROUND((J199-I199)*24,2))</f>
        <v/>
      </c>
      <c r="M199" s="254">
        <f>IFERROR(TRIM(MID(A199,FIND("@",SUBSTITUTE(A199,"(","@",LEN(A199)-LEN(SUBSTITUTE(A199,"(",""))))+1,FIND(")",A199,FIND("@",SUBSTITUTE(A199,"(","@",LEN(A199)-LEN(SUBSTITUTE(A199,"(","")))))-FIND("@",SUBSTITUTE(A199,"(","@",LEN(A199)-LEN(SUBSTITUTE(A199,"(",""))))-1)),"")</f>
        <v/>
      </c>
      <c r="N199" s="254">
        <f>IF(A199="","",IF(LEFT(TRIM(A199),5)="Leave","Leave",IF(OR(ISNUMBER(SEARCH("public holiday",A199)),ISNUMBER(SEARCH("Purple",E199))),"Public holiday","Event")))</f>
        <v/>
      </c>
    </row>
    <row r="200">
      <c r="G200" s="254">
        <f>IF(C200="","",IF(ISNUMBER(C200),C200,IF(ISNUMBER(VALUE(LEFT(TRIM(C200),1))),TRIM(C200),TRIM(MID(TRIM(C200),FIND(" ",TRIM(C200))+1,99)))))</f>
        <v/>
      </c>
      <c r="H200" s="254">
        <f>IF(D200="","",IF(ISNUMBER(D200),D200,IF(ISNUMBER(VALUE(LEFT(TRIM(D200),1))),TRIM(D200),TRIM(MID(TRIM(D200),FIND(" ",TRIM(D200))+1,99)))))</f>
        <v/>
      </c>
      <c r="I200" s="255">
        <f>IF(G200="",0,IF(ISNUMBER(G200),G200,IFERROR(DATE(VALUE(MID(G200,FIND("/",G200,FIND("/",G200)+1)+1,4)),VALUE(MID(G200,FIND("/",G200)+1,FIND("/",G200,FIND("/",G200)+1)-FIND("/",G200)-1)),VALUE(LEFT(G200,FIND("/",G200)-1)))+IFERROR(TIMEVALUE(TRIM(MID(G200,FIND(" ",G200)+1,20))),0),0)))</f>
        <v/>
      </c>
      <c r="J200" s="255">
        <f>IF(H200="",0,IF(ISNUMBER(H200),H200,IFERROR(DATE(VALUE(MID(H200,FIND("/",H200,FIND("/",H200)+1)+1,4)),VALUE(MID(H200,FIND("/",H200)+1,FIND("/",H200,FIND("/",H200)+1)-FIND("/",H200)-1)),VALUE(LEFT(H200,FIND("/",H200)-1)))+IFERROR(TIMEVALUE(TRIM(MID(H200,FIND(" ",H200)+1,20))),0),0)))</f>
        <v/>
      </c>
      <c r="K200" s="256">
        <f>IF(I200=0,0,INT(I200))</f>
        <v/>
      </c>
      <c r="L200" s="257">
        <f>IF(OR(I200=0,J200=0),0,ROUND((J200-I200)*24,2))</f>
        <v/>
      </c>
      <c r="M200" s="254">
        <f>IFERROR(TRIM(MID(A200,FIND("@",SUBSTITUTE(A200,"(","@",LEN(A200)-LEN(SUBSTITUTE(A200,"(",""))))+1,FIND(")",A200,FIND("@",SUBSTITUTE(A200,"(","@",LEN(A200)-LEN(SUBSTITUTE(A200,"(","")))))-FIND("@",SUBSTITUTE(A200,"(","@",LEN(A200)-LEN(SUBSTITUTE(A200,"(",""))))-1)),"")</f>
        <v/>
      </c>
      <c r="N200" s="254">
        <f>IF(A200="","",IF(LEFT(TRIM(A200),5)="Leave","Leave",IF(OR(ISNUMBER(SEARCH("public holiday",A200)),ISNUMBER(SEARCH("Purple",E200))),"Public holiday","Event")))</f>
        <v/>
      </c>
    </row>
    <row r="201">
      <c r="G201" s="254">
        <f>IF(C201="","",IF(ISNUMBER(C201),C201,IF(ISNUMBER(VALUE(LEFT(TRIM(C201),1))),TRIM(C201),TRIM(MID(TRIM(C201),FIND(" ",TRIM(C201))+1,99)))))</f>
        <v/>
      </c>
      <c r="H201" s="254">
        <f>IF(D201="","",IF(ISNUMBER(D201),D201,IF(ISNUMBER(VALUE(LEFT(TRIM(D201),1))),TRIM(D201),TRIM(MID(TRIM(D201),FIND(" ",TRIM(D201))+1,99)))))</f>
        <v/>
      </c>
      <c r="I201" s="255">
        <f>IF(G201="",0,IF(ISNUMBER(G201),G201,IFERROR(DATE(VALUE(MID(G201,FIND("/",G201,FIND("/",G201)+1)+1,4)),VALUE(MID(G201,FIND("/",G201)+1,FIND("/",G201,FIND("/",G201)+1)-FIND("/",G201)-1)),VALUE(LEFT(G201,FIND("/",G201)-1)))+IFERROR(TIMEVALUE(TRIM(MID(G201,FIND(" ",G201)+1,20))),0),0)))</f>
        <v/>
      </c>
      <c r="J201" s="255">
        <f>IF(H201="",0,IF(ISNUMBER(H201),H201,IFERROR(DATE(VALUE(MID(H201,FIND("/",H201,FIND("/",H201)+1)+1,4)),VALUE(MID(H201,FIND("/",H201)+1,FIND("/",H201,FIND("/",H201)+1)-FIND("/",H201)-1)),VALUE(LEFT(H201,FIND("/",H201)-1)))+IFERROR(TIMEVALUE(TRIM(MID(H201,FIND(" ",H201)+1,20))),0),0)))</f>
        <v/>
      </c>
      <c r="K201" s="256">
        <f>IF(I201=0,0,INT(I201))</f>
        <v/>
      </c>
      <c r="L201" s="257">
        <f>IF(OR(I201=0,J201=0),0,ROUND((J201-I201)*24,2))</f>
        <v/>
      </c>
      <c r="M201" s="254">
        <f>IFERROR(TRIM(MID(A201,FIND("@",SUBSTITUTE(A201,"(","@",LEN(A201)-LEN(SUBSTITUTE(A201,"(",""))))+1,FIND(")",A201,FIND("@",SUBSTITUTE(A201,"(","@",LEN(A201)-LEN(SUBSTITUTE(A201,"(","")))))-FIND("@",SUBSTITUTE(A201,"(","@",LEN(A201)-LEN(SUBSTITUTE(A201,"(",""))))-1)),"")</f>
        <v/>
      </c>
      <c r="N201" s="254">
        <f>IF(A201="","",IF(LEFT(TRIM(A201),5)="Leave","Leave",IF(OR(ISNUMBER(SEARCH("public holiday",A201)),ISNUMBER(SEARCH("Purple",E201))),"Public holiday","Event")))</f>
        <v/>
      </c>
    </row>
    <row r="202">
      <c r="G202" s="254">
        <f>IF(C202="","",IF(ISNUMBER(C202),C202,IF(ISNUMBER(VALUE(LEFT(TRIM(C202),1))),TRIM(C202),TRIM(MID(TRIM(C202),FIND(" ",TRIM(C202))+1,99)))))</f>
        <v/>
      </c>
      <c r="H202" s="254">
        <f>IF(D202="","",IF(ISNUMBER(D202),D202,IF(ISNUMBER(VALUE(LEFT(TRIM(D202),1))),TRIM(D202),TRIM(MID(TRIM(D202),FIND(" ",TRIM(D202))+1,99)))))</f>
        <v/>
      </c>
      <c r="I202" s="255">
        <f>IF(G202="",0,IF(ISNUMBER(G202),G202,IFERROR(DATE(VALUE(MID(G202,FIND("/",G202,FIND("/",G202)+1)+1,4)),VALUE(MID(G202,FIND("/",G202)+1,FIND("/",G202,FIND("/",G202)+1)-FIND("/",G202)-1)),VALUE(LEFT(G202,FIND("/",G202)-1)))+IFERROR(TIMEVALUE(TRIM(MID(G202,FIND(" ",G202)+1,20))),0),0)))</f>
        <v/>
      </c>
      <c r="J202" s="255">
        <f>IF(H202="",0,IF(ISNUMBER(H202),H202,IFERROR(DATE(VALUE(MID(H202,FIND("/",H202,FIND("/",H202)+1)+1,4)),VALUE(MID(H202,FIND("/",H202)+1,FIND("/",H202,FIND("/",H202)+1)-FIND("/",H202)-1)),VALUE(LEFT(H202,FIND("/",H202)-1)))+IFERROR(TIMEVALUE(TRIM(MID(H202,FIND(" ",H202)+1,20))),0),0)))</f>
        <v/>
      </c>
      <c r="K202" s="256">
        <f>IF(I202=0,0,INT(I202))</f>
        <v/>
      </c>
      <c r="L202" s="257">
        <f>IF(OR(I202=0,J202=0),0,ROUND((J202-I202)*24,2))</f>
        <v/>
      </c>
      <c r="M202" s="254">
        <f>IFERROR(TRIM(MID(A202,FIND("@",SUBSTITUTE(A202,"(","@",LEN(A202)-LEN(SUBSTITUTE(A202,"(",""))))+1,FIND(")",A202,FIND("@",SUBSTITUTE(A202,"(","@",LEN(A202)-LEN(SUBSTITUTE(A202,"(","")))))-FIND("@",SUBSTITUTE(A202,"(","@",LEN(A202)-LEN(SUBSTITUTE(A202,"(",""))))-1)),"")</f>
        <v/>
      </c>
      <c r="N202" s="254">
        <f>IF(A202="","",IF(LEFT(TRIM(A202),5)="Leave","Leave",IF(OR(ISNUMBER(SEARCH("public holiday",A202)),ISNUMBER(SEARCH("Purple",E202))),"Public holiday","Event")))</f>
        <v/>
      </c>
    </row>
    <row r="203">
      <c r="G203" s="254">
        <f>IF(C203="","",IF(ISNUMBER(C203),C203,IF(ISNUMBER(VALUE(LEFT(TRIM(C203),1))),TRIM(C203),TRIM(MID(TRIM(C203),FIND(" ",TRIM(C203))+1,99)))))</f>
        <v/>
      </c>
      <c r="H203" s="254">
        <f>IF(D203="","",IF(ISNUMBER(D203),D203,IF(ISNUMBER(VALUE(LEFT(TRIM(D203),1))),TRIM(D203),TRIM(MID(TRIM(D203),FIND(" ",TRIM(D203))+1,99)))))</f>
        <v/>
      </c>
      <c r="I203" s="255">
        <f>IF(G203="",0,IF(ISNUMBER(G203),G203,IFERROR(DATE(VALUE(MID(G203,FIND("/",G203,FIND("/",G203)+1)+1,4)),VALUE(MID(G203,FIND("/",G203)+1,FIND("/",G203,FIND("/",G203)+1)-FIND("/",G203)-1)),VALUE(LEFT(G203,FIND("/",G203)-1)))+IFERROR(TIMEVALUE(TRIM(MID(G203,FIND(" ",G203)+1,20))),0),0)))</f>
        <v/>
      </c>
      <c r="J203" s="255">
        <f>IF(H203="",0,IF(ISNUMBER(H203),H203,IFERROR(DATE(VALUE(MID(H203,FIND("/",H203,FIND("/",H203)+1)+1,4)),VALUE(MID(H203,FIND("/",H203)+1,FIND("/",H203,FIND("/",H203)+1)-FIND("/",H203)-1)),VALUE(LEFT(H203,FIND("/",H203)-1)))+IFERROR(TIMEVALUE(TRIM(MID(H203,FIND(" ",H203)+1,20))),0),0)))</f>
        <v/>
      </c>
      <c r="K203" s="256">
        <f>IF(I203=0,0,INT(I203))</f>
        <v/>
      </c>
      <c r="L203" s="257">
        <f>IF(OR(I203=0,J203=0),0,ROUND((J203-I203)*24,2))</f>
        <v/>
      </c>
      <c r="M203" s="254">
        <f>IFERROR(TRIM(MID(A203,FIND("@",SUBSTITUTE(A203,"(","@",LEN(A203)-LEN(SUBSTITUTE(A203,"(",""))))+1,FIND(")",A203,FIND("@",SUBSTITUTE(A203,"(","@",LEN(A203)-LEN(SUBSTITUTE(A203,"(","")))))-FIND("@",SUBSTITUTE(A203,"(","@",LEN(A203)-LEN(SUBSTITUTE(A203,"(",""))))-1)),"")</f>
        <v/>
      </c>
      <c r="N203" s="254">
        <f>IF(A203="","",IF(LEFT(TRIM(A203),5)="Leave","Leave",IF(OR(ISNUMBER(SEARCH("public holiday",A203)),ISNUMBER(SEARCH("Purple",E203))),"Public holiday","Event")))</f>
        <v/>
      </c>
    </row>
    <row r="204">
      <c r="G204" s="254">
        <f>IF(C204="","",IF(ISNUMBER(C204),C204,IF(ISNUMBER(VALUE(LEFT(TRIM(C204),1))),TRIM(C204),TRIM(MID(TRIM(C204),FIND(" ",TRIM(C204))+1,99)))))</f>
        <v/>
      </c>
      <c r="H204" s="254">
        <f>IF(D204="","",IF(ISNUMBER(D204),D204,IF(ISNUMBER(VALUE(LEFT(TRIM(D204),1))),TRIM(D204),TRIM(MID(TRIM(D204),FIND(" ",TRIM(D204))+1,99)))))</f>
        <v/>
      </c>
      <c r="I204" s="255">
        <f>IF(G204="",0,IF(ISNUMBER(G204),G204,IFERROR(DATE(VALUE(MID(G204,FIND("/",G204,FIND("/",G204)+1)+1,4)),VALUE(MID(G204,FIND("/",G204)+1,FIND("/",G204,FIND("/",G204)+1)-FIND("/",G204)-1)),VALUE(LEFT(G204,FIND("/",G204)-1)))+IFERROR(TIMEVALUE(TRIM(MID(G204,FIND(" ",G204)+1,20))),0),0)))</f>
        <v/>
      </c>
      <c r="J204" s="255">
        <f>IF(H204="",0,IF(ISNUMBER(H204),H204,IFERROR(DATE(VALUE(MID(H204,FIND("/",H204,FIND("/",H204)+1)+1,4)),VALUE(MID(H204,FIND("/",H204)+1,FIND("/",H204,FIND("/",H204)+1)-FIND("/",H204)-1)),VALUE(LEFT(H204,FIND("/",H204)-1)))+IFERROR(TIMEVALUE(TRIM(MID(H204,FIND(" ",H204)+1,20))),0),0)))</f>
        <v/>
      </c>
      <c r="K204" s="256">
        <f>IF(I204=0,0,INT(I204))</f>
        <v/>
      </c>
      <c r="L204" s="257">
        <f>IF(OR(I204=0,J204=0),0,ROUND((J204-I204)*24,2))</f>
        <v/>
      </c>
      <c r="M204" s="254">
        <f>IFERROR(TRIM(MID(A204,FIND("@",SUBSTITUTE(A204,"(","@",LEN(A204)-LEN(SUBSTITUTE(A204,"(",""))))+1,FIND(")",A204,FIND("@",SUBSTITUTE(A204,"(","@",LEN(A204)-LEN(SUBSTITUTE(A204,"(","")))))-FIND("@",SUBSTITUTE(A204,"(","@",LEN(A204)-LEN(SUBSTITUTE(A204,"(",""))))-1)),"")</f>
        <v/>
      </c>
      <c r="N204" s="254">
        <f>IF(A204="","",IF(LEFT(TRIM(A204),5)="Leave","Leave",IF(OR(ISNUMBER(SEARCH("public holiday",A204)),ISNUMBER(SEARCH("Purple",E204))),"Public holiday","Event")))</f>
        <v/>
      </c>
    </row>
    <row r="205">
      <c r="G205" s="254">
        <f>IF(C205="","",IF(ISNUMBER(C205),C205,IF(ISNUMBER(VALUE(LEFT(TRIM(C205),1))),TRIM(C205),TRIM(MID(TRIM(C205),FIND(" ",TRIM(C205))+1,99)))))</f>
        <v/>
      </c>
      <c r="H205" s="254">
        <f>IF(D205="","",IF(ISNUMBER(D205),D205,IF(ISNUMBER(VALUE(LEFT(TRIM(D205),1))),TRIM(D205),TRIM(MID(TRIM(D205),FIND(" ",TRIM(D205))+1,99)))))</f>
        <v/>
      </c>
      <c r="I205" s="255">
        <f>IF(G205="",0,IF(ISNUMBER(G205),G205,IFERROR(DATE(VALUE(MID(G205,FIND("/",G205,FIND("/",G205)+1)+1,4)),VALUE(MID(G205,FIND("/",G205)+1,FIND("/",G205,FIND("/",G205)+1)-FIND("/",G205)-1)),VALUE(LEFT(G205,FIND("/",G205)-1)))+IFERROR(TIMEVALUE(TRIM(MID(G205,FIND(" ",G205)+1,20))),0),0)))</f>
        <v/>
      </c>
      <c r="J205" s="255">
        <f>IF(H205="",0,IF(ISNUMBER(H205),H205,IFERROR(DATE(VALUE(MID(H205,FIND("/",H205,FIND("/",H205)+1)+1,4)),VALUE(MID(H205,FIND("/",H205)+1,FIND("/",H205,FIND("/",H205)+1)-FIND("/",H205)-1)),VALUE(LEFT(H205,FIND("/",H205)-1)))+IFERROR(TIMEVALUE(TRIM(MID(H205,FIND(" ",H205)+1,20))),0),0)))</f>
        <v/>
      </c>
      <c r="K205" s="256">
        <f>IF(I205=0,0,INT(I205))</f>
        <v/>
      </c>
      <c r="L205" s="257">
        <f>IF(OR(I205=0,J205=0),0,ROUND((J205-I205)*24,2))</f>
        <v/>
      </c>
      <c r="M205" s="254">
        <f>IFERROR(TRIM(MID(A205,FIND("@",SUBSTITUTE(A205,"(","@",LEN(A205)-LEN(SUBSTITUTE(A205,"(",""))))+1,FIND(")",A205,FIND("@",SUBSTITUTE(A205,"(","@",LEN(A205)-LEN(SUBSTITUTE(A205,"(","")))))-FIND("@",SUBSTITUTE(A205,"(","@",LEN(A205)-LEN(SUBSTITUTE(A205,"(",""))))-1)),"")</f>
        <v/>
      </c>
      <c r="N205" s="254">
        <f>IF(A205="","",IF(LEFT(TRIM(A205),5)="Leave","Leave",IF(OR(ISNUMBER(SEARCH("public holiday",A205)),ISNUMBER(SEARCH("Purple",E205))),"Public holiday","Event")))</f>
        <v/>
      </c>
    </row>
    <row r="206">
      <c r="G206" s="254">
        <f>IF(C206="","",IF(ISNUMBER(C206),C206,IF(ISNUMBER(VALUE(LEFT(TRIM(C206),1))),TRIM(C206),TRIM(MID(TRIM(C206),FIND(" ",TRIM(C206))+1,99)))))</f>
        <v/>
      </c>
      <c r="H206" s="254">
        <f>IF(D206="","",IF(ISNUMBER(D206),D206,IF(ISNUMBER(VALUE(LEFT(TRIM(D206),1))),TRIM(D206),TRIM(MID(TRIM(D206),FIND(" ",TRIM(D206))+1,99)))))</f>
        <v/>
      </c>
      <c r="I206" s="255">
        <f>IF(G206="",0,IF(ISNUMBER(G206),G206,IFERROR(DATE(VALUE(MID(G206,FIND("/",G206,FIND("/",G206)+1)+1,4)),VALUE(MID(G206,FIND("/",G206)+1,FIND("/",G206,FIND("/",G206)+1)-FIND("/",G206)-1)),VALUE(LEFT(G206,FIND("/",G206)-1)))+IFERROR(TIMEVALUE(TRIM(MID(G206,FIND(" ",G206)+1,20))),0),0)))</f>
        <v/>
      </c>
      <c r="J206" s="255">
        <f>IF(H206="",0,IF(ISNUMBER(H206),H206,IFERROR(DATE(VALUE(MID(H206,FIND("/",H206,FIND("/",H206)+1)+1,4)),VALUE(MID(H206,FIND("/",H206)+1,FIND("/",H206,FIND("/",H206)+1)-FIND("/",H206)-1)),VALUE(LEFT(H206,FIND("/",H206)-1)))+IFERROR(TIMEVALUE(TRIM(MID(H206,FIND(" ",H206)+1,20))),0),0)))</f>
        <v/>
      </c>
      <c r="K206" s="256">
        <f>IF(I206=0,0,INT(I206))</f>
        <v/>
      </c>
      <c r="L206" s="257">
        <f>IF(OR(I206=0,J206=0),0,ROUND((J206-I206)*24,2))</f>
        <v/>
      </c>
      <c r="M206" s="254">
        <f>IFERROR(TRIM(MID(A206,FIND("@",SUBSTITUTE(A206,"(","@",LEN(A206)-LEN(SUBSTITUTE(A206,"(",""))))+1,FIND(")",A206,FIND("@",SUBSTITUTE(A206,"(","@",LEN(A206)-LEN(SUBSTITUTE(A206,"(","")))))-FIND("@",SUBSTITUTE(A206,"(","@",LEN(A206)-LEN(SUBSTITUTE(A206,"(",""))))-1)),"")</f>
        <v/>
      </c>
      <c r="N206" s="254">
        <f>IF(A206="","",IF(LEFT(TRIM(A206),5)="Leave","Leave",IF(OR(ISNUMBER(SEARCH("public holiday",A206)),ISNUMBER(SEARCH("Purple",E206))),"Public holiday","Event")))</f>
        <v/>
      </c>
    </row>
    <row r="207">
      <c r="G207" s="254">
        <f>IF(C207="","",IF(ISNUMBER(C207),C207,IF(ISNUMBER(VALUE(LEFT(TRIM(C207),1))),TRIM(C207),TRIM(MID(TRIM(C207),FIND(" ",TRIM(C207))+1,99)))))</f>
        <v/>
      </c>
      <c r="H207" s="254">
        <f>IF(D207="","",IF(ISNUMBER(D207),D207,IF(ISNUMBER(VALUE(LEFT(TRIM(D207),1))),TRIM(D207),TRIM(MID(TRIM(D207),FIND(" ",TRIM(D207))+1,99)))))</f>
        <v/>
      </c>
      <c r="I207" s="255">
        <f>IF(G207="",0,IF(ISNUMBER(G207),G207,IFERROR(DATE(VALUE(MID(G207,FIND("/",G207,FIND("/",G207)+1)+1,4)),VALUE(MID(G207,FIND("/",G207)+1,FIND("/",G207,FIND("/",G207)+1)-FIND("/",G207)-1)),VALUE(LEFT(G207,FIND("/",G207)-1)))+IFERROR(TIMEVALUE(TRIM(MID(G207,FIND(" ",G207)+1,20))),0),0)))</f>
        <v/>
      </c>
      <c r="J207" s="255">
        <f>IF(H207="",0,IF(ISNUMBER(H207),H207,IFERROR(DATE(VALUE(MID(H207,FIND("/",H207,FIND("/",H207)+1)+1,4)),VALUE(MID(H207,FIND("/",H207)+1,FIND("/",H207,FIND("/",H207)+1)-FIND("/",H207)-1)),VALUE(LEFT(H207,FIND("/",H207)-1)))+IFERROR(TIMEVALUE(TRIM(MID(H207,FIND(" ",H207)+1,20))),0),0)))</f>
        <v/>
      </c>
      <c r="K207" s="256">
        <f>IF(I207=0,0,INT(I207))</f>
        <v/>
      </c>
      <c r="L207" s="257">
        <f>IF(OR(I207=0,J207=0),0,ROUND((J207-I207)*24,2))</f>
        <v/>
      </c>
      <c r="M207" s="254">
        <f>IFERROR(TRIM(MID(A207,FIND("@",SUBSTITUTE(A207,"(","@",LEN(A207)-LEN(SUBSTITUTE(A207,"(",""))))+1,FIND(")",A207,FIND("@",SUBSTITUTE(A207,"(","@",LEN(A207)-LEN(SUBSTITUTE(A207,"(","")))))-FIND("@",SUBSTITUTE(A207,"(","@",LEN(A207)-LEN(SUBSTITUTE(A207,"(",""))))-1)),"")</f>
        <v/>
      </c>
      <c r="N207" s="254">
        <f>IF(A207="","",IF(LEFT(TRIM(A207),5)="Leave","Leave",IF(OR(ISNUMBER(SEARCH("public holiday",A207)),ISNUMBER(SEARCH("Purple",E207))),"Public holiday","Event")))</f>
        <v/>
      </c>
    </row>
    <row r="208">
      <c r="G208" s="254">
        <f>IF(C208="","",IF(ISNUMBER(C208),C208,IF(ISNUMBER(VALUE(LEFT(TRIM(C208),1))),TRIM(C208),TRIM(MID(TRIM(C208),FIND(" ",TRIM(C208))+1,99)))))</f>
        <v/>
      </c>
      <c r="H208" s="254">
        <f>IF(D208="","",IF(ISNUMBER(D208),D208,IF(ISNUMBER(VALUE(LEFT(TRIM(D208),1))),TRIM(D208),TRIM(MID(TRIM(D208),FIND(" ",TRIM(D208))+1,99)))))</f>
        <v/>
      </c>
      <c r="I208" s="255">
        <f>IF(G208="",0,IF(ISNUMBER(G208),G208,IFERROR(DATE(VALUE(MID(G208,FIND("/",G208,FIND("/",G208)+1)+1,4)),VALUE(MID(G208,FIND("/",G208)+1,FIND("/",G208,FIND("/",G208)+1)-FIND("/",G208)-1)),VALUE(LEFT(G208,FIND("/",G208)-1)))+IFERROR(TIMEVALUE(TRIM(MID(G208,FIND(" ",G208)+1,20))),0),0)))</f>
        <v/>
      </c>
      <c r="J208" s="255">
        <f>IF(H208="",0,IF(ISNUMBER(H208),H208,IFERROR(DATE(VALUE(MID(H208,FIND("/",H208,FIND("/",H208)+1)+1,4)),VALUE(MID(H208,FIND("/",H208)+1,FIND("/",H208,FIND("/",H208)+1)-FIND("/",H208)-1)),VALUE(LEFT(H208,FIND("/",H208)-1)))+IFERROR(TIMEVALUE(TRIM(MID(H208,FIND(" ",H208)+1,20))),0),0)))</f>
        <v/>
      </c>
      <c r="K208" s="256">
        <f>IF(I208=0,0,INT(I208))</f>
        <v/>
      </c>
      <c r="L208" s="257">
        <f>IF(OR(I208=0,J208=0),0,ROUND((J208-I208)*24,2))</f>
        <v/>
      </c>
      <c r="M208" s="254">
        <f>IFERROR(TRIM(MID(A208,FIND("@",SUBSTITUTE(A208,"(","@",LEN(A208)-LEN(SUBSTITUTE(A208,"(",""))))+1,FIND(")",A208,FIND("@",SUBSTITUTE(A208,"(","@",LEN(A208)-LEN(SUBSTITUTE(A208,"(","")))))-FIND("@",SUBSTITUTE(A208,"(","@",LEN(A208)-LEN(SUBSTITUTE(A208,"(",""))))-1)),"")</f>
        <v/>
      </c>
      <c r="N208" s="254">
        <f>IF(A208="","",IF(LEFT(TRIM(A208),5)="Leave","Leave",IF(OR(ISNUMBER(SEARCH("public holiday",A208)),ISNUMBER(SEARCH("Purple",E208))),"Public holiday","Event")))</f>
        <v/>
      </c>
    </row>
    <row r="209">
      <c r="G209" s="254">
        <f>IF(C209="","",IF(ISNUMBER(C209),C209,IF(ISNUMBER(VALUE(LEFT(TRIM(C209),1))),TRIM(C209),TRIM(MID(TRIM(C209),FIND(" ",TRIM(C209))+1,99)))))</f>
        <v/>
      </c>
      <c r="H209" s="254">
        <f>IF(D209="","",IF(ISNUMBER(D209),D209,IF(ISNUMBER(VALUE(LEFT(TRIM(D209),1))),TRIM(D209),TRIM(MID(TRIM(D209),FIND(" ",TRIM(D209))+1,99)))))</f>
        <v/>
      </c>
      <c r="I209" s="255">
        <f>IF(G209="",0,IF(ISNUMBER(G209),G209,IFERROR(DATE(VALUE(MID(G209,FIND("/",G209,FIND("/",G209)+1)+1,4)),VALUE(MID(G209,FIND("/",G209)+1,FIND("/",G209,FIND("/",G209)+1)-FIND("/",G209)-1)),VALUE(LEFT(G209,FIND("/",G209)-1)))+IFERROR(TIMEVALUE(TRIM(MID(G209,FIND(" ",G209)+1,20))),0),0)))</f>
        <v/>
      </c>
      <c r="J209" s="255">
        <f>IF(H209="",0,IF(ISNUMBER(H209),H209,IFERROR(DATE(VALUE(MID(H209,FIND("/",H209,FIND("/",H209)+1)+1,4)),VALUE(MID(H209,FIND("/",H209)+1,FIND("/",H209,FIND("/",H209)+1)-FIND("/",H209)-1)),VALUE(LEFT(H209,FIND("/",H209)-1)))+IFERROR(TIMEVALUE(TRIM(MID(H209,FIND(" ",H209)+1,20))),0),0)))</f>
        <v/>
      </c>
      <c r="K209" s="256">
        <f>IF(I209=0,0,INT(I209))</f>
        <v/>
      </c>
      <c r="L209" s="257">
        <f>IF(OR(I209=0,J209=0),0,ROUND((J209-I209)*24,2))</f>
        <v/>
      </c>
      <c r="M209" s="254">
        <f>IFERROR(TRIM(MID(A209,FIND("@",SUBSTITUTE(A209,"(","@",LEN(A209)-LEN(SUBSTITUTE(A209,"(",""))))+1,FIND(")",A209,FIND("@",SUBSTITUTE(A209,"(","@",LEN(A209)-LEN(SUBSTITUTE(A209,"(","")))))-FIND("@",SUBSTITUTE(A209,"(","@",LEN(A209)-LEN(SUBSTITUTE(A209,"(",""))))-1)),"")</f>
        <v/>
      </c>
      <c r="N209" s="254">
        <f>IF(A209="","",IF(LEFT(TRIM(A209),5)="Leave","Leave",IF(OR(ISNUMBER(SEARCH("public holiday",A209)),ISNUMBER(SEARCH("Purple",E209))),"Public holiday","Event")))</f>
        <v/>
      </c>
    </row>
    <row r="210">
      <c r="G210" s="254">
        <f>IF(C210="","",IF(ISNUMBER(C210),C210,IF(ISNUMBER(VALUE(LEFT(TRIM(C210),1))),TRIM(C210),TRIM(MID(TRIM(C210),FIND(" ",TRIM(C210))+1,99)))))</f>
        <v/>
      </c>
      <c r="H210" s="254">
        <f>IF(D210="","",IF(ISNUMBER(D210),D210,IF(ISNUMBER(VALUE(LEFT(TRIM(D210),1))),TRIM(D210),TRIM(MID(TRIM(D210),FIND(" ",TRIM(D210))+1,99)))))</f>
        <v/>
      </c>
      <c r="I210" s="255">
        <f>IF(G210="",0,IF(ISNUMBER(G210),G210,IFERROR(DATE(VALUE(MID(G210,FIND("/",G210,FIND("/",G210)+1)+1,4)),VALUE(MID(G210,FIND("/",G210)+1,FIND("/",G210,FIND("/",G210)+1)-FIND("/",G210)-1)),VALUE(LEFT(G210,FIND("/",G210)-1)))+IFERROR(TIMEVALUE(TRIM(MID(G210,FIND(" ",G210)+1,20))),0),0)))</f>
        <v/>
      </c>
      <c r="J210" s="255">
        <f>IF(H210="",0,IF(ISNUMBER(H210),H210,IFERROR(DATE(VALUE(MID(H210,FIND("/",H210,FIND("/",H210)+1)+1,4)),VALUE(MID(H210,FIND("/",H210)+1,FIND("/",H210,FIND("/",H210)+1)-FIND("/",H210)-1)),VALUE(LEFT(H210,FIND("/",H210)-1)))+IFERROR(TIMEVALUE(TRIM(MID(H210,FIND(" ",H210)+1,20))),0),0)))</f>
        <v/>
      </c>
      <c r="K210" s="256">
        <f>IF(I210=0,0,INT(I210))</f>
        <v/>
      </c>
      <c r="L210" s="257">
        <f>IF(OR(I210=0,J210=0),0,ROUND((J210-I210)*24,2))</f>
        <v/>
      </c>
      <c r="M210" s="254">
        <f>IFERROR(TRIM(MID(A210,FIND("@",SUBSTITUTE(A210,"(","@",LEN(A210)-LEN(SUBSTITUTE(A210,"(",""))))+1,FIND(")",A210,FIND("@",SUBSTITUTE(A210,"(","@",LEN(A210)-LEN(SUBSTITUTE(A210,"(","")))))-FIND("@",SUBSTITUTE(A210,"(","@",LEN(A210)-LEN(SUBSTITUTE(A210,"(",""))))-1)),"")</f>
        <v/>
      </c>
      <c r="N210" s="254">
        <f>IF(A210="","",IF(LEFT(TRIM(A210),5)="Leave","Leave",IF(OR(ISNUMBER(SEARCH("public holiday",A210)),ISNUMBER(SEARCH("Purple",E210))),"Public holiday","Event")))</f>
        <v/>
      </c>
    </row>
    <row r="211">
      <c r="G211" s="254">
        <f>IF(C211="","",IF(ISNUMBER(C211),C211,IF(ISNUMBER(VALUE(LEFT(TRIM(C211),1))),TRIM(C211),TRIM(MID(TRIM(C211),FIND(" ",TRIM(C211))+1,99)))))</f>
        <v/>
      </c>
      <c r="H211" s="254">
        <f>IF(D211="","",IF(ISNUMBER(D211),D211,IF(ISNUMBER(VALUE(LEFT(TRIM(D211),1))),TRIM(D211),TRIM(MID(TRIM(D211),FIND(" ",TRIM(D211))+1,99)))))</f>
        <v/>
      </c>
      <c r="I211" s="255">
        <f>IF(G211="",0,IF(ISNUMBER(G211),G211,IFERROR(DATE(VALUE(MID(G211,FIND("/",G211,FIND("/",G211)+1)+1,4)),VALUE(MID(G211,FIND("/",G211)+1,FIND("/",G211,FIND("/",G211)+1)-FIND("/",G211)-1)),VALUE(LEFT(G211,FIND("/",G211)-1)))+IFERROR(TIMEVALUE(TRIM(MID(G211,FIND(" ",G211)+1,20))),0),0)))</f>
        <v/>
      </c>
      <c r="J211" s="255">
        <f>IF(H211="",0,IF(ISNUMBER(H211),H211,IFERROR(DATE(VALUE(MID(H211,FIND("/",H211,FIND("/",H211)+1)+1,4)),VALUE(MID(H211,FIND("/",H211)+1,FIND("/",H211,FIND("/",H211)+1)-FIND("/",H211)-1)),VALUE(LEFT(H211,FIND("/",H211)-1)))+IFERROR(TIMEVALUE(TRIM(MID(H211,FIND(" ",H211)+1,20))),0),0)))</f>
        <v/>
      </c>
      <c r="K211" s="256">
        <f>IF(I211=0,0,INT(I211))</f>
        <v/>
      </c>
      <c r="L211" s="257">
        <f>IF(OR(I211=0,J211=0),0,ROUND((J211-I211)*24,2))</f>
        <v/>
      </c>
      <c r="M211" s="254">
        <f>IFERROR(TRIM(MID(A211,FIND("@",SUBSTITUTE(A211,"(","@",LEN(A211)-LEN(SUBSTITUTE(A211,"(",""))))+1,FIND(")",A211,FIND("@",SUBSTITUTE(A211,"(","@",LEN(A211)-LEN(SUBSTITUTE(A211,"(","")))))-FIND("@",SUBSTITUTE(A211,"(","@",LEN(A211)-LEN(SUBSTITUTE(A211,"(",""))))-1)),"")</f>
        <v/>
      </c>
      <c r="N211" s="254">
        <f>IF(A211="","",IF(LEFT(TRIM(A211),5)="Leave","Leave",IF(OR(ISNUMBER(SEARCH("public holiday",A211)),ISNUMBER(SEARCH("Purple",E211))),"Public holiday","Event")))</f>
        <v/>
      </c>
    </row>
    <row r="212">
      <c r="G212" s="254">
        <f>IF(C212="","",IF(ISNUMBER(C212),C212,IF(ISNUMBER(VALUE(LEFT(TRIM(C212),1))),TRIM(C212),TRIM(MID(TRIM(C212),FIND(" ",TRIM(C212))+1,99)))))</f>
        <v/>
      </c>
      <c r="H212" s="254">
        <f>IF(D212="","",IF(ISNUMBER(D212),D212,IF(ISNUMBER(VALUE(LEFT(TRIM(D212),1))),TRIM(D212),TRIM(MID(TRIM(D212),FIND(" ",TRIM(D212))+1,99)))))</f>
        <v/>
      </c>
      <c r="I212" s="255">
        <f>IF(G212="",0,IF(ISNUMBER(G212),G212,IFERROR(DATE(VALUE(MID(G212,FIND("/",G212,FIND("/",G212)+1)+1,4)),VALUE(MID(G212,FIND("/",G212)+1,FIND("/",G212,FIND("/",G212)+1)-FIND("/",G212)-1)),VALUE(LEFT(G212,FIND("/",G212)-1)))+IFERROR(TIMEVALUE(TRIM(MID(G212,FIND(" ",G212)+1,20))),0),0)))</f>
        <v/>
      </c>
      <c r="J212" s="255">
        <f>IF(H212="",0,IF(ISNUMBER(H212),H212,IFERROR(DATE(VALUE(MID(H212,FIND("/",H212,FIND("/",H212)+1)+1,4)),VALUE(MID(H212,FIND("/",H212)+1,FIND("/",H212,FIND("/",H212)+1)-FIND("/",H212)-1)),VALUE(LEFT(H212,FIND("/",H212)-1)))+IFERROR(TIMEVALUE(TRIM(MID(H212,FIND(" ",H212)+1,20))),0),0)))</f>
        <v/>
      </c>
      <c r="K212" s="256">
        <f>IF(I212=0,0,INT(I212))</f>
        <v/>
      </c>
      <c r="L212" s="257">
        <f>IF(OR(I212=0,J212=0),0,ROUND((J212-I212)*24,2))</f>
        <v/>
      </c>
      <c r="M212" s="254">
        <f>IFERROR(TRIM(MID(A212,FIND("@",SUBSTITUTE(A212,"(","@",LEN(A212)-LEN(SUBSTITUTE(A212,"(",""))))+1,FIND(")",A212,FIND("@",SUBSTITUTE(A212,"(","@",LEN(A212)-LEN(SUBSTITUTE(A212,"(","")))))-FIND("@",SUBSTITUTE(A212,"(","@",LEN(A212)-LEN(SUBSTITUTE(A212,"(",""))))-1)),"")</f>
        <v/>
      </c>
      <c r="N212" s="254">
        <f>IF(A212="","",IF(LEFT(TRIM(A212),5)="Leave","Leave",IF(OR(ISNUMBER(SEARCH("public holiday",A212)),ISNUMBER(SEARCH("Purple",E212))),"Public holiday","Event")))</f>
        <v/>
      </c>
    </row>
    <row r="213">
      <c r="G213" s="254">
        <f>IF(C213="","",IF(ISNUMBER(C213),C213,IF(ISNUMBER(VALUE(LEFT(TRIM(C213),1))),TRIM(C213),TRIM(MID(TRIM(C213),FIND(" ",TRIM(C213))+1,99)))))</f>
        <v/>
      </c>
      <c r="H213" s="254">
        <f>IF(D213="","",IF(ISNUMBER(D213),D213,IF(ISNUMBER(VALUE(LEFT(TRIM(D213),1))),TRIM(D213),TRIM(MID(TRIM(D213),FIND(" ",TRIM(D213))+1,99)))))</f>
        <v/>
      </c>
      <c r="I213" s="255">
        <f>IF(G213="",0,IF(ISNUMBER(G213),G213,IFERROR(DATE(VALUE(MID(G213,FIND("/",G213,FIND("/",G213)+1)+1,4)),VALUE(MID(G213,FIND("/",G213)+1,FIND("/",G213,FIND("/",G213)+1)-FIND("/",G213)-1)),VALUE(LEFT(G213,FIND("/",G213)-1)))+IFERROR(TIMEVALUE(TRIM(MID(G213,FIND(" ",G213)+1,20))),0),0)))</f>
        <v/>
      </c>
      <c r="J213" s="255">
        <f>IF(H213="",0,IF(ISNUMBER(H213),H213,IFERROR(DATE(VALUE(MID(H213,FIND("/",H213,FIND("/",H213)+1)+1,4)),VALUE(MID(H213,FIND("/",H213)+1,FIND("/",H213,FIND("/",H213)+1)-FIND("/",H213)-1)),VALUE(LEFT(H213,FIND("/",H213)-1)))+IFERROR(TIMEVALUE(TRIM(MID(H213,FIND(" ",H213)+1,20))),0),0)))</f>
        <v/>
      </c>
      <c r="K213" s="256">
        <f>IF(I213=0,0,INT(I213))</f>
        <v/>
      </c>
      <c r="L213" s="257">
        <f>IF(OR(I213=0,J213=0),0,ROUND((J213-I213)*24,2))</f>
        <v/>
      </c>
      <c r="M213" s="254">
        <f>IFERROR(TRIM(MID(A213,FIND("@",SUBSTITUTE(A213,"(","@",LEN(A213)-LEN(SUBSTITUTE(A213,"(",""))))+1,FIND(")",A213,FIND("@",SUBSTITUTE(A213,"(","@",LEN(A213)-LEN(SUBSTITUTE(A213,"(","")))))-FIND("@",SUBSTITUTE(A213,"(","@",LEN(A213)-LEN(SUBSTITUTE(A213,"(",""))))-1)),"")</f>
        <v/>
      </c>
      <c r="N213" s="254">
        <f>IF(A213="","",IF(LEFT(TRIM(A213),5)="Leave","Leave",IF(OR(ISNUMBER(SEARCH("public holiday",A213)),ISNUMBER(SEARCH("Purple",E213))),"Public holiday","Event")))</f>
        <v/>
      </c>
    </row>
    <row r="214">
      <c r="G214" s="254">
        <f>IF(C214="","",IF(ISNUMBER(C214),C214,IF(ISNUMBER(VALUE(LEFT(TRIM(C214),1))),TRIM(C214),TRIM(MID(TRIM(C214),FIND(" ",TRIM(C214))+1,99)))))</f>
        <v/>
      </c>
      <c r="H214" s="254">
        <f>IF(D214="","",IF(ISNUMBER(D214),D214,IF(ISNUMBER(VALUE(LEFT(TRIM(D214),1))),TRIM(D214),TRIM(MID(TRIM(D214),FIND(" ",TRIM(D214))+1,99)))))</f>
        <v/>
      </c>
      <c r="I214" s="255">
        <f>IF(G214="",0,IF(ISNUMBER(G214),G214,IFERROR(DATE(VALUE(MID(G214,FIND("/",G214,FIND("/",G214)+1)+1,4)),VALUE(MID(G214,FIND("/",G214)+1,FIND("/",G214,FIND("/",G214)+1)-FIND("/",G214)-1)),VALUE(LEFT(G214,FIND("/",G214)-1)))+IFERROR(TIMEVALUE(TRIM(MID(G214,FIND(" ",G214)+1,20))),0),0)))</f>
        <v/>
      </c>
      <c r="J214" s="255">
        <f>IF(H214="",0,IF(ISNUMBER(H214),H214,IFERROR(DATE(VALUE(MID(H214,FIND("/",H214,FIND("/",H214)+1)+1,4)),VALUE(MID(H214,FIND("/",H214)+1,FIND("/",H214,FIND("/",H214)+1)-FIND("/",H214)-1)),VALUE(LEFT(H214,FIND("/",H214)-1)))+IFERROR(TIMEVALUE(TRIM(MID(H214,FIND(" ",H214)+1,20))),0),0)))</f>
        <v/>
      </c>
      <c r="K214" s="256">
        <f>IF(I214=0,0,INT(I214))</f>
        <v/>
      </c>
      <c r="L214" s="257">
        <f>IF(OR(I214=0,J214=0),0,ROUND((J214-I214)*24,2))</f>
        <v/>
      </c>
      <c r="M214" s="254">
        <f>IFERROR(TRIM(MID(A214,FIND("@",SUBSTITUTE(A214,"(","@",LEN(A214)-LEN(SUBSTITUTE(A214,"(",""))))+1,FIND(")",A214,FIND("@",SUBSTITUTE(A214,"(","@",LEN(A214)-LEN(SUBSTITUTE(A214,"(","")))))-FIND("@",SUBSTITUTE(A214,"(","@",LEN(A214)-LEN(SUBSTITUTE(A214,"(",""))))-1)),"")</f>
        <v/>
      </c>
      <c r="N214" s="254">
        <f>IF(A214="","",IF(LEFT(TRIM(A214),5)="Leave","Leave",IF(OR(ISNUMBER(SEARCH("public holiday",A214)),ISNUMBER(SEARCH("Purple",E214))),"Public holiday","Event")))</f>
        <v/>
      </c>
    </row>
    <row r="215">
      <c r="G215" s="254">
        <f>IF(C215="","",IF(ISNUMBER(C215),C215,IF(ISNUMBER(VALUE(LEFT(TRIM(C215),1))),TRIM(C215),TRIM(MID(TRIM(C215),FIND(" ",TRIM(C215))+1,99)))))</f>
        <v/>
      </c>
      <c r="H215" s="254">
        <f>IF(D215="","",IF(ISNUMBER(D215),D215,IF(ISNUMBER(VALUE(LEFT(TRIM(D215),1))),TRIM(D215),TRIM(MID(TRIM(D215),FIND(" ",TRIM(D215))+1,99)))))</f>
        <v/>
      </c>
      <c r="I215" s="255">
        <f>IF(G215="",0,IF(ISNUMBER(G215),G215,IFERROR(DATE(VALUE(MID(G215,FIND("/",G215,FIND("/",G215)+1)+1,4)),VALUE(MID(G215,FIND("/",G215)+1,FIND("/",G215,FIND("/",G215)+1)-FIND("/",G215)-1)),VALUE(LEFT(G215,FIND("/",G215)-1)))+IFERROR(TIMEVALUE(TRIM(MID(G215,FIND(" ",G215)+1,20))),0),0)))</f>
        <v/>
      </c>
      <c r="J215" s="255">
        <f>IF(H215="",0,IF(ISNUMBER(H215),H215,IFERROR(DATE(VALUE(MID(H215,FIND("/",H215,FIND("/",H215)+1)+1,4)),VALUE(MID(H215,FIND("/",H215)+1,FIND("/",H215,FIND("/",H215)+1)-FIND("/",H215)-1)),VALUE(LEFT(H215,FIND("/",H215)-1)))+IFERROR(TIMEVALUE(TRIM(MID(H215,FIND(" ",H215)+1,20))),0),0)))</f>
        <v/>
      </c>
      <c r="K215" s="256">
        <f>IF(I215=0,0,INT(I215))</f>
        <v/>
      </c>
      <c r="L215" s="257">
        <f>IF(OR(I215=0,J215=0),0,ROUND((J215-I215)*24,2))</f>
        <v/>
      </c>
      <c r="M215" s="254">
        <f>IFERROR(TRIM(MID(A215,FIND("@",SUBSTITUTE(A215,"(","@",LEN(A215)-LEN(SUBSTITUTE(A215,"(",""))))+1,FIND(")",A215,FIND("@",SUBSTITUTE(A215,"(","@",LEN(A215)-LEN(SUBSTITUTE(A215,"(","")))))-FIND("@",SUBSTITUTE(A215,"(","@",LEN(A215)-LEN(SUBSTITUTE(A215,"(",""))))-1)),"")</f>
        <v/>
      </c>
      <c r="N215" s="254">
        <f>IF(A215="","",IF(LEFT(TRIM(A215),5)="Leave","Leave",IF(OR(ISNUMBER(SEARCH("public holiday",A215)),ISNUMBER(SEARCH("Purple",E215))),"Public holiday","Event")))</f>
        <v/>
      </c>
    </row>
    <row r="216">
      <c r="G216" s="254">
        <f>IF(C216="","",IF(ISNUMBER(C216),C216,IF(ISNUMBER(VALUE(LEFT(TRIM(C216),1))),TRIM(C216),TRIM(MID(TRIM(C216),FIND(" ",TRIM(C216))+1,99)))))</f>
        <v/>
      </c>
      <c r="H216" s="254">
        <f>IF(D216="","",IF(ISNUMBER(D216),D216,IF(ISNUMBER(VALUE(LEFT(TRIM(D216),1))),TRIM(D216),TRIM(MID(TRIM(D216),FIND(" ",TRIM(D216))+1,99)))))</f>
        <v/>
      </c>
      <c r="I216" s="255">
        <f>IF(G216="",0,IF(ISNUMBER(G216),G216,IFERROR(DATE(VALUE(MID(G216,FIND("/",G216,FIND("/",G216)+1)+1,4)),VALUE(MID(G216,FIND("/",G216)+1,FIND("/",G216,FIND("/",G216)+1)-FIND("/",G216)-1)),VALUE(LEFT(G216,FIND("/",G216)-1)))+IFERROR(TIMEVALUE(TRIM(MID(G216,FIND(" ",G216)+1,20))),0),0)))</f>
        <v/>
      </c>
      <c r="J216" s="255">
        <f>IF(H216="",0,IF(ISNUMBER(H216),H216,IFERROR(DATE(VALUE(MID(H216,FIND("/",H216,FIND("/",H216)+1)+1,4)),VALUE(MID(H216,FIND("/",H216)+1,FIND("/",H216,FIND("/",H216)+1)-FIND("/",H216)-1)),VALUE(LEFT(H216,FIND("/",H216)-1)))+IFERROR(TIMEVALUE(TRIM(MID(H216,FIND(" ",H216)+1,20))),0),0)))</f>
        <v/>
      </c>
      <c r="K216" s="256">
        <f>IF(I216=0,0,INT(I216))</f>
        <v/>
      </c>
      <c r="L216" s="257">
        <f>IF(OR(I216=0,J216=0),0,ROUND((J216-I216)*24,2))</f>
        <v/>
      </c>
      <c r="M216" s="254">
        <f>IFERROR(TRIM(MID(A216,FIND("@",SUBSTITUTE(A216,"(","@",LEN(A216)-LEN(SUBSTITUTE(A216,"(",""))))+1,FIND(")",A216,FIND("@",SUBSTITUTE(A216,"(","@",LEN(A216)-LEN(SUBSTITUTE(A216,"(","")))))-FIND("@",SUBSTITUTE(A216,"(","@",LEN(A216)-LEN(SUBSTITUTE(A216,"(",""))))-1)),"")</f>
        <v/>
      </c>
      <c r="N216" s="254">
        <f>IF(A216="","",IF(LEFT(TRIM(A216),5)="Leave","Leave",IF(OR(ISNUMBER(SEARCH("public holiday",A216)),ISNUMBER(SEARCH("Purple",E216))),"Public holiday","Event")))</f>
        <v/>
      </c>
    </row>
    <row r="217">
      <c r="G217" s="254">
        <f>IF(C217="","",IF(ISNUMBER(C217),C217,IF(ISNUMBER(VALUE(LEFT(TRIM(C217),1))),TRIM(C217),TRIM(MID(TRIM(C217),FIND(" ",TRIM(C217))+1,99)))))</f>
        <v/>
      </c>
      <c r="H217" s="254">
        <f>IF(D217="","",IF(ISNUMBER(D217),D217,IF(ISNUMBER(VALUE(LEFT(TRIM(D217),1))),TRIM(D217),TRIM(MID(TRIM(D217),FIND(" ",TRIM(D217))+1,99)))))</f>
        <v/>
      </c>
      <c r="I217" s="255">
        <f>IF(G217="",0,IF(ISNUMBER(G217),G217,IFERROR(DATE(VALUE(MID(G217,FIND("/",G217,FIND("/",G217)+1)+1,4)),VALUE(MID(G217,FIND("/",G217)+1,FIND("/",G217,FIND("/",G217)+1)-FIND("/",G217)-1)),VALUE(LEFT(G217,FIND("/",G217)-1)))+IFERROR(TIMEVALUE(TRIM(MID(G217,FIND(" ",G217)+1,20))),0),0)))</f>
        <v/>
      </c>
      <c r="J217" s="255">
        <f>IF(H217="",0,IF(ISNUMBER(H217),H217,IFERROR(DATE(VALUE(MID(H217,FIND("/",H217,FIND("/",H217)+1)+1,4)),VALUE(MID(H217,FIND("/",H217)+1,FIND("/",H217,FIND("/",H217)+1)-FIND("/",H217)-1)),VALUE(LEFT(H217,FIND("/",H217)-1)))+IFERROR(TIMEVALUE(TRIM(MID(H217,FIND(" ",H217)+1,20))),0),0)))</f>
        <v/>
      </c>
      <c r="K217" s="256">
        <f>IF(I217=0,0,INT(I217))</f>
        <v/>
      </c>
      <c r="L217" s="257">
        <f>IF(OR(I217=0,J217=0),0,ROUND((J217-I217)*24,2))</f>
        <v/>
      </c>
      <c r="M217" s="254">
        <f>IFERROR(TRIM(MID(A217,FIND("@",SUBSTITUTE(A217,"(","@",LEN(A217)-LEN(SUBSTITUTE(A217,"(",""))))+1,FIND(")",A217,FIND("@",SUBSTITUTE(A217,"(","@",LEN(A217)-LEN(SUBSTITUTE(A217,"(","")))))-FIND("@",SUBSTITUTE(A217,"(","@",LEN(A217)-LEN(SUBSTITUTE(A217,"(",""))))-1)),"")</f>
        <v/>
      </c>
      <c r="N217" s="254">
        <f>IF(A217="","",IF(LEFT(TRIM(A217),5)="Leave","Leave",IF(OR(ISNUMBER(SEARCH("public holiday",A217)),ISNUMBER(SEARCH("Purple",E217))),"Public holiday","Event")))</f>
        <v/>
      </c>
    </row>
    <row r="218">
      <c r="G218" s="254">
        <f>IF(C218="","",IF(ISNUMBER(C218),C218,IF(ISNUMBER(VALUE(LEFT(TRIM(C218),1))),TRIM(C218),TRIM(MID(TRIM(C218),FIND(" ",TRIM(C218))+1,99)))))</f>
        <v/>
      </c>
      <c r="H218" s="254">
        <f>IF(D218="","",IF(ISNUMBER(D218),D218,IF(ISNUMBER(VALUE(LEFT(TRIM(D218),1))),TRIM(D218),TRIM(MID(TRIM(D218),FIND(" ",TRIM(D218))+1,99)))))</f>
        <v/>
      </c>
      <c r="I218" s="255">
        <f>IF(G218="",0,IF(ISNUMBER(G218),G218,IFERROR(DATE(VALUE(MID(G218,FIND("/",G218,FIND("/",G218)+1)+1,4)),VALUE(MID(G218,FIND("/",G218)+1,FIND("/",G218,FIND("/",G218)+1)-FIND("/",G218)-1)),VALUE(LEFT(G218,FIND("/",G218)-1)))+IFERROR(TIMEVALUE(TRIM(MID(G218,FIND(" ",G218)+1,20))),0),0)))</f>
        <v/>
      </c>
      <c r="J218" s="255">
        <f>IF(H218="",0,IF(ISNUMBER(H218),H218,IFERROR(DATE(VALUE(MID(H218,FIND("/",H218,FIND("/",H218)+1)+1,4)),VALUE(MID(H218,FIND("/",H218)+1,FIND("/",H218,FIND("/",H218)+1)-FIND("/",H218)-1)),VALUE(LEFT(H218,FIND("/",H218)-1)))+IFERROR(TIMEVALUE(TRIM(MID(H218,FIND(" ",H218)+1,20))),0),0)))</f>
        <v/>
      </c>
      <c r="K218" s="256">
        <f>IF(I218=0,0,INT(I218))</f>
        <v/>
      </c>
      <c r="L218" s="257">
        <f>IF(OR(I218=0,J218=0),0,ROUND((J218-I218)*24,2))</f>
        <v/>
      </c>
      <c r="M218" s="254">
        <f>IFERROR(TRIM(MID(A218,FIND("@",SUBSTITUTE(A218,"(","@",LEN(A218)-LEN(SUBSTITUTE(A218,"(",""))))+1,FIND(")",A218,FIND("@",SUBSTITUTE(A218,"(","@",LEN(A218)-LEN(SUBSTITUTE(A218,"(","")))))-FIND("@",SUBSTITUTE(A218,"(","@",LEN(A218)-LEN(SUBSTITUTE(A218,"(",""))))-1)),"")</f>
        <v/>
      </c>
      <c r="N218" s="254">
        <f>IF(A218="","",IF(LEFT(TRIM(A218),5)="Leave","Leave",IF(OR(ISNUMBER(SEARCH("public holiday",A218)),ISNUMBER(SEARCH("Purple",E218))),"Public holiday","Event")))</f>
        <v/>
      </c>
    </row>
    <row r="219">
      <c r="G219" s="254">
        <f>IF(C219="","",IF(ISNUMBER(C219),C219,IF(ISNUMBER(VALUE(LEFT(TRIM(C219),1))),TRIM(C219),TRIM(MID(TRIM(C219),FIND(" ",TRIM(C219))+1,99)))))</f>
        <v/>
      </c>
      <c r="H219" s="254">
        <f>IF(D219="","",IF(ISNUMBER(D219),D219,IF(ISNUMBER(VALUE(LEFT(TRIM(D219),1))),TRIM(D219),TRIM(MID(TRIM(D219),FIND(" ",TRIM(D219))+1,99)))))</f>
        <v/>
      </c>
      <c r="I219" s="255">
        <f>IF(G219="",0,IF(ISNUMBER(G219),G219,IFERROR(DATE(VALUE(MID(G219,FIND("/",G219,FIND("/",G219)+1)+1,4)),VALUE(MID(G219,FIND("/",G219)+1,FIND("/",G219,FIND("/",G219)+1)-FIND("/",G219)-1)),VALUE(LEFT(G219,FIND("/",G219)-1)))+IFERROR(TIMEVALUE(TRIM(MID(G219,FIND(" ",G219)+1,20))),0),0)))</f>
        <v/>
      </c>
      <c r="J219" s="255">
        <f>IF(H219="",0,IF(ISNUMBER(H219),H219,IFERROR(DATE(VALUE(MID(H219,FIND("/",H219,FIND("/",H219)+1)+1,4)),VALUE(MID(H219,FIND("/",H219)+1,FIND("/",H219,FIND("/",H219)+1)-FIND("/",H219)-1)),VALUE(LEFT(H219,FIND("/",H219)-1)))+IFERROR(TIMEVALUE(TRIM(MID(H219,FIND(" ",H219)+1,20))),0),0)))</f>
        <v/>
      </c>
      <c r="K219" s="256">
        <f>IF(I219=0,0,INT(I219))</f>
        <v/>
      </c>
      <c r="L219" s="257">
        <f>IF(OR(I219=0,J219=0),0,ROUND((J219-I219)*24,2))</f>
        <v/>
      </c>
      <c r="M219" s="254">
        <f>IFERROR(TRIM(MID(A219,FIND("@",SUBSTITUTE(A219,"(","@",LEN(A219)-LEN(SUBSTITUTE(A219,"(",""))))+1,FIND(")",A219,FIND("@",SUBSTITUTE(A219,"(","@",LEN(A219)-LEN(SUBSTITUTE(A219,"(","")))))-FIND("@",SUBSTITUTE(A219,"(","@",LEN(A219)-LEN(SUBSTITUTE(A219,"(",""))))-1)),"")</f>
        <v/>
      </c>
      <c r="N219" s="254">
        <f>IF(A219="","",IF(LEFT(TRIM(A219),5)="Leave","Leave",IF(OR(ISNUMBER(SEARCH("public holiday",A219)),ISNUMBER(SEARCH("Purple",E219))),"Public holiday","Event")))</f>
        <v/>
      </c>
    </row>
    <row r="220">
      <c r="G220" s="254">
        <f>IF(C220="","",IF(ISNUMBER(C220),C220,IF(ISNUMBER(VALUE(LEFT(TRIM(C220),1))),TRIM(C220),TRIM(MID(TRIM(C220),FIND(" ",TRIM(C220))+1,99)))))</f>
        <v/>
      </c>
      <c r="H220" s="254">
        <f>IF(D220="","",IF(ISNUMBER(D220),D220,IF(ISNUMBER(VALUE(LEFT(TRIM(D220),1))),TRIM(D220),TRIM(MID(TRIM(D220),FIND(" ",TRIM(D220))+1,99)))))</f>
        <v/>
      </c>
      <c r="I220" s="255">
        <f>IF(G220="",0,IF(ISNUMBER(G220),G220,IFERROR(DATE(VALUE(MID(G220,FIND("/",G220,FIND("/",G220)+1)+1,4)),VALUE(MID(G220,FIND("/",G220)+1,FIND("/",G220,FIND("/",G220)+1)-FIND("/",G220)-1)),VALUE(LEFT(G220,FIND("/",G220)-1)))+IFERROR(TIMEVALUE(TRIM(MID(G220,FIND(" ",G220)+1,20))),0),0)))</f>
        <v/>
      </c>
      <c r="J220" s="255">
        <f>IF(H220="",0,IF(ISNUMBER(H220),H220,IFERROR(DATE(VALUE(MID(H220,FIND("/",H220,FIND("/",H220)+1)+1,4)),VALUE(MID(H220,FIND("/",H220)+1,FIND("/",H220,FIND("/",H220)+1)-FIND("/",H220)-1)),VALUE(LEFT(H220,FIND("/",H220)-1)))+IFERROR(TIMEVALUE(TRIM(MID(H220,FIND(" ",H220)+1,20))),0),0)))</f>
        <v/>
      </c>
      <c r="K220" s="256">
        <f>IF(I220=0,0,INT(I220))</f>
        <v/>
      </c>
      <c r="L220" s="257">
        <f>IF(OR(I220=0,J220=0),0,ROUND((J220-I220)*24,2))</f>
        <v/>
      </c>
      <c r="M220" s="254">
        <f>IFERROR(TRIM(MID(A220,FIND("@",SUBSTITUTE(A220,"(","@",LEN(A220)-LEN(SUBSTITUTE(A220,"(",""))))+1,FIND(")",A220,FIND("@",SUBSTITUTE(A220,"(","@",LEN(A220)-LEN(SUBSTITUTE(A220,"(","")))))-FIND("@",SUBSTITUTE(A220,"(","@",LEN(A220)-LEN(SUBSTITUTE(A220,"(",""))))-1)),"")</f>
        <v/>
      </c>
      <c r="N220" s="254">
        <f>IF(A220="","",IF(LEFT(TRIM(A220),5)="Leave","Leave",IF(OR(ISNUMBER(SEARCH("public holiday",A220)),ISNUMBER(SEARCH("Purple",E220))),"Public holiday","Event")))</f>
        <v/>
      </c>
    </row>
    <row r="221">
      <c r="G221" s="254">
        <f>IF(C221="","",IF(ISNUMBER(C221),C221,IF(ISNUMBER(VALUE(LEFT(TRIM(C221),1))),TRIM(C221),TRIM(MID(TRIM(C221),FIND(" ",TRIM(C221))+1,99)))))</f>
        <v/>
      </c>
      <c r="H221" s="254">
        <f>IF(D221="","",IF(ISNUMBER(D221),D221,IF(ISNUMBER(VALUE(LEFT(TRIM(D221),1))),TRIM(D221),TRIM(MID(TRIM(D221),FIND(" ",TRIM(D221))+1,99)))))</f>
        <v/>
      </c>
      <c r="I221" s="255">
        <f>IF(G221="",0,IF(ISNUMBER(G221),G221,IFERROR(DATE(VALUE(MID(G221,FIND("/",G221,FIND("/",G221)+1)+1,4)),VALUE(MID(G221,FIND("/",G221)+1,FIND("/",G221,FIND("/",G221)+1)-FIND("/",G221)-1)),VALUE(LEFT(G221,FIND("/",G221)-1)))+IFERROR(TIMEVALUE(TRIM(MID(G221,FIND(" ",G221)+1,20))),0),0)))</f>
        <v/>
      </c>
      <c r="J221" s="255">
        <f>IF(H221="",0,IF(ISNUMBER(H221),H221,IFERROR(DATE(VALUE(MID(H221,FIND("/",H221,FIND("/",H221)+1)+1,4)),VALUE(MID(H221,FIND("/",H221)+1,FIND("/",H221,FIND("/",H221)+1)-FIND("/",H221)-1)),VALUE(LEFT(H221,FIND("/",H221)-1)))+IFERROR(TIMEVALUE(TRIM(MID(H221,FIND(" ",H221)+1,20))),0),0)))</f>
        <v/>
      </c>
      <c r="K221" s="256">
        <f>IF(I221=0,0,INT(I221))</f>
        <v/>
      </c>
      <c r="L221" s="257">
        <f>IF(OR(I221=0,J221=0),0,ROUND((J221-I221)*24,2))</f>
        <v/>
      </c>
      <c r="M221" s="254">
        <f>IFERROR(TRIM(MID(A221,FIND("@",SUBSTITUTE(A221,"(","@",LEN(A221)-LEN(SUBSTITUTE(A221,"(",""))))+1,FIND(")",A221,FIND("@",SUBSTITUTE(A221,"(","@",LEN(A221)-LEN(SUBSTITUTE(A221,"(","")))))-FIND("@",SUBSTITUTE(A221,"(","@",LEN(A221)-LEN(SUBSTITUTE(A221,"(",""))))-1)),"")</f>
        <v/>
      </c>
      <c r="N221" s="254">
        <f>IF(A221="","",IF(LEFT(TRIM(A221),5)="Leave","Leave",IF(OR(ISNUMBER(SEARCH("public holiday",A221)),ISNUMBER(SEARCH("Purple",E221))),"Public holiday","Event")))</f>
        <v/>
      </c>
    </row>
    <row r="222">
      <c r="G222" s="254">
        <f>IF(C222="","",IF(ISNUMBER(C222),C222,IF(ISNUMBER(VALUE(LEFT(TRIM(C222),1))),TRIM(C222),TRIM(MID(TRIM(C222),FIND(" ",TRIM(C222))+1,99)))))</f>
        <v/>
      </c>
      <c r="H222" s="254">
        <f>IF(D222="","",IF(ISNUMBER(D222),D222,IF(ISNUMBER(VALUE(LEFT(TRIM(D222),1))),TRIM(D222),TRIM(MID(TRIM(D222),FIND(" ",TRIM(D222))+1,99)))))</f>
        <v/>
      </c>
      <c r="I222" s="255">
        <f>IF(G222="",0,IF(ISNUMBER(G222),G222,IFERROR(DATE(VALUE(MID(G222,FIND("/",G222,FIND("/",G222)+1)+1,4)),VALUE(MID(G222,FIND("/",G222)+1,FIND("/",G222,FIND("/",G222)+1)-FIND("/",G222)-1)),VALUE(LEFT(G222,FIND("/",G222)-1)))+IFERROR(TIMEVALUE(TRIM(MID(G222,FIND(" ",G222)+1,20))),0),0)))</f>
        <v/>
      </c>
      <c r="J222" s="255">
        <f>IF(H222="",0,IF(ISNUMBER(H222),H222,IFERROR(DATE(VALUE(MID(H222,FIND("/",H222,FIND("/",H222)+1)+1,4)),VALUE(MID(H222,FIND("/",H222)+1,FIND("/",H222,FIND("/",H222)+1)-FIND("/",H222)-1)),VALUE(LEFT(H222,FIND("/",H222)-1)))+IFERROR(TIMEVALUE(TRIM(MID(H222,FIND(" ",H222)+1,20))),0),0)))</f>
        <v/>
      </c>
      <c r="K222" s="256">
        <f>IF(I222=0,0,INT(I222))</f>
        <v/>
      </c>
      <c r="L222" s="257">
        <f>IF(OR(I222=0,J222=0),0,ROUND((J222-I222)*24,2))</f>
        <v/>
      </c>
      <c r="M222" s="254">
        <f>IFERROR(TRIM(MID(A222,FIND("@",SUBSTITUTE(A222,"(","@",LEN(A222)-LEN(SUBSTITUTE(A222,"(",""))))+1,FIND(")",A222,FIND("@",SUBSTITUTE(A222,"(","@",LEN(A222)-LEN(SUBSTITUTE(A222,"(","")))))-FIND("@",SUBSTITUTE(A222,"(","@",LEN(A222)-LEN(SUBSTITUTE(A222,"(",""))))-1)),"")</f>
        <v/>
      </c>
      <c r="N222" s="254">
        <f>IF(A222="","",IF(LEFT(TRIM(A222),5)="Leave","Leave",IF(OR(ISNUMBER(SEARCH("public holiday",A222)),ISNUMBER(SEARCH("Purple",E222))),"Public holiday","Event")))</f>
        <v/>
      </c>
    </row>
    <row r="223">
      <c r="G223" s="254">
        <f>IF(C223="","",IF(ISNUMBER(C223),C223,IF(ISNUMBER(VALUE(LEFT(TRIM(C223),1))),TRIM(C223),TRIM(MID(TRIM(C223),FIND(" ",TRIM(C223))+1,99)))))</f>
        <v/>
      </c>
      <c r="H223" s="254">
        <f>IF(D223="","",IF(ISNUMBER(D223),D223,IF(ISNUMBER(VALUE(LEFT(TRIM(D223),1))),TRIM(D223),TRIM(MID(TRIM(D223),FIND(" ",TRIM(D223))+1,99)))))</f>
        <v/>
      </c>
      <c r="I223" s="255">
        <f>IF(G223="",0,IF(ISNUMBER(G223),G223,IFERROR(DATE(VALUE(MID(G223,FIND("/",G223,FIND("/",G223)+1)+1,4)),VALUE(MID(G223,FIND("/",G223)+1,FIND("/",G223,FIND("/",G223)+1)-FIND("/",G223)-1)),VALUE(LEFT(G223,FIND("/",G223)-1)))+IFERROR(TIMEVALUE(TRIM(MID(G223,FIND(" ",G223)+1,20))),0),0)))</f>
        <v/>
      </c>
      <c r="J223" s="255">
        <f>IF(H223="",0,IF(ISNUMBER(H223),H223,IFERROR(DATE(VALUE(MID(H223,FIND("/",H223,FIND("/",H223)+1)+1,4)),VALUE(MID(H223,FIND("/",H223)+1,FIND("/",H223,FIND("/",H223)+1)-FIND("/",H223)-1)),VALUE(LEFT(H223,FIND("/",H223)-1)))+IFERROR(TIMEVALUE(TRIM(MID(H223,FIND(" ",H223)+1,20))),0),0)))</f>
        <v/>
      </c>
      <c r="K223" s="256">
        <f>IF(I223=0,0,INT(I223))</f>
        <v/>
      </c>
      <c r="L223" s="257">
        <f>IF(OR(I223=0,J223=0),0,ROUND((J223-I223)*24,2))</f>
        <v/>
      </c>
      <c r="M223" s="254">
        <f>IFERROR(TRIM(MID(A223,FIND("@",SUBSTITUTE(A223,"(","@",LEN(A223)-LEN(SUBSTITUTE(A223,"(",""))))+1,FIND(")",A223,FIND("@",SUBSTITUTE(A223,"(","@",LEN(A223)-LEN(SUBSTITUTE(A223,"(","")))))-FIND("@",SUBSTITUTE(A223,"(","@",LEN(A223)-LEN(SUBSTITUTE(A223,"(",""))))-1)),"")</f>
        <v/>
      </c>
      <c r="N223" s="254">
        <f>IF(A223="","",IF(LEFT(TRIM(A223),5)="Leave","Leave",IF(OR(ISNUMBER(SEARCH("public holiday",A223)),ISNUMBER(SEARCH("Purple",E223))),"Public holiday","Event")))</f>
        <v/>
      </c>
    </row>
    <row r="224">
      <c r="G224" s="254">
        <f>IF(C224="","",IF(ISNUMBER(C224),C224,IF(ISNUMBER(VALUE(LEFT(TRIM(C224),1))),TRIM(C224),TRIM(MID(TRIM(C224),FIND(" ",TRIM(C224))+1,99)))))</f>
        <v/>
      </c>
      <c r="H224" s="254">
        <f>IF(D224="","",IF(ISNUMBER(D224),D224,IF(ISNUMBER(VALUE(LEFT(TRIM(D224),1))),TRIM(D224),TRIM(MID(TRIM(D224),FIND(" ",TRIM(D224))+1,99)))))</f>
        <v/>
      </c>
      <c r="I224" s="255">
        <f>IF(G224="",0,IF(ISNUMBER(G224),G224,IFERROR(DATE(VALUE(MID(G224,FIND("/",G224,FIND("/",G224)+1)+1,4)),VALUE(MID(G224,FIND("/",G224)+1,FIND("/",G224,FIND("/",G224)+1)-FIND("/",G224)-1)),VALUE(LEFT(G224,FIND("/",G224)-1)))+IFERROR(TIMEVALUE(TRIM(MID(G224,FIND(" ",G224)+1,20))),0),0)))</f>
        <v/>
      </c>
      <c r="J224" s="255">
        <f>IF(H224="",0,IF(ISNUMBER(H224),H224,IFERROR(DATE(VALUE(MID(H224,FIND("/",H224,FIND("/",H224)+1)+1,4)),VALUE(MID(H224,FIND("/",H224)+1,FIND("/",H224,FIND("/",H224)+1)-FIND("/",H224)-1)),VALUE(LEFT(H224,FIND("/",H224)-1)))+IFERROR(TIMEVALUE(TRIM(MID(H224,FIND(" ",H224)+1,20))),0),0)))</f>
        <v/>
      </c>
      <c r="K224" s="256">
        <f>IF(I224=0,0,INT(I224))</f>
        <v/>
      </c>
      <c r="L224" s="257">
        <f>IF(OR(I224=0,J224=0),0,ROUND((J224-I224)*24,2))</f>
        <v/>
      </c>
      <c r="M224" s="254">
        <f>IFERROR(TRIM(MID(A224,FIND("@",SUBSTITUTE(A224,"(","@",LEN(A224)-LEN(SUBSTITUTE(A224,"(",""))))+1,FIND(")",A224,FIND("@",SUBSTITUTE(A224,"(","@",LEN(A224)-LEN(SUBSTITUTE(A224,"(","")))))-FIND("@",SUBSTITUTE(A224,"(","@",LEN(A224)-LEN(SUBSTITUTE(A224,"(",""))))-1)),"")</f>
        <v/>
      </c>
      <c r="N224" s="254">
        <f>IF(A224="","",IF(LEFT(TRIM(A224),5)="Leave","Leave",IF(OR(ISNUMBER(SEARCH("public holiday",A224)),ISNUMBER(SEARCH("Purple",E224))),"Public holiday","Event")))</f>
        <v/>
      </c>
    </row>
    <row r="225">
      <c r="G225" s="254">
        <f>IF(C225="","",IF(ISNUMBER(C225),C225,IF(ISNUMBER(VALUE(LEFT(TRIM(C225),1))),TRIM(C225),TRIM(MID(TRIM(C225),FIND(" ",TRIM(C225))+1,99)))))</f>
        <v/>
      </c>
      <c r="H225" s="254">
        <f>IF(D225="","",IF(ISNUMBER(D225),D225,IF(ISNUMBER(VALUE(LEFT(TRIM(D225),1))),TRIM(D225),TRIM(MID(TRIM(D225),FIND(" ",TRIM(D225))+1,99)))))</f>
        <v/>
      </c>
      <c r="I225" s="255">
        <f>IF(G225="",0,IF(ISNUMBER(G225),G225,IFERROR(DATE(VALUE(MID(G225,FIND("/",G225,FIND("/",G225)+1)+1,4)),VALUE(MID(G225,FIND("/",G225)+1,FIND("/",G225,FIND("/",G225)+1)-FIND("/",G225)-1)),VALUE(LEFT(G225,FIND("/",G225)-1)))+IFERROR(TIMEVALUE(TRIM(MID(G225,FIND(" ",G225)+1,20))),0),0)))</f>
        <v/>
      </c>
      <c r="J225" s="255">
        <f>IF(H225="",0,IF(ISNUMBER(H225),H225,IFERROR(DATE(VALUE(MID(H225,FIND("/",H225,FIND("/",H225)+1)+1,4)),VALUE(MID(H225,FIND("/",H225)+1,FIND("/",H225,FIND("/",H225)+1)-FIND("/",H225)-1)),VALUE(LEFT(H225,FIND("/",H225)-1)))+IFERROR(TIMEVALUE(TRIM(MID(H225,FIND(" ",H225)+1,20))),0),0)))</f>
        <v/>
      </c>
      <c r="K225" s="256">
        <f>IF(I225=0,0,INT(I225))</f>
        <v/>
      </c>
      <c r="L225" s="257">
        <f>IF(OR(I225=0,J225=0),0,ROUND((J225-I225)*24,2))</f>
        <v/>
      </c>
      <c r="M225" s="254">
        <f>IFERROR(TRIM(MID(A225,FIND("@",SUBSTITUTE(A225,"(","@",LEN(A225)-LEN(SUBSTITUTE(A225,"(",""))))+1,FIND(")",A225,FIND("@",SUBSTITUTE(A225,"(","@",LEN(A225)-LEN(SUBSTITUTE(A225,"(","")))))-FIND("@",SUBSTITUTE(A225,"(","@",LEN(A225)-LEN(SUBSTITUTE(A225,"(",""))))-1)),"")</f>
        <v/>
      </c>
      <c r="N225" s="254">
        <f>IF(A225="","",IF(LEFT(TRIM(A225),5)="Leave","Leave",IF(OR(ISNUMBER(SEARCH("public holiday",A225)),ISNUMBER(SEARCH("Purple",E225))),"Public holiday","Event")))</f>
        <v/>
      </c>
    </row>
    <row r="226">
      <c r="G226" s="254">
        <f>IF(C226="","",IF(ISNUMBER(C226),C226,IF(ISNUMBER(VALUE(LEFT(TRIM(C226),1))),TRIM(C226),TRIM(MID(TRIM(C226),FIND(" ",TRIM(C226))+1,99)))))</f>
        <v/>
      </c>
      <c r="H226" s="254">
        <f>IF(D226="","",IF(ISNUMBER(D226),D226,IF(ISNUMBER(VALUE(LEFT(TRIM(D226),1))),TRIM(D226),TRIM(MID(TRIM(D226),FIND(" ",TRIM(D226))+1,99)))))</f>
        <v/>
      </c>
      <c r="I226" s="255">
        <f>IF(G226="",0,IF(ISNUMBER(G226),G226,IFERROR(DATE(VALUE(MID(G226,FIND("/",G226,FIND("/",G226)+1)+1,4)),VALUE(MID(G226,FIND("/",G226)+1,FIND("/",G226,FIND("/",G226)+1)-FIND("/",G226)-1)),VALUE(LEFT(G226,FIND("/",G226)-1)))+IFERROR(TIMEVALUE(TRIM(MID(G226,FIND(" ",G226)+1,20))),0),0)))</f>
        <v/>
      </c>
      <c r="J226" s="255">
        <f>IF(H226="",0,IF(ISNUMBER(H226),H226,IFERROR(DATE(VALUE(MID(H226,FIND("/",H226,FIND("/",H226)+1)+1,4)),VALUE(MID(H226,FIND("/",H226)+1,FIND("/",H226,FIND("/",H226)+1)-FIND("/",H226)-1)),VALUE(LEFT(H226,FIND("/",H226)-1)))+IFERROR(TIMEVALUE(TRIM(MID(H226,FIND(" ",H226)+1,20))),0),0)))</f>
        <v/>
      </c>
      <c r="K226" s="256">
        <f>IF(I226=0,0,INT(I226))</f>
        <v/>
      </c>
      <c r="L226" s="257">
        <f>IF(OR(I226=0,J226=0),0,ROUND((J226-I226)*24,2))</f>
        <v/>
      </c>
      <c r="M226" s="254">
        <f>IFERROR(TRIM(MID(A226,FIND("@",SUBSTITUTE(A226,"(","@",LEN(A226)-LEN(SUBSTITUTE(A226,"(",""))))+1,FIND(")",A226,FIND("@",SUBSTITUTE(A226,"(","@",LEN(A226)-LEN(SUBSTITUTE(A226,"(","")))))-FIND("@",SUBSTITUTE(A226,"(","@",LEN(A226)-LEN(SUBSTITUTE(A226,"(",""))))-1)),"")</f>
        <v/>
      </c>
      <c r="N226" s="254">
        <f>IF(A226="","",IF(LEFT(TRIM(A226),5)="Leave","Leave",IF(OR(ISNUMBER(SEARCH("public holiday",A226)),ISNUMBER(SEARCH("Purple",E226))),"Public holiday","Event")))</f>
        <v/>
      </c>
    </row>
    <row r="227">
      <c r="G227" s="254">
        <f>IF(C227="","",IF(ISNUMBER(C227),C227,IF(ISNUMBER(VALUE(LEFT(TRIM(C227),1))),TRIM(C227),TRIM(MID(TRIM(C227),FIND(" ",TRIM(C227))+1,99)))))</f>
        <v/>
      </c>
      <c r="H227" s="254">
        <f>IF(D227="","",IF(ISNUMBER(D227),D227,IF(ISNUMBER(VALUE(LEFT(TRIM(D227),1))),TRIM(D227),TRIM(MID(TRIM(D227),FIND(" ",TRIM(D227))+1,99)))))</f>
        <v/>
      </c>
      <c r="I227" s="255">
        <f>IF(G227="",0,IF(ISNUMBER(G227),G227,IFERROR(DATE(VALUE(MID(G227,FIND("/",G227,FIND("/",G227)+1)+1,4)),VALUE(MID(G227,FIND("/",G227)+1,FIND("/",G227,FIND("/",G227)+1)-FIND("/",G227)-1)),VALUE(LEFT(G227,FIND("/",G227)-1)))+IFERROR(TIMEVALUE(TRIM(MID(G227,FIND(" ",G227)+1,20))),0),0)))</f>
        <v/>
      </c>
      <c r="J227" s="255">
        <f>IF(H227="",0,IF(ISNUMBER(H227),H227,IFERROR(DATE(VALUE(MID(H227,FIND("/",H227,FIND("/",H227)+1)+1,4)),VALUE(MID(H227,FIND("/",H227)+1,FIND("/",H227,FIND("/",H227)+1)-FIND("/",H227)-1)),VALUE(LEFT(H227,FIND("/",H227)-1)))+IFERROR(TIMEVALUE(TRIM(MID(H227,FIND(" ",H227)+1,20))),0),0)))</f>
        <v/>
      </c>
      <c r="K227" s="256">
        <f>IF(I227=0,0,INT(I227))</f>
        <v/>
      </c>
      <c r="L227" s="257">
        <f>IF(OR(I227=0,J227=0),0,ROUND((J227-I227)*24,2))</f>
        <v/>
      </c>
      <c r="M227" s="254">
        <f>IFERROR(TRIM(MID(A227,FIND("@",SUBSTITUTE(A227,"(","@",LEN(A227)-LEN(SUBSTITUTE(A227,"(",""))))+1,FIND(")",A227,FIND("@",SUBSTITUTE(A227,"(","@",LEN(A227)-LEN(SUBSTITUTE(A227,"(","")))))-FIND("@",SUBSTITUTE(A227,"(","@",LEN(A227)-LEN(SUBSTITUTE(A227,"(",""))))-1)),"")</f>
        <v/>
      </c>
      <c r="N227" s="254">
        <f>IF(A227="","",IF(LEFT(TRIM(A227),5)="Leave","Leave",IF(OR(ISNUMBER(SEARCH("public holiday",A227)),ISNUMBER(SEARCH("Purple",E227))),"Public holiday","Event")))</f>
        <v/>
      </c>
    </row>
    <row r="228">
      <c r="G228" s="254">
        <f>IF(C228="","",IF(ISNUMBER(C228),C228,IF(ISNUMBER(VALUE(LEFT(TRIM(C228),1))),TRIM(C228),TRIM(MID(TRIM(C228),FIND(" ",TRIM(C228))+1,99)))))</f>
        <v/>
      </c>
      <c r="H228" s="254">
        <f>IF(D228="","",IF(ISNUMBER(D228),D228,IF(ISNUMBER(VALUE(LEFT(TRIM(D228),1))),TRIM(D228),TRIM(MID(TRIM(D228),FIND(" ",TRIM(D228))+1,99)))))</f>
        <v/>
      </c>
      <c r="I228" s="255">
        <f>IF(G228="",0,IF(ISNUMBER(G228),G228,IFERROR(DATE(VALUE(MID(G228,FIND("/",G228,FIND("/",G228)+1)+1,4)),VALUE(MID(G228,FIND("/",G228)+1,FIND("/",G228,FIND("/",G228)+1)-FIND("/",G228)-1)),VALUE(LEFT(G228,FIND("/",G228)-1)))+IFERROR(TIMEVALUE(TRIM(MID(G228,FIND(" ",G228)+1,20))),0),0)))</f>
        <v/>
      </c>
      <c r="J228" s="255">
        <f>IF(H228="",0,IF(ISNUMBER(H228),H228,IFERROR(DATE(VALUE(MID(H228,FIND("/",H228,FIND("/",H228)+1)+1,4)),VALUE(MID(H228,FIND("/",H228)+1,FIND("/",H228,FIND("/",H228)+1)-FIND("/",H228)-1)),VALUE(LEFT(H228,FIND("/",H228)-1)))+IFERROR(TIMEVALUE(TRIM(MID(H228,FIND(" ",H228)+1,20))),0),0)))</f>
        <v/>
      </c>
      <c r="K228" s="256">
        <f>IF(I228=0,0,INT(I228))</f>
        <v/>
      </c>
      <c r="L228" s="257">
        <f>IF(OR(I228=0,J228=0),0,ROUND((J228-I228)*24,2))</f>
        <v/>
      </c>
      <c r="M228" s="254">
        <f>IFERROR(TRIM(MID(A228,FIND("@",SUBSTITUTE(A228,"(","@",LEN(A228)-LEN(SUBSTITUTE(A228,"(",""))))+1,FIND(")",A228,FIND("@",SUBSTITUTE(A228,"(","@",LEN(A228)-LEN(SUBSTITUTE(A228,"(","")))))-FIND("@",SUBSTITUTE(A228,"(","@",LEN(A228)-LEN(SUBSTITUTE(A228,"(",""))))-1)),"")</f>
        <v/>
      </c>
      <c r="N228" s="254">
        <f>IF(A228="","",IF(LEFT(TRIM(A228),5)="Leave","Leave",IF(OR(ISNUMBER(SEARCH("public holiday",A228)),ISNUMBER(SEARCH("Purple",E228))),"Public holiday","Event")))</f>
        <v/>
      </c>
    </row>
    <row r="229">
      <c r="G229" s="254">
        <f>IF(C229="","",IF(ISNUMBER(C229),C229,IF(ISNUMBER(VALUE(LEFT(TRIM(C229),1))),TRIM(C229),TRIM(MID(TRIM(C229),FIND(" ",TRIM(C229))+1,99)))))</f>
        <v/>
      </c>
      <c r="H229" s="254">
        <f>IF(D229="","",IF(ISNUMBER(D229),D229,IF(ISNUMBER(VALUE(LEFT(TRIM(D229),1))),TRIM(D229),TRIM(MID(TRIM(D229),FIND(" ",TRIM(D229))+1,99)))))</f>
        <v/>
      </c>
      <c r="I229" s="255">
        <f>IF(G229="",0,IF(ISNUMBER(G229),G229,IFERROR(DATE(VALUE(MID(G229,FIND("/",G229,FIND("/",G229)+1)+1,4)),VALUE(MID(G229,FIND("/",G229)+1,FIND("/",G229,FIND("/",G229)+1)-FIND("/",G229)-1)),VALUE(LEFT(G229,FIND("/",G229)-1)))+IFERROR(TIMEVALUE(TRIM(MID(G229,FIND(" ",G229)+1,20))),0),0)))</f>
        <v/>
      </c>
      <c r="J229" s="255">
        <f>IF(H229="",0,IF(ISNUMBER(H229),H229,IFERROR(DATE(VALUE(MID(H229,FIND("/",H229,FIND("/",H229)+1)+1,4)),VALUE(MID(H229,FIND("/",H229)+1,FIND("/",H229,FIND("/",H229)+1)-FIND("/",H229)-1)),VALUE(LEFT(H229,FIND("/",H229)-1)))+IFERROR(TIMEVALUE(TRIM(MID(H229,FIND(" ",H229)+1,20))),0),0)))</f>
        <v/>
      </c>
      <c r="K229" s="256">
        <f>IF(I229=0,0,INT(I229))</f>
        <v/>
      </c>
      <c r="L229" s="257">
        <f>IF(OR(I229=0,J229=0),0,ROUND((J229-I229)*24,2))</f>
        <v/>
      </c>
      <c r="M229" s="254">
        <f>IFERROR(TRIM(MID(A229,FIND("@",SUBSTITUTE(A229,"(","@",LEN(A229)-LEN(SUBSTITUTE(A229,"(",""))))+1,FIND(")",A229,FIND("@",SUBSTITUTE(A229,"(","@",LEN(A229)-LEN(SUBSTITUTE(A229,"(","")))))-FIND("@",SUBSTITUTE(A229,"(","@",LEN(A229)-LEN(SUBSTITUTE(A229,"(",""))))-1)),"")</f>
        <v/>
      </c>
      <c r="N229" s="254">
        <f>IF(A229="","",IF(LEFT(TRIM(A229),5)="Leave","Leave",IF(OR(ISNUMBER(SEARCH("public holiday",A229)),ISNUMBER(SEARCH("Purple",E229))),"Public holiday","Event")))</f>
        <v/>
      </c>
    </row>
    <row r="230">
      <c r="G230" s="254">
        <f>IF(C230="","",IF(ISNUMBER(C230),C230,IF(ISNUMBER(VALUE(LEFT(TRIM(C230),1))),TRIM(C230),TRIM(MID(TRIM(C230),FIND(" ",TRIM(C230))+1,99)))))</f>
        <v/>
      </c>
      <c r="H230" s="254">
        <f>IF(D230="","",IF(ISNUMBER(D230),D230,IF(ISNUMBER(VALUE(LEFT(TRIM(D230),1))),TRIM(D230),TRIM(MID(TRIM(D230),FIND(" ",TRIM(D230))+1,99)))))</f>
        <v/>
      </c>
      <c r="I230" s="255">
        <f>IF(G230="",0,IF(ISNUMBER(G230),G230,IFERROR(DATE(VALUE(MID(G230,FIND("/",G230,FIND("/",G230)+1)+1,4)),VALUE(MID(G230,FIND("/",G230)+1,FIND("/",G230,FIND("/",G230)+1)-FIND("/",G230)-1)),VALUE(LEFT(G230,FIND("/",G230)-1)))+IFERROR(TIMEVALUE(TRIM(MID(G230,FIND(" ",G230)+1,20))),0),0)))</f>
        <v/>
      </c>
      <c r="J230" s="255">
        <f>IF(H230="",0,IF(ISNUMBER(H230),H230,IFERROR(DATE(VALUE(MID(H230,FIND("/",H230,FIND("/",H230)+1)+1,4)),VALUE(MID(H230,FIND("/",H230)+1,FIND("/",H230,FIND("/",H230)+1)-FIND("/",H230)-1)),VALUE(LEFT(H230,FIND("/",H230)-1)))+IFERROR(TIMEVALUE(TRIM(MID(H230,FIND(" ",H230)+1,20))),0),0)))</f>
        <v/>
      </c>
      <c r="K230" s="256">
        <f>IF(I230=0,0,INT(I230))</f>
        <v/>
      </c>
      <c r="L230" s="257">
        <f>IF(OR(I230=0,J230=0),0,ROUND((J230-I230)*24,2))</f>
        <v/>
      </c>
      <c r="M230" s="254">
        <f>IFERROR(TRIM(MID(A230,FIND("@",SUBSTITUTE(A230,"(","@",LEN(A230)-LEN(SUBSTITUTE(A230,"(",""))))+1,FIND(")",A230,FIND("@",SUBSTITUTE(A230,"(","@",LEN(A230)-LEN(SUBSTITUTE(A230,"(","")))))-FIND("@",SUBSTITUTE(A230,"(","@",LEN(A230)-LEN(SUBSTITUTE(A230,"(",""))))-1)),"")</f>
        <v/>
      </c>
      <c r="N230" s="254">
        <f>IF(A230="","",IF(LEFT(TRIM(A230),5)="Leave","Leave",IF(OR(ISNUMBER(SEARCH("public holiday",A230)),ISNUMBER(SEARCH("Purple",E230))),"Public holiday","Event")))</f>
        <v/>
      </c>
    </row>
    <row r="231">
      <c r="G231" s="254">
        <f>IF(C231="","",IF(ISNUMBER(C231),C231,IF(ISNUMBER(VALUE(LEFT(TRIM(C231),1))),TRIM(C231),TRIM(MID(TRIM(C231),FIND(" ",TRIM(C231))+1,99)))))</f>
        <v/>
      </c>
      <c r="H231" s="254">
        <f>IF(D231="","",IF(ISNUMBER(D231),D231,IF(ISNUMBER(VALUE(LEFT(TRIM(D231),1))),TRIM(D231),TRIM(MID(TRIM(D231),FIND(" ",TRIM(D231))+1,99)))))</f>
        <v/>
      </c>
      <c r="I231" s="255">
        <f>IF(G231="",0,IF(ISNUMBER(G231),G231,IFERROR(DATE(VALUE(MID(G231,FIND("/",G231,FIND("/",G231)+1)+1,4)),VALUE(MID(G231,FIND("/",G231)+1,FIND("/",G231,FIND("/",G231)+1)-FIND("/",G231)-1)),VALUE(LEFT(G231,FIND("/",G231)-1)))+IFERROR(TIMEVALUE(TRIM(MID(G231,FIND(" ",G231)+1,20))),0),0)))</f>
        <v/>
      </c>
      <c r="J231" s="255">
        <f>IF(H231="",0,IF(ISNUMBER(H231),H231,IFERROR(DATE(VALUE(MID(H231,FIND("/",H231,FIND("/",H231)+1)+1,4)),VALUE(MID(H231,FIND("/",H231)+1,FIND("/",H231,FIND("/",H231)+1)-FIND("/",H231)-1)),VALUE(LEFT(H231,FIND("/",H231)-1)))+IFERROR(TIMEVALUE(TRIM(MID(H231,FIND(" ",H231)+1,20))),0),0)))</f>
        <v/>
      </c>
      <c r="K231" s="256">
        <f>IF(I231=0,0,INT(I231))</f>
        <v/>
      </c>
      <c r="L231" s="257">
        <f>IF(OR(I231=0,J231=0),0,ROUND((J231-I231)*24,2))</f>
        <v/>
      </c>
      <c r="M231" s="254">
        <f>IFERROR(TRIM(MID(A231,FIND("@",SUBSTITUTE(A231,"(","@",LEN(A231)-LEN(SUBSTITUTE(A231,"(",""))))+1,FIND(")",A231,FIND("@",SUBSTITUTE(A231,"(","@",LEN(A231)-LEN(SUBSTITUTE(A231,"(","")))))-FIND("@",SUBSTITUTE(A231,"(","@",LEN(A231)-LEN(SUBSTITUTE(A231,"(",""))))-1)),"")</f>
        <v/>
      </c>
      <c r="N231" s="254">
        <f>IF(A231="","",IF(LEFT(TRIM(A231),5)="Leave","Leave",IF(OR(ISNUMBER(SEARCH("public holiday",A231)),ISNUMBER(SEARCH("Purple",E231))),"Public holiday","Event")))</f>
        <v/>
      </c>
    </row>
    <row r="232">
      <c r="G232" s="254">
        <f>IF(C232="","",IF(ISNUMBER(C232),C232,IF(ISNUMBER(VALUE(LEFT(TRIM(C232),1))),TRIM(C232),TRIM(MID(TRIM(C232),FIND(" ",TRIM(C232))+1,99)))))</f>
        <v/>
      </c>
      <c r="H232" s="254">
        <f>IF(D232="","",IF(ISNUMBER(D232),D232,IF(ISNUMBER(VALUE(LEFT(TRIM(D232),1))),TRIM(D232),TRIM(MID(TRIM(D232),FIND(" ",TRIM(D232))+1,99)))))</f>
        <v/>
      </c>
      <c r="I232" s="255">
        <f>IF(G232="",0,IF(ISNUMBER(G232),G232,IFERROR(DATE(VALUE(MID(G232,FIND("/",G232,FIND("/",G232)+1)+1,4)),VALUE(MID(G232,FIND("/",G232)+1,FIND("/",G232,FIND("/",G232)+1)-FIND("/",G232)-1)),VALUE(LEFT(G232,FIND("/",G232)-1)))+IFERROR(TIMEVALUE(TRIM(MID(G232,FIND(" ",G232)+1,20))),0),0)))</f>
        <v/>
      </c>
      <c r="J232" s="255">
        <f>IF(H232="",0,IF(ISNUMBER(H232),H232,IFERROR(DATE(VALUE(MID(H232,FIND("/",H232,FIND("/",H232)+1)+1,4)),VALUE(MID(H232,FIND("/",H232)+1,FIND("/",H232,FIND("/",H232)+1)-FIND("/",H232)-1)),VALUE(LEFT(H232,FIND("/",H232)-1)))+IFERROR(TIMEVALUE(TRIM(MID(H232,FIND(" ",H232)+1,20))),0),0)))</f>
        <v/>
      </c>
      <c r="K232" s="256">
        <f>IF(I232=0,0,INT(I232))</f>
        <v/>
      </c>
      <c r="L232" s="257">
        <f>IF(OR(I232=0,J232=0),0,ROUND((J232-I232)*24,2))</f>
        <v/>
      </c>
      <c r="M232" s="254">
        <f>IFERROR(TRIM(MID(A232,FIND("@",SUBSTITUTE(A232,"(","@",LEN(A232)-LEN(SUBSTITUTE(A232,"(",""))))+1,FIND(")",A232,FIND("@",SUBSTITUTE(A232,"(","@",LEN(A232)-LEN(SUBSTITUTE(A232,"(","")))))-FIND("@",SUBSTITUTE(A232,"(","@",LEN(A232)-LEN(SUBSTITUTE(A232,"(",""))))-1)),"")</f>
        <v/>
      </c>
      <c r="N232" s="254">
        <f>IF(A232="","",IF(LEFT(TRIM(A232),5)="Leave","Leave",IF(OR(ISNUMBER(SEARCH("public holiday",A232)),ISNUMBER(SEARCH("Purple",E232))),"Public holiday","Event")))</f>
        <v/>
      </c>
    </row>
    <row r="233">
      <c r="G233" s="254">
        <f>IF(C233="","",IF(ISNUMBER(C233),C233,IF(ISNUMBER(VALUE(LEFT(TRIM(C233),1))),TRIM(C233),TRIM(MID(TRIM(C233),FIND(" ",TRIM(C233))+1,99)))))</f>
        <v/>
      </c>
      <c r="H233" s="254">
        <f>IF(D233="","",IF(ISNUMBER(D233),D233,IF(ISNUMBER(VALUE(LEFT(TRIM(D233),1))),TRIM(D233),TRIM(MID(TRIM(D233),FIND(" ",TRIM(D233))+1,99)))))</f>
        <v/>
      </c>
      <c r="I233" s="255">
        <f>IF(G233="",0,IF(ISNUMBER(G233),G233,IFERROR(DATE(VALUE(MID(G233,FIND("/",G233,FIND("/",G233)+1)+1,4)),VALUE(MID(G233,FIND("/",G233)+1,FIND("/",G233,FIND("/",G233)+1)-FIND("/",G233)-1)),VALUE(LEFT(G233,FIND("/",G233)-1)))+IFERROR(TIMEVALUE(TRIM(MID(G233,FIND(" ",G233)+1,20))),0),0)))</f>
        <v/>
      </c>
      <c r="J233" s="255">
        <f>IF(H233="",0,IF(ISNUMBER(H233),H233,IFERROR(DATE(VALUE(MID(H233,FIND("/",H233,FIND("/",H233)+1)+1,4)),VALUE(MID(H233,FIND("/",H233)+1,FIND("/",H233,FIND("/",H233)+1)-FIND("/",H233)-1)),VALUE(LEFT(H233,FIND("/",H233)-1)))+IFERROR(TIMEVALUE(TRIM(MID(H233,FIND(" ",H233)+1,20))),0),0)))</f>
        <v/>
      </c>
      <c r="K233" s="256">
        <f>IF(I233=0,0,INT(I233))</f>
        <v/>
      </c>
      <c r="L233" s="257">
        <f>IF(OR(I233=0,J233=0),0,ROUND((J233-I233)*24,2))</f>
        <v/>
      </c>
      <c r="M233" s="254">
        <f>IFERROR(TRIM(MID(A233,FIND("@",SUBSTITUTE(A233,"(","@",LEN(A233)-LEN(SUBSTITUTE(A233,"(",""))))+1,FIND(")",A233,FIND("@",SUBSTITUTE(A233,"(","@",LEN(A233)-LEN(SUBSTITUTE(A233,"(","")))))-FIND("@",SUBSTITUTE(A233,"(","@",LEN(A233)-LEN(SUBSTITUTE(A233,"(",""))))-1)),"")</f>
        <v/>
      </c>
      <c r="N233" s="254">
        <f>IF(A233="","",IF(LEFT(TRIM(A233),5)="Leave","Leave",IF(OR(ISNUMBER(SEARCH("public holiday",A233)),ISNUMBER(SEARCH("Purple",E233))),"Public holiday","Event")))</f>
        <v/>
      </c>
    </row>
    <row r="234">
      <c r="G234" s="254">
        <f>IF(C234="","",IF(ISNUMBER(C234),C234,IF(ISNUMBER(VALUE(LEFT(TRIM(C234),1))),TRIM(C234),TRIM(MID(TRIM(C234),FIND(" ",TRIM(C234))+1,99)))))</f>
        <v/>
      </c>
      <c r="H234" s="254">
        <f>IF(D234="","",IF(ISNUMBER(D234),D234,IF(ISNUMBER(VALUE(LEFT(TRIM(D234),1))),TRIM(D234),TRIM(MID(TRIM(D234),FIND(" ",TRIM(D234))+1,99)))))</f>
        <v/>
      </c>
      <c r="I234" s="255">
        <f>IF(G234="",0,IF(ISNUMBER(G234),G234,IFERROR(DATE(VALUE(MID(G234,FIND("/",G234,FIND("/",G234)+1)+1,4)),VALUE(MID(G234,FIND("/",G234)+1,FIND("/",G234,FIND("/",G234)+1)-FIND("/",G234)-1)),VALUE(LEFT(G234,FIND("/",G234)-1)))+IFERROR(TIMEVALUE(TRIM(MID(G234,FIND(" ",G234)+1,20))),0),0)))</f>
        <v/>
      </c>
      <c r="J234" s="255">
        <f>IF(H234="",0,IF(ISNUMBER(H234),H234,IFERROR(DATE(VALUE(MID(H234,FIND("/",H234,FIND("/",H234)+1)+1,4)),VALUE(MID(H234,FIND("/",H234)+1,FIND("/",H234,FIND("/",H234)+1)-FIND("/",H234)-1)),VALUE(LEFT(H234,FIND("/",H234)-1)))+IFERROR(TIMEVALUE(TRIM(MID(H234,FIND(" ",H234)+1,20))),0),0)))</f>
        <v/>
      </c>
      <c r="K234" s="256">
        <f>IF(I234=0,0,INT(I234))</f>
        <v/>
      </c>
      <c r="L234" s="257">
        <f>IF(OR(I234=0,J234=0),0,ROUND((J234-I234)*24,2))</f>
        <v/>
      </c>
      <c r="M234" s="254">
        <f>IFERROR(TRIM(MID(A234,FIND("@",SUBSTITUTE(A234,"(","@",LEN(A234)-LEN(SUBSTITUTE(A234,"(",""))))+1,FIND(")",A234,FIND("@",SUBSTITUTE(A234,"(","@",LEN(A234)-LEN(SUBSTITUTE(A234,"(","")))))-FIND("@",SUBSTITUTE(A234,"(","@",LEN(A234)-LEN(SUBSTITUTE(A234,"(",""))))-1)),"")</f>
        <v/>
      </c>
      <c r="N234" s="254">
        <f>IF(A234="","",IF(LEFT(TRIM(A234),5)="Leave","Leave",IF(OR(ISNUMBER(SEARCH("public holiday",A234)),ISNUMBER(SEARCH("Purple",E234))),"Public holiday","Event")))</f>
        <v/>
      </c>
    </row>
    <row r="235">
      <c r="G235" s="254">
        <f>IF(C235="","",IF(ISNUMBER(C235),C235,IF(ISNUMBER(VALUE(LEFT(TRIM(C235),1))),TRIM(C235),TRIM(MID(TRIM(C235),FIND(" ",TRIM(C235))+1,99)))))</f>
        <v/>
      </c>
      <c r="H235" s="254">
        <f>IF(D235="","",IF(ISNUMBER(D235),D235,IF(ISNUMBER(VALUE(LEFT(TRIM(D235),1))),TRIM(D235),TRIM(MID(TRIM(D235),FIND(" ",TRIM(D235))+1,99)))))</f>
        <v/>
      </c>
      <c r="I235" s="255">
        <f>IF(G235="",0,IF(ISNUMBER(G235),G235,IFERROR(DATE(VALUE(MID(G235,FIND("/",G235,FIND("/",G235)+1)+1,4)),VALUE(MID(G235,FIND("/",G235)+1,FIND("/",G235,FIND("/",G235)+1)-FIND("/",G235)-1)),VALUE(LEFT(G235,FIND("/",G235)-1)))+IFERROR(TIMEVALUE(TRIM(MID(G235,FIND(" ",G235)+1,20))),0),0)))</f>
        <v/>
      </c>
      <c r="J235" s="255">
        <f>IF(H235="",0,IF(ISNUMBER(H235),H235,IFERROR(DATE(VALUE(MID(H235,FIND("/",H235,FIND("/",H235)+1)+1,4)),VALUE(MID(H235,FIND("/",H235)+1,FIND("/",H235,FIND("/",H235)+1)-FIND("/",H235)-1)),VALUE(LEFT(H235,FIND("/",H235)-1)))+IFERROR(TIMEVALUE(TRIM(MID(H235,FIND(" ",H235)+1,20))),0),0)))</f>
        <v/>
      </c>
      <c r="K235" s="256">
        <f>IF(I235=0,0,INT(I235))</f>
        <v/>
      </c>
      <c r="L235" s="257">
        <f>IF(OR(I235=0,J235=0),0,ROUND((J235-I235)*24,2))</f>
        <v/>
      </c>
      <c r="M235" s="254">
        <f>IFERROR(TRIM(MID(A235,FIND("@",SUBSTITUTE(A235,"(","@",LEN(A235)-LEN(SUBSTITUTE(A235,"(",""))))+1,FIND(")",A235,FIND("@",SUBSTITUTE(A235,"(","@",LEN(A235)-LEN(SUBSTITUTE(A235,"(","")))))-FIND("@",SUBSTITUTE(A235,"(","@",LEN(A235)-LEN(SUBSTITUTE(A235,"(",""))))-1)),"")</f>
        <v/>
      </c>
      <c r="N235" s="254">
        <f>IF(A235="","",IF(LEFT(TRIM(A235),5)="Leave","Leave",IF(OR(ISNUMBER(SEARCH("public holiday",A235)),ISNUMBER(SEARCH("Purple",E235))),"Public holiday","Event")))</f>
        <v/>
      </c>
    </row>
    <row r="236">
      <c r="G236" s="254">
        <f>IF(C236="","",IF(ISNUMBER(C236),C236,IF(ISNUMBER(VALUE(LEFT(TRIM(C236),1))),TRIM(C236),TRIM(MID(TRIM(C236),FIND(" ",TRIM(C236))+1,99)))))</f>
        <v/>
      </c>
      <c r="H236" s="254">
        <f>IF(D236="","",IF(ISNUMBER(D236),D236,IF(ISNUMBER(VALUE(LEFT(TRIM(D236),1))),TRIM(D236),TRIM(MID(TRIM(D236),FIND(" ",TRIM(D236))+1,99)))))</f>
        <v/>
      </c>
      <c r="I236" s="255">
        <f>IF(G236="",0,IF(ISNUMBER(G236),G236,IFERROR(DATE(VALUE(MID(G236,FIND("/",G236,FIND("/",G236)+1)+1,4)),VALUE(MID(G236,FIND("/",G236)+1,FIND("/",G236,FIND("/",G236)+1)-FIND("/",G236)-1)),VALUE(LEFT(G236,FIND("/",G236)-1)))+IFERROR(TIMEVALUE(TRIM(MID(G236,FIND(" ",G236)+1,20))),0),0)))</f>
        <v/>
      </c>
      <c r="J236" s="255">
        <f>IF(H236="",0,IF(ISNUMBER(H236),H236,IFERROR(DATE(VALUE(MID(H236,FIND("/",H236,FIND("/",H236)+1)+1,4)),VALUE(MID(H236,FIND("/",H236)+1,FIND("/",H236,FIND("/",H236)+1)-FIND("/",H236)-1)),VALUE(LEFT(H236,FIND("/",H236)-1)))+IFERROR(TIMEVALUE(TRIM(MID(H236,FIND(" ",H236)+1,20))),0),0)))</f>
        <v/>
      </c>
      <c r="K236" s="256">
        <f>IF(I236=0,0,INT(I236))</f>
        <v/>
      </c>
      <c r="L236" s="257">
        <f>IF(OR(I236=0,J236=0),0,ROUND((J236-I236)*24,2))</f>
        <v/>
      </c>
      <c r="M236" s="254">
        <f>IFERROR(TRIM(MID(A236,FIND("@",SUBSTITUTE(A236,"(","@",LEN(A236)-LEN(SUBSTITUTE(A236,"(",""))))+1,FIND(")",A236,FIND("@",SUBSTITUTE(A236,"(","@",LEN(A236)-LEN(SUBSTITUTE(A236,"(","")))))-FIND("@",SUBSTITUTE(A236,"(","@",LEN(A236)-LEN(SUBSTITUTE(A236,"(",""))))-1)),"")</f>
        <v/>
      </c>
      <c r="N236" s="254">
        <f>IF(A236="","",IF(LEFT(TRIM(A236),5)="Leave","Leave",IF(OR(ISNUMBER(SEARCH("public holiday",A236)),ISNUMBER(SEARCH("Purple",E236))),"Public holiday","Event")))</f>
        <v/>
      </c>
    </row>
    <row r="237">
      <c r="G237" s="254">
        <f>IF(C237="","",IF(ISNUMBER(C237),C237,IF(ISNUMBER(VALUE(LEFT(TRIM(C237),1))),TRIM(C237),TRIM(MID(TRIM(C237),FIND(" ",TRIM(C237))+1,99)))))</f>
        <v/>
      </c>
      <c r="H237" s="254">
        <f>IF(D237="","",IF(ISNUMBER(D237),D237,IF(ISNUMBER(VALUE(LEFT(TRIM(D237),1))),TRIM(D237),TRIM(MID(TRIM(D237),FIND(" ",TRIM(D237))+1,99)))))</f>
        <v/>
      </c>
      <c r="I237" s="255">
        <f>IF(G237="",0,IF(ISNUMBER(G237),G237,IFERROR(DATE(VALUE(MID(G237,FIND("/",G237,FIND("/",G237)+1)+1,4)),VALUE(MID(G237,FIND("/",G237)+1,FIND("/",G237,FIND("/",G237)+1)-FIND("/",G237)-1)),VALUE(LEFT(G237,FIND("/",G237)-1)))+IFERROR(TIMEVALUE(TRIM(MID(G237,FIND(" ",G237)+1,20))),0),0)))</f>
        <v/>
      </c>
      <c r="J237" s="255">
        <f>IF(H237="",0,IF(ISNUMBER(H237),H237,IFERROR(DATE(VALUE(MID(H237,FIND("/",H237,FIND("/",H237)+1)+1,4)),VALUE(MID(H237,FIND("/",H237)+1,FIND("/",H237,FIND("/",H237)+1)-FIND("/",H237)-1)),VALUE(LEFT(H237,FIND("/",H237)-1)))+IFERROR(TIMEVALUE(TRIM(MID(H237,FIND(" ",H237)+1,20))),0),0)))</f>
        <v/>
      </c>
      <c r="K237" s="256">
        <f>IF(I237=0,0,INT(I237))</f>
        <v/>
      </c>
      <c r="L237" s="257">
        <f>IF(OR(I237=0,J237=0),0,ROUND((J237-I237)*24,2))</f>
        <v/>
      </c>
      <c r="M237" s="254">
        <f>IFERROR(TRIM(MID(A237,FIND("@",SUBSTITUTE(A237,"(","@",LEN(A237)-LEN(SUBSTITUTE(A237,"(",""))))+1,FIND(")",A237,FIND("@",SUBSTITUTE(A237,"(","@",LEN(A237)-LEN(SUBSTITUTE(A237,"(","")))))-FIND("@",SUBSTITUTE(A237,"(","@",LEN(A237)-LEN(SUBSTITUTE(A237,"(",""))))-1)),"")</f>
        <v/>
      </c>
      <c r="N237" s="254">
        <f>IF(A237="","",IF(LEFT(TRIM(A237),5)="Leave","Leave",IF(OR(ISNUMBER(SEARCH("public holiday",A237)),ISNUMBER(SEARCH("Purple",E237))),"Public holiday","Event")))</f>
        <v/>
      </c>
    </row>
    <row r="238">
      <c r="G238" s="254">
        <f>IF(C238="","",IF(ISNUMBER(C238),C238,IF(ISNUMBER(VALUE(LEFT(TRIM(C238),1))),TRIM(C238),TRIM(MID(TRIM(C238),FIND(" ",TRIM(C238))+1,99)))))</f>
        <v/>
      </c>
      <c r="H238" s="254">
        <f>IF(D238="","",IF(ISNUMBER(D238),D238,IF(ISNUMBER(VALUE(LEFT(TRIM(D238),1))),TRIM(D238),TRIM(MID(TRIM(D238),FIND(" ",TRIM(D238))+1,99)))))</f>
        <v/>
      </c>
      <c r="I238" s="255">
        <f>IF(G238="",0,IF(ISNUMBER(G238),G238,IFERROR(DATE(VALUE(MID(G238,FIND("/",G238,FIND("/",G238)+1)+1,4)),VALUE(MID(G238,FIND("/",G238)+1,FIND("/",G238,FIND("/",G238)+1)-FIND("/",G238)-1)),VALUE(LEFT(G238,FIND("/",G238)-1)))+IFERROR(TIMEVALUE(TRIM(MID(G238,FIND(" ",G238)+1,20))),0),0)))</f>
        <v/>
      </c>
      <c r="J238" s="255">
        <f>IF(H238="",0,IF(ISNUMBER(H238),H238,IFERROR(DATE(VALUE(MID(H238,FIND("/",H238,FIND("/",H238)+1)+1,4)),VALUE(MID(H238,FIND("/",H238)+1,FIND("/",H238,FIND("/",H238)+1)-FIND("/",H238)-1)),VALUE(LEFT(H238,FIND("/",H238)-1)))+IFERROR(TIMEVALUE(TRIM(MID(H238,FIND(" ",H238)+1,20))),0),0)))</f>
        <v/>
      </c>
      <c r="K238" s="256">
        <f>IF(I238=0,0,INT(I238))</f>
        <v/>
      </c>
      <c r="L238" s="257">
        <f>IF(OR(I238=0,J238=0),0,ROUND((J238-I238)*24,2))</f>
        <v/>
      </c>
      <c r="M238" s="254">
        <f>IFERROR(TRIM(MID(A238,FIND("@",SUBSTITUTE(A238,"(","@",LEN(A238)-LEN(SUBSTITUTE(A238,"(",""))))+1,FIND(")",A238,FIND("@",SUBSTITUTE(A238,"(","@",LEN(A238)-LEN(SUBSTITUTE(A238,"(","")))))-FIND("@",SUBSTITUTE(A238,"(","@",LEN(A238)-LEN(SUBSTITUTE(A238,"(",""))))-1)),"")</f>
        <v/>
      </c>
      <c r="N238" s="254">
        <f>IF(A238="","",IF(LEFT(TRIM(A238),5)="Leave","Leave",IF(OR(ISNUMBER(SEARCH("public holiday",A238)),ISNUMBER(SEARCH("Purple",E238))),"Public holiday","Event")))</f>
        <v/>
      </c>
    </row>
    <row r="239">
      <c r="G239" s="254">
        <f>IF(C239="","",IF(ISNUMBER(C239),C239,IF(ISNUMBER(VALUE(LEFT(TRIM(C239),1))),TRIM(C239),TRIM(MID(TRIM(C239),FIND(" ",TRIM(C239))+1,99)))))</f>
        <v/>
      </c>
      <c r="H239" s="254">
        <f>IF(D239="","",IF(ISNUMBER(D239),D239,IF(ISNUMBER(VALUE(LEFT(TRIM(D239),1))),TRIM(D239),TRIM(MID(TRIM(D239),FIND(" ",TRIM(D239))+1,99)))))</f>
        <v/>
      </c>
      <c r="I239" s="255">
        <f>IF(G239="",0,IF(ISNUMBER(G239),G239,IFERROR(DATE(VALUE(MID(G239,FIND("/",G239,FIND("/",G239)+1)+1,4)),VALUE(MID(G239,FIND("/",G239)+1,FIND("/",G239,FIND("/",G239)+1)-FIND("/",G239)-1)),VALUE(LEFT(G239,FIND("/",G239)-1)))+IFERROR(TIMEVALUE(TRIM(MID(G239,FIND(" ",G239)+1,20))),0),0)))</f>
        <v/>
      </c>
      <c r="J239" s="255">
        <f>IF(H239="",0,IF(ISNUMBER(H239),H239,IFERROR(DATE(VALUE(MID(H239,FIND("/",H239,FIND("/",H239)+1)+1,4)),VALUE(MID(H239,FIND("/",H239)+1,FIND("/",H239,FIND("/",H239)+1)-FIND("/",H239)-1)),VALUE(LEFT(H239,FIND("/",H239)-1)))+IFERROR(TIMEVALUE(TRIM(MID(H239,FIND(" ",H239)+1,20))),0),0)))</f>
        <v/>
      </c>
      <c r="K239" s="256">
        <f>IF(I239=0,0,INT(I239))</f>
        <v/>
      </c>
      <c r="L239" s="257">
        <f>IF(OR(I239=0,J239=0),0,ROUND((J239-I239)*24,2))</f>
        <v/>
      </c>
      <c r="M239" s="254">
        <f>IFERROR(TRIM(MID(A239,FIND("@",SUBSTITUTE(A239,"(","@",LEN(A239)-LEN(SUBSTITUTE(A239,"(",""))))+1,FIND(")",A239,FIND("@",SUBSTITUTE(A239,"(","@",LEN(A239)-LEN(SUBSTITUTE(A239,"(","")))))-FIND("@",SUBSTITUTE(A239,"(","@",LEN(A239)-LEN(SUBSTITUTE(A239,"(",""))))-1)),"")</f>
        <v/>
      </c>
      <c r="N239" s="254">
        <f>IF(A239="","",IF(LEFT(TRIM(A239),5)="Leave","Leave",IF(OR(ISNUMBER(SEARCH("public holiday",A239)),ISNUMBER(SEARCH("Purple",E239))),"Public holiday","Event")))</f>
        <v/>
      </c>
    </row>
    <row r="240">
      <c r="G240" s="254">
        <f>IF(C240="","",IF(ISNUMBER(C240),C240,IF(ISNUMBER(VALUE(LEFT(TRIM(C240),1))),TRIM(C240),TRIM(MID(TRIM(C240),FIND(" ",TRIM(C240))+1,99)))))</f>
        <v/>
      </c>
      <c r="H240" s="254">
        <f>IF(D240="","",IF(ISNUMBER(D240),D240,IF(ISNUMBER(VALUE(LEFT(TRIM(D240),1))),TRIM(D240),TRIM(MID(TRIM(D240),FIND(" ",TRIM(D240))+1,99)))))</f>
        <v/>
      </c>
      <c r="I240" s="255">
        <f>IF(G240="",0,IF(ISNUMBER(G240),G240,IFERROR(DATE(VALUE(MID(G240,FIND("/",G240,FIND("/",G240)+1)+1,4)),VALUE(MID(G240,FIND("/",G240)+1,FIND("/",G240,FIND("/",G240)+1)-FIND("/",G240)-1)),VALUE(LEFT(G240,FIND("/",G240)-1)))+IFERROR(TIMEVALUE(TRIM(MID(G240,FIND(" ",G240)+1,20))),0),0)))</f>
        <v/>
      </c>
      <c r="J240" s="255">
        <f>IF(H240="",0,IF(ISNUMBER(H240),H240,IFERROR(DATE(VALUE(MID(H240,FIND("/",H240,FIND("/",H240)+1)+1,4)),VALUE(MID(H240,FIND("/",H240)+1,FIND("/",H240,FIND("/",H240)+1)-FIND("/",H240)-1)),VALUE(LEFT(H240,FIND("/",H240)-1)))+IFERROR(TIMEVALUE(TRIM(MID(H240,FIND(" ",H240)+1,20))),0),0)))</f>
        <v/>
      </c>
      <c r="K240" s="256">
        <f>IF(I240=0,0,INT(I240))</f>
        <v/>
      </c>
      <c r="L240" s="257">
        <f>IF(OR(I240=0,J240=0),0,ROUND((J240-I240)*24,2))</f>
        <v/>
      </c>
      <c r="M240" s="254">
        <f>IFERROR(TRIM(MID(A240,FIND("@",SUBSTITUTE(A240,"(","@",LEN(A240)-LEN(SUBSTITUTE(A240,"(",""))))+1,FIND(")",A240,FIND("@",SUBSTITUTE(A240,"(","@",LEN(A240)-LEN(SUBSTITUTE(A240,"(","")))))-FIND("@",SUBSTITUTE(A240,"(","@",LEN(A240)-LEN(SUBSTITUTE(A240,"(",""))))-1)),"")</f>
        <v/>
      </c>
      <c r="N240" s="254">
        <f>IF(A240="","",IF(LEFT(TRIM(A240),5)="Leave","Leave",IF(OR(ISNUMBER(SEARCH("public holiday",A240)),ISNUMBER(SEARCH("Purple",E240))),"Public holiday","Event")))</f>
        <v/>
      </c>
    </row>
    <row r="241">
      <c r="G241" s="254">
        <f>IF(C241="","",IF(ISNUMBER(C241),C241,IF(ISNUMBER(VALUE(LEFT(TRIM(C241),1))),TRIM(C241),TRIM(MID(TRIM(C241),FIND(" ",TRIM(C241))+1,99)))))</f>
        <v/>
      </c>
      <c r="H241" s="254">
        <f>IF(D241="","",IF(ISNUMBER(D241),D241,IF(ISNUMBER(VALUE(LEFT(TRIM(D241),1))),TRIM(D241),TRIM(MID(TRIM(D241),FIND(" ",TRIM(D241))+1,99)))))</f>
        <v/>
      </c>
      <c r="I241" s="255">
        <f>IF(G241="",0,IF(ISNUMBER(G241),G241,IFERROR(DATE(VALUE(MID(G241,FIND("/",G241,FIND("/",G241)+1)+1,4)),VALUE(MID(G241,FIND("/",G241)+1,FIND("/",G241,FIND("/",G241)+1)-FIND("/",G241)-1)),VALUE(LEFT(G241,FIND("/",G241)-1)))+IFERROR(TIMEVALUE(TRIM(MID(G241,FIND(" ",G241)+1,20))),0),0)))</f>
        <v/>
      </c>
      <c r="J241" s="255">
        <f>IF(H241="",0,IF(ISNUMBER(H241),H241,IFERROR(DATE(VALUE(MID(H241,FIND("/",H241,FIND("/",H241)+1)+1,4)),VALUE(MID(H241,FIND("/",H241)+1,FIND("/",H241,FIND("/",H241)+1)-FIND("/",H241)-1)),VALUE(LEFT(H241,FIND("/",H241)-1)))+IFERROR(TIMEVALUE(TRIM(MID(H241,FIND(" ",H241)+1,20))),0),0)))</f>
        <v/>
      </c>
      <c r="K241" s="256">
        <f>IF(I241=0,0,INT(I241))</f>
        <v/>
      </c>
      <c r="L241" s="257">
        <f>IF(OR(I241=0,J241=0),0,ROUND((J241-I241)*24,2))</f>
        <v/>
      </c>
      <c r="M241" s="254">
        <f>IFERROR(TRIM(MID(A241,FIND("@",SUBSTITUTE(A241,"(","@",LEN(A241)-LEN(SUBSTITUTE(A241,"(",""))))+1,FIND(")",A241,FIND("@",SUBSTITUTE(A241,"(","@",LEN(A241)-LEN(SUBSTITUTE(A241,"(","")))))-FIND("@",SUBSTITUTE(A241,"(","@",LEN(A241)-LEN(SUBSTITUTE(A241,"(",""))))-1)),"")</f>
        <v/>
      </c>
      <c r="N241" s="254">
        <f>IF(A241="","",IF(LEFT(TRIM(A241),5)="Leave","Leave",IF(OR(ISNUMBER(SEARCH("public holiday",A241)),ISNUMBER(SEARCH("Purple",E241))),"Public holiday","Event")))</f>
        <v/>
      </c>
    </row>
    <row r="242">
      <c r="G242" s="254">
        <f>IF(C242="","",IF(ISNUMBER(C242),C242,IF(ISNUMBER(VALUE(LEFT(TRIM(C242),1))),TRIM(C242),TRIM(MID(TRIM(C242),FIND(" ",TRIM(C242))+1,99)))))</f>
        <v/>
      </c>
      <c r="H242" s="254">
        <f>IF(D242="","",IF(ISNUMBER(D242),D242,IF(ISNUMBER(VALUE(LEFT(TRIM(D242),1))),TRIM(D242),TRIM(MID(TRIM(D242),FIND(" ",TRIM(D242))+1,99)))))</f>
        <v/>
      </c>
      <c r="I242" s="255">
        <f>IF(G242="",0,IF(ISNUMBER(G242),G242,IFERROR(DATE(VALUE(MID(G242,FIND("/",G242,FIND("/",G242)+1)+1,4)),VALUE(MID(G242,FIND("/",G242)+1,FIND("/",G242,FIND("/",G242)+1)-FIND("/",G242)-1)),VALUE(LEFT(G242,FIND("/",G242)-1)))+IFERROR(TIMEVALUE(TRIM(MID(G242,FIND(" ",G242)+1,20))),0),0)))</f>
        <v/>
      </c>
      <c r="J242" s="255">
        <f>IF(H242="",0,IF(ISNUMBER(H242),H242,IFERROR(DATE(VALUE(MID(H242,FIND("/",H242,FIND("/",H242)+1)+1,4)),VALUE(MID(H242,FIND("/",H242)+1,FIND("/",H242,FIND("/",H242)+1)-FIND("/",H242)-1)),VALUE(LEFT(H242,FIND("/",H242)-1)))+IFERROR(TIMEVALUE(TRIM(MID(H242,FIND(" ",H242)+1,20))),0),0)))</f>
        <v/>
      </c>
      <c r="K242" s="256">
        <f>IF(I242=0,0,INT(I242))</f>
        <v/>
      </c>
      <c r="L242" s="257">
        <f>IF(OR(I242=0,J242=0),0,ROUND((J242-I242)*24,2))</f>
        <v/>
      </c>
      <c r="M242" s="254">
        <f>IFERROR(TRIM(MID(A242,FIND("@",SUBSTITUTE(A242,"(","@",LEN(A242)-LEN(SUBSTITUTE(A242,"(",""))))+1,FIND(")",A242,FIND("@",SUBSTITUTE(A242,"(","@",LEN(A242)-LEN(SUBSTITUTE(A242,"(","")))))-FIND("@",SUBSTITUTE(A242,"(","@",LEN(A242)-LEN(SUBSTITUTE(A242,"(",""))))-1)),"")</f>
        <v/>
      </c>
      <c r="N242" s="254">
        <f>IF(A242="","",IF(LEFT(TRIM(A242),5)="Leave","Leave",IF(OR(ISNUMBER(SEARCH("public holiday",A242)),ISNUMBER(SEARCH("Purple",E242))),"Public holiday","Event")))</f>
        <v/>
      </c>
    </row>
    <row r="243">
      <c r="G243" s="254">
        <f>IF(C243="","",IF(ISNUMBER(C243),C243,IF(ISNUMBER(VALUE(LEFT(TRIM(C243),1))),TRIM(C243),TRIM(MID(TRIM(C243),FIND(" ",TRIM(C243))+1,99)))))</f>
        <v/>
      </c>
      <c r="H243" s="254">
        <f>IF(D243="","",IF(ISNUMBER(D243),D243,IF(ISNUMBER(VALUE(LEFT(TRIM(D243),1))),TRIM(D243),TRIM(MID(TRIM(D243),FIND(" ",TRIM(D243))+1,99)))))</f>
        <v/>
      </c>
      <c r="I243" s="255">
        <f>IF(G243="",0,IF(ISNUMBER(G243),G243,IFERROR(DATE(VALUE(MID(G243,FIND("/",G243,FIND("/",G243)+1)+1,4)),VALUE(MID(G243,FIND("/",G243)+1,FIND("/",G243,FIND("/",G243)+1)-FIND("/",G243)-1)),VALUE(LEFT(G243,FIND("/",G243)-1)))+IFERROR(TIMEVALUE(TRIM(MID(G243,FIND(" ",G243)+1,20))),0),0)))</f>
        <v/>
      </c>
      <c r="J243" s="255">
        <f>IF(H243="",0,IF(ISNUMBER(H243),H243,IFERROR(DATE(VALUE(MID(H243,FIND("/",H243,FIND("/",H243)+1)+1,4)),VALUE(MID(H243,FIND("/",H243)+1,FIND("/",H243,FIND("/",H243)+1)-FIND("/",H243)-1)),VALUE(LEFT(H243,FIND("/",H243)-1)))+IFERROR(TIMEVALUE(TRIM(MID(H243,FIND(" ",H243)+1,20))),0),0)))</f>
        <v/>
      </c>
      <c r="K243" s="256">
        <f>IF(I243=0,0,INT(I243))</f>
        <v/>
      </c>
      <c r="L243" s="257">
        <f>IF(OR(I243=0,J243=0),0,ROUND((J243-I243)*24,2))</f>
        <v/>
      </c>
      <c r="M243" s="254">
        <f>IFERROR(TRIM(MID(A243,FIND("@",SUBSTITUTE(A243,"(","@",LEN(A243)-LEN(SUBSTITUTE(A243,"(",""))))+1,FIND(")",A243,FIND("@",SUBSTITUTE(A243,"(","@",LEN(A243)-LEN(SUBSTITUTE(A243,"(","")))))-FIND("@",SUBSTITUTE(A243,"(","@",LEN(A243)-LEN(SUBSTITUTE(A243,"(",""))))-1)),"")</f>
        <v/>
      </c>
      <c r="N243" s="254">
        <f>IF(A243="","",IF(LEFT(TRIM(A243),5)="Leave","Leave",IF(OR(ISNUMBER(SEARCH("public holiday",A243)),ISNUMBER(SEARCH("Purple",E243))),"Public holiday","Event")))</f>
        <v/>
      </c>
    </row>
    <row r="244">
      <c r="G244" s="254">
        <f>IF(C244="","",IF(ISNUMBER(C244),C244,IF(ISNUMBER(VALUE(LEFT(TRIM(C244),1))),TRIM(C244),TRIM(MID(TRIM(C244),FIND(" ",TRIM(C244))+1,99)))))</f>
        <v/>
      </c>
      <c r="H244" s="254">
        <f>IF(D244="","",IF(ISNUMBER(D244),D244,IF(ISNUMBER(VALUE(LEFT(TRIM(D244),1))),TRIM(D244),TRIM(MID(TRIM(D244),FIND(" ",TRIM(D244))+1,99)))))</f>
        <v/>
      </c>
      <c r="I244" s="255">
        <f>IF(G244="",0,IF(ISNUMBER(G244),G244,IFERROR(DATE(VALUE(MID(G244,FIND("/",G244,FIND("/",G244)+1)+1,4)),VALUE(MID(G244,FIND("/",G244)+1,FIND("/",G244,FIND("/",G244)+1)-FIND("/",G244)-1)),VALUE(LEFT(G244,FIND("/",G244)-1)))+IFERROR(TIMEVALUE(TRIM(MID(G244,FIND(" ",G244)+1,20))),0),0)))</f>
        <v/>
      </c>
      <c r="J244" s="255">
        <f>IF(H244="",0,IF(ISNUMBER(H244),H244,IFERROR(DATE(VALUE(MID(H244,FIND("/",H244,FIND("/",H244)+1)+1,4)),VALUE(MID(H244,FIND("/",H244)+1,FIND("/",H244,FIND("/",H244)+1)-FIND("/",H244)-1)),VALUE(LEFT(H244,FIND("/",H244)-1)))+IFERROR(TIMEVALUE(TRIM(MID(H244,FIND(" ",H244)+1,20))),0),0)))</f>
        <v/>
      </c>
      <c r="K244" s="256">
        <f>IF(I244=0,0,INT(I244))</f>
        <v/>
      </c>
      <c r="L244" s="257">
        <f>IF(OR(I244=0,J244=0),0,ROUND((J244-I244)*24,2))</f>
        <v/>
      </c>
      <c r="M244" s="254">
        <f>IFERROR(TRIM(MID(A244,FIND("@",SUBSTITUTE(A244,"(","@",LEN(A244)-LEN(SUBSTITUTE(A244,"(",""))))+1,FIND(")",A244,FIND("@",SUBSTITUTE(A244,"(","@",LEN(A244)-LEN(SUBSTITUTE(A244,"(","")))))-FIND("@",SUBSTITUTE(A244,"(","@",LEN(A244)-LEN(SUBSTITUTE(A244,"(",""))))-1)),"")</f>
        <v/>
      </c>
      <c r="N244" s="254">
        <f>IF(A244="","",IF(LEFT(TRIM(A244),5)="Leave","Leave",IF(OR(ISNUMBER(SEARCH("public holiday",A244)),ISNUMBER(SEARCH("Purple",E244))),"Public holiday","Event")))</f>
        <v/>
      </c>
    </row>
    <row r="245">
      <c r="G245" s="254">
        <f>IF(C245="","",IF(ISNUMBER(C245),C245,IF(ISNUMBER(VALUE(LEFT(TRIM(C245),1))),TRIM(C245),TRIM(MID(TRIM(C245),FIND(" ",TRIM(C245))+1,99)))))</f>
        <v/>
      </c>
      <c r="H245" s="254">
        <f>IF(D245="","",IF(ISNUMBER(D245),D245,IF(ISNUMBER(VALUE(LEFT(TRIM(D245),1))),TRIM(D245),TRIM(MID(TRIM(D245),FIND(" ",TRIM(D245))+1,99)))))</f>
        <v/>
      </c>
      <c r="I245" s="255">
        <f>IF(G245="",0,IF(ISNUMBER(G245),G245,IFERROR(DATE(VALUE(MID(G245,FIND("/",G245,FIND("/",G245)+1)+1,4)),VALUE(MID(G245,FIND("/",G245)+1,FIND("/",G245,FIND("/",G245)+1)-FIND("/",G245)-1)),VALUE(LEFT(G245,FIND("/",G245)-1)))+IFERROR(TIMEVALUE(TRIM(MID(G245,FIND(" ",G245)+1,20))),0),0)))</f>
        <v/>
      </c>
      <c r="J245" s="255">
        <f>IF(H245="",0,IF(ISNUMBER(H245),H245,IFERROR(DATE(VALUE(MID(H245,FIND("/",H245,FIND("/",H245)+1)+1,4)),VALUE(MID(H245,FIND("/",H245)+1,FIND("/",H245,FIND("/",H245)+1)-FIND("/",H245)-1)),VALUE(LEFT(H245,FIND("/",H245)-1)))+IFERROR(TIMEVALUE(TRIM(MID(H245,FIND(" ",H245)+1,20))),0),0)))</f>
        <v/>
      </c>
      <c r="K245" s="256">
        <f>IF(I245=0,0,INT(I245))</f>
        <v/>
      </c>
      <c r="L245" s="257">
        <f>IF(OR(I245=0,J245=0),0,ROUND((J245-I245)*24,2))</f>
        <v/>
      </c>
      <c r="M245" s="254">
        <f>IFERROR(TRIM(MID(A245,FIND("@",SUBSTITUTE(A245,"(","@",LEN(A245)-LEN(SUBSTITUTE(A245,"(",""))))+1,FIND(")",A245,FIND("@",SUBSTITUTE(A245,"(","@",LEN(A245)-LEN(SUBSTITUTE(A245,"(","")))))-FIND("@",SUBSTITUTE(A245,"(","@",LEN(A245)-LEN(SUBSTITUTE(A245,"(",""))))-1)),"")</f>
        <v/>
      </c>
      <c r="N245" s="254">
        <f>IF(A245="","",IF(LEFT(TRIM(A245),5)="Leave","Leave",IF(OR(ISNUMBER(SEARCH("public holiday",A245)),ISNUMBER(SEARCH("Purple",E245))),"Public holiday","Event")))</f>
        <v/>
      </c>
    </row>
    <row r="246">
      <c r="G246" s="254">
        <f>IF(C246="","",IF(ISNUMBER(C246),C246,IF(ISNUMBER(VALUE(LEFT(TRIM(C246),1))),TRIM(C246),TRIM(MID(TRIM(C246),FIND(" ",TRIM(C246))+1,99)))))</f>
        <v/>
      </c>
      <c r="H246" s="254">
        <f>IF(D246="","",IF(ISNUMBER(D246),D246,IF(ISNUMBER(VALUE(LEFT(TRIM(D246),1))),TRIM(D246),TRIM(MID(TRIM(D246),FIND(" ",TRIM(D246))+1,99)))))</f>
        <v/>
      </c>
      <c r="I246" s="255">
        <f>IF(G246="",0,IF(ISNUMBER(G246),G246,IFERROR(DATE(VALUE(MID(G246,FIND("/",G246,FIND("/",G246)+1)+1,4)),VALUE(MID(G246,FIND("/",G246)+1,FIND("/",G246,FIND("/",G246)+1)-FIND("/",G246)-1)),VALUE(LEFT(G246,FIND("/",G246)-1)))+IFERROR(TIMEVALUE(TRIM(MID(G246,FIND(" ",G246)+1,20))),0),0)))</f>
        <v/>
      </c>
      <c r="J246" s="255">
        <f>IF(H246="",0,IF(ISNUMBER(H246),H246,IFERROR(DATE(VALUE(MID(H246,FIND("/",H246,FIND("/",H246)+1)+1,4)),VALUE(MID(H246,FIND("/",H246)+1,FIND("/",H246,FIND("/",H246)+1)-FIND("/",H246)-1)),VALUE(LEFT(H246,FIND("/",H246)-1)))+IFERROR(TIMEVALUE(TRIM(MID(H246,FIND(" ",H246)+1,20))),0),0)))</f>
        <v/>
      </c>
      <c r="K246" s="256">
        <f>IF(I246=0,0,INT(I246))</f>
        <v/>
      </c>
      <c r="L246" s="257">
        <f>IF(OR(I246=0,J246=0),0,ROUND((J246-I246)*24,2))</f>
        <v/>
      </c>
      <c r="M246" s="254">
        <f>IFERROR(TRIM(MID(A246,FIND("@",SUBSTITUTE(A246,"(","@",LEN(A246)-LEN(SUBSTITUTE(A246,"(",""))))+1,FIND(")",A246,FIND("@",SUBSTITUTE(A246,"(","@",LEN(A246)-LEN(SUBSTITUTE(A246,"(","")))))-FIND("@",SUBSTITUTE(A246,"(","@",LEN(A246)-LEN(SUBSTITUTE(A246,"(",""))))-1)),"")</f>
        <v/>
      </c>
      <c r="N246" s="254">
        <f>IF(A246="","",IF(LEFT(TRIM(A246),5)="Leave","Leave",IF(OR(ISNUMBER(SEARCH("public holiday",A246)),ISNUMBER(SEARCH("Purple",E246))),"Public holiday","Event")))</f>
        <v/>
      </c>
    </row>
    <row r="247">
      <c r="G247" s="254">
        <f>IF(C247="","",IF(ISNUMBER(C247),C247,IF(ISNUMBER(VALUE(LEFT(TRIM(C247),1))),TRIM(C247),TRIM(MID(TRIM(C247),FIND(" ",TRIM(C247))+1,99)))))</f>
        <v/>
      </c>
      <c r="H247" s="254">
        <f>IF(D247="","",IF(ISNUMBER(D247),D247,IF(ISNUMBER(VALUE(LEFT(TRIM(D247),1))),TRIM(D247),TRIM(MID(TRIM(D247),FIND(" ",TRIM(D247))+1,99)))))</f>
        <v/>
      </c>
      <c r="I247" s="255">
        <f>IF(G247="",0,IF(ISNUMBER(G247),G247,IFERROR(DATE(VALUE(MID(G247,FIND("/",G247,FIND("/",G247)+1)+1,4)),VALUE(MID(G247,FIND("/",G247)+1,FIND("/",G247,FIND("/",G247)+1)-FIND("/",G247)-1)),VALUE(LEFT(G247,FIND("/",G247)-1)))+IFERROR(TIMEVALUE(TRIM(MID(G247,FIND(" ",G247)+1,20))),0),0)))</f>
        <v/>
      </c>
      <c r="J247" s="255">
        <f>IF(H247="",0,IF(ISNUMBER(H247),H247,IFERROR(DATE(VALUE(MID(H247,FIND("/",H247,FIND("/",H247)+1)+1,4)),VALUE(MID(H247,FIND("/",H247)+1,FIND("/",H247,FIND("/",H247)+1)-FIND("/",H247)-1)),VALUE(LEFT(H247,FIND("/",H247)-1)))+IFERROR(TIMEVALUE(TRIM(MID(H247,FIND(" ",H247)+1,20))),0),0)))</f>
        <v/>
      </c>
      <c r="K247" s="256">
        <f>IF(I247=0,0,INT(I247))</f>
        <v/>
      </c>
      <c r="L247" s="257">
        <f>IF(OR(I247=0,J247=0),0,ROUND((J247-I247)*24,2))</f>
        <v/>
      </c>
      <c r="M247" s="254">
        <f>IFERROR(TRIM(MID(A247,FIND("@",SUBSTITUTE(A247,"(","@",LEN(A247)-LEN(SUBSTITUTE(A247,"(",""))))+1,FIND(")",A247,FIND("@",SUBSTITUTE(A247,"(","@",LEN(A247)-LEN(SUBSTITUTE(A247,"(","")))))-FIND("@",SUBSTITUTE(A247,"(","@",LEN(A247)-LEN(SUBSTITUTE(A247,"(",""))))-1)),"")</f>
        <v/>
      </c>
      <c r="N247" s="254">
        <f>IF(A247="","",IF(LEFT(TRIM(A247),5)="Leave","Leave",IF(OR(ISNUMBER(SEARCH("public holiday",A247)),ISNUMBER(SEARCH("Purple",E247))),"Public holiday","Event")))</f>
        <v/>
      </c>
    </row>
    <row r="248">
      <c r="G248" s="254">
        <f>IF(C248="","",IF(ISNUMBER(C248),C248,IF(ISNUMBER(VALUE(LEFT(TRIM(C248),1))),TRIM(C248),TRIM(MID(TRIM(C248),FIND(" ",TRIM(C248))+1,99)))))</f>
        <v/>
      </c>
      <c r="H248" s="254">
        <f>IF(D248="","",IF(ISNUMBER(D248),D248,IF(ISNUMBER(VALUE(LEFT(TRIM(D248),1))),TRIM(D248),TRIM(MID(TRIM(D248),FIND(" ",TRIM(D248))+1,99)))))</f>
        <v/>
      </c>
      <c r="I248" s="255">
        <f>IF(G248="",0,IF(ISNUMBER(G248),G248,IFERROR(DATE(VALUE(MID(G248,FIND("/",G248,FIND("/",G248)+1)+1,4)),VALUE(MID(G248,FIND("/",G248)+1,FIND("/",G248,FIND("/",G248)+1)-FIND("/",G248)-1)),VALUE(LEFT(G248,FIND("/",G248)-1)))+IFERROR(TIMEVALUE(TRIM(MID(G248,FIND(" ",G248)+1,20))),0),0)))</f>
        <v/>
      </c>
      <c r="J248" s="255">
        <f>IF(H248="",0,IF(ISNUMBER(H248),H248,IFERROR(DATE(VALUE(MID(H248,FIND("/",H248,FIND("/",H248)+1)+1,4)),VALUE(MID(H248,FIND("/",H248)+1,FIND("/",H248,FIND("/",H248)+1)-FIND("/",H248)-1)),VALUE(LEFT(H248,FIND("/",H248)-1)))+IFERROR(TIMEVALUE(TRIM(MID(H248,FIND(" ",H248)+1,20))),0),0)))</f>
        <v/>
      </c>
      <c r="K248" s="256">
        <f>IF(I248=0,0,INT(I248))</f>
        <v/>
      </c>
      <c r="L248" s="257">
        <f>IF(OR(I248=0,J248=0),0,ROUND((J248-I248)*24,2))</f>
        <v/>
      </c>
      <c r="M248" s="254">
        <f>IFERROR(TRIM(MID(A248,FIND("@",SUBSTITUTE(A248,"(","@",LEN(A248)-LEN(SUBSTITUTE(A248,"(",""))))+1,FIND(")",A248,FIND("@",SUBSTITUTE(A248,"(","@",LEN(A248)-LEN(SUBSTITUTE(A248,"(","")))))-FIND("@",SUBSTITUTE(A248,"(","@",LEN(A248)-LEN(SUBSTITUTE(A248,"(",""))))-1)),"")</f>
        <v/>
      </c>
      <c r="N248" s="254">
        <f>IF(A248="","",IF(LEFT(TRIM(A248),5)="Leave","Leave",IF(OR(ISNUMBER(SEARCH("public holiday",A248)),ISNUMBER(SEARCH("Purple",E248))),"Public holiday","Event")))</f>
        <v/>
      </c>
    </row>
    <row r="249">
      <c r="G249" s="254">
        <f>IF(C249="","",IF(ISNUMBER(C249),C249,IF(ISNUMBER(VALUE(LEFT(TRIM(C249),1))),TRIM(C249),TRIM(MID(TRIM(C249),FIND(" ",TRIM(C249))+1,99)))))</f>
        <v/>
      </c>
      <c r="H249" s="254">
        <f>IF(D249="","",IF(ISNUMBER(D249),D249,IF(ISNUMBER(VALUE(LEFT(TRIM(D249),1))),TRIM(D249),TRIM(MID(TRIM(D249),FIND(" ",TRIM(D249))+1,99)))))</f>
        <v/>
      </c>
      <c r="I249" s="255">
        <f>IF(G249="",0,IF(ISNUMBER(G249),G249,IFERROR(DATE(VALUE(MID(G249,FIND("/",G249,FIND("/",G249)+1)+1,4)),VALUE(MID(G249,FIND("/",G249)+1,FIND("/",G249,FIND("/",G249)+1)-FIND("/",G249)-1)),VALUE(LEFT(G249,FIND("/",G249)-1)))+IFERROR(TIMEVALUE(TRIM(MID(G249,FIND(" ",G249)+1,20))),0),0)))</f>
        <v/>
      </c>
      <c r="J249" s="255">
        <f>IF(H249="",0,IF(ISNUMBER(H249),H249,IFERROR(DATE(VALUE(MID(H249,FIND("/",H249,FIND("/",H249)+1)+1,4)),VALUE(MID(H249,FIND("/",H249)+1,FIND("/",H249,FIND("/",H249)+1)-FIND("/",H249)-1)),VALUE(LEFT(H249,FIND("/",H249)-1)))+IFERROR(TIMEVALUE(TRIM(MID(H249,FIND(" ",H249)+1,20))),0),0)))</f>
        <v/>
      </c>
      <c r="K249" s="256">
        <f>IF(I249=0,0,INT(I249))</f>
        <v/>
      </c>
      <c r="L249" s="257">
        <f>IF(OR(I249=0,J249=0),0,ROUND((J249-I249)*24,2))</f>
        <v/>
      </c>
      <c r="M249" s="254">
        <f>IFERROR(TRIM(MID(A249,FIND("@",SUBSTITUTE(A249,"(","@",LEN(A249)-LEN(SUBSTITUTE(A249,"(",""))))+1,FIND(")",A249,FIND("@",SUBSTITUTE(A249,"(","@",LEN(A249)-LEN(SUBSTITUTE(A249,"(","")))))-FIND("@",SUBSTITUTE(A249,"(","@",LEN(A249)-LEN(SUBSTITUTE(A249,"(",""))))-1)),"")</f>
        <v/>
      </c>
      <c r="N249" s="254">
        <f>IF(A249="","",IF(LEFT(TRIM(A249),5)="Leave","Leave",IF(OR(ISNUMBER(SEARCH("public holiday",A249)),ISNUMBER(SEARCH("Purple",E249))),"Public holiday","Event")))</f>
        <v/>
      </c>
    </row>
    <row r="250">
      <c r="G250" s="254">
        <f>IF(C250="","",IF(ISNUMBER(C250),C250,IF(ISNUMBER(VALUE(LEFT(TRIM(C250),1))),TRIM(C250),TRIM(MID(TRIM(C250),FIND(" ",TRIM(C250))+1,99)))))</f>
        <v/>
      </c>
      <c r="H250" s="254">
        <f>IF(D250="","",IF(ISNUMBER(D250),D250,IF(ISNUMBER(VALUE(LEFT(TRIM(D250),1))),TRIM(D250),TRIM(MID(TRIM(D250),FIND(" ",TRIM(D250))+1,99)))))</f>
        <v/>
      </c>
      <c r="I250" s="255">
        <f>IF(G250="",0,IF(ISNUMBER(G250),G250,IFERROR(DATE(VALUE(MID(G250,FIND("/",G250,FIND("/",G250)+1)+1,4)),VALUE(MID(G250,FIND("/",G250)+1,FIND("/",G250,FIND("/",G250)+1)-FIND("/",G250)-1)),VALUE(LEFT(G250,FIND("/",G250)-1)))+IFERROR(TIMEVALUE(TRIM(MID(G250,FIND(" ",G250)+1,20))),0),0)))</f>
        <v/>
      </c>
      <c r="J250" s="255">
        <f>IF(H250="",0,IF(ISNUMBER(H250),H250,IFERROR(DATE(VALUE(MID(H250,FIND("/",H250,FIND("/",H250)+1)+1,4)),VALUE(MID(H250,FIND("/",H250)+1,FIND("/",H250,FIND("/",H250)+1)-FIND("/",H250)-1)),VALUE(LEFT(H250,FIND("/",H250)-1)))+IFERROR(TIMEVALUE(TRIM(MID(H250,FIND(" ",H250)+1,20))),0),0)))</f>
        <v/>
      </c>
      <c r="K250" s="256">
        <f>IF(I250=0,0,INT(I250))</f>
        <v/>
      </c>
      <c r="L250" s="257">
        <f>IF(OR(I250=0,J250=0),0,ROUND((J250-I250)*24,2))</f>
        <v/>
      </c>
      <c r="M250" s="254">
        <f>IFERROR(TRIM(MID(A250,FIND("@",SUBSTITUTE(A250,"(","@",LEN(A250)-LEN(SUBSTITUTE(A250,"(",""))))+1,FIND(")",A250,FIND("@",SUBSTITUTE(A250,"(","@",LEN(A250)-LEN(SUBSTITUTE(A250,"(","")))))-FIND("@",SUBSTITUTE(A250,"(","@",LEN(A250)-LEN(SUBSTITUTE(A250,"(",""))))-1)),"")</f>
        <v/>
      </c>
      <c r="N250" s="254">
        <f>IF(A250="","",IF(LEFT(TRIM(A250),5)="Leave","Leave",IF(OR(ISNUMBER(SEARCH("public holiday",A250)),ISNUMBER(SEARCH("Purple",E250))),"Public holiday","Event")))</f>
        <v/>
      </c>
    </row>
    <row r="251">
      <c r="G251" s="254">
        <f>IF(C251="","",IF(ISNUMBER(C251),C251,IF(ISNUMBER(VALUE(LEFT(TRIM(C251),1))),TRIM(C251),TRIM(MID(TRIM(C251),FIND(" ",TRIM(C251))+1,99)))))</f>
        <v/>
      </c>
      <c r="H251" s="254">
        <f>IF(D251="","",IF(ISNUMBER(D251),D251,IF(ISNUMBER(VALUE(LEFT(TRIM(D251),1))),TRIM(D251),TRIM(MID(TRIM(D251),FIND(" ",TRIM(D251))+1,99)))))</f>
        <v/>
      </c>
      <c r="I251" s="255">
        <f>IF(G251="",0,IF(ISNUMBER(G251),G251,IFERROR(DATE(VALUE(MID(G251,FIND("/",G251,FIND("/",G251)+1)+1,4)),VALUE(MID(G251,FIND("/",G251)+1,FIND("/",G251,FIND("/",G251)+1)-FIND("/",G251)-1)),VALUE(LEFT(G251,FIND("/",G251)-1)))+IFERROR(TIMEVALUE(TRIM(MID(G251,FIND(" ",G251)+1,20))),0),0)))</f>
        <v/>
      </c>
      <c r="J251" s="255">
        <f>IF(H251="",0,IF(ISNUMBER(H251),H251,IFERROR(DATE(VALUE(MID(H251,FIND("/",H251,FIND("/",H251)+1)+1,4)),VALUE(MID(H251,FIND("/",H251)+1,FIND("/",H251,FIND("/",H251)+1)-FIND("/",H251)-1)),VALUE(LEFT(H251,FIND("/",H251)-1)))+IFERROR(TIMEVALUE(TRIM(MID(H251,FIND(" ",H251)+1,20))),0),0)))</f>
        <v/>
      </c>
      <c r="K251" s="256">
        <f>IF(I251=0,0,INT(I251))</f>
        <v/>
      </c>
      <c r="L251" s="257">
        <f>IF(OR(I251=0,J251=0),0,ROUND((J251-I251)*24,2))</f>
        <v/>
      </c>
      <c r="M251" s="254">
        <f>IFERROR(TRIM(MID(A251,FIND("@",SUBSTITUTE(A251,"(","@",LEN(A251)-LEN(SUBSTITUTE(A251,"(",""))))+1,FIND(")",A251,FIND("@",SUBSTITUTE(A251,"(","@",LEN(A251)-LEN(SUBSTITUTE(A251,"(","")))))-FIND("@",SUBSTITUTE(A251,"(","@",LEN(A251)-LEN(SUBSTITUTE(A251,"(",""))))-1)),"")</f>
        <v/>
      </c>
      <c r="N251" s="254">
        <f>IF(A251="","",IF(LEFT(TRIM(A251),5)="Leave","Leave",IF(OR(ISNUMBER(SEARCH("public holiday",A251)),ISNUMBER(SEARCH("Purple",E251))),"Public holiday","Event")))</f>
        <v/>
      </c>
    </row>
    <row r="252">
      <c r="G252" s="254">
        <f>IF(C252="","",IF(ISNUMBER(C252),C252,IF(ISNUMBER(VALUE(LEFT(TRIM(C252),1))),TRIM(C252),TRIM(MID(TRIM(C252),FIND(" ",TRIM(C252))+1,99)))))</f>
        <v/>
      </c>
      <c r="H252" s="254">
        <f>IF(D252="","",IF(ISNUMBER(D252),D252,IF(ISNUMBER(VALUE(LEFT(TRIM(D252),1))),TRIM(D252),TRIM(MID(TRIM(D252),FIND(" ",TRIM(D252))+1,99)))))</f>
        <v/>
      </c>
      <c r="I252" s="255">
        <f>IF(G252="",0,IF(ISNUMBER(G252),G252,IFERROR(DATE(VALUE(MID(G252,FIND("/",G252,FIND("/",G252)+1)+1,4)),VALUE(MID(G252,FIND("/",G252)+1,FIND("/",G252,FIND("/",G252)+1)-FIND("/",G252)-1)),VALUE(LEFT(G252,FIND("/",G252)-1)))+IFERROR(TIMEVALUE(TRIM(MID(G252,FIND(" ",G252)+1,20))),0),0)))</f>
        <v/>
      </c>
      <c r="J252" s="255">
        <f>IF(H252="",0,IF(ISNUMBER(H252),H252,IFERROR(DATE(VALUE(MID(H252,FIND("/",H252,FIND("/",H252)+1)+1,4)),VALUE(MID(H252,FIND("/",H252)+1,FIND("/",H252,FIND("/",H252)+1)-FIND("/",H252)-1)),VALUE(LEFT(H252,FIND("/",H252)-1)))+IFERROR(TIMEVALUE(TRIM(MID(H252,FIND(" ",H252)+1,20))),0),0)))</f>
        <v/>
      </c>
      <c r="K252" s="256">
        <f>IF(I252=0,0,INT(I252))</f>
        <v/>
      </c>
      <c r="L252" s="257">
        <f>IF(OR(I252=0,J252=0),0,ROUND((J252-I252)*24,2))</f>
        <v/>
      </c>
      <c r="M252" s="254">
        <f>IFERROR(TRIM(MID(A252,FIND("@",SUBSTITUTE(A252,"(","@",LEN(A252)-LEN(SUBSTITUTE(A252,"(",""))))+1,FIND(")",A252,FIND("@",SUBSTITUTE(A252,"(","@",LEN(A252)-LEN(SUBSTITUTE(A252,"(","")))))-FIND("@",SUBSTITUTE(A252,"(","@",LEN(A252)-LEN(SUBSTITUTE(A252,"(",""))))-1)),"")</f>
        <v/>
      </c>
      <c r="N252" s="254">
        <f>IF(A252="","",IF(LEFT(TRIM(A252),5)="Leave","Leave",IF(OR(ISNUMBER(SEARCH("public holiday",A252)),ISNUMBER(SEARCH("Purple",E252))),"Public holiday","Event")))</f>
        <v/>
      </c>
    </row>
    <row r="253">
      <c r="G253" s="254">
        <f>IF(C253="","",IF(ISNUMBER(C253),C253,IF(ISNUMBER(VALUE(LEFT(TRIM(C253),1))),TRIM(C253),TRIM(MID(TRIM(C253),FIND(" ",TRIM(C253))+1,99)))))</f>
        <v/>
      </c>
      <c r="H253" s="254">
        <f>IF(D253="","",IF(ISNUMBER(D253),D253,IF(ISNUMBER(VALUE(LEFT(TRIM(D253),1))),TRIM(D253),TRIM(MID(TRIM(D253),FIND(" ",TRIM(D253))+1,99)))))</f>
        <v/>
      </c>
      <c r="I253" s="255">
        <f>IF(G253="",0,IF(ISNUMBER(G253),G253,IFERROR(DATE(VALUE(MID(G253,FIND("/",G253,FIND("/",G253)+1)+1,4)),VALUE(MID(G253,FIND("/",G253)+1,FIND("/",G253,FIND("/",G253)+1)-FIND("/",G253)-1)),VALUE(LEFT(G253,FIND("/",G253)-1)))+IFERROR(TIMEVALUE(TRIM(MID(G253,FIND(" ",G253)+1,20))),0),0)))</f>
        <v/>
      </c>
      <c r="J253" s="255">
        <f>IF(H253="",0,IF(ISNUMBER(H253),H253,IFERROR(DATE(VALUE(MID(H253,FIND("/",H253,FIND("/",H253)+1)+1,4)),VALUE(MID(H253,FIND("/",H253)+1,FIND("/",H253,FIND("/",H253)+1)-FIND("/",H253)-1)),VALUE(LEFT(H253,FIND("/",H253)-1)))+IFERROR(TIMEVALUE(TRIM(MID(H253,FIND(" ",H253)+1,20))),0),0)))</f>
        <v/>
      </c>
      <c r="K253" s="256">
        <f>IF(I253=0,0,INT(I253))</f>
        <v/>
      </c>
      <c r="L253" s="257">
        <f>IF(OR(I253=0,J253=0),0,ROUND((J253-I253)*24,2))</f>
        <v/>
      </c>
      <c r="M253" s="254">
        <f>IFERROR(TRIM(MID(A253,FIND("@",SUBSTITUTE(A253,"(","@",LEN(A253)-LEN(SUBSTITUTE(A253,"(",""))))+1,FIND(")",A253,FIND("@",SUBSTITUTE(A253,"(","@",LEN(A253)-LEN(SUBSTITUTE(A253,"(","")))))-FIND("@",SUBSTITUTE(A253,"(","@",LEN(A253)-LEN(SUBSTITUTE(A253,"(",""))))-1)),"")</f>
        <v/>
      </c>
      <c r="N253" s="254">
        <f>IF(A253="","",IF(LEFT(TRIM(A253),5)="Leave","Leave",IF(OR(ISNUMBER(SEARCH("public holiday",A253)),ISNUMBER(SEARCH("Purple",E253))),"Public holiday","Event")))</f>
        <v/>
      </c>
    </row>
    <row r="254">
      <c r="G254" s="254">
        <f>IF(C254="","",IF(ISNUMBER(C254),C254,IF(ISNUMBER(VALUE(LEFT(TRIM(C254),1))),TRIM(C254),TRIM(MID(TRIM(C254),FIND(" ",TRIM(C254))+1,99)))))</f>
        <v/>
      </c>
      <c r="H254" s="254">
        <f>IF(D254="","",IF(ISNUMBER(D254),D254,IF(ISNUMBER(VALUE(LEFT(TRIM(D254),1))),TRIM(D254),TRIM(MID(TRIM(D254),FIND(" ",TRIM(D254))+1,99)))))</f>
        <v/>
      </c>
      <c r="I254" s="255">
        <f>IF(G254="",0,IF(ISNUMBER(G254),G254,IFERROR(DATE(VALUE(MID(G254,FIND("/",G254,FIND("/",G254)+1)+1,4)),VALUE(MID(G254,FIND("/",G254)+1,FIND("/",G254,FIND("/",G254)+1)-FIND("/",G254)-1)),VALUE(LEFT(G254,FIND("/",G254)-1)))+IFERROR(TIMEVALUE(TRIM(MID(G254,FIND(" ",G254)+1,20))),0),0)))</f>
        <v/>
      </c>
      <c r="J254" s="255">
        <f>IF(H254="",0,IF(ISNUMBER(H254),H254,IFERROR(DATE(VALUE(MID(H254,FIND("/",H254,FIND("/",H254)+1)+1,4)),VALUE(MID(H254,FIND("/",H254)+1,FIND("/",H254,FIND("/",H254)+1)-FIND("/",H254)-1)),VALUE(LEFT(H254,FIND("/",H254)-1)))+IFERROR(TIMEVALUE(TRIM(MID(H254,FIND(" ",H254)+1,20))),0),0)))</f>
        <v/>
      </c>
      <c r="K254" s="256">
        <f>IF(I254=0,0,INT(I254))</f>
        <v/>
      </c>
      <c r="L254" s="257">
        <f>IF(OR(I254=0,J254=0),0,ROUND((J254-I254)*24,2))</f>
        <v/>
      </c>
      <c r="M254" s="254">
        <f>IFERROR(TRIM(MID(A254,FIND("@",SUBSTITUTE(A254,"(","@",LEN(A254)-LEN(SUBSTITUTE(A254,"(",""))))+1,FIND(")",A254,FIND("@",SUBSTITUTE(A254,"(","@",LEN(A254)-LEN(SUBSTITUTE(A254,"(","")))))-FIND("@",SUBSTITUTE(A254,"(","@",LEN(A254)-LEN(SUBSTITUTE(A254,"(",""))))-1)),"")</f>
        <v/>
      </c>
      <c r="N254" s="254">
        <f>IF(A254="","",IF(LEFT(TRIM(A254),5)="Leave","Leave",IF(OR(ISNUMBER(SEARCH("public holiday",A254)),ISNUMBER(SEARCH("Purple",E254))),"Public holiday","Event")))</f>
        <v/>
      </c>
    </row>
    <row r="255">
      <c r="G255" s="254">
        <f>IF(C255="","",IF(ISNUMBER(C255),C255,IF(ISNUMBER(VALUE(LEFT(TRIM(C255),1))),TRIM(C255),TRIM(MID(TRIM(C255),FIND(" ",TRIM(C255))+1,99)))))</f>
        <v/>
      </c>
      <c r="H255" s="254">
        <f>IF(D255="","",IF(ISNUMBER(D255),D255,IF(ISNUMBER(VALUE(LEFT(TRIM(D255),1))),TRIM(D255),TRIM(MID(TRIM(D255),FIND(" ",TRIM(D255))+1,99)))))</f>
        <v/>
      </c>
      <c r="I255" s="255">
        <f>IF(G255="",0,IF(ISNUMBER(G255),G255,IFERROR(DATE(VALUE(MID(G255,FIND("/",G255,FIND("/",G255)+1)+1,4)),VALUE(MID(G255,FIND("/",G255)+1,FIND("/",G255,FIND("/",G255)+1)-FIND("/",G255)-1)),VALUE(LEFT(G255,FIND("/",G255)-1)))+IFERROR(TIMEVALUE(TRIM(MID(G255,FIND(" ",G255)+1,20))),0),0)))</f>
        <v/>
      </c>
      <c r="J255" s="255">
        <f>IF(H255="",0,IF(ISNUMBER(H255),H255,IFERROR(DATE(VALUE(MID(H255,FIND("/",H255,FIND("/",H255)+1)+1,4)),VALUE(MID(H255,FIND("/",H255)+1,FIND("/",H255,FIND("/",H255)+1)-FIND("/",H255)-1)),VALUE(LEFT(H255,FIND("/",H255)-1)))+IFERROR(TIMEVALUE(TRIM(MID(H255,FIND(" ",H255)+1,20))),0),0)))</f>
        <v/>
      </c>
      <c r="K255" s="256">
        <f>IF(I255=0,0,INT(I255))</f>
        <v/>
      </c>
      <c r="L255" s="257">
        <f>IF(OR(I255=0,J255=0),0,ROUND((J255-I255)*24,2))</f>
        <v/>
      </c>
      <c r="M255" s="254">
        <f>IFERROR(TRIM(MID(A255,FIND("@",SUBSTITUTE(A255,"(","@",LEN(A255)-LEN(SUBSTITUTE(A255,"(",""))))+1,FIND(")",A255,FIND("@",SUBSTITUTE(A255,"(","@",LEN(A255)-LEN(SUBSTITUTE(A255,"(","")))))-FIND("@",SUBSTITUTE(A255,"(","@",LEN(A255)-LEN(SUBSTITUTE(A255,"(",""))))-1)),"")</f>
        <v/>
      </c>
      <c r="N255" s="254">
        <f>IF(A255="","",IF(LEFT(TRIM(A255),5)="Leave","Leave",IF(OR(ISNUMBER(SEARCH("public holiday",A255)),ISNUMBER(SEARCH("Purple",E255))),"Public holiday","Event")))</f>
        <v/>
      </c>
    </row>
    <row r="256">
      <c r="G256" s="254">
        <f>IF(C256="","",IF(ISNUMBER(C256),C256,IF(ISNUMBER(VALUE(LEFT(TRIM(C256),1))),TRIM(C256),TRIM(MID(TRIM(C256),FIND(" ",TRIM(C256))+1,99)))))</f>
        <v/>
      </c>
      <c r="H256" s="254">
        <f>IF(D256="","",IF(ISNUMBER(D256),D256,IF(ISNUMBER(VALUE(LEFT(TRIM(D256),1))),TRIM(D256),TRIM(MID(TRIM(D256),FIND(" ",TRIM(D256))+1,99)))))</f>
        <v/>
      </c>
      <c r="I256" s="255">
        <f>IF(G256="",0,IF(ISNUMBER(G256),G256,IFERROR(DATE(VALUE(MID(G256,FIND("/",G256,FIND("/",G256)+1)+1,4)),VALUE(MID(G256,FIND("/",G256)+1,FIND("/",G256,FIND("/",G256)+1)-FIND("/",G256)-1)),VALUE(LEFT(G256,FIND("/",G256)-1)))+IFERROR(TIMEVALUE(TRIM(MID(G256,FIND(" ",G256)+1,20))),0),0)))</f>
        <v/>
      </c>
      <c r="J256" s="255">
        <f>IF(H256="",0,IF(ISNUMBER(H256),H256,IFERROR(DATE(VALUE(MID(H256,FIND("/",H256,FIND("/",H256)+1)+1,4)),VALUE(MID(H256,FIND("/",H256)+1,FIND("/",H256,FIND("/",H256)+1)-FIND("/",H256)-1)),VALUE(LEFT(H256,FIND("/",H256)-1)))+IFERROR(TIMEVALUE(TRIM(MID(H256,FIND(" ",H256)+1,20))),0),0)))</f>
        <v/>
      </c>
      <c r="K256" s="256">
        <f>IF(I256=0,0,INT(I256))</f>
        <v/>
      </c>
      <c r="L256" s="257">
        <f>IF(OR(I256=0,J256=0),0,ROUND((J256-I256)*24,2))</f>
        <v/>
      </c>
      <c r="M256" s="254">
        <f>IFERROR(TRIM(MID(A256,FIND("@",SUBSTITUTE(A256,"(","@",LEN(A256)-LEN(SUBSTITUTE(A256,"(",""))))+1,FIND(")",A256,FIND("@",SUBSTITUTE(A256,"(","@",LEN(A256)-LEN(SUBSTITUTE(A256,"(","")))))-FIND("@",SUBSTITUTE(A256,"(","@",LEN(A256)-LEN(SUBSTITUTE(A256,"(",""))))-1)),"")</f>
        <v/>
      </c>
      <c r="N256" s="254">
        <f>IF(A256="","",IF(LEFT(TRIM(A256),5)="Leave","Leave",IF(OR(ISNUMBER(SEARCH("public holiday",A256)),ISNUMBER(SEARCH("Purple",E256))),"Public holiday","Event")))</f>
        <v/>
      </c>
    </row>
    <row r="257">
      <c r="G257" s="254">
        <f>IF(C257="","",IF(ISNUMBER(C257),C257,IF(ISNUMBER(VALUE(LEFT(TRIM(C257),1))),TRIM(C257),TRIM(MID(TRIM(C257),FIND(" ",TRIM(C257))+1,99)))))</f>
        <v/>
      </c>
      <c r="H257" s="254">
        <f>IF(D257="","",IF(ISNUMBER(D257),D257,IF(ISNUMBER(VALUE(LEFT(TRIM(D257),1))),TRIM(D257),TRIM(MID(TRIM(D257),FIND(" ",TRIM(D257))+1,99)))))</f>
        <v/>
      </c>
      <c r="I257" s="255">
        <f>IF(G257="",0,IF(ISNUMBER(G257),G257,IFERROR(DATE(VALUE(MID(G257,FIND("/",G257,FIND("/",G257)+1)+1,4)),VALUE(MID(G257,FIND("/",G257)+1,FIND("/",G257,FIND("/",G257)+1)-FIND("/",G257)-1)),VALUE(LEFT(G257,FIND("/",G257)-1)))+IFERROR(TIMEVALUE(TRIM(MID(G257,FIND(" ",G257)+1,20))),0),0)))</f>
        <v/>
      </c>
      <c r="J257" s="255">
        <f>IF(H257="",0,IF(ISNUMBER(H257),H257,IFERROR(DATE(VALUE(MID(H257,FIND("/",H257,FIND("/",H257)+1)+1,4)),VALUE(MID(H257,FIND("/",H257)+1,FIND("/",H257,FIND("/",H257)+1)-FIND("/",H257)-1)),VALUE(LEFT(H257,FIND("/",H257)-1)))+IFERROR(TIMEVALUE(TRIM(MID(H257,FIND(" ",H257)+1,20))),0),0)))</f>
        <v/>
      </c>
      <c r="K257" s="256">
        <f>IF(I257=0,0,INT(I257))</f>
        <v/>
      </c>
      <c r="L257" s="257">
        <f>IF(OR(I257=0,J257=0),0,ROUND((J257-I257)*24,2))</f>
        <v/>
      </c>
      <c r="M257" s="254">
        <f>IFERROR(TRIM(MID(A257,FIND("@",SUBSTITUTE(A257,"(","@",LEN(A257)-LEN(SUBSTITUTE(A257,"(",""))))+1,FIND(")",A257,FIND("@",SUBSTITUTE(A257,"(","@",LEN(A257)-LEN(SUBSTITUTE(A257,"(","")))))-FIND("@",SUBSTITUTE(A257,"(","@",LEN(A257)-LEN(SUBSTITUTE(A257,"(",""))))-1)),"")</f>
        <v/>
      </c>
      <c r="N257" s="254">
        <f>IF(A257="","",IF(LEFT(TRIM(A257),5)="Leave","Leave",IF(OR(ISNUMBER(SEARCH("public holiday",A257)),ISNUMBER(SEARCH("Purple",E257))),"Public holiday","Event")))</f>
        <v/>
      </c>
    </row>
    <row r="258">
      <c r="G258" s="254">
        <f>IF(C258="","",IF(ISNUMBER(C258),C258,IF(ISNUMBER(VALUE(LEFT(TRIM(C258),1))),TRIM(C258),TRIM(MID(TRIM(C258),FIND(" ",TRIM(C258))+1,99)))))</f>
        <v/>
      </c>
      <c r="H258" s="254">
        <f>IF(D258="","",IF(ISNUMBER(D258),D258,IF(ISNUMBER(VALUE(LEFT(TRIM(D258),1))),TRIM(D258),TRIM(MID(TRIM(D258),FIND(" ",TRIM(D258))+1,99)))))</f>
        <v/>
      </c>
      <c r="I258" s="255">
        <f>IF(G258="",0,IF(ISNUMBER(G258),G258,IFERROR(DATE(VALUE(MID(G258,FIND("/",G258,FIND("/",G258)+1)+1,4)),VALUE(MID(G258,FIND("/",G258)+1,FIND("/",G258,FIND("/",G258)+1)-FIND("/",G258)-1)),VALUE(LEFT(G258,FIND("/",G258)-1)))+IFERROR(TIMEVALUE(TRIM(MID(G258,FIND(" ",G258)+1,20))),0),0)))</f>
        <v/>
      </c>
      <c r="J258" s="255">
        <f>IF(H258="",0,IF(ISNUMBER(H258),H258,IFERROR(DATE(VALUE(MID(H258,FIND("/",H258,FIND("/",H258)+1)+1,4)),VALUE(MID(H258,FIND("/",H258)+1,FIND("/",H258,FIND("/",H258)+1)-FIND("/",H258)-1)),VALUE(LEFT(H258,FIND("/",H258)-1)))+IFERROR(TIMEVALUE(TRIM(MID(H258,FIND(" ",H258)+1,20))),0),0)))</f>
        <v/>
      </c>
      <c r="K258" s="256">
        <f>IF(I258=0,0,INT(I258))</f>
        <v/>
      </c>
      <c r="L258" s="257">
        <f>IF(OR(I258=0,J258=0),0,ROUND((J258-I258)*24,2))</f>
        <v/>
      </c>
      <c r="M258" s="254">
        <f>IFERROR(TRIM(MID(A258,FIND("@",SUBSTITUTE(A258,"(","@",LEN(A258)-LEN(SUBSTITUTE(A258,"(",""))))+1,FIND(")",A258,FIND("@",SUBSTITUTE(A258,"(","@",LEN(A258)-LEN(SUBSTITUTE(A258,"(","")))))-FIND("@",SUBSTITUTE(A258,"(","@",LEN(A258)-LEN(SUBSTITUTE(A258,"(",""))))-1)),"")</f>
        <v/>
      </c>
      <c r="N258" s="254">
        <f>IF(A258="","",IF(LEFT(TRIM(A258),5)="Leave","Leave",IF(OR(ISNUMBER(SEARCH("public holiday",A258)),ISNUMBER(SEARCH("Purple",E258))),"Public holiday","Event")))</f>
        <v/>
      </c>
    </row>
    <row r="259">
      <c r="G259" s="254">
        <f>IF(C259="","",IF(ISNUMBER(C259),C259,IF(ISNUMBER(VALUE(LEFT(TRIM(C259),1))),TRIM(C259),TRIM(MID(TRIM(C259),FIND(" ",TRIM(C259))+1,99)))))</f>
        <v/>
      </c>
      <c r="H259" s="254">
        <f>IF(D259="","",IF(ISNUMBER(D259),D259,IF(ISNUMBER(VALUE(LEFT(TRIM(D259),1))),TRIM(D259),TRIM(MID(TRIM(D259),FIND(" ",TRIM(D259))+1,99)))))</f>
        <v/>
      </c>
      <c r="I259" s="255">
        <f>IF(G259="",0,IF(ISNUMBER(G259),G259,IFERROR(DATE(VALUE(MID(G259,FIND("/",G259,FIND("/",G259)+1)+1,4)),VALUE(MID(G259,FIND("/",G259)+1,FIND("/",G259,FIND("/",G259)+1)-FIND("/",G259)-1)),VALUE(LEFT(G259,FIND("/",G259)-1)))+IFERROR(TIMEVALUE(TRIM(MID(G259,FIND(" ",G259)+1,20))),0),0)))</f>
        <v/>
      </c>
      <c r="J259" s="255">
        <f>IF(H259="",0,IF(ISNUMBER(H259),H259,IFERROR(DATE(VALUE(MID(H259,FIND("/",H259,FIND("/",H259)+1)+1,4)),VALUE(MID(H259,FIND("/",H259)+1,FIND("/",H259,FIND("/",H259)+1)-FIND("/",H259)-1)),VALUE(LEFT(H259,FIND("/",H259)-1)))+IFERROR(TIMEVALUE(TRIM(MID(H259,FIND(" ",H259)+1,20))),0),0)))</f>
        <v/>
      </c>
      <c r="K259" s="256">
        <f>IF(I259=0,0,INT(I259))</f>
        <v/>
      </c>
      <c r="L259" s="257">
        <f>IF(OR(I259=0,J259=0),0,ROUND((J259-I259)*24,2))</f>
        <v/>
      </c>
      <c r="M259" s="254">
        <f>IFERROR(TRIM(MID(A259,FIND("@",SUBSTITUTE(A259,"(","@",LEN(A259)-LEN(SUBSTITUTE(A259,"(",""))))+1,FIND(")",A259,FIND("@",SUBSTITUTE(A259,"(","@",LEN(A259)-LEN(SUBSTITUTE(A259,"(","")))))-FIND("@",SUBSTITUTE(A259,"(","@",LEN(A259)-LEN(SUBSTITUTE(A259,"(",""))))-1)),"")</f>
        <v/>
      </c>
      <c r="N259" s="254">
        <f>IF(A259="","",IF(LEFT(TRIM(A259),5)="Leave","Leave",IF(OR(ISNUMBER(SEARCH("public holiday",A259)),ISNUMBER(SEARCH("Purple",E259))),"Public holiday","Event")))</f>
        <v/>
      </c>
    </row>
    <row r="260">
      <c r="G260" s="254">
        <f>IF(C260="","",IF(ISNUMBER(C260),C260,IF(ISNUMBER(VALUE(LEFT(TRIM(C260),1))),TRIM(C260),TRIM(MID(TRIM(C260),FIND(" ",TRIM(C260))+1,99)))))</f>
        <v/>
      </c>
      <c r="H260" s="254">
        <f>IF(D260="","",IF(ISNUMBER(D260),D260,IF(ISNUMBER(VALUE(LEFT(TRIM(D260),1))),TRIM(D260),TRIM(MID(TRIM(D260),FIND(" ",TRIM(D260))+1,99)))))</f>
        <v/>
      </c>
      <c r="I260" s="255">
        <f>IF(G260="",0,IF(ISNUMBER(G260),G260,IFERROR(DATE(VALUE(MID(G260,FIND("/",G260,FIND("/",G260)+1)+1,4)),VALUE(MID(G260,FIND("/",G260)+1,FIND("/",G260,FIND("/",G260)+1)-FIND("/",G260)-1)),VALUE(LEFT(G260,FIND("/",G260)-1)))+IFERROR(TIMEVALUE(TRIM(MID(G260,FIND(" ",G260)+1,20))),0),0)))</f>
        <v/>
      </c>
      <c r="J260" s="255">
        <f>IF(H260="",0,IF(ISNUMBER(H260),H260,IFERROR(DATE(VALUE(MID(H260,FIND("/",H260,FIND("/",H260)+1)+1,4)),VALUE(MID(H260,FIND("/",H260)+1,FIND("/",H260,FIND("/",H260)+1)-FIND("/",H260)-1)),VALUE(LEFT(H260,FIND("/",H260)-1)))+IFERROR(TIMEVALUE(TRIM(MID(H260,FIND(" ",H260)+1,20))),0),0)))</f>
        <v/>
      </c>
      <c r="K260" s="256">
        <f>IF(I260=0,0,INT(I260))</f>
        <v/>
      </c>
      <c r="L260" s="257">
        <f>IF(OR(I260=0,J260=0),0,ROUND((J260-I260)*24,2))</f>
        <v/>
      </c>
      <c r="M260" s="254">
        <f>IFERROR(TRIM(MID(A260,FIND("@",SUBSTITUTE(A260,"(","@",LEN(A260)-LEN(SUBSTITUTE(A260,"(",""))))+1,FIND(")",A260,FIND("@",SUBSTITUTE(A260,"(","@",LEN(A260)-LEN(SUBSTITUTE(A260,"(","")))))-FIND("@",SUBSTITUTE(A260,"(","@",LEN(A260)-LEN(SUBSTITUTE(A260,"(",""))))-1)),"")</f>
        <v/>
      </c>
      <c r="N260" s="254">
        <f>IF(A260="","",IF(LEFT(TRIM(A260),5)="Leave","Leave",IF(OR(ISNUMBER(SEARCH("public holiday",A260)),ISNUMBER(SEARCH("Purple",E260))),"Public holiday","Event")))</f>
        <v/>
      </c>
    </row>
    <row r="261">
      <c r="G261" s="254">
        <f>IF(C261="","",IF(ISNUMBER(C261),C261,IF(ISNUMBER(VALUE(LEFT(TRIM(C261),1))),TRIM(C261),TRIM(MID(TRIM(C261),FIND(" ",TRIM(C261))+1,99)))))</f>
        <v/>
      </c>
      <c r="H261" s="254">
        <f>IF(D261="","",IF(ISNUMBER(D261),D261,IF(ISNUMBER(VALUE(LEFT(TRIM(D261),1))),TRIM(D261),TRIM(MID(TRIM(D261),FIND(" ",TRIM(D261))+1,99)))))</f>
        <v/>
      </c>
      <c r="I261" s="255">
        <f>IF(G261="",0,IF(ISNUMBER(G261),G261,IFERROR(DATE(VALUE(MID(G261,FIND("/",G261,FIND("/",G261)+1)+1,4)),VALUE(MID(G261,FIND("/",G261)+1,FIND("/",G261,FIND("/",G261)+1)-FIND("/",G261)-1)),VALUE(LEFT(G261,FIND("/",G261)-1)))+IFERROR(TIMEVALUE(TRIM(MID(G261,FIND(" ",G261)+1,20))),0),0)))</f>
        <v/>
      </c>
      <c r="J261" s="255">
        <f>IF(H261="",0,IF(ISNUMBER(H261),H261,IFERROR(DATE(VALUE(MID(H261,FIND("/",H261,FIND("/",H261)+1)+1,4)),VALUE(MID(H261,FIND("/",H261)+1,FIND("/",H261,FIND("/",H261)+1)-FIND("/",H261)-1)),VALUE(LEFT(H261,FIND("/",H261)-1)))+IFERROR(TIMEVALUE(TRIM(MID(H261,FIND(" ",H261)+1,20))),0),0)))</f>
        <v/>
      </c>
      <c r="K261" s="256">
        <f>IF(I261=0,0,INT(I261))</f>
        <v/>
      </c>
      <c r="L261" s="257">
        <f>IF(OR(I261=0,J261=0),0,ROUND((J261-I261)*24,2))</f>
        <v/>
      </c>
      <c r="M261" s="254">
        <f>IFERROR(TRIM(MID(A261,FIND("@",SUBSTITUTE(A261,"(","@",LEN(A261)-LEN(SUBSTITUTE(A261,"(",""))))+1,FIND(")",A261,FIND("@",SUBSTITUTE(A261,"(","@",LEN(A261)-LEN(SUBSTITUTE(A261,"(","")))))-FIND("@",SUBSTITUTE(A261,"(","@",LEN(A261)-LEN(SUBSTITUTE(A261,"(",""))))-1)),"")</f>
        <v/>
      </c>
      <c r="N261" s="254">
        <f>IF(A261="","",IF(LEFT(TRIM(A261),5)="Leave","Leave",IF(OR(ISNUMBER(SEARCH("public holiday",A261)),ISNUMBER(SEARCH("Purple",E261))),"Public holiday","Event")))</f>
        <v/>
      </c>
    </row>
    <row r="262">
      <c r="G262" s="254">
        <f>IF(C262="","",IF(ISNUMBER(C262),C262,IF(ISNUMBER(VALUE(LEFT(TRIM(C262),1))),TRIM(C262),TRIM(MID(TRIM(C262),FIND(" ",TRIM(C262))+1,99)))))</f>
        <v/>
      </c>
      <c r="H262" s="254">
        <f>IF(D262="","",IF(ISNUMBER(D262),D262,IF(ISNUMBER(VALUE(LEFT(TRIM(D262),1))),TRIM(D262),TRIM(MID(TRIM(D262),FIND(" ",TRIM(D262))+1,99)))))</f>
        <v/>
      </c>
      <c r="I262" s="255">
        <f>IF(G262="",0,IF(ISNUMBER(G262),G262,IFERROR(DATE(VALUE(MID(G262,FIND("/",G262,FIND("/",G262)+1)+1,4)),VALUE(MID(G262,FIND("/",G262)+1,FIND("/",G262,FIND("/",G262)+1)-FIND("/",G262)-1)),VALUE(LEFT(G262,FIND("/",G262)-1)))+IFERROR(TIMEVALUE(TRIM(MID(G262,FIND(" ",G262)+1,20))),0),0)))</f>
        <v/>
      </c>
      <c r="J262" s="255">
        <f>IF(H262="",0,IF(ISNUMBER(H262),H262,IFERROR(DATE(VALUE(MID(H262,FIND("/",H262,FIND("/",H262)+1)+1,4)),VALUE(MID(H262,FIND("/",H262)+1,FIND("/",H262,FIND("/",H262)+1)-FIND("/",H262)-1)),VALUE(LEFT(H262,FIND("/",H262)-1)))+IFERROR(TIMEVALUE(TRIM(MID(H262,FIND(" ",H262)+1,20))),0),0)))</f>
        <v/>
      </c>
      <c r="K262" s="256">
        <f>IF(I262=0,0,INT(I262))</f>
        <v/>
      </c>
      <c r="L262" s="257">
        <f>IF(OR(I262=0,J262=0),0,ROUND((J262-I262)*24,2))</f>
        <v/>
      </c>
      <c r="M262" s="254">
        <f>IFERROR(TRIM(MID(A262,FIND("@",SUBSTITUTE(A262,"(","@",LEN(A262)-LEN(SUBSTITUTE(A262,"(",""))))+1,FIND(")",A262,FIND("@",SUBSTITUTE(A262,"(","@",LEN(A262)-LEN(SUBSTITUTE(A262,"(","")))))-FIND("@",SUBSTITUTE(A262,"(","@",LEN(A262)-LEN(SUBSTITUTE(A262,"(",""))))-1)),"")</f>
        <v/>
      </c>
      <c r="N262" s="254">
        <f>IF(A262="","",IF(LEFT(TRIM(A262),5)="Leave","Leave",IF(OR(ISNUMBER(SEARCH("public holiday",A262)),ISNUMBER(SEARCH("Purple",E262))),"Public holiday","Event")))</f>
        <v/>
      </c>
    </row>
    <row r="263">
      <c r="G263" s="254">
        <f>IF(C263="","",IF(ISNUMBER(C263),C263,IF(ISNUMBER(VALUE(LEFT(TRIM(C263),1))),TRIM(C263),TRIM(MID(TRIM(C263),FIND(" ",TRIM(C263))+1,99)))))</f>
        <v/>
      </c>
      <c r="H263" s="254">
        <f>IF(D263="","",IF(ISNUMBER(D263),D263,IF(ISNUMBER(VALUE(LEFT(TRIM(D263),1))),TRIM(D263),TRIM(MID(TRIM(D263),FIND(" ",TRIM(D263))+1,99)))))</f>
        <v/>
      </c>
      <c r="I263" s="255">
        <f>IF(G263="",0,IF(ISNUMBER(G263),G263,IFERROR(DATE(VALUE(MID(G263,FIND("/",G263,FIND("/",G263)+1)+1,4)),VALUE(MID(G263,FIND("/",G263)+1,FIND("/",G263,FIND("/",G263)+1)-FIND("/",G263)-1)),VALUE(LEFT(G263,FIND("/",G263)-1)))+IFERROR(TIMEVALUE(TRIM(MID(G263,FIND(" ",G263)+1,20))),0),0)))</f>
        <v/>
      </c>
      <c r="J263" s="255">
        <f>IF(H263="",0,IF(ISNUMBER(H263),H263,IFERROR(DATE(VALUE(MID(H263,FIND("/",H263,FIND("/",H263)+1)+1,4)),VALUE(MID(H263,FIND("/",H263)+1,FIND("/",H263,FIND("/",H263)+1)-FIND("/",H263)-1)),VALUE(LEFT(H263,FIND("/",H263)-1)))+IFERROR(TIMEVALUE(TRIM(MID(H263,FIND(" ",H263)+1,20))),0),0)))</f>
        <v/>
      </c>
      <c r="K263" s="256">
        <f>IF(I263=0,0,INT(I263))</f>
        <v/>
      </c>
      <c r="L263" s="257">
        <f>IF(OR(I263=0,J263=0),0,ROUND((J263-I263)*24,2))</f>
        <v/>
      </c>
      <c r="M263" s="254">
        <f>IFERROR(TRIM(MID(A263,FIND("@",SUBSTITUTE(A263,"(","@",LEN(A263)-LEN(SUBSTITUTE(A263,"(",""))))+1,FIND(")",A263,FIND("@",SUBSTITUTE(A263,"(","@",LEN(A263)-LEN(SUBSTITUTE(A263,"(","")))))-FIND("@",SUBSTITUTE(A263,"(","@",LEN(A263)-LEN(SUBSTITUTE(A263,"(",""))))-1)),"")</f>
        <v/>
      </c>
      <c r="N263" s="254">
        <f>IF(A263="","",IF(LEFT(TRIM(A263),5)="Leave","Leave",IF(OR(ISNUMBER(SEARCH("public holiday",A263)),ISNUMBER(SEARCH("Purple",E263))),"Public holiday","Event")))</f>
        <v/>
      </c>
    </row>
    <row r="264">
      <c r="G264" s="254">
        <f>IF(C264="","",IF(ISNUMBER(C264),C264,IF(ISNUMBER(VALUE(LEFT(TRIM(C264),1))),TRIM(C264),TRIM(MID(TRIM(C264),FIND(" ",TRIM(C264))+1,99)))))</f>
        <v/>
      </c>
      <c r="H264" s="254">
        <f>IF(D264="","",IF(ISNUMBER(D264),D264,IF(ISNUMBER(VALUE(LEFT(TRIM(D264),1))),TRIM(D264),TRIM(MID(TRIM(D264),FIND(" ",TRIM(D264))+1,99)))))</f>
        <v/>
      </c>
      <c r="I264" s="255">
        <f>IF(G264="",0,IF(ISNUMBER(G264),G264,IFERROR(DATE(VALUE(MID(G264,FIND("/",G264,FIND("/",G264)+1)+1,4)),VALUE(MID(G264,FIND("/",G264)+1,FIND("/",G264,FIND("/",G264)+1)-FIND("/",G264)-1)),VALUE(LEFT(G264,FIND("/",G264)-1)))+IFERROR(TIMEVALUE(TRIM(MID(G264,FIND(" ",G264)+1,20))),0),0)))</f>
        <v/>
      </c>
      <c r="J264" s="255">
        <f>IF(H264="",0,IF(ISNUMBER(H264),H264,IFERROR(DATE(VALUE(MID(H264,FIND("/",H264,FIND("/",H264)+1)+1,4)),VALUE(MID(H264,FIND("/",H264)+1,FIND("/",H264,FIND("/",H264)+1)-FIND("/",H264)-1)),VALUE(LEFT(H264,FIND("/",H264)-1)))+IFERROR(TIMEVALUE(TRIM(MID(H264,FIND(" ",H264)+1,20))),0),0)))</f>
        <v/>
      </c>
      <c r="K264" s="256">
        <f>IF(I264=0,0,INT(I264))</f>
        <v/>
      </c>
      <c r="L264" s="257">
        <f>IF(OR(I264=0,J264=0),0,ROUND((J264-I264)*24,2))</f>
        <v/>
      </c>
      <c r="M264" s="254">
        <f>IFERROR(TRIM(MID(A264,FIND("@",SUBSTITUTE(A264,"(","@",LEN(A264)-LEN(SUBSTITUTE(A264,"(",""))))+1,FIND(")",A264,FIND("@",SUBSTITUTE(A264,"(","@",LEN(A264)-LEN(SUBSTITUTE(A264,"(","")))))-FIND("@",SUBSTITUTE(A264,"(","@",LEN(A264)-LEN(SUBSTITUTE(A264,"(",""))))-1)),"")</f>
        <v/>
      </c>
      <c r="N264" s="254">
        <f>IF(A264="","",IF(LEFT(TRIM(A264),5)="Leave","Leave",IF(OR(ISNUMBER(SEARCH("public holiday",A264)),ISNUMBER(SEARCH("Purple",E264))),"Public holiday","Event")))</f>
        <v/>
      </c>
    </row>
    <row r="265">
      <c r="G265" s="254">
        <f>IF(C265="","",IF(ISNUMBER(C265),C265,IF(ISNUMBER(VALUE(LEFT(TRIM(C265),1))),TRIM(C265),TRIM(MID(TRIM(C265),FIND(" ",TRIM(C265))+1,99)))))</f>
        <v/>
      </c>
      <c r="H265" s="254">
        <f>IF(D265="","",IF(ISNUMBER(D265),D265,IF(ISNUMBER(VALUE(LEFT(TRIM(D265),1))),TRIM(D265),TRIM(MID(TRIM(D265),FIND(" ",TRIM(D265))+1,99)))))</f>
        <v/>
      </c>
      <c r="I265" s="255">
        <f>IF(G265="",0,IF(ISNUMBER(G265),G265,IFERROR(DATE(VALUE(MID(G265,FIND("/",G265,FIND("/",G265)+1)+1,4)),VALUE(MID(G265,FIND("/",G265)+1,FIND("/",G265,FIND("/",G265)+1)-FIND("/",G265)-1)),VALUE(LEFT(G265,FIND("/",G265)-1)))+IFERROR(TIMEVALUE(TRIM(MID(G265,FIND(" ",G265)+1,20))),0),0)))</f>
        <v/>
      </c>
      <c r="J265" s="255">
        <f>IF(H265="",0,IF(ISNUMBER(H265),H265,IFERROR(DATE(VALUE(MID(H265,FIND("/",H265,FIND("/",H265)+1)+1,4)),VALUE(MID(H265,FIND("/",H265)+1,FIND("/",H265,FIND("/",H265)+1)-FIND("/",H265)-1)),VALUE(LEFT(H265,FIND("/",H265)-1)))+IFERROR(TIMEVALUE(TRIM(MID(H265,FIND(" ",H265)+1,20))),0),0)))</f>
        <v/>
      </c>
      <c r="K265" s="256">
        <f>IF(I265=0,0,INT(I265))</f>
        <v/>
      </c>
      <c r="L265" s="257">
        <f>IF(OR(I265=0,J265=0),0,ROUND((J265-I265)*24,2))</f>
        <v/>
      </c>
      <c r="M265" s="254">
        <f>IFERROR(TRIM(MID(A265,FIND("@",SUBSTITUTE(A265,"(","@",LEN(A265)-LEN(SUBSTITUTE(A265,"(",""))))+1,FIND(")",A265,FIND("@",SUBSTITUTE(A265,"(","@",LEN(A265)-LEN(SUBSTITUTE(A265,"(","")))))-FIND("@",SUBSTITUTE(A265,"(","@",LEN(A265)-LEN(SUBSTITUTE(A265,"(",""))))-1)),"")</f>
        <v/>
      </c>
      <c r="N265" s="254">
        <f>IF(A265="","",IF(LEFT(TRIM(A265),5)="Leave","Leave",IF(OR(ISNUMBER(SEARCH("public holiday",A265)),ISNUMBER(SEARCH("Purple",E265))),"Public holiday","Event")))</f>
        <v/>
      </c>
    </row>
    <row r="266">
      <c r="G266" s="254">
        <f>IF(C266="","",IF(ISNUMBER(C266),C266,IF(ISNUMBER(VALUE(LEFT(TRIM(C266),1))),TRIM(C266),TRIM(MID(TRIM(C266),FIND(" ",TRIM(C266))+1,99)))))</f>
        <v/>
      </c>
      <c r="H266" s="254">
        <f>IF(D266="","",IF(ISNUMBER(D266),D266,IF(ISNUMBER(VALUE(LEFT(TRIM(D266),1))),TRIM(D266),TRIM(MID(TRIM(D266),FIND(" ",TRIM(D266))+1,99)))))</f>
        <v/>
      </c>
      <c r="I266" s="255">
        <f>IF(G266="",0,IF(ISNUMBER(G266),G266,IFERROR(DATE(VALUE(MID(G266,FIND("/",G266,FIND("/",G266)+1)+1,4)),VALUE(MID(G266,FIND("/",G266)+1,FIND("/",G266,FIND("/",G266)+1)-FIND("/",G266)-1)),VALUE(LEFT(G266,FIND("/",G266)-1)))+IFERROR(TIMEVALUE(TRIM(MID(G266,FIND(" ",G266)+1,20))),0),0)))</f>
        <v/>
      </c>
      <c r="J266" s="255">
        <f>IF(H266="",0,IF(ISNUMBER(H266),H266,IFERROR(DATE(VALUE(MID(H266,FIND("/",H266,FIND("/",H266)+1)+1,4)),VALUE(MID(H266,FIND("/",H266)+1,FIND("/",H266,FIND("/",H266)+1)-FIND("/",H266)-1)),VALUE(LEFT(H266,FIND("/",H266)-1)))+IFERROR(TIMEVALUE(TRIM(MID(H266,FIND(" ",H266)+1,20))),0),0)))</f>
        <v/>
      </c>
      <c r="K266" s="256">
        <f>IF(I266=0,0,INT(I266))</f>
        <v/>
      </c>
      <c r="L266" s="257">
        <f>IF(OR(I266=0,J266=0),0,ROUND((J266-I266)*24,2))</f>
        <v/>
      </c>
      <c r="M266" s="254">
        <f>IFERROR(TRIM(MID(A266,FIND("@",SUBSTITUTE(A266,"(","@",LEN(A266)-LEN(SUBSTITUTE(A266,"(",""))))+1,FIND(")",A266,FIND("@",SUBSTITUTE(A266,"(","@",LEN(A266)-LEN(SUBSTITUTE(A266,"(","")))))-FIND("@",SUBSTITUTE(A266,"(","@",LEN(A266)-LEN(SUBSTITUTE(A266,"(",""))))-1)),"")</f>
        <v/>
      </c>
      <c r="N266" s="254">
        <f>IF(A266="","",IF(LEFT(TRIM(A266),5)="Leave","Leave",IF(OR(ISNUMBER(SEARCH("public holiday",A266)),ISNUMBER(SEARCH("Purple",E266))),"Public holiday","Event")))</f>
        <v/>
      </c>
    </row>
    <row r="267">
      <c r="G267" s="254">
        <f>IF(C267="","",IF(ISNUMBER(C267),C267,IF(ISNUMBER(VALUE(LEFT(TRIM(C267),1))),TRIM(C267),TRIM(MID(TRIM(C267),FIND(" ",TRIM(C267))+1,99)))))</f>
        <v/>
      </c>
      <c r="H267" s="254">
        <f>IF(D267="","",IF(ISNUMBER(D267),D267,IF(ISNUMBER(VALUE(LEFT(TRIM(D267),1))),TRIM(D267),TRIM(MID(TRIM(D267),FIND(" ",TRIM(D267))+1,99)))))</f>
        <v/>
      </c>
      <c r="I267" s="255">
        <f>IF(G267="",0,IF(ISNUMBER(G267),G267,IFERROR(DATE(VALUE(MID(G267,FIND("/",G267,FIND("/",G267)+1)+1,4)),VALUE(MID(G267,FIND("/",G267)+1,FIND("/",G267,FIND("/",G267)+1)-FIND("/",G267)-1)),VALUE(LEFT(G267,FIND("/",G267)-1)))+IFERROR(TIMEVALUE(TRIM(MID(G267,FIND(" ",G267)+1,20))),0),0)))</f>
        <v/>
      </c>
      <c r="J267" s="255">
        <f>IF(H267="",0,IF(ISNUMBER(H267),H267,IFERROR(DATE(VALUE(MID(H267,FIND("/",H267,FIND("/",H267)+1)+1,4)),VALUE(MID(H267,FIND("/",H267)+1,FIND("/",H267,FIND("/",H267)+1)-FIND("/",H267)-1)),VALUE(LEFT(H267,FIND("/",H267)-1)))+IFERROR(TIMEVALUE(TRIM(MID(H267,FIND(" ",H267)+1,20))),0),0)))</f>
        <v/>
      </c>
      <c r="K267" s="256">
        <f>IF(I267=0,0,INT(I267))</f>
        <v/>
      </c>
      <c r="L267" s="257">
        <f>IF(OR(I267=0,J267=0),0,ROUND((J267-I267)*24,2))</f>
        <v/>
      </c>
      <c r="M267" s="254">
        <f>IFERROR(TRIM(MID(A267,FIND("@",SUBSTITUTE(A267,"(","@",LEN(A267)-LEN(SUBSTITUTE(A267,"(",""))))+1,FIND(")",A267,FIND("@",SUBSTITUTE(A267,"(","@",LEN(A267)-LEN(SUBSTITUTE(A267,"(","")))))-FIND("@",SUBSTITUTE(A267,"(","@",LEN(A267)-LEN(SUBSTITUTE(A267,"(",""))))-1)),"")</f>
        <v/>
      </c>
      <c r="N267" s="254">
        <f>IF(A267="","",IF(LEFT(TRIM(A267),5)="Leave","Leave",IF(OR(ISNUMBER(SEARCH("public holiday",A267)),ISNUMBER(SEARCH("Purple",E267))),"Public holiday","Event")))</f>
        <v/>
      </c>
    </row>
    <row r="268">
      <c r="G268" s="254">
        <f>IF(C268="","",IF(ISNUMBER(C268),C268,IF(ISNUMBER(VALUE(LEFT(TRIM(C268),1))),TRIM(C268),TRIM(MID(TRIM(C268),FIND(" ",TRIM(C268))+1,99)))))</f>
        <v/>
      </c>
      <c r="H268" s="254">
        <f>IF(D268="","",IF(ISNUMBER(D268),D268,IF(ISNUMBER(VALUE(LEFT(TRIM(D268),1))),TRIM(D268),TRIM(MID(TRIM(D268),FIND(" ",TRIM(D268))+1,99)))))</f>
        <v/>
      </c>
      <c r="I268" s="255">
        <f>IF(G268="",0,IF(ISNUMBER(G268),G268,IFERROR(DATE(VALUE(MID(G268,FIND("/",G268,FIND("/",G268)+1)+1,4)),VALUE(MID(G268,FIND("/",G268)+1,FIND("/",G268,FIND("/",G268)+1)-FIND("/",G268)-1)),VALUE(LEFT(G268,FIND("/",G268)-1)))+IFERROR(TIMEVALUE(TRIM(MID(G268,FIND(" ",G268)+1,20))),0),0)))</f>
        <v/>
      </c>
      <c r="J268" s="255">
        <f>IF(H268="",0,IF(ISNUMBER(H268),H268,IFERROR(DATE(VALUE(MID(H268,FIND("/",H268,FIND("/",H268)+1)+1,4)),VALUE(MID(H268,FIND("/",H268)+1,FIND("/",H268,FIND("/",H268)+1)-FIND("/",H268)-1)),VALUE(LEFT(H268,FIND("/",H268)-1)))+IFERROR(TIMEVALUE(TRIM(MID(H268,FIND(" ",H268)+1,20))),0),0)))</f>
        <v/>
      </c>
      <c r="K268" s="256">
        <f>IF(I268=0,0,INT(I268))</f>
        <v/>
      </c>
      <c r="L268" s="257">
        <f>IF(OR(I268=0,J268=0),0,ROUND((J268-I268)*24,2))</f>
        <v/>
      </c>
      <c r="M268" s="254">
        <f>IFERROR(TRIM(MID(A268,FIND("@",SUBSTITUTE(A268,"(","@",LEN(A268)-LEN(SUBSTITUTE(A268,"(",""))))+1,FIND(")",A268,FIND("@",SUBSTITUTE(A268,"(","@",LEN(A268)-LEN(SUBSTITUTE(A268,"(","")))))-FIND("@",SUBSTITUTE(A268,"(","@",LEN(A268)-LEN(SUBSTITUTE(A268,"(",""))))-1)),"")</f>
        <v/>
      </c>
      <c r="N268" s="254">
        <f>IF(A268="","",IF(LEFT(TRIM(A268),5)="Leave","Leave",IF(OR(ISNUMBER(SEARCH("public holiday",A268)),ISNUMBER(SEARCH("Purple",E268))),"Public holiday","Event")))</f>
        <v/>
      </c>
    </row>
    <row r="269">
      <c r="G269" s="254">
        <f>IF(C269="","",IF(ISNUMBER(C269),C269,IF(ISNUMBER(VALUE(LEFT(TRIM(C269),1))),TRIM(C269),TRIM(MID(TRIM(C269),FIND(" ",TRIM(C269))+1,99)))))</f>
        <v/>
      </c>
      <c r="H269" s="254">
        <f>IF(D269="","",IF(ISNUMBER(D269),D269,IF(ISNUMBER(VALUE(LEFT(TRIM(D269),1))),TRIM(D269),TRIM(MID(TRIM(D269),FIND(" ",TRIM(D269))+1,99)))))</f>
        <v/>
      </c>
      <c r="I269" s="255">
        <f>IF(G269="",0,IF(ISNUMBER(G269),G269,IFERROR(DATE(VALUE(MID(G269,FIND("/",G269,FIND("/",G269)+1)+1,4)),VALUE(MID(G269,FIND("/",G269)+1,FIND("/",G269,FIND("/",G269)+1)-FIND("/",G269)-1)),VALUE(LEFT(G269,FIND("/",G269)-1)))+IFERROR(TIMEVALUE(TRIM(MID(G269,FIND(" ",G269)+1,20))),0),0)))</f>
        <v/>
      </c>
      <c r="J269" s="255">
        <f>IF(H269="",0,IF(ISNUMBER(H269),H269,IFERROR(DATE(VALUE(MID(H269,FIND("/",H269,FIND("/",H269)+1)+1,4)),VALUE(MID(H269,FIND("/",H269)+1,FIND("/",H269,FIND("/",H269)+1)-FIND("/",H269)-1)),VALUE(LEFT(H269,FIND("/",H269)-1)))+IFERROR(TIMEVALUE(TRIM(MID(H269,FIND(" ",H269)+1,20))),0),0)))</f>
        <v/>
      </c>
      <c r="K269" s="256">
        <f>IF(I269=0,0,INT(I269))</f>
        <v/>
      </c>
      <c r="L269" s="257">
        <f>IF(OR(I269=0,J269=0),0,ROUND((J269-I269)*24,2))</f>
        <v/>
      </c>
      <c r="M269" s="254">
        <f>IFERROR(TRIM(MID(A269,FIND("@",SUBSTITUTE(A269,"(","@",LEN(A269)-LEN(SUBSTITUTE(A269,"(",""))))+1,FIND(")",A269,FIND("@",SUBSTITUTE(A269,"(","@",LEN(A269)-LEN(SUBSTITUTE(A269,"(","")))))-FIND("@",SUBSTITUTE(A269,"(","@",LEN(A269)-LEN(SUBSTITUTE(A269,"(",""))))-1)),"")</f>
        <v/>
      </c>
      <c r="N269" s="254">
        <f>IF(A269="","",IF(LEFT(TRIM(A269),5)="Leave","Leave",IF(OR(ISNUMBER(SEARCH("public holiday",A269)),ISNUMBER(SEARCH("Purple",E269))),"Public holiday","Event")))</f>
        <v/>
      </c>
    </row>
    <row r="270">
      <c r="G270" s="254">
        <f>IF(C270="","",IF(ISNUMBER(C270),C270,IF(ISNUMBER(VALUE(LEFT(TRIM(C270),1))),TRIM(C270),TRIM(MID(TRIM(C270),FIND(" ",TRIM(C270))+1,99)))))</f>
        <v/>
      </c>
      <c r="H270" s="254">
        <f>IF(D270="","",IF(ISNUMBER(D270),D270,IF(ISNUMBER(VALUE(LEFT(TRIM(D270),1))),TRIM(D270),TRIM(MID(TRIM(D270),FIND(" ",TRIM(D270))+1,99)))))</f>
        <v/>
      </c>
      <c r="I270" s="255">
        <f>IF(G270="",0,IF(ISNUMBER(G270),G270,IFERROR(DATE(VALUE(MID(G270,FIND("/",G270,FIND("/",G270)+1)+1,4)),VALUE(MID(G270,FIND("/",G270)+1,FIND("/",G270,FIND("/",G270)+1)-FIND("/",G270)-1)),VALUE(LEFT(G270,FIND("/",G270)-1)))+IFERROR(TIMEVALUE(TRIM(MID(G270,FIND(" ",G270)+1,20))),0),0)))</f>
        <v/>
      </c>
      <c r="J270" s="255">
        <f>IF(H270="",0,IF(ISNUMBER(H270),H270,IFERROR(DATE(VALUE(MID(H270,FIND("/",H270,FIND("/",H270)+1)+1,4)),VALUE(MID(H270,FIND("/",H270)+1,FIND("/",H270,FIND("/",H270)+1)-FIND("/",H270)-1)),VALUE(LEFT(H270,FIND("/",H270)-1)))+IFERROR(TIMEVALUE(TRIM(MID(H270,FIND(" ",H270)+1,20))),0),0)))</f>
        <v/>
      </c>
      <c r="K270" s="256">
        <f>IF(I270=0,0,INT(I270))</f>
        <v/>
      </c>
      <c r="L270" s="257">
        <f>IF(OR(I270=0,J270=0),0,ROUND((J270-I270)*24,2))</f>
        <v/>
      </c>
      <c r="M270" s="254">
        <f>IFERROR(TRIM(MID(A270,FIND("@",SUBSTITUTE(A270,"(","@",LEN(A270)-LEN(SUBSTITUTE(A270,"(",""))))+1,FIND(")",A270,FIND("@",SUBSTITUTE(A270,"(","@",LEN(A270)-LEN(SUBSTITUTE(A270,"(","")))))-FIND("@",SUBSTITUTE(A270,"(","@",LEN(A270)-LEN(SUBSTITUTE(A270,"(",""))))-1)),"")</f>
        <v/>
      </c>
      <c r="N270" s="254">
        <f>IF(A270="","",IF(LEFT(TRIM(A270),5)="Leave","Leave",IF(OR(ISNUMBER(SEARCH("public holiday",A270)),ISNUMBER(SEARCH("Purple",E270))),"Public holiday","Event")))</f>
        <v/>
      </c>
    </row>
    <row r="271">
      <c r="G271" s="254">
        <f>IF(C271="","",IF(ISNUMBER(C271),C271,IF(ISNUMBER(VALUE(LEFT(TRIM(C271),1))),TRIM(C271),TRIM(MID(TRIM(C271),FIND(" ",TRIM(C271))+1,99)))))</f>
        <v/>
      </c>
      <c r="H271" s="254">
        <f>IF(D271="","",IF(ISNUMBER(D271),D271,IF(ISNUMBER(VALUE(LEFT(TRIM(D271),1))),TRIM(D271),TRIM(MID(TRIM(D271),FIND(" ",TRIM(D271))+1,99)))))</f>
        <v/>
      </c>
      <c r="I271" s="255">
        <f>IF(G271="",0,IF(ISNUMBER(G271),G271,IFERROR(DATE(VALUE(MID(G271,FIND("/",G271,FIND("/",G271)+1)+1,4)),VALUE(MID(G271,FIND("/",G271)+1,FIND("/",G271,FIND("/",G271)+1)-FIND("/",G271)-1)),VALUE(LEFT(G271,FIND("/",G271)-1)))+IFERROR(TIMEVALUE(TRIM(MID(G271,FIND(" ",G271)+1,20))),0),0)))</f>
        <v/>
      </c>
      <c r="J271" s="255">
        <f>IF(H271="",0,IF(ISNUMBER(H271),H271,IFERROR(DATE(VALUE(MID(H271,FIND("/",H271,FIND("/",H271)+1)+1,4)),VALUE(MID(H271,FIND("/",H271)+1,FIND("/",H271,FIND("/",H271)+1)-FIND("/",H271)-1)),VALUE(LEFT(H271,FIND("/",H271)-1)))+IFERROR(TIMEVALUE(TRIM(MID(H271,FIND(" ",H271)+1,20))),0),0)))</f>
        <v/>
      </c>
      <c r="K271" s="256">
        <f>IF(I271=0,0,INT(I271))</f>
        <v/>
      </c>
      <c r="L271" s="257">
        <f>IF(OR(I271=0,J271=0),0,ROUND((J271-I271)*24,2))</f>
        <v/>
      </c>
      <c r="M271" s="254">
        <f>IFERROR(TRIM(MID(A271,FIND("@",SUBSTITUTE(A271,"(","@",LEN(A271)-LEN(SUBSTITUTE(A271,"(",""))))+1,FIND(")",A271,FIND("@",SUBSTITUTE(A271,"(","@",LEN(A271)-LEN(SUBSTITUTE(A271,"(","")))))-FIND("@",SUBSTITUTE(A271,"(","@",LEN(A271)-LEN(SUBSTITUTE(A271,"(",""))))-1)),"")</f>
        <v/>
      </c>
      <c r="N271" s="254">
        <f>IF(A271="","",IF(LEFT(TRIM(A271),5)="Leave","Leave",IF(OR(ISNUMBER(SEARCH("public holiday",A271)),ISNUMBER(SEARCH("Purple",E271))),"Public holiday","Event")))</f>
        <v/>
      </c>
    </row>
    <row r="272">
      <c r="G272" s="254">
        <f>IF(C272="","",IF(ISNUMBER(C272),C272,IF(ISNUMBER(VALUE(LEFT(TRIM(C272),1))),TRIM(C272),TRIM(MID(TRIM(C272),FIND(" ",TRIM(C272))+1,99)))))</f>
        <v/>
      </c>
      <c r="H272" s="254">
        <f>IF(D272="","",IF(ISNUMBER(D272),D272,IF(ISNUMBER(VALUE(LEFT(TRIM(D272),1))),TRIM(D272),TRIM(MID(TRIM(D272),FIND(" ",TRIM(D272))+1,99)))))</f>
        <v/>
      </c>
      <c r="I272" s="255">
        <f>IF(G272="",0,IF(ISNUMBER(G272),G272,IFERROR(DATE(VALUE(MID(G272,FIND("/",G272,FIND("/",G272)+1)+1,4)),VALUE(MID(G272,FIND("/",G272)+1,FIND("/",G272,FIND("/",G272)+1)-FIND("/",G272)-1)),VALUE(LEFT(G272,FIND("/",G272)-1)))+IFERROR(TIMEVALUE(TRIM(MID(G272,FIND(" ",G272)+1,20))),0),0)))</f>
        <v/>
      </c>
      <c r="J272" s="255">
        <f>IF(H272="",0,IF(ISNUMBER(H272),H272,IFERROR(DATE(VALUE(MID(H272,FIND("/",H272,FIND("/",H272)+1)+1,4)),VALUE(MID(H272,FIND("/",H272)+1,FIND("/",H272,FIND("/",H272)+1)-FIND("/",H272)-1)),VALUE(LEFT(H272,FIND("/",H272)-1)))+IFERROR(TIMEVALUE(TRIM(MID(H272,FIND(" ",H272)+1,20))),0),0)))</f>
        <v/>
      </c>
      <c r="K272" s="256">
        <f>IF(I272=0,0,INT(I272))</f>
        <v/>
      </c>
      <c r="L272" s="257">
        <f>IF(OR(I272=0,J272=0),0,ROUND((J272-I272)*24,2))</f>
        <v/>
      </c>
      <c r="M272" s="254">
        <f>IFERROR(TRIM(MID(A272,FIND("@",SUBSTITUTE(A272,"(","@",LEN(A272)-LEN(SUBSTITUTE(A272,"(",""))))+1,FIND(")",A272,FIND("@",SUBSTITUTE(A272,"(","@",LEN(A272)-LEN(SUBSTITUTE(A272,"(","")))))-FIND("@",SUBSTITUTE(A272,"(","@",LEN(A272)-LEN(SUBSTITUTE(A272,"(",""))))-1)),"")</f>
        <v/>
      </c>
      <c r="N272" s="254">
        <f>IF(A272="","",IF(LEFT(TRIM(A272),5)="Leave","Leave",IF(OR(ISNUMBER(SEARCH("public holiday",A272)),ISNUMBER(SEARCH("Purple",E272))),"Public holiday","Event")))</f>
        <v/>
      </c>
    </row>
    <row r="273">
      <c r="G273" s="254">
        <f>IF(C273="","",IF(ISNUMBER(C273),C273,IF(ISNUMBER(VALUE(LEFT(TRIM(C273),1))),TRIM(C273),TRIM(MID(TRIM(C273),FIND(" ",TRIM(C273))+1,99)))))</f>
        <v/>
      </c>
      <c r="H273" s="254">
        <f>IF(D273="","",IF(ISNUMBER(D273),D273,IF(ISNUMBER(VALUE(LEFT(TRIM(D273),1))),TRIM(D273),TRIM(MID(TRIM(D273),FIND(" ",TRIM(D273))+1,99)))))</f>
        <v/>
      </c>
      <c r="I273" s="255">
        <f>IF(G273="",0,IF(ISNUMBER(G273),G273,IFERROR(DATE(VALUE(MID(G273,FIND("/",G273,FIND("/",G273)+1)+1,4)),VALUE(MID(G273,FIND("/",G273)+1,FIND("/",G273,FIND("/",G273)+1)-FIND("/",G273)-1)),VALUE(LEFT(G273,FIND("/",G273)-1)))+IFERROR(TIMEVALUE(TRIM(MID(G273,FIND(" ",G273)+1,20))),0),0)))</f>
        <v/>
      </c>
      <c r="J273" s="255">
        <f>IF(H273="",0,IF(ISNUMBER(H273),H273,IFERROR(DATE(VALUE(MID(H273,FIND("/",H273,FIND("/",H273)+1)+1,4)),VALUE(MID(H273,FIND("/",H273)+1,FIND("/",H273,FIND("/",H273)+1)-FIND("/",H273)-1)),VALUE(LEFT(H273,FIND("/",H273)-1)))+IFERROR(TIMEVALUE(TRIM(MID(H273,FIND(" ",H273)+1,20))),0),0)))</f>
        <v/>
      </c>
      <c r="K273" s="256">
        <f>IF(I273=0,0,INT(I273))</f>
        <v/>
      </c>
      <c r="L273" s="257">
        <f>IF(OR(I273=0,J273=0),0,ROUND((J273-I273)*24,2))</f>
        <v/>
      </c>
      <c r="M273" s="254">
        <f>IFERROR(TRIM(MID(A273,FIND("@",SUBSTITUTE(A273,"(","@",LEN(A273)-LEN(SUBSTITUTE(A273,"(",""))))+1,FIND(")",A273,FIND("@",SUBSTITUTE(A273,"(","@",LEN(A273)-LEN(SUBSTITUTE(A273,"(","")))))-FIND("@",SUBSTITUTE(A273,"(","@",LEN(A273)-LEN(SUBSTITUTE(A273,"(",""))))-1)),"")</f>
        <v/>
      </c>
      <c r="N273" s="254">
        <f>IF(A273="","",IF(LEFT(TRIM(A273),5)="Leave","Leave",IF(OR(ISNUMBER(SEARCH("public holiday",A273)),ISNUMBER(SEARCH("Purple",E273))),"Public holiday","Event")))</f>
        <v/>
      </c>
    </row>
    <row r="274">
      <c r="G274" s="254">
        <f>IF(C274="","",IF(ISNUMBER(C274),C274,IF(ISNUMBER(VALUE(LEFT(TRIM(C274),1))),TRIM(C274),TRIM(MID(TRIM(C274),FIND(" ",TRIM(C274))+1,99)))))</f>
        <v/>
      </c>
      <c r="H274" s="254">
        <f>IF(D274="","",IF(ISNUMBER(D274),D274,IF(ISNUMBER(VALUE(LEFT(TRIM(D274),1))),TRIM(D274),TRIM(MID(TRIM(D274),FIND(" ",TRIM(D274))+1,99)))))</f>
        <v/>
      </c>
      <c r="I274" s="255">
        <f>IF(G274="",0,IF(ISNUMBER(G274),G274,IFERROR(DATE(VALUE(MID(G274,FIND("/",G274,FIND("/",G274)+1)+1,4)),VALUE(MID(G274,FIND("/",G274)+1,FIND("/",G274,FIND("/",G274)+1)-FIND("/",G274)-1)),VALUE(LEFT(G274,FIND("/",G274)-1)))+IFERROR(TIMEVALUE(TRIM(MID(G274,FIND(" ",G274)+1,20))),0),0)))</f>
        <v/>
      </c>
      <c r="J274" s="255">
        <f>IF(H274="",0,IF(ISNUMBER(H274),H274,IFERROR(DATE(VALUE(MID(H274,FIND("/",H274,FIND("/",H274)+1)+1,4)),VALUE(MID(H274,FIND("/",H274)+1,FIND("/",H274,FIND("/",H274)+1)-FIND("/",H274)-1)),VALUE(LEFT(H274,FIND("/",H274)-1)))+IFERROR(TIMEVALUE(TRIM(MID(H274,FIND(" ",H274)+1,20))),0),0)))</f>
        <v/>
      </c>
      <c r="K274" s="256">
        <f>IF(I274=0,0,INT(I274))</f>
        <v/>
      </c>
      <c r="L274" s="257">
        <f>IF(OR(I274=0,J274=0),0,ROUND((J274-I274)*24,2))</f>
        <v/>
      </c>
      <c r="M274" s="254">
        <f>IFERROR(TRIM(MID(A274,FIND("@",SUBSTITUTE(A274,"(","@",LEN(A274)-LEN(SUBSTITUTE(A274,"(",""))))+1,FIND(")",A274,FIND("@",SUBSTITUTE(A274,"(","@",LEN(A274)-LEN(SUBSTITUTE(A274,"(","")))))-FIND("@",SUBSTITUTE(A274,"(","@",LEN(A274)-LEN(SUBSTITUTE(A274,"(",""))))-1)),"")</f>
        <v/>
      </c>
      <c r="N274" s="254">
        <f>IF(A274="","",IF(LEFT(TRIM(A274),5)="Leave","Leave",IF(OR(ISNUMBER(SEARCH("public holiday",A274)),ISNUMBER(SEARCH("Purple",E274))),"Public holiday","Event")))</f>
        <v/>
      </c>
    </row>
    <row r="275">
      <c r="G275" s="254">
        <f>IF(C275="","",IF(ISNUMBER(C275),C275,IF(ISNUMBER(VALUE(LEFT(TRIM(C275),1))),TRIM(C275),TRIM(MID(TRIM(C275),FIND(" ",TRIM(C275))+1,99)))))</f>
        <v/>
      </c>
      <c r="H275" s="254">
        <f>IF(D275="","",IF(ISNUMBER(D275),D275,IF(ISNUMBER(VALUE(LEFT(TRIM(D275),1))),TRIM(D275),TRIM(MID(TRIM(D275),FIND(" ",TRIM(D275))+1,99)))))</f>
        <v/>
      </c>
      <c r="I275" s="255">
        <f>IF(G275="",0,IF(ISNUMBER(G275),G275,IFERROR(DATE(VALUE(MID(G275,FIND("/",G275,FIND("/",G275)+1)+1,4)),VALUE(MID(G275,FIND("/",G275)+1,FIND("/",G275,FIND("/",G275)+1)-FIND("/",G275)-1)),VALUE(LEFT(G275,FIND("/",G275)-1)))+IFERROR(TIMEVALUE(TRIM(MID(G275,FIND(" ",G275)+1,20))),0),0)))</f>
        <v/>
      </c>
      <c r="J275" s="255">
        <f>IF(H275="",0,IF(ISNUMBER(H275),H275,IFERROR(DATE(VALUE(MID(H275,FIND("/",H275,FIND("/",H275)+1)+1,4)),VALUE(MID(H275,FIND("/",H275)+1,FIND("/",H275,FIND("/",H275)+1)-FIND("/",H275)-1)),VALUE(LEFT(H275,FIND("/",H275)-1)))+IFERROR(TIMEVALUE(TRIM(MID(H275,FIND(" ",H275)+1,20))),0),0)))</f>
        <v/>
      </c>
      <c r="K275" s="256">
        <f>IF(I275=0,0,INT(I275))</f>
        <v/>
      </c>
      <c r="L275" s="257">
        <f>IF(OR(I275=0,J275=0),0,ROUND((J275-I275)*24,2))</f>
        <v/>
      </c>
      <c r="M275" s="254">
        <f>IFERROR(TRIM(MID(A275,FIND("@",SUBSTITUTE(A275,"(","@",LEN(A275)-LEN(SUBSTITUTE(A275,"(",""))))+1,FIND(")",A275,FIND("@",SUBSTITUTE(A275,"(","@",LEN(A275)-LEN(SUBSTITUTE(A275,"(","")))))-FIND("@",SUBSTITUTE(A275,"(","@",LEN(A275)-LEN(SUBSTITUTE(A275,"(",""))))-1)),"")</f>
        <v/>
      </c>
      <c r="N275" s="254">
        <f>IF(A275="","",IF(LEFT(TRIM(A275),5)="Leave","Leave",IF(OR(ISNUMBER(SEARCH("public holiday",A275)),ISNUMBER(SEARCH("Purple",E275))),"Public holiday","Event")))</f>
        <v/>
      </c>
    </row>
    <row r="276">
      <c r="G276" s="254">
        <f>IF(C276="","",IF(ISNUMBER(C276),C276,IF(ISNUMBER(VALUE(LEFT(TRIM(C276),1))),TRIM(C276),TRIM(MID(TRIM(C276),FIND(" ",TRIM(C276))+1,99)))))</f>
        <v/>
      </c>
      <c r="H276" s="254">
        <f>IF(D276="","",IF(ISNUMBER(D276),D276,IF(ISNUMBER(VALUE(LEFT(TRIM(D276),1))),TRIM(D276),TRIM(MID(TRIM(D276),FIND(" ",TRIM(D276))+1,99)))))</f>
        <v/>
      </c>
      <c r="I276" s="255">
        <f>IF(G276="",0,IF(ISNUMBER(G276),G276,IFERROR(DATE(VALUE(MID(G276,FIND("/",G276,FIND("/",G276)+1)+1,4)),VALUE(MID(G276,FIND("/",G276)+1,FIND("/",G276,FIND("/",G276)+1)-FIND("/",G276)-1)),VALUE(LEFT(G276,FIND("/",G276)-1)))+IFERROR(TIMEVALUE(TRIM(MID(G276,FIND(" ",G276)+1,20))),0),0)))</f>
        <v/>
      </c>
      <c r="J276" s="255">
        <f>IF(H276="",0,IF(ISNUMBER(H276),H276,IFERROR(DATE(VALUE(MID(H276,FIND("/",H276,FIND("/",H276)+1)+1,4)),VALUE(MID(H276,FIND("/",H276)+1,FIND("/",H276,FIND("/",H276)+1)-FIND("/",H276)-1)),VALUE(LEFT(H276,FIND("/",H276)-1)))+IFERROR(TIMEVALUE(TRIM(MID(H276,FIND(" ",H276)+1,20))),0),0)))</f>
        <v/>
      </c>
      <c r="K276" s="256">
        <f>IF(I276=0,0,INT(I276))</f>
        <v/>
      </c>
      <c r="L276" s="257">
        <f>IF(OR(I276=0,J276=0),0,ROUND((J276-I276)*24,2))</f>
        <v/>
      </c>
      <c r="M276" s="254">
        <f>IFERROR(TRIM(MID(A276,FIND("@",SUBSTITUTE(A276,"(","@",LEN(A276)-LEN(SUBSTITUTE(A276,"(",""))))+1,FIND(")",A276,FIND("@",SUBSTITUTE(A276,"(","@",LEN(A276)-LEN(SUBSTITUTE(A276,"(","")))))-FIND("@",SUBSTITUTE(A276,"(","@",LEN(A276)-LEN(SUBSTITUTE(A276,"(",""))))-1)),"")</f>
        <v/>
      </c>
      <c r="N276" s="254">
        <f>IF(A276="","",IF(LEFT(TRIM(A276),5)="Leave","Leave",IF(OR(ISNUMBER(SEARCH("public holiday",A276)),ISNUMBER(SEARCH("Purple",E276))),"Public holiday","Event")))</f>
        <v/>
      </c>
    </row>
    <row r="277">
      <c r="G277" s="254">
        <f>IF(C277="","",IF(ISNUMBER(C277),C277,IF(ISNUMBER(VALUE(LEFT(TRIM(C277),1))),TRIM(C277),TRIM(MID(TRIM(C277),FIND(" ",TRIM(C277))+1,99)))))</f>
        <v/>
      </c>
      <c r="H277" s="254">
        <f>IF(D277="","",IF(ISNUMBER(D277),D277,IF(ISNUMBER(VALUE(LEFT(TRIM(D277),1))),TRIM(D277),TRIM(MID(TRIM(D277),FIND(" ",TRIM(D277))+1,99)))))</f>
        <v/>
      </c>
      <c r="I277" s="255">
        <f>IF(G277="",0,IF(ISNUMBER(G277),G277,IFERROR(DATE(VALUE(MID(G277,FIND("/",G277,FIND("/",G277)+1)+1,4)),VALUE(MID(G277,FIND("/",G277)+1,FIND("/",G277,FIND("/",G277)+1)-FIND("/",G277)-1)),VALUE(LEFT(G277,FIND("/",G277)-1)))+IFERROR(TIMEVALUE(TRIM(MID(G277,FIND(" ",G277)+1,20))),0),0)))</f>
        <v/>
      </c>
      <c r="J277" s="255">
        <f>IF(H277="",0,IF(ISNUMBER(H277),H277,IFERROR(DATE(VALUE(MID(H277,FIND("/",H277,FIND("/",H277)+1)+1,4)),VALUE(MID(H277,FIND("/",H277)+1,FIND("/",H277,FIND("/",H277)+1)-FIND("/",H277)-1)),VALUE(LEFT(H277,FIND("/",H277)-1)))+IFERROR(TIMEVALUE(TRIM(MID(H277,FIND(" ",H277)+1,20))),0),0)))</f>
        <v/>
      </c>
      <c r="K277" s="256">
        <f>IF(I277=0,0,INT(I277))</f>
        <v/>
      </c>
      <c r="L277" s="257">
        <f>IF(OR(I277=0,J277=0),0,ROUND((J277-I277)*24,2))</f>
        <v/>
      </c>
      <c r="M277" s="254">
        <f>IFERROR(TRIM(MID(A277,FIND("@",SUBSTITUTE(A277,"(","@",LEN(A277)-LEN(SUBSTITUTE(A277,"(",""))))+1,FIND(")",A277,FIND("@",SUBSTITUTE(A277,"(","@",LEN(A277)-LEN(SUBSTITUTE(A277,"(","")))))-FIND("@",SUBSTITUTE(A277,"(","@",LEN(A277)-LEN(SUBSTITUTE(A277,"(",""))))-1)),"")</f>
        <v/>
      </c>
      <c r="N277" s="254">
        <f>IF(A277="","",IF(LEFT(TRIM(A277),5)="Leave","Leave",IF(OR(ISNUMBER(SEARCH("public holiday",A277)),ISNUMBER(SEARCH("Purple",E277))),"Public holiday","Event")))</f>
        <v/>
      </c>
    </row>
    <row r="278">
      <c r="G278" s="254">
        <f>IF(C278="","",IF(ISNUMBER(C278),C278,IF(ISNUMBER(VALUE(LEFT(TRIM(C278),1))),TRIM(C278),TRIM(MID(TRIM(C278),FIND(" ",TRIM(C278))+1,99)))))</f>
        <v/>
      </c>
      <c r="H278" s="254">
        <f>IF(D278="","",IF(ISNUMBER(D278),D278,IF(ISNUMBER(VALUE(LEFT(TRIM(D278),1))),TRIM(D278),TRIM(MID(TRIM(D278),FIND(" ",TRIM(D278))+1,99)))))</f>
        <v/>
      </c>
      <c r="I278" s="255">
        <f>IF(G278="",0,IF(ISNUMBER(G278),G278,IFERROR(DATE(VALUE(MID(G278,FIND("/",G278,FIND("/",G278)+1)+1,4)),VALUE(MID(G278,FIND("/",G278)+1,FIND("/",G278,FIND("/",G278)+1)-FIND("/",G278)-1)),VALUE(LEFT(G278,FIND("/",G278)-1)))+IFERROR(TIMEVALUE(TRIM(MID(G278,FIND(" ",G278)+1,20))),0),0)))</f>
        <v/>
      </c>
      <c r="J278" s="255">
        <f>IF(H278="",0,IF(ISNUMBER(H278),H278,IFERROR(DATE(VALUE(MID(H278,FIND("/",H278,FIND("/",H278)+1)+1,4)),VALUE(MID(H278,FIND("/",H278)+1,FIND("/",H278,FIND("/",H278)+1)-FIND("/",H278)-1)),VALUE(LEFT(H278,FIND("/",H278)-1)))+IFERROR(TIMEVALUE(TRIM(MID(H278,FIND(" ",H278)+1,20))),0),0)))</f>
        <v/>
      </c>
      <c r="K278" s="256">
        <f>IF(I278=0,0,INT(I278))</f>
        <v/>
      </c>
      <c r="L278" s="257">
        <f>IF(OR(I278=0,J278=0),0,ROUND((J278-I278)*24,2))</f>
        <v/>
      </c>
      <c r="M278" s="254">
        <f>IFERROR(TRIM(MID(A278,FIND("@",SUBSTITUTE(A278,"(","@",LEN(A278)-LEN(SUBSTITUTE(A278,"(",""))))+1,FIND(")",A278,FIND("@",SUBSTITUTE(A278,"(","@",LEN(A278)-LEN(SUBSTITUTE(A278,"(","")))))-FIND("@",SUBSTITUTE(A278,"(","@",LEN(A278)-LEN(SUBSTITUTE(A278,"(",""))))-1)),"")</f>
        <v/>
      </c>
      <c r="N278" s="254">
        <f>IF(A278="","",IF(LEFT(TRIM(A278),5)="Leave","Leave",IF(OR(ISNUMBER(SEARCH("public holiday",A278)),ISNUMBER(SEARCH("Purple",E278))),"Public holiday","Event")))</f>
        <v/>
      </c>
    </row>
    <row r="279">
      <c r="G279" s="254">
        <f>IF(C279="","",IF(ISNUMBER(C279),C279,IF(ISNUMBER(VALUE(LEFT(TRIM(C279),1))),TRIM(C279),TRIM(MID(TRIM(C279),FIND(" ",TRIM(C279))+1,99)))))</f>
        <v/>
      </c>
      <c r="H279" s="254">
        <f>IF(D279="","",IF(ISNUMBER(D279),D279,IF(ISNUMBER(VALUE(LEFT(TRIM(D279),1))),TRIM(D279),TRIM(MID(TRIM(D279),FIND(" ",TRIM(D279))+1,99)))))</f>
        <v/>
      </c>
      <c r="I279" s="255">
        <f>IF(G279="",0,IF(ISNUMBER(G279),G279,IFERROR(DATE(VALUE(MID(G279,FIND("/",G279,FIND("/",G279)+1)+1,4)),VALUE(MID(G279,FIND("/",G279)+1,FIND("/",G279,FIND("/",G279)+1)-FIND("/",G279)-1)),VALUE(LEFT(G279,FIND("/",G279)-1)))+IFERROR(TIMEVALUE(TRIM(MID(G279,FIND(" ",G279)+1,20))),0),0)))</f>
        <v/>
      </c>
      <c r="J279" s="255">
        <f>IF(H279="",0,IF(ISNUMBER(H279),H279,IFERROR(DATE(VALUE(MID(H279,FIND("/",H279,FIND("/",H279)+1)+1,4)),VALUE(MID(H279,FIND("/",H279)+1,FIND("/",H279,FIND("/",H279)+1)-FIND("/",H279)-1)),VALUE(LEFT(H279,FIND("/",H279)-1)))+IFERROR(TIMEVALUE(TRIM(MID(H279,FIND(" ",H279)+1,20))),0),0)))</f>
        <v/>
      </c>
      <c r="K279" s="256">
        <f>IF(I279=0,0,INT(I279))</f>
        <v/>
      </c>
      <c r="L279" s="257">
        <f>IF(OR(I279=0,J279=0),0,ROUND((J279-I279)*24,2))</f>
        <v/>
      </c>
      <c r="M279" s="254">
        <f>IFERROR(TRIM(MID(A279,FIND("@",SUBSTITUTE(A279,"(","@",LEN(A279)-LEN(SUBSTITUTE(A279,"(",""))))+1,FIND(")",A279,FIND("@",SUBSTITUTE(A279,"(","@",LEN(A279)-LEN(SUBSTITUTE(A279,"(","")))))-FIND("@",SUBSTITUTE(A279,"(","@",LEN(A279)-LEN(SUBSTITUTE(A279,"(",""))))-1)),"")</f>
        <v/>
      </c>
      <c r="N279" s="254">
        <f>IF(A279="","",IF(LEFT(TRIM(A279),5)="Leave","Leave",IF(OR(ISNUMBER(SEARCH("public holiday",A279)),ISNUMBER(SEARCH("Purple",E279))),"Public holiday","Event")))</f>
        <v/>
      </c>
    </row>
    <row r="280">
      <c r="G280" s="254">
        <f>IF(C280="","",IF(ISNUMBER(C280),C280,IF(ISNUMBER(VALUE(LEFT(TRIM(C280),1))),TRIM(C280),TRIM(MID(TRIM(C280),FIND(" ",TRIM(C280))+1,99)))))</f>
        <v/>
      </c>
      <c r="H280" s="254">
        <f>IF(D280="","",IF(ISNUMBER(D280),D280,IF(ISNUMBER(VALUE(LEFT(TRIM(D280),1))),TRIM(D280),TRIM(MID(TRIM(D280),FIND(" ",TRIM(D280))+1,99)))))</f>
        <v/>
      </c>
      <c r="I280" s="255">
        <f>IF(G280="",0,IF(ISNUMBER(G280),G280,IFERROR(DATE(VALUE(MID(G280,FIND("/",G280,FIND("/",G280)+1)+1,4)),VALUE(MID(G280,FIND("/",G280)+1,FIND("/",G280,FIND("/",G280)+1)-FIND("/",G280)-1)),VALUE(LEFT(G280,FIND("/",G280)-1)))+IFERROR(TIMEVALUE(TRIM(MID(G280,FIND(" ",G280)+1,20))),0),0)))</f>
        <v/>
      </c>
      <c r="J280" s="255">
        <f>IF(H280="",0,IF(ISNUMBER(H280),H280,IFERROR(DATE(VALUE(MID(H280,FIND("/",H280,FIND("/",H280)+1)+1,4)),VALUE(MID(H280,FIND("/",H280)+1,FIND("/",H280,FIND("/",H280)+1)-FIND("/",H280)-1)),VALUE(LEFT(H280,FIND("/",H280)-1)))+IFERROR(TIMEVALUE(TRIM(MID(H280,FIND(" ",H280)+1,20))),0),0)))</f>
        <v/>
      </c>
      <c r="K280" s="256">
        <f>IF(I280=0,0,INT(I280))</f>
        <v/>
      </c>
      <c r="L280" s="257">
        <f>IF(OR(I280=0,J280=0),0,ROUND((J280-I280)*24,2))</f>
        <v/>
      </c>
      <c r="M280" s="254">
        <f>IFERROR(TRIM(MID(A280,FIND("@",SUBSTITUTE(A280,"(","@",LEN(A280)-LEN(SUBSTITUTE(A280,"(",""))))+1,FIND(")",A280,FIND("@",SUBSTITUTE(A280,"(","@",LEN(A280)-LEN(SUBSTITUTE(A280,"(","")))))-FIND("@",SUBSTITUTE(A280,"(","@",LEN(A280)-LEN(SUBSTITUTE(A280,"(",""))))-1)),"")</f>
        <v/>
      </c>
      <c r="N280" s="254">
        <f>IF(A280="","",IF(LEFT(TRIM(A280),5)="Leave","Leave",IF(OR(ISNUMBER(SEARCH("public holiday",A280)),ISNUMBER(SEARCH("Purple",E280))),"Public holiday","Event")))</f>
        <v/>
      </c>
    </row>
    <row r="281">
      <c r="G281" s="254">
        <f>IF(C281="","",IF(ISNUMBER(C281),C281,IF(ISNUMBER(VALUE(LEFT(TRIM(C281),1))),TRIM(C281),TRIM(MID(TRIM(C281),FIND(" ",TRIM(C281))+1,99)))))</f>
        <v/>
      </c>
      <c r="H281" s="254">
        <f>IF(D281="","",IF(ISNUMBER(D281),D281,IF(ISNUMBER(VALUE(LEFT(TRIM(D281),1))),TRIM(D281),TRIM(MID(TRIM(D281),FIND(" ",TRIM(D281))+1,99)))))</f>
        <v/>
      </c>
      <c r="I281" s="255">
        <f>IF(G281="",0,IF(ISNUMBER(G281),G281,IFERROR(DATE(VALUE(MID(G281,FIND("/",G281,FIND("/",G281)+1)+1,4)),VALUE(MID(G281,FIND("/",G281)+1,FIND("/",G281,FIND("/",G281)+1)-FIND("/",G281)-1)),VALUE(LEFT(G281,FIND("/",G281)-1)))+IFERROR(TIMEVALUE(TRIM(MID(G281,FIND(" ",G281)+1,20))),0),0)))</f>
        <v/>
      </c>
      <c r="J281" s="255">
        <f>IF(H281="",0,IF(ISNUMBER(H281),H281,IFERROR(DATE(VALUE(MID(H281,FIND("/",H281,FIND("/",H281)+1)+1,4)),VALUE(MID(H281,FIND("/",H281)+1,FIND("/",H281,FIND("/",H281)+1)-FIND("/",H281)-1)),VALUE(LEFT(H281,FIND("/",H281)-1)))+IFERROR(TIMEVALUE(TRIM(MID(H281,FIND(" ",H281)+1,20))),0),0)))</f>
        <v/>
      </c>
      <c r="K281" s="256">
        <f>IF(I281=0,0,INT(I281))</f>
        <v/>
      </c>
      <c r="L281" s="257">
        <f>IF(OR(I281=0,J281=0),0,ROUND((J281-I281)*24,2))</f>
        <v/>
      </c>
      <c r="M281" s="254">
        <f>IFERROR(TRIM(MID(A281,FIND("@",SUBSTITUTE(A281,"(","@",LEN(A281)-LEN(SUBSTITUTE(A281,"(",""))))+1,FIND(")",A281,FIND("@",SUBSTITUTE(A281,"(","@",LEN(A281)-LEN(SUBSTITUTE(A281,"(","")))))-FIND("@",SUBSTITUTE(A281,"(","@",LEN(A281)-LEN(SUBSTITUTE(A281,"(",""))))-1)),"")</f>
        <v/>
      </c>
      <c r="N281" s="254">
        <f>IF(A281="","",IF(LEFT(TRIM(A281),5)="Leave","Leave",IF(OR(ISNUMBER(SEARCH("public holiday",A281)),ISNUMBER(SEARCH("Purple",E281))),"Public holiday","Event")))</f>
        <v/>
      </c>
    </row>
    <row r="282">
      <c r="G282" s="254">
        <f>IF(C282="","",IF(ISNUMBER(C282),C282,IF(ISNUMBER(VALUE(LEFT(TRIM(C282),1))),TRIM(C282),TRIM(MID(TRIM(C282),FIND(" ",TRIM(C282))+1,99)))))</f>
        <v/>
      </c>
      <c r="H282" s="254">
        <f>IF(D282="","",IF(ISNUMBER(D282),D282,IF(ISNUMBER(VALUE(LEFT(TRIM(D282),1))),TRIM(D282),TRIM(MID(TRIM(D282),FIND(" ",TRIM(D282))+1,99)))))</f>
        <v/>
      </c>
      <c r="I282" s="255">
        <f>IF(G282="",0,IF(ISNUMBER(G282),G282,IFERROR(DATE(VALUE(MID(G282,FIND("/",G282,FIND("/",G282)+1)+1,4)),VALUE(MID(G282,FIND("/",G282)+1,FIND("/",G282,FIND("/",G282)+1)-FIND("/",G282)-1)),VALUE(LEFT(G282,FIND("/",G282)-1)))+IFERROR(TIMEVALUE(TRIM(MID(G282,FIND(" ",G282)+1,20))),0),0)))</f>
        <v/>
      </c>
      <c r="J282" s="255">
        <f>IF(H282="",0,IF(ISNUMBER(H282),H282,IFERROR(DATE(VALUE(MID(H282,FIND("/",H282,FIND("/",H282)+1)+1,4)),VALUE(MID(H282,FIND("/",H282)+1,FIND("/",H282,FIND("/",H282)+1)-FIND("/",H282)-1)),VALUE(LEFT(H282,FIND("/",H282)-1)))+IFERROR(TIMEVALUE(TRIM(MID(H282,FIND(" ",H282)+1,20))),0),0)))</f>
        <v/>
      </c>
      <c r="K282" s="256">
        <f>IF(I282=0,0,INT(I282))</f>
        <v/>
      </c>
      <c r="L282" s="257">
        <f>IF(OR(I282=0,J282=0),0,ROUND((J282-I282)*24,2))</f>
        <v/>
      </c>
      <c r="M282" s="254">
        <f>IFERROR(TRIM(MID(A282,FIND("@",SUBSTITUTE(A282,"(","@",LEN(A282)-LEN(SUBSTITUTE(A282,"(",""))))+1,FIND(")",A282,FIND("@",SUBSTITUTE(A282,"(","@",LEN(A282)-LEN(SUBSTITUTE(A282,"(","")))))-FIND("@",SUBSTITUTE(A282,"(","@",LEN(A282)-LEN(SUBSTITUTE(A282,"(",""))))-1)),"")</f>
        <v/>
      </c>
      <c r="N282" s="254">
        <f>IF(A282="","",IF(LEFT(TRIM(A282),5)="Leave","Leave",IF(OR(ISNUMBER(SEARCH("public holiday",A282)),ISNUMBER(SEARCH("Purple",E282))),"Public holiday","Event")))</f>
        <v/>
      </c>
    </row>
    <row r="283">
      <c r="G283" s="254">
        <f>IF(C283="","",IF(ISNUMBER(C283),C283,IF(ISNUMBER(VALUE(LEFT(TRIM(C283),1))),TRIM(C283),TRIM(MID(TRIM(C283),FIND(" ",TRIM(C283))+1,99)))))</f>
        <v/>
      </c>
      <c r="H283" s="254">
        <f>IF(D283="","",IF(ISNUMBER(D283),D283,IF(ISNUMBER(VALUE(LEFT(TRIM(D283),1))),TRIM(D283),TRIM(MID(TRIM(D283),FIND(" ",TRIM(D283))+1,99)))))</f>
        <v/>
      </c>
      <c r="I283" s="255">
        <f>IF(G283="",0,IF(ISNUMBER(G283),G283,IFERROR(DATE(VALUE(MID(G283,FIND("/",G283,FIND("/",G283)+1)+1,4)),VALUE(MID(G283,FIND("/",G283)+1,FIND("/",G283,FIND("/",G283)+1)-FIND("/",G283)-1)),VALUE(LEFT(G283,FIND("/",G283)-1)))+IFERROR(TIMEVALUE(TRIM(MID(G283,FIND(" ",G283)+1,20))),0),0)))</f>
        <v/>
      </c>
      <c r="J283" s="255">
        <f>IF(H283="",0,IF(ISNUMBER(H283),H283,IFERROR(DATE(VALUE(MID(H283,FIND("/",H283,FIND("/",H283)+1)+1,4)),VALUE(MID(H283,FIND("/",H283)+1,FIND("/",H283,FIND("/",H283)+1)-FIND("/",H283)-1)),VALUE(LEFT(H283,FIND("/",H283)-1)))+IFERROR(TIMEVALUE(TRIM(MID(H283,FIND(" ",H283)+1,20))),0),0)))</f>
        <v/>
      </c>
      <c r="K283" s="256">
        <f>IF(I283=0,0,INT(I283))</f>
        <v/>
      </c>
      <c r="L283" s="257">
        <f>IF(OR(I283=0,J283=0),0,ROUND((J283-I283)*24,2))</f>
        <v/>
      </c>
      <c r="M283" s="254">
        <f>IFERROR(TRIM(MID(A283,FIND("@",SUBSTITUTE(A283,"(","@",LEN(A283)-LEN(SUBSTITUTE(A283,"(",""))))+1,FIND(")",A283,FIND("@",SUBSTITUTE(A283,"(","@",LEN(A283)-LEN(SUBSTITUTE(A283,"(","")))))-FIND("@",SUBSTITUTE(A283,"(","@",LEN(A283)-LEN(SUBSTITUTE(A283,"(",""))))-1)),"")</f>
        <v/>
      </c>
      <c r="N283" s="254">
        <f>IF(A283="","",IF(LEFT(TRIM(A283),5)="Leave","Leave",IF(OR(ISNUMBER(SEARCH("public holiday",A283)),ISNUMBER(SEARCH("Purple",E283))),"Public holiday","Event")))</f>
        <v/>
      </c>
    </row>
    <row r="284">
      <c r="G284" s="254">
        <f>IF(C284="","",IF(ISNUMBER(C284),C284,IF(ISNUMBER(VALUE(LEFT(TRIM(C284),1))),TRIM(C284),TRIM(MID(TRIM(C284),FIND(" ",TRIM(C284))+1,99)))))</f>
        <v/>
      </c>
      <c r="H284" s="254">
        <f>IF(D284="","",IF(ISNUMBER(D284),D284,IF(ISNUMBER(VALUE(LEFT(TRIM(D284),1))),TRIM(D284),TRIM(MID(TRIM(D284),FIND(" ",TRIM(D284))+1,99)))))</f>
        <v/>
      </c>
      <c r="I284" s="255">
        <f>IF(G284="",0,IF(ISNUMBER(G284),G284,IFERROR(DATE(VALUE(MID(G284,FIND("/",G284,FIND("/",G284)+1)+1,4)),VALUE(MID(G284,FIND("/",G284)+1,FIND("/",G284,FIND("/",G284)+1)-FIND("/",G284)-1)),VALUE(LEFT(G284,FIND("/",G284)-1)))+IFERROR(TIMEVALUE(TRIM(MID(G284,FIND(" ",G284)+1,20))),0),0)))</f>
        <v/>
      </c>
      <c r="J284" s="255">
        <f>IF(H284="",0,IF(ISNUMBER(H284),H284,IFERROR(DATE(VALUE(MID(H284,FIND("/",H284,FIND("/",H284)+1)+1,4)),VALUE(MID(H284,FIND("/",H284)+1,FIND("/",H284,FIND("/",H284)+1)-FIND("/",H284)-1)),VALUE(LEFT(H284,FIND("/",H284)-1)))+IFERROR(TIMEVALUE(TRIM(MID(H284,FIND(" ",H284)+1,20))),0),0)))</f>
        <v/>
      </c>
      <c r="K284" s="256">
        <f>IF(I284=0,0,INT(I284))</f>
        <v/>
      </c>
      <c r="L284" s="257">
        <f>IF(OR(I284=0,J284=0),0,ROUND((J284-I284)*24,2))</f>
        <v/>
      </c>
      <c r="M284" s="254">
        <f>IFERROR(TRIM(MID(A284,FIND("@",SUBSTITUTE(A284,"(","@",LEN(A284)-LEN(SUBSTITUTE(A284,"(",""))))+1,FIND(")",A284,FIND("@",SUBSTITUTE(A284,"(","@",LEN(A284)-LEN(SUBSTITUTE(A284,"(","")))))-FIND("@",SUBSTITUTE(A284,"(","@",LEN(A284)-LEN(SUBSTITUTE(A284,"(",""))))-1)),"")</f>
        <v/>
      </c>
      <c r="N284" s="254">
        <f>IF(A284="","",IF(LEFT(TRIM(A284),5)="Leave","Leave",IF(OR(ISNUMBER(SEARCH("public holiday",A284)),ISNUMBER(SEARCH("Purple",E284))),"Public holiday","Event")))</f>
        <v/>
      </c>
    </row>
    <row r="285">
      <c r="G285" s="254">
        <f>IF(C285="","",IF(ISNUMBER(C285),C285,IF(ISNUMBER(VALUE(LEFT(TRIM(C285),1))),TRIM(C285),TRIM(MID(TRIM(C285),FIND(" ",TRIM(C285))+1,99)))))</f>
        <v/>
      </c>
      <c r="H285" s="254">
        <f>IF(D285="","",IF(ISNUMBER(D285),D285,IF(ISNUMBER(VALUE(LEFT(TRIM(D285),1))),TRIM(D285),TRIM(MID(TRIM(D285),FIND(" ",TRIM(D285))+1,99)))))</f>
        <v/>
      </c>
      <c r="I285" s="255">
        <f>IF(G285="",0,IF(ISNUMBER(G285),G285,IFERROR(DATE(VALUE(MID(G285,FIND("/",G285,FIND("/",G285)+1)+1,4)),VALUE(MID(G285,FIND("/",G285)+1,FIND("/",G285,FIND("/",G285)+1)-FIND("/",G285)-1)),VALUE(LEFT(G285,FIND("/",G285)-1)))+IFERROR(TIMEVALUE(TRIM(MID(G285,FIND(" ",G285)+1,20))),0),0)))</f>
        <v/>
      </c>
      <c r="J285" s="255">
        <f>IF(H285="",0,IF(ISNUMBER(H285),H285,IFERROR(DATE(VALUE(MID(H285,FIND("/",H285,FIND("/",H285)+1)+1,4)),VALUE(MID(H285,FIND("/",H285)+1,FIND("/",H285,FIND("/",H285)+1)-FIND("/",H285)-1)),VALUE(LEFT(H285,FIND("/",H285)-1)))+IFERROR(TIMEVALUE(TRIM(MID(H285,FIND(" ",H285)+1,20))),0),0)))</f>
        <v/>
      </c>
      <c r="K285" s="256">
        <f>IF(I285=0,0,INT(I285))</f>
        <v/>
      </c>
      <c r="L285" s="257">
        <f>IF(OR(I285=0,J285=0),0,ROUND((J285-I285)*24,2))</f>
        <v/>
      </c>
      <c r="M285" s="254">
        <f>IFERROR(TRIM(MID(A285,FIND("@",SUBSTITUTE(A285,"(","@",LEN(A285)-LEN(SUBSTITUTE(A285,"(",""))))+1,FIND(")",A285,FIND("@",SUBSTITUTE(A285,"(","@",LEN(A285)-LEN(SUBSTITUTE(A285,"(","")))))-FIND("@",SUBSTITUTE(A285,"(","@",LEN(A285)-LEN(SUBSTITUTE(A285,"(",""))))-1)),"")</f>
        <v/>
      </c>
      <c r="N285" s="254">
        <f>IF(A285="","",IF(LEFT(TRIM(A285),5)="Leave","Leave",IF(OR(ISNUMBER(SEARCH("public holiday",A285)),ISNUMBER(SEARCH("Purple",E285))),"Public holiday","Event")))</f>
        <v/>
      </c>
    </row>
    <row r="286">
      <c r="G286" s="254">
        <f>IF(C286="","",IF(ISNUMBER(C286),C286,IF(ISNUMBER(VALUE(LEFT(TRIM(C286),1))),TRIM(C286),TRIM(MID(TRIM(C286),FIND(" ",TRIM(C286))+1,99)))))</f>
        <v/>
      </c>
      <c r="H286" s="254">
        <f>IF(D286="","",IF(ISNUMBER(D286),D286,IF(ISNUMBER(VALUE(LEFT(TRIM(D286),1))),TRIM(D286),TRIM(MID(TRIM(D286),FIND(" ",TRIM(D286))+1,99)))))</f>
        <v/>
      </c>
      <c r="I286" s="255">
        <f>IF(G286="",0,IF(ISNUMBER(G286),G286,IFERROR(DATE(VALUE(MID(G286,FIND("/",G286,FIND("/",G286)+1)+1,4)),VALUE(MID(G286,FIND("/",G286)+1,FIND("/",G286,FIND("/",G286)+1)-FIND("/",G286)-1)),VALUE(LEFT(G286,FIND("/",G286)-1)))+IFERROR(TIMEVALUE(TRIM(MID(G286,FIND(" ",G286)+1,20))),0),0)))</f>
        <v/>
      </c>
      <c r="J286" s="255">
        <f>IF(H286="",0,IF(ISNUMBER(H286),H286,IFERROR(DATE(VALUE(MID(H286,FIND("/",H286,FIND("/",H286)+1)+1,4)),VALUE(MID(H286,FIND("/",H286)+1,FIND("/",H286,FIND("/",H286)+1)-FIND("/",H286)-1)),VALUE(LEFT(H286,FIND("/",H286)-1)))+IFERROR(TIMEVALUE(TRIM(MID(H286,FIND(" ",H286)+1,20))),0),0)))</f>
        <v/>
      </c>
      <c r="K286" s="256">
        <f>IF(I286=0,0,INT(I286))</f>
        <v/>
      </c>
      <c r="L286" s="257">
        <f>IF(OR(I286=0,J286=0),0,ROUND((J286-I286)*24,2))</f>
        <v/>
      </c>
      <c r="M286" s="254">
        <f>IFERROR(TRIM(MID(A286,FIND("@",SUBSTITUTE(A286,"(","@",LEN(A286)-LEN(SUBSTITUTE(A286,"(",""))))+1,FIND(")",A286,FIND("@",SUBSTITUTE(A286,"(","@",LEN(A286)-LEN(SUBSTITUTE(A286,"(","")))))-FIND("@",SUBSTITUTE(A286,"(","@",LEN(A286)-LEN(SUBSTITUTE(A286,"(",""))))-1)),"")</f>
        <v/>
      </c>
      <c r="N286" s="254">
        <f>IF(A286="","",IF(LEFT(TRIM(A286),5)="Leave","Leave",IF(OR(ISNUMBER(SEARCH("public holiday",A286)),ISNUMBER(SEARCH("Purple",E286))),"Public holiday","Event")))</f>
        <v/>
      </c>
    </row>
    <row r="287">
      <c r="G287" s="254">
        <f>IF(C287="","",IF(ISNUMBER(C287),C287,IF(ISNUMBER(VALUE(LEFT(TRIM(C287),1))),TRIM(C287),TRIM(MID(TRIM(C287),FIND(" ",TRIM(C287))+1,99)))))</f>
        <v/>
      </c>
      <c r="H287" s="254">
        <f>IF(D287="","",IF(ISNUMBER(D287),D287,IF(ISNUMBER(VALUE(LEFT(TRIM(D287),1))),TRIM(D287),TRIM(MID(TRIM(D287),FIND(" ",TRIM(D287))+1,99)))))</f>
        <v/>
      </c>
      <c r="I287" s="255">
        <f>IF(G287="",0,IF(ISNUMBER(G287),G287,IFERROR(DATE(VALUE(MID(G287,FIND("/",G287,FIND("/",G287)+1)+1,4)),VALUE(MID(G287,FIND("/",G287)+1,FIND("/",G287,FIND("/",G287)+1)-FIND("/",G287)-1)),VALUE(LEFT(G287,FIND("/",G287)-1)))+IFERROR(TIMEVALUE(TRIM(MID(G287,FIND(" ",G287)+1,20))),0),0)))</f>
        <v/>
      </c>
      <c r="J287" s="255">
        <f>IF(H287="",0,IF(ISNUMBER(H287),H287,IFERROR(DATE(VALUE(MID(H287,FIND("/",H287,FIND("/",H287)+1)+1,4)),VALUE(MID(H287,FIND("/",H287)+1,FIND("/",H287,FIND("/",H287)+1)-FIND("/",H287)-1)),VALUE(LEFT(H287,FIND("/",H287)-1)))+IFERROR(TIMEVALUE(TRIM(MID(H287,FIND(" ",H287)+1,20))),0),0)))</f>
        <v/>
      </c>
      <c r="K287" s="256">
        <f>IF(I287=0,0,INT(I287))</f>
        <v/>
      </c>
      <c r="L287" s="257">
        <f>IF(OR(I287=0,J287=0),0,ROUND((J287-I287)*24,2))</f>
        <v/>
      </c>
      <c r="M287" s="254">
        <f>IFERROR(TRIM(MID(A287,FIND("@",SUBSTITUTE(A287,"(","@",LEN(A287)-LEN(SUBSTITUTE(A287,"(",""))))+1,FIND(")",A287,FIND("@",SUBSTITUTE(A287,"(","@",LEN(A287)-LEN(SUBSTITUTE(A287,"(","")))))-FIND("@",SUBSTITUTE(A287,"(","@",LEN(A287)-LEN(SUBSTITUTE(A287,"(",""))))-1)),"")</f>
        <v/>
      </c>
      <c r="N287" s="254">
        <f>IF(A287="","",IF(LEFT(TRIM(A287),5)="Leave","Leave",IF(OR(ISNUMBER(SEARCH("public holiday",A287)),ISNUMBER(SEARCH("Purple",E287))),"Public holiday","Event")))</f>
        <v/>
      </c>
    </row>
    <row r="288">
      <c r="G288" s="254">
        <f>IF(C288="","",IF(ISNUMBER(C288),C288,IF(ISNUMBER(VALUE(LEFT(TRIM(C288),1))),TRIM(C288),TRIM(MID(TRIM(C288),FIND(" ",TRIM(C288))+1,99)))))</f>
        <v/>
      </c>
      <c r="H288" s="254">
        <f>IF(D288="","",IF(ISNUMBER(D288),D288,IF(ISNUMBER(VALUE(LEFT(TRIM(D288),1))),TRIM(D288),TRIM(MID(TRIM(D288),FIND(" ",TRIM(D288))+1,99)))))</f>
        <v/>
      </c>
      <c r="I288" s="255">
        <f>IF(G288="",0,IF(ISNUMBER(G288),G288,IFERROR(DATE(VALUE(MID(G288,FIND("/",G288,FIND("/",G288)+1)+1,4)),VALUE(MID(G288,FIND("/",G288)+1,FIND("/",G288,FIND("/",G288)+1)-FIND("/",G288)-1)),VALUE(LEFT(G288,FIND("/",G288)-1)))+IFERROR(TIMEVALUE(TRIM(MID(G288,FIND(" ",G288)+1,20))),0),0)))</f>
        <v/>
      </c>
      <c r="J288" s="255">
        <f>IF(H288="",0,IF(ISNUMBER(H288),H288,IFERROR(DATE(VALUE(MID(H288,FIND("/",H288,FIND("/",H288)+1)+1,4)),VALUE(MID(H288,FIND("/",H288)+1,FIND("/",H288,FIND("/",H288)+1)-FIND("/",H288)-1)),VALUE(LEFT(H288,FIND("/",H288)-1)))+IFERROR(TIMEVALUE(TRIM(MID(H288,FIND(" ",H288)+1,20))),0),0)))</f>
        <v/>
      </c>
      <c r="K288" s="256">
        <f>IF(I288=0,0,INT(I288))</f>
        <v/>
      </c>
      <c r="L288" s="257">
        <f>IF(OR(I288=0,J288=0),0,ROUND((J288-I288)*24,2))</f>
        <v/>
      </c>
      <c r="M288" s="254">
        <f>IFERROR(TRIM(MID(A288,FIND("@",SUBSTITUTE(A288,"(","@",LEN(A288)-LEN(SUBSTITUTE(A288,"(",""))))+1,FIND(")",A288,FIND("@",SUBSTITUTE(A288,"(","@",LEN(A288)-LEN(SUBSTITUTE(A288,"(","")))))-FIND("@",SUBSTITUTE(A288,"(","@",LEN(A288)-LEN(SUBSTITUTE(A288,"(",""))))-1)),"")</f>
        <v/>
      </c>
      <c r="N288" s="254">
        <f>IF(A288="","",IF(LEFT(TRIM(A288),5)="Leave","Leave",IF(OR(ISNUMBER(SEARCH("public holiday",A288)),ISNUMBER(SEARCH("Purple",E288))),"Public holiday","Event")))</f>
        <v/>
      </c>
    </row>
    <row r="289">
      <c r="G289" s="254">
        <f>IF(C289="","",IF(ISNUMBER(C289),C289,IF(ISNUMBER(VALUE(LEFT(TRIM(C289),1))),TRIM(C289),TRIM(MID(TRIM(C289),FIND(" ",TRIM(C289))+1,99)))))</f>
        <v/>
      </c>
      <c r="H289" s="254">
        <f>IF(D289="","",IF(ISNUMBER(D289),D289,IF(ISNUMBER(VALUE(LEFT(TRIM(D289),1))),TRIM(D289),TRIM(MID(TRIM(D289),FIND(" ",TRIM(D289))+1,99)))))</f>
        <v/>
      </c>
      <c r="I289" s="255">
        <f>IF(G289="",0,IF(ISNUMBER(G289),G289,IFERROR(DATE(VALUE(MID(G289,FIND("/",G289,FIND("/",G289)+1)+1,4)),VALUE(MID(G289,FIND("/",G289)+1,FIND("/",G289,FIND("/",G289)+1)-FIND("/",G289)-1)),VALUE(LEFT(G289,FIND("/",G289)-1)))+IFERROR(TIMEVALUE(TRIM(MID(G289,FIND(" ",G289)+1,20))),0),0)))</f>
        <v/>
      </c>
      <c r="J289" s="255">
        <f>IF(H289="",0,IF(ISNUMBER(H289),H289,IFERROR(DATE(VALUE(MID(H289,FIND("/",H289,FIND("/",H289)+1)+1,4)),VALUE(MID(H289,FIND("/",H289)+1,FIND("/",H289,FIND("/",H289)+1)-FIND("/",H289)-1)),VALUE(LEFT(H289,FIND("/",H289)-1)))+IFERROR(TIMEVALUE(TRIM(MID(H289,FIND(" ",H289)+1,20))),0),0)))</f>
        <v/>
      </c>
      <c r="K289" s="256">
        <f>IF(I289=0,0,INT(I289))</f>
        <v/>
      </c>
      <c r="L289" s="257">
        <f>IF(OR(I289=0,J289=0),0,ROUND((J289-I289)*24,2))</f>
        <v/>
      </c>
      <c r="M289" s="254">
        <f>IFERROR(TRIM(MID(A289,FIND("@",SUBSTITUTE(A289,"(","@",LEN(A289)-LEN(SUBSTITUTE(A289,"(",""))))+1,FIND(")",A289,FIND("@",SUBSTITUTE(A289,"(","@",LEN(A289)-LEN(SUBSTITUTE(A289,"(","")))))-FIND("@",SUBSTITUTE(A289,"(","@",LEN(A289)-LEN(SUBSTITUTE(A289,"(",""))))-1)),"")</f>
        <v/>
      </c>
      <c r="N289" s="254">
        <f>IF(A289="","",IF(LEFT(TRIM(A289),5)="Leave","Leave",IF(OR(ISNUMBER(SEARCH("public holiday",A289)),ISNUMBER(SEARCH("Purple",E289))),"Public holiday","Event")))</f>
        <v/>
      </c>
    </row>
    <row r="290">
      <c r="G290" s="254">
        <f>IF(C290="","",IF(ISNUMBER(C290),C290,IF(ISNUMBER(VALUE(LEFT(TRIM(C290),1))),TRIM(C290),TRIM(MID(TRIM(C290),FIND(" ",TRIM(C290))+1,99)))))</f>
        <v/>
      </c>
      <c r="H290" s="254">
        <f>IF(D290="","",IF(ISNUMBER(D290),D290,IF(ISNUMBER(VALUE(LEFT(TRIM(D290),1))),TRIM(D290),TRIM(MID(TRIM(D290),FIND(" ",TRIM(D290))+1,99)))))</f>
        <v/>
      </c>
      <c r="I290" s="255">
        <f>IF(G290="",0,IF(ISNUMBER(G290),G290,IFERROR(DATE(VALUE(MID(G290,FIND("/",G290,FIND("/",G290)+1)+1,4)),VALUE(MID(G290,FIND("/",G290)+1,FIND("/",G290,FIND("/",G290)+1)-FIND("/",G290)-1)),VALUE(LEFT(G290,FIND("/",G290)-1)))+IFERROR(TIMEVALUE(TRIM(MID(G290,FIND(" ",G290)+1,20))),0),0)))</f>
        <v/>
      </c>
      <c r="J290" s="255">
        <f>IF(H290="",0,IF(ISNUMBER(H290),H290,IFERROR(DATE(VALUE(MID(H290,FIND("/",H290,FIND("/",H290)+1)+1,4)),VALUE(MID(H290,FIND("/",H290)+1,FIND("/",H290,FIND("/",H290)+1)-FIND("/",H290)-1)),VALUE(LEFT(H290,FIND("/",H290)-1)))+IFERROR(TIMEVALUE(TRIM(MID(H290,FIND(" ",H290)+1,20))),0),0)))</f>
        <v/>
      </c>
      <c r="K290" s="256">
        <f>IF(I290=0,0,INT(I290))</f>
        <v/>
      </c>
      <c r="L290" s="257">
        <f>IF(OR(I290=0,J290=0),0,ROUND((J290-I290)*24,2))</f>
        <v/>
      </c>
      <c r="M290" s="254">
        <f>IFERROR(TRIM(MID(A290,FIND("@",SUBSTITUTE(A290,"(","@",LEN(A290)-LEN(SUBSTITUTE(A290,"(",""))))+1,FIND(")",A290,FIND("@",SUBSTITUTE(A290,"(","@",LEN(A290)-LEN(SUBSTITUTE(A290,"(","")))))-FIND("@",SUBSTITUTE(A290,"(","@",LEN(A290)-LEN(SUBSTITUTE(A290,"(",""))))-1)),"")</f>
        <v/>
      </c>
      <c r="N290" s="254">
        <f>IF(A290="","",IF(LEFT(TRIM(A290),5)="Leave","Leave",IF(OR(ISNUMBER(SEARCH("public holiday",A290)),ISNUMBER(SEARCH("Purple",E290))),"Public holiday","Event")))</f>
        <v/>
      </c>
    </row>
    <row r="291">
      <c r="G291" s="254">
        <f>IF(C291="","",IF(ISNUMBER(C291),C291,IF(ISNUMBER(VALUE(LEFT(TRIM(C291),1))),TRIM(C291),TRIM(MID(TRIM(C291),FIND(" ",TRIM(C291))+1,99)))))</f>
        <v/>
      </c>
      <c r="H291" s="254">
        <f>IF(D291="","",IF(ISNUMBER(D291),D291,IF(ISNUMBER(VALUE(LEFT(TRIM(D291),1))),TRIM(D291),TRIM(MID(TRIM(D291),FIND(" ",TRIM(D291))+1,99)))))</f>
        <v/>
      </c>
      <c r="I291" s="255">
        <f>IF(G291="",0,IF(ISNUMBER(G291),G291,IFERROR(DATE(VALUE(MID(G291,FIND("/",G291,FIND("/",G291)+1)+1,4)),VALUE(MID(G291,FIND("/",G291)+1,FIND("/",G291,FIND("/",G291)+1)-FIND("/",G291)-1)),VALUE(LEFT(G291,FIND("/",G291)-1)))+IFERROR(TIMEVALUE(TRIM(MID(G291,FIND(" ",G291)+1,20))),0),0)))</f>
        <v/>
      </c>
      <c r="J291" s="255">
        <f>IF(H291="",0,IF(ISNUMBER(H291),H291,IFERROR(DATE(VALUE(MID(H291,FIND("/",H291,FIND("/",H291)+1)+1,4)),VALUE(MID(H291,FIND("/",H291)+1,FIND("/",H291,FIND("/",H291)+1)-FIND("/",H291)-1)),VALUE(LEFT(H291,FIND("/",H291)-1)))+IFERROR(TIMEVALUE(TRIM(MID(H291,FIND(" ",H291)+1,20))),0),0)))</f>
        <v/>
      </c>
      <c r="K291" s="256">
        <f>IF(I291=0,0,INT(I291))</f>
        <v/>
      </c>
      <c r="L291" s="257">
        <f>IF(OR(I291=0,J291=0),0,ROUND((J291-I291)*24,2))</f>
        <v/>
      </c>
      <c r="M291" s="254">
        <f>IFERROR(TRIM(MID(A291,FIND("@",SUBSTITUTE(A291,"(","@",LEN(A291)-LEN(SUBSTITUTE(A291,"(",""))))+1,FIND(")",A291,FIND("@",SUBSTITUTE(A291,"(","@",LEN(A291)-LEN(SUBSTITUTE(A291,"(","")))))-FIND("@",SUBSTITUTE(A291,"(","@",LEN(A291)-LEN(SUBSTITUTE(A291,"(",""))))-1)),"")</f>
        <v/>
      </c>
      <c r="N291" s="254">
        <f>IF(A291="","",IF(LEFT(TRIM(A291),5)="Leave","Leave",IF(OR(ISNUMBER(SEARCH("public holiday",A291)),ISNUMBER(SEARCH("Purple",E291))),"Public holiday","Event")))</f>
        <v/>
      </c>
    </row>
    <row r="292">
      <c r="G292" s="254">
        <f>IF(C292="","",IF(ISNUMBER(C292),C292,IF(ISNUMBER(VALUE(LEFT(TRIM(C292),1))),TRIM(C292),TRIM(MID(TRIM(C292),FIND(" ",TRIM(C292))+1,99)))))</f>
        <v/>
      </c>
      <c r="H292" s="254">
        <f>IF(D292="","",IF(ISNUMBER(D292),D292,IF(ISNUMBER(VALUE(LEFT(TRIM(D292),1))),TRIM(D292),TRIM(MID(TRIM(D292),FIND(" ",TRIM(D292))+1,99)))))</f>
        <v/>
      </c>
      <c r="I292" s="255">
        <f>IF(G292="",0,IF(ISNUMBER(G292),G292,IFERROR(DATE(VALUE(MID(G292,FIND("/",G292,FIND("/",G292)+1)+1,4)),VALUE(MID(G292,FIND("/",G292)+1,FIND("/",G292,FIND("/",G292)+1)-FIND("/",G292)-1)),VALUE(LEFT(G292,FIND("/",G292)-1)))+IFERROR(TIMEVALUE(TRIM(MID(G292,FIND(" ",G292)+1,20))),0),0)))</f>
        <v/>
      </c>
      <c r="J292" s="255">
        <f>IF(H292="",0,IF(ISNUMBER(H292),H292,IFERROR(DATE(VALUE(MID(H292,FIND("/",H292,FIND("/",H292)+1)+1,4)),VALUE(MID(H292,FIND("/",H292)+1,FIND("/",H292,FIND("/",H292)+1)-FIND("/",H292)-1)),VALUE(LEFT(H292,FIND("/",H292)-1)))+IFERROR(TIMEVALUE(TRIM(MID(H292,FIND(" ",H292)+1,20))),0),0)))</f>
        <v/>
      </c>
      <c r="K292" s="256">
        <f>IF(I292=0,0,INT(I292))</f>
        <v/>
      </c>
      <c r="L292" s="257">
        <f>IF(OR(I292=0,J292=0),0,ROUND((J292-I292)*24,2))</f>
        <v/>
      </c>
      <c r="M292" s="254">
        <f>IFERROR(TRIM(MID(A292,FIND("@",SUBSTITUTE(A292,"(","@",LEN(A292)-LEN(SUBSTITUTE(A292,"(",""))))+1,FIND(")",A292,FIND("@",SUBSTITUTE(A292,"(","@",LEN(A292)-LEN(SUBSTITUTE(A292,"(","")))))-FIND("@",SUBSTITUTE(A292,"(","@",LEN(A292)-LEN(SUBSTITUTE(A292,"(",""))))-1)),"")</f>
        <v/>
      </c>
      <c r="N292" s="254">
        <f>IF(A292="","",IF(LEFT(TRIM(A292),5)="Leave","Leave",IF(OR(ISNUMBER(SEARCH("public holiday",A292)),ISNUMBER(SEARCH("Purple",E292))),"Public holiday","Event")))</f>
        <v/>
      </c>
    </row>
    <row r="293">
      <c r="G293" s="254">
        <f>IF(C293="","",IF(ISNUMBER(C293),C293,IF(ISNUMBER(VALUE(LEFT(TRIM(C293),1))),TRIM(C293),TRIM(MID(TRIM(C293),FIND(" ",TRIM(C293))+1,99)))))</f>
        <v/>
      </c>
      <c r="H293" s="254">
        <f>IF(D293="","",IF(ISNUMBER(D293),D293,IF(ISNUMBER(VALUE(LEFT(TRIM(D293),1))),TRIM(D293),TRIM(MID(TRIM(D293),FIND(" ",TRIM(D293))+1,99)))))</f>
        <v/>
      </c>
      <c r="I293" s="255">
        <f>IF(G293="",0,IF(ISNUMBER(G293),G293,IFERROR(DATE(VALUE(MID(G293,FIND("/",G293,FIND("/",G293)+1)+1,4)),VALUE(MID(G293,FIND("/",G293)+1,FIND("/",G293,FIND("/",G293)+1)-FIND("/",G293)-1)),VALUE(LEFT(G293,FIND("/",G293)-1)))+IFERROR(TIMEVALUE(TRIM(MID(G293,FIND(" ",G293)+1,20))),0),0)))</f>
        <v/>
      </c>
      <c r="J293" s="255">
        <f>IF(H293="",0,IF(ISNUMBER(H293),H293,IFERROR(DATE(VALUE(MID(H293,FIND("/",H293,FIND("/",H293)+1)+1,4)),VALUE(MID(H293,FIND("/",H293)+1,FIND("/",H293,FIND("/",H293)+1)-FIND("/",H293)-1)),VALUE(LEFT(H293,FIND("/",H293)-1)))+IFERROR(TIMEVALUE(TRIM(MID(H293,FIND(" ",H293)+1,20))),0),0)))</f>
        <v/>
      </c>
      <c r="K293" s="256">
        <f>IF(I293=0,0,INT(I293))</f>
        <v/>
      </c>
      <c r="L293" s="257">
        <f>IF(OR(I293=0,J293=0),0,ROUND((J293-I293)*24,2))</f>
        <v/>
      </c>
      <c r="M293" s="254">
        <f>IFERROR(TRIM(MID(A293,FIND("@",SUBSTITUTE(A293,"(","@",LEN(A293)-LEN(SUBSTITUTE(A293,"(",""))))+1,FIND(")",A293,FIND("@",SUBSTITUTE(A293,"(","@",LEN(A293)-LEN(SUBSTITUTE(A293,"(","")))))-FIND("@",SUBSTITUTE(A293,"(","@",LEN(A293)-LEN(SUBSTITUTE(A293,"(",""))))-1)),"")</f>
        <v/>
      </c>
      <c r="N293" s="254">
        <f>IF(A293="","",IF(LEFT(TRIM(A293),5)="Leave","Leave",IF(OR(ISNUMBER(SEARCH("public holiday",A293)),ISNUMBER(SEARCH("Purple",E293))),"Public holiday","Event")))</f>
        <v/>
      </c>
    </row>
    <row r="294">
      <c r="G294" s="254">
        <f>IF(C294="","",IF(ISNUMBER(C294),C294,IF(ISNUMBER(VALUE(LEFT(TRIM(C294),1))),TRIM(C294),TRIM(MID(TRIM(C294),FIND(" ",TRIM(C294))+1,99)))))</f>
        <v/>
      </c>
      <c r="H294" s="254">
        <f>IF(D294="","",IF(ISNUMBER(D294),D294,IF(ISNUMBER(VALUE(LEFT(TRIM(D294),1))),TRIM(D294),TRIM(MID(TRIM(D294),FIND(" ",TRIM(D294))+1,99)))))</f>
        <v/>
      </c>
      <c r="I294" s="255">
        <f>IF(G294="",0,IF(ISNUMBER(G294),G294,IFERROR(DATE(VALUE(MID(G294,FIND("/",G294,FIND("/",G294)+1)+1,4)),VALUE(MID(G294,FIND("/",G294)+1,FIND("/",G294,FIND("/",G294)+1)-FIND("/",G294)-1)),VALUE(LEFT(G294,FIND("/",G294)-1)))+IFERROR(TIMEVALUE(TRIM(MID(G294,FIND(" ",G294)+1,20))),0),0)))</f>
        <v/>
      </c>
      <c r="J294" s="255">
        <f>IF(H294="",0,IF(ISNUMBER(H294),H294,IFERROR(DATE(VALUE(MID(H294,FIND("/",H294,FIND("/",H294)+1)+1,4)),VALUE(MID(H294,FIND("/",H294)+1,FIND("/",H294,FIND("/",H294)+1)-FIND("/",H294)-1)),VALUE(LEFT(H294,FIND("/",H294)-1)))+IFERROR(TIMEVALUE(TRIM(MID(H294,FIND(" ",H294)+1,20))),0),0)))</f>
        <v/>
      </c>
      <c r="K294" s="256">
        <f>IF(I294=0,0,INT(I294))</f>
        <v/>
      </c>
      <c r="L294" s="257">
        <f>IF(OR(I294=0,J294=0),0,ROUND((J294-I294)*24,2))</f>
        <v/>
      </c>
      <c r="M294" s="254">
        <f>IFERROR(TRIM(MID(A294,FIND("@",SUBSTITUTE(A294,"(","@",LEN(A294)-LEN(SUBSTITUTE(A294,"(",""))))+1,FIND(")",A294,FIND("@",SUBSTITUTE(A294,"(","@",LEN(A294)-LEN(SUBSTITUTE(A294,"(","")))))-FIND("@",SUBSTITUTE(A294,"(","@",LEN(A294)-LEN(SUBSTITUTE(A294,"(",""))))-1)),"")</f>
        <v/>
      </c>
      <c r="N294" s="254">
        <f>IF(A294="","",IF(LEFT(TRIM(A294),5)="Leave","Leave",IF(OR(ISNUMBER(SEARCH("public holiday",A294)),ISNUMBER(SEARCH("Purple",E294))),"Public holiday","Event")))</f>
        <v/>
      </c>
    </row>
    <row r="295">
      <c r="G295" s="254">
        <f>IF(C295="","",IF(ISNUMBER(C295),C295,IF(ISNUMBER(VALUE(LEFT(TRIM(C295),1))),TRIM(C295),TRIM(MID(TRIM(C295),FIND(" ",TRIM(C295))+1,99)))))</f>
        <v/>
      </c>
      <c r="H295" s="254">
        <f>IF(D295="","",IF(ISNUMBER(D295),D295,IF(ISNUMBER(VALUE(LEFT(TRIM(D295),1))),TRIM(D295),TRIM(MID(TRIM(D295),FIND(" ",TRIM(D295))+1,99)))))</f>
        <v/>
      </c>
      <c r="I295" s="255">
        <f>IF(G295="",0,IF(ISNUMBER(G295),G295,IFERROR(DATE(VALUE(MID(G295,FIND("/",G295,FIND("/",G295)+1)+1,4)),VALUE(MID(G295,FIND("/",G295)+1,FIND("/",G295,FIND("/",G295)+1)-FIND("/",G295)-1)),VALUE(LEFT(G295,FIND("/",G295)-1)))+IFERROR(TIMEVALUE(TRIM(MID(G295,FIND(" ",G295)+1,20))),0),0)))</f>
        <v/>
      </c>
      <c r="J295" s="255">
        <f>IF(H295="",0,IF(ISNUMBER(H295),H295,IFERROR(DATE(VALUE(MID(H295,FIND("/",H295,FIND("/",H295)+1)+1,4)),VALUE(MID(H295,FIND("/",H295)+1,FIND("/",H295,FIND("/",H295)+1)-FIND("/",H295)-1)),VALUE(LEFT(H295,FIND("/",H295)-1)))+IFERROR(TIMEVALUE(TRIM(MID(H295,FIND(" ",H295)+1,20))),0),0)))</f>
        <v/>
      </c>
      <c r="K295" s="256">
        <f>IF(I295=0,0,INT(I295))</f>
        <v/>
      </c>
      <c r="L295" s="257">
        <f>IF(OR(I295=0,J295=0),0,ROUND((J295-I295)*24,2))</f>
        <v/>
      </c>
      <c r="M295" s="254">
        <f>IFERROR(TRIM(MID(A295,FIND("@",SUBSTITUTE(A295,"(","@",LEN(A295)-LEN(SUBSTITUTE(A295,"(",""))))+1,FIND(")",A295,FIND("@",SUBSTITUTE(A295,"(","@",LEN(A295)-LEN(SUBSTITUTE(A295,"(","")))))-FIND("@",SUBSTITUTE(A295,"(","@",LEN(A295)-LEN(SUBSTITUTE(A295,"(",""))))-1)),"")</f>
        <v/>
      </c>
      <c r="N295" s="254">
        <f>IF(A295="","",IF(LEFT(TRIM(A295),5)="Leave","Leave",IF(OR(ISNUMBER(SEARCH("public holiday",A295)),ISNUMBER(SEARCH("Purple",E295))),"Public holiday","Event")))</f>
        <v/>
      </c>
    </row>
    <row r="296">
      <c r="G296" s="254">
        <f>IF(C296="","",IF(ISNUMBER(C296),C296,IF(ISNUMBER(VALUE(LEFT(TRIM(C296),1))),TRIM(C296),TRIM(MID(TRIM(C296),FIND(" ",TRIM(C296))+1,99)))))</f>
        <v/>
      </c>
      <c r="H296" s="254">
        <f>IF(D296="","",IF(ISNUMBER(D296),D296,IF(ISNUMBER(VALUE(LEFT(TRIM(D296),1))),TRIM(D296),TRIM(MID(TRIM(D296),FIND(" ",TRIM(D296))+1,99)))))</f>
        <v/>
      </c>
      <c r="I296" s="255">
        <f>IF(G296="",0,IF(ISNUMBER(G296),G296,IFERROR(DATE(VALUE(MID(G296,FIND("/",G296,FIND("/",G296)+1)+1,4)),VALUE(MID(G296,FIND("/",G296)+1,FIND("/",G296,FIND("/",G296)+1)-FIND("/",G296)-1)),VALUE(LEFT(G296,FIND("/",G296)-1)))+IFERROR(TIMEVALUE(TRIM(MID(G296,FIND(" ",G296)+1,20))),0),0)))</f>
        <v/>
      </c>
      <c r="J296" s="255">
        <f>IF(H296="",0,IF(ISNUMBER(H296),H296,IFERROR(DATE(VALUE(MID(H296,FIND("/",H296,FIND("/",H296)+1)+1,4)),VALUE(MID(H296,FIND("/",H296)+1,FIND("/",H296,FIND("/",H296)+1)-FIND("/",H296)-1)),VALUE(LEFT(H296,FIND("/",H296)-1)))+IFERROR(TIMEVALUE(TRIM(MID(H296,FIND(" ",H296)+1,20))),0),0)))</f>
        <v/>
      </c>
      <c r="K296" s="256">
        <f>IF(I296=0,0,INT(I296))</f>
        <v/>
      </c>
      <c r="L296" s="257">
        <f>IF(OR(I296=0,J296=0),0,ROUND((J296-I296)*24,2))</f>
        <v/>
      </c>
      <c r="M296" s="254">
        <f>IFERROR(TRIM(MID(A296,FIND("@",SUBSTITUTE(A296,"(","@",LEN(A296)-LEN(SUBSTITUTE(A296,"(",""))))+1,FIND(")",A296,FIND("@",SUBSTITUTE(A296,"(","@",LEN(A296)-LEN(SUBSTITUTE(A296,"(","")))))-FIND("@",SUBSTITUTE(A296,"(","@",LEN(A296)-LEN(SUBSTITUTE(A296,"(",""))))-1)),"")</f>
        <v/>
      </c>
      <c r="N296" s="254">
        <f>IF(A296="","",IF(LEFT(TRIM(A296),5)="Leave","Leave",IF(OR(ISNUMBER(SEARCH("public holiday",A296)),ISNUMBER(SEARCH("Purple",E296))),"Public holiday","Event")))</f>
        <v/>
      </c>
    </row>
    <row r="297">
      <c r="G297" s="254">
        <f>IF(C297="","",IF(ISNUMBER(C297),C297,IF(ISNUMBER(VALUE(LEFT(TRIM(C297),1))),TRIM(C297),TRIM(MID(TRIM(C297),FIND(" ",TRIM(C297))+1,99)))))</f>
        <v/>
      </c>
      <c r="H297" s="254">
        <f>IF(D297="","",IF(ISNUMBER(D297),D297,IF(ISNUMBER(VALUE(LEFT(TRIM(D297),1))),TRIM(D297),TRIM(MID(TRIM(D297),FIND(" ",TRIM(D297))+1,99)))))</f>
        <v/>
      </c>
      <c r="I297" s="255">
        <f>IF(G297="",0,IF(ISNUMBER(G297),G297,IFERROR(DATE(VALUE(MID(G297,FIND("/",G297,FIND("/",G297)+1)+1,4)),VALUE(MID(G297,FIND("/",G297)+1,FIND("/",G297,FIND("/",G297)+1)-FIND("/",G297)-1)),VALUE(LEFT(G297,FIND("/",G297)-1)))+IFERROR(TIMEVALUE(TRIM(MID(G297,FIND(" ",G297)+1,20))),0),0)))</f>
        <v/>
      </c>
      <c r="J297" s="255">
        <f>IF(H297="",0,IF(ISNUMBER(H297),H297,IFERROR(DATE(VALUE(MID(H297,FIND("/",H297,FIND("/",H297)+1)+1,4)),VALUE(MID(H297,FIND("/",H297)+1,FIND("/",H297,FIND("/",H297)+1)-FIND("/",H297)-1)),VALUE(LEFT(H297,FIND("/",H297)-1)))+IFERROR(TIMEVALUE(TRIM(MID(H297,FIND(" ",H297)+1,20))),0),0)))</f>
        <v/>
      </c>
      <c r="K297" s="256">
        <f>IF(I297=0,0,INT(I297))</f>
        <v/>
      </c>
      <c r="L297" s="257">
        <f>IF(OR(I297=0,J297=0),0,ROUND((J297-I297)*24,2))</f>
        <v/>
      </c>
      <c r="M297" s="254">
        <f>IFERROR(TRIM(MID(A297,FIND("@",SUBSTITUTE(A297,"(","@",LEN(A297)-LEN(SUBSTITUTE(A297,"(",""))))+1,FIND(")",A297,FIND("@",SUBSTITUTE(A297,"(","@",LEN(A297)-LEN(SUBSTITUTE(A297,"(","")))))-FIND("@",SUBSTITUTE(A297,"(","@",LEN(A297)-LEN(SUBSTITUTE(A297,"(",""))))-1)),"")</f>
        <v/>
      </c>
      <c r="N297" s="254">
        <f>IF(A297="","",IF(LEFT(TRIM(A297),5)="Leave","Leave",IF(OR(ISNUMBER(SEARCH("public holiday",A297)),ISNUMBER(SEARCH("Purple",E297))),"Public holiday","Event")))</f>
        <v/>
      </c>
    </row>
    <row r="298">
      <c r="G298" s="254">
        <f>IF(C298="","",IF(ISNUMBER(C298),C298,IF(ISNUMBER(VALUE(LEFT(TRIM(C298),1))),TRIM(C298),TRIM(MID(TRIM(C298),FIND(" ",TRIM(C298))+1,99)))))</f>
        <v/>
      </c>
      <c r="H298" s="254">
        <f>IF(D298="","",IF(ISNUMBER(D298),D298,IF(ISNUMBER(VALUE(LEFT(TRIM(D298),1))),TRIM(D298),TRIM(MID(TRIM(D298),FIND(" ",TRIM(D298))+1,99)))))</f>
        <v/>
      </c>
      <c r="I298" s="255">
        <f>IF(G298="",0,IF(ISNUMBER(G298),G298,IFERROR(DATE(VALUE(MID(G298,FIND("/",G298,FIND("/",G298)+1)+1,4)),VALUE(MID(G298,FIND("/",G298)+1,FIND("/",G298,FIND("/",G298)+1)-FIND("/",G298)-1)),VALUE(LEFT(G298,FIND("/",G298)-1)))+IFERROR(TIMEVALUE(TRIM(MID(G298,FIND(" ",G298)+1,20))),0),0)))</f>
        <v/>
      </c>
      <c r="J298" s="255">
        <f>IF(H298="",0,IF(ISNUMBER(H298),H298,IFERROR(DATE(VALUE(MID(H298,FIND("/",H298,FIND("/",H298)+1)+1,4)),VALUE(MID(H298,FIND("/",H298)+1,FIND("/",H298,FIND("/",H298)+1)-FIND("/",H298)-1)),VALUE(LEFT(H298,FIND("/",H298)-1)))+IFERROR(TIMEVALUE(TRIM(MID(H298,FIND(" ",H298)+1,20))),0),0)))</f>
        <v/>
      </c>
      <c r="K298" s="256">
        <f>IF(I298=0,0,INT(I298))</f>
        <v/>
      </c>
      <c r="L298" s="257">
        <f>IF(OR(I298=0,J298=0),0,ROUND((J298-I298)*24,2))</f>
        <v/>
      </c>
      <c r="M298" s="254">
        <f>IFERROR(TRIM(MID(A298,FIND("@",SUBSTITUTE(A298,"(","@",LEN(A298)-LEN(SUBSTITUTE(A298,"(",""))))+1,FIND(")",A298,FIND("@",SUBSTITUTE(A298,"(","@",LEN(A298)-LEN(SUBSTITUTE(A298,"(","")))))-FIND("@",SUBSTITUTE(A298,"(","@",LEN(A298)-LEN(SUBSTITUTE(A298,"(",""))))-1)),"")</f>
        <v/>
      </c>
      <c r="N298" s="254">
        <f>IF(A298="","",IF(LEFT(TRIM(A298),5)="Leave","Leave",IF(OR(ISNUMBER(SEARCH("public holiday",A298)),ISNUMBER(SEARCH("Purple",E298))),"Public holiday","Event")))</f>
        <v/>
      </c>
    </row>
    <row r="299">
      <c r="G299" s="254">
        <f>IF(C299="","",IF(ISNUMBER(C299),C299,IF(ISNUMBER(VALUE(LEFT(TRIM(C299),1))),TRIM(C299),TRIM(MID(TRIM(C299),FIND(" ",TRIM(C299))+1,99)))))</f>
        <v/>
      </c>
      <c r="H299" s="254">
        <f>IF(D299="","",IF(ISNUMBER(D299),D299,IF(ISNUMBER(VALUE(LEFT(TRIM(D299),1))),TRIM(D299),TRIM(MID(TRIM(D299),FIND(" ",TRIM(D299))+1,99)))))</f>
        <v/>
      </c>
      <c r="I299" s="255">
        <f>IF(G299="",0,IF(ISNUMBER(G299),G299,IFERROR(DATE(VALUE(MID(G299,FIND("/",G299,FIND("/",G299)+1)+1,4)),VALUE(MID(G299,FIND("/",G299)+1,FIND("/",G299,FIND("/",G299)+1)-FIND("/",G299)-1)),VALUE(LEFT(G299,FIND("/",G299)-1)))+IFERROR(TIMEVALUE(TRIM(MID(G299,FIND(" ",G299)+1,20))),0),0)))</f>
        <v/>
      </c>
      <c r="J299" s="255">
        <f>IF(H299="",0,IF(ISNUMBER(H299),H299,IFERROR(DATE(VALUE(MID(H299,FIND("/",H299,FIND("/",H299)+1)+1,4)),VALUE(MID(H299,FIND("/",H299)+1,FIND("/",H299,FIND("/",H299)+1)-FIND("/",H299)-1)),VALUE(LEFT(H299,FIND("/",H299)-1)))+IFERROR(TIMEVALUE(TRIM(MID(H299,FIND(" ",H299)+1,20))),0),0)))</f>
        <v/>
      </c>
      <c r="K299" s="256">
        <f>IF(I299=0,0,INT(I299))</f>
        <v/>
      </c>
      <c r="L299" s="257">
        <f>IF(OR(I299=0,J299=0),0,ROUND((J299-I299)*24,2))</f>
        <v/>
      </c>
      <c r="M299" s="254">
        <f>IFERROR(TRIM(MID(A299,FIND("@",SUBSTITUTE(A299,"(","@",LEN(A299)-LEN(SUBSTITUTE(A299,"(",""))))+1,FIND(")",A299,FIND("@",SUBSTITUTE(A299,"(","@",LEN(A299)-LEN(SUBSTITUTE(A299,"(","")))))-FIND("@",SUBSTITUTE(A299,"(","@",LEN(A299)-LEN(SUBSTITUTE(A299,"(",""))))-1)),"")</f>
        <v/>
      </c>
      <c r="N299" s="254">
        <f>IF(A299="","",IF(LEFT(TRIM(A299),5)="Leave","Leave",IF(OR(ISNUMBER(SEARCH("public holiday",A299)),ISNUMBER(SEARCH("Purple",E299))),"Public holiday","Event")))</f>
        <v/>
      </c>
    </row>
    <row r="300">
      <c r="G300" s="254">
        <f>IF(C300="","",IF(ISNUMBER(C300),C300,IF(ISNUMBER(VALUE(LEFT(TRIM(C300),1))),TRIM(C300),TRIM(MID(TRIM(C300),FIND(" ",TRIM(C300))+1,99)))))</f>
        <v/>
      </c>
      <c r="H300" s="254">
        <f>IF(D300="","",IF(ISNUMBER(D300),D300,IF(ISNUMBER(VALUE(LEFT(TRIM(D300),1))),TRIM(D300),TRIM(MID(TRIM(D300),FIND(" ",TRIM(D300))+1,99)))))</f>
        <v/>
      </c>
      <c r="I300" s="255">
        <f>IF(G300="",0,IF(ISNUMBER(G300),G300,IFERROR(DATE(VALUE(MID(G300,FIND("/",G300,FIND("/",G300)+1)+1,4)),VALUE(MID(G300,FIND("/",G300)+1,FIND("/",G300,FIND("/",G300)+1)-FIND("/",G300)-1)),VALUE(LEFT(G300,FIND("/",G300)-1)))+IFERROR(TIMEVALUE(TRIM(MID(G300,FIND(" ",G300)+1,20))),0),0)))</f>
        <v/>
      </c>
      <c r="J300" s="255">
        <f>IF(H300="",0,IF(ISNUMBER(H300),H300,IFERROR(DATE(VALUE(MID(H300,FIND("/",H300,FIND("/",H300)+1)+1,4)),VALUE(MID(H300,FIND("/",H300)+1,FIND("/",H300,FIND("/",H300)+1)-FIND("/",H300)-1)),VALUE(LEFT(H300,FIND("/",H300)-1)))+IFERROR(TIMEVALUE(TRIM(MID(H300,FIND(" ",H300)+1,20))),0),0)))</f>
        <v/>
      </c>
      <c r="K300" s="256">
        <f>IF(I300=0,0,INT(I300))</f>
        <v/>
      </c>
      <c r="L300" s="257">
        <f>IF(OR(I300=0,J300=0),0,ROUND((J300-I300)*24,2))</f>
        <v/>
      </c>
      <c r="M300" s="254">
        <f>IFERROR(TRIM(MID(A300,FIND("@",SUBSTITUTE(A300,"(","@",LEN(A300)-LEN(SUBSTITUTE(A300,"(",""))))+1,FIND(")",A300,FIND("@",SUBSTITUTE(A300,"(","@",LEN(A300)-LEN(SUBSTITUTE(A300,"(","")))))-FIND("@",SUBSTITUTE(A300,"(","@",LEN(A300)-LEN(SUBSTITUTE(A300,"(",""))))-1)),"")</f>
        <v/>
      </c>
      <c r="N300" s="254">
        <f>IF(A300="","",IF(LEFT(TRIM(A300),5)="Leave","Leave",IF(OR(ISNUMBER(SEARCH("public holiday",A300)),ISNUMBER(SEARCH("Purple",E300))),"Public holiday","Event")))</f>
        <v/>
      </c>
    </row>
    <row r="301">
      <c r="G301" s="254">
        <f>IF(C301="","",IF(ISNUMBER(C301),C301,IF(ISNUMBER(VALUE(LEFT(TRIM(C301),1))),TRIM(C301),TRIM(MID(TRIM(C301),FIND(" ",TRIM(C301))+1,99)))))</f>
        <v/>
      </c>
      <c r="H301" s="254">
        <f>IF(D301="","",IF(ISNUMBER(D301),D301,IF(ISNUMBER(VALUE(LEFT(TRIM(D301),1))),TRIM(D301),TRIM(MID(TRIM(D301),FIND(" ",TRIM(D301))+1,99)))))</f>
        <v/>
      </c>
      <c r="I301" s="255">
        <f>IF(G301="",0,IF(ISNUMBER(G301),G301,IFERROR(DATE(VALUE(MID(G301,FIND("/",G301,FIND("/",G301)+1)+1,4)),VALUE(MID(G301,FIND("/",G301)+1,FIND("/",G301,FIND("/",G301)+1)-FIND("/",G301)-1)),VALUE(LEFT(G301,FIND("/",G301)-1)))+IFERROR(TIMEVALUE(TRIM(MID(G301,FIND(" ",G301)+1,20))),0),0)))</f>
        <v/>
      </c>
      <c r="J301" s="255">
        <f>IF(H301="",0,IF(ISNUMBER(H301),H301,IFERROR(DATE(VALUE(MID(H301,FIND("/",H301,FIND("/",H301)+1)+1,4)),VALUE(MID(H301,FIND("/",H301)+1,FIND("/",H301,FIND("/",H301)+1)-FIND("/",H301)-1)),VALUE(LEFT(H301,FIND("/",H301)-1)))+IFERROR(TIMEVALUE(TRIM(MID(H301,FIND(" ",H301)+1,20))),0),0)))</f>
        <v/>
      </c>
      <c r="K301" s="256">
        <f>IF(I301=0,0,INT(I301))</f>
        <v/>
      </c>
      <c r="L301" s="257">
        <f>IF(OR(I301=0,J301=0),0,ROUND((J301-I301)*24,2))</f>
        <v/>
      </c>
      <c r="M301" s="254">
        <f>IFERROR(TRIM(MID(A301,FIND("@",SUBSTITUTE(A301,"(","@",LEN(A301)-LEN(SUBSTITUTE(A301,"(",""))))+1,FIND(")",A301,FIND("@",SUBSTITUTE(A301,"(","@",LEN(A301)-LEN(SUBSTITUTE(A301,"(","")))))-FIND("@",SUBSTITUTE(A301,"(","@",LEN(A301)-LEN(SUBSTITUTE(A301,"(",""))))-1)),"")</f>
        <v/>
      </c>
      <c r="N301" s="254">
        <f>IF(A301="","",IF(LEFT(TRIM(A301),5)="Leave","Leave",IF(OR(ISNUMBER(SEARCH("public holiday",A301)),ISNUMBER(SEARCH("Purple",E301))),"Public holiday","Event")))</f>
        <v/>
      </c>
    </row>
    <row r="302">
      <c r="G302" s="254">
        <f>IF(C302="","",IF(ISNUMBER(C302),C302,IF(ISNUMBER(VALUE(LEFT(TRIM(C302),1))),TRIM(C302),TRIM(MID(TRIM(C302),FIND(" ",TRIM(C302))+1,99)))))</f>
        <v/>
      </c>
      <c r="H302" s="254">
        <f>IF(D302="","",IF(ISNUMBER(D302),D302,IF(ISNUMBER(VALUE(LEFT(TRIM(D302),1))),TRIM(D302),TRIM(MID(TRIM(D302),FIND(" ",TRIM(D302))+1,99)))))</f>
        <v/>
      </c>
      <c r="I302" s="255">
        <f>IF(G302="",0,IF(ISNUMBER(G302),G302,IFERROR(DATE(VALUE(MID(G302,FIND("/",G302,FIND("/",G302)+1)+1,4)),VALUE(MID(G302,FIND("/",G302)+1,FIND("/",G302,FIND("/",G302)+1)-FIND("/",G302)-1)),VALUE(LEFT(G302,FIND("/",G302)-1)))+IFERROR(TIMEVALUE(TRIM(MID(G302,FIND(" ",G302)+1,20))),0),0)))</f>
        <v/>
      </c>
      <c r="J302" s="255">
        <f>IF(H302="",0,IF(ISNUMBER(H302),H302,IFERROR(DATE(VALUE(MID(H302,FIND("/",H302,FIND("/",H302)+1)+1,4)),VALUE(MID(H302,FIND("/",H302)+1,FIND("/",H302,FIND("/",H302)+1)-FIND("/",H302)-1)),VALUE(LEFT(H302,FIND("/",H302)-1)))+IFERROR(TIMEVALUE(TRIM(MID(H302,FIND(" ",H302)+1,20))),0),0)))</f>
        <v/>
      </c>
      <c r="K302" s="256">
        <f>IF(I302=0,0,INT(I302))</f>
        <v/>
      </c>
      <c r="L302" s="257">
        <f>IF(OR(I302=0,J302=0),0,ROUND((J302-I302)*24,2))</f>
        <v/>
      </c>
      <c r="M302" s="254">
        <f>IFERROR(TRIM(MID(A302,FIND("@",SUBSTITUTE(A302,"(","@",LEN(A302)-LEN(SUBSTITUTE(A302,"(",""))))+1,FIND(")",A302,FIND("@",SUBSTITUTE(A302,"(","@",LEN(A302)-LEN(SUBSTITUTE(A302,"(","")))))-FIND("@",SUBSTITUTE(A302,"(","@",LEN(A302)-LEN(SUBSTITUTE(A302,"(",""))))-1)),"")</f>
        <v/>
      </c>
      <c r="N302" s="254">
        <f>IF(A302="","",IF(LEFT(TRIM(A302),5)="Leave","Leave",IF(OR(ISNUMBER(SEARCH("public holiday",A302)),ISNUMBER(SEARCH("Purple",E302))),"Public holiday","Event")))</f>
        <v/>
      </c>
    </row>
    <row r="303">
      <c r="G303" s="254">
        <f>IF(C303="","",IF(ISNUMBER(C303),C303,IF(ISNUMBER(VALUE(LEFT(TRIM(C303),1))),TRIM(C303),TRIM(MID(TRIM(C303),FIND(" ",TRIM(C303))+1,99)))))</f>
        <v/>
      </c>
      <c r="H303" s="254">
        <f>IF(D303="","",IF(ISNUMBER(D303),D303,IF(ISNUMBER(VALUE(LEFT(TRIM(D303),1))),TRIM(D303),TRIM(MID(TRIM(D303),FIND(" ",TRIM(D303))+1,99)))))</f>
        <v/>
      </c>
      <c r="I303" s="255">
        <f>IF(G303="",0,IF(ISNUMBER(G303),G303,IFERROR(DATE(VALUE(MID(G303,FIND("/",G303,FIND("/",G303)+1)+1,4)),VALUE(MID(G303,FIND("/",G303)+1,FIND("/",G303,FIND("/",G303)+1)-FIND("/",G303)-1)),VALUE(LEFT(G303,FIND("/",G303)-1)))+IFERROR(TIMEVALUE(TRIM(MID(G303,FIND(" ",G303)+1,20))),0),0)))</f>
        <v/>
      </c>
      <c r="J303" s="255">
        <f>IF(H303="",0,IF(ISNUMBER(H303),H303,IFERROR(DATE(VALUE(MID(H303,FIND("/",H303,FIND("/",H303)+1)+1,4)),VALUE(MID(H303,FIND("/",H303)+1,FIND("/",H303,FIND("/",H303)+1)-FIND("/",H303)-1)),VALUE(LEFT(H303,FIND("/",H303)-1)))+IFERROR(TIMEVALUE(TRIM(MID(H303,FIND(" ",H303)+1,20))),0),0)))</f>
        <v/>
      </c>
      <c r="K303" s="256">
        <f>IF(I303=0,0,INT(I303))</f>
        <v/>
      </c>
      <c r="L303" s="257">
        <f>IF(OR(I303=0,J303=0),0,ROUND((J303-I303)*24,2))</f>
        <v/>
      </c>
      <c r="M303" s="254">
        <f>IFERROR(TRIM(MID(A303,FIND("@",SUBSTITUTE(A303,"(","@",LEN(A303)-LEN(SUBSTITUTE(A303,"(",""))))+1,FIND(")",A303,FIND("@",SUBSTITUTE(A303,"(","@",LEN(A303)-LEN(SUBSTITUTE(A303,"(","")))))-FIND("@",SUBSTITUTE(A303,"(","@",LEN(A303)-LEN(SUBSTITUTE(A303,"(",""))))-1)),"")</f>
        <v/>
      </c>
      <c r="N303" s="254">
        <f>IF(A303="","",IF(LEFT(TRIM(A303),5)="Leave","Leave",IF(OR(ISNUMBER(SEARCH("public holiday",A303)),ISNUMBER(SEARCH("Purple",E303))),"Public holiday","Event")))</f>
        <v/>
      </c>
    </row>
    <row r="304">
      <c r="G304" s="254">
        <f>IF(C304="","",IF(ISNUMBER(C304),C304,IF(ISNUMBER(VALUE(LEFT(TRIM(C304),1))),TRIM(C304),TRIM(MID(TRIM(C304),FIND(" ",TRIM(C304))+1,99)))))</f>
        <v/>
      </c>
      <c r="H304" s="254">
        <f>IF(D304="","",IF(ISNUMBER(D304),D304,IF(ISNUMBER(VALUE(LEFT(TRIM(D304),1))),TRIM(D304),TRIM(MID(TRIM(D304),FIND(" ",TRIM(D304))+1,99)))))</f>
        <v/>
      </c>
      <c r="I304" s="255">
        <f>IF(G304="",0,IF(ISNUMBER(G304),G304,IFERROR(DATE(VALUE(MID(G304,FIND("/",G304,FIND("/",G304)+1)+1,4)),VALUE(MID(G304,FIND("/",G304)+1,FIND("/",G304,FIND("/",G304)+1)-FIND("/",G304)-1)),VALUE(LEFT(G304,FIND("/",G304)-1)))+IFERROR(TIMEVALUE(TRIM(MID(G304,FIND(" ",G304)+1,20))),0),0)))</f>
        <v/>
      </c>
      <c r="J304" s="255">
        <f>IF(H304="",0,IF(ISNUMBER(H304),H304,IFERROR(DATE(VALUE(MID(H304,FIND("/",H304,FIND("/",H304)+1)+1,4)),VALUE(MID(H304,FIND("/",H304)+1,FIND("/",H304,FIND("/",H304)+1)-FIND("/",H304)-1)),VALUE(LEFT(H304,FIND("/",H304)-1)))+IFERROR(TIMEVALUE(TRIM(MID(H304,FIND(" ",H304)+1,20))),0),0)))</f>
        <v/>
      </c>
      <c r="K304" s="256">
        <f>IF(I304=0,0,INT(I304))</f>
        <v/>
      </c>
      <c r="L304" s="257">
        <f>IF(OR(I304=0,J304=0),0,ROUND((J304-I304)*24,2))</f>
        <v/>
      </c>
      <c r="M304" s="254">
        <f>IFERROR(TRIM(MID(A304,FIND("@",SUBSTITUTE(A304,"(","@",LEN(A304)-LEN(SUBSTITUTE(A304,"(",""))))+1,FIND(")",A304,FIND("@",SUBSTITUTE(A304,"(","@",LEN(A304)-LEN(SUBSTITUTE(A304,"(","")))))-FIND("@",SUBSTITUTE(A304,"(","@",LEN(A304)-LEN(SUBSTITUTE(A304,"(",""))))-1)),"")</f>
        <v/>
      </c>
      <c r="N304" s="254">
        <f>IF(A304="","",IF(LEFT(TRIM(A304),5)="Leave","Leave",IF(OR(ISNUMBER(SEARCH("public holiday",A304)),ISNUMBER(SEARCH("Purple",E304))),"Public holiday","Event")))</f>
        <v/>
      </c>
    </row>
    <row r="305">
      <c r="G305" s="254">
        <f>IF(C305="","",IF(ISNUMBER(C305),C305,IF(ISNUMBER(VALUE(LEFT(TRIM(C305),1))),TRIM(C305),TRIM(MID(TRIM(C305),FIND(" ",TRIM(C305))+1,99)))))</f>
        <v/>
      </c>
      <c r="H305" s="254">
        <f>IF(D305="","",IF(ISNUMBER(D305),D305,IF(ISNUMBER(VALUE(LEFT(TRIM(D305),1))),TRIM(D305),TRIM(MID(TRIM(D305),FIND(" ",TRIM(D305))+1,99)))))</f>
        <v/>
      </c>
      <c r="I305" s="255">
        <f>IF(G305="",0,IF(ISNUMBER(G305),G305,IFERROR(DATE(VALUE(MID(G305,FIND("/",G305,FIND("/",G305)+1)+1,4)),VALUE(MID(G305,FIND("/",G305)+1,FIND("/",G305,FIND("/",G305)+1)-FIND("/",G305)-1)),VALUE(LEFT(G305,FIND("/",G305)-1)))+IFERROR(TIMEVALUE(TRIM(MID(G305,FIND(" ",G305)+1,20))),0),0)))</f>
        <v/>
      </c>
      <c r="J305" s="255">
        <f>IF(H305="",0,IF(ISNUMBER(H305),H305,IFERROR(DATE(VALUE(MID(H305,FIND("/",H305,FIND("/",H305)+1)+1,4)),VALUE(MID(H305,FIND("/",H305)+1,FIND("/",H305,FIND("/",H305)+1)-FIND("/",H305)-1)),VALUE(LEFT(H305,FIND("/",H305)-1)))+IFERROR(TIMEVALUE(TRIM(MID(H305,FIND(" ",H305)+1,20))),0),0)))</f>
        <v/>
      </c>
      <c r="K305" s="256">
        <f>IF(I305=0,0,INT(I305))</f>
        <v/>
      </c>
      <c r="L305" s="257">
        <f>IF(OR(I305=0,J305=0),0,ROUND((J305-I305)*24,2))</f>
        <v/>
      </c>
      <c r="M305" s="254">
        <f>IFERROR(TRIM(MID(A305,FIND("@",SUBSTITUTE(A305,"(","@",LEN(A305)-LEN(SUBSTITUTE(A305,"(",""))))+1,FIND(")",A305,FIND("@",SUBSTITUTE(A305,"(","@",LEN(A305)-LEN(SUBSTITUTE(A305,"(","")))))-FIND("@",SUBSTITUTE(A305,"(","@",LEN(A305)-LEN(SUBSTITUTE(A305,"(",""))))-1)),"")</f>
        <v/>
      </c>
      <c r="N305" s="254">
        <f>IF(A305="","",IF(LEFT(TRIM(A305),5)="Leave","Leave",IF(OR(ISNUMBER(SEARCH("public holiday",A305)),ISNUMBER(SEARCH("Purple",E305))),"Public holiday","Event")))</f>
        <v/>
      </c>
    </row>
    <row r="306">
      <c r="G306" s="254">
        <f>IF(C306="","",IF(ISNUMBER(C306),C306,IF(ISNUMBER(VALUE(LEFT(TRIM(C306),1))),TRIM(C306),TRIM(MID(TRIM(C306),FIND(" ",TRIM(C306))+1,99)))))</f>
        <v/>
      </c>
      <c r="H306" s="254">
        <f>IF(D306="","",IF(ISNUMBER(D306),D306,IF(ISNUMBER(VALUE(LEFT(TRIM(D306),1))),TRIM(D306),TRIM(MID(TRIM(D306),FIND(" ",TRIM(D306))+1,99)))))</f>
        <v/>
      </c>
      <c r="I306" s="255">
        <f>IF(G306="",0,IF(ISNUMBER(G306),G306,IFERROR(DATE(VALUE(MID(G306,FIND("/",G306,FIND("/",G306)+1)+1,4)),VALUE(MID(G306,FIND("/",G306)+1,FIND("/",G306,FIND("/",G306)+1)-FIND("/",G306)-1)),VALUE(LEFT(G306,FIND("/",G306)-1)))+IFERROR(TIMEVALUE(TRIM(MID(G306,FIND(" ",G306)+1,20))),0),0)))</f>
        <v/>
      </c>
      <c r="J306" s="255">
        <f>IF(H306="",0,IF(ISNUMBER(H306),H306,IFERROR(DATE(VALUE(MID(H306,FIND("/",H306,FIND("/",H306)+1)+1,4)),VALUE(MID(H306,FIND("/",H306)+1,FIND("/",H306,FIND("/",H306)+1)-FIND("/",H306)-1)),VALUE(LEFT(H306,FIND("/",H306)-1)))+IFERROR(TIMEVALUE(TRIM(MID(H306,FIND(" ",H306)+1,20))),0),0)))</f>
        <v/>
      </c>
      <c r="K306" s="256">
        <f>IF(I306=0,0,INT(I306))</f>
        <v/>
      </c>
      <c r="L306" s="257">
        <f>IF(OR(I306=0,J306=0),0,ROUND((J306-I306)*24,2))</f>
        <v/>
      </c>
      <c r="M306" s="254">
        <f>IFERROR(TRIM(MID(A306,FIND("@",SUBSTITUTE(A306,"(","@",LEN(A306)-LEN(SUBSTITUTE(A306,"(",""))))+1,FIND(")",A306,FIND("@",SUBSTITUTE(A306,"(","@",LEN(A306)-LEN(SUBSTITUTE(A306,"(","")))))-FIND("@",SUBSTITUTE(A306,"(","@",LEN(A306)-LEN(SUBSTITUTE(A306,"(",""))))-1)),"")</f>
        <v/>
      </c>
      <c r="N306" s="254">
        <f>IF(A306="","",IF(LEFT(TRIM(A306),5)="Leave","Leave",IF(OR(ISNUMBER(SEARCH("public holiday",A306)),ISNUMBER(SEARCH("Purple",E306))),"Public holiday","Event")))</f>
        <v/>
      </c>
    </row>
    <row r="307">
      <c r="G307" s="254">
        <f>IF(C307="","",IF(ISNUMBER(C307),C307,IF(ISNUMBER(VALUE(LEFT(TRIM(C307),1))),TRIM(C307),TRIM(MID(TRIM(C307),FIND(" ",TRIM(C307))+1,99)))))</f>
        <v/>
      </c>
      <c r="H307" s="254">
        <f>IF(D307="","",IF(ISNUMBER(D307),D307,IF(ISNUMBER(VALUE(LEFT(TRIM(D307),1))),TRIM(D307),TRIM(MID(TRIM(D307),FIND(" ",TRIM(D307))+1,99)))))</f>
        <v/>
      </c>
      <c r="I307" s="255">
        <f>IF(G307="",0,IF(ISNUMBER(G307),G307,IFERROR(DATE(VALUE(MID(G307,FIND("/",G307,FIND("/",G307)+1)+1,4)),VALUE(MID(G307,FIND("/",G307)+1,FIND("/",G307,FIND("/",G307)+1)-FIND("/",G307)-1)),VALUE(LEFT(G307,FIND("/",G307)-1)))+IFERROR(TIMEVALUE(TRIM(MID(G307,FIND(" ",G307)+1,20))),0),0)))</f>
        <v/>
      </c>
      <c r="J307" s="255">
        <f>IF(H307="",0,IF(ISNUMBER(H307),H307,IFERROR(DATE(VALUE(MID(H307,FIND("/",H307,FIND("/",H307)+1)+1,4)),VALUE(MID(H307,FIND("/",H307)+1,FIND("/",H307,FIND("/",H307)+1)-FIND("/",H307)-1)),VALUE(LEFT(H307,FIND("/",H307)-1)))+IFERROR(TIMEVALUE(TRIM(MID(H307,FIND(" ",H307)+1,20))),0),0)))</f>
        <v/>
      </c>
      <c r="K307" s="256">
        <f>IF(I307=0,0,INT(I307))</f>
        <v/>
      </c>
      <c r="L307" s="257">
        <f>IF(OR(I307=0,J307=0),0,ROUND((J307-I307)*24,2))</f>
        <v/>
      </c>
      <c r="M307" s="254">
        <f>IFERROR(TRIM(MID(A307,FIND("@",SUBSTITUTE(A307,"(","@",LEN(A307)-LEN(SUBSTITUTE(A307,"(",""))))+1,FIND(")",A307,FIND("@",SUBSTITUTE(A307,"(","@",LEN(A307)-LEN(SUBSTITUTE(A307,"(","")))))-FIND("@",SUBSTITUTE(A307,"(","@",LEN(A307)-LEN(SUBSTITUTE(A307,"(",""))))-1)),"")</f>
        <v/>
      </c>
      <c r="N307" s="254">
        <f>IF(A307="","",IF(LEFT(TRIM(A307),5)="Leave","Leave",IF(OR(ISNUMBER(SEARCH("public holiday",A307)),ISNUMBER(SEARCH("Purple",E307))),"Public holiday","Event")))</f>
        <v/>
      </c>
    </row>
    <row r="308">
      <c r="G308" s="254">
        <f>IF(C308="","",IF(ISNUMBER(C308),C308,IF(ISNUMBER(VALUE(LEFT(TRIM(C308),1))),TRIM(C308),TRIM(MID(TRIM(C308),FIND(" ",TRIM(C308))+1,99)))))</f>
        <v/>
      </c>
      <c r="H308" s="254">
        <f>IF(D308="","",IF(ISNUMBER(D308),D308,IF(ISNUMBER(VALUE(LEFT(TRIM(D308),1))),TRIM(D308),TRIM(MID(TRIM(D308),FIND(" ",TRIM(D308))+1,99)))))</f>
        <v/>
      </c>
      <c r="I308" s="255">
        <f>IF(G308="",0,IF(ISNUMBER(G308),G308,IFERROR(DATE(VALUE(MID(G308,FIND("/",G308,FIND("/",G308)+1)+1,4)),VALUE(MID(G308,FIND("/",G308)+1,FIND("/",G308,FIND("/",G308)+1)-FIND("/",G308)-1)),VALUE(LEFT(G308,FIND("/",G308)-1)))+IFERROR(TIMEVALUE(TRIM(MID(G308,FIND(" ",G308)+1,20))),0),0)))</f>
        <v/>
      </c>
      <c r="J308" s="255">
        <f>IF(H308="",0,IF(ISNUMBER(H308),H308,IFERROR(DATE(VALUE(MID(H308,FIND("/",H308,FIND("/",H308)+1)+1,4)),VALUE(MID(H308,FIND("/",H308)+1,FIND("/",H308,FIND("/",H308)+1)-FIND("/",H308)-1)),VALUE(LEFT(H308,FIND("/",H308)-1)))+IFERROR(TIMEVALUE(TRIM(MID(H308,FIND(" ",H308)+1,20))),0),0)))</f>
        <v/>
      </c>
      <c r="K308" s="256">
        <f>IF(I308=0,0,INT(I308))</f>
        <v/>
      </c>
      <c r="L308" s="257">
        <f>IF(OR(I308=0,J308=0),0,ROUND((J308-I308)*24,2))</f>
        <v/>
      </c>
      <c r="M308" s="254">
        <f>IFERROR(TRIM(MID(A308,FIND("@",SUBSTITUTE(A308,"(","@",LEN(A308)-LEN(SUBSTITUTE(A308,"(",""))))+1,FIND(")",A308,FIND("@",SUBSTITUTE(A308,"(","@",LEN(A308)-LEN(SUBSTITUTE(A308,"(","")))))-FIND("@",SUBSTITUTE(A308,"(","@",LEN(A308)-LEN(SUBSTITUTE(A308,"(",""))))-1)),"")</f>
        <v/>
      </c>
      <c r="N308" s="254">
        <f>IF(A308="","",IF(LEFT(TRIM(A308),5)="Leave","Leave",IF(OR(ISNUMBER(SEARCH("public holiday",A308)),ISNUMBER(SEARCH("Purple",E308))),"Public holiday","Event")))</f>
        <v/>
      </c>
    </row>
    <row r="309">
      <c r="G309" s="254">
        <f>IF(C309="","",IF(ISNUMBER(C309),C309,IF(ISNUMBER(VALUE(LEFT(TRIM(C309),1))),TRIM(C309),TRIM(MID(TRIM(C309),FIND(" ",TRIM(C309))+1,99)))))</f>
        <v/>
      </c>
      <c r="H309" s="254">
        <f>IF(D309="","",IF(ISNUMBER(D309),D309,IF(ISNUMBER(VALUE(LEFT(TRIM(D309),1))),TRIM(D309),TRIM(MID(TRIM(D309),FIND(" ",TRIM(D309))+1,99)))))</f>
        <v/>
      </c>
      <c r="I309" s="255">
        <f>IF(G309="",0,IF(ISNUMBER(G309),G309,IFERROR(DATE(VALUE(MID(G309,FIND("/",G309,FIND("/",G309)+1)+1,4)),VALUE(MID(G309,FIND("/",G309)+1,FIND("/",G309,FIND("/",G309)+1)-FIND("/",G309)-1)),VALUE(LEFT(G309,FIND("/",G309)-1)))+IFERROR(TIMEVALUE(TRIM(MID(G309,FIND(" ",G309)+1,20))),0),0)))</f>
        <v/>
      </c>
      <c r="J309" s="255">
        <f>IF(H309="",0,IF(ISNUMBER(H309),H309,IFERROR(DATE(VALUE(MID(H309,FIND("/",H309,FIND("/",H309)+1)+1,4)),VALUE(MID(H309,FIND("/",H309)+1,FIND("/",H309,FIND("/",H309)+1)-FIND("/",H309)-1)),VALUE(LEFT(H309,FIND("/",H309)-1)))+IFERROR(TIMEVALUE(TRIM(MID(H309,FIND(" ",H309)+1,20))),0),0)))</f>
        <v/>
      </c>
      <c r="K309" s="256">
        <f>IF(I309=0,0,INT(I309))</f>
        <v/>
      </c>
      <c r="L309" s="257">
        <f>IF(OR(I309=0,J309=0),0,ROUND((J309-I309)*24,2))</f>
        <v/>
      </c>
      <c r="M309" s="254">
        <f>IFERROR(TRIM(MID(A309,FIND("@",SUBSTITUTE(A309,"(","@",LEN(A309)-LEN(SUBSTITUTE(A309,"(",""))))+1,FIND(")",A309,FIND("@",SUBSTITUTE(A309,"(","@",LEN(A309)-LEN(SUBSTITUTE(A309,"(","")))))-FIND("@",SUBSTITUTE(A309,"(","@",LEN(A309)-LEN(SUBSTITUTE(A309,"(",""))))-1)),"")</f>
        <v/>
      </c>
      <c r="N309" s="254">
        <f>IF(A309="","",IF(LEFT(TRIM(A309),5)="Leave","Leave",IF(OR(ISNUMBER(SEARCH("public holiday",A309)),ISNUMBER(SEARCH("Purple",E309))),"Public holiday","Event")))</f>
        <v/>
      </c>
    </row>
    <row r="310">
      <c r="G310" s="254">
        <f>IF(C310="","",IF(ISNUMBER(C310),C310,IF(ISNUMBER(VALUE(LEFT(TRIM(C310),1))),TRIM(C310),TRIM(MID(TRIM(C310),FIND(" ",TRIM(C310))+1,99)))))</f>
        <v/>
      </c>
      <c r="H310" s="254">
        <f>IF(D310="","",IF(ISNUMBER(D310),D310,IF(ISNUMBER(VALUE(LEFT(TRIM(D310),1))),TRIM(D310),TRIM(MID(TRIM(D310),FIND(" ",TRIM(D310))+1,99)))))</f>
        <v/>
      </c>
      <c r="I310" s="255">
        <f>IF(G310="",0,IF(ISNUMBER(G310),G310,IFERROR(DATE(VALUE(MID(G310,FIND("/",G310,FIND("/",G310)+1)+1,4)),VALUE(MID(G310,FIND("/",G310)+1,FIND("/",G310,FIND("/",G310)+1)-FIND("/",G310)-1)),VALUE(LEFT(G310,FIND("/",G310)-1)))+IFERROR(TIMEVALUE(TRIM(MID(G310,FIND(" ",G310)+1,20))),0),0)))</f>
        <v/>
      </c>
      <c r="J310" s="255">
        <f>IF(H310="",0,IF(ISNUMBER(H310),H310,IFERROR(DATE(VALUE(MID(H310,FIND("/",H310,FIND("/",H310)+1)+1,4)),VALUE(MID(H310,FIND("/",H310)+1,FIND("/",H310,FIND("/",H310)+1)-FIND("/",H310)-1)),VALUE(LEFT(H310,FIND("/",H310)-1)))+IFERROR(TIMEVALUE(TRIM(MID(H310,FIND(" ",H310)+1,20))),0),0)))</f>
        <v/>
      </c>
      <c r="K310" s="256">
        <f>IF(I310=0,0,INT(I310))</f>
        <v/>
      </c>
      <c r="L310" s="257">
        <f>IF(OR(I310=0,J310=0),0,ROUND((J310-I310)*24,2))</f>
        <v/>
      </c>
      <c r="M310" s="254">
        <f>IFERROR(TRIM(MID(A310,FIND("@",SUBSTITUTE(A310,"(","@",LEN(A310)-LEN(SUBSTITUTE(A310,"(",""))))+1,FIND(")",A310,FIND("@",SUBSTITUTE(A310,"(","@",LEN(A310)-LEN(SUBSTITUTE(A310,"(","")))))-FIND("@",SUBSTITUTE(A310,"(","@",LEN(A310)-LEN(SUBSTITUTE(A310,"(",""))))-1)),"")</f>
        <v/>
      </c>
      <c r="N310" s="254">
        <f>IF(A310="","",IF(LEFT(TRIM(A310),5)="Leave","Leave",IF(OR(ISNUMBER(SEARCH("public holiday",A310)),ISNUMBER(SEARCH("Purple",E310))),"Public holiday","Event")))</f>
        <v/>
      </c>
    </row>
    <row r="311">
      <c r="G311" s="254">
        <f>IF(C311="","",IF(ISNUMBER(C311),C311,IF(ISNUMBER(VALUE(LEFT(TRIM(C311),1))),TRIM(C311),TRIM(MID(TRIM(C311),FIND(" ",TRIM(C311))+1,99)))))</f>
        <v/>
      </c>
      <c r="H311" s="254">
        <f>IF(D311="","",IF(ISNUMBER(D311),D311,IF(ISNUMBER(VALUE(LEFT(TRIM(D311),1))),TRIM(D311),TRIM(MID(TRIM(D311),FIND(" ",TRIM(D311))+1,99)))))</f>
        <v/>
      </c>
      <c r="I311" s="255">
        <f>IF(G311="",0,IF(ISNUMBER(G311),G311,IFERROR(DATE(VALUE(MID(G311,FIND("/",G311,FIND("/",G311)+1)+1,4)),VALUE(MID(G311,FIND("/",G311)+1,FIND("/",G311,FIND("/",G311)+1)-FIND("/",G311)-1)),VALUE(LEFT(G311,FIND("/",G311)-1)))+IFERROR(TIMEVALUE(TRIM(MID(G311,FIND(" ",G311)+1,20))),0),0)))</f>
        <v/>
      </c>
      <c r="J311" s="255">
        <f>IF(H311="",0,IF(ISNUMBER(H311),H311,IFERROR(DATE(VALUE(MID(H311,FIND("/",H311,FIND("/",H311)+1)+1,4)),VALUE(MID(H311,FIND("/",H311)+1,FIND("/",H311,FIND("/",H311)+1)-FIND("/",H311)-1)),VALUE(LEFT(H311,FIND("/",H311)-1)))+IFERROR(TIMEVALUE(TRIM(MID(H311,FIND(" ",H311)+1,20))),0),0)))</f>
        <v/>
      </c>
      <c r="K311" s="256">
        <f>IF(I311=0,0,INT(I311))</f>
        <v/>
      </c>
      <c r="L311" s="257">
        <f>IF(OR(I311=0,J311=0),0,ROUND((J311-I311)*24,2))</f>
        <v/>
      </c>
      <c r="M311" s="254">
        <f>IFERROR(TRIM(MID(A311,FIND("@",SUBSTITUTE(A311,"(","@",LEN(A311)-LEN(SUBSTITUTE(A311,"(",""))))+1,FIND(")",A311,FIND("@",SUBSTITUTE(A311,"(","@",LEN(A311)-LEN(SUBSTITUTE(A311,"(","")))))-FIND("@",SUBSTITUTE(A311,"(","@",LEN(A311)-LEN(SUBSTITUTE(A311,"(",""))))-1)),"")</f>
        <v/>
      </c>
      <c r="N311" s="254">
        <f>IF(A311="","",IF(LEFT(TRIM(A311),5)="Leave","Leave",IF(OR(ISNUMBER(SEARCH("public holiday",A311)),ISNUMBER(SEARCH("Purple",E311))),"Public holiday","Event")))</f>
        <v/>
      </c>
    </row>
    <row r="312">
      <c r="G312" s="254">
        <f>IF(C312="","",IF(ISNUMBER(C312),C312,IF(ISNUMBER(VALUE(LEFT(TRIM(C312),1))),TRIM(C312),TRIM(MID(TRIM(C312),FIND(" ",TRIM(C312))+1,99)))))</f>
        <v/>
      </c>
      <c r="H312" s="254">
        <f>IF(D312="","",IF(ISNUMBER(D312),D312,IF(ISNUMBER(VALUE(LEFT(TRIM(D312),1))),TRIM(D312),TRIM(MID(TRIM(D312),FIND(" ",TRIM(D312))+1,99)))))</f>
        <v/>
      </c>
      <c r="I312" s="255">
        <f>IF(G312="",0,IF(ISNUMBER(G312),G312,IFERROR(DATE(VALUE(MID(G312,FIND("/",G312,FIND("/",G312)+1)+1,4)),VALUE(MID(G312,FIND("/",G312)+1,FIND("/",G312,FIND("/",G312)+1)-FIND("/",G312)-1)),VALUE(LEFT(G312,FIND("/",G312)-1)))+IFERROR(TIMEVALUE(TRIM(MID(G312,FIND(" ",G312)+1,20))),0),0)))</f>
        <v/>
      </c>
      <c r="J312" s="255">
        <f>IF(H312="",0,IF(ISNUMBER(H312),H312,IFERROR(DATE(VALUE(MID(H312,FIND("/",H312,FIND("/",H312)+1)+1,4)),VALUE(MID(H312,FIND("/",H312)+1,FIND("/",H312,FIND("/",H312)+1)-FIND("/",H312)-1)),VALUE(LEFT(H312,FIND("/",H312)-1)))+IFERROR(TIMEVALUE(TRIM(MID(H312,FIND(" ",H312)+1,20))),0),0)))</f>
        <v/>
      </c>
      <c r="K312" s="256">
        <f>IF(I312=0,0,INT(I312))</f>
        <v/>
      </c>
      <c r="L312" s="257">
        <f>IF(OR(I312=0,J312=0),0,ROUND((J312-I312)*24,2))</f>
        <v/>
      </c>
      <c r="M312" s="254">
        <f>IFERROR(TRIM(MID(A312,FIND("@",SUBSTITUTE(A312,"(","@",LEN(A312)-LEN(SUBSTITUTE(A312,"(",""))))+1,FIND(")",A312,FIND("@",SUBSTITUTE(A312,"(","@",LEN(A312)-LEN(SUBSTITUTE(A312,"(","")))))-FIND("@",SUBSTITUTE(A312,"(","@",LEN(A312)-LEN(SUBSTITUTE(A312,"(",""))))-1)),"")</f>
        <v/>
      </c>
      <c r="N312" s="254">
        <f>IF(A312="","",IF(LEFT(TRIM(A312),5)="Leave","Leave",IF(OR(ISNUMBER(SEARCH("public holiday",A312)),ISNUMBER(SEARCH("Purple",E312))),"Public holiday","Event")))</f>
        <v/>
      </c>
    </row>
    <row r="313">
      <c r="G313" s="254">
        <f>IF(C313="","",IF(ISNUMBER(C313),C313,IF(ISNUMBER(VALUE(LEFT(TRIM(C313),1))),TRIM(C313),TRIM(MID(TRIM(C313),FIND(" ",TRIM(C313))+1,99)))))</f>
        <v/>
      </c>
      <c r="H313" s="254">
        <f>IF(D313="","",IF(ISNUMBER(D313),D313,IF(ISNUMBER(VALUE(LEFT(TRIM(D313),1))),TRIM(D313),TRIM(MID(TRIM(D313),FIND(" ",TRIM(D313))+1,99)))))</f>
        <v/>
      </c>
      <c r="I313" s="255">
        <f>IF(G313="",0,IF(ISNUMBER(G313),G313,IFERROR(DATE(VALUE(MID(G313,FIND("/",G313,FIND("/",G313)+1)+1,4)),VALUE(MID(G313,FIND("/",G313)+1,FIND("/",G313,FIND("/",G313)+1)-FIND("/",G313)-1)),VALUE(LEFT(G313,FIND("/",G313)-1)))+IFERROR(TIMEVALUE(TRIM(MID(G313,FIND(" ",G313)+1,20))),0),0)))</f>
        <v/>
      </c>
      <c r="J313" s="255">
        <f>IF(H313="",0,IF(ISNUMBER(H313),H313,IFERROR(DATE(VALUE(MID(H313,FIND("/",H313,FIND("/",H313)+1)+1,4)),VALUE(MID(H313,FIND("/",H313)+1,FIND("/",H313,FIND("/",H313)+1)-FIND("/",H313)-1)),VALUE(LEFT(H313,FIND("/",H313)-1)))+IFERROR(TIMEVALUE(TRIM(MID(H313,FIND(" ",H313)+1,20))),0),0)))</f>
        <v/>
      </c>
      <c r="K313" s="256">
        <f>IF(I313=0,0,INT(I313))</f>
        <v/>
      </c>
      <c r="L313" s="257">
        <f>IF(OR(I313=0,J313=0),0,ROUND((J313-I313)*24,2))</f>
        <v/>
      </c>
      <c r="M313" s="254">
        <f>IFERROR(TRIM(MID(A313,FIND("@",SUBSTITUTE(A313,"(","@",LEN(A313)-LEN(SUBSTITUTE(A313,"(",""))))+1,FIND(")",A313,FIND("@",SUBSTITUTE(A313,"(","@",LEN(A313)-LEN(SUBSTITUTE(A313,"(","")))))-FIND("@",SUBSTITUTE(A313,"(","@",LEN(A313)-LEN(SUBSTITUTE(A313,"(",""))))-1)),"")</f>
        <v/>
      </c>
      <c r="N313" s="254">
        <f>IF(A313="","",IF(LEFT(TRIM(A313),5)="Leave","Leave",IF(OR(ISNUMBER(SEARCH("public holiday",A313)),ISNUMBER(SEARCH("Purple",E313))),"Public holiday","Event")))</f>
        <v/>
      </c>
    </row>
    <row r="314">
      <c r="G314" s="254">
        <f>IF(C314="","",IF(ISNUMBER(C314),C314,IF(ISNUMBER(VALUE(LEFT(TRIM(C314),1))),TRIM(C314),TRIM(MID(TRIM(C314),FIND(" ",TRIM(C314))+1,99)))))</f>
        <v/>
      </c>
      <c r="H314" s="254">
        <f>IF(D314="","",IF(ISNUMBER(D314),D314,IF(ISNUMBER(VALUE(LEFT(TRIM(D314),1))),TRIM(D314),TRIM(MID(TRIM(D314),FIND(" ",TRIM(D314))+1,99)))))</f>
        <v/>
      </c>
      <c r="I314" s="255">
        <f>IF(G314="",0,IF(ISNUMBER(G314),G314,IFERROR(DATE(VALUE(MID(G314,FIND("/",G314,FIND("/",G314)+1)+1,4)),VALUE(MID(G314,FIND("/",G314)+1,FIND("/",G314,FIND("/",G314)+1)-FIND("/",G314)-1)),VALUE(LEFT(G314,FIND("/",G314)-1)))+IFERROR(TIMEVALUE(TRIM(MID(G314,FIND(" ",G314)+1,20))),0),0)))</f>
        <v/>
      </c>
      <c r="J314" s="255">
        <f>IF(H314="",0,IF(ISNUMBER(H314),H314,IFERROR(DATE(VALUE(MID(H314,FIND("/",H314,FIND("/",H314)+1)+1,4)),VALUE(MID(H314,FIND("/",H314)+1,FIND("/",H314,FIND("/",H314)+1)-FIND("/",H314)-1)),VALUE(LEFT(H314,FIND("/",H314)-1)))+IFERROR(TIMEVALUE(TRIM(MID(H314,FIND(" ",H314)+1,20))),0),0)))</f>
        <v/>
      </c>
      <c r="K314" s="256">
        <f>IF(I314=0,0,INT(I314))</f>
        <v/>
      </c>
      <c r="L314" s="257">
        <f>IF(OR(I314=0,J314=0),0,ROUND((J314-I314)*24,2))</f>
        <v/>
      </c>
      <c r="M314" s="254">
        <f>IFERROR(TRIM(MID(A314,FIND("@",SUBSTITUTE(A314,"(","@",LEN(A314)-LEN(SUBSTITUTE(A314,"(",""))))+1,FIND(")",A314,FIND("@",SUBSTITUTE(A314,"(","@",LEN(A314)-LEN(SUBSTITUTE(A314,"(","")))))-FIND("@",SUBSTITUTE(A314,"(","@",LEN(A314)-LEN(SUBSTITUTE(A314,"(",""))))-1)),"")</f>
        <v/>
      </c>
      <c r="N314" s="254">
        <f>IF(A314="","",IF(LEFT(TRIM(A314),5)="Leave","Leave",IF(OR(ISNUMBER(SEARCH("public holiday",A314)),ISNUMBER(SEARCH("Purple",E314))),"Public holiday","Event")))</f>
        <v/>
      </c>
    </row>
    <row r="315">
      <c r="G315" s="254">
        <f>IF(C315="","",IF(ISNUMBER(C315),C315,IF(ISNUMBER(VALUE(LEFT(TRIM(C315),1))),TRIM(C315),TRIM(MID(TRIM(C315),FIND(" ",TRIM(C315))+1,99)))))</f>
        <v/>
      </c>
      <c r="H315" s="254">
        <f>IF(D315="","",IF(ISNUMBER(D315),D315,IF(ISNUMBER(VALUE(LEFT(TRIM(D315),1))),TRIM(D315),TRIM(MID(TRIM(D315),FIND(" ",TRIM(D315))+1,99)))))</f>
        <v/>
      </c>
      <c r="I315" s="255">
        <f>IF(G315="",0,IF(ISNUMBER(G315),G315,IFERROR(DATE(VALUE(MID(G315,FIND("/",G315,FIND("/",G315)+1)+1,4)),VALUE(MID(G315,FIND("/",G315)+1,FIND("/",G315,FIND("/",G315)+1)-FIND("/",G315)-1)),VALUE(LEFT(G315,FIND("/",G315)-1)))+IFERROR(TIMEVALUE(TRIM(MID(G315,FIND(" ",G315)+1,20))),0),0)))</f>
        <v/>
      </c>
      <c r="J315" s="255">
        <f>IF(H315="",0,IF(ISNUMBER(H315),H315,IFERROR(DATE(VALUE(MID(H315,FIND("/",H315,FIND("/",H315)+1)+1,4)),VALUE(MID(H315,FIND("/",H315)+1,FIND("/",H315,FIND("/",H315)+1)-FIND("/",H315)-1)),VALUE(LEFT(H315,FIND("/",H315)-1)))+IFERROR(TIMEVALUE(TRIM(MID(H315,FIND(" ",H315)+1,20))),0),0)))</f>
        <v/>
      </c>
      <c r="K315" s="256">
        <f>IF(I315=0,0,INT(I315))</f>
        <v/>
      </c>
      <c r="L315" s="257">
        <f>IF(OR(I315=0,J315=0),0,ROUND((J315-I315)*24,2))</f>
        <v/>
      </c>
      <c r="M315" s="254">
        <f>IFERROR(TRIM(MID(A315,FIND("@",SUBSTITUTE(A315,"(","@",LEN(A315)-LEN(SUBSTITUTE(A315,"(",""))))+1,FIND(")",A315,FIND("@",SUBSTITUTE(A315,"(","@",LEN(A315)-LEN(SUBSTITUTE(A315,"(","")))))-FIND("@",SUBSTITUTE(A315,"(","@",LEN(A315)-LEN(SUBSTITUTE(A315,"(",""))))-1)),"")</f>
        <v/>
      </c>
      <c r="N315" s="254">
        <f>IF(A315="","",IF(LEFT(TRIM(A315),5)="Leave","Leave",IF(OR(ISNUMBER(SEARCH("public holiday",A315)),ISNUMBER(SEARCH("Purple",E315))),"Public holiday","Event")))</f>
        <v/>
      </c>
    </row>
    <row r="316">
      <c r="G316" s="254">
        <f>IF(C316="","",IF(ISNUMBER(C316),C316,IF(ISNUMBER(VALUE(LEFT(TRIM(C316),1))),TRIM(C316),TRIM(MID(TRIM(C316),FIND(" ",TRIM(C316))+1,99)))))</f>
        <v/>
      </c>
      <c r="H316" s="254">
        <f>IF(D316="","",IF(ISNUMBER(D316),D316,IF(ISNUMBER(VALUE(LEFT(TRIM(D316),1))),TRIM(D316),TRIM(MID(TRIM(D316),FIND(" ",TRIM(D316))+1,99)))))</f>
        <v/>
      </c>
      <c r="I316" s="255">
        <f>IF(G316="",0,IF(ISNUMBER(G316),G316,IFERROR(DATE(VALUE(MID(G316,FIND("/",G316,FIND("/",G316)+1)+1,4)),VALUE(MID(G316,FIND("/",G316)+1,FIND("/",G316,FIND("/",G316)+1)-FIND("/",G316)-1)),VALUE(LEFT(G316,FIND("/",G316)-1)))+IFERROR(TIMEVALUE(TRIM(MID(G316,FIND(" ",G316)+1,20))),0),0)))</f>
        <v/>
      </c>
      <c r="J316" s="255">
        <f>IF(H316="",0,IF(ISNUMBER(H316),H316,IFERROR(DATE(VALUE(MID(H316,FIND("/",H316,FIND("/",H316)+1)+1,4)),VALUE(MID(H316,FIND("/",H316)+1,FIND("/",H316,FIND("/",H316)+1)-FIND("/",H316)-1)),VALUE(LEFT(H316,FIND("/",H316)-1)))+IFERROR(TIMEVALUE(TRIM(MID(H316,FIND(" ",H316)+1,20))),0),0)))</f>
        <v/>
      </c>
      <c r="K316" s="256">
        <f>IF(I316=0,0,INT(I316))</f>
        <v/>
      </c>
      <c r="L316" s="257">
        <f>IF(OR(I316=0,J316=0),0,ROUND((J316-I316)*24,2))</f>
        <v/>
      </c>
      <c r="M316" s="254">
        <f>IFERROR(TRIM(MID(A316,FIND("@",SUBSTITUTE(A316,"(","@",LEN(A316)-LEN(SUBSTITUTE(A316,"(",""))))+1,FIND(")",A316,FIND("@",SUBSTITUTE(A316,"(","@",LEN(A316)-LEN(SUBSTITUTE(A316,"(","")))))-FIND("@",SUBSTITUTE(A316,"(","@",LEN(A316)-LEN(SUBSTITUTE(A316,"(",""))))-1)),"")</f>
        <v/>
      </c>
      <c r="N316" s="254">
        <f>IF(A316="","",IF(LEFT(TRIM(A316),5)="Leave","Leave",IF(OR(ISNUMBER(SEARCH("public holiday",A316)),ISNUMBER(SEARCH("Purple",E316))),"Public holiday","Event")))</f>
        <v/>
      </c>
    </row>
    <row r="317">
      <c r="G317" s="254">
        <f>IF(C317="","",IF(ISNUMBER(C317),C317,IF(ISNUMBER(VALUE(LEFT(TRIM(C317),1))),TRIM(C317),TRIM(MID(TRIM(C317),FIND(" ",TRIM(C317))+1,99)))))</f>
        <v/>
      </c>
      <c r="H317" s="254">
        <f>IF(D317="","",IF(ISNUMBER(D317),D317,IF(ISNUMBER(VALUE(LEFT(TRIM(D317),1))),TRIM(D317),TRIM(MID(TRIM(D317),FIND(" ",TRIM(D317))+1,99)))))</f>
        <v/>
      </c>
      <c r="I317" s="255">
        <f>IF(G317="",0,IF(ISNUMBER(G317),G317,IFERROR(DATE(VALUE(MID(G317,FIND("/",G317,FIND("/",G317)+1)+1,4)),VALUE(MID(G317,FIND("/",G317)+1,FIND("/",G317,FIND("/",G317)+1)-FIND("/",G317)-1)),VALUE(LEFT(G317,FIND("/",G317)-1)))+IFERROR(TIMEVALUE(TRIM(MID(G317,FIND(" ",G317)+1,20))),0),0)))</f>
        <v/>
      </c>
      <c r="J317" s="255">
        <f>IF(H317="",0,IF(ISNUMBER(H317),H317,IFERROR(DATE(VALUE(MID(H317,FIND("/",H317,FIND("/",H317)+1)+1,4)),VALUE(MID(H317,FIND("/",H317)+1,FIND("/",H317,FIND("/",H317)+1)-FIND("/",H317)-1)),VALUE(LEFT(H317,FIND("/",H317)-1)))+IFERROR(TIMEVALUE(TRIM(MID(H317,FIND(" ",H317)+1,20))),0),0)))</f>
        <v/>
      </c>
      <c r="K317" s="256">
        <f>IF(I317=0,0,INT(I317))</f>
        <v/>
      </c>
      <c r="L317" s="257">
        <f>IF(OR(I317=0,J317=0),0,ROUND((J317-I317)*24,2))</f>
        <v/>
      </c>
      <c r="M317" s="254">
        <f>IFERROR(TRIM(MID(A317,FIND("@",SUBSTITUTE(A317,"(","@",LEN(A317)-LEN(SUBSTITUTE(A317,"(",""))))+1,FIND(")",A317,FIND("@",SUBSTITUTE(A317,"(","@",LEN(A317)-LEN(SUBSTITUTE(A317,"(","")))))-FIND("@",SUBSTITUTE(A317,"(","@",LEN(A317)-LEN(SUBSTITUTE(A317,"(",""))))-1)),"")</f>
        <v/>
      </c>
      <c r="N317" s="254">
        <f>IF(A317="","",IF(LEFT(TRIM(A317),5)="Leave","Leave",IF(OR(ISNUMBER(SEARCH("public holiday",A317)),ISNUMBER(SEARCH("Purple",E317))),"Public holiday","Event")))</f>
        <v/>
      </c>
    </row>
    <row r="318">
      <c r="G318" s="254">
        <f>IF(C318="","",IF(ISNUMBER(C318),C318,IF(ISNUMBER(VALUE(LEFT(TRIM(C318),1))),TRIM(C318),TRIM(MID(TRIM(C318),FIND(" ",TRIM(C318))+1,99)))))</f>
        <v/>
      </c>
      <c r="H318" s="254">
        <f>IF(D318="","",IF(ISNUMBER(D318),D318,IF(ISNUMBER(VALUE(LEFT(TRIM(D318),1))),TRIM(D318),TRIM(MID(TRIM(D318),FIND(" ",TRIM(D318))+1,99)))))</f>
        <v/>
      </c>
      <c r="I318" s="255">
        <f>IF(G318="",0,IF(ISNUMBER(G318),G318,IFERROR(DATE(VALUE(MID(G318,FIND("/",G318,FIND("/",G318)+1)+1,4)),VALUE(MID(G318,FIND("/",G318)+1,FIND("/",G318,FIND("/",G318)+1)-FIND("/",G318)-1)),VALUE(LEFT(G318,FIND("/",G318)-1)))+IFERROR(TIMEVALUE(TRIM(MID(G318,FIND(" ",G318)+1,20))),0),0)))</f>
        <v/>
      </c>
      <c r="J318" s="255">
        <f>IF(H318="",0,IF(ISNUMBER(H318),H318,IFERROR(DATE(VALUE(MID(H318,FIND("/",H318,FIND("/",H318)+1)+1,4)),VALUE(MID(H318,FIND("/",H318)+1,FIND("/",H318,FIND("/",H318)+1)-FIND("/",H318)-1)),VALUE(LEFT(H318,FIND("/",H318)-1)))+IFERROR(TIMEVALUE(TRIM(MID(H318,FIND(" ",H318)+1,20))),0),0)))</f>
        <v/>
      </c>
      <c r="K318" s="256">
        <f>IF(I318=0,0,INT(I318))</f>
        <v/>
      </c>
      <c r="L318" s="257">
        <f>IF(OR(I318=0,J318=0),0,ROUND((J318-I318)*24,2))</f>
        <v/>
      </c>
      <c r="M318" s="254">
        <f>IFERROR(TRIM(MID(A318,FIND("@",SUBSTITUTE(A318,"(","@",LEN(A318)-LEN(SUBSTITUTE(A318,"(",""))))+1,FIND(")",A318,FIND("@",SUBSTITUTE(A318,"(","@",LEN(A318)-LEN(SUBSTITUTE(A318,"(","")))))-FIND("@",SUBSTITUTE(A318,"(","@",LEN(A318)-LEN(SUBSTITUTE(A318,"(",""))))-1)),"")</f>
        <v/>
      </c>
      <c r="N318" s="254">
        <f>IF(A318="","",IF(LEFT(TRIM(A318),5)="Leave","Leave",IF(OR(ISNUMBER(SEARCH("public holiday",A318)),ISNUMBER(SEARCH("Purple",E318))),"Public holiday","Event")))</f>
        <v/>
      </c>
    </row>
    <row r="319">
      <c r="G319" s="254">
        <f>IF(C319="","",IF(ISNUMBER(C319),C319,IF(ISNUMBER(VALUE(LEFT(TRIM(C319),1))),TRIM(C319),TRIM(MID(TRIM(C319),FIND(" ",TRIM(C319))+1,99)))))</f>
        <v/>
      </c>
      <c r="H319" s="254">
        <f>IF(D319="","",IF(ISNUMBER(D319),D319,IF(ISNUMBER(VALUE(LEFT(TRIM(D319),1))),TRIM(D319),TRIM(MID(TRIM(D319),FIND(" ",TRIM(D319))+1,99)))))</f>
        <v/>
      </c>
      <c r="I319" s="255">
        <f>IF(G319="",0,IF(ISNUMBER(G319),G319,IFERROR(DATE(VALUE(MID(G319,FIND("/",G319,FIND("/",G319)+1)+1,4)),VALUE(MID(G319,FIND("/",G319)+1,FIND("/",G319,FIND("/",G319)+1)-FIND("/",G319)-1)),VALUE(LEFT(G319,FIND("/",G319)-1)))+IFERROR(TIMEVALUE(TRIM(MID(G319,FIND(" ",G319)+1,20))),0),0)))</f>
        <v/>
      </c>
      <c r="J319" s="255">
        <f>IF(H319="",0,IF(ISNUMBER(H319),H319,IFERROR(DATE(VALUE(MID(H319,FIND("/",H319,FIND("/",H319)+1)+1,4)),VALUE(MID(H319,FIND("/",H319)+1,FIND("/",H319,FIND("/",H319)+1)-FIND("/",H319)-1)),VALUE(LEFT(H319,FIND("/",H319)-1)))+IFERROR(TIMEVALUE(TRIM(MID(H319,FIND(" ",H319)+1,20))),0),0)))</f>
        <v/>
      </c>
      <c r="K319" s="256">
        <f>IF(I319=0,0,INT(I319))</f>
        <v/>
      </c>
      <c r="L319" s="257">
        <f>IF(OR(I319=0,J319=0),0,ROUND((J319-I319)*24,2))</f>
        <v/>
      </c>
      <c r="M319" s="254">
        <f>IFERROR(TRIM(MID(A319,FIND("@",SUBSTITUTE(A319,"(","@",LEN(A319)-LEN(SUBSTITUTE(A319,"(",""))))+1,FIND(")",A319,FIND("@",SUBSTITUTE(A319,"(","@",LEN(A319)-LEN(SUBSTITUTE(A319,"(","")))))-FIND("@",SUBSTITUTE(A319,"(","@",LEN(A319)-LEN(SUBSTITUTE(A319,"(",""))))-1)),"")</f>
        <v/>
      </c>
      <c r="N319" s="254">
        <f>IF(A319="","",IF(LEFT(TRIM(A319),5)="Leave","Leave",IF(OR(ISNUMBER(SEARCH("public holiday",A319)),ISNUMBER(SEARCH("Purple",E319))),"Public holiday","Event")))</f>
        <v/>
      </c>
    </row>
    <row r="320">
      <c r="G320" s="254">
        <f>IF(C320="","",IF(ISNUMBER(C320),C320,IF(ISNUMBER(VALUE(LEFT(TRIM(C320),1))),TRIM(C320),TRIM(MID(TRIM(C320),FIND(" ",TRIM(C320))+1,99)))))</f>
        <v/>
      </c>
      <c r="H320" s="254">
        <f>IF(D320="","",IF(ISNUMBER(D320),D320,IF(ISNUMBER(VALUE(LEFT(TRIM(D320),1))),TRIM(D320),TRIM(MID(TRIM(D320),FIND(" ",TRIM(D320))+1,99)))))</f>
        <v/>
      </c>
      <c r="I320" s="255">
        <f>IF(G320="",0,IF(ISNUMBER(G320),G320,IFERROR(DATE(VALUE(MID(G320,FIND("/",G320,FIND("/",G320)+1)+1,4)),VALUE(MID(G320,FIND("/",G320)+1,FIND("/",G320,FIND("/",G320)+1)-FIND("/",G320)-1)),VALUE(LEFT(G320,FIND("/",G320)-1)))+IFERROR(TIMEVALUE(TRIM(MID(G320,FIND(" ",G320)+1,20))),0),0)))</f>
        <v/>
      </c>
      <c r="J320" s="255">
        <f>IF(H320="",0,IF(ISNUMBER(H320),H320,IFERROR(DATE(VALUE(MID(H320,FIND("/",H320,FIND("/",H320)+1)+1,4)),VALUE(MID(H320,FIND("/",H320)+1,FIND("/",H320,FIND("/",H320)+1)-FIND("/",H320)-1)),VALUE(LEFT(H320,FIND("/",H320)-1)))+IFERROR(TIMEVALUE(TRIM(MID(H320,FIND(" ",H320)+1,20))),0),0)))</f>
        <v/>
      </c>
      <c r="K320" s="256">
        <f>IF(I320=0,0,INT(I320))</f>
        <v/>
      </c>
      <c r="L320" s="257">
        <f>IF(OR(I320=0,J320=0),0,ROUND((J320-I320)*24,2))</f>
        <v/>
      </c>
      <c r="M320" s="254">
        <f>IFERROR(TRIM(MID(A320,FIND("@",SUBSTITUTE(A320,"(","@",LEN(A320)-LEN(SUBSTITUTE(A320,"(",""))))+1,FIND(")",A320,FIND("@",SUBSTITUTE(A320,"(","@",LEN(A320)-LEN(SUBSTITUTE(A320,"(","")))))-FIND("@",SUBSTITUTE(A320,"(","@",LEN(A320)-LEN(SUBSTITUTE(A320,"(",""))))-1)),"")</f>
        <v/>
      </c>
      <c r="N320" s="254">
        <f>IF(A320="","",IF(LEFT(TRIM(A320),5)="Leave","Leave",IF(OR(ISNUMBER(SEARCH("public holiday",A320)),ISNUMBER(SEARCH("Purple",E320))),"Public holiday","Event")))</f>
        <v/>
      </c>
    </row>
    <row r="321">
      <c r="G321" s="254">
        <f>IF(C321="","",IF(ISNUMBER(C321),C321,IF(ISNUMBER(VALUE(LEFT(TRIM(C321),1))),TRIM(C321),TRIM(MID(TRIM(C321),FIND(" ",TRIM(C321))+1,99)))))</f>
        <v/>
      </c>
      <c r="H321" s="254">
        <f>IF(D321="","",IF(ISNUMBER(D321),D321,IF(ISNUMBER(VALUE(LEFT(TRIM(D321),1))),TRIM(D321),TRIM(MID(TRIM(D321),FIND(" ",TRIM(D321))+1,99)))))</f>
        <v/>
      </c>
      <c r="I321" s="255">
        <f>IF(G321="",0,IF(ISNUMBER(G321),G321,IFERROR(DATE(VALUE(MID(G321,FIND("/",G321,FIND("/",G321)+1)+1,4)),VALUE(MID(G321,FIND("/",G321)+1,FIND("/",G321,FIND("/",G321)+1)-FIND("/",G321)-1)),VALUE(LEFT(G321,FIND("/",G321)-1)))+IFERROR(TIMEVALUE(TRIM(MID(G321,FIND(" ",G321)+1,20))),0),0)))</f>
        <v/>
      </c>
      <c r="J321" s="255">
        <f>IF(H321="",0,IF(ISNUMBER(H321),H321,IFERROR(DATE(VALUE(MID(H321,FIND("/",H321,FIND("/",H321)+1)+1,4)),VALUE(MID(H321,FIND("/",H321)+1,FIND("/",H321,FIND("/",H321)+1)-FIND("/",H321)-1)),VALUE(LEFT(H321,FIND("/",H321)-1)))+IFERROR(TIMEVALUE(TRIM(MID(H321,FIND(" ",H321)+1,20))),0),0)))</f>
        <v/>
      </c>
      <c r="K321" s="256">
        <f>IF(I321=0,0,INT(I321))</f>
        <v/>
      </c>
      <c r="L321" s="257">
        <f>IF(OR(I321=0,J321=0),0,ROUND((J321-I321)*24,2))</f>
        <v/>
      </c>
      <c r="M321" s="254">
        <f>IFERROR(TRIM(MID(A321,FIND("@",SUBSTITUTE(A321,"(","@",LEN(A321)-LEN(SUBSTITUTE(A321,"(",""))))+1,FIND(")",A321,FIND("@",SUBSTITUTE(A321,"(","@",LEN(A321)-LEN(SUBSTITUTE(A321,"(","")))))-FIND("@",SUBSTITUTE(A321,"(","@",LEN(A321)-LEN(SUBSTITUTE(A321,"(",""))))-1)),"")</f>
        <v/>
      </c>
      <c r="N321" s="254">
        <f>IF(A321="","",IF(LEFT(TRIM(A321),5)="Leave","Leave",IF(OR(ISNUMBER(SEARCH("public holiday",A321)),ISNUMBER(SEARCH("Purple",E321))),"Public holiday","Event")))</f>
        <v/>
      </c>
    </row>
    <row r="322">
      <c r="G322" s="254">
        <f>IF(C322="","",IF(ISNUMBER(C322),C322,IF(ISNUMBER(VALUE(LEFT(TRIM(C322),1))),TRIM(C322),TRIM(MID(TRIM(C322),FIND(" ",TRIM(C322))+1,99)))))</f>
        <v/>
      </c>
      <c r="H322" s="254">
        <f>IF(D322="","",IF(ISNUMBER(D322),D322,IF(ISNUMBER(VALUE(LEFT(TRIM(D322),1))),TRIM(D322),TRIM(MID(TRIM(D322),FIND(" ",TRIM(D322))+1,99)))))</f>
        <v/>
      </c>
      <c r="I322" s="255">
        <f>IF(G322="",0,IF(ISNUMBER(G322),G322,IFERROR(DATE(VALUE(MID(G322,FIND("/",G322,FIND("/",G322)+1)+1,4)),VALUE(MID(G322,FIND("/",G322)+1,FIND("/",G322,FIND("/",G322)+1)-FIND("/",G322)-1)),VALUE(LEFT(G322,FIND("/",G322)-1)))+IFERROR(TIMEVALUE(TRIM(MID(G322,FIND(" ",G322)+1,20))),0),0)))</f>
        <v/>
      </c>
      <c r="J322" s="255">
        <f>IF(H322="",0,IF(ISNUMBER(H322),H322,IFERROR(DATE(VALUE(MID(H322,FIND("/",H322,FIND("/",H322)+1)+1,4)),VALUE(MID(H322,FIND("/",H322)+1,FIND("/",H322,FIND("/",H322)+1)-FIND("/",H322)-1)),VALUE(LEFT(H322,FIND("/",H322)-1)))+IFERROR(TIMEVALUE(TRIM(MID(H322,FIND(" ",H322)+1,20))),0),0)))</f>
        <v/>
      </c>
      <c r="K322" s="256">
        <f>IF(I322=0,0,INT(I322))</f>
        <v/>
      </c>
      <c r="L322" s="257">
        <f>IF(OR(I322=0,J322=0),0,ROUND((J322-I322)*24,2))</f>
        <v/>
      </c>
      <c r="M322" s="254">
        <f>IFERROR(TRIM(MID(A322,FIND("@",SUBSTITUTE(A322,"(","@",LEN(A322)-LEN(SUBSTITUTE(A322,"(",""))))+1,FIND(")",A322,FIND("@",SUBSTITUTE(A322,"(","@",LEN(A322)-LEN(SUBSTITUTE(A322,"(","")))))-FIND("@",SUBSTITUTE(A322,"(","@",LEN(A322)-LEN(SUBSTITUTE(A322,"(",""))))-1)),"")</f>
        <v/>
      </c>
      <c r="N322" s="254">
        <f>IF(A322="","",IF(LEFT(TRIM(A322),5)="Leave","Leave",IF(OR(ISNUMBER(SEARCH("public holiday",A322)),ISNUMBER(SEARCH("Purple",E322))),"Public holiday","Event")))</f>
        <v/>
      </c>
    </row>
    <row r="323">
      <c r="G323" s="254">
        <f>IF(C323="","",IF(ISNUMBER(C323),C323,IF(ISNUMBER(VALUE(LEFT(TRIM(C323),1))),TRIM(C323),TRIM(MID(TRIM(C323),FIND(" ",TRIM(C323))+1,99)))))</f>
        <v/>
      </c>
      <c r="H323" s="254">
        <f>IF(D323="","",IF(ISNUMBER(D323),D323,IF(ISNUMBER(VALUE(LEFT(TRIM(D323),1))),TRIM(D323),TRIM(MID(TRIM(D323),FIND(" ",TRIM(D323))+1,99)))))</f>
        <v/>
      </c>
      <c r="I323" s="255">
        <f>IF(G323="",0,IF(ISNUMBER(G323),G323,IFERROR(DATE(VALUE(MID(G323,FIND("/",G323,FIND("/",G323)+1)+1,4)),VALUE(MID(G323,FIND("/",G323)+1,FIND("/",G323,FIND("/",G323)+1)-FIND("/",G323)-1)),VALUE(LEFT(G323,FIND("/",G323)-1)))+IFERROR(TIMEVALUE(TRIM(MID(G323,FIND(" ",G323)+1,20))),0),0)))</f>
        <v/>
      </c>
      <c r="J323" s="255">
        <f>IF(H323="",0,IF(ISNUMBER(H323),H323,IFERROR(DATE(VALUE(MID(H323,FIND("/",H323,FIND("/",H323)+1)+1,4)),VALUE(MID(H323,FIND("/",H323)+1,FIND("/",H323,FIND("/",H323)+1)-FIND("/",H323)-1)),VALUE(LEFT(H323,FIND("/",H323)-1)))+IFERROR(TIMEVALUE(TRIM(MID(H323,FIND(" ",H323)+1,20))),0),0)))</f>
        <v/>
      </c>
      <c r="K323" s="256">
        <f>IF(I323=0,0,INT(I323))</f>
        <v/>
      </c>
      <c r="L323" s="257">
        <f>IF(OR(I323=0,J323=0),0,ROUND((J323-I323)*24,2))</f>
        <v/>
      </c>
      <c r="M323" s="254">
        <f>IFERROR(TRIM(MID(A323,FIND("@",SUBSTITUTE(A323,"(","@",LEN(A323)-LEN(SUBSTITUTE(A323,"(",""))))+1,FIND(")",A323,FIND("@",SUBSTITUTE(A323,"(","@",LEN(A323)-LEN(SUBSTITUTE(A323,"(","")))))-FIND("@",SUBSTITUTE(A323,"(","@",LEN(A323)-LEN(SUBSTITUTE(A323,"(",""))))-1)),"")</f>
        <v/>
      </c>
      <c r="N323" s="254">
        <f>IF(A323="","",IF(LEFT(TRIM(A323),5)="Leave","Leave",IF(OR(ISNUMBER(SEARCH("public holiday",A323)),ISNUMBER(SEARCH("Purple",E323))),"Public holiday","Event")))</f>
        <v/>
      </c>
    </row>
    <row r="324">
      <c r="G324" s="254">
        <f>IF(C324="","",IF(ISNUMBER(C324),C324,IF(ISNUMBER(VALUE(LEFT(TRIM(C324),1))),TRIM(C324),TRIM(MID(TRIM(C324),FIND(" ",TRIM(C324))+1,99)))))</f>
        <v/>
      </c>
      <c r="H324" s="254">
        <f>IF(D324="","",IF(ISNUMBER(D324),D324,IF(ISNUMBER(VALUE(LEFT(TRIM(D324),1))),TRIM(D324),TRIM(MID(TRIM(D324),FIND(" ",TRIM(D324))+1,99)))))</f>
        <v/>
      </c>
      <c r="I324" s="255">
        <f>IF(G324="",0,IF(ISNUMBER(G324),G324,IFERROR(DATE(VALUE(MID(G324,FIND("/",G324,FIND("/",G324)+1)+1,4)),VALUE(MID(G324,FIND("/",G324)+1,FIND("/",G324,FIND("/",G324)+1)-FIND("/",G324)-1)),VALUE(LEFT(G324,FIND("/",G324)-1)))+IFERROR(TIMEVALUE(TRIM(MID(G324,FIND(" ",G324)+1,20))),0),0)))</f>
        <v/>
      </c>
      <c r="J324" s="255">
        <f>IF(H324="",0,IF(ISNUMBER(H324),H324,IFERROR(DATE(VALUE(MID(H324,FIND("/",H324,FIND("/",H324)+1)+1,4)),VALUE(MID(H324,FIND("/",H324)+1,FIND("/",H324,FIND("/",H324)+1)-FIND("/",H324)-1)),VALUE(LEFT(H324,FIND("/",H324)-1)))+IFERROR(TIMEVALUE(TRIM(MID(H324,FIND(" ",H324)+1,20))),0),0)))</f>
        <v/>
      </c>
      <c r="K324" s="256">
        <f>IF(I324=0,0,INT(I324))</f>
        <v/>
      </c>
      <c r="L324" s="257">
        <f>IF(OR(I324=0,J324=0),0,ROUND((J324-I324)*24,2))</f>
        <v/>
      </c>
      <c r="M324" s="254">
        <f>IFERROR(TRIM(MID(A324,FIND("@",SUBSTITUTE(A324,"(","@",LEN(A324)-LEN(SUBSTITUTE(A324,"(",""))))+1,FIND(")",A324,FIND("@",SUBSTITUTE(A324,"(","@",LEN(A324)-LEN(SUBSTITUTE(A324,"(","")))))-FIND("@",SUBSTITUTE(A324,"(","@",LEN(A324)-LEN(SUBSTITUTE(A324,"(",""))))-1)),"")</f>
        <v/>
      </c>
      <c r="N324" s="254">
        <f>IF(A324="","",IF(LEFT(TRIM(A324),5)="Leave","Leave",IF(OR(ISNUMBER(SEARCH("public holiday",A324)),ISNUMBER(SEARCH("Purple",E324))),"Public holiday","Event")))</f>
        <v/>
      </c>
    </row>
    <row r="325">
      <c r="G325" s="254">
        <f>IF(C325="","",IF(ISNUMBER(C325),C325,IF(ISNUMBER(VALUE(LEFT(TRIM(C325),1))),TRIM(C325),TRIM(MID(TRIM(C325),FIND(" ",TRIM(C325))+1,99)))))</f>
        <v/>
      </c>
      <c r="H325" s="254">
        <f>IF(D325="","",IF(ISNUMBER(D325),D325,IF(ISNUMBER(VALUE(LEFT(TRIM(D325),1))),TRIM(D325),TRIM(MID(TRIM(D325),FIND(" ",TRIM(D325))+1,99)))))</f>
        <v/>
      </c>
      <c r="I325" s="255">
        <f>IF(G325="",0,IF(ISNUMBER(G325),G325,IFERROR(DATE(VALUE(MID(G325,FIND("/",G325,FIND("/",G325)+1)+1,4)),VALUE(MID(G325,FIND("/",G325)+1,FIND("/",G325,FIND("/",G325)+1)-FIND("/",G325)-1)),VALUE(LEFT(G325,FIND("/",G325)-1)))+IFERROR(TIMEVALUE(TRIM(MID(G325,FIND(" ",G325)+1,20))),0),0)))</f>
        <v/>
      </c>
      <c r="J325" s="255">
        <f>IF(H325="",0,IF(ISNUMBER(H325),H325,IFERROR(DATE(VALUE(MID(H325,FIND("/",H325,FIND("/",H325)+1)+1,4)),VALUE(MID(H325,FIND("/",H325)+1,FIND("/",H325,FIND("/",H325)+1)-FIND("/",H325)-1)),VALUE(LEFT(H325,FIND("/",H325)-1)))+IFERROR(TIMEVALUE(TRIM(MID(H325,FIND(" ",H325)+1,20))),0),0)))</f>
        <v/>
      </c>
      <c r="K325" s="256">
        <f>IF(I325=0,0,INT(I325))</f>
        <v/>
      </c>
      <c r="L325" s="257">
        <f>IF(OR(I325=0,J325=0),0,ROUND((J325-I325)*24,2))</f>
        <v/>
      </c>
      <c r="M325" s="254">
        <f>IFERROR(TRIM(MID(A325,FIND("@",SUBSTITUTE(A325,"(","@",LEN(A325)-LEN(SUBSTITUTE(A325,"(",""))))+1,FIND(")",A325,FIND("@",SUBSTITUTE(A325,"(","@",LEN(A325)-LEN(SUBSTITUTE(A325,"(","")))))-FIND("@",SUBSTITUTE(A325,"(","@",LEN(A325)-LEN(SUBSTITUTE(A325,"(",""))))-1)),"")</f>
        <v/>
      </c>
      <c r="N325" s="254">
        <f>IF(A325="","",IF(LEFT(TRIM(A325),5)="Leave","Leave",IF(OR(ISNUMBER(SEARCH("public holiday",A325)),ISNUMBER(SEARCH("Purple",E325))),"Public holiday","Event")))</f>
        <v/>
      </c>
    </row>
    <row r="326">
      <c r="G326" s="254">
        <f>IF(C326="","",IF(ISNUMBER(C326),C326,IF(ISNUMBER(VALUE(LEFT(TRIM(C326),1))),TRIM(C326),TRIM(MID(TRIM(C326),FIND(" ",TRIM(C326))+1,99)))))</f>
        <v/>
      </c>
      <c r="H326" s="254">
        <f>IF(D326="","",IF(ISNUMBER(D326),D326,IF(ISNUMBER(VALUE(LEFT(TRIM(D326),1))),TRIM(D326),TRIM(MID(TRIM(D326),FIND(" ",TRIM(D326))+1,99)))))</f>
        <v/>
      </c>
      <c r="I326" s="255">
        <f>IF(G326="",0,IF(ISNUMBER(G326),G326,IFERROR(DATE(VALUE(MID(G326,FIND("/",G326,FIND("/",G326)+1)+1,4)),VALUE(MID(G326,FIND("/",G326)+1,FIND("/",G326,FIND("/",G326)+1)-FIND("/",G326)-1)),VALUE(LEFT(G326,FIND("/",G326)-1)))+IFERROR(TIMEVALUE(TRIM(MID(G326,FIND(" ",G326)+1,20))),0),0)))</f>
        <v/>
      </c>
      <c r="J326" s="255">
        <f>IF(H326="",0,IF(ISNUMBER(H326),H326,IFERROR(DATE(VALUE(MID(H326,FIND("/",H326,FIND("/",H326)+1)+1,4)),VALUE(MID(H326,FIND("/",H326)+1,FIND("/",H326,FIND("/",H326)+1)-FIND("/",H326)-1)),VALUE(LEFT(H326,FIND("/",H326)-1)))+IFERROR(TIMEVALUE(TRIM(MID(H326,FIND(" ",H326)+1,20))),0),0)))</f>
        <v/>
      </c>
      <c r="K326" s="256">
        <f>IF(I326=0,0,INT(I326))</f>
        <v/>
      </c>
      <c r="L326" s="257">
        <f>IF(OR(I326=0,J326=0),0,ROUND((J326-I326)*24,2))</f>
        <v/>
      </c>
      <c r="M326" s="254">
        <f>IFERROR(TRIM(MID(A326,FIND("@",SUBSTITUTE(A326,"(","@",LEN(A326)-LEN(SUBSTITUTE(A326,"(",""))))+1,FIND(")",A326,FIND("@",SUBSTITUTE(A326,"(","@",LEN(A326)-LEN(SUBSTITUTE(A326,"(","")))))-FIND("@",SUBSTITUTE(A326,"(","@",LEN(A326)-LEN(SUBSTITUTE(A326,"(",""))))-1)),"")</f>
        <v/>
      </c>
      <c r="N326" s="254">
        <f>IF(A326="","",IF(LEFT(TRIM(A326),5)="Leave","Leave",IF(OR(ISNUMBER(SEARCH("public holiday",A326)),ISNUMBER(SEARCH("Purple",E326))),"Public holiday","Event")))</f>
        <v/>
      </c>
    </row>
    <row r="327">
      <c r="G327" s="254">
        <f>IF(C327="","",IF(ISNUMBER(C327),C327,IF(ISNUMBER(VALUE(LEFT(TRIM(C327),1))),TRIM(C327),TRIM(MID(TRIM(C327),FIND(" ",TRIM(C327))+1,99)))))</f>
        <v/>
      </c>
      <c r="H327" s="254">
        <f>IF(D327="","",IF(ISNUMBER(D327),D327,IF(ISNUMBER(VALUE(LEFT(TRIM(D327),1))),TRIM(D327),TRIM(MID(TRIM(D327),FIND(" ",TRIM(D327))+1,99)))))</f>
        <v/>
      </c>
      <c r="I327" s="255">
        <f>IF(G327="",0,IF(ISNUMBER(G327),G327,IFERROR(DATE(VALUE(MID(G327,FIND("/",G327,FIND("/",G327)+1)+1,4)),VALUE(MID(G327,FIND("/",G327)+1,FIND("/",G327,FIND("/",G327)+1)-FIND("/",G327)-1)),VALUE(LEFT(G327,FIND("/",G327)-1)))+IFERROR(TIMEVALUE(TRIM(MID(G327,FIND(" ",G327)+1,20))),0),0)))</f>
        <v/>
      </c>
      <c r="J327" s="255">
        <f>IF(H327="",0,IF(ISNUMBER(H327),H327,IFERROR(DATE(VALUE(MID(H327,FIND("/",H327,FIND("/",H327)+1)+1,4)),VALUE(MID(H327,FIND("/",H327)+1,FIND("/",H327,FIND("/",H327)+1)-FIND("/",H327)-1)),VALUE(LEFT(H327,FIND("/",H327)-1)))+IFERROR(TIMEVALUE(TRIM(MID(H327,FIND(" ",H327)+1,20))),0),0)))</f>
        <v/>
      </c>
      <c r="K327" s="256">
        <f>IF(I327=0,0,INT(I327))</f>
        <v/>
      </c>
      <c r="L327" s="257">
        <f>IF(OR(I327=0,J327=0),0,ROUND((J327-I327)*24,2))</f>
        <v/>
      </c>
      <c r="M327" s="254">
        <f>IFERROR(TRIM(MID(A327,FIND("@",SUBSTITUTE(A327,"(","@",LEN(A327)-LEN(SUBSTITUTE(A327,"(",""))))+1,FIND(")",A327,FIND("@",SUBSTITUTE(A327,"(","@",LEN(A327)-LEN(SUBSTITUTE(A327,"(","")))))-FIND("@",SUBSTITUTE(A327,"(","@",LEN(A327)-LEN(SUBSTITUTE(A327,"(",""))))-1)),"")</f>
        <v/>
      </c>
      <c r="N327" s="254">
        <f>IF(A327="","",IF(LEFT(TRIM(A327),5)="Leave","Leave",IF(OR(ISNUMBER(SEARCH("public holiday",A327)),ISNUMBER(SEARCH("Purple",E327))),"Public holiday","Event")))</f>
        <v/>
      </c>
    </row>
    <row r="328">
      <c r="G328" s="254">
        <f>IF(C328="","",IF(ISNUMBER(C328),C328,IF(ISNUMBER(VALUE(LEFT(TRIM(C328),1))),TRIM(C328),TRIM(MID(TRIM(C328),FIND(" ",TRIM(C328))+1,99)))))</f>
        <v/>
      </c>
      <c r="H328" s="254">
        <f>IF(D328="","",IF(ISNUMBER(D328),D328,IF(ISNUMBER(VALUE(LEFT(TRIM(D328),1))),TRIM(D328),TRIM(MID(TRIM(D328),FIND(" ",TRIM(D328))+1,99)))))</f>
        <v/>
      </c>
      <c r="I328" s="255">
        <f>IF(G328="",0,IF(ISNUMBER(G328),G328,IFERROR(DATE(VALUE(MID(G328,FIND("/",G328,FIND("/",G328)+1)+1,4)),VALUE(MID(G328,FIND("/",G328)+1,FIND("/",G328,FIND("/",G328)+1)-FIND("/",G328)-1)),VALUE(LEFT(G328,FIND("/",G328)-1)))+IFERROR(TIMEVALUE(TRIM(MID(G328,FIND(" ",G328)+1,20))),0),0)))</f>
        <v/>
      </c>
      <c r="J328" s="255">
        <f>IF(H328="",0,IF(ISNUMBER(H328),H328,IFERROR(DATE(VALUE(MID(H328,FIND("/",H328,FIND("/",H328)+1)+1,4)),VALUE(MID(H328,FIND("/",H328)+1,FIND("/",H328,FIND("/",H328)+1)-FIND("/",H328)-1)),VALUE(LEFT(H328,FIND("/",H328)-1)))+IFERROR(TIMEVALUE(TRIM(MID(H328,FIND(" ",H328)+1,20))),0),0)))</f>
        <v/>
      </c>
      <c r="K328" s="256">
        <f>IF(I328=0,0,INT(I328))</f>
        <v/>
      </c>
      <c r="L328" s="257">
        <f>IF(OR(I328=0,J328=0),0,ROUND((J328-I328)*24,2))</f>
        <v/>
      </c>
      <c r="M328" s="254">
        <f>IFERROR(TRIM(MID(A328,FIND("@",SUBSTITUTE(A328,"(","@",LEN(A328)-LEN(SUBSTITUTE(A328,"(",""))))+1,FIND(")",A328,FIND("@",SUBSTITUTE(A328,"(","@",LEN(A328)-LEN(SUBSTITUTE(A328,"(","")))))-FIND("@",SUBSTITUTE(A328,"(","@",LEN(A328)-LEN(SUBSTITUTE(A328,"(",""))))-1)),"")</f>
        <v/>
      </c>
      <c r="N328" s="254">
        <f>IF(A328="","",IF(LEFT(TRIM(A328),5)="Leave","Leave",IF(OR(ISNUMBER(SEARCH("public holiday",A328)),ISNUMBER(SEARCH("Purple",E328))),"Public holiday","Event")))</f>
        <v/>
      </c>
    </row>
    <row r="329">
      <c r="G329" s="254">
        <f>IF(C329="","",IF(ISNUMBER(C329),C329,IF(ISNUMBER(VALUE(LEFT(TRIM(C329),1))),TRIM(C329),TRIM(MID(TRIM(C329),FIND(" ",TRIM(C329))+1,99)))))</f>
        <v/>
      </c>
      <c r="H329" s="254">
        <f>IF(D329="","",IF(ISNUMBER(D329),D329,IF(ISNUMBER(VALUE(LEFT(TRIM(D329),1))),TRIM(D329),TRIM(MID(TRIM(D329),FIND(" ",TRIM(D329))+1,99)))))</f>
        <v/>
      </c>
      <c r="I329" s="255">
        <f>IF(G329="",0,IF(ISNUMBER(G329),G329,IFERROR(DATE(VALUE(MID(G329,FIND("/",G329,FIND("/",G329)+1)+1,4)),VALUE(MID(G329,FIND("/",G329)+1,FIND("/",G329,FIND("/",G329)+1)-FIND("/",G329)-1)),VALUE(LEFT(G329,FIND("/",G329)-1)))+IFERROR(TIMEVALUE(TRIM(MID(G329,FIND(" ",G329)+1,20))),0),0)))</f>
        <v/>
      </c>
      <c r="J329" s="255">
        <f>IF(H329="",0,IF(ISNUMBER(H329),H329,IFERROR(DATE(VALUE(MID(H329,FIND("/",H329,FIND("/",H329)+1)+1,4)),VALUE(MID(H329,FIND("/",H329)+1,FIND("/",H329,FIND("/",H329)+1)-FIND("/",H329)-1)),VALUE(LEFT(H329,FIND("/",H329)-1)))+IFERROR(TIMEVALUE(TRIM(MID(H329,FIND(" ",H329)+1,20))),0),0)))</f>
        <v/>
      </c>
      <c r="K329" s="256">
        <f>IF(I329=0,0,INT(I329))</f>
        <v/>
      </c>
      <c r="L329" s="257">
        <f>IF(OR(I329=0,J329=0),0,ROUND((J329-I329)*24,2))</f>
        <v/>
      </c>
      <c r="M329" s="254">
        <f>IFERROR(TRIM(MID(A329,FIND("@",SUBSTITUTE(A329,"(","@",LEN(A329)-LEN(SUBSTITUTE(A329,"(",""))))+1,FIND(")",A329,FIND("@",SUBSTITUTE(A329,"(","@",LEN(A329)-LEN(SUBSTITUTE(A329,"(","")))))-FIND("@",SUBSTITUTE(A329,"(","@",LEN(A329)-LEN(SUBSTITUTE(A329,"(",""))))-1)),"")</f>
        <v/>
      </c>
      <c r="N329" s="254">
        <f>IF(A329="","",IF(LEFT(TRIM(A329),5)="Leave","Leave",IF(OR(ISNUMBER(SEARCH("public holiday",A329)),ISNUMBER(SEARCH("Purple",E329))),"Public holiday","Event")))</f>
        <v/>
      </c>
    </row>
    <row r="330">
      <c r="G330" s="254">
        <f>IF(C330="","",IF(ISNUMBER(C330),C330,IF(ISNUMBER(VALUE(LEFT(TRIM(C330),1))),TRIM(C330),TRIM(MID(TRIM(C330),FIND(" ",TRIM(C330))+1,99)))))</f>
        <v/>
      </c>
      <c r="H330" s="254">
        <f>IF(D330="","",IF(ISNUMBER(D330),D330,IF(ISNUMBER(VALUE(LEFT(TRIM(D330),1))),TRIM(D330),TRIM(MID(TRIM(D330),FIND(" ",TRIM(D330))+1,99)))))</f>
        <v/>
      </c>
      <c r="I330" s="255">
        <f>IF(G330="",0,IF(ISNUMBER(G330),G330,IFERROR(DATE(VALUE(MID(G330,FIND("/",G330,FIND("/",G330)+1)+1,4)),VALUE(MID(G330,FIND("/",G330)+1,FIND("/",G330,FIND("/",G330)+1)-FIND("/",G330)-1)),VALUE(LEFT(G330,FIND("/",G330)-1)))+IFERROR(TIMEVALUE(TRIM(MID(G330,FIND(" ",G330)+1,20))),0),0)))</f>
        <v/>
      </c>
      <c r="J330" s="255">
        <f>IF(H330="",0,IF(ISNUMBER(H330),H330,IFERROR(DATE(VALUE(MID(H330,FIND("/",H330,FIND("/",H330)+1)+1,4)),VALUE(MID(H330,FIND("/",H330)+1,FIND("/",H330,FIND("/",H330)+1)-FIND("/",H330)-1)),VALUE(LEFT(H330,FIND("/",H330)-1)))+IFERROR(TIMEVALUE(TRIM(MID(H330,FIND(" ",H330)+1,20))),0),0)))</f>
        <v/>
      </c>
      <c r="K330" s="256">
        <f>IF(I330=0,0,INT(I330))</f>
        <v/>
      </c>
      <c r="L330" s="257">
        <f>IF(OR(I330=0,J330=0),0,ROUND((J330-I330)*24,2))</f>
        <v/>
      </c>
      <c r="M330" s="254">
        <f>IFERROR(TRIM(MID(A330,FIND("@",SUBSTITUTE(A330,"(","@",LEN(A330)-LEN(SUBSTITUTE(A330,"(",""))))+1,FIND(")",A330,FIND("@",SUBSTITUTE(A330,"(","@",LEN(A330)-LEN(SUBSTITUTE(A330,"(","")))))-FIND("@",SUBSTITUTE(A330,"(","@",LEN(A330)-LEN(SUBSTITUTE(A330,"(",""))))-1)),"")</f>
        <v/>
      </c>
      <c r="N330" s="254">
        <f>IF(A330="","",IF(LEFT(TRIM(A330),5)="Leave","Leave",IF(OR(ISNUMBER(SEARCH("public holiday",A330)),ISNUMBER(SEARCH("Purple",E330))),"Public holiday","Event")))</f>
        <v/>
      </c>
    </row>
    <row r="331">
      <c r="G331" s="254">
        <f>IF(C331="","",IF(ISNUMBER(C331),C331,IF(ISNUMBER(VALUE(LEFT(TRIM(C331),1))),TRIM(C331),TRIM(MID(TRIM(C331),FIND(" ",TRIM(C331))+1,99)))))</f>
        <v/>
      </c>
      <c r="H331" s="254">
        <f>IF(D331="","",IF(ISNUMBER(D331),D331,IF(ISNUMBER(VALUE(LEFT(TRIM(D331),1))),TRIM(D331),TRIM(MID(TRIM(D331),FIND(" ",TRIM(D331))+1,99)))))</f>
        <v/>
      </c>
      <c r="I331" s="255">
        <f>IF(G331="",0,IF(ISNUMBER(G331),G331,IFERROR(DATE(VALUE(MID(G331,FIND("/",G331,FIND("/",G331)+1)+1,4)),VALUE(MID(G331,FIND("/",G331)+1,FIND("/",G331,FIND("/",G331)+1)-FIND("/",G331)-1)),VALUE(LEFT(G331,FIND("/",G331)-1)))+IFERROR(TIMEVALUE(TRIM(MID(G331,FIND(" ",G331)+1,20))),0),0)))</f>
        <v/>
      </c>
      <c r="J331" s="255">
        <f>IF(H331="",0,IF(ISNUMBER(H331),H331,IFERROR(DATE(VALUE(MID(H331,FIND("/",H331,FIND("/",H331)+1)+1,4)),VALUE(MID(H331,FIND("/",H331)+1,FIND("/",H331,FIND("/",H331)+1)-FIND("/",H331)-1)),VALUE(LEFT(H331,FIND("/",H331)-1)))+IFERROR(TIMEVALUE(TRIM(MID(H331,FIND(" ",H331)+1,20))),0),0)))</f>
        <v/>
      </c>
      <c r="K331" s="256">
        <f>IF(I331=0,0,INT(I331))</f>
        <v/>
      </c>
      <c r="L331" s="257">
        <f>IF(OR(I331=0,J331=0),0,ROUND((J331-I331)*24,2))</f>
        <v/>
      </c>
      <c r="M331" s="254">
        <f>IFERROR(TRIM(MID(A331,FIND("@",SUBSTITUTE(A331,"(","@",LEN(A331)-LEN(SUBSTITUTE(A331,"(",""))))+1,FIND(")",A331,FIND("@",SUBSTITUTE(A331,"(","@",LEN(A331)-LEN(SUBSTITUTE(A331,"(","")))))-FIND("@",SUBSTITUTE(A331,"(","@",LEN(A331)-LEN(SUBSTITUTE(A331,"(",""))))-1)),"")</f>
        <v/>
      </c>
      <c r="N331" s="254">
        <f>IF(A331="","",IF(LEFT(TRIM(A331),5)="Leave","Leave",IF(OR(ISNUMBER(SEARCH("public holiday",A331)),ISNUMBER(SEARCH("Purple",E331))),"Public holiday","Event")))</f>
        <v/>
      </c>
    </row>
    <row r="332">
      <c r="G332" s="254">
        <f>IF(C332="","",IF(ISNUMBER(C332),C332,IF(ISNUMBER(VALUE(LEFT(TRIM(C332),1))),TRIM(C332),TRIM(MID(TRIM(C332),FIND(" ",TRIM(C332))+1,99)))))</f>
        <v/>
      </c>
      <c r="H332" s="254">
        <f>IF(D332="","",IF(ISNUMBER(D332),D332,IF(ISNUMBER(VALUE(LEFT(TRIM(D332),1))),TRIM(D332),TRIM(MID(TRIM(D332),FIND(" ",TRIM(D332))+1,99)))))</f>
        <v/>
      </c>
      <c r="I332" s="255">
        <f>IF(G332="",0,IF(ISNUMBER(G332),G332,IFERROR(DATE(VALUE(MID(G332,FIND("/",G332,FIND("/",G332)+1)+1,4)),VALUE(MID(G332,FIND("/",G332)+1,FIND("/",G332,FIND("/",G332)+1)-FIND("/",G332)-1)),VALUE(LEFT(G332,FIND("/",G332)-1)))+IFERROR(TIMEVALUE(TRIM(MID(G332,FIND(" ",G332)+1,20))),0),0)))</f>
        <v/>
      </c>
      <c r="J332" s="255">
        <f>IF(H332="",0,IF(ISNUMBER(H332),H332,IFERROR(DATE(VALUE(MID(H332,FIND("/",H332,FIND("/",H332)+1)+1,4)),VALUE(MID(H332,FIND("/",H332)+1,FIND("/",H332,FIND("/",H332)+1)-FIND("/",H332)-1)),VALUE(LEFT(H332,FIND("/",H332)-1)))+IFERROR(TIMEVALUE(TRIM(MID(H332,FIND(" ",H332)+1,20))),0),0)))</f>
        <v/>
      </c>
      <c r="K332" s="256">
        <f>IF(I332=0,0,INT(I332))</f>
        <v/>
      </c>
      <c r="L332" s="257">
        <f>IF(OR(I332=0,J332=0),0,ROUND((J332-I332)*24,2))</f>
        <v/>
      </c>
      <c r="M332" s="254">
        <f>IFERROR(TRIM(MID(A332,FIND("@",SUBSTITUTE(A332,"(","@",LEN(A332)-LEN(SUBSTITUTE(A332,"(",""))))+1,FIND(")",A332,FIND("@",SUBSTITUTE(A332,"(","@",LEN(A332)-LEN(SUBSTITUTE(A332,"(","")))))-FIND("@",SUBSTITUTE(A332,"(","@",LEN(A332)-LEN(SUBSTITUTE(A332,"(",""))))-1)),"")</f>
        <v/>
      </c>
      <c r="N332" s="254">
        <f>IF(A332="","",IF(LEFT(TRIM(A332),5)="Leave","Leave",IF(OR(ISNUMBER(SEARCH("public holiday",A332)),ISNUMBER(SEARCH("Purple",E332))),"Public holiday","Event")))</f>
        <v/>
      </c>
    </row>
    <row r="333">
      <c r="G333" s="254">
        <f>IF(C333="","",IF(ISNUMBER(C333),C333,IF(ISNUMBER(VALUE(LEFT(TRIM(C333),1))),TRIM(C333),TRIM(MID(TRIM(C333),FIND(" ",TRIM(C333))+1,99)))))</f>
        <v/>
      </c>
      <c r="H333" s="254">
        <f>IF(D333="","",IF(ISNUMBER(D333),D333,IF(ISNUMBER(VALUE(LEFT(TRIM(D333),1))),TRIM(D333),TRIM(MID(TRIM(D333),FIND(" ",TRIM(D333))+1,99)))))</f>
        <v/>
      </c>
      <c r="I333" s="255">
        <f>IF(G333="",0,IF(ISNUMBER(G333),G333,IFERROR(DATE(VALUE(MID(G333,FIND("/",G333,FIND("/",G333)+1)+1,4)),VALUE(MID(G333,FIND("/",G333)+1,FIND("/",G333,FIND("/",G333)+1)-FIND("/",G333)-1)),VALUE(LEFT(G333,FIND("/",G333)-1)))+IFERROR(TIMEVALUE(TRIM(MID(G333,FIND(" ",G333)+1,20))),0),0)))</f>
        <v/>
      </c>
      <c r="J333" s="255">
        <f>IF(H333="",0,IF(ISNUMBER(H333),H333,IFERROR(DATE(VALUE(MID(H333,FIND("/",H333,FIND("/",H333)+1)+1,4)),VALUE(MID(H333,FIND("/",H333)+1,FIND("/",H333,FIND("/",H333)+1)-FIND("/",H333)-1)),VALUE(LEFT(H333,FIND("/",H333)-1)))+IFERROR(TIMEVALUE(TRIM(MID(H333,FIND(" ",H333)+1,20))),0),0)))</f>
        <v/>
      </c>
      <c r="K333" s="256">
        <f>IF(I333=0,0,INT(I333))</f>
        <v/>
      </c>
      <c r="L333" s="257">
        <f>IF(OR(I333=0,J333=0),0,ROUND((J333-I333)*24,2))</f>
        <v/>
      </c>
      <c r="M333" s="254">
        <f>IFERROR(TRIM(MID(A333,FIND("@",SUBSTITUTE(A333,"(","@",LEN(A333)-LEN(SUBSTITUTE(A333,"(",""))))+1,FIND(")",A333,FIND("@",SUBSTITUTE(A333,"(","@",LEN(A333)-LEN(SUBSTITUTE(A333,"(","")))))-FIND("@",SUBSTITUTE(A333,"(","@",LEN(A333)-LEN(SUBSTITUTE(A333,"(",""))))-1)),"")</f>
        <v/>
      </c>
      <c r="N333" s="254">
        <f>IF(A333="","",IF(LEFT(TRIM(A333),5)="Leave","Leave",IF(OR(ISNUMBER(SEARCH("public holiday",A333)),ISNUMBER(SEARCH("Purple",E333))),"Public holiday","Event")))</f>
        <v/>
      </c>
    </row>
    <row r="334">
      <c r="G334" s="254">
        <f>IF(C334="","",IF(ISNUMBER(C334),C334,IF(ISNUMBER(VALUE(LEFT(TRIM(C334),1))),TRIM(C334),TRIM(MID(TRIM(C334),FIND(" ",TRIM(C334))+1,99)))))</f>
        <v/>
      </c>
      <c r="H334" s="254">
        <f>IF(D334="","",IF(ISNUMBER(D334),D334,IF(ISNUMBER(VALUE(LEFT(TRIM(D334),1))),TRIM(D334),TRIM(MID(TRIM(D334),FIND(" ",TRIM(D334))+1,99)))))</f>
        <v/>
      </c>
      <c r="I334" s="255">
        <f>IF(G334="",0,IF(ISNUMBER(G334),G334,IFERROR(DATE(VALUE(MID(G334,FIND("/",G334,FIND("/",G334)+1)+1,4)),VALUE(MID(G334,FIND("/",G334)+1,FIND("/",G334,FIND("/",G334)+1)-FIND("/",G334)-1)),VALUE(LEFT(G334,FIND("/",G334)-1)))+IFERROR(TIMEVALUE(TRIM(MID(G334,FIND(" ",G334)+1,20))),0),0)))</f>
        <v/>
      </c>
      <c r="J334" s="255">
        <f>IF(H334="",0,IF(ISNUMBER(H334),H334,IFERROR(DATE(VALUE(MID(H334,FIND("/",H334,FIND("/",H334)+1)+1,4)),VALUE(MID(H334,FIND("/",H334)+1,FIND("/",H334,FIND("/",H334)+1)-FIND("/",H334)-1)),VALUE(LEFT(H334,FIND("/",H334)-1)))+IFERROR(TIMEVALUE(TRIM(MID(H334,FIND(" ",H334)+1,20))),0),0)))</f>
        <v/>
      </c>
      <c r="K334" s="256">
        <f>IF(I334=0,0,INT(I334))</f>
        <v/>
      </c>
      <c r="L334" s="257">
        <f>IF(OR(I334=0,J334=0),0,ROUND((J334-I334)*24,2))</f>
        <v/>
      </c>
      <c r="M334" s="254">
        <f>IFERROR(TRIM(MID(A334,FIND("@",SUBSTITUTE(A334,"(","@",LEN(A334)-LEN(SUBSTITUTE(A334,"(",""))))+1,FIND(")",A334,FIND("@",SUBSTITUTE(A334,"(","@",LEN(A334)-LEN(SUBSTITUTE(A334,"(","")))))-FIND("@",SUBSTITUTE(A334,"(","@",LEN(A334)-LEN(SUBSTITUTE(A334,"(",""))))-1)),"")</f>
        <v/>
      </c>
      <c r="N334" s="254">
        <f>IF(A334="","",IF(LEFT(TRIM(A334),5)="Leave","Leave",IF(OR(ISNUMBER(SEARCH("public holiday",A334)),ISNUMBER(SEARCH("Purple",E334))),"Public holiday","Event")))</f>
        <v/>
      </c>
    </row>
    <row r="335">
      <c r="G335" s="254">
        <f>IF(C335="","",IF(ISNUMBER(C335),C335,IF(ISNUMBER(VALUE(LEFT(TRIM(C335),1))),TRIM(C335),TRIM(MID(TRIM(C335),FIND(" ",TRIM(C335))+1,99)))))</f>
        <v/>
      </c>
      <c r="H335" s="254">
        <f>IF(D335="","",IF(ISNUMBER(D335),D335,IF(ISNUMBER(VALUE(LEFT(TRIM(D335),1))),TRIM(D335),TRIM(MID(TRIM(D335),FIND(" ",TRIM(D335))+1,99)))))</f>
        <v/>
      </c>
      <c r="I335" s="255">
        <f>IF(G335="",0,IF(ISNUMBER(G335),G335,IFERROR(DATE(VALUE(MID(G335,FIND("/",G335,FIND("/",G335)+1)+1,4)),VALUE(MID(G335,FIND("/",G335)+1,FIND("/",G335,FIND("/",G335)+1)-FIND("/",G335)-1)),VALUE(LEFT(G335,FIND("/",G335)-1)))+IFERROR(TIMEVALUE(TRIM(MID(G335,FIND(" ",G335)+1,20))),0),0)))</f>
        <v/>
      </c>
      <c r="J335" s="255">
        <f>IF(H335="",0,IF(ISNUMBER(H335),H335,IFERROR(DATE(VALUE(MID(H335,FIND("/",H335,FIND("/",H335)+1)+1,4)),VALUE(MID(H335,FIND("/",H335)+1,FIND("/",H335,FIND("/",H335)+1)-FIND("/",H335)-1)),VALUE(LEFT(H335,FIND("/",H335)-1)))+IFERROR(TIMEVALUE(TRIM(MID(H335,FIND(" ",H335)+1,20))),0),0)))</f>
        <v/>
      </c>
      <c r="K335" s="256">
        <f>IF(I335=0,0,INT(I335))</f>
        <v/>
      </c>
      <c r="L335" s="257">
        <f>IF(OR(I335=0,J335=0),0,ROUND((J335-I335)*24,2))</f>
        <v/>
      </c>
      <c r="M335" s="254">
        <f>IFERROR(TRIM(MID(A335,FIND("@",SUBSTITUTE(A335,"(","@",LEN(A335)-LEN(SUBSTITUTE(A335,"(",""))))+1,FIND(")",A335,FIND("@",SUBSTITUTE(A335,"(","@",LEN(A335)-LEN(SUBSTITUTE(A335,"(","")))))-FIND("@",SUBSTITUTE(A335,"(","@",LEN(A335)-LEN(SUBSTITUTE(A335,"(",""))))-1)),"")</f>
        <v/>
      </c>
      <c r="N335" s="254">
        <f>IF(A335="","",IF(LEFT(TRIM(A335),5)="Leave","Leave",IF(OR(ISNUMBER(SEARCH("public holiday",A335)),ISNUMBER(SEARCH("Purple",E335))),"Public holiday","Event")))</f>
        <v/>
      </c>
    </row>
    <row r="336">
      <c r="G336" s="254">
        <f>IF(C336="","",IF(ISNUMBER(C336),C336,IF(ISNUMBER(VALUE(LEFT(TRIM(C336),1))),TRIM(C336),TRIM(MID(TRIM(C336),FIND(" ",TRIM(C336))+1,99)))))</f>
        <v/>
      </c>
      <c r="H336" s="254">
        <f>IF(D336="","",IF(ISNUMBER(D336),D336,IF(ISNUMBER(VALUE(LEFT(TRIM(D336),1))),TRIM(D336),TRIM(MID(TRIM(D336),FIND(" ",TRIM(D336))+1,99)))))</f>
        <v/>
      </c>
      <c r="I336" s="255">
        <f>IF(G336="",0,IF(ISNUMBER(G336),G336,IFERROR(DATE(VALUE(MID(G336,FIND("/",G336,FIND("/",G336)+1)+1,4)),VALUE(MID(G336,FIND("/",G336)+1,FIND("/",G336,FIND("/",G336)+1)-FIND("/",G336)-1)),VALUE(LEFT(G336,FIND("/",G336)-1)))+IFERROR(TIMEVALUE(TRIM(MID(G336,FIND(" ",G336)+1,20))),0),0)))</f>
        <v/>
      </c>
      <c r="J336" s="255">
        <f>IF(H336="",0,IF(ISNUMBER(H336),H336,IFERROR(DATE(VALUE(MID(H336,FIND("/",H336,FIND("/",H336)+1)+1,4)),VALUE(MID(H336,FIND("/",H336)+1,FIND("/",H336,FIND("/",H336)+1)-FIND("/",H336)-1)),VALUE(LEFT(H336,FIND("/",H336)-1)))+IFERROR(TIMEVALUE(TRIM(MID(H336,FIND(" ",H336)+1,20))),0),0)))</f>
        <v/>
      </c>
      <c r="K336" s="256">
        <f>IF(I336=0,0,INT(I336))</f>
        <v/>
      </c>
      <c r="L336" s="257">
        <f>IF(OR(I336=0,J336=0),0,ROUND((J336-I336)*24,2))</f>
        <v/>
      </c>
      <c r="M336" s="254">
        <f>IFERROR(TRIM(MID(A336,FIND("@",SUBSTITUTE(A336,"(","@",LEN(A336)-LEN(SUBSTITUTE(A336,"(",""))))+1,FIND(")",A336,FIND("@",SUBSTITUTE(A336,"(","@",LEN(A336)-LEN(SUBSTITUTE(A336,"(","")))))-FIND("@",SUBSTITUTE(A336,"(","@",LEN(A336)-LEN(SUBSTITUTE(A336,"(",""))))-1)),"")</f>
        <v/>
      </c>
      <c r="N336" s="254">
        <f>IF(A336="","",IF(LEFT(TRIM(A336),5)="Leave","Leave",IF(OR(ISNUMBER(SEARCH("public holiday",A336)),ISNUMBER(SEARCH("Purple",E336))),"Public holiday","Event")))</f>
        <v/>
      </c>
    </row>
    <row r="337">
      <c r="G337" s="254">
        <f>IF(C337="","",IF(ISNUMBER(C337),C337,IF(ISNUMBER(VALUE(LEFT(TRIM(C337),1))),TRIM(C337),TRIM(MID(TRIM(C337),FIND(" ",TRIM(C337))+1,99)))))</f>
        <v/>
      </c>
      <c r="H337" s="254">
        <f>IF(D337="","",IF(ISNUMBER(D337),D337,IF(ISNUMBER(VALUE(LEFT(TRIM(D337),1))),TRIM(D337),TRIM(MID(TRIM(D337),FIND(" ",TRIM(D337))+1,99)))))</f>
        <v/>
      </c>
      <c r="I337" s="255">
        <f>IF(G337="",0,IF(ISNUMBER(G337),G337,IFERROR(DATE(VALUE(MID(G337,FIND("/",G337,FIND("/",G337)+1)+1,4)),VALUE(MID(G337,FIND("/",G337)+1,FIND("/",G337,FIND("/",G337)+1)-FIND("/",G337)-1)),VALUE(LEFT(G337,FIND("/",G337)-1)))+IFERROR(TIMEVALUE(TRIM(MID(G337,FIND(" ",G337)+1,20))),0),0)))</f>
        <v/>
      </c>
      <c r="J337" s="255">
        <f>IF(H337="",0,IF(ISNUMBER(H337),H337,IFERROR(DATE(VALUE(MID(H337,FIND("/",H337,FIND("/",H337)+1)+1,4)),VALUE(MID(H337,FIND("/",H337)+1,FIND("/",H337,FIND("/",H337)+1)-FIND("/",H337)-1)),VALUE(LEFT(H337,FIND("/",H337)-1)))+IFERROR(TIMEVALUE(TRIM(MID(H337,FIND(" ",H337)+1,20))),0),0)))</f>
        <v/>
      </c>
      <c r="K337" s="256">
        <f>IF(I337=0,0,INT(I337))</f>
        <v/>
      </c>
      <c r="L337" s="257">
        <f>IF(OR(I337=0,J337=0),0,ROUND((J337-I337)*24,2))</f>
        <v/>
      </c>
      <c r="M337" s="254">
        <f>IFERROR(TRIM(MID(A337,FIND("@",SUBSTITUTE(A337,"(","@",LEN(A337)-LEN(SUBSTITUTE(A337,"(",""))))+1,FIND(")",A337,FIND("@",SUBSTITUTE(A337,"(","@",LEN(A337)-LEN(SUBSTITUTE(A337,"(","")))))-FIND("@",SUBSTITUTE(A337,"(","@",LEN(A337)-LEN(SUBSTITUTE(A337,"(",""))))-1)),"")</f>
        <v/>
      </c>
      <c r="N337" s="254">
        <f>IF(A337="","",IF(LEFT(TRIM(A337),5)="Leave","Leave",IF(OR(ISNUMBER(SEARCH("public holiday",A337)),ISNUMBER(SEARCH("Purple",E337))),"Public holiday","Event")))</f>
        <v/>
      </c>
    </row>
    <row r="338">
      <c r="G338" s="254">
        <f>IF(C338="","",IF(ISNUMBER(C338),C338,IF(ISNUMBER(VALUE(LEFT(TRIM(C338),1))),TRIM(C338),TRIM(MID(TRIM(C338),FIND(" ",TRIM(C338))+1,99)))))</f>
        <v/>
      </c>
      <c r="H338" s="254">
        <f>IF(D338="","",IF(ISNUMBER(D338),D338,IF(ISNUMBER(VALUE(LEFT(TRIM(D338),1))),TRIM(D338),TRIM(MID(TRIM(D338),FIND(" ",TRIM(D338))+1,99)))))</f>
        <v/>
      </c>
      <c r="I338" s="255">
        <f>IF(G338="",0,IF(ISNUMBER(G338),G338,IFERROR(DATE(VALUE(MID(G338,FIND("/",G338,FIND("/",G338)+1)+1,4)),VALUE(MID(G338,FIND("/",G338)+1,FIND("/",G338,FIND("/",G338)+1)-FIND("/",G338)-1)),VALUE(LEFT(G338,FIND("/",G338)-1)))+IFERROR(TIMEVALUE(TRIM(MID(G338,FIND(" ",G338)+1,20))),0),0)))</f>
        <v/>
      </c>
      <c r="J338" s="255">
        <f>IF(H338="",0,IF(ISNUMBER(H338),H338,IFERROR(DATE(VALUE(MID(H338,FIND("/",H338,FIND("/",H338)+1)+1,4)),VALUE(MID(H338,FIND("/",H338)+1,FIND("/",H338,FIND("/",H338)+1)-FIND("/",H338)-1)),VALUE(LEFT(H338,FIND("/",H338)-1)))+IFERROR(TIMEVALUE(TRIM(MID(H338,FIND(" ",H338)+1,20))),0),0)))</f>
        <v/>
      </c>
      <c r="K338" s="256">
        <f>IF(I338=0,0,INT(I338))</f>
        <v/>
      </c>
      <c r="L338" s="257">
        <f>IF(OR(I338=0,J338=0),0,ROUND((J338-I338)*24,2))</f>
        <v/>
      </c>
      <c r="M338" s="254">
        <f>IFERROR(TRIM(MID(A338,FIND("@",SUBSTITUTE(A338,"(","@",LEN(A338)-LEN(SUBSTITUTE(A338,"(",""))))+1,FIND(")",A338,FIND("@",SUBSTITUTE(A338,"(","@",LEN(A338)-LEN(SUBSTITUTE(A338,"(","")))))-FIND("@",SUBSTITUTE(A338,"(","@",LEN(A338)-LEN(SUBSTITUTE(A338,"(",""))))-1)),"")</f>
        <v/>
      </c>
      <c r="N338" s="254">
        <f>IF(A338="","",IF(LEFT(TRIM(A338),5)="Leave","Leave",IF(OR(ISNUMBER(SEARCH("public holiday",A338)),ISNUMBER(SEARCH("Purple",E338))),"Public holiday","Event")))</f>
        <v/>
      </c>
    </row>
    <row r="339">
      <c r="G339" s="254">
        <f>IF(C339="","",IF(ISNUMBER(C339),C339,IF(ISNUMBER(VALUE(LEFT(TRIM(C339),1))),TRIM(C339),TRIM(MID(TRIM(C339),FIND(" ",TRIM(C339))+1,99)))))</f>
        <v/>
      </c>
      <c r="H339" s="254">
        <f>IF(D339="","",IF(ISNUMBER(D339),D339,IF(ISNUMBER(VALUE(LEFT(TRIM(D339),1))),TRIM(D339),TRIM(MID(TRIM(D339),FIND(" ",TRIM(D339))+1,99)))))</f>
        <v/>
      </c>
      <c r="I339" s="255">
        <f>IF(G339="",0,IF(ISNUMBER(G339),G339,IFERROR(DATE(VALUE(MID(G339,FIND("/",G339,FIND("/",G339)+1)+1,4)),VALUE(MID(G339,FIND("/",G339)+1,FIND("/",G339,FIND("/",G339)+1)-FIND("/",G339)-1)),VALUE(LEFT(G339,FIND("/",G339)-1)))+IFERROR(TIMEVALUE(TRIM(MID(G339,FIND(" ",G339)+1,20))),0),0)))</f>
        <v/>
      </c>
      <c r="J339" s="255">
        <f>IF(H339="",0,IF(ISNUMBER(H339),H339,IFERROR(DATE(VALUE(MID(H339,FIND("/",H339,FIND("/",H339)+1)+1,4)),VALUE(MID(H339,FIND("/",H339)+1,FIND("/",H339,FIND("/",H339)+1)-FIND("/",H339)-1)),VALUE(LEFT(H339,FIND("/",H339)-1)))+IFERROR(TIMEVALUE(TRIM(MID(H339,FIND(" ",H339)+1,20))),0),0)))</f>
        <v/>
      </c>
      <c r="K339" s="256">
        <f>IF(I339=0,0,INT(I339))</f>
        <v/>
      </c>
      <c r="L339" s="257">
        <f>IF(OR(I339=0,J339=0),0,ROUND((J339-I339)*24,2))</f>
        <v/>
      </c>
      <c r="M339" s="254">
        <f>IFERROR(TRIM(MID(A339,FIND("@",SUBSTITUTE(A339,"(","@",LEN(A339)-LEN(SUBSTITUTE(A339,"(",""))))+1,FIND(")",A339,FIND("@",SUBSTITUTE(A339,"(","@",LEN(A339)-LEN(SUBSTITUTE(A339,"(","")))))-FIND("@",SUBSTITUTE(A339,"(","@",LEN(A339)-LEN(SUBSTITUTE(A339,"(",""))))-1)),"")</f>
        <v/>
      </c>
      <c r="N339" s="254">
        <f>IF(A339="","",IF(LEFT(TRIM(A339),5)="Leave","Leave",IF(OR(ISNUMBER(SEARCH("public holiday",A339)),ISNUMBER(SEARCH("Purple",E339))),"Public holiday","Event")))</f>
        <v/>
      </c>
    </row>
    <row r="340">
      <c r="G340" s="254">
        <f>IF(C340="","",IF(ISNUMBER(C340),C340,IF(ISNUMBER(VALUE(LEFT(TRIM(C340),1))),TRIM(C340),TRIM(MID(TRIM(C340),FIND(" ",TRIM(C340))+1,99)))))</f>
        <v/>
      </c>
      <c r="H340" s="254">
        <f>IF(D340="","",IF(ISNUMBER(D340),D340,IF(ISNUMBER(VALUE(LEFT(TRIM(D340),1))),TRIM(D340),TRIM(MID(TRIM(D340),FIND(" ",TRIM(D340))+1,99)))))</f>
        <v/>
      </c>
      <c r="I340" s="255">
        <f>IF(G340="",0,IF(ISNUMBER(G340),G340,IFERROR(DATE(VALUE(MID(G340,FIND("/",G340,FIND("/",G340)+1)+1,4)),VALUE(MID(G340,FIND("/",G340)+1,FIND("/",G340,FIND("/",G340)+1)-FIND("/",G340)-1)),VALUE(LEFT(G340,FIND("/",G340)-1)))+IFERROR(TIMEVALUE(TRIM(MID(G340,FIND(" ",G340)+1,20))),0),0)))</f>
        <v/>
      </c>
      <c r="J340" s="255">
        <f>IF(H340="",0,IF(ISNUMBER(H340),H340,IFERROR(DATE(VALUE(MID(H340,FIND("/",H340,FIND("/",H340)+1)+1,4)),VALUE(MID(H340,FIND("/",H340)+1,FIND("/",H340,FIND("/",H340)+1)-FIND("/",H340)-1)),VALUE(LEFT(H340,FIND("/",H340)-1)))+IFERROR(TIMEVALUE(TRIM(MID(H340,FIND(" ",H340)+1,20))),0),0)))</f>
        <v/>
      </c>
      <c r="K340" s="256">
        <f>IF(I340=0,0,INT(I340))</f>
        <v/>
      </c>
      <c r="L340" s="257">
        <f>IF(OR(I340=0,J340=0),0,ROUND((J340-I340)*24,2))</f>
        <v/>
      </c>
      <c r="M340" s="254">
        <f>IFERROR(TRIM(MID(A340,FIND("@",SUBSTITUTE(A340,"(","@",LEN(A340)-LEN(SUBSTITUTE(A340,"(",""))))+1,FIND(")",A340,FIND("@",SUBSTITUTE(A340,"(","@",LEN(A340)-LEN(SUBSTITUTE(A340,"(","")))))-FIND("@",SUBSTITUTE(A340,"(","@",LEN(A340)-LEN(SUBSTITUTE(A340,"(",""))))-1)),"")</f>
        <v/>
      </c>
      <c r="N340" s="254">
        <f>IF(A340="","",IF(LEFT(TRIM(A340),5)="Leave","Leave",IF(OR(ISNUMBER(SEARCH("public holiday",A340)),ISNUMBER(SEARCH("Purple",E340))),"Public holiday","Event")))</f>
        <v/>
      </c>
    </row>
    <row r="341">
      <c r="G341" s="254">
        <f>IF(C341="","",IF(ISNUMBER(C341),C341,IF(ISNUMBER(VALUE(LEFT(TRIM(C341),1))),TRIM(C341),TRIM(MID(TRIM(C341),FIND(" ",TRIM(C341))+1,99)))))</f>
        <v/>
      </c>
      <c r="H341" s="254">
        <f>IF(D341="","",IF(ISNUMBER(D341),D341,IF(ISNUMBER(VALUE(LEFT(TRIM(D341),1))),TRIM(D341),TRIM(MID(TRIM(D341),FIND(" ",TRIM(D341))+1,99)))))</f>
        <v/>
      </c>
      <c r="I341" s="255">
        <f>IF(G341="",0,IF(ISNUMBER(G341),G341,IFERROR(DATE(VALUE(MID(G341,FIND("/",G341,FIND("/",G341)+1)+1,4)),VALUE(MID(G341,FIND("/",G341)+1,FIND("/",G341,FIND("/",G341)+1)-FIND("/",G341)-1)),VALUE(LEFT(G341,FIND("/",G341)-1)))+IFERROR(TIMEVALUE(TRIM(MID(G341,FIND(" ",G341)+1,20))),0),0)))</f>
        <v/>
      </c>
      <c r="J341" s="255">
        <f>IF(H341="",0,IF(ISNUMBER(H341),H341,IFERROR(DATE(VALUE(MID(H341,FIND("/",H341,FIND("/",H341)+1)+1,4)),VALUE(MID(H341,FIND("/",H341)+1,FIND("/",H341,FIND("/",H341)+1)-FIND("/",H341)-1)),VALUE(LEFT(H341,FIND("/",H341)-1)))+IFERROR(TIMEVALUE(TRIM(MID(H341,FIND(" ",H341)+1,20))),0),0)))</f>
        <v/>
      </c>
      <c r="K341" s="256">
        <f>IF(I341=0,0,INT(I341))</f>
        <v/>
      </c>
      <c r="L341" s="257">
        <f>IF(OR(I341=0,J341=0),0,ROUND((J341-I341)*24,2))</f>
        <v/>
      </c>
      <c r="M341" s="254">
        <f>IFERROR(TRIM(MID(A341,FIND("@",SUBSTITUTE(A341,"(","@",LEN(A341)-LEN(SUBSTITUTE(A341,"(",""))))+1,FIND(")",A341,FIND("@",SUBSTITUTE(A341,"(","@",LEN(A341)-LEN(SUBSTITUTE(A341,"(","")))))-FIND("@",SUBSTITUTE(A341,"(","@",LEN(A341)-LEN(SUBSTITUTE(A341,"(",""))))-1)),"")</f>
        <v/>
      </c>
      <c r="N341" s="254">
        <f>IF(A341="","",IF(LEFT(TRIM(A341),5)="Leave","Leave",IF(OR(ISNUMBER(SEARCH("public holiday",A341)),ISNUMBER(SEARCH("Purple",E341))),"Public holiday","Event")))</f>
        <v/>
      </c>
    </row>
    <row r="342">
      <c r="G342" s="254">
        <f>IF(C342="","",IF(ISNUMBER(C342),C342,IF(ISNUMBER(VALUE(LEFT(TRIM(C342),1))),TRIM(C342),TRIM(MID(TRIM(C342),FIND(" ",TRIM(C342))+1,99)))))</f>
        <v/>
      </c>
      <c r="H342" s="254">
        <f>IF(D342="","",IF(ISNUMBER(D342),D342,IF(ISNUMBER(VALUE(LEFT(TRIM(D342),1))),TRIM(D342),TRIM(MID(TRIM(D342),FIND(" ",TRIM(D342))+1,99)))))</f>
        <v/>
      </c>
      <c r="I342" s="255">
        <f>IF(G342="",0,IF(ISNUMBER(G342),G342,IFERROR(DATE(VALUE(MID(G342,FIND("/",G342,FIND("/",G342)+1)+1,4)),VALUE(MID(G342,FIND("/",G342)+1,FIND("/",G342,FIND("/",G342)+1)-FIND("/",G342)-1)),VALUE(LEFT(G342,FIND("/",G342)-1)))+IFERROR(TIMEVALUE(TRIM(MID(G342,FIND(" ",G342)+1,20))),0),0)))</f>
        <v/>
      </c>
      <c r="J342" s="255">
        <f>IF(H342="",0,IF(ISNUMBER(H342),H342,IFERROR(DATE(VALUE(MID(H342,FIND("/",H342,FIND("/",H342)+1)+1,4)),VALUE(MID(H342,FIND("/",H342)+1,FIND("/",H342,FIND("/",H342)+1)-FIND("/",H342)-1)),VALUE(LEFT(H342,FIND("/",H342)-1)))+IFERROR(TIMEVALUE(TRIM(MID(H342,FIND(" ",H342)+1,20))),0),0)))</f>
        <v/>
      </c>
      <c r="K342" s="256">
        <f>IF(I342=0,0,INT(I342))</f>
        <v/>
      </c>
      <c r="L342" s="257">
        <f>IF(OR(I342=0,J342=0),0,ROUND((J342-I342)*24,2))</f>
        <v/>
      </c>
      <c r="M342" s="254">
        <f>IFERROR(TRIM(MID(A342,FIND("@",SUBSTITUTE(A342,"(","@",LEN(A342)-LEN(SUBSTITUTE(A342,"(",""))))+1,FIND(")",A342,FIND("@",SUBSTITUTE(A342,"(","@",LEN(A342)-LEN(SUBSTITUTE(A342,"(","")))))-FIND("@",SUBSTITUTE(A342,"(","@",LEN(A342)-LEN(SUBSTITUTE(A342,"(",""))))-1)),"")</f>
        <v/>
      </c>
      <c r="N342" s="254">
        <f>IF(A342="","",IF(LEFT(TRIM(A342),5)="Leave","Leave",IF(OR(ISNUMBER(SEARCH("public holiday",A342)),ISNUMBER(SEARCH("Purple",E342))),"Public holiday","Event")))</f>
        <v/>
      </c>
    </row>
    <row r="343">
      <c r="G343" s="254">
        <f>IF(C343="","",IF(ISNUMBER(C343),C343,IF(ISNUMBER(VALUE(LEFT(TRIM(C343),1))),TRIM(C343),TRIM(MID(TRIM(C343),FIND(" ",TRIM(C343))+1,99)))))</f>
        <v/>
      </c>
      <c r="H343" s="254">
        <f>IF(D343="","",IF(ISNUMBER(D343),D343,IF(ISNUMBER(VALUE(LEFT(TRIM(D343),1))),TRIM(D343),TRIM(MID(TRIM(D343),FIND(" ",TRIM(D343))+1,99)))))</f>
        <v/>
      </c>
      <c r="I343" s="255">
        <f>IF(G343="",0,IF(ISNUMBER(G343),G343,IFERROR(DATE(VALUE(MID(G343,FIND("/",G343,FIND("/",G343)+1)+1,4)),VALUE(MID(G343,FIND("/",G343)+1,FIND("/",G343,FIND("/",G343)+1)-FIND("/",G343)-1)),VALUE(LEFT(G343,FIND("/",G343)-1)))+IFERROR(TIMEVALUE(TRIM(MID(G343,FIND(" ",G343)+1,20))),0),0)))</f>
        <v/>
      </c>
      <c r="J343" s="255">
        <f>IF(H343="",0,IF(ISNUMBER(H343),H343,IFERROR(DATE(VALUE(MID(H343,FIND("/",H343,FIND("/",H343)+1)+1,4)),VALUE(MID(H343,FIND("/",H343)+1,FIND("/",H343,FIND("/",H343)+1)-FIND("/",H343)-1)),VALUE(LEFT(H343,FIND("/",H343)-1)))+IFERROR(TIMEVALUE(TRIM(MID(H343,FIND(" ",H343)+1,20))),0),0)))</f>
        <v/>
      </c>
      <c r="K343" s="256">
        <f>IF(I343=0,0,INT(I343))</f>
        <v/>
      </c>
      <c r="L343" s="257">
        <f>IF(OR(I343=0,J343=0),0,ROUND((J343-I343)*24,2))</f>
        <v/>
      </c>
      <c r="M343" s="254">
        <f>IFERROR(TRIM(MID(A343,FIND("@",SUBSTITUTE(A343,"(","@",LEN(A343)-LEN(SUBSTITUTE(A343,"(",""))))+1,FIND(")",A343,FIND("@",SUBSTITUTE(A343,"(","@",LEN(A343)-LEN(SUBSTITUTE(A343,"(","")))))-FIND("@",SUBSTITUTE(A343,"(","@",LEN(A343)-LEN(SUBSTITUTE(A343,"(",""))))-1)),"")</f>
        <v/>
      </c>
      <c r="N343" s="254">
        <f>IF(A343="","",IF(LEFT(TRIM(A343),5)="Leave","Leave",IF(OR(ISNUMBER(SEARCH("public holiday",A343)),ISNUMBER(SEARCH("Purple",E343))),"Public holiday","Event")))</f>
        <v/>
      </c>
    </row>
    <row r="344">
      <c r="G344" s="254">
        <f>IF(C344="","",IF(ISNUMBER(C344),C344,IF(ISNUMBER(VALUE(LEFT(TRIM(C344),1))),TRIM(C344),TRIM(MID(TRIM(C344),FIND(" ",TRIM(C344))+1,99)))))</f>
        <v/>
      </c>
      <c r="H344" s="254">
        <f>IF(D344="","",IF(ISNUMBER(D344),D344,IF(ISNUMBER(VALUE(LEFT(TRIM(D344),1))),TRIM(D344),TRIM(MID(TRIM(D344),FIND(" ",TRIM(D344))+1,99)))))</f>
        <v/>
      </c>
      <c r="I344" s="255">
        <f>IF(G344="",0,IF(ISNUMBER(G344),G344,IFERROR(DATE(VALUE(MID(G344,FIND("/",G344,FIND("/",G344)+1)+1,4)),VALUE(MID(G344,FIND("/",G344)+1,FIND("/",G344,FIND("/",G344)+1)-FIND("/",G344)-1)),VALUE(LEFT(G344,FIND("/",G344)-1)))+IFERROR(TIMEVALUE(TRIM(MID(G344,FIND(" ",G344)+1,20))),0),0)))</f>
        <v/>
      </c>
      <c r="J344" s="255">
        <f>IF(H344="",0,IF(ISNUMBER(H344),H344,IFERROR(DATE(VALUE(MID(H344,FIND("/",H344,FIND("/",H344)+1)+1,4)),VALUE(MID(H344,FIND("/",H344)+1,FIND("/",H344,FIND("/",H344)+1)-FIND("/",H344)-1)),VALUE(LEFT(H344,FIND("/",H344)-1)))+IFERROR(TIMEVALUE(TRIM(MID(H344,FIND(" ",H344)+1,20))),0),0)))</f>
        <v/>
      </c>
      <c r="K344" s="256">
        <f>IF(I344=0,0,INT(I344))</f>
        <v/>
      </c>
      <c r="L344" s="257">
        <f>IF(OR(I344=0,J344=0),0,ROUND((J344-I344)*24,2))</f>
        <v/>
      </c>
      <c r="M344" s="254">
        <f>IFERROR(TRIM(MID(A344,FIND("@",SUBSTITUTE(A344,"(","@",LEN(A344)-LEN(SUBSTITUTE(A344,"(",""))))+1,FIND(")",A344,FIND("@",SUBSTITUTE(A344,"(","@",LEN(A344)-LEN(SUBSTITUTE(A344,"(","")))))-FIND("@",SUBSTITUTE(A344,"(","@",LEN(A344)-LEN(SUBSTITUTE(A344,"(",""))))-1)),"")</f>
        <v/>
      </c>
      <c r="N344" s="254">
        <f>IF(A344="","",IF(LEFT(TRIM(A344),5)="Leave","Leave",IF(OR(ISNUMBER(SEARCH("public holiday",A344)),ISNUMBER(SEARCH("Purple",E344))),"Public holiday","Event")))</f>
        <v/>
      </c>
    </row>
    <row r="345">
      <c r="G345" s="254">
        <f>IF(C345="","",IF(ISNUMBER(C345),C345,IF(ISNUMBER(VALUE(LEFT(TRIM(C345),1))),TRIM(C345),TRIM(MID(TRIM(C345),FIND(" ",TRIM(C345))+1,99)))))</f>
        <v/>
      </c>
      <c r="H345" s="254">
        <f>IF(D345="","",IF(ISNUMBER(D345),D345,IF(ISNUMBER(VALUE(LEFT(TRIM(D345),1))),TRIM(D345),TRIM(MID(TRIM(D345),FIND(" ",TRIM(D345))+1,99)))))</f>
        <v/>
      </c>
      <c r="I345" s="255">
        <f>IF(G345="",0,IF(ISNUMBER(G345),G345,IFERROR(DATE(VALUE(MID(G345,FIND("/",G345,FIND("/",G345)+1)+1,4)),VALUE(MID(G345,FIND("/",G345)+1,FIND("/",G345,FIND("/",G345)+1)-FIND("/",G345)-1)),VALUE(LEFT(G345,FIND("/",G345)-1)))+IFERROR(TIMEVALUE(TRIM(MID(G345,FIND(" ",G345)+1,20))),0),0)))</f>
        <v/>
      </c>
      <c r="J345" s="255">
        <f>IF(H345="",0,IF(ISNUMBER(H345),H345,IFERROR(DATE(VALUE(MID(H345,FIND("/",H345,FIND("/",H345)+1)+1,4)),VALUE(MID(H345,FIND("/",H345)+1,FIND("/",H345,FIND("/",H345)+1)-FIND("/",H345)-1)),VALUE(LEFT(H345,FIND("/",H345)-1)))+IFERROR(TIMEVALUE(TRIM(MID(H345,FIND(" ",H345)+1,20))),0),0)))</f>
        <v/>
      </c>
      <c r="K345" s="256">
        <f>IF(I345=0,0,INT(I345))</f>
        <v/>
      </c>
      <c r="L345" s="257">
        <f>IF(OR(I345=0,J345=0),0,ROUND((J345-I345)*24,2))</f>
        <v/>
      </c>
      <c r="M345" s="254">
        <f>IFERROR(TRIM(MID(A345,FIND("@",SUBSTITUTE(A345,"(","@",LEN(A345)-LEN(SUBSTITUTE(A345,"(",""))))+1,FIND(")",A345,FIND("@",SUBSTITUTE(A345,"(","@",LEN(A345)-LEN(SUBSTITUTE(A345,"(","")))))-FIND("@",SUBSTITUTE(A345,"(","@",LEN(A345)-LEN(SUBSTITUTE(A345,"(",""))))-1)),"")</f>
        <v/>
      </c>
      <c r="N345" s="254">
        <f>IF(A345="","",IF(LEFT(TRIM(A345),5)="Leave","Leave",IF(OR(ISNUMBER(SEARCH("public holiday",A345)),ISNUMBER(SEARCH("Purple",E345))),"Public holiday","Event")))</f>
        <v/>
      </c>
    </row>
    <row r="346">
      <c r="G346" s="254">
        <f>IF(C346="","",IF(ISNUMBER(C346),C346,IF(ISNUMBER(VALUE(LEFT(TRIM(C346),1))),TRIM(C346),TRIM(MID(TRIM(C346),FIND(" ",TRIM(C346))+1,99)))))</f>
        <v/>
      </c>
      <c r="H346" s="254">
        <f>IF(D346="","",IF(ISNUMBER(D346),D346,IF(ISNUMBER(VALUE(LEFT(TRIM(D346),1))),TRIM(D346),TRIM(MID(TRIM(D346),FIND(" ",TRIM(D346))+1,99)))))</f>
        <v/>
      </c>
      <c r="I346" s="255">
        <f>IF(G346="",0,IF(ISNUMBER(G346),G346,IFERROR(DATE(VALUE(MID(G346,FIND("/",G346,FIND("/",G346)+1)+1,4)),VALUE(MID(G346,FIND("/",G346)+1,FIND("/",G346,FIND("/",G346)+1)-FIND("/",G346)-1)),VALUE(LEFT(G346,FIND("/",G346)-1)))+IFERROR(TIMEVALUE(TRIM(MID(G346,FIND(" ",G346)+1,20))),0),0)))</f>
        <v/>
      </c>
      <c r="J346" s="255">
        <f>IF(H346="",0,IF(ISNUMBER(H346),H346,IFERROR(DATE(VALUE(MID(H346,FIND("/",H346,FIND("/",H346)+1)+1,4)),VALUE(MID(H346,FIND("/",H346)+1,FIND("/",H346,FIND("/",H346)+1)-FIND("/",H346)-1)),VALUE(LEFT(H346,FIND("/",H346)-1)))+IFERROR(TIMEVALUE(TRIM(MID(H346,FIND(" ",H346)+1,20))),0),0)))</f>
        <v/>
      </c>
      <c r="K346" s="256">
        <f>IF(I346=0,0,INT(I346))</f>
        <v/>
      </c>
      <c r="L346" s="257">
        <f>IF(OR(I346=0,J346=0),0,ROUND((J346-I346)*24,2))</f>
        <v/>
      </c>
      <c r="M346" s="254">
        <f>IFERROR(TRIM(MID(A346,FIND("@",SUBSTITUTE(A346,"(","@",LEN(A346)-LEN(SUBSTITUTE(A346,"(",""))))+1,FIND(")",A346,FIND("@",SUBSTITUTE(A346,"(","@",LEN(A346)-LEN(SUBSTITUTE(A346,"(","")))))-FIND("@",SUBSTITUTE(A346,"(","@",LEN(A346)-LEN(SUBSTITUTE(A346,"(",""))))-1)),"")</f>
        <v/>
      </c>
      <c r="N346" s="254">
        <f>IF(A346="","",IF(LEFT(TRIM(A346),5)="Leave","Leave",IF(OR(ISNUMBER(SEARCH("public holiday",A346)),ISNUMBER(SEARCH("Purple",E346))),"Public holiday","Event")))</f>
        <v/>
      </c>
    </row>
    <row r="347">
      <c r="G347" s="254">
        <f>IF(C347="","",IF(ISNUMBER(C347),C347,IF(ISNUMBER(VALUE(LEFT(TRIM(C347),1))),TRIM(C347),TRIM(MID(TRIM(C347),FIND(" ",TRIM(C347))+1,99)))))</f>
        <v/>
      </c>
      <c r="H347" s="254">
        <f>IF(D347="","",IF(ISNUMBER(D347),D347,IF(ISNUMBER(VALUE(LEFT(TRIM(D347),1))),TRIM(D347),TRIM(MID(TRIM(D347),FIND(" ",TRIM(D347))+1,99)))))</f>
        <v/>
      </c>
      <c r="I347" s="255">
        <f>IF(G347="",0,IF(ISNUMBER(G347),G347,IFERROR(DATE(VALUE(MID(G347,FIND("/",G347,FIND("/",G347)+1)+1,4)),VALUE(MID(G347,FIND("/",G347)+1,FIND("/",G347,FIND("/",G347)+1)-FIND("/",G347)-1)),VALUE(LEFT(G347,FIND("/",G347)-1)))+IFERROR(TIMEVALUE(TRIM(MID(G347,FIND(" ",G347)+1,20))),0),0)))</f>
        <v/>
      </c>
      <c r="J347" s="255">
        <f>IF(H347="",0,IF(ISNUMBER(H347),H347,IFERROR(DATE(VALUE(MID(H347,FIND("/",H347,FIND("/",H347)+1)+1,4)),VALUE(MID(H347,FIND("/",H347)+1,FIND("/",H347,FIND("/",H347)+1)-FIND("/",H347)-1)),VALUE(LEFT(H347,FIND("/",H347)-1)))+IFERROR(TIMEVALUE(TRIM(MID(H347,FIND(" ",H347)+1,20))),0),0)))</f>
        <v/>
      </c>
      <c r="K347" s="256">
        <f>IF(I347=0,0,INT(I347))</f>
        <v/>
      </c>
      <c r="L347" s="257">
        <f>IF(OR(I347=0,J347=0),0,ROUND((J347-I347)*24,2))</f>
        <v/>
      </c>
      <c r="M347" s="254">
        <f>IFERROR(TRIM(MID(A347,FIND("@",SUBSTITUTE(A347,"(","@",LEN(A347)-LEN(SUBSTITUTE(A347,"(",""))))+1,FIND(")",A347,FIND("@",SUBSTITUTE(A347,"(","@",LEN(A347)-LEN(SUBSTITUTE(A347,"(","")))))-FIND("@",SUBSTITUTE(A347,"(","@",LEN(A347)-LEN(SUBSTITUTE(A347,"(",""))))-1)),"")</f>
        <v/>
      </c>
      <c r="N347" s="254">
        <f>IF(A347="","",IF(LEFT(TRIM(A347),5)="Leave","Leave",IF(OR(ISNUMBER(SEARCH("public holiday",A347)),ISNUMBER(SEARCH("Purple",E347))),"Public holiday","Event")))</f>
        <v/>
      </c>
    </row>
    <row r="348">
      <c r="G348" s="254">
        <f>IF(C348="","",IF(ISNUMBER(C348),C348,IF(ISNUMBER(VALUE(LEFT(TRIM(C348),1))),TRIM(C348),TRIM(MID(TRIM(C348),FIND(" ",TRIM(C348))+1,99)))))</f>
        <v/>
      </c>
      <c r="H348" s="254">
        <f>IF(D348="","",IF(ISNUMBER(D348),D348,IF(ISNUMBER(VALUE(LEFT(TRIM(D348),1))),TRIM(D348),TRIM(MID(TRIM(D348),FIND(" ",TRIM(D348))+1,99)))))</f>
        <v/>
      </c>
      <c r="I348" s="255">
        <f>IF(G348="",0,IF(ISNUMBER(G348),G348,IFERROR(DATE(VALUE(MID(G348,FIND("/",G348,FIND("/",G348)+1)+1,4)),VALUE(MID(G348,FIND("/",G348)+1,FIND("/",G348,FIND("/",G348)+1)-FIND("/",G348)-1)),VALUE(LEFT(G348,FIND("/",G348)-1)))+IFERROR(TIMEVALUE(TRIM(MID(G348,FIND(" ",G348)+1,20))),0),0)))</f>
        <v/>
      </c>
      <c r="J348" s="255">
        <f>IF(H348="",0,IF(ISNUMBER(H348),H348,IFERROR(DATE(VALUE(MID(H348,FIND("/",H348,FIND("/",H348)+1)+1,4)),VALUE(MID(H348,FIND("/",H348)+1,FIND("/",H348,FIND("/",H348)+1)-FIND("/",H348)-1)),VALUE(LEFT(H348,FIND("/",H348)-1)))+IFERROR(TIMEVALUE(TRIM(MID(H348,FIND(" ",H348)+1,20))),0),0)))</f>
        <v/>
      </c>
      <c r="K348" s="256">
        <f>IF(I348=0,0,INT(I348))</f>
        <v/>
      </c>
      <c r="L348" s="257">
        <f>IF(OR(I348=0,J348=0),0,ROUND((J348-I348)*24,2))</f>
        <v/>
      </c>
      <c r="M348" s="254">
        <f>IFERROR(TRIM(MID(A348,FIND("@",SUBSTITUTE(A348,"(","@",LEN(A348)-LEN(SUBSTITUTE(A348,"(",""))))+1,FIND(")",A348,FIND("@",SUBSTITUTE(A348,"(","@",LEN(A348)-LEN(SUBSTITUTE(A348,"(","")))))-FIND("@",SUBSTITUTE(A348,"(","@",LEN(A348)-LEN(SUBSTITUTE(A348,"(",""))))-1)),"")</f>
        <v/>
      </c>
      <c r="N348" s="254">
        <f>IF(A348="","",IF(LEFT(TRIM(A348),5)="Leave","Leave",IF(OR(ISNUMBER(SEARCH("public holiday",A348)),ISNUMBER(SEARCH("Purple",E348))),"Public holiday","Event")))</f>
        <v/>
      </c>
    </row>
    <row r="349">
      <c r="G349" s="254">
        <f>IF(C349="","",IF(ISNUMBER(C349),C349,IF(ISNUMBER(VALUE(LEFT(TRIM(C349),1))),TRIM(C349),TRIM(MID(TRIM(C349),FIND(" ",TRIM(C349))+1,99)))))</f>
        <v/>
      </c>
      <c r="H349" s="254">
        <f>IF(D349="","",IF(ISNUMBER(D349),D349,IF(ISNUMBER(VALUE(LEFT(TRIM(D349),1))),TRIM(D349),TRIM(MID(TRIM(D349),FIND(" ",TRIM(D349))+1,99)))))</f>
        <v/>
      </c>
      <c r="I349" s="255">
        <f>IF(G349="",0,IF(ISNUMBER(G349),G349,IFERROR(DATE(VALUE(MID(G349,FIND("/",G349,FIND("/",G349)+1)+1,4)),VALUE(MID(G349,FIND("/",G349)+1,FIND("/",G349,FIND("/",G349)+1)-FIND("/",G349)-1)),VALUE(LEFT(G349,FIND("/",G349)-1)))+IFERROR(TIMEVALUE(TRIM(MID(G349,FIND(" ",G349)+1,20))),0),0)))</f>
        <v/>
      </c>
      <c r="J349" s="255">
        <f>IF(H349="",0,IF(ISNUMBER(H349),H349,IFERROR(DATE(VALUE(MID(H349,FIND("/",H349,FIND("/",H349)+1)+1,4)),VALUE(MID(H349,FIND("/",H349)+1,FIND("/",H349,FIND("/",H349)+1)-FIND("/",H349)-1)),VALUE(LEFT(H349,FIND("/",H349)-1)))+IFERROR(TIMEVALUE(TRIM(MID(H349,FIND(" ",H349)+1,20))),0),0)))</f>
        <v/>
      </c>
      <c r="K349" s="256">
        <f>IF(I349=0,0,INT(I349))</f>
        <v/>
      </c>
      <c r="L349" s="257">
        <f>IF(OR(I349=0,J349=0),0,ROUND((J349-I349)*24,2))</f>
        <v/>
      </c>
      <c r="M349" s="254">
        <f>IFERROR(TRIM(MID(A349,FIND("@",SUBSTITUTE(A349,"(","@",LEN(A349)-LEN(SUBSTITUTE(A349,"(",""))))+1,FIND(")",A349,FIND("@",SUBSTITUTE(A349,"(","@",LEN(A349)-LEN(SUBSTITUTE(A349,"(","")))))-FIND("@",SUBSTITUTE(A349,"(","@",LEN(A349)-LEN(SUBSTITUTE(A349,"(",""))))-1)),"")</f>
        <v/>
      </c>
      <c r="N349" s="254">
        <f>IF(A349="","",IF(LEFT(TRIM(A349),5)="Leave","Leave",IF(OR(ISNUMBER(SEARCH("public holiday",A349)),ISNUMBER(SEARCH("Purple",E349))),"Public holiday","Event")))</f>
        <v/>
      </c>
    </row>
    <row r="350">
      <c r="G350" s="254">
        <f>IF(C350="","",IF(ISNUMBER(C350),C350,IF(ISNUMBER(VALUE(LEFT(TRIM(C350),1))),TRIM(C350),TRIM(MID(TRIM(C350),FIND(" ",TRIM(C350))+1,99)))))</f>
        <v/>
      </c>
      <c r="H350" s="254">
        <f>IF(D350="","",IF(ISNUMBER(D350),D350,IF(ISNUMBER(VALUE(LEFT(TRIM(D350),1))),TRIM(D350),TRIM(MID(TRIM(D350),FIND(" ",TRIM(D350))+1,99)))))</f>
        <v/>
      </c>
      <c r="I350" s="255">
        <f>IF(G350="",0,IF(ISNUMBER(G350),G350,IFERROR(DATE(VALUE(MID(G350,FIND("/",G350,FIND("/",G350)+1)+1,4)),VALUE(MID(G350,FIND("/",G350)+1,FIND("/",G350,FIND("/",G350)+1)-FIND("/",G350)-1)),VALUE(LEFT(G350,FIND("/",G350)-1)))+IFERROR(TIMEVALUE(TRIM(MID(G350,FIND(" ",G350)+1,20))),0),0)))</f>
        <v/>
      </c>
      <c r="J350" s="255">
        <f>IF(H350="",0,IF(ISNUMBER(H350),H350,IFERROR(DATE(VALUE(MID(H350,FIND("/",H350,FIND("/",H350)+1)+1,4)),VALUE(MID(H350,FIND("/",H350)+1,FIND("/",H350,FIND("/",H350)+1)-FIND("/",H350)-1)),VALUE(LEFT(H350,FIND("/",H350)-1)))+IFERROR(TIMEVALUE(TRIM(MID(H350,FIND(" ",H350)+1,20))),0),0)))</f>
        <v/>
      </c>
      <c r="K350" s="256">
        <f>IF(I350=0,0,INT(I350))</f>
        <v/>
      </c>
      <c r="L350" s="257">
        <f>IF(OR(I350=0,J350=0),0,ROUND((J350-I350)*24,2))</f>
        <v/>
      </c>
      <c r="M350" s="254">
        <f>IFERROR(TRIM(MID(A350,FIND("@",SUBSTITUTE(A350,"(","@",LEN(A350)-LEN(SUBSTITUTE(A350,"(",""))))+1,FIND(")",A350,FIND("@",SUBSTITUTE(A350,"(","@",LEN(A350)-LEN(SUBSTITUTE(A350,"(","")))))-FIND("@",SUBSTITUTE(A350,"(","@",LEN(A350)-LEN(SUBSTITUTE(A350,"(",""))))-1)),"")</f>
        <v/>
      </c>
      <c r="N350" s="254">
        <f>IF(A350="","",IF(LEFT(TRIM(A350),5)="Leave","Leave",IF(OR(ISNUMBER(SEARCH("public holiday",A350)),ISNUMBER(SEARCH("Purple",E350))),"Public holiday","Event")))</f>
        <v/>
      </c>
    </row>
    <row r="351">
      <c r="G351" s="254">
        <f>IF(C351="","",IF(ISNUMBER(C351),C351,IF(ISNUMBER(VALUE(LEFT(TRIM(C351),1))),TRIM(C351),TRIM(MID(TRIM(C351),FIND(" ",TRIM(C351))+1,99)))))</f>
        <v/>
      </c>
      <c r="H351" s="254">
        <f>IF(D351="","",IF(ISNUMBER(D351),D351,IF(ISNUMBER(VALUE(LEFT(TRIM(D351),1))),TRIM(D351),TRIM(MID(TRIM(D351),FIND(" ",TRIM(D351))+1,99)))))</f>
        <v/>
      </c>
      <c r="I351" s="255">
        <f>IF(G351="",0,IF(ISNUMBER(G351),G351,IFERROR(DATE(VALUE(MID(G351,FIND("/",G351,FIND("/",G351)+1)+1,4)),VALUE(MID(G351,FIND("/",G351)+1,FIND("/",G351,FIND("/",G351)+1)-FIND("/",G351)-1)),VALUE(LEFT(G351,FIND("/",G351)-1)))+IFERROR(TIMEVALUE(TRIM(MID(G351,FIND(" ",G351)+1,20))),0),0)))</f>
        <v/>
      </c>
      <c r="J351" s="255">
        <f>IF(H351="",0,IF(ISNUMBER(H351),H351,IFERROR(DATE(VALUE(MID(H351,FIND("/",H351,FIND("/",H351)+1)+1,4)),VALUE(MID(H351,FIND("/",H351)+1,FIND("/",H351,FIND("/",H351)+1)-FIND("/",H351)-1)),VALUE(LEFT(H351,FIND("/",H351)-1)))+IFERROR(TIMEVALUE(TRIM(MID(H351,FIND(" ",H351)+1,20))),0),0)))</f>
        <v/>
      </c>
      <c r="K351" s="256">
        <f>IF(I351=0,0,INT(I351))</f>
        <v/>
      </c>
      <c r="L351" s="257">
        <f>IF(OR(I351=0,J351=0),0,ROUND((J351-I351)*24,2))</f>
        <v/>
      </c>
      <c r="M351" s="254">
        <f>IFERROR(TRIM(MID(A351,FIND("@",SUBSTITUTE(A351,"(","@",LEN(A351)-LEN(SUBSTITUTE(A351,"(",""))))+1,FIND(")",A351,FIND("@",SUBSTITUTE(A351,"(","@",LEN(A351)-LEN(SUBSTITUTE(A351,"(","")))))-FIND("@",SUBSTITUTE(A351,"(","@",LEN(A351)-LEN(SUBSTITUTE(A351,"(",""))))-1)),"")</f>
        <v/>
      </c>
      <c r="N351" s="254">
        <f>IF(A351="","",IF(LEFT(TRIM(A351),5)="Leave","Leave",IF(OR(ISNUMBER(SEARCH("public holiday",A351)),ISNUMBER(SEARCH("Purple",E351))),"Public holiday","Event")))</f>
        <v/>
      </c>
    </row>
    <row r="352">
      <c r="G352" s="254">
        <f>IF(C352="","",IF(ISNUMBER(C352),C352,IF(ISNUMBER(VALUE(LEFT(TRIM(C352),1))),TRIM(C352),TRIM(MID(TRIM(C352),FIND(" ",TRIM(C352))+1,99)))))</f>
        <v/>
      </c>
      <c r="H352" s="254">
        <f>IF(D352="","",IF(ISNUMBER(D352),D352,IF(ISNUMBER(VALUE(LEFT(TRIM(D352),1))),TRIM(D352),TRIM(MID(TRIM(D352),FIND(" ",TRIM(D352))+1,99)))))</f>
        <v/>
      </c>
      <c r="I352" s="255">
        <f>IF(G352="",0,IF(ISNUMBER(G352),G352,IFERROR(DATE(VALUE(MID(G352,FIND("/",G352,FIND("/",G352)+1)+1,4)),VALUE(MID(G352,FIND("/",G352)+1,FIND("/",G352,FIND("/",G352)+1)-FIND("/",G352)-1)),VALUE(LEFT(G352,FIND("/",G352)-1)))+IFERROR(TIMEVALUE(TRIM(MID(G352,FIND(" ",G352)+1,20))),0),0)))</f>
        <v/>
      </c>
      <c r="J352" s="255">
        <f>IF(H352="",0,IF(ISNUMBER(H352),H352,IFERROR(DATE(VALUE(MID(H352,FIND("/",H352,FIND("/",H352)+1)+1,4)),VALUE(MID(H352,FIND("/",H352)+1,FIND("/",H352,FIND("/",H352)+1)-FIND("/",H352)-1)),VALUE(LEFT(H352,FIND("/",H352)-1)))+IFERROR(TIMEVALUE(TRIM(MID(H352,FIND(" ",H352)+1,20))),0),0)))</f>
        <v/>
      </c>
      <c r="K352" s="256">
        <f>IF(I352=0,0,INT(I352))</f>
        <v/>
      </c>
      <c r="L352" s="257">
        <f>IF(OR(I352=0,J352=0),0,ROUND((J352-I352)*24,2))</f>
        <v/>
      </c>
      <c r="M352" s="254">
        <f>IFERROR(TRIM(MID(A352,FIND("@",SUBSTITUTE(A352,"(","@",LEN(A352)-LEN(SUBSTITUTE(A352,"(",""))))+1,FIND(")",A352,FIND("@",SUBSTITUTE(A352,"(","@",LEN(A352)-LEN(SUBSTITUTE(A352,"(","")))))-FIND("@",SUBSTITUTE(A352,"(","@",LEN(A352)-LEN(SUBSTITUTE(A352,"(",""))))-1)),"")</f>
        <v/>
      </c>
      <c r="N352" s="254">
        <f>IF(A352="","",IF(LEFT(TRIM(A352),5)="Leave","Leave",IF(OR(ISNUMBER(SEARCH("public holiday",A352)),ISNUMBER(SEARCH("Purple",E352))),"Public holiday","Event")))</f>
        <v/>
      </c>
    </row>
    <row r="353">
      <c r="G353" s="254">
        <f>IF(C353="","",IF(ISNUMBER(C353),C353,IF(ISNUMBER(VALUE(LEFT(TRIM(C353),1))),TRIM(C353),TRIM(MID(TRIM(C353),FIND(" ",TRIM(C353))+1,99)))))</f>
        <v/>
      </c>
      <c r="H353" s="254">
        <f>IF(D353="","",IF(ISNUMBER(D353),D353,IF(ISNUMBER(VALUE(LEFT(TRIM(D353),1))),TRIM(D353),TRIM(MID(TRIM(D353),FIND(" ",TRIM(D353))+1,99)))))</f>
        <v/>
      </c>
      <c r="I353" s="255">
        <f>IF(G353="",0,IF(ISNUMBER(G353),G353,IFERROR(DATE(VALUE(MID(G353,FIND("/",G353,FIND("/",G353)+1)+1,4)),VALUE(MID(G353,FIND("/",G353)+1,FIND("/",G353,FIND("/",G353)+1)-FIND("/",G353)-1)),VALUE(LEFT(G353,FIND("/",G353)-1)))+IFERROR(TIMEVALUE(TRIM(MID(G353,FIND(" ",G353)+1,20))),0),0)))</f>
        <v/>
      </c>
      <c r="J353" s="255">
        <f>IF(H353="",0,IF(ISNUMBER(H353),H353,IFERROR(DATE(VALUE(MID(H353,FIND("/",H353,FIND("/",H353)+1)+1,4)),VALUE(MID(H353,FIND("/",H353)+1,FIND("/",H353,FIND("/",H353)+1)-FIND("/",H353)-1)),VALUE(LEFT(H353,FIND("/",H353)-1)))+IFERROR(TIMEVALUE(TRIM(MID(H353,FIND(" ",H353)+1,20))),0),0)))</f>
        <v/>
      </c>
      <c r="K353" s="256">
        <f>IF(I353=0,0,INT(I353))</f>
        <v/>
      </c>
      <c r="L353" s="257">
        <f>IF(OR(I353=0,J353=0),0,ROUND((J353-I353)*24,2))</f>
        <v/>
      </c>
      <c r="M353" s="254">
        <f>IFERROR(TRIM(MID(A353,FIND("@",SUBSTITUTE(A353,"(","@",LEN(A353)-LEN(SUBSTITUTE(A353,"(",""))))+1,FIND(")",A353,FIND("@",SUBSTITUTE(A353,"(","@",LEN(A353)-LEN(SUBSTITUTE(A353,"(","")))))-FIND("@",SUBSTITUTE(A353,"(","@",LEN(A353)-LEN(SUBSTITUTE(A353,"(",""))))-1)),"")</f>
        <v/>
      </c>
      <c r="N353" s="254">
        <f>IF(A353="","",IF(LEFT(TRIM(A353),5)="Leave","Leave",IF(OR(ISNUMBER(SEARCH("public holiday",A353)),ISNUMBER(SEARCH("Purple",E353))),"Public holiday","Event")))</f>
        <v/>
      </c>
    </row>
    <row r="354">
      <c r="G354" s="254">
        <f>IF(C354="","",IF(ISNUMBER(C354),C354,IF(ISNUMBER(VALUE(LEFT(TRIM(C354),1))),TRIM(C354),TRIM(MID(TRIM(C354),FIND(" ",TRIM(C354))+1,99)))))</f>
        <v/>
      </c>
      <c r="H354" s="254">
        <f>IF(D354="","",IF(ISNUMBER(D354),D354,IF(ISNUMBER(VALUE(LEFT(TRIM(D354),1))),TRIM(D354),TRIM(MID(TRIM(D354),FIND(" ",TRIM(D354))+1,99)))))</f>
        <v/>
      </c>
      <c r="I354" s="255">
        <f>IF(G354="",0,IF(ISNUMBER(G354),G354,IFERROR(DATE(VALUE(MID(G354,FIND("/",G354,FIND("/",G354)+1)+1,4)),VALUE(MID(G354,FIND("/",G354)+1,FIND("/",G354,FIND("/",G354)+1)-FIND("/",G354)-1)),VALUE(LEFT(G354,FIND("/",G354)-1)))+IFERROR(TIMEVALUE(TRIM(MID(G354,FIND(" ",G354)+1,20))),0),0)))</f>
        <v/>
      </c>
      <c r="J354" s="255">
        <f>IF(H354="",0,IF(ISNUMBER(H354),H354,IFERROR(DATE(VALUE(MID(H354,FIND("/",H354,FIND("/",H354)+1)+1,4)),VALUE(MID(H354,FIND("/",H354)+1,FIND("/",H354,FIND("/",H354)+1)-FIND("/",H354)-1)),VALUE(LEFT(H354,FIND("/",H354)-1)))+IFERROR(TIMEVALUE(TRIM(MID(H354,FIND(" ",H354)+1,20))),0),0)))</f>
        <v/>
      </c>
      <c r="K354" s="256">
        <f>IF(I354=0,0,INT(I354))</f>
        <v/>
      </c>
      <c r="L354" s="257">
        <f>IF(OR(I354=0,J354=0),0,ROUND((J354-I354)*24,2))</f>
        <v/>
      </c>
      <c r="M354" s="254">
        <f>IFERROR(TRIM(MID(A354,FIND("@",SUBSTITUTE(A354,"(","@",LEN(A354)-LEN(SUBSTITUTE(A354,"(",""))))+1,FIND(")",A354,FIND("@",SUBSTITUTE(A354,"(","@",LEN(A354)-LEN(SUBSTITUTE(A354,"(","")))))-FIND("@",SUBSTITUTE(A354,"(","@",LEN(A354)-LEN(SUBSTITUTE(A354,"(",""))))-1)),"")</f>
        <v/>
      </c>
      <c r="N354" s="254">
        <f>IF(A354="","",IF(LEFT(TRIM(A354),5)="Leave","Leave",IF(OR(ISNUMBER(SEARCH("public holiday",A354)),ISNUMBER(SEARCH("Purple",E354))),"Public holiday","Event")))</f>
        <v/>
      </c>
    </row>
    <row r="355">
      <c r="G355" s="254">
        <f>IF(C355="","",IF(ISNUMBER(C355),C355,IF(ISNUMBER(VALUE(LEFT(TRIM(C355),1))),TRIM(C355),TRIM(MID(TRIM(C355),FIND(" ",TRIM(C355))+1,99)))))</f>
        <v/>
      </c>
      <c r="H355" s="254">
        <f>IF(D355="","",IF(ISNUMBER(D355),D355,IF(ISNUMBER(VALUE(LEFT(TRIM(D355),1))),TRIM(D355),TRIM(MID(TRIM(D355),FIND(" ",TRIM(D355))+1,99)))))</f>
        <v/>
      </c>
      <c r="I355" s="255">
        <f>IF(G355="",0,IF(ISNUMBER(G355),G355,IFERROR(DATE(VALUE(MID(G355,FIND("/",G355,FIND("/",G355)+1)+1,4)),VALUE(MID(G355,FIND("/",G355)+1,FIND("/",G355,FIND("/",G355)+1)-FIND("/",G355)-1)),VALUE(LEFT(G355,FIND("/",G355)-1)))+IFERROR(TIMEVALUE(TRIM(MID(G355,FIND(" ",G355)+1,20))),0),0)))</f>
        <v/>
      </c>
      <c r="J355" s="255">
        <f>IF(H355="",0,IF(ISNUMBER(H355),H355,IFERROR(DATE(VALUE(MID(H355,FIND("/",H355,FIND("/",H355)+1)+1,4)),VALUE(MID(H355,FIND("/",H355)+1,FIND("/",H355,FIND("/",H355)+1)-FIND("/",H355)-1)),VALUE(LEFT(H355,FIND("/",H355)-1)))+IFERROR(TIMEVALUE(TRIM(MID(H355,FIND(" ",H355)+1,20))),0),0)))</f>
        <v/>
      </c>
      <c r="K355" s="256">
        <f>IF(I355=0,0,INT(I355))</f>
        <v/>
      </c>
      <c r="L355" s="257">
        <f>IF(OR(I355=0,J355=0),0,ROUND((J355-I355)*24,2))</f>
        <v/>
      </c>
      <c r="M355" s="254">
        <f>IFERROR(TRIM(MID(A355,FIND("@",SUBSTITUTE(A355,"(","@",LEN(A355)-LEN(SUBSTITUTE(A355,"(",""))))+1,FIND(")",A355,FIND("@",SUBSTITUTE(A355,"(","@",LEN(A355)-LEN(SUBSTITUTE(A355,"(","")))))-FIND("@",SUBSTITUTE(A355,"(","@",LEN(A355)-LEN(SUBSTITUTE(A355,"(",""))))-1)),"")</f>
        <v/>
      </c>
      <c r="N355" s="254">
        <f>IF(A355="","",IF(LEFT(TRIM(A355),5)="Leave","Leave",IF(OR(ISNUMBER(SEARCH("public holiday",A355)),ISNUMBER(SEARCH("Purple",E355))),"Public holiday","Event")))</f>
        <v/>
      </c>
    </row>
    <row r="356">
      <c r="G356" s="254">
        <f>IF(C356="","",IF(ISNUMBER(C356),C356,IF(ISNUMBER(VALUE(LEFT(TRIM(C356),1))),TRIM(C356),TRIM(MID(TRIM(C356),FIND(" ",TRIM(C356))+1,99)))))</f>
        <v/>
      </c>
      <c r="H356" s="254">
        <f>IF(D356="","",IF(ISNUMBER(D356),D356,IF(ISNUMBER(VALUE(LEFT(TRIM(D356),1))),TRIM(D356),TRIM(MID(TRIM(D356),FIND(" ",TRIM(D356))+1,99)))))</f>
        <v/>
      </c>
      <c r="I356" s="255">
        <f>IF(G356="",0,IF(ISNUMBER(G356),G356,IFERROR(DATE(VALUE(MID(G356,FIND("/",G356,FIND("/",G356)+1)+1,4)),VALUE(MID(G356,FIND("/",G356)+1,FIND("/",G356,FIND("/",G356)+1)-FIND("/",G356)-1)),VALUE(LEFT(G356,FIND("/",G356)-1)))+IFERROR(TIMEVALUE(TRIM(MID(G356,FIND(" ",G356)+1,20))),0),0)))</f>
        <v/>
      </c>
      <c r="J356" s="255">
        <f>IF(H356="",0,IF(ISNUMBER(H356),H356,IFERROR(DATE(VALUE(MID(H356,FIND("/",H356,FIND("/",H356)+1)+1,4)),VALUE(MID(H356,FIND("/",H356)+1,FIND("/",H356,FIND("/",H356)+1)-FIND("/",H356)-1)),VALUE(LEFT(H356,FIND("/",H356)-1)))+IFERROR(TIMEVALUE(TRIM(MID(H356,FIND(" ",H356)+1,20))),0),0)))</f>
        <v/>
      </c>
      <c r="K356" s="256">
        <f>IF(I356=0,0,INT(I356))</f>
        <v/>
      </c>
      <c r="L356" s="257">
        <f>IF(OR(I356=0,J356=0),0,ROUND((J356-I356)*24,2))</f>
        <v/>
      </c>
      <c r="M356" s="254">
        <f>IFERROR(TRIM(MID(A356,FIND("@",SUBSTITUTE(A356,"(","@",LEN(A356)-LEN(SUBSTITUTE(A356,"(",""))))+1,FIND(")",A356,FIND("@",SUBSTITUTE(A356,"(","@",LEN(A356)-LEN(SUBSTITUTE(A356,"(","")))))-FIND("@",SUBSTITUTE(A356,"(","@",LEN(A356)-LEN(SUBSTITUTE(A356,"(",""))))-1)),"")</f>
        <v/>
      </c>
      <c r="N356" s="254">
        <f>IF(A356="","",IF(LEFT(TRIM(A356),5)="Leave","Leave",IF(OR(ISNUMBER(SEARCH("public holiday",A356)),ISNUMBER(SEARCH("Purple",E356))),"Public holiday","Event")))</f>
        <v/>
      </c>
    </row>
    <row r="357">
      <c r="G357" s="254">
        <f>IF(C357="","",IF(ISNUMBER(C357),C357,IF(ISNUMBER(VALUE(LEFT(TRIM(C357),1))),TRIM(C357),TRIM(MID(TRIM(C357),FIND(" ",TRIM(C357))+1,99)))))</f>
        <v/>
      </c>
      <c r="H357" s="254">
        <f>IF(D357="","",IF(ISNUMBER(D357),D357,IF(ISNUMBER(VALUE(LEFT(TRIM(D357),1))),TRIM(D357),TRIM(MID(TRIM(D357),FIND(" ",TRIM(D357))+1,99)))))</f>
        <v/>
      </c>
      <c r="I357" s="255">
        <f>IF(G357="",0,IF(ISNUMBER(G357),G357,IFERROR(DATE(VALUE(MID(G357,FIND("/",G357,FIND("/",G357)+1)+1,4)),VALUE(MID(G357,FIND("/",G357)+1,FIND("/",G357,FIND("/",G357)+1)-FIND("/",G357)-1)),VALUE(LEFT(G357,FIND("/",G357)-1)))+IFERROR(TIMEVALUE(TRIM(MID(G357,FIND(" ",G357)+1,20))),0),0)))</f>
        <v/>
      </c>
      <c r="J357" s="255">
        <f>IF(H357="",0,IF(ISNUMBER(H357),H357,IFERROR(DATE(VALUE(MID(H357,FIND("/",H357,FIND("/",H357)+1)+1,4)),VALUE(MID(H357,FIND("/",H357)+1,FIND("/",H357,FIND("/",H357)+1)-FIND("/",H357)-1)),VALUE(LEFT(H357,FIND("/",H357)-1)))+IFERROR(TIMEVALUE(TRIM(MID(H357,FIND(" ",H357)+1,20))),0),0)))</f>
        <v/>
      </c>
      <c r="K357" s="256">
        <f>IF(I357=0,0,INT(I357))</f>
        <v/>
      </c>
      <c r="L357" s="257">
        <f>IF(OR(I357=0,J357=0),0,ROUND((J357-I357)*24,2))</f>
        <v/>
      </c>
      <c r="M357" s="254">
        <f>IFERROR(TRIM(MID(A357,FIND("@",SUBSTITUTE(A357,"(","@",LEN(A357)-LEN(SUBSTITUTE(A357,"(",""))))+1,FIND(")",A357,FIND("@",SUBSTITUTE(A357,"(","@",LEN(A357)-LEN(SUBSTITUTE(A357,"(","")))))-FIND("@",SUBSTITUTE(A357,"(","@",LEN(A357)-LEN(SUBSTITUTE(A357,"(",""))))-1)),"")</f>
        <v/>
      </c>
      <c r="N357" s="254">
        <f>IF(A357="","",IF(LEFT(TRIM(A357),5)="Leave","Leave",IF(OR(ISNUMBER(SEARCH("public holiday",A357)),ISNUMBER(SEARCH("Purple",E357))),"Public holiday","Event")))</f>
        <v/>
      </c>
    </row>
    <row r="358">
      <c r="G358" s="254">
        <f>IF(C358="","",IF(ISNUMBER(C358),C358,IF(ISNUMBER(VALUE(LEFT(TRIM(C358),1))),TRIM(C358),TRIM(MID(TRIM(C358),FIND(" ",TRIM(C358))+1,99)))))</f>
        <v/>
      </c>
      <c r="H358" s="254">
        <f>IF(D358="","",IF(ISNUMBER(D358),D358,IF(ISNUMBER(VALUE(LEFT(TRIM(D358),1))),TRIM(D358),TRIM(MID(TRIM(D358),FIND(" ",TRIM(D358))+1,99)))))</f>
        <v/>
      </c>
      <c r="I358" s="255">
        <f>IF(G358="",0,IF(ISNUMBER(G358),G358,IFERROR(DATE(VALUE(MID(G358,FIND("/",G358,FIND("/",G358)+1)+1,4)),VALUE(MID(G358,FIND("/",G358)+1,FIND("/",G358,FIND("/",G358)+1)-FIND("/",G358)-1)),VALUE(LEFT(G358,FIND("/",G358)-1)))+IFERROR(TIMEVALUE(TRIM(MID(G358,FIND(" ",G358)+1,20))),0),0)))</f>
        <v/>
      </c>
      <c r="J358" s="255">
        <f>IF(H358="",0,IF(ISNUMBER(H358),H358,IFERROR(DATE(VALUE(MID(H358,FIND("/",H358,FIND("/",H358)+1)+1,4)),VALUE(MID(H358,FIND("/",H358)+1,FIND("/",H358,FIND("/",H358)+1)-FIND("/",H358)-1)),VALUE(LEFT(H358,FIND("/",H358)-1)))+IFERROR(TIMEVALUE(TRIM(MID(H358,FIND(" ",H358)+1,20))),0),0)))</f>
        <v/>
      </c>
      <c r="K358" s="256">
        <f>IF(I358=0,0,INT(I358))</f>
        <v/>
      </c>
      <c r="L358" s="257">
        <f>IF(OR(I358=0,J358=0),0,ROUND((J358-I358)*24,2))</f>
        <v/>
      </c>
      <c r="M358" s="254">
        <f>IFERROR(TRIM(MID(A358,FIND("@",SUBSTITUTE(A358,"(","@",LEN(A358)-LEN(SUBSTITUTE(A358,"(",""))))+1,FIND(")",A358,FIND("@",SUBSTITUTE(A358,"(","@",LEN(A358)-LEN(SUBSTITUTE(A358,"(","")))))-FIND("@",SUBSTITUTE(A358,"(","@",LEN(A358)-LEN(SUBSTITUTE(A358,"(",""))))-1)),"")</f>
        <v/>
      </c>
      <c r="N358" s="254">
        <f>IF(A358="","",IF(LEFT(TRIM(A358),5)="Leave","Leave",IF(OR(ISNUMBER(SEARCH("public holiday",A358)),ISNUMBER(SEARCH("Purple",E358))),"Public holiday","Event")))</f>
        <v/>
      </c>
    </row>
    <row r="359">
      <c r="G359" s="254">
        <f>IF(C359="","",IF(ISNUMBER(C359),C359,IF(ISNUMBER(VALUE(LEFT(TRIM(C359),1))),TRIM(C359),TRIM(MID(TRIM(C359),FIND(" ",TRIM(C359))+1,99)))))</f>
        <v/>
      </c>
      <c r="H359" s="254">
        <f>IF(D359="","",IF(ISNUMBER(D359),D359,IF(ISNUMBER(VALUE(LEFT(TRIM(D359),1))),TRIM(D359),TRIM(MID(TRIM(D359),FIND(" ",TRIM(D359))+1,99)))))</f>
        <v/>
      </c>
      <c r="I359" s="255">
        <f>IF(G359="",0,IF(ISNUMBER(G359),G359,IFERROR(DATE(VALUE(MID(G359,FIND("/",G359,FIND("/",G359)+1)+1,4)),VALUE(MID(G359,FIND("/",G359)+1,FIND("/",G359,FIND("/",G359)+1)-FIND("/",G359)-1)),VALUE(LEFT(G359,FIND("/",G359)-1)))+IFERROR(TIMEVALUE(TRIM(MID(G359,FIND(" ",G359)+1,20))),0),0)))</f>
        <v/>
      </c>
      <c r="J359" s="255">
        <f>IF(H359="",0,IF(ISNUMBER(H359),H359,IFERROR(DATE(VALUE(MID(H359,FIND("/",H359,FIND("/",H359)+1)+1,4)),VALUE(MID(H359,FIND("/",H359)+1,FIND("/",H359,FIND("/",H359)+1)-FIND("/",H359)-1)),VALUE(LEFT(H359,FIND("/",H359)-1)))+IFERROR(TIMEVALUE(TRIM(MID(H359,FIND(" ",H359)+1,20))),0),0)))</f>
        <v/>
      </c>
      <c r="K359" s="256">
        <f>IF(I359=0,0,INT(I359))</f>
        <v/>
      </c>
      <c r="L359" s="257">
        <f>IF(OR(I359=0,J359=0),0,ROUND((J359-I359)*24,2))</f>
        <v/>
      </c>
      <c r="M359" s="254">
        <f>IFERROR(TRIM(MID(A359,FIND("@",SUBSTITUTE(A359,"(","@",LEN(A359)-LEN(SUBSTITUTE(A359,"(",""))))+1,FIND(")",A359,FIND("@",SUBSTITUTE(A359,"(","@",LEN(A359)-LEN(SUBSTITUTE(A359,"(","")))))-FIND("@",SUBSTITUTE(A359,"(","@",LEN(A359)-LEN(SUBSTITUTE(A359,"(",""))))-1)),"")</f>
        <v/>
      </c>
      <c r="N359" s="254">
        <f>IF(A359="","",IF(LEFT(TRIM(A359),5)="Leave","Leave",IF(OR(ISNUMBER(SEARCH("public holiday",A359)),ISNUMBER(SEARCH("Purple",E359))),"Public holiday","Event")))</f>
        <v/>
      </c>
    </row>
    <row r="360">
      <c r="G360" s="254">
        <f>IF(C360="","",IF(ISNUMBER(C360),C360,IF(ISNUMBER(VALUE(LEFT(TRIM(C360),1))),TRIM(C360),TRIM(MID(TRIM(C360),FIND(" ",TRIM(C360))+1,99)))))</f>
        <v/>
      </c>
      <c r="H360" s="254">
        <f>IF(D360="","",IF(ISNUMBER(D360),D360,IF(ISNUMBER(VALUE(LEFT(TRIM(D360),1))),TRIM(D360),TRIM(MID(TRIM(D360),FIND(" ",TRIM(D360))+1,99)))))</f>
        <v/>
      </c>
      <c r="I360" s="255">
        <f>IF(G360="",0,IF(ISNUMBER(G360),G360,IFERROR(DATE(VALUE(MID(G360,FIND("/",G360,FIND("/",G360)+1)+1,4)),VALUE(MID(G360,FIND("/",G360)+1,FIND("/",G360,FIND("/",G360)+1)-FIND("/",G360)-1)),VALUE(LEFT(G360,FIND("/",G360)-1)))+IFERROR(TIMEVALUE(TRIM(MID(G360,FIND(" ",G360)+1,20))),0),0)))</f>
        <v/>
      </c>
      <c r="J360" s="255">
        <f>IF(H360="",0,IF(ISNUMBER(H360),H360,IFERROR(DATE(VALUE(MID(H360,FIND("/",H360,FIND("/",H360)+1)+1,4)),VALUE(MID(H360,FIND("/",H360)+1,FIND("/",H360,FIND("/",H360)+1)-FIND("/",H360)-1)),VALUE(LEFT(H360,FIND("/",H360)-1)))+IFERROR(TIMEVALUE(TRIM(MID(H360,FIND(" ",H360)+1,20))),0),0)))</f>
        <v/>
      </c>
      <c r="K360" s="256">
        <f>IF(I360=0,0,INT(I360))</f>
        <v/>
      </c>
      <c r="L360" s="257">
        <f>IF(OR(I360=0,J360=0),0,ROUND((J360-I360)*24,2))</f>
        <v/>
      </c>
      <c r="M360" s="254">
        <f>IFERROR(TRIM(MID(A360,FIND("@",SUBSTITUTE(A360,"(","@",LEN(A360)-LEN(SUBSTITUTE(A360,"(",""))))+1,FIND(")",A360,FIND("@",SUBSTITUTE(A360,"(","@",LEN(A360)-LEN(SUBSTITUTE(A360,"(","")))))-FIND("@",SUBSTITUTE(A360,"(","@",LEN(A360)-LEN(SUBSTITUTE(A360,"(",""))))-1)),"")</f>
        <v/>
      </c>
      <c r="N360" s="254">
        <f>IF(A360="","",IF(LEFT(TRIM(A360),5)="Leave","Leave",IF(OR(ISNUMBER(SEARCH("public holiday",A360)),ISNUMBER(SEARCH("Purple",E360))),"Public holiday","Event")))</f>
        <v/>
      </c>
    </row>
    <row r="361">
      <c r="G361" s="254">
        <f>IF(C361="","",IF(ISNUMBER(C361),C361,IF(ISNUMBER(VALUE(LEFT(TRIM(C361),1))),TRIM(C361),TRIM(MID(TRIM(C361),FIND(" ",TRIM(C361))+1,99)))))</f>
        <v/>
      </c>
      <c r="H361" s="254">
        <f>IF(D361="","",IF(ISNUMBER(D361),D361,IF(ISNUMBER(VALUE(LEFT(TRIM(D361),1))),TRIM(D361),TRIM(MID(TRIM(D361),FIND(" ",TRIM(D361))+1,99)))))</f>
        <v/>
      </c>
      <c r="I361" s="255">
        <f>IF(G361="",0,IF(ISNUMBER(G361),G361,IFERROR(DATE(VALUE(MID(G361,FIND("/",G361,FIND("/",G361)+1)+1,4)),VALUE(MID(G361,FIND("/",G361)+1,FIND("/",G361,FIND("/",G361)+1)-FIND("/",G361)-1)),VALUE(LEFT(G361,FIND("/",G361)-1)))+IFERROR(TIMEVALUE(TRIM(MID(G361,FIND(" ",G361)+1,20))),0),0)))</f>
        <v/>
      </c>
      <c r="J361" s="255">
        <f>IF(H361="",0,IF(ISNUMBER(H361),H361,IFERROR(DATE(VALUE(MID(H361,FIND("/",H361,FIND("/",H361)+1)+1,4)),VALUE(MID(H361,FIND("/",H361)+1,FIND("/",H361,FIND("/",H361)+1)-FIND("/",H361)-1)),VALUE(LEFT(H361,FIND("/",H361)-1)))+IFERROR(TIMEVALUE(TRIM(MID(H361,FIND(" ",H361)+1,20))),0),0)))</f>
        <v/>
      </c>
      <c r="K361" s="256">
        <f>IF(I361=0,0,INT(I361))</f>
        <v/>
      </c>
      <c r="L361" s="257">
        <f>IF(OR(I361=0,J361=0),0,ROUND((J361-I361)*24,2))</f>
        <v/>
      </c>
      <c r="M361" s="254">
        <f>IFERROR(TRIM(MID(A361,FIND("@",SUBSTITUTE(A361,"(","@",LEN(A361)-LEN(SUBSTITUTE(A361,"(",""))))+1,FIND(")",A361,FIND("@",SUBSTITUTE(A361,"(","@",LEN(A361)-LEN(SUBSTITUTE(A361,"(","")))))-FIND("@",SUBSTITUTE(A361,"(","@",LEN(A361)-LEN(SUBSTITUTE(A361,"(",""))))-1)),"")</f>
        <v/>
      </c>
      <c r="N361" s="254">
        <f>IF(A361="","",IF(LEFT(TRIM(A361),5)="Leave","Leave",IF(OR(ISNUMBER(SEARCH("public holiday",A361)),ISNUMBER(SEARCH("Purple",E361))),"Public holiday","Event")))</f>
        <v/>
      </c>
    </row>
    <row r="362">
      <c r="G362" s="254">
        <f>IF(C362="","",IF(ISNUMBER(C362),C362,IF(ISNUMBER(VALUE(LEFT(TRIM(C362),1))),TRIM(C362),TRIM(MID(TRIM(C362),FIND(" ",TRIM(C362))+1,99)))))</f>
        <v/>
      </c>
      <c r="H362" s="254">
        <f>IF(D362="","",IF(ISNUMBER(D362),D362,IF(ISNUMBER(VALUE(LEFT(TRIM(D362),1))),TRIM(D362),TRIM(MID(TRIM(D362),FIND(" ",TRIM(D362))+1,99)))))</f>
        <v/>
      </c>
      <c r="I362" s="255">
        <f>IF(G362="",0,IF(ISNUMBER(G362),G362,IFERROR(DATE(VALUE(MID(G362,FIND("/",G362,FIND("/",G362)+1)+1,4)),VALUE(MID(G362,FIND("/",G362)+1,FIND("/",G362,FIND("/",G362)+1)-FIND("/",G362)-1)),VALUE(LEFT(G362,FIND("/",G362)-1)))+IFERROR(TIMEVALUE(TRIM(MID(G362,FIND(" ",G362)+1,20))),0),0)))</f>
        <v/>
      </c>
      <c r="J362" s="255">
        <f>IF(H362="",0,IF(ISNUMBER(H362),H362,IFERROR(DATE(VALUE(MID(H362,FIND("/",H362,FIND("/",H362)+1)+1,4)),VALUE(MID(H362,FIND("/",H362)+1,FIND("/",H362,FIND("/",H362)+1)-FIND("/",H362)-1)),VALUE(LEFT(H362,FIND("/",H362)-1)))+IFERROR(TIMEVALUE(TRIM(MID(H362,FIND(" ",H362)+1,20))),0),0)))</f>
        <v/>
      </c>
      <c r="K362" s="256">
        <f>IF(I362=0,0,INT(I362))</f>
        <v/>
      </c>
      <c r="L362" s="257">
        <f>IF(OR(I362=0,J362=0),0,ROUND((J362-I362)*24,2))</f>
        <v/>
      </c>
      <c r="M362" s="254">
        <f>IFERROR(TRIM(MID(A362,FIND("@",SUBSTITUTE(A362,"(","@",LEN(A362)-LEN(SUBSTITUTE(A362,"(",""))))+1,FIND(")",A362,FIND("@",SUBSTITUTE(A362,"(","@",LEN(A362)-LEN(SUBSTITUTE(A362,"(","")))))-FIND("@",SUBSTITUTE(A362,"(","@",LEN(A362)-LEN(SUBSTITUTE(A362,"(",""))))-1)),"")</f>
        <v/>
      </c>
      <c r="N362" s="254">
        <f>IF(A362="","",IF(LEFT(TRIM(A362),5)="Leave","Leave",IF(OR(ISNUMBER(SEARCH("public holiday",A362)),ISNUMBER(SEARCH("Purple",E362))),"Public holiday","Event")))</f>
        <v/>
      </c>
    </row>
    <row r="363">
      <c r="G363" s="254">
        <f>IF(C363="","",IF(ISNUMBER(C363),C363,IF(ISNUMBER(VALUE(LEFT(TRIM(C363),1))),TRIM(C363),TRIM(MID(TRIM(C363),FIND(" ",TRIM(C363))+1,99)))))</f>
        <v/>
      </c>
      <c r="H363" s="254">
        <f>IF(D363="","",IF(ISNUMBER(D363),D363,IF(ISNUMBER(VALUE(LEFT(TRIM(D363),1))),TRIM(D363),TRIM(MID(TRIM(D363),FIND(" ",TRIM(D363))+1,99)))))</f>
        <v/>
      </c>
      <c r="I363" s="255">
        <f>IF(G363="",0,IF(ISNUMBER(G363),G363,IFERROR(DATE(VALUE(MID(G363,FIND("/",G363,FIND("/",G363)+1)+1,4)),VALUE(MID(G363,FIND("/",G363)+1,FIND("/",G363,FIND("/",G363)+1)-FIND("/",G363)-1)),VALUE(LEFT(G363,FIND("/",G363)-1)))+IFERROR(TIMEVALUE(TRIM(MID(G363,FIND(" ",G363)+1,20))),0),0)))</f>
        <v/>
      </c>
      <c r="J363" s="255">
        <f>IF(H363="",0,IF(ISNUMBER(H363),H363,IFERROR(DATE(VALUE(MID(H363,FIND("/",H363,FIND("/",H363)+1)+1,4)),VALUE(MID(H363,FIND("/",H363)+1,FIND("/",H363,FIND("/",H363)+1)-FIND("/",H363)-1)),VALUE(LEFT(H363,FIND("/",H363)-1)))+IFERROR(TIMEVALUE(TRIM(MID(H363,FIND(" ",H363)+1,20))),0),0)))</f>
        <v/>
      </c>
      <c r="K363" s="256">
        <f>IF(I363=0,0,INT(I363))</f>
        <v/>
      </c>
      <c r="L363" s="257">
        <f>IF(OR(I363=0,J363=0),0,ROUND((J363-I363)*24,2))</f>
        <v/>
      </c>
      <c r="M363" s="254">
        <f>IFERROR(TRIM(MID(A363,FIND("@",SUBSTITUTE(A363,"(","@",LEN(A363)-LEN(SUBSTITUTE(A363,"(",""))))+1,FIND(")",A363,FIND("@",SUBSTITUTE(A363,"(","@",LEN(A363)-LEN(SUBSTITUTE(A363,"(","")))))-FIND("@",SUBSTITUTE(A363,"(","@",LEN(A363)-LEN(SUBSTITUTE(A363,"(",""))))-1)),"")</f>
        <v/>
      </c>
      <c r="N363" s="254">
        <f>IF(A363="","",IF(LEFT(TRIM(A363),5)="Leave","Leave",IF(OR(ISNUMBER(SEARCH("public holiday",A363)),ISNUMBER(SEARCH("Purple",E363))),"Public holiday","Event")))</f>
        <v/>
      </c>
    </row>
    <row r="364">
      <c r="G364" s="254">
        <f>IF(C364="","",IF(ISNUMBER(C364),C364,IF(ISNUMBER(VALUE(LEFT(TRIM(C364),1))),TRIM(C364),TRIM(MID(TRIM(C364),FIND(" ",TRIM(C364))+1,99)))))</f>
        <v/>
      </c>
      <c r="H364" s="254">
        <f>IF(D364="","",IF(ISNUMBER(D364),D364,IF(ISNUMBER(VALUE(LEFT(TRIM(D364),1))),TRIM(D364),TRIM(MID(TRIM(D364),FIND(" ",TRIM(D364))+1,99)))))</f>
        <v/>
      </c>
      <c r="I364" s="255">
        <f>IF(G364="",0,IF(ISNUMBER(G364),G364,IFERROR(DATE(VALUE(MID(G364,FIND("/",G364,FIND("/",G364)+1)+1,4)),VALUE(MID(G364,FIND("/",G364)+1,FIND("/",G364,FIND("/",G364)+1)-FIND("/",G364)-1)),VALUE(LEFT(G364,FIND("/",G364)-1)))+IFERROR(TIMEVALUE(TRIM(MID(G364,FIND(" ",G364)+1,20))),0),0)))</f>
        <v/>
      </c>
      <c r="J364" s="255">
        <f>IF(H364="",0,IF(ISNUMBER(H364),H364,IFERROR(DATE(VALUE(MID(H364,FIND("/",H364,FIND("/",H364)+1)+1,4)),VALUE(MID(H364,FIND("/",H364)+1,FIND("/",H364,FIND("/",H364)+1)-FIND("/",H364)-1)),VALUE(LEFT(H364,FIND("/",H364)-1)))+IFERROR(TIMEVALUE(TRIM(MID(H364,FIND(" ",H364)+1,20))),0),0)))</f>
        <v/>
      </c>
      <c r="K364" s="256">
        <f>IF(I364=0,0,INT(I364))</f>
        <v/>
      </c>
      <c r="L364" s="257">
        <f>IF(OR(I364=0,J364=0),0,ROUND((J364-I364)*24,2))</f>
        <v/>
      </c>
      <c r="M364" s="254">
        <f>IFERROR(TRIM(MID(A364,FIND("@",SUBSTITUTE(A364,"(","@",LEN(A364)-LEN(SUBSTITUTE(A364,"(",""))))+1,FIND(")",A364,FIND("@",SUBSTITUTE(A364,"(","@",LEN(A364)-LEN(SUBSTITUTE(A364,"(","")))))-FIND("@",SUBSTITUTE(A364,"(","@",LEN(A364)-LEN(SUBSTITUTE(A364,"(",""))))-1)),"")</f>
        <v/>
      </c>
      <c r="N364" s="254">
        <f>IF(A364="","",IF(LEFT(TRIM(A364),5)="Leave","Leave",IF(OR(ISNUMBER(SEARCH("public holiday",A364)),ISNUMBER(SEARCH("Purple",E364))),"Public holiday","Event")))</f>
        <v/>
      </c>
    </row>
    <row r="365">
      <c r="G365" s="254">
        <f>IF(C365="","",IF(ISNUMBER(C365),C365,IF(ISNUMBER(VALUE(LEFT(TRIM(C365),1))),TRIM(C365),TRIM(MID(TRIM(C365),FIND(" ",TRIM(C365))+1,99)))))</f>
        <v/>
      </c>
      <c r="H365" s="254">
        <f>IF(D365="","",IF(ISNUMBER(D365),D365,IF(ISNUMBER(VALUE(LEFT(TRIM(D365),1))),TRIM(D365),TRIM(MID(TRIM(D365),FIND(" ",TRIM(D365))+1,99)))))</f>
        <v/>
      </c>
      <c r="I365" s="255">
        <f>IF(G365="",0,IF(ISNUMBER(G365),G365,IFERROR(DATE(VALUE(MID(G365,FIND("/",G365,FIND("/",G365)+1)+1,4)),VALUE(MID(G365,FIND("/",G365)+1,FIND("/",G365,FIND("/",G365)+1)-FIND("/",G365)-1)),VALUE(LEFT(G365,FIND("/",G365)-1)))+IFERROR(TIMEVALUE(TRIM(MID(G365,FIND(" ",G365)+1,20))),0),0)))</f>
        <v/>
      </c>
      <c r="J365" s="255">
        <f>IF(H365="",0,IF(ISNUMBER(H365),H365,IFERROR(DATE(VALUE(MID(H365,FIND("/",H365,FIND("/",H365)+1)+1,4)),VALUE(MID(H365,FIND("/",H365)+1,FIND("/",H365,FIND("/",H365)+1)-FIND("/",H365)-1)),VALUE(LEFT(H365,FIND("/",H365)-1)))+IFERROR(TIMEVALUE(TRIM(MID(H365,FIND(" ",H365)+1,20))),0),0)))</f>
        <v/>
      </c>
      <c r="K365" s="256">
        <f>IF(I365=0,0,INT(I365))</f>
        <v/>
      </c>
      <c r="L365" s="257">
        <f>IF(OR(I365=0,J365=0),0,ROUND((J365-I365)*24,2))</f>
        <v/>
      </c>
      <c r="M365" s="254">
        <f>IFERROR(TRIM(MID(A365,FIND("@",SUBSTITUTE(A365,"(","@",LEN(A365)-LEN(SUBSTITUTE(A365,"(",""))))+1,FIND(")",A365,FIND("@",SUBSTITUTE(A365,"(","@",LEN(A365)-LEN(SUBSTITUTE(A365,"(","")))))-FIND("@",SUBSTITUTE(A365,"(","@",LEN(A365)-LEN(SUBSTITUTE(A365,"(",""))))-1)),"")</f>
        <v/>
      </c>
      <c r="N365" s="254">
        <f>IF(A365="","",IF(LEFT(TRIM(A365),5)="Leave","Leave",IF(OR(ISNUMBER(SEARCH("public holiday",A365)),ISNUMBER(SEARCH("Purple",E365))),"Public holiday","Event")))</f>
        <v/>
      </c>
    </row>
    <row r="366">
      <c r="G366" s="254">
        <f>IF(C366="","",IF(ISNUMBER(C366),C366,IF(ISNUMBER(VALUE(LEFT(TRIM(C366),1))),TRIM(C366),TRIM(MID(TRIM(C366),FIND(" ",TRIM(C366))+1,99)))))</f>
        <v/>
      </c>
      <c r="H366" s="254">
        <f>IF(D366="","",IF(ISNUMBER(D366),D366,IF(ISNUMBER(VALUE(LEFT(TRIM(D366),1))),TRIM(D366),TRIM(MID(TRIM(D366),FIND(" ",TRIM(D366))+1,99)))))</f>
        <v/>
      </c>
      <c r="I366" s="255">
        <f>IF(G366="",0,IF(ISNUMBER(G366),G366,IFERROR(DATE(VALUE(MID(G366,FIND("/",G366,FIND("/",G366)+1)+1,4)),VALUE(MID(G366,FIND("/",G366)+1,FIND("/",G366,FIND("/",G366)+1)-FIND("/",G366)-1)),VALUE(LEFT(G366,FIND("/",G366)-1)))+IFERROR(TIMEVALUE(TRIM(MID(G366,FIND(" ",G366)+1,20))),0),0)))</f>
        <v/>
      </c>
      <c r="J366" s="255">
        <f>IF(H366="",0,IF(ISNUMBER(H366),H366,IFERROR(DATE(VALUE(MID(H366,FIND("/",H366,FIND("/",H366)+1)+1,4)),VALUE(MID(H366,FIND("/",H366)+1,FIND("/",H366,FIND("/",H366)+1)-FIND("/",H366)-1)),VALUE(LEFT(H366,FIND("/",H366)-1)))+IFERROR(TIMEVALUE(TRIM(MID(H366,FIND(" ",H366)+1,20))),0),0)))</f>
        <v/>
      </c>
      <c r="K366" s="256">
        <f>IF(I366=0,0,INT(I366))</f>
        <v/>
      </c>
      <c r="L366" s="257">
        <f>IF(OR(I366=0,J366=0),0,ROUND((J366-I366)*24,2))</f>
        <v/>
      </c>
      <c r="M366" s="254">
        <f>IFERROR(TRIM(MID(A366,FIND("@",SUBSTITUTE(A366,"(","@",LEN(A366)-LEN(SUBSTITUTE(A366,"(",""))))+1,FIND(")",A366,FIND("@",SUBSTITUTE(A366,"(","@",LEN(A366)-LEN(SUBSTITUTE(A366,"(","")))))-FIND("@",SUBSTITUTE(A366,"(","@",LEN(A366)-LEN(SUBSTITUTE(A366,"(",""))))-1)),"")</f>
        <v/>
      </c>
      <c r="N366" s="254">
        <f>IF(A366="","",IF(LEFT(TRIM(A366),5)="Leave","Leave",IF(OR(ISNUMBER(SEARCH("public holiday",A366)),ISNUMBER(SEARCH("Purple",E366))),"Public holiday","Event")))</f>
        <v/>
      </c>
    </row>
    <row r="367">
      <c r="G367" s="254">
        <f>IF(C367="","",IF(ISNUMBER(C367),C367,IF(ISNUMBER(VALUE(LEFT(TRIM(C367),1))),TRIM(C367),TRIM(MID(TRIM(C367),FIND(" ",TRIM(C367))+1,99)))))</f>
        <v/>
      </c>
      <c r="H367" s="254">
        <f>IF(D367="","",IF(ISNUMBER(D367),D367,IF(ISNUMBER(VALUE(LEFT(TRIM(D367),1))),TRIM(D367),TRIM(MID(TRIM(D367),FIND(" ",TRIM(D367))+1,99)))))</f>
        <v/>
      </c>
      <c r="I367" s="255">
        <f>IF(G367="",0,IF(ISNUMBER(G367),G367,IFERROR(DATE(VALUE(MID(G367,FIND("/",G367,FIND("/",G367)+1)+1,4)),VALUE(MID(G367,FIND("/",G367)+1,FIND("/",G367,FIND("/",G367)+1)-FIND("/",G367)-1)),VALUE(LEFT(G367,FIND("/",G367)-1)))+IFERROR(TIMEVALUE(TRIM(MID(G367,FIND(" ",G367)+1,20))),0),0)))</f>
        <v/>
      </c>
      <c r="J367" s="255">
        <f>IF(H367="",0,IF(ISNUMBER(H367),H367,IFERROR(DATE(VALUE(MID(H367,FIND("/",H367,FIND("/",H367)+1)+1,4)),VALUE(MID(H367,FIND("/",H367)+1,FIND("/",H367,FIND("/",H367)+1)-FIND("/",H367)-1)),VALUE(LEFT(H367,FIND("/",H367)-1)))+IFERROR(TIMEVALUE(TRIM(MID(H367,FIND(" ",H367)+1,20))),0),0)))</f>
        <v/>
      </c>
      <c r="K367" s="256">
        <f>IF(I367=0,0,INT(I367))</f>
        <v/>
      </c>
      <c r="L367" s="257">
        <f>IF(OR(I367=0,J367=0),0,ROUND((J367-I367)*24,2))</f>
        <v/>
      </c>
      <c r="M367" s="254">
        <f>IFERROR(TRIM(MID(A367,FIND("@",SUBSTITUTE(A367,"(","@",LEN(A367)-LEN(SUBSTITUTE(A367,"(",""))))+1,FIND(")",A367,FIND("@",SUBSTITUTE(A367,"(","@",LEN(A367)-LEN(SUBSTITUTE(A367,"(","")))))-FIND("@",SUBSTITUTE(A367,"(","@",LEN(A367)-LEN(SUBSTITUTE(A367,"(",""))))-1)),"")</f>
        <v/>
      </c>
      <c r="N367" s="254">
        <f>IF(A367="","",IF(LEFT(TRIM(A367),5)="Leave","Leave",IF(OR(ISNUMBER(SEARCH("public holiday",A367)),ISNUMBER(SEARCH("Purple",E367))),"Public holiday","Event")))</f>
        <v/>
      </c>
    </row>
    <row r="368">
      <c r="G368" s="254">
        <f>IF(C368="","",IF(ISNUMBER(C368),C368,IF(ISNUMBER(VALUE(LEFT(TRIM(C368),1))),TRIM(C368),TRIM(MID(TRIM(C368),FIND(" ",TRIM(C368))+1,99)))))</f>
        <v/>
      </c>
      <c r="H368" s="254">
        <f>IF(D368="","",IF(ISNUMBER(D368),D368,IF(ISNUMBER(VALUE(LEFT(TRIM(D368),1))),TRIM(D368),TRIM(MID(TRIM(D368),FIND(" ",TRIM(D368))+1,99)))))</f>
        <v/>
      </c>
      <c r="I368" s="255">
        <f>IF(G368="",0,IF(ISNUMBER(G368),G368,IFERROR(DATE(VALUE(MID(G368,FIND("/",G368,FIND("/",G368)+1)+1,4)),VALUE(MID(G368,FIND("/",G368)+1,FIND("/",G368,FIND("/",G368)+1)-FIND("/",G368)-1)),VALUE(LEFT(G368,FIND("/",G368)-1)))+IFERROR(TIMEVALUE(TRIM(MID(G368,FIND(" ",G368)+1,20))),0),0)))</f>
        <v/>
      </c>
      <c r="J368" s="255">
        <f>IF(H368="",0,IF(ISNUMBER(H368),H368,IFERROR(DATE(VALUE(MID(H368,FIND("/",H368,FIND("/",H368)+1)+1,4)),VALUE(MID(H368,FIND("/",H368)+1,FIND("/",H368,FIND("/",H368)+1)-FIND("/",H368)-1)),VALUE(LEFT(H368,FIND("/",H368)-1)))+IFERROR(TIMEVALUE(TRIM(MID(H368,FIND(" ",H368)+1,20))),0),0)))</f>
        <v/>
      </c>
      <c r="K368" s="256">
        <f>IF(I368=0,0,INT(I368))</f>
        <v/>
      </c>
      <c r="L368" s="257">
        <f>IF(OR(I368=0,J368=0),0,ROUND((J368-I368)*24,2))</f>
        <v/>
      </c>
      <c r="M368" s="254">
        <f>IFERROR(TRIM(MID(A368,FIND("@",SUBSTITUTE(A368,"(","@",LEN(A368)-LEN(SUBSTITUTE(A368,"(",""))))+1,FIND(")",A368,FIND("@",SUBSTITUTE(A368,"(","@",LEN(A368)-LEN(SUBSTITUTE(A368,"(","")))))-FIND("@",SUBSTITUTE(A368,"(","@",LEN(A368)-LEN(SUBSTITUTE(A368,"(",""))))-1)),"")</f>
        <v/>
      </c>
      <c r="N368" s="254">
        <f>IF(A368="","",IF(LEFT(TRIM(A368),5)="Leave","Leave",IF(OR(ISNUMBER(SEARCH("public holiday",A368)),ISNUMBER(SEARCH("Purple",E368))),"Public holiday","Event")))</f>
        <v/>
      </c>
    </row>
    <row r="369">
      <c r="G369" s="254">
        <f>IF(C369="","",IF(ISNUMBER(C369),C369,IF(ISNUMBER(VALUE(LEFT(TRIM(C369),1))),TRIM(C369),TRIM(MID(TRIM(C369),FIND(" ",TRIM(C369))+1,99)))))</f>
        <v/>
      </c>
      <c r="H369" s="254">
        <f>IF(D369="","",IF(ISNUMBER(D369),D369,IF(ISNUMBER(VALUE(LEFT(TRIM(D369),1))),TRIM(D369),TRIM(MID(TRIM(D369),FIND(" ",TRIM(D369))+1,99)))))</f>
        <v/>
      </c>
      <c r="I369" s="255">
        <f>IF(G369="",0,IF(ISNUMBER(G369),G369,IFERROR(DATE(VALUE(MID(G369,FIND("/",G369,FIND("/",G369)+1)+1,4)),VALUE(MID(G369,FIND("/",G369)+1,FIND("/",G369,FIND("/",G369)+1)-FIND("/",G369)-1)),VALUE(LEFT(G369,FIND("/",G369)-1)))+IFERROR(TIMEVALUE(TRIM(MID(G369,FIND(" ",G369)+1,20))),0),0)))</f>
        <v/>
      </c>
      <c r="J369" s="255">
        <f>IF(H369="",0,IF(ISNUMBER(H369),H369,IFERROR(DATE(VALUE(MID(H369,FIND("/",H369,FIND("/",H369)+1)+1,4)),VALUE(MID(H369,FIND("/",H369)+1,FIND("/",H369,FIND("/",H369)+1)-FIND("/",H369)-1)),VALUE(LEFT(H369,FIND("/",H369)-1)))+IFERROR(TIMEVALUE(TRIM(MID(H369,FIND(" ",H369)+1,20))),0),0)))</f>
        <v/>
      </c>
      <c r="K369" s="256">
        <f>IF(I369=0,0,INT(I369))</f>
        <v/>
      </c>
      <c r="L369" s="257">
        <f>IF(OR(I369=0,J369=0),0,ROUND((J369-I369)*24,2))</f>
        <v/>
      </c>
      <c r="M369" s="254">
        <f>IFERROR(TRIM(MID(A369,FIND("@",SUBSTITUTE(A369,"(","@",LEN(A369)-LEN(SUBSTITUTE(A369,"(",""))))+1,FIND(")",A369,FIND("@",SUBSTITUTE(A369,"(","@",LEN(A369)-LEN(SUBSTITUTE(A369,"(","")))))-FIND("@",SUBSTITUTE(A369,"(","@",LEN(A369)-LEN(SUBSTITUTE(A369,"(",""))))-1)),"")</f>
        <v/>
      </c>
      <c r="N369" s="254">
        <f>IF(A369="","",IF(LEFT(TRIM(A369),5)="Leave","Leave",IF(OR(ISNUMBER(SEARCH("public holiday",A369)),ISNUMBER(SEARCH("Purple",E369))),"Public holiday","Event")))</f>
        <v/>
      </c>
    </row>
    <row r="370">
      <c r="G370" s="254">
        <f>IF(C370="","",IF(ISNUMBER(C370),C370,IF(ISNUMBER(VALUE(LEFT(TRIM(C370),1))),TRIM(C370),TRIM(MID(TRIM(C370),FIND(" ",TRIM(C370))+1,99)))))</f>
        <v/>
      </c>
      <c r="H370" s="254">
        <f>IF(D370="","",IF(ISNUMBER(D370),D370,IF(ISNUMBER(VALUE(LEFT(TRIM(D370),1))),TRIM(D370),TRIM(MID(TRIM(D370),FIND(" ",TRIM(D370))+1,99)))))</f>
        <v/>
      </c>
      <c r="I370" s="255">
        <f>IF(G370="",0,IF(ISNUMBER(G370),G370,IFERROR(DATE(VALUE(MID(G370,FIND("/",G370,FIND("/",G370)+1)+1,4)),VALUE(MID(G370,FIND("/",G370)+1,FIND("/",G370,FIND("/",G370)+1)-FIND("/",G370)-1)),VALUE(LEFT(G370,FIND("/",G370)-1)))+IFERROR(TIMEVALUE(TRIM(MID(G370,FIND(" ",G370)+1,20))),0),0)))</f>
        <v/>
      </c>
      <c r="J370" s="255">
        <f>IF(H370="",0,IF(ISNUMBER(H370),H370,IFERROR(DATE(VALUE(MID(H370,FIND("/",H370,FIND("/",H370)+1)+1,4)),VALUE(MID(H370,FIND("/",H370)+1,FIND("/",H370,FIND("/",H370)+1)-FIND("/",H370)-1)),VALUE(LEFT(H370,FIND("/",H370)-1)))+IFERROR(TIMEVALUE(TRIM(MID(H370,FIND(" ",H370)+1,20))),0),0)))</f>
        <v/>
      </c>
      <c r="K370" s="256">
        <f>IF(I370=0,0,INT(I370))</f>
        <v/>
      </c>
      <c r="L370" s="257">
        <f>IF(OR(I370=0,J370=0),0,ROUND((J370-I370)*24,2))</f>
        <v/>
      </c>
      <c r="M370" s="254">
        <f>IFERROR(TRIM(MID(A370,FIND("@",SUBSTITUTE(A370,"(","@",LEN(A370)-LEN(SUBSTITUTE(A370,"(",""))))+1,FIND(")",A370,FIND("@",SUBSTITUTE(A370,"(","@",LEN(A370)-LEN(SUBSTITUTE(A370,"(","")))))-FIND("@",SUBSTITUTE(A370,"(","@",LEN(A370)-LEN(SUBSTITUTE(A370,"(",""))))-1)),"")</f>
        <v/>
      </c>
      <c r="N370" s="254">
        <f>IF(A370="","",IF(LEFT(TRIM(A370),5)="Leave","Leave",IF(OR(ISNUMBER(SEARCH("public holiday",A370)),ISNUMBER(SEARCH("Purple",E370))),"Public holiday","Event")))</f>
        <v/>
      </c>
    </row>
    <row r="371">
      <c r="G371" s="254">
        <f>IF(C371="","",IF(ISNUMBER(C371),C371,IF(ISNUMBER(VALUE(LEFT(TRIM(C371),1))),TRIM(C371),TRIM(MID(TRIM(C371),FIND(" ",TRIM(C371))+1,99)))))</f>
        <v/>
      </c>
      <c r="H371" s="254">
        <f>IF(D371="","",IF(ISNUMBER(D371),D371,IF(ISNUMBER(VALUE(LEFT(TRIM(D371),1))),TRIM(D371),TRIM(MID(TRIM(D371),FIND(" ",TRIM(D371))+1,99)))))</f>
        <v/>
      </c>
      <c r="I371" s="255">
        <f>IF(G371="",0,IF(ISNUMBER(G371),G371,IFERROR(DATE(VALUE(MID(G371,FIND("/",G371,FIND("/",G371)+1)+1,4)),VALUE(MID(G371,FIND("/",G371)+1,FIND("/",G371,FIND("/",G371)+1)-FIND("/",G371)-1)),VALUE(LEFT(G371,FIND("/",G371)-1)))+IFERROR(TIMEVALUE(TRIM(MID(G371,FIND(" ",G371)+1,20))),0),0)))</f>
        <v/>
      </c>
      <c r="J371" s="255">
        <f>IF(H371="",0,IF(ISNUMBER(H371),H371,IFERROR(DATE(VALUE(MID(H371,FIND("/",H371,FIND("/",H371)+1)+1,4)),VALUE(MID(H371,FIND("/",H371)+1,FIND("/",H371,FIND("/",H371)+1)-FIND("/",H371)-1)),VALUE(LEFT(H371,FIND("/",H371)-1)))+IFERROR(TIMEVALUE(TRIM(MID(H371,FIND(" ",H371)+1,20))),0),0)))</f>
        <v/>
      </c>
      <c r="K371" s="256">
        <f>IF(I371=0,0,INT(I371))</f>
        <v/>
      </c>
      <c r="L371" s="257">
        <f>IF(OR(I371=0,J371=0),0,ROUND((J371-I371)*24,2))</f>
        <v/>
      </c>
      <c r="M371" s="254">
        <f>IFERROR(TRIM(MID(A371,FIND("@",SUBSTITUTE(A371,"(","@",LEN(A371)-LEN(SUBSTITUTE(A371,"(",""))))+1,FIND(")",A371,FIND("@",SUBSTITUTE(A371,"(","@",LEN(A371)-LEN(SUBSTITUTE(A371,"(","")))))-FIND("@",SUBSTITUTE(A371,"(","@",LEN(A371)-LEN(SUBSTITUTE(A371,"(",""))))-1)),"")</f>
        <v/>
      </c>
      <c r="N371" s="254">
        <f>IF(A371="","",IF(LEFT(TRIM(A371),5)="Leave","Leave",IF(OR(ISNUMBER(SEARCH("public holiday",A371)),ISNUMBER(SEARCH("Purple",E371))),"Public holiday","Event")))</f>
        <v/>
      </c>
    </row>
    <row r="372">
      <c r="G372" s="254">
        <f>IF(C372="","",IF(ISNUMBER(C372),C372,IF(ISNUMBER(VALUE(LEFT(TRIM(C372),1))),TRIM(C372),TRIM(MID(TRIM(C372),FIND(" ",TRIM(C372))+1,99)))))</f>
        <v/>
      </c>
      <c r="H372" s="254">
        <f>IF(D372="","",IF(ISNUMBER(D372),D372,IF(ISNUMBER(VALUE(LEFT(TRIM(D372),1))),TRIM(D372),TRIM(MID(TRIM(D372),FIND(" ",TRIM(D372))+1,99)))))</f>
        <v/>
      </c>
      <c r="I372" s="255">
        <f>IF(G372="",0,IF(ISNUMBER(G372),G372,IFERROR(DATE(VALUE(MID(G372,FIND("/",G372,FIND("/",G372)+1)+1,4)),VALUE(MID(G372,FIND("/",G372)+1,FIND("/",G372,FIND("/",G372)+1)-FIND("/",G372)-1)),VALUE(LEFT(G372,FIND("/",G372)-1)))+IFERROR(TIMEVALUE(TRIM(MID(G372,FIND(" ",G372)+1,20))),0),0)))</f>
        <v/>
      </c>
      <c r="J372" s="255">
        <f>IF(H372="",0,IF(ISNUMBER(H372),H372,IFERROR(DATE(VALUE(MID(H372,FIND("/",H372,FIND("/",H372)+1)+1,4)),VALUE(MID(H372,FIND("/",H372)+1,FIND("/",H372,FIND("/",H372)+1)-FIND("/",H372)-1)),VALUE(LEFT(H372,FIND("/",H372)-1)))+IFERROR(TIMEVALUE(TRIM(MID(H372,FIND(" ",H372)+1,20))),0),0)))</f>
        <v/>
      </c>
      <c r="K372" s="256">
        <f>IF(I372=0,0,INT(I372))</f>
        <v/>
      </c>
      <c r="L372" s="257">
        <f>IF(OR(I372=0,J372=0),0,ROUND((J372-I372)*24,2))</f>
        <v/>
      </c>
      <c r="M372" s="254">
        <f>IFERROR(TRIM(MID(A372,FIND("@",SUBSTITUTE(A372,"(","@",LEN(A372)-LEN(SUBSTITUTE(A372,"(",""))))+1,FIND(")",A372,FIND("@",SUBSTITUTE(A372,"(","@",LEN(A372)-LEN(SUBSTITUTE(A372,"(","")))))-FIND("@",SUBSTITUTE(A372,"(","@",LEN(A372)-LEN(SUBSTITUTE(A372,"(",""))))-1)),"")</f>
        <v/>
      </c>
      <c r="N372" s="254">
        <f>IF(A372="","",IF(LEFT(TRIM(A372),5)="Leave","Leave",IF(OR(ISNUMBER(SEARCH("public holiday",A372)),ISNUMBER(SEARCH("Purple",E372))),"Public holiday","Event")))</f>
        <v/>
      </c>
    </row>
    <row r="373">
      <c r="G373" s="254">
        <f>IF(C373="","",IF(ISNUMBER(C373),C373,IF(ISNUMBER(VALUE(LEFT(TRIM(C373),1))),TRIM(C373),TRIM(MID(TRIM(C373),FIND(" ",TRIM(C373))+1,99)))))</f>
        <v/>
      </c>
      <c r="H373" s="254">
        <f>IF(D373="","",IF(ISNUMBER(D373),D373,IF(ISNUMBER(VALUE(LEFT(TRIM(D373),1))),TRIM(D373),TRIM(MID(TRIM(D373),FIND(" ",TRIM(D373))+1,99)))))</f>
        <v/>
      </c>
      <c r="I373" s="255">
        <f>IF(G373="",0,IF(ISNUMBER(G373),G373,IFERROR(DATE(VALUE(MID(G373,FIND("/",G373,FIND("/",G373)+1)+1,4)),VALUE(MID(G373,FIND("/",G373)+1,FIND("/",G373,FIND("/",G373)+1)-FIND("/",G373)-1)),VALUE(LEFT(G373,FIND("/",G373)-1)))+IFERROR(TIMEVALUE(TRIM(MID(G373,FIND(" ",G373)+1,20))),0),0)))</f>
        <v/>
      </c>
      <c r="J373" s="255">
        <f>IF(H373="",0,IF(ISNUMBER(H373),H373,IFERROR(DATE(VALUE(MID(H373,FIND("/",H373,FIND("/",H373)+1)+1,4)),VALUE(MID(H373,FIND("/",H373)+1,FIND("/",H373,FIND("/",H373)+1)-FIND("/",H373)-1)),VALUE(LEFT(H373,FIND("/",H373)-1)))+IFERROR(TIMEVALUE(TRIM(MID(H373,FIND(" ",H373)+1,20))),0),0)))</f>
        <v/>
      </c>
      <c r="K373" s="256">
        <f>IF(I373=0,0,INT(I373))</f>
        <v/>
      </c>
      <c r="L373" s="257">
        <f>IF(OR(I373=0,J373=0),0,ROUND((J373-I373)*24,2))</f>
        <v/>
      </c>
      <c r="M373" s="254">
        <f>IFERROR(TRIM(MID(A373,FIND("@",SUBSTITUTE(A373,"(","@",LEN(A373)-LEN(SUBSTITUTE(A373,"(",""))))+1,FIND(")",A373,FIND("@",SUBSTITUTE(A373,"(","@",LEN(A373)-LEN(SUBSTITUTE(A373,"(","")))))-FIND("@",SUBSTITUTE(A373,"(","@",LEN(A373)-LEN(SUBSTITUTE(A373,"(",""))))-1)),"")</f>
        <v/>
      </c>
      <c r="N373" s="254">
        <f>IF(A373="","",IF(LEFT(TRIM(A373),5)="Leave","Leave",IF(OR(ISNUMBER(SEARCH("public holiday",A373)),ISNUMBER(SEARCH("Purple",E373))),"Public holiday","Event")))</f>
        <v/>
      </c>
    </row>
    <row r="374">
      <c r="G374" s="254">
        <f>IF(C374="","",IF(ISNUMBER(C374),C374,IF(ISNUMBER(VALUE(LEFT(TRIM(C374),1))),TRIM(C374),TRIM(MID(TRIM(C374),FIND(" ",TRIM(C374))+1,99)))))</f>
        <v/>
      </c>
      <c r="H374" s="254">
        <f>IF(D374="","",IF(ISNUMBER(D374),D374,IF(ISNUMBER(VALUE(LEFT(TRIM(D374),1))),TRIM(D374),TRIM(MID(TRIM(D374),FIND(" ",TRIM(D374))+1,99)))))</f>
        <v/>
      </c>
      <c r="I374" s="255">
        <f>IF(G374="",0,IF(ISNUMBER(G374),G374,IFERROR(DATE(VALUE(MID(G374,FIND("/",G374,FIND("/",G374)+1)+1,4)),VALUE(MID(G374,FIND("/",G374)+1,FIND("/",G374,FIND("/",G374)+1)-FIND("/",G374)-1)),VALUE(LEFT(G374,FIND("/",G374)-1)))+IFERROR(TIMEVALUE(TRIM(MID(G374,FIND(" ",G374)+1,20))),0),0)))</f>
        <v/>
      </c>
      <c r="J374" s="255">
        <f>IF(H374="",0,IF(ISNUMBER(H374),H374,IFERROR(DATE(VALUE(MID(H374,FIND("/",H374,FIND("/",H374)+1)+1,4)),VALUE(MID(H374,FIND("/",H374)+1,FIND("/",H374,FIND("/",H374)+1)-FIND("/",H374)-1)),VALUE(LEFT(H374,FIND("/",H374)-1)))+IFERROR(TIMEVALUE(TRIM(MID(H374,FIND(" ",H374)+1,20))),0),0)))</f>
        <v/>
      </c>
      <c r="K374" s="256">
        <f>IF(I374=0,0,INT(I374))</f>
        <v/>
      </c>
      <c r="L374" s="257">
        <f>IF(OR(I374=0,J374=0),0,ROUND((J374-I374)*24,2))</f>
        <v/>
      </c>
      <c r="M374" s="254">
        <f>IFERROR(TRIM(MID(A374,FIND("@",SUBSTITUTE(A374,"(","@",LEN(A374)-LEN(SUBSTITUTE(A374,"(",""))))+1,FIND(")",A374,FIND("@",SUBSTITUTE(A374,"(","@",LEN(A374)-LEN(SUBSTITUTE(A374,"(","")))))-FIND("@",SUBSTITUTE(A374,"(","@",LEN(A374)-LEN(SUBSTITUTE(A374,"(",""))))-1)),"")</f>
        <v/>
      </c>
      <c r="N374" s="254">
        <f>IF(A374="","",IF(LEFT(TRIM(A374),5)="Leave","Leave",IF(OR(ISNUMBER(SEARCH("public holiday",A374)),ISNUMBER(SEARCH("Purple",E374))),"Public holiday","Event")))</f>
        <v/>
      </c>
    </row>
    <row r="375">
      <c r="G375" s="254">
        <f>IF(C375="","",IF(ISNUMBER(C375),C375,IF(ISNUMBER(VALUE(LEFT(TRIM(C375),1))),TRIM(C375),TRIM(MID(TRIM(C375),FIND(" ",TRIM(C375))+1,99)))))</f>
        <v/>
      </c>
      <c r="H375" s="254">
        <f>IF(D375="","",IF(ISNUMBER(D375),D375,IF(ISNUMBER(VALUE(LEFT(TRIM(D375),1))),TRIM(D375),TRIM(MID(TRIM(D375),FIND(" ",TRIM(D375))+1,99)))))</f>
        <v/>
      </c>
      <c r="I375" s="255">
        <f>IF(G375="",0,IF(ISNUMBER(G375),G375,IFERROR(DATE(VALUE(MID(G375,FIND("/",G375,FIND("/",G375)+1)+1,4)),VALUE(MID(G375,FIND("/",G375)+1,FIND("/",G375,FIND("/",G375)+1)-FIND("/",G375)-1)),VALUE(LEFT(G375,FIND("/",G375)-1)))+IFERROR(TIMEVALUE(TRIM(MID(G375,FIND(" ",G375)+1,20))),0),0)))</f>
        <v/>
      </c>
      <c r="J375" s="255">
        <f>IF(H375="",0,IF(ISNUMBER(H375),H375,IFERROR(DATE(VALUE(MID(H375,FIND("/",H375,FIND("/",H375)+1)+1,4)),VALUE(MID(H375,FIND("/",H375)+1,FIND("/",H375,FIND("/",H375)+1)-FIND("/",H375)-1)),VALUE(LEFT(H375,FIND("/",H375)-1)))+IFERROR(TIMEVALUE(TRIM(MID(H375,FIND(" ",H375)+1,20))),0),0)))</f>
        <v/>
      </c>
      <c r="K375" s="256">
        <f>IF(I375=0,0,INT(I375))</f>
        <v/>
      </c>
      <c r="L375" s="257">
        <f>IF(OR(I375=0,J375=0),0,ROUND((J375-I375)*24,2))</f>
        <v/>
      </c>
      <c r="M375" s="254">
        <f>IFERROR(TRIM(MID(A375,FIND("@",SUBSTITUTE(A375,"(","@",LEN(A375)-LEN(SUBSTITUTE(A375,"(",""))))+1,FIND(")",A375,FIND("@",SUBSTITUTE(A375,"(","@",LEN(A375)-LEN(SUBSTITUTE(A375,"(","")))))-FIND("@",SUBSTITUTE(A375,"(","@",LEN(A375)-LEN(SUBSTITUTE(A375,"(",""))))-1)),"")</f>
        <v/>
      </c>
      <c r="N375" s="254">
        <f>IF(A375="","",IF(LEFT(TRIM(A375),5)="Leave","Leave",IF(OR(ISNUMBER(SEARCH("public holiday",A375)),ISNUMBER(SEARCH("Purple",E375))),"Public holiday","Event")))</f>
        <v/>
      </c>
    </row>
    <row r="376">
      <c r="G376" s="254">
        <f>IF(C376="","",IF(ISNUMBER(C376),C376,IF(ISNUMBER(VALUE(LEFT(TRIM(C376),1))),TRIM(C376),TRIM(MID(TRIM(C376),FIND(" ",TRIM(C376))+1,99)))))</f>
        <v/>
      </c>
      <c r="H376" s="254">
        <f>IF(D376="","",IF(ISNUMBER(D376),D376,IF(ISNUMBER(VALUE(LEFT(TRIM(D376),1))),TRIM(D376),TRIM(MID(TRIM(D376),FIND(" ",TRIM(D376))+1,99)))))</f>
        <v/>
      </c>
      <c r="I376" s="255">
        <f>IF(G376="",0,IF(ISNUMBER(G376),G376,IFERROR(DATE(VALUE(MID(G376,FIND("/",G376,FIND("/",G376)+1)+1,4)),VALUE(MID(G376,FIND("/",G376)+1,FIND("/",G376,FIND("/",G376)+1)-FIND("/",G376)-1)),VALUE(LEFT(G376,FIND("/",G376)-1)))+IFERROR(TIMEVALUE(TRIM(MID(G376,FIND(" ",G376)+1,20))),0),0)))</f>
        <v/>
      </c>
      <c r="J376" s="255">
        <f>IF(H376="",0,IF(ISNUMBER(H376),H376,IFERROR(DATE(VALUE(MID(H376,FIND("/",H376,FIND("/",H376)+1)+1,4)),VALUE(MID(H376,FIND("/",H376)+1,FIND("/",H376,FIND("/",H376)+1)-FIND("/",H376)-1)),VALUE(LEFT(H376,FIND("/",H376)-1)))+IFERROR(TIMEVALUE(TRIM(MID(H376,FIND(" ",H376)+1,20))),0),0)))</f>
        <v/>
      </c>
      <c r="K376" s="256">
        <f>IF(I376=0,0,INT(I376))</f>
        <v/>
      </c>
      <c r="L376" s="257">
        <f>IF(OR(I376=0,J376=0),0,ROUND((J376-I376)*24,2))</f>
        <v/>
      </c>
      <c r="M376" s="254">
        <f>IFERROR(TRIM(MID(A376,FIND("@",SUBSTITUTE(A376,"(","@",LEN(A376)-LEN(SUBSTITUTE(A376,"(",""))))+1,FIND(")",A376,FIND("@",SUBSTITUTE(A376,"(","@",LEN(A376)-LEN(SUBSTITUTE(A376,"(","")))))-FIND("@",SUBSTITUTE(A376,"(","@",LEN(A376)-LEN(SUBSTITUTE(A376,"(",""))))-1)),"")</f>
        <v/>
      </c>
      <c r="N376" s="254">
        <f>IF(A376="","",IF(LEFT(TRIM(A376),5)="Leave","Leave",IF(OR(ISNUMBER(SEARCH("public holiday",A376)),ISNUMBER(SEARCH("Purple",E376))),"Public holiday","Event")))</f>
        <v/>
      </c>
    </row>
    <row r="377">
      <c r="G377" s="254">
        <f>IF(C377="","",IF(ISNUMBER(C377),C377,IF(ISNUMBER(VALUE(LEFT(TRIM(C377),1))),TRIM(C377),TRIM(MID(TRIM(C377),FIND(" ",TRIM(C377))+1,99)))))</f>
        <v/>
      </c>
      <c r="H377" s="254">
        <f>IF(D377="","",IF(ISNUMBER(D377),D377,IF(ISNUMBER(VALUE(LEFT(TRIM(D377),1))),TRIM(D377),TRIM(MID(TRIM(D377),FIND(" ",TRIM(D377))+1,99)))))</f>
        <v/>
      </c>
      <c r="I377" s="255">
        <f>IF(G377="",0,IF(ISNUMBER(G377),G377,IFERROR(DATE(VALUE(MID(G377,FIND("/",G377,FIND("/",G377)+1)+1,4)),VALUE(MID(G377,FIND("/",G377)+1,FIND("/",G377,FIND("/",G377)+1)-FIND("/",G377)-1)),VALUE(LEFT(G377,FIND("/",G377)-1)))+IFERROR(TIMEVALUE(TRIM(MID(G377,FIND(" ",G377)+1,20))),0),0)))</f>
        <v/>
      </c>
      <c r="J377" s="255">
        <f>IF(H377="",0,IF(ISNUMBER(H377),H377,IFERROR(DATE(VALUE(MID(H377,FIND("/",H377,FIND("/",H377)+1)+1,4)),VALUE(MID(H377,FIND("/",H377)+1,FIND("/",H377,FIND("/",H377)+1)-FIND("/",H377)-1)),VALUE(LEFT(H377,FIND("/",H377)-1)))+IFERROR(TIMEVALUE(TRIM(MID(H377,FIND(" ",H377)+1,20))),0),0)))</f>
        <v/>
      </c>
      <c r="K377" s="256">
        <f>IF(I377=0,0,INT(I377))</f>
        <v/>
      </c>
      <c r="L377" s="257">
        <f>IF(OR(I377=0,J377=0),0,ROUND((J377-I377)*24,2))</f>
        <v/>
      </c>
      <c r="M377" s="254">
        <f>IFERROR(TRIM(MID(A377,FIND("@",SUBSTITUTE(A377,"(","@",LEN(A377)-LEN(SUBSTITUTE(A377,"(",""))))+1,FIND(")",A377,FIND("@",SUBSTITUTE(A377,"(","@",LEN(A377)-LEN(SUBSTITUTE(A377,"(","")))))-FIND("@",SUBSTITUTE(A377,"(","@",LEN(A377)-LEN(SUBSTITUTE(A377,"(",""))))-1)),"")</f>
        <v/>
      </c>
      <c r="N377" s="254">
        <f>IF(A377="","",IF(LEFT(TRIM(A377),5)="Leave","Leave",IF(OR(ISNUMBER(SEARCH("public holiday",A377)),ISNUMBER(SEARCH("Purple",E377))),"Public holiday","Event")))</f>
        <v/>
      </c>
    </row>
    <row r="378">
      <c r="G378" s="254">
        <f>IF(C378="","",IF(ISNUMBER(C378),C378,IF(ISNUMBER(VALUE(LEFT(TRIM(C378),1))),TRIM(C378),TRIM(MID(TRIM(C378),FIND(" ",TRIM(C378))+1,99)))))</f>
        <v/>
      </c>
      <c r="H378" s="254">
        <f>IF(D378="","",IF(ISNUMBER(D378),D378,IF(ISNUMBER(VALUE(LEFT(TRIM(D378),1))),TRIM(D378),TRIM(MID(TRIM(D378),FIND(" ",TRIM(D378))+1,99)))))</f>
        <v/>
      </c>
      <c r="I378" s="255">
        <f>IF(G378="",0,IF(ISNUMBER(G378),G378,IFERROR(DATE(VALUE(MID(G378,FIND("/",G378,FIND("/",G378)+1)+1,4)),VALUE(MID(G378,FIND("/",G378)+1,FIND("/",G378,FIND("/",G378)+1)-FIND("/",G378)-1)),VALUE(LEFT(G378,FIND("/",G378)-1)))+IFERROR(TIMEVALUE(TRIM(MID(G378,FIND(" ",G378)+1,20))),0),0)))</f>
        <v/>
      </c>
      <c r="J378" s="255">
        <f>IF(H378="",0,IF(ISNUMBER(H378),H378,IFERROR(DATE(VALUE(MID(H378,FIND("/",H378,FIND("/",H378)+1)+1,4)),VALUE(MID(H378,FIND("/",H378)+1,FIND("/",H378,FIND("/",H378)+1)-FIND("/",H378)-1)),VALUE(LEFT(H378,FIND("/",H378)-1)))+IFERROR(TIMEVALUE(TRIM(MID(H378,FIND(" ",H378)+1,20))),0),0)))</f>
        <v/>
      </c>
      <c r="K378" s="256">
        <f>IF(I378=0,0,INT(I378))</f>
        <v/>
      </c>
      <c r="L378" s="257">
        <f>IF(OR(I378=0,J378=0),0,ROUND((J378-I378)*24,2))</f>
        <v/>
      </c>
      <c r="M378" s="254">
        <f>IFERROR(TRIM(MID(A378,FIND("@",SUBSTITUTE(A378,"(","@",LEN(A378)-LEN(SUBSTITUTE(A378,"(",""))))+1,FIND(")",A378,FIND("@",SUBSTITUTE(A378,"(","@",LEN(A378)-LEN(SUBSTITUTE(A378,"(","")))))-FIND("@",SUBSTITUTE(A378,"(","@",LEN(A378)-LEN(SUBSTITUTE(A378,"(",""))))-1)),"")</f>
        <v/>
      </c>
      <c r="N378" s="254">
        <f>IF(A378="","",IF(LEFT(TRIM(A378),5)="Leave","Leave",IF(OR(ISNUMBER(SEARCH("public holiday",A378)),ISNUMBER(SEARCH("Purple",E378))),"Public holiday","Event")))</f>
        <v/>
      </c>
    </row>
    <row r="379">
      <c r="G379" s="254">
        <f>IF(C379="","",IF(ISNUMBER(C379),C379,IF(ISNUMBER(VALUE(LEFT(TRIM(C379),1))),TRIM(C379),TRIM(MID(TRIM(C379),FIND(" ",TRIM(C379))+1,99)))))</f>
        <v/>
      </c>
      <c r="H379" s="254">
        <f>IF(D379="","",IF(ISNUMBER(D379),D379,IF(ISNUMBER(VALUE(LEFT(TRIM(D379),1))),TRIM(D379),TRIM(MID(TRIM(D379),FIND(" ",TRIM(D379))+1,99)))))</f>
        <v/>
      </c>
      <c r="I379" s="255">
        <f>IF(G379="",0,IF(ISNUMBER(G379),G379,IFERROR(DATE(VALUE(MID(G379,FIND("/",G379,FIND("/",G379)+1)+1,4)),VALUE(MID(G379,FIND("/",G379)+1,FIND("/",G379,FIND("/",G379)+1)-FIND("/",G379)-1)),VALUE(LEFT(G379,FIND("/",G379)-1)))+IFERROR(TIMEVALUE(TRIM(MID(G379,FIND(" ",G379)+1,20))),0),0)))</f>
        <v/>
      </c>
      <c r="J379" s="255">
        <f>IF(H379="",0,IF(ISNUMBER(H379),H379,IFERROR(DATE(VALUE(MID(H379,FIND("/",H379,FIND("/",H379)+1)+1,4)),VALUE(MID(H379,FIND("/",H379)+1,FIND("/",H379,FIND("/",H379)+1)-FIND("/",H379)-1)),VALUE(LEFT(H379,FIND("/",H379)-1)))+IFERROR(TIMEVALUE(TRIM(MID(H379,FIND(" ",H379)+1,20))),0),0)))</f>
        <v/>
      </c>
      <c r="K379" s="256">
        <f>IF(I379=0,0,INT(I379))</f>
        <v/>
      </c>
      <c r="L379" s="257">
        <f>IF(OR(I379=0,J379=0),0,ROUND((J379-I379)*24,2))</f>
        <v/>
      </c>
      <c r="M379" s="254">
        <f>IFERROR(TRIM(MID(A379,FIND("@",SUBSTITUTE(A379,"(","@",LEN(A379)-LEN(SUBSTITUTE(A379,"(",""))))+1,FIND(")",A379,FIND("@",SUBSTITUTE(A379,"(","@",LEN(A379)-LEN(SUBSTITUTE(A379,"(","")))))-FIND("@",SUBSTITUTE(A379,"(","@",LEN(A379)-LEN(SUBSTITUTE(A379,"(",""))))-1)),"")</f>
        <v/>
      </c>
      <c r="N379" s="254">
        <f>IF(A379="","",IF(LEFT(TRIM(A379),5)="Leave","Leave",IF(OR(ISNUMBER(SEARCH("public holiday",A379)),ISNUMBER(SEARCH("Purple",E379))),"Public holiday","Event")))</f>
        <v/>
      </c>
    </row>
    <row r="380">
      <c r="G380" s="254">
        <f>IF(C380="","",IF(ISNUMBER(C380),C380,IF(ISNUMBER(VALUE(LEFT(TRIM(C380),1))),TRIM(C380),TRIM(MID(TRIM(C380),FIND(" ",TRIM(C380))+1,99)))))</f>
        <v/>
      </c>
      <c r="H380" s="254">
        <f>IF(D380="","",IF(ISNUMBER(D380),D380,IF(ISNUMBER(VALUE(LEFT(TRIM(D380),1))),TRIM(D380),TRIM(MID(TRIM(D380),FIND(" ",TRIM(D380))+1,99)))))</f>
        <v/>
      </c>
      <c r="I380" s="255">
        <f>IF(G380="",0,IF(ISNUMBER(G380),G380,IFERROR(DATE(VALUE(MID(G380,FIND("/",G380,FIND("/",G380)+1)+1,4)),VALUE(MID(G380,FIND("/",G380)+1,FIND("/",G380,FIND("/",G380)+1)-FIND("/",G380)-1)),VALUE(LEFT(G380,FIND("/",G380)-1)))+IFERROR(TIMEVALUE(TRIM(MID(G380,FIND(" ",G380)+1,20))),0),0)))</f>
        <v/>
      </c>
      <c r="J380" s="255">
        <f>IF(H380="",0,IF(ISNUMBER(H380),H380,IFERROR(DATE(VALUE(MID(H380,FIND("/",H380,FIND("/",H380)+1)+1,4)),VALUE(MID(H380,FIND("/",H380)+1,FIND("/",H380,FIND("/",H380)+1)-FIND("/",H380)-1)),VALUE(LEFT(H380,FIND("/",H380)-1)))+IFERROR(TIMEVALUE(TRIM(MID(H380,FIND(" ",H380)+1,20))),0),0)))</f>
        <v/>
      </c>
      <c r="K380" s="256">
        <f>IF(I380=0,0,INT(I380))</f>
        <v/>
      </c>
      <c r="L380" s="257">
        <f>IF(OR(I380=0,J380=0),0,ROUND((J380-I380)*24,2))</f>
        <v/>
      </c>
      <c r="M380" s="254">
        <f>IFERROR(TRIM(MID(A380,FIND("@",SUBSTITUTE(A380,"(","@",LEN(A380)-LEN(SUBSTITUTE(A380,"(",""))))+1,FIND(")",A380,FIND("@",SUBSTITUTE(A380,"(","@",LEN(A380)-LEN(SUBSTITUTE(A380,"(","")))))-FIND("@",SUBSTITUTE(A380,"(","@",LEN(A380)-LEN(SUBSTITUTE(A380,"(",""))))-1)),"")</f>
        <v/>
      </c>
      <c r="N380" s="254">
        <f>IF(A380="","",IF(LEFT(TRIM(A380),5)="Leave","Leave",IF(OR(ISNUMBER(SEARCH("public holiday",A380)),ISNUMBER(SEARCH("Purple",E380))),"Public holiday","Event")))</f>
        <v/>
      </c>
    </row>
    <row r="381">
      <c r="G381" s="254">
        <f>IF(C381="","",IF(ISNUMBER(C381),C381,IF(ISNUMBER(VALUE(LEFT(TRIM(C381),1))),TRIM(C381),TRIM(MID(TRIM(C381),FIND(" ",TRIM(C381))+1,99)))))</f>
        <v/>
      </c>
      <c r="H381" s="254">
        <f>IF(D381="","",IF(ISNUMBER(D381),D381,IF(ISNUMBER(VALUE(LEFT(TRIM(D381),1))),TRIM(D381),TRIM(MID(TRIM(D381),FIND(" ",TRIM(D381))+1,99)))))</f>
        <v/>
      </c>
      <c r="I381" s="255">
        <f>IF(G381="",0,IF(ISNUMBER(G381),G381,IFERROR(DATE(VALUE(MID(G381,FIND("/",G381,FIND("/",G381)+1)+1,4)),VALUE(MID(G381,FIND("/",G381)+1,FIND("/",G381,FIND("/",G381)+1)-FIND("/",G381)-1)),VALUE(LEFT(G381,FIND("/",G381)-1)))+IFERROR(TIMEVALUE(TRIM(MID(G381,FIND(" ",G381)+1,20))),0),0)))</f>
        <v/>
      </c>
      <c r="J381" s="255">
        <f>IF(H381="",0,IF(ISNUMBER(H381),H381,IFERROR(DATE(VALUE(MID(H381,FIND("/",H381,FIND("/",H381)+1)+1,4)),VALUE(MID(H381,FIND("/",H381)+1,FIND("/",H381,FIND("/",H381)+1)-FIND("/",H381)-1)),VALUE(LEFT(H381,FIND("/",H381)-1)))+IFERROR(TIMEVALUE(TRIM(MID(H381,FIND(" ",H381)+1,20))),0),0)))</f>
        <v/>
      </c>
      <c r="K381" s="256">
        <f>IF(I381=0,0,INT(I381))</f>
        <v/>
      </c>
      <c r="L381" s="257">
        <f>IF(OR(I381=0,J381=0),0,ROUND((J381-I381)*24,2))</f>
        <v/>
      </c>
      <c r="M381" s="254">
        <f>IFERROR(TRIM(MID(A381,FIND("@",SUBSTITUTE(A381,"(","@",LEN(A381)-LEN(SUBSTITUTE(A381,"(",""))))+1,FIND(")",A381,FIND("@",SUBSTITUTE(A381,"(","@",LEN(A381)-LEN(SUBSTITUTE(A381,"(","")))))-FIND("@",SUBSTITUTE(A381,"(","@",LEN(A381)-LEN(SUBSTITUTE(A381,"(",""))))-1)),"")</f>
        <v/>
      </c>
      <c r="N381" s="254">
        <f>IF(A381="","",IF(LEFT(TRIM(A381),5)="Leave","Leave",IF(OR(ISNUMBER(SEARCH("public holiday",A381)),ISNUMBER(SEARCH("Purple",E381))),"Public holiday","Event")))</f>
        <v/>
      </c>
    </row>
    <row r="382">
      <c r="G382" s="254">
        <f>IF(C382="","",IF(ISNUMBER(C382),C382,IF(ISNUMBER(VALUE(LEFT(TRIM(C382),1))),TRIM(C382),TRIM(MID(TRIM(C382),FIND(" ",TRIM(C382))+1,99)))))</f>
        <v/>
      </c>
      <c r="H382" s="254">
        <f>IF(D382="","",IF(ISNUMBER(D382),D382,IF(ISNUMBER(VALUE(LEFT(TRIM(D382),1))),TRIM(D382),TRIM(MID(TRIM(D382),FIND(" ",TRIM(D382))+1,99)))))</f>
        <v/>
      </c>
      <c r="I382" s="255">
        <f>IF(G382="",0,IF(ISNUMBER(G382),G382,IFERROR(DATE(VALUE(MID(G382,FIND("/",G382,FIND("/",G382)+1)+1,4)),VALUE(MID(G382,FIND("/",G382)+1,FIND("/",G382,FIND("/",G382)+1)-FIND("/",G382)-1)),VALUE(LEFT(G382,FIND("/",G382)-1)))+IFERROR(TIMEVALUE(TRIM(MID(G382,FIND(" ",G382)+1,20))),0),0)))</f>
        <v/>
      </c>
      <c r="J382" s="255">
        <f>IF(H382="",0,IF(ISNUMBER(H382),H382,IFERROR(DATE(VALUE(MID(H382,FIND("/",H382,FIND("/",H382)+1)+1,4)),VALUE(MID(H382,FIND("/",H382)+1,FIND("/",H382,FIND("/",H382)+1)-FIND("/",H382)-1)),VALUE(LEFT(H382,FIND("/",H382)-1)))+IFERROR(TIMEVALUE(TRIM(MID(H382,FIND(" ",H382)+1,20))),0),0)))</f>
        <v/>
      </c>
      <c r="K382" s="256">
        <f>IF(I382=0,0,INT(I382))</f>
        <v/>
      </c>
      <c r="L382" s="257">
        <f>IF(OR(I382=0,J382=0),0,ROUND((J382-I382)*24,2))</f>
        <v/>
      </c>
      <c r="M382" s="254">
        <f>IFERROR(TRIM(MID(A382,FIND("@",SUBSTITUTE(A382,"(","@",LEN(A382)-LEN(SUBSTITUTE(A382,"(",""))))+1,FIND(")",A382,FIND("@",SUBSTITUTE(A382,"(","@",LEN(A382)-LEN(SUBSTITUTE(A382,"(","")))))-FIND("@",SUBSTITUTE(A382,"(","@",LEN(A382)-LEN(SUBSTITUTE(A382,"(",""))))-1)),"")</f>
        <v/>
      </c>
      <c r="N382" s="254">
        <f>IF(A382="","",IF(LEFT(TRIM(A382),5)="Leave","Leave",IF(OR(ISNUMBER(SEARCH("public holiday",A382)),ISNUMBER(SEARCH("Purple",E382))),"Public holiday","Event")))</f>
        <v/>
      </c>
    </row>
    <row r="383">
      <c r="G383" s="254">
        <f>IF(C383="","",IF(ISNUMBER(C383),C383,IF(ISNUMBER(VALUE(LEFT(TRIM(C383),1))),TRIM(C383),TRIM(MID(TRIM(C383),FIND(" ",TRIM(C383))+1,99)))))</f>
        <v/>
      </c>
      <c r="H383" s="254">
        <f>IF(D383="","",IF(ISNUMBER(D383),D383,IF(ISNUMBER(VALUE(LEFT(TRIM(D383),1))),TRIM(D383),TRIM(MID(TRIM(D383),FIND(" ",TRIM(D383))+1,99)))))</f>
        <v/>
      </c>
      <c r="I383" s="255">
        <f>IF(G383="",0,IF(ISNUMBER(G383),G383,IFERROR(DATE(VALUE(MID(G383,FIND("/",G383,FIND("/",G383)+1)+1,4)),VALUE(MID(G383,FIND("/",G383)+1,FIND("/",G383,FIND("/",G383)+1)-FIND("/",G383)-1)),VALUE(LEFT(G383,FIND("/",G383)-1)))+IFERROR(TIMEVALUE(TRIM(MID(G383,FIND(" ",G383)+1,20))),0),0)))</f>
        <v/>
      </c>
      <c r="J383" s="255">
        <f>IF(H383="",0,IF(ISNUMBER(H383),H383,IFERROR(DATE(VALUE(MID(H383,FIND("/",H383,FIND("/",H383)+1)+1,4)),VALUE(MID(H383,FIND("/",H383)+1,FIND("/",H383,FIND("/",H383)+1)-FIND("/",H383)-1)),VALUE(LEFT(H383,FIND("/",H383)-1)))+IFERROR(TIMEVALUE(TRIM(MID(H383,FIND(" ",H383)+1,20))),0),0)))</f>
        <v/>
      </c>
      <c r="K383" s="256">
        <f>IF(I383=0,0,INT(I383))</f>
        <v/>
      </c>
      <c r="L383" s="257">
        <f>IF(OR(I383=0,J383=0),0,ROUND((J383-I383)*24,2))</f>
        <v/>
      </c>
      <c r="M383" s="254">
        <f>IFERROR(TRIM(MID(A383,FIND("@",SUBSTITUTE(A383,"(","@",LEN(A383)-LEN(SUBSTITUTE(A383,"(",""))))+1,FIND(")",A383,FIND("@",SUBSTITUTE(A383,"(","@",LEN(A383)-LEN(SUBSTITUTE(A383,"(","")))))-FIND("@",SUBSTITUTE(A383,"(","@",LEN(A383)-LEN(SUBSTITUTE(A383,"(",""))))-1)),"")</f>
        <v/>
      </c>
      <c r="N383" s="254">
        <f>IF(A383="","",IF(LEFT(TRIM(A383),5)="Leave","Leave",IF(OR(ISNUMBER(SEARCH("public holiday",A383)),ISNUMBER(SEARCH("Purple",E383))),"Public holiday","Event")))</f>
        <v/>
      </c>
    </row>
    <row r="384">
      <c r="G384" s="254">
        <f>IF(C384="","",IF(ISNUMBER(C384),C384,IF(ISNUMBER(VALUE(LEFT(TRIM(C384),1))),TRIM(C384),TRIM(MID(TRIM(C384),FIND(" ",TRIM(C384))+1,99)))))</f>
        <v/>
      </c>
      <c r="H384" s="254">
        <f>IF(D384="","",IF(ISNUMBER(D384),D384,IF(ISNUMBER(VALUE(LEFT(TRIM(D384),1))),TRIM(D384),TRIM(MID(TRIM(D384),FIND(" ",TRIM(D384))+1,99)))))</f>
        <v/>
      </c>
      <c r="I384" s="255">
        <f>IF(G384="",0,IF(ISNUMBER(G384),G384,IFERROR(DATE(VALUE(MID(G384,FIND("/",G384,FIND("/",G384)+1)+1,4)),VALUE(MID(G384,FIND("/",G384)+1,FIND("/",G384,FIND("/",G384)+1)-FIND("/",G384)-1)),VALUE(LEFT(G384,FIND("/",G384)-1)))+IFERROR(TIMEVALUE(TRIM(MID(G384,FIND(" ",G384)+1,20))),0),0)))</f>
        <v/>
      </c>
      <c r="J384" s="255">
        <f>IF(H384="",0,IF(ISNUMBER(H384),H384,IFERROR(DATE(VALUE(MID(H384,FIND("/",H384,FIND("/",H384)+1)+1,4)),VALUE(MID(H384,FIND("/",H384)+1,FIND("/",H384,FIND("/",H384)+1)-FIND("/",H384)-1)),VALUE(LEFT(H384,FIND("/",H384)-1)))+IFERROR(TIMEVALUE(TRIM(MID(H384,FIND(" ",H384)+1,20))),0),0)))</f>
        <v/>
      </c>
      <c r="K384" s="256">
        <f>IF(I384=0,0,INT(I384))</f>
        <v/>
      </c>
      <c r="L384" s="257">
        <f>IF(OR(I384=0,J384=0),0,ROUND((J384-I384)*24,2))</f>
        <v/>
      </c>
      <c r="M384" s="254">
        <f>IFERROR(TRIM(MID(A384,FIND("@",SUBSTITUTE(A384,"(","@",LEN(A384)-LEN(SUBSTITUTE(A384,"(",""))))+1,FIND(")",A384,FIND("@",SUBSTITUTE(A384,"(","@",LEN(A384)-LEN(SUBSTITUTE(A384,"(","")))))-FIND("@",SUBSTITUTE(A384,"(","@",LEN(A384)-LEN(SUBSTITUTE(A384,"(",""))))-1)),"")</f>
        <v/>
      </c>
      <c r="N384" s="254">
        <f>IF(A384="","",IF(LEFT(TRIM(A384),5)="Leave","Leave",IF(OR(ISNUMBER(SEARCH("public holiday",A384)),ISNUMBER(SEARCH("Purple",E384))),"Public holiday","Event")))</f>
        <v/>
      </c>
    </row>
    <row r="385">
      <c r="G385" s="254">
        <f>IF(C385="","",IF(ISNUMBER(C385),C385,IF(ISNUMBER(VALUE(LEFT(TRIM(C385),1))),TRIM(C385),TRIM(MID(TRIM(C385),FIND(" ",TRIM(C385))+1,99)))))</f>
        <v/>
      </c>
      <c r="H385" s="254">
        <f>IF(D385="","",IF(ISNUMBER(D385),D385,IF(ISNUMBER(VALUE(LEFT(TRIM(D385),1))),TRIM(D385),TRIM(MID(TRIM(D385),FIND(" ",TRIM(D385))+1,99)))))</f>
        <v/>
      </c>
      <c r="I385" s="255">
        <f>IF(G385="",0,IF(ISNUMBER(G385),G385,IFERROR(DATE(VALUE(MID(G385,FIND("/",G385,FIND("/",G385)+1)+1,4)),VALUE(MID(G385,FIND("/",G385)+1,FIND("/",G385,FIND("/",G385)+1)-FIND("/",G385)-1)),VALUE(LEFT(G385,FIND("/",G385)-1)))+IFERROR(TIMEVALUE(TRIM(MID(G385,FIND(" ",G385)+1,20))),0),0)))</f>
        <v/>
      </c>
      <c r="J385" s="255">
        <f>IF(H385="",0,IF(ISNUMBER(H385),H385,IFERROR(DATE(VALUE(MID(H385,FIND("/",H385,FIND("/",H385)+1)+1,4)),VALUE(MID(H385,FIND("/",H385)+1,FIND("/",H385,FIND("/",H385)+1)-FIND("/",H385)-1)),VALUE(LEFT(H385,FIND("/",H385)-1)))+IFERROR(TIMEVALUE(TRIM(MID(H385,FIND(" ",H385)+1,20))),0),0)))</f>
        <v/>
      </c>
      <c r="K385" s="256">
        <f>IF(I385=0,0,INT(I385))</f>
        <v/>
      </c>
      <c r="L385" s="257">
        <f>IF(OR(I385=0,J385=0),0,ROUND((J385-I385)*24,2))</f>
        <v/>
      </c>
      <c r="M385" s="254">
        <f>IFERROR(TRIM(MID(A385,FIND("@",SUBSTITUTE(A385,"(","@",LEN(A385)-LEN(SUBSTITUTE(A385,"(",""))))+1,FIND(")",A385,FIND("@",SUBSTITUTE(A385,"(","@",LEN(A385)-LEN(SUBSTITUTE(A385,"(","")))))-FIND("@",SUBSTITUTE(A385,"(","@",LEN(A385)-LEN(SUBSTITUTE(A385,"(",""))))-1)),"")</f>
        <v/>
      </c>
      <c r="N385" s="254">
        <f>IF(A385="","",IF(LEFT(TRIM(A385),5)="Leave","Leave",IF(OR(ISNUMBER(SEARCH("public holiday",A385)),ISNUMBER(SEARCH("Purple",E385))),"Public holiday","Event")))</f>
        <v/>
      </c>
    </row>
    <row r="386">
      <c r="G386" s="254">
        <f>IF(C386="","",IF(ISNUMBER(C386),C386,IF(ISNUMBER(VALUE(LEFT(TRIM(C386),1))),TRIM(C386),TRIM(MID(TRIM(C386),FIND(" ",TRIM(C386))+1,99)))))</f>
        <v/>
      </c>
      <c r="H386" s="254">
        <f>IF(D386="","",IF(ISNUMBER(D386),D386,IF(ISNUMBER(VALUE(LEFT(TRIM(D386),1))),TRIM(D386),TRIM(MID(TRIM(D386),FIND(" ",TRIM(D386))+1,99)))))</f>
        <v/>
      </c>
      <c r="I386" s="255">
        <f>IF(G386="",0,IF(ISNUMBER(G386),G386,IFERROR(DATE(VALUE(MID(G386,FIND("/",G386,FIND("/",G386)+1)+1,4)),VALUE(MID(G386,FIND("/",G386)+1,FIND("/",G386,FIND("/",G386)+1)-FIND("/",G386)-1)),VALUE(LEFT(G386,FIND("/",G386)-1)))+IFERROR(TIMEVALUE(TRIM(MID(G386,FIND(" ",G386)+1,20))),0),0)))</f>
        <v/>
      </c>
      <c r="J386" s="255">
        <f>IF(H386="",0,IF(ISNUMBER(H386),H386,IFERROR(DATE(VALUE(MID(H386,FIND("/",H386,FIND("/",H386)+1)+1,4)),VALUE(MID(H386,FIND("/",H386)+1,FIND("/",H386,FIND("/",H386)+1)-FIND("/",H386)-1)),VALUE(LEFT(H386,FIND("/",H386)-1)))+IFERROR(TIMEVALUE(TRIM(MID(H386,FIND(" ",H386)+1,20))),0),0)))</f>
        <v/>
      </c>
      <c r="K386" s="256">
        <f>IF(I386=0,0,INT(I386))</f>
        <v/>
      </c>
      <c r="L386" s="257">
        <f>IF(OR(I386=0,J386=0),0,ROUND((J386-I386)*24,2))</f>
        <v/>
      </c>
      <c r="M386" s="254">
        <f>IFERROR(TRIM(MID(A386,FIND("@",SUBSTITUTE(A386,"(","@",LEN(A386)-LEN(SUBSTITUTE(A386,"(",""))))+1,FIND(")",A386,FIND("@",SUBSTITUTE(A386,"(","@",LEN(A386)-LEN(SUBSTITUTE(A386,"(","")))))-FIND("@",SUBSTITUTE(A386,"(","@",LEN(A386)-LEN(SUBSTITUTE(A386,"(",""))))-1)),"")</f>
        <v/>
      </c>
      <c r="N386" s="254">
        <f>IF(A386="","",IF(LEFT(TRIM(A386),5)="Leave","Leave",IF(OR(ISNUMBER(SEARCH("public holiday",A386)),ISNUMBER(SEARCH("Purple",E386))),"Public holiday","Event")))</f>
        <v/>
      </c>
    </row>
    <row r="387">
      <c r="G387" s="254">
        <f>IF(C387="","",IF(ISNUMBER(C387),C387,IF(ISNUMBER(VALUE(LEFT(TRIM(C387),1))),TRIM(C387),TRIM(MID(TRIM(C387),FIND(" ",TRIM(C387))+1,99)))))</f>
        <v/>
      </c>
      <c r="H387" s="254">
        <f>IF(D387="","",IF(ISNUMBER(D387),D387,IF(ISNUMBER(VALUE(LEFT(TRIM(D387),1))),TRIM(D387),TRIM(MID(TRIM(D387),FIND(" ",TRIM(D387))+1,99)))))</f>
        <v/>
      </c>
      <c r="I387" s="255">
        <f>IF(G387="",0,IF(ISNUMBER(G387),G387,IFERROR(DATE(VALUE(MID(G387,FIND("/",G387,FIND("/",G387)+1)+1,4)),VALUE(MID(G387,FIND("/",G387)+1,FIND("/",G387,FIND("/",G387)+1)-FIND("/",G387)-1)),VALUE(LEFT(G387,FIND("/",G387)-1)))+IFERROR(TIMEVALUE(TRIM(MID(G387,FIND(" ",G387)+1,20))),0),0)))</f>
        <v/>
      </c>
      <c r="J387" s="255">
        <f>IF(H387="",0,IF(ISNUMBER(H387),H387,IFERROR(DATE(VALUE(MID(H387,FIND("/",H387,FIND("/",H387)+1)+1,4)),VALUE(MID(H387,FIND("/",H387)+1,FIND("/",H387,FIND("/",H387)+1)-FIND("/",H387)-1)),VALUE(LEFT(H387,FIND("/",H387)-1)))+IFERROR(TIMEVALUE(TRIM(MID(H387,FIND(" ",H387)+1,20))),0),0)))</f>
        <v/>
      </c>
      <c r="K387" s="256">
        <f>IF(I387=0,0,INT(I387))</f>
        <v/>
      </c>
      <c r="L387" s="257">
        <f>IF(OR(I387=0,J387=0),0,ROUND((J387-I387)*24,2))</f>
        <v/>
      </c>
      <c r="M387" s="254">
        <f>IFERROR(TRIM(MID(A387,FIND("@",SUBSTITUTE(A387,"(","@",LEN(A387)-LEN(SUBSTITUTE(A387,"(",""))))+1,FIND(")",A387,FIND("@",SUBSTITUTE(A387,"(","@",LEN(A387)-LEN(SUBSTITUTE(A387,"(","")))))-FIND("@",SUBSTITUTE(A387,"(","@",LEN(A387)-LEN(SUBSTITUTE(A387,"(",""))))-1)),"")</f>
        <v/>
      </c>
      <c r="N387" s="254">
        <f>IF(A387="","",IF(LEFT(TRIM(A387),5)="Leave","Leave",IF(OR(ISNUMBER(SEARCH("public holiday",A387)),ISNUMBER(SEARCH("Purple",E387))),"Public holiday","Event")))</f>
        <v/>
      </c>
    </row>
    <row r="388">
      <c r="G388" s="254">
        <f>IF(C388="","",IF(ISNUMBER(C388),C388,IF(ISNUMBER(VALUE(LEFT(TRIM(C388),1))),TRIM(C388),TRIM(MID(TRIM(C388),FIND(" ",TRIM(C388))+1,99)))))</f>
        <v/>
      </c>
      <c r="H388" s="254">
        <f>IF(D388="","",IF(ISNUMBER(D388),D388,IF(ISNUMBER(VALUE(LEFT(TRIM(D388),1))),TRIM(D388),TRIM(MID(TRIM(D388),FIND(" ",TRIM(D388))+1,99)))))</f>
        <v/>
      </c>
      <c r="I388" s="255">
        <f>IF(G388="",0,IF(ISNUMBER(G388),G388,IFERROR(DATE(VALUE(MID(G388,FIND("/",G388,FIND("/",G388)+1)+1,4)),VALUE(MID(G388,FIND("/",G388)+1,FIND("/",G388,FIND("/",G388)+1)-FIND("/",G388)-1)),VALUE(LEFT(G388,FIND("/",G388)-1)))+IFERROR(TIMEVALUE(TRIM(MID(G388,FIND(" ",G388)+1,20))),0),0)))</f>
        <v/>
      </c>
      <c r="J388" s="255">
        <f>IF(H388="",0,IF(ISNUMBER(H388),H388,IFERROR(DATE(VALUE(MID(H388,FIND("/",H388,FIND("/",H388)+1)+1,4)),VALUE(MID(H388,FIND("/",H388)+1,FIND("/",H388,FIND("/",H388)+1)-FIND("/",H388)-1)),VALUE(LEFT(H388,FIND("/",H388)-1)))+IFERROR(TIMEVALUE(TRIM(MID(H388,FIND(" ",H388)+1,20))),0),0)))</f>
        <v/>
      </c>
      <c r="K388" s="256">
        <f>IF(I388=0,0,INT(I388))</f>
        <v/>
      </c>
      <c r="L388" s="257">
        <f>IF(OR(I388=0,J388=0),0,ROUND((J388-I388)*24,2))</f>
        <v/>
      </c>
      <c r="M388" s="254">
        <f>IFERROR(TRIM(MID(A388,FIND("@",SUBSTITUTE(A388,"(","@",LEN(A388)-LEN(SUBSTITUTE(A388,"(",""))))+1,FIND(")",A388,FIND("@",SUBSTITUTE(A388,"(","@",LEN(A388)-LEN(SUBSTITUTE(A388,"(","")))))-FIND("@",SUBSTITUTE(A388,"(","@",LEN(A388)-LEN(SUBSTITUTE(A388,"(",""))))-1)),"")</f>
        <v/>
      </c>
      <c r="N388" s="254">
        <f>IF(A388="","",IF(LEFT(TRIM(A388),5)="Leave","Leave",IF(OR(ISNUMBER(SEARCH("public holiday",A388)),ISNUMBER(SEARCH("Purple",E388))),"Public holiday","Event")))</f>
        <v/>
      </c>
    </row>
    <row r="389">
      <c r="G389" s="254">
        <f>IF(C389="","",IF(ISNUMBER(C389),C389,IF(ISNUMBER(VALUE(LEFT(TRIM(C389),1))),TRIM(C389),TRIM(MID(TRIM(C389),FIND(" ",TRIM(C389))+1,99)))))</f>
        <v/>
      </c>
      <c r="H389" s="254">
        <f>IF(D389="","",IF(ISNUMBER(D389),D389,IF(ISNUMBER(VALUE(LEFT(TRIM(D389),1))),TRIM(D389),TRIM(MID(TRIM(D389),FIND(" ",TRIM(D389))+1,99)))))</f>
        <v/>
      </c>
      <c r="I389" s="255">
        <f>IF(G389="",0,IF(ISNUMBER(G389),G389,IFERROR(DATE(VALUE(MID(G389,FIND("/",G389,FIND("/",G389)+1)+1,4)),VALUE(MID(G389,FIND("/",G389)+1,FIND("/",G389,FIND("/",G389)+1)-FIND("/",G389)-1)),VALUE(LEFT(G389,FIND("/",G389)-1)))+IFERROR(TIMEVALUE(TRIM(MID(G389,FIND(" ",G389)+1,20))),0),0)))</f>
        <v/>
      </c>
      <c r="J389" s="255">
        <f>IF(H389="",0,IF(ISNUMBER(H389),H389,IFERROR(DATE(VALUE(MID(H389,FIND("/",H389,FIND("/",H389)+1)+1,4)),VALUE(MID(H389,FIND("/",H389)+1,FIND("/",H389,FIND("/",H389)+1)-FIND("/",H389)-1)),VALUE(LEFT(H389,FIND("/",H389)-1)))+IFERROR(TIMEVALUE(TRIM(MID(H389,FIND(" ",H389)+1,20))),0),0)))</f>
        <v/>
      </c>
      <c r="K389" s="256">
        <f>IF(I389=0,0,INT(I389))</f>
        <v/>
      </c>
      <c r="L389" s="257">
        <f>IF(OR(I389=0,J389=0),0,ROUND((J389-I389)*24,2))</f>
        <v/>
      </c>
      <c r="M389" s="254">
        <f>IFERROR(TRIM(MID(A389,FIND("@",SUBSTITUTE(A389,"(","@",LEN(A389)-LEN(SUBSTITUTE(A389,"(",""))))+1,FIND(")",A389,FIND("@",SUBSTITUTE(A389,"(","@",LEN(A389)-LEN(SUBSTITUTE(A389,"(","")))))-FIND("@",SUBSTITUTE(A389,"(","@",LEN(A389)-LEN(SUBSTITUTE(A389,"(",""))))-1)),"")</f>
        <v/>
      </c>
      <c r="N389" s="254">
        <f>IF(A389="","",IF(LEFT(TRIM(A389),5)="Leave","Leave",IF(OR(ISNUMBER(SEARCH("public holiday",A389)),ISNUMBER(SEARCH("Purple",E389))),"Public holiday","Event")))</f>
        <v/>
      </c>
    </row>
    <row r="390">
      <c r="G390" s="254">
        <f>IF(C390="","",IF(ISNUMBER(C390),C390,IF(ISNUMBER(VALUE(LEFT(TRIM(C390),1))),TRIM(C390),TRIM(MID(TRIM(C390),FIND(" ",TRIM(C390))+1,99)))))</f>
        <v/>
      </c>
      <c r="H390" s="254">
        <f>IF(D390="","",IF(ISNUMBER(D390),D390,IF(ISNUMBER(VALUE(LEFT(TRIM(D390),1))),TRIM(D390),TRIM(MID(TRIM(D390),FIND(" ",TRIM(D390))+1,99)))))</f>
        <v/>
      </c>
      <c r="I390" s="255">
        <f>IF(G390="",0,IF(ISNUMBER(G390),G390,IFERROR(DATE(VALUE(MID(G390,FIND("/",G390,FIND("/",G390)+1)+1,4)),VALUE(MID(G390,FIND("/",G390)+1,FIND("/",G390,FIND("/",G390)+1)-FIND("/",G390)-1)),VALUE(LEFT(G390,FIND("/",G390)-1)))+IFERROR(TIMEVALUE(TRIM(MID(G390,FIND(" ",G390)+1,20))),0),0)))</f>
        <v/>
      </c>
      <c r="J390" s="255">
        <f>IF(H390="",0,IF(ISNUMBER(H390),H390,IFERROR(DATE(VALUE(MID(H390,FIND("/",H390,FIND("/",H390)+1)+1,4)),VALUE(MID(H390,FIND("/",H390)+1,FIND("/",H390,FIND("/",H390)+1)-FIND("/",H390)-1)),VALUE(LEFT(H390,FIND("/",H390)-1)))+IFERROR(TIMEVALUE(TRIM(MID(H390,FIND(" ",H390)+1,20))),0),0)))</f>
        <v/>
      </c>
      <c r="K390" s="256">
        <f>IF(I390=0,0,INT(I390))</f>
        <v/>
      </c>
      <c r="L390" s="257">
        <f>IF(OR(I390=0,J390=0),0,ROUND((J390-I390)*24,2))</f>
        <v/>
      </c>
      <c r="M390" s="254">
        <f>IFERROR(TRIM(MID(A390,FIND("@",SUBSTITUTE(A390,"(","@",LEN(A390)-LEN(SUBSTITUTE(A390,"(",""))))+1,FIND(")",A390,FIND("@",SUBSTITUTE(A390,"(","@",LEN(A390)-LEN(SUBSTITUTE(A390,"(","")))))-FIND("@",SUBSTITUTE(A390,"(","@",LEN(A390)-LEN(SUBSTITUTE(A390,"(",""))))-1)),"")</f>
        <v/>
      </c>
      <c r="N390" s="254">
        <f>IF(A390="","",IF(LEFT(TRIM(A390),5)="Leave","Leave",IF(OR(ISNUMBER(SEARCH("public holiday",A390)),ISNUMBER(SEARCH("Purple",E390))),"Public holiday","Event")))</f>
        <v/>
      </c>
    </row>
    <row r="391">
      <c r="G391" s="254">
        <f>IF(C391="","",IF(ISNUMBER(C391),C391,IF(ISNUMBER(VALUE(LEFT(TRIM(C391),1))),TRIM(C391),TRIM(MID(TRIM(C391),FIND(" ",TRIM(C391))+1,99)))))</f>
        <v/>
      </c>
      <c r="H391" s="254">
        <f>IF(D391="","",IF(ISNUMBER(D391),D391,IF(ISNUMBER(VALUE(LEFT(TRIM(D391),1))),TRIM(D391),TRIM(MID(TRIM(D391),FIND(" ",TRIM(D391))+1,99)))))</f>
        <v/>
      </c>
      <c r="I391" s="255">
        <f>IF(G391="",0,IF(ISNUMBER(G391),G391,IFERROR(DATE(VALUE(MID(G391,FIND("/",G391,FIND("/",G391)+1)+1,4)),VALUE(MID(G391,FIND("/",G391)+1,FIND("/",G391,FIND("/",G391)+1)-FIND("/",G391)-1)),VALUE(LEFT(G391,FIND("/",G391)-1)))+IFERROR(TIMEVALUE(TRIM(MID(G391,FIND(" ",G391)+1,20))),0),0)))</f>
        <v/>
      </c>
      <c r="J391" s="255">
        <f>IF(H391="",0,IF(ISNUMBER(H391),H391,IFERROR(DATE(VALUE(MID(H391,FIND("/",H391,FIND("/",H391)+1)+1,4)),VALUE(MID(H391,FIND("/",H391)+1,FIND("/",H391,FIND("/",H391)+1)-FIND("/",H391)-1)),VALUE(LEFT(H391,FIND("/",H391)-1)))+IFERROR(TIMEVALUE(TRIM(MID(H391,FIND(" ",H391)+1,20))),0),0)))</f>
        <v/>
      </c>
      <c r="K391" s="256">
        <f>IF(I391=0,0,INT(I391))</f>
        <v/>
      </c>
      <c r="L391" s="257">
        <f>IF(OR(I391=0,J391=0),0,ROUND((J391-I391)*24,2))</f>
        <v/>
      </c>
      <c r="M391" s="254">
        <f>IFERROR(TRIM(MID(A391,FIND("@",SUBSTITUTE(A391,"(","@",LEN(A391)-LEN(SUBSTITUTE(A391,"(",""))))+1,FIND(")",A391,FIND("@",SUBSTITUTE(A391,"(","@",LEN(A391)-LEN(SUBSTITUTE(A391,"(","")))))-FIND("@",SUBSTITUTE(A391,"(","@",LEN(A391)-LEN(SUBSTITUTE(A391,"(",""))))-1)),"")</f>
        <v/>
      </c>
      <c r="N391" s="254">
        <f>IF(A391="","",IF(LEFT(TRIM(A391),5)="Leave","Leave",IF(OR(ISNUMBER(SEARCH("public holiday",A391)),ISNUMBER(SEARCH("Purple",E391))),"Public holiday","Event")))</f>
        <v/>
      </c>
    </row>
    <row r="392">
      <c r="G392" s="254">
        <f>IF(C392="","",IF(ISNUMBER(C392),C392,IF(ISNUMBER(VALUE(LEFT(TRIM(C392),1))),TRIM(C392),TRIM(MID(TRIM(C392),FIND(" ",TRIM(C392))+1,99)))))</f>
        <v/>
      </c>
      <c r="H392" s="254">
        <f>IF(D392="","",IF(ISNUMBER(D392),D392,IF(ISNUMBER(VALUE(LEFT(TRIM(D392),1))),TRIM(D392),TRIM(MID(TRIM(D392),FIND(" ",TRIM(D392))+1,99)))))</f>
        <v/>
      </c>
      <c r="I392" s="255">
        <f>IF(G392="",0,IF(ISNUMBER(G392),G392,IFERROR(DATE(VALUE(MID(G392,FIND("/",G392,FIND("/",G392)+1)+1,4)),VALUE(MID(G392,FIND("/",G392)+1,FIND("/",G392,FIND("/",G392)+1)-FIND("/",G392)-1)),VALUE(LEFT(G392,FIND("/",G392)-1)))+IFERROR(TIMEVALUE(TRIM(MID(G392,FIND(" ",G392)+1,20))),0),0)))</f>
        <v/>
      </c>
      <c r="J392" s="255">
        <f>IF(H392="",0,IF(ISNUMBER(H392),H392,IFERROR(DATE(VALUE(MID(H392,FIND("/",H392,FIND("/",H392)+1)+1,4)),VALUE(MID(H392,FIND("/",H392)+1,FIND("/",H392,FIND("/",H392)+1)-FIND("/",H392)-1)),VALUE(LEFT(H392,FIND("/",H392)-1)))+IFERROR(TIMEVALUE(TRIM(MID(H392,FIND(" ",H392)+1,20))),0),0)))</f>
        <v/>
      </c>
      <c r="K392" s="256">
        <f>IF(I392=0,0,INT(I392))</f>
        <v/>
      </c>
      <c r="L392" s="257">
        <f>IF(OR(I392=0,J392=0),0,ROUND((J392-I392)*24,2))</f>
        <v/>
      </c>
      <c r="M392" s="254">
        <f>IFERROR(TRIM(MID(A392,FIND("@",SUBSTITUTE(A392,"(","@",LEN(A392)-LEN(SUBSTITUTE(A392,"(",""))))+1,FIND(")",A392,FIND("@",SUBSTITUTE(A392,"(","@",LEN(A392)-LEN(SUBSTITUTE(A392,"(","")))))-FIND("@",SUBSTITUTE(A392,"(","@",LEN(A392)-LEN(SUBSTITUTE(A392,"(",""))))-1)),"")</f>
        <v/>
      </c>
      <c r="N392" s="254">
        <f>IF(A392="","",IF(LEFT(TRIM(A392),5)="Leave","Leave",IF(OR(ISNUMBER(SEARCH("public holiday",A392)),ISNUMBER(SEARCH("Purple",E392))),"Public holiday","Event")))</f>
        <v/>
      </c>
    </row>
    <row r="393">
      <c r="G393" s="254">
        <f>IF(C393="","",IF(ISNUMBER(C393),C393,IF(ISNUMBER(VALUE(LEFT(TRIM(C393),1))),TRIM(C393),TRIM(MID(TRIM(C393),FIND(" ",TRIM(C393))+1,99)))))</f>
        <v/>
      </c>
      <c r="H393" s="254">
        <f>IF(D393="","",IF(ISNUMBER(D393),D393,IF(ISNUMBER(VALUE(LEFT(TRIM(D393),1))),TRIM(D393),TRIM(MID(TRIM(D393),FIND(" ",TRIM(D393))+1,99)))))</f>
        <v/>
      </c>
      <c r="I393" s="255">
        <f>IF(G393="",0,IF(ISNUMBER(G393),G393,IFERROR(DATE(VALUE(MID(G393,FIND("/",G393,FIND("/",G393)+1)+1,4)),VALUE(MID(G393,FIND("/",G393)+1,FIND("/",G393,FIND("/",G393)+1)-FIND("/",G393)-1)),VALUE(LEFT(G393,FIND("/",G393)-1)))+IFERROR(TIMEVALUE(TRIM(MID(G393,FIND(" ",G393)+1,20))),0),0)))</f>
        <v/>
      </c>
      <c r="J393" s="255">
        <f>IF(H393="",0,IF(ISNUMBER(H393),H393,IFERROR(DATE(VALUE(MID(H393,FIND("/",H393,FIND("/",H393)+1)+1,4)),VALUE(MID(H393,FIND("/",H393)+1,FIND("/",H393,FIND("/",H393)+1)-FIND("/",H393)-1)),VALUE(LEFT(H393,FIND("/",H393)-1)))+IFERROR(TIMEVALUE(TRIM(MID(H393,FIND(" ",H393)+1,20))),0),0)))</f>
        <v/>
      </c>
      <c r="K393" s="256">
        <f>IF(I393=0,0,INT(I393))</f>
        <v/>
      </c>
      <c r="L393" s="257">
        <f>IF(OR(I393=0,J393=0),0,ROUND((J393-I393)*24,2))</f>
        <v/>
      </c>
      <c r="M393" s="254">
        <f>IFERROR(TRIM(MID(A393,FIND("@",SUBSTITUTE(A393,"(","@",LEN(A393)-LEN(SUBSTITUTE(A393,"(",""))))+1,FIND(")",A393,FIND("@",SUBSTITUTE(A393,"(","@",LEN(A393)-LEN(SUBSTITUTE(A393,"(","")))))-FIND("@",SUBSTITUTE(A393,"(","@",LEN(A393)-LEN(SUBSTITUTE(A393,"(",""))))-1)),"")</f>
        <v/>
      </c>
      <c r="N393" s="254">
        <f>IF(A393="","",IF(LEFT(TRIM(A393),5)="Leave","Leave",IF(OR(ISNUMBER(SEARCH("public holiday",A393)),ISNUMBER(SEARCH("Purple",E393))),"Public holiday","Event")))</f>
        <v/>
      </c>
    </row>
    <row r="394">
      <c r="G394" s="254">
        <f>IF(C394="","",IF(ISNUMBER(C394),C394,IF(ISNUMBER(VALUE(LEFT(TRIM(C394),1))),TRIM(C394),TRIM(MID(TRIM(C394),FIND(" ",TRIM(C394))+1,99)))))</f>
        <v/>
      </c>
      <c r="H394" s="254">
        <f>IF(D394="","",IF(ISNUMBER(D394),D394,IF(ISNUMBER(VALUE(LEFT(TRIM(D394),1))),TRIM(D394),TRIM(MID(TRIM(D394),FIND(" ",TRIM(D394))+1,99)))))</f>
        <v/>
      </c>
      <c r="I394" s="255">
        <f>IF(G394="",0,IF(ISNUMBER(G394),G394,IFERROR(DATE(VALUE(MID(G394,FIND("/",G394,FIND("/",G394)+1)+1,4)),VALUE(MID(G394,FIND("/",G394)+1,FIND("/",G394,FIND("/",G394)+1)-FIND("/",G394)-1)),VALUE(LEFT(G394,FIND("/",G394)-1)))+IFERROR(TIMEVALUE(TRIM(MID(G394,FIND(" ",G394)+1,20))),0),0)))</f>
        <v/>
      </c>
      <c r="J394" s="255">
        <f>IF(H394="",0,IF(ISNUMBER(H394),H394,IFERROR(DATE(VALUE(MID(H394,FIND("/",H394,FIND("/",H394)+1)+1,4)),VALUE(MID(H394,FIND("/",H394)+1,FIND("/",H394,FIND("/",H394)+1)-FIND("/",H394)-1)),VALUE(LEFT(H394,FIND("/",H394)-1)))+IFERROR(TIMEVALUE(TRIM(MID(H394,FIND(" ",H394)+1,20))),0),0)))</f>
        <v/>
      </c>
      <c r="K394" s="256">
        <f>IF(I394=0,0,INT(I394))</f>
        <v/>
      </c>
      <c r="L394" s="257">
        <f>IF(OR(I394=0,J394=0),0,ROUND((J394-I394)*24,2))</f>
        <v/>
      </c>
      <c r="M394" s="254">
        <f>IFERROR(TRIM(MID(A394,FIND("@",SUBSTITUTE(A394,"(","@",LEN(A394)-LEN(SUBSTITUTE(A394,"(",""))))+1,FIND(")",A394,FIND("@",SUBSTITUTE(A394,"(","@",LEN(A394)-LEN(SUBSTITUTE(A394,"(","")))))-FIND("@",SUBSTITUTE(A394,"(","@",LEN(A394)-LEN(SUBSTITUTE(A394,"(",""))))-1)),"")</f>
        <v/>
      </c>
      <c r="N394" s="254">
        <f>IF(A394="","",IF(LEFT(TRIM(A394),5)="Leave","Leave",IF(OR(ISNUMBER(SEARCH("public holiday",A394)),ISNUMBER(SEARCH("Purple",E394))),"Public holiday","Event")))</f>
        <v/>
      </c>
    </row>
    <row r="395">
      <c r="G395" s="254">
        <f>IF(C395="","",IF(ISNUMBER(C395),C395,IF(ISNUMBER(VALUE(LEFT(TRIM(C395),1))),TRIM(C395),TRIM(MID(TRIM(C395),FIND(" ",TRIM(C395))+1,99)))))</f>
        <v/>
      </c>
      <c r="H395" s="254">
        <f>IF(D395="","",IF(ISNUMBER(D395),D395,IF(ISNUMBER(VALUE(LEFT(TRIM(D395),1))),TRIM(D395),TRIM(MID(TRIM(D395),FIND(" ",TRIM(D395))+1,99)))))</f>
        <v/>
      </c>
      <c r="I395" s="255">
        <f>IF(G395="",0,IF(ISNUMBER(G395),G395,IFERROR(DATE(VALUE(MID(G395,FIND("/",G395,FIND("/",G395)+1)+1,4)),VALUE(MID(G395,FIND("/",G395)+1,FIND("/",G395,FIND("/",G395)+1)-FIND("/",G395)-1)),VALUE(LEFT(G395,FIND("/",G395)-1)))+IFERROR(TIMEVALUE(TRIM(MID(G395,FIND(" ",G395)+1,20))),0),0)))</f>
        <v/>
      </c>
      <c r="J395" s="255">
        <f>IF(H395="",0,IF(ISNUMBER(H395),H395,IFERROR(DATE(VALUE(MID(H395,FIND("/",H395,FIND("/",H395)+1)+1,4)),VALUE(MID(H395,FIND("/",H395)+1,FIND("/",H395,FIND("/",H395)+1)-FIND("/",H395)-1)),VALUE(LEFT(H395,FIND("/",H395)-1)))+IFERROR(TIMEVALUE(TRIM(MID(H395,FIND(" ",H395)+1,20))),0),0)))</f>
        <v/>
      </c>
      <c r="K395" s="256">
        <f>IF(I395=0,0,INT(I395))</f>
        <v/>
      </c>
      <c r="L395" s="257">
        <f>IF(OR(I395=0,J395=0),0,ROUND((J395-I395)*24,2))</f>
        <v/>
      </c>
      <c r="M395" s="254">
        <f>IFERROR(TRIM(MID(A395,FIND("@",SUBSTITUTE(A395,"(","@",LEN(A395)-LEN(SUBSTITUTE(A395,"(",""))))+1,FIND(")",A395,FIND("@",SUBSTITUTE(A395,"(","@",LEN(A395)-LEN(SUBSTITUTE(A395,"(","")))))-FIND("@",SUBSTITUTE(A395,"(","@",LEN(A395)-LEN(SUBSTITUTE(A395,"(",""))))-1)),"")</f>
        <v/>
      </c>
      <c r="N395" s="254">
        <f>IF(A395="","",IF(LEFT(TRIM(A395),5)="Leave","Leave",IF(OR(ISNUMBER(SEARCH("public holiday",A395)),ISNUMBER(SEARCH("Purple",E395))),"Public holiday","Event")))</f>
        <v/>
      </c>
    </row>
    <row r="396">
      <c r="G396" s="254">
        <f>IF(C396="","",IF(ISNUMBER(C396),C396,IF(ISNUMBER(VALUE(LEFT(TRIM(C396),1))),TRIM(C396),TRIM(MID(TRIM(C396),FIND(" ",TRIM(C396))+1,99)))))</f>
        <v/>
      </c>
      <c r="H396" s="254">
        <f>IF(D396="","",IF(ISNUMBER(D396),D396,IF(ISNUMBER(VALUE(LEFT(TRIM(D396),1))),TRIM(D396),TRIM(MID(TRIM(D396),FIND(" ",TRIM(D396))+1,99)))))</f>
        <v/>
      </c>
      <c r="I396" s="255">
        <f>IF(G396="",0,IF(ISNUMBER(G396),G396,IFERROR(DATE(VALUE(MID(G396,FIND("/",G396,FIND("/",G396)+1)+1,4)),VALUE(MID(G396,FIND("/",G396)+1,FIND("/",G396,FIND("/",G396)+1)-FIND("/",G396)-1)),VALUE(LEFT(G396,FIND("/",G396)-1)))+IFERROR(TIMEVALUE(TRIM(MID(G396,FIND(" ",G396)+1,20))),0),0)))</f>
        <v/>
      </c>
      <c r="J396" s="255">
        <f>IF(H396="",0,IF(ISNUMBER(H396),H396,IFERROR(DATE(VALUE(MID(H396,FIND("/",H396,FIND("/",H396)+1)+1,4)),VALUE(MID(H396,FIND("/",H396)+1,FIND("/",H396,FIND("/",H396)+1)-FIND("/",H396)-1)),VALUE(LEFT(H396,FIND("/",H396)-1)))+IFERROR(TIMEVALUE(TRIM(MID(H396,FIND(" ",H396)+1,20))),0),0)))</f>
        <v/>
      </c>
      <c r="K396" s="256">
        <f>IF(I396=0,0,INT(I396))</f>
        <v/>
      </c>
      <c r="L396" s="257">
        <f>IF(OR(I396=0,J396=0),0,ROUND((J396-I396)*24,2))</f>
        <v/>
      </c>
      <c r="M396" s="254">
        <f>IFERROR(TRIM(MID(A396,FIND("@",SUBSTITUTE(A396,"(","@",LEN(A396)-LEN(SUBSTITUTE(A396,"(",""))))+1,FIND(")",A396,FIND("@",SUBSTITUTE(A396,"(","@",LEN(A396)-LEN(SUBSTITUTE(A396,"(","")))))-FIND("@",SUBSTITUTE(A396,"(","@",LEN(A396)-LEN(SUBSTITUTE(A396,"(",""))))-1)),"")</f>
        <v/>
      </c>
      <c r="N396" s="254">
        <f>IF(A396="","",IF(LEFT(TRIM(A396),5)="Leave","Leave",IF(OR(ISNUMBER(SEARCH("public holiday",A396)),ISNUMBER(SEARCH("Purple",E396))),"Public holiday","Event")))</f>
        <v/>
      </c>
    </row>
    <row r="397">
      <c r="G397" s="254">
        <f>IF(C397="","",IF(ISNUMBER(C397),C397,IF(ISNUMBER(VALUE(LEFT(TRIM(C397),1))),TRIM(C397),TRIM(MID(TRIM(C397),FIND(" ",TRIM(C397))+1,99)))))</f>
        <v/>
      </c>
      <c r="H397" s="254">
        <f>IF(D397="","",IF(ISNUMBER(D397),D397,IF(ISNUMBER(VALUE(LEFT(TRIM(D397),1))),TRIM(D397),TRIM(MID(TRIM(D397),FIND(" ",TRIM(D397))+1,99)))))</f>
        <v/>
      </c>
      <c r="I397" s="255">
        <f>IF(G397="",0,IF(ISNUMBER(G397),G397,IFERROR(DATE(VALUE(MID(G397,FIND("/",G397,FIND("/",G397)+1)+1,4)),VALUE(MID(G397,FIND("/",G397)+1,FIND("/",G397,FIND("/",G397)+1)-FIND("/",G397)-1)),VALUE(LEFT(G397,FIND("/",G397)-1)))+IFERROR(TIMEVALUE(TRIM(MID(G397,FIND(" ",G397)+1,20))),0),0)))</f>
        <v/>
      </c>
      <c r="J397" s="255">
        <f>IF(H397="",0,IF(ISNUMBER(H397),H397,IFERROR(DATE(VALUE(MID(H397,FIND("/",H397,FIND("/",H397)+1)+1,4)),VALUE(MID(H397,FIND("/",H397)+1,FIND("/",H397,FIND("/",H397)+1)-FIND("/",H397)-1)),VALUE(LEFT(H397,FIND("/",H397)-1)))+IFERROR(TIMEVALUE(TRIM(MID(H397,FIND(" ",H397)+1,20))),0),0)))</f>
        <v/>
      </c>
      <c r="K397" s="256">
        <f>IF(I397=0,0,INT(I397))</f>
        <v/>
      </c>
      <c r="L397" s="257">
        <f>IF(OR(I397=0,J397=0),0,ROUND((J397-I397)*24,2))</f>
        <v/>
      </c>
      <c r="M397" s="254">
        <f>IFERROR(TRIM(MID(A397,FIND("@",SUBSTITUTE(A397,"(","@",LEN(A397)-LEN(SUBSTITUTE(A397,"(",""))))+1,FIND(")",A397,FIND("@",SUBSTITUTE(A397,"(","@",LEN(A397)-LEN(SUBSTITUTE(A397,"(","")))))-FIND("@",SUBSTITUTE(A397,"(","@",LEN(A397)-LEN(SUBSTITUTE(A397,"(",""))))-1)),"")</f>
        <v/>
      </c>
      <c r="N397" s="254">
        <f>IF(A397="","",IF(LEFT(TRIM(A397),5)="Leave","Leave",IF(OR(ISNUMBER(SEARCH("public holiday",A397)),ISNUMBER(SEARCH("Purple",E397))),"Public holiday","Event")))</f>
        <v/>
      </c>
    </row>
    <row r="398">
      <c r="G398" s="254">
        <f>IF(C398="","",IF(ISNUMBER(C398),C398,IF(ISNUMBER(VALUE(LEFT(TRIM(C398),1))),TRIM(C398),TRIM(MID(TRIM(C398),FIND(" ",TRIM(C398))+1,99)))))</f>
        <v/>
      </c>
      <c r="H398" s="254">
        <f>IF(D398="","",IF(ISNUMBER(D398),D398,IF(ISNUMBER(VALUE(LEFT(TRIM(D398),1))),TRIM(D398),TRIM(MID(TRIM(D398),FIND(" ",TRIM(D398))+1,99)))))</f>
        <v/>
      </c>
      <c r="I398" s="255">
        <f>IF(G398="",0,IF(ISNUMBER(G398),G398,IFERROR(DATE(VALUE(MID(G398,FIND("/",G398,FIND("/",G398)+1)+1,4)),VALUE(MID(G398,FIND("/",G398)+1,FIND("/",G398,FIND("/",G398)+1)-FIND("/",G398)-1)),VALUE(LEFT(G398,FIND("/",G398)-1)))+IFERROR(TIMEVALUE(TRIM(MID(G398,FIND(" ",G398)+1,20))),0),0)))</f>
        <v/>
      </c>
      <c r="J398" s="255">
        <f>IF(H398="",0,IF(ISNUMBER(H398),H398,IFERROR(DATE(VALUE(MID(H398,FIND("/",H398,FIND("/",H398)+1)+1,4)),VALUE(MID(H398,FIND("/",H398)+1,FIND("/",H398,FIND("/",H398)+1)-FIND("/",H398)-1)),VALUE(LEFT(H398,FIND("/",H398)-1)))+IFERROR(TIMEVALUE(TRIM(MID(H398,FIND(" ",H398)+1,20))),0),0)))</f>
        <v/>
      </c>
      <c r="K398" s="256">
        <f>IF(I398=0,0,INT(I398))</f>
        <v/>
      </c>
      <c r="L398" s="257">
        <f>IF(OR(I398=0,J398=0),0,ROUND((J398-I398)*24,2))</f>
        <v/>
      </c>
      <c r="M398" s="254">
        <f>IFERROR(TRIM(MID(A398,FIND("@",SUBSTITUTE(A398,"(","@",LEN(A398)-LEN(SUBSTITUTE(A398,"(",""))))+1,FIND(")",A398,FIND("@",SUBSTITUTE(A398,"(","@",LEN(A398)-LEN(SUBSTITUTE(A398,"(","")))))-FIND("@",SUBSTITUTE(A398,"(","@",LEN(A398)-LEN(SUBSTITUTE(A398,"(",""))))-1)),"")</f>
        <v/>
      </c>
      <c r="N398" s="254">
        <f>IF(A398="","",IF(LEFT(TRIM(A398),5)="Leave","Leave",IF(OR(ISNUMBER(SEARCH("public holiday",A398)),ISNUMBER(SEARCH("Purple",E398))),"Public holiday","Event")))</f>
        <v/>
      </c>
    </row>
    <row r="399">
      <c r="G399" s="254">
        <f>IF(C399="","",IF(ISNUMBER(C399),C399,IF(ISNUMBER(VALUE(LEFT(TRIM(C399),1))),TRIM(C399),TRIM(MID(TRIM(C399),FIND(" ",TRIM(C399))+1,99)))))</f>
        <v/>
      </c>
      <c r="H399" s="254">
        <f>IF(D399="","",IF(ISNUMBER(D399),D399,IF(ISNUMBER(VALUE(LEFT(TRIM(D399),1))),TRIM(D399),TRIM(MID(TRIM(D399),FIND(" ",TRIM(D399))+1,99)))))</f>
        <v/>
      </c>
      <c r="I399" s="255">
        <f>IF(G399="",0,IF(ISNUMBER(G399),G399,IFERROR(DATE(VALUE(MID(G399,FIND("/",G399,FIND("/",G399)+1)+1,4)),VALUE(MID(G399,FIND("/",G399)+1,FIND("/",G399,FIND("/",G399)+1)-FIND("/",G399)-1)),VALUE(LEFT(G399,FIND("/",G399)-1)))+IFERROR(TIMEVALUE(TRIM(MID(G399,FIND(" ",G399)+1,20))),0),0)))</f>
        <v/>
      </c>
      <c r="J399" s="255">
        <f>IF(H399="",0,IF(ISNUMBER(H399),H399,IFERROR(DATE(VALUE(MID(H399,FIND("/",H399,FIND("/",H399)+1)+1,4)),VALUE(MID(H399,FIND("/",H399)+1,FIND("/",H399,FIND("/",H399)+1)-FIND("/",H399)-1)),VALUE(LEFT(H399,FIND("/",H399)-1)))+IFERROR(TIMEVALUE(TRIM(MID(H399,FIND(" ",H399)+1,20))),0),0)))</f>
        <v/>
      </c>
      <c r="K399" s="256">
        <f>IF(I399=0,0,INT(I399))</f>
        <v/>
      </c>
      <c r="L399" s="257">
        <f>IF(OR(I399=0,J399=0),0,ROUND((J399-I399)*24,2))</f>
        <v/>
      </c>
      <c r="M399" s="254">
        <f>IFERROR(TRIM(MID(A399,FIND("@",SUBSTITUTE(A399,"(","@",LEN(A399)-LEN(SUBSTITUTE(A399,"(",""))))+1,FIND(")",A399,FIND("@",SUBSTITUTE(A399,"(","@",LEN(A399)-LEN(SUBSTITUTE(A399,"(","")))))-FIND("@",SUBSTITUTE(A399,"(","@",LEN(A399)-LEN(SUBSTITUTE(A399,"(",""))))-1)),"")</f>
        <v/>
      </c>
      <c r="N399" s="254">
        <f>IF(A399="","",IF(LEFT(TRIM(A399),5)="Leave","Leave",IF(OR(ISNUMBER(SEARCH("public holiday",A399)),ISNUMBER(SEARCH("Purple",E399))),"Public holiday","Event")))</f>
        <v/>
      </c>
    </row>
    <row r="400">
      <c r="G400" s="254">
        <f>IF(C400="","",IF(ISNUMBER(C400),C400,IF(ISNUMBER(VALUE(LEFT(TRIM(C400),1))),TRIM(C400),TRIM(MID(TRIM(C400),FIND(" ",TRIM(C400))+1,99)))))</f>
        <v/>
      </c>
      <c r="H400" s="254">
        <f>IF(D400="","",IF(ISNUMBER(D400),D400,IF(ISNUMBER(VALUE(LEFT(TRIM(D400),1))),TRIM(D400),TRIM(MID(TRIM(D400),FIND(" ",TRIM(D400))+1,99)))))</f>
        <v/>
      </c>
      <c r="I400" s="255">
        <f>IF(G400="",0,IF(ISNUMBER(G400),G400,IFERROR(DATE(VALUE(MID(G400,FIND("/",G400,FIND("/",G400)+1)+1,4)),VALUE(MID(G400,FIND("/",G400)+1,FIND("/",G400,FIND("/",G400)+1)-FIND("/",G400)-1)),VALUE(LEFT(G400,FIND("/",G400)-1)))+IFERROR(TIMEVALUE(TRIM(MID(G400,FIND(" ",G400)+1,20))),0),0)))</f>
        <v/>
      </c>
      <c r="J400" s="255">
        <f>IF(H400="",0,IF(ISNUMBER(H400),H400,IFERROR(DATE(VALUE(MID(H400,FIND("/",H400,FIND("/",H400)+1)+1,4)),VALUE(MID(H400,FIND("/",H400)+1,FIND("/",H400,FIND("/",H400)+1)-FIND("/",H400)-1)),VALUE(LEFT(H400,FIND("/",H400)-1)))+IFERROR(TIMEVALUE(TRIM(MID(H400,FIND(" ",H400)+1,20))),0),0)))</f>
        <v/>
      </c>
      <c r="K400" s="256">
        <f>IF(I400=0,0,INT(I400))</f>
        <v/>
      </c>
      <c r="L400" s="257">
        <f>IF(OR(I400=0,J400=0),0,ROUND((J400-I400)*24,2))</f>
        <v/>
      </c>
      <c r="M400" s="254">
        <f>IFERROR(TRIM(MID(A400,FIND("@",SUBSTITUTE(A400,"(","@",LEN(A400)-LEN(SUBSTITUTE(A400,"(",""))))+1,FIND(")",A400,FIND("@",SUBSTITUTE(A400,"(","@",LEN(A400)-LEN(SUBSTITUTE(A400,"(","")))))-FIND("@",SUBSTITUTE(A400,"(","@",LEN(A400)-LEN(SUBSTITUTE(A400,"(",""))))-1)),"")</f>
        <v/>
      </c>
      <c r="N400" s="254">
        <f>IF(A400="","",IF(LEFT(TRIM(A400),5)="Leave","Leave",IF(OR(ISNUMBER(SEARCH("public holiday",A400)),ISNUMBER(SEARCH("Purple",E400))),"Public holiday","Event")))</f>
        <v/>
      </c>
    </row>
    <row r="401">
      <c r="G401" s="254">
        <f>IF(C401="","",IF(ISNUMBER(C401),C401,IF(ISNUMBER(VALUE(LEFT(TRIM(C401),1))),TRIM(C401),TRIM(MID(TRIM(C401),FIND(" ",TRIM(C401))+1,99)))))</f>
        <v/>
      </c>
      <c r="H401" s="254">
        <f>IF(D401="","",IF(ISNUMBER(D401),D401,IF(ISNUMBER(VALUE(LEFT(TRIM(D401),1))),TRIM(D401),TRIM(MID(TRIM(D401),FIND(" ",TRIM(D401))+1,99)))))</f>
        <v/>
      </c>
      <c r="I401" s="255">
        <f>IF(G401="",0,IF(ISNUMBER(G401),G401,IFERROR(DATE(VALUE(MID(G401,FIND("/",G401,FIND("/",G401)+1)+1,4)),VALUE(MID(G401,FIND("/",G401)+1,FIND("/",G401,FIND("/",G401)+1)-FIND("/",G401)-1)),VALUE(LEFT(G401,FIND("/",G401)-1)))+IFERROR(TIMEVALUE(TRIM(MID(G401,FIND(" ",G401)+1,20))),0),0)))</f>
        <v/>
      </c>
      <c r="J401" s="255">
        <f>IF(H401="",0,IF(ISNUMBER(H401),H401,IFERROR(DATE(VALUE(MID(H401,FIND("/",H401,FIND("/",H401)+1)+1,4)),VALUE(MID(H401,FIND("/",H401)+1,FIND("/",H401,FIND("/",H401)+1)-FIND("/",H401)-1)),VALUE(LEFT(H401,FIND("/",H401)-1)))+IFERROR(TIMEVALUE(TRIM(MID(H401,FIND(" ",H401)+1,20))),0),0)))</f>
        <v/>
      </c>
      <c r="K401" s="256">
        <f>IF(I401=0,0,INT(I401))</f>
        <v/>
      </c>
      <c r="L401" s="257">
        <f>IF(OR(I401=0,J401=0),0,ROUND((J401-I401)*24,2))</f>
        <v/>
      </c>
      <c r="M401" s="254">
        <f>IFERROR(TRIM(MID(A401,FIND("@",SUBSTITUTE(A401,"(","@",LEN(A401)-LEN(SUBSTITUTE(A401,"(",""))))+1,FIND(")",A401,FIND("@",SUBSTITUTE(A401,"(","@",LEN(A401)-LEN(SUBSTITUTE(A401,"(","")))))-FIND("@",SUBSTITUTE(A401,"(","@",LEN(A401)-LEN(SUBSTITUTE(A401,"(",""))))-1)),"")</f>
        <v/>
      </c>
      <c r="N401" s="254">
        <f>IF(A401="","",IF(LEFT(TRIM(A401),5)="Leave","Leave",IF(OR(ISNUMBER(SEARCH("public holiday",A401)),ISNUMBER(SEARCH("Purple",E401))),"Public holiday","Event")))</f>
        <v/>
      </c>
    </row>
    <row r="402">
      <c r="G402" s="254">
        <f>IF(C402="","",IF(ISNUMBER(C402),C402,IF(ISNUMBER(VALUE(LEFT(TRIM(C402),1))),TRIM(C402),TRIM(MID(TRIM(C402),FIND(" ",TRIM(C402))+1,99)))))</f>
        <v/>
      </c>
      <c r="H402" s="254">
        <f>IF(D402="","",IF(ISNUMBER(D402),D402,IF(ISNUMBER(VALUE(LEFT(TRIM(D402),1))),TRIM(D402),TRIM(MID(TRIM(D402),FIND(" ",TRIM(D402))+1,99)))))</f>
        <v/>
      </c>
      <c r="I402" s="255">
        <f>IF(G402="",0,IF(ISNUMBER(G402),G402,IFERROR(DATE(VALUE(MID(G402,FIND("/",G402,FIND("/",G402)+1)+1,4)),VALUE(MID(G402,FIND("/",G402)+1,FIND("/",G402,FIND("/",G402)+1)-FIND("/",G402)-1)),VALUE(LEFT(G402,FIND("/",G402)-1)))+IFERROR(TIMEVALUE(TRIM(MID(G402,FIND(" ",G402)+1,20))),0),0)))</f>
        <v/>
      </c>
      <c r="J402" s="255">
        <f>IF(H402="",0,IF(ISNUMBER(H402),H402,IFERROR(DATE(VALUE(MID(H402,FIND("/",H402,FIND("/",H402)+1)+1,4)),VALUE(MID(H402,FIND("/",H402)+1,FIND("/",H402,FIND("/",H402)+1)-FIND("/",H402)-1)),VALUE(LEFT(H402,FIND("/",H402)-1)))+IFERROR(TIMEVALUE(TRIM(MID(H402,FIND(" ",H402)+1,20))),0),0)))</f>
        <v/>
      </c>
      <c r="K402" s="256">
        <f>IF(I402=0,0,INT(I402))</f>
        <v/>
      </c>
      <c r="L402" s="257">
        <f>IF(OR(I402=0,J402=0),0,ROUND((J402-I402)*24,2))</f>
        <v/>
      </c>
      <c r="M402" s="254">
        <f>IFERROR(TRIM(MID(A402,FIND("@",SUBSTITUTE(A402,"(","@",LEN(A402)-LEN(SUBSTITUTE(A402,"(",""))))+1,FIND(")",A402,FIND("@",SUBSTITUTE(A402,"(","@",LEN(A402)-LEN(SUBSTITUTE(A402,"(","")))))-FIND("@",SUBSTITUTE(A402,"(","@",LEN(A402)-LEN(SUBSTITUTE(A402,"(",""))))-1)),"")</f>
        <v/>
      </c>
      <c r="N402" s="254">
        <f>IF(A402="","",IF(LEFT(TRIM(A402),5)="Leave","Leave",IF(OR(ISNUMBER(SEARCH("public holiday",A402)),ISNUMBER(SEARCH("Purple",E402))),"Public holiday","Event")))</f>
        <v/>
      </c>
    </row>
    <row r="403">
      <c r="G403" s="254">
        <f>IF(C403="","",IF(ISNUMBER(C403),C403,IF(ISNUMBER(VALUE(LEFT(TRIM(C403),1))),TRIM(C403),TRIM(MID(TRIM(C403),FIND(" ",TRIM(C403))+1,99)))))</f>
        <v/>
      </c>
      <c r="H403" s="254">
        <f>IF(D403="","",IF(ISNUMBER(D403),D403,IF(ISNUMBER(VALUE(LEFT(TRIM(D403),1))),TRIM(D403),TRIM(MID(TRIM(D403),FIND(" ",TRIM(D403))+1,99)))))</f>
        <v/>
      </c>
      <c r="I403" s="255">
        <f>IF(G403="",0,IF(ISNUMBER(G403),G403,IFERROR(DATE(VALUE(MID(G403,FIND("/",G403,FIND("/",G403)+1)+1,4)),VALUE(MID(G403,FIND("/",G403)+1,FIND("/",G403,FIND("/",G403)+1)-FIND("/",G403)-1)),VALUE(LEFT(G403,FIND("/",G403)-1)))+IFERROR(TIMEVALUE(TRIM(MID(G403,FIND(" ",G403)+1,20))),0),0)))</f>
        <v/>
      </c>
      <c r="J403" s="255">
        <f>IF(H403="",0,IF(ISNUMBER(H403),H403,IFERROR(DATE(VALUE(MID(H403,FIND("/",H403,FIND("/",H403)+1)+1,4)),VALUE(MID(H403,FIND("/",H403)+1,FIND("/",H403,FIND("/",H403)+1)-FIND("/",H403)-1)),VALUE(LEFT(H403,FIND("/",H403)-1)))+IFERROR(TIMEVALUE(TRIM(MID(H403,FIND(" ",H403)+1,20))),0),0)))</f>
        <v/>
      </c>
      <c r="K403" s="256">
        <f>IF(I403=0,0,INT(I403))</f>
        <v/>
      </c>
      <c r="L403" s="257">
        <f>IF(OR(I403=0,J403=0),0,ROUND((J403-I403)*24,2))</f>
        <v/>
      </c>
      <c r="M403" s="254">
        <f>IFERROR(TRIM(MID(A403,FIND("@",SUBSTITUTE(A403,"(","@",LEN(A403)-LEN(SUBSTITUTE(A403,"(",""))))+1,FIND(")",A403,FIND("@",SUBSTITUTE(A403,"(","@",LEN(A403)-LEN(SUBSTITUTE(A403,"(","")))))-FIND("@",SUBSTITUTE(A403,"(","@",LEN(A403)-LEN(SUBSTITUTE(A403,"(",""))))-1)),"")</f>
        <v/>
      </c>
      <c r="N403" s="254">
        <f>IF(A403="","",IF(LEFT(TRIM(A403),5)="Leave","Leave",IF(OR(ISNUMBER(SEARCH("public holiday",A403)),ISNUMBER(SEARCH("Purple",E403))),"Public holiday","Event")))</f>
        <v/>
      </c>
    </row>
    <row r="404">
      <c r="G404" s="254">
        <f>IF(C404="","",IF(ISNUMBER(C404),C404,IF(ISNUMBER(VALUE(LEFT(TRIM(C404),1))),TRIM(C404),TRIM(MID(TRIM(C404),FIND(" ",TRIM(C404))+1,99)))))</f>
        <v/>
      </c>
      <c r="H404" s="254">
        <f>IF(D404="","",IF(ISNUMBER(D404),D404,IF(ISNUMBER(VALUE(LEFT(TRIM(D404),1))),TRIM(D404),TRIM(MID(TRIM(D404),FIND(" ",TRIM(D404))+1,99)))))</f>
        <v/>
      </c>
      <c r="I404" s="255">
        <f>IF(G404="",0,IF(ISNUMBER(G404),G404,IFERROR(DATE(VALUE(MID(G404,FIND("/",G404,FIND("/",G404)+1)+1,4)),VALUE(MID(G404,FIND("/",G404)+1,FIND("/",G404,FIND("/",G404)+1)-FIND("/",G404)-1)),VALUE(LEFT(G404,FIND("/",G404)-1)))+IFERROR(TIMEVALUE(TRIM(MID(G404,FIND(" ",G404)+1,20))),0),0)))</f>
        <v/>
      </c>
      <c r="J404" s="255">
        <f>IF(H404="",0,IF(ISNUMBER(H404),H404,IFERROR(DATE(VALUE(MID(H404,FIND("/",H404,FIND("/",H404)+1)+1,4)),VALUE(MID(H404,FIND("/",H404)+1,FIND("/",H404,FIND("/",H404)+1)-FIND("/",H404)-1)),VALUE(LEFT(H404,FIND("/",H404)-1)))+IFERROR(TIMEVALUE(TRIM(MID(H404,FIND(" ",H404)+1,20))),0),0)))</f>
        <v/>
      </c>
      <c r="K404" s="256">
        <f>IF(I404=0,0,INT(I404))</f>
        <v/>
      </c>
      <c r="L404" s="257">
        <f>IF(OR(I404=0,J404=0),0,ROUND((J404-I404)*24,2))</f>
        <v/>
      </c>
      <c r="M404" s="254">
        <f>IFERROR(TRIM(MID(A404,FIND("@",SUBSTITUTE(A404,"(","@",LEN(A404)-LEN(SUBSTITUTE(A404,"(",""))))+1,FIND(")",A404,FIND("@",SUBSTITUTE(A404,"(","@",LEN(A404)-LEN(SUBSTITUTE(A404,"(","")))))-FIND("@",SUBSTITUTE(A404,"(","@",LEN(A404)-LEN(SUBSTITUTE(A404,"(",""))))-1)),"")</f>
        <v/>
      </c>
      <c r="N404" s="254">
        <f>IF(A404="","",IF(LEFT(TRIM(A404),5)="Leave","Leave",IF(OR(ISNUMBER(SEARCH("public holiday",A404)),ISNUMBER(SEARCH("Purple",E404))),"Public holiday","Event")))</f>
        <v/>
      </c>
    </row>
    <row r="405">
      <c r="G405" s="254">
        <f>IF(C405="","",IF(ISNUMBER(C405),C405,IF(ISNUMBER(VALUE(LEFT(TRIM(C405),1))),TRIM(C405),TRIM(MID(TRIM(C405),FIND(" ",TRIM(C405))+1,99)))))</f>
        <v/>
      </c>
      <c r="H405" s="254">
        <f>IF(D405="","",IF(ISNUMBER(D405),D405,IF(ISNUMBER(VALUE(LEFT(TRIM(D405),1))),TRIM(D405),TRIM(MID(TRIM(D405),FIND(" ",TRIM(D405))+1,99)))))</f>
        <v/>
      </c>
      <c r="I405" s="255">
        <f>IF(G405="",0,IF(ISNUMBER(G405),G405,IFERROR(DATE(VALUE(MID(G405,FIND("/",G405,FIND("/",G405)+1)+1,4)),VALUE(MID(G405,FIND("/",G405)+1,FIND("/",G405,FIND("/",G405)+1)-FIND("/",G405)-1)),VALUE(LEFT(G405,FIND("/",G405)-1)))+IFERROR(TIMEVALUE(TRIM(MID(G405,FIND(" ",G405)+1,20))),0),0)))</f>
        <v/>
      </c>
      <c r="J405" s="255">
        <f>IF(H405="",0,IF(ISNUMBER(H405),H405,IFERROR(DATE(VALUE(MID(H405,FIND("/",H405,FIND("/",H405)+1)+1,4)),VALUE(MID(H405,FIND("/",H405)+1,FIND("/",H405,FIND("/",H405)+1)-FIND("/",H405)-1)),VALUE(LEFT(H405,FIND("/",H405)-1)))+IFERROR(TIMEVALUE(TRIM(MID(H405,FIND(" ",H405)+1,20))),0),0)))</f>
        <v/>
      </c>
      <c r="K405" s="256">
        <f>IF(I405=0,0,INT(I405))</f>
        <v/>
      </c>
      <c r="L405" s="257">
        <f>IF(OR(I405=0,J405=0),0,ROUND((J405-I405)*24,2))</f>
        <v/>
      </c>
      <c r="M405" s="254">
        <f>IFERROR(TRIM(MID(A405,FIND("@",SUBSTITUTE(A405,"(","@",LEN(A405)-LEN(SUBSTITUTE(A405,"(",""))))+1,FIND(")",A405,FIND("@",SUBSTITUTE(A405,"(","@",LEN(A405)-LEN(SUBSTITUTE(A405,"(","")))))-FIND("@",SUBSTITUTE(A405,"(","@",LEN(A405)-LEN(SUBSTITUTE(A405,"(",""))))-1)),"")</f>
        <v/>
      </c>
      <c r="N405" s="254">
        <f>IF(A405="","",IF(LEFT(TRIM(A405),5)="Leave","Leave",IF(OR(ISNUMBER(SEARCH("public holiday",A405)),ISNUMBER(SEARCH("Purple",E405))),"Public holiday","Event")))</f>
        <v/>
      </c>
    </row>
    <row r="406">
      <c r="G406" s="254">
        <f>IF(C406="","",IF(ISNUMBER(C406),C406,IF(ISNUMBER(VALUE(LEFT(TRIM(C406),1))),TRIM(C406),TRIM(MID(TRIM(C406),FIND(" ",TRIM(C406))+1,99)))))</f>
        <v/>
      </c>
      <c r="H406" s="254">
        <f>IF(D406="","",IF(ISNUMBER(D406),D406,IF(ISNUMBER(VALUE(LEFT(TRIM(D406),1))),TRIM(D406),TRIM(MID(TRIM(D406),FIND(" ",TRIM(D406))+1,99)))))</f>
        <v/>
      </c>
      <c r="I406" s="255">
        <f>IF(G406="",0,IF(ISNUMBER(G406),G406,IFERROR(DATE(VALUE(MID(G406,FIND("/",G406,FIND("/",G406)+1)+1,4)),VALUE(MID(G406,FIND("/",G406)+1,FIND("/",G406,FIND("/",G406)+1)-FIND("/",G406)-1)),VALUE(LEFT(G406,FIND("/",G406)-1)))+IFERROR(TIMEVALUE(TRIM(MID(G406,FIND(" ",G406)+1,20))),0),0)))</f>
        <v/>
      </c>
      <c r="J406" s="255">
        <f>IF(H406="",0,IF(ISNUMBER(H406),H406,IFERROR(DATE(VALUE(MID(H406,FIND("/",H406,FIND("/",H406)+1)+1,4)),VALUE(MID(H406,FIND("/",H406)+1,FIND("/",H406,FIND("/",H406)+1)-FIND("/",H406)-1)),VALUE(LEFT(H406,FIND("/",H406)-1)))+IFERROR(TIMEVALUE(TRIM(MID(H406,FIND(" ",H406)+1,20))),0),0)))</f>
        <v/>
      </c>
      <c r="K406" s="256">
        <f>IF(I406=0,0,INT(I406))</f>
        <v/>
      </c>
      <c r="L406" s="257">
        <f>IF(OR(I406=0,J406=0),0,ROUND((J406-I406)*24,2))</f>
        <v/>
      </c>
      <c r="M406" s="254">
        <f>IFERROR(TRIM(MID(A406,FIND("@",SUBSTITUTE(A406,"(","@",LEN(A406)-LEN(SUBSTITUTE(A406,"(",""))))+1,FIND(")",A406,FIND("@",SUBSTITUTE(A406,"(","@",LEN(A406)-LEN(SUBSTITUTE(A406,"(","")))))-FIND("@",SUBSTITUTE(A406,"(","@",LEN(A406)-LEN(SUBSTITUTE(A406,"(",""))))-1)),"")</f>
        <v/>
      </c>
      <c r="N406" s="254">
        <f>IF(A406="","",IF(LEFT(TRIM(A406),5)="Leave","Leave",IF(OR(ISNUMBER(SEARCH("public holiday",A406)),ISNUMBER(SEARCH("Purple",E406))),"Public holiday","Event")))</f>
        <v/>
      </c>
    </row>
    <row r="407">
      <c r="G407" s="254">
        <f>IF(C407="","",IF(ISNUMBER(C407),C407,IF(ISNUMBER(VALUE(LEFT(TRIM(C407),1))),TRIM(C407),TRIM(MID(TRIM(C407),FIND(" ",TRIM(C407))+1,99)))))</f>
        <v/>
      </c>
      <c r="H407" s="254">
        <f>IF(D407="","",IF(ISNUMBER(D407),D407,IF(ISNUMBER(VALUE(LEFT(TRIM(D407),1))),TRIM(D407),TRIM(MID(TRIM(D407),FIND(" ",TRIM(D407))+1,99)))))</f>
        <v/>
      </c>
      <c r="I407" s="255">
        <f>IF(G407="",0,IF(ISNUMBER(G407),G407,IFERROR(DATE(VALUE(MID(G407,FIND("/",G407,FIND("/",G407)+1)+1,4)),VALUE(MID(G407,FIND("/",G407)+1,FIND("/",G407,FIND("/",G407)+1)-FIND("/",G407)-1)),VALUE(LEFT(G407,FIND("/",G407)-1)))+IFERROR(TIMEVALUE(TRIM(MID(G407,FIND(" ",G407)+1,20))),0),0)))</f>
        <v/>
      </c>
      <c r="J407" s="255">
        <f>IF(H407="",0,IF(ISNUMBER(H407),H407,IFERROR(DATE(VALUE(MID(H407,FIND("/",H407,FIND("/",H407)+1)+1,4)),VALUE(MID(H407,FIND("/",H407)+1,FIND("/",H407,FIND("/",H407)+1)-FIND("/",H407)-1)),VALUE(LEFT(H407,FIND("/",H407)-1)))+IFERROR(TIMEVALUE(TRIM(MID(H407,FIND(" ",H407)+1,20))),0),0)))</f>
        <v/>
      </c>
      <c r="K407" s="256">
        <f>IF(I407=0,0,INT(I407))</f>
        <v/>
      </c>
      <c r="L407" s="257">
        <f>IF(OR(I407=0,J407=0),0,ROUND((J407-I407)*24,2))</f>
        <v/>
      </c>
      <c r="M407" s="254">
        <f>IFERROR(TRIM(MID(A407,FIND("@",SUBSTITUTE(A407,"(","@",LEN(A407)-LEN(SUBSTITUTE(A407,"(",""))))+1,FIND(")",A407,FIND("@",SUBSTITUTE(A407,"(","@",LEN(A407)-LEN(SUBSTITUTE(A407,"(","")))))-FIND("@",SUBSTITUTE(A407,"(","@",LEN(A407)-LEN(SUBSTITUTE(A407,"(",""))))-1)),"")</f>
        <v/>
      </c>
      <c r="N407" s="254">
        <f>IF(A407="","",IF(LEFT(TRIM(A407),5)="Leave","Leave",IF(OR(ISNUMBER(SEARCH("public holiday",A407)),ISNUMBER(SEARCH("Purple",E407))),"Public holiday","Event")))</f>
        <v/>
      </c>
    </row>
    <row r="408">
      <c r="G408" s="254">
        <f>IF(C408="","",IF(ISNUMBER(C408),C408,IF(ISNUMBER(VALUE(LEFT(TRIM(C408),1))),TRIM(C408),TRIM(MID(TRIM(C408),FIND(" ",TRIM(C408))+1,99)))))</f>
        <v/>
      </c>
      <c r="H408" s="254">
        <f>IF(D408="","",IF(ISNUMBER(D408),D408,IF(ISNUMBER(VALUE(LEFT(TRIM(D408),1))),TRIM(D408),TRIM(MID(TRIM(D408),FIND(" ",TRIM(D408))+1,99)))))</f>
        <v/>
      </c>
      <c r="I408" s="255">
        <f>IF(G408="",0,IF(ISNUMBER(G408),G408,IFERROR(DATE(VALUE(MID(G408,FIND("/",G408,FIND("/",G408)+1)+1,4)),VALUE(MID(G408,FIND("/",G408)+1,FIND("/",G408,FIND("/",G408)+1)-FIND("/",G408)-1)),VALUE(LEFT(G408,FIND("/",G408)-1)))+IFERROR(TIMEVALUE(TRIM(MID(G408,FIND(" ",G408)+1,20))),0),0)))</f>
        <v/>
      </c>
      <c r="J408" s="255">
        <f>IF(H408="",0,IF(ISNUMBER(H408),H408,IFERROR(DATE(VALUE(MID(H408,FIND("/",H408,FIND("/",H408)+1)+1,4)),VALUE(MID(H408,FIND("/",H408)+1,FIND("/",H408,FIND("/",H408)+1)-FIND("/",H408)-1)),VALUE(LEFT(H408,FIND("/",H408)-1)))+IFERROR(TIMEVALUE(TRIM(MID(H408,FIND(" ",H408)+1,20))),0),0)))</f>
        <v/>
      </c>
      <c r="K408" s="256">
        <f>IF(I408=0,0,INT(I408))</f>
        <v/>
      </c>
      <c r="L408" s="257">
        <f>IF(OR(I408=0,J408=0),0,ROUND((J408-I408)*24,2))</f>
        <v/>
      </c>
      <c r="M408" s="254">
        <f>IFERROR(TRIM(MID(A408,FIND("@",SUBSTITUTE(A408,"(","@",LEN(A408)-LEN(SUBSTITUTE(A408,"(",""))))+1,FIND(")",A408,FIND("@",SUBSTITUTE(A408,"(","@",LEN(A408)-LEN(SUBSTITUTE(A408,"(","")))))-FIND("@",SUBSTITUTE(A408,"(","@",LEN(A408)-LEN(SUBSTITUTE(A408,"(",""))))-1)),"")</f>
        <v/>
      </c>
      <c r="N408" s="254">
        <f>IF(A408="","",IF(LEFT(TRIM(A408),5)="Leave","Leave",IF(OR(ISNUMBER(SEARCH("public holiday",A408)),ISNUMBER(SEARCH("Purple",E408))),"Public holiday","Event")))</f>
        <v/>
      </c>
    </row>
    <row r="409">
      <c r="G409" s="254">
        <f>IF(C409="","",IF(ISNUMBER(C409),C409,IF(ISNUMBER(VALUE(LEFT(TRIM(C409),1))),TRIM(C409),TRIM(MID(TRIM(C409),FIND(" ",TRIM(C409))+1,99)))))</f>
        <v/>
      </c>
      <c r="H409" s="254">
        <f>IF(D409="","",IF(ISNUMBER(D409),D409,IF(ISNUMBER(VALUE(LEFT(TRIM(D409),1))),TRIM(D409),TRIM(MID(TRIM(D409),FIND(" ",TRIM(D409))+1,99)))))</f>
        <v/>
      </c>
      <c r="I409" s="255">
        <f>IF(G409="",0,IF(ISNUMBER(G409),G409,IFERROR(DATE(VALUE(MID(G409,FIND("/",G409,FIND("/",G409)+1)+1,4)),VALUE(MID(G409,FIND("/",G409)+1,FIND("/",G409,FIND("/",G409)+1)-FIND("/",G409)-1)),VALUE(LEFT(G409,FIND("/",G409)-1)))+IFERROR(TIMEVALUE(TRIM(MID(G409,FIND(" ",G409)+1,20))),0),0)))</f>
        <v/>
      </c>
      <c r="J409" s="255">
        <f>IF(H409="",0,IF(ISNUMBER(H409),H409,IFERROR(DATE(VALUE(MID(H409,FIND("/",H409,FIND("/",H409)+1)+1,4)),VALUE(MID(H409,FIND("/",H409)+1,FIND("/",H409,FIND("/",H409)+1)-FIND("/",H409)-1)),VALUE(LEFT(H409,FIND("/",H409)-1)))+IFERROR(TIMEVALUE(TRIM(MID(H409,FIND(" ",H409)+1,20))),0),0)))</f>
        <v/>
      </c>
      <c r="K409" s="256">
        <f>IF(I409=0,0,INT(I409))</f>
        <v/>
      </c>
      <c r="L409" s="257">
        <f>IF(OR(I409=0,J409=0),0,ROUND((J409-I409)*24,2))</f>
        <v/>
      </c>
      <c r="M409" s="254">
        <f>IFERROR(TRIM(MID(A409,FIND("@",SUBSTITUTE(A409,"(","@",LEN(A409)-LEN(SUBSTITUTE(A409,"(",""))))+1,FIND(")",A409,FIND("@",SUBSTITUTE(A409,"(","@",LEN(A409)-LEN(SUBSTITUTE(A409,"(","")))))-FIND("@",SUBSTITUTE(A409,"(","@",LEN(A409)-LEN(SUBSTITUTE(A409,"(",""))))-1)),"")</f>
        <v/>
      </c>
      <c r="N409" s="254">
        <f>IF(A409="","",IF(LEFT(TRIM(A409),5)="Leave","Leave",IF(OR(ISNUMBER(SEARCH("public holiday",A409)),ISNUMBER(SEARCH("Purple",E409))),"Public holiday","Event")))</f>
        <v/>
      </c>
    </row>
    <row r="410">
      <c r="G410" s="254">
        <f>IF(C410="","",IF(ISNUMBER(C410),C410,IF(ISNUMBER(VALUE(LEFT(TRIM(C410),1))),TRIM(C410),TRIM(MID(TRIM(C410),FIND(" ",TRIM(C410))+1,99)))))</f>
        <v/>
      </c>
      <c r="H410" s="254">
        <f>IF(D410="","",IF(ISNUMBER(D410),D410,IF(ISNUMBER(VALUE(LEFT(TRIM(D410),1))),TRIM(D410),TRIM(MID(TRIM(D410),FIND(" ",TRIM(D410))+1,99)))))</f>
        <v/>
      </c>
      <c r="I410" s="255">
        <f>IF(G410="",0,IF(ISNUMBER(G410),G410,IFERROR(DATE(VALUE(MID(G410,FIND("/",G410,FIND("/",G410)+1)+1,4)),VALUE(MID(G410,FIND("/",G410)+1,FIND("/",G410,FIND("/",G410)+1)-FIND("/",G410)-1)),VALUE(LEFT(G410,FIND("/",G410)-1)))+IFERROR(TIMEVALUE(TRIM(MID(G410,FIND(" ",G410)+1,20))),0),0)))</f>
        <v/>
      </c>
      <c r="J410" s="255">
        <f>IF(H410="",0,IF(ISNUMBER(H410),H410,IFERROR(DATE(VALUE(MID(H410,FIND("/",H410,FIND("/",H410)+1)+1,4)),VALUE(MID(H410,FIND("/",H410)+1,FIND("/",H410,FIND("/",H410)+1)-FIND("/",H410)-1)),VALUE(LEFT(H410,FIND("/",H410)-1)))+IFERROR(TIMEVALUE(TRIM(MID(H410,FIND(" ",H410)+1,20))),0),0)))</f>
        <v/>
      </c>
      <c r="K410" s="256">
        <f>IF(I410=0,0,INT(I410))</f>
        <v/>
      </c>
      <c r="L410" s="257">
        <f>IF(OR(I410=0,J410=0),0,ROUND((J410-I410)*24,2))</f>
        <v/>
      </c>
      <c r="M410" s="254">
        <f>IFERROR(TRIM(MID(A410,FIND("@",SUBSTITUTE(A410,"(","@",LEN(A410)-LEN(SUBSTITUTE(A410,"(",""))))+1,FIND(")",A410,FIND("@",SUBSTITUTE(A410,"(","@",LEN(A410)-LEN(SUBSTITUTE(A410,"(","")))))-FIND("@",SUBSTITUTE(A410,"(","@",LEN(A410)-LEN(SUBSTITUTE(A410,"(",""))))-1)),"")</f>
        <v/>
      </c>
      <c r="N410" s="254">
        <f>IF(A410="","",IF(LEFT(TRIM(A410),5)="Leave","Leave",IF(OR(ISNUMBER(SEARCH("public holiday",A410)),ISNUMBER(SEARCH("Purple",E410))),"Public holiday","Event")))</f>
        <v/>
      </c>
    </row>
    <row r="411">
      <c r="G411" s="254">
        <f>IF(C411="","",IF(ISNUMBER(C411),C411,IF(ISNUMBER(VALUE(LEFT(TRIM(C411),1))),TRIM(C411),TRIM(MID(TRIM(C411),FIND(" ",TRIM(C411))+1,99)))))</f>
        <v/>
      </c>
      <c r="H411" s="254">
        <f>IF(D411="","",IF(ISNUMBER(D411),D411,IF(ISNUMBER(VALUE(LEFT(TRIM(D411),1))),TRIM(D411),TRIM(MID(TRIM(D411),FIND(" ",TRIM(D411))+1,99)))))</f>
        <v/>
      </c>
      <c r="I411" s="255">
        <f>IF(G411="",0,IF(ISNUMBER(G411),G411,IFERROR(DATE(VALUE(MID(G411,FIND("/",G411,FIND("/",G411)+1)+1,4)),VALUE(MID(G411,FIND("/",G411)+1,FIND("/",G411,FIND("/",G411)+1)-FIND("/",G411)-1)),VALUE(LEFT(G411,FIND("/",G411)-1)))+IFERROR(TIMEVALUE(TRIM(MID(G411,FIND(" ",G411)+1,20))),0),0)))</f>
        <v/>
      </c>
      <c r="J411" s="255">
        <f>IF(H411="",0,IF(ISNUMBER(H411),H411,IFERROR(DATE(VALUE(MID(H411,FIND("/",H411,FIND("/",H411)+1)+1,4)),VALUE(MID(H411,FIND("/",H411)+1,FIND("/",H411,FIND("/",H411)+1)-FIND("/",H411)-1)),VALUE(LEFT(H411,FIND("/",H411)-1)))+IFERROR(TIMEVALUE(TRIM(MID(H411,FIND(" ",H411)+1,20))),0),0)))</f>
        <v/>
      </c>
      <c r="K411" s="256">
        <f>IF(I411=0,0,INT(I411))</f>
        <v/>
      </c>
      <c r="L411" s="257">
        <f>IF(OR(I411=0,J411=0),0,ROUND((J411-I411)*24,2))</f>
        <v/>
      </c>
      <c r="M411" s="254">
        <f>IFERROR(TRIM(MID(A411,FIND("@",SUBSTITUTE(A411,"(","@",LEN(A411)-LEN(SUBSTITUTE(A411,"(",""))))+1,FIND(")",A411,FIND("@",SUBSTITUTE(A411,"(","@",LEN(A411)-LEN(SUBSTITUTE(A411,"(","")))))-FIND("@",SUBSTITUTE(A411,"(","@",LEN(A411)-LEN(SUBSTITUTE(A411,"(",""))))-1)),"")</f>
        <v/>
      </c>
      <c r="N411" s="254">
        <f>IF(A411="","",IF(LEFT(TRIM(A411),5)="Leave","Leave",IF(OR(ISNUMBER(SEARCH("public holiday",A411)),ISNUMBER(SEARCH("Purple",E411))),"Public holiday","Event")))</f>
        <v/>
      </c>
    </row>
    <row r="412">
      <c r="G412" s="254">
        <f>IF(C412="","",IF(ISNUMBER(C412),C412,IF(ISNUMBER(VALUE(LEFT(TRIM(C412),1))),TRIM(C412),TRIM(MID(TRIM(C412),FIND(" ",TRIM(C412))+1,99)))))</f>
        <v/>
      </c>
      <c r="H412" s="254">
        <f>IF(D412="","",IF(ISNUMBER(D412),D412,IF(ISNUMBER(VALUE(LEFT(TRIM(D412),1))),TRIM(D412),TRIM(MID(TRIM(D412),FIND(" ",TRIM(D412))+1,99)))))</f>
        <v/>
      </c>
      <c r="I412" s="255">
        <f>IF(G412="",0,IF(ISNUMBER(G412),G412,IFERROR(DATE(VALUE(MID(G412,FIND("/",G412,FIND("/",G412)+1)+1,4)),VALUE(MID(G412,FIND("/",G412)+1,FIND("/",G412,FIND("/",G412)+1)-FIND("/",G412)-1)),VALUE(LEFT(G412,FIND("/",G412)-1)))+IFERROR(TIMEVALUE(TRIM(MID(G412,FIND(" ",G412)+1,20))),0),0)))</f>
        <v/>
      </c>
      <c r="J412" s="255">
        <f>IF(H412="",0,IF(ISNUMBER(H412),H412,IFERROR(DATE(VALUE(MID(H412,FIND("/",H412,FIND("/",H412)+1)+1,4)),VALUE(MID(H412,FIND("/",H412)+1,FIND("/",H412,FIND("/",H412)+1)-FIND("/",H412)-1)),VALUE(LEFT(H412,FIND("/",H412)-1)))+IFERROR(TIMEVALUE(TRIM(MID(H412,FIND(" ",H412)+1,20))),0),0)))</f>
        <v/>
      </c>
      <c r="K412" s="256">
        <f>IF(I412=0,0,INT(I412))</f>
        <v/>
      </c>
      <c r="L412" s="257">
        <f>IF(OR(I412=0,J412=0),0,ROUND((J412-I412)*24,2))</f>
        <v/>
      </c>
      <c r="M412" s="254">
        <f>IFERROR(TRIM(MID(A412,FIND("@",SUBSTITUTE(A412,"(","@",LEN(A412)-LEN(SUBSTITUTE(A412,"(",""))))+1,FIND(")",A412,FIND("@",SUBSTITUTE(A412,"(","@",LEN(A412)-LEN(SUBSTITUTE(A412,"(","")))))-FIND("@",SUBSTITUTE(A412,"(","@",LEN(A412)-LEN(SUBSTITUTE(A412,"(",""))))-1)),"")</f>
        <v/>
      </c>
      <c r="N412" s="254">
        <f>IF(A412="","",IF(LEFT(TRIM(A412),5)="Leave","Leave",IF(OR(ISNUMBER(SEARCH("public holiday",A412)),ISNUMBER(SEARCH("Purple",E412))),"Public holiday","Event")))</f>
        <v/>
      </c>
    </row>
    <row r="413">
      <c r="G413" s="254">
        <f>IF(C413="","",IF(ISNUMBER(C413),C413,IF(ISNUMBER(VALUE(LEFT(TRIM(C413),1))),TRIM(C413),TRIM(MID(TRIM(C413),FIND(" ",TRIM(C413))+1,99)))))</f>
        <v/>
      </c>
      <c r="H413" s="254">
        <f>IF(D413="","",IF(ISNUMBER(D413),D413,IF(ISNUMBER(VALUE(LEFT(TRIM(D413),1))),TRIM(D413),TRIM(MID(TRIM(D413),FIND(" ",TRIM(D413))+1,99)))))</f>
        <v/>
      </c>
      <c r="I413" s="255">
        <f>IF(G413="",0,IF(ISNUMBER(G413),G413,IFERROR(DATE(VALUE(MID(G413,FIND("/",G413,FIND("/",G413)+1)+1,4)),VALUE(MID(G413,FIND("/",G413)+1,FIND("/",G413,FIND("/",G413)+1)-FIND("/",G413)-1)),VALUE(LEFT(G413,FIND("/",G413)-1)))+IFERROR(TIMEVALUE(TRIM(MID(G413,FIND(" ",G413)+1,20))),0),0)))</f>
        <v/>
      </c>
      <c r="J413" s="255">
        <f>IF(H413="",0,IF(ISNUMBER(H413),H413,IFERROR(DATE(VALUE(MID(H413,FIND("/",H413,FIND("/",H413)+1)+1,4)),VALUE(MID(H413,FIND("/",H413)+1,FIND("/",H413,FIND("/",H413)+1)-FIND("/",H413)-1)),VALUE(LEFT(H413,FIND("/",H413)-1)))+IFERROR(TIMEVALUE(TRIM(MID(H413,FIND(" ",H413)+1,20))),0),0)))</f>
        <v/>
      </c>
      <c r="K413" s="256">
        <f>IF(I413=0,0,INT(I413))</f>
        <v/>
      </c>
      <c r="L413" s="257">
        <f>IF(OR(I413=0,J413=0),0,ROUND((J413-I413)*24,2))</f>
        <v/>
      </c>
      <c r="M413" s="254">
        <f>IFERROR(TRIM(MID(A413,FIND("@",SUBSTITUTE(A413,"(","@",LEN(A413)-LEN(SUBSTITUTE(A413,"(",""))))+1,FIND(")",A413,FIND("@",SUBSTITUTE(A413,"(","@",LEN(A413)-LEN(SUBSTITUTE(A413,"(","")))))-FIND("@",SUBSTITUTE(A413,"(","@",LEN(A413)-LEN(SUBSTITUTE(A413,"(",""))))-1)),"")</f>
        <v/>
      </c>
      <c r="N413" s="254">
        <f>IF(A413="","",IF(LEFT(TRIM(A413),5)="Leave","Leave",IF(OR(ISNUMBER(SEARCH("public holiday",A413)),ISNUMBER(SEARCH("Purple",E413))),"Public holiday","Event")))</f>
        <v/>
      </c>
    </row>
    <row r="414">
      <c r="G414" s="254">
        <f>IF(C414="","",IF(ISNUMBER(C414),C414,IF(ISNUMBER(VALUE(LEFT(TRIM(C414),1))),TRIM(C414),TRIM(MID(TRIM(C414),FIND(" ",TRIM(C414))+1,99)))))</f>
        <v/>
      </c>
      <c r="H414" s="254">
        <f>IF(D414="","",IF(ISNUMBER(D414),D414,IF(ISNUMBER(VALUE(LEFT(TRIM(D414),1))),TRIM(D414),TRIM(MID(TRIM(D414),FIND(" ",TRIM(D414))+1,99)))))</f>
        <v/>
      </c>
      <c r="I414" s="255">
        <f>IF(G414="",0,IF(ISNUMBER(G414),G414,IFERROR(DATE(VALUE(MID(G414,FIND("/",G414,FIND("/",G414)+1)+1,4)),VALUE(MID(G414,FIND("/",G414)+1,FIND("/",G414,FIND("/",G414)+1)-FIND("/",G414)-1)),VALUE(LEFT(G414,FIND("/",G414)-1)))+IFERROR(TIMEVALUE(TRIM(MID(G414,FIND(" ",G414)+1,20))),0),0)))</f>
        <v/>
      </c>
      <c r="J414" s="255">
        <f>IF(H414="",0,IF(ISNUMBER(H414),H414,IFERROR(DATE(VALUE(MID(H414,FIND("/",H414,FIND("/",H414)+1)+1,4)),VALUE(MID(H414,FIND("/",H414)+1,FIND("/",H414,FIND("/",H414)+1)-FIND("/",H414)-1)),VALUE(LEFT(H414,FIND("/",H414)-1)))+IFERROR(TIMEVALUE(TRIM(MID(H414,FIND(" ",H414)+1,20))),0),0)))</f>
        <v/>
      </c>
      <c r="K414" s="256">
        <f>IF(I414=0,0,INT(I414))</f>
        <v/>
      </c>
      <c r="L414" s="257">
        <f>IF(OR(I414=0,J414=0),0,ROUND((J414-I414)*24,2))</f>
        <v/>
      </c>
      <c r="M414" s="254">
        <f>IFERROR(TRIM(MID(A414,FIND("@",SUBSTITUTE(A414,"(","@",LEN(A414)-LEN(SUBSTITUTE(A414,"(",""))))+1,FIND(")",A414,FIND("@",SUBSTITUTE(A414,"(","@",LEN(A414)-LEN(SUBSTITUTE(A414,"(","")))))-FIND("@",SUBSTITUTE(A414,"(","@",LEN(A414)-LEN(SUBSTITUTE(A414,"(",""))))-1)),"")</f>
        <v/>
      </c>
      <c r="N414" s="254">
        <f>IF(A414="","",IF(LEFT(TRIM(A414),5)="Leave","Leave",IF(OR(ISNUMBER(SEARCH("public holiday",A414)),ISNUMBER(SEARCH("Purple",E414))),"Public holiday","Event")))</f>
        <v/>
      </c>
    </row>
    <row r="415">
      <c r="G415" s="254">
        <f>IF(C415="","",IF(ISNUMBER(C415),C415,IF(ISNUMBER(VALUE(LEFT(TRIM(C415),1))),TRIM(C415),TRIM(MID(TRIM(C415),FIND(" ",TRIM(C415))+1,99)))))</f>
        <v/>
      </c>
      <c r="H415" s="254">
        <f>IF(D415="","",IF(ISNUMBER(D415),D415,IF(ISNUMBER(VALUE(LEFT(TRIM(D415),1))),TRIM(D415),TRIM(MID(TRIM(D415),FIND(" ",TRIM(D415))+1,99)))))</f>
        <v/>
      </c>
      <c r="I415" s="255">
        <f>IF(G415="",0,IF(ISNUMBER(G415),G415,IFERROR(DATE(VALUE(MID(G415,FIND("/",G415,FIND("/",G415)+1)+1,4)),VALUE(MID(G415,FIND("/",G415)+1,FIND("/",G415,FIND("/",G415)+1)-FIND("/",G415)-1)),VALUE(LEFT(G415,FIND("/",G415)-1)))+IFERROR(TIMEVALUE(TRIM(MID(G415,FIND(" ",G415)+1,20))),0),0)))</f>
        <v/>
      </c>
      <c r="J415" s="255">
        <f>IF(H415="",0,IF(ISNUMBER(H415),H415,IFERROR(DATE(VALUE(MID(H415,FIND("/",H415,FIND("/",H415)+1)+1,4)),VALUE(MID(H415,FIND("/",H415)+1,FIND("/",H415,FIND("/",H415)+1)-FIND("/",H415)-1)),VALUE(LEFT(H415,FIND("/",H415)-1)))+IFERROR(TIMEVALUE(TRIM(MID(H415,FIND(" ",H415)+1,20))),0),0)))</f>
        <v/>
      </c>
      <c r="K415" s="256">
        <f>IF(I415=0,0,INT(I415))</f>
        <v/>
      </c>
      <c r="L415" s="257">
        <f>IF(OR(I415=0,J415=0),0,ROUND((J415-I415)*24,2))</f>
        <v/>
      </c>
      <c r="M415" s="254">
        <f>IFERROR(TRIM(MID(A415,FIND("@",SUBSTITUTE(A415,"(","@",LEN(A415)-LEN(SUBSTITUTE(A415,"(",""))))+1,FIND(")",A415,FIND("@",SUBSTITUTE(A415,"(","@",LEN(A415)-LEN(SUBSTITUTE(A415,"(","")))))-FIND("@",SUBSTITUTE(A415,"(","@",LEN(A415)-LEN(SUBSTITUTE(A415,"(",""))))-1)),"")</f>
        <v/>
      </c>
      <c r="N415" s="254">
        <f>IF(A415="","",IF(LEFT(TRIM(A415),5)="Leave","Leave",IF(OR(ISNUMBER(SEARCH("public holiday",A415)),ISNUMBER(SEARCH("Purple",E415))),"Public holiday","Event")))</f>
        <v/>
      </c>
    </row>
    <row r="416">
      <c r="G416" s="254">
        <f>IF(C416="","",IF(ISNUMBER(C416),C416,IF(ISNUMBER(VALUE(LEFT(TRIM(C416),1))),TRIM(C416),TRIM(MID(TRIM(C416),FIND(" ",TRIM(C416))+1,99)))))</f>
        <v/>
      </c>
      <c r="H416" s="254">
        <f>IF(D416="","",IF(ISNUMBER(D416),D416,IF(ISNUMBER(VALUE(LEFT(TRIM(D416),1))),TRIM(D416),TRIM(MID(TRIM(D416),FIND(" ",TRIM(D416))+1,99)))))</f>
        <v/>
      </c>
      <c r="I416" s="255">
        <f>IF(G416="",0,IF(ISNUMBER(G416),G416,IFERROR(DATE(VALUE(MID(G416,FIND("/",G416,FIND("/",G416)+1)+1,4)),VALUE(MID(G416,FIND("/",G416)+1,FIND("/",G416,FIND("/",G416)+1)-FIND("/",G416)-1)),VALUE(LEFT(G416,FIND("/",G416)-1)))+IFERROR(TIMEVALUE(TRIM(MID(G416,FIND(" ",G416)+1,20))),0),0)))</f>
        <v/>
      </c>
      <c r="J416" s="255">
        <f>IF(H416="",0,IF(ISNUMBER(H416),H416,IFERROR(DATE(VALUE(MID(H416,FIND("/",H416,FIND("/",H416)+1)+1,4)),VALUE(MID(H416,FIND("/",H416)+1,FIND("/",H416,FIND("/",H416)+1)-FIND("/",H416)-1)),VALUE(LEFT(H416,FIND("/",H416)-1)))+IFERROR(TIMEVALUE(TRIM(MID(H416,FIND(" ",H416)+1,20))),0),0)))</f>
        <v/>
      </c>
      <c r="K416" s="256">
        <f>IF(I416=0,0,INT(I416))</f>
        <v/>
      </c>
      <c r="L416" s="257">
        <f>IF(OR(I416=0,J416=0),0,ROUND((J416-I416)*24,2))</f>
        <v/>
      </c>
      <c r="M416" s="254">
        <f>IFERROR(TRIM(MID(A416,FIND("@",SUBSTITUTE(A416,"(","@",LEN(A416)-LEN(SUBSTITUTE(A416,"(",""))))+1,FIND(")",A416,FIND("@",SUBSTITUTE(A416,"(","@",LEN(A416)-LEN(SUBSTITUTE(A416,"(","")))))-FIND("@",SUBSTITUTE(A416,"(","@",LEN(A416)-LEN(SUBSTITUTE(A416,"(",""))))-1)),"")</f>
        <v/>
      </c>
      <c r="N416" s="254">
        <f>IF(A416="","",IF(LEFT(TRIM(A416),5)="Leave","Leave",IF(OR(ISNUMBER(SEARCH("public holiday",A416)),ISNUMBER(SEARCH("Purple",E416))),"Public holiday","Event")))</f>
        <v/>
      </c>
    </row>
    <row r="417">
      <c r="G417" s="254">
        <f>IF(C417="","",IF(ISNUMBER(C417),C417,IF(ISNUMBER(VALUE(LEFT(TRIM(C417),1))),TRIM(C417),TRIM(MID(TRIM(C417),FIND(" ",TRIM(C417))+1,99)))))</f>
        <v/>
      </c>
      <c r="H417" s="254">
        <f>IF(D417="","",IF(ISNUMBER(D417),D417,IF(ISNUMBER(VALUE(LEFT(TRIM(D417),1))),TRIM(D417),TRIM(MID(TRIM(D417),FIND(" ",TRIM(D417))+1,99)))))</f>
        <v/>
      </c>
      <c r="I417" s="255">
        <f>IF(G417="",0,IF(ISNUMBER(G417),G417,IFERROR(DATE(VALUE(MID(G417,FIND("/",G417,FIND("/",G417)+1)+1,4)),VALUE(MID(G417,FIND("/",G417)+1,FIND("/",G417,FIND("/",G417)+1)-FIND("/",G417)-1)),VALUE(LEFT(G417,FIND("/",G417)-1)))+IFERROR(TIMEVALUE(TRIM(MID(G417,FIND(" ",G417)+1,20))),0),0)))</f>
        <v/>
      </c>
      <c r="J417" s="255">
        <f>IF(H417="",0,IF(ISNUMBER(H417),H417,IFERROR(DATE(VALUE(MID(H417,FIND("/",H417,FIND("/",H417)+1)+1,4)),VALUE(MID(H417,FIND("/",H417)+1,FIND("/",H417,FIND("/",H417)+1)-FIND("/",H417)-1)),VALUE(LEFT(H417,FIND("/",H417)-1)))+IFERROR(TIMEVALUE(TRIM(MID(H417,FIND(" ",H417)+1,20))),0),0)))</f>
        <v/>
      </c>
      <c r="K417" s="256">
        <f>IF(I417=0,0,INT(I417))</f>
        <v/>
      </c>
      <c r="L417" s="257">
        <f>IF(OR(I417=0,J417=0),0,ROUND((J417-I417)*24,2))</f>
        <v/>
      </c>
      <c r="M417" s="254">
        <f>IFERROR(TRIM(MID(A417,FIND("@",SUBSTITUTE(A417,"(","@",LEN(A417)-LEN(SUBSTITUTE(A417,"(",""))))+1,FIND(")",A417,FIND("@",SUBSTITUTE(A417,"(","@",LEN(A417)-LEN(SUBSTITUTE(A417,"(","")))))-FIND("@",SUBSTITUTE(A417,"(","@",LEN(A417)-LEN(SUBSTITUTE(A417,"(",""))))-1)),"")</f>
        <v/>
      </c>
      <c r="N417" s="254">
        <f>IF(A417="","",IF(LEFT(TRIM(A417),5)="Leave","Leave",IF(OR(ISNUMBER(SEARCH("public holiday",A417)),ISNUMBER(SEARCH("Purple",E417))),"Public holiday","Event")))</f>
        <v/>
      </c>
    </row>
    <row r="418">
      <c r="G418" s="254">
        <f>IF(C418="","",IF(ISNUMBER(C418),C418,IF(ISNUMBER(VALUE(LEFT(TRIM(C418),1))),TRIM(C418),TRIM(MID(TRIM(C418),FIND(" ",TRIM(C418))+1,99)))))</f>
        <v/>
      </c>
      <c r="H418" s="254">
        <f>IF(D418="","",IF(ISNUMBER(D418),D418,IF(ISNUMBER(VALUE(LEFT(TRIM(D418),1))),TRIM(D418),TRIM(MID(TRIM(D418),FIND(" ",TRIM(D418))+1,99)))))</f>
        <v/>
      </c>
      <c r="I418" s="255">
        <f>IF(G418="",0,IF(ISNUMBER(G418),G418,IFERROR(DATE(VALUE(MID(G418,FIND("/",G418,FIND("/",G418)+1)+1,4)),VALUE(MID(G418,FIND("/",G418)+1,FIND("/",G418,FIND("/",G418)+1)-FIND("/",G418)-1)),VALUE(LEFT(G418,FIND("/",G418)-1)))+IFERROR(TIMEVALUE(TRIM(MID(G418,FIND(" ",G418)+1,20))),0),0)))</f>
        <v/>
      </c>
      <c r="J418" s="255">
        <f>IF(H418="",0,IF(ISNUMBER(H418),H418,IFERROR(DATE(VALUE(MID(H418,FIND("/",H418,FIND("/",H418)+1)+1,4)),VALUE(MID(H418,FIND("/",H418)+1,FIND("/",H418,FIND("/",H418)+1)-FIND("/",H418)-1)),VALUE(LEFT(H418,FIND("/",H418)-1)))+IFERROR(TIMEVALUE(TRIM(MID(H418,FIND(" ",H418)+1,20))),0),0)))</f>
        <v/>
      </c>
      <c r="K418" s="256">
        <f>IF(I418=0,0,INT(I418))</f>
        <v/>
      </c>
      <c r="L418" s="257">
        <f>IF(OR(I418=0,J418=0),0,ROUND((J418-I418)*24,2))</f>
        <v/>
      </c>
      <c r="M418" s="254">
        <f>IFERROR(TRIM(MID(A418,FIND("@",SUBSTITUTE(A418,"(","@",LEN(A418)-LEN(SUBSTITUTE(A418,"(",""))))+1,FIND(")",A418,FIND("@",SUBSTITUTE(A418,"(","@",LEN(A418)-LEN(SUBSTITUTE(A418,"(","")))))-FIND("@",SUBSTITUTE(A418,"(","@",LEN(A418)-LEN(SUBSTITUTE(A418,"(",""))))-1)),"")</f>
        <v/>
      </c>
      <c r="N418" s="254">
        <f>IF(A418="","",IF(LEFT(TRIM(A418),5)="Leave","Leave",IF(OR(ISNUMBER(SEARCH("public holiday",A418)),ISNUMBER(SEARCH("Purple",E418))),"Public holiday","Event")))</f>
        <v/>
      </c>
    </row>
    <row r="419">
      <c r="G419" s="254">
        <f>IF(C419="","",IF(ISNUMBER(C419),C419,IF(ISNUMBER(VALUE(LEFT(TRIM(C419),1))),TRIM(C419),TRIM(MID(TRIM(C419),FIND(" ",TRIM(C419))+1,99)))))</f>
        <v/>
      </c>
      <c r="H419" s="254">
        <f>IF(D419="","",IF(ISNUMBER(D419),D419,IF(ISNUMBER(VALUE(LEFT(TRIM(D419),1))),TRIM(D419),TRIM(MID(TRIM(D419),FIND(" ",TRIM(D419))+1,99)))))</f>
        <v/>
      </c>
      <c r="I419" s="255">
        <f>IF(G419="",0,IF(ISNUMBER(G419),G419,IFERROR(DATE(VALUE(MID(G419,FIND("/",G419,FIND("/",G419)+1)+1,4)),VALUE(MID(G419,FIND("/",G419)+1,FIND("/",G419,FIND("/",G419)+1)-FIND("/",G419)-1)),VALUE(LEFT(G419,FIND("/",G419)-1)))+IFERROR(TIMEVALUE(TRIM(MID(G419,FIND(" ",G419)+1,20))),0),0)))</f>
        <v/>
      </c>
      <c r="J419" s="255">
        <f>IF(H419="",0,IF(ISNUMBER(H419),H419,IFERROR(DATE(VALUE(MID(H419,FIND("/",H419,FIND("/",H419)+1)+1,4)),VALUE(MID(H419,FIND("/",H419)+1,FIND("/",H419,FIND("/",H419)+1)-FIND("/",H419)-1)),VALUE(LEFT(H419,FIND("/",H419)-1)))+IFERROR(TIMEVALUE(TRIM(MID(H419,FIND(" ",H419)+1,20))),0),0)))</f>
        <v/>
      </c>
      <c r="K419" s="256">
        <f>IF(I419=0,0,INT(I419))</f>
        <v/>
      </c>
      <c r="L419" s="257">
        <f>IF(OR(I419=0,J419=0),0,ROUND((J419-I419)*24,2))</f>
        <v/>
      </c>
      <c r="M419" s="254">
        <f>IFERROR(TRIM(MID(A419,FIND("@",SUBSTITUTE(A419,"(","@",LEN(A419)-LEN(SUBSTITUTE(A419,"(",""))))+1,FIND(")",A419,FIND("@",SUBSTITUTE(A419,"(","@",LEN(A419)-LEN(SUBSTITUTE(A419,"(","")))))-FIND("@",SUBSTITUTE(A419,"(","@",LEN(A419)-LEN(SUBSTITUTE(A419,"(",""))))-1)),"")</f>
        <v/>
      </c>
      <c r="N419" s="254">
        <f>IF(A419="","",IF(LEFT(TRIM(A419),5)="Leave","Leave",IF(OR(ISNUMBER(SEARCH("public holiday",A419)),ISNUMBER(SEARCH("Purple",E419))),"Public holiday","Event")))</f>
        <v/>
      </c>
    </row>
    <row r="420">
      <c r="G420" s="254">
        <f>IF(C420="","",IF(ISNUMBER(C420),C420,IF(ISNUMBER(VALUE(LEFT(TRIM(C420),1))),TRIM(C420),TRIM(MID(TRIM(C420),FIND(" ",TRIM(C420))+1,99)))))</f>
        <v/>
      </c>
      <c r="H420" s="254">
        <f>IF(D420="","",IF(ISNUMBER(D420),D420,IF(ISNUMBER(VALUE(LEFT(TRIM(D420),1))),TRIM(D420),TRIM(MID(TRIM(D420),FIND(" ",TRIM(D420))+1,99)))))</f>
        <v/>
      </c>
      <c r="I420" s="255">
        <f>IF(G420="",0,IF(ISNUMBER(G420),G420,IFERROR(DATE(VALUE(MID(G420,FIND("/",G420,FIND("/",G420)+1)+1,4)),VALUE(MID(G420,FIND("/",G420)+1,FIND("/",G420,FIND("/",G420)+1)-FIND("/",G420)-1)),VALUE(LEFT(G420,FIND("/",G420)-1)))+IFERROR(TIMEVALUE(TRIM(MID(G420,FIND(" ",G420)+1,20))),0),0)))</f>
        <v/>
      </c>
      <c r="J420" s="255">
        <f>IF(H420="",0,IF(ISNUMBER(H420),H420,IFERROR(DATE(VALUE(MID(H420,FIND("/",H420,FIND("/",H420)+1)+1,4)),VALUE(MID(H420,FIND("/",H420)+1,FIND("/",H420,FIND("/",H420)+1)-FIND("/",H420)-1)),VALUE(LEFT(H420,FIND("/",H420)-1)))+IFERROR(TIMEVALUE(TRIM(MID(H420,FIND(" ",H420)+1,20))),0),0)))</f>
        <v/>
      </c>
      <c r="K420" s="256">
        <f>IF(I420=0,0,INT(I420))</f>
        <v/>
      </c>
      <c r="L420" s="257">
        <f>IF(OR(I420=0,J420=0),0,ROUND((J420-I420)*24,2))</f>
        <v/>
      </c>
      <c r="M420" s="254">
        <f>IFERROR(TRIM(MID(A420,FIND("@",SUBSTITUTE(A420,"(","@",LEN(A420)-LEN(SUBSTITUTE(A420,"(",""))))+1,FIND(")",A420,FIND("@",SUBSTITUTE(A420,"(","@",LEN(A420)-LEN(SUBSTITUTE(A420,"(","")))))-FIND("@",SUBSTITUTE(A420,"(","@",LEN(A420)-LEN(SUBSTITUTE(A420,"(",""))))-1)),"")</f>
        <v/>
      </c>
      <c r="N420" s="254">
        <f>IF(A420="","",IF(LEFT(TRIM(A420),5)="Leave","Leave",IF(OR(ISNUMBER(SEARCH("public holiday",A420)),ISNUMBER(SEARCH("Purple",E420))),"Public holiday","Event")))</f>
        <v/>
      </c>
    </row>
    <row r="421">
      <c r="G421" s="254">
        <f>IF(C421="","",IF(ISNUMBER(C421),C421,IF(ISNUMBER(VALUE(LEFT(TRIM(C421),1))),TRIM(C421),TRIM(MID(TRIM(C421),FIND(" ",TRIM(C421))+1,99)))))</f>
        <v/>
      </c>
      <c r="H421" s="254">
        <f>IF(D421="","",IF(ISNUMBER(D421),D421,IF(ISNUMBER(VALUE(LEFT(TRIM(D421),1))),TRIM(D421),TRIM(MID(TRIM(D421),FIND(" ",TRIM(D421))+1,99)))))</f>
        <v/>
      </c>
      <c r="I421" s="255">
        <f>IF(G421="",0,IF(ISNUMBER(G421),G421,IFERROR(DATE(VALUE(MID(G421,FIND("/",G421,FIND("/",G421)+1)+1,4)),VALUE(MID(G421,FIND("/",G421)+1,FIND("/",G421,FIND("/",G421)+1)-FIND("/",G421)-1)),VALUE(LEFT(G421,FIND("/",G421)-1)))+IFERROR(TIMEVALUE(TRIM(MID(G421,FIND(" ",G421)+1,20))),0),0)))</f>
        <v/>
      </c>
      <c r="J421" s="255">
        <f>IF(H421="",0,IF(ISNUMBER(H421),H421,IFERROR(DATE(VALUE(MID(H421,FIND("/",H421,FIND("/",H421)+1)+1,4)),VALUE(MID(H421,FIND("/",H421)+1,FIND("/",H421,FIND("/",H421)+1)-FIND("/",H421)-1)),VALUE(LEFT(H421,FIND("/",H421)-1)))+IFERROR(TIMEVALUE(TRIM(MID(H421,FIND(" ",H421)+1,20))),0),0)))</f>
        <v/>
      </c>
      <c r="K421" s="256">
        <f>IF(I421=0,0,INT(I421))</f>
        <v/>
      </c>
      <c r="L421" s="257">
        <f>IF(OR(I421=0,J421=0),0,ROUND((J421-I421)*24,2))</f>
        <v/>
      </c>
      <c r="M421" s="254">
        <f>IFERROR(TRIM(MID(A421,FIND("@",SUBSTITUTE(A421,"(","@",LEN(A421)-LEN(SUBSTITUTE(A421,"(",""))))+1,FIND(")",A421,FIND("@",SUBSTITUTE(A421,"(","@",LEN(A421)-LEN(SUBSTITUTE(A421,"(","")))))-FIND("@",SUBSTITUTE(A421,"(","@",LEN(A421)-LEN(SUBSTITUTE(A421,"(",""))))-1)),"")</f>
        <v/>
      </c>
      <c r="N421" s="254">
        <f>IF(A421="","",IF(LEFT(TRIM(A421),5)="Leave","Leave",IF(OR(ISNUMBER(SEARCH("public holiday",A421)),ISNUMBER(SEARCH("Purple",E421))),"Public holiday","Event")))</f>
        <v/>
      </c>
    </row>
    <row r="422">
      <c r="G422" s="254">
        <f>IF(C422="","",IF(ISNUMBER(C422),C422,IF(ISNUMBER(VALUE(LEFT(TRIM(C422),1))),TRIM(C422),TRIM(MID(TRIM(C422),FIND(" ",TRIM(C422))+1,99)))))</f>
        <v/>
      </c>
      <c r="H422" s="254">
        <f>IF(D422="","",IF(ISNUMBER(D422),D422,IF(ISNUMBER(VALUE(LEFT(TRIM(D422),1))),TRIM(D422),TRIM(MID(TRIM(D422),FIND(" ",TRIM(D422))+1,99)))))</f>
        <v/>
      </c>
      <c r="I422" s="255">
        <f>IF(G422="",0,IF(ISNUMBER(G422),G422,IFERROR(DATE(VALUE(MID(G422,FIND("/",G422,FIND("/",G422)+1)+1,4)),VALUE(MID(G422,FIND("/",G422)+1,FIND("/",G422,FIND("/",G422)+1)-FIND("/",G422)-1)),VALUE(LEFT(G422,FIND("/",G422)-1)))+IFERROR(TIMEVALUE(TRIM(MID(G422,FIND(" ",G422)+1,20))),0),0)))</f>
        <v/>
      </c>
      <c r="J422" s="255">
        <f>IF(H422="",0,IF(ISNUMBER(H422),H422,IFERROR(DATE(VALUE(MID(H422,FIND("/",H422,FIND("/",H422)+1)+1,4)),VALUE(MID(H422,FIND("/",H422)+1,FIND("/",H422,FIND("/",H422)+1)-FIND("/",H422)-1)),VALUE(LEFT(H422,FIND("/",H422)-1)))+IFERROR(TIMEVALUE(TRIM(MID(H422,FIND(" ",H422)+1,20))),0),0)))</f>
        <v/>
      </c>
      <c r="K422" s="256">
        <f>IF(I422=0,0,INT(I422))</f>
        <v/>
      </c>
      <c r="L422" s="257">
        <f>IF(OR(I422=0,J422=0),0,ROUND((J422-I422)*24,2))</f>
        <v/>
      </c>
      <c r="M422" s="254">
        <f>IFERROR(TRIM(MID(A422,FIND("@",SUBSTITUTE(A422,"(","@",LEN(A422)-LEN(SUBSTITUTE(A422,"(",""))))+1,FIND(")",A422,FIND("@",SUBSTITUTE(A422,"(","@",LEN(A422)-LEN(SUBSTITUTE(A422,"(","")))))-FIND("@",SUBSTITUTE(A422,"(","@",LEN(A422)-LEN(SUBSTITUTE(A422,"(",""))))-1)),"")</f>
        <v/>
      </c>
      <c r="N422" s="254">
        <f>IF(A422="","",IF(LEFT(TRIM(A422),5)="Leave","Leave",IF(OR(ISNUMBER(SEARCH("public holiday",A422)),ISNUMBER(SEARCH("Purple",E422))),"Public holiday","Event")))</f>
        <v/>
      </c>
    </row>
    <row r="423">
      <c r="G423" s="254">
        <f>IF(C423="","",IF(ISNUMBER(C423),C423,IF(ISNUMBER(VALUE(LEFT(TRIM(C423),1))),TRIM(C423),TRIM(MID(TRIM(C423),FIND(" ",TRIM(C423))+1,99)))))</f>
        <v/>
      </c>
      <c r="H423" s="254">
        <f>IF(D423="","",IF(ISNUMBER(D423),D423,IF(ISNUMBER(VALUE(LEFT(TRIM(D423),1))),TRIM(D423),TRIM(MID(TRIM(D423),FIND(" ",TRIM(D423))+1,99)))))</f>
        <v/>
      </c>
      <c r="I423" s="255">
        <f>IF(G423="",0,IF(ISNUMBER(G423),G423,IFERROR(DATE(VALUE(MID(G423,FIND("/",G423,FIND("/",G423)+1)+1,4)),VALUE(MID(G423,FIND("/",G423)+1,FIND("/",G423,FIND("/",G423)+1)-FIND("/",G423)-1)),VALUE(LEFT(G423,FIND("/",G423)-1)))+IFERROR(TIMEVALUE(TRIM(MID(G423,FIND(" ",G423)+1,20))),0),0)))</f>
        <v/>
      </c>
      <c r="J423" s="255">
        <f>IF(H423="",0,IF(ISNUMBER(H423),H423,IFERROR(DATE(VALUE(MID(H423,FIND("/",H423,FIND("/",H423)+1)+1,4)),VALUE(MID(H423,FIND("/",H423)+1,FIND("/",H423,FIND("/",H423)+1)-FIND("/",H423)-1)),VALUE(LEFT(H423,FIND("/",H423)-1)))+IFERROR(TIMEVALUE(TRIM(MID(H423,FIND(" ",H423)+1,20))),0),0)))</f>
        <v/>
      </c>
      <c r="K423" s="256">
        <f>IF(I423=0,0,INT(I423))</f>
        <v/>
      </c>
      <c r="L423" s="257">
        <f>IF(OR(I423=0,J423=0),0,ROUND((J423-I423)*24,2))</f>
        <v/>
      </c>
      <c r="M423" s="254">
        <f>IFERROR(TRIM(MID(A423,FIND("@",SUBSTITUTE(A423,"(","@",LEN(A423)-LEN(SUBSTITUTE(A423,"(",""))))+1,FIND(")",A423,FIND("@",SUBSTITUTE(A423,"(","@",LEN(A423)-LEN(SUBSTITUTE(A423,"(","")))))-FIND("@",SUBSTITUTE(A423,"(","@",LEN(A423)-LEN(SUBSTITUTE(A423,"(",""))))-1)),"")</f>
        <v/>
      </c>
      <c r="N423" s="254">
        <f>IF(A423="","",IF(LEFT(TRIM(A423),5)="Leave","Leave",IF(OR(ISNUMBER(SEARCH("public holiday",A423)),ISNUMBER(SEARCH("Purple",E423))),"Public holiday","Event")))</f>
        <v/>
      </c>
    </row>
    <row r="424">
      <c r="G424" s="254">
        <f>IF(C424="","",IF(ISNUMBER(C424),C424,IF(ISNUMBER(VALUE(LEFT(TRIM(C424),1))),TRIM(C424),TRIM(MID(TRIM(C424),FIND(" ",TRIM(C424))+1,99)))))</f>
        <v/>
      </c>
      <c r="H424" s="254">
        <f>IF(D424="","",IF(ISNUMBER(D424),D424,IF(ISNUMBER(VALUE(LEFT(TRIM(D424),1))),TRIM(D424),TRIM(MID(TRIM(D424),FIND(" ",TRIM(D424))+1,99)))))</f>
        <v/>
      </c>
      <c r="I424" s="255">
        <f>IF(G424="",0,IF(ISNUMBER(G424),G424,IFERROR(DATE(VALUE(MID(G424,FIND("/",G424,FIND("/",G424)+1)+1,4)),VALUE(MID(G424,FIND("/",G424)+1,FIND("/",G424,FIND("/",G424)+1)-FIND("/",G424)-1)),VALUE(LEFT(G424,FIND("/",G424)-1)))+IFERROR(TIMEVALUE(TRIM(MID(G424,FIND(" ",G424)+1,20))),0),0)))</f>
        <v/>
      </c>
      <c r="J424" s="255">
        <f>IF(H424="",0,IF(ISNUMBER(H424),H424,IFERROR(DATE(VALUE(MID(H424,FIND("/",H424,FIND("/",H424)+1)+1,4)),VALUE(MID(H424,FIND("/",H424)+1,FIND("/",H424,FIND("/",H424)+1)-FIND("/",H424)-1)),VALUE(LEFT(H424,FIND("/",H424)-1)))+IFERROR(TIMEVALUE(TRIM(MID(H424,FIND(" ",H424)+1,20))),0),0)))</f>
        <v/>
      </c>
      <c r="K424" s="256">
        <f>IF(I424=0,0,INT(I424))</f>
        <v/>
      </c>
      <c r="L424" s="257">
        <f>IF(OR(I424=0,J424=0),0,ROUND((J424-I424)*24,2))</f>
        <v/>
      </c>
      <c r="M424" s="254">
        <f>IFERROR(TRIM(MID(A424,FIND("@",SUBSTITUTE(A424,"(","@",LEN(A424)-LEN(SUBSTITUTE(A424,"(",""))))+1,FIND(")",A424,FIND("@",SUBSTITUTE(A424,"(","@",LEN(A424)-LEN(SUBSTITUTE(A424,"(","")))))-FIND("@",SUBSTITUTE(A424,"(","@",LEN(A424)-LEN(SUBSTITUTE(A424,"(",""))))-1)),"")</f>
        <v/>
      </c>
      <c r="N424" s="254">
        <f>IF(A424="","",IF(LEFT(TRIM(A424),5)="Leave","Leave",IF(OR(ISNUMBER(SEARCH("public holiday",A424)),ISNUMBER(SEARCH("Purple",E424))),"Public holiday","Event")))</f>
        <v/>
      </c>
    </row>
    <row r="425">
      <c r="G425" s="254">
        <f>IF(C425="","",IF(ISNUMBER(C425),C425,IF(ISNUMBER(VALUE(LEFT(TRIM(C425),1))),TRIM(C425),TRIM(MID(TRIM(C425),FIND(" ",TRIM(C425))+1,99)))))</f>
        <v/>
      </c>
      <c r="H425" s="254">
        <f>IF(D425="","",IF(ISNUMBER(D425),D425,IF(ISNUMBER(VALUE(LEFT(TRIM(D425),1))),TRIM(D425),TRIM(MID(TRIM(D425),FIND(" ",TRIM(D425))+1,99)))))</f>
        <v/>
      </c>
      <c r="I425" s="255">
        <f>IF(G425="",0,IF(ISNUMBER(G425),G425,IFERROR(DATE(VALUE(MID(G425,FIND("/",G425,FIND("/",G425)+1)+1,4)),VALUE(MID(G425,FIND("/",G425)+1,FIND("/",G425,FIND("/",G425)+1)-FIND("/",G425)-1)),VALUE(LEFT(G425,FIND("/",G425)-1)))+IFERROR(TIMEVALUE(TRIM(MID(G425,FIND(" ",G425)+1,20))),0),0)))</f>
        <v/>
      </c>
      <c r="J425" s="255">
        <f>IF(H425="",0,IF(ISNUMBER(H425),H425,IFERROR(DATE(VALUE(MID(H425,FIND("/",H425,FIND("/",H425)+1)+1,4)),VALUE(MID(H425,FIND("/",H425)+1,FIND("/",H425,FIND("/",H425)+1)-FIND("/",H425)-1)),VALUE(LEFT(H425,FIND("/",H425)-1)))+IFERROR(TIMEVALUE(TRIM(MID(H425,FIND(" ",H425)+1,20))),0),0)))</f>
        <v/>
      </c>
      <c r="K425" s="256">
        <f>IF(I425=0,0,INT(I425))</f>
        <v/>
      </c>
      <c r="L425" s="257">
        <f>IF(OR(I425=0,J425=0),0,ROUND((J425-I425)*24,2))</f>
        <v/>
      </c>
      <c r="M425" s="254">
        <f>IFERROR(TRIM(MID(A425,FIND("@",SUBSTITUTE(A425,"(","@",LEN(A425)-LEN(SUBSTITUTE(A425,"(",""))))+1,FIND(")",A425,FIND("@",SUBSTITUTE(A425,"(","@",LEN(A425)-LEN(SUBSTITUTE(A425,"(","")))))-FIND("@",SUBSTITUTE(A425,"(","@",LEN(A425)-LEN(SUBSTITUTE(A425,"(",""))))-1)),"")</f>
        <v/>
      </c>
      <c r="N425" s="254">
        <f>IF(A425="","",IF(LEFT(TRIM(A425),5)="Leave","Leave",IF(OR(ISNUMBER(SEARCH("public holiday",A425)),ISNUMBER(SEARCH("Purple",E425))),"Public holiday","Event")))</f>
        <v/>
      </c>
    </row>
    <row r="426">
      <c r="G426" s="254">
        <f>IF(C426="","",IF(ISNUMBER(C426),C426,IF(ISNUMBER(VALUE(LEFT(TRIM(C426),1))),TRIM(C426),TRIM(MID(TRIM(C426),FIND(" ",TRIM(C426))+1,99)))))</f>
        <v/>
      </c>
      <c r="H426" s="254">
        <f>IF(D426="","",IF(ISNUMBER(D426),D426,IF(ISNUMBER(VALUE(LEFT(TRIM(D426),1))),TRIM(D426),TRIM(MID(TRIM(D426),FIND(" ",TRIM(D426))+1,99)))))</f>
        <v/>
      </c>
      <c r="I426" s="255">
        <f>IF(G426="",0,IF(ISNUMBER(G426),G426,IFERROR(DATE(VALUE(MID(G426,FIND("/",G426,FIND("/",G426)+1)+1,4)),VALUE(MID(G426,FIND("/",G426)+1,FIND("/",G426,FIND("/",G426)+1)-FIND("/",G426)-1)),VALUE(LEFT(G426,FIND("/",G426)-1)))+IFERROR(TIMEVALUE(TRIM(MID(G426,FIND(" ",G426)+1,20))),0),0)))</f>
        <v/>
      </c>
      <c r="J426" s="255">
        <f>IF(H426="",0,IF(ISNUMBER(H426),H426,IFERROR(DATE(VALUE(MID(H426,FIND("/",H426,FIND("/",H426)+1)+1,4)),VALUE(MID(H426,FIND("/",H426)+1,FIND("/",H426,FIND("/",H426)+1)-FIND("/",H426)-1)),VALUE(LEFT(H426,FIND("/",H426)-1)))+IFERROR(TIMEVALUE(TRIM(MID(H426,FIND(" ",H426)+1,20))),0),0)))</f>
        <v/>
      </c>
      <c r="K426" s="256">
        <f>IF(I426=0,0,INT(I426))</f>
        <v/>
      </c>
      <c r="L426" s="257">
        <f>IF(OR(I426=0,J426=0),0,ROUND((J426-I426)*24,2))</f>
        <v/>
      </c>
      <c r="M426" s="254">
        <f>IFERROR(TRIM(MID(A426,FIND("@",SUBSTITUTE(A426,"(","@",LEN(A426)-LEN(SUBSTITUTE(A426,"(",""))))+1,FIND(")",A426,FIND("@",SUBSTITUTE(A426,"(","@",LEN(A426)-LEN(SUBSTITUTE(A426,"(","")))))-FIND("@",SUBSTITUTE(A426,"(","@",LEN(A426)-LEN(SUBSTITUTE(A426,"(",""))))-1)),"")</f>
        <v/>
      </c>
      <c r="N426" s="254">
        <f>IF(A426="","",IF(LEFT(TRIM(A426),5)="Leave","Leave",IF(OR(ISNUMBER(SEARCH("public holiday",A426)),ISNUMBER(SEARCH("Purple",E426))),"Public holiday","Event")))</f>
        <v/>
      </c>
    </row>
    <row r="427">
      <c r="G427" s="254">
        <f>IF(C427="","",IF(ISNUMBER(C427),C427,IF(ISNUMBER(VALUE(LEFT(TRIM(C427),1))),TRIM(C427),TRIM(MID(TRIM(C427),FIND(" ",TRIM(C427))+1,99)))))</f>
        <v/>
      </c>
      <c r="H427" s="254">
        <f>IF(D427="","",IF(ISNUMBER(D427),D427,IF(ISNUMBER(VALUE(LEFT(TRIM(D427),1))),TRIM(D427),TRIM(MID(TRIM(D427),FIND(" ",TRIM(D427))+1,99)))))</f>
        <v/>
      </c>
      <c r="I427" s="255">
        <f>IF(G427="",0,IF(ISNUMBER(G427),G427,IFERROR(DATE(VALUE(MID(G427,FIND("/",G427,FIND("/",G427)+1)+1,4)),VALUE(MID(G427,FIND("/",G427)+1,FIND("/",G427,FIND("/",G427)+1)-FIND("/",G427)-1)),VALUE(LEFT(G427,FIND("/",G427)-1)))+IFERROR(TIMEVALUE(TRIM(MID(G427,FIND(" ",G427)+1,20))),0),0)))</f>
        <v/>
      </c>
      <c r="J427" s="255">
        <f>IF(H427="",0,IF(ISNUMBER(H427),H427,IFERROR(DATE(VALUE(MID(H427,FIND("/",H427,FIND("/",H427)+1)+1,4)),VALUE(MID(H427,FIND("/",H427)+1,FIND("/",H427,FIND("/",H427)+1)-FIND("/",H427)-1)),VALUE(LEFT(H427,FIND("/",H427)-1)))+IFERROR(TIMEVALUE(TRIM(MID(H427,FIND(" ",H427)+1,20))),0),0)))</f>
        <v/>
      </c>
      <c r="K427" s="256">
        <f>IF(I427=0,0,INT(I427))</f>
        <v/>
      </c>
      <c r="L427" s="257">
        <f>IF(OR(I427=0,J427=0),0,ROUND((J427-I427)*24,2))</f>
        <v/>
      </c>
      <c r="M427" s="254">
        <f>IFERROR(TRIM(MID(A427,FIND("@",SUBSTITUTE(A427,"(","@",LEN(A427)-LEN(SUBSTITUTE(A427,"(",""))))+1,FIND(")",A427,FIND("@",SUBSTITUTE(A427,"(","@",LEN(A427)-LEN(SUBSTITUTE(A427,"(","")))))-FIND("@",SUBSTITUTE(A427,"(","@",LEN(A427)-LEN(SUBSTITUTE(A427,"(",""))))-1)),"")</f>
        <v/>
      </c>
      <c r="N427" s="254">
        <f>IF(A427="","",IF(LEFT(TRIM(A427),5)="Leave","Leave",IF(OR(ISNUMBER(SEARCH("public holiday",A427)),ISNUMBER(SEARCH("Purple",E427))),"Public holiday","Event")))</f>
        <v/>
      </c>
    </row>
    <row r="428">
      <c r="G428" s="254">
        <f>IF(C428="","",IF(ISNUMBER(C428),C428,IF(ISNUMBER(VALUE(LEFT(TRIM(C428),1))),TRIM(C428),TRIM(MID(TRIM(C428),FIND(" ",TRIM(C428))+1,99)))))</f>
        <v/>
      </c>
      <c r="H428" s="254">
        <f>IF(D428="","",IF(ISNUMBER(D428),D428,IF(ISNUMBER(VALUE(LEFT(TRIM(D428),1))),TRIM(D428),TRIM(MID(TRIM(D428),FIND(" ",TRIM(D428))+1,99)))))</f>
        <v/>
      </c>
      <c r="I428" s="255">
        <f>IF(G428="",0,IF(ISNUMBER(G428),G428,IFERROR(DATE(VALUE(MID(G428,FIND("/",G428,FIND("/",G428)+1)+1,4)),VALUE(MID(G428,FIND("/",G428)+1,FIND("/",G428,FIND("/",G428)+1)-FIND("/",G428)-1)),VALUE(LEFT(G428,FIND("/",G428)-1)))+IFERROR(TIMEVALUE(TRIM(MID(G428,FIND(" ",G428)+1,20))),0),0)))</f>
        <v/>
      </c>
      <c r="J428" s="255">
        <f>IF(H428="",0,IF(ISNUMBER(H428),H428,IFERROR(DATE(VALUE(MID(H428,FIND("/",H428,FIND("/",H428)+1)+1,4)),VALUE(MID(H428,FIND("/",H428)+1,FIND("/",H428,FIND("/",H428)+1)-FIND("/",H428)-1)),VALUE(LEFT(H428,FIND("/",H428)-1)))+IFERROR(TIMEVALUE(TRIM(MID(H428,FIND(" ",H428)+1,20))),0),0)))</f>
        <v/>
      </c>
      <c r="K428" s="256">
        <f>IF(I428=0,0,INT(I428))</f>
        <v/>
      </c>
      <c r="L428" s="257">
        <f>IF(OR(I428=0,J428=0),0,ROUND((J428-I428)*24,2))</f>
        <v/>
      </c>
      <c r="M428" s="254">
        <f>IFERROR(TRIM(MID(A428,FIND("@",SUBSTITUTE(A428,"(","@",LEN(A428)-LEN(SUBSTITUTE(A428,"(",""))))+1,FIND(")",A428,FIND("@",SUBSTITUTE(A428,"(","@",LEN(A428)-LEN(SUBSTITUTE(A428,"(","")))))-FIND("@",SUBSTITUTE(A428,"(","@",LEN(A428)-LEN(SUBSTITUTE(A428,"(",""))))-1)),"")</f>
        <v/>
      </c>
      <c r="N428" s="254">
        <f>IF(A428="","",IF(LEFT(TRIM(A428),5)="Leave","Leave",IF(OR(ISNUMBER(SEARCH("public holiday",A428)),ISNUMBER(SEARCH("Purple",E428))),"Public holiday","Event")))</f>
        <v/>
      </c>
    </row>
    <row r="429">
      <c r="G429" s="254">
        <f>IF(C429="","",IF(ISNUMBER(C429),C429,IF(ISNUMBER(VALUE(LEFT(TRIM(C429),1))),TRIM(C429),TRIM(MID(TRIM(C429),FIND(" ",TRIM(C429))+1,99)))))</f>
        <v/>
      </c>
      <c r="H429" s="254">
        <f>IF(D429="","",IF(ISNUMBER(D429),D429,IF(ISNUMBER(VALUE(LEFT(TRIM(D429),1))),TRIM(D429),TRIM(MID(TRIM(D429),FIND(" ",TRIM(D429))+1,99)))))</f>
        <v/>
      </c>
      <c r="I429" s="255">
        <f>IF(G429="",0,IF(ISNUMBER(G429),G429,IFERROR(DATE(VALUE(MID(G429,FIND("/",G429,FIND("/",G429)+1)+1,4)),VALUE(MID(G429,FIND("/",G429)+1,FIND("/",G429,FIND("/",G429)+1)-FIND("/",G429)-1)),VALUE(LEFT(G429,FIND("/",G429)-1)))+IFERROR(TIMEVALUE(TRIM(MID(G429,FIND(" ",G429)+1,20))),0),0)))</f>
        <v/>
      </c>
      <c r="J429" s="255">
        <f>IF(H429="",0,IF(ISNUMBER(H429),H429,IFERROR(DATE(VALUE(MID(H429,FIND("/",H429,FIND("/",H429)+1)+1,4)),VALUE(MID(H429,FIND("/",H429)+1,FIND("/",H429,FIND("/",H429)+1)-FIND("/",H429)-1)),VALUE(LEFT(H429,FIND("/",H429)-1)))+IFERROR(TIMEVALUE(TRIM(MID(H429,FIND(" ",H429)+1,20))),0),0)))</f>
        <v/>
      </c>
      <c r="K429" s="256">
        <f>IF(I429=0,0,INT(I429))</f>
        <v/>
      </c>
      <c r="L429" s="257">
        <f>IF(OR(I429=0,J429=0),0,ROUND((J429-I429)*24,2))</f>
        <v/>
      </c>
      <c r="M429" s="254">
        <f>IFERROR(TRIM(MID(A429,FIND("@",SUBSTITUTE(A429,"(","@",LEN(A429)-LEN(SUBSTITUTE(A429,"(",""))))+1,FIND(")",A429,FIND("@",SUBSTITUTE(A429,"(","@",LEN(A429)-LEN(SUBSTITUTE(A429,"(","")))))-FIND("@",SUBSTITUTE(A429,"(","@",LEN(A429)-LEN(SUBSTITUTE(A429,"(",""))))-1)),"")</f>
        <v/>
      </c>
      <c r="N429" s="254">
        <f>IF(A429="","",IF(LEFT(TRIM(A429),5)="Leave","Leave",IF(OR(ISNUMBER(SEARCH("public holiday",A429)),ISNUMBER(SEARCH("Purple",E429))),"Public holiday","Event")))</f>
        <v/>
      </c>
    </row>
    <row r="430">
      <c r="G430" s="254">
        <f>IF(C430="","",IF(ISNUMBER(C430),C430,IF(ISNUMBER(VALUE(LEFT(TRIM(C430),1))),TRIM(C430),TRIM(MID(TRIM(C430),FIND(" ",TRIM(C430))+1,99)))))</f>
        <v/>
      </c>
      <c r="H430" s="254">
        <f>IF(D430="","",IF(ISNUMBER(D430),D430,IF(ISNUMBER(VALUE(LEFT(TRIM(D430),1))),TRIM(D430),TRIM(MID(TRIM(D430),FIND(" ",TRIM(D430))+1,99)))))</f>
        <v/>
      </c>
      <c r="I430" s="255">
        <f>IF(G430="",0,IF(ISNUMBER(G430),G430,IFERROR(DATE(VALUE(MID(G430,FIND("/",G430,FIND("/",G430)+1)+1,4)),VALUE(MID(G430,FIND("/",G430)+1,FIND("/",G430,FIND("/",G430)+1)-FIND("/",G430)-1)),VALUE(LEFT(G430,FIND("/",G430)-1)))+IFERROR(TIMEVALUE(TRIM(MID(G430,FIND(" ",G430)+1,20))),0),0)))</f>
        <v/>
      </c>
      <c r="J430" s="255">
        <f>IF(H430="",0,IF(ISNUMBER(H430),H430,IFERROR(DATE(VALUE(MID(H430,FIND("/",H430,FIND("/",H430)+1)+1,4)),VALUE(MID(H430,FIND("/",H430)+1,FIND("/",H430,FIND("/",H430)+1)-FIND("/",H430)-1)),VALUE(LEFT(H430,FIND("/",H430)-1)))+IFERROR(TIMEVALUE(TRIM(MID(H430,FIND(" ",H430)+1,20))),0),0)))</f>
        <v/>
      </c>
      <c r="K430" s="256">
        <f>IF(I430=0,0,INT(I430))</f>
        <v/>
      </c>
      <c r="L430" s="257">
        <f>IF(OR(I430=0,J430=0),0,ROUND((J430-I430)*24,2))</f>
        <v/>
      </c>
      <c r="M430" s="254">
        <f>IFERROR(TRIM(MID(A430,FIND("@",SUBSTITUTE(A430,"(","@",LEN(A430)-LEN(SUBSTITUTE(A430,"(",""))))+1,FIND(")",A430,FIND("@",SUBSTITUTE(A430,"(","@",LEN(A430)-LEN(SUBSTITUTE(A430,"(","")))))-FIND("@",SUBSTITUTE(A430,"(","@",LEN(A430)-LEN(SUBSTITUTE(A430,"(",""))))-1)),"")</f>
        <v/>
      </c>
      <c r="N430" s="254">
        <f>IF(A430="","",IF(LEFT(TRIM(A430),5)="Leave","Leave",IF(OR(ISNUMBER(SEARCH("public holiday",A430)),ISNUMBER(SEARCH("Purple",E430))),"Public holiday","Event")))</f>
        <v/>
      </c>
    </row>
    <row r="431">
      <c r="G431" s="254">
        <f>IF(C431="","",IF(ISNUMBER(C431),C431,IF(ISNUMBER(VALUE(LEFT(TRIM(C431),1))),TRIM(C431),TRIM(MID(TRIM(C431),FIND(" ",TRIM(C431))+1,99)))))</f>
        <v/>
      </c>
      <c r="H431" s="254">
        <f>IF(D431="","",IF(ISNUMBER(D431),D431,IF(ISNUMBER(VALUE(LEFT(TRIM(D431),1))),TRIM(D431),TRIM(MID(TRIM(D431),FIND(" ",TRIM(D431))+1,99)))))</f>
        <v/>
      </c>
      <c r="I431" s="255">
        <f>IF(G431="",0,IF(ISNUMBER(G431),G431,IFERROR(DATE(VALUE(MID(G431,FIND("/",G431,FIND("/",G431)+1)+1,4)),VALUE(MID(G431,FIND("/",G431)+1,FIND("/",G431,FIND("/",G431)+1)-FIND("/",G431)-1)),VALUE(LEFT(G431,FIND("/",G431)-1)))+IFERROR(TIMEVALUE(TRIM(MID(G431,FIND(" ",G431)+1,20))),0),0)))</f>
        <v/>
      </c>
      <c r="J431" s="255">
        <f>IF(H431="",0,IF(ISNUMBER(H431),H431,IFERROR(DATE(VALUE(MID(H431,FIND("/",H431,FIND("/",H431)+1)+1,4)),VALUE(MID(H431,FIND("/",H431)+1,FIND("/",H431,FIND("/",H431)+1)-FIND("/",H431)-1)),VALUE(LEFT(H431,FIND("/",H431)-1)))+IFERROR(TIMEVALUE(TRIM(MID(H431,FIND(" ",H431)+1,20))),0),0)))</f>
        <v/>
      </c>
      <c r="K431" s="256">
        <f>IF(I431=0,0,INT(I431))</f>
        <v/>
      </c>
      <c r="L431" s="257">
        <f>IF(OR(I431=0,J431=0),0,ROUND((J431-I431)*24,2))</f>
        <v/>
      </c>
      <c r="M431" s="254">
        <f>IFERROR(TRIM(MID(A431,FIND("@",SUBSTITUTE(A431,"(","@",LEN(A431)-LEN(SUBSTITUTE(A431,"(",""))))+1,FIND(")",A431,FIND("@",SUBSTITUTE(A431,"(","@",LEN(A431)-LEN(SUBSTITUTE(A431,"(","")))))-FIND("@",SUBSTITUTE(A431,"(","@",LEN(A431)-LEN(SUBSTITUTE(A431,"(",""))))-1)),"")</f>
        <v/>
      </c>
      <c r="N431" s="254">
        <f>IF(A431="","",IF(LEFT(TRIM(A431),5)="Leave","Leave",IF(OR(ISNUMBER(SEARCH("public holiday",A431)),ISNUMBER(SEARCH("Purple",E431))),"Public holiday","Event")))</f>
        <v/>
      </c>
    </row>
    <row r="432">
      <c r="G432" s="254">
        <f>IF(C432="","",IF(ISNUMBER(C432),C432,IF(ISNUMBER(VALUE(LEFT(TRIM(C432),1))),TRIM(C432),TRIM(MID(TRIM(C432),FIND(" ",TRIM(C432))+1,99)))))</f>
        <v/>
      </c>
      <c r="H432" s="254">
        <f>IF(D432="","",IF(ISNUMBER(D432),D432,IF(ISNUMBER(VALUE(LEFT(TRIM(D432),1))),TRIM(D432),TRIM(MID(TRIM(D432),FIND(" ",TRIM(D432))+1,99)))))</f>
        <v/>
      </c>
      <c r="I432" s="255">
        <f>IF(G432="",0,IF(ISNUMBER(G432),G432,IFERROR(DATE(VALUE(MID(G432,FIND("/",G432,FIND("/",G432)+1)+1,4)),VALUE(MID(G432,FIND("/",G432)+1,FIND("/",G432,FIND("/",G432)+1)-FIND("/",G432)-1)),VALUE(LEFT(G432,FIND("/",G432)-1)))+IFERROR(TIMEVALUE(TRIM(MID(G432,FIND(" ",G432)+1,20))),0),0)))</f>
        <v/>
      </c>
      <c r="J432" s="255">
        <f>IF(H432="",0,IF(ISNUMBER(H432),H432,IFERROR(DATE(VALUE(MID(H432,FIND("/",H432,FIND("/",H432)+1)+1,4)),VALUE(MID(H432,FIND("/",H432)+1,FIND("/",H432,FIND("/",H432)+1)-FIND("/",H432)-1)),VALUE(LEFT(H432,FIND("/",H432)-1)))+IFERROR(TIMEVALUE(TRIM(MID(H432,FIND(" ",H432)+1,20))),0),0)))</f>
        <v/>
      </c>
      <c r="K432" s="256">
        <f>IF(I432=0,0,INT(I432))</f>
        <v/>
      </c>
      <c r="L432" s="257">
        <f>IF(OR(I432=0,J432=0),0,ROUND((J432-I432)*24,2))</f>
        <v/>
      </c>
      <c r="M432" s="254">
        <f>IFERROR(TRIM(MID(A432,FIND("@",SUBSTITUTE(A432,"(","@",LEN(A432)-LEN(SUBSTITUTE(A432,"(",""))))+1,FIND(")",A432,FIND("@",SUBSTITUTE(A432,"(","@",LEN(A432)-LEN(SUBSTITUTE(A432,"(","")))))-FIND("@",SUBSTITUTE(A432,"(","@",LEN(A432)-LEN(SUBSTITUTE(A432,"(",""))))-1)),"")</f>
        <v/>
      </c>
      <c r="N432" s="254">
        <f>IF(A432="","",IF(LEFT(TRIM(A432),5)="Leave","Leave",IF(OR(ISNUMBER(SEARCH("public holiday",A432)),ISNUMBER(SEARCH("Purple",E432))),"Public holiday","Event")))</f>
        <v/>
      </c>
    </row>
    <row r="433">
      <c r="G433" s="254">
        <f>IF(C433="","",IF(ISNUMBER(C433),C433,IF(ISNUMBER(VALUE(LEFT(TRIM(C433),1))),TRIM(C433),TRIM(MID(TRIM(C433),FIND(" ",TRIM(C433))+1,99)))))</f>
        <v/>
      </c>
      <c r="H433" s="254">
        <f>IF(D433="","",IF(ISNUMBER(D433),D433,IF(ISNUMBER(VALUE(LEFT(TRIM(D433),1))),TRIM(D433),TRIM(MID(TRIM(D433),FIND(" ",TRIM(D433))+1,99)))))</f>
        <v/>
      </c>
      <c r="I433" s="255">
        <f>IF(G433="",0,IF(ISNUMBER(G433),G433,IFERROR(DATE(VALUE(MID(G433,FIND("/",G433,FIND("/",G433)+1)+1,4)),VALUE(MID(G433,FIND("/",G433)+1,FIND("/",G433,FIND("/",G433)+1)-FIND("/",G433)-1)),VALUE(LEFT(G433,FIND("/",G433)-1)))+IFERROR(TIMEVALUE(TRIM(MID(G433,FIND(" ",G433)+1,20))),0),0)))</f>
        <v/>
      </c>
      <c r="J433" s="255">
        <f>IF(H433="",0,IF(ISNUMBER(H433),H433,IFERROR(DATE(VALUE(MID(H433,FIND("/",H433,FIND("/",H433)+1)+1,4)),VALUE(MID(H433,FIND("/",H433)+1,FIND("/",H433,FIND("/",H433)+1)-FIND("/",H433)-1)),VALUE(LEFT(H433,FIND("/",H433)-1)))+IFERROR(TIMEVALUE(TRIM(MID(H433,FIND(" ",H433)+1,20))),0),0)))</f>
        <v/>
      </c>
      <c r="K433" s="256">
        <f>IF(I433=0,0,INT(I433))</f>
        <v/>
      </c>
      <c r="L433" s="257">
        <f>IF(OR(I433=0,J433=0),0,ROUND((J433-I433)*24,2))</f>
        <v/>
      </c>
      <c r="M433" s="254">
        <f>IFERROR(TRIM(MID(A433,FIND("@",SUBSTITUTE(A433,"(","@",LEN(A433)-LEN(SUBSTITUTE(A433,"(",""))))+1,FIND(")",A433,FIND("@",SUBSTITUTE(A433,"(","@",LEN(A433)-LEN(SUBSTITUTE(A433,"(","")))))-FIND("@",SUBSTITUTE(A433,"(","@",LEN(A433)-LEN(SUBSTITUTE(A433,"(",""))))-1)),"")</f>
        <v/>
      </c>
      <c r="N433" s="254">
        <f>IF(A433="","",IF(LEFT(TRIM(A433),5)="Leave","Leave",IF(OR(ISNUMBER(SEARCH("public holiday",A433)),ISNUMBER(SEARCH("Purple",E433))),"Public holiday","Event")))</f>
        <v/>
      </c>
    </row>
    <row r="434">
      <c r="G434" s="254">
        <f>IF(C434="","",IF(ISNUMBER(C434),C434,IF(ISNUMBER(VALUE(LEFT(TRIM(C434),1))),TRIM(C434),TRIM(MID(TRIM(C434),FIND(" ",TRIM(C434))+1,99)))))</f>
        <v/>
      </c>
      <c r="H434" s="254">
        <f>IF(D434="","",IF(ISNUMBER(D434),D434,IF(ISNUMBER(VALUE(LEFT(TRIM(D434),1))),TRIM(D434),TRIM(MID(TRIM(D434),FIND(" ",TRIM(D434))+1,99)))))</f>
        <v/>
      </c>
      <c r="I434" s="255">
        <f>IF(G434="",0,IF(ISNUMBER(G434),G434,IFERROR(DATE(VALUE(MID(G434,FIND("/",G434,FIND("/",G434)+1)+1,4)),VALUE(MID(G434,FIND("/",G434)+1,FIND("/",G434,FIND("/",G434)+1)-FIND("/",G434)-1)),VALUE(LEFT(G434,FIND("/",G434)-1)))+IFERROR(TIMEVALUE(TRIM(MID(G434,FIND(" ",G434)+1,20))),0),0)))</f>
        <v/>
      </c>
      <c r="J434" s="255">
        <f>IF(H434="",0,IF(ISNUMBER(H434),H434,IFERROR(DATE(VALUE(MID(H434,FIND("/",H434,FIND("/",H434)+1)+1,4)),VALUE(MID(H434,FIND("/",H434)+1,FIND("/",H434,FIND("/",H434)+1)-FIND("/",H434)-1)),VALUE(LEFT(H434,FIND("/",H434)-1)))+IFERROR(TIMEVALUE(TRIM(MID(H434,FIND(" ",H434)+1,20))),0),0)))</f>
        <v/>
      </c>
      <c r="K434" s="256">
        <f>IF(I434=0,0,INT(I434))</f>
        <v/>
      </c>
      <c r="L434" s="257">
        <f>IF(OR(I434=0,J434=0),0,ROUND((J434-I434)*24,2))</f>
        <v/>
      </c>
      <c r="M434" s="254">
        <f>IFERROR(TRIM(MID(A434,FIND("@",SUBSTITUTE(A434,"(","@",LEN(A434)-LEN(SUBSTITUTE(A434,"(",""))))+1,FIND(")",A434,FIND("@",SUBSTITUTE(A434,"(","@",LEN(A434)-LEN(SUBSTITUTE(A434,"(","")))))-FIND("@",SUBSTITUTE(A434,"(","@",LEN(A434)-LEN(SUBSTITUTE(A434,"(",""))))-1)),"")</f>
        <v/>
      </c>
      <c r="N434" s="254">
        <f>IF(A434="","",IF(LEFT(TRIM(A434),5)="Leave","Leave",IF(OR(ISNUMBER(SEARCH("public holiday",A434)),ISNUMBER(SEARCH("Purple",E434))),"Public holiday","Event")))</f>
        <v/>
      </c>
    </row>
    <row r="435">
      <c r="G435" s="254">
        <f>IF(C435="","",IF(ISNUMBER(C435),C435,IF(ISNUMBER(VALUE(LEFT(TRIM(C435),1))),TRIM(C435),TRIM(MID(TRIM(C435),FIND(" ",TRIM(C435))+1,99)))))</f>
        <v/>
      </c>
      <c r="H435" s="254">
        <f>IF(D435="","",IF(ISNUMBER(D435),D435,IF(ISNUMBER(VALUE(LEFT(TRIM(D435),1))),TRIM(D435),TRIM(MID(TRIM(D435),FIND(" ",TRIM(D435))+1,99)))))</f>
        <v/>
      </c>
      <c r="I435" s="255">
        <f>IF(G435="",0,IF(ISNUMBER(G435),G435,IFERROR(DATE(VALUE(MID(G435,FIND("/",G435,FIND("/",G435)+1)+1,4)),VALUE(MID(G435,FIND("/",G435)+1,FIND("/",G435,FIND("/",G435)+1)-FIND("/",G435)-1)),VALUE(LEFT(G435,FIND("/",G435)-1)))+IFERROR(TIMEVALUE(TRIM(MID(G435,FIND(" ",G435)+1,20))),0),0)))</f>
        <v/>
      </c>
      <c r="J435" s="255">
        <f>IF(H435="",0,IF(ISNUMBER(H435),H435,IFERROR(DATE(VALUE(MID(H435,FIND("/",H435,FIND("/",H435)+1)+1,4)),VALUE(MID(H435,FIND("/",H435)+1,FIND("/",H435,FIND("/",H435)+1)-FIND("/",H435)-1)),VALUE(LEFT(H435,FIND("/",H435)-1)))+IFERROR(TIMEVALUE(TRIM(MID(H435,FIND(" ",H435)+1,20))),0),0)))</f>
        <v/>
      </c>
      <c r="K435" s="256">
        <f>IF(I435=0,0,INT(I435))</f>
        <v/>
      </c>
      <c r="L435" s="257">
        <f>IF(OR(I435=0,J435=0),0,ROUND((J435-I435)*24,2))</f>
        <v/>
      </c>
      <c r="M435" s="254">
        <f>IFERROR(TRIM(MID(A435,FIND("@",SUBSTITUTE(A435,"(","@",LEN(A435)-LEN(SUBSTITUTE(A435,"(",""))))+1,FIND(")",A435,FIND("@",SUBSTITUTE(A435,"(","@",LEN(A435)-LEN(SUBSTITUTE(A435,"(","")))))-FIND("@",SUBSTITUTE(A435,"(","@",LEN(A435)-LEN(SUBSTITUTE(A435,"(",""))))-1)),"")</f>
        <v/>
      </c>
      <c r="N435" s="254">
        <f>IF(A435="","",IF(LEFT(TRIM(A435),5)="Leave","Leave",IF(OR(ISNUMBER(SEARCH("public holiday",A435)),ISNUMBER(SEARCH("Purple",E435))),"Public holiday","Event")))</f>
        <v/>
      </c>
    </row>
    <row r="436">
      <c r="G436" s="254">
        <f>IF(C436="","",IF(ISNUMBER(C436),C436,IF(ISNUMBER(VALUE(LEFT(TRIM(C436),1))),TRIM(C436),TRIM(MID(TRIM(C436),FIND(" ",TRIM(C436))+1,99)))))</f>
        <v/>
      </c>
      <c r="H436" s="254">
        <f>IF(D436="","",IF(ISNUMBER(D436),D436,IF(ISNUMBER(VALUE(LEFT(TRIM(D436),1))),TRIM(D436),TRIM(MID(TRIM(D436),FIND(" ",TRIM(D436))+1,99)))))</f>
        <v/>
      </c>
      <c r="I436" s="255">
        <f>IF(G436="",0,IF(ISNUMBER(G436),G436,IFERROR(DATE(VALUE(MID(G436,FIND("/",G436,FIND("/",G436)+1)+1,4)),VALUE(MID(G436,FIND("/",G436)+1,FIND("/",G436,FIND("/",G436)+1)-FIND("/",G436)-1)),VALUE(LEFT(G436,FIND("/",G436)-1)))+IFERROR(TIMEVALUE(TRIM(MID(G436,FIND(" ",G436)+1,20))),0),0)))</f>
        <v/>
      </c>
      <c r="J436" s="255">
        <f>IF(H436="",0,IF(ISNUMBER(H436),H436,IFERROR(DATE(VALUE(MID(H436,FIND("/",H436,FIND("/",H436)+1)+1,4)),VALUE(MID(H436,FIND("/",H436)+1,FIND("/",H436,FIND("/",H436)+1)-FIND("/",H436)-1)),VALUE(LEFT(H436,FIND("/",H436)-1)))+IFERROR(TIMEVALUE(TRIM(MID(H436,FIND(" ",H436)+1,20))),0),0)))</f>
        <v/>
      </c>
      <c r="K436" s="256">
        <f>IF(I436=0,0,INT(I436))</f>
        <v/>
      </c>
      <c r="L436" s="257">
        <f>IF(OR(I436=0,J436=0),0,ROUND((J436-I436)*24,2))</f>
        <v/>
      </c>
      <c r="M436" s="254">
        <f>IFERROR(TRIM(MID(A436,FIND("@",SUBSTITUTE(A436,"(","@",LEN(A436)-LEN(SUBSTITUTE(A436,"(",""))))+1,FIND(")",A436,FIND("@",SUBSTITUTE(A436,"(","@",LEN(A436)-LEN(SUBSTITUTE(A436,"(","")))))-FIND("@",SUBSTITUTE(A436,"(","@",LEN(A436)-LEN(SUBSTITUTE(A436,"(",""))))-1)),"")</f>
        <v/>
      </c>
      <c r="N436" s="254">
        <f>IF(A436="","",IF(LEFT(TRIM(A436),5)="Leave","Leave",IF(OR(ISNUMBER(SEARCH("public holiday",A436)),ISNUMBER(SEARCH("Purple",E436))),"Public holiday","Event")))</f>
        <v/>
      </c>
    </row>
    <row r="437">
      <c r="G437" s="254">
        <f>IF(C437="","",IF(ISNUMBER(C437),C437,IF(ISNUMBER(VALUE(LEFT(TRIM(C437),1))),TRIM(C437),TRIM(MID(TRIM(C437),FIND(" ",TRIM(C437))+1,99)))))</f>
        <v/>
      </c>
      <c r="H437" s="254">
        <f>IF(D437="","",IF(ISNUMBER(D437),D437,IF(ISNUMBER(VALUE(LEFT(TRIM(D437),1))),TRIM(D437),TRIM(MID(TRIM(D437),FIND(" ",TRIM(D437))+1,99)))))</f>
        <v/>
      </c>
      <c r="I437" s="255">
        <f>IF(G437="",0,IF(ISNUMBER(G437),G437,IFERROR(DATE(VALUE(MID(G437,FIND("/",G437,FIND("/",G437)+1)+1,4)),VALUE(MID(G437,FIND("/",G437)+1,FIND("/",G437,FIND("/",G437)+1)-FIND("/",G437)-1)),VALUE(LEFT(G437,FIND("/",G437)-1)))+IFERROR(TIMEVALUE(TRIM(MID(G437,FIND(" ",G437)+1,20))),0),0)))</f>
        <v/>
      </c>
      <c r="J437" s="255">
        <f>IF(H437="",0,IF(ISNUMBER(H437),H437,IFERROR(DATE(VALUE(MID(H437,FIND("/",H437,FIND("/",H437)+1)+1,4)),VALUE(MID(H437,FIND("/",H437)+1,FIND("/",H437,FIND("/",H437)+1)-FIND("/",H437)-1)),VALUE(LEFT(H437,FIND("/",H437)-1)))+IFERROR(TIMEVALUE(TRIM(MID(H437,FIND(" ",H437)+1,20))),0),0)))</f>
        <v/>
      </c>
      <c r="K437" s="256">
        <f>IF(I437=0,0,INT(I437))</f>
        <v/>
      </c>
      <c r="L437" s="257">
        <f>IF(OR(I437=0,J437=0),0,ROUND((J437-I437)*24,2))</f>
        <v/>
      </c>
      <c r="M437" s="254">
        <f>IFERROR(TRIM(MID(A437,FIND("@",SUBSTITUTE(A437,"(","@",LEN(A437)-LEN(SUBSTITUTE(A437,"(",""))))+1,FIND(")",A437,FIND("@",SUBSTITUTE(A437,"(","@",LEN(A437)-LEN(SUBSTITUTE(A437,"(","")))))-FIND("@",SUBSTITUTE(A437,"(","@",LEN(A437)-LEN(SUBSTITUTE(A437,"(",""))))-1)),"")</f>
        <v/>
      </c>
      <c r="N437" s="254">
        <f>IF(A437="","",IF(LEFT(TRIM(A437),5)="Leave","Leave",IF(OR(ISNUMBER(SEARCH("public holiday",A437)),ISNUMBER(SEARCH("Purple",E437))),"Public holiday","Event")))</f>
        <v/>
      </c>
    </row>
    <row r="438">
      <c r="G438" s="254">
        <f>IF(C438="","",IF(ISNUMBER(C438),C438,IF(ISNUMBER(VALUE(LEFT(TRIM(C438),1))),TRIM(C438),TRIM(MID(TRIM(C438),FIND(" ",TRIM(C438))+1,99)))))</f>
        <v/>
      </c>
      <c r="H438" s="254">
        <f>IF(D438="","",IF(ISNUMBER(D438),D438,IF(ISNUMBER(VALUE(LEFT(TRIM(D438),1))),TRIM(D438),TRIM(MID(TRIM(D438),FIND(" ",TRIM(D438))+1,99)))))</f>
        <v/>
      </c>
      <c r="I438" s="255">
        <f>IF(G438="",0,IF(ISNUMBER(G438),G438,IFERROR(DATE(VALUE(MID(G438,FIND("/",G438,FIND("/",G438)+1)+1,4)),VALUE(MID(G438,FIND("/",G438)+1,FIND("/",G438,FIND("/",G438)+1)-FIND("/",G438)-1)),VALUE(LEFT(G438,FIND("/",G438)-1)))+IFERROR(TIMEVALUE(TRIM(MID(G438,FIND(" ",G438)+1,20))),0),0)))</f>
        <v/>
      </c>
      <c r="J438" s="255">
        <f>IF(H438="",0,IF(ISNUMBER(H438),H438,IFERROR(DATE(VALUE(MID(H438,FIND("/",H438,FIND("/",H438)+1)+1,4)),VALUE(MID(H438,FIND("/",H438)+1,FIND("/",H438,FIND("/",H438)+1)-FIND("/",H438)-1)),VALUE(LEFT(H438,FIND("/",H438)-1)))+IFERROR(TIMEVALUE(TRIM(MID(H438,FIND(" ",H438)+1,20))),0),0)))</f>
        <v/>
      </c>
      <c r="K438" s="256">
        <f>IF(I438=0,0,INT(I438))</f>
        <v/>
      </c>
      <c r="L438" s="257">
        <f>IF(OR(I438=0,J438=0),0,ROUND((J438-I438)*24,2))</f>
        <v/>
      </c>
      <c r="M438" s="254">
        <f>IFERROR(TRIM(MID(A438,FIND("@",SUBSTITUTE(A438,"(","@",LEN(A438)-LEN(SUBSTITUTE(A438,"(",""))))+1,FIND(")",A438,FIND("@",SUBSTITUTE(A438,"(","@",LEN(A438)-LEN(SUBSTITUTE(A438,"(","")))))-FIND("@",SUBSTITUTE(A438,"(","@",LEN(A438)-LEN(SUBSTITUTE(A438,"(",""))))-1)),"")</f>
        <v/>
      </c>
      <c r="N438" s="254">
        <f>IF(A438="","",IF(LEFT(TRIM(A438),5)="Leave","Leave",IF(OR(ISNUMBER(SEARCH("public holiday",A438)),ISNUMBER(SEARCH("Purple",E438))),"Public holiday","Event")))</f>
        <v/>
      </c>
    </row>
    <row r="439">
      <c r="G439" s="254">
        <f>IF(C439="","",IF(ISNUMBER(C439),C439,IF(ISNUMBER(VALUE(LEFT(TRIM(C439),1))),TRIM(C439),TRIM(MID(TRIM(C439),FIND(" ",TRIM(C439))+1,99)))))</f>
        <v/>
      </c>
      <c r="H439" s="254">
        <f>IF(D439="","",IF(ISNUMBER(D439),D439,IF(ISNUMBER(VALUE(LEFT(TRIM(D439),1))),TRIM(D439),TRIM(MID(TRIM(D439),FIND(" ",TRIM(D439))+1,99)))))</f>
        <v/>
      </c>
      <c r="I439" s="255">
        <f>IF(G439="",0,IF(ISNUMBER(G439),G439,IFERROR(DATE(VALUE(MID(G439,FIND("/",G439,FIND("/",G439)+1)+1,4)),VALUE(MID(G439,FIND("/",G439)+1,FIND("/",G439,FIND("/",G439)+1)-FIND("/",G439)-1)),VALUE(LEFT(G439,FIND("/",G439)-1)))+IFERROR(TIMEVALUE(TRIM(MID(G439,FIND(" ",G439)+1,20))),0),0)))</f>
        <v/>
      </c>
      <c r="J439" s="255">
        <f>IF(H439="",0,IF(ISNUMBER(H439),H439,IFERROR(DATE(VALUE(MID(H439,FIND("/",H439,FIND("/",H439)+1)+1,4)),VALUE(MID(H439,FIND("/",H439)+1,FIND("/",H439,FIND("/",H439)+1)-FIND("/",H439)-1)),VALUE(LEFT(H439,FIND("/",H439)-1)))+IFERROR(TIMEVALUE(TRIM(MID(H439,FIND(" ",H439)+1,20))),0),0)))</f>
        <v/>
      </c>
      <c r="K439" s="256">
        <f>IF(I439=0,0,INT(I439))</f>
        <v/>
      </c>
      <c r="L439" s="257">
        <f>IF(OR(I439=0,J439=0),0,ROUND((J439-I439)*24,2))</f>
        <v/>
      </c>
      <c r="M439" s="254">
        <f>IFERROR(TRIM(MID(A439,FIND("@",SUBSTITUTE(A439,"(","@",LEN(A439)-LEN(SUBSTITUTE(A439,"(",""))))+1,FIND(")",A439,FIND("@",SUBSTITUTE(A439,"(","@",LEN(A439)-LEN(SUBSTITUTE(A439,"(","")))))-FIND("@",SUBSTITUTE(A439,"(","@",LEN(A439)-LEN(SUBSTITUTE(A439,"(",""))))-1)),"")</f>
        <v/>
      </c>
      <c r="N439" s="254">
        <f>IF(A439="","",IF(LEFT(TRIM(A439),5)="Leave","Leave",IF(OR(ISNUMBER(SEARCH("public holiday",A439)),ISNUMBER(SEARCH("Purple",E439))),"Public holiday","Event")))</f>
        <v/>
      </c>
    </row>
    <row r="440">
      <c r="G440" s="254">
        <f>IF(C440="","",IF(ISNUMBER(C440),C440,IF(ISNUMBER(VALUE(LEFT(TRIM(C440),1))),TRIM(C440),TRIM(MID(TRIM(C440),FIND(" ",TRIM(C440))+1,99)))))</f>
        <v/>
      </c>
      <c r="H440" s="254">
        <f>IF(D440="","",IF(ISNUMBER(D440),D440,IF(ISNUMBER(VALUE(LEFT(TRIM(D440),1))),TRIM(D440),TRIM(MID(TRIM(D440),FIND(" ",TRIM(D440))+1,99)))))</f>
        <v/>
      </c>
      <c r="I440" s="255">
        <f>IF(G440="",0,IF(ISNUMBER(G440),G440,IFERROR(DATE(VALUE(MID(G440,FIND("/",G440,FIND("/",G440)+1)+1,4)),VALUE(MID(G440,FIND("/",G440)+1,FIND("/",G440,FIND("/",G440)+1)-FIND("/",G440)-1)),VALUE(LEFT(G440,FIND("/",G440)-1)))+IFERROR(TIMEVALUE(TRIM(MID(G440,FIND(" ",G440)+1,20))),0),0)))</f>
        <v/>
      </c>
      <c r="J440" s="255">
        <f>IF(H440="",0,IF(ISNUMBER(H440),H440,IFERROR(DATE(VALUE(MID(H440,FIND("/",H440,FIND("/",H440)+1)+1,4)),VALUE(MID(H440,FIND("/",H440)+1,FIND("/",H440,FIND("/",H440)+1)-FIND("/",H440)-1)),VALUE(LEFT(H440,FIND("/",H440)-1)))+IFERROR(TIMEVALUE(TRIM(MID(H440,FIND(" ",H440)+1,20))),0),0)))</f>
        <v/>
      </c>
      <c r="K440" s="256">
        <f>IF(I440=0,0,INT(I440))</f>
        <v/>
      </c>
      <c r="L440" s="257">
        <f>IF(OR(I440=0,J440=0),0,ROUND((J440-I440)*24,2))</f>
        <v/>
      </c>
      <c r="M440" s="254">
        <f>IFERROR(TRIM(MID(A440,FIND("@",SUBSTITUTE(A440,"(","@",LEN(A440)-LEN(SUBSTITUTE(A440,"(",""))))+1,FIND(")",A440,FIND("@",SUBSTITUTE(A440,"(","@",LEN(A440)-LEN(SUBSTITUTE(A440,"(","")))))-FIND("@",SUBSTITUTE(A440,"(","@",LEN(A440)-LEN(SUBSTITUTE(A440,"(",""))))-1)),"")</f>
        <v/>
      </c>
      <c r="N440" s="254">
        <f>IF(A440="","",IF(LEFT(TRIM(A440),5)="Leave","Leave",IF(OR(ISNUMBER(SEARCH("public holiday",A440)),ISNUMBER(SEARCH("Purple",E440))),"Public holiday","Event")))</f>
        <v/>
      </c>
    </row>
    <row r="441">
      <c r="G441" s="254">
        <f>IF(C441="","",IF(ISNUMBER(C441),C441,IF(ISNUMBER(VALUE(LEFT(TRIM(C441),1))),TRIM(C441),TRIM(MID(TRIM(C441),FIND(" ",TRIM(C441))+1,99)))))</f>
        <v/>
      </c>
      <c r="H441" s="254">
        <f>IF(D441="","",IF(ISNUMBER(D441),D441,IF(ISNUMBER(VALUE(LEFT(TRIM(D441),1))),TRIM(D441),TRIM(MID(TRIM(D441),FIND(" ",TRIM(D441))+1,99)))))</f>
        <v/>
      </c>
      <c r="I441" s="255">
        <f>IF(G441="",0,IF(ISNUMBER(G441),G441,IFERROR(DATE(VALUE(MID(G441,FIND("/",G441,FIND("/",G441)+1)+1,4)),VALUE(MID(G441,FIND("/",G441)+1,FIND("/",G441,FIND("/",G441)+1)-FIND("/",G441)-1)),VALUE(LEFT(G441,FIND("/",G441)-1)))+IFERROR(TIMEVALUE(TRIM(MID(G441,FIND(" ",G441)+1,20))),0),0)))</f>
        <v/>
      </c>
      <c r="J441" s="255">
        <f>IF(H441="",0,IF(ISNUMBER(H441),H441,IFERROR(DATE(VALUE(MID(H441,FIND("/",H441,FIND("/",H441)+1)+1,4)),VALUE(MID(H441,FIND("/",H441)+1,FIND("/",H441,FIND("/",H441)+1)-FIND("/",H441)-1)),VALUE(LEFT(H441,FIND("/",H441)-1)))+IFERROR(TIMEVALUE(TRIM(MID(H441,FIND(" ",H441)+1,20))),0),0)))</f>
        <v/>
      </c>
      <c r="K441" s="256">
        <f>IF(I441=0,0,INT(I441))</f>
        <v/>
      </c>
      <c r="L441" s="257">
        <f>IF(OR(I441=0,J441=0),0,ROUND((J441-I441)*24,2))</f>
        <v/>
      </c>
      <c r="M441" s="254">
        <f>IFERROR(TRIM(MID(A441,FIND("@",SUBSTITUTE(A441,"(","@",LEN(A441)-LEN(SUBSTITUTE(A441,"(",""))))+1,FIND(")",A441,FIND("@",SUBSTITUTE(A441,"(","@",LEN(A441)-LEN(SUBSTITUTE(A441,"(","")))))-FIND("@",SUBSTITUTE(A441,"(","@",LEN(A441)-LEN(SUBSTITUTE(A441,"(",""))))-1)),"")</f>
        <v/>
      </c>
      <c r="N441" s="254">
        <f>IF(A441="","",IF(LEFT(TRIM(A441),5)="Leave","Leave",IF(OR(ISNUMBER(SEARCH("public holiday",A441)),ISNUMBER(SEARCH("Purple",E441))),"Public holiday","Event")))</f>
        <v/>
      </c>
    </row>
    <row r="442">
      <c r="G442" s="254">
        <f>IF(C442="","",IF(ISNUMBER(C442),C442,IF(ISNUMBER(VALUE(LEFT(TRIM(C442),1))),TRIM(C442),TRIM(MID(TRIM(C442),FIND(" ",TRIM(C442))+1,99)))))</f>
        <v/>
      </c>
      <c r="H442" s="254">
        <f>IF(D442="","",IF(ISNUMBER(D442),D442,IF(ISNUMBER(VALUE(LEFT(TRIM(D442),1))),TRIM(D442),TRIM(MID(TRIM(D442),FIND(" ",TRIM(D442))+1,99)))))</f>
        <v/>
      </c>
      <c r="I442" s="255">
        <f>IF(G442="",0,IF(ISNUMBER(G442),G442,IFERROR(DATE(VALUE(MID(G442,FIND("/",G442,FIND("/",G442)+1)+1,4)),VALUE(MID(G442,FIND("/",G442)+1,FIND("/",G442,FIND("/",G442)+1)-FIND("/",G442)-1)),VALUE(LEFT(G442,FIND("/",G442)-1)))+IFERROR(TIMEVALUE(TRIM(MID(G442,FIND(" ",G442)+1,20))),0),0)))</f>
        <v/>
      </c>
      <c r="J442" s="255">
        <f>IF(H442="",0,IF(ISNUMBER(H442),H442,IFERROR(DATE(VALUE(MID(H442,FIND("/",H442,FIND("/",H442)+1)+1,4)),VALUE(MID(H442,FIND("/",H442)+1,FIND("/",H442,FIND("/",H442)+1)-FIND("/",H442)-1)),VALUE(LEFT(H442,FIND("/",H442)-1)))+IFERROR(TIMEVALUE(TRIM(MID(H442,FIND(" ",H442)+1,20))),0),0)))</f>
        <v/>
      </c>
      <c r="K442" s="256">
        <f>IF(I442=0,0,INT(I442))</f>
        <v/>
      </c>
      <c r="L442" s="257">
        <f>IF(OR(I442=0,J442=0),0,ROUND((J442-I442)*24,2))</f>
        <v/>
      </c>
      <c r="M442" s="254">
        <f>IFERROR(TRIM(MID(A442,FIND("@",SUBSTITUTE(A442,"(","@",LEN(A442)-LEN(SUBSTITUTE(A442,"(",""))))+1,FIND(")",A442,FIND("@",SUBSTITUTE(A442,"(","@",LEN(A442)-LEN(SUBSTITUTE(A442,"(","")))))-FIND("@",SUBSTITUTE(A442,"(","@",LEN(A442)-LEN(SUBSTITUTE(A442,"(",""))))-1)),"")</f>
        <v/>
      </c>
      <c r="N442" s="254">
        <f>IF(A442="","",IF(LEFT(TRIM(A442),5)="Leave","Leave",IF(OR(ISNUMBER(SEARCH("public holiday",A442)),ISNUMBER(SEARCH("Purple",E442))),"Public holiday","Event")))</f>
        <v/>
      </c>
    </row>
    <row r="443">
      <c r="G443" s="254">
        <f>IF(C443="","",IF(ISNUMBER(C443),C443,IF(ISNUMBER(VALUE(LEFT(TRIM(C443),1))),TRIM(C443),TRIM(MID(TRIM(C443),FIND(" ",TRIM(C443))+1,99)))))</f>
        <v/>
      </c>
      <c r="H443" s="254">
        <f>IF(D443="","",IF(ISNUMBER(D443),D443,IF(ISNUMBER(VALUE(LEFT(TRIM(D443),1))),TRIM(D443),TRIM(MID(TRIM(D443),FIND(" ",TRIM(D443))+1,99)))))</f>
        <v/>
      </c>
      <c r="I443" s="255">
        <f>IF(G443="",0,IF(ISNUMBER(G443),G443,IFERROR(DATE(VALUE(MID(G443,FIND("/",G443,FIND("/",G443)+1)+1,4)),VALUE(MID(G443,FIND("/",G443)+1,FIND("/",G443,FIND("/",G443)+1)-FIND("/",G443)-1)),VALUE(LEFT(G443,FIND("/",G443)-1)))+IFERROR(TIMEVALUE(TRIM(MID(G443,FIND(" ",G443)+1,20))),0),0)))</f>
        <v/>
      </c>
      <c r="J443" s="255">
        <f>IF(H443="",0,IF(ISNUMBER(H443),H443,IFERROR(DATE(VALUE(MID(H443,FIND("/",H443,FIND("/",H443)+1)+1,4)),VALUE(MID(H443,FIND("/",H443)+1,FIND("/",H443,FIND("/",H443)+1)-FIND("/",H443)-1)),VALUE(LEFT(H443,FIND("/",H443)-1)))+IFERROR(TIMEVALUE(TRIM(MID(H443,FIND(" ",H443)+1,20))),0),0)))</f>
        <v/>
      </c>
      <c r="K443" s="256">
        <f>IF(I443=0,0,INT(I443))</f>
        <v/>
      </c>
      <c r="L443" s="257">
        <f>IF(OR(I443=0,J443=0),0,ROUND((J443-I443)*24,2))</f>
        <v/>
      </c>
      <c r="M443" s="254">
        <f>IFERROR(TRIM(MID(A443,FIND("@",SUBSTITUTE(A443,"(","@",LEN(A443)-LEN(SUBSTITUTE(A443,"(",""))))+1,FIND(")",A443,FIND("@",SUBSTITUTE(A443,"(","@",LEN(A443)-LEN(SUBSTITUTE(A443,"(","")))))-FIND("@",SUBSTITUTE(A443,"(","@",LEN(A443)-LEN(SUBSTITUTE(A443,"(",""))))-1)),"")</f>
        <v/>
      </c>
      <c r="N443" s="254">
        <f>IF(A443="","",IF(LEFT(TRIM(A443),5)="Leave","Leave",IF(OR(ISNUMBER(SEARCH("public holiday",A443)),ISNUMBER(SEARCH("Purple",E443))),"Public holiday","Event")))</f>
        <v/>
      </c>
    </row>
    <row r="444">
      <c r="G444" s="254">
        <f>IF(C444="","",IF(ISNUMBER(C444),C444,IF(ISNUMBER(VALUE(LEFT(TRIM(C444),1))),TRIM(C444),TRIM(MID(TRIM(C444),FIND(" ",TRIM(C444))+1,99)))))</f>
        <v/>
      </c>
      <c r="H444" s="254">
        <f>IF(D444="","",IF(ISNUMBER(D444),D444,IF(ISNUMBER(VALUE(LEFT(TRIM(D444),1))),TRIM(D444),TRIM(MID(TRIM(D444),FIND(" ",TRIM(D444))+1,99)))))</f>
        <v/>
      </c>
      <c r="I444" s="255">
        <f>IF(G444="",0,IF(ISNUMBER(G444),G444,IFERROR(DATE(VALUE(MID(G444,FIND("/",G444,FIND("/",G444)+1)+1,4)),VALUE(MID(G444,FIND("/",G444)+1,FIND("/",G444,FIND("/",G444)+1)-FIND("/",G444)-1)),VALUE(LEFT(G444,FIND("/",G444)-1)))+IFERROR(TIMEVALUE(TRIM(MID(G444,FIND(" ",G444)+1,20))),0),0)))</f>
        <v/>
      </c>
      <c r="J444" s="255">
        <f>IF(H444="",0,IF(ISNUMBER(H444),H444,IFERROR(DATE(VALUE(MID(H444,FIND("/",H444,FIND("/",H444)+1)+1,4)),VALUE(MID(H444,FIND("/",H444)+1,FIND("/",H444,FIND("/",H444)+1)-FIND("/",H444)-1)),VALUE(LEFT(H444,FIND("/",H444)-1)))+IFERROR(TIMEVALUE(TRIM(MID(H444,FIND(" ",H444)+1,20))),0),0)))</f>
        <v/>
      </c>
      <c r="K444" s="256">
        <f>IF(I444=0,0,INT(I444))</f>
        <v/>
      </c>
      <c r="L444" s="257">
        <f>IF(OR(I444=0,J444=0),0,ROUND((J444-I444)*24,2))</f>
        <v/>
      </c>
      <c r="M444" s="254">
        <f>IFERROR(TRIM(MID(A444,FIND("@",SUBSTITUTE(A444,"(","@",LEN(A444)-LEN(SUBSTITUTE(A444,"(",""))))+1,FIND(")",A444,FIND("@",SUBSTITUTE(A444,"(","@",LEN(A444)-LEN(SUBSTITUTE(A444,"(","")))))-FIND("@",SUBSTITUTE(A444,"(","@",LEN(A444)-LEN(SUBSTITUTE(A444,"(",""))))-1)),"")</f>
        <v/>
      </c>
      <c r="N444" s="254">
        <f>IF(A444="","",IF(LEFT(TRIM(A444),5)="Leave","Leave",IF(OR(ISNUMBER(SEARCH("public holiday",A444)),ISNUMBER(SEARCH("Purple",E444))),"Public holiday","Event")))</f>
        <v/>
      </c>
    </row>
    <row r="445">
      <c r="G445" s="254">
        <f>IF(C445="","",IF(ISNUMBER(C445),C445,IF(ISNUMBER(VALUE(LEFT(TRIM(C445),1))),TRIM(C445),TRIM(MID(TRIM(C445),FIND(" ",TRIM(C445))+1,99)))))</f>
        <v/>
      </c>
      <c r="H445" s="254">
        <f>IF(D445="","",IF(ISNUMBER(D445),D445,IF(ISNUMBER(VALUE(LEFT(TRIM(D445),1))),TRIM(D445),TRIM(MID(TRIM(D445),FIND(" ",TRIM(D445))+1,99)))))</f>
        <v/>
      </c>
      <c r="I445" s="255">
        <f>IF(G445="",0,IF(ISNUMBER(G445),G445,IFERROR(DATE(VALUE(MID(G445,FIND("/",G445,FIND("/",G445)+1)+1,4)),VALUE(MID(G445,FIND("/",G445)+1,FIND("/",G445,FIND("/",G445)+1)-FIND("/",G445)-1)),VALUE(LEFT(G445,FIND("/",G445)-1)))+IFERROR(TIMEVALUE(TRIM(MID(G445,FIND(" ",G445)+1,20))),0),0)))</f>
        <v/>
      </c>
      <c r="J445" s="255">
        <f>IF(H445="",0,IF(ISNUMBER(H445),H445,IFERROR(DATE(VALUE(MID(H445,FIND("/",H445,FIND("/",H445)+1)+1,4)),VALUE(MID(H445,FIND("/",H445)+1,FIND("/",H445,FIND("/",H445)+1)-FIND("/",H445)-1)),VALUE(LEFT(H445,FIND("/",H445)-1)))+IFERROR(TIMEVALUE(TRIM(MID(H445,FIND(" ",H445)+1,20))),0),0)))</f>
        <v/>
      </c>
      <c r="K445" s="256">
        <f>IF(I445=0,0,INT(I445))</f>
        <v/>
      </c>
      <c r="L445" s="257">
        <f>IF(OR(I445=0,J445=0),0,ROUND((J445-I445)*24,2))</f>
        <v/>
      </c>
      <c r="M445" s="254">
        <f>IFERROR(TRIM(MID(A445,FIND("@",SUBSTITUTE(A445,"(","@",LEN(A445)-LEN(SUBSTITUTE(A445,"(",""))))+1,FIND(")",A445,FIND("@",SUBSTITUTE(A445,"(","@",LEN(A445)-LEN(SUBSTITUTE(A445,"(","")))))-FIND("@",SUBSTITUTE(A445,"(","@",LEN(A445)-LEN(SUBSTITUTE(A445,"(",""))))-1)),"")</f>
        <v/>
      </c>
      <c r="N445" s="254">
        <f>IF(A445="","",IF(LEFT(TRIM(A445),5)="Leave","Leave",IF(OR(ISNUMBER(SEARCH("public holiday",A445)),ISNUMBER(SEARCH("Purple",E445))),"Public holiday","Event")))</f>
        <v/>
      </c>
    </row>
    <row r="446">
      <c r="G446" s="254">
        <f>IF(C446="","",IF(ISNUMBER(C446),C446,IF(ISNUMBER(VALUE(LEFT(TRIM(C446),1))),TRIM(C446),TRIM(MID(TRIM(C446),FIND(" ",TRIM(C446))+1,99)))))</f>
        <v/>
      </c>
      <c r="H446" s="254">
        <f>IF(D446="","",IF(ISNUMBER(D446),D446,IF(ISNUMBER(VALUE(LEFT(TRIM(D446),1))),TRIM(D446),TRIM(MID(TRIM(D446),FIND(" ",TRIM(D446))+1,99)))))</f>
        <v/>
      </c>
      <c r="I446" s="255">
        <f>IF(G446="",0,IF(ISNUMBER(G446),G446,IFERROR(DATE(VALUE(MID(G446,FIND("/",G446,FIND("/",G446)+1)+1,4)),VALUE(MID(G446,FIND("/",G446)+1,FIND("/",G446,FIND("/",G446)+1)-FIND("/",G446)-1)),VALUE(LEFT(G446,FIND("/",G446)-1)))+IFERROR(TIMEVALUE(TRIM(MID(G446,FIND(" ",G446)+1,20))),0),0)))</f>
        <v/>
      </c>
      <c r="J446" s="255">
        <f>IF(H446="",0,IF(ISNUMBER(H446),H446,IFERROR(DATE(VALUE(MID(H446,FIND("/",H446,FIND("/",H446)+1)+1,4)),VALUE(MID(H446,FIND("/",H446)+1,FIND("/",H446,FIND("/",H446)+1)-FIND("/",H446)-1)),VALUE(LEFT(H446,FIND("/",H446)-1)))+IFERROR(TIMEVALUE(TRIM(MID(H446,FIND(" ",H446)+1,20))),0),0)))</f>
        <v/>
      </c>
      <c r="K446" s="256">
        <f>IF(I446=0,0,INT(I446))</f>
        <v/>
      </c>
      <c r="L446" s="257">
        <f>IF(OR(I446=0,J446=0),0,ROUND((J446-I446)*24,2))</f>
        <v/>
      </c>
      <c r="M446" s="254">
        <f>IFERROR(TRIM(MID(A446,FIND("@",SUBSTITUTE(A446,"(","@",LEN(A446)-LEN(SUBSTITUTE(A446,"(",""))))+1,FIND(")",A446,FIND("@",SUBSTITUTE(A446,"(","@",LEN(A446)-LEN(SUBSTITUTE(A446,"(","")))))-FIND("@",SUBSTITUTE(A446,"(","@",LEN(A446)-LEN(SUBSTITUTE(A446,"(",""))))-1)),"")</f>
        <v/>
      </c>
      <c r="N446" s="254">
        <f>IF(A446="","",IF(LEFT(TRIM(A446),5)="Leave","Leave",IF(OR(ISNUMBER(SEARCH("public holiday",A446)),ISNUMBER(SEARCH("Purple",E446))),"Public holiday","Event")))</f>
        <v/>
      </c>
    </row>
    <row r="447">
      <c r="G447" s="254">
        <f>IF(C447="","",IF(ISNUMBER(C447),C447,IF(ISNUMBER(VALUE(LEFT(TRIM(C447),1))),TRIM(C447),TRIM(MID(TRIM(C447),FIND(" ",TRIM(C447))+1,99)))))</f>
        <v/>
      </c>
      <c r="H447" s="254">
        <f>IF(D447="","",IF(ISNUMBER(D447),D447,IF(ISNUMBER(VALUE(LEFT(TRIM(D447),1))),TRIM(D447),TRIM(MID(TRIM(D447),FIND(" ",TRIM(D447))+1,99)))))</f>
        <v/>
      </c>
      <c r="I447" s="255">
        <f>IF(G447="",0,IF(ISNUMBER(G447),G447,IFERROR(DATE(VALUE(MID(G447,FIND("/",G447,FIND("/",G447)+1)+1,4)),VALUE(MID(G447,FIND("/",G447)+1,FIND("/",G447,FIND("/",G447)+1)-FIND("/",G447)-1)),VALUE(LEFT(G447,FIND("/",G447)-1)))+IFERROR(TIMEVALUE(TRIM(MID(G447,FIND(" ",G447)+1,20))),0),0)))</f>
        <v/>
      </c>
      <c r="J447" s="255">
        <f>IF(H447="",0,IF(ISNUMBER(H447),H447,IFERROR(DATE(VALUE(MID(H447,FIND("/",H447,FIND("/",H447)+1)+1,4)),VALUE(MID(H447,FIND("/",H447)+1,FIND("/",H447,FIND("/",H447)+1)-FIND("/",H447)-1)),VALUE(LEFT(H447,FIND("/",H447)-1)))+IFERROR(TIMEVALUE(TRIM(MID(H447,FIND(" ",H447)+1,20))),0),0)))</f>
        <v/>
      </c>
      <c r="K447" s="256">
        <f>IF(I447=0,0,INT(I447))</f>
        <v/>
      </c>
      <c r="L447" s="257">
        <f>IF(OR(I447=0,J447=0),0,ROUND((J447-I447)*24,2))</f>
        <v/>
      </c>
      <c r="M447" s="254">
        <f>IFERROR(TRIM(MID(A447,FIND("@",SUBSTITUTE(A447,"(","@",LEN(A447)-LEN(SUBSTITUTE(A447,"(",""))))+1,FIND(")",A447,FIND("@",SUBSTITUTE(A447,"(","@",LEN(A447)-LEN(SUBSTITUTE(A447,"(","")))))-FIND("@",SUBSTITUTE(A447,"(","@",LEN(A447)-LEN(SUBSTITUTE(A447,"(",""))))-1)),"")</f>
        <v/>
      </c>
      <c r="N447" s="254">
        <f>IF(A447="","",IF(LEFT(TRIM(A447),5)="Leave","Leave",IF(OR(ISNUMBER(SEARCH("public holiday",A447)),ISNUMBER(SEARCH("Purple",E447))),"Public holiday","Event")))</f>
        <v/>
      </c>
    </row>
    <row r="448">
      <c r="G448" s="254">
        <f>IF(C448="","",IF(ISNUMBER(C448),C448,IF(ISNUMBER(VALUE(LEFT(TRIM(C448),1))),TRIM(C448),TRIM(MID(TRIM(C448),FIND(" ",TRIM(C448))+1,99)))))</f>
        <v/>
      </c>
      <c r="H448" s="254">
        <f>IF(D448="","",IF(ISNUMBER(D448),D448,IF(ISNUMBER(VALUE(LEFT(TRIM(D448),1))),TRIM(D448),TRIM(MID(TRIM(D448),FIND(" ",TRIM(D448))+1,99)))))</f>
        <v/>
      </c>
      <c r="I448" s="255">
        <f>IF(G448="",0,IF(ISNUMBER(G448),G448,IFERROR(DATE(VALUE(MID(G448,FIND("/",G448,FIND("/",G448)+1)+1,4)),VALUE(MID(G448,FIND("/",G448)+1,FIND("/",G448,FIND("/",G448)+1)-FIND("/",G448)-1)),VALUE(LEFT(G448,FIND("/",G448)-1)))+IFERROR(TIMEVALUE(TRIM(MID(G448,FIND(" ",G448)+1,20))),0),0)))</f>
        <v/>
      </c>
      <c r="J448" s="255">
        <f>IF(H448="",0,IF(ISNUMBER(H448),H448,IFERROR(DATE(VALUE(MID(H448,FIND("/",H448,FIND("/",H448)+1)+1,4)),VALUE(MID(H448,FIND("/",H448)+1,FIND("/",H448,FIND("/",H448)+1)-FIND("/",H448)-1)),VALUE(LEFT(H448,FIND("/",H448)-1)))+IFERROR(TIMEVALUE(TRIM(MID(H448,FIND(" ",H448)+1,20))),0),0)))</f>
        <v/>
      </c>
      <c r="K448" s="256">
        <f>IF(I448=0,0,INT(I448))</f>
        <v/>
      </c>
      <c r="L448" s="257">
        <f>IF(OR(I448=0,J448=0),0,ROUND((J448-I448)*24,2))</f>
        <v/>
      </c>
      <c r="M448" s="254">
        <f>IFERROR(TRIM(MID(A448,FIND("@",SUBSTITUTE(A448,"(","@",LEN(A448)-LEN(SUBSTITUTE(A448,"(",""))))+1,FIND(")",A448,FIND("@",SUBSTITUTE(A448,"(","@",LEN(A448)-LEN(SUBSTITUTE(A448,"(","")))))-FIND("@",SUBSTITUTE(A448,"(","@",LEN(A448)-LEN(SUBSTITUTE(A448,"(",""))))-1)),"")</f>
        <v/>
      </c>
      <c r="N448" s="254">
        <f>IF(A448="","",IF(LEFT(TRIM(A448),5)="Leave","Leave",IF(OR(ISNUMBER(SEARCH("public holiday",A448)),ISNUMBER(SEARCH("Purple",E448))),"Public holiday","Event")))</f>
        <v/>
      </c>
    </row>
    <row r="449">
      <c r="G449" s="254">
        <f>IF(C449="","",IF(ISNUMBER(C449),C449,IF(ISNUMBER(VALUE(LEFT(TRIM(C449),1))),TRIM(C449),TRIM(MID(TRIM(C449),FIND(" ",TRIM(C449))+1,99)))))</f>
        <v/>
      </c>
      <c r="H449" s="254">
        <f>IF(D449="","",IF(ISNUMBER(D449),D449,IF(ISNUMBER(VALUE(LEFT(TRIM(D449),1))),TRIM(D449),TRIM(MID(TRIM(D449),FIND(" ",TRIM(D449))+1,99)))))</f>
        <v/>
      </c>
      <c r="I449" s="255">
        <f>IF(G449="",0,IF(ISNUMBER(G449),G449,IFERROR(DATE(VALUE(MID(G449,FIND("/",G449,FIND("/",G449)+1)+1,4)),VALUE(MID(G449,FIND("/",G449)+1,FIND("/",G449,FIND("/",G449)+1)-FIND("/",G449)-1)),VALUE(LEFT(G449,FIND("/",G449)-1)))+IFERROR(TIMEVALUE(TRIM(MID(G449,FIND(" ",G449)+1,20))),0),0)))</f>
        <v/>
      </c>
      <c r="J449" s="255">
        <f>IF(H449="",0,IF(ISNUMBER(H449),H449,IFERROR(DATE(VALUE(MID(H449,FIND("/",H449,FIND("/",H449)+1)+1,4)),VALUE(MID(H449,FIND("/",H449)+1,FIND("/",H449,FIND("/",H449)+1)-FIND("/",H449)-1)),VALUE(LEFT(H449,FIND("/",H449)-1)))+IFERROR(TIMEVALUE(TRIM(MID(H449,FIND(" ",H449)+1,20))),0),0)))</f>
        <v/>
      </c>
      <c r="K449" s="256">
        <f>IF(I449=0,0,INT(I449))</f>
        <v/>
      </c>
      <c r="L449" s="257">
        <f>IF(OR(I449=0,J449=0),0,ROUND((J449-I449)*24,2))</f>
        <v/>
      </c>
      <c r="M449" s="254">
        <f>IFERROR(TRIM(MID(A449,FIND("@",SUBSTITUTE(A449,"(","@",LEN(A449)-LEN(SUBSTITUTE(A449,"(",""))))+1,FIND(")",A449,FIND("@",SUBSTITUTE(A449,"(","@",LEN(A449)-LEN(SUBSTITUTE(A449,"(","")))))-FIND("@",SUBSTITUTE(A449,"(","@",LEN(A449)-LEN(SUBSTITUTE(A449,"(",""))))-1)),"")</f>
        <v/>
      </c>
      <c r="N449" s="254">
        <f>IF(A449="","",IF(LEFT(TRIM(A449),5)="Leave","Leave",IF(OR(ISNUMBER(SEARCH("public holiday",A449)),ISNUMBER(SEARCH("Purple",E449))),"Public holiday","Event")))</f>
        <v/>
      </c>
    </row>
    <row r="450">
      <c r="G450" s="254">
        <f>IF(C450="","",IF(ISNUMBER(C450),C450,IF(ISNUMBER(VALUE(LEFT(TRIM(C450),1))),TRIM(C450),TRIM(MID(TRIM(C450),FIND(" ",TRIM(C450))+1,99)))))</f>
        <v/>
      </c>
      <c r="H450" s="254">
        <f>IF(D450="","",IF(ISNUMBER(D450),D450,IF(ISNUMBER(VALUE(LEFT(TRIM(D450),1))),TRIM(D450),TRIM(MID(TRIM(D450),FIND(" ",TRIM(D450))+1,99)))))</f>
        <v/>
      </c>
      <c r="I450" s="255">
        <f>IF(G450="",0,IF(ISNUMBER(G450),G450,IFERROR(DATE(VALUE(MID(G450,FIND("/",G450,FIND("/",G450)+1)+1,4)),VALUE(MID(G450,FIND("/",G450)+1,FIND("/",G450,FIND("/",G450)+1)-FIND("/",G450)-1)),VALUE(LEFT(G450,FIND("/",G450)-1)))+IFERROR(TIMEVALUE(TRIM(MID(G450,FIND(" ",G450)+1,20))),0),0)))</f>
        <v/>
      </c>
      <c r="J450" s="255">
        <f>IF(H450="",0,IF(ISNUMBER(H450),H450,IFERROR(DATE(VALUE(MID(H450,FIND("/",H450,FIND("/",H450)+1)+1,4)),VALUE(MID(H450,FIND("/",H450)+1,FIND("/",H450,FIND("/",H450)+1)-FIND("/",H450)-1)),VALUE(LEFT(H450,FIND("/",H450)-1)))+IFERROR(TIMEVALUE(TRIM(MID(H450,FIND(" ",H450)+1,20))),0),0)))</f>
        <v/>
      </c>
      <c r="K450" s="256">
        <f>IF(I450=0,0,INT(I450))</f>
        <v/>
      </c>
      <c r="L450" s="257">
        <f>IF(OR(I450=0,J450=0),0,ROUND((J450-I450)*24,2))</f>
        <v/>
      </c>
      <c r="M450" s="254">
        <f>IFERROR(TRIM(MID(A450,FIND("@",SUBSTITUTE(A450,"(","@",LEN(A450)-LEN(SUBSTITUTE(A450,"(",""))))+1,FIND(")",A450,FIND("@",SUBSTITUTE(A450,"(","@",LEN(A450)-LEN(SUBSTITUTE(A450,"(","")))))-FIND("@",SUBSTITUTE(A450,"(","@",LEN(A450)-LEN(SUBSTITUTE(A450,"(",""))))-1)),"")</f>
        <v/>
      </c>
      <c r="N450" s="254">
        <f>IF(A450="","",IF(LEFT(TRIM(A450),5)="Leave","Leave",IF(OR(ISNUMBER(SEARCH("public holiday",A450)),ISNUMBER(SEARCH("Purple",E450))),"Public holiday","Event")))</f>
        <v/>
      </c>
    </row>
    <row r="451">
      <c r="G451" s="254">
        <f>IF(C451="","",IF(ISNUMBER(C451),C451,IF(ISNUMBER(VALUE(LEFT(TRIM(C451),1))),TRIM(C451),TRIM(MID(TRIM(C451),FIND(" ",TRIM(C451))+1,99)))))</f>
        <v/>
      </c>
      <c r="H451" s="254">
        <f>IF(D451="","",IF(ISNUMBER(D451),D451,IF(ISNUMBER(VALUE(LEFT(TRIM(D451),1))),TRIM(D451),TRIM(MID(TRIM(D451),FIND(" ",TRIM(D451))+1,99)))))</f>
        <v/>
      </c>
      <c r="I451" s="255">
        <f>IF(G451="",0,IF(ISNUMBER(G451),G451,IFERROR(DATE(VALUE(MID(G451,FIND("/",G451,FIND("/",G451)+1)+1,4)),VALUE(MID(G451,FIND("/",G451)+1,FIND("/",G451,FIND("/",G451)+1)-FIND("/",G451)-1)),VALUE(LEFT(G451,FIND("/",G451)-1)))+IFERROR(TIMEVALUE(TRIM(MID(G451,FIND(" ",G451)+1,20))),0),0)))</f>
        <v/>
      </c>
      <c r="J451" s="255">
        <f>IF(H451="",0,IF(ISNUMBER(H451),H451,IFERROR(DATE(VALUE(MID(H451,FIND("/",H451,FIND("/",H451)+1)+1,4)),VALUE(MID(H451,FIND("/",H451)+1,FIND("/",H451,FIND("/",H451)+1)-FIND("/",H451)-1)),VALUE(LEFT(H451,FIND("/",H451)-1)))+IFERROR(TIMEVALUE(TRIM(MID(H451,FIND(" ",H451)+1,20))),0),0)))</f>
        <v/>
      </c>
      <c r="K451" s="256">
        <f>IF(I451=0,0,INT(I451))</f>
        <v/>
      </c>
      <c r="L451" s="257">
        <f>IF(OR(I451=0,J451=0),0,ROUND((J451-I451)*24,2))</f>
        <v/>
      </c>
      <c r="M451" s="254">
        <f>IFERROR(TRIM(MID(A451,FIND("@",SUBSTITUTE(A451,"(","@",LEN(A451)-LEN(SUBSTITUTE(A451,"(",""))))+1,FIND(")",A451,FIND("@",SUBSTITUTE(A451,"(","@",LEN(A451)-LEN(SUBSTITUTE(A451,"(","")))))-FIND("@",SUBSTITUTE(A451,"(","@",LEN(A451)-LEN(SUBSTITUTE(A451,"(",""))))-1)),"")</f>
        <v/>
      </c>
      <c r="N451" s="254">
        <f>IF(A451="","",IF(LEFT(TRIM(A451),5)="Leave","Leave",IF(OR(ISNUMBER(SEARCH("public holiday",A451)),ISNUMBER(SEARCH("Purple",E451))),"Public holiday","Event")))</f>
        <v/>
      </c>
    </row>
    <row r="452">
      <c r="G452" s="254">
        <f>IF(C452="","",IF(ISNUMBER(C452),C452,IF(ISNUMBER(VALUE(LEFT(TRIM(C452),1))),TRIM(C452),TRIM(MID(TRIM(C452),FIND(" ",TRIM(C452))+1,99)))))</f>
        <v/>
      </c>
      <c r="H452" s="254">
        <f>IF(D452="","",IF(ISNUMBER(D452),D452,IF(ISNUMBER(VALUE(LEFT(TRIM(D452),1))),TRIM(D452),TRIM(MID(TRIM(D452),FIND(" ",TRIM(D452))+1,99)))))</f>
        <v/>
      </c>
      <c r="I452" s="255">
        <f>IF(G452="",0,IF(ISNUMBER(G452),G452,IFERROR(DATE(VALUE(MID(G452,FIND("/",G452,FIND("/",G452)+1)+1,4)),VALUE(MID(G452,FIND("/",G452)+1,FIND("/",G452,FIND("/",G452)+1)-FIND("/",G452)-1)),VALUE(LEFT(G452,FIND("/",G452)-1)))+IFERROR(TIMEVALUE(TRIM(MID(G452,FIND(" ",G452)+1,20))),0),0)))</f>
        <v/>
      </c>
      <c r="J452" s="255">
        <f>IF(H452="",0,IF(ISNUMBER(H452),H452,IFERROR(DATE(VALUE(MID(H452,FIND("/",H452,FIND("/",H452)+1)+1,4)),VALUE(MID(H452,FIND("/",H452)+1,FIND("/",H452,FIND("/",H452)+1)-FIND("/",H452)-1)),VALUE(LEFT(H452,FIND("/",H452)-1)))+IFERROR(TIMEVALUE(TRIM(MID(H452,FIND(" ",H452)+1,20))),0),0)))</f>
        <v/>
      </c>
      <c r="K452" s="256">
        <f>IF(I452=0,0,INT(I452))</f>
        <v/>
      </c>
      <c r="L452" s="257">
        <f>IF(OR(I452=0,J452=0),0,ROUND((J452-I452)*24,2))</f>
        <v/>
      </c>
      <c r="M452" s="254">
        <f>IFERROR(TRIM(MID(A452,FIND("@",SUBSTITUTE(A452,"(","@",LEN(A452)-LEN(SUBSTITUTE(A452,"(",""))))+1,FIND(")",A452,FIND("@",SUBSTITUTE(A452,"(","@",LEN(A452)-LEN(SUBSTITUTE(A452,"(","")))))-FIND("@",SUBSTITUTE(A452,"(","@",LEN(A452)-LEN(SUBSTITUTE(A452,"(",""))))-1)),"")</f>
        <v/>
      </c>
      <c r="N452" s="254">
        <f>IF(A452="","",IF(LEFT(TRIM(A452),5)="Leave","Leave",IF(OR(ISNUMBER(SEARCH("public holiday",A452)),ISNUMBER(SEARCH("Purple",E452))),"Public holiday","Event")))</f>
        <v/>
      </c>
    </row>
    <row r="453">
      <c r="G453" s="254">
        <f>IF(C453="","",IF(ISNUMBER(C453),C453,IF(ISNUMBER(VALUE(LEFT(TRIM(C453),1))),TRIM(C453),TRIM(MID(TRIM(C453),FIND(" ",TRIM(C453))+1,99)))))</f>
        <v/>
      </c>
      <c r="H453" s="254">
        <f>IF(D453="","",IF(ISNUMBER(D453),D453,IF(ISNUMBER(VALUE(LEFT(TRIM(D453),1))),TRIM(D453),TRIM(MID(TRIM(D453),FIND(" ",TRIM(D453))+1,99)))))</f>
        <v/>
      </c>
      <c r="I453" s="255">
        <f>IF(G453="",0,IF(ISNUMBER(G453),G453,IFERROR(DATE(VALUE(MID(G453,FIND("/",G453,FIND("/",G453)+1)+1,4)),VALUE(MID(G453,FIND("/",G453)+1,FIND("/",G453,FIND("/",G453)+1)-FIND("/",G453)-1)),VALUE(LEFT(G453,FIND("/",G453)-1)))+IFERROR(TIMEVALUE(TRIM(MID(G453,FIND(" ",G453)+1,20))),0),0)))</f>
        <v/>
      </c>
      <c r="J453" s="255">
        <f>IF(H453="",0,IF(ISNUMBER(H453),H453,IFERROR(DATE(VALUE(MID(H453,FIND("/",H453,FIND("/",H453)+1)+1,4)),VALUE(MID(H453,FIND("/",H453)+1,FIND("/",H453,FIND("/",H453)+1)-FIND("/",H453)-1)),VALUE(LEFT(H453,FIND("/",H453)-1)))+IFERROR(TIMEVALUE(TRIM(MID(H453,FIND(" ",H453)+1,20))),0),0)))</f>
        <v/>
      </c>
      <c r="K453" s="256">
        <f>IF(I453=0,0,INT(I453))</f>
        <v/>
      </c>
      <c r="L453" s="257">
        <f>IF(OR(I453=0,J453=0),0,ROUND((J453-I453)*24,2))</f>
        <v/>
      </c>
      <c r="M453" s="254">
        <f>IFERROR(TRIM(MID(A453,FIND("@",SUBSTITUTE(A453,"(","@",LEN(A453)-LEN(SUBSTITUTE(A453,"(",""))))+1,FIND(")",A453,FIND("@",SUBSTITUTE(A453,"(","@",LEN(A453)-LEN(SUBSTITUTE(A453,"(","")))))-FIND("@",SUBSTITUTE(A453,"(","@",LEN(A453)-LEN(SUBSTITUTE(A453,"(",""))))-1)),"")</f>
        <v/>
      </c>
      <c r="N453" s="254">
        <f>IF(A453="","",IF(LEFT(TRIM(A453),5)="Leave","Leave",IF(OR(ISNUMBER(SEARCH("public holiday",A453)),ISNUMBER(SEARCH("Purple",E453))),"Public holiday","Event")))</f>
        <v/>
      </c>
    </row>
    <row r="454">
      <c r="G454" s="254">
        <f>IF(C454="","",IF(ISNUMBER(C454),C454,IF(ISNUMBER(VALUE(LEFT(TRIM(C454),1))),TRIM(C454),TRIM(MID(TRIM(C454),FIND(" ",TRIM(C454))+1,99)))))</f>
        <v/>
      </c>
      <c r="H454" s="254">
        <f>IF(D454="","",IF(ISNUMBER(D454),D454,IF(ISNUMBER(VALUE(LEFT(TRIM(D454),1))),TRIM(D454),TRIM(MID(TRIM(D454),FIND(" ",TRIM(D454))+1,99)))))</f>
        <v/>
      </c>
      <c r="I454" s="255">
        <f>IF(G454="",0,IF(ISNUMBER(G454),G454,IFERROR(DATE(VALUE(MID(G454,FIND("/",G454,FIND("/",G454)+1)+1,4)),VALUE(MID(G454,FIND("/",G454)+1,FIND("/",G454,FIND("/",G454)+1)-FIND("/",G454)-1)),VALUE(LEFT(G454,FIND("/",G454)-1)))+IFERROR(TIMEVALUE(TRIM(MID(G454,FIND(" ",G454)+1,20))),0),0)))</f>
        <v/>
      </c>
      <c r="J454" s="255">
        <f>IF(H454="",0,IF(ISNUMBER(H454),H454,IFERROR(DATE(VALUE(MID(H454,FIND("/",H454,FIND("/",H454)+1)+1,4)),VALUE(MID(H454,FIND("/",H454)+1,FIND("/",H454,FIND("/",H454)+1)-FIND("/",H454)-1)),VALUE(LEFT(H454,FIND("/",H454)-1)))+IFERROR(TIMEVALUE(TRIM(MID(H454,FIND(" ",H454)+1,20))),0),0)))</f>
        <v/>
      </c>
      <c r="K454" s="256">
        <f>IF(I454=0,0,INT(I454))</f>
        <v/>
      </c>
      <c r="L454" s="257">
        <f>IF(OR(I454=0,J454=0),0,ROUND((J454-I454)*24,2))</f>
        <v/>
      </c>
      <c r="M454" s="254">
        <f>IFERROR(TRIM(MID(A454,FIND("@",SUBSTITUTE(A454,"(","@",LEN(A454)-LEN(SUBSTITUTE(A454,"(",""))))+1,FIND(")",A454,FIND("@",SUBSTITUTE(A454,"(","@",LEN(A454)-LEN(SUBSTITUTE(A454,"(","")))))-FIND("@",SUBSTITUTE(A454,"(","@",LEN(A454)-LEN(SUBSTITUTE(A454,"(",""))))-1)),"")</f>
        <v/>
      </c>
      <c r="N454" s="254">
        <f>IF(A454="","",IF(LEFT(TRIM(A454),5)="Leave","Leave",IF(OR(ISNUMBER(SEARCH("public holiday",A454)),ISNUMBER(SEARCH("Purple",E454))),"Public holiday","Event")))</f>
        <v/>
      </c>
    </row>
    <row r="455">
      <c r="G455" s="254">
        <f>IF(C455="","",IF(ISNUMBER(C455),C455,IF(ISNUMBER(VALUE(LEFT(TRIM(C455),1))),TRIM(C455),TRIM(MID(TRIM(C455),FIND(" ",TRIM(C455))+1,99)))))</f>
        <v/>
      </c>
      <c r="H455" s="254">
        <f>IF(D455="","",IF(ISNUMBER(D455),D455,IF(ISNUMBER(VALUE(LEFT(TRIM(D455),1))),TRIM(D455),TRIM(MID(TRIM(D455),FIND(" ",TRIM(D455))+1,99)))))</f>
        <v/>
      </c>
      <c r="I455" s="255">
        <f>IF(G455="",0,IF(ISNUMBER(G455),G455,IFERROR(DATE(VALUE(MID(G455,FIND("/",G455,FIND("/",G455)+1)+1,4)),VALUE(MID(G455,FIND("/",G455)+1,FIND("/",G455,FIND("/",G455)+1)-FIND("/",G455)-1)),VALUE(LEFT(G455,FIND("/",G455)-1)))+IFERROR(TIMEVALUE(TRIM(MID(G455,FIND(" ",G455)+1,20))),0),0)))</f>
        <v/>
      </c>
      <c r="J455" s="255">
        <f>IF(H455="",0,IF(ISNUMBER(H455),H455,IFERROR(DATE(VALUE(MID(H455,FIND("/",H455,FIND("/",H455)+1)+1,4)),VALUE(MID(H455,FIND("/",H455)+1,FIND("/",H455,FIND("/",H455)+1)-FIND("/",H455)-1)),VALUE(LEFT(H455,FIND("/",H455)-1)))+IFERROR(TIMEVALUE(TRIM(MID(H455,FIND(" ",H455)+1,20))),0),0)))</f>
        <v/>
      </c>
      <c r="K455" s="256">
        <f>IF(I455=0,0,INT(I455))</f>
        <v/>
      </c>
      <c r="L455" s="257">
        <f>IF(OR(I455=0,J455=0),0,ROUND((J455-I455)*24,2))</f>
        <v/>
      </c>
      <c r="M455" s="254">
        <f>IFERROR(TRIM(MID(A455,FIND("@",SUBSTITUTE(A455,"(","@",LEN(A455)-LEN(SUBSTITUTE(A455,"(",""))))+1,FIND(")",A455,FIND("@",SUBSTITUTE(A455,"(","@",LEN(A455)-LEN(SUBSTITUTE(A455,"(","")))))-FIND("@",SUBSTITUTE(A455,"(","@",LEN(A455)-LEN(SUBSTITUTE(A455,"(",""))))-1)),"")</f>
        <v/>
      </c>
      <c r="N455" s="254">
        <f>IF(A455="","",IF(LEFT(TRIM(A455),5)="Leave","Leave",IF(OR(ISNUMBER(SEARCH("public holiday",A455)),ISNUMBER(SEARCH("Purple",E455))),"Public holiday","Event")))</f>
        <v/>
      </c>
    </row>
    <row r="456">
      <c r="G456" s="254">
        <f>IF(C456="","",IF(ISNUMBER(C456),C456,IF(ISNUMBER(VALUE(LEFT(TRIM(C456),1))),TRIM(C456),TRIM(MID(TRIM(C456),FIND(" ",TRIM(C456))+1,99)))))</f>
        <v/>
      </c>
      <c r="H456" s="254">
        <f>IF(D456="","",IF(ISNUMBER(D456),D456,IF(ISNUMBER(VALUE(LEFT(TRIM(D456),1))),TRIM(D456),TRIM(MID(TRIM(D456),FIND(" ",TRIM(D456))+1,99)))))</f>
        <v/>
      </c>
      <c r="I456" s="255">
        <f>IF(G456="",0,IF(ISNUMBER(G456),G456,IFERROR(DATE(VALUE(MID(G456,FIND("/",G456,FIND("/",G456)+1)+1,4)),VALUE(MID(G456,FIND("/",G456)+1,FIND("/",G456,FIND("/",G456)+1)-FIND("/",G456)-1)),VALUE(LEFT(G456,FIND("/",G456)-1)))+IFERROR(TIMEVALUE(TRIM(MID(G456,FIND(" ",G456)+1,20))),0),0)))</f>
        <v/>
      </c>
      <c r="J456" s="255">
        <f>IF(H456="",0,IF(ISNUMBER(H456),H456,IFERROR(DATE(VALUE(MID(H456,FIND("/",H456,FIND("/",H456)+1)+1,4)),VALUE(MID(H456,FIND("/",H456)+1,FIND("/",H456,FIND("/",H456)+1)-FIND("/",H456)-1)),VALUE(LEFT(H456,FIND("/",H456)-1)))+IFERROR(TIMEVALUE(TRIM(MID(H456,FIND(" ",H456)+1,20))),0),0)))</f>
        <v/>
      </c>
      <c r="K456" s="256">
        <f>IF(I456=0,0,INT(I456))</f>
        <v/>
      </c>
      <c r="L456" s="257">
        <f>IF(OR(I456=0,J456=0),0,ROUND((J456-I456)*24,2))</f>
        <v/>
      </c>
      <c r="M456" s="254">
        <f>IFERROR(TRIM(MID(A456,FIND("@",SUBSTITUTE(A456,"(","@",LEN(A456)-LEN(SUBSTITUTE(A456,"(",""))))+1,FIND(")",A456,FIND("@",SUBSTITUTE(A456,"(","@",LEN(A456)-LEN(SUBSTITUTE(A456,"(","")))))-FIND("@",SUBSTITUTE(A456,"(","@",LEN(A456)-LEN(SUBSTITUTE(A456,"(",""))))-1)),"")</f>
        <v/>
      </c>
      <c r="N456" s="254">
        <f>IF(A456="","",IF(LEFT(TRIM(A456),5)="Leave","Leave",IF(OR(ISNUMBER(SEARCH("public holiday",A456)),ISNUMBER(SEARCH("Purple",E456))),"Public holiday","Event")))</f>
        <v/>
      </c>
    </row>
    <row r="457">
      <c r="G457" s="254">
        <f>IF(C457="","",IF(ISNUMBER(C457),C457,IF(ISNUMBER(VALUE(LEFT(TRIM(C457),1))),TRIM(C457),TRIM(MID(TRIM(C457),FIND(" ",TRIM(C457))+1,99)))))</f>
        <v/>
      </c>
      <c r="H457" s="254">
        <f>IF(D457="","",IF(ISNUMBER(D457),D457,IF(ISNUMBER(VALUE(LEFT(TRIM(D457),1))),TRIM(D457),TRIM(MID(TRIM(D457),FIND(" ",TRIM(D457))+1,99)))))</f>
        <v/>
      </c>
      <c r="I457" s="255">
        <f>IF(G457="",0,IF(ISNUMBER(G457),G457,IFERROR(DATE(VALUE(MID(G457,FIND("/",G457,FIND("/",G457)+1)+1,4)),VALUE(MID(G457,FIND("/",G457)+1,FIND("/",G457,FIND("/",G457)+1)-FIND("/",G457)-1)),VALUE(LEFT(G457,FIND("/",G457)-1)))+IFERROR(TIMEVALUE(TRIM(MID(G457,FIND(" ",G457)+1,20))),0),0)))</f>
        <v/>
      </c>
      <c r="J457" s="255">
        <f>IF(H457="",0,IF(ISNUMBER(H457),H457,IFERROR(DATE(VALUE(MID(H457,FIND("/",H457,FIND("/",H457)+1)+1,4)),VALUE(MID(H457,FIND("/",H457)+1,FIND("/",H457,FIND("/",H457)+1)-FIND("/",H457)-1)),VALUE(LEFT(H457,FIND("/",H457)-1)))+IFERROR(TIMEVALUE(TRIM(MID(H457,FIND(" ",H457)+1,20))),0),0)))</f>
        <v/>
      </c>
      <c r="K457" s="256">
        <f>IF(I457=0,0,INT(I457))</f>
        <v/>
      </c>
      <c r="L457" s="257">
        <f>IF(OR(I457=0,J457=0),0,ROUND((J457-I457)*24,2))</f>
        <v/>
      </c>
      <c r="M457" s="254">
        <f>IFERROR(TRIM(MID(A457,FIND("@",SUBSTITUTE(A457,"(","@",LEN(A457)-LEN(SUBSTITUTE(A457,"(",""))))+1,FIND(")",A457,FIND("@",SUBSTITUTE(A457,"(","@",LEN(A457)-LEN(SUBSTITUTE(A457,"(","")))))-FIND("@",SUBSTITUTE(A457,"(","@",LEN(A457)-LEN(SUBSTITUTE(A457,"(",""))))-1)),"")</f>
        <v/>
      </c>
      <c r="N457" s="254">
        <f>IF(A457="","",IF(LEFT(TRIM(A457),5)="Leave","Leave",IF(OR(ISNUMBER(SEARCH("public holiday",A457)),ISNUMBER(SEARCH("Purple",E457))),"Public holiday","Event")))</f>
        <v/>
      </c>
    </row>
    <row r="458">
      <c r="G458" s="254">
        <f>IF(C458="","",IF(ISNUMBER(C458),C458,IF(ISNUMBER(VALUE(LEFT(TRIM(C458),1))),TRIM(C458),TRIM(MID(TRIM(C458),FIND(" ",TRIM(C458))+1,99)))))</f>
        <v/>
      </c>
      <c r="H458" s="254">
        <f>IF(D458="","",IF(ISNUMBER(D458),D458,IF(ISNUMBER(VALUE(LEFT(TRIM(D458),1))),TRIM(D458),TRIM(MID(TRIM(D458),FIND(" ",TRIM(D458))+1,99)))))</f>
        <v/>
      </c>
      <c r="I458" s="255">
        <f>IF(G458="",0,IF(ISNUMBER(G458),G458,IFERROR(DATE(VALUE(MID(G458,FIND("/",G458,FIND("/",G458)+1)+1,4)),VALUE(MID(G458,FIND("/",G458)+1,FIND("/",G458,FIND("/",G458)+1)-FIND("/",G458)-1)),VALUE(LEFT(G458,FIND("/",G458)-1)))+IFERROR(TIMEVALUE(TRIM(MID(G458,FIND(" ",G458)+1,20))),0),0)))</f>
        <v/>
      </c>
      <c r="J458" s="255">
        <f>IF(H458="",0,IF(ISNUMBER(H458),H458,IFERROR(DATE(VALUE(MID(H458,FIND("/",H458,FIND("/",H458)+1)+1,4)),VALUE(MID(H458,FIND("/",H458)+1,FIND("/",H458,FIND("/",H458)+1)-FIND("/",H458)-1)),VALUE(LEFT(H458,FIND("/",H458)-1)))+IFERROR(TIMEVALUE(TRIM(MID(H458,FIND(" ",H458)+1,20))),0),0)))</f>
        <v/>
      </c>
      <c r="K458" s="256">
        <f>IF(I458=0,0,INT(I458))</f>
        <v/>
      </c>
      <c r="L458" s="257">
        <f>IF(OR(I458=0,J458=0),0,ROUND((J458-I458)*24,2))</f>
        <v/>
      </c>
      <c r="M458" s="254">
        <f>IFERROR(TRIM(MID(A458,FIND("@",SUBSTITUTE(A458,"(","@",LEN(A458)-LEN(SUBSTITUTE(A458,"(",""))))+1,FIND(")",A458,FIND("@",SUBSTITUTE(A458,"(","@",LEN(A458)-LEN(SUBSTITUTE(A458,"(","")))))-FIND("@",SUBSTITUTE(A458,"(","@",LEN(A458)-LEN(SUBSTITUTE(A458,"(",""))))-1)),"")</f>
        <v/>
      </c>
      <c r="N458" s="254">
        <f>IF(A458="","",IF(LEFT(TRIM(A458),5)="Leave","Leave",IF(OR(ISNUMBER(SEARCH("public holiday",A458)),ISNUMBER(SEARCH("Purple",E458))),"Public holiday","Event")))</f>
        <v/>
      </c>
    </row>
    <row r="459">
      <c r="G459" s="254">
        <f>IF(C459="","",IF(ISNUMBER(C459),C459,IF(ISNUMBER(VALUE(LEFT(TRIM(C459),1))),TRIM(C459),TRIM(MID(TRIM(C459),FIND(" ",TRIM(C459))+1,99)))))</f>
        <v/>
      </c>
      <c r="H459" s="254">
        <f>IF(D459="","",IF(ISNUMBER(D459),D459,IF(ISNUMBER(VALUE(LEFT(TRIM(D459),1))),TRIM(D459),TRIM(MID(TRIM(D459),FIND(" ",TRIM(D459))+1,99)))))</f>
        <v/>
      </c>
      <c r="I459" s="255">
        <f>IF(G459="",0,IF(ISNUMBER(G459),G459,IFERROR(DATE(VALUE(MID(G459,FIND("/",G459,FIND("/",G459)+1)+1,4)),VALUE(MID(G459,FIND("/",G459)+1,FIND("/",G459,FIND("/",G459)+1)-FIND("/",G459)-1)),VALUE(LEFT(G459,FIND("/",G459)-1)))+IFERROR(TIMEVALUE(TRIM(MID(G459,FIND(" ",G459)+1,20))),0),0)))</f>
        <v/>
      </c>
      <c r="J459" s="255">
        <f>IF(H459="",0,IF(ISNUMBER(H459),H459,IFERROR(DATE(VALUE(MID(H459,FIND("/",H459,FIND("/",H459)+1)+1,4)),VALUE(MID(H459,FIND("/",H459)+1,FIND("/",H459,FIND("/",H459)+1)-FIND("/",H459)-1)),VALUE(LEFT(H459,FIND("/",H459)-1)))+IFERROR(TIMEVALUE(TRIM(MID(H459,FIND(" ",H459)+1,20))),0),0)))</f>
        <v/>
      </c>
      <c r="K459" s="256">
        <f>IF(I459=0,0,INT(I459))</f>
        <v/>
      </c>
      <c r="L459" s="257">
        <f>IF(OR(I459=0,J459=0),0,ROUND((J459-I459)*24,2))</f>
        <v/>
      </c>
      <c r="M459" s="254">
        <f>IFERROR(TRIM(MID(A459,FIND("@",SUBSTITUTE(A459,"(","@",LEN(A459)-LEN(SUBSTITUTE(A459,"(",""))))+1,FIND(")",A459,FIND("@",SUBSTITUTE(A459,"(","@",LEN(A459)-LEN(SUBSTITUTE(A459,"(","")))))-FIND("@",SUBSTITUTE(A459,"(","@",LEN(A459)-LEN(SUBSTITUTE(A459,"(",""))))-1)),"")</f>
        <v/>
      </c>
      <c r="N459" s="254">
        <f>IF(A459="","",IF(LEFT(TRIM(A459),5)="Leave","Leave",IF(OR(ISNUMBER(SEARCH("public holiday",A459)),ISNUMBER(SEARCH("Purple",E459))),"Public holiday","Event")))</f>
        <v/>
      </c>
    </row>
    <row r="460">
      <c r="G460" s="254">
        <f>IF(C460="","",IF(ISNUMBER(C460),C460,IF(ISNUMBER(VALUE(LEFT(TRIM(C460),1))),TRIM(C460),TRIM(MID(TRIM(C460),FIND(" ",TRIM(C460))+1,99)))))</f>
        <v/>
      </c>
      <c r="H460" s="254">
        <f>IF(D460="","",IF(ISNUMBER(D460),D460,IF(ISNUMBER(VALUE(LEFT(TRIM(D460),1))),TRIM(D460),TRIM(MID(TRIM(D460),FIND(" ",TRIM(D460))+1,99)))))</f>
        <v/>
      </c>
      <c r="I460" s="255">
        <f>IF(G460="",0,IF(ISNUMBER(G460),G460,IFERROR(DATE(VALUE(MID(G460,FIND("/",G460,FIND("/",G460)+1)+1,4)),VALUE(MID(G460,FIND("/",G460)+1,FIND("/",G460,FIND("/",G460)+1)-FIND("/",G460)-1)),VALUE(LEFT(G460,FIND("/",G460)-1)))+IFERROR(TIMEVALUE(TRIM(MID(G460,FIND(" ",G460)+1,20))),0),0)))</f>
        <v/>
      </c>
      <c r="J460" s="255">
        <f>IF(H460="",0,IF(ISNUMBER(H460),H460,IFERROR(DATE(VALUE(MID(H460,FIND("/",H460,FIND("/",H460)+1)+1,4)),VALUE(MID(H460,FIND("/",H460)+1,FIND("/",H460,FIND("/",H460)+1)-FIND("/",H460)-1)),VALUE(LEFT(H460,FIND("/",H460)-1)))+IFERROR(TIMEVALUE(TRIM(MID(H460,FIND(" ",H460)+1,20))),0),0)))</f>
        <v/>
      </c>
      <c r="K460" s="256">
        <f>IF(I460=0,0,INT(I460))</f>
        <v/>
      </c>
      <c r="L460" s="257">
        <f>IF(OR(I460=0,J460=0),0,ROUND((J460-I460)*24,2))</f>
        <v/>
      </c>
      <c r="M460" s="254">
        <f>IFERROR(TRIM(MID(A460,FIND("@",SUBSTITUTE(A460,"(","@",LEN(A460)-LEN(SUBSTITUTE(A460,"(",""))))+1,FIND(")",A460,FIND("@",SUBSTITUTE(A460,"(","@",LEN(A460)-LEN(SUBSTITUTE(A460,"(","")))))-FIND("@",SUBSTITUTE(A460,"(","@",LEN(A460)-LEN(SUBSTITUTE(A460,"(",""))))-1)),"")</f>
        <v/>
      </c>
      <c r="N460" s="254">
        <f>IF(A460="","",IF(LEFT(TRIM(A460),5)="Leave","Leave",IF(OR(ISNUMBER(SEARCH("public holiday",A460)),ISNUMBER(SEARCH("Purple",E460))),"Public holiday","Event")))</f>
        <v/>
      </c>
    </row>
    <row r="461">
      <c r="G461" s="254">
        <f>IF(C461="","",IF(ISNUMBER(C461),C461,IF(ISNUMBER(VALUE(LEFT(TRIM(C461),1))),TRIM(C461),TRIM(MID(TRIM(C461),FIND(" ",TRIM(C461))+1,99)))))</f>
        <v/>
      </c>
      <c r="H461" s="254">
        <f>IF(D461="","",IF(ISNUMBER(D461),D461,IF(ISNUMBER(VALUE(LEFT(TRIM(D461),1))),TRIM(D461),TRIM(MID(TRIM(D461),FIND(" ",TRIM(D461))+1,99)))))</f>
        <v/>
      </c>
      <c r="I461" s="255">
        <f>IF(G461="",0,IF(ISNUMBER(G461),G461,IFERROR(DATE(VALUE(MID(G461,FIND("/",G461,FIND("/",G461)+1)+1,4)),VALUE(MID(G461,FIND("/",G461)+1,FIND("/",G461,FIND("/",G461)+1)-FIND("/",G461)-1)),VALUE(LEFT(G461,FIND("/",G461)-1)))+IFERROR(TIMEVALUE(TRIM(MID(G461,FIND(" ",G461)+1,20))),0),0)))</f>
        <v/>
      </c>
      <c r="J461" s="255">
        <f>IF(H461="",0,IF(ISNUMBER(H461),H461,IFERROR(DATE(VALUE(MID(H461,FIND("/",H461,FIND("/",H461)+1)+1,4)),VALUE(MID(H461,FIND("/",H461)+1,FIND("/",H461,FIND("/",H461)+1)-FIND("/",H461)-1)),VALUE(LEFT(H461,FIND("/",H461)-1)))+IFERROR(TIMEVALUE(TRIM(MID(H461,FIND(" ",H461)+1,20))),0),0)))</f>
        <v/>
      </c>
      <c r="K461" s="256">
        <f>IF(I461=0,0,INT(I461))</f>
        <v/>
      </c>
      <c r="L461" s="257">
        <f>IF(OR(I461=0,J461=0),0,ROUND((J461-I461)*24,2))</f>
        <v/>
      </c>
      <c r="M461" s="254">
        <f>IFERROR(TRIM(MID(A461,FIND("@",SUBSTITUTE(A461,"(","@",LEN(A461)-LEN(SUBSTITUTE(A461,"(",""))))+1,FIND(")",A461,FIND("@",SUBSTITUTE(A461,"(","@",LEN(A461)-LEN(SUBSTITUTE(A461,"(","")))))-FIND("@",SUBSTITUTE(A461,"(","@",LEN(A461)-LEN(SUBSTITUTE(A461,"(",""))))-1)),"")</f>
        <v/>
      </c>
      <c r="N461" s="254">
        <f>IF(A461="","",IF(LEFT(TRIM(A461),5)="Leave","Leave",IF(OR(ISNUMBER(SEARCH("public holiday",A461)),ISNUMBER(SEARCH("Purple",E461))),"Public holiday","Event")))</f>
        <v/>
      </c>
    </row>
    <row r="462">
      <c r="G462" s="254">
        <f>IF(C462="","",IF(ISNUMBER(C462),C462,IF(ISNUMBER(VALUE(LEFT(TRIM(C462),1))),TRIM(C462),TRIM(MID(TRIM(C462),FIND(" ",TRIM(C462))+1,99)))))</f>
        <v/>
      </c>
      <c r="H462" s="254">
        <f>IF(D462="","",IF(ISNUMBER(D462),D462,IF(ISNUMBER(VALUE(LEFT(TRIM(D462),1))),TRIM(D462),TRIM(MID(TRIM(D462),FIND(" ",TRIM(D462))+1,99)))))</f>
        <v/>
      </c>
      <c r="I462" s="255">
        <f>IF(G462="",0,IF(ISNUMBER(G462),G462,IFERROR(DATE(VALUE(MID(G462,FIND("/",G462,FIND("/",G462)+1)+1,4)),VALUE(MID(G462,FIND("/",G462)+1,FIND("/",G462,FIND("/",G462)+1)-FIND("/",G462)-1)),VALUE(LEFT(G462,FIND("/",G462)-1)))+IFERROR(TIMEVALUE(TRIM(MID(G462,FIND(" ",G462)+1,20))),0),0)))</f>
        <v/>
      </c>
      <c r="J462" s="255">
        <f>IF(H462="",0,IF(ISNUMBER(H462),H462,IFERROR(DATE(VALUE(MID(H462,FIND("/",H462,FIND("/",H462)+1)+1,4)),VALUE(MID(H462,FIND("/",H462)+1,FIND("/",H462,FIND("/",H462)+1)-FIND("/",H462)-1)),VALUE(LEFT(H462,FIND("/",H462)-1)))+IFERROR(TIMEVALUE(TRIM(MID(H462,FIND(" ",H462)+1,20))),0),0)))</f>
        <v/>
      </c>
      <c r="K462" s="256">
        <f>IF(I462=0,0,INT(I462))</f>
        <v/>
      </c>
      <c r="L462" s="257">
        <f>IF(OR(I462=0,J462=0),0,ROUND((J462-I462)*24,2))</f>
        <v/>
      </c>
      <c r="M462" s="254">
        <f>IFERROR(TRIM(MID(A462,FIND("@",SUBSTITUTE(A462,"(","@",LEN(A462)-LEN(SUBSTITUTE(A462,"(",""))))+1,FIND(")",A462,FIND("@",SUBSTITUTE(A462,"(","@",LEN(A462)-LEN(SUBSTITUTE(A462,"(","")))))-FIND("@",SUBSTITUTE(A462,"(","@",LEN(A462)-LEN(SUBSTITUTE(A462,"(",""))))-1)),"")</f>
        <v/>
      </c>
      <c r="N462" s="254">
        <f>IF(A462="","",IF(LEFT(TRIM(A462),5)="Leave","Leave",IF(OR(ISNUMBER(SEARCH("public holiday",A462)),ISNUMBER(SEARCH("Purple",E462))),"Public holiday","Event")))</f>
        <v/>
      </c>
    </row>
    <row r="463">
      <c r="G463" s="254">
        <f>IF(C463="","",IF(ISNUMBER(C463),C463,IF(ISNUMBER(VALUE(LEFT(TRIM(C463),1))),TRIM(C463),TRIM(MID(TRIM(C463),FIND(" ",TRIM(C463))+1,99)))))</f>
        <v/>
      </c>
      <c r="H463" s="254">
        <f>IF(D463="","",IF(ISNUMBER(D463),D463,IF(ISNUMBER(VALUE(LEFT(TRIM(D463),1))),TRIM(D463),TRIM(MID(TRIM(D463),FIND(" ",TRIM(D463))+1,99)))))</f>
        <v/>
      </c>
      <c r="I463" s="255">
        <f>IF(G463="",0,IF(ISNUMBER(G463),G463,IFERROR(DATE(VALUE(MID(G463,FIND("/",G463,FIND("/",G463)+1)+1,4)),VALUE(MID(G463,FIND("/",G463)+1,FIND("/",G463,FIND("/",G463)+1)-FIND("/",G463)-1)),VALUE(LEFT(G463,FIND("/",G463)-1)))+IFERROR(TIMEVALUE(TRIM(MID(G463,FIND(" ",G463)+1,20))),0),0)))</f>
        <v/>
      </c>
      <c r="J463" s="255">
        <f>IF(H463="",0,IF(ISNUMBER(H463),H463,IFERROR(DATE(VALUE(MID(H463,FIND("/",H463,FIND("/",H463)+1)+1,4)),VALUE(MID(H463,FIND("/",H463)+1,FIND("/",H463,FIND("/",H463)+1)-FIND("/",H463)-1)),VALUE(LEFT(H463,FIND("/",H463)-1)))+IFERROR(TIMEVALUE(TRIM(MID(H463,FIND(" ",H463)+1,20))),0),0)))</f>
        <v/>
      </c>
      <c r="K463" s="256">
        <f>IF(I463=0,0,INT(I463))</f>
        <v/>
      </c>
      <c r="L463" s="257">
        <f>IF(OR(I463=0,J463=0),0,ROUND((J463-I463)*24,2))</f>
        <v/>
      </c>
      <c r="M463" s="254">
        <f>IFERROR(TRIM(MID(A463,FIND("@",SUBSTITUTE(A463,"(","@",LEN(A463)-LEN(SUBSTITUTE(A463,"(",""))))+1,FIND(")",A463,FIND("@",SUBSTITUTE(A463,"(","@",LEN(A463)-LEN(SUBSTITUTE(A463,"(","")))))-FIND("@",SUBSTITUTE(A463,"(","@",LEN(A463)-LEN(SUBSTITUTE(A463,"(",""))))-1)),"")</f>
        <v/>
      </c>
      <c r="N463" s="254">
        <f>IF(A463="","",IF(LEFT(TRIM(A463),5)="Leave","Leave",IF(OR(ISNUMBER(SEARCH("public holiday",A463)),ISNUMBER(SEARCH("Purple",E463))),"Public holiday","Event")))</f>
        <v/>
      </c>
    </row>
    <row r="464">
      <c r="G464" s="254">
        <f>IF(C464="","",IF(ISNUMBER(C464),C464,IF(ISNUMBER(VALUE(LEFT(TRIM(C464),1))),TRIM(C464),TRIM(MID(TRIM(C464),FIND(" ",TRIM(C464))+1,99)))))</f>
        <v/>
      </c>
      <c r="H464" s="254">
        <f>IF(D464="","",IF(ISNUMBER(D464),D464,IF(ISNUMBER(VALUE(LEFT(TRIM(D464),1))),TRIM(D464),TRIM(MID(TRIM(D464),FIND(" ",TRIM(D464))+1,99)))))</f>
        <v/>
      </c>
      <c r="I464" s="255">
        <f>IF(G464="",0,IF(ISNUMBER(G464),G464,IFERROR(DATE(VALUE(MID(G464,FIND("/",G464,FIND("/",G464)+1)+1,4)),VALUE(MID(G464,FIND("/",G464)+1,FIND("/",G464,FIND("/",G464)+1)-FIND("/",G464)-1)),VALUE(LEFT(G464,FIND("/",G464)-1)))+IFERROR(TIMEVALUE(TRIM(MID(G464,FIND(" ",G464)+1,20))),0),0)))</f>
        <v/>
      </c>
      <c r="J464" s="255">
        <f>IF(H464="",0,IF(ISNUMBER(H464),H464,IFERROR(DATE(VALUE(MID(H464,FIND("/",H464,FIND("/",H464)+1)+1,4)),VALUE(MID(H464,FIND("/",H464)+1,FIND("/",H464,FIND("/",H464)+1)-FIND("/",H464)-1)),VALUE(LEFT(H464,FIND("/",H464)-1)))+IFERROR(TIMEVALUE(TRIM(MID(H464,FIND(" ",H464)+1,20))),0),0)))</f>
        <v/>
      </c>
      <c r="K464" s="256">
        <f>IF(I464=0,0,INT(I464))</f>
        <v/>
      </c>
      <c r="L464" s="257">
        <f>IF(OR(I464=0,J464=0),0,ROUND((J464-I464)*24,2))</f>
        <v/>
      </c>
      <c r="M464" s="254">
        <f>IFERROR(TRIM(MID(A464,FIND("@",SUBSTITUTE(A464,"(","@",LEN(A464)-LEN(SUBSTITUTE(A464,"(",""))))+1,FIND(")",A464,FIND("@",SUBSTITUTE(A464,"(","@",LEN(A464)-LEN(SUBSTITUTE(A464,"(","")))))-FIND("@",SUBSTITUTE(A464,"(","@",LEN(A464)-LEN(SUBSTITUTE(A464,"(",""))))-1)),"")</f>
        <v/>
      </c>
      <c r="N464" s="254">
        <f>IF(A464="","",IF(LEFT(TRIM(A464),5)="Leave","Leave",IF(OR(ISNUMBER(SEARCH("public holiday",A464)),ISNUMBER(SEARCH("Purple",E464))),"Public holiday","Event")))</f>
        <v/>
      </c>
    </row>
    <row r="465">
      <c r="G465" s="254">
        <f>IF(C465="","",IF(ISNUMBER(C465),C465,IF(ISNUMBER(VALUE(LEFT(TRIM(C465),1))),TRIM(C465),TRIM(MID(TRIM(C465),FIND(" ",TRIM(C465))+1,99)))))</f>
        <v/>
      </c>
      <c r="H465" s="254">
        <f>IF(D465="","",IF(ISNUMBER(D465),D465,IF(ISNUMBER(VALUE(LEFT(TRIM(D465),1))),TRIM(D465),TRIM(MID(TRIM(D465),FIND(" ",TRIM(D465))+1,99)))))</f>
        <v/>
      </c>
      <c r="I465" s="255">
        <f>IF(G465="",0,IF(ISNUMBER(G465),G465,IFERROR(DATE(VALUE(MID(G465,FIND("/",G465,FIND("/",G465)+1)+1,4)),VALUE(MID(G465,FIND("/",G465)+1,FIND("/",G465,FIND("/",G465)+1)-FIND("/",G465)-1)),VALUE(LEFT(G465,FIND("/",G465)-1)))+IFERROR(TIMEVALUE(TRIM(MID(G465,FIND(" ",G465)+1,20))),0),0)))</f>
        <v/>
      </c>
      <c r="J465" s="255">
        <f>IF(H465="",0,IF(ISNUMBER(H465),H465,IFERROR(DATE(VALUE(MID(H465,FIND("/",H465,FIND("/",H465)+1)+1,4)),VALUE(MID(H465,FIND("/",H465)+1,FIND("/",H465,FIND("/",H465)+1)-FIND("/",H465)-1)),VALUE(LEFT(H465,FIND("/",H465)-1)))+IFERROR(TIMEVALUE(TRIM(MID(H465,FIND(" ",H465)+1,20))),0),0)))</f>
        <v/>
      </c>
      <c r="K465" s="256">
        <f>IF(I465=0,0,INT(I465))</f>
        <v/>
      </c>
      <c r="L465" s="257">
        <f>IF(OR(I465=0,J465=0),0,ROUND((J465-I465)*24,2))</f>
        <v/>
      </c>
      <c r="M465" s="254">
        <f>IFERROR(TRIM(MID(A465,FIND("@",SUBSTITUTE(A465,"(","@",LEN(A465)-LEN(SUBSTITUTE(A465,"(",""))))+1,FIND(")",A465,FIND("@",SUBSTITUTE(A465,"(","@",LEN(A465)-LEN(SUBSTITUTE(A465,"(","")))))-FIND("@",SUBSTITUTE(A465,"(","@",LEN(A465)-LEN(SUBSTITUTE(A465,"(",""))))-1)),"")</f>
        <v/>
      </c>
      <c r="N465" s="254">
        <f>IF(A465="","",IF(LEFT(TRIM(A465),5)="Leave","Leave",IF(OR(ISNUMBER(SEARCH("public holiday",A465)),ISNUMBER(SEARCH("Purple",E465))),"Public holiday","Event")))</f>
        <v/>
      </c>
    </row>
    <row r="466">
      <c r="G466" s="254">
        <f>IF(C466="","",IF(ISNUMBER(C466),C466,IF(ISNUMBER(VALUE(LEFT(TRIM(C466),1))),TRIM(C466),TRIM(MID(TRIM(C466),FIND(" ",TRIM(C466))+1,99)))))</f>
        <v/>
      </c>
      <c r="H466" s="254">
        <f>IF(D466="","",IF(ISNUMBER(D466),D466,IF(ISNUMBER(VALUE(LEFT(TRIM(D466),1))),TRIM(D466),TRIM(MID(TRIM(D466),FIND(" ",TRIM(D466))+1,99)))))</f>
        <v/>
      </c>
      <c r="I466" s="255">
        <f>IF(G466="",0,IF(ISNUMBER(G466),G466,IFERROR(DATE(VALUE(MID(G466,FIND("/",G466,FIND("/",G466)+1)+1,4)),VALUE(MID(G466,FIND("/",G466)+1,FIND("/",G466,FIND("/",G466)+1)-FIND("/",G466)-1)),VALUE(LEFT(G466,FIND("/",G466)-1)))+IFERROR(TIMEVALUE(TRIM(MID(G466,FIND(" ",G466)+1,20))),0),0)))</f>
        <v/>
      </c>
      <c r="J466" s="255">
        <f>IF(H466="",0,IF(ISNUMBER(H466),H466,IFERROR(DATE(VALUE(MID(H466,FIND("/",H466,FIND("/",H466)+1)+1,4)),VALUE(MID(H466,FIND("/",H466)+1,FIND("/",H466,FIND("/",H466)+1)-FIND("/",H466)-1)),VALUE(LEFT(H466,FIND("/",H466)-1)))+IFERROR(TIMEVALUE(TRIM(MID(H466,FIND(" ",H466)+1,20))),0),0)))</f>
        <v/>
      </c>
      <c r="K466" s="256">
        <f>IF(I466=0,0,INT(I466))</f>
        <v/>
      </c>
      <c r="L466" s="257">
        <f>IF(OR(I466=0,J466=0),0,ROUND((J466-I466)*24,2))</f>
        <v/>
      </c>
      <c r="M466" s="254">
        <f>IFERROR(TRIM(MID(A466,FIND("@",SUBSTITUTE(A466,"(","@",LEN(A466)-LEN(SUBSTITUTE(A466,"(",""))))+1,FIND(")",A466,FIND("@",SUBSTITUTE(A466,"(","@",LEN(A466)-LEN(SUBSTITUTE(A466,"(","")))))-FIND("@",SUBSTITUTE(A466,"(","@",LEN(A466)-LEN(SUBSTITUTE(A466,"(",""))))-1)),"")</f>
        <v/>
      </c>
      <c r="N466" s="254">
        <f>IF(A466="","",IF(LEFT(TRIM(A466),5)="Leave","Leave",IF(OR(ISNUMBER(SEARCH("public holiday",A466)),ISNUMBER(SEARCH("Purple",E466))),"Public holiday","Event")))</f>
        <v/>
      </c>
    </row>
    <row r="467">
      <c r="G467" s="254">
        <f>IF(C467="","",IF(ISNUMBER(C467),C467,IF(ISNUMBER(VALUE(LEFT(TRIM(C467),1))),TRIM(C467),TRIM(MID(TRIM(C467),FIND(" ",TRIM(C467))+1,99)))))</f>
        <v/>
      </c>
      <c r="H467" s="254">
        <f>IF(D467="","",IF(ISNUMBER(D467),D467,IF(ISNUMBER(VALUE(LEFT(TRIM(D467),1))),TRIM(D467),TRIM(MID(TRIM(D467),FIND(" ",TRIM(D467))+1,99)))))</f>
        <v/>
      </c>
      <c r="I467" s="255">
        <f>IF(G467="",0,IF(ISNUMBER(G467),G467,IFERROR(DATE(VALUE(MID(G467,FIND("/",G467,FIND("/",G467)+1)+1,4)),VALUE(MID(G467,FIND("/",G467)+1,FIND("/",G467,FIND("/",G467)+1)-FIND("/",G467)-1)),VALUE(LEFT(G467,FIND("/",G467)-1)))+IFERROR(TIMEVALUE(TRIM(MID(G467,FIND(" ",G467)+1,20))),0),0)))</f>
        <v/>
      </c>
      <c r="J467" s="255">
        <f>IF(H467="",0,IF(ISNUMBER(H467),H467,IFERROR(DATE(VALUE(MID(H467,FIND("/",H467,FIND("/",H467)+1)+1,4)),VALUE(MID(H467,FIND("/",H467)+1,FIND("/",H467,FIND("/",H467)+1)-FIND("/",H467)-1)),VALUE(LEFT(H467,FIND("/",H467)-1)))+IFERROR(TIMEVALUE(TRIM(MID(H467,FIND(" ",H467)+1,20))),0),0)))</f>
        <v/>
      </c>
      <c r="K467" s="256">
        <f>IF(I467=0,0,INT(I467))</f>
        <v/>
      </c>
      <c r="L467" s="257">
        <f>IF(OR(I467=0,J467=0),0,ROUND((J467-I467)*24,2))</f>
        <v/>
      </c>
      <c r="M467" s="254">
        <f>IFERROR(TRIM(MID(A467,FIND("@",SUBSTITUTE(A467,"(","@",LEN(A467)-LEN(SUBSTITUTE(A467,"(",""))))+1,FIND(")",A467,FIND("@",SUBSTITUTE(A467,"(","@",LEN(A467)-LEN(SUBSTITUTE(A467,"(","")))))-FIND("@",SUBSTITUTE(A467,"(","@",LEN(A467)-LEN(SUBSTITUTE(A467,"(",""))))-1)),"")</f>
        <v/>
      </c>
      <c r="N467" s="254">
        <f>IF(A467="","",IF(LEFT(TRIM(A467),5)="Leave","Leave",IF(OR(ISNUMBER(SEARCH("public holiday",A467)),ISNUMBER(SEARCH("Purple",E467))),"Public holiday","Event")))</f>
        <v/>
      </c>
    </row>
    <row r="468">
      <c r="G468" s="254">
        <f>IF(C468="","",IF(ISNUMBER(C468),C468,IF(ISNUMBER(VALUE(LEFT(TRIM(C468),1))),TRIM(C468),TRIM(MID(TRIM(C468),FIND(" ",TRIM(C468))+1,99)))))</f>
        <v/>
      </c>
      <c r="H468" s="254">
        <f>IF(D468="","",IF(ISNUMBER(D468),D468,IF(ISNUMBER(VALUE(LEFT(TRIM(D468),1))),TRIM(D468),TRIM(MID(TRIM(D468),FIND(" ",TRIM(D468))+1,99)))))</f>
        <v/>
      </c>
      <c r="I468" s="255">
        <f>IF(G468="",0,IF(ISNUMBER(G468),G468,IFERROR(DATE(VALUE(MID(G468,FIND("/",G468,FIND("/",G468)+1)+1,4)),VALUE(MID(G468,FIND("/",G468)+1,FIND("/",G468,FIND("/",G468)+1)-FIND("/",G468)-1)),VALUE(LEFT(G468,FIND("/",G468)-1)))+IFERROR(TIMEVALUE(TRIM(MID(G468,FIND(" ",G468)+1,20))),0),0)))</f>
        <v/>
      </c>
      <c r="J468" s="255">
        <f>IF(H468="",0,IF(ISNUMBER(H468),H468,IFERROR(DATE(VALUE(MID(H468,FIND("/",H468,FIND("/",H468)+1)+1,4)),VALUE(MID(H468,FIND("/",H468)+1,FIND("/",H468,FIND("/",H468)+1)-FIND("/",H468)-1)),VALUE(LEFT(H468,FIND("/",H468)-1)))+IFERROR(TIMEVALUE(TRIM(MID(H468,FIND(" ",H468)+1,20))),0),0)))</f>
        <v/>
      </c>
      <c r="K468" s="256">
        <f>IF(I468=0,0,INT(I468))</f>
        <v/>
      </c>
      <c r="L468" s="257">
        <f>IF(OR(I468=0,J468=0),0,ROUND((J468-I468)*24,2))</f>
        <v/>
      </c>
      <c r="M468" s="254">
        <f>IFERROR(TRIM(MID(A468,FIND("@",SUBSTITUTE(A468,"(","@",LEN(A468)-LEN(SUBSTITUTE(A468,"(",""))))+1,FIND(")",A468,FIND("@",SUBSTITUTE(A468,"(","@",LEN(A468)-LEN(SUBSTITUTE(A468,"(","")))))-FIND("@",SUBSTITUTE(A468,"(","@",LEN(A468)-LEN(SUBSTITUTE(A468,"(",""))))-1)),"")</f>
        <v/>
      </c>
      <c r="N468" s="254">
        <f>IF(A468="","",IF(LEFT(TRIM(A468),5)="Leave","Leave",IF(OR(ISNUMBER(SEARCH("public holiday",A468)),ISNUMBER(SEARCH("Purple",E468))),"Public holiday","Event")))</f>
        <v/>
      </c>
    </row>
    <row r="469">
      <c r="G469" s="254">
        <f>IF(C469="","",IF(ISNUMBER(C469),C469,IF(ISNUMBER(VALUE(LEFT(TRIM(C469),1))),TRIM(C469),TRIM(MID(TRIM(C469),FIND(" ",TRIM(C469))+1,99)))))</f>
        <v/>
      </c>
      <c r="H469" s="254">
        <f>IF(D469="","",IF(ISNUMBER(D469),D469,IF(ISNUMBER(VALUE(LEFT(TRIM(D469),1))),TRIM(D469),TRIM(MID(TRIM(D469),FIND(" ",TRIM(D469))+1,99)))))</f>
        <v/>
      </c>
      <c r="I469" s="255">
        <f>IF(G469="",0,IF(ISNUMBER(G469),G469,IFERROR(DATE(VALUE(MID(G469,FIND("/",G469,FIND("/",G469)+1)+1,4)),VALUE(MID(G469,FIND("/",G469)+1,FIND("/",G469,FIND("/",G469)+1)-FIND("/",G469)-1)),VALUE(LEFT(G469,FIND("/",G469)-1)))+IFERROR(TIMEVALUE(TRIM(MID(G469,FIND(" ",G469)+1,20))),0),0)))</f>
        <v/>
      </c>
      <c r="J469" s="255">
        <f>IF(H469="",0,IF(ISNUMBER(H469),H469,IFERROR(DATE(VALUE(MID(H469,FIND("/",H469,FIND("/",H469)+1)+1,4)),VALUE(MID(H469,FIND("/",H469)+1,FIND("/",H469,FIND("/",H469)+1)-FIND("/",H469)-1)),VALUE(LEFT(H469,FIND("/",H469)-1)))+IFERROR(TIMEVALUE(TRIM(MID(H469,FIND(" ",H469)+1,20))),0),0)))</f>
        <v/>
      </c>
      <c r="K469" s="256">
        <f>IF(I469=0,0,INT(I469))</f>
        <v/>
      </c>
      <c r="L469" s="257">
        <f>IF(OR(I469=0,J469=0),0,ROUND((J469-I469)*24,2))</f>
        <v/>
      </c>
      <c r="M469" s="254">
        <f>IFERROR(TRIM(MID(A469,FIND("@",SUBSTITUTE(A469,"(","@",LEN(A469)-LEN(SUBSTITUTE(A469,"(",""))))+1,FIND(")",A469,FIND("@",SUBSTITUTE(A469,"(","@",LEN(A469)-LEN(SUBSTITUTE(A469,"(","")))))-FIND("@",SUBSTITUTE(A469,"(","@",LEN(A469)-LEN(SUBSTITUTE(A469,"(",""))))-1)),"")</f>
        <v/>
      </c>
      <c r="N469" s="254">
        <f>IF(A469="","",IF(LEFT(TRIM(A469),5)="Leave","Leave",IF(OR(ISNUMBER(SEARCH("public holiday",A469)),ISNUMBER(SEARCH("Purple",E469))),"Public holiday","Event")))</f>
        <v/>
      </c>
    </row>
    <row r="470">
      <c r="G470" s="254">
        <f>IF(C470="","",IF(ISNUMBER(C470),C470,IF(ISNUMBER(VALUE(LEFT(TRIM(C470),1))),TRIM(C470),TRIM(MID(TRIM(C470),FIND(" ",TRIM(C470))+1,99)))))</f>
        <v/>
      </c>
      <c r="H470" s="254">
        <f>IF(D470="","",IF(ISNUMBER(D470),D470,IF(ISNUMBER(VALUE(LEFT(TRIM(D470),1))),TRIM(D470),TRIM(MID(TRIM(D470),FIND(" ",TRIM(D470))+1,99)))))</f>
        <v/>
      </c>
      <c r="I470" s="255">
        <f>IF(G470="",0,IF(ISNUMBER(G470),G470,IFERROR(DATE(VALUE(MID(G470,FIND("/",G470,FIND("/",G470)+1)+1,4)),VALUE(MID(G470,FIND("/",G470)+1,FIND("/",G470,FIND("/",G470)+1)-FIND("/",G470)-1)),VALUE(LEFT(G470,FIND("/",G470)-1)))+IFERROR(TIMEVALUE(TRIM(MID(G470,FIND(" ",G470)+1,20))),0),0)))</f>
        <v/>
      </c>
      <c r="J470" s="255">
        <f>IF(H470="",0,IF(ISNUMBER(H470),H470,IFERROR(DATE(VALUE(MID(H470,FIND("/",H470,FIND("/",H470)+1)+1,4)),VALUE(MID(H470,FIND("/",H470)+1,FIND("/",H470,FIND("/",H470)+1)-FIND("/",H470)-1)),VALUE(LEFT(H470,FIND("/",H470)-1)))+IFERROR(TIMEVALUE(TRIM(MID(H470,FIND(" ",H470)+1,20))),0),0)))</f>
        <v/>
      </c>
      <c r="K470" s="256">
        <f>IF(I470=0,0,INT(I470))</f>
        <v/>
      </c>
      <c r="L470" s="257">
        <f>IF(OR(I470=0,J470=0),0,ROUND((J470-I470)*24,2))</f>
        <v/>
      </c>
      <c r="M470" s="254">
        <f>IFERROR(TRIM(MID(A470,FIND("@",SUBSTITUTE(A470,"(","@",LEN(A470)-LEN(SUBSTITUTE(A470,"(",""))))+1,FIND(")",A470,FIND("@",SUBSTITUTE(A470,"(","@",LEN(A470)-LEN(SUBSTITUTE(A470,"(","")))))-FIND("@",SUBSTITUTE(A470,"(","@",LEN(A470)-LEN(SUBSTITUTE(A470,"(",""))))-1)),"")</f>
        <v/>
      </c>
      <c r="N470" s="254">
        <f>IF(A470="","",IF(LEFT(TRIM(A470),5)="Leave","Leave",IF(OR(ISNUMBER(SEARCH("public holiday",A470)),ISNUMBER(SEARCH("Purple",E470))),"Public holiday","Event")))</f>
        <v/>
      </c>
    </row>
    <row r="471">
      <c r="G471" s="254">
        <f>IF(C471="","",IF(ISNUMBER(C471),C471,IF(ISNUMBER(VALUE(LEFT(TRIM(C471),1))),TRIM(C471),TRIM(MID(TRIM(C471),FIND(" ",TRIM(C471))+1,99)))))</f>
        <v/>
      </c>
      <c r="H471" s="254">
        <f>IF(D471="","",IF(ISNUMBER(D471),D471,IF(ISNUMBER(VALUE(LEFT(TRIM(D471),1))),TRIM(D471),TRIM(MID(TRIM(D471),FIND(" ",TRIM(D471))+1,99)))))</f>
        <v/>
      </c>
      <c r="I471" s="255">
        <f>IF(G471="",0,IF(ISNUMBER(G471),G471,IFERROR(DATE(VALUE(MID(G471,FIND("/",G471,FIND("/",G471)+1)+1,4)),VALUE(MID(G471,FIND("/",G471)+1,FIND("/",G471,FIND("/",G471)+1)-FIND("/",G471)-1)),VALUE(LEFT(G471,FIND("/",G471)-1)))+IFERROR(TIMEVALUE(TRIM(MID(G471,FIND(" ",G471)+1,20))),0),0)))</f>
        <v/>
      </c>
      <c r="J471" s="255">
        <f>IF(H471="",0,IF(ISNUMBER(H471),H471,IFERROR(DATE(VALUE(MID(H471,FIND("/",H471,FIND("/",H471)+1)+1,4)),VALUE(MID(H471,FIND("/",H471)+1,FIND("/",H471,FIND("/",H471)+1)-FIND("/",H471)-1)),VALUE(LEFT(H471,FIND("/",H471)-1)))+IFERROR(TIMEVALUE(TRIM(MID(H471,FIND(" ",H471)+1,20))),0),0)))</f>
        <v/>
      </c>
      <c r="K471" s="256">
        <f>IF(I471=0,0,INT(I471))</f>
        <v/>
      </c>
      <c r="L471" s="257">
        <f>IF(OR(I471=0,J471=0),0,ROUND((J471-I471)*24,2))</f>
        <v/>
      </c>
      <c r="M471" s="254">
        <f>IFERROR(TRIM(MID(A471,FIND("@",SUBSTITUTE(A471,"(","@",LEN(A471)-LEN(SUBSTITUTE(A471,"(",""))))+1,FIND(")",A471,FIND("@",SUBSTITUTE(A471,"(","@",LEN(A471)-LEN(SUBSTITUTE(A471,"(","")))))-FIND("@",SUBSTITUTE(A471,"(","@",LEN(A471)-LEN(SUBSTITUTE(A471,"(",""))))-1)),"")</f>
        <v/>
      </c>
      <c r="N471" s="254">
        <f>IF(A471="","",IF(LEFT(TRIM(A471),5)="Leave","Leave",IF(OR(ISNUMBER(SEARCH("public holiday",A471)),ISNUMBER(SEARCH("Purple",E471))),"Public holiday","Event")))</f>
        <v/>
      </c>
    </row>
    <row r="472">
      <c r="G472" s="254">
        <f>IF(C472="","",IF(ISNUMBER(C472),C472,IF(ISNUMBER(VALUE(LEFT(TRIM(C472),1))),TRIM(C472),TRIM(MID(TRIM(C472),FIND(" ",TRIM(C472))+1,99)))))</f>
        <v/>
      </c>
      <c r="H472" s="254">
        <f>IF(D472="","",IF(ISNUMBER(D472),D472,IF(ISNUMBER(VALUE(LEFT(TRIM(D472),1))),TRIM(D472),TRIM(MID(TRIM(D472),FIND(" ",TRIM(D472))+1,99)))))</f>
        <v/>
      </c>
      <c r="I472" s="255">
        <f>IF(G472="",0,IF(ISNUMBER(G472),G472,IFERROR(DATE(VALUE(MID(G472,FIND("/",G472,FIND("/",G472)+1)+1,4)),VALUE(MID(G472,FIND("/",G472)+1,FIND("/",G472,FIND("/",G472)+1)-FIND("/",G472)-1)),VALUE(LEFT(G472,FIND("/",G472)-1)))+IFERROR(TIMEVALUE(TRIM(MID(G472,FIND(" ",G472)+1,20))),0),0)))</f>
        <v/>
      </c>
      <c r="J472" s="255">
        <f>IF(H472="",0,IF(ISNUMBER(H472),H472,IFERROR(DATE(VALUE(MID(H472,FIND("/",H472,FIND("/",H472)+1)+1,4)),VALUE(MID(H472,FIND("/",H472)+1,FIND("/",H472,FIND("/",H472)+1)-FIND("/",H472)-1)),VALUE(LEFT(H472,FIND("/",H472)-1)))+IFERROR(TIMEVALUE(TRIM(MID(H472,FIND(" ",H472)+1,20))),0),0)))</f>
        <v/>
      </c>
      <c r="K472" s="256">
        <f>IF(I472=0,0,INT(I472))</f>
        <v/>
      </c>
      <c r="L472" s="257">
        <f>IF(OR(I472=0,J472=0),0,ROUND((J472-I472)*24,2))</f>
        <v/>
      </c>
      <c r="M472" s="254">
        <f>IFERROR(TRIM(MID(A472,FIND("@",SUBSTITUTE(A472,"(","@",LEN(A472)-LEN(SUBSTITUTE(A472,"(",""))))+1,FIND(")",A472,FIND("@",SUBSTITUTE(A472,"(","@",LEN(A472)-LEN(SUBSTITUTE(A472,"(","")))))-FIND("@",SUBSTITUTE(A472,"(","@",LEN(A472)-LEN(SUBSTITUTE(A472,"(",""))))-1)),"")</f>
        <v/>
      </c>
      <c r="N472" s="254">
        <f>IF(A472="","",IF(LEFT(TRIM(A472),5)="Leave","Leave",IF(OR(ISNUMBER(SEARCH("public holiday",A472)),ISNUMBER(SEARCH("Purple",E472))),"Public holiday","Event")))</f>
        <v/>
      </c>
    </row>
    <row r="473">
      <c r="G473" s="254">
        <f>IF(C473="","",IF(ISNUMBER(C473),C473,IF(ISNUMBER(VALUE(LEFT(TRIM(C473),1))),TRIM(C473),TRIM(MID(TRIM(C473),FIND(" ",TRIM(C473))+1,99)))))</f>
        <v/>
      </c>
      <c r="H473" s="254">
        <f>IF(D473="","",IF(ISNUMBER(D473),D473,IF(ISNUMBER(VALUE(LEFT(TRIM(D473),1))),TRIM(D473),TRIM(MID(TRIM(D473),FIND(" ",TRIM(D473))+1,99)))))</f>
        <v/>
      </c>
      <c r="I473" s="255">
        <f>IF(G473="",0,IF(ISNUMBER(G473),G473,IFERROR(DATE(VALUE(MID(G473,FIND("/",G473,FIND("/",G473)+1)+1,4)),VALUE(MID(G473,FIND("/",G473)+1,FIND("/",G473,FIND("/",G473)+1)-FIND("/",G473)-1)),VALUE(LEFT(G473,FIND("/",G473)-1)))+IFERROR(TIMEVALUE(TRIM(MID(G473,FIND(" ",G473)+1,20))),0),0)))</f>
        <v/>
      </c>
      <c r="J473" s="255">
        <f>IF(H473="",0,IF(ISNUMBER(H473),H473,IFERROR(DATE(VALUE(MID(H473,FIND("/",H473,FIND("/",H473)+1)+1,4)),VALUE(MID(H473,FIND("/",H473)+1,FIND("/",H473,FIND("/",H473)+1)-FIND("/",H473)-1)),VALUE(LEFT(H473,FIND("/",H473)-1)))+IFERROR(TIMEVALUE(TRIM(MID(H473,FIND(" ",H473)+1,20))),0),0)))</f>
        <v/>
      </c>
      <c r="K473" s="256">
        <f>IF(I473=0,0,INT(I473))</f>
        <v/>
      </c>
      <c r="L473" s="257">
        <f>IF(OR(I473=0,J473=0),0,ROUND((J473-I473)*24,2))</f>
        <v/>
      </c>
      <c r="M473" s="254">
        <f>IFERROR(TRIM(MID(A473,FIND("@",SUBSTITUTE(A473,"(","@",LEN(A473)-LEN(SUBSTITUTE(A473,"(",""))))+1,FIND(")",A473,FIND("@",SUBSTITUTE(A473,"(","@",LEN(A473)-LEN(SUBSTITUTE(A473,"(","")))))-FIND("@",SUBSTITUTE(A473,"(","@",LEN(A473)-LEN(SUBSTITUTE(A473,"(",""))))-1)),"")</f>
        <v/>
      </c>
      <c r="N473" s="254">
        <f>IF(A473="","",IF(LEFT(TRIM(A473),5)="Leave","Leave",IF(OR(ISNUMBER(SEARCH("public holiday",A473)),ISNUMBER(SEARCH("Purple",E473))),"Public holiday","Event")))</f>
        <v/>
      </c>
    </row>
    <row r="474">
      <c r="G474" s="254">
        <f>IF(C474="","",IF(ISNUMBER(C474),C474,IF(ISNUMBER(VALUE(LEFT(TRIM(C474),1))),TRIM(C474),TRIM(MID(TRIM(C474),FIND(" ",TRIM(C474))+1,99)))))</f>
        <v/>
      </c>
      <c r="H474" s="254">
        <f>IF(D474="","",IF(ISNUMBER(D474),D474,IF(ISNUMBER(VALUE(LEFT(TRIM(D474),1))),TRIM(D474),TRIM(MID(TRIM(D474),FIND(" ",TRIM(D474))+1,99)))))</f>
        <v/>
      </c>
      <c r="I474" s="255">
        <f>IF(G474="",0,IF(ISNUMBER(G474),G474,IFERROR(DATE(VALUE(MID(G474,FIND("/",G474,FIND("/",G474)+1)+1,4)),VALUE(MID(G474,FIND("/",G474)+1,FIND("/",G474,FIND("/",G474)+1)-FIND("/",G474)-1)),VALUE(LEFT(G474,FIND("/",G474)-1)))+IFERROR(TIMEVALUE(TRIM(MID(G474,FIND(" ",G474)+1,20))),0),0)))</f>
        <v/>
      </c>
      <c r="J474" s="255">
        <f>IF(H474="",0,IF(ISNUMBER(H474),H474,IFERROR(DATE(VALUE(MID(H474,FIND("/",H474,FIND("/",H474)+1)+1,4)),VALUE(MID(H474,FIND("/",H474)+1,FIND("/",H474,FIND("/",H474)+1)-FIND("/",H474)-1)),VALUE(LEFT(H474,FIND("/",H474)-1)))+IFERROR(TIMEVALUE(TRIM(MID(H474,FIND(" ",H474)+1,20))),0),0)))</f>
        <v/>
      </c>
      <c r="K474" s="256">
        <f>IF(I474=0,0,INT(I474))</f>
        <v/>
      </c>
      <c r="L474" s="257">
        <f>IF(OR(I474=0,J474=0),0,ROUND((J474-I474)*24,2))</f>
        <v/>
      </c>
      <c r="M474" s="254">
        <f>IFERROR(TRIM(MID(A474,FIND("@",SUBSTITUTE(A474,"(","@",LEN(A474)-LEN(SUBSTITUTE(A474,"(",""))))+1,FIND(")",A474,FIND("@",SUBSTITUTE(A474,"(","@",LEN(A474)-LEN(SUBSTITUTE(A474,"(","")))))-FIND("@",SUBSTITUTE(A474,"(","@",LEN(A474)-LEN(SUBSTITUTE(A474,"(",""))))-1)),"")</f>
        <v/>
      </c>
      <c r="N474" s="254">
        <f>IF(A474="","",IF(LEFT(TRIM(A474),5)="Leave","Leave",IF(OR(ISNUMBER(SEARCH("public holiday",A474)),ISNUMBER(SEARCH("Purple",E474))),"Public holiday","Event")))</f>
        <v/>
      </c>
    </row>
    <row r="475">
      <c r="G475" s="254">
        <f>IF(C475="","",IF(ISNUMBER(C475),C475,IF(ISNUMBER(VALUE(LEFT(TRIM(C475),1))),TRIM(C475),TRIM(MID(TRIM(C475),FIND(" ",TRIM(C475))+1,99)))))</f>
        <v/>
      </c>
      <c r="H475" s="254">
        <f>IF(D475="","",IF(ISNUMBER(D475),D475,IF(ISNUMBER(VALUE(LEFT(TRIM(D475),1))),TRIM(D475),TRIM(MID(TRIM(D475),FIND(" ",TRIM(D475))+1,99)))))</f>
        <v/>
      </c>
      <c r="I475" s="255">
        <f>IF(G475="",0,IF(ISNUMBER(G475),G475,IFERROR(DATE(VALUE(MID(G475,FIND("/",G475,FIND("/",G475)+1)+1,4)),VALUE(MID(G475,FIND("/",G475)+1,FIND("/",G475,FIND("/",G475)+1)-FIND("/",G475)-1)),VALUE(LEFT(G475,FIND("/",G475)-1)))+IFERROR(TIMEVALUE(TRIM(MID(G475,FIND(" ",G475)+1,20))),0),0)))</f>
        <v/>
      </c>
      <c r="J475" s="255">
        <f>IF(H475="",0,IF(ISNUMBER(H475),H475,IFERROR(DATE(VALUE(MID(H475,FIND("/",H475,FIND("/",H475)+1)+1,4)),VALUE(MID(H475,FIND("/",H475)+1,FIND("/",H475,FIND("/",H475)+1)-FIND("/",H475)-1)),VALUE(LEFT(H475,FIND("/",H475)-1)))+IFERROR(TIMEVALUE(TRIM(MID(H475,FIND(" ",H475)+1,20))),0),0)))</f>
        <v/>
      </c>
      <c r="K475" s="256">
        <f>IF(I475=0,0,INT(I475))</f>
        <v/>
      </c>
      <c r="L475" s="257">
        <f>IF(OR(I475=0,J475=0),0,ROUND((J475-I475)*24,2))</f>
        <v/>
      </c>
      <c r="M475" s="254">
        <f>IFERROR(TRIM(MID(A475,FIND("@",SUBSTITUTE(A475,"(","@",LEN(A475)-LEN(SUBSTITUTE(A475,"(",""))))+1,FIND(")",A475,FIND("@",SUBSTITUTE(A475,"(","@",LEN(A475)-LEN(SUBSTITUTE(A475,"(","")))))-FIND("@",SUBSTITUTE(A475,"(","@",LEN(A475)-LEN(SUBSTITUTE(A475,"(",""))))-1)),"")</f>
        <v/>
      </c>
      <c r="N475" s="254">
        <f>IF(A475="","",IF(LEFT(TRIM(A475),5)="Leave","Leave",IF(OR(ISNUMBER(SEARCH("public holiday",A475)),ISNUMBER(SEARCH("Purple",E475))),"Public holiday","Event")))</f>
        <v/>
      </c>
    </row>
    <row r="476">
      <c r="G476" s="254">
        <f>IF(C476="","",IF(ISNUMBER(C476),C476,IF(ISNUMBER(VALUE(LEFT(TRIM(C476),1))),TRIM(C476),TRIM(MID(TRIM(C476),FIND(" ",TRIM(C476))+1,99)))))</f>
        <v/>
      </c>
      <c r="H476" s="254">
        <f>IF(D476="","",IF(ISNUMBER(D476),D476,IF(ISNUMBER(VALUE(LEFT(TRIM(D476),1))),TRIM(D476),TRIM(MID(TRIM(D476),FIND(" ",TRIM(D476))+1,99)))))</f>
        <v/>
      </c>
      <c r="I476" s="255">
        <f>IF(G476="",0,IF(ISNUMBER(G476),G476,IFERROR(DATE(VALUE(MID(G476,FIND("/",G476,FIND("/",G476)+1)+1,4)),VALUE(MID(G476,FIND("/",G476)+1,FIND("/",G476,FIND("/",G476)+1)-FIND("/",G476)-1)),VALUE(LEFT(G476,FIND("/",G476)-1)))+IFERROR(TIMEVALUE(TRIM(MID(G476,FIND(" ",G476)+1,20))),0),0)))</f>
        <v/>
      </c>
      <c r="J476" s="255">
        <f>IF(H476="",0,IF(ISNUMBER(H476),H476,IFERROR(DATE(VALUE(MID(H476,FIND("/",H476,FIND("/",H476)+1)+1,4)),VALUE(MID(H476,FIND("/",H476)+1,FIND("/",H476,FIND("/",H476)+1)-FIND("/",H476)-1)),VALUE(LEFT(H476,FIND("/",H476)-1)))+IFERROR(TIMEVALUE(TRIM(MID(H476,FIND(" ",H476)+1,20))),0),0)))</f>
        <v/>
      </c>
      <c r="K476" s="256">
        <f>IF(I476=0,0,INT(I476))</f>
        <v/>
      </c>
      <c r="L476" s="257">
        <f>IF(OR(I476=0,J476=0),0,ROUND((J476-I476)*24,2))</f>
        <v/>
      </c>
      <c r="M476" s="254">
        <f>IFERROR(TRIM(MID(A476,FIND("@",SUBSTITUTE(A476,"(","@",LEN(A476)-LEN(SUBSTITUTE(A476,"(",""))))+1,FIND(")",A476,FIND("@",SUBSTITUTE(A476,"(","@",LEN(A476)-LEN(SUBSTITUTE(A476,"(","")))))-FIND("@",SUBSTITUTE(A476,"(","@",LEN(A476)-LEN(SUBSTITUTE(A476,"(",""))))-1)),"")</f>
        <v/>
      </c>
      <c r="N476" s="254">
        <f>IF(A476="","",IF(LEFT(TRIM(A476),5)="Leave","Leave",IF(OR(ISNUMBER(SEARCH("public holiday",A476)),ISNUMBER(SEARCH("Purple",E476))),"Public holiday","Event")))</f>
        <v/>
      </c>
    </row>
    <row r="477">
      <c r="G477" s="254">
        <f>IF(C477="","",IF(ISNUMBER(C477),C477,IF(ISNUMBER(VALUE(LEFT(TRIM(C477),1))),TRIM(C477),TRIM(MID(TRIM(C477),FIND(" ",TRIM(C477))+1,99)))))</f>
        <v/>
      </c>
      <c r="H477" s="254">
        <f>IF(D477="","",IF(ISNUMBER(D477),D477,IF(ISNUMBER(VALUE(LEFT(TRIM(D477),1))),TRIM(D477),TRIM(MID(TRIM(D477),FIND(" ",TRIM(D477))+1,99)))))</f>
        <v/>
      </c>
      <c r="I477" s="255">
        <f>IF(G477="",0,IF(ISNUMBER(G477),G477,IFERROR(DATE(VALUE(MID(G477,FIND("/",G477,FIND("/",G477)+1)+1,4)),VALUE(MID(G477,FIND("/",G477)+1,FIND("/",G477,FIND("/",G477)+1)-FIND("/",G477)-1)),VALUE(LEFT(G477,FIND("/",G477)-1)))+IFERROR(TIMEVALUE(TRIM(MID(G477,FIND(" ",G477)+1,20))),0),0)))</f>
        <v/>
      </c>
      <c r="J477" s="255">
        <f>IF(H477="",0,IF(ISNUMBER(H477),H477,IFERROR(DATE(VALUE(MID(H477,FIND("/",H477,FIND("/",H477)+1)+1,4)),VALUE(MID(H477,FIND("/",H477)+1,FIND("/",H477,FIND("/",H477)+1)-FIND("/",H477)-1)),VALUE(LEFT(H477,FIND("/",H477)-1)))+IFERROR(TIMEVALUE(TRIM(MID(H477,FIND(" ",H477)+1,20))),0),0)))</f>
        <v/>
      </c>
      <c r="K477" s="256">
        <f>IF(I477=0,0,INT(I477))</f>
        <v/>
      </c>
      <c r="L477" s="257">
        <f>IF(OR(I477=0,J477=0),0,ROUND((J477-I477)*24,2))</f>
        <v/>
      </c>
      <c r="M477" s="254">
        <f>IFERROR(TRIM(MID(A477,FIND("@",SUBSTITUTE(A477,"(","@",LEN(A477)-LEN(SUBSTITUTE(A477,"(",""))))+1,FIND(")",A477,FIND("@",SUBSTITUTE(A477,"(","@",LEN(A477)-LEN(SUBSTITUTE(A477,"(","")))))-FIND("@",SUBSTITUTE(A477,"(","@",LEN(A477)-LEN(SUBSTITUTE(A477,"(",""))))-1)),"")</f>
        <v/>
      </c>
      <c r="N477" s="254">
        <f>IF(A477="","",IF(LEFT(TRIM(A477),5)="Leave","Leave",IF(OR(ISNUMBER(SEARCH("public holiday",A477)),ISNUMBER(SEARCH("Purple",E477))),"Public holiday","Event")))</f>
        <v/>
      </c>
    </row>
    <row r="478">
      <c r="G478" s="254">
        <f>IF(C478="","",IF(ISNUMBER(C478),C478,IF(ISNUMBER(VALUE(LEFT(TRIM(C478),1))),TRIM(C478),TRIM(MID(TRIM(C478),FIND(" ",TRIM(C478))+1,99)))))</f>
        <v/>
      </c>
      <c r="H478" s="254">
        <f>IF(D478="","",IF(ISNUMBER(D478),D478,IF(ISNUMBER(VALUE(LEFT(TRIM(D478),1))),TRIM(D478),TRIM(MID(TRIM(D478),FIND(" ",TRIM(D478))+1,99)))))</f>
        <v/>
      </c>
      <c r="I478" s="255">
        <f>IF(G478="",0,IF(ISNUMBER(G478),G478,IFERROR(DATE(VALUE(MID(G478,FIND("/",G478,FIND("/",G478)+1)+1,4)),VALUE(MID(G478,FIND("/",G478)+1,FIND("/",G478,FIND("/",G478)+1)-FIND("/",G478)-1)),VALUE(LEFT(G478,FIND("/",G478)-1)))+IFERROR(TIMEVALUE(TRIM(MID(G478,FIND(" ",G478)+1,20))),0),0)))</f>
        <v/>
      </c>
      <c r="J478" s="255">
        <f>IF(H478="",0,IF(ISNUMBER(H478),H478,IFERROR(DATE(VALUE(MID(H478,FIND("/",H478,FIND("/",H478)+1)+1,4)),VALUE(MID(H478,FIND("/",H478)+1,FIND("/",H478,FIND("/",H478)+1)-FIND("/",H478)-1)),VALUE(LEFT(H478,FIND("/",H478)-1)))+IFERROR(TIMEVALUE(TRIM(MID(H478,FIND(" ",H478)+1,20))),0),0)))</f>
        <v/>
      </c>
      <c r="K478" s="256">
        <f>IF(I478=0,0,INT(I478))</f>
        <v/>
      </c>
      <c r="L478" s="257">
        <f>IF(OR(I478=0,J478=0),0,ROUND((J478-I478)*24,2))</f>
        <v/>
      </c>
      <c r="M478" s="254">
        <f>IFERROR(TRIM(MID(A478,FIND("@",SUBSTITUTE(A478,"(","@",LEN(A478)-LEN(SUBSTITUTE(A478,"(",""))))+1,FIND(")",A478,FIND("@",SUBSTITUTE(A478,"(","@",LEN(A478)-LEN(SUBSTITUTE(A478,"(","")))))-FIND("@",SUBSTITUTE(A478,"(","@",LEN(A478)-LEN(SUBSTITUTE(A478,"(",""))))-1)),"")</f>
        <v/>
      </c>
      <c r="N478" s="254">
        <f>IF(A478="","",IF(LEFT(TRIM(A478),5)="Leave","Leave",IF(OR(ISNUMBER(SEARCH("public holiday",A478)),ISNUMBER(SEARCH("Purple",E478))),"Public holiday","Event")))</f>
        <v/>
      </c>
    </row>
    <row r="479">
      <c r="G479" s="254">
        <f>IF(C479="","",IF(ISNUMBER(C479),C479,IF(ISNUMBER(VALUE(LEFT(TRIM(C479),1))),TRIM(C479),TRIM(MID(TRIM(C479),FIND(" ",TRIM(C479))+1,99)))))</f>
        <v/>
      </c>
      <c r="H479" s="254">
        <f>IF(D479="","",IF(ISNUMBER(D479),D479,IF(ISNUMBER(VALUE(LEFT(TRIM(D479),1))),TRIM(D479),TRIM(MID(TRIM(D479),FIND(" ",TRIM(D479))+1,99)))))</f>
        <v/>
      </c>
      <c r="I479" s="255">
        <f>IF(G479="",0,IF(ISNUMBER(G479),G479,IFERROR(DATE(VALUE(MID(G479,FIND("/",G479,FIND("/",G479)+1)+1,4)),VALUE(MID(G479,FIND("/",G479)+1,FIND("/",G479,FIND("/",G479)+1)-FIND("/",G479)-1)),VALUE(LEFT(G479,FIND("/",G479)-1)))+IFERROR(TIMEVALUE(TRIM(MID(G479,FIND(" ",G479)+1,20))),0),0)))</f>
        <v/>
      </c>
      <c r="J479" s="255">
        <f>IF(H479="",0,IF(ISNUMBER(H479),H479,IFERROR(DATE(VALUE(MID(H479,FIND("/",H479,FIND("/",H479)+1)+1,4)),VALUE(MID(H479,FIND("/",H479)+1,FIND("/",H479,FIND("/",H479)+1)-FIND("/",H479)-1)),VALUE(LEFT(H479,FIND("/",H479)-1)))+IFERROR(TIMEVALUE(TRIM(MID(H479,FIND(" ",H479)+1,20))),0),0)))</f>
        <v/>
      </c>
      <c r="K479" s="256">
        <f>IF(I479=0,0,INT(I479))</f>
        <v/>
      </c>
      <c r="L479" s="257">
        <f>IF(OR(I479=0,J479=0),0,ROUND((J479-I479)*24,2))</f>
        <v/>
      </c>
      <c r="M479" s="254">
        <f>IFERROR(TRIM(MID(A479,FIND("@",SUBSTITUTE(A479,"(","@",LEN(A479)-LEN(SUBSTITUTE(A479,"(",""))))+1,FIND(")",A479,FIND("@",SUBSTITUTE(A479,"(","@",LEN(A479)-LEN(SUBSTITUTE(A479,"(","")))))-FIND("@",SUBSTITUTE(A479,"(","@",LEN(A479)-LEN(SUBSTITUTE(A479,"(",""))))-1)),"")</f>
        <v/>
      </c>
      <c r="N479" s="254">
        <f>IF(A479="","",IF(LEFT(TRIM(A479),5)="Leave","Leave",IF(OR(ISNUMBER(SEARCH("public holiday",A479)),ISNUMBER(SEARCH("Purple",E479))),"Public holiday","Event")))</f>
        <v/>
      </c>
    </row>
    <row r="480">
      <c r="G480" s="254">
        <f>IF(C480="","",IF(ISNUMBER(C480),C480,IF(ISNUMBER(VALUE(LEFT(TRIM(C480),1))),TRIM(C480),TRIM(MID(TRIM(C480),FIND(" ",TRIM(C480))+1,99)))))</f>
        <v/>
      </c>
      <c r="H480" s="254">
        <f>IF(D480="","",IF(ISNUMBER(D480),D480,IF(ISNUMBER(VALUE(LEFT(TRIM(D480),1))),TRIM(D480),TRIM(MID(TRIM(D480),FIND(" ",TRIM(D480))+1,99)))))</f>
        <v/>
      </c>
      <c r="I480" s="255">
        <f>IF(G480="",0,IF(ISNUMBER(G480),G480,IFERROR(DATE(VALUE(MID(G480,FIND("/",G480,FIND("/",G480)+1)+1,4)),VALUE(MID(G480,FIND("/",G480)+1,FIND("/",G480,FIND("/",G480)+1)-FIND("/",G480)-1)),VALUE(LEFT(G480,FIND("/",G480)-1)))+IFERROR(TIMEVALUE(TRIM(MID(G480,FIND(" ",G480)+1,20))),0),0)))</f>
        <v/>
      </c>
      <c r="J480" s="255">
        <f>IF(H480="",0,IF(ISNUMBER(H480),H480,IFERROR(DATE(VALUE(MID(H480,FIND("/",H480,FIND("/",H480)+1)+1,4)),VALUE(MID(H480,FIND("/",H480)+1,FIND("/",H480,FIND("/",H480)+1)-FIND("/",H480)-1)),VALUE(LEFT(H480,FIND("/",H480)-1)))+IFERROR(TIMEVALUE(TRIM(MID(H480,FIND(" ",H480)+1,20))),0),0)))</f>
        <v/>
      </c>
      <c r="K480" s="256">
        <f>IF(I480=0,0,INT(I480))</f>
        <v/>
      </c>
      <c r="L480" s="257">
        <f>IF(OR(I480=0,J480=0),0,ROUND((J480-I480)*24,2))</f>
        <v/>
      </c>
      <c r="M480" s="254">
        <f>IFERROR(TRIM(MID(A480,FIND("@",SUBSTITUTE(A480,"(","@",LEN(A480)-LEN(SUBSTITUTE(A480,"(",""))))+1,FIND(")",A480,FIND("@",SUBSTITUTE(A480,"(","@",LEN(A480)-LEN(SUBSTITUTE(A480,"(","")))))-FIND("@",SUBSTITUTE(A480,"(","@",LEN(A480)-LEN(SUBSTITUTE(A480,"(",""))))-1)),"")</f>
        <v/>
      </c>
      <c r="N480" s="254">
        <f>IF(A480="","",IF(LEFT(TRIM(A480),5)="Leave","Leave",IF(OR(ISNUMBER(SEARCH("public holiday",A480)),ISNUMBER(SEARCH("Purple",E480))),"Public holiday","Event")))</f>
        <v/>
      </c>
    </row>
    <row r="481">
      <c r="G481" s="254">
        <f>IF(C481="","",IF(ISNUMBER(C481),C481,IF(ISNUMBER(VALUE(LEFT(TRIM(C481),1))),TRIM(C481),TRIM(MID(TRIM(C481),FIND(" ",TRIM(C481))+1,99)))))</f>
        <v/>
      </c>
      <c r="H481" s="254">
        <f>IF(D481="","",IF(ISNUMBER(D481),D481,IF(ISNUMBER(VALUE(LEFT(TRIM(D481),1))),TRIM(D481),TRIM(MID(TRIM(D481),FIND(" ",TRIM(D481))+1,99)))))</f>
        <v/>
      </c>
      <c r="I481" s="255">
        <f>IF(G481="",0,IF(ISNUMBER(G481),G481,IFERROR(DATE(VALUE(MID(G481,FIND("/",G481,FIND("/",G481)+1)+1,4)),VALUE(MID(G481,FIND("/",G481)+1,FIND("/",G481,FIND("/",G481)+1)-FIND("/",G481)-1)),VALUE(LEFT(G481,FIND("/",G481)-1)))+IFERROR(TIMEVALUE(TRIM(MID(G481,FIND(" ",G481)+1,20))),0),0)))</f>
        <v/>
      </c>
      <c r="J481" s="255">
        <f>IF(H481="",0,IF(ISNUMBER(H481),H481,IFERROR(DATE(VALUE(MID(H481,FIND("/",H481,FIND("/",H481)+1)+1,4)),VALUE(MID(H481,FIND("/",H481)+1,FIND("/",H481,FIND("/",H481)+1)-FIND("/",H481)-1)),VALUE(LEFT(H481,FIND("/",H481)-1)))+IFERROR(TIMEVALUE(TRIM(MID(H481,FIND(" ",H481)+1,20))),0),0)))</f>
        <v/>
      </c>
      <c r="K481" s="256">
        <f>IF(I481=0,0,INT(I481))</f>
        <v/>
      </c>
      <c r="L481" s="257">
        <f>IF(OR(I481=0,J481=0),0,ROUND((J481-I481)*24,2))</f>
        <v/>
      </c>
      <c r="M481" s="254">
        <f>IFERROR(TRIM(MID(A481,FIND("@",SUBSTITUTE(A481,"(","@",LEN(A481)-LEN(SUBSTITUTE(A481,"(",""))))+1,FIND(")",A481,FIND("@",SUBSTITUTE(A481,"(","@",LEN(A481)-LEN(SUBSTITUTE(A481,"(","")))))-FIND("@",SUBSTITUTE(A481,"(","@",LEN(A481)-LEN(SUBSTITUTE(A481,"(",""))))-1)),"")</f>
        <v/>
      </c>
      <c r="N481" s="254">
        <f>IF(A481="","",IF(LEFT(TRIM(A481),5)="Leave","Leave",IF(OR(ISNUMBER(SEARCH("public holiday",A481)),ISNUMBER(SEARCH("Purple",E481))),"Public holiday","Event")))</f>
        <v/>
      </c>
    </row>
    <row r="482">
      <c r="G482" s="254">
        <f>IF(C482="","",IF(ISNUMBER(C482),C482,IF(ISNUMBER(VALUE(LEFT(TRIM(C482),1))),TRIM(C482),TRIM(MID(TRIM(C482),FIND(" ",TRIM(C482))+1,99)))))</f>
        <v/>
      </c>
      <c r="H482" s="254">
        <f>IF(D482="","",IF(ISNUMBER(D482),D482,IF(ISNUMBER(VALUE(LEFT(TRIM(D482),1))),TRIM(D482),TRIM(MID(TRIM(D482),FIND(" ",TRIM(D482))+1,99)))))</f>
        <v/>
      </c>
      <c r="I482" s="255">
        <f>IF(G482="",0,IF(ISNUMBER(G482),G482,IFERROR(DATE(VALUE(MID(G482,FIND("/",G482,FIND("/",G482)+1)+1,4)),VALUE(MID(G482,FIND("/",G482)+1,FIND("/",G482,FIND("/",G482)+1)-FIND("/",G482)-1)),VALUE(LEFT(G482,FIND("/",G482)-1)))+IFERROR(TIMEVALUE(TRIM(MID(G482,FIND(" ",G482)+1,20))),0),0)))</f>
        <v/>
      </c>
      <c r="J482" s="255">
        <f>IF(H482="",0,IF(ISNUMBER(H482),H482,IFERROR(DATE(VALUE(MID(H482,FIND("/",H482,FIND("/",H482)+1)+1,4)),VALUE(MID(H482,FIND("/",H482)+1,FIND("/",H482,FIND("/",H482)+1)-FIND("/",H482)-1)),VALUE(LEFT(H482,FIND("/",H482)-1)))+IFERROR(TIMEVALUE(TRIM(MID(H482,FIND(" ",H482)+1,20))),0),0)))</f>
        <v/>
      </c>
      <c r="K482" s="256">
        <f>IF(I482=0,0,INT(I482))</f>
        <v/>
      </c>
      <c r="L482" s="257">
        <f>IF(OR(I482=0,J482=0),0,ROUND((J482-I482)*24,2))</f>
        <v/>
      </c>
      <c r="M482" s="254">
        <f>IFERROR(TRIM(MID(A482,FIND("@",SUBSTITUTE(A482,"(","@",LEN(A482)-LEN(SUBSTITUTE(A482,"(",""))))+1,FIND(")",A482,FIND("@",SUBSTITUTE(A482,"(","@",LEN(A482)-LEN(SUBSTITUTE(A482,"(","")))))-FIND("@",SUBSTITUTE(A482,"(","@",LEN(A482)-LEN(SUBSTITUTE(A482,"(",""))))-1)),"")</f>
        <v/>
      </c>
      <c r="N482" s="254">
        <f>IF(A482="","",IF(LEFT(TRIM(A482),5)="Leave","Leave",IF(OR(ISNUMBER(SEARCH("public holiday",A482)),ISNUMBER(SEARCH("Purple",E482))),"Public holiday","Event")))</f>
        <v/>
      </c>
    </row>
    <row r="483">
      <c r="G483" s="254">
        <f>IF(C483="","",IF(ISNUMBER(C483),C483,IF(ISNUMBER(VALUE(LEFT(TRIM(C483),1))),TRIM(C483),TRIM(MID(TRIM(C483),FIND(" ",TRIM(C483))+1,99)))))</f>
        <v/>
      </c>
      <c r="H483" s="254">
        <f>IF(D483="","",IF(ISNUMBER(D483),D483,IF(ISNUMBER(VALUE(LEFT(TRIM(D483),1))),TRIM(D483),TRIM(MID(TRIM(D483),FIND(" ",TRIM(D483))+1,99)))))</f>
        <v/>
      </c>
      <c r="I483" s="255">
        <f>IF(G483="",0,IF(ISNUMBER(G483),G483,IFERROR(DATE(VALUE(MID(G483,FIND("/",G483,FIND("/",G483)+1)+1,4)),VALUE(MID(G483,FIND("/",G483)+1,FIND("/",G483,FIND("/",G483)+1)-FIND("/",G483)-1)),VALUE(LEFT(G483,FIND("/",G483)-1)))+IFERROR(TIMEVALUE(TRIM(MID(G483,FIND(" ",G483)+1,20))),0),0)))</f>
        <v/>
      </c>
      <c r="J483" s="255">
        <f>IF(H483="",0,IF(ISNUMBER(H483),H483,IFERROR(DATE(VALUE(MID(H483,FIND("/",H483,FIND("/",H483)+1)+1,4)),VALUE(MID(H483,FIND("/",H483)+1,FIND("/",H483,FIND("/",H483)+1)-FIND("/",H483)-1)),VALUE(LEFT(H483,FIND("/",H483)-1)))+IFERROR(TIMEVALUE(TRIM(MID(H483,FIND(" ",H483)+1,20))),0),0)))</f>
        <v/>
      </c>
      <c r="K483" s="256">
        <f>IF(I483=0,0,INT(I483))</f>
        <v/>
      </c>
      <c r="L483" s="257">
        <f>IF(OR(I483=0,J483=0),0,ROUND((J483-I483)*24,2))</f>
        <v/>
      </c>
      <c r="M483" s="254">
        <f>IFERROR(TRIM(MID(A483,FIND("@",SUBSTITUTE(A483,"(","@",LEN(A483)-LEN(SUBSTITUTE(A483,"(",""))))+1,FIND(")",A483,FIND("@",SUBSTITUTE(A483,"(","@",LEN(A483)-LEN(SUBSTITUTE(A483,"(","")))))-FIND("@",SUBSTITUTE(A483,"(","@",LEN(A483)-LEN(SUBSTITUTE(A483,"(",""))))-1)),"")</f>
        <v/>
      </c>
      <c r="N483" s="254">
        <f>IF(A483="","",IF(LEFT(TRIM(A483),5)="Leave","Leave",IF(OR(ISNUMBER(SEARCH("public holiday",A483)),ISNUMBER(SEARCH("Purple",E483))),"Public holiday","Event")))</f>
        <v/>
      </c>
    </row>
    <row r="484">
      <c r="G484" s="254">
        <f>IF(C484="","",IF(ISNUMBER(C484),C484,IF(ISNUMBER(VALUE(LEFT(TRIM(C484),1))),TRIM(C484),TRIM(MID(TRIM(C484),FIND(" ",TRIM(C484))+1,99)))))</f>
        <v/>
      </c>
      <c r="H484" s="254">
        <f>IF(D484="","",IF(ISNUMBER(D484),D484,IF(ISNUMBER(VALUE(LEFT(TRIM(D484),1))),TRIM(D484),TRIM(MID(TRIM(D484),FIND(" ",TRIM(D484))+1,99)))))</f>
        <v/>
      </c>
      <c r="I484" s="255">
        <f>IF(G484="",0,IF(ISNUMBER(G484),G484,IFERROR(DATE(VALUE(MID(G484,FIND("/",G484,FIND("/",G484)+1)+1,4)),VALUE(MID(G484,FIND("/",G484)+1,FIND("/",G484,FIND("/",G484)+1)-FIND("/",G484)-1)),VALUE(LEFT(G484,FIND("/",G484)-1)))+IFERROR(TIMEVALUE(TRIM(MID(G484,FIND(" ",G484)+1,20))),0),0)))</f>
        <v/>
      </c>
      <c r="J484" s="255">
        <f>IF(H484="",0,IF(ISNUMBER(H484),H484,IFERROR(DATE(VALUE(MID(H484,FIND("/",H484,FIND("/",H484)+1)+1,4)),VALUE(MID(H484,FIND("/",H484)+1,FIND("/",H484,FIND("/",H484)+1)-FIND("/",H484)-1)),VALUE(LEFT(H484,FIND("/",H484)-1)))+IFERROR(TIMEVALUE(TRIM(MID(H484,FIND(" ",H484)+1,20))),0),0)))</f>
        <v/>
      </c>
      <c r="K484" s="256">
        <f>IF(I484=0,0,INT(I484))</f>
        <v/>
      </c>
      <c r="L484" s="257">
        <f>IF(OR(I484=0,J484=0),0,ROUND((J484-I484)*24,2))</f>
        <v/>
      </c>
      <c r="M484" s="254">
        <f>IFERROR(TRIM(MID(A484,FIND("@",SUBSTITUTE(A484,"(","@",LEN(A484)-LEN(SUBSTITUTE(A484,"(",""))))+1,FIND(")",A484,FIND("@",SUBSTITUTE(A484,"(","@",LEN(A484)-LEN(SUBSTITUTE(A484,"(","")))))-FIND("@",SUBSTITUTE(A484,"(","@",LEN(A484)-LEN(SUBSTITUTE(A484,"(",""))))-1)),"")</f>
        <v/>
      </c>
      <c r="N484" s="254">
        <f>IF(A484="","",IF(LEFT(TRIM(A484),5)="Leave","Leave",IF(OR(ISNUMBER(SEARCH("public holiday",A484)),ISNUMBER(SEARCH("Purple",E484))),"Public holiday","Event")))</f>
        <v/>
      </c>
    </row>
    <row r="485">
      <c r="G485" s="254">
        <f>IF(C485="","",IF(ISNUMBER(C485),C485,IF(ISNUMBER(VALUE(LEFT(TRIM(C485),1))),TRIM(C485),TRIM(MID(TRIM(C485),FIND(" ",TRIM(C485))+1,99)))))</f>
        <v/>
      </c>
      <c r="H485" s="254">
        <f>IF(D485="","",IF(ISNUMBER(D485),D485,IF(ISNUMBER(VALUE(LEFT(TRIM(D485),1))),TRIM(D485),TRIM(MID(TRIM(D485),FIND(" ",TRIM(D485))+1,99)))))</f>
        <v/>
      </c>
      <c r="I485" s="255">
        <f>IF(G485="",0,IF(ISNUMBER(G485),G485,IFERROR(DATE(VALUE(MID(G485,FIND("/",G485,FIND("/",G485)+1)+1,4)),VALUE(MID(G485,FIND("/",G485)+1,FIND("/",G485,FIND("/",G485)+1)-FIND("/",G485)-1)),VALUE(LEFT(G485,FIND("/",G485)-1)))+IFERROR(TIMEVALUE(TRIM(MID(G485,FIND(" ",G485)+1,20))),0),0)))</f>
        <v/>
      </c>
      <c r="J485" s="255">
        <f>IF(H485="",0,IF(ISNUMBER(H485),H485,IFERROR(DATE(VALUE(MID(H485,FIND("/",H485,FIND("/",H485)+1)+1,4)),VALUE(MID(H485,FIND("/",H485)+1,FIND("/",H485,FIND("/",H485)+1)-FIND("/",H485)-1)),VALUE(LEFT(H485,FIND("/",H485)-1)))+IFERROR(TIMEVALUE(TRIM(MID(H485,FIND(" ",H485)+1,20))),0),0)))</f>
        <v/>
      </c>
      <c r="K485" s="256">
        <f>IF(I485=0,0,INT(I485))</f>
        <v/>
      </c>
      <c r="L485" s="257">
        <f>IF(OR(I485=0,J485=0),0,ROUND((J485-I485)*24,2))</f>
        <v/>
      </c>
      <c r="M485" s="254">
        <f>IFERROR(TRIM(MID(A485,FIND("@",SUBSTITUTE(A485,"(","@",LEN(A485)-LEN(SUBSTITUTE(A485,"(",""))))+1,FIND(")",A485,FIND("@",SUBSTITUTE(A485,"(","@",LEN(A485)-LEN(SUBSTITUTE(A485,"(","")))))-FIND("@",SUBSTITUTE(A485,"(","@",LEN(A485)-LEN(SUBSTITUTE(A485,"(",""))))-1)),"")</f>
        <v/>
      </c>
      <c r="N485" s="254">
        <f>IF(A485="","",IF(LEFT(TRIM(A485),5)="Leave","Leave",IF(OR(ISNUMBER(SEARCH("public holiday",A485)),ISNUMBER(SEARCH("Purple",E485))),"Public holiday","Event")))</f>
        <v/>
      </c>
    </row>
    <row r="486">
      <c r="G486" s="254">
        <f>IF(C486="","",IF(ISNUMBER(C486),C486,IF(ISNUMBER(VALUE(LEFT(TRIM(C486),1))),TRIM(C486),TRIM(MID(TRIM(C486),FIND(" ",TRIM(C486))+1,99)))))</f>
        <v/>
      </c>
      <c r="H486" s="254">
        <f>IF(D486="","",IF(ISNUMBER(D486),D486,IF(ISNUMBER(VALUE(LEFT(TRIM(D486),1))),TRIM(D486),TRIM(MID(TRIM(D486),FIND(" ",TRIM(D486))+1,99)))))</f>
        <v/>
      </c>
      <c r="I486" s="255">
        <f>IF(G486="",0,IF(ISNUMBER(G486),G486,IFERROR(DATE(VALUE(MID(G486,FIND("/",G486,FIND("/",G486)+1)+1,4)),VALUE(MID(G486,FIND("/",G486)+1,FIND("/",G486,FIND("/",G486)+1)-FIND("/",G486)-1)),VALUE(LEFT(G486,FIND("/",G486)-1)))+IFERROR(TIMEVALUE(TRIM(MID(G486,FIND(" ",G486)+1,20))),0),0)))</f>
        <v/>
      </c>
      <c r="J486" s="255">
        <f>IF(H486="",0,IF(ISNUMBER(H486),H486,IFERROR(DATE(VALUE(MID(H486,FIND("/",H486,FIND("/",H486)+1)+1,4)),VALUE(MID(H486,FIND("/",H486)+1,FIND("/",H486,FIND("/",H486)+1)-FIND("/",H486)-1)),VALUE(LEFT(H486,FIND("/",H486)-1)))+IFERROR(TIMEVALUE(TRIM(MID(H486,FIND(" ",H486)+1,20))),0),0)))</f>
        <v/>
      </c>
      <c r="K486" s="256">
        <f>IF(I486=0,0,INT(I486))</f>
        <v/>
      </c>
      <c r="L486" s="257">
        <f>IF(OR(I486=0,J486=0),0,ROUND((J486-I486)*24,2))</f>
        <v/>
      </c>
      <c r="M486" s="254">
        <f>IFERROR(TRIM(MID(A486,FIND("@",SUBSTITUTE(A486,"(","@",LEN(A486)-LEN(SUBSTITUTE(A486,"(",""))))+1,FIND(")",A486,FIND("@",SUBSTITUTE(A486,"(","@",LEN(A486)-LEN(SUBSTITUTE(A486,"(","")))))-FIND("@",SUBSTITUTE(A486,"(","@",LEN(A486)-LEN(SUBSTITUTE(A486,"(",""))))-1)),"")</f>
        <v/>
      </c>
      <c r="N486" s="254">
        <f>IF(A486="","",IF(LEFT(TRIM(A486),5)="Leave","Leave",IF(OR(ISNUMBER(SEARCH("public holiday",A486)),ISNUMBER(SEARCH("Purple",E486))),"Public holiday","Event")))</f>
        <v/>
      </c>
    </row>
    <row r="487">
      <c r="G487" s="254">
        <f>IF(C487="","",IF(ISNUMBER(C487),C487,IF(ISNUMBER(VALUE(LEFT(TRIM(C487),1))),TRIM(C487),TRIM(MID(TRIM(C487),FIND(" ",TRIM(C487))+1,99)))))</f>
        <v/>
      </c>
      <c r="H487" s="254">
        <f>IF(D487="","",IF(ISNUMBER(D487),D487,IF(ISNUMBER(VALUE(LEFT(TRIM(D487),1))),TRIM(D487),TRIM(MID(TRIM(D487),FIND(" ",TRIM(D487))+1,99)))))</f>
        <v/>
      </c>
      <c r="I487" s="255">
        <f>IF(G487="",0,IF(ISNUMBER(G487),G487,IFERROR(DATE(VALUE(MID(G487,FIND("/",G487,FIND("/",G487)+1)+1,4)),VALUE(MID(G487,FIND("/",G487)+1,FIND("/",G487,FIND("/",G487)+1)-FIND("/",G487)-1)),VALUE(LEFT(G487,FIND("/",G487)-1)))+IFERROR(TIMEVALUE(TRIM(MID(G487,FIND(" ",G487)+1,20))),0),0)))</f>
        <v/>
      </c>
      <c r="J487" s="255">
        <f>IF(H487="",0,IF(ISNUMBER(H487),H487,IFERROR(DATE(VALUE(MID(H487,FIND("/",H487,FIND("/",H487)+1)+1,4)),VALUE(MID(H487,FIND("/",H487)+1,FIND("/",H487,FIND("/",H487)+1)-FIND("/",H487)-1)),VALUE(LEFT(H487,FIND("/",H487)-1)))+IFERROR(TIMEVALUE(TRIM(MID(H487,FIND(" ",H487)+1,20))),0),0)))</f>
        <v/>
      </c>
      <c r="K487" s="256">
        <f>IF(I487=0,0,INT(I487))</f>
        <v/>
      </c>
      <c r="L487" s="257">
        <f>IF(OR(I487=0,J487=0),0,ROUND((J487-I487)*24,2))</f>
        <v/>
      </c>
      <c r="M487" s="254">
        <f>IFERROR(TRIM(MID(A487,FIND("@",SUBSTITUTE(A487,"(","@",LEN(A487)-LEN(SUBSTITUTE(A487,"(",""))))+1,FIND(")",A487,FIND("@",SUBSTITUTE(A487,"(","@",LEN(A487)-LEN(SUBSTITUTE(A487,"(","")))))-FIND("@",SUBSTITUTE(A487,"(","@",LEN(A487)-LEN(SUBSTITUTE(A487,"(",""))))-1)),"")</f>
        <v/>
      </c>
      <c r="N487" s="254">
        <f>IF(A487="","",IF(LEFT(TRIM(A487),5)="Leave","Leave",IF(OR(ISNUMBER(SEARCH("public holiday",A487)),ISNUMBER(SEARCH("Purple",E487))),"Public holiday","Event")))</f>
        <v/>
      </c>
    </row>
    <row r="488">
      <c r="G488" s="254">
        <f>IF(C488="","",IF(ISNUMBER(C488),C488,IF(ISNUMBER(VALUE(LEFT(TRIM(C488),1))),TRIM(C488),TRIM(MID(TRIM(C488),FIND(" ",TRIM(C488))+1,99)))))</f>
        <v/>
      </c>
      <c r="H488" s="254">
        <f>IF(D488="","",IF(ISNUMBER(D488),D488,IF(ISNUMBER(VALUE(LEFT(TRIM(D488),1))),TRIM(D488),TRIM(MID(TRIM(D488),FIND(" ",TRIM(D488))+1,99)))))</f>
        <v/>
      </c>
      <c r="I488" s="255">
        <f>IF(G488="",0,IF(ISNUMBER(G488),G488,IFERROR(DATE(VALUE(MID(G488,FIND("/",G488,FIND("/",G488)+1)+1,4)),VALUE(MID(G488,FIND("/",G488)+1,FIND("/",G488,FIND("/",G488)+1)-FIND("/",G488)-1)),VALUE(LEFT(G488,FIND("/",G488)-1)))+IFERROR(TIMEVALUE(TRIM(MID(G488,FIND(" ",G488)+1,20))),0),0)))</f>
        <v/>
      </c>
      <c r="J488" s="255">
        <f>IF(H488="",0,IF(ISNUMBER(H488),H488,IFERROR(DATE(VALUE(MID(H488,FIND("/",H488,FIND("/",H488)+1)+1,4)),VALUE(MID(H488,FIND("/",H488)+1,FIND("/",H488,FIND("/",H488)+1)-FIND("/",H488)-1)),VALUE(LEFT(H488,FIND("/",H488)-1)))+IFERROR(TIMEVALUE(TRIM(MID(H488,FIND(" ",H488)+1,20))),0),0)))</f>
        <v/>
      </c>
      <c r="K488" s="256">
        <f>IF(I488=0,0,INT(I488))</f>
        <v/>
      </c>
      <c r="L488" s="257">
        <f>IF(OR(I488=0,J488=0),0,ROUND((J488-I488)*24,2))</f>
        <v/>
      </c>
      <c r="M488" s="254">
        <f>IFERROR(TRIM(MID(A488,FIND("@",SUBSTITUTE(A488,"(","@",LEN(A488)-LEN(SUBSTITUTE(A488,"(",""))))+1,FIND(")",A488,FIND("@",SUBSTITUTE(A488,"(","@",LEN(A488)-LEN(SUBSTITUTE(A488,"(","")))))-FIND("@",SUBSTITUTE(A488,"(","@",LEN(A488)-LEN(SUBSTITUTE(A488,"(",""))))-1)),"")</f>
        <v/>
      </c>
      <c r="N488" s="254">
        <f>IF(A488="","",IF(LEFT(TRIM(A488),5)="Leave","Leave",IF(OR(ISNUMBER(SEARCH("public holiday",A488)),ISNUMBER(SEARCH("Purple",E488))),"Public holiday","Event")))</f>
        <v/>
      </c>
    </row>
    <row r="489">
      <c r="G489" s="254">
        <f>IF(C489="","",IF(ISNUMBER(C489),C489,IF(ISNUMBER(VALUE(LEFT(TRIM(C489),1))),TRIM(C489),TRIM(MID(TRIM(C489),FIND(" ",TRIM(C489))+1,99)))))</f>
        <v/>
      </c>
      <c r="H489" s="254">
        <f>IF(D489="","",IF(ISNUMBER(D489),D489,IF(ISNUMBER(VALUE(LEFT(TRIM(D489),1))),TRIM(D489),TRIM(MID(TRIM(D489),FIND(" ",TRIM(D489))+1,99)))))</f>
        <v/>
      </c>
      <c r="I489" s="255">
        <f>IF(G489="",0,IF(ISNUMBER(G489),G489,IFERROR(DATE(VALUE(MID(G489,FIND("/",G489,FIND("/",G489)+1)+1,4)),VALUE(MID(G489,FIND("/",G489)+1,FIND("/",G489,FIND("/",G489)+1)-FIND("/",G489)-1)),VALUE(LEFT(G489,FIND("/",G489)-1)))+IFERROR(TIMEVALUE(TRIM(MID(G489,FIND(" ",G489)+1,20))),0),0)))</f>
        <v/>
      </c>
      <c r="J489" s="255">
        <f>IF(H489="",0,IF(ISNUMBER(H489),H489,IFERROR(DATE(VALUE(MID(H489,FIND("/",H489,FIND("/",H489)+1)+1,4)),VALUE(MID(H489,FIND("/",H489)+1,FIND("/",H489,FIND("/",H489)+1)-FIND("/",H489)-1)),VALUE(LEFT(H489,FIND("/",H489)-1)))+IFERROR(TIMEVALUE(TRIM(MID(H489,FIND(" ",H489)+1,20))),0),0)))</f>
        <v/>
      </c>
      <c r="K489" s="256">
        <f>IF(I489=0,0,INT(I489))</f>
        <v/>
      </c>
      <c r="L489" s="257">
        <f>IF(OR(I489=0,J489=0),0,ROUND((J489-I489)*24,2))</f>
        <v/>
      </c>
      <c r="M489" s="254">
        <f>IFERROR(TRIM(MID(A489,FIND("@",SUBSTITUTE(A489,"(","@",LEN(A489)-LEN(SUBSTITUTE(A489,"(",""))))+1,FIND(")",A489,FIND("@",SUBSTITUTE(A489,"(","@",LEN(A489)-LEN(SUBSTITUTE(A489,"(","")))))-FIND("@",SUBSTITUTE(A489,"(","@",LEN(A489)-LEN(SUBSTITUTE(A489,"(",""))))-1)),"")</f>
        <v/>
      </c>
      <c r="N489" s="254">
        <f>IF(A489="","",IF(LEFT(TRIM(A489),5)="Leave","Leave",IF(OR(ISNUMBER(SEARCH("public holiday",A489)),ISNUMBER(SEARCH("Purple",E489))),"Public holiday","Event")))</f>
        <v/>
      </c>
    </row>
    <row r="490">
      <c r="G490" s="254">
        <f>IF(C490="","",IF(ISNUMBER(C490),C490,IF(ISNUMBER(VALUE(LEFT(TRIM(C490),1))),TRIM(C490),TRIM(MID(TRIM(C490),FIND(" ",TRIM(C490))+1,99)))))</f>
        <v/>
      </c>
      <c r="H490" s="254">
        <f>IF(D490="","",IF(ISNUMBER(D490),D490,IF(ISNUMBER(VALUE(LEFT(TRIM(D490),1))),TRIM(D490),TRIM(MID(TRIM(D490),FIND(" ",TRIM(D490))+1,99)))))</f>
        <v/>
      </c>
      <c r="I490" s="255">
        <f>IF(G490="",0,IF(ISNUMBER(G490),G490,IFERROR(DATE(VALUE(MID(G490,FIND("/",G490,FIND("/",G490)+1)+1,4)),VALUE(MID(G490,FIND("/",G490)+1,FIND("/",G490,FIND("/",G490)+1)-FIND("/",G490)-1)),VALUE(LEFT(G490,FIND("/",G490)-1)))+IFERROR(TIMEVALUE(TRIM(MID(G490,FIND(" ",G490)+1,20))),0),0)))</f>
        <v/>
      </c>
      <c r="J490" s="255">
        <f>IF(H490="",0,IF(ISNUMBER(H490),H490,IFERROR(DATE(VALUE(MID(H490,FIND("/",H490,FIND("/",H490)+1)+1,4)),VALUE(MID(H490,FIND("/",H490)+1,FIND("/",H490,FIND("/",H490)+1)-FIND("/",H490)-1)),VALUE(LEFT(H490,FIND("/",H490)-1)))+IFERROR(TIMEVALUE(TRIM(MID(H490,FIND(" ",H490)+1,20))),0),0)))</f>
        <v/>
      </c>
      <c r="K490" s="256">
        <f>IF(I490=0,0,INT(I490))</f>
        <v/>
      </c>
      <c r="L490" s="257">
        <f>IF(OR(I490=0,J490=0),0,ROUND((J490-I490)*24,2))</f>
        <v/>
      </c>
      <c r="M490" s="254">
        <f>IFERROR(TRIM(MID(A490,FIND("@",SUBSTITUTE(A490,"(","@",LEN(A490)-LEN(SUBSTITUTE(A490,"(",""))))+1,FIND(")",A490,FIND("@",SUBSTITUTE(A490,"(","@",LEN(A490)-LEN(SUBSTITUTE(A490,"(","")))))-FIND("@",SUBSTITUTE(A490,"(","@",LEN(A490)-LEN(SUBSTITUTE(A490,"(",""))))-1)),"")</f>
        <v/>
      </c>
      <c r="N490" s="254">
        <f>IF(A490="","",IF(LEFT(TRIM(A490),5)="Leave","Leave",IF(OR(ISNUMBER(SEARCH("public holiday",A490)),ISNUMBER(SEARCH("Purple",E490))),"Public holiday","Event")))</f>
        <v/>
      </c>
    </row>
    <row r="491">
      <c r="G491" s="254">
        <f>IF(C491="","",IF(ISNUMBER(C491),C491,IF(ISNUMBER(VALUE(LEFT(TRIM(C491),1))),TRIM(C491),TRIM(MID(TRIM(C491),FIND(" ",TRIM(C491))+1,99)))))</f>
        <v/>
      </c>
      <c r="H491" s="254">
        <f>IF(D491="","",IF(ISNUMBER(D491),D491,IF(ISNUMBER(VALUE(LEFT(TRIM(D491),1))),TRIM(D491),TRIM(MID(TRIM(D491),FIND(" ",TRIM(D491))+1,99)))))</f>
        <v/>
      </c>
      <c r="I491" s="255">
        <f>IF(G491="",0,IF(ISNUMBER(G491),G491,IFERROR(DATE(VALUE(MID(G491,FIND("/",G491,FIND("/",G491)+1)+1,4)),VALUE(MID(G491,FIND("/",G491)+1,FIND("/",G491,FIND("/",G491)+1)-FIND("/",G491)-1)),VALUE(LEFT(G491,FIND("/",G491)-1)))+IFERROR(TIMEVALUE(TRIM(MID(G491,FIND(" ",G491)+1,20))),0),0)))</f>
        <v/>
      </c>
      <c r="J491" s="255">
        <f>IF(H491="",0,IF(ISNUMBER(H491),H491,IFERROR(DATE(VALUE(MID(H491,FIND("/",H491,FIND("/",H491)+1)+1,4)),VALUE(MID(H491,FIND("/",H491)+1,FIND("/",H491,FIND("/",H491)+1)-FIND("/",H491)-1)),VALUE(LEFT(H491,FIND("/",H491)-1)))+IFERROR(TIMEVALUE(TRIM(MID(H491,FIND(" ",H491)+1,20))),0),0)))</f>
        <v/>
      </c>
      <c r="K491" s="256">
        <f>IF(I491=0,0,INT(I491))</f>
        <v/>
      </c>
      <c r="L491" s="257">
        <f>IF(OR(I491=0,J491=0),0,ROUND((J491-I491)*24,2))</f>
        <v/>
      </c>
      <c r="M491" s="254">
        <f>IFERROR(TRIM(MID(A491,FIND("@",SUBSTITUTE(A491,"(","@",LEN(A491)-LEN(SUBSTITUTE(A491,"(",""))))+1,FIND(")",A491,FIND("@",SUBSTITUTE(A491,"(","@",LEN(A491)-LEN(SUBSTITUTE(A491,"(","")))))-FIND("@",SUBSTITUTE(A491,"(","@",LEN(A491)-LEN(SUBSTITUTE(A491,"(",""))))-1)),"")</f>
        <v/>
      </c>
      <c r="N491" s="254">
        <f>IF(A491="","",IF(LEFT(TRIM(A491),5)="Leave","Leave",IF(OR(ISNUMBER(SEARCH("public holiday",A491)),ISNUMBER(SEARCH("Purple",E491))),"Public holiday","Event")))</f>
        <v/>
      </c>
    </row>
    <row r="492">
      <c r="G492" s="254">
        <f>IF(C492="","",IF(ISNUMBER(C492),C492,IF(ISNUMBER(VALUE(LEFT(TRIM(C492),1))),TRIM(C492),TRIM(MID(TRIM(C492),FIND(" ",TRIM(C492))+1,99)))))</f>
        <v/>
      </c>
      <c r="H492" s="254">
        <f>IF(D492="","",IF(ISNUMBER(D492),D492,IF(ISNUMBER(VALUE(LEFT(TRIM(D492),1))),TRIM(D492),TRIM(MID(TRIM(D492),FIND(" ",TRIM(D492))+1,99)))))</f>
        <v/>
      </c>
      <c r="I492" s="255">
        <f>IF(G492="",0,IF(ISNUMBER(G492),G492,IFERROR(DATE(VALUE(MID(G492,FIND("/",G492,FIND("/",G492)+1)+1,4)),VALUE(MID(G492,FIND("/",G492)+1,FIND("/",G492,FIND("/",G492)+1)-FIND("/",G492)-1)),VALUE(LEFT(G492,FIND("/",G492)-1)))+IFERROR(TIMEVALUE(TRIM(MID(G492,FIND(" ",G492)+1,20))),0),0)))</f>
        <v/>
      </c>
      <c r="J492" s="255">
        <f>IF(H492="",0,IF(ISNUMBER(H492),H492,IFERROR(DATE(VALUE(MID(H492,FIND("/",H492,FIND("/",H492)+1)+1,4)),VALUE(MID(H492,FIND("/",H492)+1,FIND("/",H492,FIND("/",H492)+1)-FIND("/",H492)-1)),VALUE(LEFT(H492,FIND("/",H492)-1)))+IFERROR(TIMEVALUE(TRIM(MID(H492,FIND(" ",H492)+1,20))),0),0)))</f>
        <v/>
      </c>
      <c r="K492" s="256">
        <f>IF(I492=0,0,INT(I492))</f>
        <v/>
      </c>
      <c r="L492" s="257">
        <f>IF(OR(I492=0,J492=0),0,ROUND((J492-I492)*24,2))</f>
        <v/>
      </c>
      <c r="M492" s="254">
        <f>IFERROR(TRIM(MID(A492,FIND("@",SUBSTITUTE(A492,"(","@",LEN(A492)-LEN(SUBSTITUTE(A492,"(",""))))+1,FIND(")",A492,FIND("@",SUBSTITUTE(A492,"(","@",LEN(A492)-LEN(SUBSTITUTE(A492,"(","")))))-FIND("@",SUBSTITUTE(A492,"(","@",LEN(A492)-LEN(SUBSTITUTE(A492,"(",""))))-1)),"")</f>
        <v/>
      </c>
      <c r="N492" s="254">
        <f>IF(A492="","",IF(LEFT(TRIM(A492),5)="Leave","Leave",IF(OR(ISNUMBER(SEARCH("public holiday",A492)),ISNUMBER(SEARCH("Purple",E492))),"Public holiday","Event")))</f>
        <v/>
      </c>
    </row>
    <row r="493">
      <c r="G493" s="254">
        <f>IF(C493="","",IF(ISNUMBER(C493),C493,IF(ISNUMBER(VALUE(LEFT(TRIM(C493),1))),TRIM(C493),TRIM(MID(TRIM(C493),FIND(" ",TRIM(C493))+1,99)))))</f>
        <v/>
      </c>
      <c r="H493" s="254">
        <f>IF(D493="","",IF(ISNUMBER(D493),D493,IF(ISNUMBER(VALUE(LEFT(TRIM(D493),1))),TRIM(D493),TRIM(MID(TRIM(D493),FIND(" ",TRIM(D493))+1,99)))))</f>
        <v/>
      </c>
      <c r="I493" s="255">
        <f>IF(G493="",0,IF(ISNUMBER(G493),G493,IFERROR(DATE(VALUE(MID(G493,FIND("/",G493,FIND("/",G493)+1)+1,4)),VALUE(MID(G493,FIND("/",G493)+1,FIND("/",G493,FIND("/",G493)+1)-FIND("/",G493)-1)),VALUE(LEFT(G493,FIND("/",G493)-1)))+IFERROR(TIMEVALUE(TRIM(MID(G493,FIND(" ",G493)+1,20))),0),0)))</f>
        <v/>
      </c>
      <c r="J493" s="255">
        <f>IF(H493="",0,IF(ISNUMBER(H493),H493,IFERROR(DATE(VALUE(MID(H493,FIND("/",H493,FIND("/",H493)+1)+1,4)),VALUE(MID(H493,FIND("/",H493)+1,FIND("/",H493,FIND("/",H493)+1)-FIND("/",H493)-1)),VALUE(LEFT(H493,FIND("/",H493)-1)))+IFERROR(TIMEVALUE(TRIM(MID(H493,FIND(" ",H493)+1,20))),0),0)))</f>
        <v/>
      </c>
      <c r="K493" s="256">
        <f>IF(I493=0,0,INT(I493))</f>
        <v/>
      </c>
      <c r="L493" s="257">
        <f>IF(OR(I493=0,J493=0),0,ROUND((J493-I493)*24,2))</f>
        <v/>
      </c>
      <c r="M493" s="254">
        <f>IFERROR(TRIM(MID(A493,FIND("@",SUBSTITUTE(A493,"(","@",LEN(A493)-LEN(SUBSTITUTE(A493,"(",""))))+1,FIND(")",A493,FIND("@",SUBSTITUTE(A493,"(","@",LEN(A493)-LEN(SUBSTITUTE(A493,"(","")))))-FIND("@",SUBSTITUTE(A493,"(","@",LEN(A493)-LEN(SUBSTITUTE(A493,"(",""))))-1)),"")</f>
        <v/>
      </c>
      <c r="N493" s="254">
        <f>IF(A493="","",IF(LEFT(TRIM(A493),5)="Leave","Leave",IF(OR(ISNUMBER(SEARCH("public holiday",A493)),ISNUMBER(SEARCH("Purple",E493))),"Public holiday","Event")))</f>
        <v/>
      </c>
    </row>
    <row r="494">
      <c r="G494" s="254">
        <f>IF(C494="","",IF(ISNUMBER(C494),C494,IF(ISNUMBER(VALUE(LEFT(TRIM(C494),1))),TRIM(C494),TRIM(MID(TRIM(C494),FIND(" ",TRIM(C494))+1,99)))))</f>
        <v/>
      </c>
      <c r="H494" s="254">
        <f>IF(D494="","",IF(ISNUMBER(D494),D494,IF(ISNUMBER(VALUE(LEFT(TRIM(D494),1))),TRIM(D494),TRIM(MID(TRIM(D494),FIND(" ",TRIM(D494))+1,99)))))</f>
        <v/>
      </c>
      <c r="I494" s="255">
        <f>IF(G494="",0,IF(ISNUMBER(G494),G494,IFERROR(DATE(VALUE(MID(G494,FIND("/",G494,FIND("/",G494)+1)+1,4)),VALUE(MID(G494,FIND("/",G494)+1,FIND("/",G494,FIND("/",G494)+1)-FIND("/",G494)-1)),VALUE(LEFT(G494,FIND("/",G494)-1)))+IFERROR(TIMEVALUE(TRIM(MID(G494,FIND(" ",G494)+1,20))),0),0)))</f>
        <v/>
      </c>
      <c r="J494" s="255">
        <f>IF(H494="",0,IF(ISNUMBER(H494),H494,IFERROR(DATE(VALUE(MID(H494,FIND("/",H494,FIND("/",H494)+1)+1,4)),VALUE(MID(H494,FIND("/",H494)+1,FIND("/",H494,FIND("/",H494)+1)-FIND("/",H494)-1)),VALUE(LEFT(H494,FIND("/",H494)-1)))+IFERROR(TIMEVALUE(TRIM(MID(H494,FIND(" ",H494)+1,20))),0),0)))</f>
        <v/>
      </c>
      <c r="K494" s="256">
        <f>IF(I494=0,0,INT(I494))</f>
        <v/>
      </c>
      <c r="L494" s="257">
        <f>IF(OR(I494=0,J494=0),0,ROUND((J494-I494)*24,2))</f>
        <v/>
      </c>
      <c r="M494" s="254">
        <f>IFERROR(TRIM(MID(A494,FIND("@",SUBSTITUTE(A494,"(","@",LEN(A494)-LEN(SUBSTITUTE(A494,"(",""))))+1,FIND(")",A494,FIND("@",SUBSTITUTE(A494,"(","@",LEN(A494)-LEN(SUBSTITUTE(A494,"(","")))))-FIND("@",SUBSTITUTE(A494,"(","@",LEN(A494)-LEN(SUBSTITUTE(A494,"(",""))))-1)),"")</f>
        <v/>
      </c>
      <c r="N494" s="254">
        <f>IF(A494="","",IF(LEFT(TRIM(A494),5)="Leave","Leave",IF(OR(ISNUMBER(SEARCH("public holiday",A494)),ISNUMBER(SEARCH("Purple",E494))),"Public holiday","Event")))</f>
        <v/>
      </c>
    </row>
    <row r="495">
      <c r="G495" s="254">
        <f>IF(C495="","",IF(ISNUMBER(C495),C495,IF(ISNUMBER(VALUE(LEFT(TRIM(C495),1))),TRIM(C495),TRIM(MID(TRIM(C495),FIND(" ",TRIM(C495))+1,99)))))</f>
        <v/>
      </c>
      <c r="H495" s="254">
        <f>IF(D495="","",IF(ISNUMBER(D495),D495,IF(ISNUMBER(VALUE(LEFT(TRIM(D495),1))),TRIM(D495),TRIM(MID(TRIM(D495),FIND(" ",TRIM(D495))+1,99)))))</f>
        <v/>
      </c>
      <c r="I495" s="255">
        <f>IF(G495="",0,IF(ISNUMBER(G495),G495,IFERROR(DATE(VALUE(MID(G495,FIND("/",G495,FIND("/",G495)+1)+1,4)),VALUE(MID(G495,FIND("/",G495)+1,FIND("/",G495,FIND("/",G495)+1)-FIND("/",G495)-1)),VALUE(LEFT(G495,FIND("/",G495)-1)))+IFERROR(TIMEVALUE(TRIM(MID(G495,FIND(" ",G495)+1,20))),0),0)))</f>
        <v/>
      </c>
      <c r="J495" s="255">
        <f>IF(H495="",0,IF(ISNUMBER(H495),H495,IFERROR(DATE(VALUE(MID(H495,FIND("/",H495,FIND("/",H495)+1)+1,4)),VALUE(MID(H495,FIND("/",H495)+1,FIND("/",H495,FIND("/",H495)+1)-FIND("/",H495)-1)),VALUE(LEFT(H495,FIND("/",H495)-1)))+IFERROR(TIMEVALUE(TRIM(MID(H495,FIND(" ",H495)+1,20))),0),0)))</f>
        <v/>
      </c>
      <c r="K495" s="256">
        <f>IF(I495=0,0,INT(I495))</f>
        <v/>
      </c>
      <c r="L495" s="257">
        <f>IF(OR(I495=0,J495=0),0,ROUND((J495-I495)*24,2))</f>
        <v/>
      </c>
      <c r="M495" s="254">
        <f>IFERROR(TRIM(MID(A495,FIND("@",SUBSTITUTE(A495,"(","@",LEN(A495)-LEN(SUBSTITUTE(A495,"(",""))))+1,FIND(")",A495,FIND("@",SUBSTITUTE(A495,"(","@",LEN(A495)-LEN(SUBSTITUTE(A495,"(","")))))-FIND("@",SUBSTITUTE(A495,"(","@",LEN(A495)-LEN(SUBSTITUTE(A495,"(",""))))-1)),"")</f>
        <v/>
      </c>
      <c r="N495" s="254">
        <f>IF(A495="","",IF(LEFT(TRIM(A495),5)="Leave","Leave",IF(OR(ISNUMBER(SEARCH("public holiday",A495)),ISNUMBER(SEARCH("Purple",E495))),"Public holiday","Event")))</f>
        <v/>
      </c>
    </row>
    <row r="496">
      <c r="G496" s="254">
        <f>IF(C496="","",IF(ISNUMBER(C496),C496,IF(ISNUMBER(VALUE(LEFT(TRIM(C496),1))),TRIM(C496),TRIM(MID(TRIM(C496),FIND(" ",TRIM(C496))+1,99)))))</f>
        <v/>
      </c>
      <c r="H496" s="254">
        <f>IF(D496="","",IF(ISNUMBER(D496),D496,IF(ISNUMBER(VALUE(LEFT(TRIM(D496),1))),TRIM(D496),TRIM(MID(TRIM(D496),FIND(" ",TRIM(D496))+1,99)))))</f>
        <v/>
      </c>
      <c r="I496" s="255">
        <f>IF(G496="",0,IF(ISNUMBER(G496),G496,IFERROR(DATE(VALUE(MID(G496,FIND("/",G496,FIND("/",G496)+1)+1,4)),VALUE(MID(G496,FIND("/",G496)+1,FIND("/",G496,FIND("/",G496)+1)-FIND("/",G496)-1)),VALUE(LEFT(G496,FIND("/",G496)-1)))+IFERROR(TIMEVALUE(TRIM(MID(G496,FIND(" ",G496)+1,20))),0),0)))</f>
        <v/>
      </c>
      <c r="J496" s="255">
        <f>IF(H496="",0,IF(ISNUMBER(H496),H496,IFERROR(DATE(VALUE(MID(H496,FIND("/",H496,FIND("/",H496)+1)+1,4)),VALUE(MID(H496,FIND("/",H496)+1,FIND("/",H496,FIND("/",H496)+1)-FIND("/",H496)-1)),VALUE(LEFT(H496,FIND("/",H496)-1)))+IFERROR(TIMEVALUE(TRIM(MID(H496,FIND(" ",H496)+1,20))),0),0)))</f>
        <v/>
      </c>
      <c r="K496" s="256">
        <f>IF(I496=0,0,INT(I496))</f>
        <v/>
      </c>
      <c r="L496" s="257">
        <f>IF(OR(I496=0,J496=0),0,ROUND((J496-I496)*24,2))</f>
        <v/>
      </c>
      <c r="M496" s="254">
        <f>IFERROR(TRIM(MID(A496,FIND("@",SUBSTITUTE(A496,"(","@",LEN(A496)-LEN(SUBSTITUTE(A496,"(",""))))+1,FIND(")",A496,FIND("@",SUBSTITUTE(A496,"(","@",LEN(A496)-LEN(SUBSTITUTE(A496,"(","")))))-FIND("@",SUBSTITUTE(A496,"(","@",LEN(A496)-LEN(SUBSTITUTE(A496,"(",""))))-1)),"")</f>
        <v/>
      </c>
      <c r="N496" s="254">
        <f>IF(A496="","",IF(LEFT(TRIM(A496),5)="Leave","Leave",IF(OR(ISNUMBER(SEARCH("public holiday",A496)),ISNUMBER(SEARCH("Purple",E496))),"Public holiday","Event")))</f>
        <v/>
      </c>
    </row>
    <row r="497">
      <c r="G497" s="254">
        <f>IF(C497="","",IF(ISNUMBER(C497),C497,IF(ISNUMBER(VALUE(LEFT(TRIM(C497),1))),TRIM(C497),TRIM(MID(TRIM(C497),FIND(" ",TRIM(C497))+1,99)))))</f>
        <v/>
      </c>
      <c r="H497" s="254">
        <f>IF(D497="","",IF(ISNUMBER(D497),D497,IF(ISNUMBER(VALUE(LEFT(TRIM(D497),1))),TRIM(D497),TRIM(MID(TRIM(D497),FIND(" ",TRIM(D497))+1,99)))))</f>
        <v/>
      </c>
      <c r="I497" s="255">
        <f>IF(G497="",0,IF(ISNUMBER(G497),G497,IFERROR(DATE(VALUE(MID(G497,FIND("/",G497,FIND("/",G497)+1)+1,4)),VALUE(MID(G497,FIND("/",G497)+1,FIND("/",G497,FIND("/",G497)+1)-FIND("/",G497)-1)),VALUE(LEFT(G497,FIND("/",G497)-1)))+IFERROR(TIMEVALUE(TRIM(MID(G497,FIND(" ",G497)+1,20))),0),0)))</f>
        <v/>
      </c>
      <c r="J497" s="255">
        <f>IF(H497="",0,IF(ISNUMBER(H497),H497,IFERROR(DATE(VALUE(MID(H497,FIND("/",H497,FIND("/",H497)+1)+1,4)),VALUE(MID(H497,FIND("/",H497)+1,FIND("/",H497,FIND("/",H497)+1)-FIND("/",H497)-1)),VALUE(LEFT(H497,FIND("/",H497)-1)))+IFERROR(TIMEVALUE(TRIM(MID(H497,FIND(" ",H497)+1,20))),0),0)))</f>
        <v/>
      </c>
      <c r="K497" s="256">
        <f>IF(I497=0,0,INT(I497))</f>
        <v/>
      </c>
      <c r="L497" s="257">
        <f>IF(OR(I497=0,J497=0),0,ROUND((J497-I497)*24,2))</f>
        <v/>
      </c>
      <c r="M497" s="254">
        <f>IFERROR(TRIM(MID(A497,FIND("@",SUBSTITUTE(A497,"(","@",LEN(A497)-LEN(SUBSTITUTE(A497,"(",""))))+1,FIND(")",A497,FIND("@",SUBSTITUTE(A497,"(","@",LEN(A497)-LEN(SUBSTITUTE(A497,"(","")))))-FIND("@",SUBSTITUTE(A497,"(","@",LEN(A497)-LEN(SUBSTITUTE(A497,"(",""))))-1)),"")</f>
        <v/>
      </c>
      <c r="N497" s="254">
        <f>IF(A497="","",IF(LEFT(TRIM(A497),5)="Leave","Leave",IF(OR(ISNUMBER(SEARCH("public holiday",A497)),ISNUMBER(SEARCH("Purple",E497))),"Public holiday","Event")))</f>
        <v/>
      </c>
    </row>
    <row r="498">
      <c r="G498" s="254">
        <f>IF(C498="","",IF(ISNUMBER(C498),C498,IF(ISNUMBER(VALUE(LEFT(TRIM(C498),1))),TRIM(C498),TRIM(MID(TRIM(C498),FIND(" ",TRIM(C498))+1,99)))))</f>
        <v/>
      </c>
      <c r="H498" s="254">
        <f>IF(D498="","",IF(ISNUMBER(D498),D498,IF(ISNUMBER(VALUE(LEFT(TRIM(D498),1))),TRIM(D498),TRIM(MID(TRIM(D498),FIND(" ",TRIM(D498))+1,99)))))</f>
        <v/>
      </c>
      <c r="I498" s="255">
        <f>IF(G498="",0,IF(ISNUMBER(G498),G498,IFERROR(DATE(VALUE(MID(G498,FIND("/",G498,FIND("/",G498)+1)+1,4)),VALUE(MID(G498,FIND("/",G498)+1,FIND("/",G498,FIND("/",G498)+1)-FIND("/",G498)-1)),VALUE(LEFT(G498,FIND("/",G498)-1)))+IFERROR(TIMEVALUE(TRIM(MID(G498,FIND(" ",G498)+1,20))),0),0)))</f>
        <v/>
      </c>
      <c r="J498" s="255">
        <f>IF(H498="",0,IF(ISNUMBER(H498),H498,IFERROR(DATE(VALUE(MID(H498,FIND("/",H498,FIND("/",H498)+1)+1,4)),VALUE(MID(H498,FIND("/",H498)+1,FIND("/",H498,FIND("/",H498)+1)-FIND("/",H498)-1)),VALUE(LEFT(H498,FIND("/",H498)-1)))+IFERROR(TIMEVALUE(TRIM(MID(H498,FIND(" ",H498)+1,20))),0),0)))</f>
        <v/>
      </c>
      <c r="K498" s="256">
        <f>IF(I498=0,0,INT(I498))</f>
        <v/>
      </c>
      <c r="L498" s="257">
        <f>IF(OR(I498=0,J498=0),0,ROUND((J498-I498)*24,2))</f>
        <v/>
      </c>
      <c r="M498" s="254">
        <f>IFERROR(TRIM(MID(A498,FIND("@",SUBSTITUTE(A498,"(","@",LEN(A498)-LEN(SUBSTITUTE(A498,"(",""))))+1,FIND(")",A498,FIND("@",SUBSTITUTE(A498,"(","@",LEN(A498)-LEN(SUBSTITUTE(A498,"(","")))))-FIND("@",SUBSTITUTE(A498,"(","@",LEN(A498)-LEN(SUBSTITUTE(A498,"(",""))))-1)),"")</f>
        <v/>
      </c>
      <c r="N498" s="254">
        <f>IF(A498="","",IF(LEFT(TRIM(A498),5)="Leave","Leave",IF(OR(ISNUMBER(SEARCH("public holiday",A498)),ISNUMBER(SEARCH("Purple",E498))),"Public holiday","Event")))</f>
        <v/>
      </c>
    </row>
    <row r="499">
      <c r="G499" s="254">
        <f>IF(C499="","",IF(ISNUMBER(C499),C499,IF(ISNUMBER(VALUE(LEFT(TRIM(C499),1))),TRIM(C499),TRIM(MID(TRIM(C499),FIND(" ",TRIM(C499))+1,99)))))</f>
        <v/>
      </c>
      <c r="H499" s="254">
        <f>IF(D499="","",IF(ISNUMBER(D499),D499,IF(ISNUMBER(VALUE(LEFT(TRIM(D499),1))),TRIM(D499),TRIM(MID(TRIM(D499),FIND(" ",TRIM(D499))+1,99)))))</f>
        <v/>
      </c>
      <c r="I499" s="255">
        <f>IF(G499="",0,IF(ISNUMBER(G499),G499,IFERROR(DATE(VALUE(MID(G499,FIND("/",G499,FIND("/",G499)+1)+1,4)),VALUE(MID(G499,FIND("/",G499)+1,FIND("/",G499,FIND("/",G499)+1)-FIND("/",G499)-1)),VALUE(LEFT(G499,FIND("/",G499)-1)))+IFERROR(TIMEVALUE(TRIM(MID(G499,FIND(" ",G499)+1,20))),0),0)))</f>
        <v/>
      </c>
      <c r="J499" s="255">
        <f>IF(H499="",0,IF(ISNUMBER(H499),H499,IFERROR(DATE(VALUE(MID(H499,FIND("/",H499,FIND("/",H499)+1)+1,4)),VALUE(MID(H499,FIND("/",H499)+1,FIND("/",H499,FIND("/",H499)+1)-FIND("/",H499)-1)),VALUE(LEFT(H499,FIND("/",H499)-1)))+IFERROR(TIMEVALUE(TRIM(MID(H499,FIND(" ",H499)+1,20))),0),0)))</f>
        <v/>
      </c>
      <c r="K499" s="256">
        <f>IF(I499=0,0,INT(I499))</f>
        <v/>
      </c>
      <c r="L499" s="257">
        <f>IF(OR(I499=0,J499=0),0,ROUND((J499-I499)*24,2))</f>
        <v/>
      </c>
      <c r="M499" s="254">
        <f>IFERROR(TRIM(MID(A499,FIND("@",SUBSTITUTE(A499,"(","@",LEN(A499)-LEN(SUBSTITUTE(A499,"(",""))))+1,FIND(")",A499,FIND("@",SUBSTITUTE(A499,"(","@",LEN(A499)-LEN(SUBSTITUTE(A499,"(","")))))-FIND("@",SUBSTITUTE(A499,"(","@",LEN(A499)-LEN(SUBSTITUTE(A499,"(",""))))-1)),"")</f>
        <v/>
      </c>
      <c r="N499" s="254">
        <f>IF(A499="","",IF(LEFT(TRIM(A499),5)="Leave","Leave",IF(OR(ISNUMBER(SEARCH("public holiday",A499)),ISNUMBER(SEARCH("Purple",E499))),"Public holiday","Event")))</f>
        <v/>
      </c>
    </row>
    <row r="500">
      <c r="G500" s="254">
        <f>IF(C500="","",IF(ISNUMBER(C500),C500,IF(ISNUMBER(VALUE(LEFT(TRIM(C500),1))),TRIM(C500),TRIM(MID(TRIM(C500),FIND(" ",TRIM(C500))+1,99)))))</f>
        <v/>
      </c>
      <c r="H500" s="254">
        <f>IF(D500="","",IF(ISNUMBER(D500),D500,IF(ISNUMBER(VALUE(LEFT(TRIM(D500),1))),TRIM(D500),TRIM(MID(TRIM(D500),FIND(" ",TRIM(D500))+1,99)))))</f>
        <v/>
      </c>
      <c r="I500" s="255">
        <f>IF(G500="",0,IF(ISNUMBER(G500),G500,IFERROR(DATE(VALUE(MID(G500,FIND("/",G500,FIND("/",G500)+1)+1,4)),VALUE(MID(G500,FIND("/",G500)+1,FIND("/",G500,FIND("/",G500)+1)-FIND("/",G500)-1)),VALUE(LEFT(G500,FIND("/",G500)-1)))+IFERROR(TIMEVALUE(TRIM(MID(G500,FIND(" ",G500)+1,20))),0),0)))</f>
        <v/>
      </c>
      <c r="J500" s="255">
        <f>IF(H500="",0,IF(ISNUMBER(H500),H500,IFERROR(DATE(VALUE(MID(H500,FIND("/",H500,FIND("/",H500)+1)+1,4)),VALUE(MID(H500,FIND("/",H500)+1,FIND("/",H500,FIND("/",H500)+1)-FIND("/",H500)-1)),VALUE(LEFT(H500,FIND("/",H500)-1)))+IFERROR(TIMEVALUE(TRIM(MID(H500,FIND(" ",H500)+1,20))),0),0)))</f>
        <v/>
      </c>
      <c r="K500" s="256">
        <f>IF(I500=0,0,INT(I500))</f>
        <v/>
      </c>
      <c r="L500" s="257">
        <f>IF(OR(I500=0,J500=0),0,ROUND((J500-I500)*24,2))</f>
        <v/>
      </c>
      <c r="M500" s="254">
        <f>IFERROR(TRIM(MID(A500,FIND("@",SUBSTITUTE(A500,"(","@",LEN(A500)-LEN(SUBSTITUTE(A500,"(",""))))+1,FIND(")",A500,FIND("@",SUBSTITUTE(A500,"(","@",LEN(A500)-LEN(SUBSTITUTE(A500,"(","")))))-FIND("@",SUBSTITUTE(A500,"(","@",LEN(A500)-LEN(SUBSTITUTE(A500,"(",""))))-1)),"")</f>
        <v/>
      </c>
      <c r="N500" s="254">
        <f>IF(A500="","",IF(LEFT(TRIM(A500),5)="Leave","Leave",IF(OR(ISNUMBER(SEARCH("public holiday",A500)),ISNUMBER(SEARCH("Purple",E500))),"Public holiday","Event")))</f>
        <v/>
      </c>
    </row>
    <row r="501">
      <c r="G501" s="254">
        <f>IF(C501="","",IF(ISNUMBER(C501),C501,IF(ISNUMBER(VALUE(LEFT(TRIM(C501),1))),TRIM(C501),TRIM(MID(TRIM(C501),FIND(" ",TRIM(C501))+1,99)))))</f>
        <v/>
      </c>
      <c r="H501" s="254">
        <f>IF(D501="","",IF(ISNUMBER(D501),D501,IF(ISNUMBER(VALUE(LEFT(TRIM(D501),1))),TRIM(D501),TRIM(MID(TRIM(D501),FIND(" ",TRIM(D501))+1,99)))))</f>
        <v/>
      </c>
      <c r="I501" s="255">
        <f>IF(G501="",0,IF(ISNUMBER(G501),G501,IFERROR(DATE(VALUE(MID(G501,FIND("/",G501,FIND("/",G501)+1)+1,4)),VALUE(MID(G501,FIND("/",G501)+1,FIND("/",G501,FIND("/",G501)+1)-FIND("/",G501)-1)),VALUE(LEFT(G501,FIND("/",G501)-1)))+IFERROR(TIMEVALUE(TRIM(MID(G501,FIND(" ",G501)+1,20))),0),0)))</f>
        <v/>
      </c>
      <c r="J501" s="255">
        <f>IF(H501="",0,IF(ISNUMBER(H501),H501,IFERROR(DATE(VALUE(MID(H501,FIND("/",H501,FIND("/",H501)+1)+1,4)),VALUE(MID(H501,FIND("/",H501)+1,FIND("/",H501,FIND("/",H501)+1)-FIND("/",H501)-1)),VALUE(LEFT(H501,FIND("/",H501)-1)))+IFERROR(TIMEVALUE(TRIM(MID(H501,FIND(" ",H501)+1,20))),0),0)))</f>
        <v/>
      </c>
      <c r="K501" s="256">
        <f>IF(I501=0,0,INT(I501))</f>
        <v/>
      </c>
      <c r="L501" s="257">
        <f>IF(OR(I501=0,J501=0),0,ROUND((J501-I501)*24,2))</f>
        <v/>
      </c>
      <c r="M501" s="254">
        <f>IFERROR(TRIM(MID(A501,FIND("@",SUBSTITUTE(A501,"(","@",LEN(A501)-LEN(SUBSTITUTE(A501,"(",""))))+1,FIND(")",A501,FIND("@",SUBSTITUTE(A501,"(","@",LEN(A501)-LEN(SUBSTITUTE(A501,"(","")))))-FIND("@",SUBSTITUTE(A501,"(","@",LEN(A501)-LEN(SUBSTITUTE(A501,"(",""))))-1)),"")</f>
        <v/>
      </c>
      <c r="N501" s="254">
        <f>IF(A501="","",IF(LEFT(TRIM(A501),5)="Leave","Leave",IF(OR(ISNUMBER(SEARCH("public holiday",A501)),ISNUMBER(SEARCH("Purple",E501))),"Public holiday","Event")))</f>
        <v/>
      </c>
    </row>
    <row r="502">
      <c r="G502" s="254">
        <f>IF(C502="","",IF(ISNUMBER(C502),C502,IF(ISNUMBER(VALUE(LEFT(TRIM(C502),1))),TRIM(C502),TRIM(MID(TRIM(C502),FIND(" ",TRIM(C502))+1,99)))))</f>
        <v/>
      </c>
      <c r="H502" s="254">
        <f>IF(D502="","",IF(ISNUMBER(D502),D502,IF(ISNUMBER(VALUE(LEFT(TRIM(D502),1))),TRIM(D502),TRIM(MID(TRIM(D502),FIND(" ",TRIM(D502))+1,99)))))</f>
        <v/>
      </c>
      <c r="I502" s="255">
        <f>IF(G502="",0,IF(ISNUMBER(G502),G502,IFERROR(DATE(VALUE(MID(G502,FIND("/",G502,FIND("/",G502)+1)+1,4)),VALUE(MID(G502,FIND("/",G502)+1,FIND("/",G502,FIND("/",G502)+1)-FIND("/",G502)-1)),VALUE(LEFT(G502,FIND("/",G502)-1)))+IFERROR(TIMEVALUE(TRIM(MID(G502,FIND(" ",G502)+1,20))),0),0)))</f>
        <v/>
      </c>
      <c r="J502" s="255">
        <f>IF(H502="",0,IF(ISNUMBER(H502),H502,IFERROR(DATE(VALUE(MID(H502,FIND("/",H502,FIND("/",H502)+1)+1,4)),VALUE(MID(H502,FIND("/",H502)+1,FIND("/",H502,FIND("/",H502)+1)-FIND("/",H502)-1)),VALUE(LEFT(H502,FIND("/",H502)-1)))+IFERROR(TIMEVALUE(TRIM(MID(H502,FIND(" ",H502)+1,20))),0),0)))</f>
        <v/>
      </c>
      <c r="K502" s="256">
        <f>IF(I502=0,0,INT(I502))</f>
        <v/>
      </c>
      <c r="L502" s="257">
        <f>IF(OR(I502=0,J502=0),0,ROUND((J502-I502)*24,2))</f>
        <v/>
      </c>
      <c r="M502" s="254">
        <f>IFERROR(TRIM(MID(A502,FIND("@",SUBSTITUTE(A502,"(","@",LEN(A502)-LEN(SUBSTITUTE(A502,"(",""))))+1,FIND(")",A502,FIND("@",SUBSTITUTE(A502,"(","@",LEN(A502)-LEN(SUBSTITUTE(A502,"(","")))))-FIND("@",SUBSTITUTE(A502,"(","@",LEN(A502)-LEN(SUBSTITUTE(A502,"(",""))))-1)),"")</f>
        <v/>
      </c>
      <c r="N502" s="254">
        <f>IF(A502="","",IF(LEFT(TRIM(A502),5)="Leave","Leave",IF(OR(ISNUMBER(SEARCH("public holiday",A502)),ISNUMBER(SEARCH("Purple",E502))),"Public holiday","Event")))</f>
        <v/>
      </c>
    </row>
    <row r="503">
      <c r="G503" s="254">
        <f>IF(C503="","",IF(ISNUMBER(C503),C503,IF(ISNUMBER(VALUE(LEFT(TRIM(C503),1))),TRIM(C503),TRIM(MID(TRIM(C503),FIND(" ",TRIM(C503))+1,99)))))</f>
        <v/>
      </c>
      <c r="H503" s="254">
        <f>IF(D503="","",IF(ISNUMBER(D503),D503,IF(ISNUMBER(VALUE(LEFT(TRIM(D503),1))),TRIM(D503),TRIM(MID(TRIM(D503),FIND(" ",TRIM(D503))+1,99)))))</f>
        <v/>
      </c>
      <c r="I503" s="255">
        <f>IF(G503="",0,IF(ISNUMBER(G503),G503,IFERROR(DATE(VALUE(MID(G503,FIND("/",G503,FIND("/",G503)+1)+1,4)),VALUE(MID(G503,FIND("/",G503)+1,FIND("/",G503,FIND("/",G503)+1)-FIND("/",G503)-1)),VALUE(LEFT(G503,FIND("/",G503)-1)))+IFERROR(TIMEVALUE(TRIM(MID(G503,FIND(" ",G503)+1,20))),0),0)))</f>
        <v/>
      </c>
      <c r="J503" s="255">
        <f>IF(H503="",0,IF(ISNUMBER(H503),H503,IFERROR(DATE(VALUE(MID(H503,FIND("/",H503,FIND("/",H503)+1)+1,4)),VALUE(MID(H503,FIND("/",H503)+1,FIND("/",H503,FIND("/",H503)+1)-FIND("/",H503)-1)),VALUE(LEFT(H503,FIND("/",H503)-1)))+IFERROR(TIMEVALUE(TRIM(MID(H503,FIND(" ",H503)+1,20))),0),0)))</f>
        <v/>
      </c>
      <c r="K503" s="256">
        <f>IF(I503=0,0,INT(I503))</f>
        <v/>
      </c>
      <c r="L503" s="257">
        <f>IF(OR(I503=0,J503=0),0,ROUND((J503-I503)*24,2))</f>
        <v/>
      </c>
      <c r="M503" s="254">
        <f>IFERROR(TRIM(MID(A503,FIND("@",SUBSTITUTE(A503,"(","@",LEN(A503)-LEN(SUBSTITUTE(A503,"(",""))))+1,FIND(")",A503,FIND("@",SUBSTITUTE(A503,"(","@",LEN(A503)-LEN(SUBSTITUTE(A503,"(","")))))-FIND("@",SUBSTITUTE(A503,"(","@",LEN(A503)-LEN(SUBSTITUTE(A503,"(",""))))-1)),"")</f>
        <v/>
      </c>
      <c r="N503" s="254">
        <f>IF(A503="","",IF(LEFT(TRIM(A503),5)="Leave","Leave",IF(OR(ISNUMBER(SEARCH("public holiday",A503)),ISNUMBER(SEARCH("Purple",E503))),"Public holiday","Event")))</f>
        <v/>
      </c>
    </row>
    <row r="504">
      <c r="G504" s="254">
        <f>IF(C504="","",IF(ISNUMBER(C504),C504,IF(ISNUMBER(VALUE(LEFT(TRIM(C504),1))),TRIM(C504),TRIM(MID(TRIM(C504),FIND(" ",TRIM(C504))+1,99)))))</f>
        <v/>
      </c>
      <c r="H504" s="254">
        <f>IF(D504="","",IF(ISNUMBER(D504),D504,IF(ISNUMBER(VALUE(LEFT(TRIM(D504),1))),TRIM(D504),TRIM(MID(TRIM(D504),FIND(" ",TRIM(D504))+1,99)))))</f>
        <v/>
      </c>
      <c r="I504" s="255">
        <f>IF(G504="",0,IF(ISNUMBER(G504),G504,IFERROR(DATE(VALUE(MID(G504,FIND("/",G504,FIND("/",G504)+1)+1,4)),VALUE(MID(G504,FIND("/",G504)+1,FIND("/",G504,FIND("/",G504)+1)-FIND("/",G504)-1)),VALUE(LEFT(G504,FIND("/",G504)-1)))+IFERROR(TIMEVALUE(TRIM(MID(G504,FIND(" ",G504)+1,20))),0),0)))</f>
        <v/>
      </c>
      <c r="J504" s="255">
        <f>IF(H504="",0,IF(ISNUMBER(H504),H504,IFERROR(DATE(VALUE(MID(H504,FIND("/",H504,FIND("/",H504)+1)+1,4)),VALUE(MID(H504,FIND("/",H504)+1,FIND("/",H504,FIND("/",H504)+1)-FIND("/",H504)-1)),VALUE(LEFT(H504,FIND("/",H504)-1)))+IFERROR(TIMEVALUE(TRIM(MID(H504,FIND(" ",H504)+1,20))),0),0)))</f>
        <v/>
      </c>
      <c r="K504" s="256">
        <f>IF(I504=0,0,INT(I504))</f>
        <v/>
      </c>
      <c r="L504" s="257">
        <f>IF(OR(I504=0,J504=0),0,ROUND((J504-I504)*24,2))</f>
        <v/>
      </c>
      <c r="M504" s="254">
        <f>IFERROR(TRIM(MID(A504,FIND("@",SUBSTITUTE(A504,"(","@",LEN(A504)-LEN(SUBSTITUTE(A504,"(",""))))+1,FIND(")",A504,FIND("@",SUBSTITUTE(A504,"(","@",LEN(A504)-LEN(SUBSTITUTE(A504,"(","")))))-FIND("@",SUBSTITUTE(A504,"(","@",LEN(A504)-LEN(SUBSTITUTE(A504,"(",""))))-1)),"")</f>
        <v/>
      </c>
      <c r="N504" s="254">
        <f>IF(A504="","",IF(LEFT(TRIM(A504),5)="Leave","Leave",IF(OR(ISNUMBER(SEARCH("public holiday",A504)),ISNUMBER(SEARCH("Purple",E504))),"Public holiday","Event")))</f>
        <v/>
      </c>
    </row>
    <row r="505">
      <c r="G505" s="254">
        <f>IF(C505="","",IF(ISNUMBER(C505),C505,IF(ISNUMBER(VALUE(LEFT(TRIM(C505),1))),TRIM(C505),TRIM(MID(TRIM(C505),FIND(" ",TRIM(C505))+1,99)))))</f>
        <v/>
      </c>
      <c r="H505" s="254">
        <f>IF(D505="","",IF(ISNUMBER(D505),D505,IF(ISNUMBER(VALUE(LEFT(TRIM(D505),1))),TRIM(D505),TRIM(MID(TRIM(D505),FIND(" ",TRIM(D505))+1,99)))))</f>
        <v/>
      </c>
      <c r="I505" s="255">
        <f>IF(G505="",0,IF(ISNUMBER(G505),G505,IFERROR(DATE(VALUE(MID(G505,FIND("/",G505,FIND("/",G505)+1)+1,4)),VALUE(MID(G505,FIND("/",G505)+1,FIND("/",G505,FIND("/",G505)+1)-FIND("/",G505)-1)),VALUE(LEFT(G505,FIND("/",G505)-1)))+IFERROR(TIMEVALUE(TRIM(MID(G505,FIND(" ",G505)+1,20))),0),0)))</f>
        <v/>
      </c>
      <c r="J505" s="255">
        <f>IF(H505="",0,IF(ISNUMBER(H505),H505,IFERROR(DATE(VALUE(MID(H505,FIND("/",H505,FIND("/",H505)+1)+1,4)),VALUE(MID(H505,FIND("/",H505)+1,FIND("/",H505,FIND("/",H505)+1)-FIND("/",H505)-1)),VALUE(LEFT(H505,FIND("/",H505)-1)))+IFERROR(TIMEVALUE(TRIM(MID(H505,FIND(" ",H505)+1,20))),0),0)))</f>
        <v/>
      </c>
      <c r="K505" s="256">
        <f>IF(I505=0,0,INT(I505))</f>
        <v/>
      </c>
      <c r="L505" s="257">
        <f>IF(OR(I505=0,J505=0),0,ROUND((J505-I505)*24,2))</f>
        <v/>
      </c>
      <c r="M505" s="254">
        <f>IFERROR(TRIM(MID(A505,FIND("@",SUBSTITUTE(A505,"(","@",LEN(A505)-LEN(SUBSTITUTE(A505,"(",""))))+1,FIND(")",A505,FIND("@",SUBSTITUTE(A505,"(","@",LEN(A505)-LEN(SUBSTITUTE(A505,"(","")))))-FIND("@",SUBSTITUTE(A505,"(","@",LEN(A505)-LEN(SUBSTITUTE(A505,"(",""))))-1)),"")</f>
        <v/>
      </c>
      <c r="N505" s="254">
        <f>IF(A505="","",IF(LEFT(TRIM(A505),5)="Leave","Leave",IF(OR(ISNUMBER(SEARCH("public holiday",A505)),ISNUMBER(SEARCH("Purple",E505))),"Public holiday","Event")))</f>
        <v/>
      </c>
    </row>
    <row r="506">
      <c r="G506" s="254">
        <f>IF(C506="","",IF(ISNUMBER(C506),C506,IF(ISNUMBER(VALUE(LEFT(TRIM(C506),1))),TRIM(C506),TRIM(MID(TRIM(C506),FIND(" ",TRIM(C506))+1,99)))))</f>
        <v/>
      </c>
      <c r="H506" s="254">
        <f>IF(D506="","",IF(ISNUMBER(D506),D506,IF(ISNUMBER(VALUE(LEFT(TRIM(D506),1))),TRIM(D506),TRIM(MID(TRIM(D506),FIND(" ",TRIM(D506))+1,99)))))</f>
        <v/>
      </c>
      <c r="I506" s="255">
        <f>IF(G506="",0,IF(ISNUMBER(G506),G506,IFERROR(DATE(VALUE(MID(G506,FIND("/",G506,FIND("/",G506)+1)+1,4)),VALUE(MID(G506,FIND("/",G506)+1,FIND("/",G506,FIND("/",G506)+1)-FIND("/",G506)-1)),VALUE(LEFT(G506,FIND("/",G506)-1)))+IFERROR(TIMEVALUE(TRIM(MID(G506,FIND(" ",G506)+1,20))),0),0)))</f>
        <v/>
      </c>
      <c r="J506" s="255">
        <f>IF(H506="",0,IF(ISNUMBER(H506),H506,IFERROR(DATE(VALUE(MID(H506,FIND("/",H506,FIND("/",H506)+1)+1,4)),VALUE(MID(H506,FIND("/",H506)+1,FIND("/",H506,FIND("/",H506)+1)-FIND("/",H506)-1)),VALUE(LEFT(H506,FIND("/",H506)-1)))+IFERROR(TIMEVALUE(TRIM(MID(H506,FIND(" ",H506)+1,20))),0),0)))</f>
        <v/>
      </c>
      <c r="K506" s="256">
        <f>IF(I506=0,0,INT(I506))</f>
        <v/>
      </c>
      <c r="L506" s="257">
        <f>IF(OR(I506=0,J506=0),0,ROUND((J506-I506)*24,2))</f>
        <v/>
      </c>
      <c r="M506" s="254">
        <f>IFERROR(TRIM(MID(A506,FIND("@",SUBSTITUTE(A506,"(","@",LEN(A506)-LEN(SUBSTITUTE(A506,"(",""))))+1,FIND(")",A506,FIND("@",SUBSTITUTE(A506,"(","@",LEN(A506)-LEN(SUBSTITUTE(A506,"(","")))))-FIND("@",SUBSTITUTE(A506,"(","@",LEN(A506)-LEN(SUBSTITUTE(A506,"(",""))))-1)),"")</f>
        <v/>
      </c>
      <c r="N506" s="254">
        <f>IF(A506="","",IF(LEFT(TRIM(A506),5)="Leave","Leave",IF(OR(ISNUMBER(SEARCH("public holiday",A506)),ISNUMBER(SEARCH("Purple",E506))),"Public holiday","Event")))</f>
        <v/>
      </c>
    </row>
    <row r="507">
      <c r="G507" s="254">
        <f>IF(C507="","",IF(ISNUMBER(C507),C507,IF(ISNUMBER(VALUE(LEFT(TRIM(C507),1))),TRIM(C507),TRIM(MID(TRIM(C507),FIND(" ",TRIM(C507))+1,99)))))</f>
        <v/>
      </c>
      <c r="H507" s="254">
        <f>IF(D507="","",IF(ISNUMBER(D507),D507,IF(ISNUMBER(VALUE(LEFT(TRIM(D507),1))),TRIM(D507),TRIM(MID(TRIM(D507),FIND(" ",TRIM(D507))+1,99)))))</f>
        <v/>
      </c>
      <c r="I507" s="255">
        <f>IF(G507="",0,IF(ISNUMBER(G507),G507,IFERROR(DATE(VALUE(MID(G507,FIND("/",G507,FIND("/",G507)+1)+1,4)),VALUE(MID(G507,FIND("/",G507)+1,FIND("/",G507,FIND("/",G507)+1)-FIND("/",G507)-1)),VALUE(LEFT(G507,FIND("/",G507)-1)))+IFERROR(TIMEVALUE(TRIM(MID(G507,FIND(" ",G507)+1,20))),0),0)))</f>
        <v/>
      </c>
      <c r="J507" s="255">
        <f>IF(H507="",0,IF(ISNUMBER(H507),H507,IFERROR(DATE(VALUE(MID(H507,FIND("/",H507,FIND("/",H507)+1)+1,4)),VALUE(MID(H507,FIND("/",H507)+1,FIND("/",H507,FIND("/",H507)+1)-FIND("/",H507)-1)),VALUE(LEFT(H507,FIND("/",H507)-1)))+IFERROR(TIMEVALUE(TRIM(MID(H507,FIND(" ",H507)+1,20))),0),0)))</f>
        <v/>
      </c>
      <c r="K507" s="256">
        <f>IF(I507=0,0,INT(I507))</f>
        <v/>
      </c>
      <c r="L507" s="257">
        <f>IF(OR(I507=0,J507=0),0,ROUND((J507-I507)*24,2))</f>
        <v/>
      </c>
      <c r="M507" s="254">
        <f>IFERROR(TRIM(MID(A507,FIND("@",SUBSTITUTE(A507,"(","@",LEN(A507)-LEN(SUBSTITUTE(A507,"(",""))))+1,FIND(")",A507,FIND("@",SUBSTITUTE(A507,"(","@",LEN(A507)-LEN(SUBSTITUTE(A507,"(","")))))-FIND("@",SUBSTITUTE(A507,"(","@",LEN(A507)-LEN(SUBSTITUTE(A507,"(",""))))-1)),"")</f>
        <v/>
      </c>
      <c r="N507" s="254">
        <f>IF(A507="","",IF(LEFT(TRIM(A507),5)="Leave","Leave",IF(OR(ISNUMBER(SEARCH("public holiday",A507)),ISNUMBER(SEARCH("Purple",E507))),"Public holiday","Event")))</f>
        <v/>
      </c>
    </row>
    <row r="508">
      <c r="G508" s="254">
        <f>IF(C508="","",IF(ISNUMBER(C508),C508,IF(ISNUMBER(VALUE(LEFT(TRIM(C508),1))),TRIM(C508),TRIM(MID(TRIM(C508),FIND(" ",TRIM(C508))+1,99)))))</f>
        <v/>
      </c>
      <c r="H508" s="254">
        <f>IF(D508="","",IF(ISNUMBER(D508),D508,IF(ISNUMBER(VALUE(LEFT(TRIM(D508),1))),TRIM(D508),TRIM(MID(TRIM(D508),FIND(" ",TRIM(D508))+1,99)))))</f>
        <v/>
      </c>
      <c r="I508" s="255">
        <f>IF(G508="",0,IF(ISNUMBER(G508),G508,IFERROR(DATE(VALUE(MID(G508,FIND("/",G508,FIND("/",G508)+1)+1,4)),VALUE(MID(G508,FIND("/",G508)+1,FIND("/",G508,FIND("/",G508)+1)-FIND("/",G508)-1)),VALUE(LEFT(G508,FIND("/",G508)-1)))+IFERROR(TIMEVALUE(TRIM(MID(G508,FIND(" ",G508)+1,20))),0),0)))</f>
        <v/>
      </c>
      <c r="J508" s="255">
        <f>IF(H508="",0,IF(ISNUMBER(H508),H508,IFERROR(DATE(VALUE(MID(H508,FIND("/",H508,FIND("/",H508)+1)+1,4)),VALUE(MID(H508,FIND("/",H508)+1,FIND("/",H508,FIND("/",H508)+1)-FIND("/",H508)-1)),VALUE(LEFT(H508,FIND("/",H508)-1)))+IFERROR(TIMEVALUE(TRIM(MID(H508,FIND(" ",H508)+1,20))),0),0)))</f>
        <v/>
      </c>
      <c r="K508" s="256">
        <f>IF(I508=0,0,INT(I508))</f>
        <v/>
      </c>
      <c r="L508" s="257">
        <f>IF(OR(I508=0,J508=0),0,ROUND((J508-I508)*24,2))</f>
        <v/>
      </c>
      <c r="M508" s="254">
        <f>IFERROR(TRIM(MID(A508,FIND("@",SUBSTITUTE(A508,"(","@",LEN(A508)-LEN(SUBSTITUTE(A508,"(",""))))+1,FIND(")",A508,FIND("@",SUBSTITUTE(A508,"(","@",LEN(A508)-LEN(SUBSTITUTE(A508,"(","")))))-FIND("@",SUBSTITUTE(A508,"(","@",LEN(A508)-LEN(SUBSTITUTE(A508,"(",""))))-1)),"")</f>
        <v/>
      </c>
      <c r="N508" s="254">
        <f>IF(A508="","",IF(LEFT(TRIM(A508),5)="Leave","Leave",IF(OR(ISNUMBER(SEARCH("public holiday",A508)),ISNUMBER(SEARCH("Purple",E508))),"Public holiday","Event")))</f>
        <v/>
      </c>
    </row>
    <row r="509">
      <c r="G509" s="254">
        <f>IF(C509="","",IF(ISNUMBER(C509),C509,IF(ISNUMBER(VALUE(LEFT(TRIM(C509),1))),TRIM(C509),TRIM(MID(TRIM(C509),FIND(" ",TRIM(C509))+1,99)))))</f>
        <v/>
      </c>
      <c r="H509" s="254">
        <f>IF(D509="","",IF(ISNUMBER(D509),D509,IF(ISNUMBER(VALUE(LEFT(TRIM(D509),1))),TRIM(D509),TRIM(MID(TRIM(D509),FIND(" ",TRIM(D509))+1,99)))))</f>
        <v/>
      </c>
      <c r="I509" s="255">
        <f>IF(G509="",0,IF(ISNUMBER(G509),G509,IFERROR(DATE(VALUE(MID(G509,FIND("/",G509,FIND("/",G509)+1)+1,4)),VALUE(MID(G509,FIND("/",G509)+1,FIND("/",G509,FIND("/",G509)+1)-FIND("/",G509)-1)),VALUE(LEFT(G509,FIND("/",G509)-1)))+IFERROR(TIMEVALUE(TRIM(MID(G509,FIND(" ",G509)+1,20))),0),0)))</f>
        <v/>
      </c>
      <c r="J509" s="255">
        <f>IF(H509="",0,IF(ISNUMBER(H509),H509,IFERROR(DATE(VALUE(MID(H509,FIND("/",H509,FIND("/",H509)+1)+1,4)),VALUE(MID(H509,FIND("/",H509)+1,FIND("/",H509,FIND("/",H509)+1)-FIND("/",H509)-1)),VALUE(LEFT(H509,FIND("/",H509)-1)))+IFERROR(TIMEVALUE(TRIM(MID(H509,FIND(" ",H509)+1,20))),0),0)))</f>
        <v/>
      </c>
      <c r="K509" s="256">
        <f>IF(I509=0,0,INT(I509))</f>
        <v/>
      </c>
      <c r="L509" s="257">
        <f>IF(OR(I509=0,J509=0),0,ROUND((J509-I509)*24,2))</f>
        <v/>
      </c>
      <c r="M509" s="254">
        <f>IFERROR(TRIM(MID(A509,FIND("@",SUBSTITUTE(A509,"(","@",LEN(A509)-LEN(SUBSTITUTE(A509,"(",""))))+1,FIND(")",A509,FIND("@",SUBSTITUTE(A509,"(","@",LEN(A509)-LEN(SUBSTITUTE(A509,"(","")))))-FIND("@",SUBSTITUTE(A509,"(","@",LEN(A509)-LEN(SUBSTITUTE(A509,"(",""))))-1)),"")</f>
        <v/>
      </c>
      <c r="N509" s="254">
        <f>IF(A509="","",IF(LEFT(TRIM(A509),5)="Leave","Leave",IF(OR(ISNUMBER(SEARCH("public holiday",A509)),ISNUMBER(SEARCH("Purple",E509))),"Public holiday","Event")))</f>
        <v/>
      </c>
    </row>
    <row r="510">
      <c r="G510" s="254">
        <f>IF(C510="","",IF(ISNUMBER(C510),C510,IF(ISNUMBER(VALUE(LEFT(TRIM(C510),1))),TRIM(C510),TRIM(MID(TRIM(C510),FIND(" ",TRIM(C510))+1,99)))))</f>
        <v/>
      </c>
      <c r="H510" s="254">
        <f>IF(D510="","",IF(ISNUMBER(D510),D510,IF(ISNUMBER(VALUE(LEFT(TRIM(D510),1))),TRIM(D510),TRIM(MID(TRIM(D510),FIND(" ",TRIM(D510))+1,99)))))</f>
        <v/>
      </c>
      <c r="I510" s="255">
        <f>IF(G510="",0,IF(ISNUMBER(G510),G510,IFERROR(DATE(VALUE(MID(G510,FIND("/",G510,FIND("/",G510)+1)+1,4)),VALUE(MID(G510,FIND("/",G510)+1,FIND("/",G510,FIND("/",G510)+1)-FIND("/",G510)-1)),VALUE(LEFT(G510,FIND("/",G510)-1)))+IFERROR(TIMEVALUE(TRIM(MID(G510,FIND(" ",G510)+1,20))),0),0)))</f>
        <v/>
      </c>
      <c r="J510" s="255">
        <f>IF(H510="",0,IF(ISNUMBER(H510),H510,IFERROR(DATE(VALUE(MID(H510,FIND("/",H510,FIND("/",H510)+1)+1,4)),VALUE(MID(H510,FIND("/",H510)+1,FIND("/",H510,FIND("/",H510)+1)-FIND("/",H510)-1)),VALUE(LEFT(H510,FIND("/",H510)-1)))+IFERROR(TIMEVALUE(TRIM(MID(H510,FIND(" ",H510)+1,20))),0),0)))</f>
        <v/>
      </c>
      <c r="K510" s="256">
        <f>IF(I510=0,0,INT(I510))</f>
        <v/>
      </c>
      <c r="L510" s="257">
        <f>IF(OR(I510=0,J510=0),0,ROUND((J510-I510)*24,2))</f>
        <v/>
      </c>
      <c r="M510" s="254">
        <f>IFERROR(TRIM(MID(A510,FIND("@",SUBSTITUTE(A510,"(","@",LEN(A510)-LEN(SUBSTITUTE(A510,"(",""))))+1,FIND(")",A510,FIND("@",SUBSTITUTE(A510,"(","@",LEN(A510)-LEN(SUBSTITUTE(A510,"(","")))))-FIND("@",SUBSTITUTE(A510,"(","@",LEN(A510)-LEN(SUBSTITUTE(A510,"(",""))))-1)),"")</f>
        <v/>
      </c>
      <c r="N510" s="254">
        <f>IF(A510="","",IF(LEFT(TRIM(A510),5)="Leave","Leave",IF(OR(ISNUMBER(SEARCH("public holiday",A510)),ISNUMBER(SEARCH("Purple",E510))),"Public holiday","Event")))</f>
        <v/>
      </c>
    </row>
    <row r="511">
      <c r="G511" s="254">
        <f>IF(C511="","",IF(ISNUMBER(C511),C511,IF(ISNUMBER(VALUE(LEFT(TRIM(C511),1))),TRIM(C511),TRIM(MID(TRIM(C511),FIND(" ",TRIM(C511))+1,99)))))</f>
        <v/>
      </c>
      <c r="H511" s="254">
        <f>IF(D511="","",IF(ISNUMBER(D511),D511,IF(ISNUMBER(VALUE(LEFT(TRIM(D511),1))),TRIM(D511),TRIM(MID(TRIM(D511),FIND(" ",TRIM(D511))+1,99)))))</f>
        <v/>
      </c>
      <c r="I511" s="255">
        <f>IF(G511="",0,IF(ISNUMBER(G511),G511,IFERROR(DATE(VALUE(MID(G511,FIND("/",G511,FIND("/",G511)+1)+1,4)),VALUE(MID(G511,FIND("/",G511)+1,FIND("/",G511,FIND("/",G511)+1)-FIND("/",G511)-1)),VALUE(LEFT(G511,FIND("/",G511)-1)))+IFERROR(TIMEVALUE(TRIM(MID(G511,FIND(" ",G511)+1,20))),0),0)))</f>
        <v/>
      </c>
      <c r="J511" s="255">
        <f>IF(H511="",0,IF(ISNUMBER(H511),H511,IFERROR(DATE(VALUE(MID(H511,FIND("/",H511,FIND("/",H511)+1)+1,4)),VALUE(MID(H511,FIND("/",H511)+1,FIND("/",H511,FIND("/",H511)+1)-FIND("/",H511)-1)),VALUE(LEFT(H511,FIND("/",H511)-1)))+IFERROR(TIMEVALUE(TRIM(MID(H511,FIND(" ",H511)+1,20))),0),0)))</f>
        <v/>
      </c>
      <c r="K511" s="256">
        <f>IF(I511=0,0,INT(I511))</f>
        <v/>
      </c>
      <c r="L511" s="257">
        <f>IF(OR(I511=0,J511=0),0,ROUND((J511-I511)*24,2))</f>
        <v/>
      </c>
      <c r="M511" s="254">
        <f>IFERROR(TRIM(MID(A511,FIND("@",SUBSTITUTE(A511,"(","@",LEN(A511)-LEN(SUBSTITUTE(A511,"(",""))))+1,FIND(")",A511,FIND("@",SUBSTITUTE(A511,"(","@",LEN(A511)-LEN(SUBSTITUTE(A511,"(","")))))-FIND("@",SUBSTITUTE(A511,"(","@",LEN(A511)-LEN(SUBSTITUTE(A511,"(",""))))-1)),"")</f>
        <v/>
      </c>
      <c r="N511" s="254">
        <f>IF(A511="","",IF(LEFT(TRIM(A511),5)="Leave","Leave",IF(OR(ISNUMBER(SEARCH("public holiday",A511)),ISNUMBER(SEARCH("Purple",E511))),"Public holiday","Event")))</f>
        <v/>
      </c>
    </row>
    <row r="512">
      <c r="G512" s="254">
        <f>IF(C512="","",IF(ISNUMBER(C512),C512,IF(ISNUMBER(VALUE(LEFT(TRIM(C512),1))),TRIM(C512),TRIM(MID(TRIM(C512),FIND(" ",TRIM(C512))+1,99)))))</f>
        <v/>
      </c>
      <c r="H512" s="254">
        <f>IF(D512="","",IF(ISNUMBER(D512),D512,IF(ISNUMBER(VALUE(LEFT(TRIM(D512),1))),TRIM(D512),TRIM(MID(TRIM(D512),FIND(" ",TRIM(D512))+1,99)))))</f>
        <v/>
      </c>
      <c r="I512" s="255">
        <f>IF(G512="",0,IF(ISNUMBER(G512),G512,IFERROR(DATE(VALUE(MID(G512,FIND("/",G512,FIND("/",G512)+1)+1,4)),VALUE(MID(G512,FIND("/",G512)+1,FIND("/",G512,FIND("/",G512)+1)-FIND("/",G512)-1)),VALUE(LEFT(G512,FIND("/",G512)-1)))+IFERROR(TIMEVALUE(TRIM(MID(G512,FIND(" ",G512)+1,20))),0),0)))</f>
        <v/>
      </c>
      <c r="J512" s="255">
        <f>IF(H512="",0,IF(ISNUMBER(H512),H512,IFERROR(DATE(VALUE(MID(H512,FIND("/",H512,FIND("/",H512)+1)+1,4)),VALUE(MID(H512,FIND("/",H512)+1,FIND("/",H512,FIND("/",H512)+1)-FIND("/",H512)-1)),VALUE(LEFT(H512,FIND("/",H512)-1)))+IFERROR(TIMEVALUE(TRIM(MID(H512,FIND(" ",H512)+1,20))),0),0)))</f>
        <v/>
      </c>
      <c r="K512" s="256">
        <f>IF(I512=0,0,INT(I512))</f>
        <v/>
      </c>
      <c r="L512" s="257">
        <f>IF(OR(I512=0,J512=0),0,ROUND((J512-I512)*24,2))</f>
        <v/>
      </c>
      <c r="M512" s="254">
        <f>IFERROR(TRIM(MID(A512,FIND("@",SUBSTITUTE(A512,"(","@",LEN(A512)-LEN(SUBSTITUTE(A512,"(",""))))+1,FIND(")",A512,FIND("@",SUBSTITUTE(A512,"(","@",LEN(A512)-LEN(SUBSTITUTE(A512,"(","")))))-FIND("@",SUBSTITUTE(A512,"(","@",LEN(A512)-LEN(SUBSTITUTE(A512,"(",""))))-1)),"")</f>
        <v/>
      </c>
      <c r="N512" s="254">
        <f>IF(A512="","",IF(LEFT(TRIM(A512),5)="Leave","Leave",IF(OR(ISNUMBER(SEARCH("public holiday",A512)),ISNUMBER(SEARCH("Purple",E512))),"Public holiday","Event")))</f>
        <v/>
      </c>
    </row>
    <row r="513">
      <c r="G513" s="254">
        <f>IF(C513="","",IF(ISNUMBER(C513),C513,IF(ISNUMBER(VALUE(LEFT(TRIM(C513),1))),TRIM(C513),TRIM(MID(TRIM(C513),FIND(" ",TRIM(C513))+1,99)))))</f>
        <v/>
      </c>
      <c r="H513" s="254">
        <f>IF(D513="","",IF(ISNUMBER(D513),D513,IF(ISNUMBER(VALUE(LEFT(TRIM(D513),1))),TRIM(D513),TRIM(MID(TRIM(D513),FIND(" ",TRIM(D513))+1,99)))))</f>
        <v/>
      </c>
      <c r="I513" s="255">
        <f>IF(G513="",0,IF(ISNUMBER(G513),G513,IFERROR(DATE(VALUE(MID(G513,FIND("/",G513,FIND("/",G513)+1)+1,4)),VALUE(MID(G513,FIND("/",G513)+1,FIND("/",G513,FIND("/",G513)+1)-FIND("/",G513)-1)),VALUE(LEFT(G513,FIND("/",G513)-1)))+IFERROR(TIMEVALUE(TRIM(MID(G513,FIND(" ",G513)+1,20))),0),0)))</f>
        <v/>
      </c>
      <c r="J513" s="255">
        <f>IF(H513="",0,IF(ISNUMBER(H513),H513,IFERROR(DATE(VALUE(MID(H513,FIND("/",H513,FIND("/",H513)+1)+1,4)),VALUE(MID(H513,FIND("/",H513)+1,FIND("/",H513,FIND("/",H513)+1)-FIND("/",H513)-1)),VALUE(LEFT(H513,FIND("/",H513)-1)))+IFERROR(TIMEVALUE(TRIM(MID(H513,FIND(" ",H513)+1,20))),0),0)))</f>
        <v/>
      </c>
      <c r="K513" s="256">
        <f>IF(I513=0,0,INT(I513))</f>
        <v/>
      </c>
      <c r="L513" s="257">
        <f>IF(OR(I513=0,J513=0),0,ROUND((J513-I513)*24,2))</f>
        <v/>
      </c>
      <c r="M513" s="254">
        <f>IFERROR(TRIM(MID(A513,FIND("@",SUBSTITUTE(A513,"(","@",LEN(A513)-LEN(SUBSTITUTE(A513,"(",""))))+1,FIND(")",A513,FIND("@",SUBSTITUTE(A513,"(","@",LEN(A513)-LEN(SUBSTITUTE(A513,"(","")))))-FIND("@",SUBSTITUTE(A513,"(","@",LEN(A513)-LEN(SUBSTITUTE(A513,"(",""))))-1)),"")</f>
        <v/>
      </c>
      <c r="N513" s="254">
        <f>IF(A513="","",IF(LEFT(TRIM(A513),5)="Leave","Leave",IF(OR(ISNUMBER(SEARCH("public holiday",A513)),ISNUMBER(SEARCH("Purple",E513))),"Public holiday","Event")))</f>
        <v/>
      </c>
    </row>
    <row r="514">
      <c r="G514" s="254">
        <f>IF(C514="","",IF(ISNUMBER(C514),C514,IF(ISNUMBER(VALUE(LEFT(TRIM(C514),1))),TRIM(C514),TRIM(MID(TRIM(C514),FIND(" ",TRIM(C514))+1,99)))))</f>
        <v/>
      </c>
      <c r="H514" s="254">
        <f>IF(D514="","",IF(ISNUMBER(D514),D514,IF(ISNUMBER(VALUE(LEFT(TRIM(D514),1))),TRIM(D514),TRIM(MID(TRIM(D514),FIND(" ",TRIM(D514))+1,99)))))</f>
        <v/>
      </c>
      <c r="I514" s="255">
        <f>IF(G514="",0,IF(ISNUMBER(G514),G514,IFERROR(DATE(VALUE(MID(G514,FIND("/",G514,FIND("/",G514)+1)+1,4)),VALUE(MID(G514,FIND("/",G514)+1,FIND("/",G514,FIND("/",G514)+1)-FIND("/",G514)-1)),VALUE(LEFT(G514,FIND("/",G514)-1)))+IFERROR(TIMEVALUE(TRIM(MID(G514,FIND(" ",G514)+1,20))),0),0)))</f>
        <v/>
      </c>
      <c r="J514" s="255">
        <f>IF(H514="",0,IF(ISNUMBER(H514),H514,IFERROR(DATE(VALUE(MID(H514,FIND("/",H514,FIND("/",H514)+1)+1,4)),VALUE(MID(H514,FIND("/",H514)+1,FIND("/",H514,FIND("/",H514)+1)-FIND("/",H514)-1)),VALUE(LEFT(H514,FIND("/",H514)-1)))+IFERROR(TIMEVALUE(TRIM(MID(H514,FIND(" ",H514)+1,20))),0),0)))</f>
        <v/>
      </c>
      <c r="K514" s="256">
        <f>IF(I514=0,0,INT(I514))</f>
        <v/>
      </c>
      <c r="L514" s="257">
        <f>IF(OR(I514=0,J514=0),0,ROUND((J514-I514)*24,2))</f>
        <v/>
      </c>
      <c r="M514" s="254">
        <f>IFERROR(TRIM(MID(A514,FIND("@",SUBSTITUTE(A514,"(","@",LEN(A514)-LEN(SUBSTITUTE(A514,"(",""))))+1,FIND(")",A514,FIND("@",SUBSTITUTE(A514,"(","@",LEN(A514)-LEN(SUBSTITUTE(A514,"(","")))))-FIND("@",SUBSTITUTE(A514,"(","@",LEN(A514)-LEN(SUBSTITUTE(A514,"(",""))))-1)),"")</f>
        <v/>
      </c>
      <c r="N514" s="254">
        <f>IF(A514="","",IF(LEFT(TRIM(A514),5)="Leave","Leave",IF(OR(ISNUMBER(SEARCH("public holiday",A514)),ISNUMBER(SEARCH("Purple",E514))),"Public holiday","Event")))</f>
        <v/>
      </c>
    </row>
    <row r="515">
      <c r="G515" s="254">
        <f>IF(C515="","",IF(ISNUMBER(C515),C515,IF(ISNUMBER(VALUE(LEFT(TRIM(C515),1))),TRIM(C515),TRIM(MID(TRIM(C515),FIND(" ",TRIM(C515))+1,99)))))</f>
        <v/>
      </c>
      <c r="H515" s="254">
        <f>IF(D515="","",IF(ISNUMBER(D515),D515,IF(ISNUMBER(VALUE(LEFT(TRIM(D515),1))),TRIM(D515),TRIM(MID(TRIM(D515),FIND(" ",TRIM(D515))+1,99)))))</f>
        <v/>
      </c>
      <c r="I515" s="255">
        <f>IF(G515="",0,IF(ISNUMBER(G515),G515,IFERROR(DATE(VALUE(MID(G515,FIND("/",G515,FIND("/",G515)+1)+1,4)),VALUE(MID(G515,FIND("/",G515)+1,FIND("/",G515,FIND("/",G515)+1)-FIND("/",G515)-1)),VALUE(LEFT(G515,FIND("/",G515)-1)))+IFERROR(TIMEVALUE(TRIM(MID(G515,FIND(" ",G515)+1,20))),0),0)))</f>
        <v/>
      </c>
      <c r="J515" s="255">
        <f>IF(H515="",0,IF(ISNUMBER(H515),H515,IFERROR(DATE(VALUE(MID(H515,FIND("/",H515,FIND("/",H515)+1)+1,4)),VALUE(MID(H515,FIND("/",H515)+1,FIND("/",H515,FIND("/",H515)+1)-FIND("/",H515)-1)),VALUE(LEFT(H515,FIND("/",H515)-1)))+IFERROR(TIMEVALUE(TRIM(MID(H515,FIND(" ",H515)+1,20))),0),0)))</f>
        <v/>
      </c>
      <c r="K515" s="256">
        <f>IF(I515=0,0,INT(I515))</f>
        <v/>
      </c>
      <c r="L515" s="257">
        <f>IF(OR(I515=0,J515=0),0,ROUND((J515-I515)*24,2))</f>
        <v/>
      </c>
      <c r="M515" s="254">
        <f>IFERROR(TRIM(MID(A515,FIND("@",SUBSTITUTE(A515,"(","@",LEN(A515)-LEN(SUBSTITUTE(A515,"(",""))))+1,FIND(")",A515,FIND("@",SUBSTITUTE(A515,"(","@",LEN(A515)-LEN(SUBSTITUTE(A515,"(","")))))-FIND("@",SUBSTITUTE(A515,"(","@",LEN(A515)-LEN(SUBSTITUTE(A515,"(",""))))-1)),"")</f>
        <v/>
      </c>
      <c r="N515" s="254">
        <f>IF(A515="","",IF(LEFT(TRIM(A515),5)="Leave","Leave",IF(OR(ISNUMBER(SEARCH("public holiday",A515)),ISNUMBER(SEARCH("Purple",E515))),"Public holiday","Event")))</f>
        <v/>
      </c>
    </row>
    <row r="516">
      <c r="G516" s="254">
        <f>IF(C516="","",IF(ISNUMBER(C516),C516,IF(ISNUMBER(VALUE(LEFT(TRIM(C516),1))),TRIM(C516),TRIM(MID(TRIM(C516),FIND(" ",TRIM(C516))+1,99)))))</f>
        <v/>
      </c>
      <c r="H516" s="254">
        <f>IF(D516="","",IF(ISNUMBER(D516),D516,IF(ISNUMBER(VALUE(LEFT(TRIM(D516),1))),TRIM(D516),TRIM(MID(TRIM(D516),FIND(" ",TRIM(D516))+1,99)))))</f>
        <v/>
      </c>
      <c r="I516" s="255">
        <f>IF(G516="",0,IF(ISNUMBER(G516),G516,IFERROR(DATE(VALUE(MID(G516,FIND("/",G516,FIND("/",G516)+1)+1,4)),VALUE(MID(G516,FIND("/",G516)+1,FIND("/",G516,FIND("/",G516)+1)-FIND("/",G516)-1)),VALUE(LEFT(G516,FIND("/",G516)-1)))+IFERROR(TIMEVALUE(TRIM(MID(G516,FIND(" ",G516)+1,20))),0),0)))</f>
        <v/>
      </c>
      <c r="J516" s="255">
        <f>IF(H516="",0,IF(ISNUMBER(H516),H516,IFERROR(DATE(VALUE(MID(H516,FIND("/",H516,FIND("/",H516)+1)+1,4)),VALUE(MID(H516,FIND("/",H516)+1,FIND("/",H516,FIND("/",H516)+1)-FIND("/",H516)-1)),VALUE(LEFT(H516,FIND("/",H516)-1)))+IFERROR(TIMEVALUE(TRIM(MID(H516,FIND(" ",H516)+1,20))),0),0)))</f>
        <v/>
      </c>
      <c r="K516" s="256">
        <f>IF(I516=0,0,INT(I516))</f>
        <v/>
      </c>
      <c r="L516" s="257">
        <f>IF(OR(I516=0,J516=0),0,ROUND((J516-I516)*24,2))</f>
        <v/>
      </c>
      <c r="M516" s="254">
        <f>IFERROR(TRIM(MID(A516,FIND("@",SUBSTITUTE(A516,"(","@",LEN(A516)-LEN(SUBSTITUTE(A516,"(",""))))+1,FIND(")",A516,FIND("@",SUBSTITUTE(A516,"(","@",LEN(A516)-LEN(SUBSTITUTE(A516,"(","")))))-FIND("@",SUBSTITUTE(A516,"(","@",LEN(A516)-LEN(SUBSTITUTE(A516,"(",""))))-1)),"")</f>
        <v/>
      </c>
      <c r="N516" s="254">
        <f>IF(A516="","",IF(LEFT(TRIM(A516),5)="Leave","Leave",IF(OR(ISNUMBER(SEARCH("public holiday",A516)),ISNUMBER(SEARCH("Purple",E516))),"Public holiday","Event")))</f>
        <v/>
      </c>
    </row>
    <row r="517">
      <c r="G517" s="254">
        <f>IF(C517="","",IF(ISNUMBER(C517),C517,IF(ISNUMBER(VALUE(LEFT(TRIM(C517),1))),TRIM(C517),TRIM(MID(TRIM(C517),FIND(" ",TRIM(C517))+1,99)))))</f>
        <v/>
      </c>
      <c r="H517" s="254">
        <f>IF(D517="","",IF(ISNUMBER(D517),D517,IF(ISNUMBER(VALUE(LEFT(TRIM(D517),1))),TRIM(D517),TRIM(MID(TRIM(D517),FIND(" ",TRIM(D517))+1,99)))))</f>
        <v/>
      </c>
      <c r="I517" s="255">
        <f>IF(G517="",0,IF(ISNUMBER(G517),G517,IFERROR(DATE(VALUE(MID(G517,FIND("/",G517,FIND("/",G517)+1)+1,4)),VALUE(MID(G517,FIND("/",G517)+1,FIND("/",G517,FIND("/",G517)+1)-FIND("/",G517)-1)),VALUE(LEFT(G517,FIND("/",G517)-1)))+IFERROR(TIMEVALUE(TRIM(MID(G517,FIND(" ",G517)+1,20))),0),0)))</f>
        <v/>
      </c>
      <c r="J517" s="255">
        <f>IF(H517="",0,IF(ISNUMBER(H517),H517,IFERROR(DATE(VALUE(MID(H517,FIND("/",H517,FIND("/",H517)+1)+1,4)),VALUE(MID(H517,FIND("/",H517)+1,FIND("/",H517,FIND("/",H517)+1)-FIND("/",H517)-1)),VALUE(LEFT(H517,FIND("/",H517)-1)))+IFERROR(TIMEVALUE(TRIM(MID(H517,FIND(" ",H517)+1,20))),0),0)))</f>
        <v/>
      </c>
      <c r="K517" s="256">
        <f>IF(I517=0,0,INT(I517))</f>
        <v/>
      </c>
      <c r="L517" s="257">
        <f>IF(OR(I517=0,J517=0),0,ROUND((J517-I517)*24,2))</f>
        <v/>
      </c>
      <c r="M517" s="254">
        <f>IFERROR(TRIM(MID(A517,FIND("@",SUBSTITUTE(A517,"(","@",LEN(A517)-LEN(SUBSTITUTE(A517,"(",""))))+1,FIND(")",A517,FIND("@",SUBSTITUTE(A517,"(","@",LEN(A517)-LEN(SUBSTITUTE(A517,"(","")))))-FIND("@",SUBSTITUTE(A517,"(","@",LEN(A517)-LEN(SUBSTITUTE(A517,"(",""))))-1)),"")</f>
        <v/>
      </c>
      <c r="N517" s="254">
        <f>IF(A517="","",IF(LEFT(TRIM(A517),5)="Leave","Leave",IF(OR(ISNUMBER(SEARCH("public holiday",A517)),ISNUMBER(SEARCH("Purple",E517))),"Public holiday","Event")))</f>
        <v/>
      </c>
    </row>
    <row r="518">
      <c r="G518" s="254">
        <f>IF(C518="","",IF(ISNUMBER(C518),C518,IF(ISNUMBER(VALUE(LEFT(TRIM(C518),1))),TRIM(C518),TRIM(MID(TRIM(C518),FIND(" ",TRIM(C518))+1,99)))))</f>
        <v/>
      </c>
      <c r="H518" s="254">
        <f>IF(D518="","",IF(ISNUMBER(D518),D518,IF(ISNUMBER(VALUE(LEFT(TRIM(D518),1))),TRIM(D518),TRIM(MID(TRIM(D518),FIND(" ",TRIM(D518))+1,99)))))</f>
        <v/>
      </c>
      <c r="I518" s="255">
        <f>IF(G518="",0,IF(ISNUMBER(G518),G518,IFERROR(DATE(VALUE(MID(G518,FIND("/",G518,FIND("/",G518)+1)+1,4)),VALUE(MID(G518,FIND("/",G518)+1,FIND("/",G518,FIND("/",G518)+1)-FIND("/",G518)-1)),VALUE(LEFT(G518,FIND("/",G518)-1)))+IFERROR(TIMEVALUE(TRIM(MID(G518,FIND(" ",G518)+1,20))),0),0)))</f>
        <v/>
      </c>
      <c r="J518" s="255">
        <f>IF(H518="",0,IF(ISNUMBER(H518),H518,IFERROR(DATE(VALUE(MID(H518,FIND("/",H518,FIND("/",H518)+1)+1,4)),VALUE(MID(H518,FIND("/",H518)+1,FIND("/",H518,FIND("/",H518)+1)-FIND("/",H518)-1)),VALUE(LEFT(H518,FIND("/",H518)-1)))+IFERROR(TIMEVALUE(TRIM(MID(H518,FIND(" ",H518)+1,20))),0),0)))</f>
        <v/>
      </c>
      <c r="K518" s="256">
        <f>IF(I518=0,0,INT(I518))</f>
        <v/>
      </c>
      <c r="L518" s="257">
        <f>IF(OR(I518=0,J518=0),0,ROUND((J518-I518)*24,2))</f>
        <v/>
      </c>
      <c r="M518" s="254">
        <f>IFERROR(TRIM(MID(A518,FIND("@",SUBSTITUTE(A518,"(","@",LEN(A518)-LEN(SUBSTITUTE(A518,"(",""))))+1,FIND(")",A518,FIND("@",SUBSTITUTE(A518,"(","@",LEN(A518)-LEN(SUBSTITUTE(A518,"(","")))))-FIND("@",SUBSTITUTE(A518,"(","@",LEN(A518)-LEN(SUBSTITUTE(A518,"(",""))))-1)),"")</f>
        <v/>
      </c>
      <c r="N518" s="254">
        <f>IF(A518="","",IF(LEFT(TRIM(A518),5)="Leave","Leave",IF(OR(ISNUMBER(SEARCH("public holiday",A518)),ISNUMBER(SEARCH("Purple",E518))),"Public holiday","Event")))</f>
        <v/>
      </c>
    </row>
    <row r="519">
      <c r="G519" s="254">
        <f>IF(C519="","",IF(ISNUMBER(C519),C519,IF(ISNUMBER(VALUE(LEFT(TRIM(C519),1))),TRIM(C519),TRIM(MID(TRIM(C519),FIND(" ",TRIM(C519))+1,99)))))</f>
        <v/>
      </c>
      <c r="H519" s="254">
        <f>IF(D519="","",IF(ISNUMBER(D519),D519,IF(ISNUMBER(VALUE(LEFT(TRIM(D519),1))),TRIM(D519),TRIM(MID(TRIM(D519),FIND(" ",TRIM(D519))+1,99)))))</f>
        <v/>
      </c>
      <c r="I519" s="255">
        <f>IF(G519="",0,IF(ISNUMBER(G519),G519,IFERROR(DATE(VALUE(MID(G519,FIND("/",G519,FIND("/",G519)+1)+1,4)),VALUE(MID(G519,FIND("/",G519)+1,FIND("/",G519,FIND("/",G519)+1)-FIND("/",G519)-1)),VALUE(LEFT(G519,FIND("/",G519)-1)))+IFERROR(TIMEVALUE(TRIM(MID(G519,FIND(" ",G519)+1,20))),0),0)))</f>
        <v/>
      </c>
      <c r="J519" s="255">
        <f>IF(H519="",0,IF(ISNUMBER(H519),H519,IFERROR(DATE(VALUE(MID(H519,FIND("/",H519,FIND("/",H519)+1)+1,4)),VALUE(MID(H519,FIND("/",H519)+1,FIND("/",H519,FIND("/",H519)+1)-FIND("/",H519)-1)),VALUE(LEFT(H519,FIND("/",H519)-1)))+IFERROR(TIMEVALUE(TRIM(MID(H519,FIND(" ",H519)+1,20))),0),0)))</f>
        <v/>
      </c>
      <c r="K519" s="256">
        <f>IF(I519=0,0,INT(I519))</f>
        <v/>
      </c>
      <c r="L519" s="257">
        <f>IF(OR(I519=0,J519=0),0,ROUND((J519-I519)*24,2))</f>
        <v/>
      </c>
      <c r="M519" s="254">
        <f>IFERROR(TRIM(MID(A519,FIND("@",SUBSTITUTE(A519,"(","@",LEN(A519)-LEN(SUBSTITUTE(A519,"(",""))))+1,FIND(")",A519,FIND("@",SUBSTITUTE(A519,"(","@",LEN(A519)-LEN(SUBSTITUTE(A519,"(","")))))-FIND("@",SUBSTITUTE(A519,"(","@",LEN(A519)-LEN(SUBSTITUTE(A519,"(",""))))-1)),"")</f>
        <v/>
      </c>
      <c r="N519" s="254">
        <f>IF(A519="","",IF(LEFT(TRIM(A519),5)="Leave","Leave",IF(OR(ISNUMBER(SEARCH("public holiday",A519)),ISNUMBER(SEARCH("Purple",E519))),"Public holiday","Event")))</f>
        <v/>
      </c>
    </row>
    <row r="520">
      <c r="G520" s="254">
        <f>IF(C520="","",IF(ISNUMBER(C520),C520,IF(ISNUMBER(VALUE(LEFT(TRIM(C520),1))),TRIM(C520),TRIM(MID(TRIM(C520),FIND(" ",TRIM(C520))+1,99)))))</f>
        <v/>
      </c>
      <c r="H520" s="254">
        <f>IF(D520="","",IF(ISNUMBER(D520),D520,IF(ISNUMBER(VALUE(LEFT(TRIM(D520),1))),TRIM(D520),TRIM(MID(TRIM(D520),FIND(" ",TRIM(D520))+1,99)))))</f>
        <v/>
      </c>
      <c r="I520" s="255">
        <f>IF(G520="",0,IF(ISNUMBER(G520),G520,IFERROR(DATE(VALUE(MID(G520,FIND("/",G520,FIND("/",G520)+1)+1,4)),VALUE(MID(G520,FIND("/",G520)+1,FIND("/",G520,FIND("/",G520)+1)-FIND("/",G520)-1)),VALUE(LEFT(G520,FIND("/",G520)-1)))+IFERROR(TIMEVALUE(TRIM(MID(G520,FIND(" ",G520)+1,20))),0),0)))</f>
        <v/>
      </c>
      <c r="J520" s="255">
        <f>IF(H520="",0,IF(ISNUMBER(H520),H520,IFERROR(DATE(VALUE(MID(H520,FIND("/",H520,FIND("/",H520)+1)+1,4)),VALUE(MID(H520,FIND("/",H520)+1,FIND("/",H520,FIND("/",H520)+1)-FIND("/",H520)-1)),VALUE(LEFT(H520,FIND("/",H520)-1)))+IFERROR(TIMEVALUE(TRIM(MID(H520,FIND(" ",H520)+1,20))),0),0)))</f>
        <v/>
      </c>
      <c r="K520" s="256">
        <f>IF(I520=0,0,INT(I520))</f>
        <v/>
      </c>
      <c r="L520" s="257">
        <f>IF(OR(I520=0,J520=0),0,ROUND((J520-I520)*24,2))</f>
        <v/>
      </c>
      <c r="M520" s="254">
        <f>IFERROR(TRIM(MID(A520,FIND("@",SUBSTITUTE(A520,"(","@",LEN(A520)-LEN(SUBSTITUTE(A520,"(",""))))+1,FIND(")",A520,FIND("@",SUBSTITUTE(A520,"(","@",LEN(A520)-LEN(SUBSTITUTE(A520,"(","")))))-FIND("@",SUBSTITUTE(A520,"(","@",LEN(A520)-LEN(SUBSTITUTE(A520,"(",""))))-1)),"")</f>
        <v/>
      </c>
      <c r="N520" s="254">
        <f>IF(A520="","",IF(LEFT(TRIM(A520),5)="Leave","Leave",IF(OR(ISNUMBER(SEARCH("public holiday",A520)),ISNUMBER(SEARCH("Purple",E520))),"Public holiday","Event")))</f>
        <v/>
      </c>
    </row>
    <row r="521">
      <c r="G521" s="254">
        <f>IF(C521="","",IF(ISNUMBER(C521),C521,IF(ISNUMBER(VALUE(LEFT(TRIM(C521),1))),TRIM(C521),TRIM(MID(TRIM(C521),FIND(" ",TRIM(C521))+1,99)))))</f>
        <v/>
      </c>
      <c r="H521" s="254">
        <f>IF(D521="","",IF(ISNUMBER(D521),D521,IF(ISNUMBER(VALUE(LEFT(TRIM(D521),1))),TRIM(D521),TRIM(MID(TRIM(D521),FIND(" ",TRIM(D521))+1,99)))))</f>
        <v/>
      </c>
      <c r="I521" s="255">
        <f>IF(G521="",0,IF(ISNUMBER(G521),G521,IFERROR(DATE(VALUE(MID(G521,FIND("/",G521,FIND("/",G521)+1)+1,4)),VALUE(MID(G521,FIND("/",G521)+1,FIND("/",G521,FIND("/",G521)+1)-FIND("/",G521)-1)),VALUE(LEFT(G521,FIND("/",G521)-1)))+IFERROR(TIMEVALUE(TRIM(MID(G521,FIND(" ",G521)+1,20))),0),0)))</f>
        <v/>
      </c>
      <c r="J521" s="255">
        <f>IF(H521="",0,IF(ISNUMBER(H521),H521,IFERROR(DATE(VALUE(MID(H521,FIND("/",H521,FIND("/",H521)+1)+1,4)),VALUE(MID(H521,FIND("/",H521)+1,FIND("/",H521,FIND("/",H521)+1)-FIND("/",H521)-1)),VALUE(LEFT(H521,FIND("/",H521)-1)))+IFERROR(TIMEVALUE(TRIM(MID(H521,FIND(" ",H521)+1,20))),0),0)))</f>
        <v/>
      </c>
      <c r="K521" s="256">
        <f>IF(I521=0,0,INT(I521))</f>
        <v/>
      </c>
      <c r="L521" s="257">
        <f>IF(OR(I521=0,J521=0),0,ROUND((J521-I521)*24,2))</f>
        <v/>
      </c>
      <c r="M521" s="254">
        <f>IFERROR(TRIM(MID(A521,FIND("@",SUBSTITUTE(A521,"(","@",LEN(A521)-LEN(SUBSTITUTE(A521,"(",""))))+1,FIND(")",A521,FIND("@",SUBSTITUTE(A521,"(","@",LEN(A521)-LEN(SUBSTITUTE(A521,"(","")))))-FIND("@",SUBSTITUTE(A521,"(","@",LEN(A521)-LEN(SUBSTITUTE(A521,"(",""))))-1)),"")</f>
        <v/>
      </c>
      <c r="N521" s="254">
        <f>IF(A521="","",IF(LEFT(TRIM(A521),5)="Leave","Leave",IF(OR(ISNUMBER(SEARCH("public holiday",A521)),ISNUMBER(SEARCH("Purple",E521))),"Public holiday","Event")))</f>
        <v/>
      </c>
    </row>
    <row r="522">
      <c r="G522" s="254">
        <f>IF(C522="","",IF(ISNUMBER(C522),C522,IF(ISNUMBER(VALUE(LEFT(TRIM(C522),1))),TRIM(C522),TRIM(MID(TRIM(C522),FIND(" ",TRIM(C522))+1,99)))))</f>
        <v/>
      </c>
      <c r="H522" s="254">
        <f>IF(D522="","",IF(ISNUMBER(D522),D522,IF(ISNUMBER(VALUE(LEFT(TRIM(D522),1))),TRIM(D522),TRIM(MID(TRIM(D522),FIND(" ",TRIM(D522))+1,99)))))</f>
        <v/>
      </c>
      <c r="I522" s="255">
        <f>IF(G522="",0,IF(ISNUMBER(G522),G522,IFERROR(DATE(VALUE(MID(G522,FIND("/",G522,FIND("/",G522)+1)+1,4)),VALUE(MID(G522,FIND("/",G522)+1,FIND("/",G522,FIND("/",G522)+1)-FIND("/",G522)-1)),VALUE(LEFT(G522,FIND("/",G522)-1)))+IFERROR(TIMEVALUE(TRIM(MID(G522,FIND(" ",G522)+1,20))),0),0)))</f>
        <v/>
      </c>
      <c r="J522" s="255">
        <f>IF(H522="",0,IF(ISNUMBER(H522),H522,IFERROR(DATE(VALUE(MID(H522,FIND("/",H522,FIND("/",H522)+1)+1,4)),VALUE(MID(H522,FIND("/",H522)+1,FIND("/",H522,FIND("/",H522)+1)-FIND("/",H522)-1)),VALUE(LEFT(H522,FIND("/",H522)-1)))+IFERROR(TIMEVALUE(TRIM(MID(H522,FIND(" ",H522)+1,20))),0),0)))</f>
        <v/>
      </c>
      <c r="K522" s="256">
        <f>IF(I522=0,0,INT(I522))</f>
        <v/>
      </c>
      <c r="L522" s="257">
        <f>IF(OR(I522=0,J522=0),0,ROUND((J522-I522)*24,2))</f>
        <v/>
      </c>
      <c r="M522" s="254">
        <f>IFERROR(TRIM(MID(A522,FIND("@",SUBSTITUTE(A522,"(","@",LEN(A522)-LEN(SUBSTITUTE(A522,"(",""))))+1,FIND(")",A522,FIND("@",SUBSTITUTE(A522,"(","@",LEN(A522)-LEN(SUBSTITUTE(A522,"(","")))))-FIND("@",SUBSTITUTE(A522,"(","@",LEN(A522)-LEN(SUBSTITUTE(A522,"(",""))))-1)),"")</f>
        <v/>
      </c>
      <c r="N522" s="254">
        <f>IF(A522="","",IF(LEFT(TRIM(A522),5)="Leave","Leave",IF(OR(ISNUMBER(SEARCH("public holiday",A522)),ISNUMBER(SEARCH("Purple",E522))),"Public holiday","Event")))</f>
        <v/>
      </c>
    </row>
    <row r="523">
      <c r="G523" s="254">
        <f>IF(C523="","",IF(ISNUMBER(C523),C523,IF(ISNUMBER(VALUE(LEFT(TRIM(C523),1))),TRIM(C523),TRIM(MID(TRIM(C523),FIND(" ",TRIM(C523))+1,99)))))</f>
        <v/>
      </c>
      <c r="H523" s="254">
        <f>IF(D523="","",IF(ISNUMBER(D523),D523,IF(ISNUMBER(VALUE(LEFT(TRIM(D523),1))),TRIM(D523),TRIM(MID(TRIM(D523),FIND(" ",TRIM(D523))+1,99)))))</f>
        <v/>
      </c>
      <c r="I523" s="255">
        <f>IF(G523="",0,IF(ISNUMBER(G523),G523,IFERROR(DATE(VALUE(MID(G523,FIND("/",G523,FIND("/",G523)+1)+1,4)),VALUE(MID(G523,FIND("/",G523)+1,FIND("/",G523,FIND("/",G523)+1)-FIND("/",G523)-1)),VALUE(LEFT(G523,FIND("/",G523)-1)))+IFERROR(TIMEVALUE(TRIM(MID(G523,FIND(" ",G523)+1,20))),0),0)))</f>
        <v/>
      </c>
      <c r="J523" s="255">
        <f>IF(H523="",0,IF(ISNUMBER(H523),H523,IFERROR(DATE(VALUE(MID(H523,FIND("/",H523,FIND("/",H523)+1)+1,4)),VALUE(MID(H523,FIND("/",H523)+1,FIND("/",H523,FIND("/",H523)+1)-FIND("/",H523)-1)),VALUE(LEFT(H523,FIND("/",H523)-1)))+IFERROR(TIMEVALUE(TRIM(MID(H523,FIND(" ",H523)+1,20))),0),0)))</f>
        <v/>
      </c>
      <c r="K523" s="256">
        <f>IF(I523=0,0,INT(I523))</f>
        <v/>
      </c>
      <c r="L523" s="257">
        <f>IF(OR(I523=0,J523=0),0,ROUND((J523-I523)*24,2))</f>
        <v/>
      </c>
      <c r="M523" s="254">
        <f>IFERROR(TRIM(MID(A523,FIND("@",SUBSTITUTE(A523,"(","@",LEN(A523)-LEN(SUBSTITUTE(A523,"(",""))))+1,FIND(")",A523,FIND("@",SUBSTITUTE(A523,"(","@",LEN(A523)-LEN(SUBSTITUTE(A523,"(","")))))-FIND("@",SUBSTITUTE(A523,"(","@",LEN(A523)-LEN(SUBSTITUTE(A523,"(",""))))-1)),"")</f>
        <v/>
      </c>
      <c r="N523" s="254">
        <f>IF(A523="","",IF(LEFT(TRIM(A523),5)="Leave","Leave",IF(OR(ISNUMBER(SEARCH("public holiday",A523)),ISNUMBER(SEARCH("Purple",E523))),"Public holiday","Event")))</f>
        <v/>
      </c>
    </row>
    <row r="524">
      <c r="G524" s="254">
        <f>IF(C524="","",IF(ISNUMBER(C524),C524,IF(ISNUMBER(VALUE(LEFT(TRIM(C524),1))),TRIM(C524),TRIM(MID(TRIM(C524),FIND(" ",TRIM(C524))+1,99)))))</f>
        <v/>
      </c>
      <c r="H524" s="254">
        <f>IF(D524="","",IF(ISNUMBER(D524),D524,IF(ISNUMBER(VALUE(LEFT(TRIM(D524),1))),TRIM(D524),TRIM(MID(TRIM(D524),FIND(" ",TRIM(D524))+1,99)))))</f>
        <v/>
      </c>
      <c r="I524" s="255">
        <f>IF(G524="",0,IF(ISNUMBER(G524),G524,IFERROR(DATE(VALUE(MID(G524,FIND("/",G524,FIND("/",G524)+1)+1,4)),VALUE(MID(G524,FIND("/",G524)+1,FIND("/",G524,FIND("/",G524)+1)-FIND("/",G524)-1)),VALUE(LEFT(G524,FIND("/",G524)-1)))+IFERROR(TIMEVALUE(TRIM(MID(G524,FIND(" ",G524)+1,20))),0),0)))</f>
        <v/>
      </c>
      <c r="J524" s="255">
        <f>IF(H524="",0,IF(ISNUMBER(H524),H524,IFERROR(DATE(VALUE(MID(H524,FIND("/",H524,FIND("/",H524)+1)+1,4)),VALUE(MID(H524,FIND("/",H524)+1,FIND("/",H524,FIND("/",H524)+1)-FIND("/",H524)-1)),VALUE(LEFT(H524,FIND("/",H524)-1)))+IFERROR(TIMEVALUE(TRIM(MID(H524,FIND(" ",H524)+1,20))),0),0)))</f>
        <v/>
      </c>
      <c r="K524" s="256">
        <f>IF(I524=0,0,INT(I524))</f>
        <v/>
      </c>
      <c r="L524" s="257">
        <f>IF(OR(I524=0,J524=0),0,ROUND((J524-I524)*24,2))</f>
        <v/>
      </c>
      <c r="M524" s="254">
        <f>IFERROR(TRIM(MID(A524,FIND("@",SUBSTITUTE(A524,"(","@",LEN(A524)-LEN(SUBSTITUTE(A524,"(",""))))+1,FIND(")",A524,FIND("@",SUBSTITUTE(A524,"(","@",LEN(A524)-LEN(SUBSTITUTE(A524,"(","")))))-FIND("@",SUBSTITUTE(A524,"(","@",LEN(A524)-LEN(SUBSTITUTE(A524,"(",""))))-1)),"")</f>
        <v/>
      </c>
      <c r="N524" s="254">
        <f>IF(A524="","",IF(LEFT(TRIM(A524),5)="Leave","Leave",IF(OR(ISNUMBER(SEARCH("public holiday",A524)),ISNUMBER(SEARCH("Purple",E524))),"Public holiday","Event")))</f>
        <v/>
      </c>
    </row>
    <row r="525">
      <c r="G525" s="254">
        <f>IF(C525="","",IF(ISNUMBER(C525),C525,IF(ISNUMBER(VALUE(LEFT(TRIM(C525),1))),TRIM(C525),TRIM(MID(TRIM(C525),FIND(" ",TRIM(C525))+1,99)))))</f>
        <v/>
      </c>
      <c r="H525" s="254">
        <f>IF(D525="","",IF(ISNUMBER(D525),D525,IF(ISNUMBER(VALUE(LEFT(TRIM(D525),1))),TRIM(D525),TRIM(MID(TRIM(D525),FIND(" ",TRIM(D525))+1,99)))))</f>
        <v/>
      </c>
      <c r="I525" s="255">
        <f>IF(G525="",0,IF(ISNUMBER(G525),G525,IFERROR(DATE(VALUE(MID(G525,FIND("/",G525,FIND("/",G525)+1)+1,4)),VALUE(MID(G525,FIND("/",G525)+1,FIND("/",G525,FIND("/",G525)+1)-FIND("/",G525)-1)),VALUE(LEFT(G525,FIND("/",G525)-1)))+IFERROR(TIMEVALUE(TRIM(MID(G525,FIND(" ",G525)+1,20))),0),0)))</f>
        <v/>
      </c>
      <c r="J525" s="255">
        <f>IF(H525="",0,IF(ISNUMBER(H525),H525,IFERROR(DATE(VALUE(MID(H525,FIND("/",H525,FIND("/",H525)+1)+1,4)),VALUE(MID(H525,FIND("/",H525)+1,FIND("/",H525,FIND("/",H525)+1)-FIND("/",H525)-1)),VALUE(LEFT(H525,FIND("/",H525)-1)))+IFERROR(TIMEVALUE(TRIM(MID(H525,FIND(" ",H525)+1,20))),0),0)))</f>
        <v/>
      </c>
      <c r="K525" s="256">
        <f>IF(I525=0,0,INT(I525))</f>
        <v/>
      </c>
      <c r="L525" s="257">
        <f>IF(OR(I525=0,J525=0),0,ROUND((J525-I525)*24,2))</f>
        <v/>
      </c>
      <c r="M525" s="254">
        <f>IFERROR(TRIM(MID(A525,FIND("@",SUBSTITUTE(A525,"(","@",LEN(A525)-LEN(SUBSTITUTE(A525,"(",""))))+1,FIND(")",A525,FIND("@",SUBSTITUTE(A525,"(","@",LEN(A525)-LEN(SUBSTITUTE(A525,"(","")))))-FIND("@",SUBSTITUTE(A525,"(","@",LEN(A525)-LEN(SUBSTITUTE(A525,"(",""))))-1)),"")</f>
        <v/>
      </c>
      <c r="N525" s="254">
        <f>IF(A525="","",IF(LEFT(TRIM(A525),5)="Leave","Leave",IF(OR(ISNUMBER(SEARCH("public holiday",A525)),ISNUMBER(SEARCH("Purple",E525))),"Public holiday","Event")))</f>
        <v/>
      </c>
    </row>
    <row r="526">
      <c r="G526" s="254">
        <f>IF(C526="","",IF(ISNUMBER(C526),C526,IF(ISNUMBER(VALUE(LEFT(TRIM(C526),1))),TRIM(C526),TRIM(MID(TRIM(C526),FIND(" ",TRIM(C526))+1,99)))))</f>
        <v/>
      </c>
      <c r="H526" s="254">
        <f>IF(D526="","",IF(ISNUMBER(D526),D526,IF(ISNUMBER(VALUE(LEFT(TRIM(D526),1))),TRIM(D526),TRIM(MID(TRIM(D526),FIND(" ",TRIM(D526))+1,99)))))</f>
        <v/>
      </c>
      <c r="I526" s="255">
        <f>IF(G526="",0,IF(ISNUMBER(G526),G526,IFERROR(DATE(VALUE(MID(G526,FIND("/",G526,FIND("/",G526)+1)+1,4)),VALUE(MID(G526,FIND("/",G526)+1,FIND("/",G526,FIND("/",G526)+1)-FIND("/",G526)-1)),VALUE(LEFT(G526,FIND("/",G526)-1)))+IFERROR(TIMEVALUE(TRIM(MID(G526,FIND(" ",G526)+1,20))),0),0)))</f>
        <v/>
      </c>
      <c r="J526" s="255">
        <f>IF(H526="",0,IF(ISNUMBER(H526),H526,IFERROR(DATE(VALUE(MID(H526,FIND("/",H526,FIND("/",H526)+1)+1,4)),VALUE(MID(H526,FIND("/",H526)+1,FIND("/",H526,FIND("/",H526)+1)-FIND("/",H526)-1)),VALUE(LEFT(H526,FIND("/",H526)-1)))+IFERROR(TIMEVALUE(TRIM(MID(H526,FIND(" ",H526)+1,20))),0),0)))</f>
        <v/>
      </c>
      <c r="K526" s="256">
        <f>IF(I526=0,0,INT(I526))</f>
        <v/>
      </c>
      <c r="L526" s="257">
        <f>IF(OR(I526=0,J526=0),0,ROUND((J526-I526)*24,2))</f>
        <v/>
      </c>
      <c r="M526" s="254">
        <f>IFERROR(TRIM(MID(A526,FIND("@",SUBSTITUTE(A526,"(","@",LEN(A526)-LEN(SUBSTITUTE(A526,"(",""))))+1,FIND(")",A526,FIND("@",SUBSTITUTE(A526,"(","@",LEN(A526)-LEN(SUBSTITUTE(A526,"(","")))))-FIND("@",SUBSTITUTE(A526,"(","@",LEN(A526)-LEN(SUBSTITUTE(A526,"(",""))))-1)),"")</f>
        <v/>
      </c>
      <c r="N526" s="254">
        <f>IF(A526="","",IF(LEFT(TRIM(A526),5)="Leave","Leave",IF(OR(ISNUMBER(SEARCH("public holiday",A526)),ISNUMBER(SEARCH("Purple",E526))),"Public holiday","Event")))</f>
        <v/>
      </c>
    </row>
    <row r="527">
      <c r="G527" s="254">
        <f>IF(C527="","",IF(ISNUMBER(C527),C527,IF(ISNUMBER(VALUE(LEFT(TRIM(C527),1))),TRIM(C527),TRIM(MID(TRIM(C527),FIND(" ",TRIM(C527))+1,99)))))</f>
        <v/>
      </c>
      <c r="H527" s="254">
        <f>IF(D527="","",IF(ISNUMBER(D527),D527,IF(ISNUMBER(VALUE(LEFT(TRIM(D527),1))),TRIM(D527),TRIM(MID(TRIM(D527),FIND(" ",TRIM(D527))+1,99)))))</f>
        <v/>
      </c>
      <c r="I527" s="255">
        <f>IF(G527="",0,IF(ISNUMBER(G527),G527,IFERROR(DATE(VALUE(MID(G527,FIND("/",G527,FIND("/",G527)+1)+1,4)),VALUE(MID(G527,FIND("/",G527)+1,FIND("/",G527,FIND("/",G527)+1)-FIND("/",G527)-1)),VALUE(LEFT(G527,FIND("/",G527)-1)))+IFERROR(TIMEVALUE(TRIM(MID(G527,FIND(" ",G527)+1,20))),0),0)))</f>
        <v/>
      </c>
      <c r="J527" s="255">
        <f>IF(H527="",0,IF(ISNUMBER(H527),H527,IFERROR(DATE(VALUE(MID(H527,FIND("/",H527,FIND("/",H527)+1)+1,4)),VALUE(MID(H527,FIND("/",H527)+1,FIND("/",H527,FIND("/",H527)+1)-FIND("/",H527)-1)),VALUE(LEFT(H527,FIND("/",H527)-1)))+IFERROR(TIMEVALUE(TRIM(MID(H527,FIND(" ",H527)+1,20))),0),0)))</f>
        <v/>
      </c>
      <c r="K527" s="256">
        <f>IF(I527=0,0,INT(I527))</f>
        <v/>
      </c>
      <c r="L527" s="257">
        <f>IF(OR(I527=0,J527=0),0,ROUND((J527-I527)*24,2))</f>
        <v/>
      </c>
      <c r="M527" s="254">
        <f>IFERROR(TRIM(MID(A527,FIND("@",SUBSTITUTE(A527,"(","@",LEN(A527)-LEN(SUBSTITUTE(A527,"(",""))))+1,FIND(")",A527,FIND("@",SUBSTITUTE(A527,"(","@",LEN(A527)-LEN(SUBSTITUTE(A527,"(","")))))-FIND("@",SUBSTITUTE(A527,"(","@",LEN(A527)-LEN(SUBSTITUTE(A527,"(",""))))-1)),"")</f>
        <v/>
      </c>
      <c r="N527" s="254">
        <f>IF(A527="","",IF(LEFT(TRIM(A527),5)="Leave","Leave",IF(OR(ISNUMBER(SEARCH("public holiday",A527)),ISNUMBER(SEARCH("Purple",E527))),"Public holiday","Event")))</f>
        <v/>
      </c>
    </row>
    <row r="528">
      <c r="G528" s="254">
        <f>IF(C528="","",IF(ISNUMBER(C528),C528,IF(ISNUMBER(VALUE(LEFT(TRIM(C528),1))),TRIM(C528),TRIM(MID(TRIM(C528),FIND(" ",TRIM(C528))+1,99)))))</f>
        <v/>
      </c>
      <c r="H528" s="254">
        <f>IF(D528="","",IF(ISNUMBER(D528),D528,IF(ISNUMBER(VALUE(LEFT(TRIM(D528),1))),TRIM(D528),TRIM(MID(TRIM(D528),FIND(" ",TRIM(D528))+1,99)))))</f>
        <v/>
      </c>
      <c r="I528" s="255">
        <f>IF(G528="",0,IF(ISNUMBER(G528),G528,IFERROR(DATE(VALUE(MID(G528,FIND("/",G528,FIND("/",G528)+1)+1,4)),VALUE(MID(G528,FIND("/",G528)+1,FIND("/",G528,FIND("/",G528)+1)-FIND("/",G528)-1)),VALUE(LEFT(G528,FIND("/",G528)-1)))+IFERROR(TIMEVALUE(TRIM(MID(G528,FIND(" ",G528)+1,20))),0),0)))</f>
        <v/>
      </c>
      <c r="J528" s="255">
        <f>IF(H528="",0,IF(ISNUMBER(H528),H528,IFERROR(DATE(VALUE(MID(H528,FIND("/",H528,FIND("/",H528)+1)+1,4)),VALUE(MID(H528,FIND("/",H528)+1,FIND("/",H528,FIND("/",H528)+1)-FIND("/",H528)-1)),VALUE(LEFT(H528,FIND("/",H528)-1)))+IFERROR(TIMEVALUE(TRIM(MID(H528,FIND(" ",H528)+1,20))),0),0)))</f>
        <v/>
      </c>
      <c r="K528" s="256">
        <f>IF(I528=0,0,INT(I528))</f>
        <v/>
      </c>
      <c r="L528" s="257">
        <f>IF(OR(I528=0,J528=0),0,ROUND((J528-I528)*24,2))</f>
        <v/>
      </c>
      <c r="M528" s="254">
        <f>IFERROR(TRIM(MID(A528,FIND("@",SUBSTITUTE(A528,"(","@",LEN(A528)-LEN(SUBSTITUTE(A528,"(",""))))+1,FIND(")",A528,FIND("@",SUBSTITUTE(A528,"(","@",LEN(A528)-LEN(SUBSTITUTE(A528,"(","")))))-FIND("@",SUBSTITUTE(A528,"(","@",LEN(A528)-LEN(SUBSTITUTE(A528,"(",""))))-1)),"")</f>
        <v/>
      </c>
      <c r="N528" s="254">
        <f>IF(A528="","",IF(LEFT(TRIM(A528),5)="Leave","Leave",IF(OR(ISNUMBER(SEARCH("public holiday",A528)),ISNUMBER(SEARCH("Purple",E528))),"Public holiday","Event")))</f>
        <v/>
      </c>
    </row>
    <row r="529">
      <c r="G529" s="254">
        <f>IF(C529="","",IF(ISNUMBER(C529),C529,IF(ISNUMBER(VALUE(LEFT(TRIM(C529),1))),TRIM(C529),TRIM(MID(TRIM(C529),FIND(" ",TRIM(C529))+1,99)))))</f>
        <v/>
      </c>
      <c r="H529" s="254">
        <f>IF(D529="","",IF(ISNUMBER(D529),D529,IF(ISNUMBER(VALUE(LEFT(TRIM(D529),1))),TRIM(D529),TRIM(MID(TRIM(D529),FIND(" ",TRIM(D529))+1,99)))))</f>
        <v/>
      </c>
      <c r="I529" s="255">
        <f>IF(G529="",0,IF(ISNUMBER(G529),G529,IFERROR(DATE(VALUE(MID(G529,FIND("/",G529,FIND("/",G529)+1)+1,4)),VALUE(MID(G529,FIND("/",G529)+1,FIND("/",G529,FIND("/",G529)+1)-FIND("/",G529)-1)),VALUE(LEFT(G529,FIND("/",G529)-1)))+IFERROR(TIMEVALUE(TRIM(MID(G529,FIND(" ",G529)+1,20))),0),0)))</f>
        <v/>
      </c>
      <c r="J529" s="255">
        <f>IF(H529="",0,IF(ISNUMBER(H529),H529,IFERROR(DATE(VALUE(MID(H529,FIND("/",H529,FIND("/",H529)+1)+1,4)),VALUE(MID(H529,FIND("/",H529)+1,FIND("/",H529,FIND("/",H529)+1)-FIND("/",H529)-1)),VALUE(LEFT(H529,FIND("/",H529)-1)))+IFERROR(TIMEVALUE(TRIM(MID(H529,FIND(" ",H529)+1,20))),0),0)))</f>
        <v/>
      </c>
      <c r="K529" s="256">
        <f>IF(I529=0,0,INT(I529))</f>
        <v/>
      </c>
      <c r="L529" s="257">
        <f>IF(OR(I529=0,J529=0),0,ROUND((J529-I529)*24,2))</f>
        <v/>
      </c>
      <c r="M529" s="254">
        <f>IFERROR(TRIM(MID(A529,FIND("@",SUBSTITUTE(A529,"(","@",LEN(A529)-LEN(SUBSTITUTE(A529,"(",""))))+1,FIND(")",A529,FIND("@",SUBSTITUTE(A529,"(","@",LEN(A529)-LEN(SUBSTITUTE(A529,"(","")))))-FIND("@",SUBSTITUTE(A529,"(","@",LEN(A529)-LEN(SUBSTITUTE(A529,"(",""))))-1)),"")</f>
        <v/>
      </c>
      <c r="N529" s="254">
        <f>IF(A529="","",IF(LEFT(TRIM(A529),5)="Leave","Leave",IF(OR(ISNUMBER(SEARCH("public holiday",A529)),ISNUMBER(SEARCH("Purple",E529))),"Public holiday","Event")))</f>
        <v/>
      </c>
    </row>
    <row r="530">
      <c r="G530" s="254">
        <f>IF(C530="","",IF(ISNUMBER(C530),C530,IF(ISNUMBER(VALUE(LEFT(TRIM(C530),1))),TRIM(C530),TRIM(MID(TRIM(C530),FIND(" ",TRIM(C530))+1,99)))))</f>
        <v/>
      </c>
      <c r="H530" s="254">
        <f>IF(D530="","",IF(ISNUMBER(D530),D530,IF(ISNUMBER(VALUE(LEFT(TRIM(D530),1))),TRIM(D530),TRIM(MID(TRIM(D530),FIND(" ",TRIM(D530))+1,99)))))</f>
        <v/>
      </c>
      <c r="I530" s="255">
        <f>IF(G530="",0,IF(ISNUMBER(G530),G530,IFERROR(DATE(VALUE(MID(G530,FIND("/",G530,FIND("/",G530)+1)+1,4)),VALUE(MID(G530,FIND("/",G530)+1,FIND("/",G530,FIND("/",G530)+1)-FIND("/",G530)-1)),VALUE(LEFT(G530,FIND("/",G530)-1)))+IFERROR(TIMEVALUE(TRIM(MID(G530,FIND(" ",G530)+1,20))),0),0)))</f>
        <v/>
      </c>
      <c r="J530" s="255">
        <f>IF(H530="",0,IF(ISNUMBER(H530),H530,IFERROR(DATE(VALUE(MID(H530,FIND("/",H530,FIND("/",H530)+1)+1,4)),VALUE(MID(H530,FIND("/",H530)+1,FIND("/",H530,FIND("/",H530)+1)-FIND("/",H530)-1)),VALUE(LEFT(H530,FIND("/",H530)-1)))+IFERROR(TIMEVALUE(TRIM(MID(H530,FIND(" ",H530)+1,20))),0),0)))</f>
        <v/>
      </c>
      <c r="K530" s="256">
        <f>IF(I530=0,0,INT(I530))</f>
        <v/>
      </c>
      <c r="L530" s="257">
        <f>IF(OR(I530=0,J530=0),0,ROUND((J530-I530)*24,2))</f>
        <v/>
      </c>
      <c r="M530" s="254">
        <f>IFERROR(TRIM(MID(A530,FIND("@",SUBSTITUTE(A530,"(","@",LEN(A530)-LEN(SUBSTITUTE(A530,"(",""))))+1,FIND(")",A530,FIND("@",SUBSTITUTE(A530,"(","@",LEN(A530)-LEN(SUBSTITUTE(A530,"(","")))))-FIND("@",SUBSTITUTE(A530,"(","@",LEN(A530)-LEN(SUBSTITUTE(A530,"(",""))))-1)),"")</f>
        <v/>
      </c>
      <c r="N530" s="254">
        <f>IF(A530="","",IF(LEFT(TRIM(A530),5)="Leave","Leave",IF(OR(ISNUMBER(SEARCH("public holiday",A530)),ISNUMBER(SEARCH("Purple",E530))),"Public holiday","Event")))</f>
        <v/>
      </c>
    </row>
    <row r="531">
      <c r="G531" s="254">
        <f>IF(C531="","",IF(ISNUMBER(C531),C531,IF(ISNUMBER(VALUE(LEFT(TRIM(C531),1))),TRIM(C531),TRIM(MID(TRIM(C531),FIND(" ",TRIM(C531))+1,99)))))</f>
        <v/>
      </c>
      <c r="H531" s="254">
        <f>IF(D531="","",IF(ISNUMBER(D531),D531,IF(ISNUMBER(VALUE(LEFT(TRIM(D531),1))),TRIM(D531),TRIM(MID(TRIM(D531),FIND(" ",TRIM(D531))+1,99)))))</f>
        <v/>
      </c>
      <c r="I531" s="255">
        <f>IF(G531="",0,IF(ISNUMBER(G531),G531,IFERROR(DATE(VALUE(MID(G531,FIND("/",G531,FIND("/",G531)+1)+1,4)),VALUE(MID(G531,FIND("/",G531)+1,FIND("/",G531,FIND("/",G531)+1)-FIND("/",G531)-1)),VALUE(LEFT(G531,FIND("/",G531)-1)))+IFERROR(TIMEVALUE(TRIM(MID(G531,FIND(" ",G531)+1,20))),0),0)))</f>
        <v/>
      </c>
      <c r="J531" s="255">
        <f>IF(H531="",0,IF(ISNUMBER(H531),H531,IFERROR(DATE(VALUE(MID(H531,FIND("/",H531,FIND("/",H531)+1)+1,4)),VALUE(MID(H531,FIND("/",H531)+1,FIND("/",H531,FIND("/",H531)+1)-FIND("/",H531)-1)),VALUE(LEFT(H531,FIND("/",H531)-1)))+IFERROR(TIMEVALUE(TRIM(MID(H531,FIND(" ",H531)+1,20))),0),0)))</f>
        <v/>
      </c>
      <c r="K531" s="256">
        <f>IF(I531=0,0,INT(I531))</f>
        <v/>
      </c>
      <c r="L531" s="257">
        <f>IF(OR(I531=0,J531=0),0,ROUND((J531-I531)*24,2))</f>
        <v/>
      </c>
      <c r="M531" s="254">
        <f>IFERROR(TRIM(MID(A531,FIND("@",SUBSTITUTE(A531,"(","@",LEN(A531)-LEN(SUBSTITUTE(A531,"(",""))))+1,FIND(")",A531,FIND("@",SUBSTITUTE(A531,"(","@",LEN(A531)-LEN(SUBSTITUTE(A531,"(","")))))-FIND("@",SUBSTITUTE(A531,"(","@",LEN(A531)-LEN(SUBSTITUTE(A531,"(",""))))-1)),"")</f>
        <v/>
      </c>
      <c r="N531" s="254">
        <f>IF(A531="","",IF(LEFT(TRIM(A531),5)="Leave","Leave",IF(OR(ISNUMBER(SEARCH("public holiday",A531)),ISNUMBER(SEARCH("Purple",E531))),"Public holiday","Event")))</f>
        <v/>
      </c>
    </row>
    <row r="532">
      <c r="G532" s="254">
        <f>IF(C532="","",IF(ISNUMBER(C532),C532,IF(ISNUMBER(VALUE(LEFT(TRIM(C532),1))),TRIM(C532),TRIM(MID(TRIM(C532),FIND(" ",TRIM(C532))+1,99)))))</f>
        <v/>
      </c>
      <c r="H532" s="254">
        <f>IF(D532="","",IF(ISNUMBER(D532),D532,IF(ISNUMBER(VALUE(LEFT(TRIM(D532),1))),TRIM(D532),TRIM(MID(TRIM(D532),FIND(" ",TRIM(D532))+1,99)))))</f>
        <v/>
      </c>
      <c r="I532" s="255">
        <f>IF(G532="",0,IF(ISNUMBER(G532),G532,IFERROR(DATE(VALUE(MID(G532,FIND("/",G532,FIND("/",G532)+1)+1,4)),VALUE(MID(G532,FIND("/",G532)+1,FIND("/",G532,FIND("/",G532)+1)-FIND("/",G532)-1)),VALUE(LEFT(G532,FIND("/",G532)-1)))+IFERROR(TIMEVALUE(TRIM(MID(G532,FIND(" ",G532)+1,20))),0),0)))</f>
        <v/>
      </c>
      <c r="J532" s="255">
        <f>IF(H532="",0,IF(ISNUMBER(H532),H532,IFERROR(DATE(VALUE(MID(H532,FIND("/",H532,FIND("/",H532)+1)+1,4)),VALUE(MID(H532,FIND("/",H532)+1,FIND("/",H532,FIND("/",H532)+1)-FIND("/",H532)-1)),VALUE(LEFT(H532,FIND("/",H532)-1)))+IFERROR(TIMEVALUE(TRIM(MID(H532,FIND(" ",H532)+1,20))),0),0)))</f>
        <v/>
      </c>
      <c r="K532" s="256">
        <f>IF(I532=0,0,INT(I532))</f>
        <v/>
      </c>
      <c r="L532" s="257">
        <f>IF(OR(I532=0,J532=0),0,ROUND((J532-I532)*24,2))</f>
        <v/>
      </c>
      <c r="M532" s="254">
        <f>IFERROR(TRIM(MID(A532,FIND("@",SUBSTITUTE(A532,"(","@",LEN(A532)-LEN(SUBSTITUTE(A532,"(",""))))+1,FIND(")",A532,FIND("@",SUBSTITUTE(A532,"(","@",LEN(A532)-LEN(SUBSTITUTE(A532,"(","")))))-FIND("@",SUBSTITUTE(A532,"(","@",LEN(A532)-LEN(SUBSTITUTE(A532,"(",""))))-1)),"")</f>
        <v/>
      </c>
      <c r="N532" s="254">
        <f>IF(A532="","",IF(LEFT(TRIM(A532),5)="Leave","Leave",IF(OR(ISNUMBER(SEARCH("public holiday",A532)),ISNUMBER(SEARCH("Purple",E532))),"Public holiday","Event")))</f>
        <v/>
      </c>
    </row>
    <row r="533">
      <c r="G533" s="254">
        <f>IF(C533="","",IF(ISNUMBER(C533),C533,IF(ISNUMBER(VALUE(LEFT(TRIM(C533),1))),TRIM(C533),TRIM(MID(TRIM(C533),FIND(" ",TRIM(C533))+1,99)))))</f>
        <v/>
      </c>
      <c r="H533" s="254">
        <f>IF(D533="","",IF(ISNUMBER(D533),D533,IF(ISNUMBER(VALUE(LEFT(TRIM(D533),1))),TRIM(D533),TRIM(MID(TRIM(D533),FIND(" ",TRIM(D533))+1,99)))))</f>
        <v/>
      </c>
      <c r="I533" s="255">
        <f>IF(G533="",0,IF(ISNUMBER(G533),G533,IFERROR(DATE(VALUE(MID(G533,FIND("/",G533,FIND("/",G533)+1)+1,4)),VALUE(MID(G533,FIND("/",G533)+1,FIND("/",G533,FIND("/",G533)+1)-FIND("/",G533)-1)),VALUE(LEFT(G533,FIND("/",G533)-1)))+IFERROR(TIMEVALUE(TRIM(MID(G533,FIND(" ",G533)+1,20))),0),0)))</f>
        <v/>
      </c>
      <c r="J533" s="255">
        <f>IF(H533="",0,IF(ISNUMBER(H533),H533,IFERROR(DATE(VALUE(MID(H533,FIND("/",H533,FIND("/",H533)+1)+1,4)),VALUE(MID(H533,FIND("/",H533)+1,FIND("/",H533,FIND("/",H533)+1)-FIND("/",H533)-1)),VALUE(LEFT(H533,FIND("/",H533)-1)))+IFERROR(TIMEVALUE(TRIM(MID(H533,FIND(" ",H533)+1,20))),0),0)))</f>
        <v/>
      </c>
      <c r="K533" s="256">
        <f>IF(I533=0,0,INT(I533))</f>
        <v/>
      </c>
      <c r="L533" s="257">
        <f>IF(OR(I533=0,J533=0),0,ROUND((J533-I533)*24,2))</f>
        <v/>
      </c>
      <c r="M533" s="254">
        <f>IFERROR(TRIM(MID(A533,FIND("@",SUBSTITUTE(A533,"(","@",LEN(A533)-LEN(SUBSTITUTE(A533,"(",""))))+1,FIND(")",A533,FIND("@",SUBSTITUTE(A533,"(","@",LEN(A533)-LEN(SUBSTITUTE(A533,"(","")))))-FIND("@",SUBSTITUTE(A533,"(","@",LEN(A533)-LEN(SUBSTITUTE(A533,"(",""))))-1)),"")</f>
        <v/>
      </c>
      <c r="N533" s="254">
        <f>IF(A533="","",IF(LEFT(TRIM(A533),5)="Leave","Leave",IF(OR(ISNUMBER(SEARCH("public holiday",A533)),ISNUMBER(SEARCH("Purple",E533))),"Public holiday","Event")))</f>
        <v/>
      </c>
    </row>
    <row r="534">
      <c r="G534" s="254">
        <f>IF(C534="","",IF(ISNUMBER(C534),C534,IF(ISNUMBER(VALUE(LEFT(TRIM(C534),1))),TRIM(C534),TRIM(MID(TRIM(C534),FIND(" ",TRIM(C534))+1,99)))))</f>
        <v/>
      </c>
      <c r="H534" s="254">
        <f>IF(D534="","",IF(ISNUMBER(D534),D534,IF(ISNUMBER(VALUE(LEFT(TRIM(D534),1))),TRIM(D534),TRIM(MID(TRIM(D534),FIND(" ",TRIM(D534))+1,99)))))</f>
        <v/>
      </c>
      <c r="I534" s="255">
        <f>IF(G534="",0,IF(ISNUMBER(G534),G534,IFERROR(DATE(VALUE(MID(G534,FIND("/",G534,FIND("/",G534)+1)+1,4)),VALUE(MID(G534,FIND("/",G534)+1,FIND("/",G534,FIND("/",G534)+1)-FIND("/",G534)-1)),VALUE(LEFT(G534,FIND("/",G534)-1)))+IFERROR(TIMEVALUE(TRIM(MID(G534,FIND(" ",G534)+1,20))),0),0)))</f>
        <v/>
      </c>
      <c r="J534" s="255">
        <f>IF(H534="",0,IF(ISNUMBER(H534),H534,IFERROR(DATE(VALUE(MID(H534,FIND("/",H534,FIND("/",H534)+1)+1,4)),VALUE(MID(H534,FIND("/",H534)+1,FIND("/",H534,FIND("/",H534)+1)-FIND("/",H534)-1)),VALUE(LEFT(H534,FIND("/",H534)-1)))+IFERROR(TIMEVALUE(TRIM(MID(H534,FIND(" ",H534)+1,20))),0),0)))</f>
        <v/>
      </c>
      <c r="K534" s="256">
        <f>IF(I534=0,0,INT(I534))</f>
        <v/>
      </c>
      <c r="L534" s="257">
        <f>IF(OR(I534=0,J534=0),0,ROUND((J534-I534)*24,2))</f>
        <v/>
      </c>
      <c r="M534" s="254">
        <f>IFERROR(TRIM(MID(A534,FIND("@",SUBSTITUTE(A534,"(","@",LEN(A534)-LEN(SUBSTITUTE(A534,"(",""))))+1,FIND(")",A534,FIND("@",SUBSTITUTE(A534,"(","@",LEN(A534)-LEN(SUBSTITUTE(A534,"(","")))))-FIND("@",SUBSTITUTE(A534,"(","@",LEN(A534)-LEN(SUBSTITUTE(A534,"(",""))))-1)),"")</f>
        <v/>
      </c>
      <c r="N534" s="254">
        <f>IF(A534="","",IF(LEFT(TRIM(A534),5)="Leave","Leave",IF(OR(ISNUMBER(SEARCH("public holiday",A534)),ISNUMBER(SEARCH("Purple",E534))),"Public holiday","Event")))</f>
        <v/>
      </c>
    </row>
    <row r="535">
      <c r="G535" s="254">
        <f>IF(C535="","",IF(ISNUMBER(C535),C535,IF(ISNUMBER(VALUE(LEFT(TRIM(C535),1))),TRIM(C535),TRIM(MID(TRIM(C535),FIND(" ",TRIM(C535))+1,99)))))</f>
        <v/>
      </c>
      <c r="H535" s="254">
        <f>IF(D535="","",IF(ISNUMBER(D535),D535,IF(ISNUMBER(VALUE(LEFT(TRIM(D535),1))),TRIM(D535),TRIM(MID(TRIM(D535),FIND(" ",TRIM(D535))+1,99)))))</f>
        <v/>
      </c>
      <c r="I535" s="255">
        <f>IF(G535="",0,IF(ISNUMBER(G535),G535,IFERROR(DATE(VALUE(MID(G535,FIND("/",G535,FIND("/",G535)+1)+1,4)),VALUE(MID(G535,FIND("/",G535)+1,FIND("/",G535,FIND("/",G535)+1)-FIND("/",G535)-1)),VALUE(LEFT(G535,FIND("/",G535)-1)))+IFERROR(TIMEVALUE(TRIM(MID(G535,FIND(" ",G535)+1,20))),0),0)))</f>
        <v/>
      </c>
      <c r="J535" s="255">
        <f>IF(H535="",0,IF(ISNUMBER(H535),H535,IFERROR(DATE(VALUE(MID(H535,FIND("/",H535,FIND("/",H535)+1)+1,4)),VALUE(MID(H535,FIND("/",H535)+1,FIND("/",H535,FIND("/",H535)+1)-FIND("/",H535)-1)),VALUE(LEFT(H535,FIND("/",H535)-1)))+IFERROR(TIMEVALUE(TRIM(MID(H535,FIND(" ",H535)+1,20))),0),0)))</f>
        <v/>
      </c>
      <c r="K535" s="256">
        <f>IF(I535=0,0,INT(I535))</f>
        <v/>
      </c>
      <c r="L535" s="257">
        <f>IF(OR(I535=0,J535=0),0,ROUND((J535-I535)*24,2))</f>
        <v/>
      </c>
      <c r="M535" s="254">
        <f>IFERROR(TRIM(MID(A535,FIND("@",SUBSTITUTE(A535,"(","@",LEN(A535)-LEN(SUBSTITUTE(A535,"(",""))))+1,FIND(")",A535,FIND("@",SUBSTITUTE(A535,"(","@",LEN(A535)-LEN(SUBSTITUTE(A535,"(","")))))-FIND("@",SUBSTITUTE(A535,"(","@",LEN(A535)-LEN(SUBSTITUTE(A535,"(",""))))-1)),"")</f>
        <v/>
      </c>
      <c r="N535" s="254">
        <f>IF(A535="","",IF(LEFT(TRIM(A535),5)="Leave","Leave",IF(OR(ISNUMBER(SEARCH("public holiday",A535)),ISNUMBER(SEARCH("Purple",E535))),"Public holiday","Event")))</f>
        <v/>
      </c>
    </row>
    <row r="536">
      <c r="G536" s="254">
        <f>IF(C536="","",IF(ISNUMBER(C536),C536,IF(ISNUMBER(VALUE(LEFT(TRIM(C536),1))),TRIM(C536),TRIM(MID(TRIM(C536),FIND(" ",TRIM(C536))+1,99)))))</f>
        <v/>
      </c>
      <c r="H536" s="254">
        <f>IF(D536="","",IF(ISNUMBER(D536),D536,IF(ISNUMBER(VALUE(LEFT(TRIM(D536),1))),TRIM(D536),TRIM(MID(TRIM(D536),FIND(" ",TRIM(D536))+1,99)))))</f>
        <v/>
      </c>
      <c r="I536" s="255">
        <f>IF(G536="",0,IF(ISNUMBER(G536),G536,IFERROR(DATE(VALUE(MID(G536,FIND("/",G536,FIND("/",G536)+1)+1,4)),VALUE(MID(G536,FIND("/",G536)+1,FIND("/",G536,FIND("/",G536)+1)-FIND("/",G536)-1)),VALUE(LEFT(G536,FIND("/",G536)-1)))+IFERROR(TIMEVALUE(TRIM(MID(G536,FIND(" ",G536)+1,20))),0),0)))</f>
        <v/>
      </c>
      <c r="J536" s="255">
        <f>IF(H536="",0,IF(ISNUMBER(H536),H536,IFERROR(DATE(VALUE(MID(H536,FIND("/",H536,FIND("/",H536)+1)+1,4)),VALUE(MID(H536,FIND("/",H536)+1,FIND("/",H536,FIND("/",H536)+1)-FIND("/",H536)-1)),VALUE(LEFT(H536,FIND("/",H536)-1)))+IFERROR(TIMEVALUE(TRIM(MID(H536,FIND(" ",H536)+1,20))),0),0)))</f>
        <v/>
      </c>
      <c r="K536" s="256">
        <f>IF(I536=0,0,INT(I536))</f>
        <v/>
      </c>
      <c r="L536" s="257">
        <f>IF(OR(I536=0,J536=0),0,ROUND((J536-I536)*24,2))</f>
        <v/>
      </c>
      <c r="M536" s="254">
        <f>IFERROR(TRIM(MID(A536,FIND("@",SUBSTITUTE(A536,"(","@",LEN(A536)-LEN(SUBSTITUTE(A536,"(",""))))+1,FIND(")",A536,FIND("@",SUBSTITUTE(A536,"(","@",LEN(A536)-LEN(SUBSTITUTE(A536,"(","")))))-FIND("@",SUBSTITUTE(A536,"(","@",LEN(A536)-LEN(SUBSTITUTE(A536,"(",""))))-1)),"")</f>
        <v/>
      </c>
      <c r="N536" s="254">
        <f>IF(A536="","",IF(LEFT(TRIM(A536),5)="Leave","Leave",IF(OR(ISNUMBER(SEARCH("public holiday",A536)),ISNUMBER(SEARCH("Purple",E536))),"Public holiday","Event")))</f>
        <v/>
      </c>
    </row>
    <row r="537">
      <c r="G537" s="254">
        <f>IF(C537="","",IF(ISNUMBER(C537),C537,IF(ISNUMBER(VALUE(LEFT(TRIM(C537),1))),TRIM(C537),TRIM(MID(TRIM(C537),FIND(" ",TRIM(C537))+1,99)))))</f>
        <v/>
      </c>
      <c r="H537" s="254">
        <f>IF(D537="","",IF(ISNUMBER(D537),D537,IF(ISNUMBER(VALUE(LEFT(TRIM(D537),1))),TRIM(D537),TRIM(MID(TRIM(D537),FIND(" ",TRIM(D537))+1,99)))))</f>
        <v/>
      </c>
      <c r="I537" s="255">
        <f>IF(G537="",0,IF(ISNUMBER(G537),G537,IFERROR(DATE(VALUE(MID(G537,FIND("/",G537,FIND("/",G537)+1)+1,4)),VALUE(MID(G537,FIND("/",G537)+1,FIND("/",G537,FIND("/",G537)+1)-FIND("/",G537)-1)),VALUE(LEFT(G537,FIND("/",G537)-1)))+IFERROR(TIMEVALUE(TRIM(MID(G537,FIND(" ",G537)+1,20))),0),0)))</f>
        <v/>
      </c>
      <c r="J537" s="255">
        <f>IF(H537="",0,IF(ISNUMBER(H537),H537,IFERROR(DATE(VALUE(MID(H537,FIND("/",H537,FIND("/",H537)+1)+1,4)),VALUE(MID(H537,FIND("/",H537)+1,FIND("/",H537,FIND("/",H537)+1)-FIND("/",H537)-1)),VALUE(LEFT(H537,FIND("/",H537)-1)))+IFERROR(TIMEVALUE(TRIM(MID(H537,FIND(" ",H537)+1,20))),0),0)))</f>
        <v/>
      </c>
      <c r="K537" s="256">
        <f>IF(I537=0,0,INT(I537))</f>
        <v/>
      </c>
      <c r="L537" s="257">
        <f>IF(OR(I537=0,J537=0),0,ROUND((J537-I537)*24,2))</f>
        <v/>
      </c>
      <c r="M537" s="254">
        <f>IFERROR(TRIM(MID(A537,FIND("@",SUBSTITUTE(A537,"(","@",LEN(A537)-LEN(SUBSTITUTE(A537,"(",""))))+1,FIND(")",A537,FIND("@",SUBSTITUTE(A537,"(","@",LEN(A537)-LEN(SUBSTITUTE(A537,"(","")))))-FIND("@",SUBSTITUTE(A537,"(","@",LEN(A537)-LEN(SUBSTITUTE(A537,"(",""))))-1)),"")</f>
        <v/>
      </c>
      <c r="N537" s="254">
        <f>IF(A537="","",IF(LEFT(TRIM(A537),5)="Leave","Leave",IF(OR(ISNUMBER(SEARCH("public holiday",A537)),ISNUMBER(SEARCH("Purple",E537))),"Public holiday","Event")))</f>
        <v/>
      </c>
    </row>
    <row r="538">
      <c r="G538" s="254">
        <f>IF(C538="","",IF(ISNUMBER(C538),C538,IF(ISNUMBER(VALUE(LEFT(TRIM(C538),1))),TRIM(C538),TRIM(MID(TRIM(C538),FIND(" ",TRIM(C538))+1,99)))))</f>
        <v/>
      </c>
      <c r="H538" s="254">
        <f>IF(D538="","",IF(ISNUMBER(D538),D538,IF(ISNUMBER(VALUE(LEFT(TRIM(D538),1))),TRIM(D538),TRIM(MID(TRIM(D538),FIND(" ",TRIM(D538))+1,99)))))</f>
        <v/>
      </c>
      <c r="I538" s="255">
        <f>IF(G538="",0,IF(ISNUMBER(G538),G538,IFERROR(DATE(VALUE(MID(G538,FIND("/",G538,FIND("/",G538)+1)+1,4)),VALUE(MID(G538,FIND("/",G538)+1,FIND("/",G538,FIND("/",G538)+1)-FIND("/",G538)-1)),VALUE(LEFT(G538,FIND("/",G538)-1)))+IFERROR(TIMEVALUE(TRIM(MID(G538,FIND(" ",G538)+1,20))),0),0)))</f>
        <v/>
      </c>
      <c r="J538" s="255">
        <f>IF(H538="",0,IF(ISNUMBER(H538),H538,IFERROR(DATE(VALUE(MID(H538,FIND("/",H538,FIND("/",H538)+1)+1,4)),VALUE(MID(H538,FIND("/",H538)+1,FIND("/",H538,FIND("/",H538)+1)-FIND("/",H538)-1)),VALUE(LEFT(H538,FIND("/",H538)-1)))+IFERROR(TIMEVALUE(TRIM(MID(H538,FIND(" ",H538)+1,20))),0),0)))</f>
        <v/>
      </c>
      <c r="K538" s="256">
        <f>IF(I538=0,0,INT(I538))</f>
        <v/>
      </c>
      <c r="L538" s="257">
        <f>IF(OR(I538=0,J538=0),0,ROUND((J538-I538)*24,2))</f>
        <v/>
      </c>
      <c r="M538" s="254">
        <f>IFERROR(TRIM(MID(A538,FIND("@",SUBSTITUTE(A538,"(","@",LEN(A538)-LEN(SUBSTITUTE(A538,"(",""))))+1,FIND(")",A538,FIND("@",SUBSTITUTE(A538,"(","@",LEN(A538)-LEN(SUBSTITUTE(A538,"(","")))))-FIND("@",SUBSTITUTE(A538,"(","@",LEN(A538)-LEN(SUBSTITUTE(A538,"(",""))))-1)),"")</f>
        <v/>
      </c>
      <c r="N538" s="254">
        <f>IF(A538="","",IF(LEFT(TRIM(A538),5)="Leave","Leave",IF(OR(ISNUMBER(SEARCH("public holiday",A538)),ISNUMBER(SEARCH("Purple",E538))),"Public holiday","Event")))</f>
        <v/>
      </c>
    </row>
    <row r="539">
      <c r="G539" s="254">
        <f>IF(C539="","",IF(ISNUMBER(C539),C539,IF(ISNUMBER(VALUE(LEFT(TRIM(C539),1))),TRIM(C539),TRIM(MID(TRIM(C539),FIND(" ",TRIM(C539))+1,99)))))</f>
        <v/>
      </c>
      <c r="H539" s="254">
        <f>IF(D539="","",IF(ISNUMBER(D539),D539,IF(ISNUMBER(VALUE(LEFT(TRIM(D539),1))),TRIM(D539),TRIM(MID(TRIM(D539),FIND(" ",TRIM(D539))+1,99)))))</f>
        <v/>
      </c>
      <c r="I539" s="255">
        <f>IF(G539="",0,IF(ISNUMBER(G539),G539,IFERROR(DATE(VALUE(MID(G539,FIND("/",G539,FIND("/",G539)+1)+1,4)),VALUE(MID(G539,FIND("/",G539)+1,FIND("/",G539,FIND("/",G539)+1)-FIND("/",G539)-1)),VALUE(LEFT(G539,FIND("/",G539)-1)))+IFERROR(TIMEVALUE(TRIM(MID(G539,FIND(" ",G539)+1,20))),0),0)))</f>
        <v/>
      </c>
      <c r="J539" s="255">
        <f>IF(H539="",0,IF(ISNUMBER(H539),H539,IFERROR(DATE(VALUE(MID(H539,FIND("/",H539,FIND("/",H539)+1)+1,4)),VALUE(MID(H539,FIND("/",H539)+1,FIND("/",H539,FIND("/",H539)+1)-FIND("/",H539)-1)),VALUE(LEFT(H539,FIND("/",H539)-1)))+IFERROR(TIMEVALUE(TRIM(MID(H539,FIND(" ",H539)+1,20))),0),0)))</f>
        <v/>
      </c>
      <c r="K539" s="256">
        <f>IF(I539=0,0,INT(I539))</f>
        <v/>
      </c>
      <c r="L539" s="257">
        <f>IF(OR(I539=0,J539=0),0,ROUND((J539-I539)*24,2))</f>
        <v/>
      </c>
      <c r="M539" s="254">
        <f>IFERROR(TRIM(MID(A539,FIND("@",SUBSTITUTE(A539,"(","@",LEN(A539)-LEN(SUBSTITUTE(A539,"(",""))))+1,FIND(")",A539,FIND("@",SUBSTITUTE(A539,"(","@",LEN(A539)-LEN(SUBSTITUTE(A539,"(","")))))-FIND("@",SUBSTITUTE(A539,"(","@",LEN(A539)-LEN(SUBSTITUTE(A539,"(",""))))-1)),"")</f>
        <v/>
      </c>
      <c r="N539" s="254">
        <f>IF(A539="","",IF(LEFT(TRIM(A539),5)="Leave","Leave",IF(OR(ISNUMBER(SEARCH("public holiday",A539)),ISNUMBER(SEARCH("Purple",E539))),"Public holiday","Event")))</f>
        <v/>
      </c>
    </row>
    <row r="540">
      <c r="G540" s="254">
        <f>IF(C540="","",IF(ISNUMBER(C540),C540,IF(ISNUMBER(VALUE(LEFT(TRIM(C540),1))),TRIM(C540),TRIM(MID(TRIM(C540),FIND(" ",TRIM(C540))+1,99)))))</f>
        <v/>
      </c>
      <c r="H540" s="254">
        <f>IF(D540="","",IF(ISNUMBER(D540),D540,IF(ISNUMBER(VALUE(LEFT(TRIM(D540),1))),TRIM(D540),TRIM(MID(TRIM(D540),FIND(" ",TRIM(D540))+1,99)))))</f>
        <v/>
      </c>
      <c r="I540" s="255">
        <f>IF(G540="",0,IF(ISNUMBER(G540),G540,IFERROR(DATE(VALUE(MID(G540,FIND("/",G540,FIND("/",G540)+1)+1,4)),VALUE(MID(G540,FIND("/",G540)+1,FIND("/",G540,FIND("/",G540)+1)-FIND("/",G540)-1)),VALUE(LEFT(G540,FIND("/",G540)-1)))+IFERROR(TIMEVALUE(TRIM(MID(G540,FIND(" ",G540)+1,20))),0),0)))</f>
        <v/>
      </c>
      <c r="J540" s="255">
        <f>IF(H540="",0,IF(ISNUMBER(H540),H540,IFERROR(DATE(VALUE(MID(H540,FIND("/",H540,FIND("/",H540)+1)+1,4)),VALUE(MID(H540,FIND("/",H540)+1,FIND("/",H540,FIND("/",H540)+1)-FIND("/",H540)-1)),VALUE(LEFT(H540,FIND("/",H540)-1)))+IFERROR(TIMEVALUE(TRIM(MID(H540,FIND(" ",H540)+1,20))),0),0)))</f>
        <v/>
      </c>
      <c r="K540" s="256">
        <f>IF(I540=0,0,INT(I540))</f>
        <v/>
      </c>
      <c r="L540" s="257">
        <f>IF(OR(I540=0,J540=0),0,ROUND((J540-I540)*24,2))</f>
        <v/>
      </c>
      <c r="M540" s="254">
        <f>IFERROR(TRIM(MID(A540,FIND("@",SUBSTITUTE(A540,"(","@",LEN(A540)-LEN(SUBSTITUTE(A540,"(",""))))+1,FIND(")",A540,FIND("@",SUBSTITUTE(A540,"(","@",LEN(A540)-LEN(SUBSTITUTE(A540,"(","")))))-FIND("@",SUBSTITUTE(A540,"(","@",LEN(A540)-LEN(SUBSTITUTE(A540,"(",""))))-1)),"")</f>
        <v/>
      </c>
      <c r="N540" s="254">
        <f>IF(A540="","",IF(LEFT(TRIM(A540),5)="Leave","Leave",IF(OR(ISNUMBER(SEARCH("public holiday",A540)),ISNUMBER(SEARCH("Purple",E540))),"Public holiday","Event")))</f>
        <v/>
      </c>
    </row>
    <row r="541">
      <c r="G541" s="254">
        <f>IF(C541="","",IF(ISNUMBER(C541),C541,IF(ISNUMBER(VALUE(LEFT(TRIM(C541),1))),TRIM(C541),TRIM(MID(TRIM(C541),FIND(" ",TRIM(C541))+1,99)))))</f>
        <v/>
      </c>
      <c r="H541" s="254">
        <f>IF(D541="","",IF(ISNUMBER(D541),D541,IF(ISNUMBER(VALUE(LEFT(TRIM(D541),1))),TRIM(D541),TRIM(MID(TRIM(D541),FIND(" ",TRIM(D541))+1,99)))))</f>
        <v/>
      </c>
      <c r="I541" s="255">
        <f>IF(G541="",0,IF(ISNUMBER(G541),G541,IFERROR(DATE(VALUE(MID(G541,FIND("/",G541,FIND("/",G541)+1)+1,4)),VALUE(MID(G541,FIND("/",G541)+1,FIND("/",G541,FIND("/",G541)+1)-FIND("/",G541)-1)),VALUE(LEFT(G541,FIND("/",G541)-1)))+IFERROR(TIMEVALUE(TRIM(MID(G541,FIND(" ",G541)+1,20))),0),0)))</f>
        <v/>
      </c>
      <c r="J541" s="255">
        <f>IF(H541="",0,IF(ISNUMBER(H541),H541,IFERROR(DATE(VALUE(MID(H541,FIND("/",H541,FIND("/",H541)+1)+1,4)),VALUE(MID(H541,FIND("/",H541)+1,FIND("/",H541,FIND("/",H541)+1)-FIND("/",H541)-1)),VALUE(LEFT(H541,FIND("/",H541)-1)))+IFERROR(TIMEVALUE(TRIM(MID(H541,FIND(" ",H541)+1,20))),0),0)))</f>
        <v/>
      </c>
      <c r="K541" s="256">
        <f>IF(I541=0,0,INT(I541))</f>
        <v/>
      </c>
      <c r="L541" s="257">
        <f>IF(OR(I541=0,J541=0),0,ROUND((J541-I541)*24,2))</f>
        <v/>
      </c>
      <c r="M541" s="254">
        <f>IFERROR(TRIM(MID(A541,FIND("@",SUBSTITUTE(A541,"(","@",LEN(A541)-LEN(SUBSTITUTE(A541,"(",""))))+1,FIND(")",A541,FIND("@",SUBSTITUTE(A541,"(","@",LEN(A541)-LEN(SUBSTITUTE(A541,"(","")))))-FIND("@",SUBSTITUTE(A541,"(","@",LEN(A541)-LEN(SUBSTITUTE(A541,"(",""))))-1)),"")</f>
        <v/>
      </c>
      <c r="N541" s="254">
        <f>IF(A541="","",IF(LEFT(TRIM(A541),5)="Leave","Leave",IF(OR(ISNUMBER(SEARCH("public holiday",A541)),ISNUMBER(SEARCH("Purple",E541))),"Public holiday","Event")))</f>
        <v/>
      </c>
    </row>
    <row r="542">
      <c r="G542" s="254">
        <f>IF(C542="","",IF(ISNUMBER(C542),C542,IF(ISNUMBER(VALUE(LEFT(TRIM(C542),1))),TRIM(C542),TRIM(MID(TRIM(C542),FIND(" ",TRIM(C542))+1,99)))))</f>
        <v/>
      </c>
      <c r="H542" s="254">
        <f>IF(D542="","",IF(ISNUMBER(D542),D542,IF(ISNUMBER(VALUE(LEFT(TRIM(D542),1))),TRIM(D542),TRIM(MID(TRIM(D542),FIND(" ",TRIM(D542))+1,99)))))</f>
        <v/>
      </c>
      <c r="I542" s="255">
        <f>IF(G542="",0,IF(ISNUMBER(G542),G542,IFERROR(DATE(VALUE(MID(G542,FIND("/",G542,FIND("/",G542)+1)+1,4)),VALUE(MID(G542,FIND("/",G542)+1,FIND("/",G542,FIND("/",G542)+1)-FIND("/",G542)-1)),VALUE(LEFT(G542,FIND("/",G542)-1)))+IFERROR(TIMEVALUE(TRIM(MID(G542,FIND(" ",G542)+1,20))),0),0)))</f>
        <v/>
      </c>
      <c r="J542" s="255">
        <f>IF(H542="",0,IF(ISNUMBER(H542),H542,IFERROR(DATE(VALUE(MID(H542,FIND("/",H542,FIND("/",H542)+1)+1,4)),VALUE(MID(H542,FIND("/",H542)+1,FIND("/",H542,FIND("/",H542)+1)-FIND("/",H542)-1)),VALUE(LEFT(H542,FIND("/",H542)-1)))+IFERROR(TIMEVALUE(TRIM(MID(H542,FIND(" ",H542)+1,20))),0),0)))</f>
        <v/>
      </c>
      <c r="K542" s="256">
        <f>IF(I542=0,0,INT(I542))</f>
        <v/>
      </c>
      <c r="L542" s="257">
        <f>IF(OR(I542=0,J542=0),0,ROUND((J542-I542)*24,2))</f>
        <v/>
      </c>
      <c r="M542" s="254">
        <f>IFERROR(TRIM(MID(A542,FIND("@",SUBSTITUTE(A542,"(","@",LEN(A542)-LEN(SUBSTITUTE(A542,"(",""))))+1,FIND(")",A542,FIND("@",SUBSTITUTE(A542,"(","@",LEN(A542)-LEN(SUBSTITUTE(A542,"(","")))))-FIND("@",SUBSTITUTE(A542,"(","@",LEN(A542)-LEN(SUBSTITUTE(A542,"(",""))))-1)),"")</f>
        <v/>
      </c>
      <c r="N542" s="254">
        <f>IF(A542="","",IF(LEFT(TRIM(A542),5)="Leave","Leave",IF(OR(ISNUMBER(SEARCH("public holiday",A542)),ISNUMBER(SEARCH("Purple",E542))),"Public holiday","Event")))</f>
        <v/>
      </c>
    </row>
    <row r="543">
      <c r="G543" s="254">
        <f>IF(C543="","",IF(ISNUMBER(C543),C543,IF(ISNUMBER(VALUE(LEFT(TRIM(C543),1))),TRIM(C543),TRIM(MID(TRIM(C543),FIND(" ",TRIM(C543))+1,99)))))</f>
        <v/>
      </c>
      <c r="H543" s="254">
        <f>IF(D543="","",IF(ISNUMBER(D543),D543,IF(ISNUMBER(VALUE(LEFT(TRIM(D543),1))),TRIM(D543),TRIM(MID(TRIM(D543),FIND(" ",TRIM(D543))+1,99)))))</f>
        <v/>
      </c>
      <c r="I543" s="255">
        <f>IF(G543="",0,IF(ISNUMBER(G543),G543,IFERROR(DATE(VALUE(MID(G543,FIND("/",G543,FIND("/",G543)+1)+1,4)),VALUE(MID(G543,FIND("/",G543)+1,FIND("/",G543,FIND("/",G543)+1)-FIND("/",G543)-1)),VALUE(LEFT(G543,FIND("/",G543)-1)))+IFERROR(TIMEVALUE(TRIM(MID(G543,FIND(" ",G543)+1,20))),0),0)))</f>
        <v/>
      </c>
      <c r="J543" s="255">
        <f>IF(H543="",0,IF(ISNUMBER(H543),H543,IFERROR(DATE(VALUE(MID(H543,FIND("/",H543,FIND("/",H543)+1)+1,4)),VALUE(MID(H543,FIND("/",H543)+1,FIND("/",H543,FIND("/",H543)+1)-FIND("/",H543)-1)),VALUE(LEFT(H543,FIND("/",H543)-1)))+IFERROR(TIMEVALUE(TRIM(MID(H543,FIND(" ",H543)+1,20))),0),0)))</f>
        <v/>
      </c>
      <c r="K543" s="256">
        <f>IF(I543=0,0,INT(I543))</f>
        <v/>
      </c>
      <c r="L543" s="257">
        <f>IF(OR(I543=0,J543=0),0,ROUND((J543-I543)*24,2))</f>
        <v/>
      </c>
      <c r="M543" s="254">
        <f>IFERROR(TRIM(MID(A543,FIND("@",SUBSTITUTE(A543,"(","@",LEN(A543)-LEN(SUBSTITUTE(A543,"(",""))))+1,FIND(")",A543,FIND("@",SUBSTITUTE(A543,"(","@",LEN(A543)-LEN(SUBSTITUTE(A543,"(","")))))-FIND("@",SUBSTITUTE(A543,"(","@",LEN(A543)-LEN(SUBSTITUTE(A543,"(",""))))-1)),"")</f>
        <v/>
      </c>
      <c r="N543" s="254">
        <f>IF(A543="","",IF(LEFT(TRIM(A543),5)="Leave","Leave",IF(OR(ISNUMBER(SEARCH("public holiday",A543)),ISNUMBER(SEARCH("Purple",E543))),"Public holiday","Event")))</f>
        <v/>
      </c>
    </row>
    <row r="544">
      <c r="G544" s="254">
        <f>IF(C544="","",IF(ISNUMBER(C544),C544,IF(ISNUMBER(VALUE(LEFT(TRIM(C544),1))),TRIM(C544),TRIM(MID(TRIM(C544),FIND(" ",TRIM(C544))+1,99)))))</f>
        <v/>
      </c>
      <c r="H544" s="254">
        <f>IF(D544="","",IF(ISNUMBER(D544),D544,IF(ISNUMBER(VALUE(LEFT(TRIM(D544),1))),TRIM(D544),TRIM(MID(TRIM(D544),FIND(" ",TRIM(D544))+1,99)))))</f>
        <v/>
      </c>
      <c r="I544" s="255">
        <f>IF(G544="",0,IF(ISNUMBER(G544),G544,IFERROR(DATE(VALUE(MID(G544,FIND("/",G544,FIND("/",G544)+1)+1,4)),VALUE(MID(G544,FIND("/",G544)+1,FIND("/",G544,FIND("/",G544)+1)-FIND("/",G544)-1)),VALUE(LEFT(G544,FIND("/",G544)-1)))+IFERROR(TIMEVALUE(TRIM(MID(G544,FIND(" ",G544)+1,20))),0),0)))</f>
        <v/>
      </c>
      <c r="J544" s="255">
        <f>IF(H544="",0,IF(ISNUMBER(H544),H544,IFERROR(DATE(VALUE(MID(H544,FIND("/",H544,FIND("/",H544)+1)+1,4)),VALUE(MID(H544,FIND("/",H544)+1,FIND("/",H544,FIND("/",H544)+1)-FIND("/",H544)-1)),VALUE(LEFT(H544,FIND("/",H544)-1)))+IFERROR(TIMEVALUE(TRIM(MID(H544,FIND(" ",H544)+1,20))),0),0)))</f>
        <v/>
      </c>
      <c r="K544" s="256">
        <f>IF(I544=0,0,INT(I544))</f>
        <v/>
      </c>
      <c r="L544" s="257">
        <f>IF(OR(I544=0,J544=0),0,ROUND((J544-I544)*24,2))</f>
        <v/>
      </c>
      <c r="M544" s="254">
        <f>IFERROR(TRIM(MID(A544,FIND("@",SUBSTITUTE(A544,"(","@",LEN(A544)-LEN(SUBSTITUTE(A544,"(",""))))+1,FIND(")",A544,FIND("@",SUBSTITUTE(A544,"(","@",LEN(A544)-LEN(SUBSTITUTE(A544,"(","")))))-FIND("@",SUBSTITUTE(A544,"(","@",LEN(A544)-LEN(SUBSTITUTE(A544,"(",""))))-1)),"")</f>
        <v/>
      </c>
      <c r="N544" s="254">
        <f>IF(A544="","",IF(LEFT(TRIM(A544),5)="Leave","Leave",IF(OR(ISNUMBER(SEARCH("public holiday",A544)),ISNUMBER(SEARCH("Purple",E544))),"Public holiday","Event")))</f>
        <v/>
      </c>
    </row>
    <row r="545">
      <c r="G545" s="254">
        <f>IF(C545="","",IF(ISNUMBER(C545),C545,IF(ISNUMBER(VALUE(LEFT(TRIM(C545),1))),TRIM(C545),TRIM(MID(TRIM(C545),FIND(" ",TRIM(C545))+1,99)))))</f>
        <v/>
      </c>
      <c r="H545" s="254">
        <f>IF(D545="","",IF(ISNUMBER(D545),D545,IF(ISNUMBER(VALUE(LEFT(TRIM(D545),1))),TRIM(D545),TRIM(MID(TRIM(D545),FIND(" ",TRIM(D545))+1,99)))))</f>
        <v/>
      </c>
      <c r="I545" s="255">
        <f>IF(G545="",0,IF(ISNUMBER(G545),G545,IFERROR(DATE(VALUE(MID(G545,FIND("/",G545,FIND("/",G545)+1)+1,4)),VALUE(MID(G545,FIND("/",G545)+1,FIND("/",G545,FIND("/",G545)+1)-FIND("/",G545)-1)),VALUE(LEFT(G545,FIND("/",G545)-1)))+IFERROR(TIMEVALUE(TRIM(MID(G545,FIND(" ",G545)+1,20))),0),0)))</f>
        <v/>
      </c>
      <c r="J545" s="255">
        <f>IF(H545="",0,IF(ISNUMBER(H545),H545,IFERROR(DATE(VALUE(MID(H545,FIND("/",H545,FIND("/",H545)+1)+1,4)),VALUE(MID(H545,FIND("/",H545)+1,FIND("/",H545,FIND("/",H545)+1)-FIND("/",H545)-1)),VALUE(LEFT(H545,FIND("/",H545)-1)))+IFERROR(TIMEVALUE(TRIM(MID(H545,FIND(" ",H545)+1,20))),0),0)))</f>
        <v/>
      </c>
      <c r="K545" s="256">
        <f>IF(I545=0,0,INT(I545))</f>
        <v/>
      </c>
      <c r="L545" s="257">
        <f>IF(OR(I545=0,J545=0),0,ROUND((J545-I545)*24,2))</f>
        <v/>
      </c>
      <c r="M545" s="254">
        <f>IFERROR(TRIM(MID(A545,FIND("@",SUBSTITUTE(A545,"(","@",LEN(A545)-LEN(SUBSTITUTE(A545,"(",""))))+1,FIND(")",A545,FIND("@",SUBSTITUTE(A545,"(","@",LEN(A545)-LEN(SUBSTITUTE(A545,"(","")))))-FIND("@",SUBSTITUTE(A545,"(","@",LEN(A545)-LEN(SUBSTITUTE(A545,"(",""))))-1)),"")</f>
        <v/>
      </c>
      <c r="N545" s="254">
        <f>IF(A545="","",IF(LEFT(TRIM(A545),5)="Leave","Leave",IF(OR(ISNUMBER(SEARCH("public holiday",A545)),ISNUMBER(SEARCH("Purple",E545))),"Public holiday","Event")))</f>
        <v/>
      </c>
    </row>
    <row r="546">
      <c r="G546" s="254">
        <f>IF(C546="","",IF(ISNUMBER(C546),C546,IF(ISNUMBER(VALUE(LEFT(TRIM(C546),1))),TRIM(C546),TRIM(MID(TRIM(C546),FIND(" ",TRIM(C546))+1,99)))))</f>
        <v/>
      </c>
      <c r="H546" s="254">
        <f>IF(D546="","",IF(ISNUMBER(D546),D546,IF(ISNUMBER(VALUE(LEFT(TRIM(D546),1))),TRIM(D546),TRIM(MID(TRIM(D546),FIND(" ",TRIM(D546))+1,99)))))</f>
        <v/>
      </c>
      <c r="I546" s="255">
        <f>IF(G546="",0,IF(ISNUMBER(G546),G546,IFERROR(DATE(VALUE(MID(G546,FIND("/",G546,FIND("/",G546)+1)+1,4)),VALUE(MID(G546,FIND("/",G546)+1,FIND("/",G546,FIND("/",G546)+1)-FIND("/",G546)-1)),VALUE(LEFT(G546,FIND("/",G546)-1)))+IFERROR(TIMEVALUE(TRIM(MID(G546,FIND(" ",G546)+1,20))),0),0)))</f>
        <v/>
      </c>
      <c r="J546" s="255">
        <f>IF(H546="",0,IF(ISNUMBER(H546),H546,IFERROR(DATE(VALUE(MID(H546,FIND("/",H546,FIND("/",H546)+1)+1,4)),VALUE(MID(H546,FIND("/",H546)+1,FIND("/",H546,FIND("/",H546)+1)-FIND("/",H546)-1)),VALUE(LEFT(H546,FIND("/",H546)-1)))+IFERROR(TIMEVALUE(TRIM(MID(H546,FIND(" ",H546)+1,20))),0),0)))</f>
        <v/>
      </c>
      <c r="K546" s="256">
        <f>IF(I546=0,0,INT(I546))</f>
        <v/>
      </c>
      <c r="L546" s="257">
        <f>IF(OR(I546=0,J546=0),0,ROUND((J546-I546)*24,2))</f>
        <v/>
      </c>
      <c r="M546" s="254">
        <f>IFERROR(TRIM(MID(A546,FIND("@",SUBSTITUTE(A546,"(","@",LEN(A546)-LEN(SUBSTITUTE(A546,"(",""))))+1,FIND(")",A546,FIND("@",SUBSTITUTE(A546,"(","@",LEN(A546)-LEN(SUBSTITUTE(A546,"(","")))))-FIND("@",SUBSTITUTE(A546,"(","@",LEN(A546)-LEN(SUBSTITUTE(A546,"(",""))))-1)),"")</f>
        <v/>
      </c>
      <c r="N546" s="254">
        <f>IF(A546="","",IF(LEFT(TRIM(A546),5)="Leave","Leave",IF(OR(ISNUMBER(SEARCH("public holiday",A546)),ISNUMBER(SEARCH("Purple",E546))),"Public holiday","Event")))</f>
        <v/>
      </c>
    </row>
    <row r="547">
      <c r="G547" s="254">
        <f>IF(C547="","",IF(ISNUMBER(C547),C547,IF(ISNUMBER(VALUE(LEFT(TRIM(C547),1))),TRIM(C547),TRIM(MID(TRIM(C547),FIND(" ",TRIM(C547))+1,99)))))</f>
        <v/>
      </c>
      <c r="H547" s="254">
        <f>IF(D547="","",IF(ISNUMBER(D547),D547,IF(ISNUMBER(VALUE(LEFT(TRIM(D547),1))),TRIM(D547),TRIM(MID(TRIM(D547),FIND(" ",TRIM(D547))+1,99)))))</f>
        <v/>
      </c>
      <c r="I547" s="255">
        <f>IF(G547="",0,IF(ISNUMBER(G547),G547,IFERROR(DATE(VALUE(MID(G547,FIND("/",G547,FIND("/",G547)+1)+1,4)),VALUE(MID(G547,FIND("/",G547)+1,FIND("/",G547,FIND("/",G547)+1)-FIND("/",G547)-1)),VALUE(LEFT(G547,FIND("/",G547)-1)))+IFERROR(TIMEVALUE(TRIM(MID(G547,FIND(" ",G547)+1,20))),0),0)))</f>
        <v/>
      </c>
      <c r="J547" s="255">
        <f>IF(H547="",0,IF(ISNUMBER(H547),H547,IFERROR(DATE(VALUE(MID(H547,FIND("/",H547,FIND("/",H547)+1)+1,4)),VALUE(MID(H547,FIND("/",H547)+1,FIND("/",H547,FIND("/",H547)+1)-FIND("/",H547)-1)),VALUE(LEFT(H547,FIND("/",H547)-1)))+IFERROR(TIMEVALUE(TRIM(MID(H547,FIND(" ",H547)+1,20))),0),0)))</f>
        <v/>
      </c>
      <c r="K547" s="256">
        <f>IF(I547=0,0,INT(I547))</f>
        <v/>
      </c>
      <c r="L547" s="257">
        <f>IF(OR(I547=0,J547=0),0,ROUND((J547-I547)*24,2))</f>
        <v/>
      </c>
      <c r="M547" s="254">
        <f>IFERROR(TRIM(MID(A547,FIND("@",SUBSTITUTE(A547,"(","@",LEN(A547)-LEN(SUBSTITUTE(A547,"(",""))))+1,FIND(")",A547,FIND("@",SUBSTITUTE(A547,"(","@",LEN(A547)-LEN(SUBSTITUTE(A547,"(","")))))-FIND("@",SUBSTITUTE(A547,"(","@",LEN(A547)-LEN(SUBSTITUTE(A547,"(",""))))-1)),"")</f>
        <v/>
      </c>
      <c r="N547" s="254">
        <f>IF(A547="","",IF(LEFT(TRIM(A547),5)="Leave","Leave",IF(OR(ISNUMBER(SEARCH("public holiday",A547)),ISNUMBER(SEARCH("Purple",E547))),"Public holiday","Event")))</f>
        <v/>
      </c>
    </row>
    <row r="548">
      <c r="G548" s="254">
        <f>IF(C548="","",IF(ISNUMBER(C548),C548,IF(ISNUMBER(VALUE(LEFT(TRIM(C548),1))),TRIM(C548),TRIM(MID(TRIM(C548),FIND(" ",TRIM(C548))+1,99)))))</f>
        <v/>
      </c>
      <c r="H548" s="254">
        <f>IF(D548="","",IF(ISNUMBER(D548),D548,IF(ISNUMBER(VALUE(LEFT(TRIM(D548),1))),TRIM(D548),TRIM(MID(TRIM(D548),FIND(" ",TRIM(D548))+1,99)))))</f>
        <v/>
      </c>
      <c r="I548" s="255">
        <f>IF(G548="",0,IF(ISNUMBER(G548),G548,IFERROR(DATE(VALUE(MID(G548,FIND("/",G548,FIND("/",G548)+1)+1,4)),VALUE(MID(G548,FIND("/",G548)+1,FIND("/",G548,FIND("/",G548)+1)-FIND("/",G548)-1)),VALUE(LEFT(G548,FIND("/",G548)-1)))+IFERROR(TIMEVALUE(TRIM(MID(G548,FIND(" ",G548)+1,20))),0),0)))</f>
        <v/>
      </c>
      <c r="J548" s="255">
        <f>IF(H548="",0,IF(ISNUMBER(H548),H548,IFERROR(DATE(VALUE(MID(H548,FIND("/",H548,FIND("/",H548)+1)+1,4)),VALUE(MID(H548,FIND("/",H548)+1,FIND("/",H548,FIND("/",H548)+1)-FIND("/",H548)-1)),VALUE(LEFT(H548,FIND("/",H548)-1)))+IFERROR(TIMEVALUE(TRIM(MID(H548,FIND(" ",H548)+1,20))),0),0)))</f>
        <v/>
      </c>
      <c r="K548" s="256">
        <f>IF(I548=0,0,INT(I548))</f>
        <v/>
      </c>
      <c r="L548" s="257">
        <f>IF(OR(I548=0,J548=0),0,ROUND((J548-I548)*24,2))</f>
        <v/>
      </c>
      <c r="M548" s="254">
        <f>IFERROR(TRIM(MID(A548,FIND("@",SUBSTITUTE(A548,"(","@",LEN(A548)-LEN(SUBSTITUTE(A548,"(",""))))+1,FIND(")",A548,FIND("@",SUBSTITUTE(A548,"(","@",LEN(A548)-LEN(SUBSTITUTE(A548,"(","")))))-FIND("@",SUBSTITUTE(A548,"(","@",LEN(A548)-LEN(SUBSTITUTE(A548,"(",""))))-1)),"")</f>
        <v/>
      </c>
      <c r="N548" s="254">
        <f>IF(A548="","",IF(LEFT(TRIM(A548),5)="Leave","Leave",IF(OR(ISNUMBER(SEARCH("public holiday",A548)),ISNUMBER(SEARCH("Purple",E548))),"Public holiday","Event")))</f>
        <v/>
      </c>
    </row>
    <row r="549">
      <c r="G549" s="254">
        <f>IF(C549="","",IF(ISNUMBER(C549),C549,IF(ISNUMBER(VALUE(LEFT(TRIM(C549),1))),TRIM(C549),TRIM(MID(TRIM(C549),FIND(" ",TRIM(C549))+1,99)))))</f>
        <v/>
      </c>
      <c r="H549" s="254">
        <f>IF(D549="","",IF(ISNUMBER(D549),D549,IF(ISNUMBER(VALUE(LEFT(TRIM(D549),1))),TRIM(D549),TRIM(MID(TRIM(D549),FIND(" ",TRIM(D549))+1,99)))))</f>
        <v/>
      </c>
      <c r="I549" s="255">
        <f>IF(G549="",0,IF(ISNUMBER(G549),G549,IFERROR(DATE(VALUE(MID(G549,FIND("/",G549,FIND("/",G549)+1)+1,4)),VALUE(MID(G549,FIND("/",G549)+1,FIND("/",G549,FIND("/",G549)+1)-FIND("/",G549)-1)),VALUE(LEFT(G549,FIND("/",G549)-1)))+IFERROR(TIMEVALUE(TRIM(MID(G549,FIND(" ",G549)+1,20))),0),0)))</f>
        <v/>
      </c>
      <c r="J549" s="255">
        <f>IF(H549="",0,IF(ISNUMBER(H549),H549,IFERROR(DATE(VALUE(MID(H549,FIND("/",H549,FIND("/",H549)+1)+1,4)),VALUE(MID(H549,FIND("/",H549)+1,FIND("/",H549,FIND("/",H549)+1)-FIND("/",H549)-1)),VALUE(LEFT(H549,FIND("/",H549)-1)))+IFERROR(TIMEVALUE(TRIM(MID(H549,FIND(" ",H549)+1,20))),0),0)))</f>
        <v/>
      </c>
      <c r="K549" s="256">
        <f>IF(I549=0,0,INT(I549))</f>
        <v/>
      </c>
      <c r="L549" s="257">
        <f>IF(OR(I549=0,J549=0),0,ROUND((J549-I549)*24,2))</f>
        <v/>
      </c>
      <c r="M549" s="254">
        <f>IFERROR(TRIM(MID(A549,FIND("@",SUBSTITUTE(A549,"(","@",LEN(A549)-LEN(SUBSTITUTE(A549,"(",""))))+1,FIND(")",A549,FIND("@",SUBSTITUTE(A549,"(","@",LEN(A549)-LEN(SUBSTITUTE(A549,"(","")))))-FIND("@",SUBSTITUTE(A549,"(","@",LEN(A549)-LEN(SUBSTITUTE(A549,"(",""))))-1)),"")</f>
        <v/>
      </c>
      <c r="N549" s="254">
        <f>IF(A549="","",IF(LEFT(TRIM(A549),5)="Leave","Leave",IF(OR(ISNUMBER(SEARCH("public holiday",A549)),ISNUMBER(SEARCH("Purple",E549))),"Public holiday","Event")))</f>
        <v/>
      </c>
    </row>
    <row r="550">
      <c r="G550" s="254">
        <f>IF(C550="","",IF(ISNUMBER(C550),C550,IF(ISNUMBER(VALUE(LEFT(TRIM(C550),1))),TRIM(C550),TRIM(MID(TRIM(C550),FIND(" ",TRIM(C550))+1,99)))))</f>
        <v/>
      </c>
      <c r="H550" s="254">
        <f>IF(D550="","",IF(ISNUMBER(D550),D550,IF(ISNUMBER(VALUE(LEFT(TRIM(D550),1))),TRIM(D550),TRIM(MID(TRIM(D550),FIND(" ",TRIM(D550))+1,99)))))</f>
        <v/>
      </c>
      <c r="I550" s="255">
        <f>IF(G550="",0,IF(ISNUMBER(G550),G550,IFERROR(DATE(VALUE(MID(G550,FIND("/",G550,FIND("/",G550)+1)+1,4)),VALUE(MID(G550,FIND("/",G550)+1,FIND("/",G550,FIND("/",G550)+1)-FIND("/",G550)-1)),VALUE(LEFT(G550,FIND("/",G550)-1)))+IFERROR(TIMEVALUE(TRIM(MID(G550,FIND(" ",G550)+1,20))),0),0)))</f>
        <v/>
      </c>
      <c r="J550" s="255">
        <f>IF(H550="",0,IF(ISNUMBER(H550),H550,IFERROR(DATE(VALUE(MID(H550,FIND("/",H550,FIND("/",H550)+1)+1,4)),VALUE(MID(H550,FIND("/",H550)+1,FIND("/",H550,FIND("/",H550)+1)-FIND("/",H550)-1)),VALUE(LEFT(H550,FIND("/",H550)-1)))+IFERROR(TIMEVALUE(TRIM(MID(H550,FIND(" ",H550)+1,20))),0),0)))</f>
        <v/>
      </c>
      <c r="K550" s="256">
        <f>IF(I550=0,0,INT(I550))</f>
        <v/>
      </c>
      <c r="L550" s="257">
        <f>IF(OR(I550=0,J550=0),0,ROUND((J550-I550)*24,2))</f>
        <v/>
      </c>
      <c r="M550" s="254">
        <f>IFERROR(TRIM(MID(A550,FIND("@",SUBSTITUTE(A550,"(","@",LEN(A550)-LEN(SUBSTITUTE(A550,"(",""))))+1,FIND(")",A550,FIND("@",SUBSTITUTE(A550,"(","@",LEN(A550)-LEN(SUBSTITUTE(A550,"(","")))))-FIND("@",SUBSTITUTE(A550,"(","@",LEN(A550)-LEN(SUBSTITUTE(A550,"(",""))))-1)),"")</f>
        <v/>
      </c>
      <c r="N550" s="254">
        <f>IF(A550="","",IF(LEFT(TRIM(A550),5)="Leave","Leave",IF(OR(ISNUMBER(SEARCH("public holiday",A550)),ISNUMBER(SEARCH("Purple",E550))),"Public holiday","Event")))</f>
        <v/>
      </c>
    </row>
    <row r="551">
      <c r="G551" s="254">
        <f>IF(C551="","",IF(ISNUMBER(C551),C551,IF(ISNUMBER(VALUE(LEFT(TRIM(C551),1))),TRIM(C551),TRIM(MID(TRIM(C551),FIND(" ",TRIM(C551))+1,99)))))</f>
        <v/>
      </c>
      <c r="H551" s="254">
        <f>IF(D551="","",IF(ISNUMBER(D551),D551,IF(ISNUMBER(VALUE(LEFT(TRIM(D551),1))),TRIM(D551),TRIM(MID(TRIM(D551),FIND(" ",TRIM(D551))+1,99)))))</f>
        <v/>
      </c>
      <c r="I551" s="255">
        <f>IF(G551="",0,IF(ISNUMBER(G551),G551,IFERROR(DATE(VALUE(MID(G551,FIND("/",G551,FIND("/",G551)+1)+1,4)),VALUE(MID(G551,FIND("/",G551)+1,FIND("/",G551,FIND("/",G551)+1)-FIND("/",G551)-1)),VALUE(LEFT(G551,FIND("/",G551)-1)))+IFERROR(TIMEVALUE(TRIM(MID(G551,FIND(" ",G551)+1,20))),0),0)))</f>
        <v/>
      </c>
      <c r="J551" s="255">
        <f>IF(H551="",0,IF(ISNUMBER(H551),H551,IFERROR(DATE(VALUE(MID(H551,FIND("/",H551,FIND("/",H551)+1)+1,4)),VALUE(MID(H551,FIND("/",H551)+1,FIND("/",H551,FIND("/",H551)+1)-FIND("/",H551)-1)),VALUE(LEFT(H551,FIND("/",H551)-1)))+IFERROR(TIMEVALUE(TRIM(MID(H551,FIND(" ",H551)+1,20))),0),0)))</f>
        <v/>
      </c>
      <c r="K551" s="256">
        <f>IF(I551=0,0,INT(I551))</f>
        <v/>
      </c>
      <c r="L551" s="257">
        <f>IF(OR(I551=0,J551=0),0,ROUND((J551-I551)*24,2))</f>
        <v/>
      </c>
      <c r="M551" s="254">
        <f>IFERROR(TRIM(MID(A551,FIND("@",SUBSTITUTE(A551,"(","@",LEN(A551)-LEN(SUBSTITUTE(A551,"(",""))))+1,FIND(")",A551,FIND("@",SUBSTITUTE(A551,"(","@",LEN(A551)-LEN(SUBSTITUTE(A551,"(","")))))-FIND("@",SUBSTITUTE(A551,"(","@",LEN(A551)-LEN(SUBSTITUTE(A551,"(",""))))-1)),"")</f>
        <v/>
      </c>
      <c r="N551" s="254">
        <f>IF(A551="","",IF(LEFT(TRIM(A551),5)="Leave","Leave",IF(OR(ISNUMBER(SEARCH("public holiday",A551)),ISNUMBER(SEARCH("Purple",E551))),"Public holiday","Event")))</f>
        <v/>
      </c>
    </row>
    <row r="552">
      <c r="G552" s="254">
        <f>IF(C552="","",IF(ISNUMBER(C552),C552,IF(ISNUMBER(VALUE(LEFT(TRIM(C552),1))),TRIM(C552),TRIM(MID(TRIM(C552),FIND(" ",TRIM(C552))+1,99)))))</f>
        <v/>
      </c>
      <c r="H552" s="254">
        <f>IF(D552="","",IF(ISNUMBER(D552),D552,IF(ISNUMBER(VALUE(LEFT(TRIM(D552),1))),TRIM(D552),TRIM(MID(TRIM(D552),FIND(" ",TRIM(D552))+1,99)))))</f>
        <v/>
      </c>
      <c r="I552" s="255">
        <f>IF(G552="",0,IF(ISNUMBER(G552),G552,IFERROR(DATE(VALUE(MID(G552,FIND("/",G552,FIND("/",G552)+1)+1,4)),VALUE(MID(G552,FIND("/",G552)+1,FIND("/",G552,FIND("/",G552)+1)-FIND("/",G552)-1)),VALUE(LEFT(G552,FIND("/",G552)-1)))+IFERROR(TIMEVALUE(TRIM(MID(G552,FIND(" ",G552)+1,20))),0),0)))</f>
        <v/>
      </c>
      <c r="J552" s="255">
        <f>IF(H552="",0,IF(ISNUMBER(H552),H552,IFERROR(DATE(VALUE(MID(H552,FIND("/",H552,FIND("/",H552)+1)+1,4)),VALUE(MID(H552,FIND("/",H552)+1,FIND("/",H552,FIND("/",H552)+1)-FIND("/",H552)-1)),VALUE(LEFT(H552,FIND("/",H552)-1)))+IFERROR(TIMEVALUE(TRIM(MID(H552,FIND(" ",H552)+1,20))),0),0)))</f>
        <v/>
      </c>
      <c r="K552" s="256">
        <f>IF(I552=0,0,INT(I552))</f>
        <v/>
      </c>
      <c r="L552" s="257">
        <f>IF(OR(I552=0,J552=0),0,ROUND((J552-I552)*24,2))</f>
        <v/>
      </c>
      <c r="M552" s="254">
        <f>IFERROR(TRIM(MID(A552,FIND("@",SUBSTITUTE(A552,"(","@",LEN(A552)-LEN(SUBSTITUTE(A552,"(",""))))+1,FIND(")",A552,FIND("@",SUBSTITUTE(A552,"(","@",LEN(A552)-LEN(SUBSTITUTE(A552,"(","")))))-FIND("@",SUBSTITUTE(A552,"(","@",LEN(A552)-LEN(SUBSTITUTE(A552,"(",""))))-1)),"")</f>
        <v/>
      </c>
      <c r="N552" s="254">
        <f>IF(A552="","",IF(LEFT(TRIM(A552),5)="Leave","Leave",IF(OR(ISNUMBER(SEARCH("public holiday",A552)),ISNUMBER(SEARCH("Purple",E552))),"Public holiday","Event")))</f>
        <v/>
      </c>
    </row>
    <row r="553">
      <c r="G553" s="254">
        <f>IF(C553="","",IF(ISNUMBER(C553),C553,IF(ISNUMBER(VALUE(LEFT(TRIM(C553),1))),TRIM(C553),TRIM(MID(TRIM(C553),FIND(" ",TRIM(C553))+1,99)))))</f>
        <v/>
      </c>
      <c r="H553" s="254">
        <f>IF(D553="","",IF(ISNUMBER(D553),D553,IF(ISNUMBER(VALUE(LEFT(TRIM(D553),1))),TRIM(D553),TRIM(MID(TRIM(D553),FIND(" ",TRIM(D553))+1,99)))))</f>
        <v/>
      </c>
      <c r="I553" s="255">
        <f>IF(G553="",0,IF(ISNUMBER(G553),G553,IFERROR(DATE(VALUE(MID(G553,FIND("/",G553,FIND("/",G553)+1)+1,4)),VALUE(MID(G553,FIND("/",G553)+1,FIND("/",G553,FIND("/",G553)+1)-FIND("/",G553)-1)),VALUE(LEFT(G553,FIND("/",G553)-1)))+IFERROR(TIMEVALUE(TRIM(MID(G553,FIND(" ",G553)+1,20))),0),0)))</f>
        <v/>
      </c>
      <c r="J553" s="255">
        <f>IF(H553="",0,IF(ISNUMBER(H553),H553,IFERROR(DATE(VALUE(MID(H553,FIND("/",H553,FIND("/",H553)+1)+1,4)),VALUE(MID(H553,FIND("/",H553)+1,FIND("/",H553,FIND("/",H553)+1)-FIND("/",H553)-1)),VALUE(LEFT(H553,FIND("/",H553)-1)))+IFERROR(TIMEVALUE(TRIM(MID(H553,FIND(" ",H553)+1,20))),0),0)))</f>
        <v/>
      </c>
      <c r="K553" s="256">
        <f>IF(I553=0,0,INT(I553))</f>
        <v/>
      </c>
      <c r="L553" s="257">
        <f>IF(OR(I553=0,J553=0),0,ROUND((J553-I553)*24,2))</f>
        <v/>
      </c>
      <c r="M553" s="254">
        <f>IFERROR(TRIM(MID(A553,FIND("@",SUBSTITUTE(A553,"(","@",LEN(A553)-LEN(SUBSTITUTE(A553,"(",""))))+1,FIND(")",A553,FIND("@",SUBSTITUTE(A553,"(","@",LEN(A553)-LEN(SUBSTITUTE(A553,"(","")))))-FIND("@",SUBSTITUTE(A553,"(","@",LEN(A553)-LEN(SUBSTITUTE(A553,"(",""))))-1)),"")</f>
        <v/>
      </c>
      <c r="N553" s="254">
        <f>IF(A553="","",IF(LEFT(TRIM(A553),5)="Leave","Leave",IF(OR(ISNUMBER(SEARCH("public holiday",A553)),ISNUMBER(SEARCH("Purple",E553))),"Public holiday","Event")))</f>
        <v/>
      </c>
    </row>
    <row r="554">
      <c r="G554" s="254">
        <f>IF(C554="","",IF(ISNUMBER(C554),C554,IF(ISNUMBER(VALUE(LEFT(TRIM(C554),1))),TRIM(C554),TRIM(MID(TRIM(C554),FIND(" ",TRIM(C554))+1,99)))))</f>
        <v/>
      </c>
      <c r="H554" s="254">
        <f>IF(D554="","",IF(ISNUMBER(D554),D554,IF(ISNUMBER(VALUE(LEFT(TRIM(D554),1))),TRIM(D554),TRIM(MID(TRIM(D554),FIND(" ",TRIM(D554))+1,99)))))</f>
        <v/>
      </c>
      <c r="I554" s="255">
        <f>IF(G554="",0,IF(ISNUMBER(G554),G554,IFERROR(DATE(VALUE(MID(G554,FIND("/",G554,FIND("/",G554)+1)+1,4)),VALUE(MID(G554,FIND("/",G554)+1,FIND("/",G554,FIND("/",G554)+1)-FIND("/",G554)-1)),VALUE(LEFT(G554,FIND("/",G554)-1)))+IFERROR(TIMEVALUE(TRIM(MID(G554,FIND(" ",G554)+1,20))),0),0)))</f>
        <v/>
      </c>
      <c r="J554" s="255">
        <f>IF(H554="",0,IF(ISNUMBER(H554),H554,IFERROR(DATE(VALUE(MID(H554,FIND("/",H554,FIND("/",H554)+1)+1,4)),VALUE(MID(H554,FIND("/",H554)+1,FIND("/",H554,FIND("/",H554)+1)-FIND("/",H554)-1)),VALUE(LEFT(H554,FIND("/",H554)-1)))+IFERROR(TIMEVALUE(TRIM(MID(H554,FIND(" ",H554)+1,20))),0),0)))</f>
        <v/>
      </c>
      <c r="K554" s="256">
        <f>IF(I554=0,0,INT(I554))</f>
        <v/>
      </c>
      <c r="L554" s="257">
        <f>IF(OR(I554=0,J554=0),0,ROUND((J554-I554)*24,2))</f>
        <v/>
      </c>
      <c r="M554" s="254">
        <f>IFERROR(TRIM(MID(A554,FIND("@",SUBSTITUTE(A554,"(","@",LEN(A554)-LEN(SUBSTITUTE(A554,"(",""))))+1,FIND(")",A554,FIND("@",SUBSTITUTE(A554,"(","@",LEN(A554)-LEN(SUBSTITUTE(A554,"(","")))))-FIND("@",SUBSTITUTE(A554,"(","@",LEN(A554)-LEN(SUBSTITUTE(A554,"(",""))))-1)),"")</f>
        <v/>
      </c>
      <c r="N554" s="254">
        <f>IF(A554="","",IF(LEFT(TRIM(A554),5)="Leave","Leave",IF(OR(ISNUMBER(SEARCH("public holiday",A554)),ISNUMBER(SEARCH("Purple",E554))),"Public holiday","Event")))</f>
        <v/>
      </c>
    </row>
    <row r="555">
      <c r="G555" s="254">
        <f>IF(C555="","",IF(ISNUMBER(C555),C555,IF(ISNUMBER(VALUE(LEFT(TRIM(C555),1))),TRIM(C555),TRIM(MID(TRIM(C555),FIND(" ",TRIM(C555))+1,99)))))</f>
        <v/>
      </c>
      <c r="H555" s="254">
        <f>IF(D555="","",IF(ISNUMBER(D555),D555,IF(ISNUMBER(VALUE(LEFT(TRIM(D555),1))),TRIM(D555),TRIM(MID(TRIM(D555),FIND(" ",TRIM(D555))+1,99)))))</f>
        <v/>
      </c>
      <c r="I555" s="255">
        <f>IF(G555="",0,IF(ISNUMBER(G555),G555,IFERROR(DATE(VALUE(MID(G555,FIND("/",G555,FIND("/",G555)+1)+1,4)),VALUE(MID(G555,FIND("/",G555)+1,FIND("/",G555,FIND("/",G555)+1)-FIND("/",G555)-1)),VALUE(LEFT(G555,FIND("/",G555)-1)))+IFERROR(TIMEVALUE(TRIM(MID(G555,FIND(" ",G555)+1,20))),0),0)))</f>
        <v/>
      </c>
      <c r="J555" s="255">
        <f>IF(H555="",0,IF(ISNUMBER(H555),H555,IFERROR(DATE(VALUE(MID(H555,FIND("/",H555,FIND("/",H555)+1)+1,4)),VALUE(MID(H555,FIND("/",H555)+1,FIND("/",H555,FIND("/",H555)+1)-FIND("/",H555)-1)),VALUE(LEFT(H555,FIND("/",H555)-1)))+IFERROR(TIMEVALUE(TRIM(MID(H555,FIND(" ",H555)+1,20))),0),0)))</f>
        <v/>
      </c>
      <c r="K555" s="256">
        <f>IF(I555=0,0,INT(I555))</f>
        <v/>
      </c>
      <c r="L555" s="257">
        <f>IF(OR(I555=0,J555=0),0,ROUND((J555-I555)*24,2))</f>
        <v/>
      </c>
      <c r="M555" s="254">
        <f>IFERROR(TRIM(MID(A555,FIND("@",SUBSTITUTE(A555,"(","@",LEN(A555)-LEN(SUBSTITUTE(A555,"(",""))))+1,FIND(")",A555,FIND("@",SUBSTITUTE(A555,"(","@",LEN(A555)-LEN(SUBSTITUTE(A555,"(","")))))-FIND("@",SUBSTITUTE(A555,"(","@",LEN(A555)-LEN(SUBSTITUTE(A555,"(",""))))-1)),"")</f>
        <v/>
      </c>
      <c r="N555" s="254">
        <f>IF(A555="","",IF(LEFT(TRIM(A555),5)="Leave","Leave",IF(OR(ISNUMBER(SEARCH("public holiday",A555)),ISNUMBER(SEARCH("Purple",E555))),"Public holiday","Event")))</f>
        <v/>
      </c>
    </row>
    <row r="556">
      <c r="G556" s="254">
        <f>IF(C556="","",IF(ISNUMBER(C556),C556,IF(ISNUMBER(VALUE(LEFT(TRIM(C556),1))),TRIM(C556),TRIM(MID(TRIM(C556),FIND(" ",TRIM(C556))+1,99)))))</f>
        <v/>
      </c>
      <c r="H556" s="254">
        <f>IF(D556="","",IF(ISNUMBER(D556),D556,IF(ISNUMBER(VALUE(LEFT(TRIM(D556),1))),TRIM(D556),TRIM(MID(TRIM(D556),FIND(" ",TRIM(D556))+1,99)))))</f>
        <v/>
      </c>
      <c r="I556" s="255">
        <f>IF(G556="",0,IF(ISNUMBER(G556),G556,IFERROR(DATE(VALUE(MID(G556,FIND("/",G556,FIND("/",G556)+1)+1,4)),VALUE(MID(G556,FIND("/",G556)+1,FIND("/",G556,FIND("/",G556)+1)-FIND("/",G556)-1)),VALUE(LEFT(G556,FIND("/",G556)-1)))+IFERROR(TIMEVALUE(TRIM(MID(G556,FIND(" ",G556)+1,20))),0),0)))</f>
        <v/>
      </c>
      <c r="J556" s="255">
        <f>IF(H556="",0,IF(ISNUMBER(H556),H556,IFERROR(DATE(VALUE(MID(H556,FIND("/",H556,FIND("/",H556)+1)+1,4)),VALUE(MID(H556,FIND("/",H556)+1,FIND("/",H556,FIND("/",H556)+1)-FIND("/",H556)-1)),VALUE(LEFT(H556,FIND("/",H556)-1)))+IFERROR(TIMEVALUE(TRIM(MID(H556,FIND(" ",H556)+1,20))),0),0)))</f>
        <v/>
      </c>
      <c r="K556" s="256">
        <f>IF(I556=0,0,INT(I556))</f>
        <v/>
      </c>
      <c r="L556" s="257">
        <f>IF(OR(I556=0,J556=0),0,ROUND((J556-I556)*24,2))</f>
        <v/>
      </c>
      <c r="M556" s="254">
        <f>IFERROR(TRIM(MID(A556,FIND("@",SUBSTITUTE(A556,"(","@",LEN(A556)-LEN(SUBSTITUTE(A556,"(",""))))+1,FIND(")",A556,FIND("@",SUBSTITUTE(A556,"(","@",LEN(A556)-LEN(SUBSTITUTE(A556,"(","")))))-FIND("@",SUBSTITUTE(A556,"(","@",LEN(A556)-LEN(SUBSTITUTE(A556,"(",""))))-1)),"")</f>
        <v/>
      </c>
      <c r="N556" s="254">
        <f>IF(A556="","",IF(LEFT(TRIM(A556),5)="Leave","Leave",IF(OR(ISNUMBER(SEARCH("public holiday",A556)),ISNUMBER(SEARCH("Purple",E556))),"Public holiday","Event")))</f>
        <v/>
      </c>
    </row>
    <row r="557">
      <c r="G557" s="254">
        <f>IF(C557="","",IF(ISNUMBER(C557),C557,IF(ISNUMBER(VALUE(LEFT(TRIM(C557),1))),TRIM(C557),TRIM(MID(TRIM(C557),FIND(" ",TRIM(C557))+1,99)))))</f>
        <v/>
      </c>
      <c r="H557" s="254">
        <f>IF(D557="","",IF(ISNUMBER(D557),D557,IF(ISNUMBER(VALUE(LEFT(TRIM(D557),1))),TRIM(D557),TRIM(MID(TRIM(D557),FIND(" ",TRIM(D557))+1,99)))))</f>
        <v/>
      </c>
      <c r="I557" s="255">
        <f>IF(G557="",0,IF(ISNUMBER(G557),G557,IFERROR(DATE(VALUE(MID(G557,FIND("/",G557,FIND("/",G557)+1)+1,4)),VALUE(MID(G557,FIND("/",G557)+1,FIND("/",G557,FIND("/",G557)+1)-FIND("/",G557)-1)),VALUE(LEFT(G557,FIND("/",G557)-1)))+IFERROR(TIMEVALUE(TRIM(MID(G557,FIND(" ",G557)+1,20))),0),0)))</f>
        <v/>
      </c>
      <c r="J557" s="255">
        <f>IF(H557="",0,IF(ISNUMBER(H557),H557,IFERROR(DATE(VALUE(MID(H557,FIND("/",H557,FIND("/",H557)+1)+1,4)),VALUE(MID(H557,FIND("/",H557)+1,FIND("/",H557,FIND("/",H557)+1)-FIND("/",H557)-1)),VALUE(LEFT(H557,FIND("/",H557)-1)))+IFERROR(TIMEVALUE(TRIM(MID(H557,FIND(" ",H557)+1,20))),0),0)))</f>
        <v/>
      </c>
      <c r="K557" s="256">
        <f>IF(I557=0,0,INT(I557))</f>
        <v/>
      </c>
      <c r="L557" s="257">
        <f>IF(OR(I557=0,J557=0),0,ROUND((J557-I557)*24,2))</f>
        <v/>
      </c>
      <c r="M557" s="254">
        <f>IFERROR(TRIM(MID(A557,FIND("@",SUBSTITUTE(A557,"(","@",LEN(A557)-LEN(SUBSTITUTE(A557,"(",""))))+1,FIND(")",A557,FIND("@",SUBSTITUTE(A557,"(","@",LEN(A557)-LEN(SUBSTITUTE(A557,"(","")))))-FIND("@",SUBSTITUTE(A557,"(","@",LEN(A557)-LEN(SUBSTITUTE(A557,"(",""))))-1)),"")</f>
        <v/>
      </c>
      <c r="N557" s="254">
        <f>IF(A557="","",IF(LEFT(TRIM(A557),5)="Leave","Leave",IF(OR(ISNUMBER(SEARCH("public holiday",A557)),ISNUMBER(SEARCH("Purple",E557))),"Public holiday","Event")))</f>
        <v/>
      </c>
    </row>
    <row r="558">
      <c r="G558" s="254">
        <f>IF(C558="","",IF(ISNUMBER(C558),C558,IF(ISNUMBER(VALUE(LEFT(TRIM(C558),1))),TRIM(C558),TRIM(MID(TRIM(C558),FIND(" ",TRIM(C558))+1,99)))))</f>
        <v/>
      </c>
      <c r="H558" s="254">
        <f>IF(D558="","",IF(ISNUMBER(D558),D558,IF(ISNUMBER(VALUE(LEFT(TRIM(D558),1))),TRIM(D558),TRIM(MID(TRIM(D558),FIND(" ",TRIM(D558))+1,99)))))</f>
        <v/>
      </c>
      <c r="I558" s="255">
        <f>IF(G558="",0,IF(ISNUMBER(G558),G558,IFERROR(DATE(VALUE(MID(G558,FIND("/",G558,FIND("/",G558)+1)+1,4)),VALUE(MID(G558,FIND("/",G558)+1,FIND("/",G558,FIND("/",G558)+1)-FIND("/",G558)-1)),VALUE(LEFT(G558,FIND("/",G558)-1)))+IFERROR(TIMEVALUE(TRIM(MID(G558,FIND(" ",G558)+1,20))),0),0)))</f>
        <v/>
      </c>
      <c r="J558" s="255">
        <f>IF(H558="",0,IF(ISNUMBER(H558),H558,IFERROR(DATE(VALUE(MID(H558,FIND("/",H558,FIND("/",H558)+1)+1,4)),VALUE(MID(H558,FIND("/",H558)+1,FIND("/",H558,FIND("/",H558)+1)-FIND("/",H558)-1)),VALUE(LEFT(H558,FIND("/",H558)-1)))+IFERROR(TIMEVALUE(TRIM(MID(H558,FIND(" ",H558)+1,20))),0),0)))</f>
        <v/>
      </c>
      <c r="K558" s="256">
        <f>IF(I558=0,0,INT(I558))</f>
        <v/>
      </c>
      <c r="L558" s="257">
        <f>IF(OR(I558=0,J558=0),0,ROUND((J558-I558)*24,2))</f>
        <v/>
      </c>
      <c r="M558" s="254">
        <f>IFERROR(TRIM(MID(A558,FIND("@",SUBSTITUTE(A558,"(","@",LEN(A558)-LEN(SUBSTITUTE(A558,"(",""))))+1,FIND(")",A558,FIND("@",SUBSTITUTE(A558,"(","@",LEN(A558)-LEN(SUBSTITUTE(A558,"(","")))))-FIND("@",SUBSTITUTE(A558,"(","@",LEN(A558)-LEN(SUBSTITUTE(A558,"(",""))))-1)),"")</f>
        <v/>
      </c>
      <c r="N558" s="254">
        <f>IF(A558="","",IF(LEFT(TRIM(A558),5)="Leave","Leave",IF(OR(ISNUMBER(SEARCH("public holiday",A558)),ISNUMBER(SEARCH("Purple",E558))),"Public holiday","Event")))</f>
        <v/>
      </c>
    </row>
    <row r="559">
      <c r="G559" s="254">
        <f>IF(C559="","",IF(ISNUMBER(C559),C559,IF(ISNUMBER(VALUE(LEFT(TRIM(C559),1))),TRIM(C559),TRIM(MID(TRIM(C559),FIND(" ",TRIM(C559))+1,99)))))</f>
        <v/>
      </c>
      <c r="H559" s="254">
        <f>IF(D559="","",IF(ISNUMBER(D559),D559,IF(ISNUMBER(VALUE(LEFT(TRIM(D559),1))),TRIM(D559),TRIM(MID(TRIM(D559),FIND(" ",TRIM(D559))+1,99)))))</f>
        <v/>
      </c>
      <c r="I559" s="255">
        <f>IF(G559="",0,IF(ISNUMBER(G559),G559,IFERROR(DATE(VALUE(MID(G559,FIND("/",G559,FIND("/",G559)+1)+1,4)),VALUE(MID(G559,FIND("/",G559)+1,FIND("/",G559,FIND("/",G559)+1)-FIND("/",G559)-1)),VALUE(LEFT(G559,FIND("/",G559)-1)))+IFERROR(TIMEVALUE(TRIM(MID(G559,FIND(" ",G559)+1,20))),0),0)))</f>
        <v/>
      </c>
      <c r="J559" s="255">
        <f>IF(H559="",0,IF(ISNUMBER(H559),H559,IFERROR(DATE(VALUE(MID(H559,FIND("/",H559,FIND("/",H559)+1)+1,4)),VALUE(MID(H559,FIND("/",H559)+1,FIND("/",H559,FIND("/",H559)+1)-FIND("/",H559)-1)),VALUE(LEFT(H559,FIND("/",H559)-1)))+IFERROR(TIMEVALUE(TRIM(MID(H559,FIND(" ",H559)+1,20))),0),0)))</f>
        <v/>
      </c>
      <c r="K559" s="256">
        <f>IF(I559=0,0,INT(I559))</f>
        <v/>
      </c>
      <c r="L559" s="257">
        <f>IF(OR(I559=0,J559=0),0,ROUND((J559-I559)*24,2))</f>
        <v/>
      </c>
      <c r="M559" s="254">
        <f>IFERROR(TRIM(MID(A559,FIND("@",SUBSTITUTE(A559,"(","@",LEN(A559)-LEN(SUBSTITUTE(A559,"(",""))))+1,FIND(")",A559,FIND("@",SUBSTITUTE(A559,"(","@",LEN(A559)-LEN(SUBSTITUTE(A559,"(","")))))-FIND("@",SUBSTITUTE(A559,"(","@",LEN(A559)-LEN(SUBSTITUTE(A559,"(",""))))-1)),"")</f>
        <v/>
      </c>
      <c r="N559" s="254">
        <f>IF(A559="","",IF(LEFT(TRIM(A559),5)="Leave","Leave",IF(OR(ISNUMBER(SEARCH("public holiday",A559)),ISNUMBER(SEARCH("Purple",E559))),"Public holiday","Event")))</f>
        <v/>
      </c>
    </row>
    <row r="560">
      <c r="G560" s="254">
        <f>IF(C560="","",IF(ISNUMBER(C560),C560,IF(ISNUMBER(VALUE(LEFT(TRIM(C560),1))),TRIM(C560),TRIM(MID(TRIM(C560),FIND(" ",TRIM(C560))+1,99)))))</f>
        <v/>
      </c>
      <c r="H560" s="254">
        <f>IF(D560="","",IF(ISNUMBER(D560),D560,IF(ISNUMBER(VALUE(LEFT(TRIM(D560),1))),TRIM(D560),TRIM(MID(TRIM(D560),FIND(" ",TRIM(D560))+1,99)))))</f>
        <v/>
      </c>
      <c r="I560" s="255">
        <f>IF(G560="",0,IF(ISNUMBER(G560),G560,IFERROR(DATE(VALUE(MID(G560,FIND("/",G560,FIND("/",G560)+1)+1,4)),VALUE(MID(G560,FIND("/",G560)+1,FIND("/",G560,FIND("/",G560)+1)-FIND("/",G560)-1)),VALUE(LEFT(G560,FIND("/",G560)-1)))+IFERROR(TIMEVALUE(TRIM(MID(G560,FIND(" ",G560)+1,20))),0),0)))</f>
        <v/>
      </c>
      <c r="J560" s="255">
        <f>IF(H560="",0,IF(ISNUMBER(H560),H560,IFERROR(DATE(VALUE(MID(H560,FIND("/",H560,FIND("/",H560)+1)+1,4)),VALUE(MID(H560,FIND("/",H560)+1,FIND("/",H560,FIND("/",H560)+1)-FIND("/",H560)-1)),VALUE(LEFT(H560,FIND("/",H560)-1)))+IFERROR(TIMEVALUE(TRIM(MID(H560,FIND(" ",H560)+1,20))),0),0)))</f>
        <v/>
      </c>
      <c r="K560" s="256">
        <f>IF(I560=0,0,INT(I560))</f>
        <v/>
      </c>
      <c r="L560" s="257">
        <f>IF(OR(I560=0,J560=0),0,ROUND((J560-I560)*24,2))</f>
        <v/>
      </c>
      <c r="M560" s="254">
        <f>IFERROR(TRIM(MID(A560,FIND("@",SUBSTITUTE(A560,"(","@",LEN(A560)-LEN(SUBSTITUTE(A560,"(",""))))+1,FIND(")",A560,FIND("@",SUBSTITUTE(A560,"(","@",LEN(A560)-LEN(SUBSTITUTE(A560,"(","")))))-FIND("@",SUBSTITUTE(A560,"(","@",LEN(A560)-LEN(SUBSTITUTE(A560,"(",""))))-1)),"")</f>
        <v/>
      </c>
      <c r="N560" s="254">
        <f>IF(A560="","",IF(LEFT(TRIM(A560),5)="Leave","Leave",IF(OR(ISNUMBER(SEARCH("public holiday",A560)),ISNUMBER(SEARCH("Purple",E560))),"Public holiday","Event")))</f>
        <v/>
      </c>
    </row>
    <row r="561">
      <c r="G561" s="254">
        <f>IF(C561="","",IF(ISNUMBER(C561),C561,IF(ISNUMBER(VALUE(LEFT(TRIM(C561),1))),TRIM(C561),TRIM(MID(TRIM(C561),FIND(" ",TRIM(C561))+1,99)))))</f>
        <v/>
      </c>
      <c r="H561" s="254">
        <f>IF(D561="","",IF(ISNUMBER(D561),D561,IF(ISNUMBER(VALUE(LEFT(TRIM(D561),1))),TRIM(D561),TRIM(MID(TRIM(D561),FIND(" ",TRIM(D561))+1,99)))))</f>
        <v/>
      </c>
      <c r="I561" s="255">
        <f>IF(G561="",0,IF(ISNUMBER(G561),G561,IFERROR(DATE(VALUE(MID(G561,FIND("/",G561,FIND("/",G561)+1)+1,4)),VALUE(MID(G561,FIND("/",G561)+1,FIND("/",G561,FIND("/",G561)+1)-FIND("/",G561)-1)),VALUE(LEFT(G561,FIND("/",G561)-1)))+IFERROR(TIMEVALUE(TRIM(MID(G561,FIND(" ",G561)+1,20))),0),0)))</f>
        <v/>
      </c>
      <c r="J561" s="255">
        <f>IF(H561="",0,IF(ISNUMBER(H561),H561,IFERROR(DATE(VALUE(MID(H561,FIND("/",H561,FIND("/",H561)+1)+1,4)),VALUE(MID(H561,FIND("/",H561)+1,FIND("/",H561,FIND("/",H561)+1)-FIND("/",H561)-1)),VALUE(LEFT(H561,FIND("/",H561)-1)))+IFERROR(TIMEVALUE(TRIM(MID(H561,FIND(" ",H561)+1,20))),0),0)))</f>
        <v/>
      </c>
      <c r="K561" s="256">
        <f>IF(I561=0,0,INT(I561))</f>
        <v/>
      </c>
      <c r="L561" s="257">
        <f>IF(OR(I561=0,J561=0),0,ROUND((J561-I561)*24,2))</f>
        <v/>
      </c>
      <c r="M561" s="254">
        <f>IFERROR(TRIM(MID(A561,FIND("@",SUBSTITUTE(A561,"(","@",LEN(A561)-LEN(SUBSTITUTE(A561,"(",""))))+1,FIND(")",A561,FIND("@",SUBSTITUTE(A561,"(","@",LEN(A561)-LEN(SUBSTITUTE(A561,"(","")))))-FIND("@",SUBSTITUTE(A561,"(","@",LEN(A561)-LEN(SUBSTITUTE(A561,"(",""))))-1)),"")</f>
        <v/>
      </c>
      <c r="N561" s="254">
        <f>IF(A561="","",IF(LEFT(TRIM(A561),5)="Leave","Leave",IF(OR(ISNUMBER(SEARCH("public holiday",A561)),ISNUMBER(SEARCH("Purple",E561))),"Public holiday","Event")))</f>
        <v/>
      </c>
    </row>
    <row r="562">
      <c r="G562" s="254">
        <f>IF(C562="","",IF(ISNUMBER(C562),C562,IF(ISNUMBER(VALUE(LEFT(TRIM(C562),1))),TRIM(C562),TRIM(MID(TRIM(C562),FIND(" ",TRIM(C562))+1,99)))))</f>
        <v/>
      </c>
      <c r="H562" s="254">
        <f>IF(D562="","",IF(ISNUMBER(D562),D562,IF(ISNUMBER(VALUE(LEFT(TRIM(D562),1))),TRIM(D562),TRIM(MID(TRIM(D562),FIND(" ",TRIM(D562))+1,99)))))</f>
        <v/>
      </c>
      <c r="I562" s="255">
        <f>IF(G562="",0,IF(ISNUMBER(G562),G562,IFERROR(DATE(VALUE(MID(G562,FIND("/",G562,FIND("/",G562)+1)+1,4)),VALUE(MID(G562,FIND("/",G562)+1,FIND("/",G562,FIND("/",G562)+1)-FIND("/",G562)-1)),VALUE(LEFT(G562,FIND("/",G562)-1)))+IFERROR(TIMEVALUE(TRIM(MID(G562,FIND(" ",G562)+1,20))),0),0)))</f>
        <v/>
      </c>
      <c r="J562" s="255">
        <f>IF(H562="",0,IF(ISNUMBER(H562),H562,IFERROR(DATE(VALUE(MID(H562,FIND("/",H562,FIND("/",H562)+1)+1,4)),VALUE(MID(H562,FIND("/",H562)+1,FIND("/",H562,FIND("/",H562)+1)-FIND("/",H562)-1)),VALUE(LEFT(H562,FIND("/",H562)-1)))+IFERROR(TIMEVALUE(TRIM(MID(H562,FIND(" ",H562)+1,20))),0),0)))</f>
        <v/>
      </c>
      <c r="K562" s="256">
        <f>IF(I562=0,0,INT(I562))</f>
        <v/>
      </c>
      <c r="L562" s="257">
        <f>IF(OR(I562=0,J562=0),0,ROUND((J562-I562)*24,2))</f>
        <v/>
      </c>
      <c r="M562" s="254">
        <f>IFERROR(TRIM(MID(A562,FIND("@",SUBSTITUTE(A562,"(","@",LEN(A562)-LEN(SUBSTITUTE(A562,"(",""))))+1,FIND(")",A562,FIND("@",SUBSTITUTE(A562,"(","@",LEN(A562)-LEN(SUBSTITUTE(A562,"(","")))))-FIND("@",SUBSTITUTE(A562,"(","@",LEN(A562)-LEN(SUBSTITUTE(A562,"(",""))))-1)),"")</f>
        <v/>
      </c>
      <c r="N562" s="254">
        <f>IF(A562="","",IF(LEFT(TRIM(A562),5)="Leave","Leave",IF(OR(ISNUMBER(SEARCH("public holiday",A562)),ISNUMBER(SEARCH("Purple",E562))),"Public holiday","Event")))</f>
        <v/>
      </c>
    </row>
    <row r="563">
      <c r="G563" s="254">
        <f>IF(C563="","",IF(ISNUMBER(C563),C563,IF(ISNUMBER(VALUE(LEFT(TRIM(C563),1))),TRIM(C563),TRIM(MID(TRIM(C563),FIND(" ",TRIM(C563))+1,99)))))</f>
        <v/>
      </c>
      <c r="H563" s="254">
        <f>IF(D563="","",IF(ISNUMBER(D563),D563,IF(ISNUMBER(VALUE(LEFT(TRIM(D563),1))),TRIM(D563),TRIM(MID(TRIM(D563),FIND(" ",TRIM(D563))+1,99)))))</f>
        <v/>
      </c>
      <c r="I563" s="255">
        <f>IF(G563="",0,IF(ISNUMBER(G563),G563,IFERROR(DATE(VALUE(MID(G563,FIND("/",G563,FIND("/",G563)+1)+1,4)),VALUE(MID(G563,FIND("/",G563)+1,FIND("/",G563,FIND("/",G563)+1)-FIND("/",G563)-1)),VALUE(LEFT(G563,FIND("/",G563)-1)))+IFERROR(TIMEVALUE(TRIM(MID(G563,FIND(" ",G563)+1,20))),0),0)))</f>
        <v/>
      </c>
      <c r="J563" s="255">
        <f>IF(H563="",0,IF(ISNUMBER(H563),H563,IFERROR(DATE(VALUE(MID(H563,FIND("/",H563,FIND("/",H563)+1)+1,4)),VALUE(MID(H563,FIND("/",H563)+1,FIND("/",H563,FIND("/",H563)+1)-FIND("/",H563)-1)),VALUE(LEFT(H563,FIND("/",H563)-1)))+IFERROR(TIMEVALUE(TRIM(MID(H563,FIND(" ",H563)+1,20))),0),0)))</f>
        <v/>
      </c>
      <c r="K563" s="256">
        <f>IF(I563=0,0,INT(I563))</f>
        <v/>
      </c>
      <c r="L563" s="257">
        <f>IF(OR(I563=0,J563=0),0,ROUND((J563-I563)*24,2))</f>
        <v/>
      </c>
      <c r="M563" s="254">
        <f>IFERROR(TRIM(MID(A563,FIND("@",SUBSTITUTE(A563,"(","@",LEN(A563)-LEN(SUBSTITUTE(A563,"(",""))))+1,FIND(")",A563,FIND("@",SUBSTITUTE(A563,"(","@",LEN(A563)-LEN(SUBSTITUTE(A563,"(","")))))-FIND("@",SUBSTITUTE(A563,"(","@",LEN(A563)-LEN(SUBSTITUTE(A563,"(",""))))-1)),"")</f>
        <v/>
      </c>
      <c r="N563" s="254">
        <f>IF(A563="","",IF(LEFT(TRIM(A563),5)="Leave","Leave",IF(OR(ISNUMBER(SEARCH("public holiday",A563)),ISNUMBER(SEARCH("Purple",E563))),"Public holiday","Event")))</f>
        <v/>
      </c>
    </row>
    <row r="564">
      <c r="G564" s="254">
        <f>IF(C564="","",IF(ISNUMBER(C564),C564,IF(ISNUMBER(VALUE(LEFT(TRIM(C564),1))),TRIM(C564),TRIM(MID(TRIM(C564),FIND(" ",TRIM(C564))+1,99)))))</f>
        <v/>
      </c>
      <c r="H564" s="254">
        <f>IF(D564="","",IF(ISNUMBER(D564),D564,IF(ISNUMBER(VALUE(LEFT(TRIM(D564),1))),TRIM(D564),TRIM(MID(TRIM(D564),FIND(" ",TRIM(D564))+1,99)))))</f>
        <v/>
      </c>
      <c r="I564" s="255">
        <f>IF(G564="",0,IF(ISNUMBER(G564),G564,IFERROR(DATE(VALUE(MID(G564,FIND("/",G564,FIND("/",G564)+1)+1,4)),VALUE(MID(G564,FIND("/",G564)+1,FIND("/",G564,FIND("/",G564)+1)-FIND("/",G564)-1)),VALUE(LEFT(G564,FIND("/",G564)-1)))+IFERROR(TIMEVALUE(TRIM(MID(G564,FIND(" ",G564)+1,20))),0),0)))</f>
        <v/>
      </c>
      <c r="J564" s="255">
        <f>IF(H564="",0,IF(ISNUMBER(H564),H564,IFERROR(DATE(VALUE(MID(H564,FIND("/",H564,FIND("/",H564)+1)+1,4)),VALUE(MID(H564,FIND("/",H564)+1,FIND("/",H564,FIND("/",H564)+1)-FIND("/",H564)-1)),VALUE(LEFT(H564,FIND("/",H564)-1)))+IFERROR(TIMEVALUE(TRIM(MID(H564,FIND(" ",H564)+1,20))),0),0)))</f>
        <v/>
      </c>
      <c r="K564" s="256">
        <f>IF(I564=0,0,INT(I564))</f>
        <v/>
      </c>
      <c r="L564" s="257">
        <f>IF(OR(I564=0,J564=0),0,ROUND((J564-I564)*24,2))</f>
        <v/>
      </c>
      <c r="M564" s="254">
        <f>IFERROR(TRIM(MID(A564,FIND("@",SUBSTITUTE(A564,"(","@",LEN(A564)-LEN(SUBSTITUTE(A564,"(",""))))+1,FIND(")",A564,FIND("@",SUBSTITUTE(A564,"(","@",LEN(A564)-LEN(SUBSTITUTE(A564,"(","")))))-FIND("@",SUBSTITUTE(A564,"(","@",LEN(A564)-LEN(SUBSTITUTE(A564,"(",""))))-1)),"")</f>
        <v/>
      </c>
      <c r="N564" s="254">
        <f>IF(A564="","",IF(LEFT(TRIM(A564),5)="Leave","Leave",IF(OR(ISNUMBER(SEARCH("public holiday",A564)),ISNUMBER(SEARCH("Purple",E564))),"Public holiday","Event")))</f>
        <v/>
      </c>
    </row>
    <row r="565">
      <c r="G565" s="254">
        <f>IF(C565="","",IF(ISNUMBER(C565),C565,IF(ISNUMBER(VALUE(LEFT(TRIM(C565),1))),TRIM(C565),TRIM(MID(TRIM(C565),FIND(" ",TRIM(C565))+1,99)))))</f>
        <v/>
      </c>
      <c r="H565" s="254">
        <f>IF(D565="","",IF(ISNUMBER(D565),D565,IF(ISNUMBER(VALUE(LEFT(TRIM(D565),1))),TRIM(D565),TRIM(MID(TRIM(D565),FIND(" ",TRIM(D565))+1,99)))))</f>
        <v/>
      </c>
      <c r="I565" s="255">
        <f>IF(G565="",0,IF(ISNUMBER(G565),G565,IFERROR(DATE(VALUE(MID(G565,FIND("/",G565,FIND("/",G565)+1)+1,4)),VALUE(MID(G565,FIND("/",G565)+1,FIND("/",G565,FIND("/",G565)+1)-FIND("/",G565)-1)),VALUE(LEFT(G565,FIND("/",G565)-1)))+IFERROR(TIMEVALUE(TRIM(MID(G565,FIND(" ",G565)+1,20))),0),0)))</f>
        <v/>
      </c>
      <c r="J565" s="255">
        <f>IF(H565="",0,IF(ISNUMBER(H565),H565,IFERROR(DATE(VALUE(MID(H565,FIND("/",H565,FIND("/",H565)+1)+1,4)),VALUE(MID(H565,FIND("/",H565)+1,FIND("/",H565,FIND("/",H565)+1)-FIND("/",H565)-1)),VALUE(LEFT(H565,FIND("/",H565)-1)))+IFERROR(TIMEVALUE(TRIM(MID(H565,FIND(" ",H565)+1,20))),0),0)))</f>
        <v/>
      </c>
      <c r="K565" s="256">
        <f>IF(I565=0,0,INT(I565))</f>
        <v/>
      </c>
      <c r="L565" s="257">
        <f>IF(OR(I565=0,J565=0),0,ROUND((J565-I565)*24,2))</f>
        <v/>
      </c>
      <c r="M565" s="254">
        <f>IFERROR(TRIM(MID(A565,FIND("@",SUBSTITUTE(A565,"(","@",LEN(A565)-LEN(SUBSTITUTE(A565,"(",""))))+1,FIND(")",A565,FIND("@",SUBSTITUTE(A565,"(","@",LEN(A565)-LEN(SUBSTITUTE(A565,"(","")))))-FIND("@",SUBSTITUTE(A565,"(","@",LEN(A565)-LEN(SUBSTITUTE(A565,"(",""))))-1)),"")</f>
        <v/>
      </c>
      <c r="N565" s="254">
        <f>IF(A565="","",IF(LEFT(TRIM(A565),5)="Leave","Leave",IF(OR(ISNUMBER(SEARCH("public holiday",A565)),ISNUMBER(SEARCH("Purple",E565))),"Public holiday","Event")))</f>
        <v/>
      </c>
    </row>
    <row r="566">
      <c r="G566" s="254">
        <f>IF(C566="","",IF(ISNUMBER(C566),C566,IF(ISNUMBER(VALUE(LEFT(TRIM(C566),1))),TRIM(C566),TRIM(MID(TRIM(C566),FIND(" ",TRIM(C566))+1,99)))))</f>
        <v/>
      </c>
      <c r="H566" s="254">
        <f>IF(D566="","",IF(ISNUMBER(D566),D566,IF(ISNUMBER(VALUE(LEFT(TRIM(D566),1))),TRIM(D566),TRIM(MID(TRIM(D566),FIND(" ",TRIM(D566))+1,99)))))</f>
        <v/>
      </c>
      <c r="I566" s="255">
        <f>IF(G566="",0,IF(ISNUMBER(G566),G566,IFERROR(DATE(VALUE(MID(G566,FIND("/",G566,FIND("/",G566)+1)+1,4)),VALUE(MID(G566,FIND("/",G566)+1,FIND("/",G566,FIND("/",G566)+1)-FIND("/",G566)-1)),VALUE(LEFT(G566,FIND("/",G566)-1)))+IFERROR(TIMEVALUE(TRIM(MID(G566,FIND(" ",G566)+1,20))),0),0)))</f>
        <v/>
      </c>
      <c r="J566" s="255">
        <f>IF(H566="",0,IF(ISNUMBER(H566),H566,IFERROR(DATE(VALUE(MID(H566,FIND("/",H566,FIND("/",H566)+1)+1,4)),VALUE(MID(H566,FIND("/",H566)+1,FIND("/",H566,FIND("/",H566)+1)-FIND("/",H566)-1)),VALUE(LEFT(H566,FIND("/",H566)-1)))+IFERROR(TIMEVALUE(TRIM(MID(H566,FIND(" ",H566)+1,20))),0),0)))</f>
        <v/>
      </c>
      <c r="K566" s="256">
        <f>IF(I566=0,0,INT(I566))</f>
        <v/>
      </c>
      <c r="L566" s="257">
        <f>IF(OR(I566=0,J566=0),0,ROUND((J566-I566)*24,2))</f>
        <v/>
      </c>
      <c r="M566" s="254">
        <f>IFERROR(TRIM(MID(A566,FIND("@",SUBSTITUTE(A566,"(","@",LEN(A566)-LEN(SUBSTITUTE(A566,"(",""))))+1,FIND(")",A566,FIND("@",SUBSTITUTE(A566,"(","@",LEN(A566)-LEN(SUBSTITUTE(A566,"(","")))))-FIND("@",SUBSTITUTE(A566,"(","@",LEN(A566)-LEN(SUBSTITUTE(A566,"(",""))))-1)),"")</f>
        <v/>
      </c>
      <c r="N566" s="254">
        <f>IF(A566="","",IF(LEFT(TRIM(A566),5)="Leave","Leave",IF(OR(ISNUMBER(SEARCH("public holiday",A566)),ISNUMBER(SEARCH("Purple",E566))),"Public holiday","Event")))</f>
        <v/>
      </c>
    </row>
    <row r="567">
      <c r="G567" s="254">
        <f>IF(C567="","",IF(ISNUMBER(C567),C567,IF(ISNUMBER(VALUE(LEFT(TRIM(C567),1))),TRIM(C567),TRIM(MID(TRIM(C567),FIND(" ",TRIM(C567))+1,99)))))</f>
        <v/>
      </c>
      <c r="H567" s="254">
        <f>IF(D567="","",IF(ISNUMBER(D567),D567,IF(ISNUMBER(VALUE(LEFT(TRIM(D567),1))),TRIM(D567),TRIM(MID(TRIM(D567),FIND(" ",TRIM(D567))+1,99)))))</f>
        <v/>
      </c>
      <c r="I567" s="255">
        <f>IF(G567="",0,IF(ISNUMBER(G567),G567,IFERROR(DATE(VALUE(MID(G567,FIND("/",G567,FIND("/",G567)+1)+1,4)),VALUE(MID(G567,FIND("/",G567)+1,FIND("/",G567,FIND("/",G567)+1)-FIND("/",G567)-1)),VALUE(LEFT(G567,FIND("/",G567)-1)))+IFERROR(TIMEVALUE(TRIM(MID(G567,FIND(" ",G567)+1,20))),0),0)))</f>
        <v/>
      </c>
      <c r="J567" s="255">
        <f>IF(H567="",0,IF(ISNUMBER(H567),H567,IFERROR(DATE(VALUE(MID(H567,FIND("/",H567,FIND("/",H567)+1)+1,4)),VALUE(MID(H567,FIND("/",H567)+1,FIND("/",H567,FIND("/",H567)+1)-FIND("/",H567)-1)),VALUE(LEFT(H567,FIND("/",H567)-1)))+IFERROR(TIMEVALUE(TRIM(MID(H567,FIND(" ",H567)+1,20))),0),0)))</f>
        <v/>
      </c>
      <c r="K567" s="256">
        <f>IF(I567=0,0,INT(I567))</f>
        <v/>
      </c>
      <c r="L567" s="257">
        <f>IF(OR(I567=0,J567=0),0,ROUND((J567-I567)*24,2))</f>
        <v/>
      </c>
      <c r="M567" s="254">
        <f>IFERROR(TRIM(MID(A567,FIND("@",SUBSTITUTE(A567,"(","@",LEN(A567)-LEN(SUBSTITUTE(A567,"(",""))))+1,FIND(")",A567,FIND("@",SUBSTITUTE(A567,"(","@",LEN(A567)-LEN(SUBSTITUTE(A567,"(","")))))-FIND("@",SUBSTITUTE(A567,"(","@",LEN(A567)-LEN(SUBSTITUTE(A567,"(",""))))-1)),"")</f>
        <v/>
      </c>
      <c r="N567" s="254">
        <f>IF(A567="","",IF(LEFT(TRIM(A567),5)="Leave","Leave",IF(OR(ISNUMBER(SEARCH("public holiday",A567)),ISNUMBER(SEARCH("Purple",E567))),"Public holiday","Event")))</f>
        <v/>
      </c>
    </row>
    <row r="568">
      <c r="G568" s="254">
        <f>IF(C568="","",IF(ISNUMBER(C568),C568,IF(ISNUMBER(VALUE(LEFT(TRIM(C568),1))),TRIM(C568),TRIM(MID(TRIM(C568),FIND(" ",TRIM(C568))+1,99)))))</f>
        <v/>
      </c>
      <c r="H568" s="254">
        <f>IF(D568="","",IF(ISNUMBER(D568),D568,IF(ISNUMBER(VALUE(LEFT(TRIM(D568),1))),TRIM(D568),TRIM(MID(TRIM(D568),FIND(" ",TRIM(D568))+1,99)))))</f>
        <v/>
      </c>
      <c r="I568" s="255">
        <f>IF(G568="",0,IF(ISNUMBER(G568),G568,IFERROR(DATE(VALUE(MID(G568,FIND("/",G568,FIND("/",G568)+1)+1,4)),VALUE(MID(G568,FIND("/",G568)+1,FIND("/",G568,FIND("/",G568)+1)-FIND("/",G568)-1)),VALUE(LEFT(G568,FIND("/",G568)-1)))+IFERROR(TIMEVALUE(TRIM(MID(G568,FIND(" ",G568)+1,20))),0),0)))</f>
        <v/>
      </c>
      <c r="J568" s="255">
        <f>IF(H568="",0,IF(ISNUMBER(H568),H568,IFERROR(DATE(VALUE(MID(H568,FIND("/",H568,FIND("/",H568)+1)+1,4)),VALUE(MID(H568,FIND("/",H568)+1,FIND("/",H568,FIND("/",H568)+1)-FIND("/",H568)-1)),VALUE(LEFT(H568,FIND("/",H568)-1)))+IFERROR(TIMEVALUE(TRIM(MID(H568,FIND(" ",H568)+1,20))),0),0)))</f>
        <v/>
      </c>
      <c r="K568" s="256">
        <f>IF(I568=0,0,INT(I568))</f>
        <v/>
      </c>
      <c r="L568" s="257">
        <f>IF(OR(I568=0,J568=0),0,ROUND((J568-I568)*24,2))</f>
        <v/>
      </c>
      <c r="M568" s="254">
        <f>IFERROR(TRIM(MID(A568,FIND("@",SUBSTITUTE(A568,"(","@",LEN(A568)-LEN(SUBSTITUTE(A568,"(",""))))+1,FIND(")",A568,FIND("@",SUBSTITUTE(A568,"(","@",LEN(A568)-LEN(SUBSTITUTE(A568,"(","")))))-FIND("@",SUBSTITUTE(A568,"(","@",LEN(A568)-LEN(SUBSTITUTE(A568,"(",""))))-1)),"")</f>
        <v/>
      </c>
      <c r="N568" s="254">
        <f>IF(A568="","",IF(LEFT(TRIM(A568),5)="Leave","Leave",IF(OR(ISNUMBER(SEARCH("public holiday",A568)),ISNUMBER(SEARCH("Purple",E568))),"Public holiday","Event")))</f>
        <v/>
      </c>
    </row>
    <row r="569">
      <c r="G569" s="254">
        <f>IF(C569="","",IF(ISNUMBER(C569),C569,IF(ISNUMBER(VALUE(LEFT(TRIM(C569),1))),TRIM(C569),TRIM(MID(TRIM(C569),FIND(" ",TRIM(C569))+1,99)))))</f>
        <v/>
      </c>
      <c r="H569" s="254">
        <f>IF(D569="","",IF(ISNUMBER(D569),D569,IF(ISNUMBER(VALUE(LEFT(TRIM(D569),1))),TRIM(D569),TRIM(MID(TRIM(D569),FIND(" ",TRIM(D569))+1,99)))))</f>
        <v/>
      </c>
      <c r="I569" s="255">
        <f>IF(G569="",0,IF(ISNUMBER(G569),G569,IFERROR(DATE(VALUE(MID(G569,FIND("/",G569,FIND("/",G569)+1)+1,4)),VALUE(MID(G569,FIND("/",G569)+1,FIND("/",G569,FIND("/",G569)+1)-FIND("/",G569)-1)),VALUE(LEFT(G569,FIND("/",G569)-1)))+IFERROR(TIMEVALUE(TRIM(MID(G569,FIND(" ",G569)+1,20))),0),0)))</f>
        <v/>
      </c>
      <c r="J569" s="255">
        <f>IF(H569="",0,IF(ISNUMBER(H569),H569,IFERROR(DATE(VALUE(MID(H569,FIND("/",H569,FIND("/",H569)+1)+1,4)),VALUE(MID(H569,FIND("/",H569)+1,FIND("/",H569,FIND("/",H569)+1)-FIND("/",H569)-1)),VALUE(LEFT(H569,FIND("/",H569)-1)))+IFERROR(TIMEVALUE(TRIM(MID(H569,FIND(" ",H569)+1,20))),0),0)))</f>
        <v/>
      </c>
      <c r="K569" s="256">
        <f>IF(I569=0,0,INT(I569))</f>
        <v/>
      </c>
      <c r="L569" s="257">
        <f>IF(OR(I569=0,J569=0),0,ROUND((J569-I569)*24,2))</f>
        <v/>
      </c>
      <c r="M569" s="254">
        <f>IFERROR(TRIM(MID(A569,FIND("@",SUBSTITUTE(A569,"(","@",LEN(A569)-LEN(SUBSTITUTE(A569,"(",""))))+1,FIND(")",A569,FIND("@",SUBSTITUTE(A569,"(","@",LEN(A569)-LEN(SUBSTITUTE(A569,"(","")))))-FIND("@",SUBSTITUTE(A569,"(","@",LEN(A569)-LEN(SUBSTITUTE(A569,"(",""))))-1)),"")</f>
        <v/>
      </c>
      <c r="N569" s="254">
        <f>IF(A569="","",IF(LEFT(TRIM(A569),5)="Leave","Leave",IF(OR(ISNUMBER(SEARCH("public holiday",A569)),ISNUMBER(SEARCH("Purple",E569))),"Public holiday","Event")))</f>
        <v/>
      </c>
    </row>
    <row r="570">
      <c r="G570" s="254">
        <f>IF(C570="","",IF(ISNUMBER(C570),C570,IF(ISNUMBER(VALUE(LEFT(TRIM(C570),1))),TRIM(C570),TRIM(MID(TRIM(C570),FIND(" ",TRIM(C570))+1,99)))))</f>
        <v/>
      </c>
      <c r="H570" s="254">
        <f>IF(D570="","",IF(ISNUMBER(D570),D570,IF(ISNUMBER(VALUE(LEFT(TRIM(D570),1))),TRIM(D570),TRIM(MID(TRIM(D570),FIND(" ",TRIM(D570))+1,99)))))</f>
        <v/>
      </c>
      <c r="I570" s="255">
        <f>IF(G570="",0,IF(ISNUMBER(G570),G570,IFERROR(DATE(VALUE(MID(G570,FIND("/",G570,FIND("/",G570)+1)+1,4)),VALUE(MID(G570,FIND("/",G570)+1,FIND("/",G570,FIND("/",G570)+1)-FIND("/",G570)-1)),VALUE(LEFT(G570,FIND("/",G570)-1)))+IFERROR(TIMEVALUE(TRIM(MID(G570,FIND(" ",G570)+1,20))),0),0)))</f>
        <v/>
      </c>
      <c r="J570" s="255">
        <f>IF(H570="",0,IF(ISNUMBER(H570),H570,IFERROR(DATE(VALUE(MID(H570,FIND("/",H570,FIND("/",H570)+1)+1,4)),VALUE(MID(H570,FIND("/",H570)+1,FIND("/",H570,FIND("/",H570)+1)-FIND("/",H570)-1)),VALUE(LEFT(H570,FIND("/",H570)-1)))+IFERROR(TIMEVALUE(TRIM(MID(H570,FIND(" ",H570)+1,20))),0),0)))</f>
        <v/>
      </c>
      <c r="K570" s="256">
        <f>IF(I570=0,0,INT(I570))</f>
        <v/>
      </c>
      <c r="L570" s="257">
        <f>IF(OR(I570=0,J570=0),0,ROUND((J570-I570)*24,2))</f>
        <v/>
      </c>
      <c r="M570" s="254">
        <f>IFERROR(TRIM(MID(A570,FIND("@",SUBSTITUTE(A570,"(","@",LEN(A570)-LEN(SUBSTITUTE(A570,"(",""))))+1,FIND(")",A570,FIND("@",SUBSTITUTE(A570,"(","@",LEN(A570)-LEN(SUBSTITUTE(A570,"(","")))))-FIND("@",SUBSTITUTE(A570,"(","@",LEN(A570)-LEN(SUBSTITUTE(A570,"(",""))))-1)),"")</f>
        <v/>
      </c>
      <c r="N570" s="254">
        <f>IF(A570="","",IF(LEFT(TRIM(A570),5)="Leave","Leave",IF(OR(ISNUMBER(SEARCH("public holiday",A570)),ISNUMBER(SEARCH("Purple",E570))),"Public holiday","Event")))</f>
        <v/>
      </c>
    </row>
    <row r="571">
      <c r="G571" s="254">
        <f>IF(C571="","",IF(ISNUMBER(C571),C571,IF(ISNUMBER(VALUE(LEFT(TRIM(C571),1))),TRIM(C571),TRIM(MID(TRIM(C571),FIND(" ",TRIM(C571))+1,99)))))</f>
        <v/>
      </c>
      <c r="H571" s="254">
        <f>IF(D571="","",IF(ISNUMBER(D571),D571,IF(ISNUMBER(VALUE(LEFT(TRIM(D571),1))),TRIM(D571),TRIM(MID(TRIM(D571),FIND(" ",TRIM(D571))+1,99)))))</f>
        <v/>
      </c>
      <c r="I571" s="255">
        <f>IF(G571="",0,IF(ISNUMBER(G571),G571,IFERROR(DATE(VALUE(MID(G571,FIND("/",G571,FIND("/",G571)+1)+1,4)),VALUE(MID(G571,FIND("/",G571)+1,FIND("/",G571,FIND("/",G571)+1)-FIND("/",G571)-1)),VALUE(LEFT(G571,FIND("/",G571)-1)))+IFERROR(TIMEVALUE(TRIM(MID(G571,FIND(" ",G571)+1,20))),0),0)))</f>
        <v/>
      </c>
      <c r="J571" s="255">
        <f>IF(H571="",0,IF(ISNUMBER(H571),H571,IFERROR(DATE(VALUE(MID(H571,FIND("/",H571,FIND("/",H571)+1)+1,4)),VALUE(MID(H571,FIND("/",H571)+1,FIND("/",H571,FIND("/",H571)+1)-FIND("/",H571)-1)),VALUE(LEFT(H571,FIND("/",H571)-1)))+IFERROR(TIMEVALUE(TRIM(MID(H571,FIND(" ",H571)+1,20))),0),0)))</f>
        <v/>
      </c>
      <c r="K571" s="256">
        <f>IF(I571=0,0,INT(I571))</f>
        <v/>
      </c>
      <c r="L571" s="257">
        <f>IF(OR(I571=0,J571=0),0,ROUND((J571-I571)*24,2))</f>
        <v/>
      </c>
      <c r="M571" s="254">
        <f>IFERROR(TRIM(MID(A571,FIND("@",SUBSTITUTE(A571,"(","@",LEN(A571)-LEN(SUBSTITUTE(A571,"(",""))))+1,FIND(")",A571,FIND("@",SUBSTITUTE(A571,"(","@",LEN(A571)-LEN(SUBSTITUTE(A571,"(","")))))-FIND("@",SUBSTITUTE(A571,"(","@",LEN(A571)-LEN(SUBSTITUTE(A571,"(",""))))-1)),"")</f>
        <v/>
      </c>
      <c r="N571" s="254">
        <f>IF(A571="","",IF(LEFT(TRIM(A571),5)="Leave","Leave",IF(OR(ISNUMBER(SEARCH("public holiday",A571)),ISNUMBER(SEARCH("Purple",E571))),"Public holiday","Event")))</f>
        <v/>
      </c>
    </row>
    <row r="572">
      <c r="G572" s="254">
        <f>IF(C572="","",IF(ISNUMBER(C572),C572,IF(ISNUMBER(VALUE(LEFT(TRIM(C572),1))),TRIM(C572),TRIM(MID(TRIM(C572),FIND(" ",TRIM(C572))+1,99)))))</f>
        <v/>
      </c>
      <c r="H572" s="254">
        <f>IF(D572="","",IF(ISNUMBER(D572),D572,IF(ISNUMBER(VALUE(LEFT(TRIM(D572),1))),TRIM(D572),TRIM(MID(TRIM(D572),FIND(" ",TRIM(D572))+1,99)))))</f>
        <v/>
      </c>
      <c r="I572" s="255">
        <f>IF(G572="",0,IF(ISNUMBER(G572),G572,IFERROR(DATE(VALUE(MID(G572,FIND("/",G572,FIND("/",G572)+1)+1,4)),VALUE(MID(G572,FIND("/",G572)+1,FIND("/",G572,FIND("/",G572)+1)-FIND("/",G572)-1)),VALUE(LEFT(G572,FIND("/",G572)-1)))+IFERROR(TIMEVALUE(TRIM(MID(G572,FIND(" ",G572)+1,20))),0),0)))</f>
        <v/>
      </c>
      <c r="J572" s="255">
        <f>IF(H572="",0,IF(ISNUMBER(H572),H572,IFERROR(DATE(VALUE(MID(H572,FIND("/",H572,FIND("/",H572)+1)+1,4)),VALUE(MID(H572,FIND("/",H572)+1,FIND("/",H572,FIND("/",H572)+1)-FIND("/",H572)-1)),VALUE(LEFT(H572,FIND("/",H572)-1)))+IFERROR(TIMEVALUE(TRIM(MID(H572,FIND(" ",H572)+1,20))),0),0)))</f>
        <v/>
      </c>
      <c r="K572" s="256">
        <f>IF(I572=0,0,INT(I572))</f>
        <v/>
      </c>
      <c r="L572" s="257">
        <f>IF(OR(I572=0,J572=0),0,ROUND((J572-I572)*24,2))</f>
        <v/>
      </c>
      <c r="M572" s="254">
        <f>IFERROR(TRIM(MID(A572,FIND("@",SUBSTITUTE(A572,"(","@",LEN(A572)-LEN(SUBSTITUTE(A572,"(",""))))+1,FIND(")",A572,FIND("@",SUBSTITUTE(A572,"(","@",LEN(A572)-LEN(SUBSTITUTE(A572,"(","")))))-FIND("@",SUBSTITUTE(A572,"(","@",LEN(A572)-LEN(SUBSTITUTE(A572,"(",""))))-1)),"")</f>
        <v/>
      </c>
      <c r="N572" s="254">
        <f>IF(A572="","",IF(LEFT(TRIM(A572),5)="Leave","Leave",IF(OR(ISNUMBER(SEARCH("public holiday",A572)),ISNUMBER(SEARCH("Purple",E572))),"Public holiday","Event")))</f>
        <v/>
      </c>
    </row>
    <row r="573">
      <c r="G573" s="254">
        <f>IF(C573="","",IF(ISNUMBER(C573),C573,IF(ISNUMBER(VALUE(LEFT(TRIM(C573),1))),TRIM(C573),TRIM(MID(TRIM(C573),FIND(" ",TRIM(C573))+1,99)))))</f>
        <v/>
      </c>
      <c r="H573" s="254">
        <f>IF(D573="","",IF(ISNUMBER(D573),D573,IF(ISNUMBER(VALUE(LEFT(TRIM(D573),1))),TRIM(D573),TRIM(MID(TRIM(D573),FIND(" ",TRIM(D573))+1,99)))))</f>
        <v/>
      </c>
      <c r="I573" s="255">
        <f>IF(G573="",0,IF(ISNUMBER(G573),G573,IFERROR(DATE(VALUE(MID(G573,FIND("/",G573,FIND("/",G573)+1)+1,4)),VALUE(MID(G573,FIND("/",G573)+1,FIND("/",G573,FIND("/",G573)+1)-FIND("/",G573)-1)),VALUE(LEFT(G573,FIND("/",G573)-1)))+IFERROR(TIMEVALUE(TRIM(MID(G573,FIND(" ",G573)+1,20))),0),0)))</f>
        <v/>
      </c>
      <c r="J573" s="255">
        <f>IF(H573="",0,IF(ISNUMBER(H573),H573,IFERROR(DATE(VALUE(MID(H573,FIND("/",H573,FIND("/",H573)+1)+1,4)),VALUE(MID(H573,FIND("/",H573)+1,FIND("/",H573,FIND("/",H573)+1)-FIND("/",H573)-1)),VALUE(LEFT(H573,FIND("/",H573)-1)))+IFERROR(TIMEVALUE(TRIM(MID(H573,FIND(" ",H573)+1,20))),0),0)))</f>
        <v/>
      </c>
      <c r="K573" s="256">
        <f>IF(I573=0,0,INT(I573))</f>
        <v/>
      </c>
      <c r="L573" s="257">
        <f>IF(OR(I573=0,J573=0),0,ROUND((J573-I573)*24,2))</f>
        <v/>
      </c>
      <c r="M573" s="254">
        <f>IFERROR(TRIM(MID(A573,FIND("@",SUBSTITUTE(A573,"(","@",LEN(A573)-LEN(SUBSTITUTE(A573,"(",""))))+1,FIND(")",A573,FIND("@",SUBSTITUTE(A573,"(","@",LEN(A573)-LEN(SUBSTITUTE(A573,"(","")))))-FIND("@",SUBSTITUTE(A573,"(","@",LEN(A573)-LEN(SUBSTITUTE(A573,"(",""))))-1)),"")</f>
        <v/>
      </c>
      <c r="N573" s="254">
        <f>IF(A573="","",IF(LEFT(TRIM(A573),5)="Leave","Leave",IF(OR(ISNUMBER(SEARCH("public holiday",A573)),ISNUMBER(SEARCH("Purple",E573))),"Public holiday","Event")))</f>
        <v/>
      </c>
    </row>
    <row r="574">
      <c r="G574" s="254">
        <f>IF(C574="","",IF(ISNUMBER(C574),C574,IF(ISNUMBER(VALUE(LEFT(TRIM(C574),1))),TRIM(C574),TRIM(MID(TRIM(C574),FIND(" ",TRIM(C574))+1,99)))))</f>
        <v/>
      </c>
      <c r="H574" s="254">
        <f>IF(D574="","",IF(ISNUMBER(D574),D574,IF(ISNUMBER(VALUE(LEFT(TRIM(D574),1))),TRIM(D574),TRIM(MID(TRIM(D574),FIND(" ",TRIM(D574))+1,99)))))</f>
        <v/>
      </c>
      <c r="I574" s="255">
        <f>IF(G574="",0,IF(ISNUMBER(G574),G574,IFERROR(DATE(VALUE(MID(G574,FIND("/",G574,FIND("/",G574)+1)+1,4)),VALUE(MID(G574,FIND("/",G574)+1,FIND("/",G574,FIND("/",G574)+1)-FIND("/",G574)-1)),VALUE(LEFT(G574,FIND("/",G574)-1)))+IFERROR(TIMEVALUE(TRIM(MID(G574,FIND(" ",G574)+1,20))),0),0)))</f>
        <v/>
      </c>
      <c r="J574" s="255">
        <f>IF(H574="",0,IF(ISNUMBER(H574),H574,IFERROR(DATE(VALUE(MID(H574,FIND("/",H574,FIND("/",H574)+1)+1,4)),VALUE(MID(H574,FIND("/",H574)+1,FIND("/",H574,FIND("/",H574)+1)-FIND("/",H574)-1)),VALUE(LEFT(H574,FIND("/",H574)-1)))+IFERROR(TIMEVALUE(TRIM(MID(H574,FIND(" ",H574)+1,20))),0),0)))</f>
        <v/>
      </c>
      <c r="K574" s="256">
        <f>IF(I574=0,0,INT(I574))</f>
        <v/>
      </c>
      <c r="L574" s="257">
        <f>IF(OR(I574=0,J574=0),0,ROUND((J574-I574)*24,2))</f>
        <v/>
      </c>
      <c r="M574" s="254">
        <f>IFERROR(TRIM(MID(A574,FIND("@",SUBSTITUTE(A574,"(","@",LEN(A574)-LEN(SUBSTITUTE(A574,"(",""))))+1,FIND(")",A574,FIND("@",SUBSTITUTE(A574,"(","@",LEN(A574)-LEN(SUBSTITUTE(A574,"(","")))))-FIND("@",SUBSTITUTE(A574,"(","@",LEN(A574)-LEN(SUBSTITUTE(A574,"(",""))))-1)),"")</f>
        <v/>
      </c>
      <c r="N574" s="254">
        <f>IF(A574="","",IF(LEFT(TRIM(A574),5)="Leave","Leave",IF(OR(ISNUMBER(SEARCH("public holiday",A574)),ISNUMBER(SEARCH("Purple",E574))),"Public holiday","Event")))</f>
        <v/>
      </c>
    </row>
    <row r="575">
      <c r="G575" s="254">
        <f>IF(C575="","",IF(ISNUMBER(C575),C575,IF(ISNUMBER(VALUE(LEFT(TRIM(C575),1))),TRIM(C575),TRIM(MID(TRIM(C575),FIND(" ",TRIM(C575))+1,99)))))</f>
        <v/>
      </c>
      <c r="H575" s="254">
        <f>IF(D575="","",IF(ISNUMBER(D575),D575,IF(ISNUMBER(VALUE(LEFT(TRIM(D575),1))),TRIM(D575),TRIM(MID(TRIM(D575),FIND(" ",TRIM(D575))+1,99)))))</f>
        <v/>
      </c>
      <c r="I575" s="255">
        <f>IF(G575="",0,IF(ISNUMBER(G575),G575,IFERROR(DATE(VALUE(MID(G575,FIND("/",G575,FIND("/",G575)+1)+1,4)),VALUE(MID(G575,FIND("/",G575)+1,FIND("/",G575,FIND("/",G575)+1)-FIND("/",G575)-1)),VALUE(LEFT(G575,FIND("/",G575)-1)))+IFERROR(TIMEVALUE(TRIM(MID(G575,FIND(" ",G575)+1,20))),0),0)))</f>
        <v/>
      </c>
      <c r="J575" s="255">
        <f>IF(H575="",0,IF(ISNUMBER(H575),H575,IFERROR(DATE(VALUE(MID(H575,FIND("/",H575,FIND("/",H575)+1)+1,4)),VALUE(MID(H575,FIND("/",H575)+1,FIND("/",H575,FIND("/",H575)+1)-FIND("/",H575)-1)),VALUE(LEFT(H575,FIND("/",H575)-1)))+IFERROR(TIMEVALUE(TRIM(MID(H575,FIND(" ",H575)+1,20))),0),0)))</f>
        <v/>
      </c>
      <c r="K575" s="256">
        <f>IF(I575=0,0,INT(I575))</f>
        <v/>
      </c>
      <c r="L575" s="257">
        <f>IF(OR(I575=0,J575=0),0,ROUND((J575-I575)*24,2))</f>
        <v/>
      </c>
      <c r="M575" s="254">
        <f>IFERROR(TRIM(MID(A575,FIND("@",SUBSTITUTE(A575,"(","@",LEN(A575)-LEN(SUBSTITUTE(A575,"(",""))))+1,FIND(")",A575,FIND("@",SUBSTITUTE(A575,"(","@",LEN(A575)-LEN(SUBSTITUTE(A575,"(","")))))-FIND("@",SUBSTITUTE(A575,"(","@",LEN(A575)-LEN(SUBSTITUTE(A575,"(",""))))-1)),"")</f>
        <v/>
      </c>
      <c r="N575" s="254">
        <f>IF(A575="","",IF(LEFT(TRIM(A575),5)="Leave","Leave",IF(OR(ISNUMBER(SEARCH("public holiday",A575)),ISNUMBER(SEARCH("Purple",E575))),"Public holiday","Event")))</f>
        <v/>
      </c>
    </row>
    <row r="576">
      <c r="G576" s="254">
        <f>IF(C576="","",IF(ISNUMBER(C576),C576,IF(ISNUMBER(VALUE(LEFT(TRIM(C576),1))),TRIM(C576),TRIM(MID(TRIM(C576),FIND(" ",TRIM(C576))+1,99)))))</f>
        <v/>
      </c>
      <c r="H576" s="254">
        <f>IF(D576="","",IF(ISNUMBER(D576),D576,IF(ISNUMBER(VALUE(LEFT(TRIM(D576),1))),TRIM(D576),TRIM(MID(TRIM(D576),FIND(" ",TRIM(D576))+1,99)))))</f>
        <v/>
      </c>
      <c r="I576" s="255">
        <f>IF(G576="",0,IF(ISNUMBER(G576),G576,IFERROR(DATE(VALUE(MID(G576,FIND("/",G576,FIND("/",G576)+1)+1,4)),VALUE(MID(G576,FIND("/",G576)+1,FIND("/",G576,FIND("/",G576)+1)-FIND("/",G576)-1)),VALUE(LEFT(G576,FIND("/",G576)-1)))+IFERROR(TIMEVALUE(TRIM(MID(G576,FIND(" ",G576)+1,20))),0),0)))</f>
        <v/>
      </c>
      <c r="J576" s="255">
        <f>IF(H576="",0,IF(ISNUMBER(H576),H576,IFERROR(DATE(VALUE(MID(H576,FIND("/",H576,FIND("/",H576)+1)+1,4)),VALUE(MID(H576,FIND("/",H576)+1,FIND("/",H576,FIND("/",H576)+1)-FIND("/",H576)-1)),VALUE(LEFT(H576,FIND("/",H576)-1)))+IFERROR(TIMEVALUE(TRIM(MID(H576,FIND(" ",H576)+1,20))),0),0)))</f>
        <v/>
      </c>
      <c r="K576" s="256">
        <f>IF(I576=0,0,INT(I576))</f>
        <v/>
      </c>
      <c r="L576" s="257">
        <f>IF(OR(I576=0,J576=0),0,ROUND((J576-I576)*24,2))</f>
        <v/>
      </c>
      <c r="M576" s="254">
        <f>IFERROR(TRIM(MID(A576,FIND("@",SUBSTITUTE(A576,"(","@",LEN(A576)-LEN(SUBSTITUTE(A576,"(",""))))+1,FIND(")",A576,FIND("@",SUBSTITUTE(A576,"(","@",LEN(A576)-LEN(SUBSTITUTE(A576,"(","")))))-FIND("@",SUBSTITUTE(A576,"(","@",LEN(A576)-LEN(SUBSTITUTE(A576,"(",""))))-1)),"")</f>
        <v/>
      </c>
      <c r="N576" s="254">
        <f>IF(A576="","",IF(LEFT(TRIM(A576),5)="Leave","Leave",IF(OR(ISNUMBER(SEARCH("public holiday",A576)),ISNUMBER(SEARCH("Purple",E576))),"Public holiday","Event")))</f>
        <v/>
      </c>
    </row>
    <row r="577">
      <c r="G577" s="254">
        <f>IF(C577="","",IF(ISNUMBER(C577),C577,IF(ISNUMBER(VALUE(LEFT(TRIM(C577),1))),TRIM(C577),TRIM(MID(TRIM(C577),FIND(" ",TRIM(C577))+1,99)))))</f>
        <v/>
      </c>
      <c r="H577" s="254">
        <f>IF(D577="","",IF(ISNUMBER(D577),D577,IF(ISNUMBER(VALUE(LEFT(TRIM(D577),1))),TRIM(D577),TRIM(MID(TRIM(D577),FIND(" ",TRIM(D577))+1,99)))))</f>
        <v/>
      </c>
      <c r="I577" s="255">
        <f>IF(G577="",0,IF(ISNUMBER(G577),G577,IFERROR(DATE(VALUE(MID(G577,FIND("/",G577,FIND("/",G577)+1)+1,4)),VALUE(MID(G577,FIND("/",G577)+1,FIND("/",G577,FIND("/",G577)+1)-FIND("/",G577)-1)),VALUE(LEFT(G577,FIND("/",G577)-1)))+IFERROR(TIMEVALUE(TRIM(MID(G577,FIND(" ",G577)+1,20))),0),0)))</f>
        <v/>
      </c>
      <c r="J577" s="255">
        <f>IF(H577="",0,IF(ISNUMBER(H577),H577,IFERROR(DATE(VALUE(MID(H577,FIND("/",H577,FIND("/",H577)+1)+1,4)),VALUE(MID(H577,FIND("/",H577)+1,FIND("/",H577,FIND("/",H577)+1)-FIND("/",H577)-1)),VALUE(LEFT(H577,FIND("/",H577)-1)))+IFERROR(TIMEVALUE(TRIM(MID(H577,FIND(" ",H577)+1,20))),0),0)))</f>
        <v/>
      </c>
      <c r="K577" s="256">
        <f>IF(I577=0,0,INT(I577))</f>
        <v/>
      </c>
      <c r="L577" s="257">
        <f>IF(OR(I577=0,J577=0),0,ROUND((J577-I577)*24,2))</f>
        <v/>
      </c>
      <c r="M577" s="254">
        <f>IFERROR(TRIM(MID(A577,FIND("@",SUBSTITUTE(A577,"(","@",LEN(A577)-LEN(SUBSTITUTE(A577,"(",""))))+1,FIND(")",A577,FIND("@",SUBSTITUTE(A577,"(","@",LEN(A577)-LEN(SUBSTITUTE(A577,"(","")))))-FIND("@",SUBSTITUTE(A577,"(","@",LEN(A577)-LEN(SUBSTITUTE(A577,"(",""))))-1)),"")</f>
        <v/>
      </c>
      <c r="N577" s="254">
        <f>IF(A577="","",IF(LEFT(TRIM(A577),5)="Leave","Leave",IF(OR(ISNUMBER(SEARCH("public holiday",A577)),ISNUMBER(SEARCH("Purple",E577))),"Public holiday","Event")))</f>
        <v/>
      </c>
    </row>
    <row r="578">
      <c r="G578" s="254">
        <f>IF(C578="","",IF(ISNUMBER(C578),C578,IF(ISNUMBER(VALUE(LEFT(TRIM(C578),1))),TRIM(C578),TRIM(MID(TRIM(C578),FIND(" ",TRIM(C578))+1,99)))))</f>
        <v/>
      </c>
      <c r="H578" s="254">
        <f>IF(D578="","",IF(ISNUMBER(D578),D578,IF(ISNUMBER(VALUE(LEFT(TRIM(D578),1))),TRIM(D578),TRIM(MID(TRIM(D578),FIND(" ",TRIM(D578))+1,99)))))</f>
        <v/>
      </c>
      <c r="I578" s="255">
        <f>IF(G578="",0,IF(ISNUMBER(G578),G578,IFERROR(DATE(VALUE(MID(G578,FIND("/",G578,FIND("/",G578)+1)+1,4)),VALUE(MID(G578,FIND("/",G578)+1,FIND("/",G578,FIND("/",G578)+1)-FIND("/",G578)-1)),VALUE(LEFT(G578,FIND("/",G578)-1)))+IFERROR(TIMEVALUE(TRIM(MID(G578,FIND(" ",G578)+1,20))),0),0)))</f>
        <v/>
      </c>
      <c r="J578" s="255">
        <f>IF(H578="",0,IF(ISNUMBER(H578),H578,IFERROR(DATE(VALUE(MID(H578,FIND("/",H578,FIND("/",H578)+1)+1,4)),VALUE(MID(H578,FIND("/",H578)+1,FIND("/",H578,FIND("/",H578)+1)-FIND("/",H578)-1)),VALUE(LEFT(H578,FIND("/",H578)-1)))+IFERROR(TIMEVALUE(TRIM(MID(H578,FIND(" ",H578)+1,20))),0),0)))</f>
        <v/>
      </c>
      <c r="K578" s="256">
        <f>IF(I578=0,0,INT(I578))</f>
        <v/>
      </c>
      <c r="L578" s="257">
        <f>IF(OR(I578=0,J578=0),0,ROUND((J578-I578)*24,2))</f>
        <v/>
      </c>
      <c r="M578" s="254">
        <f>IFERROR(TRIM(MID(A578,FIND("@",SUBSTITUTE(A578,"(","@",LEN(A578)-LEN(SUBSTITUTE(A578,"(",""))))+1,FIND(")",A578,FIND("@",SUBSTITUTE(A578,"(","@",LEN(A578)-LEN(SUBSTITUTE(A578,"(","")))))-FIND("@",SUBSTITUTE(A578,"(","@",LEN(A578)-LEN(SUBSTITUTE(A578,"(",""))))-1)),"")</f>
        <v/>
      </c>
      <c r="N578" s="254">
        <f>IF(A578="","",IF(LEFT(TRIM(A578),5)="Leave","Leave",IF(OR(ISNUMBER(SEARCH("public holiday",A578)),ISNUMBER(SEARCH("Purple",E578))),"Public holiday","Event")))</f>
        <v/>
      </c>
    </row>
    <row r="579">
      <c r="G579" s="254">
        <f>IF(C579="","",IF(ISNUMBER(C579),C579,IF(ISNUMBER(VALUE(LEFT(TRIM(C579),1))),TRIM(C579),TRIM(MID(TRIM(C579),FIND(" ",TRIM(C579))+1,99)))))</f>
        <v/>
      </c>
      <c r="H579" s="254">
        <f>IF(D579="","",IF(ISNUMBER(D579),D579,IF(ISNUMBER(VALUE(LEFT(TRIM(D579),1))),TRIM(D579),TRIM(MID(TRIM(D579),FIND(" ",TRIM(D579))+1,99)))))</f>
        <v/>
      </c>
      <c r="I579" s="255">
        <f>IF(G579="",0,IF(ISNUMBER(G579),G579,IFERROR(DATE(VALUE(MID(G579,FIND("/",G579,FIND("/",G579)+1)+1,4)),VALUE(MID(G579,FIND("/",G579)+1,FIND("/",G579,FIND("/",G579)+1)-FIND("/",G579)-1)),VALUE(LEFT(G579,FIND("/",G579)-1)))+IFERROR(TIMEVALUE(TRIM(MID(G579,FIND(" ",G579)+1,20))),0),0)))</f>
        <v/>
      </c>
      <c r="J579" s="255">
        <f>IF(H579="",0,IF(ISNUMBER(H579),H579,IFERROR(DATE(VALUE(MID(H579,FIND("/",H579,FIND("/",H579)+1)+1,4)),VALUE(MID(H579,FIND("/",H579)+1,FIND("/",H579,FIND("/",H579)+1)-FIND("/",H579)-1)),VALUE(LEFT(H579,FIND("/",H579)-1)))+IFERROR(TIMEVALUE(TRIM(MID(H579,FIND(" ",H579)+1,20))),0),0)))</f>
        <v/>
      </c>
      <c r="K579" s="256">
        <f>IF(I579=0,0,INT(I579))</f>
        <v/>
      </c>
      <c r="L579" s="257">
        <f>IF(OR(I579=0,J579=0),0,ROUND((J579-I579)*24,2))</f>
        <v/>
      </c>
      <c r="M579" s="254">
        <f>IFERROR(TRIM(MID(A579,FIND("@",SUBSTITUTE(A579,"(","@",LEN(A579)-LEN(SUBSTITUTE(A579,"(",""))))+1,FIND(")",A579,FIND("@",SUBSTITUTE(A579,"(","@",LEN(A579)-LEN(SUBSTITUTE(A579,"(","")))))-FIND("@",SUBSTITUTE(A579,"(","@",LEN(A579)-LEN(SUBSTITUTE(A579,"(",""))))-1)),"")</f>
        <v/>
      </c>
      <c r="N579" s="254">
        <f>IF(A579="","",IF(LEFT(TRIM(A579),5)="Leave","Leave",IF(OR(ISNUMBER(SEARCH("public holiday",A579)),ISNUMBER(SEARCH("Purple",E579))),"Public holiday","Event")))</f>
        <v/>
      </c>
    </row>
    <row r="580">
      <c r="G580" s="254">
        <f>IF(C580="","",IF(ISNUMBER(C580),C580,IF(ISNUMBER(VALUE(LEFT(TRIM(C580),1))),TRIM(C580),TRIM(MID(TRIM(C580),FIND(" ",TRIM(C580))+1,99)))))</f>
        <v/>
      </c>
      <c r="H580" s="254">
        <f>IF(D580="","",IF(ISNUMBER(D580),D580,IF(ISNUMBER(VALUE(LEFT(TRIM(D580),1))),TRIM(D580),TRIM(MID(TRIM(D580),FIND(" ",TRIM(D580))+1,99)))))</f>
        <v/>
      </c>
      <c r="I580" s="255">
        <f>IF(G580="",0,IF(ISNUMBER(G580),G580,IFERROR(DATE(VALUE(MID(G580,FIND("/",G580,FIND("/",G580)+1)+1,4)),VALUE(MID(G580,FIND("/",G580)+1,FIND("/",G580,FIND("/",G580)+1)-FIND("/",G580)-1)),VALUE(LEFT(G580,FIND("/",G580)-1)))+IFERROR(TIMEVALUE(TRIM(MID(G580,FIND(" ",G580)+1,20))),0),0)))</f>
        <v/>
      </c>
      <c r="J580" s="255">
        <f>IF(H580="",0,IF(ISNUMBER(H580),H580,IFERROR(DATE(VALUE(MID(H580,FIND("/",H580,FIND("/",H580)+1)+1,4)),VALUE(MID(H580,FIND("/",H580)+1,FIND("/",H580,FIND("/",H580)+1)-FIND("/",H580)-1)),VALUE(LEFT(H580,FIND("/",H580)-1)))+IFERROR(TIMEVALUE(TRIM(MID(H580,FIND(" ",H580)+1,20))),0),0)))</f>
        <v/>
      </c>
      <c r="K580" s="256">
        <f>IF(I580=0,0,INT(I580))</f>
        <v/>
      </c>
      <c r="L580" s="257">
        <f>IF(OR(I580=0,J580=0),0,ROUND((J580-I580)*24,2))</f>
        <v/>
      </c>
      <c r="M580" s="254">
        <f>IFERROR(TRIM(MID(A580,FIND("@",SUBSTITUTE(A580,"(","@",LEN(A580)-LEN(SUBSTITUTE(A580,"(",""))))+1,FIND(")",A580,FIND("@",SUBSTITUTE(A580,"(","@",LEN(A580)-LEN(SUBSTITUTE(A580,"(","")))))-FIND("@",SUBSTITUTE(A580,"(","@",LEN(A580)-LEN(SUBSTITUTE(A580,"(",""))))-1)),"")</f>
        <v/>
      </c>
      <c r="N580" s="254">
        <f>IF(A580="","",IF(LEFT(TRIM(A580),5)="Leave","Leave",IF(OR(ISNUMBER(SEARCH("public holiday",A580)),ISNUMBER(SEARCH("Purple",E580))),"Public holiday","Event")))</f>
        <v/>
      </c>
    </row>
    <row r="581">
      <c r="G581" s="254">
        <f>IF(C581="","",IF(ISNUMBER(C581),C581,IF(ISNUMBER(VALUE(LEFT(TRIM(C581),1))),TRIM(C581),TRIM(MID(TRIM(C581),FIND(" ",TRIM(C581))+1,99)))))</f>
        <v/>
      </c>
      <c r="H581" s="254">
        <f>IF(D581="","",IF(ISNUMBER(D581),D581,IF(ISNUMBER(VALUE(LEFT(TRIM(D581),1))),TRIM(D581),TRIM(MID(TRIM(D581),FIND(" ",TRIM(D581))+1,99)))))</f>
        <v/>
      </c>
      <c r="I581" s="255">
        <f>IF(G581="",0,IF(ISNUMBER(G581),G581,IFERROR(DATE(VALUE(MID(G581,FIND("/",G581,FIND("/",G581)+1)+1,4)),VALUE(MID(G581,FIND("/",G581)+1,FIND("/",G581,FIND("/",G581)+1)-FIND("/",G581)-1)),VALUE(LEFT(G581,FIND("/",G581)-1)))+IFERROR(TIMEVALUE(TRIM(MID(G581,FIND(" ",G581)+1,20))),0),0)))</f>
        <v/>
      </c>
      <c r="J581" s="255">
        <f>IF(H581="",0,IF(ISNUMBER(H581),H581,IFERROR(DATE(VALUE(MID(H581,FIND("/",H581,FIND("/",H581)+1)+1,4)),VALUE(MID(H581,FIND("/",H581)+1,FIND("/",H581,FIND("/",H581)+1)-FIND("/",H581)-1)),VALUE(LEFT(H581,FIND("/",H581)-1)))+IFERROR(TIMEVALUE(TRIM(MID(H581,FIND(" ",H581)+1,20))),0),0)))</f>
        <v/>
      </c>
      <c r="K581" s="256">
        <f>IF(I581=0,0,INT(I581))</f>
        <v/>
      </c>
      <c r="L581" s="257">
        <f>IF(OR(I581=0,J581=0),0,ROUND((J581-I581)*24,2))</f>
        <v/>
      </c>
      <c r="M581" s="254">
        <f>IFERROR(TRIM(MID(A581,FIND("@",SUBSTITUTE(A581,"(","@",LEN(A581)-LEN(SUBSTITUTE(A581,"(",""))))+1,FIND(")",A581,FIND("@",SUBSTITUTE(A581,"(","@",LEN(A581)-LEN(SUBSTITUTE(A581,"(","")))))-FIND("@",SUBSTITUTE(A581,"(","@",LEN(A581)-LEN(SUBSTITUTE(A581,"(",""))))-1)),"")</f>
        <v/>
      </c>
      <c r="N581" s="254">
        <f>IF(A581="","",IF(LEFT(TRIM(A581),5)="Leave","Leave",IF(OR(ISNUMBER(SEARCH("public holiday",A581)),ISNUMBER(SEARCH("Purple",E581))),"Public holiday","Event")))</f>
        <v/>
      </c>
    </row>
    <row r="582">
      <c r="G582" s="254">
        <f>IF(C582="","",IF(ISNUMBER(C582),C582,IF(ISNUMBER(VALUE(LEFT(TRIM(C582),1))),TRIM(C582),TRIM(MID(TRIM(C582),FIND(" ",TRIM(C582))+1,99)))))</f>
        <v/>
      </c>
      <c r="H582" s="254">
        <f>IF(D582="","",IF(ISNUMBER(D582),D582,IF(ISNUMBER(VALUE(LEFT(TRIM(D582),1))),TRIM(D582),TRIM(MID(TRIM(D582),FIND(" ",TRIM(D582))+1,99)))))</f>
        <v/>
      </c>
      <c r="I582" s="255">
        <f>IF(G582="",0,IF(ISNUMBER(G582),G582,IFERROR(DATE(VALUE(MID(G582,FIND("/",G582,FIND("/",G582)+1)+1,4)),VALUE(MID(G582,FIND("/",G582)+1,FIND("/",G582,FIND("/",G582)+1)-FIND("/",G582)-1)),VALUE(LEFT(G582,FIND("/",G582)-1)))+IFERROR(TIMEVALUE(TRIM(MID(G582,FIND(" ",G582)+1,20))),0),0)))</f>
        <v/>
      </c>
      <c r="J582" s="255">
        <f>IF(H582="",0,IF(ISNUMBER(H582),H582,IFERROR(DATE(VALUE(MID(H582,FIND("/",H582,FIND("/",H582)+1)+1,4)),VALUE(MID(H582,FIND("/",H582)+1,FIND("/",H582,FIND("/",H582)+1)-FIND("/",H582)-1)),VALUE(LEFT(H582,FIND("/",H582)-1)))+IFERROR(TIMEVALUE(TRIM(MID(H582,FIND(" ",H582)+1,20))),0),0)))</f>
        <v/>
      </c>
      <c r="K582" s="256">
        <f>IF(I582=0,0,INT(I582))</f>
        <v/>
      </c>
      <c r="L582" s="257">
        <f>IF(OR(I582=0,J582=0),0,ROUND((J582-I582)*24,2))</f>
        <v/>
      </c>
      <c r="M582" s="254">
        <f>IFERROR(TRIM(MID(A582,FIND("@",SUBSTITUTE(A582,"(","@",LEN(A582)-LEN(SUBSTITUTE(A582,"(",""))))+1,FIND(")",A582,FIND("@",SUBSTITUTE(A582,"(","@",LEN(A582)-LEN(SUBSTITUTE(A582,"(","")))))-FIND("@",SUBSTITUTE(A582,"(","@",LEN(A582)-LEN(SUBSTITUTE(A582,"(",""))))-1)),"")</f>
        <v/>
      </c>
      <c r="N582" s="254">
        <f>IF(A582="","",IF(LEFT(TRIM(A582),5)="Leave","Leave",IF(OR(ISNUMBER(SEARCH("public holiday",A582)),ISNUMBER(SEARCH("Purple",E582))),"Public holiday","Event")))</f>
        <v/>
      </c>
    </row>
    <row r="583">
      <c r="G583" s="254">
        <f>IF(C583="","",IF(ISNUMBER(C583),C583,IF(ISNUMBER(VALUE(LEFT(TRIM(C583),1))),TRIM(C583),TRIM(MID(TRIM(C583),FIND(" ",TRIM(C583))+1,99)))))</f>
        <v/>
      </c>
      <c r="H583" s="254">
        <f>IF(D583="","",IF(ISNUMBER(D583),D583,IF(ISNUMBER(VALUE(LEFT(TRIM(D583),1))),TRIM(D583),TRIM(MID(TRIM(D583),FIND(" ",TRIM(D583))+1,99)))))</f>
        <v/>
      </c>
      <c r="I583" s="255">
        <f>IF(G583="",0,IF(ISNUMBER(G583),G583,IFERROR(DATE(VALUE(MID(G583,FIND("/",G583,FIND("/",G583)+1)+1,4)),VALUE(MID(G583,FIND("/",G583)+1,FIND("/",G583,FIND("/",G583)+1)-FIND("/",G583)-1)),VALUE(LEFT(G583,FIND("/",G583)-1)))+IFERROR(TIMEVALUE(TRIM(MID(G583,FIND(" ",G583)+1,20))),0),0)))</f>
        <v/>
      </c>
      <c r="J583" s="255">
        <f>IF(H583="",0,IF(ISNUMBER(H583),H583,IFERROR(DATE(VALUE(MID(H583,FIND("/",H583,FIND("/",H583)+1)+1,4)),VALUE(MID(H583,FIND("/",H583)+1,FIND("/",H583,FIND("/",H583)+1)-FIND("/",H583)-1)),VALUE(LEFT(H583,FIND("/",H583)-1)))+IFERROR(TIMEVALUE(TRIM(MID(H583,FIND(" ",H583)+1,20))),0),0)))</f>
        <v/>
      </c>
      <c r="K583" s="256">
        <f>IF(I583=0,0,INT(I583))</f>
        <v/>
      </c>
      <c r="L583" s="257">
        <f>IF(OR(I583=0,J583=0),0,ROUND((J583-I583)*24,2))</f>
        <v/>
      </c>
      <c r="M583" s="254">
        <f>IFERROR(TRIM(MID(A583,FIND("@",SUBSTITUTE(A583,"(","@",LEN(A583)-LEN(SUBSTITUTE(A583,"(",""))))+1,FIND(")",A583,FIND("@",SUBSTITUTE(A583,"(","@",LEN(A583)-LEN(SUBSTITUTE(A583,"(","")))))-FIND("@",SUBSTITUTE(A583,"(","@",LEN(A583)-LEN(SUBSTITUTE(A583,"(",""))))-1)),"")</f>
        <v/>
      </c>
      <c r="N583" s="254">
        <f>IF(A583="","",IF(LEFT(TRIM(A583),5)="Leave","Leave",IF(OR(ISNUMBER(SEARCH("public holiday",A583)),ISNUMBER(SEARCH("Purple",E583))),"Public holiday","Event")))</f>
        <v/>
      </c>
    </row>
    <row r="584">
      <c r="G584" s="254">
        <f>IF(C584="","",IF(ISNUMBER(C584),C584,IF(ISNUMBER(VALUE(LEFT(TRIM(C584),1))),TRIM(C584),TRIM(MID(TRIM(C584),FIND(" ",TRIM(C584))+1,99)))))</f>
        <v/>
      </c>
      <c r="H584" s="254">
        <f>IF(D584="","",IF(ISNUMBER(D584),D584,IF(ISNUMBER(VALUE(LEFT(TRIM(D584),1))),TRIM(D584),TRIM(MID(TRIM(D584),FIND(" ",TRIM(D584))+1,99)))))</f>
        <v/>
      </c>
      <c r="I584" s="255">
        <f>IF(G584="",0,IF(ISNUMBER(G584),G584,IFERROR(DATE(VALUE(MID(G584,FIND("/",G584,FIND("/",G584)+1)+1,4)),VALUE(MID(G584,FIND("/",G584)+1,FIND("/",G584,FIND("/",G584)+1)-FIND("/",G584)-1)),VALUE(LEFT(G584,FIND("/",G584)-1)))+IFERROR(TIMEVALUE(TRIM(MID(G584,FIND(" ",G584)+1,20))),0),0)))</f>
        <v/>
      </c>
      <c r="J584" s="255">
        <f>IF(H584="",0,IF(ISNUMBER(H584),H584,IFERROR(DATE(VALUE(MID(H584,FIND("/",H584,FIND("/",H584)+1)+1,4)),VALUE(MID(H584,FIND("/",H584)+1,FIND("/",H584,FIND("/",H584)+1)-FIND("/",H584)-1)),VALUE(LEFT(H584,FIND("/",H584)-1)))+IFERROR(TIMEVALUE(TRIM(MID(H584,FIND(" ",H584)+1,20))),0),0)))</f>
        <v/>
      </c>
      <c r="K584" s="256">
        <f>IF(I584=0,0,INT(I584))</f>
        <v/>
      </c>
      <c r="L584" s="257">
        <f>IF(OR(I584=0,J584=0),0,ROUND((J584-I584)*24,2))</f>
        <v/>
      </c>
      <c r="M584" s="254">
        <f>IFERROR(TRIM(MID(A584,FIND("@",SUBSTITUTE(A584,"(","@",LEN(A584)-LEN(SUBSTITUTE(A584,"(",""))))+1,FIND(")",A584,FIND("@",SUBSTITUTE(A584,"(","@",LEN(A584)-LEN(SUBSTITUTE(A584,"(","")))))-FIND("@",SUBSTITUTE(A584,"(","@",LEN(A584)-LEN(SUBSTITUTE(A584,"(",""))))-1)),"")</f>
        <v/>
      </c>
      <c r="N584" s="254">
        <f>IF(A584="","",IF(LEFT(TRIM(A584),5)="Leave","Leave",IF(OR(ISNUMBER(SEARCH("public holiday",A584)),ISNUMBER(SEARCH("Purple",E584))),"Public holiday","Event")))</f>
        <v/>
      </c>
    </row>
    <row r="585">
      <c r="G585" s="254">
        <f>IF(C585="","",IF(ISNUMBER(C585),C585,IF(ISNUMBER(VALUE(LEFT(TRIM(C585),1))),TRIM(C585),TRIM(MID(TRIM(C585),FIND(" ",TRIM(C585))+1,99)))))</f>
        <v/>
      </c>
      <c r="H585" s="254">
        <f>IF(D585="","",IF(ISNUMBER(D585),D585,IF(ISNUMBER(VALUE(LEFT(TRIM(D585),1))),TRIM(D585),TRIM(MID(TRIM(D585),FIND(" ",TRIM(D585))+1,99)))))</f>
        <v/>
      </c>
      <c r="I585" s="255">
        <f>IF(G585="",0,IF(ISNUMBER(G585),G585,IFERROR(DATE(VALUE(MID(G585,FIND("/",G585,FIND("/",G585)+1)+1,4)),VALUE(MID(G585,FIND("/",G585)+1,FIND("/",G585,FIND("/",G585)+1)-FIND("/",G585)-1)),VALUE(LEFT(G585,FIND("/",G585)-1)))+IFERROR(TIMEVALUE(TRIM(MID(G585,FIND(" ",G585)+1,20))),0),0)))</f>
        <v/>
      </c>
      <c r="J585" s="255">
        <f>IF(H585="",0,IF(ISNUMBER(H585),H585,IFERROR(DATE(VALUE(MID(H585,FIND("/",H585,FIND("/",H585)+1)+1,4)),VALUE(MID(H585,FIND("/",H585)+1,FIND("/",H585,FIND("/",H585)+1)-FIND("/",H585)-1)),VALUE(LEFT(H585,FIND("/",H585)-1)))+IFERROR(TIMEVALUE(TRIM(MID(H585,FIND(" ",H585)+1,20))),0),0)))</f>
        <v/>
      </c>
      <c r="K585" s="256">
        <f>IF(I585=0,0,INT(I585))</f>
        <v/>
      </c>
      <c r="L585" s="257">
        <f>IF(OR(I585=0,J585=0),0,ROUND((J585-I585)*24,2))</f>
        <v/>
      </c>
      <c r="M585" s="254">
        <f>IFERROR(TRIM(MID(A585,FIND("@",SUBSTITUTE(A585,"(","@",LEN(A585)-LEN(SUBSTITUTE(A585,"(",""))))+1,FIND(")",A585,FIND("@",SUBSTITUTE(A585,"(","@",LEN(A585)-LEN(SUBSTITUTE(A585,"(","")))))-FIND("@",SUBSTITUTE(A585,"(","@",LEN(A585)-LEN(SUBSTITUTE(A585,"(",""))))-1)),"")</f>
        <v/>
      </c>
      <c r="N585" s="254">
        <f>IF(A585="","",IF(LEFT(TRIM(A585),5)="Leave","Leave",IF(OR(ISNUMBER(SEARCH("public holiday",A585)),ISNUMBER(SEARCH("Purple",E585))),"Public holiday","Event")))</f>
        <v/>
      </c>
    </row>
    <row r="586">
      <c r="G586" s="254">
        <f>IF(C586="","",IF(ISNUMBER(C586),C586,IF(ISNUMBER(VALUE(LEFT(TRIM(C586),1))),TRIM(C586),TRIM(MID(TRIM(C586),FIND(" ",TRIM(C586))+1,99)))))</f>
        <v/>
      </c>
      <c r="H586" s="254">
        <f>IF(D586="","",IF(ISNUMBER(D586),D586,IF(ISNUMBER(VALUE(LEFT(TRIM(D586),1))),TRIM(D586),TRIM(MID(TRIM(D586),FIND(" ",TRIM(D586))+1,99)))))</f>
        <v/>
      </c>
      <c r="I586" s="255">
        <f>IF(G586="",0,IF(ISNUMBER(G586),G586,IFERROR(DATE(VALUE(MID(G586,FIND("/",G586,FIND("/",G586)+1)+1,4)),VALUE(MID(G586,FIND("/",G586)+1,FIND("/",G586,FIND("/",G586)+1)-FIND("/",G586)-1)),VALUE(LEFT(G586,FIND("/",G586)-1)))+IFERROR(TIMEVALUE(TRIM(MID(G586,FIND(" ",G586)+1,20))),0),0)))</f>
        <v/>
      </c>
      <c r="J586" s="255">
        <f>IF(H586="",0,IF(ISNUMBER(H586),H586,IFERROR(DATE(VALUE(MID(H586,FIND("/",H586,FIND("/",H586)+1)+1,4)),VALUE(MID(H586,FIND("/",H586)+1,FIND("/",H586,FIND("/",H586)+1)-FIND("/",H586)-1)),VALUE(LEFT(H586,FIND("/",H586)-1)))+IFERROR(TIMEVALUE(TRIM(MID(H586,FIND(" ",H586)+1,20))),0),0)))</f>
        <v/>
      </c>
      <c r="K586" s="256">
        <f>IF(I586=0,0,INT(I586))</f>
        <v/>
      </c>
      <c r="L586" s="257">
        <f>IF(OR(I586=0,J586=0),0,ROUND((J586-I586)*24,2))</f>
        <v/>
      </c>
      <c r="M586" s="254">
        <f>IFERROR(TRIM(MID(A586,FIND("@",SUBSTITUTE(A586,"(","@",LEN(A586)-LEN(SUBSTITUTE(A586,"(",""))))+1,FIND(")",A586,FIND("@",SUBSTITUTE(A586,"(","@",LEN(A586)-LEN(SUBSTITUTE(A586,"(","")))))-FIND("@",SUBSTITUTE(A586,"(","@",LEN(A586)-LEN(SUBSTITUTE(A586,"(",""))))-1)),"")</f>
        <v/>
      </c>
      <c r="N586" s="254">
        <f>IF(A586="","",IF(LEFT(TRIM(A586),5)="Leave","Leave",IF(OR(ISNUMBER(SEARCH("public holiday",A586)),ISNUMBER(SEARCH("Purple",E586))),"Public holiday","Event")))</f>
        <v/>
      </c>
    </row>
    <row r="587">
      <c r="G587" s="254">
        <f>IF(C587="","",IF(ISNUMBER(C587),C587,IF(ISNUMBER(VALUE(LEFT(TRIM(C587),1))),TRIM(C587),TRIM(MID(TRIM(C587),FIND(" ",TRIM(C587))+1,99)))))</f>
        <v/>
      </c>
      <c r="H587" s="254">
        <f>IF(D587="","",IF(ISNUMBER(D587),D587,IF(ISNUMBER(VALUE(LEFT(TRIM(D587),1))),TRIM(D587),TRIM(MID(TRIM(D587),FIND(" ",TRIM(D587))+1,99)))))</f>
        <v/>
      </c>
      <c r="I587" s="255">
        <f>IF(G587="",0,IF(ISNUMBER(G587),G587,IFERROR(DATE(VALUE(MID(G587,FIND("/",G587,FIND("/",G587)+1)+1,4)),VALUE(MID(G587,FIND("/",G587)+1,FIND("/",G587,FIND("/",G587)+1)-FIND("/",G587)-1)),VALUE(LEFT(G587,FIND("/",G587)-1)))+IFERROR(TIMEVALUE(TRIM(MID(G587,FIND(" ",G587)+1,20))),0),0)))</f>
        <v/>
      </c>
      <c r="J587" s="255">
        <f>IF(H587="",0,IF(ISNUMBER(H587),H587,IFERROR(DATE(VALUE(MID(H587,FIND("/",H587,FIND("/",H587)+1)+1,4)),VALUE(MID(H587,FIND("/",H587)+1,FIND("/",H587,FIND("/",H587)+1)-FIND("/",H587)-1)),VALUE(LEFT(H587,FIND("/",H587)-1)))+IFERROR(TIMEVALUE(TRIM(MID(H587,FIND(" ",H587)+1,20))),0),0)))</f>
        <v/>
      </c>
      <c r="K587" s="256">
        <f>IF(I587=0,0,INT(I587))</f>
        <v/>
      </c>
      <c r="L587" s="257">
        <f>IF(OR(I587=0,J587=0),0,ROUND((J587-I587)*24,2))</f>
        <v/>
      </c>
      <c r="M587" s="254">
        <f>IFERROR(TRIM(MID(A587,FIND("@",SUBSTITUTE(A587,"(","@",LEN(A587)-LEN(SUBSTITUTE(A587,"(",""))))+1,FIND(")",A587,FIND("@",SUBSTITUTE(A587,"(","@",LEN(A587)-LEN(SUBSTITUTE(A587,"(","")))))-FIND("@",SUBSTITUTE(A587,"(","@",LEN(A587)-LEN(SUBSTITUTE(A587,"(",""))))-1)),"")</f>
        <v/>
      </c>
      <c r="N587" s="254">
        <f>IF(A587="","",IF(LEFT(TRIM(A587),5)="Leave","Leave",IF(OR(ISNUMBER(SEARCH("public holiday",A587)),ISNUMBER(SEARCH("Purple",E587))),"Public holiday","Event")))</f>
        <v/>
      </c>
    </row>
    <row r="588">
      <c r="G588" s="254">
        <f>IF(C588="","",IF(ISNUMBER(C588),C588,IF(ISNUMBER(VALUE(LEFT(TRIM(C588),1))),TRIM(C588),TRIM(MID(TRIM(C588),FIND(" ",TRIM(C588))+1,99)))))</f>
        <v/>
      </c>
      <c r="H588" s="254">
        <f>IF(D588="","",IF(ISNUMBER(D588),D588,IF(ISNUMBER(VALUE(LEFT(TRIM(D588),1))),TRIM(D588),TRIM(MID(TRIM(D588),FIND(" ",TRIM(D588))+1,99)))))</f>
        <v/>
      </c>
      <c r="I588" s="255">
        <f>IF(G588="",0,IF(ISNUMBER(G588),G588,IFERROR(DATE(VALUE(MID(G588,FIND("/",G588,FIND("/",G588)+1)+1,4)),VALUE(MID(G588,FIND("/",G588)+1,FIND("/",G588,FIND("/",G588)+1)-FIND("/",G588)-1)),VALUE(LEFT(G588,FIND("/",G588)-1)))+IFERROR(TIMEVALUE(TRIM(MID(G588,FIND(" ",G588)+1,20))),0),0)))</f>
        <v/>
      </c>
      <c r="J588" s="255">
        <f>IF(H588="",0,IF(ISNUMBER(H588),H588,IFERROR(DATE(VALUE(MID(H588,FIND("/",H588,FIND("/",H588)+1)+1,4)),VALUE(MID(H588,FIND("/",H588)+1,FIND("/",H588,FIND("/",H588)+1)-FIND("/",H588)-1)),VALUE(LEFT(H588,FIND("/",H588)-1)))+IFERROR(TIMEVALUE(TRIM(MID(H588,FIND(" ",H588)+1,20))),0),0)))</f>
        <v/>
      </c>
      <c r="K588" s="256">
        <f>IF(I588=0,0,INT(I588))</f>
        <v/>
      </c>
      <c r="L588" s="257">
        <f>IF(OR(I588=0,J588=0),0,ROUND((J588-I588)*24,2))</f>
        <v/>
      </c>
      <c r="M588" s="254">
        <f>IFERROR(TRIM(MID(A588,FIND("@",SUBSTITUTE(A588,"(","@",LEN(A588)-LEN(SUBSTITUTE(A588,"(",""))))+1,FIND(")",A588,FIND("@",SUBSTITUTE(A588,"(","@",LEN(A588)-LEN(SUBSTITUTE(A588,"(","")))))-FIND("@",SUBSTITUTE(A588,"(","@",LEN(A588)-LEN(SUBSTITUTE(A588,"(",""))))-1)),"")</f>
        <v/>
      </c>
      <c r="N588" s="254">
        <f>IF(A588="","",IF(LEFT(TRIM(A588),5)="Leave","Leave",IF(OR(ISNUMBER(SEARCH("public holiday",A588)),ISNUMBER(SEARCH("Purple",E588))),"Public holiday","Event")))</f>
        <v/>
      </c>
    </row>
    <row r="589">
      <c r="G589" s="254">
        <f>IF(C589="","",IF(ISNUMBER(C589),C589,IF(ISNUMBER(VALUE(LEFT(TRIM(C589),1))),TRIM(C589),TRIM(MID(TRIM(C589),FIND(" ",TRIM(C589))+1,99)))))</f>
        <v/>
      </c>
      <c r="H589" s="254">
        <f>IF(D589="","",IF(ISNUMBER(D589),D589,IF(ISNUMBER(VALUE(LEFT(TRIM(D589),1))),TRIM(D589),TRIM(MID(TRIM(D589),FIND(" ",TRIM(D589))+1,99)))))</f>
        <v/>
      </c>
      <c r="I589" s="255">
        <f>IF(G589="",0,IF(ISNUMBER(G589),G589,IFERROR(DATE(VALUE(MID(G589,FIND("/",G589,FIND("/",G589)+1)+1,4)),VALUE(MID(G589,FIND("/",G589)+1,FIND("/",G589,FIND("/",G589)+1)-FIND("/",G589)-1)),VALUE(LEFT(G589,FIND("/",G589)-1)))+IFERROR(TIMEVALUE(TRIM(MID(G589,FIND(" ",G589)+1,20))),0),0)))</f>
        <v/>
      </c>
      <c r="J589" s="255">
        <f>IF(H589="",0,IF(ISNUMBER(H589),H589,IFERROR(DATE(VALUE(MID(H589,FIND("/",H589,FIND("/",H589)+1)+1,4)),VALUE(MID(H589,FIND("/",H589)+1,FIND("/",H589,FIND("/",H589)+1)-FIND("/",H589)-1)),VALUE(LEFT(H589,FIND("/",H589)-1)))+IFERROR(TIMEVALUE(TRIM(MID(H589,FIND(" ",H589)+1,20))),0),0)))</f>
        <v/>
      </c>
      <c r="K589" s="256">
        <f>IF(I589=0,0,INT(I589))</f>
        <v/>
      </c>
      <c r="L589" s="257">
        <f>IF(OR(I589=0,J589=0),0,ROUND((J589-I589)*24,2))</f>
        <v/>
      </c>
      <c r="M589" s="254">
        <f>IFERROR(TRIM(MID(A589,FIND("@",SUBSTITUTE(A589,"(","@",LEN(A589)-LEN(SUBSTITUTE(A589,"(",""))))+1,FIND(")",A589,FIND("@",SUBSTITUTE(A589,"(","@",LEN(A589)-LEN(SUBSTITUTE(A589,"(","")))))-FIND("@",SUBSTITUTE(A589,"(","@",LEN(A589)-LEN(SUBSTITUTE(A589,"(",""))))-1)),"")</f>
        <v/>
      </c>
      <c r="N589" s="254">
        <f>IF(A589="","",IF(LEFT(TRIM(A589),5)="Leave","Leave",IF(OR(ISNUMBER(SEARCH("public holiday",A589)),ISNUMBER(SEARCH("Purple",E589))),"Public holiday","Event")))</f>
        <v/>
      </c>
    </row>
    <row r="590">
      <c r="G590" s="254">
        <f>IF(C590="","",IF(ISNUMBER(C590),C590,IF(ISNUMBER(VALUE(LEFT(TRIM(C590),1))),TRIM(C590),TRIM(MID(TRIM(C590),FIND(" ",TRIM(C590))+1,99)))))</f>
        <v/>
      </c>
      <c r="H590" s="254">
        <f>IF(D590="","",IF(ISNUMBER(D590),D590,IF(ISNUMBER(VALUE(LEFT(TRIM(D590),1))),TRIM(D590),TRIM(MID(TRIM(D590),FIND(" ",TRIM(D590))+1,99)))))</f>
        <v/>
      </c>
      <c r="I590" s="255">
        <f>IF(G590="",0,IF(ISNUMBER(G590),G590,IFERROR(DATE(VALUE(MID(G590,FIND("/",G590,FIND("/",G590)+1)+1,4)),VALUE(MID(G590,FIND("/",G590)+1,FIND("/",G590,FIND("/",G590)+1)-FIND("/",G590)-1)),VALUE(LEFT(G590,FIND("/",G590)-1)))+IFERROR(TIMEVALUE(TRIM(MID(G590,FIND(" ",G590)+1,20))),0),0)))</f>
        <v/>
      </c>
      <c r="J590" s="255">
        <f>IF(H590="",0,IF(ISNUMBER(H590),H590,IFERROR(DATE(VALUE(MID(H590,FIND("/",H590,FIND("/",H590)+1)+1,4)),VALUE(MID(H590,FIND("/",H590)+1,FIND("/",H590,FIND("/",H590)+1)-FIND("/",H590)-1)),VALUE(LEFT(H590,FIND("/",H590)-1)))+IFERROR(TIMEVALUE(TRIM(MID(H590,FIND(" ",H590)+1,20))),0),0)))</f>
        <v/>
      </c>
      <c r="K590" s="256">
        <f>IF(I590=0,0,INT(I590))</f>
        <v/>
      </c>
      <c r="L590" s="257">
        <f>IF(OR(I590=0,J590=0),0,ROUND((J590-I590)*24,2))</f>
        <v/>
      </c>
      <c r="M590" s="254">
        <f>IFERROR(TRIM(MID(A590,FIND("@",SUBSTITUTE(A590,"(","@",LEN(A590)-LEN(SUBSTITUTE(A590,"(",""))))+1,FIND(")",A590,FIND("@",SUBSTITUTE(A590,"(","@",LEN(A590)-LEN(SUBSTITUTE(A590,"(","")))))-FIND("@",SUBSTITUTE(A590,"(","@",LEN(A590)-LEN(SUBSTITUTE(A590,"(",""))))-1)),"")</f>
        <v/>
      </c>
      <c r="N590" s="254">
        <f>IF(A590="","",IF(LEFT(TRIM(A590),5)="Leave","Leave",IF(OR(ISNUMBER(SEARCH("public holiday",A590)),ISNUMBER(SEARCH("Purple",E590))),"Public holiday","Event")))</f>
        <v/>
      </c>
    </row>
    <row r="591">
      <c r="G591" s="254">
        <f>IF(C591="","",IF(ISNUMBER(C591),C591,IF(ISNUMBER(VALUE(LEFT(TRIM(C591),1))),TRIM(C591),TRIM(MID(TRIM(C591),FIND(" ",TRIM(C591))+1,99)))))</f>
        <v/>
      </c>
      <c r="H591" s="254">
        <f>IF(D591="","",IF(ISNUMBER(D591),D591,IF(ISNUMBER(VALUE(LEFT(TRIM(D591),1))),TRIM(D591),TRIM(MID(TRIM(D591),FIND(" ",TRIM(D591))+1,99)))))</f>
        <v/>
      </c>
      <c r="I591" s="255">
        <f>IF(G591="",0,IF(ISNUMBER(G591),G591,IFERROR(DATE(VALUE(MID(G591,FIND("/",G591,FIND("/",G591)+1)+1,4)),VALUE(MID(G591,FIND("/",G591)+1,FIND("/",G591,FIND("/",G591)+1)-FIND("/",G591)-1)),VALUE(LEFT(G591,FIND("/",G591)-1)))+IFERROR(TIMEVALUE(TRIM(MID(G591,FIND(" ",G591)+1,20))),0),0)))</f>
        <v/>
      </c>
      <c r="J591" s="255">
        <f>IF(H591="",0,IF(ISNUMBER(H591),H591,IFERROR(DATE(VALUE(MID(H591,FIND("/",H591,FIND("/",H591)+1)+1,4)),VALUE(MID(H591,FIND("/",H591)+1,FIND("/",H591,FIND("/",H591)+1)-FIND("/",H591)-1)),VALUE(LEFT(H591,FIND("/",H591)-1)))+IFERROR(TIMEVALUE(TRIM(MID(H591,FIND(" ",H591)+1,20))),0),0)))</f>
        <v/>
      </c>
      <c r="K591" s="256">
        <f>IF(I591=0,0,INT(I591))</f>
        <v/>
      </c>
      <c r="L591" s="257">
        <f>IF(OR(I591=0,J591=0),0,ROUND((J591-I591)*24,2))</f>
        <v/>
      </c>
      <c r="M591" s="254">
        <f>IFERROR(TRIM(MID(A591,FIND("@",SUBSTITUTE(A591,"(","@",LEN(A591)-LEN(SUBSTITUTE(A591,"(",""))))+1,FIND(")",A591,FIND("@",SUBSTITUTE(A591,"(","@",LEN(A591)-LEN(SUBSTITUTE(A591,"(","")))))-FIND("@",SUBSTITUTE(A591,"(","@",LEN(A591)-LEN(SUBSTITUTE(A591,"(",""))))-1)),"")</f>
        <v/>
      </c>
      <c r="N591" s="254">
        <f>IF(A591="","",IF(LEFT(TRIM(A591),5)="Leave","Leave",IF(OR(ISNUMBER(SEARCH("public holiday",A591)),ISNUMBER(SEARCH("Purple",E591))),"Public holiday","Event")))</f>
        <v/>
      </c>
    </row>
    <row r="592">
      <c r="G592" s="254">
        <f>IF(C592="","",IF(ISNUMBER(C592),C592,IF(ISNUMBER(VALUE(LEFT(TRIM(C592),1))),TRIM(C592),TRIM(MID(TRIM(C592),FIND(" ",TRIM(C592))+1,99)))))</f>
        <v/>
      </c>
      <c r="H592" s="254">
        <f>IF(D592="","",IF(ISNUMBER(D592),D592,IF(ISNUMBER(VALUE(LEFT(TRIM(D592),1))),TRIM(D592),TRIM(MID(TRIM(D592),FIND(" ",TRIM(D592))+1,99)))))</f>
        <v/>
      </c>
      <c r="I592" s="255">
        <f>IF(G592="",0,IF(ISNUMBER(G592),G592,IFERROR(DATE(VALUE(MID(G592,FIND("/",G592,FIND("/",G592)+1)+1,4)),VALUE(MID(G592,FIND("/",G592)+1,FIND("/",G592,FIND("/",G592)+1)-FIND("/",G592)-1)),VALUE(LEFT(G592,FIND("/",G592)-1)))+IFERROR(TIMEVALUE(TRIM(MID(G592,FIND(" ",G592)+1,20))),0),0)))</f>
        <v/>
      </c>
      <c r="J592" s="255">
        <f>IF(H592="",0,IF(ISNUMBER(H592),H592,IFERROR(DATE(VALUE(MID(H592,FIND("/",H592,FIND("/",H592)+1)+1,4)),VALUE(MID(H592,FIND("/",H592)+1,FIND("/",H592,FIND("/",H592)+1)-FIND("/",H592)-1)),VALUE(LEFT(H592,FIND("/",H592)-1)))+IFERROR(TIMEVALUE(TRIM(MID(H592,FIND(" ",H592)+1,20))),0),0)))</f>
        <v/>
      </c>
      <c r="K592" s="256">
        <f>IF(I592=0,0,INT(I592))</f>
        <v/>
      </c>
      <c r="L592" s="257">
        <f>IF(OR(I592=0,J592=0),0,ROUND((J592-I592)*24,2))</f>
        <v/>
      </c>
      <c r="M592" s="254">
        <f>IFERROR(TRIM(MID(A592,FIND("@",SUBSTITUTE(A592,"(","@",LEN(A592)-LEN(SUBSTITUTE(A592,"(",""))))+1,FIND(")",A592,FIND("@",SUBSTITUTE(A592,"(","@",LEN(A592)-LEN(SUBSTITUTE(A592,"(","")))))-FIND("@",SUBSTITUTE(A592,"(","@",LEN(A592)-LEN(SUBSTITUTE(A592,"(",""))))-1)),"")</f>
        <v/>
      </c>
      <c r="N592" s="254">
        <f>IF(A592="","",IF(LEFT(TRIM(A592),5)="Leave","Leave",IF(OR(ISNUMBER(SEARCH("public holiday",A592)),ISNUMBER(SEARCH("Purple",E592))),"Public holiday","Event")))</f>
        <v/>
      </c>
    </row>
    <row r="593">
      <c r="G593" s="254">
        <f>IF(C593="","",IF(ISNUMBER(C593),C593,IF(ISNUMBER(VALUE(LEFT(TRIM(C593),1))),TRIM(C593),TRIM(MID(TRIM(C593),FIND(" ",TRIM(C593))+1,99)))))</f>
        <v/>
      </c>
      <c r="H593" s="254">
        <f>IF(D593="","",IF(ISNUMBER(D593),D593,IF(ISNUMBER(VALUE(LEFT(TRIM(D593),1))),TRIM(D593),TRIM(MID(TRIM(D593),FIND(" ",TRIM(D593))+1,99)))))</f>
        <v/>
      </c>
      <c r="I593" s="255">
        <f>IF(G593="",0,IF(ISNUMBER(G593),G593,IFERROR(DATE(VALUE(MID(G593,FIND("/",G593,FIND("/",G593)+1)+1,4)),VALUE(MID(G593,FIND("/",G593)+1,FIND("/",G593,FIND("/",G593)+1)-FIND("/",G593)-1)),VALUE(LEFT(G593,FIND("/",G593)-1)))+IFERROR(TIMEVALUE(TRIM(MID(G593,FIND(" ",G593)+1,20))),0),0)))</f>
        <v/>
      </c>
      <c r="J593" s="255">
        <f>IF(H593="",0,IF(ISNUMBER(H593),H593,IFERROR(DATE(VALUE(MID(H593,FIND("/",H593,FIND("/",H593)+1)+1,4)),VALUE(MID(H593,FIND("/",H593)+1,FIND("/",H593,FIND("/",H593)+1)-FIND("/",H593)-1)),VALUE(LEFT(H593,FIND("/",H593)-1)))+IFERROR(TIMEVALUE(TRIM(MID(H593,FIND(" ",H593)+1,20))),0),0)))</f>
        <v/>
      </c>
      <c r="K593" s="256">
        <f>IF(I593=0,0,INT(I593))</f>
        <v/>
      </c>
      <c r="L593" s="257">
        <f>IF(OR(I593=0,J593=0),0,ROUND((J593-I593)*24,2))</f>
        <v/>
      </c>
      <c r="M593" s="254">
        <f>IFERROR(TRIM(MID(A593,FIND("@",SUBSTITUTE(A593,"(","@",LEN(A593)-LEN(SUBSTITUTE(A593,"(",""))))+1,FIND(")",A593,FIND("@",SUBSTITUTE(A593,"(","@",LEN(A593)-LEN(SUBSTITUTE(A593,"(","")))))-FIND("@",SUBSTITUTE(A593,"(","@",LEN(A593)-LEN(SUBSTITUTE(A593,"(",""))))-1)),"")</f>
        <v/>
      </c>
      <c r="N593" s="254">
        <f>IF(A593="","",IF(LEFT(TRIM(A593),5)="Leave","Leave",IF(OR(ISNUMBER(SEARCH("public holiday",A593)),ISNUMBER(SEARCH("Purple",E593))),"Public holiday","Event")))</f>
        <v/>
      </c>
    </row>
    <row r="594">
      <c r="G594" s="254">
        <f>IF(C594="","",IF(ISNUMBER(C594),C594,IF(ISNUMBER(VALUE(LEFT(TRIM(C594),1))),TRIM(C594),TRIM(MID(TRIM(C594),FIND(" ",TRIM(C594))+1,99)))))</f>
        <v/>
      </c>
      <c r="H594" s="254">
        <f>IF(D594="","",IF(ISNUMBER(D594),D594,IF(ISNUMBER(VALUE(LEFT(TRIM(D594),1))),TRIM(D594),TRIM(MID(TRIM(D594),FIND(" ",TRIM(D594))+1,99)))))</f>
        <v/>
      </c>
      <c r="I594" s="255">
        <f>IF(G594="",0,IF(ISNUMBER(G594),G594,IFERROR(DATE(VALUE(MID(G594,FIND("/",G594,FIND("/",G594)+1)+1,4)),VALUE(MID(G594,FIND("/",G594)+1,FIND("/",G594,FIND("/",G594)+1)-FIND("/",G594)-1)),VALUE(LEFT(G594,FIND("/",G594)-1)))+IFERROR(TIMEVALUE(TRIM(MID(G594,FIND(" ",G594)+1,20))),0),0)))</f>
        <v/>
      </c>
      <c r="J594" s="255">
        <f>IF(H594="",0,IF(ISNUMBER(H594),H594,IFERROR(DATE(VALUE(MID(H594,FIND("/",H594,FIND("/",H594)+1)+1,4)),VALUE(MID(H594,FIND("/",H594)+1,FIND("/",H594,FIND("/",H594)+1)-FIND("/",H594)-1)),VALUE(LEFT(H594,FIND("/",H594)-1)))+IFERROR(TIMEVALUE(TRIM(MID(H594,FIND(" ",H594)+1,20))),0),0)))</f>
        <v/>
      </c>
      <c r="K594" s="256">
        <f>IF(I594=0,0,INT(I594))</f>
        <v/>
      </c>
      <c r="L594" s="257">
        <f>IF(OR(I594=0,J594=0),0,ROUND((J594-I594)*24,2))</f>
        <v/>
      </c>
      <c r="M594" s="254">
        <f>IFERROR(TRIM(MID(A594,FIND("@",SUBSTITUTE(A594,"(","@",LEN(A594)-LEN(SUBSTITUTE(A594,"(",""))))+1,FIND(")",A594,FIND("@",SUBSTITUTE(A594,"(","@",LEN(A594)-LEN(SUBSTITUTE(A594,"(","")))))-FIND("@",SUBSTITUTE(A594,"(","@",LEN(A594)-LEN(SUBSTITUTE(A594,"(",""))))-1)),"")</f>
        <v/>
      </c>
      <c r="N594" s="254">
        <f>IF(A594="","",IF(LEFT(TRIM(A594),5)="Leave","Leave",IF(OR(ISNUMBER(SEARCH("public holiday",A594)),ISNUMBER(SEARCH("Purple",E594))),"Public holiday","Event")))</f>
        <v/>
      </c>
    </row>
    <row r="595">
      <c r="G595" s="254">
        <f>IF(C595="","",IF(ISNUMBER(C595),C595,IF(ISNUMBER(VALUE(LEFT(TRIM(C595),1))),TRIM(C595),TRIM(MID(TRIM(C595),FIND(" ",TRIM(C595))+1,99)))))</f>
        <v/>
      </c>
      <c r="H595" s="254">
        <f>IF(D595="","",IF(ISNUMBER(D595),D595,IF(ISNUMBER(VALUE(LEFT(TRIM(D595),1))),TRIM(D595),TRIM(MID(TRIM(D595),FIND(" ",TRIM(D595))+1,99)))))</f>
        <v/>
      </c>
      <c r="I595" s="255">
        <f>IF(G595="",0,IF(ISNUMBER(G595),G595,IFERROR(DATE(VALUE(MID(G595,FIND("/",G595,FIND("/",G595)+1)+1,4)),VALUE(MID(G595,FIND("/",G595)+1,FIND("/",G595,FIND("/",G595)+1)-FIND("/",G595)-1)),VALUE(LEFT(G595,FIND("/",G595)-1)))+IFERROR(TIMEVALUE(TRIM(MID(G595,FIND(" ",G595)+1,20))),0),0)))</f>
        <v/>
      </c>
      <c r="J595" s="255">
        <f>IF(H595="",0,IF(ISNUMBER(H595),H595,IFERROR(DATE(VALUE(MID(H595,FIND("/",H595,FIND("/",H595)+1)+1,4)),VALUE(MID(H595,FIND("/",H595)+1,FIND("/",H595,FIND("/",H595)+1)-FIND("/",H595)-1)),VALUE(LEFT(H595,FIND("/",H595)-1)))+IFERROR(TIMEVALUE(TRIM(MID(H595,FIND(" ",H595)+1,20))),0),0)))</f>
        <v/>
      </c>
      <c r="K595" s="256">
        <f>IF(I595=0,0,INT(I595))</f>
        <v/>
      </c>
      <c r="L595" s="257">
        <f>IF(OR(I595=0,J595=0),0,ROUND((J595-I595)*24,2))</f>
        <v/>
      </c>
      <c r="M595" s="254">
        <f>IFERROR(TRIM(MID(A595,FIND("@",SUBSTITUTE(A595,"(","@",LEN(A595)-LEN(SUBSTITUTE(A595,"(",""))))+1,FIND(")",A595,FIND("@",SUBSTITUTE(A595,"(","@",LEN(A595)-LEN(SUBSTITUTE(A595,"(","")))))-FIND("@",SUBSTITUTE(A595,"(","@",LEN(A595)-LEN(SUBSTITUTE(A595,"(",""))))-1)),"")</f>
        <v/>
      </c>
      <c r="N595" s="254">
        <f>IF(A595="","",IF(LEFT(TRIM(A595),5)="Leave","Leave",IF(OR(ISNUMBER(SEARCH("public holiday",A595)),ISNUMBER(SEARCH("Purple",E595))),"Public holiday","Event")))</f>
        <v/>
      </c>
    </row>
    <row r="596">
      <c r="G596" s="254">
        <f>IF(C596="","",IF(ISNUMBER(C596),C596,IF(ISNUMBER(VALUE(LEFT(TRIM(C596),1))),TRIM(C596),TRIM(MID(TRIM(C596),FIND(" ",TRIM(C596))+1,99)))))</f>
        <v/>
      </c>
      <c r="H596" s="254">
        <f>IF(D596="","",IF(ISNUMBER(D596),D596,IF(ISNUMBER(VALUE(LEFT(TRIM(D596),1))),TRIM(D596),TRIM(MID(TRIM(D596),FIND(" ",TRIM(D596))+1,99)))))</f>
        <v/>
      </c>
      <c r="I596" s="255">
        <f>IF(G596="",0,IF(ISNUMBER(G596),G596,IFERROR(DATE(VALUE(MID(G596,FIND("/",G596,FIND("/",G596)+1)+1,4)),VALUE(MID(G596,FIND("/",G596)+1,FIND("/",G596,FIND("/",G596)+1)-FIND("/",G596)-1)),VALUE(LEFT(G596,FIND("/",G596)-1)))+IFERROR(TIMEVALUE(TRIM(MID(G596,FIND(" ",G596)+1,20))),0),0)))</f>
        <v/>
      </c>
      <c r="J596" s="255">
        <f>IF(H596="",0,IF(ISNUMBER(H596),H596,IFERROR(DATE(VALUE(MID(H596,FIND("/",H596,FIND("/",H596)+1)+1,4)),VALUE(MID(H596,FIND("/",H596)+1,FIND("/",H596,FIND("/",H596)+1)-FIND("/",H596)-1)),VALUE(LEFT(H596,FIND("/",H596)-1)))+IFERROR(TIMEVALUE(TRIM(MID(H596,FIND(" ",H596)+1,20))),0),0)))</f>
        <v/>
      </c>
      <c r="K596" s="256">
        <f>IF(I596=0,0,INT(I596))</f>
        <v/>
      </c>
      <c r="L596" s="257">
        <f>IF(OR(I596=0,J596=0),0,ROUND((J596-I596)*24,2))</f>
        <v/>
      </c>
      <c r="M596" s="254">
        <f>IFERROR(TRIM(MID(A596,FIND("@",SUBSTITUTE(A596,"(","@",LEN(A596)-LEN(SUBSTITUTE(A596,"(",""))))+1,FIND(")",A596,FIND("@",SUBSTITUTE(A596,"(","@",LEN(A596)-LEN(SUBSTITUTE(A596,"(","")))))-FIND("@",SUBSTITUTE(A596,"(","@",LEN(A596)-LEN(SUBSTITUTE(A596,"(",""))))-1)),"")</f>
        <v/>
      </c>
      <c r="N596" s="254">
        <f>IF(A596="","",IF(LEFT(TRIM(A596),5)="Leave","Leave",IF(OR(ISNUMBER(SEARCH("public holiday",A596)),ISNUMBER(SEARCH("Purple",E596))),"Public holiday","Event")))</f>
        <v/>
      </c>
    </row>
    <row r="597">
      <c r="G597" s="254">
        <f>IF(C597="","",IF(ISNUMBER(C597),C597,IF(ISNUMBER(VALUE(LEFT(TRIM(C597),1))),TRIM(C597),TRIM(MID(TRIM(C597),FIND(" ",TRIM(C597))+1,99)))))</f>
        <v/>
      </c>
      <c r="H597" s="254">
        <f>IF(D597="","",IF(ISNUMBER(D597),D597,IF(ISNUMBER(VALUE(LEFT(TRIM(D597),1))),TRIM(D597),TRIM(MID(TRIM(D597),FIND(" ",TRIM(D597))+1,99)))))</f>
        <v/>
      </c>
      <c r="I597" s="255">
        <f>IF(G597="",0,IF(ISNUMBER(G597),G597,IFERROR(DATE(VALUE(MID(G597,FIND("/",G597,FIND("/",G597)+1)+1,4)),VALUE(MID(G597,FIND("/",G597)+1,FIND("/",G597,FIND("/",G597)+1)-FIND("/",G597)-1)),VALUE(LEFT(G597,FIND("/",G597)-1)))+IFERROR(TIMEVALUE(TRIM(MID(G597,FIND(" ",G597)+1,20))),0),0)))</f>
        <v/>
      </c>
      <c r="J597" s="255">
        <f>IF(H597="",0,IF(ISNUMBER(H597),H597,IFERROR(DATE(VALUE(MID(H597,FIND("/",H597,FIND("/",H597)+1)+1,4)),VALUE(MID(H597,FIND("/",H597)+1,FIND("/",H597,FIND("/",H597)+1)-FIND("/",H597)-1)),VALUE(LEFT(H597,FIND("/",H597)-1)))+IFERROR(TIMEVALUE(TRIM(MID(H597,FIND(" ",H597)+1,20))),0),0)))</f>
        <v/>
      </c>
      <c r="K597" s="256">
        <f>IF(I597=0,0,INT(I597))</f>
        <v/>
      </c>
      <c r="L597" s="257">
        <f>IF(OR(I597=0,J597=0),0,ROUND((J597-I597)*24,2))</f>
        <v/>
      </c>
      <c r="M597" s="254">
        <f>IFERROR(TRIM(MID(A597,FIND("@",SUBSTITUTE(A597,"(","@",LEN(A597)-LEN(SUBSTITUTE(A597,"(",""))))+1,FIND(")",A597,FIND("@",SUBSTITUTE(A597,"(","@",LEN(A597)-LEN(SUBSTITUTE(A597,"(","")))))-FIND("@",SUBSTITUTE(A597,"(","@",LEN(A597)-LEN(SUBSTITUTE(A597,"(",""))))-1)),"")</f>
        <v/>
      </c>
      <c r="N597" s="254">
        <f>IF(A597="","",IF(LEFT(TRIM(A597),5)="Leave","Leave",IF(OR(ISNUMBER(SEARCH("public holiday",A597)),ISNUMBER(SEARCH("Purple",E597))),"Public holiday","Event")))</f>
        <v/>
      </c>
    </row>
    <row r="598">
      <c r="G598" s="254">
        <f>IF(C598="","",IF(ISNUMBER(C598),C598,IF(ISNUMBER(VALUE(LEFT(TRIM(C598),1))),TRIM(C598),TRIM(MID(TRIM(C598),FIND(" ",TRIM(C598))+1,99)))))</f>
        <v/>
      </c>
      <c r="H598" s="254">
        <f>IF(D598="","",IF(ISNUMBER(D598),D598,IF(ISNUMBER(VALUE(LEFT(TRIM(D598),1))),TRIM(D598),TRIM(MID(TRIM(D598),FIND(" ",TRIM(D598))+1,99)))))</f>
        <v/>
      </c>
      <c r="I598" s="255">
        <f>IF(G598="",0,IF(ISNUMBER(G598),G598,IFERROR(DATE(VALUE(MID(G598,FIND("/",G598,FIND("/",G598)+1)+1,4)),VALUE(MID(G598,FIND("/",G598)+1,FIND("/",G598,FIND("/",G598)+1)-FIND("/",G598)-1)),VALUE(LEFT(G598,FIND("/",G598)-1)))+IFERROR(TIMEVALUE(TRIM(MID(G598,FIND(" ",G598)+1,20))),0),0)))</f>
        <v/>
      </c>
      <c r="J598" s="255">
        <f>IF(H598="",0,IF(ISNUMBER(H598),H598,IFERROR(DATE(VALUE(MID(H598,FIND("/",H598,FIND("/",H598)+1)+1,4)),VALUE(MID(H598,FIND("/",H598)+1,FIND("/",H598,FIND("/",H598)+1)-FIND("/",H598)-1)),VALUE(LEFT(H598,FIND("/",H598)-1)))+IFERROR(TIMEVALUE(TRIM(MID(H598,FIND(" ",H598)+1,20))),0),0)))</f>
        <v/>
      </c>
      <c r="K598" s="256">
        <f>IF(I598=0,0,INT(I598))</f>
        <v/>
      </c>
      <c r="L598" s="257">
        <f>IF(OR(I598=0,J598=0),0,ROUND((J598-I598)*24,2))</f>
        <v/>
      </c>
      <c r="M598" s="254">
        <f>IFERROR(TRIM(MID(A598,FIND("@",SUBSTITUTE(A598,"(","@",LEN(A598)-LEN(SUBSTITUTE(A598,"(",""))))+1,FIND(")",A598,FIND("@",SUBSTITUTE(A598,"(","@",LEN(A598)-LEN(SUBSTITUTE(A598,"(","")))))-FIND("@",SUBSTITUTE(A598,"(","@",LEN(A598)-LEN(SUBSTITUTE(A598,"(",""))))-1)),"")</f>
        <v/>
      </c>
      <c r="N598" s="254">
        <f>IF(A598="","",IF(LEFT(TRIM(A598),5)="Leave","Leave",IF(OR(ISNUMBER(SEARCH("public holiday",A598)),ISNUMBER(SEARCH("Purple",E598))),"Public holiday","Event")))</f>
        <v/>
      </c>
    </row>
    <row r="599">
      <c r="G599" s="254">
        <f>IF(C599="","",IF(ISNUMBER(C599),C599,IF(ISNUMBER(VALUE(LEFT(TRIM(C599),1))),TRIM(C599),TRIM(MID(TRIM(C599),FIND(" ",TRIM(C599))+1,99)))))</f>
        <v/>
      </c>
      <c r="H599" s="254">
        <f>IF(D599="","",IF(ISNUMBER(D599),D599,IF(ISNUMBER(VALUE(LEFT(TRIM(D599),1))),TRIM(D599),TRIM(MID(TRIM(D599),FIND(" ",TRIM(D599))+1,99)))))</f>
        <v/>
      </c>
      <c r="I599" s="255">
        <f>IF(G599="",0,IF(ISNUMBER(G599),G599,IFERROR(DATE(VALUE(MID(G599,FIND("/",G599,FIND("/",G599)+1)+1,4)),VALUE(MID(G599,FIND("/",G599)+1,FIND("/",G599,FIND("/",G599)+1)-FIND("/",G599)-1)),VALUE(LEFT(G599,FIND("/",G599)-1)))+IFERROR(TIMEVALUE(TRIM(MID(G599,FIND(" ",G599)+1,20))),0),0)))</f>
        <v/>
      </c>
      <c r="J599" s="255">
        <f>IF(H599="",0,IF(ISNUMBER(H599),H599,IFERROR(DATE(VALUE(MID(H599,FIND("/",H599,FIND("/",H599)+1)+1,4)),VALUE(MID(H599,FIND("/",H599)+1,FIND("/",H599,FIND("/",H599)+1)-FIND("/",H599)-1)),VALUE(LEFT(H599,FIND("/",H599)-1)))+IFERROR(TIMEVALUE(TRIM(MID(H599,FIND(" ",H599)+1,20))),0),0)))</f>
        <v/>
      </c>
      <c r="K599" s="256">
        <f>IF(I599=0,0,INT(I599))</f>
        <v/>
      </c>
      <c r="L599" s="257">
        <f>IF(OR(I599=0,J599=0),0,ROUND((J599-I599)*24,2))</f>
        <v/>
      </c>
      <c r="M599" s="254">
        <f>IFERROR(TRIM(MID(A599,FIND("@",SUBSTITUTE(A599,"(","@",LEN(A599)-LEN(SUBSTITUTE(A599,"(",""))))+1,FIND(")",A599,FIND("@",SUBSTITUTE(A599,"(","@",LEN(A599)-LEN(SUBSTITUTE(A599,"(","")))))-FIND("@",SUBSTITUTE(A599,"(","@",LEN(A599)-LEN(SUBSTITUTE(A599,"(",""))))-1)),"")</f>
        <v/>
      </c>
      <c r="N599" s="254">
        <f>IF(A599="","",IF(LEFT(TRIM(A599),5)="Leave","Leave",IF(OR(ISNUMBER(SEARCH("public holiday",A599)),ISNUMBER(SEARCH("Purple",E599))),"Public holiday","Event")))</f>
        <v/>
      </c>
    </row>
    <row r="600">
      <c r="G600" s="254">
        <f>IF(C600="","",IF(ISNUMBER(C600),C600,IF(ISNUMBER(VALUE(LEFT(TRIM(C600),1))),TRIM(C600),TRIM(MID(TRIM(C600),FIND(" ",TRIM(C600))+1,99)))))</f>
        <v/>
      </c>
      <c r="H600" s="254">
        <f>IF(D600="","",IF(ISNUMBER(D600),D600,IF(ISNUMBER(VALUE(LEFT(TRIM(D600),1))),TRIM(D600),TRIM(MID(TRIM(D600),FIND(" ",TRIM(D600))+1,99)))))</f>
        <v/>
      </c>
      <c r="I600" s="255">
        <f>IF(G600="",0,IF(ISNUMBER(G600),G600,IFERROR(DATE(VALUE(MID(G600,FIND("/",G600,FIND("/",G600)+1)+1,4)),VALUE(MID(G600,FIND("/",G600)+1,FIND("/",G600,FIND("/",G600)+1)-FIND("/",G600)-1)),VALUE(LEFT(G600,FIND("/",G600)-1)))+IFERROR(TIMEVALUE(TRIM(MID(G600,FIND(" ",G600)+1,20))),0),0)))</f>
        <v/>
      </c>
      <c r="J600" s="255">
        <f>IF(H600="",0,IF(ISNUMBER(H600),H600,IFERROR(DATE(VALUE(MID(H600,FIND("/",H600,FIND("/",H600)+1)+1,4)),VALUE(MID(H600,FIND("/",H600)+1,FIND("/",H600,FIND("/",H600)+1)-FIND("/",H600)-1)),VALUE(LEFT(H600,FIND("/",H600)-1)))+IFERROR(TIMEVALUE(TRIM(MID(H600,FIND(" ",H600)+1,20))),0),0)))</f>
        <v/>
      </c>
      <c r="K600" s="256">
        <f>IF(I600=0,0,INT(I600))</f>
        <v/>
      </c>
      <c r="L600" s="257">
        <f>IF(OR(I600=0,J600=0),0,ROUND((J600-I600)*24,2))</f>
        <v/>
      </c>
      <c r="M600" s="254">
        <f>IFERROR(TRIM(MID(A600,FIND("@",SUBSTITUTE(A600,"(","@",LEN(A600)-LEN(SUBSTITUTE(A600,"(",""))))+1,FIND(")",A600,FIND("@",SUBSTITUTE(A600,"(","@",LEN(A600)-LEN(SUBSTITUTE(A600,"(","")))))-FIND("@",SUBSTITUTE(A600,"(","@",LEN(A600)-LEN(SUBSTITUTE(A600,"(",""))))-1)),"")</f>
        <v/>
      </c>
      <c r="N600" s="254">
        <f>IF(A600="","",IF(LEFT(TRIM(A600),5)="Leave","Leave",IF(OR(ISNUMBER(SEARCH("public holiday",A600)),ISNUMBER(SEARCH("Purple",E600))),"Public holiday","Event")))</f>
        <v/>
      </c>
    </row>
    <row r="601">
      <c r="G601" s="254">
        <f>IF(C601="","",IF(ISNUMBER(C601),C601,IF(ISNUMBER(VALUE(LEFT(TRIM(C601),1))),TRIM(C601),TRIM(MID(TRIM(C601),FIND(" ",TRIM(C601))+1,99)))))</f>
        <v/>
      </c>
      <c r="H601" s="254">
        <f>IF(D601="","",IF(ISNUMBER(D601),D601,IF(ISNUMBER(VALUE(LEFT(TRIM(D601),1))),TRIM(D601),TRIM(MID(TRIM(D601),FIND(" ",TRIM(D601))+1,99)))))</f>
        <v/>
      </c>
      <c r="I601" s="255">
        <f>IF(G601="",0,IF(ISNUMBER(G601),G601,IFERROR(DATE(VALUE(MID(G601,FIND("/",G601,FIND("/",G601)+1)+1,4)),VALUE(MID(G601,FIND("/",G601)+1,FIND("/",G601,FIND("/",G601)+1)-FIND("/",G601)-1)),VALUE(LEFT(G601,FIND("/",G601)-1)))+IFERROR(TIMEVALUE(TRIM(MID(G601,FIND(" ",G601)+1,20))),0),0)))</f>
        <v/>
      </c>
      <c r="J601" s="255">
        <f>IF(H601="",0,IF(ISNUMBER(H601),H601,IFERROR(DATE(VALUE(MID(H601,FIND("/",H601,FIND("/",H601)+1)+1,4)),VALUE(MID(H601,FIND("/",H601)+1,FIND("/",H601,FIND("/",H601)+1)-FIND("/",H601)-1)),VALUE(LEFT(H601,FIND("/",H601)-1)))+IFERROR(TIMEVALUE(TRIM(MID(H601,FIND(" ",H601)+1,20))),0),0)))</f>
        <v/>
      </c>
      <c r="K601" s="256">
        <f>IF(I601=0,0,INT(I601))</f>
        <v/>
      </c>
      <c r="L601" s="257">
        <f>IF(OR(I601=0,J601=0),0,ROUND((J601-I601)*24,2))</f>
        <v/>
      </c>
      <c r="M601" s="254">
        <f>IFERROR(TRIM(MID(A601,FIND("@",SUBSTITUTE(A601,"(","@",LEN(A601)-LEN(SUBSTITUTE(A601,"(",""))))+1,FIND(")",A601,FIND("@",SUBSTITUTE(A601,"(","@",LEN(A601)-LEN(SUBSTITUTE(A601,"(","")))))-FIND("@",SUBSTITUTE(A601,"(","@",LEN(A601)-LEN(SUBSTITUTE(A601,"(",""))))-1)),"")</f>
        <v/>
      </c>
      <c r="N601" s="254">
        <f>IF(A601="","",IF(LEFT(TRIM(A601),5)="Leave","Leave",IF(OR(ISNUMBER(SEARCH("public holiday",A601)),ISNUMBER(SEARCH("Purple",E601))),"Public holiday","Event")))</f>
        <v/>
      </c>
    </row>
    <row r="602">
      <c r="G602" s="254">
        <f>IF(C602="","",IF(ISNUMBER(C602),C602,IF(ISNUMBER(VALUE(LEFT(TRIM(C602),1))),TRIM(C602),TRIM(MID(TRIM(C602),FIND(" ",TRIM(C602))+1,99)))))</f>
        <v/>
      </c>
      <c r="H602" s="254">
        <f>IF(D602="","",IF(ISNUMBER(D602),D602,IF(ISNUMBER(VALUE(LEFT(TRIM(D602),1))),TRIM(D602),TRIM(MID(TRIM(D602),FIND(" ",TRIM(D602))+1,99)))))</f>
        <v/>
      </c>
      <c r="I602" s="255">
        <f>IF(G602="",0,IF(ISNUMBER(G602),G602,IFERROR(DATE(VALUE(MID(G602,FIND("/",G602,FIND("/",G602)+1)+1,4)),VALUE(MID(G602,FIND("/",G602)+1,FIND("/",G602,FIND("/",G602)+1)-FIND("/",G602)-1)),VALUE(LEFT(G602,FIND("/",G602)-1)))+IFERROR(TIMEVALUE(TRIM(MID(G602,FIND(" ",G602)+1,20))),0),0)))</f>
        <v/>
      </c>
      <c r="J602" s="255">
        <f>IF(H602="",0,IF(ISNUMBER(H602),H602,IFERROR(DATE(VALUE(MID(H602,FIND("/",H602,FIND("/",H602)+1)+1,4)),VALUE(MID(H602,FIND("/",H602)+1,FIND("/",H602,FIND("/",H602)+1)-FIND("/",H602)-1)),VALUE(LEFT(H602,FIND("/",H602)-1)))+IFERROR(TIMEVALUE(TRIM(MID(H602,FIND(" ",H602)+1,20))),0),0)))</f>
        <v/>
      </c>
      <c r="K602" s="256">
        <f>IF(I602=0,0,INT(I602))</f>
        <v/>
      </c>
      <c r="L602" s="257">
        <f>IF(OR(I602=0,J602=0),0,ROUND((J602-I602)*24,2))</f>
        <v/>
      </c>
      <c r="M602" s="254">
        <f>IFERROR(TRIM(MID(A602,FIND("@",SUBSTITUTE(A602,"(","@",LEN(A602)-LEN(SUBSTITUTE(A602,"(",""))))+1,FIND(")",A602,FIND("@",SUBSTITUTE(A602,"(","@",LEN(A602)-LEN(SUBSTITUTE(A602,"(","")))))-FIND("@",SUBSTITUTE(A602,"(","@",LEN(A602)-LEN(SUBSTITUTE(A602,"(",""))))-1)),"")</f>
        <v/>
      </c>
      <c r="N602" s="254">
        <f>IF(A602="","",IF(LEFT(TRIM(A602),5)="Leave","Leave",IF(OR(ISNUMBER(SEARCH("public holiday",A602)),ISNUMBER(SEARCH("Purple",E602))),"Public holiday","Event")))</f>
        <v/>
      </c>
    </row>
    <row r="603">
      <c r="G603" s="254">
        <f>IF(C603="","",IF(ISNUMBER(C603),C603,IF(ISNUMBER(VALUE(LEFT(TRIM(C603),1))),TRIM(C603),TRIM(MID(TRIM(C603),FIND(" ",TRIM(C603))+1,99)))))</f>
        <v/>
      </c>
      <c r="H603" s="254">
        <f>IF(D603="","",IF(ISNUMBER(D603),D603,IF(ISNUMBER(VALUE(LEFT(TRIM(D603),1))),TRIM(D603),TRIM(MID(TRIM(D603),FIND(" ",TRIM(D603))+1,99)))))</f>
        <v/>
      </c>
      <c r="I603" s="255">
        <f>IF(G603="",0,IF(ISNUMBER(G603),G603,IFERROR(DATE(VALUE(MID(G603,FIND("/",G603,FIND("/",G603)+1)+1,4)),VALUE(MID(G603,FIND("/",G603)+1,FIND("/",G603,FIND("/",G603)+1)-FIND("/",G603)-1)),VALUE(LEFT(G603,FIND("/",G603)-1)))+IFERROR(TIMEVALUE(TRIM(MID(G603,FIND(" ",G603)+1,20))),0),0)))</f>
        <v/>
      </c>
      <c r="J603" s="255">
        <f>IF(H603="",0,IF(ISNUMBER(H603),H603,IFERROR(DATE(VALUE(MID(H603,FIND("/",H603,FIND("/",H603)+1)+1,4)),VALUE(MID(H603,FIND("/",H603)+1,FIND("/",H603,FIND("/",H603)+1)-FIND("/",H603)-1)),VALUE(LEFT(H603,FIND("/",H603)-1)))+IFERROR(TIMEVALUE(TRIM(MID(H603,FIND(" ",H603)+1,20))),0),0)))</f>
        <v/>
      </c>
      <c r="K603" s="256">
        <f>IF(I603=0,0,INT(I603))</f>
        <v/>
      </c>
      <c r="L603" s="257">
        <f>IF(OR(I603=0,J603=0),0,ROUND((J603-I603)*24,2))</f>
        <v/>
      </c>
      <c r="M603" s="254">
        <f>IFERROR(TRIM(MID(A603,FIND("@",SUBSTITUTE(A603,"(","@",LEN(A603)-LEN(SUBSTITUTE(A603,"(",""))))+1,FIND(")",A603,FIND("@",SUBSTITUTE(A603,"(","@",LEN(A603)-LEN(SUBSTITUTE(A603,"(","")))))-FIND("@",SUBSTITUTE(A603,"(","@",LEN(A603)-LEN(SUBSTITUTE(A603,"(",""))))-1)),"")</f>
        <v/>
      </c>
      <c r="N603" s="254">
        <f>IF(A603="","",IF(LEFT(TRIM(A603),5)="Leave","Leave",IF(OR(ISNUMBER(SEARCH("public holiday",A603)),ISNUMBER(SEARCH("Purple",E603))),"Public holiday","Event")))</f>
        <v/>
      </c>
    </row>
    <row r="604">
      <c r="G604" s="254">
        <f>IF(C604="","",IF(ISNUMBER(C604),C604,IF(ISNUMBER(VALUE(LEFT(TRIM(C604),1))),TRIM(C604),TRIM(MID(TRIM(C604),FIND(" ",TRIM(C604))+1,99)))))</f>
        <v/>
      </c>
      <c r="H604" s="254">
        <f>IF(D604="","",IF(ISNUMBER(D604),D604,IF(ISNUMBER(VALUE(LEFT(TRIM(D604),1))),TRIM(D604),TRIM(MID(TRIM(D604),FIND(" ",TRIM(D604))+1,99)))))</f>
        <v/>
      </c>
      <c r="I604" s="255">
        <f>IF(G604="",0,IF(ISNUMBER(G604),G604,IFERROR(DATE(VALUE(MID(G604,FIND("/",G604,FIND("/",G604)+1)+1,4)),VALUE(MID(G604,FIND("/",G604)+1,FIND("/",G604,FIND("/",G604)+1)-FIND("/",G604)-1)),VALUE(LEFT(G604,FIND("/",G604)-1)))+IFERROR(TIMEVALUE(TRIM(MID(G604,FIND(" ",G604)+1,20))),0),0)))</f>
        <v/>
      </c>
      <c r="J604" s="255">
        <f>IF(H604="",0,IF(ISNUMBER(H604),H604,IFERROR(DATE(VALUE(MID(H604,FIND("/",H604,FIND("/",H604)+1)+1,4)),VALUE(MID(H604,FIND("/",H604)+1,FIND("/",H604,FIND("/",H604)+1)-FIND("/",H604)-1)),VALUE(LEFT(H604,FIND("/",H604)-1)))+IFERROR(TIMEVALUE(TRIM(MID(H604,FIND(" ",H604)+1,20))),0),0)))</f>
        <v/>
      </c>
      <c r="K604" s="256">
        <f>IF(I604=0,0,INT(I604))</f>
        <v/>
      </c>
      <c r="L604" s="257">
        <f>IF(OR(I604=0,J604=0),0,ROUND((J604-I604)*24,2))</f>
        <v/>
      </c>
      <c r="M604" s="254">
        <f>IFERROR(TRIM(MID(A604,FIND("@",SUBSTITUTE(A604,"(","@",LEN(A604)-LEN(SUBSTITUTE(A604,"(",""))))+1,FIND(")",A604,FIND("@",SUBSTITUTE(A604,"(","@",LEN(A604)-LEN(SUBSTITUTE(A604,"(","")))))-FIND("@",SUBSTITUTE(A604,"(","@",LEN(A604)-LEN(SUBSTITUTE(A604,"(",""))))-1)),"")</f>
        <v/>
      </c>
      <c r="N604" s="254">
        <f>IF(A604="","",IF(LEFT(TRIM(A604),5)="Leave","Leave",IF(OR(ISNUMBER(SEARCH("public holiday",A604)),ISNUMBER(SEARCH("Purple",E604))),"Public holiday","Event")))</f>
        <v/>
      </c>
    </row>
    <row r="605">
      <c r="G605" s="254">
        <f>IF(C605="","",IF(ISNUMBER(C605),C605,IF(ISNUMBER(VALUE(LEFT(TRIM(C605),1))),TRIM(C605),TRIM(MID(TRIM(C605),FIND(" ",TRIM(C605))+1,99)))))</f>
        <v/>
      </c>
      <c r="H605" s="254">
        <f>IF(D605="","",IF(ISNUMBER(D605),D605,IF(ISNUMBER(VALUE(LEFT(TRIM(D605),1))),TRIM(D605),TRIM(MID(TRIM(D605),FIND(" ",TRIM(D605))+1,99)))))</f>
        <v/>
      </c>
      <c r="I605" s="255">
        <f>IF(G605="",0,IF(ISNUMBER(G605),G605,IFERROR(DATE(VALUE(MID(G605,FIND("/",G605,FIND("/",G605)+1)+1,4)),VALUE(MID(G605,FIND("/",G605)+1,FIND("/",G605,FIND("/",G605)+1)-FIND("/",G605)-1)),VALUE(LEFT(G605,FIND("/",G605)-1)))+IFERROR(TIMEVALUE(TRIM(MID(G605,FIND(" ",G605)+1,20))),0),0)))</f>
        <v/>
      </c>
      <c r="J605" s="255">
        <f>IF(H605="",0,IF(ISNUMBER(H605),H605,IFERROR(DATE(VALUE(MID(H605,FIND("/",H605,FIND("/",H605)+1)+1,4)),VALUE(MID(H605,FIND("/",H605)+1,FIND("/",H605,FIND("/",H605)+1)-FIND("/",H605)-1)),VALUE(LEFT(H605,FIND("/",H605)-1)))+IFERROR(TIMEVALUE(TRIM(MID(H605,FIND(" ",H605)+1,20))),0),0)))</f>
        <v/>
      </c>
      <c r="K605" s="256">
        <f>IF(I605=0,0,INT(I605))</f>
        <v/>
      </c>
      <c r="L605" s="257">
        <f>IF(OR(I605=0,J605=0),0,ROUND((J605-I605)*24,2))</f>
        <v/>
      </c>
      <c r="M605" s="254">
        <f>IFERROR(TRIM(MID(A605,FIND("@",SUBSTITUTE(A605,"(","@",LEN(A605)-LEN(SUBSTITUTE(A605,"(",""))))+1,FIND(")",A605,FIND("@",SUBSTITUTE(A605,"(","@",LEN(A605)-LEN(SUBSTITUTE(A605,"(","")))))-FIND("@",SUBSTITUTE(A605,"(","@",LEN(A605)-LEN(SUBSTITUTE(A605,"(",""))))-1)),"")</f>
        <v/>
      </c>
      <c r="N605" s="254">
        <f>IF(A605="","",IF(LEFT(TRIM(A605),5)="Leave","Leave",IF(OR(ISNUMBER(SEARCH("public holiday",A605)),ISNUMBER(SEARCH("Purple",E605))),"Public holiday","Event")))</f>
        <v/>
      </c>
    </row>
    <row r="606">
      <c r="G606" s="254">
        <f>IF(C606="","",IF(ISNUMBER(C606),C606,IF(ISNUMBER(VALUE(LEFT(TRIM(C606),1))),TRIM(C606),TRIM(MID(TRIM(C606),FIND(" ",TRIM(C606))+1,99)))))</f>
        <v/>
      </c>
      <c r="H606" s="254">
        <f>IF(D606="","",IF(ISNUMBER(D606),D606,IF(ISNUMBER(VALUE(LEFT(TRIM(D606),1))),TRIM(D606),TRIM(MID(TRIM(D606),FIND(" ",TRIM(D606))+1,99)))))</f>
        <v/>
      </c>
      <c r="I606" s="255">
        <f>IF(G606="",0,IF(ISNUMBER(G606),G606,IFERROR(DATE(VALUE(MID(G606,FIND("/",G606,FIND("/",G606)+1)+1,4)),VALUE(MID(G606,FIND("/",G606)+1,FIND("/",G606,FIND("/",G606)+1)-FIND("/",G606)-1)),VALUE(LEFT(G606,FIND("/",G606)-1)))+IFERROR(TIMEVALUE(TRIM(MID(G606,FIND(" ",G606)+1,20))),0),0)))</f>
        <v/>
      </c>
      <c r="J606" s="255">
        <f>IF(H606="",0,IF(ISNUMBER(H606),H606,IFERROR(DATE(VALUE(MID(H606,FIND("/",H606,FIND("/",H606)+1)+1,4)),VALUE(MID(H606,FIND("/",H606)+1,FIND("/",H606,FIND("/",H606)+1)-FIND("/",H606)-1)),VALUE(LEFT(H606,FIND("/",H606)-1)))+IFERROR(TIMEVALUE(TRIM(MID(H606,FIND(" ",H606)+1,20))),0),0)))</f>
        <v/>
      </c>
      <c r="K606" s="256">
        <f>IF(I606=0,0,INT(I606))</f>
        <v/>
      </c>
      <c r="L606" s="257">
        <f>IF(OR(I606=0,J606=0),0,ROUND((J606-I606)*24,2))</f>
        <v/>
      </c>
      <c r="M606" s="254">
        <f>IFERROR(TRIM(MID(A606,FIND("@",SUBSTITUTE(A606,"(","@",LEN(A606)-LEN(SUBSTITUTE(A606,"(",""))))+1,FIND(")",A606,FIND("@",SUBSTITUTE(A606,"(","@",LEN(A606)-LEN(SUBSTITUTE(A606,"(","")))))-FIND("@",SUBSTITUTE(A606,"(","@",LEN(A606)-LEN(SUBSTITUTE(A606,"(",""))))-1)),"")</f>
        <v/>
      </c>
      <c r="N606" s="254">
        <f>IF(A606="","",IF(LEFT(TRIM(A606),5)="Leave","Leave",IF(OR(ISNUMBER(SEARCH("public holiday",A606)),ISNUMBER(SEARCH("Purple",E606))),"Public holiday","Event")))</f>
        <v/>
      </c>
    </row>
    <row r="607">
      <c r="G607" s="254">
        <f>IF(C607="","",IF(ISNUMBER(C607),C607,IF(ISNUMBER(VALUE(LEFT(TRIM(C607),1))),TRIM(C607),TRIM(MID(TRIM(C607),FIND(" ",TRIM(C607))+1,99)))))</f>
        <v/>
      </c>
      <c r="H607" s="254">
        <f>IF(D607="","",IF(ISNUMBER(D607),D607,IF(ISNUMBER(VALUE(LEFT(TRIM(D607),1))),TRIM(D607),TRIM(MID(TRIM(D607),FIND(" ",TRIM(D607))+1,99)))))</f>
        <v/>
      </c>
      <c r="I607" s="255">
        <f>IF(G607="",0,IF(ISNUMBER(G607),G607,IFERROR(DATE(VALUE(MID(G607,FIND("/",G607,FIND("/",G607)+1)+1,4)),VALUE(MID(G607,FIND("/",G607)+1,FIND("/",G607,FIND("/",G607)+1)-FIND("/",G607)-1)),VALUE(LEFT(G607,FIND("/",G607)-1)))+IFERROR(TIMEVALUE(TRIM(MID(G607,FIND(" ",G607)+1,20))),0),0)))</f>
        <v/>
      </c>
      <c r="J607" s="255">
        <f>IF(H607="",0,IF(ISNUMBER(H607),H607,IFERROR(DATE(VALUE(MID(H607,FIND("/",H607,FIND("/",H607)+1)+1,4)),VALUE(MID(H607,FIND("/",H607)+1,FIND("/",H607,FIND("/",H607)+1)-FIND("/",H607)-1)),VALUE(LEFT(H607,FIND("/",H607)-1)))+IFERROR(TIMEVALUE(TRIM(MID(H607,FIND(" ",H607)+1,20))),0),0)))</f>
        <v/>
      </c>
      <c r="K607" s="256">
        <f>IF(I607=0,0,INT(I607))</f>
        <v/>
      </c>
      <c r="L607" s="257">
        <f>IF(OR(I607=0,J607=0),0,ROUND((J607-I607)*24,2))</f>
        <v/>
      </c>
      <c r="M607" s="254">
        <f>IFERROR(TRIM(MID(A607,FIND("@",SUBSTITUTE(A607,"(","@",LEN(A607)-LEN(SUBSTITUTE(A607,"(",""))))+1,FIND(")",A607,FIND("@",SUBSTITUTE(A607,"(","@",LEN(A607)-LEN(SUBSTITUTE(A607,"(","")))))-FIND("@",SUBSTITUTE(A607,"(","@",LEN(A607)-LEN(SUBSTITUTE(A607,"(",""))))-1)),"")</f>
        <v/>
      </c>
      <c r="N607" s="254">
        <f>IF(A607="","",IF(LEFT(TRIM(A607),5)="Leave","Leave",IF(OR(ISNUMBER(SEARCH("public holiday",A607)),ISNUMBER(SEARCH("Purple",E607))),"Public holiday","Event")))</f>
        <v/>
      </c>
    </row>
    <row r="608">
      <c r="G608" s="254">
        <f>IF(C608="","",IF(ISNUMBER(C608),C608,IF(ISNUMBER(VALUE(LEFT(TRIM(C608),1))),TRIM(C608),TRIM(MID(TRIM(C608),FIND(" ",TRIM(C608))+1,99)))))</f>
        <v/>
      </c>
      <c r="H608" s="254">
        <f>IF(D608="","",IF(ISNUMBER(D608),D608,IF(ISNUMBER(VALUE(LEFT(TRIM(D608),1))),TRIM(D608),TRIM(MID(TRIM(D608),FIND(" ",TRIM(D608))+1,99)))))</f>
        <v/>
      </c>
      <c r="I608" s="255">
        <f>IF(G608="",0,IF(ISNUMBER(G608),G608,IFERROR(DATE(VALUE(MID(G608,FIND("/",G608,FIND("/",G608)+1)+1,4)),VALUE(MID(G608,FIND("/",G608)+1,FIND("/",G608,FIND("/",G608)+1)-FIND("/",G608)-1)),VALUE(LEFT(G608,FIND("/",G608)-1)))+IFERROR(TIMEVALUE(TRIM(MID(G608,FIND(" ",G608)+1,20))),0),0)))</f>
        <v/>
      </c>
      <c r="J608" s="255">
        <f>IF(H608="",0,IF(ISNUMBER(H608),H608,IFERROR(DATE(VALUE(MID(H608,FIND("/",H608,FIND("/",H608)+1)+1,4)),VALUE(MID(H608,FIND("/",H608)+1,FIND("/",H608,FIND("/",H608)+1)-FIND("/",H608)-1)),VALUE(LEFT(H608,FIND("/",H608)-1)))+IFERROR(TIMEVALUE(TRIM(MID(H608,FIND(" ",H608)+1,20))),0),0)))</f>
        <v/>
      </c>
      <c r="K608" s="256">
        <f>IF(I608=0,0,INT(I608))</f>
        <v/>
      </c>
      <c r="L608" s="257">
        <f>IF(OR(I608=0,J608=0),0,ROUND((J608-I608)*24,2))</f>
        <v/>
      </c>
      <c r="M608" s="254">
        <f>IFERROR(TRIM(MID(A608,FIND("@",SUBSTITUTE(A608,"(","@",LEN(A608)-LEN(SUBSTITUTE(A608,"(",""))))+1,FIND(")",A608,FIND("@",SUBSTITUTE(A608,"(","@",LEN(A608)-LEN(SUBSTITUTE(A608,"(","")))))-FIND("@",SUBSTITUTE(A608,"(","@",LEN(A608)-LEN(SUBSTITUTE(A608,"(",""))))-1)),"")</f>
        <v/>
      </c>
      <c r="N608" s="254">
        <f>IF(A608="","",IF(LEFT(TRIM(A608),5)="Leave","Leave",IF(OR(ISNUMBER(SEARCH("public holiday",A608)),ISNUMBER(SEARCH("Purple",E608))),"Public holiday","Event")))</f>
        <v/>
      </c>
    </row>
    <row r="609">
      <c r="G609" s="254">
        <f>IF(C609="","",IF(ISNUMBER(C609),C609,IF(ISNUMBER(VALUE(LEFT(TRIM(C609),1))),TRIM(C609),TRIM(MID(TRIM(C609),FIND(" ",TRIM(C609))+1,99)))))</f>
        <v/>
      </c>
      <c r="H609" s="254">
        <f>IF(D609="","",IF(ISNUMBER(D609),D609,IF(ISNUMBER(VALUE(LEFT(TRIM(D609),1))),TRIM(D609),TRIM(MID(TRIM(D609),FIND(" ",TRIM(D609))+1,99)))))</f>
        <v/>
      </c>
      <c r="I609" s="255">
        <f>IF(G609="",0,IF(ISNUMBER(G609),G609,IFERROR(DATE(VALUE(MID(G609,FIND("/",G609,FIND("/",G609)+1)+1,4)),VALUE(MID(G609,FIND("/",G609)+1,FIND("/",G609,FIND("/",G609)+1)-FIND("/",G609)-1)),VALUE(LEFT(G609,FIND("/",G609)-1)))+IFERROR(TIMEVALUE(TRIM(MID(G609,FIND(" ",G609)+1,20))),0),0)))</f>
        <v/>
      </c>
      <c r="J609" s="255">
        <f>IF(H609="",0,IF(ISNUMBER(H609),H609,IFERROR(DATE(VALUE(MID(H609,FIND("/",H609,FIND("/",H609)+1)+1,4)),VALUE(MID(H609,FIND("/",H609)+1,FIND("/",H609,FIND("/",H609)+1)-FIND("/",H609)-1)),VALUE(LEFT(H609,FIND("/",H609)-1)))+IFERROR(TIMEVALUE(TRIM(MID(H609,FIND(" ",H609)+1,20))),0),0)))</f>
        <v/>
      </c>
      <c r="K609" s="256">
        <f>IF(I609=0,0,INT(I609))</f>
        <v/>
      </c>
      <c r="L609" s="257">
        <f>IF(OR(I609=0,J609=0),0,ROUND((J609-I609)*24,2))</f>
        <v/>
      </c>
      <c r="M609" s="254">
        <f>IFERROR(TRIM(MID(A609,FIND("@",SUBSTITUTE(A609,"(","@",LEN(A609)-LEN(SUBSTITUTE(A609,"(",""))))+1,FIND(")",A609,FIND("@",SUBSTITUTE(A609,"(","@",LEN(A609)-LEN(SUBSTITUTE(A609,"(","")))))-FIND("@",SUBSTITUTE(A609,"(","@",LEN(A609)-LEN(SUBSTITUTE(A609,"(",""))))-1)),"")</f>
        <v/>
      </c>
      <c r="N609" s="254">
        <f>IF(A609="","",IF(LEFT(TRIM(A609),5)="Leave","Leave",IF(OR(ISNUMBER(SEARCH("public holiday",A609)),ISNUMBER(SEARCH("Purple",E609))),"Public holiday","Event")))</f>
        <v/>
      </c>
    </row>
    <row r="610">
      <c r="G610" s="254">
        <f>IF(C610="","",IF(ISNUMBER(C610),C610,IF(ISNUMBER(VALUE(LEFT(TRIM(C610),1))),TRIM(C610),TRIM(MID(TRIM(C610),FIND(" ",TRIM(C610))+1,99)))))</f>
        <v/>
      </c>
      <c r="H610" s="254">
        <f>IF(D610="","",IF(ISNUMBER(D610),D610,IF(ISNUMBER(VALUE(LEFT(TRIM(D610),1))),TRIM(D610),TRIM(MID(TRIM(D610),FIND(" ",TRIM(D610))+1,99)))))</f>
        <v/>
      </c>
      <c r="I610" s="255">
        <f>IF(G610="",0,IF(ISNUMBER(G610),G610,IFERROR(DATE(VALUE(MID(G610,FIND("/",G610,FIND("/",G610)+1)+1,4)),VALUE(MID(G610,FIND("/",G610)+1,FIND("/",G610,FIND("/",G610)+1)-FIND("/",G610)-1)),VALUE(LEFT(G610,FIND("/",G610)-1)))+IFERROR(TIMEVALUE(TRIM(MID(G610,FIND(" ",G610)+1,20))),0),0)))</f>
        <v/>
      </c>
      <c r="J610" s="255">
        <f>IF(H610="",0,IF(ISNUMBER(H610),H610,IFERROR(DATE(VALUE(MID(H610,FIND("/",H610,FIND("/",H610)+1)+1,4)),VALUE(MID(H610,FIND("/",H610)+1,FIND("/",H610,FIND("/",H610)+1)-FIND("/",H610)-1)),VALUE(LEFT(H610,FIND("/",H610)-1)))+IFERROR(TIMEVALUE(TRIM(MID(H610,FIND(" ",H610)+1,20))),0),0)))</f>
        <v/>
      </c>
      <c r="K610" s="256">
        <f>IF(I610=0,0,INT(I610))</f>
        <v/>
      </c>
      <c r="L610" s="257">
        <f>IF(OR(I610=0,J610=0),0,ROUND((J610-I610)*24,2))</f>
        <v/>
      </c>
      <c r="M610" s="254">
        <f>IFERROR(TRIM(MID(A610,FIND("@",SUBSTITUTE(A610,"(","@",LEN(A610)-LEN(SUBSTITUTE(A610,"(",""))))+1,FIND(")",A610,FIND("@",SUBSTITUTE(A610,"(","@",LEN(A610)-LEN(SUBSTITUTE(A610,"(","")))))-FIND("@",SUBSTITUTE(A610,"(","@",LEN(A610)-LEN(SUBSTITUTE(A610,"(",""))))-1)),"")</f>
        <v/>
      </c>
      <c r="N610" s="254">
        <f>IF(A610="","",IF(LEFT(TRIM(A610),5)="Leave","Leave",IF(OR(ISNUMBER(SEARCH("public holiday",A610)),ISNUMBER(SEARCH("Purple",E610))),"Public holiday","Event")))</f>
        <v/>
      </c>
    </row>
    <row r="611">
      <c r="G611" s="254">
        <f>IF(C611="","",IF(ISNUMBER(C611),C611,IF(ISNUMBER(VALUE(LEFT(TRIM(C611),1))),TRIM(C611),TRIM(MID(TRIM(C611),FIND(" ",TRIM(C611))+1,99)))))</f>
        <v/>
      </c>
      <c r="H611" s="254">
        <f>IF(D611="","",IF(ISNUMBER(D611),D611,IF(ISNUMBER(VALUE(LEFT(TRIM(D611),1))),TRIM(D611),TRIM(MID(TRIM(D611),FIND(" ",TRIM(D611))+1,99)))))</f>
        <v/>
      </c>
      <c r="I611" s="255">
        <f>IF(G611="",0,IF(ISNUMBER(G611),G611,IFERROR(DATE(VALUE(MID(G611,FIND("/",G611,FIND("/",G611)+1)+1,4)),VALUE(MID(G611,FIND("/",G611)+1,FIND("/",G611,FIND("/",G611)+1)-FIND("/",G611)-1)),VALUE(LEFT(G611,FIND("/",G611)-1)))+IFERROR(TIMEVALUE(TRIM(MID(G611,FIND(" ",G611)+1,20))),0),0)))</f>
        <v/>
      </c>
      <c r="J611" s="255">
        <f>IF(H611="",0,IF(ISNUMBER(H611),H611,IFERROR(DATE(VALUE(MID(H611,FIND("/",H611,FIND("/",H611)+1)+1,4)),VALUE(MID(H611,FIND("/",H611)+1,FIND("/",H611,FIND("/",H611)+1)-FIND("/",H611)-1)),VALUE(LEFT(H611,FIND("/",H611)-1)))+IFERROR(TIMEVALUE(TRIM(MID(H611,FIND(" ",H611)+1,20))),0),0)))</f>
        <v/>
      </c>
      <c r="K611" s="256">
        <f>IF(I611=0,0,INT(I611))</f>
        <v/>
      </c>
      <c r="L611" s="257">
        <f>IF(OR(I611=0,J611=0),0,ROUND((J611-I611)*24,2))</f>
        <v/>
      </c>
      <c r="M611" s="254">
        <f>IFERROR(TRIM(MID(A611,FIND("@",SUBSTITUTE(A611,"(","@",LEN(A611)-LEN(SUBSTITUTE(A611,"(",""))))+1,FIND(")",A611,FIND("@",SUBSTITUTE(A611,"(","@",LEN(A611)-LEN(SUBSTITUTE(A611,"(","")))))-FIND("@",SUBSTITUTE(A611,"(","@",LEN(A611)-LEN(SUBSTITUTE(A611,"(",""))))-1)),"")</f>
        <v/>
      </c>
      <c r="N611" s="254">
        <f>IF(A611="","",IF(LEFT(TRIM(A611),5)="Leave","Leave",IF(OR(ISNUMBER(SEARCH("public holiday",A611)),ISNUMBER(SEARCH("Purple",E611))),"Public holiday","Event")))</f>
        <v/>
      </c>
    </row>
    <row r="612">
      <c r="G612" s="254">
        <f>IF(C612="","",IF(ISNUMBER(C612),C612,IF(ISNUMBER(VALUE(LEFT(TRIM(C612),1))),TRIM(C612),TRIM(MID(TRIM(C612),FIND(" ",TRIM(C612))+1,99)))))</f>
        <v/>
      </c>
      <c r="H612" s="254">
        <f>IF(D612="","",IF(ISNUMBER(D612),D612,IF(ISNUMBER(VALUE(LEFT(TRIM(D612),1))),TRIM(D612),TRIM(MID(TRIM(D612),FIND(" ",TRIM(D612))+1,99)))))</f>
        <v/>
      </c>
      <c r="I612" s="255">
        <f>IF(G612="",0,IF(ISNUMBER(G612),G612,IFERROR(DATE(VALUE(MID(G612,FIND("/",G612,FIND("/",G612)+1)+1,4)),VALUE(MID(G612,FIND("/",G612)+1,FIND("/",G612,FIND("/",G612)+1)-FIND("/",G612)-1)),VALUE(LEFT(G612,FIND("/",G612)-1)))+IFERROR(TIMEVALUE(TRIM(MID(G612,FIND(" ",G612)+1,20))),0),0)))</f>
        <v/>
      </c>
      <c r="J612" s="255">
        <f>IF(H612="",0,IF(ISNUMBER(H612),H612,IFERROR(DATE(VALUE(MID(H612,FIND("/",H612,FIND("/",H612)+1)+1,4)),VALUE(MID(H612,FIND("/",H612)+1,FIND("/",H612,FIND("/",H612)+1)-FIND("/",H612)-1)),VALUE(LEFT(H612,FIND("/",H612)-1)))+IFERROR(TIMEVALUE(TRIM(MID(H612,FIND(" ",H612)+1,20))),0),0)))</f>
        <v/>
      </c>
      <c r="K612" s="256">
        <f>IF(I612=0,0,INT(I612))</f>
        <v/>
      </c>
      <c r="L612" s="257">
        <f>IF(OR(I612=0,J612=0),0,ROUND((J612-I612)*24,2))</f>
        <v/>
      </c>
      <c r="M612" s="254">
        <f>IFERROR(TRIM(MID(A612,FIND("@",SUBSTITUTE(A612,"(","@",LEN(A612)-LEN(SUBSTITUTE(A612,"(",""))))+1,FIND(")",A612,FIND("@",SUBSTITUTE(A612,"(","@",LEN(A612)-LEN(SUBSTITUTE(A612,"(","")))))-FIND("@",SUBSTITUTE(A612,"(","@",LEN(A612)-LEN(SUBSTITUTE(A612,"(",""))))-1)),"")</f>
        <v/>
      </c>
      <c r="N612" s="254">
        <f>IF(A612="","",IF(LEFT(TRIM(A612),5)="Leave","Leave",IF(OR(ISNUMBER(SEARCH("public holiday",A612)),ISNUMBER(SEARCH("Purple",E612))),"Public holiday","Event")))</f>
        <v/>
      </c>
    </row>
    <row r="613">
      <c r="G613" s="254">
        <f>IF(C613="","",IF(ISNUMBER(C613),C613,IF(ISNUMBER(VALUE(LEFT(TRIM(C613),1))),TRIM(C613),TRIM(MID(TRIM(C613),FIND(" ",TRIM(C613))+1,99)))))</f>
        <v/>
      </c>
      <c r="H613" s="254">
        <f>IF(D613="","",IF(ISNUMBER(D613),D613,IF(ISNUMBER(VALUE(LEFT(TRIM(D613),1))),TRIM(D613),TRIM(MID(TRIM(D613),FIND(" ",TRIM(D613))+1,99)))))</f>
        <v/>
      </c>
      <c r="I613" s="255">
        <f>IF(G613="",0,IF(ISNUMBER(G613),G613,IFERROR(DATE(VALUE(MID(G613,FIND("/",G613,FIND("/",G613)+1)+1,4)),VALUE(MID(G613,FIND("/",G613)+1,FIND("/",G613,FIND("/",G613)+1)-FIND("/",G613)-1)),VALUE(LEFT(G613,FIND("/",G613)-1)))+IFERROR(TIMEVALUE(TRIM(MID(G613,FIND(" ",G613)+1,20))),0),0)))</f>
        <v/>
      </c>
      <c r="J613" s="255">
        <f>IF(H613="",0,IF(ISNUMBER(H613),H613,IFERROR(DATE(VALUE(MID(H613,FIND("/",H613,FIND("/",H613)+1)+1,4)),VALUE(MID(H613,FIND("/",H613)+1,FIND("/",H613,FIND("/",H613)+1)-FIND("/",H613)-1)),VALUE(LEFT(H613,FIND("/",H613)-1)))+IFERROR(TIMEVALUE(TRIM(MID(H613,FIND(" ",H613)+1,20))),0),0)))</f>
        <v/>
      </c>
      <c r="K613" s="256">
        <f>IF(I613=0,0,INT(I613))</f>
        <v/>
      </c>
      <c r="L613" s="257">
        <f>IF(OR(I613=0,J613=0),0,ROUND((J613-I613)*24,2))</f>
        <v/>
      </c>
      <c r="M613" s="254">
        <f>IFERROR(TRIM(MID(A613,FIND("@",SUBSTITUTE(A613,"(","@",LEN(A613)-LEN(SUBSTITUTE(A613,"(",""))))+1,FIND(")",A613,FIND("@",SUBSTITUTE(A613,"(","@",LEN(A613)-LEN(SUBSTITUTE(A613,"(","")))))-FIND("@",SUBSTITUTE(A613,"(","@",LEN(A613)-LEN(SUBSTITUTE(A613,"(",""))))-1)),"")</f>
        <v/>
      </c>
      <c r="N613" s="254">
        <f>IF(A613="","",IF(LEFT(TRIM(A613),5)="Leave","Leave",IF(OR(ISNUMBER(SEARCH("public holiday",A613)),ISNUMBER(SEARCH("Purple",E613))),"Public holiday","Event")))</f>
        <v/>
      </c>
    </row>
    <row r="614">
      <c r="G614" s="254">
        <f>IF(C614="","",IF(ISNUMBER(C614),C614,IF(ISNUMBER(VALUE(LEFT(TRIM(C614),1))),TRIM(C614),TRIM(MID(TRIM(C614),FIND(" ",TRIM(C614))+1,99)))))</f>
        <v/>
      </c>
      <c r="H614" s="254">
        <f>IF(D614="","",IF(ISNUMBER(D614),D614,IF(ISNUMBER(VALUE(LEFT(TRIM(D614),1))),TRIM(D614),TRIM(MID(TRIM(D614),FIND(" ",TRIM(D614))+1,99)))))</f>
        <v/>
      </c>
      <c r="I614" s="255">
        <f>IF(G614="",0,IF(ISNUMBER(G614),G614,IFERROR(DATE(VALUE(MID(G614,FIND("/",G614,FIND("/",G614)+1)+1,4)),VALUE(MID(G614,FIND("/",G614)+1,FIND("/",G614,FIND("/",G614)+1)-FIND("/",G614)-1)),VALUE(LEFT(G614,FIND("/",G614)-1)))+IFERROR(TIMEVALUE(TRIM(MID(G614,FIND(" ",G614)+1,20))),0),0)))</f>
        <v/>
      </c>
      <c r="J614" s="255">
        <f>IF(H614="",0,IF(ISNUMBER(H614),H614,IFERROR(DATE(VALUE(MID(H614,FIND("/",H614,FIND("/",H614)+1)+1,4)),VALUE(MID(H614,FIND("/",H614)+1,FIND("/",H614,FIND("/",H614)+1)-FIND("/",H614)-1)),VALUE(LEFT(H614,FIND("/",H614)-1)))+IFERROR(TIMEVALUE(TRIM(MID(H614,FIND(" ",H614)+1,20))),0),0)))</f>
        <v/>
      </c>
      <c r="K614" s="256">
        <f>IF(I614=0,0,INT(I614))</f>
        <v/>
      </c>
      <c r="L614" s="257">
        <f>IF(OR(I614=0,J614=0),0,ROUND((J614-I614)*24,2))</f>
        <v/>
      </c>
      <c r="M614" s="254">
        <f>IFERROR(TRIM(MID(A614,FIND("@",SUBSTITUTE(A614,"(","@",LEN(A614)-LEN(SUBSTITUTE(A614,"(",""))))+1,FIND(")",A614,FIND("@",SUBSTITUTE(A614,"(","@",LEN(A614)-LEN(SUBSTITUTE(A614,"(","")))))-FIND("@",SUBSTITUTE(A614,"(","@",LEN(A614)-LEN(SUBSTITUTE(A614,"(",""))))-1)),"")</f>
        <v/>
      </c>
      <c r="N614" s="254">
        <f>IF(A614="","",IF(LEFT(TRIM(A614),5)="Leave","Leave",IF(OR(ISNUMBER(SEARCH("public holiday",A614)),ISNUMBER(SEARCH("Purple",E614))),"Public holiday","Event")))</f>
        <v/>
      </c>
    </row>
    <row r="615">
      <c r="G615" s="254">
        <f>IF(C615="","",IF(ISNUMBER(C615),C615,IF(ISNUMBER(VALUE(LEFT(TRIM(C615),1))),TRIM(C615),TRIM(MID(TRIM(C615),FIND(" ",TRIM(C615))+1,99)))))</f>
        <v/>
      </c>
      <c r="H615" s="254">
        <f>IF(D615="","",IF(ISNUMBER(D615),D615,IF(ISNUMBER(VALUE(LEFT(TRIM(D615),1))),TRIM(D615),TRIM(MID(TRIM(D615),FIND(" ",TRIM(D615))+1,99)))))</f>
        <v/>
      </c>
      <c r="I615" s="255">
        <f>IF(G615="",0,IF(ISNUMBER(G615),G615,IFERROR(DATE(VALUE(MID(G615,FIND("/",G615,FIND("/",G615)+1)+1,4)),VALUE(MID(G615,FIND("/",G615)+1,FIND("/",G615,FIND("/",G615)+1)-FIND("/",G615)-1)),VALUE(LEFT(G615,FIND("/",G615)-1)))+IFERROR(TIMEVALUE(TRIM(MID(G615,FIND(" ",G615)+1,20))),0),0)))</f>
        <v/>
      </c>
      <c r="J615" s="255">
        <f>IF(H615="",0,IF(ISNUMBER(H615),H615,IFERROR(DATE(VALUE(MID(H615,FIND("/",H615,FIND("/",H615)+1)+1,4)),VALUE(MID(H615,FIND("/",H615)+1,FIND("/",H615,FIND("/",H615)+1)-FIND("/",H615)-1)),VALUE(LEFT(H615,FIND("/",H615)-1)))+IFERROR(TIMEVALUE(TRIM(MID(H615,FIND(" ",H615)+1,20))),0),0)))</f>
        <v/>
      </c>
      <c r="K615" s="256">
        <f>IF(I615=0,0,INT(I615))</f>
        <v/>
      </c>
      <c r="L615" s="257">
        <f>IF(OR(I615=0,J615=0),0,ROUND((J615-I615)*24,2))</f>
        <v/>
      </c>
      <c r="M615" s="254">
        <f>IFERROR(TRIM(MID(A615,FIND("@",SUBSTITUTE(A615,"(","@",LEN(A615)-LEN(SUBSTITUTE(A615,"(",""))))+1,FIND(")",A615,FIND("@",SUBSTITUTE(A615,"(","@",LEN(A615)-LEN(SUBSTITUTE(A615,"(","")))))-FIND("@",SUBSTITUTE(A615,"(","@",LEN(A615)-LEN(SUBSTITUTE(A615,"(",""))))-1)),"")</f>
        <v/>
      </c>
      <c r="N615" s="254">
        <f>IF(A615="","",IF(LEFT(TRIM(A615),5)="Leave","Leave",IF(OR(ISNUMBER(SEARCH("public holiday",A615)),ISNUMBER(SEARCH("Purple",E615))),"Public holiday","Event")))</f>
        <v/>
      </c>
    </row>
    <row r="616">
      <c r="G616" s="254">
        <f>IF(C616="","",IF(ISNUMBER(C616),C616,IF(ISNUMBER(VALUE(LEFT(TRIM(C616),1))),TRIM(C616),TRIM(MID(TRIM(C616),FIND(" ",TRIM(C616))+1,99)))))</f>
        <v/>
      </c>
      <c r="H616" s="254">
        <f>IF(D616="","",IF(ISNUMBER(D616),D616,IF(ISNUMBER(VALUE(LEFT(TRIM(D616),1))),TRIM(D616),TRIM(MID(TRIM(D616),FIND(" ",TRIM(D616))+1,99)))))</f>
        <v/>
      </c>
      <c r="I616" s="255">
        <f>IF(G616="",0,IF(ISNUMBER(G616),G616,IFERROR(DATE(VALUE(MID(G616,FIND("/",G616,FIND("/",G616)+1)+1,4)),VALUE(MID(G616,FIND("/",G616)+1,FIND("/",G616,FIND("/",G616)+1)-FIND("/",G616)-1)),VALUE(LEFT(G616,FIND("/",G616)-1)))+IFERROR(TIMEVALUE(TRIM(MID(G616,FIND(" ",G616)+1,20))),0),0)))</f>
        <v/>
      </c>
      <c r="J616" s="255">
        <f>IF(H616="",0,IF(ISNUMBER(H616),H616,IFERROR(DATE(VALUE(MID(H616,FIND("/",H616,FIND("/",H616)+1)+1,4)),VALUE(MID(H616,FIND("/",H616)+1,FIND("/",H616,FIND("/",H616)+1)-FIND("/",H616)-1)),VALUE(LEFT(H616,FIND("/",H616)-1)))+IFERROR(TIMEVALUE(TRIM(MID(H616,FIND(" ",H616)+1,20))),0),0)))</f>
        <v/>
      </c>
      <c r="K616" s="256">
        <f>IF(I616=0,0,INT(I616))</f>
        <v/>
      </c>
      <c r="L616" s="257">
        <f>IF(OR(I616=0,J616=0),0,ROUND((J616-I616)*24,2))</f>
        <v/>
      </c>
      <c r="M616" s="254">
        <f>IFERROR(TRIM(MID(A616,FIND("@",SUBSTITUTE(A616,"(","@",LEN(A616)-LEN(SUBSTITUTE(A616,"(",""))))+1,FIND(")",A616,FIND("@",SUBSTITUTE(A616,"(","@",LEN(A616)-LEN(SUBSTITUTE(A616,"(","")))))-FIND("@",SUBSTITUTE(A616,"(","@",LEN(A616)-LEN(SUBSTITUTE(A616,"(",""))))-1)),"")</f>
        <v/>
      </c>
      <c r="N616" s="254">
        <f>IF(A616="","",IF(LEFT(TRIM(A616),5)="Leave","Leave",IF(OR(ISNUMBER(SEARCH("public holiday",A616)),ISNUMBER(SEARCH("Purple",E616))),"Public holiday","Event")))</f>
        <v/>
      </c>
    </row>
    <row r="617">
      <c r="G617" s="254">
        <f>IF(C617="","",IF(ISNUMBER(C617),C617,IF(ISNUMBER(VALUE(LEFT(TRIM(C617),1))),TRIM(C617),TRIM(MID(TRIM(C617),FIND(" ",TRIM(C617))+1,99)))))</f>
        <v/>
      </c>
      <c r="H617" s="254">
        <f>IF(D617="","",IF(ISNUMBER(D617),D617,IF(ISNUMBER(VALUE(LEFT(TRIM(D617),1))),TRIM(D617),TRIM(MID(TRIM(D617),FIND(" ",TRIM(D617))+1,99)))))</f>
        <v/>
      </c>
      <c r="I617" s="255">
        <f>IF(G617="",0,IF(ISNUMBER(G617),G617,IFERROR(DATE(VALUE(MID(G617,FIND("/",G617,FIND("/",G617)+1)+1,4)),VALUE(MID(G617,FIND("/",G617)+1,FIND("/",G617,FIND("/",G617)+1)-FIND("/",G617)-1)),VALUE(LEFT(G617,FIND("/",G617)-1)))+IFERROR(TIMEVALUE(TRIM(MID(G617,FIND(" ",G617)+1,20))),0),0)))</f>
        <v/>
      </c>
      <c r="J617" s="255">
        <f>IF(H617="",0,IF(ISNUMBER(H617),H617,IFERROR(DATE(VALUE(MID(H617,FIND("/",H617,FIND("/",H617)+1)+1,4)),VALUE(MID(H617,FIND("/",H617)+1,FIND("/",H617,FIND("/",H617)+1)-FIND("/",H617)-1)),VALUE(LEFT(H617,FIND("/",H617)-1)))+IFERROR(TIMEVALUE(TRIM(MID(H617,FIND(" ",H617)+1,20))),0),0)))</f>
        <v/>
      </c>
      <c r="K617" s="256">
        <f>IF(I617=0,0,INT(I617))</f>
        <v/>
      </c>
      <c r="L617" s="257">
        <f>IF(OR(I617=0,J617=0),0,ROUND((J617-I617)*24,2))</f>
        <v/>
      </c>
      <c r="M617" s="254">
        <f>IFERROR(TRIM(MID(A617,FIND("@",SUBSTITUTE(A617,"(","@",LEN(A617)-LEN(SUBSTITUTE(A617,"(",""))))+1,FIND(")",A617,FIND("@",SUBSTITUTE(A617,"(","@",LEN(A617)-LEN(SUBSTITUTE(A617,"(","")))))-FIND("@",SUBSTITUTE(A617,"(","@",LEN(A617)-LEN(SUBSTITUTE(A617,"(",""))))-1)),"")</f>
        <v/>
      </c>
      <c r="N617" s="254">
        <f>IF(A617="","",IF(LEFT(TRIM(A617),5)="Leave","Leave",IF(OR(ISNUMBER(SEARCH("public holiday",A617)),ISNUMBER(SEARCH("Purple",E617))),"Public holiday","Event")))</f>
        <v/>
      </c>
    </row>
    <row r="618">
      <c r="G618" s="254">
        <f>IF(C618="","",IF(ISNUMBER(C618),C618,IF(ISNUMBER(VALUE(LEFT(TRIM(C618),1))),TRIM(C618),TRIM(MID(TRIM(C618),FIND(" ",TRIM(C618))+1,99)))))</f>
        <v/>
      </c>
      <c r="H618" s="254">
        <f>IF(D618="","",IF(ISNUMBER(D618),D618,IF(ISNUMBER(VALUE(LEFT(TRIM(D618),1))),TRIM(D618),TRIM(MID(TRIM(D618),FIND(" ",TRIM(D618))+1,99)))))</f>
        <v/>
      </c>
      <c r="I618" s="255">
        <f>IF(G618="",0,IF(ISNUMBER(G618),G618,IFERROR(DATE(VALUE(MID(G618,FIND("/",G618,FIND("/",G618)+1)+1,4)),VALUE(MID(G618,FIND("/",G618)+1,FIND("/",G618,FIND("/",G618)+1)-FIND("/",G618)-1)),VALUE(LEFT(G618,FIND("/",G618)-1)))+IFERROR(TIMEVALUE(TRIM(MID(G618,FIND(" ",G618)+1,20))),0),0)))</f>
        <v/>
      </c>
      <c r="J618" s="255">
        <f>IF(H618="",0,IF(ISNUMBER(H618),H618,IFERROR(DATE(VALUE(MID(H618,FIND("/",H618,FIND("/",H618)+1)+1,4)),VALUE(MID(H618,FIND("/",H618)+1,FIND("/",H618,FIND("/",H618)+1)-FIND("/",H618)-1)),VALUE(LEFT(H618,FIND("/",H618)-1)))+IFERROR(TIMEVALUE(TRIM(MID(H618,FIND(" ",H618)+1,20))),0),0)))</f>
        <v/>
      </c>
      <c r="K618" s="256">
        <f>IF(I618=0,0,INT(I618))</f>
        <v/>
      </c>
      <c r="L618" s="257">
        <f>IF(OR(I618=0,J618=0),0,ROUND((J618-I618)*24,2))</f>
        <v/>
      </c>
      <c r="M618" s="254">
        <f>IFERROR(TRIM(MID(A618,FIND("@",SUBSTITUTE(A618,"(","@",LEN(A618)-LEN(SUBSTITUTE(A618,"(",""))))+1,FIND(")",A618,FIND("@",SUBSTITUTE(A618,"(","@",LEN(A618)-LEN(SUBSTITUTE(A618,"(","")))))-FIND("@",SUBSTITUTE(A618,"(","@",LEN(A618)-LEN(SUBSTITUTE(A618,"(",""))))-1)),"")</f>
        <v/>
      </c>
      <c r="N618" s="254">
        <f>IF(A618="","",IF(LEFT(TRIM(A618),5)="Leave","Leave",IF(OR(ISNUMBER(SEARCH("public holiday",A618)),ISNUMBER(SEARCH("Purple",E618))),"Public holiday","Event")))</f>
        <v/>
      </c>
    </row>
    <row r="619">
      <c r="G619" s="254">
        <f>IF(C619="","",IF(ISNUMBER(C619),C619,IF(ISNUMBER(VALUE(LEFT(TRIM(C619),1))),TRIM(C619),TRIM(MID(TRIM(C619),FIND(" ",TRIM(C619))+1,99)))))</f>
        <v/>
      </c>
      <c r="H619" s="254">
        <f>IF(D619="","",IF(ISNUMBER(D619),D619,IF(ISNUMBER(VALUE(LEFT(TRIM(D619),1))),TRIM(D619),TRIM(MID(TRIM(D619),FIND(" ",TRIM(D619))+1,99)))))</f>
        <v/>
      </c>
      <c r="I619" s="255">
        <f>IF(G619="",0,IF(ISNUMBER(G619),G619,IFERROR(DATE(VALUE(MID(G619,FIND("/",G619,FIND("/",G619)+1)+1,4)),VALUE(MID(G619,FIND("/",G619)+1,FIND("/",G619,FIND("/",G619)+1)-FIND("/",G619)-1)),VALUE(LEFT(G619,FIND("/",G619)-1)))+IFERROR(TIMEVALUE(TRIM(MID(G619,FIND(" ",G619)+1,20))),0),0)))</f>
        <v/>
      </c>
      <c r="J619" s="255">
        <f>IF(H619="",0,IF(ISNUMBER(H619),H619,IFERROR(DATE(VALUE(MID(H619,FIND("/",H619,FIND("/",H619)+1)+1,4)),VALUE(MID(H619,FIND("/",H619)+1,FIND("/",H619,FIND("/",H619)+1)-FIND("/",H619)-1)),VALUE(LEFT(H619,FIND("/",H619)-1)))+IFERROR(TIMEVALUE(TRIM(MID(H619,FIND(" ",H619)+1,20))),0),0)))</f>
        <v/>
      </c>
      <c r="K619" s="256">
        <f>IF(I619=0,0,INT(I619))</f>
        <v/>
      </c>
      <c r="L619" s="257">
        <f>IF(OR(I619=0,J619=0),0,ROUND((J619-I619)*24,2))</f>
        <v/>
      </c>
      <c r="M619" s="254">
        <f>IFERROR(TRIM(MID(A619,FIND("@",SUBSTITUTE(A619,"(","@",LEN(A619)-LEN(SUBSTITUTE(A619,"(",""))))+1,FIND(")",A619,FIND("@",SUBSTITUTE(A619,"(","@",LEN(A619)-LEN(SUBSTITUTE(A619,"(","")))))-FIND("@",SUBSTITUTE(A619,"(","@",LEN(A619)-LEN(SUBSTITUTE(A619,"(",""))))-1)),"")</f>
        <v/>
      </c>
      <c r="N619" s="254">
        <f>IF(A619="","",IF(LEFT(TRIM(A619),5)="Leave","Leave",IF(OR(ISNUMBER(SEARCH("public holiday",A619)),ISNUMBER(SEARCH("Purple",E619))),"Public holiday","Event")))</f>
        <v/>
      </c>
    </row>
    <row r="620">
      <c r="G620" s="254">
        <f>IF(C620="","",IF(ISNUMBER(C620),C620,IF(ISNUMBER(VALUE(LEFT(TRIM(C620),1))),TRIM(C620),TRIM(MID(TRIM(C620),FIND(" ",TRIM(C620))+1,99)))))</f>
        <v/>
      </c>
      <c r="H620" s="254">
        <f>IF(D620="","",IF(ISNUMBER(D620),D620,IF(ISNUMBER(VALUE(LEFT(TRIM(D620),1))),TRIM(D620),TRIM(MID(TRIM(D620),FIND(" ",TRIM(D620))+1,99)))))</f>
        <v/>
      </c>
      <c r="I620" s="255">
        <f>IF(G620="",0,IF(ISNUMBER(G620),G620,IFERROR(DATE(VALUE(MID(G620,FIND("/",G620,FIND("/",G620)+1)+1,4)),VALUE(MID(G620,FIND("/",G620)+1,FIND("/",G620,FIND("/",G620)+1)-FIND("/",G620)-1)),VALUE(LEFT(G620,FIND("/",G620)-1)))+IFERROR(TIMEVALUE(TRIM(MID(G620,FIND(" ",G620)+1,20))),0),0)))</f>
        <v/>
      </c>
      <c r="J620" s="255">
        <f>IF(H620="",0,IF(ISNUMBER(H620),H620,IFERROR(DATE(VALUE(MID(H620,FIND("/",H620,FIND("/",H620)+1)+1,4)),VALUE(MID(H620,FIND("/",H620)+1,FIND("/",H620,FIND("/",H620)+1)-FIND("/",H620)-1)),VALUE(LEFT(H620,FIND("/",H620)-1)))+IFERROR(TIMEVALUE(TRIM(MID(H620,FIND(" ",H620)+1,20))),0),0)))</f>
        <v/>
      </c>
      <c r="K620" s="256">
        <f>IF(I620=0,0,INT(I620))</f>
        <v/>
      </c>
      <c r="L620" s="257">
        <f>IF(OR(I620=0,J620=0),0,ROUND((J620-I620)*24,2))</f>
        <v/>
      </c>
      <c r="M620" s="254">
        <f>IFERROR(TRIM(MID(A620,FIND("@",SUBSTITUTE(A620,"(","@",LEN(A620)-LEN(SUBSTITUTE(A620,"(",""))))+1,FIND(")",A620,FIND("@",SUBSTITUTE(A620,"(","@",LEN(A620)-LEN(SUBSTITUTE(A620,"(","")))))-FIND("@",SUBSTITUTE(A620,"(","@",LEN(A620)-LEN(SUBSTITUTE(A620,"(",""))))-1)),"")</f>
        <v/>
      </c>
      <c r="N620" s="254">
        <f>IF(A620="","",IF(LEFT(TRIM(A620),5)="Leave","Leave",IF(OR(ISNUMBER(SEARCH("public holiday",A620)),ISNUMBER(SEARCH("Purple",E620))),"Public holiday","Event")))</f>
        <v/>
      </c>
    </row>
    <row r="621">
      <c r="G621" s="254">
        <f>IF(C621="","",IF(ISNUMBER(C621),C621,IF(ISNUMBER(VALUE(LEFT(TRIM(C621),1))),TRIM(C621),TRIM(MID(TRIM(C621),FIND(" ",TRIM(C621))+1,99)))))</f>
        <v/>
      </c>
      <c r="H621" s="254">
        <f>IF(D621="","",IF(ISNUMBER(D621),D621,IF(ISNUMBER(VALUE(LEFT(TRIM(D621),1))),TRIM(D621),TRIM(MID(TRIM(D621),FIND(" ",TRIM(D621))+1,99)))))</f>
        <v/>
      </c>
      <c r="I621" s="255">
        <f>IF(G621="",0,IF(ISNUMBER(G621),G621,IFERROR(DATE(VALUE(MID(G621,FIND("/",G621,FIND("/",G621)+1)+1,4)),VALUE(MID(G621,FIND("/",G621)+1,FIND("/",G621,FIND("/",G621)+1)-FIND("/",G621)-1)),VALUE(LEFT(G621,FIND("/",G621)-1)))+IFERROR(TIMEVALUE(TRIM(MID(G621,FIND(" ",G621)+1,20))),0),0)))</f>
        <v/>
      </c>
      <c r="J621" s="255">
        <f>IF(H621="",0,IF(ISNUMBER(H621),H621,IFERROR(DATE(VALUE(MID(H621,FIND("/",H621,FIND("/",H621)+1)+1,4)),VALUE(MID(H621,FIND("/",H621)+1,FIND("/",H621,FIND("/",H621)+1)-FIND("/",H621)-1)),VALUE(LEFT(H621,FIND("/",H621)-1)))+IFERROR(TIMEVALUE(TRIM(MID(H621,FIND(" ",H621)+1,20))),0),0)))</f>
        <v/>
      </c>
      <c r="K621" s="256">
        <f>IF(I621=0,0,INT(I621))</f>
        <v/>
      </c>
      <c r="L621" s="257">
        <f>IF(OR(I621=0,J621=0),0,ROUND((J621-I621)*24,2))</f>
        <v/>
      </c>
      <c r="M621" s="254">
        <f>IFERROR(TRIM(MID(A621,FIND("@",SUBSTITUTE(A621,"(","@",LEN(A621)-LEN(SUBSTITUTE(A621,"(",""))))+1,FIND(")",A621,FIND("@",SUBSTITUTE(A621,"(","@",LEN(A621)-LEN(SUBSTITUTE(A621,"(","")))))-FIND("@",SUBSTITUTE(A621,"(","@",LEN(A621)-LEN(SUBSTITUTE(A621,"(",""))))-1)),"")</f>
        <v/>
      </c>
      <c r="N621" s="254">
        <f>IF(A621="","",IF(LEFT(TRIM(A621),5)="Leave","Leave",IF(OR(ISNUMBER(SEARCH("public holiday",A621)),ISNUMBER(SEARCH("Purple",E621))),"Public holiday","Event")))</f>
        <v/>
      </c>
    </row>
    <row r="622">
      <c r="G622" s="254">
        <f>IF(C622="","",IF(ISNUMBER(C622),C622,IF(ISNUMBER(VALUE(LEFT(TRIM(C622),1))),TRIM(C622),TRIM(MID(TRIM(C622),FIND(" ",TRIM(C622))+1,99)))))</f>
        <v/>
      </c>
      <c r="H622" s="254">
        <f>IF(D622="","",IF(ISNUMBER(D622),D622,IF(ISNUMBER(VALUE(LEFT(TRIM(D622),1))),TRIM(D622),TRIM(MID(TRIM(D622),FIND(" ",TRIM(D622))+1,99)))))</f>
        <v/>
      </c>
      <c r="I622" s="255">
        <f>IF(G622="",0,IF(ISNUMBER(G622),G622,IFERROR(DATE(VALUE(MID(G622,FIND("/",G622,FIND("/",G622)+1)+1,4)),VALUE(MID(G622,FIND("/",G622)+1,FIND("/",G622,FIND("/",G622)+1)-FIND("/",G622)-1)),VALUE(LEFT(G622,FIND("/",G622)-1)))+IFERROR(TIMEVALUE(TRIM(MID(G622,FIND(" ",G622)+1,20))),0),0)))</f>
        <v/>
      </c>
      <c r="J622" s="255">
        <f>IF(H622="",0,IF(ISNUMBER(H622),H622,IFERROR(DATE(VALUE(MID(H622,FIND("/",H622,FIND("/",H622)+1)+1,4)),VALUE(MID(H622,FIND("/",H622)+1,FIND("/",H622,FIND("/",H622)+1)-FIND("/",H622)-1)),VALUE(LEFT(H622,FIND("/",H622)-1)))+IFERROR(TIMEVALUE(TRIM(MID(H622,FIND(" ",H622)+1,20))),0),0)))</f>
        <v/>
      </c>
      <c r="K622" s="256">
        <f>IF(I622=0,0,INT(I622))</f>
        <v/>
      </c>
      <c r="L622" s="257">
        <f>IF(OR(I622=0,J622=0),0,ROUND((J622-I622)*24,2))</f>
        <v/>
      </c>
      <c r="M622" s="254">
        <f>IFERROR(TRIM(MID(A622,FIND("@",SUBSTITUTE(A622,"(","@",LEN(A622)-LEN(SUBSTITUTE(A622,"(",""))))+1,FIND(")",A622,FIND("@",SUBSTITUTE(A622,"(","@",LEN(A622)-LEN(SUBSTITUTE(A622,"(","")))))-FIND("@",SUBSTITUTE(A622,"(","@",LEN(A622)-LEN(SUBSTITUTE(A622,"(",""))))-1)),"")</f>
        <v/>
      </c>
      <c r="N622" s="254">
        <f>IF(A622="","",IF(LEFT(TRIM(A622),5)="Leave","Leave",IF(OR(ISNUMBER(SEARCH("public holiday",A622)),ISNUMBER(SEARCH("Purple",E622))),"Public holiday","Event")))</f>
        <v/>
      </c>
    </row>
    <row r="623">
      <c r="G623" s="254">
        <f>IF(C623="","",IF(ISNUMBER(C623),C623,IF(ISNUMBER(VALUE(LEFT(TRIM(C623),1))),TRIM(C623),TRIM(MID(TRIM(C623),FIND(" ",TRIM(C623))+1,99)))))</f>
        <v/>
      </c>
      <c r="H623" s="254">
        <f>IF(D623="","",IF(ISNUMBER(D623),D623,IF(ISNUMBER(VALUE(LEFT(TRIM(D623),1))),TRIM(D623),TRIM(MID(TRIM(D623),FIND(" ",TRIM(D623))+1,99)))))</f>
        <v/>
      </c>
      <c r="I623" s="255">
        <f>IF(G623="",0,IF(ISNUMBER(G623),G623,IFERROR(DATE(VALUE(MID(G623,FIND("/",G623,FIND("/",G623)+1)+1,4)),VALUE(MID(G623,FIND("/",G623)+1,FIND("/",G623,FIND("/",G623)+1)-FIND("/",G623)-1)),VALUE(LEFT(G623,FIND("/",G623)-1)))+IFERROR(TIMEVALUE(TRIM(MID(G623,FIND(" ",G623)+1,20))),0),0)))</f>
        <v/>
      </c>
      <c r="J623" s="255">
        <f>IF(H623="",0,IF(ISNUMBER(H623),H623,IFERROR(DATE(VALUE(MID(H623,FIND("/",H623,FIND("/",H623)+1)+1,4)),VALUE(MID(H623,FIND("/",H623)+1,FIND("/",H623,FIND("/",H623)+1)-FIND("/",H623)-1)),VALUE(LEFT(H623,FIND("/",H623)-1)))+IFERROR(TIMEVALUE(TRIM(MID(H623,FIND(" ",H623)+1,20))),0),0)))</f>
        <v/>
      </c>
      <c r="K623" s="256">
        <f>IF(I623=0,0,INT(I623))</f>
        <v/>
      </c>
      <c r="L623" s="257">
        <f>IF(OR(I623=0,J623=0),0,ROUND((J623-I623)*24,2))</f>
        <v/>
      </c>
      <c r="M623" s="254">
        <f>IFERROR(TRIM(MID(A623,FIND("@",SUBSTITUTE(A623,"(","@",LEN(A623)-LEN(SUBSTITUTE(A623,"(",""))))+1,FIND(")",A623,FIND("@",SUBSTITUTE(A623,"(","@",LEN(A623)-LEN(SUBSTITUTE(A623,"(","")))))-FIND("@",SUBSTITUTE(A623,"(","@",LEN(A623)-LEN(SUBSTITUTE(A623,"(",""))))-1)),"")</f>
        <v/>
      </c>
      <c r="N623" s="254">
        <f>IF(A623="","",IF(LEFT(TRIM(A623),5)="Leave","Leave",IF(OR(ISNUMBER(SEARCH("public holiday",A623)),ISNUMBER(SEARCH("Purple",E623))),"Public holiday","Event")))</f>
        <v/>
      </c>
    </row>
    <row r="624">
      <c r="G624" s="254">
        <f>IF(C624="","",IF(ISNUMBER(C624),C624,IF(ISNUMBER(VALUE(LEFT(TRIM(C624),1))),TRIM(C624),TRIM(MID(TRIM(C624),FIND(" ",TRIM(C624))+1,99)))))</f>
        <v/>
      </c>
      <c r="H624" s="254">
        <f>IF(D624="","",IF(ISNUMBER(D624),D624,IF(ISNUMBER(VALUE(LEFT(TRIM(D624),1))),TRIM(D624),TRIM(MID(TRIM(D624),FIND(" ",TRIM(D624))+1,99)))))</f>
        <v/>
      </c>
      <c r="I624" s="255">
        <f>IF(G624="",0,IF(ISNUMBER(G624),G624,IFERROR(DATE(VALUE(MID(G624,FIND("/",G624,FIND("/",G624)+1)+1,4)),VALUE(MID(G624,FIND("/",G624)+1,FIND("/",G624,FIND("/",G624)+1)-FIND("/",G624)-1)),VALUE(LEFT(G624,FIND("/",G624)-1)))+IFERROR(TIMEVALUE(TRIM(MID(G624,FIND(" ",G624)+1,20))),0),0)))</f>
        <v/>
      </c>
      <c r="J624" s="255">
        <f>IF(H624="",0,IF(ISNUMBER(H624),H624,IFERROR(DATE(VALUE(MID(H624,FIND("/",H624,FIND("/",H624)+1)+1,4)),VALUE(MID(H624,FIND("/",H624)+1,FIND("/",H624,FIND("/",H624)+1)-FIND("/",H624)-1)),VALUE(LEFT(H624,FIND("/",H624)-1)))+IFERROR(TIMEVALUE(TRIM(MID(H624,FIND(" ",H624)+1,20))),0),0)))</f>
        <v/>
      </c>
      <c r="K624" s="256">
        <f>IF(I624=0,0,INT(I624))</f>
        <v/>
      </c>
      <c r="L624" s="257">
        <f>IF(OR(I624=0,J624=0),0,ROUND((J624-I624)*24,2))</f>
        <v/>
      </c>
      <c r="M624" s="254">
        <f>IFERROR(TRIM(MID(A624,FIND("@",SUBSTITUTE(A624,"(","@",LEN(A624)-LEN(SUBSTITUTE(A624,"(",""))))+1,FIND(")",A624,FIND("@",SUBSTITUTE(A624,"(","@",LEN(A624)-LEN(SUBSTITUTE(A624,"(","")))))-FIND("@",SUBSTITUTE(A624,"(","@",LEN(A624)-LEN(SUBSTITUTE(A624,"(",""))))-1)),"")</f>
        <v/>
      </c>
      <c r="N624" s="254">
        <f>IF(A624="","",IF(LEFT(TRIM(A624),5)="Leave","Leave",IF(OR(ISNUMBER(SEARCH("public holiday",A624)),ISNUMBER(SEARCH("Purple",E624))),"Public holiday","Event")))</f>
        <v/>
      </c>
    </row>
    <row r="625">
      <c r="G625" s="254">
        <f>IF(C625="","",IF(ISNUMBER(C625),C625,IF(ISNUMBER(VALUE(LEFT(TRIM(C625),1))),TRIM(C625),TRIM(MID(TRIM(C625),FIND(" ",TRIM(C625))+1,99)))))</f>
        <v/>
      </c>
      <c r="H625" s="254">
        <f>IF(D625="","",IF(ISNUMBER(D625),D625,IF(ISNUMBER(VALUE(LEFT(TRIM(D625),1))),TRIM(D625),TRIM(MID(TRIM(D625),FIND(" ",TRIM(D625))+1,99)))))</f>
        <v/>
      </c>
      <c r="I625" s="255">
        <f>IF(G625="",0,IF(ISNUMBER(G625),G625,IFERROR(DATE(VALUE(MID(G625,FIND("/",G625,FIND("/",G625)+1)+1,4)),VALUE(MID(G625,FIND("/",G625)+1,FIND("/",G625,FIND("/",G625)+1)-FIND("/",G625)-1)),VALUE(LEFT(G625,FIND("/",G625)-1)))+IFERROR(TIMEVALUE(TRIM(MID(G625,FIND(" ",G625)+1,20))),0),0)))</f>
        <v/>
      </c>
      <c r="J625" s="255">
        <f>IF(H625="",0,IF(ISNUMBER(H625),H625,IFERROR(DATE(VALUE(MID(H625,FIND("/",H625,FIND("/",H625)+1)+1,4)),VALUE(MID(H625,FIND("/",H625)+1,FIND("/",H625,FIND("/",H625)+1)-FIND("/",H625)-1)),VALUE(LEFT(H625,FIND("/",H625)-1)))+IFERROR(TIMEVALUE(TRIM(MID(H625,FIND(" ",H625)+1,20))),0),0)))</f>
        <v/>
      </c>
      <c r="K625" s="256">
        <f>IF(I625=0,0,INT(I625))</f>
        <v/>
      </c>
      <c r="L625" s="257">
        <f>IF(OR(I625=0,J625=0),0,ROUND((J625-I625)*24,2))</f>
        <v/>
      </c>
      <c r="M625" s="254">
        <f>IFERROR(TRIM(MID(A625,FIND("@",SUBSTITUTE(A625,"(","@",LEN(A625)-LEN(SUBSTITUTE(A625,"(",""))))+1,FIND(")",A625,FIND("@",SUBSTITUTE(A625,"(","@",LEN(A625)-LEN(SUBSTITUTE(A625,"(","")))))-FIND("@",SUBSTITUTE(A625,"(","@",LEN(A625)-LEN(SUBSTITUTE(A625,"(",""))))-1)),"")</f>
        <v/>
      </c>
      <c r="N625" s="254">
        <f>IF(A625="","",IF(LEFT(TRIM(A625),5)="Leave","Leave",IF(OR(ISNUMBER(SEARCH("public holiday",A625)),ISNUMBER(SEARCH("Purple",E625))),"Public holiday","Event")))</f>
        <v/>
      </c>
    </row>
    <row r="626">
      <c r="G626" s="254">
        <f>IF(C626="","",IF(ISNUMBER(C626),C626,IF(ISNUMBER(VALUE(LEFT(TRIM(C626),1))),TRIM(C626),TRIM(MID(TRIM(C626),FIND(" ",TRIM(C626))+1,99)))))</f>
        <v/>
      </c>
      <c r="H626" s="254">
        <f>IF(D626="","",IF(ISNUMBER(D626),D626,IF(ISNUMBER(VALUE(LEFT(TRIM(D626),1))),TRIM(D626),TRIM(MID(TRIM(D626),FIND(" ",TRIM(D626))+1,99)))))</f>
        <v/>
      </c>
      <c r="I626" s="255">
        <f>IF(G626="",0,IF(ISNUMBER(G626),G626,IFERROR(DATE(VALUE(MID(G626,FIND("/",G626,FIND("/",G626)+1)+1,4)),VALUE(MID(G626,FIND("/",G626)+1,FIND("/",G626,FIND("/",G626)+1)-FIND("/",G626)-1)),VALUE(LEFT(G626,FIND("/",G626)-1)))+IFERROR(TIMEVALUE(TRIM(MID(G626,FIND(" ",G626)+1,20))),0),0)))</f>
        <v/>
      </c>
      <c r="J626" s="255">
        <f>IF(H626="",0,IF(ISNUMBER(H626),H626,IFERROR(DATE(VALUE(MID(H626,FIND("/",H626,FIND("/",H626)+1)+1,4)),VALUE(MID(H626,FIND("/",H626)+1,FIND("/",H626,FIND("/",H626)+1)-FIND("/",H626)-1)),VALUE(LEFT(H626,FIND("/",H626)-1)))+IFERROR(TIMEVALUE(TRIM(MID(H626,FIND(" ",H626)+1,20))),0),0)))</f>
        <v/>
      </c>
      <c r="K626" s="256">
        <f>IF(I626=0,0,INT(I626))</f>
        <v/>
      </c>
      <c r="L626" s="257">
        <f>IF(OR(I626=0,J626=0),0,ROUND((J626-I626)*24,2))</f>
        <v/>
      </c>
      <c r="M626" s="254">
        <f>IFERROR(TRIM(MID(A626,FIND("@",SUBSTITUTE(A626,"(","@",LEN(A626)-LEN(SUBSTITUTE(A626,"(",""))))+1,FIND(")",A626,FIND("@",SUBSTITUTE(A626,"(","@",LEN(A626)-LEN(SUBSTITUTE(A626,"(","")))))-FIND("@",SUBSTITUTE(A626,"(","@",LEN(A626)-LEN(SUBSTITUTE(A626,"(",""))))-1)),"")</f>
        <v/>
      </c>
      <c r="N626" s="254">
        <f>IF(A626="","",IF(LEFT(TRIM(A626),5)="Leave","Leave",IF(OR(ISNUMBER(SEARCH("public holiday",A626)),ISNUMBER(SEARCH("Purple",E626))),"Public holiday","Event")))</f>
        <v/>
      </c>
    </row>
    <row r="627">
      <c r="G627" s="254">
        <f>IF(C627="","",IF(ISNUMBER(C627),C627,IF(ISNUMBER(VALUE(LEFT(TRIM(C627),1))),TRIM(C627),TRIM(MID(TRIM(C627),FIND(" ",TRIM(C627))+1,99)))))</f>
        <v/>
      </c>
      <c r="H627" s="254">
        <f>IF(D627="","",IF(ISNUMBER(D627),D627,IF(ISNUMBER(VALUE(LEFT(TRIM(D627),1))),TRIM(D627),TRIM(MID(TRIM(D627),FIND(" ",TRIM(D627))+1,99)))))</f>
        <v/>
      </c>
      <c r="I627" s="255">
        <f>IF(G627="",0,IF(ISNUMBER(G627),G627,IFERROR(DATE(VALUE(MID(G627,FIND("/",G627,FIND("/",G627)+1)+1,4)),VALUE(MID(G627,FIND("/",G627)+1,FIND("/",G627,FIND("/",G627)+1)-FIND("/",G627)-1)),VALUE(LEFT(G627,FIND("/",G627)-1)))+IFERROR(TIMEVALUE(TRIM(MID(G627,FIND(" ",G627)+1,20))),0),0)))</f>
        <v/>
      </c>
      <c r="J627" s="255">
        <f>IF(H627="",0,IF(ISNUMBER(H627),H627,IFERROR(DATE(VALUE(MID(H627,FIND("/",H627,FIND("/",H627)+1)+1,4)),VALUE(MID(H627,FIND("/",H627)+1,FIND("/",H627,FIND("/",H627)+1)-FIND("/",H627)-1)),VALUE(LEFT(H627,FIND("/",H627)-1)))+IFERROR(TIMEVALUE(TRIM(MID(H627,FIND(" ",H627)+1,20))),0),0)))</f>
        <v/>
      </c>
      <c r="K627" s="256">
        <f>IF(I627=0,0,INT(I627))</f>
        <v/>
      </c>
      <c r="L627" s="257">
        <f>IF(OR(I627=0,J627=0),0,ROUND((J627-I627)*24,2))</f>
        <v/>
      </c>
      <c r="M627" s="254">
        <f>IFERROR(TRIM(MID(A627,FIND("@",SUBSTITUTE(A627,"(","@",LEN(A627)-LEN(SUBSTITUTE(A627,"(",""))))+1,FIND(")",A627,FIND("@",SUBSTITUTE(A627,"(","@",LEN(A627)-LEN(SUBSTITUTE(A627,"(","")))))-FIND("@",SUBSTITUTE(A627,"(","@",LEN(A627)-LEN(SUBSTITUTE(A627,"(",""))))-1)),"")</f>
        <v/>
      </c>
      <c r="N627" s="254">
        <f>IF(A627="","",IF(LEFT(TRIM(A627),5)="Leave","Leave",IF(OR(ISNUMBER(SEARCH("public holiday",A627)),ISNUMBER(SEARCH("Purple",E627))),"Public holiday","Event")))</f>
        <v/>
      </c>
    </row>
    <row r="628">
      <c r="G628" s="254">
        <f>IF(C628="","",IF(ISNUMBER(C628),C628,IF(ISNUMBER(VALUE(LEFT(TRIM(C628),1))),TRIM(C628),TRIM(MID(TRIM(C628),FIND(" ",TRIM(C628))+1,99)))))</f>
        <v/>
      </c>
      <c r="H628" s="254">
        <f>IF(D628="","",IF(ISNUMBER(D628),D628,IF(ISNUMBER(VALUE(LEFT(TRIM(D628),1))),TRIM(D628),TRIM(MID(TRIM(D628),FIND(" ",TRIM(D628))+1,99)))))</f>
        <v/>
      </c>
      <c r="I628" s="255">
        <f>IF(G628="",0,IF(ISNUMBER(G628),G628,IFERROR(DATE(VALUE(MID(G628,FIND("/",G628,FIND("/",G628)+1)+1,4)),VALUE(MID(G628,FIND("/",G628)+1,FIND("/",G628,FIND("/",G628)+1)-FIND("/",G628)-1)),VALUE(LEFT(G628,FIND("/",G628)-1)))+IFERROR(TIMEVALUE(TRIM(MID(G628,FIND(" ",G628)+1,20))),0),0)))</f>
        <v/>
      </c>
      <c r="J628" s="255">
        <f>IF(H628="",0,IF(ISNUMBER(H628),H628,IFERROR(DATE(VALUE(MID(H628,FIND("/",H628,FIND("/",H628)+1)+1,4)),VALUE(MID(H628,FIND("/",H628)+1,FIND("/",H628,FIND("/",H628)+1)-FIND("/",H628)-1)),VALUE(LEFT(H628,FIND("/",H628)-1)))+IFERROR(TIMEVALUE(TRIM(MID(H628,FIND(" ",H628)+1,20))),0),0)))</f>
        <v/>
      </c>
      <c r="K628" s="256">
        <f>IF(I628=0,0,INT(I628))</f>
        <v/>
      </c>
      <c r="L628" s="257">
        <f>IF(OR(I628=0,J628=0),0,ROUND((J628-I628)*24,2))</f>
        <v/>
      </c>
      <c r="M628" s="254">
        <f>IFERROR(TRIM(MID(A628,FIND("@",SUBSTITUTE(A628,"(","@",LEN(A628)-LEN(SUBSTITUTE(A628,"(",""))))+1,FIND(")",A628,FIND("@",SUBSTITUTE(A628,"(","@",LEN(A628)-LEN(SUBSTITUTE(A628,"(","")))))-FIND("@",SUBSTITUTE(A628,"(","@",LEN(A628)-LEN(SUBSTITUTE(A628,"(",""))))-1)),"")</f>
        <v/>
      </c>
      <c r="N628" s="254">
        <f>IF(A628="","",IF(LEFT(TRIM(A628),5)="Leave","Leave",IF(OR(ISNUMBER(SEARCH("public holiday",A628)),ISNUMBER(SEARCH("Purple",E628))),"Public holiday","Event")))</f>
        <v/>
      </c>
    </row>
    <row r="629">
      <c r="G629" s="254">
        <f>IF(C629="","",IF(ISNUMBER(C629),C629,IF(ISNUMBER(VALUE(LEFT(TRIM(C629),1))),TRIM(C629),TRIM(MID(TRIM(C629),FIND(" ",TRIM(C629))+1,99)))))</f>
        <v/>
      </c>
      <c r="H629" s="254">
        <f>IF(D629="","",IF(ISNUMBER(D629),D629,IF(ISNUMBER(VALUE(LEFT(TRIM(D629),1))),TRIM(D629),TRIM(MID(TRIM(D629),FIND(" ",TRIM(D629))+1,99)))))</f>
        <v/>
      </c>
      <c r="I629" s="255">
        <f>IF(G629="",0,IF(ISNUMBER(G629),G629,IFERROR(DATE(VALUE(MID(G629,FIND("/",G629,FIND("/",G629)+1)+1,4)),VALUE(MID(G629,FIND("/",G629)+1,FIND("/",G629,FIND("/",G629)+1)-FIND("/",G629)-1)),VALUE(LEFT(G629,FIND("/",G629)-1)))+IFERROR(TIMEVALUE(TRIM(MID(G629,FIND(" ",G629)+1,20))),0),0)))</f>
        <v/>
      </c>
      <c r="J629" s="255">
        <f>IF(H629="",0,IF(ISNUMBER(H629),H629,IFERROR(DATE(VALUE(MID(H629,FIND("/",H629,FIND("/",H629)+1)+1,4)),VALUE(MID(H629,FIND("/",H629)+1,FIND("/",H629,FIND("/",H629)+1)-FIND("/",H629)-1)),VALUE(LEFT(H629,FIND("/",H629)-1)))+IFERROR(TIMEVALUE(TRIM(MID(H629,FIND(" ",H629)+1,20))),0),0)))</f>
        <v/>
      </c>
      <c r="K629" s="256">
        <f>IF(I629=0,0,INT(I629))</f>
        <v/>
      </c>
      <c r="L629" s="257">
        <f>IF(OR(I629=0,J629=0),0,ROUND((J629-I629)*24,2))</f>
        <v/>
      </c>
      <c r="M629" s="254">
        <f>IFERROR(TRIM(MID(A629,FIND("@",SUBSTITUTE(A629,"(","@",LEN(A629)-LEN(SUBSTITUTE(A629,"(",""))))+1,FIND(")",A629,FIND("@",SUBSTITUTE(A629,"(","@",LEN(A629)-LEN(SUBSTITUTE(A629,"(","")))))-FIND("@",SUBSTITUTE(A629,"(","@",LEN(A629)-LEN(SUBSTITUTE(A629,"(",""))))-1)),"")</f>
        <v/>
      </c>
      <c r="N629" s="254">
        <f>IF(A629="","",IF(LEFT(TRIM(A629),5)="Leave","Leave",IF(OR(ISNUMBER(SEARCH("public holiday",A629)),ISNUMBER(SEARCH("Purple",E629))),"Public holiday","Event")))</f>
        <v/>
      </c>
    </row>
    <row r="630">
      <c r="G630" s="254">
        <f>IF(C630="","",IF(ISNUMBER(C630),C630,IF(ISNUMBER(VALUE(LEFT(TRIM(C630),1))),TRIM(C630),TRIM(MID(TRIM(C630),FIND(" ",TRIM(C630))+1,99)))))</f>
        <v/>
      </c>
      <c r="H630" s="254">
        <f>IF(D630="","",IF(ISNUMBER(D630),D630,IF(ISNUMBER(VALUE(LEFT(TRIM(D630),1))),TRIM(D630),TRIM(MID(TRIM(D630),FIND(" ",TRIM(D630))+1,99)))))</f>
        <v/>
      </c>
      <c r="I630" s="255">
        <f>IF(G630="",0,IF(ISNUMBER(G630),G630,IFERROR(DATE(VALUE(MID(G630,FIND("/",G630,FIND("/",G630)+1)+1,4)),VALUE(MID(G630,FIND("/",G630)+1,FIND("/",G630,FIND("/",G630)+1)-FIND("/",G630)-1)),VALUE(LEFT(G630,FIND("/",G630)-1)))+IFERROR(TIMEVALUE(TRIM(MID(G630,FIND(" ",G630)+1,20))),0),0)))</f>
        <v/>
      </c>
      <c r="J630" s="255">
        <f>IF(H630="",0,IF(ISNUMBER(H630),H630,IFERROR(DATE(VALUE(MID(H630,FIND("/",H630,FIND("/",H630)+1)+1,4)),VALUE(MID(H630,FIND("/",H630)+1,FIND("/",H630,FIND("/",H630)+1)-FIND("/",H630)-1)),VALUE(LEFT(H630,FIND("/",H630)-1)))+IFERROR(TIMEVALUE(TRIM(MID(H630,FIND(" ",H630)+1,20))),0),0)))</f>
        <v/>
      </c>
      <c r="K630" s="256">
        <f>IF(I630=0,0,INT(I630))</f>
        <v/>
      </c>
      <c r="L630" s="257">
        <f>IF(OR(I630=0,J630=0),0,ROUND((J630-I630)*24,2))</f>
        <v/>
      </c>
      <c r="M630" s="254">
        <f>IFERROR(TRIM(MID(A630,FIND("@",SUBSTITUTE(A630,"(","@",LEN(A630)-LEN(SUBSTITUTE(A630,"(",""))))+1,FIND(")",A630,FIND("@",SUBSTITUTE(A630,"(","@",LEN(A630)-LEN(SUBSTITUTE(A630,"(","")))))-FIND("@",SUBSTITUTE(A630,"(","@",LEN(A630)-LEN(SUBSTITUTE(A630,"(",""))))-1)),"")</f>
        <v/>
      </c>
      <c r="N630" s="254">
        <f>IF(A630="","",IF(LEFT(TRIM(A630),5)="Leave","Leave",IF(OR(ISNUMBER(SEARCH("public holiday",A630)),ISNUMBER(SEARCH("Purple",E630))),"Public holiday","Event")))</f>
        <v/>
      </c>
    </row>
    <row r="631">
      <c r="G631" s="254">
        <f>IF(C631="","",IF(ISNUMBER(C631),C631,IF(ISNUMBER(VALUE(LEFT(TRIM(C631),1))),TRIM(C631),TRIM(MID(TRIM(C631),FIND(" ",TRIM(C631))+1,99)))))</f>
        <v/>
      </c>
      <c r="H631" s="254">
        <f>IF(D631="","",IF(ISNUMBER(D631),D631,IF(ISNUMBER(VALUE(LEFT(TRIM(D631),1))),TRIM(D631),TRIM(MID(TRIM(D631),FIND(" ",TRIM(D631))+1,99)))))</f>
        <v/>
      </c>
      <c r="I631" s="255">
        <f>IF(G631="",0,IF(ISNUMBER(G631),G631,IFERROR(DATE(VALUE(MID(G631,FIND("/",G631,FIND("/",G631)+1)+1,4)),VALUE(MID(G631,FIND("/",G631)+1,FIND("/",G631,FIND("/",G631)+1)-FIND("/",G631)-1)),VALUE(LEFT(G631,FIND("/",G631)-1)))+IFERROR(TIMEVALUE(TRIM(MID(G631,FIND(" ",G631)+1,20))),0),0)))</f>
        <v/>
      </c>
      <c r="J631" s="255">
        <f>IF(H631="",0,IF(ISNUMBER(H631),H631,IFERROR(DATE(VALUE(MID(H631,FIND("/",H631,FIND("/",H631)+1)+1,4)),VALUE(MID(H631,FIND("/",H631)+1,FIND("/",H631,FIND("/",H631)+1)-FIND("/",H631)-1)),VALUE(LEFT(H631,FIND("/",H631)-1)))+IFERROR(TIMEVALUE(TRIM(MID(H631,FIND(" ",H631)+1,20))),0),0)))</f>
        <v/>
      </c>
      <c r="K631" s="256">
        <f>IF(I631=0,0,INT(I631))</f>
        <v/>
      </c>
      <c r="L631" s="257">
        <f>IF(OR(I631=0,J631=0),0,ROUND((J631-I631)*24,2))</f>
        <v/>
      </c>
      <c r="M631" s="254">
        <f>IFERROR(TRIM(MID(A631,FIND("@",SUBSTITUTE(A631,"(","@",LEN(A631)-LEN(SUBSTITUTE(A631,"(",""))))+1,FIND(")",A631,FIND("@",SUBSTITUTE(A631,"(","@",LEN(A631)-LEN(SUBSTITUTE(A631,"(","")))))-FIND("@",SUBSTITUTE(A631,"(","@",LEN(A631)-LEN(SUBSTITUTE(A631,"(",""))))-1)),"")</f>
        <v/>
      </c>
      <c r="N631" s="254">
        <f>IF(A631="","",IF(LEFT(TRIM(A631),5)="Leave","Leave",IF(OR(ISNUMBER(SEARCH("public holiday",A631)),ISNUMBER(SEARCH("Purple",E631))),"Public holiday","Event")))</f>
        <v/>
      </c>
    </row>
    <row r="632">
      <c r="G632" s="254">
        <f>IF(C632="","",IF(ISNUMBER(C632),C632,IF(ISNUMBER(VALUE(LEFT(TRIM(C632),1))),TRIM(C632),TRIM(MID(TRIM(C632),FIND(" ",TRIM(C632))+1,99)))))</f>
        <v/>
      </c>
      <c r="H632" s="254">
        <f>IF(D632="","",IF(ISNUMBER(D632),D632,IF(ISNUMBER(VALUE(LEFT(TRIM(D632),1))),TRIM(D632),TRIM(MID(TRIM(D632),FIND(" ",TRIM(D632))+1,99)))))</f>
        <v/>
      </c>
      <c r="I632" s="255">
        <f>IF(G632="",0,IF(ISNUMBER(G632),G632,IFERROR(DATE(VALUE(MID(G632,FIND("/",G632,FIND("/",G632)+1)+1,4)),VALUE(MID(G632,FIND("/",G632)+1,FIND("/",G632,FIND("/",G632)+1)-FIND("/",G632)-1)),VALUE(LEFT(G632,FIND("/",G632)-1)))+IFERROR(TIMEVALUE(TRIM(MID(G632,FIND(" ",G632)+1,20))),0),0)))</f>
        <v/>
      </c>
      <c r="J632" s="255">
        <f>IF(H632="",0,IF(ISNUMBER(H632),H632,IFERROR(DATE(VALUE(MID(H632,FIND("/",H632,FIND("/",H632)+1)+1,4)),VALUE(MID(H632,FIND("/",H632)+1,FIND("/",H632,FIND("/",H632)+1)-FIND("/",H632)-1)),VALUE(LEFT(H632,FIND("/",H632)-1)))+IFERROR(TIMEVALUE(TRIM(MID(H632,FIND(" ",H632)+1,20))),0),0)))</f>
        <v/>
      </c>
      <c r="K632" s="256">
        <f>IF(I632=0,0,INT(I632))</f>
        <v/>
      </c>
      <c r="L632" s="257">
        <f>IF(OR(I632=0,J632=0),0,ROUND((J632-I632)*24,2))</f>
        <v/>
      </c>
      <c r="M632" s="254">
        <f>IFERROR(TRIM(MID(A632,FIND("@",SUBSTITUTE(A632,"(","@",LEN(A632)-LEN(SUBSTITUTE(A632,"(",""))))+1,FIND(")",A632,FIND("@",SUBSTITUTE(A632,"(","@",LEN(A632)-LEN(SUBSTITUTE(A632,"(","")))))-FIND("@",SUBSTITUTE(A632,"(","@",LEN(A632)-LEN(SUBSTITUTE(A632,"(",""))))-1)),"")</f>
        <v/>
      </c>
      <c r="N632" s="254">
        <f>IF(A632="","",IF(LEFT(TRIM(A632),5)="Leave","Leave",IF(OR(ISNUMBER(SEARCH("public holiday",A632)),ISNUMBER(SEARCH("Purple",E632))),"Public holiday","Event")))</f>
        <v/>
      </c>
    </row>
    <row r="633">
      <c r="G633" s="254">
        <f>IF(C633="","",IF(ISNUMBER(C633),C633,IF(ISNUMBER(VALUE(LEFT(TRIM(C633),1))),TRIM(C633),TRIM(MID(TRIM(C633),FIND(" ",TRIM(C633))+1,99)))))</f>
        <v/>
      </c>
      <c r="H633" s="254">
        <f>IF(D633="","",IF(ISNUMBER(D633),D633,IF(ISNUMBER(VALUE(LEFT(TRIM(D633),1))),TRIM(D633),TRIM(MID(TRIM(D633),FIND(" ",TRIM(D633))+1,99)))))</f>
        <v/>
      </c>
      <c r="I633" s="255">
        <f>IF(G633="",0,IF(ISNUMBER(G633),G633,IFERROR(DATE(VALUE(MID(G633,FIND("/",G633,FIND("/",G633)+1)+1,4)),VALUE(MID(G633,FIND("/",G633)+1,FIND("/",G633,FIND("/",G633)+1)-FIND("/",G633)-1)),VALUE(LEFT(G633,FIND("/",G633)-1)))+IFERROR(TIMEVALUE(TRIM(MID(G633,FIND(" ",G633)+1,20))),0),0)))</f>
        <v/>
      </c>
      <c r="J633" s="255">
        <f>IF(H633="",0,IF(ISNUMBER(H633),H633,IFERROR(DATE(VALUE(MID(H633,FIND("/",H633,FIND("/",H633)+1)+1,4)),VALUE(MID(H633,FIND("/",H633)+1,FIND("/",H633,FIND("/",H633)+1)-FIND("/",H633)-1)),VALUE(LEFT(H633,FIND("/",H633)-1)))+IFERROR(TIMEVALUE(TRIM(MID(H633,FIND(" ",H633)+1,20))),0),0)))</f>
        <v/>
      </c>
      <c r="K633" s="256">
        <f>IF(I633=0,0,INT(I633))</f>
        <v/>
      </c>
      <c r="L633" s="257">
        <f>IF(OR(I633=0,J633=0),0,ROUND((J633-I633)*24,2))</f>
        <v/>
      </c>
      <c r="M633" s="254">
        <f>IFERROR(TRIM(MID(A633,FIND("@",SUBSTITUTE(A633,"(","@",LEN(A633)-LEN(SUBSTITUTE(A633,"(",""))))+1,FIND(")",A633,FIND("@",SUBSTITUTE(A633,"(","@",LEN(A633)-LEN(SUBSTITUTE(A633,"(","")))))-FIND("@",SUBSTITUTE(A633,"(","@",LEN(A633)-LEN(SUBSTITUTE(A633,"(",""))))-1)),"")</f>
        <v/>
      </c>
      <c r="N633" s="254">
        <f>IF(A633="","",IF(LEFT(TRIM(A633),5)="Leave","Leave",IF(OR(ISNUMBER(SEARCH("public holiday",A633)),ISNUMBER(SEARCH("Purple",E633))),"Public holiday","Event")))</f>
        <v/>
      </c>
    </row>
    <row r="634">
      <c r="G634" s="254">
        <f>IF(C634="","",IF(ISNUMBER(C634),C634,IF(ISNUMBER(VALUE(LEFT(TRIM(C634),1))),TRIM(C634),TRIM(MID(TRIM(C634),FIND(" ",TRIM(C634))+1,99)))))</f>
        <v/>
      </c>
      <c r="H634" s="254">
        <f>IF(D634="","",IF(ISNUMBER(D634),D634,IF(ISNUMBER(VALUE(LEFT(TRIM(D634),1))),TRIM(D634),TRIM(MID(TRIM(D634),FIND(" ",TRIM(D634))+1,99)))))</f>
        <v/>
      </c>
      <c r="I634" s="255">
        <f>IF(G634="",0,IF(ISNUMBER(G634),G634,IFERROR(DATE(VALUE(MID(G634,FIND("/",G634,FIND("/",G634)+1)+1,4)),VALUE(MID(G634,FIND("/",G634)+1,FIND("/",G634,FIND("/",G634)+1)-FIND("/",G634)-1)),VALUE(LEFT(G634,FIND("/",G634)-1)))+IFERROR(TIMEVALUE(TRIM(MID(G634,FIND(" ",G634)+1,20))),0),0)))</f>
        <v/>
      </c>
      <c r="J634" s="255">
        <f>IF(H634="",0,IF(ISNUMBER(H634),H634,IFERROR(DATE(VALUE(MID(H634,FIND("/",H634,FIND("/",H634)+1)+1,4)),VALUE(MID(H634,FIND("/",H634)+1,FIND("/",H634,FIND("/",H634)+1)-FIND("/",H634)-1)),VALUE(LEFT(H634,FIND("/",H634)-1)))+IFERROR(TIMEVALUE(TRIM(MID(H634,FIND(" ",H634)+1,20))),0),0)))</f>
        <v/>
      </c>
      <c r="K634" s="256">
        <f>IF(I634=0,0,INT(I634))</f>
        <v/>
      </c>
      <c r="L634" s="257">
        <f>IF(OR(I634=0,J634=0),0,ROUND((J634-I634)*24,2))</f>
        <v/>
      </c>
      <c r="M634" s="254">
        <f>IFERROR(TRIM(MID(A634,FIND("@",SUBSTITUTE(A634,"(","@",LEN(A634)-LEN(SUBSTITUTE(A634,"(",""))))+1,FIND(")",A634,FIND("@",SUBSTITUTE(A634,"(","@",LEN(A634)-LEN(SUBSTITUTE(A634,"(","")))))-FIND("@",SUBSTITUTE(A634,"(","@",LEN(A634)-LEN(SUBSTITUTE(A634,"(",""))))-1)),"")</f>
        <v/>
      </c>
      <c r="N634" s="254">
        <f>IF(A634="","",IF(LEFT(TRIM(A634),5)="Leave","Leave",IF(OR(ISNUMBER(SEARCH("public holiday",A634)),ISNUMBER(SEARCH("Purple",E634))),"Public holiday","Event")))</f>
        <v/>
      </c>
    </row>
    <row r="635">
      <c r="G635" s="254">
        <f>IF(C635="","",IF(ISNUMBER(C635),C635,IF(ISNUMBER(VALUE(LEFT(TRIM(C635),1))),TRIM(C635),TRIM(MID(TRIM(C635),FIND(" ",TRIM(C635))+1,99)))))</f>
        <v/>
      </c>
      <c r="H635" s="254">
        <f>IF(D635="","",IF(ISNUMBER(D635),D635,IF(ISNUMBER(VALUE(LEFT(TRIM(D635),1))),TRIM(D635),TRIM(MID(TRIM(D635),FIND(" ",TRIM(D635))+1,99)))))</f>
        <v/>
      </c>
      <c r="I635" s="255">
        <f>IF(G635="",0,IF(ISNUMBER(G635),G635,IFERROR(DATE(VALUE(MID(G635,FIND("/",G635,FIND("/",G635)+1)+1,4)),VALUE(MID(G635,FIND("/",G635)+1,FIND("/",G635,FIND("/",G635)+1)-FIND("/",G635)-1)),VALUE(LEFT(G635,FIND("/",G635)-1)))+IFERROR(TIMEVALUE(TRIM(MID(G635,FIND(" ",G635)+1,20))),0),0)))</f>
        <v/>
      </c>
      <c r="J635" s="255">
        <f>IF(H635="",0,IF(ISNUMBER(H635),H635,IFERROR(DATE(VALUE(MID(H635,FIND("/",H635,FIND("/",H635)+1)+1,4)),VALUE(MID(H635,FIND("/",H635)+1,FIND("/",H635,FIND("/",H635)+1)-FIND("/",H635)-1)),VALUE(LEFT(H635,FIND("/",H635)-1)))+IFERROR(TIMEVALUE(TRIM(MID(H635,FIND(" ",H635)+1,20))),0),0)))</f>
        <v/>
      </c>
      <c r="K635" s="256">
        <f>IF(I635=0,0,INT(I635))</f>
        <v/>
      </c>
      <c r="L635" s="257">
        <f>IF(OR(I635=0,J635=0),0,ROUND((J635-I635)*24,2))</f>
        <v/>
      </c>
      <c r="M635" s="254">
        <f>IFERROR(TRIM(MID(A635,FIND("@",SUBSTITUTE(A635,"(","@",LEN(A635)-LEN(SUBSTITUTE(A635,"(",""))))+1,FIND(")",A635,FIND("@",SUBSTITUTE(A635,"(","@",LEN(A635)-LEN(SUBSTITUTE(A635,"(","")))))-FIND("@",SUBSTITUTE(A635,"(","@",LEN(A635)-LEN(SUBSTITUTE(A635,"(",""))))-1)),"")</f>
        <v/>
      </c>
      <c r="N635" s="254">
        <f>IF(A635="","",IF(LEFT(TRIM(A635),5)="Leave","Leave",IF(OR(ISNUMBER(SEARCH("public holiday",A635)),ISNUMBER(SEARCH("Purple",E635))),"Public holiday","Event")))</f>
        <v/>
      </c>
    </row>
    <row r="636">
      <c r="G636" s="254">
        <f>IF(C636="","",IF(ISNUMBER(C636),C636,IF(ISNUMBER(VALUE(LEFT(TRIM(C636),1))),TRIM(C636),TRIM(MID(TRIM(C636),FIND(" ",TRIM(C636))+1,99)))))</f>
        <v/>
      </c>
      <c r="H636" s="254">
        <f>IF(D636="","",IF(ISNUMBER(D636),D636,IF(ISNUMBER(VALUE(LEFT(TRIM(D636),1))),TRIM(D636),TRIM(MID(TRIM(D636),FIND(" ",TRIM(D636))+1,99)))))</f>
        <v/>
      </c>
      <c r="I636" s="255">
        <f>IF(G636="",0,IF(ISNUMBER(G636),G636,IFERROR(DATE(VALUE(MID(G636,FIND("/",G636,FIND("/",G636)+1)+1,4)),VALUE(MID(G636,FIND("/",G636)+1,FIND("/",G636,FIND("/",G636)+1)-FIND("/",G636)-1)),VALUE(LEFT(G636,FIND("/",G636)-1)))+IFERROR(TIMEVALUE(TRIM(MID(G636,FIND(" ",G636)+1,20))),0),0)))</f>
        <v/>
      </c>
      <c r="J636" s="255">
        <f>IF(H636="",0,IF(ISNUMBER(H636),H636,IFERROR(DATE(VALUE(MID(H636,FIND("/",H636,FIND("/",H636)+1)+1,4)),VALUE(MID(H636,FIND("/",H636)+1,FIND("/",H636,FIND("/",H636)+1)-FIND("/",H636)-1)),VALUE(LEFT(H636,FIND("/",H636)-1)))+IFERROR(TIMEVALUE(TRIM(MID(H636,FIND(" ",H636)+1,20))),0),0)))</f>
        <v/>
      </c>
      <c r="K636" s="256">
        <f>IF(I636=0,0,INT(I636))</f>
        <v/>
      </c>
      <c r="L636" s="257">
        <f>IF(OR(I636=0,J636=0),0,ROUND((J636-I636)*24,2))</f>
        <v/>
      </c>
      <c r="M636" s="254">
        <f>IFERROR(TRIM(MID(A636,FIND("@",SUBSTITUTE(A636,"(","@",LEN(A636)-LEN(SUBSTITUTE(A636,"(",""))))+1,FIND(")",A636,FIND("@",SUBSTITUTE(A636,"(","@",LEN(A636)-LEN(SUBSTITUTE(A636,"(","")))))-FIND("@",SUBSTITUTE(A636,"(","@",LEN(A636)-LEN(SUBSTITUTE(A636,"(",""))))-1)),"")</f>
        <v/>
      </c>
      <c r="N636" s="254">
        <f>IF(A636="","",IF(LEFT(TRIM(A636),5)="Leave","Leave",IF(OR(ISNUMBER(SEARCH("public holiday",A636)),ISNUMBER(SEARCH("Purple",E636))),"Public holiday","Event")))</f>
        <v/>
      </c>
    </row>
    <row r="637">
      <c r="G637" s="254">
        <f>IF(C637="","",IF(ISNUMBER(C637),C637,IF(ISNUMBER(VALUE(LEFT(TRIM(C637),1))),TRIM(C637),TRIM(MID(TRIM(C637),FIND(" ",TRIM(C637))+1,99)))))</f>
        <v/>
      </c>
      <c r="H637" s="254">
        <f>IF(D637="","",IF(ISNUMBER(D637),D637,IF(ISNUMBER(VALUE(LEFT(TRIM(D637),1))),TRIM(D637),TRIM(MID(TRIM(D637),FIND(" ",TRIM(D637))+1,99)))))</f>
        <v/>
      </c>
      <c r="I637" s="255">
        <f>IF(G637="",0,IF(ISNUMBER(G637),G637,IFERROR(DATE(VALUE(MID(G637,FIND("/",G637,FIND("/",G637)+1)+1,4)),VALUE(MID(G637,FIND("/",G637)+1,FIND("/",G637,FIND("/",G637)+1)-FIND("/",G637)-1)),VALUE(LEFT(G637,FIND("/",G637)-1)))+IFERROR(TIMEVALUE(TRIM(MID(G637,FIND(" ",G637)+1,20))),0),0)))</f>
        <v/>
      </c>
      <c r="J637" s="255">
        <f>IF(H637="",0,IF(ISNUMBER(H637),H637,IFERROR(DATE(VALUE(MID(H637,FIND("/",H637,FIND("/",H637)+1)+1,4)),VALUE(MID(H637,FIND("/",H637)+1,FIND("/",H637,FIND("/",H637)+1)-FIND("/",H637)-1)),VALUE(LEFT(H637,FIND("/",H637)-1)))+IFERROR(TIMEVALUE(TRIM(MID(H637,FIND(" ",H637)+1,20))),0),0)))</f>
        <v/>
      </c>
      <c r="K637" s="256">
        <f>IF(I637=0,0,INT(I637))</f>
        <v/>
      </c>
      <c r="L637" s="257">
        <f>IF(OR(I637=0,J637=0),0,ROUND((J637-I637)*24,2))</f>
        <v/>
      </c>
      <c r="M637" s="254">
        <f>IFERROR(TRIM(MID(A637,FIND("@",SUBSTITUTE(A637,"(","@",LEN(A637)-LEN(SUBSTITUTE(A637,"(",""))))+1,FIND(")",A637,FIND("@",SUBSTITUTE(A637,"(","@",LEN(A637)-LEN(SUBSTITUTE(A637,"(","")))))-FIND("@",SUBSTITUTE(A637,"(","@",LEN(A637)-LEN(SUBSTITUTE(A637,"(",""))))-1)),"")</f>
        <v/>
      </c>
      <c r="N637" s="254">
        <f>IF(A637="","",IF(LEFT(TRIM(A637),5)="Leave","Leave",IF(OR(ISNUMBER(SEARCH("public holiday",A637)),ISNUMBER(SEARCH("Purple",E637))),"Public holiday","Event")))</f>
        <v/>
      </c>
    </row>
    <row r="638">
      <c r="G638" s="254">
        <f>IF(C638="","",IF(ISNUMBER(C638),C638,IF(ISNUMBER(VALUE(LEFT(TRIM(C638),1))),TRIM(C638),TRIM(MID(TRIM(C638),FIND(" ",TRIM(C638))+1,99)))))</f>
        <v/>
      </c>
      <c r="H638" s="254">
        <f>IF(D638="","",IF(ISNUMBER(D638),D638,IF(ISNUMBER(VALUE(LEFT(TRIM(D638),1))),TRIM(D638),TRIM(MID(TRIM(D638),FIND(" ",TRIM(D638))+1,99)))))</f>
        <v/>
      </c>
      <c r="I638" s="255">
        <f>IF(G638="",0,IF(ISNUMBER(G638),G638,IFERROR(DATE(VALUE(MID(G638,FIND("/",G638,FIND("/",G638)+1)+1,4)),VALUE(MID(G638,FIND("/",G638)+1,FIND("/",G638,FIND("/",G638)+1)-FIND("/",G638)-1)),VALUE(LEFT(G638,FIND("/",G638)-1)))+IFERROR(TIMEVALUE(TRIM(MID(G638,FIND(" ",G638)+1,20))),0),0)))</f>
        <v/>
      </c>
      <c r="J638" s="255">
        <f>IF(H638="",0,IF(ISNUMBER(H638),H638,IFERROR(DATE(VALUE(MID(H638,FIND("/",H638,FIND("/",H638)+1)+1,4)),VALUE(MID(H638,FIND("/",H638)+1,FIND("/",H638,FIND("/",H638)+1)-FIND("/",H638)-1)),VALUE(LEFT(H638,FIND("/",H638)-1)))+IFERROR(TIMEVALUE(TRIM(MID(H638,FIND(" ",H638)+1,20))),0),0)))</f>
        <v/>
      </c>
      <c r="K638" s="256">
        <f>IF(I638=0,0,INT(I638))</f>
        <v/>
      </c>
      <c r="L638" s="257">
        <f>IF(OR(I638=0,J638=0),0,ROUND((J638-I638)*24,2))</f>
        <v/>
      </c>
      <c r="M638" s="254">
        <f>IFERROR(TRIM(MID(A638,FIND("@",SUBSTITUTE(A638,"(","@",LEN(A638)-LEN(SUBSTITUTE(A638,"(",""))))+1,FIND(")",A638,FIND("@",SUBSTITUTE(A638,"(","@",LEN(A638)-LEN(SUBSTITUTE(A638,"(","")))))-FIND("@",SUBSTITUTE(A638,"(","@",LEN(A638)-LEN(SUBSTITUTE(A638,"(",""))))-1)),"")</f>
        <v/>
      </c>
      <c r="N638" s="254">
        <f>IF(A638="","",IF(LEFT(TRIM(A638),5)="Leave","Leave",IF(OR(ISNUMBER(SEARCH("public holiday",A638)),ISNUMBER(SEARCH("Purple",E638))),"Public holiday","Event")))</f>
        <v/>
      </c>
    </row>
    <row r="639">
      <c r="G639" s="254">
        <f>IF(C639="","",IF(ISNUMBER(C639),C639,IF(ISNUMBER(VALUE(LEFT(TRIM(C639),1))),TRIM(C639),TRIM(MID(TRIM(C639),FIND(" ",TRIM(C639))+1,99)))))</f>
        <v/>
      </c>
      <c r="H639" s="254">
        <f>IF(D639="","",IF(ISNUMBER(D639),D639,IF(ISNUMBER(VALUE(LEFT(TRIM(D639),1))),TRIM(D639),TRIM(MID(TRIM(D639),FIND(" ",TRIM(D639))+1,99)))))</f>
        <v/>
      </c>
      <c r="I639" s="255">
        <f>IF(G639="",0,IF(ISNUMBER(G639),G639,IFERROR(DATE(VALUE(MID(G639,FIND("/",G639,FIND("/",G639)+1)+1,4)),VALUE(MID(G639,FIND("/",G639)+1,FIND("/",G639,FIND("/",G639)+1)-FIND("/",G639)-1)),VALUE(LEFT(G639,FIND("/",G639)-1)))+IFERROR(TIMEVALUE(TRIM(MID(G639,FIND(" ",G639)+1,20))),0),0)))</f>
        <v/>
      </c>
      <c r="J639" s="255">
        <f>IF(H639="",0,IF(ISNUMBER(H639),H639,IFERROR(DATE(VALUE(MID(H639,FIND("/",H639,FIND("/",H639)+1)+1,4)),VALUE(MID(H639,FIND("/",H639)+1,FIND("/",H639,FIND("/",H639)+1)-FIND("/",H639)-1)),VALUE(LEFT(H639,FIND("/",H639)-1)))+IFERROR(TIMEVALUE(TRIM(MID(H639,FIND(" ",H639)+1,20))),0),0)))</f>
        <v/>
      </c>
      <c r="K639" s="256">
        <f>IF(I639=0,0,INT(I639))</f>
        <v/>
      </c>
      <c r="L639" s="257">
        <f>IF(OR(I639=0,J639=0),0,ROUND((J639-I639)*24,2))</f>
        <v/>
      </c>
      <c r="M639" s="254">
        <f>IFERROR(TRIM(MID(A639,FIND("@",SUBSTITUTE(A639,"(","@",LEN(A639)-LEN(SUBSTITUTE(A639,"(",""))))+1,FIND(")",A639,FIND("@",SUBSTITUTE(A639,"(","@",LEN(A639)-LEN(SUBSTITUTE(A639,"(","")))))-FIND("@",SUBSTITUTE(A639,"(","@",LEN(A639)-LEN(SUBSTITUTE(A639,"(",""))))-1)),"")</f>
        <v/>
      </c>
      <c r="N639" s="254">
        <f>IF(A639="","",IF(LEFT(TRIM(A639),5)="Leave","Leave",IF(OR(ISNUMBER(SEARCH("public holiday",A639)),ISNUMBER(SEARCH("Purple",E639))),"Public holiday","Event")))</f>
        <v/>
      </c>
    </row>
    <row r="640">
      <c r="G640" s="254">
        <f>IF(C640="","",IF(ISNUMBER(C640),C640,IF(ISNUMBER(VALUE(LEFT(TRIM(C640),1))),TRIM(C640),TRIM(MID(TRIM(C640),FIND(" ",TRIM(C640))+1,99)))))</f>
        <v/>
      </c>
      <c r="H640" s="254">
        <f>IF(D640="","",IF(ISNUMBER(D640),D640,IF(ISNUMBER(VALUE(LEFT(TRIM(D640),1))),TRIM(D640),TRIM(MID(TRIM(D640),FIND(" ",TRIM(D640))+1,99)))))</f>
        <v/>
      </c>
      <c r="I640" s="255">
        <f>IF(G640="",0,IF(ISNUMBER(G640),G640,IFERROR(DATE(VALUE(MID(G640,FIND("/",G640,FIND("/",G640)+1)+1,4)),VALUE(MID(G640,FIND("/",G640)+1,FIND("/",G640,FIND("/",G640)+1)-FIND("/",G640)-1)),VALUE(LEFT(G640,FIND("/",G640)-1)))+IFERROR(TIMEVALUE(TRIM(MID(G640,FIND(" ",G640)+1,20))),0),0)))</f>
        <v/>
      </c>
      <c r="J640" s="255">
        <f>IF(H640="",0,IF(ISNUMBER(H640),H640,IFERROR(DATE(VALUE(MID(H640,FIND("/",H640,FIND("/",H640)+1)+1,4)),VALUE(MID(H640,FIND("/",H640)+1,FIND("/",H640,FIND("/",H640)+1)-FIND("/",H640)-1)),VALUE(LEFT(H640,FIND("/",H640)-1)))+IFERROR(TIMEVALUE(TRIM(MID(H640,FIND(" ",H640)+1,20))),0),0)))</f>
        <v/>
      </c>
      <c r="K640" s="256">
        <f>IF(I640=0,0,INT(I640))</f>
        <v/>
      </c>
      <c r="L640" s="257">
        <f>IF(OR(I640=0,J640=0),0,ROUND((J640-I640)*24,2))</f>
        <v/>
      </c>
      <c r="M640" s="254">
        <f>IFERROR(TRIM(MID(A640,FIND("@",SUBSTITUTE(A640,"(","@",LEN(A640)-LEN(SUBSTITUTE(A640,"(",""))))+1,FIND(")",A640,FIND("@",SUBSTITUTE(A640,"(","@",LEN(A640)-LEN(SUBSTITUTE(A640,"(","")))))-FIND("@",SUBSTITUTE(A640,"(","@",LEN(A640)-LEN(SUBSTITUTE(A640,"(",""))))-1)),"")</f>
        <v/>
      </c>
      <c r="N640" s="254">
        <f>IF(A640="","",IF(LEFT(TRIM(A640),5)="Leave","Leave",IF(OR(ISNUMBER(SEARCH("public holiday",A640)),ISNUMBER(SEARCH("Purple",E640))),"Public holiday","Event")))</f>
        <v/>
      </c>
    </row>
    <row r="641">
      <c r="G641" s="254">
        <f>IF(C641="","",IF(ISNUMBER(C641),C641,IF(ISNUMBER(VALUE(LEFT(TRIM(C641),1))),TRIM(C641),TRIM(MID(TRIM(C641),FIND(" ",TRIM(C641))+1,99)))))</f>
        <v/>
      </c>
      <c r="H641" s="254">
        <f>IF(D641="","",IF(ISNUMBER(D641),D641,IF(ISNUMBER(VALUE(LEFT(TRIM(D641),1))),TRIM(D641),TRIM(MID(TRIM(D641),FIND(" ",TRIM(D641))+1,99)))))</f>
        <v/>
      </c>
      <c r="I641" s="255">
        <f>IF(G641="",0,IF(ISNUMBER(G641),G641,IFERROR(DATE(VALUE(MID(G641,FIND("/",G641,FIND("/",G641)+1)+1,4)),VALUE(MID(G641,FIND("/",G641)+1,FIND("/",G641,FIND("/",G641)+1)-FIND("/",G641)-1)),VALUE(LEFT(G641,FIND("/",G641)-1)))+IFERROR(TIMEVALUE(TRIM(MID(G641,FIND(" ",G641)+1,20))),0),0)))</f>
        <v/>
      </c>
      <c r="J641" s="255">
        <f>IF(H641="",0,IF(ISNUMBER(H641),H641,IFERROR(DATE(VALUE(MID(H641,FIND("/",H641,FIND("/",H641)+1)+1,4)),VALUE(MID(H641,FIND("/",H641)+1,FIND("/",H641,FIND("/",H641)+1)-FIND("/",H641)-1)),VALUE(LEFT(H641,FIND("/",H641)-1)))+IFERROR(TIMEVALUE(TRIM(MID(H641,FIND(" ",H641)+1,20))),0),0)))</f>
        <v/>
      </c>
      <c r="K641" s="256">
        <f>IF(I641=0,0,INT(I641))</f>
        <v/>
      </c>
      <c r="L641" s="257">
        <f>IF(OR(I641=0,J641=0),0,ROUND((J641-I641)*24,2))</f>
        <v/>
      </c>
      <c r="M641" s="254">
        <f>IFERROR(TRIM(MID(A641,FIND("@",SUBSTITUTE(A641,"(","@",LEN(A641)-LEN(SUBSTITUTE(A641,"(",""))))+1,FIND(")",A641,FIND("@",SUBSTITUTE(A641,"(","@",LEN(A641)-LEN(SUBSTITUTE(A641,"(","")))))-FIND("@",SUBSTITUTE(A641,"(","@",LEN(A641)-LEN(SUBSTITUTE(A641,"(",""))))-1)),"")</f>
        <v/>
      </c>
      <c r="N641" s="254">
        <f>IF(A641="","",IF(LEFT(TRIM(A641),5)="Leave","Leave",IF(OR(ISNUMBER(SEARCH("public holiday",A641)),ISNUMBER(SEARCH("Purple",E641))),"Public holiday","Event")))</f>
        <v/>
      </c>
    </row>
    <row r="642">
      <c r="G642" s="254">
        <f>IF(C642="","",IF(ISNUMBER(C642),C642,IF(ISNUMBER(VALUE(LEFT(TRIM(C642),1))),TRIM(C642),TRIM(MID(TRIM(C642),FIND(" ",TRIM(C642))+1,99)))))</f>
        <v/>
      </c>
      <c r="H642" s="254">
        <f>IF(D642="","",IF(ISNUMBER(D642),D642,IF(ISNUMBER(VALUE(LEFT(TRIM(D642),1))),TRIM(D642),TRIM(MID(TRIM(D642),FIND(" ",TRIM(D642))+1,99)))))</f>
        <v/>
      </c>
      <c r="I642" s="255">
        <f>IF(G642="",0,IF(ISNUMBER(G642),G642,IFERROR(DATE(VALUE(MID(G642,FIND("/",G642,FIND("/",G642)+1)+1,4)),VALUE(MID(G642,FIND("/",G642)+1,FIND("/",G642,FIND("/",G642)+1)-FIND("/",G642)-1)),VALUE(LEFT(G642,FIND("/",G642)-1)))+IFERROR(TIMEVALUE(TRIM(MID(G642,FIND(" ",G642)+1,20))),0),0)))</f>
        <v/>
      </c>
      <c r="J642" s="255">
        <f>IF(H642="",0,IF(ISNUMBER(H642),H642,IFERROR(DATE(VALUE(MID(H642,FIND("/",H642,FIND("/",H642)+1)+1,4)),VALUE(MID(H642,FIND("/",H642)+1,FIND("/",H642,FIND("/",H642)+1)-FIND("/",H642)-1)),VALUE(LEFT(H642,FIND("/",H642)-1)))+IFERROR(TIMEVALUE(TRIM(MID(H642,FIND(" ",H642)+1,20))),0),0)))</f>
        <v/>
      </c>
      <c r="K642" s="256">
        <f>IF(I642=0,0,INT(I642))</f>
        <v/>
      </c>
      <c r="L642" s="257">
        <f>IF(OR(I642=0,J642=0),0,ROUND((J642-I642)*24,2))</f>
        <v/>
      </c>
      <c r="M642" s="254">
        <f>IFERROR(TRIM(MID(A642,FIND("@",SUBSTITUTE(A642,"(","@",LEN(A642)-LEN(SUBSTITUTE(A642,"(",""))))+1,FIND(")",A642,FIND("@",SUBSTITUTE(A642,"(","@",LEN(A642)-LEN(SUBSTITUTE(A642,"(","")))))-FIND("@",SUBSTITUTE(A642,"(","@",LEN(A642)-LEN(SUBSTITUTE(A642,"(",""))))-1)),"")</f>
        <v/>
      </c>
      <c r="N642" s="254">
        <f>IF(A642="","",IF(LEFT(TRIM(A642),5)="Leave","Leave",IF(OR(ISNUMBER(SEARCH("public holiday",A642)),ISNUMBER(SEARCH("Purple",E642))),"Public holiday","Event")))</f>
        <v/>
      </c>
    </row>
    <row r="643">
      <c r="G643" s="254">
        <f>IF(C643="","",IF(ISNUMBER(C643),C643,IF(ISNUMBER(VALUE(LEFT(TRIM(C643),1))),TRIM(C643),TRIM(MID(TRIM(C643),FIND(" ",TRIM(C643))+1,99)))))</f>
        <v/>
      </c>
      <c r="H643" s="254">
        <f>IF(D643="","",IF(ISNUMBER(D643),D643,IF(ISNUMBER(VALUE(LEFT(TRIM(D643),1))),TRIM(D643),TRIM(MID(TRIM(D643),FIND(" ",TRIM(D643))+1,99)))))</f>
        <v/>
      </c>
      <c r="I643" s="255">
        <f>IF(G643="",0,IF(ISNUMBER(G643),G643,IFERROR(DATE(VALUE(MID(G643,FIND("/",G643,FIND("/",G643)+1)+1,4)),VALUE(MID(G643,FIND("/",G643)+1,FIND("/",G643,FIND("/",G643)+1)-FIND("/",G643)-1)),VALUE(LEFT(G643,FIND("/",G643)-1)))+IFERROR(TIMEVALUE(TRIM(MID(G643,FIND(" ",G643)+1,20))),0),0)))</f>
        <v/>
      </c>
      <c r="J643" s="255">
        <f>IF(H643="",0,IF(ISNUMBER(H643),H643,IFERROR(DATE(VALUE(MID(H643,FIND("/",H643,FIND("/",H643)+1)+1,4)),VALUE(MID(H643,FIND("/",H643)+1,FIND("/",H643,FIND("/",H643)+1)-FIND("/",H643)-1)),VALUE(LEFT(H643,FIND("/",H643)-1)))+IFERROR(TIMEVALUE(TRIM(MID(H643,FIND(" ",H643)+1,20))),0),0)))</f>
        <v/>
      </c>
      <c r="K643" s="256">
        <f>IF(I643=0,0,INT(I643))</f>
        <v/>
      </c>
      <c r="L643" s="257">
        <f>IF(OR(I643=0,J643=0),0,ROUND((J643-I643)*24,2))</f>
        <v/>
      </c>
      <c r="M643" s="254">
        <f>IFERROR(TRIM(MID(A643,FIND("@",SUBSTITUTE(A643,"(","@",LEN(A643)-LEN(SUBSTITUTE(A643,"(",""))))+1,FIND(")",A643,FIND("@",SUBSTITUTE(A643,"(","@",LEN(A643)-LEN(SUBSTITUTE(A643,"(","")))))-FIND("@",SUBSTITUTE(A643,"(","@",LEN(A643)-LEN(SUBSTITUTE(A643,"(",""))))-1)),"")</f>
        <v/>
      </c>
      <c r="N643" s="254">
        <f>IF(A643="","",IF(LEFT(TRIM(A643),5)="Leave","Leave",IF(OR(ISNUMBER(SEARCH("public holiday",A643)),ISNUMBER(SEARCH("Purple",E643))),"Public holiday","Event")))</f>
        <v/>
      </c>
    </row>
    <row r="644">
      <c r="G644" s="254">
        <f>IF(C644="","",IF(ISNUMBER(C644),C644,IF(ISNUMBER(VALUE(LEFT(TRIM(C644),1))),TRIM(C644),TRIM(MID(TRIM(C644),FIND(" ",TRIM(C644))+1,99)))))</f>
        <v/>
      </c>
      <c r="H644" s="254">
        <f>IF(D644="","",IF(ISNUMBER(D644),D644,IF(ISNUMBER(VALUE(LEFT(TRIM(D644),1))),TRIM(D644),TRIM(MID(TRIM(D644),FIND(" ",TRIM(D644))+1,99)))))</f>
        <v/>
      </c>
      <c r="I644" s="255">
        <f>IF(G644="",0,IF(ISNUMBER(G644),G644,IFERROR(DATE(VALUE(MID(G644,FIND("/",G644,FIND("/",G644)+1)+1,4)),VALUE(MID(G644,FIND("/",G644)+1,FIND("/",G644,FIND("/",G644)+1)-FIND("/",G644)-1)),VALUE(LEFT(G644,FIND("/",G644)-1)))+IFERROR(TIMEVALUE(TRIM(MID(G644,FIND(" ",G644)+1,20))),0),0)))</f>
        <v/>
      </c>
      <c r="J644" s="255">
        <f>IF(H644="",0,IF(ISNUMBER(H644),H644,IFERROR(DATE(VALUE(MID(H644,FIND("/",H644,FIND("/",H644)+1)+1,4)),VALUE(MID(H644,FIND("/",H644)+1,FIND("/",H644,FIND("/",H644)+1)-FIND("/",H644)-1)),VALUE(LEFT(H644,FIND("/",H644)-1)))+IFERROR(TIMEVALUE(TRIM(MID(H644,FIND(" ",H644)+1,20))),0),0)))</f>
        <v/>
      </c>
      <c r="K644" s="256">
        <f>IF(I644=0,0,INT(I644))</f>
        <v/>
      </c>
      <c r="L644" s="257">
        <f>IF(OR(I644=0,J644=0),0,ROUND((J644-I644)*24,2))</f>
        <v/>
      </c>
      <c r="M644" s="254">
        <f>IFERROR(TRIM(MID(A644,FIND("@",SUBSTITUTE(A644,"(","@",LEN(A644)-LEN(SUBSTITUTE(A644,"(",""))))+1,FIND(")",A644,FIND("@",SUBSTITUTE(A644,"(","@",LEN(A644)-LEN(SUBSTITUTE(A644,"(","")))))-FIND("@",SUBSTITUTE(A644,"(","@",LEN(A644)-LEN(SUBSTITUTE(A644,"(",""))))-1)),"")</f>
        <v/>
      </c>
      <c r="N644" s="254">
        <f>IF(A644="","",IF(LEFT(TRIM(A644),5)="Leave","Leave",IF(OR(ISNUMBER(SEARCH("public holiday",A644)),ISNUMBER(SEARCH("Purple",E644))),"Public holiday","Event")))</f>
        <v/>
      </c>
    </row>
    <row r="645">
      <c r="G645" s="254">
        <f>IF(C645="","",IF(ISNUMBER(C645),C645,IF(ISNUMBER(VALUE(LEFT(TRIM(C645),1))),TRIM(C645),TRIM(MID(TRIM(C645),FIND(" ",TRIM(C645))+1,99)))))</f>
        <v/>
      </c>
      <c r="H645" s="254">
        <f>IF(D645="","",IF(ISNUMBER(D645),D645,IF(ISNUMBER(VALUE(LEFT(TRIM(D645),1))),TRIM(D645),TRIM(MID(TRIM(D645),FIND(" ",TRIM(D645))+1,99)))))</f>
        <v/>
      </c>
      <c r="I645" s="255">
        <f>IF(G645="",0,IF(ISNUMBER(G645),G645,IFERROR(DATE(VALUE(MID(G645,FIND("/",G645,FIND("/",G645)+1)+1,4)),VALUE(MID(G645,FIND("/",G645)+1,FIND("/",G645,FIND("/",G645)+1)-FIND("/",G645)-1)),VALUE(LEFT(G645,FIND("/",G645)-1)))+IFERROR(TIMEVALUE(TRIM(MID(G645,FIND(" ",G645)+1,20))),0),0)))</f>
        <v/>
      </c>
      <c r="J645" s="255">
        <f>IF(H645="",0,IF(ISNUMBER(H645),H645,IFERROR(DATE(VALUE(MID(H645,FIND("/",H645,FIND("/",H645)+1)+1,4)),VALUE(MID(H645,FIND("/",H645)+1,FIND("/",H645,FIND("/",H645)+1)-FIND("/",H645)-1)),VALUE(LEFT(H645,FIND("/",H645)-1)))+IFERROR(TIMEVALUE(TRIM(MID(H645,FIND(" ",H645)+1,20))),0),0)))</f>
        <v/>
      </c>
      <c r="K645" s="256">
        <f>IF(I645=0,0,INT(I645))</f>
        <v/>
      </c>
      <c r="L645" s="257">
        <f>IF(OR(I645=0,J645=0),0,ROUND((J645-I645)*24,2))</f>
        <v/>
      </c>
      <c r="M645" s="254">
        <f>IFERROR(TRIM(MID(A645,FIND("@",SUBSTITUTE(A645,"(","@",LEN(A645)-LEN(SUBSTITUTE(A645,"(",""))))+1,FIND(")",A645,FIND("@",SUBSTITUTE(A645,"(","@",LEN(A645)-LEN(SUBSTITUTE(A645,"(","")))))-FIND("@",SUBSTITUTE(A645,"(","@",LEN(A645)-LEN(SUBSTITUTE(A645,"(",""))))-1)),"")</f>
        <v/>
      </c>
      <c r="N645" s="254">
        <f>IF(A645="","",IF(LEFT(TRIM(A645),5)="Leave","Leave",IF(OR(ISNUMBER(SEARCH("public holiday",A645)),ISNUMBER(SEARCH("Purple",E645))),"Public holiday","Event")))</f>
        <v/>
      </c>
    </row>
    <row r="646">
      <c r="G646" s="254">
        <f>IF(C646="","",IF(ISNUMBER(C646),C646,IF(ISNUMBER(VALUE(LEFT(TRIM(C646),1))),TRIM(C646),TRIM(MID(TRIM(C646),FIND(" ",TRIM(C646))+1,99)))))</f>
        <v/>
      </c>
      <c r="H646" s="254">
        <f>IF(D646="","",IF(ISNUMBER(D646),D646,IF(ISNUMBER(VALUE(LEFT(TRIM(D646),1))),TRIM(D646),TRIM(MID(TRIM(D646),FIND(" ",TRIM(D646))+1,99)))))</f>
        <v/>
      </c>
      <c r="I646" s="255">
        <f>IF(G646="",0,IF(ISNUMBER(G646),G646,IFERROR(DATE(VALUE(MID(G646,FIND("/",G646,FIND("/",G646)+1)+1,4)),VALUE(MID(G646,FIND("/",G646)+1,FIND("/",G646,FIND("/",G646)+1)-FIND("/",G646)-1)),VALUE(LEFT(G646,FIND("/",G646)-1)))+IFERROR(TIMEVALUE(TRIM(MID(G646,FIND(" ",G646)+1,20))),0),0)))</f>
        <v/>
      </c>
      <c r="J646" s="255">
        <f>IF(H646="",0,IF(ISNUMBER(H646),H646,IFERROR(DATE(VALUE(MID(H646,FIND("/",H646,FIND("/",H646)+1)+1,4)),VALUE(MID(H646,FIND("/",H646)+1,FIND("/",H646,FIND("/",H646)+1)-FIND("/",H646)-1)),VALUE(LEFT(H646,FIND("/",H646)-1)))+IFERROR(TIMEVALUE(TRIM(MID(H646,FIND(" ",H646)+1,20))),0),0)))</f>
        <v/>
      </c>
      <c r="K646" s="256">
        <f>IF(I646=0,0,INT(I646))</f>
        <v/>
      </c>
      <c r="L646" s="257">
        <f>IF(OR(I646=0,J646=0),0,ROUND((J646-I646)*24,2))</f>
        <v/>
      </c>
      <c r="M646" s="254">
        <f>IFERROR(TRIM(MID(A646,FIND("@",SUBSTITUTE(A646,"(","@",LEN(A646)-LEN(SUBSTITUTE(A646,"(",""))))+1,FIND(")",A646,FIND("@",SUBSTITUTE(A646,"(","@",LEN(A646)-LEN(SUBSTITUTE(A646,"(","")))))-FIND("@",SUBSTITUTE(A646,"(","@",LEN(A646)-LEN(SUBSTITUTE(A646,"(",""))))-1)),"")</f>
        <v/>
      </c>
      <c r="N646" s="254">
        <f>IF(A646="","",IF(LEFT(TRIM(A646),5)="Leave","Leave",IF(OR(ISNUMBER(SEARCH("public holiday",A646)),ISNUMBER(SEARCH("Purple",E646))),"Public holiday","Event")))</f>
        <v/>
      </c>
    </row>
    <row r="647">
      <c r="G647" s="254">
        <f>IF(C647="","",IF(ISNUMBER(C647),C647,IF(ISNUMBER(VALUE(LEFT(TRIM(C647),1))),TRIM(C647),TRIM(MID(TRIM(C647),FIND(" ",TRIM(C647))+1,99)))))</f>
        <v/>
      </c>
      <c r="H647" s="254">
        <f>IF(D647="","",IF(ISNUMBER(D647),D647,IF(ISNUMBER(VALUE(LEFT(TRIM(D647),1))),TRIM(D647),TRIM(MID(TRIM(D647),FIND(" ",TRIM(D647))+1,99)))))</f>
        <v/>
      </c>
      <c r="I647" s="255">
        <f>IF(G647="",0,IF(ISNUMBER(G647),G647,IFERROR(DATE(VALUE(MID(G647,FIND("/",G647,FIND("/",G647)+1)+1,4)),VALUE(MID(G647,FIND("/",G647)+1,FIND("/",G647,FIND("/",G647)+1)-FIND("/",G647)-1)),VALUE(LEFT(G647,FIND("/",G647)-1)))+IFERROR(TIMEVALUE(TRIM(MID(G647,FIND(" ",G647)+1,20))),0),0)))</f>
        <v/>
      </c>
      <c r="J647" s="255">
        <f>IF(H647="",0,IF(ISNUMBER(H647),H647,IFERROR(DATE(VALUE(MID(H647,FIND("/",H647,FIND("/",H647)+1)+1,4)),VALUE(MID(H647,FIND("/",H647)+1,FIND("/",H647,FIND("/",H647)+1)-FIND("/",H647)-1)),VALUE(LEFT(H647,FIND("/",H647)-1)))+IFERROR(TIMEVALUE(TRIM(MID(H647,FIND(" ",H647)+1,20))),0),0)))</f>
        <v/>
      </c>
      <c r="K647" s="256">
        <f>IF(I647=0,0,INT(I647))</f>
        <v/>
      </c>
      <c r="L647" s="257">
        <f>IF(OR(I647=0,J647=0),0,ROUND((J647-I647)*24,2))</f>
        <v/>
      </c>
      <c r="M647" s="254">
        <f>IFERROR(TRIM(MID(A647,FIND("@",SUBSTITUTE(A647,"(","@",LEN(A647)-LEN(SUBSTITUTE(A647,"(",""))))+1,FIND(")",A647,FIND("@",SUBSTITUTE(A647,"(","@",LEN(A647)-LEN(SUBSTITUTE(A647,"(","")))))-FIND("@",SUBSTITUTE(A647,"(","@",LEN(A647)-LEN(SUBSTITUTE(A647,"(",""))))-1)),"")</f>
        <v/>
      </c>
      <c r="N647" s="254">
        <f>IF(A647="","",IF(LEFT(TRIM(A647),5)="Leave","Leave",IF(OR(ISNUMBER(SEARCH("public holiday",A647)),ISNUMBER(SEARCH("Purple",E647))),"Public holiday","Event")))</f>
        <v/>
      </c>
    </row>
    <row r="648">
      <c r="G648" s="254">
        <f>IF(C648="","",IF(ISNUMBER(C648),C648,IF(ISNUMBER(VALUE(LEFT(TRIM(C648),1))),TRIM(C648),TRIM(MID(TRIM(C648),FIND(" ",TRIM(C648))+1,99)))))</f>
        <v/>
      </c>
      <c r="H648" s="254">
        <f>IF(D648="","",IF(ISNUMBER(D648),D648,IF(ISNUMBER(VALUE(LEFT(TRIM(D648),1))),TRIM(D648),TRIM(MID(TRIM(D648),FIND(" ",TRIM(D648))+1,99)))))</f>
        <v/>
      </c>
      <c r="I648" s="255">
        <f>IF(G648="",0,IF(ISNUMBER(G648),G648,IFERROR(DATE(VALUE(MID(G648,FIND("/",G648,FIND("/",G648)+1)+1,4)),VALUE(MID(G648,FIND("/",G648)+1,FIND("/",G648,FIND("/",G648)+1)-FIND("/",G648)-1)),VALUE(LEFT(G648,FIND("/",G648)-1)))+IFERROR(TIMEVALUE(TRIM(MID(G648,FIND(" ",G648)+1,20))),0),0)))</f>
        <v/>
      </c>
      <c r="J648" s="255">
        <f>IF(H648="",0,IF(ISNUMBER(H648),H648,IFERROR(DATE(VALUE(MID(H648,FIND("/",H648,FIND("/",H648)+1)+1,4)),VALUE(MID(H648,FIND("/",H648)+1,FIND("/",H648,FIND("/",H648)+1)-FIND("/",H648)-1)),VALUE(LEFT(H648,FIND("/",H648)-1)))+IFERROR(TIMEVALUE(TRIM(MID(H648,FIND(" ",H648)+1,20))),0),0)))</f>
        <v/>
      </c>
      <c r="K648" s="256">
        <f>IF(I648=0,0,INT(I648))</f>
        <v/>
      </c>
      <c r="L648" s="257">
        <f>IF(OR(I648=0,J648=0),0,ROUND((J648-I648)*24,2))</f>
        <v/>
      </c>
      <c r="M648" s="254">
        <f>IFERROR(TRIM(MID(A648,FIND("@",SUBSTITUTE(A648,"(","@",LEN(A648)-LEN(SUBSTITUTE(A648,"(",""))))+1,FIND(")",A648,FIND("@",SUBSTITUTE(A648,"(","@",LEN(A648)-LEN(SUBSTITUTE(A648,"(","")))))-FIND("@",SUBSTITUTE(A648,"(","@",LEN(A648)-LEN(SUBSTITUTE(A648,"(",""))))-1)),"")</f>
        <v/>
      </c>
      <c r="N648" s="254">
        <f>IF(A648="","",IF(LEFT(TRIM(A648),5)="Leave","Leave",IF(OR(ISNUMBER(SEARCH("public holiday",A648)),ISNUMBER(SEARCH("Purple",E648))),"Public holiday","Event")))</f>
        <v/>
      </c>
    </row>
    <row r="649">
      <c r="G649" s="254">
        <f>IF(C649="","",IF(ISNUMBER(C649),C649,IF(ISNUMBER(VALUE(LEFT(TRIM(C649),1))),TRIM(C649),TRIM(MID(TRIM(C649),FIND(" ",TRIM(C649))+1,99)))))</f>
        <v/>
      </c>
      <c r="H649" s="254">
        <f>IF(D649="","",IF(ISNUMBER(D649),D649,IF(ISNUMBER(VALUE(LEFT(TRIM(D649),1))),TRIM(D649),TRIM(MID(TRIM(D649),FIND(" ",TRIM(D649))+1,99)))))</f>
        <v/>
      </c>
      <c r="I649" s="255">
        <f>IF(G649="",0,IF(ISNUMBER(G649),G649,IFERROR(DATE(VALUE(MID(G649,FIND("/",G649,FIND("/",G649)+1)+1,4)),VALUE(MID(G649,FIND("/",G649)+1,FIND("/",G649,FIND("/",G649)+1)-FIND("/",G649)-1)),VALUE(LEFT(G649,FIND("/",G649)-1)))+IFERROR(TIMEVALUE(TRIM(MID(G649,FIND(" ",G649)+1,20))),0),0)))</f>
        <v/>
      </c>
      <c r="J649" s="255">
        <f>IF(H649="",0,IF(ISNUMBER(H649),H649,IFERROR(DATE(VALUE(MID(H649,FIND("/",H649,FIND("/",H649)+1)+1,4)),VALUE(MID(H649,FIND("/",H649)+1,FIND("/",H649,FIND("/",H649)+1)-FIND("/",H649)-1)),VALUE(LEFT(H649,FIND("/",H649)-1)))+IFERROR(TIMEVALUE(TRIM(MID(H649,FIND(" ",H649)+1,20))),0),0)))</f>
        <v/>
      </c>
      <c r="K649" s="256">
        <f>IF(I649=0,0,INT(I649))</f>
        <v/>
      </c>
      <c r="L649" s="257">
        <f>IF(OR(I649=0,J649=0),0,ROUND((J649-I649)*24,2))</f>
        <v/>
      </c>
      <c r="M649" s="254">
        <f>IFERROR(TRIM(MID(A649,FIND("@",SUBSTITUTE(A649,"(","@",LEN(A649)-LEN(SUBSTITUTE(A649,"(",""))))+1,FIND(")",A649,FIND("@",SUBSTITUTE(A649,"(","@",LEN(A649)-LEN(SUBSTITUTE(A649,"(","")))))-FIND("@",SUBSTITUTE(A649,"(","@",LEN(A649)-LEN(SUBSTITUTE(A649,"(",""))))-1)),"")</f>
        <v/>
      </c>
      <c r="N649" s="254">
        <f>IF(A649="","",IF(LEFT(TRIM(A649),5)="Leave","Leave",IF(OR(ISNUMBER(SEARCH("public holiday",A649)),ISNUMBER(SEARCH("Purple",E649))),"Public holiday","Event")))</f>
        <v/>
      </c>
    </row>
    <row r="650">
      <c r="G650" s="254">
        <f>IF(C650="","",IF(ISNUMBER(C650),C650,IF(ISNUMBER(VALUE(LEFT(TRIM(C650),1))),TRIM(C650),TRIM(MID(TRIM(C650),FIND(" ",TRIM(C650))+1,99)))))</f>
        <v/>
      </c>
      <c r="H650" s="254">
        <f>IF(D650="","",IF(ISNUMBER(D650),D650,IF(ISNUMBER(VALUE(LEFT(TRIM(D650),1))),TRIM(D650),TRIM(MID(TRIM(D650),FIND(" ",TRIM(D650))+1,99)))))</f>
        <v/>
      </c>
      <c r="I650" s="255">
        <f>IF(G650="",0,IF(ISNUMBER(G650),G650,IFERROR(DATE(VALUE(MID(G650,FIND("/",G650,FIND("/",G650)+1)+1,4)),VALUE(MID(G650,FIND("/",G650)+1,FIND("/",G650,FIND("/",G650)+1)-FIND("/",G650)-1)),VALUE(LEFT(G650,FIND("/",G650)-1)))+IFERROR(TIMEVALUE(TRIM(MID(G650,FIND(" ",G650)+1,20))),0),0)))</f>
        <v/>
      </c>
      <c r="J650" s="255">
        <f>IF(H650="",0,IF(ISNUMBER(H650),H650,IFERROR(DATE(VALUE(MID(H650,FIND("/",H650,FIND("/",H650)+1)+1,4)),VALUE(MID(H650,FIND("/",H650)+1,FIND("/",H650,FIND("/",H650)+1)-FIND("/",H650)-1)),VALUE(LEFT(H650,FIND("/",H650)-1)))+IFERROR(TIMEVALUE(TRIM(MID(H650,FIND(" ",H650)+1,20))),0),0)))</f>
        <v/>
      </c>
      <c r="K650" s="256">
        <f>IF(I650=0,0,INT(I650))</f>
        <v/>
      </c>
      <c r="L650" s="257">
        <f>IF(OR(I650=0,J650=0),0,ROUND((J650-I650)*24,2))</f>
        <v/>
      </c>
      <c r="M650" s="254">
        <f>IFERROR(TRIM(MID(A650,FIND("@",SUBSTITUTE(A650,"(","@",LEN(A650)-LEN(SUBSTITUTE(A650,"(",""))))+1,FIND(")",A650,FIND("@",SUBSTITUTE(A650,"(","@",LEN(A650)-LEN(SUBSTITUTE(A650,"(","")))))-FIND("@",SUBSTITUTE(A650,"(","@",LEN(A650)-LEN(SUBSTITUTE(A650,"(",""))))-1)),"")</f>
        <v/>
      </c>
      <c r="N650" s="254">
        <f>IF(A650="","",IF(LEFT(TRIM(A650),5)="Leave","Leave",IF(OR(ISNUMBER(SEARCH("public holiday",A650)),ISNUMBER(SEARCH("Purple",E650))),"Public holiday","Event")))</f>
        <v/>
      </c>
    </row>
    <row r="651">
      <c r="G651" s="254">
        <f>IF(C651="","",IF(ISNUMBER(C651),C651,IF(ISNUMBER(VALUE(LEFT(TRIM(C651),1))),TRIM(C651),TRIM(MID(TRIM(C651),FIND(" ",TRIM(C651))+1,99)))))</f>
        <v/>
      </c>
      <c r="H651" s="254">
        <f>IF(D651="","",IF(ISNUMBER(D651),D651,IF(ISNUMBER(VALUE(LEFT(TRIM(D651),1))),TRIM(D651),TRIM(MID(TRIM(D651),FIND(" ",TRIM(D651))+1,99)))))</f>
        <v/>
      </c>
      <c r="I651" s="255">
        <f>IF(G651="",0,IF(ISNUMBER(G651),G651,IFERROR(DATE(VALUE(MID(G651,FIND("/",G651,FIND("/",G651)+1)+1,4)),VALUE(MID(G651,FIND("/",G651)+1,FIND("/",G651,FIND("/",G651)+1)-FIND("/",G651)-1)),VALUE(LEFT(G651,FIND("/",G651)-1)))+IFERROR(TIMEVALUE(TRIM(MID(G651,FIND(" ",G651)+1,20))),0),0)))</f>
        <v/>
      </c>
      <c r="J651" s="255">
        <f>IF(H651="",0,IF(ISNUMBER(H651),H651,IFERROR(DATE(VALUE(MID(H651,FIND("/",H651,FIND("/",H651)+1)+1,4)),VALUE(MID(H651,FIND("/",H651)+1,FIND("/",H651,FIND("/",H651)+1)-FIND("/",H651)-1)),VALUE(LEFT(H651,FIND("/",H651)-1)))+IFERROR(TIMEVALUE(TRIM(MID(H651,FIND(" ",H651)+1,20))),0),0)))</f>
        <v/>
      </c>
      <c r="K651" s="256">
        <f>IF(I651=0,0,INT(I651))</f>
        <v/>
      </c>
      <c r="L651" s="257">
        <f>IF(OR(I651=0,J651=0),0,ROUND((J651-I651)*24,2))</f>
        <v/>
      </c>
      <c r="M651" s="254">
        <f>IFERROR(TRIM(MID(A651,FIND("@",SUBSTITUTE(A651,"(","@",LEN(A651)-LEN(SUBSTITUTE(A651,"(",""))))+1,FIND(")",A651,FIND("@",SUBSTITUTE(A651,"(","@",LEN(A651)-LEN(SUBSTITUTE(A651,"(","")))))-FIND("@",SUBSTITUTE(A651,"(","@",LEN(A651)-LEN(SUBSTITUTE(A651,"(",""))))-1)),"")</f>
        <v/>
      </c>
      <c r="N651" s="254">
        <f>IF(A651="","",IF(LEFT(TRIM(A651),5)="Leave","Leave",IF(OR(ISNUMBER(SEARCH("public holiday",A651)),ISNUMBER(SEARCH("Purple",E651))),"Public holiday","Event")))</f>
        <v/>
      </c>
    </row>
    <row r="652">
      <c r="G652" s="254">
        <f>IF(C652="","",IF(ISNUMBER(C652),C652,IF(ISNUMBER(VALUE(LEFT(TRIM(C652),1))),TRIM(C652),TRIM(MID(TRIM(C652),FIND(" ",TRIM(C652))+1,99)))))</f>
        <v/>
      </c>
      <c r="H652" s="254">
        <f>IF(D652="","",IF(ISNUMBER(D652),D652,IF(ISNUMBER(VALUE(LEFT(TRIM(D652),1))),TRIM(D652),TRIM(MID(TRIM(D652),FIND(" ",TRIM(D652))+1,99)))))</f>
        <v/>
      </c>
      <c r="I652" s="255">
        <f>IF(G652="",0,IF(ISNUMBER(G652),G652,IFERROR(DATE(VALUE(MID(G652,FIND("/",G652,FIND("/",G652)+1)+1,4)),VALUE(MID(G652,FIND("/",G652)+1,FIND("/",G652,FIND("/",G652)+1)-FIND("/",G652)-1)),VALUE(LEFT(G652,FIND("/",G652)-1)))+IFERROR(TIMEVALUE(TRIM(MID(G652,FIND(" ",G652)+1,20))),0),0)))</f>
        <v/>
      </c>
      <c r="J652" s="255">
        <f>IF(H652="",0,IF(ISNUMBER(H652),H652,IFERROR(DATE(VALUE(MID(H652,FIND("/",H652,FIND("/",H652)+1)+1,4)),VALUE(MID(H652,FIND("/",H652)+1,FIND("/",H652,FIND("/",H652)+1)-FIND("/",H652)-1)),VALUE(LEFT(H652,FIND("/",H652)-1)))+IFERROR(TIMEVALUE(TRIM(MID(H652,FIND(" ",H652)+1,20))),0),0)))</f>
        <v/>
      </c>
      <c r="K652" s="256">
        <f>IF(I652=0,0,INT(I652))</f>
        <v/>
      </c>
      <c r="L652" s="257">
        <f>IF(OR(I652=0,J652=0),0,ROUND((J652-I652)*24,2))</f>
        <v/>
      </c>
      <c r="M652" s="254">
        <f>IFERROR(TRIM(MID(A652,FIND("@",SUBSTITUTE(A652,"(","@",LEN(A652)-LEN(SUBSTITUTE(A652,"(",""))))+1,FIND(")",A652,FIND("@",SUBSTITUTE(A652,"(","@",LEN(A652)-LEN(SUBSTITUTE(A652,"(","")))))-FIND("@",SUBSTITUTE(A652,"(","@",LEN(A652)-LEN(SUBSTITUTE(A652,"(",""))))-1)),"")</f>
        <v/>
      </c>
      <c r="N652" s="254">
        <f>IF(A652="","",IF(LEFT(TRIM(A652),5)="Leave","Leave",IF(OR(ISNUMBER(SEARCH("public holiday",A652)),ISNUMBER(SEARCH("Purple",E652))),"Public holiday","Event")))</f>
        <v/>
      </c>
    </row>
    <row r="653">
      <c r="G653" s="254">
        <f>IF(C653="","",IF(ISNUMBER(C653),C653,IF(ISNUMBER(VALUE(LEFT(TRIM(C653),1))),TRIM(C653),TRIM(MID(TRIM(C653),FIND(" ",TRIM(C653))+1,99)))))</f>
        <v/>
      </c>
      <c r="H653" s="254">
        <f>IF(D653="","",IF(ISNUMBER(D653),D653,IF(ISNUMBER(VALUE(LEFT(TRIM(D653),1))),TRIM(D653),TRIM(MID(TRIM(D653),FIND(" ",TRIM(D653))+1,99)))))</f>
        <v/>
      </c>
      <c r="I653" s="255">
        <f>IF(G653="",0,IF(ISNUMBER(G653),G653,IFERROR(DATE(VALUE(MID(G653,FIND("/",G653,FIND("/",G653)+1)+1,4)),VALUE(MID(G653,FIND("/",G653)+1,FIND("/",G653,FIND("/",G653)+1)-FIND("/",G653)-1)),VALUE(LEFT(G653,FIND("/",G653)-1)))+IFERROR(TIMEVALUE(TRIM(MID(G653,FIND(" ",G653)+1,20))),0),0)))</f>
        <v/>
      </c>
      <c r="J653" s="255">
        <f>IF(H653="",0,IF(ISNUMBER(H653),H653,IFERROR(DATE(VALUE(MID(H653,FIND("/",H653,FIND("/",H653)+1)+1,4)),VALUE(MID(H653,FIND("/",H653)+1,FIND("/",H653,FIND("/",H653)+1)-FIND("/",H653)-1)),VALUE(LEFT(H653,FIND("/",H653)-1)))+IFERROR(TIMEVALUE(TRIM(MID(H653,FIND(" ",H653)+1,20))),0),0)))</f>
        <v/>
      </c>
      <c r="K653" s="256">
        <f>IF(I653=0,0,INT(I653))</f>
        <v/>
      </c>
      <c r="L653" s="257">
        <f>IF(OR(I653=0,J653=0),0,ROUND((J653-I653)*24,2))</f>
        <v/>
      </c>
      <c r="M653" s="254">
        <f>IFERROR(TRIM(MID(A653,FIND("@",SUBSTITUTE(A653,"(","@",LEN(A653)-LEN(SUBSTITUTE(A653,"(",""))))+1,FIND(")",A653,FIND("@",SUBSTITUTE(A653,"(","@",LEN(A653)-LEN(SUBSTITUTE(A653,"(","")))))-FIND("@",SUBSTITUTE(A653,"(","@",LEN(A653)-LEN(SUBSTITUTE(A653,"(",""))))-1)),"")</f>
        <v/>
      </c>
      <c r="N653" s="254">
        <f>IF(A653="","",IF(LEFT(TRIM(A653),5)="Leave","Leave",IF(OR(ISNUMBER(SEARCH("public holiday",A653)),ISNUMBER(SEARCH("Purple",E653))),"Public holiday","Event")))</f>
        <v/>
      </c>
    </row>
    <row r="654">
      <c r="G654" s="254">
        <f>IF(C654="","",IF(ISNUMBER(C654),C654,IF(ISNUMBER(VALUE(LEFT(TRIM(C654),1))),TRIM(C654),TRIM(MID(TRIM(C654),FIND(" ",TRIM(C654))+1,99)))))</f>
        <v/>
      </c>
      <c r="H654" s="254">
        <f>IF(D654="","",IF(ISNUMBER(D654),D654,IF(ISNUMBER(VALUE(LEFT(TRIM(D654),1))),TRIM(D654),TRIM(MID(TRIM(D654),FIND(" ",TRIM(D654))+1,99)))))</f>
        <v/>
      </c>
      <c r="I654" s="255">
        <f>IF(G654="",0,IF(ISNUMBER(G654),G654,IFERROR(DATE(VALUE(MID(G654,FIND("/",G654,FIND("/",G654)+1)+1,4)),VALUE(MID(G654,FIND("/",G654)+1,FIND("/",G654,FIND("/",G654)+1)-FIND("/",G654)-1)),VALUE(LEFT(G654,FIND("/",G654)-1)))+IFERROR(TIMEVALUE(TRIM(MID(G654,FIND(" ",G654)+1,20))),0),0)))</f>
        <v/>
      </c>
      <c r="J654" s="255">
        <f>IF(H654="",0,IF(ISNUMBER(H654),H654,IFERROR(DATE(VALUE(MID(H654,FIND("/",H654,FIND("/",H654)+1)+1,4)),VALUE(MID(H654,FIND("/",H654)+1,FIND("/",H654,FIND("/",H654)+1)-FIND("/",H654)-1)),VALUE(LEFT(H654,FIND("/",H654)-1)))+IFERROR(TIMEVALUE(TRIM(MID(H654,FIND(" ",H654)+1,20))),0),0)))</f>
        <v/>
      </c>
      <c r="K654" s="256">
        <f>IF(I654=0,0,INT(I654))</f>
        <v/>
      </c>
      <c r="L654" s="257">
        <f>IF(OR(I654=0,J654=0),0,ROUND((J654-I654)*24,2))</f>
        <v/>
      </c>
      <c r="M654" s="254">
        <f>IFERROR(TRIM(MID(A654,FIND("@",SUBSTITUTE(A654,"(","@",LEN(A654)-LEN(SUBSTITUTE(A654,"(",""))))+1,FIND(")",A654,FIND("@",SUBSTITUTE(A654,"(","@",LEN(A654)-LEN(SUBSTITUTE(A654,"(","")))))-FIND("@",SUBSTITUTE(A654,"(","@",LEN(A654)-LEN(SUBSTITUTE(A654,"(",""))))-1)),"")</f>
        <v/>
      </c>
      <c r="N654" s="254">
        <f>IF(A654="","",IF(LEFT(TRIM(A654),5)="Leave","Leave",IF(OR(ISNUMBER(SEARCH("public holiday",A654)),ISNUMBER(SEARCH("Purple",E654))),"Public holiday","Event")))</f>
        <v/>
      </c>
    </row>
    <row r="655">
      <c r="G655" s="254">
        <f>IF(C655="","",IF(ISNUMBER(C655),C655,IF(ISNUMBER(VALUE(LEFT(TRIM(C655),1))),TRIM(C655),TRIM(MID(TRIM(C655),FIND(" ",TRIM(C655))+1,99)))))</f>
        <v/>
      </c>
      <c r="H655" s="254">
        <f>IF(D655="","",IF(ISNUMBER(D655),D655,IF(ISNUMBER(VALUE(LEFT(TRIM(D655),1))),TRIM(D655),TRIM(MID(TRIM(D655),FIND(" ",TRIM(D655))+1,99)))))</f>
        <v/>
      </c>
      <c r="I655" s="255">
        <f>IF(G655="",0,IF(ISNUMBER(G655),G655,IFERROR(DATE(VALUE(MID(G655,FIND("/",G655,FIND("/",G655)+1)+1,4)),VALUE(MID(G655,FIND("/",G655)+1,FIND("/",G655,FIND("/",G655)+1)-FIND("/",G655)-1)),VALUE(LEFT(G655,FIND("/",G655)-1)))+IFERROR(TIMEVALUE(TRIM(MID(G655,FIND(" ",G655)+1,20))),0),0)))</f>
        <v/>
      </c>
      <c r="J655" s="255">
        <f>IF(H655="",0,IF(ISNUMBER(H655),H655,IFERROR(DATE(VALUE(MID(H655,FIND("/",H655,FIND("/",H655)+1)+1,4)),VALUE(MID(H655,FIND("/",H655)+1,FIND("/",H655,FIND("/",H655)+1)-FIND("/",H655)-1)),VALUE(LEFT(H655,FIND("/",H655)-1)))+IFERROR(TIMEVALUE(TRIM(MID(H655,FIND(" ",H655)+1,20))),0),0)))</f>
        <v/>
      </c>
      <c r="K655" s="256">
        <f>IF(I655=0,0,INT(I655))</f>
        <v/>
      </c>
      <c r="L655" s="257">
        <f>IF(OR(I655=0,J655=0),0,ROUND((J655-I655)*24,2))</f>
        <v/>
      </c>
      <c r="M655" s="254">
        <f>IFERROR(TRIM(MID(A655,FIND("@",SUBSTITUTE(A655,"(","@",LEN(A655)-LEN(SUBSTITUTE(A655,"(",""))))+1,FIND(")",A655,FIND("@",SUBSTITUTE(A655,"(","@",LEN(A655)-LEN(SUBSTITUTE(A655,"(","")))))-FIND("@",SUBSTITUTE(A655,"(","@",LEN(A655)-LEN(SUBSTITUTE(A655,"(",""))))-1)),"")</f>
        <v/>
      </c>
      <c r="N655" s="254">
        <f>IF(A655="","",IF(LEFT(TRIM(A655),5)="Leave","Leave",IF(OR(ISNUMBER(SEARCH("public holiday",A655)),ISNUMBER(SEARCH("Purple",E655))),"Public holiday","Event")))</f>
        <v/>
      </c>
    </row>
    <row r="656">
      <c r="G656" s="254">
        <f>IF(C656="","",IF(ISNUMBER(C656),C656,IF(ISNUMBER(VALUE(LEFT(TRIM(C656),1))),TRIM(C656),TRIM(MID(TRIM(C656),FIND(" ",TRIM(C656))+1,99)))))</f>
        <v/>
      </c>
      <c r="H656" s="254">
        <f>IF(D656="","",IF(ISNUMBER(D656),D656,IF(ISNUMBER(VALUE(LEFT(TRIM(D656),1))),TRIM(D656),TRIM(MID(TRIM(D656),FIND(" ",TRIM(D656))+1,99)))))</f>
        <v/>
      </c>
      <c r="I656" s="255">
        <f>IF(G656="",0,IF(ISNUMBER(G656),G656,IFERROR(DATE(VALUE(MID(G656,FIND("/",G656,FIND("/",G656)+1)+1,4)),VALUE(MID(G656,FIND("/",G656)+1,FIND("/",G656,FIND("/",G656)+1)-FIND("/",G656)-1)),VALUE(LEFT(G656,FIND("/",G656)-1)))+IFERROR(TIMEVALUE(TRIM(MID(G656,FIND(" ",G656)+1,20))),0),0)))</f>
        <v/>
      </c>
      <c r="J656" s="255">
        <f>IF(H656="",0,IF(ISNUMBER(H656),H656,IFERROR(DATE(VALUE(MID(H656,FIND("/",H656,FIND("/",H656)+1)+1,4)),VALUE(MID(H656,FIND("/",H656)+1,FIND("/",H656,FIND("/",H656)+1)-FIND("/",H656)-1)),VALUE(LEFT(H656,FIND("/",H656)-1)))+IFERROR(TIMEVALUE(TRIM(MID(H656,FIND(" ",H656)+1,20))),0),0)))</f>
        <v/>
      </c>
      <c r="K656" s="256">
        <f>IF(I656=0,0,INT(I656))</f>
        <v/>
      </c>
      <c r="L656" s="257">
        <f>IF(OR(I656=0,J656=0),0,ROUND((J656-I656)*24,2))</f>
        <v/>
      </c>
      <c r="M656" s="254">
        <f>IFERROR(TRIM(MID(A656,FIND("@",SUBSTITUTE(A656,"(","@",LEN(A656)-LEN(SUBSTITUTE(A656,"(",""))))+1,FIND(")",A656,FIND("@",SUBSTITUTE(A656,"(","@",LEN(A656)-LEN(SUBSTITUTE(A656,"(","")))))-FIND("@",SUBSTITUTE(A656,"(","@",LEN(A656)-LEN(SUBSTITUTE(A656,"(",""))))-1)),"")</f>
        <v/>
      </c>
      <c r="N656" s="254">
        <f>IF(A656="","",IF(LEFT(TRIM(A656),5)="Leave","Leave",IF(OR(ISNUMBER(SEARCH("public holiday",A656)),ISNUMBER(SEARCH("Purple",E656))),"Public holiday","Event")))</f>
        <v/>
      </c>
    </row>
    <row r="657">
      <c r="G657" s="254">
        <f>IF(C657="","",IF(ISNUMBER(C657),C657,IF(ISNUMBER(VALUE(LEFT(TRIM(C657),1))),TRIM(C657),TRIM(MID(TRIM(C657),FIND(" ",TRIM(C657))+1,99)))))</f>
        <v/>
      </c>
      <c r="H657" s="254">
        <f>IF(D657="","",IF(ISNUMBER(D657),D657,IF(ISNUMBER(VALUE(LEFT(TRIM(D657),1))),TRIM(D657),TRIM(MID(TRIM(D657),FIND(" ",TRIM(D657))+1,99)))))</f>
        <v/>
      </c>
      <c r="I657" s="255">
        <f>IF(G657="",0,IF(ISNUMBER(G657),G657,IFERROR(DATE(VALUE(MID(G657,FIND("/",G657,FIND("/",G657)+1)+1,4)),VALUE(MID(G657,FIND("/",G657)+1,FIND("/",G657,FIND("/",G657)+1)-FIND("/",G657)-1)),VALUE(LEFT(G657,FIND("/",G657)-1)))+IFERROR(TIMEVALUE(TRIM(MID(G657,FIND(" ",G657)+1,20))),0),0)))</f>
        <v/>
      </c>
      <c r="J657" s="255">
        <f>IF(H657="",0,IF(ISNUMBER(H657),H657,IFERROR(DATE(VALUE(MID(H657,FIND("/",H657,FIND("/",H657)+1)+1,4)),VALUE(MID(H657,FIND("/",H657)+1,FIND("/",H657,FIND("/",H657)+1)-FIND("/",H657)-1)),VALUE(LEFT(H657,FIND("/",H657)-1)))+IFERROR(TIMEVALUE(TRIM(MID(H657,FIND(" ",H657)+1,20))),0),0)))</f>
        <v/>
      </c>
      <c r="K657" s="256">
        <f>IF(I657=0,0,INT(I657))</f>
        <v/>
      </c>
      <c r="L657" s="257">
        <f>IF(OR(I657=0,J657=0),0,ROUND((J657-I657)*24,2))</f>
        <v/>
      </c>
      <c r="M657" s="254">
        <f>IFERROR(TRIM(MID(A657,FIND("@",SUBSTITUTE(A657,"(","@",LEN(A657)-LEN(SUBSTITUTE(A657,"(",""))))+1,FIND(")",A657,FIND("@",SUBSTITUTE(A657,"(","@",LEN(A657)-LEN(SUBSTITUTE(A657,"(","")))))-FIND("@",SUBSTITUTE(A657,"(","@",LEN(A657)-LEN(SUBSTITUTE(A657,"(",""))))-1)),"")</f>
        <v/>
      </c>
      <c r="N657" s="254">
        <f>IF(A657="","",IF(LEFT(TRIM(A657),5)="Leave","Leave",IF(OR(ISNUMBER(SEARCH("public holiday",A657)),ISNUMBER(SEARCH("Purple",E657))),"Public holiday","Event")))</f>
        <v/>
      </c>
    </row>
    <row r="658">
      <c r="G658" s="254">
        <f>IF(C658="","",IF(ISNUMBER(C658),C658,IF(ISNUMBER(VALUE(LEFT(TRIM(C658),1))),TRIM(C658),TRIM(MID(TRIM(C658),FIND(" ",TRIM(C658))+1,99)))))</f>
        <v/>
      </c>
      <c r="H658" s="254">
        <f>IF(D658="","",IF(ISNUMBER(D658),D658,IF(ISNUMBER(VALUE(LEFT(TRIM(D658),1))),TRIM(D658),TRIM(MID(TRIM(D658),FIND(" ",TRIM(D658))+1,99)))))</f>
        <v/>
      </c>
      <c r="I658" s="255">
        <f>IF(G658="",0,IF(ISNUMBER(G658),G658,IFERROR(DATE(VALUE(MID(G658,FIND("/",G658,FIND("/",G658)+1)+1,4)),VALUE(MID(G658,FIND("/",G658)+1,FIND("/",G658,FIND("/",G658)+1)-FIND("/",G658)-1)),VALUE(LEFT(G658,FIND("/",G658)-1)))+IFERROR(TIMEVALUE(TRIM(MID(G658,FIND(" ",G658)+1,20))),0),0)))</f>
        <v/>
      </c>
      <c r="J658" s="255">
        <f>IF(H658="",0,IF(ISNUMBER(H658),H658,IFERROR(DATE(VALUE(MID(H658,FIND("/",H658,FIND("/",H658)+1)+1,4)),VALUE(MID(H658,FIND("/",H658)+1,FIND("/",H658,FIND("/",H658)+1)-FIND("/",H658)-1)),VALUE(LEFT(H658,FIND("/",H658)-1)))+IFERROR(TIMEVALUE(TRIM(MID(H658,FIND(" ",H658)+1,20))),0),0)))</f>
        <v/>
      </c>
      <c r="K658" s="256">
        <f>IF(I658=0,0,INT(I658))</f>
        <v/>
      </c>
      <c r="L658" s="257">
        <f>IF(OR(I658=0,J658=0),0,ROUND((J658-I658)*24,2))</f>
        <v/>
      </c>
      <c r="M658" s="254">
        <f>IFERROR(TRIM(MID(A658,FIND("@",SUBSTITUTE(A658,"(","@",LEN(A658)-LEN(SUBSTITUTE(A658,"(",""))))+1,FIND(")",A658,FIND("@",SUBSTITUTE(A658,"(","@",LEN(A658)-LEN(SUBSTITUTE(A658,"(","")))))-FIND("@",SUBSTITUTE(A658,"(","@",LEN(A658)-LEN(SUBSTITUTE(A658,"(",""))))-1)),"")</f>
        <v/>
      </c>
      <c r="N658" s="254">
        <f>IF(A658="","",IF(LEFT(TRIM(A658),5)="Leave","Leave",IF(OR(ISNUMBER(SEARCH("public holiday",A658)),ISNUMBER(SEARCH("Purple",E658))),"Public holiday","Event")))</f>
        <v/>
      </c>
    </row>
    <row r="659">
      <c r="G659" s="254">
        <f>IF(C659="","",IF(ISNUMBER(C659),C659,IF(ISNUMBER(VALUE(LEFT(TRIM(C659),1))),TRIM(C659),TRIM(MID(TRIM(C659),FIND(" ",TRIM(C659))+1,99)))))</f>
        <v/>
      </c>
      <c r="H659" s="254">
        <f>IF(D659="","",IF(ISNUMBER(D659),D659,IF(ISNUMBER(VALUE(LEFT(TRIM(D659),1))),TRIM(D659),TRIM(MID(TRIM(D659),FIND(" ",TRIM(D659))+1,99)))))</f>
        <v/>
      </c>
      <c r="I659" s="255">
        <f>IF(G659="",0,IF(ISNUMBER(G659),G659,IFERROR(DATE(VALUE(MID(G659,FIND("/",G659,FIND("/",G659)+1)+1,4)),VALUE(MID(G659,FIND("/",G659)+1,FIND("/",G659,FIND("/",G659)+1)-FIND("/",G659)-1)),VALUE(LEFT(G659,FIND("/",G659)-1)))+IFERROR(TIMEVALUE(TRIM(MID(G659,FIND(" ",G659)+1,20))),0),0)))</f>
        <v/>
      </c>
      <c r="J659" s="255">
        <f>IF(H659="",0,IF(ISNUMBER(H659),H659,IFERROR(DATE(VALUE(MID(H659,FIND("/",H659,FIND("/",H659)+1)+1,4)),VALUE(MID(H659,FIND("/",H659)+1,FIND("/",H659,FIND("/",H659)+1)-FIND("/",H659)-1)),VALUE(LEFT(H659,FIND("/",H659)-1)))+IFERROR(TIMEVALUE(TRIM(MID(H659,FIND(" ",H659)+1,20))),0),0)))</f>
        <v/>
      </c>
      <c r="K659" s="256">
        <f>IF(I659=0,0,INT(I659))</f>
        <v/>
      </c>
      <c r="L659" s="257">
        <f>IF(OR(I659=0,J659=0),0,ROUND((J659-I659)*24,2))</f>
        <v/>
      </c>
      <c r="M659" s="254">
        <f>IFERROR(TRIM(MID(A659,FIND("@",SUBSTITUTE(A659,"(","@",LEN(A659)-LEN(SUBSTITUTE(A659,"(",""))))+1,FIND(")",A659,FIND("@",SUBSTITUTE(A659,"(","@",LEN(A659)-LEN(SUBSTITUTE(A659,"(","")))))-FIND("@",SUBSTITUTE(A659,"(","@",LEN(A659)-LEN(SUBSTITUTE(A659,"(",""))))-1)),"")</f>
        <v/>
      </c>
      <c r="N659" s="254">
        <f>IF(A659="","",IF(LEFT(TRIM(A659),5)="Leave","Leave",IF(OR(ISNUMBER(SEARCH("public holiday",A659)),ISNUMBER(SEARCH("Purple",E659))),"Public holiday","Event")))</f>
        <v/>
      </c>
    </row>
    <row r="660">
      <c r="G660" s="254">
        <f>IF(C660="","",IF(ISNUMBER(C660),C660,IF(ISNUMBER(VALUE(LEFT(TRIM(C660),1))),TRIM(C660),TRIM(MID(TRIM(C660),FIND(" ",TRIM(C660))+1,99)))))</f>
        <v/>
      </c>
      <c r="H660" s="254">
        <f>IF(D660="","",IF(ISNUMBER(D660),D660,IF(ISNUMBER(VALUE(LEFT(TRIM(D660),1))),TRIM(D660),TRIM(MID(TRIM(D660),FIND(" ",TRIM(D660))+1,99)))))</f>
        <v/>
      </c>
      <c r="I660" s="255">
        <f>IF(G660="",0,IF(ISNUMBER(G660),G660,IFERROR(DATE(VALUE(MID(G660,FIND("/",G660,FIND("/",G660)+1)+1,4)),VALUE(MID(G660,FIND("/",G660)+1,FIND("/",G660,FIND("/",G660)+1)-FIND("/",G660)-1)),VALUE(LEFT(G660,FIND("/",G660)-1)))+IFERROR(TIMEVALUE(TRIM(MID(G660,FIND(" ",G660)+1,20))),0),0)))</f>
        <v/>
      </c>
      <c r="J660" s="255">
        <f>IF(H660="",0,IF(ISNUMBER(H660),H660,IFERROR(DATE(VALUE(MID(H660,FIND("/",H660,FIND("/",H660)+1)+1,4)),VALUE(MID(H660,FIND("/",H660)+1,FIND("/",H660,FIND("/",H660)+1)-FIND("/",H660)-1)),VALUE(LEFT(H660,FIND("/",H660)-1)))+IFERROR(TIMEVALUE(TRIM(MID(H660,FIND(" ",H660)+1,20))),0),0)))</f>
        <v/>
      </c>
      <c r="K660" s="256">
        <f>IF(I660=0,0,INT(I660))</f>
        <v/>
      </c>
      <c r="L660" s="257">
        <f>IF(OR(I660=0,J660=0),0,ROUND((J660-I660)*24,2))</f>
        <v/>
      </c>
      <c r="M660" s="254">
        <f>IFERROR(TRIM(MID(A660,FIND("@",SUBSTITUTE(A660,"(","@",LEN(A660)-LEN(SUBSTITUTE(A660,"(",""))))+1,FIND(")",A660,FIND("@",SUBSTITUTE(A660,"(","@",LEN(A660)-LEN(SUBSTITUTE(A660,"(","")))))-FIND("@",SUBSTITUTE(A660,"(","@",LEN(A660)-LEN(SUBSTITUTE(A660,"(",""))))-1)),"")</f>
        <v/>
      </c>
      <c r="N660" s="254">
        <f>IF(A660="","",IF(LEFT(TRIM(A660),5)="Leave","Leave",IF(OR(ISNUMBER(SEARCH("public holiday",A660)),ISNUMBER(SEARCH("Purple",E660))),"Public holiday","Event")))</f>
        <v/>
      </c>
    </row>
    <row r="661">
      <c r="G661" s="254">
        <f>IF(C661="","",IF(ISNUMBER(C661),C661,IF(ISNUMBER(VALUE(LEFT(TRIM(C661),1))),TRIM(C661),TRIM(MID(TRIM(C661),FIND(" ",TRIM(C661))+1,99)))))</f>
        <v/>
      </c>
      <c r="H661" s="254">
        <f>IF(D661="","",IF(ISNUMBER(D661),D661,IF(ISNUMBER(VALUE(LEFT(TRIM(D661),1))),TRIM(D661),TRIM(MID(TRIM(D661),FIND(" ",TRIM(D661))+1,99)))))</f>
        <v/>
      </c>
      <c r="I661" s="255">
        <f>IF(G661="",0,IF(ISNUMBER(G661),G661,IFERROR(DATE(VALUE(MID(G661,FIND("/",G661,FIND("/",G661)+1)+1,4)),VALUE(MID(G661,FIND("/",G661)+1,FIND("/",G661,FIND("/",G661)+1)-FIND("/",G661)-1)),VALUE(LEFT(G661,FIND("/",G661)-1)))+IFERROR(TIMEVALUE(TRIM(MID(G661,FIND(" ",G661)+1,20))),0),0)))</f>
        <v/>
      </c>
      <c r="J661" s="255">
        <f>IF(H661="",0,IF(ISNUMBER(H661),H661,IFERROR(DATE(VALUE(MID(H661,FIND("/",H661,FIND("/",H661)+1)+1,4)),VALUE(MID(H661,FIND("/",H661)+1,FIND("/",H661,FIND("/",H661)+1)-FIND("/",H661)-1)),VALUE(LEFT(H661,FIND("/",H661)-1)))+IFERROR(TIMEVALUE(TRIM(MID(H661,FIND(" ",H661)+1,20))),0),0)))</f>
        <v/>
      </c>
      <c r="K661" s="256">
        <f>IF(I661=0,0,INT(I661))</f>
        <v/>
      </c>
      <c r="L661" s="257">
        <f>IF(OR(I661=0,J661=0),0,ROUND((J661-I661)*24,2))</f>
        <v/>
      </c>
      <c r="M661" s="254">
        <f>IFERROR(TRIM(MID(A661,FIND("@",SUBSTITUTE(A661,"(","@",LEN(A661)-LEN(SUBSTITUTE(A661,"(",""))))+1,FIND(")",A661,FIND("@",SUBSTITUTE(A661,"(","@",LEN(A661)-LEN(SUBSTITUTE(A661,"(","")))))-FIND("@",SUBSTITUTE(A661,"(","@",LEN(A661)-LEN(SUBSTITUTE(A661,"(",""))))-1)),"")</f>
        <v/>
      </c>
      <c r="N661" s="254">
        <f>IF(A661="","",IF(LEFT(TRIM(A661),5)="Leave","Leave",IF(OR(ISNUMBER(SEARCH("public holiday",A661)),ISNUMBER(SEARCH("Purple",E661))),"Public holiday","Event")))</f>
        <v/>
      </c>
    </row>
    <row r="662">
      <c r="G662" s="254">
        <f>IF(C662="","",IF(ISNUMBER(C662),C662,IF(ISNUMBER(VALUE(LEFT(TRIM(C662),1))),TRIM(C662),TRIM(MID(TRIM(C662),FIND(" ",TRIM(C662))+1,99)))))</f>
        <v/>
      </c>
      <c r="H662" s="254">
        <f>IF(D662="","",IF(ISNUMBER(D662),D662,IF(ISNUMBER(VALUE(LEFT(TRIM(D662),1))),TRIM(D662),TRIM(MID(TRIM(D662),FIND(" ",TRIM(D662))+1,99)))))</f>
        <v/>
      </c>
      <c r="I662" s="255">
        <f>IF(G662="",0,IF(ISNUMBER(G662),G662,IFERROR(DATE(VALUE(MID(G662,FIND("/",G662,FIND("/",G662)+1)+1,4)),VALUE(MID(G662,FIND("/",G662)+1,FIND("/",G662,FIND("/",G662)+1)-FIND("/",G662)-1)),VALUE(LEFT(G662,FIND("/",G662)-1)))+IFERROR(TIMEVALUE(TRIM(MID(G662,FIND(" ",G662)+1,20))),0),0)))</f>
        <v/>
      </c>
      <c r="J662" s="255">
        <f>IF(H662="",0,IF(ISNUMBER(H662),H662,IFERROR(DATE(VALUE(MID(H662,FIND("/",H662,FIND("/",H662)+1)+1,4)),VALUE(MID(H662,FIND("/",H662)+1,FIND("/",H662,FIND("/",H662)+1)-FIND("/",H662)-1)),VALUE(LEFT(H662,FIND("/",H662)-1)))+IFERROR(TIMEVALUE(TRIM(MID(H662,FIND(" ",H662)+1,20))),0),0)))</f>
        <v/>
      </c>
      <c r="K662" s="256">
        <f>IF(I662=0,0,INT(I662))</f>
        <v/>
      </c>
      <c r="L662" s="257">
        <f>IF(OR(I662=0,J662=0),0,ROUND((J662-I662)*24,2))</f>
        <v/>
      </c>
      <c r="M662" s="254">
        <f>IFERROR(TRIM(MID(A662,FIND("@",SUBSTITUTE(A662,"(","@",LEN(A662)-LEN(SUBSTITUTE(A662,"(",""))))+1,FIND(")",A662,FIND("@",SUBSTITUTE(A662,"(","@",LEN(A662)-LEN(SUBSTITUTE(A662,"(","")))))-FIND("@",SUBSTITUTE(A662,"(","@",LEN(A662)-LEN(SUBSTITUTE(A662,"(",""))))-1)),"")</f>
        <v/>
      </c>
      <c r="N662" s="254">
        <f>IF(A662="","",IF(LEFT(TRIM(A662),5)="Leave","Leave",IF(OR(ISNUMBER(SEARCH("public holiday",A662)),ISNUMBER(SEARCH("Purple",E662))),"Public holiday","Event")))</f>
        <v/>
      </c>
    </row>
    <row r="663">
      <c r="G663" s="254">
        <f>IF(C663="","",IF(ISNUMBER(C663),C663,IF(ISNUMBER(VALUE(LEFT(TRIM(C663),1))),TRIM(C663),TRIM(MID(TRIM(C663),FIND(" ",TRIM(C663))+1,99)))))</f>
        <v/>
      </c>
      <c r="H663" s="254">
        <f>IF(D663="","",IF(ISNUMBER(D663),D663,IF(ISNUMBER(VALUE(LEFT(TRIM(D663),1))),TRIM(D663),TRIM(MID(TRIM(D663),FIND(" ",TRIM(D663))+1,99)))))</f>
        <v/>
      </c>
      <c r="I663" s="255">
        <f>IF(G663="",0,IF(ISNUMBER(G663),G663,IFERROR(DATE(VALUE(MID(G663,FIND("/",G663,FIND("/",G663)+1)+1,4)),VALUE(MID(G663,FIND("/",G663)+1,FIND("/",G663,FIND("/",G663)+1)-FIND("/",G663)-1)),VALUE(LEFT(G663,FIND("/",G663)-1)))+IFERROR(TIMEVALUE(TRIM(MID(G663,FIND(" ",G663)+1,20))),0),0)))</f>
        <v/>
      </c>
      <c r="J663" s="255">
        <f>IF(H663="",0,IF(ISNUMBER(H663),H663,IFERROR(DATE(VALUE(MID(H663,FIND("/",H663,FIND("/",H663)+1)+1,4)),VALUE(MID(H663,FIND("/",H663)+1,FIND("/",H663,FIND("/",H663)+1)-FIND("/",H663)-1)),VALUE(LEFT(H663,FIND("/",H663)-1)))+IFERROR(TIMEVALUE(TRIM(MID(H663,FIND(" ",H663)+1,20))),0),0)))</f>
        <v/>
      </c>
      <c r="K663" s="256">
        <f>IF(I663=0,0,INT(I663))</f>
        <v/>
      </c>
      <c r="L663" s="257">
        <f>IF(OR(I663=0,J663=0),0,ROUND((J663-I663)*24,2))</f>
        <v/>
      </c>
      <c r="M663" s="254">
        <f>IFERROR(TRIM(MID(A663,FIND("@",SUBSTITUTE(A663,"(","@",LEN(A663)-LEN(SUBSTITUTE(A663,"(",""))))+1,FIND(")",A663,FIND("@",SUBSTITUTE(A663,"(","@",LEN(A663)-LEN(SUBSTITUTE(A663,"(","")))))-FIND("@",SUBSTITUTE(A663,"(","@",LEN(A663)-LEN(SUBSTITUTE(A663,"(",""))))-1)),"")</f>
        <v/>
      </c>
      <c r="N663" s="254">
        <f>IF(A663="","",IF(LEFT(TRIM(A663),5)="Leave","Leave",IF(OR(ISNUMBER(SEARCH("public holiday",A663)),ISNUMBER(SEARCH("Purple",E663))),"Public holiday","Event")))</f>
        <v/>
      </c>
    </row>
    <row r="664">
      <c r="G664" s="254">
        <f>IF(C664="","",IF(ISNUMBER(C664),C664,IF(ISNUMBER(VALUE(LEFT(TRIM(C664),1))),TRIM(C664),TRIM(MID(TRIM(C664),FIND(" ",TRIM(C664))+1,99)))))</f>
        <v/>
      </c>
      <c r="H664" s="254">
        <f>IF(D664="","",IF(ISNUMBER(D664),D664,IF(ISNUMBER(VALUE(LEFT(TRIM(D664),1))),TRIM(D664),TRIM(MID(TRIM(D664),FIND(" ",TRIM(D664))+1,99)))))</f>
        <v/>
      </c>
      <c r="I664" s="255">
        <f>IF(G664="",0,IF(ISNUMBER(G664),G664,IFERROR(DATE(VALUE(MID(G664,FIND("/",G664,FIND("/",G664)+1)+1,4)),VALUE(MID(G664,FIND("/",G664)+1,FIND("/",G664,FIND("/",G664)+1)-FIND("/",G664)-1)),VALUE(LEFT(G664,FIND("/",G664)-1)))+IFERROR(TIMEVALUE(TRIM(MID(G664,FIND(" ",G664)+1,20))),0),0)))</f>
        <v/>
      </c>
      <c r="J664" s="255">
        <f>IF(H664="",0,IF(ISNUMBER(H664),H664,IFERROR(DATE(VALUE(MID(H664,FIND("/",H664,FIND("/",H664)+1)+1,4)),VALUE(MID(H664,FIND("/",H664)+1,FIND("/",H664,FIND("/",H664)+1)-FIND("/",H664)-1)),VALUE(LEFT(H664,FIND("/",H664)-1)))+IFERROR(TIMEVALUE(TRIM(MID(H664,FIND(" ",H664)+1,20))),0),0)))</f>
        <v/>
      </c>
      <c r="K664" s="256">
        <f>IF(I664=0,0,INT(I664))</f>
        <v/>
      </c>
      <c r="L664" s="257">
        <f>IF(OR(I664=0,J664=0),0,ROUND((J664-I664)*24,2))</f>
        <v/>
      </c>
      <c r="M664" s="254">
        <f>IFERROR(TRIM(MID(A664,FIND("@",SUBSTITUTE(A664,"(","@",LEN(A664)-LEN(SUBSTITUTE(A664,"(",""))))+1,FIND(")",A664,FIND("@",SUBSTITUTE(A664,"(","@",LEN(A664)-LEN(SUBSTITUTE(A664,"(","")))))-FIND("@",SUBSTITUTE(A664,"(","@",LEN(A664)-LEN(SUBSTITUTE(A664,"(",""))))-1)),"")</f>
        <v/>
      </c>
      <c r="N664" s="254">
        <f>IF(A664="","",IF(LEFT(TRIM(A664),5)="Leave","Leave",IF(OR(ISNUMBER(SEARCH("public holiday",A664)),ISNUMBER(SEARCH("Purple",E664))),"Public holiday","Event")))</f>
        <v/>
      </c>
    </row>
    <row r="665">
      <c r="G665" s="254">
        <f>IF(C665="","",IF(ISNUMBER(C665),C665,IF(ISNUMBER(VALUE(LEFT(TRIM(C665),1))),TRIM(C665),TRIM(MID(TRIM(C665),FIND(" ",TRIM(C665))+1,99)))))</f>
        <v/>
      </c>
      <c r="H665" s="254">
        <f>IF(D665="","",IF(ISNUMBER(D665),D665,IF(ISNUMBER(VALUE(LEFT(TRIM(D665),1))),TRIM(D665),TRIM(MID(TRIM(D665),FIND(" ",TRIM(D665))+1,99)))))</f>
        <v/>
      </c>
      <c r="I665" s="255">
        <f>IF(G665="",0,IF(ISNUMBER(G665),G665,IFERROR(DATE(VALUE(MID(G665,FIND("/",G665,FIND("/",G665)+1)+1,4)),VALUE(MID(G665,FIND("/",G665)+1,FIND("/",G665,FIND("/",G665)+1)-FIND("/",G665)-1)),VALUE(LEFT(G665,FIND("/",G665)-1)))+IFERROR(TIMEVALUE(TRIM(MID(G665,FIND(" ",G665)+1,20))),0),0)))</f>
        <v/>
      </c>
      <c r="J665" s="255">
        <f>IF(H665="",0,IF(ISNUMBER(H665),H665,IFERROR(DATE(VALUE(MID(H665,FIND("/",H665,FIND("/",H665)+1)+1,4)),VALUE(MID(H665,FIND("/",H665)+1,FIND("/",H665,FIND("/",H665)+1)-FIND("/",H665)-1)),VALUE(LEFT(H665,FIND("/",H665)-1)))+IFERROR(TIMEVALUE(TRIM(MID(H665,FIND(" ",H665)+1,20))),0),0)))</f>
        <v/>
      </c>
      <c r="K665" s="256">
        <f>IF(I665=0,0,INT(I665))</f>
        <v/>
      </c>
      <c r="L665" s="257">
        <f>IF(OR(I665=0,J665=0),0,ROUND((J665-I665)*24,2))</f>
        <v/>
      </c>
      <c r="M665" s="254">
        <f>IFERROR(TRIM(MID(A665,FIND("@",SUBSTITUTE(A665,"(","@",LEN(A665)-LEN(SUBSTITUTE(A665,"(",""))))+1,FIND(")",A665,FIND("@",SUBSTITUTE(A665,"(","@",LEN(A665)-LEN(SUBSTITUTE(A665,"(","")))))-FIND("@",SUBSTITUTE(A665,"(","@",LEN(A665)-LEN(SUBSTITUTE(A665,"(",""))))-1)),"")</f>
        <v/>
      </c>
      <c r="N665" s="254">
        <f>IF(A665="","",IF(LEFT(TRIM(A665),5)="Leave","Leave",IF(OR(ISNUMBER(SEARCH("public holiday",A665)),ISNUMBER(SEARCH("Purple",E665))),"Public holiday","Event")))</f>
        <v/>
      </c>
    </row>
    <row r="666">
      <c r="G666" s="254">
        <f>IF(C666="","",IF(ISNUMBER(C666),C666,IF(ISNUMBER(VALUE(LEFT(TRIM(C666),1))),TRIM(C666),TRIM(MID(TRIM(C666),FIND(" ",TRIM(C666))+1,99)))))</f>
        <v/>
      </c>
      <c r="H666" s="254">
        <f>IF(D666="","",IF(ISNUMBER(D666),D666,IF(ISNUMBER(VALUE(LEFT(TRIM(D666),1))),TRIM(D666),TRIM(MID(TRIM(D666),FIND(" ",TRIM(D666))+1,99)))))</f>
        <v/>
      </c>
      <c r="I666" s="255">
        <f>IF(G666="",0,IF(ISNUMBER(G666),G666,IFERROR(DATE(VALUE(MID(G666,FIND("/",G666,FIND("/",G666)+1)+1,4)),VALUE(MID(G666,FIND("/",G666)+1,FIND("/",G666,FIND("/",G666)+1)-FIND("/",G666)-1)),VALUE(LEFT(G666,FIND("/",G666)-1)))+IFERROR(TIMEVALUE(TRIM(MID(G666,FIND(" ",G666)+1,20))),0),0)))</f>
        <v/>
      </c>
      <c r="J666" s="255">
        <f>IF(H666="",0,IF(ISNUMBER(H666),H666,IFERROR(DATE(VALUE(MID(H666,FIND("/",H666,FIND("/",H666)+1)+1,4)),VALUE(MID(H666,FIND("/",H666)+1,FIND("/",H666,FIND("/",H666)+1)-FIND("/",H666)-1)),VALUE(LEFT(H666,FIND("/",H666)-1)))+IFERROR(TIMEVALUE(TRIM(MID(H666,FIND(" ",H666)+1,20))),0),0)))</f>
        <v/>
      </c>
      <c r="K666" s="256">
        <f>IF(I666=0,0,INT(I666))</f>
        <v/>
      </c>
      <c r="L666" s="257">
        <f>IF(OR(I666=0,J666=0),0,ROUND((J666-I666)*24,2))</f>
        <v/>
      </c>
      <c r="M666" s="254">
        <f>IFERROR(TRIM(MID(A666,FIND("@",SUBSTITUTE(A666,"(","@",LEN(A666)-LEN(SUBSTITUTE(A666,"(",""))))+1,FIND(")",A666,FIND("@",SUBSTITUTE(A666,"(","@",LEN(A666)-LEN(SUBSTITUTE(A666,"(","")))))-FIND("@",SUBSTITUTE(A666,"(","@",LEN(A666)-LEN(SUBSTITUTE(A666,"(",""))))-1)),"")</f>
        <v/>
      </c>
      <c r="N666" s="254">
        <f>IF(A666="","",IF(LEFT(TRIM(A666),5)="Leave","Leave",IF(OR(ISNUMBER(SEARCH("public holiday",A666)),ISNUMBER(SEARCH("Purple",E666))),"Public holiday","Event")))</f>
        <v/>
      </c>
    </row>
    <row r="667">
      <c r="G667" s="254">
        <f>IF(C667="","",IF(ISNUMBER(C667),C667,IF(ISNUMBER(VALUE(LEFT(TRIM(C667),1))),TRIM(C667),TRIM(MID(TRIM(C667),FIND(" ",TRIM(C667))+1,99)))))</f>
        <v/>
      </c>
      <c r="H667" s="254">
        <f>IF(D667="","",IF(ISNUMBER(D667),D667,IF(ISNUMBER(VALUE(LEFT(TRIM(D667),1))),TRIM(D667),TRIM(MID(TRIM(D667),FIND(" ",TRIM(D667))+1,99)))))</f>
        <v/>
      </c>
      <c r="I667" s="255">
        <f>IF(G667="",0,IF(ISNUMBER(G667),G667,IFERROR(DATE(VALUE(MID(G667,FIND("/",G667,FIND("/",G667)+1)+1,4)),VALUE(MID(G667,FIND("/",G667)+1,FIND("/",G667,FIND("/",G667)+1)-FIND("/",G667)-1)),VALUE(LEFT(G667,FIND("/",G667)-1)))+IFERROR(TIMEVALUE(TRIM(MID(G667,FIND(" ",G667)+1,20))),0),0)))</f>
        <v/>
      </c>
      <c r="J667" s="255">
        <f>IF(H667="",0,IF(ISNUMBER(H667),H667,IFERROR(DATE(VALUE(MID(H667,FIND("/",H667,FIND("/",H667)+1)+1,4)),VALUE(MID(H667,FIND("/",H667)+1,FIND("/",H667,FIND("/",H667)+1)-FIND("/",H667)-1)),VALUE(LEFT(H667,FIND("/",H667)-1)))+IFERROR(TIMEVALUE(TRIM(MID(H667,FIND(" ",H667)+1,20))),0),0)))</f>
        <v/>
      </c>
      <c r="K667" s="256">
        <f>IF(I667=0,0,INT(I667))</f>
        <v/>
      </c>
      <c r="L667" s="257">
        <f>IF(OR(I667=0,J667=0),0,ROUND((J667-I667)*24,2))</f>
        <v/>
      </c>
      <c r="M667" s="254">
        <f>IFERROR(TRIM(MID(A667,FIND("@",SUBSTITUTE(A667,"(","@",LEN(A667)-LEN(SUBSTITUTE(A667,"(",""))))+1,FIND(")",A667,FIND("@",SUBSTITUTE(A667,"(","@",LEN(A667)-LEN(SUBSTITUTE(A667,"(","")))))-FIND("@",SUBSTITUTE(A667,"(","@",LEN(A667)-LEN(SUBSTITUTE(A667,"(",""))))-1)),"")</f>
        <v/>
      </c>
      <c r="N667" s="254">
        <f>IF(A667="","",IF(LEFT(TRIM(A667),5)="Leave","Leave",IF(OR(ISNUMBER(SEARCH("public holiday",A667)),ISNUMBER(SEARCH("Purple",E667))),"Public holiday","Event")))</f>
        <v/>
      </c>
    </row>
    <row r="668">
      <c r="G668" s="254">
        <f>IF(C668="","",IF(ISNUMBER(C668),C668,IF(ISNUMBER(VALUE(LEFT(TRIM(C668),1))),TRIM(C668),TRIM(MID(TRIM(C668),FIND(" ",TRIM(C668))+1,99)))))</f>
        <v/>
      </c>
      <c r="H668" s="254">
        <f>IF(D668="","",IF(ISNUMBER(D668),D668,IF(ISNUMBER(VALUE(LEFT(TRIM(D668),1))),TRIM(D668),TRIM(MID(TRIM(D668),FIND(" ",TRIM(D668))+1,99)))))</f>
        <v/>
      </c>
      <c r="I668" s="255">
        <f>IF(G668="",0,IF(ISNUMBER(G668),G668,IFERROR(DATE(VALUE(MID(G668,FIND("/",G668,FIND("/",G668)+1)+1,4)),VALUE(MID(G668,FIND("/",G668)+1,FIND("/",G668,FIND("/",G668)+1)-FIND("/",G668)-1)),VALUE(LEFT(G668,FIND("/",G668)-1)))+IFERROR(TIMEVALUE(TRIM(MID(G668,FIND(" ",G668)+1,20))),0),0)))</f>
        <v/>
      </c>
      <c r="J668" s="255">
        <f>IF(H668="",0,IF(ISNUMBER(H668),H668,IFERROR(DATE(VALUE(MID(H668,FIND("/",H668,FIND("/",H668)+1)+1,4)),VALUE(MID(H668,FIND("/",H668)+1,FIND("/",H668,FIND("/",H668)+1)-FIND("/",H668)-1)),VALUE(LEFT(H668,FIND("/",H668)-1)))+IFERROR(TIMEVALUE(TRIM(MID(H668,FIND(" ",H668)+1,20))),0),0)))</f>
        <v/>
      </c>
      <c r="K668" s="256">
        <f>IF(I668=0,0,INT(I668))</f>
        <v/>
      </c>
      <c r="L668" s="257">
        <f>IF(OR(I668=0,J668=0),0,ROUND((J668-I668)*24,2))</f>
        <v/>
      </c>
      <c r="M668" s="254">
        <f>IFERROR(TRIM(MID(A668,FIND("@",SUBSTITUTE(A668,"(","@",LEN(A668)-LEN(SUBSTITUTE(A668,"(",""))))+1,FIND(")",A668,FIND("@",SUBSTITUTE(A668,"(","@",LEN(A668)-LEN(SUBSTITUTE(A668,"(","")))))-FIND("@",SUBSTITUTE(A668,"(","@",LEN(A668)-LEN(SUBSTITUTE(A668,"(",""))))-1)),"")</f>
        <v/>
      </c>
      <c r="N668" s="254">
        <f>IF(A668="","",IF(LEFT(TRIM(A668),5)="Leave","Leave",IF(OR(ISNUMBER(SEARCH("public holiday",A668)),ISNUMBER(SEARCH("Purple",E668))),"Public holiday","Event")))</f>
        <v/>
      </c>
    </row>
    <row r="669">
      <c r="G669" s="254">
        <f>IF(C669="","",IF(ISNUMBER(C669),C669,IF(ISNUMBER(VALUE(LEFT(TRIM(C669),1))),TRIM(C669),TRIM(MID(TRIM(C669),FIND(" ",TRIM(C669))+1,99)))))</f>
        <v/>
      </c>
      <c r="H669" s="254">
        <f>IF(D669="","",IF(ISNUMBER(D669),D669,IF(ISNUMBER(VALUE(LEFT(TRIM(D669),1))),TRIM(D669),TRIM(MID(TRIM(D669),FIND(" ",TRIM(D669))+1,99)))))</f>
        <v/>
      </c>
      <c r="I669" s="255">
        <f>IF(G669="",0,IF(ISNUMBER(G669),G669,IFERROR(DATE(VALUE(MID(G669,FIND("/",G669,FIND("/",G669)+1)+1,4)),VALUE(MID(G669,FIND("/",G669)+1,FIND("/",G669,FIND("/",G669)+1)-FIND("/",G669)-1)),VALUE(LEFT(G669,FIND("/",G669)-1)))+IFERROR(TIMEVALUE(TRIM(MID(G669,FIND(" ",G669)+1,20))),0),0)))</f>
        <v/>
      </c>
      <c r="J669" s="255">
        <f>IF(H669="",0,IF(ISNUMBER(H669),H669,IFERROR(DATE(VALUE(MID(H669,FIND("/",H669,FIND("/",H669)+1)+1,4)),VALUE(MID(H669,FIND("/",H669)+1,FIND("/",H669,FIND("/",H669)+1)-FIND("/",H669)-1)),VALUE(LEFT(H669,FIND("/",H669)-1)))+IFERROR(TIMEVALUE(TRIM(MID(H669,FIND(" ",H669)+1,20))),0),0)))</f>
        <v/>
      </c>
      <c r="K669" s="256">
        <f>IF(I669=0,0,INT(I669))</f>
        <v/>
      </c>
      <c r="L669" s="257">
        <f>IF(OR(I669=0,J669=0),0,ROUND((J669-I669)*24,2))</f>
        <v/>
      </c>
      <c r="M669" s="254">
        <f>IFERROR(TRIM(MID(A669,FIND("@",SUBSTITUTE(A669,"(","@",LEN(A669)-LEN(SUBSTITUTE(A669,"(",""))))+1,FIND(")",A669,FIND("@",SUBSTITUTE(A669,"(","@",LEN(A669)-LEN(SUBSTITUTE(A669,"(","")))))-FIND("@",SUBSTITUTE(A669,"(","@",LEN(A669)-LEN(SUBSTITUTE(A669,"(",""))))-1)),"")</f>
        <v/>
      </c>
      <c r="N669" s="254">
        <f>IF(A669="","",IF(LEFT(TRIM(A669),5)="Leave","Leave",IF(OR(ISNUMBER(SEARCH("public holiday",A669)),ISNUMBER(SEARCH("Purple",E669))),"Public holiday","Event")))</f>
        <v/>
      </c>
    </row>
    <row r="670">
      <c r="G670" s="254">
        <f>IF(C670="","",IF(ISNUMBER(C670),C670,IF(ISNUMBER(VALUE(LEFT(TRIM(C670),1))),TRIM(C670),TRIM(MID(TRIM(C670),FIND(" ",TRIM(C670))+1,99)))))</f>
        <v/>
      </c>
      <c r="H670" s="254">
        <f>IF(D670="","",IF(ISNUMBER(D670),D670,IF(ISNUMBER(VALUE(LEFT(TRIM(D670),1))),TRIM(D670),TRIM(MID(TRIM(D670),FIND(" ",TRIM(D670))+1,99)))))</f>
        <v/>
      </c>
      <c r="I670" s="255">
        <f>IF(G670="",0,IF(ISNUMBER(G670),G670,IFERROR(DATE(VALUE(MID(G670,FIND("/",G670,FIND("/",G670)+1)+1,4)),VALUE(MID(G670,FIND("/",G670)+1,FIND("/",G670,FIND("/",G670)+1)-FIND("/",G670)-1)),VALUE(LEFT(G670,FIND("/",G670)-1)))+IFERROR(TIMEVALUE(TRIM(MID(G670,FIND(" ",G670)+1,20))),0),0)))</f>
        <v/>
      </c>
      <c r="J670" s="255">
        <f>IF(H670="",0,IF(ISNUMBER(H670),H670,IFERROR(DATE(VALUE(MID(H670,FIND("/",H670,FIND("/",H670)+1)+1,4)),VALUE(MID(H670,FIND("/",H670)+1,FIND("/",H670,FIND("/",H670)+1)-FIND("/",H670)-1)),VALUE(LEFT(H670,FIND("/",H670)-1)))+IFERROR(TIMEVALUE(TRIM(MID(H670,FIND(" ",H670)+1,20))),0),0)))</f>
        <v/>
      </c>
      <c r="K670" s="256">
        <f>IF(I670=0,0,INT(I670))</f>
        <v/>
      </c>
      <c r="L670" s="257">
        <f>IF(OR(I670=0,J670=0),0,ROUND((J670-I670)*24,2))</f>
        <v/>
      </c>
      <c r="M670" s="254">
        <f>IFERROR(TRIM(MID(A670,FIND("@",SUBSTITUTE(A670,"(","@",LEN(A670)-LEN(SUBSTITUTE(A670,"(",""))))+1,FIND(")",A670,FIND("@",SUBSTITUTE(A670,"(","@",LEN(A670)-LEN(SUBSTITUTE(A670,"(","")))))-FIND("@",SUBSTITUTE(A670,"(","@",LEN(A670)-LEN(SUBSTITUTE(A670,"(",""))))-1)),"")</f>
        <v/>
      </c>
      <c r="N670" s="254">
        <f>IF(A670="","",IF(LEFT(TRIM(A670),5)="Leave","Leave",IF(OR(ISNUMBER(SEARCH("public holiday",A670)),ISNUMBER(SEARCH("Purple",E670))),"Public holiday","Event")))</f>
        <v/>
      </c>
    </row>
    <row r="671">
      <c r="G671" s="254">
        <f>IF(C671="","",IF(ISNUMBER(C671),C671,IF(ISNUMBER(VALUE(LEFT(TRIM(C671),1))),TRIM(C671),TRIM(MID(TRIM(C671),FIND(" ",TRIM(C671))+1,99)))))</f>
        <v/>
      </c>
      <c r="H671" s="254">
        <f>IF(D671="","",IF(ISNUMBER(D671),D671,IF(ISNUMBER(VALUE(LEFT(TRIM(D671),1))),TRIM(D671),TRIM(MID(TRIM(D671),FIND(" ",TRIM(D671))+1,99)))))</f>
        <v/>
      </c>
      <c r="I671" s="255">
        <f>IF(G671="",0,IF(ISNUMBER(G671),G671,IFERROR(DATE(VALUE(MID(G671,FIND("/",G671,FIND("/",G671)+1)+1,4)),VALUE(MID(G671,FIND("/",G671)+1,FIND("/",G671,FIND("/",G671)+1)-FIND("/",G671)-1)),VALUE(LEFT(G671,FIND("/",G671)-1)))+IFERROR(TIMEVALUE(TRIM(MID(G671,FIND(" ",G671)+1,20))),0),0)))</f>
        <v/>
      </c>
      <c r="J671" s="255">
        <f>IF(H671="",0,IF(ISNUMBER(H671),H671,IFERROR(DATE(VALUE(MID(H671,FIND("/",H671,FIND("/",H671)+1)+1,4)),VALUE(MID(H671,FIND("/",H671)+1,FIND("/",H671,FIND("/",H671)+1)-FIND("/",H671)-1)),VALUE(LEFT(H671,FIND("/",H671)-1)))+IFERROR(TIMEVALUE(TRIM(MID(H671,FIND(" ",H671)+1,20))),0),0)))</f>
        <v/>
      </c>
      <c r="K671" s="256">
        <f>IF(I671=0,0,INT(I671))</f>
        <v/>
      </c>
      <c r="L671" s="257">
        <f>IF(OR(I671=0,J671=0),0,ROUND((J671-I671)*24,2))</f>
        <v/>
      </c>
      <c r="M671" s="254">
        <f>IFERROR(TRIM(MID(A671,FIND("@",SUBSTITUTE(A671,"(","@",LEN(A671)-LEN(SUBSTITUTE(A671,"(",""))))+1,FIND(")",A671,FIND("@",SUBSTITUTE(A671,"(","@",LEN(A671)-LEN(SUBSTITUTE(A671,"(","")))))-FIND("@",SUBSTITUTE(A671,"(","@",LEN(A671)-LEN(SUBSTITUTE(A671,"(",""))))-1)),"")</f>
        <v/>
      </c>
      <c r="N671" s="254">
        <f>IF(A671="","",IF(LEFT(TRIM(A671),5)="Leave","Leave",IF(OR(ISNUMBER(SEARCH("public holiday",A671)),ISNUMBER(SEARCH("Purple",E671))),"Public holiday","Event")))</f>
        <v/>
      </c>
    </row>
    <row r="672">
      <c r="G672" s="254">
        <f>IF(C672="","",IF(ISNUMBER(C672),C672,IF(ISNUMBER(VALUE(LEFT(TRIM(C672),1))),TRIM(C672),TRIM(MID(TRIM(C672),FIND(" ",TRIM(C672))+1,99)))))</f>
        <v/>
      </c>
      <c r="H672" s="254">
        <f>IF(D672="","",IF(ISNUMBER(D672),D672,IF(ISNUMBER(VALUE(LEFT(TRIM(D672),1))),TRIM(D672),TRIM(MID(TRIM(D672),FIND(" ",TRIM(D672))+1,99)))))</f>
        <v/>
      </c>
      <c r="I672" s="255">
        <f>IF(G672="",0,IF(ISNUMBER(G672),G672,IFERROR(DATE(VALUE(MID(G672,FIND("/",G672,FIND("/",G672)+1)+1,4)),VALUE(MID(G672,FIND("/",G672)+1,FIND("/",G672,FIND("/",G672)+1)-FIND("/",G672)-1)),VALUE(LEFT(G672,FIND("/",G672)-1)))+IFERROR(TIMEVALUE(TRIM(MID(G672,FIND(" ",G672)+1,20))),0),0)))</f>
        <v/>
      </c>
      <c r="J672" s="255">
        <f>IF(H672="",0,IF(ISNUMBER(H672),H672,IFERROR(DATE(VALUE(MID(H672,FIND("/",H672,FIND("/",H672)+1)+1,4)),VALUE(MID(H672,FIND("/",H672)+1,FIND("/",H672,FIND("/",H672)+1)-FIND("/",H672)-1)),VALUE(LEFT(H672,FIND("/",H672)-1)))+IFERROR(TIMEVALUE(TRIM(MID(H672,FIND(" ",H672)+1,20))),0),0)))</f>
        <v/>
      </c>
      <c r="K672" s="256">
        <f>IF(I672=0,0,INT(I672))</f>
        <v/>
      </c>
      <c r="L672" s="257">
        <f>IF(OR(I672=0,J672=0),0,ROUND((J672-I672)*24,2))</f>
        <v/>
      </c>
      <c r="M672" s="254">
        <f>IFERROR(TRIM(MID(A672,FIND("@",SUBSTITUTE(A672,"(","@",LEN(A672)-LEN(SUBSTITUTE(A672,"(",""))))+1,FIND(")",A672,FIND("@",SUBSTITUTE(A672,"(","@",LEN(A672)-LEN(SUBSTITUTE(A672,"(","")))))-FIND("@",SUBSTITUTE(A672,"(","@",LEN(A672)-LEN(SUBSTITUTE(A672,"(",""))))-1)),"")</f>
        <v/>
      </c>
      <c r="N672" s="254">
        <f>IF(A672="","",IF(LEFT(TRIM(A672),5)="Leave","Leave",IF(OR(ISNUMBER(SEARCH("public holiday",A672)),ISNUMBER(SEARCH("Purple",E672))),"Public holiday","Event")))</f>
        <v/>
      </c>
    </row>
    <row r="673">
      <c r="G673" s="254">
        <f>IF(C673="","",IF(ISNUMBER(C673),C673,IF(ISNUMBER(VALUE(LEFT(TRIM(C673),1))),TRIM(C673),TRIM(MID(TRIM(C673),FIND(" ",TRIM(C673))+1,99)))))</f>
        <v/>
      </c>
      <c r="H673" s="254">
        <f>IF(D673="","",IF(ISNUMBER(D673),D673,IF(ISNUMBER(VALUE(LEFT(TRIM(D673),1))),TRIM(D673),TRIM(MID(TRIM(D673),FIND(" ",TRIM(D673))+1,99)))))</f>
        <v/>
      </c>
      <c r="I673" s="255">
        <f>IF(G673="",0,IF(ISNUMBER(G673),G673,IFERROR(DATE(VALUE(MID(G673,FIND("/",G673,FIND("/",G673)+1)+1,4)),VALUE(MID(G673,FIND("/",G673)+1,FIND("/",G673,FIND("/",G673)+1)-FIND("/",G673)-1)),VALUE(LEFT(G673,FIND("/",G673)-1)))+IFERROR(TIMEVALUE(TRIM(MID(G673,FIND(" ",G673)+1,20))),0),0)))</f>
        <v/>
      </c>
      <c r="J673" s="255">
        <f>IF(H673="",0,IF(ISNUMBER(H673),H673,IFERROR(DATE(VALUE(MID(H673,FIND("/",H673,FIND("/",H673)+1)+1,4)),VALUE(MID(H673,FIND("/",H673)+1,FIND("/",H673,FIND("/",H673)+1)-FIND("/",H673)-1)),VALUE(LEFT(H673,FIND("/",H673)-1)))+IFERROR(TIMEVALUE(TRIM(MID(H673,FIND(" ",H673)+1,20))),0),0)))</f>
        <v/>
      </c>
      <c r="K673" s="256">
        <f>IF(I673=0,0,INT(I673))</f>
        <v/>
      </c>
      <c r="L673" s="257">
        <f>IF(OR(I673=0,J673=0),0,ROUND((J673-I673)*24,2))</f>
        <v/>
      </c>
      <c r="M673" s="254">
        <f>IFERROR(TRIM(MID(A673,FIND("@",SUBSTITUTE(A673,"(","@",LEN(A673)-LEN(SUBSTITUTE(A673,"(",""))))+1,FIND(")",A673,FIND("@",SUBSTITUTE(A673,"(","@",LEN(A673)-LEN(SUBSTITUTE(A673,"(","")))))-FIND("@",SUBSTITUTE(A673,"(","@",LEN(A673)-LEN(SUBSTITUTE(A673,"(",""))))-1)),"")</f>
        <v/>
      </c>
      <c r="N673" s="254">
        <f>IF(A673="","",IF(LEFT(TRIM(A673),5)="Leave","Leave",IF(OR(ISNUMBER(SEARCH("public holiday",A673)),ISNUMBER(SEARCH("Purple",E673))),"Public holiday","Event")))</f>
        <v/>
      </c>
    </row>
    <row r="674">
      <c r="G674" s="254">
        <f>IF(C674="","",IF(ISNUMBER(C674),C674,IF(ISNUMBER(VALUE(LEFT(TRIM(C674),1))),TRIM(C674),TRIM(MID(TRIM(C674),FIND(" ",TRIM(C674))+1,99)))))</f>
        <v/>
      </c>
      <c r="H674" s="254">
        <f>IF(D674="","",IF(ISNUMBER(D674),D674,IF(ISNUMBER(VALUE(LEFT(TRIM(D674),1))),TRIM(D674),TRIM(MID(TRIM(D674),FIND(" ",TRIM(D674))+1,99)))))</f>
        <v/>
      </c>
      <c r="I674" s="255">
        <f>IF(G674="",0,IF(ISNUMBER(G674),G674,IFERROR(DATE(VALUE(MID(G674,FIND("/",G674,FIND("/",G674)+1)+1,4)),VALUE(MID(G674,FIND("/",G674)+1,FIND("/",G674,FIND("/",G674)+1)-FIND("/",G674)-1)),VALUE(LEFT(G674,FIND("/",G674)-1)))+IFERROR(TIMEVALUE(TRIM(MID(G674,FIND(" ",G674)+1,20))),0),0)))</f>
        <v/>
      </c>
      <c r="J674" s="255">
        <f>IF(H674="",0,IF(ISNUMBER(H674),H674,IFERROR(DATE(VALUE(MID(H674,FIND("/",H674,FIND("/",H674)+1)+1,4)),VALUE(MID(H674,FIND("/",H674)+1,FIND("/",H674,FIND("/",H674)+1)-FIND("/",H674)-1)),VALUE(LEFT(H674,FIND("/",H674)-1)))+IFERROR(TIMEVALUE(TRIM(MID(H674,FIND(" ",H674)+1,20))),0),0)))</f>
        <v/>
      </c>
      <c r="K674" s="256">
        <f>IF(I674=0,0,INT(I674))</f>
        <v/>
      </c>
      <c r="L674" s="257">
        <f>IF(OR(I674=0,J674=0),0,ROUND((J674-I674)*24,2))</f>
        <v/>
      </c>
      <c r="M674" s="254">
        <f>IFERROR(TRIM(MID(A674,FIND("@",SUBSTITUTE(A674,"(","@",LEN(A674)-LEN(SUBSTITUTE(A674,"(",""))))+1,FIND(")",A674,FIND("@",SUBSTITUTE(A674,"(","@",LEN(A674)-LEN(SUBSTITUTE(A674,"(","")))))-FIND("@",SUBSTITUTE(A674,"(","@",LEN(A674)-LEN(SUBSTITUTE(A674,"(",""))))-1)),"")</f>
        <v/>
      </c>
      <c r="N674" s="254">
        <f>IF(A674="","",IF(LEFT(TRIM(A674),5)="Leave","Leave",IF(OR(ISNUMBER(SEARCH("public holiday",A674)),ISNUMBER(SEARCH("Purple",E674))),"Public holiday","Event")))</f>
        <v/>
      </c>
    </row>
    <row r="675">
      <c r="G675" s="254">
        <f>IF(C675="","",IF(ISNUMBER(C675),C675,IF(ISNUMBER(VALUE(LEFT(TRIM(C675),1))),TRIM(C675),TRIM(MID(TRIM(C675),FIND(" ",TRIM(C675))+1,99)))))</f>
        <v/>
      </c>
      <c r="H675" s="254">
        <f>IF(D675="","",IF(ISNUMBER(D675),D675,IF(ISNUMBER(VALUE(LEFT(TRIM(D675),1))),TRIM(D675),TRIM(MID(TRIM(D675),FIND(" ",TRIM(D675))+1,99)))))</f>
        <v/>
      </c>
      <c r="I675" s="255">
        <f>IF(G675="",0,IF(ISNUMBER(G675),G675,IFERROR(DATE(VALUE(MID(G675,FIND("/",G675,FIND("/",G675)+1)+1,4)),VALUE(MID(G675,FIND("/",G675)+1,FIND("/",G675,FIND("/",G675)+1)-FIND("/",G675)-1)),VALUE(LEFT(G675,FIND("/",G675)-1)))+IFERROR(TIMEVALUE(TRIM(MID(G675,FIND(" ",G675)+1,20))),0),0)))</f>
        <v/>
      </c>
      <c r="J675" s="255">
        <f>IF(H675="",0,IF(ISNUMBER(H675),H675,IFERROR(DATE(VALUE(MID(H675,FIND("/",H675,FIND("/",H675)+1)+1,4)),VALUE(MID(H675,FIND("/",H675)+1,FIND("/",H675,FIND("/",H675)+1)-FIND("/",H675)-1)),VALUE(LEFT(H675,FIND("/",H675)-1)))+IFERROR(TIMEVALUE(TRIM(MID(H675,FIND(" ",H675)+1,20))),0),0)))</f>
        <v/>
      </c>
      <c r="K675" s="256">
        <f>IF(I675=0,0,INT(I675))</f>
        <v/>
      </c>
      <c r="L675" s="257">
        <f>IF(OR(I675=0,J675=0),0,ROUND((J675-I675)*24,2))</f>
        <v/>
      </c>
      <c r="M675" s="254">
        <f>IFERROR(TRIM(MID(A675,FIND("@",SUBSTITUTE(A675,"(","@",LEN(A675)-LEN(SUBSTITUTE(A675,"(",""))))+1,FIND(")",A675,FIND("@",SUBSTITUTE(A675,"(","@",LEN(A675)-LEN(SUBSTITUTE(A675,"(","")))))-FIND("@",SUBSTITUTE(A675,"(","@",LEN(A675)-LEN(SUBSTITUTE(A675,"(",""))))-1)),"")</f>
        <v/>
      </c>
      <c r="N675" s="254">
        <f>IF(A675="","",IF(LEFT(TRIM(A675),5)="Leave","Leave",IF(OR(ISNUMBER(SEARCH("public holiday",A675)),ISNUMBER(SEARCH("Purple",E675))),"Public holiday","Event")))</f>
        <v/>
      </c>
    </row>
    <row r="676">
      <c r="G676" s="254">
        <f>IF(C676="","",IF(ISNUMBER(C676),C676,IF(ISNUMBER(VALUE(LEFT(TRIM(C676),1))),TRIM(C676),TRIM(MID(TRIM(C676),FIND(" ",TRIM(C676))+1,99)))))</f>
        <v/>
      </c>
      <c r="H676" s="254">
        <f>IF(D676="","",IF(ISNUMBER(D676),D676,IF(ISNUMBER(VALUE(LEFT(TRIM(D676),1))),TRIM(D676),TRIM(MID(TRIM(D676),FIND(" ",TRIM(D676))+1,99)))))</f>
        <v/>
      </c>
      <c r="I676" s="255">
        <f>IF(G676="",0,IF(ISNUMBER(G676),G676,IFERROR(DATE(VALUE(MID(G676,FIND("/",G676,FIND("/",G676)+1)+1,4)),VALUE(MID(G676,FIND("/",G676)+1,FIND("/",G676,FIND("/",G676)+1)-FIND("/",G676)-1)),VALUE(LEFT(G676,FIND("/",G676)-1)))+IFERROR(TIMEVALUE(TRIM(MID(G676,FIND(" ",G676)+1,20))),0),0)))</f>
        <v/>
      </c>
      <c r="J676" s="255">
        <f>IF(H676="",0,IF(ISNUMBER(H676),H676,IFERROR(DATE(VALUE(MID(H676,FIND("/",H676,FIND("/",H676)+1)+1,4)),VALUE(MID(H676,FIND("/",H676)+1,FIND("/",H676,FIND("/",H676)+1)-FIND("/",H676)-1)),VALUE(LEFT(H676,FIND("/",H676)-1)))+IFERROR(TIMEVALUE(TRIM(MID(H676,FIND(" ",H676)+1,20))),0),0)))</f>
        <v/>
      </c>
      <c r="K676" s="256">
        <f>IF(I676=0,0,INT(I676))</f>
        <v/>
      </c>
      <c r="L676" s="257">
        <f>IF(OR(I676=0,J676=0),0,ROUND((J676-I676)*24,2))</f>
        <v/>
      </c>
      <c r="M676" s="254">
        <f>IFERROR(TRIM(MID(A676,FIND("@",SUBSTITUTE(A676,"(","@",LEN(A676)-LEN(SUBSTITUTE(A676,"(",""))))+1,FIND(")",A676,FIND("@",SUBSTITUTE(A676,"(","@",LEN(A676)-LEN(SUBSTITUTE(A676,"(","")))))-FIND("@",SUBSTITUTE(A676,"(","@",LEN(A676)-LEN(SUBSTITUTE(A676,"(",""))))-1)),"")</f>
        <v/>
      </c>
      <c r="N676" s="254">
        <f>IF(A676="","",IF(LEFT(TRIM(A676),5)="Leave","Leave",IF(OR(ISNUMBER(SEARCH("public holiday",A676)),ISNUMBER(SEARCH("Purple",E676))),"Public holiday","Event")))</f>
        <v/>
      </c>
    </row>
    <row r="677">
      <c r="G677" s="254">
        <f>IF(C677="","",IF(ISNUMBER(C677),C677,IF(ISNUMBER(VALUE(LEFT(TRIM(C677),1))),TRIM(C677),TRIM(MID(TRIM(C677),FIND(" ",TRIM(C677))+1,99)))))</f>
        <v/>
      </c>
      <c r="H677" s="254">
        <f>IF(D677="","",IF(ISNUMBER(D677),D677,IF(ISNUMBER(VALUE(LEFT(TRIM(D677),1))),TRIM(D677),TRIM(MID(TRIM(D677),FIND(" ",TRIM(D677))+1,99)))))</f>
        <v/>
      </c>
      <c r="I677" s="255">
        <f>IF(G677="",0,IF(ISNUMBER(G677),G677,IFERROR(DATE(VALUE(MID(G677,FIND("/",G677,FIND("/",G677)+1)+1,4)),VALUE(MID(G677,FIND("/",G677)+1,FIND("/",G677,FIND("/",G677)+1)-FIND("/",G677)-1)),VALUE(LEFT(G677,FIND("/",G677)-1)))+IFERROR(TIMEVALUE(TRIM(MID(G677,FIND(" ",G677)+1,20))),0),0)))</f>
        <v/>
      </c>
      <c r="J677" s="255">
        <f>IF(H677="",0,IF(ISNUMBER(H677),H677,IFERROR(DATE(VALUE(MID(H677,FIND("/",H677,FIND("/",H677)+1)+1,4)),VALUE(MID(H677,FIND("/",H677)+1,FIND("/",H677,FIND("/",H677)+1)-FIND("/",H677)-1)),VALUE(LEFT(H677,FIND("/",H677)-1)))+IFERROR(TIMEVALUE(TRIM(MID(H677,FIND(" ",H677)+1,20))),0),0)))</f>
        <v/>
      </c>
      <c r="K677" s="256">
        <f>IF(I677=0,0,INT(I677))</f>
        <v/>
      </c>
      <c r="L677" s="257">
        <f>IF(OR(I677=0,J677=0),0,ROUND((J677-I677)*24,2))</f>
        <v/>
      </c>
      <c r="M677" s="254">
        <f>IFERROR(TRIM(MID(A677,FIND("@",SUBSTITUTE(A677,"(","@",LEN(A677)-LEN(SUBSTITUTE(A677,"(",""))))+1,FIND(")",A677,FIND("@",SUBSTITUTE(A677,"(","@",LEN(A677)-LEN(SUBSTITUTE(A677,"(","")))))-FIND("@",SUBSTITUTE(A677,"(","@",LEN(A677)-LEN(SUBSTITUTE(A677,"(",""))))-1)),"")</f>
        <v/>
      </c>
      <c r="N677" s="254">
        <f>IF(A677="","",IF(LEFT(TRIM(A677),5)="Leave","Leave",IF(OR(ISNUMBER(SEARCH("public holiday",A677)),ISNUMBER(SEARCH("Purple",E677))),"Public holiday","Event")))</f>
        <v/>
      </c>
    </row>
    <row r="678">
      <c r="G678" s="254">
        <f>IF(C678="","",IF(ISNUMBER(C678),C678,IF(ISNUMBER(VALUE(LEFT(TRIM(C678),1))),TRIM(C678),TRIM(MID(TRIM(C678),FIND(" ",TRIM(C678))+1,99)))))</f>
        <v/>
      </c>
      <c r="H678" s="254">
        <f>IF(D678="","",IF(ISNUMBER(D678),D678,IF(ISNUMBER(VALUE(LEFT(TRIM(D678),1))),TRIM(D678),TRIM(MID(TRIM(D678),FIND(" ",TRIM(D678))+1,99)))))</f>
        <v/>
      </c>
      <c r="I678" s="255">
        <f>IF(G678="",0,IF(ISNUMBER(G678),G678,IFERROR(DATE(VALUE(MID(G678,FIND("/",G678,FIND("/",G678)+1)+1,4)),VALUE(MID(G678,FIND("/",G678)+1,FIND("/",G678,FIND("/",G678)+1)-FIND("/",G678)-1)),VALUE(LEFT(G678,FIND("/",G678)-1)))+IFERROR(TIMEVALUE(TRIM(MID(G678,FIND(" ",G678)+1,20))),0),0)))</f>
        <v/>
      </c>
      <c r="J678" s="255">
        <f>IF(H678="",0,IF(ISNUMBER(H678),H678,IFERROR(DATE(VALUE(MID(H678,FIND("/",H678,FIND("/",H678)+1)+1,4)),VALUE(MID(H678,FIND("/",H678)+1,FIND("/",H678,FIND("/",H678)+1)-FIND("/",H678)-1)),VALUE(LEFT(H678,FIND("/",H678)-1)))+IFERROR(TIMEVALUE(TRIM(MID(H678,FIND(" ",H678)+1,20))),0),0)))</f>
        <v/>
      </c>
      <c r="K678" s="256">
        <f>IF(I678=0,0,INT(I678))</f>
        <v/>
      </c>
      <c r="L678" s="257">
        <f>IF(OR(I678=0,J678=0),0,ROUND((J678-I678)*24,2))</f>
        <v/>
      </c>
      <c r="M678" s="254">
        <f>IFERROR(TRIM(MID(A678,FIND("@",SUBSTITUTE(A678,"(","@",LEN(A678)-LEN(SUBSTITUTE(A678,"(",""))))+1,FIND(")",A678,FIND("@",SUBSTITUTE(A678,"(","@",LEN(A678)-LEN(SUBSTITUTE(A678,"(","")))))-FIND("@",SUBSTITUTE(A678,"(","@",LEN(A678)-LEN(SUBSTITUTE(A678,"(",""))))-1)),"")</f>
        <v/>
      </c>
      <c r="N678" s="254">
        <f>IF(A678="","",IF(LEFT(TRIM(A678),5)="Leave","Leave",IF(OR(ISNUMBER(SEARCH("public holiday",A678)),ISNUMBER(SEARCH("Purple",E678))),"Public holiday","Event")))</f>
        <v/>
      </c>
    </row>
    <row r="679">
      <c r="G679" s="254">
        <f>IF(C679="","",IF(ISNUMBER(C679),C679,IF(ISNUMBER(VALUE(LEFT(TRIM(C679),1))),TRIM(C679),TRIM(MID(TRIM(C679),FIND(" ",TRIM(C679))+1,99)))))</f>
        <v/>
      </c>
      <c r="H679" s="254">
        <f>IF(D679="","",IF(ISNUMBER(D679),D679,IF(ISNUMBER(VALUE(LEFT(TRIM(D679),1))),TRIM(D679),TRIM(MID(TRIM(D679),FIND(" ",TRIM(D679))+1,99)))))</f>
        <v/>
      </c>
      <c r="I679" s="255">
        <f>IF(G679="",0,IF(ISNUMBER(G679),G679,IFERROR(DATE(VALUE(MID(G679,FIND("/",G679,FIND("/",G679)+1)+1,4)),VALUE(MID(G679,FIND("/",G679)+1,FIND("/",G679,FIND("/",G679)+1)-FIND("/",G679)-1)),VALUE(LEFT(G679,FIND("/",G679)-1)))+IFERROR(TIMEVALUE(TRIM(MID(G679,FIND(" ",G679)+1,20))),0),0)))</f>
        <v/>
      </c>
      <c r="J679" s="255">
        <f>IF(H679="",0,IF(ISNUMBER(H679),H679,IFERROR(DATE(VALUE(MID(H679,FIND("/",H679,FIND("/",H679)+1)+1,4)),VALUE(MID(H679,FIND("/",H679)+1,FIND("/",H679,FIND("/",H679)+1)-FIND("/",H679)-1)),VALUE(LEFT(H679,FIND("/",H679)-1)))+IFERROR(TIMEVALUE(TRIM(MID(H679,FIND(" ",H679)+1,20))),0),0)))</f>
        <v/>
      </c>
      <c r="K679" s="256">
        <f>IF(I679=0,0,INT(I679))</f>
        <v/>
      </c>
      <c r="L679" s="257">
        <f>IF(OR(I679=0,J679=0),0,ROUND((J679-I679)*24,2))</f>
        <v/>
      </c>
      <c r="M679" s="254">
        <f>IFERROR(TRIM(MID(A679,FIND("@",SUBSTITUTE(A679,"(","@",LEN(A679)-LEN(SUBSTITUTE(A679,"(",""))))+1,FIND(")",A679,FIND("@",SUBSTITUTE(A679,"(","@",LEN(A679)-LEN(SUBSTITUTE(A679,"(","")))))-FIND("@",SUBSTITUTE(A679,"(","@",LEN(A679)-LEN(SUBSTITUTE(A679,"(",""))))-1)),"")</f>
        <v/>
      </c>
      <c r="N679" s="254">
        <f>IF(A679="","",IF(LEFT(TRIM(A679),5)="Leave","Leave",IF(OR(ISNUMBER(SEARCH("public holiday",A679)),ISNUMBER(SEARCH("Purple",E679))),"Public holiday","Event")))</f>
        <v/>
      </c>
    </row>
    <row r="680">
      <c r="G680" s="254">
        <f>IF(C680="","",IF(ISNUMBER(C680),C680,IF(ISNUMBER(VALUE(LEFT(TRIM(C680),1))),TRIM(C680),TRIM(MID(TRIM(C680),FIND(" ",TRIM(C680))+1,99)))))</f>
        <v/>
      </c>
      <c r="H680" s="254">
        <f>IF(D680="","",IF(ISNUMBER(D680),D680,IF(ISNUMBER(VALUE(LEFT(TRIM(D680),1))),TRIM(D680),TRIM(MID(TRIM(D680),FIND(" ",TRIM(D680))+1,99)))))</f>
        <v/>
      </c>
      <c r="I680" s="255">
        <f>IF(G680="",0,IF(ISNUMBER(G680),G680,IFERROR(DATE(VALUE(MID(G680,FIND("/",G680,FIND("/",G680)+1)+1,4)),VALUE(MID(G680,FIND("/",G680)+1,FIND("/",G680,FIND("/",G680)+1)-FIND("/",G680)-1)),VALUE(LEFT(G680,FIND("/",G680)-1)))+IFERROR(TIMEVALUE(TRIM(MID(G680,FIND(" ",G680)+1,20))),0),0)))</f>
        <v/>
      </c>
      <c r="J680" s="255">
        <f>IF(H680="",0,IF(ISNUMBER(H680),H680,IFERROR(DATE(VALUE(MID(H680,FIND("/",H680,FIND("/",H680)+1)+1,4)),VALUE(MID(H680,FIND("/",H680)+1,FIND("/",H680,FIND("/",H680)+1)-FIND("/",H680)-1)),VALUE(LEFT(H680,FIND("/",H680)-1)))+IFERROR(TIMEVALUE(TRIM(MID(H680,FIND(" ",H680)+1,20))),0),0)))</f>
        <v/>
      </c>
      <c r="K680" s="256">
        <f>IF(I680=0,0,INT(I680))</f>
        <v/>
      </c>
      <c r="L680" s="257">
        <f>IF(OR(I680=0,J680=0),0,ROUND((J680-I680)*24,2))</f>
        <v/>
      </c>
      <c r="M680" s="254">
        <f>IFERROR(TRIM(MID(A680,FIND("@",SUBSTITUTE(A680,"(","@",LEN(A680)-LEN(SUBSTITUTE(A680,"(",""))))+1,FIND(")",A680,FIND("@",SUBSTITUTE(A680,"(","@",LEN(A680)-LEN(SUBSTITUTE(A680,"(","")))))-FIND("@",SUBSTITUTE(A680,"(","@",LEN(A680)-LEN(SUBSTITUTE(A680,"(",""))))-1)),"")</f>
        <v/>
      </c>
      <c r="N680" s="254">
        <f>IF(A680="","",IF(LEFT(TRIM(A680),5)="Leave","Leave",IF(OR(ISNUMBER(SEARCH("public holiday",A680)),ISNUMBER(SEARCH("Purple",E680))),"Public holiday","Event")))</f>
        <v/>
      </c>
    </row>
    <row r="681">
      <c r="G681" s="254">
        <f>IF(C681="","",IF(ISNUMBER(C681),C681,IF(ISNUMBER(VALUE(LEFT(TRIM(C681),1))),TRIM(C681),TRIM(MID(TRIM(C681),FIND(" ",TRIM(C681))+1,99)))))</f>
        <v/>
      </c>
      <c r="H681" s="254">
        <f>IF(D681="","",IF(ISNUMBER(D681),D681,IF(ISNUMBER(VALUE(LEFT(TRIM(D681),1))),TRIM(D681),TRIM(MID(TRIM(D681),FIND(" ",TRIM(D681))+1,99)))))</f>
        <v/>
      </c>
      <c r="I681" s="255">
        <f>IF(G681="",0,IF(ISNUMBER(G681),G681,IFERROR(DATE(VALUE(MID(G681,FIND("/",G681,FIND("/",G681)+1)+1,4)),VALUE(MID(G681,FIND("/",G681)+1,FIND("/",G681,FIND("/",G681)+1)-FIND("/",G681)-1)),VALUE(LEFT(G681,FIND("/",G681)-1)))+IFERROR(TIMEVALUE(TRIM(MID(G681,FIND(" ",G681)+1,20))),0),0)))</f>
        <v/>
      </c>
      <c r="J681" s="255">
        <f>IF(H681="",0,IF(ISNUMBER(H681),H681,IFERROR(DATE(VALUE(MID(H681,FIND("/",H681,FIND("/",H681)+1)+1,4)),VALUE(MID(H681,FIND("/",H681)+1,FIND("/",H681,FIND("/",H681)+1)-FIND("/",H681)-1)),VALUE(LEFT(H681,FIND("/",H681)-1)))+IFERROR(TIMEVALUE(TRIM(MID(H681,FIND(" ",H681)+1,20))),0),0)))</f>
        <v/>
      </c>
      <c r="K681" s="256">
        <f>IF(I681=0,0,INT(I681))</f>
        <v/>
      </c>
      <c r="L681" s="257">
        <f>IF(OR(I681=0,J681=0),0,ROUND((J681-I681)*24,2))</f>
        <v/>
      </c>
      <c r="M681" s="254">
        <f>IFERROR(TRIM(MID(A681,FIND("@",SUBSTITUTE(A681,"(","@",LEN(A681)-LEN(SUBSTITUTE(A681,"(",""))))+1,FIND(")",A681,FIND("@",SUBSTITUTE(A681,"(","@",LEN(A681)-LEN(SUBSTITUTE(A681,"(","")))))-FIND("@",SUBSTITUTE(A681,"(","@",LEN(A681)-LEN(SUBSTITUTE(A681,"(",""))))-1)),"")</f>
        <v/>
      </c>
      <c r="N681" s="254">
        <f>IF(A681="","",IF(LEFT(TRIM(A681),5)="Leave","Leave",IF(OR(ISNUMBER(SEARCH("public holiday",A681)),ISNUMBER(SEARCH("Purple",E681))),"Public holiday","Event")))</f>
        <v/>
      </c>
    </row>
    <row r="682">
      <c r="G682" s="254">
        <f>IF(C682="","",IF(ISNUMBER(C682),C682,IF(ISNUMBER(VALUE(LEFT(TRIM(C682),1))),TRIM(C682),TRIM(MID(TRIM(C682),FIND(" ",TRIM(C682))+1,99)))))</f>
        <v/>
      </c>
      <c r="H682" s="254">
        <f>IF(D682="","",IF(ISNUMBER(D682),D682,IF(ISNUMBER(VALUE(LEFT(TRIM(D682),1))),TRIM(D682),TRIM(MID(TRIM(D682),FIND(" ",TRIM(D682))+1,99)))))</f>
        <v/>
      </c>
      <c r="I682" s="255">
        <f>IF(G682="",0,IF(ISNUMBER(G682),G682,IFERROR(DATE(VALUE(MID(G682,FIND("/",G682,FIND("/",G682)+1)+1,4)),VALUE(MID(G682,FIND("/",G682)+1,FIND("/",G682,FIND("/",G682)+1)-FIND("/",G682)-1)),VALUE(LEFT(G682,FIND("/",G682)-1)))+IFERROR(TIMEVALUE(TRIM(MID(G682,FIND(" ",G682)+1,20))),0),0)))</f>
        <v/>
      </c>
      <c r="J682" s="255">
        <f>IF(H682="",0,IF(ISNUMBER(H682),H682,IFERROR(DATE(VALUE(MID(H682,FIND("/",H682,FIND("/",H682)+1)+1,4)),VALUE(MID(H682,FIND("/",H682)+1,FIND("/",H682,FIND("/",H682)+1)-FIND("/",H682)-1)),VALUE(LEFT(H682,FIND("/",H682)-1)))+IFERROR(TIMEVALUE(TRIM(MID(H682,FIND(" ",H682)+1,20))),0),0)))</f>
        <v/>
      </c>
      <c r="K682" s="256">
        <f>IF(I682=0,0,INT(I682))</f>
        <v/>
      </c>
      <c r="L682" s="257">
        <f>IF(OR(I682=0,J682=0),0,ROUND((J682-I682)*24,2))</f>
        <v/>
      </c>
      <c r="M682" s="254">
        <f>IFERROR(TRIM(MID(A682,FIND("@",SUBSTITUTE(A682,"(","@",LEN(A682)-LEN(SUBSTITUTE(A682,"(",""))))+1,FIND(")",A682,FIND("@",SUBSTITUTE(A682,"(","@",LEN(A682)-LEN(SUBSTITUTE(A682,"(","")))))-FIND("@",SUBSTITUTE(A682,"(","@",LEN(A682)-LEN(SUBSTITUTE(A682,"(",""))))-1)),"")</f>
        <v/>
      </c>
      <c r="N682" s="254">
        <f>IF(A682="","",IF(LEFT(TRIM(A682),5)="Leave","Leave",IF(OR(ISNUMBER(SEARCH("public holiday",A682)),ISNUMBER(SEARCH("Purple",E682))),"Public holiday","Event")))</f>
        <v/>
      </c>
    </row>
    <row r="683">
      <c r="G683" s="254">
        <f>IF(C683="","",IF(ISNUMBER(C683),C683,IF(ISNUMBER(VALUE(LEFT(TRIM(C683),1))),TRIM(C683),TRIM(MID(TRIM(C683),FIND(" ",TRIM(C683))+1,99)))))</f>
        <v/>
      </c>
      <c r="H683" s="254">
        <f>IF(D683="","",IF(ISNUMBER(D683),D683,IF(ISNUMBER(VALUE(LEFT(TRIM(D683),1))),TRIM(D683),TRIM(MID(TRIM(D683),FIND(" ",TRIM(D683))+1,99)))))</f>
        <v/>
      </c>
      <c r="I683" s="255">
        <f>IF(G683="",0,IF(ISNUMBER(G683),G683,IFERROR(DATE(VALUE(MID(G683,FIND("/",G683,FIND("/",G683)+1)+1,4)),VALUE(MID(G683,FIND("/",G683)+1,FIND("/",G683,FIND("/",G683)+1)-FIND("/",G683)-1)),VALUE(LEFT(G683,FIND("/",G683)-1)))+IFERROR(TIMEVALUE(TRIM(MID(G683,FIND(" ",G683)+1,20))),0),0)))</f>
        <v/>
      </c>
      <c r="J683" s="255">
        <f>IF(H683="",0,IF(ISNUMBER(H683),H683,IFERROR(DATE(VALUE(MID(H683,FIND("/",H683,FIND("/",H683)+1)+1,4)),VALUE(MID(H683,FIND("/",H683)+1,FIND("/",H683,FIND("/",H683)+1)-FIND("/",H683)-1)),VALUE(LEFT(H683,FIND("/",H683)-1)))+IFERROR(TIMEVALUE(TRIM(MID(H683,FIND(" ",H683)+1,20))),0),0)))</f>
        <v/>
      </c>
      <c r="K683" s="256">
        <f>IF(I683=0,0,INT(I683))</f>
        <v/>
      </c>
      <c r="L683" s="257">
        <f>IF(OR(I683=0,J683=0),0,ROUND((J683-I683)*24,2))</f>
        <v/>
      </c>
      <c r="M683" s="254">
        <f>IFERROR(TRIM(MID(A683,FIND("@",SUBSTITUTE(A683,"(","@",LEN(A683)-LEN(SUBSTITUTE(A683,"(",""))))+1,FIND(")",A683,FIND("@",SUBSTITUTE(A683,"(","@",LEN(A683)-LEN(SUBSTITUTE(A683,"(","")))))-FIND("@",SUBSTITUTE(A683,"(","@",LEN(A683)-LEN(SUBSTITUTE(A683,"(",""))))-1)),"")</f>
        <v/>
      </c>
      <c r="N683" s="254">
        <f>IF(A683="","",IF(LEFT(TRIM(A683),5)="Leave","Leave",IF(OR(ISNUMBER(SEARCH("public holiday",A683)),ISNUMBER(SEARCH("Purple",E683))),"Public holiday","Event")))</f>
        <v/>
      </c>
    </row>
    <row r="684">
      <c r="G684" s="254">
        <f>IF(C684="","",IF(ISNUMBER(C684),C684,IF(ISNUMBER(VALUE(LEFT(TRIM(C684),1))),TRIM(C684),TRIM(MID(TRIM(C684),FIND(" ",TRIM(C684))+1,99)))))</f>
        <v/>
      </c>
      <c r="H684" s="254">
        <f>IF(D684="","",IF(ISNUMBER(D684),D684,IF(ISNUMBER(VALUE(LEFT(TRIM(D684),1))),TRIM(D684),TRIM(MID(TRIM(D684),FIND(" ",TRIM(D684))+1,99)))))</f>
        <v/>
      </c>
      <c r="I684" s="255">
        <f>IF(G684="",0,IF(ISNUMBER(G684),G684,IFERROR(DATE(VALUE(MID(G684,FIND("/",G684,FIND("/",G684)+1)+1,4)),VALUE(MID(G684,FIND("/",G684)+1,FIND("/",G684,FIND("/",G684)+1)-FIND("/",G684)-1)),VALUE(LEFT(G684,FIND("/",G684)-1)))+IFERROR(TIMEVALUE(TRIM(MID(G684,FIND(" ",G684)+1,20))),0),0)))</f>
        <v/>
      </c>
      <c r="J684" s="255">
        <f>IF(H684="",0,IF(ISNUMBER(H684),H684,IFERROR(DATE(VALUE(MID(H684,FIND("/",H684,FIND("/",H684)+1)+1,4)),VALUE(MID(H684,FIND("/",H684)+1,FIND("/",H684,FIND("/",H684)+1)-FIND("/",H684)-1)),VALUE(LEFT(H684,FIND("/",H684)-1)))+IFERROR(TIMEVALUE(TRIM(MID(H684,FIND(" ",H684)+1,20))),0),0)))</f>
        <v/>
      </c>
      <c r="K684" s="256">
        <f>IF(I684=0,0,INT(I684))</f>
        <v/>
      </c>
      <c r="L684" s="257">
        <f>IF(OR(I684=0,J684=0),0,ROUND((J684-I684)*24,2))</f>
        <v/>
      </c>
      <c r="M684" s="254">
        <f>IFERROR(TRIM(MID(A684,FIND("@",SUBSTITUTE(A684,"(","@",LEN(A684)-LEN(SUBSTITUTE(A684,"(",""))))+1,FIND(")",A684,FIND("@",SUBSTITUTE(A684,"(","@",LEN(A684)-LEN(SUBSTITUTE(A684,"(","")))))-FIND("@",SUBSTITUTE(A684,"(","@",LEN(A684)-LEN(SUBSTITUTE(A684,"(",""))))-1)),"")</f>
        <v/>
      </c>
      <c r="N684" s="254">
        <f>IF(A684="","",IF(LEFT(TRIM(A684),5)="Leave","Leave",IF(OR(ISNUMBER(SEARCH("public holiday",A684)),ISNUMBER(SEARCH("Purple",E684))),"Public holiday","Event")))</f>
        <v/>
      </c>
    </row>
    <row r="685">
      <c r="G685" s="254">
        <f>IF(C685="","",IF(ISNUMBER(C685),C685,IF(ISNUMBER(VALUE(LEFT(TRIM(C685),1))),TRIM(C685),TRIM(MID(TRIM(C685),FIND(" ",TRIM(C685))+1,99)))))</f>
        <v/>
      </c>
      <c r="H685" s="254">
        <f>IF(D685="","",IF(ISNUMBER(D685),D685,IF(ISNUMBER(VALUE(LEFT(TRIM(D685),1))),TRIM(D685),TRIM(MID(TRIM(D685),FIND(" ",TRIM(D685))+1,99)))))</f>
        <v/>
      </c>
      <c r="I685" s="255">
        <f>IF(G685="",0,IF(ISNUMBER(G685),G685,IFERROR(DATE(VALUE(MID(G685,FIND("/",G685,FIND("/",G685)+1)+1,4)),VALUE(MID(G685,FIND("/",G685)+1,FIND("/",G685,FIND("/",G685)+1)-FIND("/",G685)-1)),VALUE(LEFT(G685,FIND("/",G685)-1)))+IFERROR(TIMEVALUE(TRIM(MID(G685,FIND(" ",G685)+1,20))),0),0)))</f>
        <v/>
      </c>
      <c r="J685" s="255">
        <f>IF(H685="",0,IF(ISNUMBER(H685),H685,IFERROR(DATE(VALUE(MID(H685,FIND("/",H685,FIND("/",H685)+1)+1,4)),VALUE(MID(H685,FIND("/",H685)+1,FIND("/",H685,FIND("/",H685)+1)-FIND("/",H685)-1)),VALUE(LEFT(H685,FIND("/",H685)-1)))+IFERROR(TIMEVALUE(TRIM(MID(H685,FIND(" ",H685)+1,20))),0),0)))</f>
        <v/>
      </c>
      <c r="K685" s="256">
        <f>IF(I685=0,0,INT(I685))</f>
        <v/>
      </c>
      <c r="L685" s="257">
        <f>IF(OR(I685=0,J685=0),0,ROUND((J685-I685)*24,2))</f>
        <v/>
      </c>
      <c r="M685" s="254">
        <f>IFERROR(TRIM(MID(A685,FIND("@",SUBSTITUTE(A685,"(","@",LEN(A685)-LEN(SUBSTITUTE(A685,"(",""))))+1,FIND(")",A685,FIND("@",SUBSTITUTE(A685,"(","@",LEN(A685)-LEN(SUBSTITUTE(A685,"(","")))))-FIND("@",SUBSTITUTE(A685,"(","@",LEN(A685)-LEN(SUBSTITUTE(A685,"(",""))))-1)),"")</f>
        <v/>
      </c>
      <c r="N685" s="254">
        <f>IF(A685="","",IF(LEFT(TRIM(A685),5)="Leave","Leave",IF(OR(ISNUMBER(SEARCH("public holiday",A685)),ISNUMBER(SEARCH("Purple",E685))),"Public holiday","Event")))</f>
        <v/>
      </c>
    </row>
    <row r="686">
      <c r="G686" s="254">
        <f>IF(C686="","",IF(ISNUMBER(C686),C686,IF(ISNUMBER(VALUE(LEFT(TRIM(C686),1))),TRIM(C686),TRIM(MID(TRIM(C686),FIND(" ",TRIM(C686))+1,99)))))</f>
        <v/>
      </c>
      <c r="H686" s="254">
        <f>IF(D686="","",IF(ISNUMBER(D686),D686,IF(ISNUMBER(VALUE(LEFT(TRIM(D686),1))),TRIM(D686),TRIM(MID(TRIM(D686),FIND(" ",TRIM(D686))+1,99)))))</f>
        <v/>
      </c>
      <c r="I686" s="255">
        <f>IF(G686="",0,IF(ISNUMBER(G686),G686,IFERROR(DATE(VALUE(MID(G686,FIND("/",G686,FIND("/",G686)+1)+1,4)),VALUE(MID(G686,FIND("/",G686)+1,FIND("/",G686,FIND("/",G686)+1)-FIND("/",G686)-1)),VALUE(LEFT(G686,FIND("/",G686)-1)))+IFERROR(TIMEVALUE(TRIM(MID(G686,FIND(" ",G686)+1,20))),0),0)))</f>
        <v/>
      </c>
      <c r="J686" s="255">
        <f>IF(H686="",0,IF(ISNUMBER(H686),H686,IFERROR(DATE(VALUE(MID(H686,FIND("/",H686,FIND("/",H686)+1)+1,4)),VALUE(MID(H686,FIND("/",H686)+1,FIND("/",H686,FIND("/",H686)+1)-FIND("/",H686)-1)),VALUE(LEFT(H686,FIND("/",H686)-1)))+IFERROR(TIMEVALUE(TRIM(MID(H686,FIND(" ",H686)+1,20))),0),0)))</f>
        <v/>
      </c>
      <c r="K686" s="256">
        <f>IF(I686=0,0,INT(I686))</f>
        <v/>
      </c>
      <c r="L686" s="257">
        <f>IF(OR(I686=0,J686=0),0,ROUND((J686-I686)*24,2))</f>
        <v/>
      </c>
      <c r="M686" s="254">
        <f>IFERROR(TRIM(MID(A686,FIND("@",SUBSTITUTE(A686,"(","@",LEN(A686)-LEN(SUBSTITUTE(A686,"(",""))))+1,FIND(")",A686,FIND("@",SUBSTITUTE(A686,"(","@",LEN(A686)-LEN(SUBSTITUTE(A686,"(","")))))-FIND("@",SUBSTITUTE(A686,"(","@",LEN(A686)-LEN(SUBSTITUTE(A686,"(",""))))-1)),"")</f>
        <v/>
      </c>
      <c r="N686" s="254">
        <f>IF(A686="","",IF(LEFT(TRIM(A686),5)="Leave","Leave",IF(OR(ISNUMBER(SEARCH("public holiday",A686)),ISNUMBER(SEARCH("Purple",E686))),"Public holiday","Event")))</f>
        <v/>
      </c>
    </row>
    <row r="687">
      <c r="G687" s="254">
        <f>IF(C687="","",IF(ISNUMBER(C687),C687,IF(ISNUMBER(VALUE(LEFT(TRIM(C687),1))),TRIM(C687),TRIM(MID(TRIM(C687),FIND(" ",TRIM(C687))+1,99)))))</f>
        <v/>
      </c>
      <c r="H687" s="254">
        <f>IF(D687="","",IF(ISNUMBER(D687),D687,IF(ISNUMBER(VALUE(LEFT(TRIM(D687),1))),TRIM(D687),TRIM(MID(TRIM(D687),FIND(" ",TRIM(D687))+1,99)))))</f>
        <v/>
      </c>
      <c r="I687" s="255">
        <f>IF(G687="",0,IF(ISNUMBER(G687),G687,IFERROR(DATE(VALUE(MID(G687,FIND("/",G687,FIND("/",G687)+1)+1,4)),VALUE(MID(G687,FIND("/",G687)+1,FIND("/",G687,FIND("/",G687)+1)-FIND("/",G687)-1)),VALUE(LEFT(G687,FIND("/",G687)-1)))+IFERROR(TIMEVALUE(TRIM(MID(G687,FIND(" ",G687)+1,20))),0),0)))</f>
        <v/>
      </c>
      <c r="J687" s="255">
        <f>IF(H687="",0,IF(ISNUMBER(H687),H687,IFERROR(DATE(VALUE(MID(H687,FIND("/",H687,FIND("/",H687)+1)+1,4)),VALUE(MID(H687,FIND("/",H687)+1,FIND("/",H687,FIND("/",H687)+1)-FIND("/",H687)-1)),VALUE(LEFT(H687,FIND("/",H687)-1)))+IFERROR(TIMEVALUE(TRIM(MID(H687,FIND(" ",H687)+1,20))),0),0)))</f>
        <v/>
      </c>
      <c r="K687" s="256">
        <f>IF(I687=0,0,INT(I687))</f>
        <v/>
      </c>
      <c r="L687" s="257">
        <f>IF(OR(I687=0,J687=0),0,ROUND((J687-I687)*24,2))</f>
        <v/>
      </c>
      <c r="M687" s="254">
        <f>IFERROR(TRIM(MID(A687,FIND("@",SUBSTITUTE(A687,"(","@",LEN(A687)-LEN(SUBSTITUTE(A687,"(",""))))+1,FIND(")",A687,FIND("@",SUBSTITUTE(A687,"(","@",LEN(A687)-LEN(SUBSTITUTE(A687,"(","")))))-FIND("@",SUBSTITUTE(A687,"(","@",LEN(A687)-LEN(SUBSTITUTE(A687,"(",""))))-1)),"")</f>
        <v/>
      </c>
      <c r="N687" s="254">
        <f>IF(A687="","",IF(LEFT(TRIM(A687),5)="Leave","Leave",IF(OR(ISNUMBER(SEARCH("public holiday",A687)),ISNUMBER(SEARCH("Purple",E687))),"Public holiday","Event")))</f>
        <v/>
      </c>
    </row>
    <row r="688">
      <c r="G688" s="254">
        <f>IF(C688="","",IF(ISNUMBER(C688),C688,IF(ISNUMBER(VALUE(LEFT(TRIM(C688),1))),TRIM(C688),TRIM(MID(TRIM(C688),FIND(" ",TRIM(C688))+1,99)))))</f>
        <v/>
      </c>
      <c r="H688" s="254">
        <f>IF(D688="","",IF(ISNUMBER(D688),D688,IF(ISNUMBER(VALUE(LEFT(TRIM(D688),1))),TRIM(D688),TRIM(MID(TRIM(D688),FIND(" ",TRIM(D688))+1,99)))))</f>
        <v/>
      </c>
      <c r="I688" s="255">
        <f>IF(G688="",0,IF(ISNUMBER(G688),G688,IFERROR(DATE(VALUE(MID(G688,FIND("/",G688,FIND("/",G688)+1)+1,4)),VALUE(MID(G688,FIND("/",G688)+1,FIND("/",G688,FIND("/",G688)+1)-FIND("/",G688)-1)),VALUE(LEFT(G688,FIND("/",G688)-1)))+IFERROR(TIMEVALUE(TRIM(MID(G688,FIND(" ",G688)+1,20))),0),0)))</f>
        <v/>
      </c>
      <c r="J688" s="255">
        <f>IF(H688="",0,IF(ISNUMBER(H688),H688,IFERROR(DATE(VALUE(MID(H688,FIND("/",H688,FIND("/",H688)+1)+1,4)),VALUE(MID(H688,FIND("/",H688)+1,FIND("/",H688,FIND("/",H688)+1)-FIND("/",H688)-1)),VALUE(LEFT(H688,FIND("/",H688)-1)))+IFERROR(TIMEVALUE(TRIM(MID(H688,FIND(" ",H688)+1,20))),0),0)))</f>
        <v/>
      </c>
      <c r="K688" s="256">
        <f>IF(I688=0,0,INT(I688))</f>
        <v/>
      </c>
      <c r="L688" s="257">
        <f>IF(OR(I688=0,J688=0),0,ROUND((J688-I688)*24,2))</f>
        <v/>
      </c>
      <c r="M688" s="254">
        <f>IFERROR(TRIM(MID(A688,FIND("@",SUBSTITUTE(A688,"(","@",LEN(A688)-LEN(SUBSTITUTE(A688,"(",""))))+1,FIND(")",A688,FIND("@",SUBSTITUTE(A688,"(","@",LEN(A688)-LEN(SUBSTITUTE(A688,"(","")))))-FIND("@",SUBSTITUTE(A688,"(","@",LEN(A688)-LEN(SUBSTITUTE(A688,"(",""))))-1)),"")</f>
        <v/>
      </c>
      <c r="N688" s="254">
        <f>IF(A688="","",IF(LEFT(TRIM(A688),5)="Leave","Leave",IF(OR(ISNUMBER(SEARCH("public holiday",A688)),ISNUMBER(SEARCH("Purple",E688))),"Public holiday","Event")))</f>
        <v/>
      </c>
    </row>
    <row r="689">
      <c r="G689" s="254">
        <f>IF(C689="","",IF(ISNUMBER(C689),C689,IF(ISNUMBER(VALUE(LEFT(TRIM(C689),1))),TRIM(C689),TRIM(MID(TRIM(C689),FIND(" ",TRIM(C689))+1,99)))))</f>
        <v/>
      </c>
      <c r="H689" s="254">
        <f>IF(D689="","",IF(ISNUMBER(D689),D689,IF(ISNUMBER(VALUE(LEFT(TRIM(D689),1))),TRIM(D689),TRIM(MID(TRIM(D689),FIND(" ",TRIM(D689))+1,99)))))</f>
        <v/>
      </c>
      <c r="I689" s="255">
        <f>IF(G689="",0,IF(ISNUMBER(G689),G689,IFERROR(DATE(VALUE(MID(G689,FIND("/",G689,FIND("/",G689)+1)+1,4)),VALUE(MID(G689,FIND("/",G689)+1,FIND("/",G689,FIND("/",G689)+1)-FIND("/",G689)-1)),VALUE(LEFT(G689,FIND("/",G689)-1)))+IFERROR(TIMEVALUE(TRIM(MID(G689,FIND(" ",G689)+1,20))),0),0)))</f>
        <v/>
      </c>
      <c r="J689" s="255">
        <f>IF(H689="",0,IF(ISNUMBER(H689),H689,IFERROR(DATE(VALUE(MID(H689,FIND("/",H689,FIND("/",H689)+1)+1,4)),VALUE(MID(H689,FIND("/",H689)+1,FIND("/",H689,FIND("/",H689)+1)-FIND("/",H689)-1)),VALUE(LEFT(H689,FIND("/",H689)-1)))+IFERROR(TIMEVALUE(TRIM(MID(H689,FIND(" ",H689)+1,20))),0),0)))</f>
        <v/>
      </c>
      <c r="K689" s="256">
        <f>IF(I689=0,0,INT(I689))</f>
        <v/>
      </c>
      <c r="L689" s="257">
        <f>IF(OR(I689=0,J689=0),0,ROUND((J689-I689)*24,2))</f>
        <v/>
      </c>
      <c r="M689" s="254">
        <f>IFERROR(TRIM(MID(A689,FIND("@",SUBSTITUTE(A689,"(","@",LEN(A689)-LEN(SUBSTITUTE(A689,"(",""))))+1,FIND(")",A689,FIND("@",SUBSTITUTE(A689,"(","@",LEN(A689)-LEN(SUBSTITUTE(A689,"(","")))))-FIND("@",SUBSTITUTE(A689,"(","@",LEN(A689)-LEN(SUBSTITUTE(A689,"(",""))))-1)),"")</f>
        <v/>
      </c>
      <c r="N689" s="254">
        <f>IF(A689="","",IF(LEFT(TRIM(A689),5)="Leave","Leave",IF(OR(ISNUMBER(SEARCH("public holiday",A689)),ISNUMBER(SEARCH("Purple",E689))),"Public holiday","Event")))</f>
        <v/>
      </c>
    </row>
    <row r="690">
      <c r="G690" s="254">
        <f>IF(C690="","",IF(ISNUMBER(C690),C690,IF(ISNUMBER(VALUE(LEFT(TRIM(C690),1))),TRIM(C690),TRIM(MID(TRIM(C690),FIND(" ",TRIM(C690))+1,99)))))</f>
        <v/>
      </c>
      <c r="H690" s="254">
        <f>IF(D690="","",IF(ISNUMBER(D690),D690,IF(ISNUMBER(VALUE(LEFT(TRIM(D690),1))),TRIM(D690),TRIM(MID(TRIM(D690),FIND(" ",TRIM(D690))+1,99)))))</f>
        <v/>
      </c>
      <c r="I690" s="255">
        <f>IF(G690="",0,IF(ISNUMBER(G690),G690,IFERROR(DATE(VALUE(MID(G690,FIND("/",G690,FIND("/",G690)+1)+1,4)),VALUE(MID(G690,FIND("/",G690)+1,FIND("/",G690,FIND("/",G690)+1)-FIND("/",G690)-1)),VALUE(LEFT(G690,FIND("/",G690)-1)))+IFERROR(TIMEVALUE(TRIM(MID(G690,FIND(" ",G690)+1,20))),0),0)))</f>
        <v/>
      </c>
      <c r="J690" s="255">
        <f>IF(H690="",0,IF(ISNUMBER(H690),H690,IFERROR(DATE(VALUE(MID(H690,FIND("/",H690,FIND("/",H690)+1)+1,4)),VALUE(MID(H690,FIND("/",H690)+1,FIND("/",H690,FIND("/",H690)+1)-FIND("/",H690)-1)),VALUE(LEFT(H690,FIND("/",H690)-1)))+IFERROR(TIMEVALUE(TRIM(MID(H690,FIND(" ",H690)+1,20))),0),0)))</f>
        <v/>
      </c>
      <c r="K690" s="256">
        <f>IF(I690=0,0,INT(I690))</f>
        <v/>
      </c>
      <c r="L690" s="257">
        <f>IF(OR(I690=0,J690=0),0,ROUND((J690-I690)*24,2))</f>
        <v/>
      </c>
      <c r="M690" s="254">
        <f>IFERROR(TRIM(MID(A690,FIND("@",SUBSTITUTE(A690,"(","@",LEN(A690)-LEN(SUBSTITUTE(A690,"(",""))))+1,FIND(")",A690,FIND("@",SUBSTITUTE(A690,"(","@",LEN(A690)-LEN(SUBSTITUTE(A690,"(","")))))-FIND("@",SUBSTITUTE(A690,"(","@",LEN(A690)-LEN(SUBSTITUTE(A690,"(",""))))-1)),"")</f>
        <v/>
      </c>
      <c r="N690" s="254">
        <f>IF(A690="","",IF(LEFT(TRIM(A690),5)="Leave","Leave",IF(OR(ISNUMBER(SEARCH("public holiday",A690)),ISNUMBER(SEARCH("Purple",E690))),"Public holiday","Event")))</f>
        <v/>
      </c>
    </row>
    <row r="691">
      <c r="G691" s="254">
        <f>IF(C691="","",IF(ISNUMBER(C691),C691,IF(ISNUMBER(VALUE(LEFT(TRIM(C691),1))),TRIM(C691),TRIM(MID(TRIM(C691),FIND(" ",TRIM(C691))+1,99)))))</f>
        <v/>
      </c>
      <c r="H691" s="254">
        <f>IF(D691="","",IF(ISNUMBER(D691),D691,IF(ISNUMBER(VALUE(LEFT(TRIM(D691),1))),TRIM(D691),TRIM(MID(TRIM(D691),FIND(" ",TRIM(D691))+1,99)))))</f>
        <v/>
      </c>
      <c r="I691" s="255">
        <f>IF(G691="",0,IF(ISNUMBER(G691),G691,IFERROR(DATE(VALUE(MID(G691,FIND("/",G691,FIND("/",G691)+1)+1,4)),VALUE(MID(G691,FIND("/",G691)+1,FIND("/",G691,FIND("/",G691)+1)-FIND("/",G691)-1)),VALUE(LEFT(G691,FIND("/",G691)-1)))+IFERROR(TIMEVALUE(TRIM(MID(G691,FIND(" ",G691)+1,20))),0),0)))</f>
        <v/>
      </c>
      <c r="J691" s="255">
        <f>IF(H691="",0,IF(ISNUMBER(H691),H691,IFERROR(DATE(VALUE(MID(H691,FIND("/",H691,FIND("/",H691)+1)+1,4)),VALUE(MID(H691,FIND("/",H691)+1,FIND("/",H691,FIND("/",H691)+1)-FIND("/",H691)-1)),VALUE(LEFT(H691,FIND("/",H691)-1)))+IFERROR(TIMEVALUE(TRIM(MID(H691,FIND(" ",H691)+1,20))),0),0)))</f>
        <v/>
      </c>
      <c r="K691" s="256">
        <f>IF(I691=0,0,INT(I691))</f>
        <v/>
      </c>
      <c r="L691" s="257">
        <f>IF(OR(I691=0,J691=0),0,ROUND((J691-I691)*24,2))</f>
        <v/>
      </c>
      <c r="M691" s="254">
        <f>IFERROR(TRIM(MID(A691,FIND("@",SUBSTITUTE(A691,"(","@",LEN(A691)-LEN(SUBSTITUTE(A691,"(",""))))+1,FIND(")",A691,FIND("@",SUBSTITUTE(A691,"(","@",LEN(A691)-LEN(SUBSTITUTE(A691,"(","")))))-FIND("@",SUBSTITUTE(A691,"(","@",LEN(A691)-LEN(SUBSTITUTE(A691,"(",""))))-1)),"")</f>
        <v/>
      </c>
      <c r="N691" s="254">
        <f>IF(A691="","",IF(LEFT(TRIM(A691),5)="Leave","Leave",IF(OR(ISNUMBER(SEARCH("public holiday",A691)),ISNUMBER(SEARCH("Purple",E691))),"Public holiday","Event")))</f>
        <v/>
      </c>
    </row>
    <row r="692">
      <c r="G692" s="254">
        <f>IF(C692="","",IF(ISNUMBER(C692),C692,IF(ISNUMBER(VALUE(LEFT(TRIM(C692),1))),TRIM(C692),TRIM(MID(TRIM(C692),FIND(" ",TRIM(C692))+1,99)))))</f>
        <v/>
      </c>
      <c r="H692" s="254">
        <f>IF(D692="","",IF(ISNUMBER(D692),D692,IF(ISNUMBER(VALUE(LEFT(TRIM(D692),1))),TRIM(D692),TRIM(MID(TRIM(D692),FIND(" ",TRIM(D692))+1,99)))))</f>
        <v/>
      </c>
      <c r="I692" s="255">
        <f>IF(G692="",0,IF(ISNUMBER(G692),G692,IFERROR(DATE(VALUE(MID(G692,FIND("/",G692,FIND("/",G692)+1)+1,4)),VALUE(MID(G692,FIND("/",G692)+1,FIND("/",G692,FIND("/",G692)+1)-FIND("/",G692)-1)),VALUE(LEFT(G692,FIND("/",G692)-1)))+IFERROR(TIMEVALUE(TRIM(MID(G692,FIND(" ",G692)+1,20))),0),0)))</f>
        <v/>
      </c>
      <c r="J692" s="255">
        <f>IF(H692="",0,IF(ISNUMBER(H692),H692,IFERROR(DATE(VALUE(MID(H692,FIND("/",H692,FIND("/",H692)+1)+1,4)),VALUE(MID(H692,FIND("/",H692)+1,FIND("/",H692,FIND("/",H692)+1)-FIND("/",H692)-1)),VALUE(LEFT(H692,FIND("/",H692)-1)))+IFERROR(TIMEVALUE(TRIM(MID(H692,FIND(" ",H692)+1,20))),0),0)))</f>
        <v/>
      </c>
      <c r="K692" s="256">
        <f>IF(I692=0,0,INT(I692))</f>
        <v/>
      </c>
      <c r="L692" s="257">
        <f>IF(OR(I692=0,J692=0),0,ROUND((J692-I692)*24,2))</f>
        <v/>
      </c>
      <c r="M692" s="254">
        <f>IFERROR(TRIM(MID(A692,FIND("@",SUBSTITUTE(A692,"(","@",LEN(A692)-LEN(SUBSTITUTE(A692,"(",""))))+1,FIND(")",A692,FIND("@",SUBSTITUTE(A692,"(","@",LEN(A692)-LEN(SUBSTITUTE(A692,"(","")))))-FIND("@",SUBSTITUTE(A692,"(","@",LEN(A692)-LEN(SUBSTITUTE(A692,"(",""))))-1)),"")</f>
        <v/>
      </c>
      <c r="N692" s="254">
        <f>IF(A692="","",IF(LEFT(TRIM(A692),5)="Leave","Leave",IF(OR(ISNUMBER(SEARCH("public holiday",A692)),ISNUMBER(SEARCH("Purple",E692))),"Public holiday","Event")))</f>
        <v/>
      </c>
    </row>
    <row r="693">
      <c r="G693" s="254">
        <f>IF(C693="","",IF(ISNUMBER(C693),C693,IF(ISNUMBER(VALUE(LEFT(TRIM(C693),1))),TRIM(C693),TRIM(MID(TRIM(C693),FIND(" ",TRIM(C693))+1,99)))))</f>
        <v/>
      </c>
      <c r="H693" s="254">
        <f>IF(D693="","",IF(ISNUMBER(D693),D693,IF(ISNUMBER(VALUE(LEFT(TRIM(D693),1))),TRIM(D693),TRIM(MID(TRIM(D693),FIND(" ",TRIM(D693))+1,99)))))</f>
        <v/>
      </c>
      <c r="I693" s="255">
        <f>IF(G693="",0,IF(ISNUMBER(G693),G693,IFERROR(DATE(VALUE(MID(G693,FIND("/",G693,FIND("/",G693)+1)+1,4)),VALUE(MID(G693,FIND("/",G693)+1,FIND("/",G693,FIND("/",G693)+1)-FIND("/",G693)-1)),VALUE(LEFT(G693,FIND("/",G693)-1)))+IFERROR(TIMEVALUE(TRIM(MID(G693,FIND(" ",G693)+1,20))),0),0)))</f>
        <v/>
      </c>
      <c r="J693" s="255">
        <f>IF(H693="",0,IF(ISNUMBER(H693),H693,IFERROR(DATE(VALUE(MID(H693,FIND("/",H693,FIND("/",H693)+1)+1,4)),VALUE(MID(H693,FIND("/",H693)+1,FIND("/",H693,FIND("/",H693)+1)-FIND("/",H693)-1)),VALUE(LEFT(H693,FIND("/",H693)-1)))+IFERROR(TIMEVALUE(TRIM(MID(H693,FIND(" ",H693)+1,20))),0),0)))</f>
        <v/>
      </c>
      <c r="K693" s="256">
        <f>IF(I693=0,0,INT(I693))</f>
        <v/>
      </c>
      <c r="L693" s="257">
        <f>IF(OR(I693=0,J693=0),0,ROUND((J693-I693)*24,2))</f>
        <v/>
      </c>
      <c r="M693" s="254">
        <f>IFERROR(TRIM(MID(A693,FIND("@",SUBSTITUTE(A693,"(","@",LEN(A693)-LEN(SUBSTITUTE(A693,"(",""))))+1,FIND(")",A693,FIND("@",SUBSTITUTE(A693,"(","@",LEN(A693)-LEN(SUBSTITUTE(A693,"(","")))))-FIND("@",SUBSTITUTE(A693,"(","@",LEN(A693)-LEN(SUBSTITUTE(A693,"(",""))))-1)),"")</f>
        <v/>
      </c>
      <c r="N693" s="254">
        <f>IF(A693="","",IF(LEFT(TRIM(A693),5)="Leave","Leave",IF(OR(ISNUMBER(SEARCH("public holiday",A693)),ISNUMBER(SEARCH("Purple",E693))),"Public holiday","Event")))</f>
        <v/>
      </c>
    </row>
    <row r="694">
      <c r="G694" s="254">
        <f>IF(C694="","",IF(ISNUMBER(C694),C694,IF(ISNUMBER(VALUE(LEFT(TRIM(C694),1))),TRIM(C694),TRIM(MID(TRIM(C694),FIND(" ",TRIM(C694))+1,99)))))</f>
        <v/>
      </c>
      <c r="H694" s="254">
        <f>IF(D694="","",IF(ISNUMBER(D694),D694,IF(ISNUMBER(VALUE(LEFT(TRIM(D694),1))),TRIM(D694),TRIM(MID(TRIM(D694),FIND(" ",TRIM(D694))+1,99)))))</f>
        <v/>
      </c>
      <c r="I694" s="255">
        <f>IF(G694="",0,IF(ISNUMBER(G694),G694,IFERROR(DATE(VALUE(MID(G694,FIND("/",G694,FIND("/",G694)+1)+1,4)),VALUE(MID(G694,FIND("/",G694)+1,FIND("/",G694,FIND("/",G694)+1)-FIND("/",G694)-1)),VALUE(LEFT(G694,FIND("/",G694)-1)))+IFERROR(TIMEVALUE(TRIM(MID(G694,FIND(" ",G694)+1,20))),0),0)))</f>
        <v/>
      </c>
      <c r="J694" s="255">
        <f>IF(H694="",0,IF(ISNUMBER(H694),H694,IFERROR(DATE(VALUE(MID(H694,FIND("/",H694,FIND("/",H694)+1)+1,4)),VALUE(MID(H694,FIND("/",H694)+1,FIND("/",H694,FIND("/",H694)+1)-FIND("/",H694)-1)),VALUE(LEFT(H694,FIND("/",H694)-1)))+IFERROR(TIMEVALUE(TRIM(MID(H694,FIND(" ",H694)+1,20))),0),0)))</f>
        <v/>
      </c>
      <c r="K694" s="256">
        <f>IF(I694=0,0,INT(I694))</f>
        <v/>
      </c>
      <c r="L694" s="257">
        <f>IF(OR(I694=0,J694=0),0,ROUND((J694-I694)*24,2))</f>
        <v/>
      </c>
      <c r="M694" s="254">
        <f>IFERROR(TRIM(MID(A694,FIND("@",SUBSTITUTE(A694,"(","@",LEN(A694)-LEN(SUBSTITUTE(A694,"(",""))))+1,FIND(")",A694,FIND("@",SUBSTITUTE(A694,"(","@",LEN(A694)-LEN(SUBSTITUTE(A694,"(","")))))-FIND("@",SUBSTITUTE(A694,"(","@",LEN(A694)-LEN(SUBSTITUTE(A694,"(",""))))-1)),"")</f>
        <v/>
      </c>
      <c r="N694" s="254">
        <f>IF(A694="","",IF(LEFT(TRIM(A694),5)="Leave","Leave",IF(OR(ISNUMBER(SEARCH("public holiday",A694)),ISNUMBER(SEARCH("Purple",E694))),"Public holiday","Event")))</f>
        <v/>
      </c>
    </row>
    <row r="695">
      <c r="G695" s="254">
        <f>IF(C695="","",IF(ISNUMBER(C695),C695,IF(ISNUMBER(VALUE(LEFT(TRIM(C695),1))),TRIM(C695),TRIM(MID(TRIM(C695),FIND(" ",TRIM(C695))+1,99)))))</f>
        <v/>
      </c>
      <c r="H695" s="254">
        <f>IF(D695="","",IF(ISNUMBER(D695),D695,IF(ISNUMBER(VALUE(LEFT(TRIM(D695),1))),TRIM(D695),TRIM(MID(TRIM(D695),FIND(" ",TRIM(D695))+1,99)))))</f>
        <v/>
      </c>
      <c r="I695" s="255">
        <f>IF(G695="",0,IF(ISNUMBER(G695),G695,IFERROR(DATE(VALUE(MID(G695,FIND("/",G695,FIND("/",G695)+1)+1,4)),VALUE(MID(G695,FIND("/",G695)+1,FIND("/",G695,FIND("/",G695)+1)-FIND("/",G695)-1)),VALUE(LEFT(G695,FIND("/",G695)-1)))+IFERROR(TIMEVALUE(TRIM(MID(G695,FIND(" ",G695)+1,20))),0),0)))</f>
        <v/>
      </c>
      <c r="J695" s="255">
        <f>IF(H695="",0,IF(ISNUMBER(H695),H695,IFERROR(DATE(VALUE(MID(H695,FIND("/",H695,FIND("/",H695)+1)+1,4)),VALUE(MID(H695,FIND("/",H695)+1,FIND("/",H695,FIND("/",H695)+1)-FIND("/",H695)-1)),VALUE(LEFT(H695,FIND("/",H695)-1)))+IFERROR(TIMEVALUE(TRIM(MID(H695,FIND(" ",H695)+1,20))),0),0)))</f>
        <v/>
      </c>
      <c r="K695" s="256">
        <f>IF(I695=0,0,INT(I695))</f>
        <v/>
      </c>
      <c r="L695" s="257">
        <f>IF(OR(I695=0,J695=0),0,ROUND((J695-I695)*24,2))</f>
        <v/>
      </c>
      <c r="M695" s="254">
        <f>IFERROR(TRIM(MID(A695,FIND("@",SUBSTITUTE(A695,"(","@",LEN(A695)-LEN(SUBSTITUTE(A695,"(",""))))+1,FIND(")",A695,FIND("@",SUBSTITUTE(A695,"(","@",LEN(A695)-LEN(SUBSTITUTE(A695,"(","")))))-FIND("@",SUBSTITUTE(A695,"(","@",LEN(A695)-LEN(SUBSTITUTE(A695,"(",""))))-1)),"")</f>
        <v/>
      </c>
      <c r="N695" s="254">
        <f>IF(A695="","",IF(LEFT(TRIM(A695),5)="Leave","Leave",IF(OR(ISNUMBER(SEARCH("public holiday",A695)),ISNUMBER(SEARCH("Purple",E695))),"Public holiday","Event")))</f>
        <v/>
      </c>
    </row>
    <row r="696">
      <c r="G696" s="254">
        <f>IF(C696="","",IF(ISNUMBER(C696),C696,IF(ISNUMBER(VALUE(LEFT(TRIM(C696),1))),TRIM(C696),TRIM(MID(TRIM(C696),FIND(" ",TRIM(C696))+1,99)))))</f>
        <v/>
      </c>
      <c r="H696" s="254">
        <f>IF(D696="","",IF(ISNUMBER(D696),D696,IF(ISNUMBER(VALUE(LEFT(TRIM(D696),1))),TRIM(D696),TRIM(MID(TRIM(D696),FIND(" ",TRIM(D696))+1,99)))))</f>
        <v/>
      </c>
      <c r="I696" s="255">
        <f>IF(G696="",0,IF(ISNUMBER(G696),G696,IFERROR(DATE(VALUE(MID(G696,FIND("/",G696,FIND("/",G696)+1)+1,4)),VALUE(MID(G696,FIND("/",G696)+1,FIND("/",G696,FIND("/",G696)+1)-FIND("/",G696)-1)),VALUE(LEFT(G696,FIND("/",G696)-1)))+IFERROR(TIMEVALUE(TRIM(MID(G696,FIND(" ",G696)+1,20))),0),0)))</f>
        <v/>
      </c>
      <c r="J696" s="255">
        <f>IF(H696="",0,IF(ISNUMBER(H696),H696,IFERROR(DATE(VALUE(MID(H696,FIND("/",H696,FIND("/",H696)+1)+1,4)),VALUE(MID(H696,FIND("/",H696)+1,FIND("/",H696,FIND("/",H696)+1)-FIND("/",H696)-1)),VALUE(LEFT(H696,FIND("/",H696)-1)))+IFERROR(TIMEVALUE(TRIM(MID(H696,FIND(" ",H696)+1,20))),0),0)))</f>
        <v/>
      </c>
      <c r="K696" s="256">
        <f>IF(I696=0,0,INT(I696))</f>
        <v/>
      </c>
      <c r="L696" s="257">
        <f>IF(OR(I696=0,J696=0),0,ROUND((J696-I696)*24,2))</f>
        <v/>
      </c>
      <c r="M696" s="254">
        <f>IFERROR(TRIM(MID(A696,FIND("@",SUBSTITUTE(A696,"(","@",LEN(A696)-LEN(SUBSTITUTE(A696,"(",""))))+1,FIND(")",A696,FIND("@",SUBSTITUTE(A696,"(","@",LEN(A696)-LEN(SUBSTITUTE(A696,"(","")))))-FIND("@",SUBSTITUTE(A696,"(","@",LEN(A696)-LEN(SUBSTITUTE(A696,"(",""))))-1)),"")</f>
        <v/>
      </c>
      <c r="N696" s="254">
        <f>IF(A696="","",IF(LEFT(TRIM(A696),5)="Leave","Leave",IF(OR(ISNUMBER(SEARCH("public holiday",A696)),ISNUMBER(SEARCH("Purple",E696))),"Public holiday","Event")))</f>
        <v/>
      </c>
    </row>
    <row r="697">
      <c r="G697" s="254">
        <f>IF(C697="","",IF(ISNUMBER(C697),C697,IF(ISNUMBER(VALUE(LEFT(TRIM(C697),1))),TRIM(C697),TRIM(MID(TRIM(C697),FIND(" ",TRIM(C697))+1,99)))))</f>
        <v/>
      </c>
      <c r="H697" s="254">
        <f>IF(D697="","",IF(ISNUMBER(D697),D697,IF(ISNUMBER(VALUE(LEFT(TRIM(D697),1))),TRIM(D697),TRIM(MID(TRIM(D697),FIND(" ",TRIM(D697))+1,99)))))</f>
        <v/>
      </c>
      <c r="I697" s="255">
        <f>IF(G697="",0,IF(ISNUMBER(G697),G697,IFERROR(DATE(VALUE(MID(G697,FIND("/",G697,FIND("/",G697)+1)+1,4)),VALUE(MID(G697,FIND("/",G697)+1,FIND("/",G697,FIND("/",G697)+1)-FIND("/",G697)-1)),VALUE(LEFT(G697,FIND("/",G697)-1)))+IFERROR(TIMEVALUE(TRIM(MID(G697,FIND(" ",G697)+1,20))),0),0)))</f>
        <v/>
      </c>
      <c r="J697" s="255">
        <f>IF(H697="",0,IF(ISNUMBER(H697),H697,IFERROR(DATE(VALUE(MID(H697,FIND("/",H697,FIND("/",H697)+1)+1,4)),VALUE(MID(H697,FIND("/",H697)+1,FIND("/",H697,FIND("/",H697)+1)-FIND("/",H697)-1)),VALUE(LEFT(H697,FIND("/",H697)-1)))+IFERROR(TIMEVALUE(TRIM(MID(H697,FIND(" ",H697)+1,20))),0),0)))</f>
        <v/>
      </c>
      <c r="K697" s="256">
        <f>IF(I697=0,0,INT(I697))</f>
        <v/>
      </c>
      <c r="L697" s="257">
        <f>IF(OR(I697=0,J697=0),0,ROUND((J697-I697)*24,2))</f>
        <v/>
      </c>
      <c r="M697" s="254">
        <f>IFERROR(TRIM(MID(A697,FIND("@",SUBSTITUTE(A697,"(","@",LEN(A697)-LEN(SUBSTITUTE(A697,"(",""))))+1,FIND(")",A697,FIND("@",SUBSTITUTE(A697,"(","@",LEN(A697)-LEN(SUBSTITUTE(A697,"(","")))))-FIND("@",SUBSTITUTE(A697,"(","@",LEN(A697)-LEN(SUBSTITUTE(A697,"(",""))))-1)),"")</f>
        <v/>
      </c>
      <c r="N697" s="254">
        <f>IF(A697="","",IF(LEFT(TRIM(A697),5)="Leave","Leave",IF(OR(ISNUMBER(SEARCH("public holiday",A697)),ISNUMBER(SEARCH("Purple",E697))),"Public holiday","Event")))</f>
        <v/>
      </c>
    </row>
    <row r="698">
      <c r="G698" s="254">
        <f>IF(C698="","",IF(ISNUMBER(C698),C698,IF(ISNUMBER(VALUE(LEFT(TRIM(C698),1))),TRIM(C698),TRIM(MID(TRIM(C698),FIND(" ",TRIM(C698))+1,99)))))</f>
        <v/>
      </c>
      <c r="H698" s="254">
        <f>IF(D698="","",IF(ISNUMBER(D698),D698,IF(ISNUMBER(VALUE(LEFT(TRIM(D698),1))),TRIM(D698),TRIM(MID(TRIM(D698),FIND(" ",TRIM(D698))+1,99)))))</f>
        <v/>
      </c>
      <c r="I698" s="255">
        <f>IF(G698="",0,IF(ISNUMBER(G698),G698,IFERROR(DATE(VALUE(MID(G698,FIND("/",G698,FIND("/",G698)+1)+1,4)),VALUE(MID(G698,FIND("/",G698)+1,FIND("/",G698,FIND("/",G698)+1)-FIND("/",G698)-1)),VALUE(LEFT(G698,FIND("/",G698)-1)))+IFERROR(TIMEVALUE(TRIM(MID(G698,FIND(" ",G698)+1,20))),0),0)))</f>
        <v/>
      </c>
      <c r="J698" s="255">
        <f>IF(H698="",0,IF(ISNUMBER(H698),H698,IFERROR(DATE(VALUE(MID(H698,FIND("/",H698,FIND("/",H698)+1)+1,4)),VALUE(MID(H698,FIND("/",H698)+1,FIND("/",H698,FIND("/",H698)+1)-FIND("/",H698)-1)),VALUE(LEFT(H698,FIND("/",H698)-1)))+IFERROR(TIMEVALUE(TRIM(MID(H698,FIND(" ",H698)+1,20))),0),0)))</f>
        <v/>
      </c>
      <c r="K698" s="256">
        <f>IF(I698=0,0,INT(I698))</f>
        <v/>
      </c>
      <c r="L698" s="257">
        <f>IF(OR(I698=0,J698=0),0,ROUND((J698-I698)*24,2))</f>
        <v/>
      </c>
      <c r="M698" s="254">
        <f>IFERROR(TRIM(MID(A698,FIND("@",SUBSTITUTE(A698,"(","@",LEN(A698)-LEN(SUBSTITUTE(A698,"(",""))))+1,FIND(")",A698,FIND("@",SUBSTITUTE(A698,"(","@",LEN(A698)-LEN(SUBSTITUTE(A698,"(","")))))-FIND("@",SUBSTITUTE(A698,"(","@",LEN(A698)-LEN(SUBSTITUTE(A698,"(",""))))-1)),"")</f>
        <v/>
      </c>
      <c r="N698" s="254">
        <f>IF(A698="","",IF(LEFT(TRIM(A698),5)="Leave","Leave",IF(OR(ISNUMBER(SEARCH("public holiday",A698)),ISNUMBER(SEARCH("Purple",E698))),"Public holiday","Event")))</f>
        <v/>
      </c>
    </row>
    <row r="699">
      <c r="G699" s="254">
        <f>IF(C699="","",IF(ISNUMBER(C699),C699,IF(ISNUMBER(VALUE(LEFT(TRIM(C699),1))),TRIM(C699),TRIM(MID(TRIM(C699),FIND(" ",TRIM(C699))+1,99)))))</f>
        <v/>
      </c>
      <c r="H699" s="254">
        <f>IF(D699="","",IF(ISNUMBER(D699),D699,IF(ISNUMBER(VALUE(LEFT(TRIM(D699),1))),TRIM(D699),TRIM(MID(TRIM(D699),FIND(" ",TRIM(D699))+1,99)))))</f>
        <v/>
      </c>
      <c r="I699" s="255">
        <f>IF(G699="",0,IF(ISNUMBER(G699),G699,IFERROR(DATE(VALUE(MID(G699,FIND("/",G699,FIND("/",G699)+1)+1,4)),VALUE(MID(G699,FIND("/",G699)+1,FIND("/",G699,FIND("/",G699)+1)-FIND("/",G699)-1)),VALUE(LEFT(G699,FIND("/",G699)-1)))+IFERROR(TIMEVALUE(TRIM(MID(G699,FIND(" ",G699)+1,20))),0),0)))</f>
        <v/>
      </c>
      <c r="J699" s="255">
        <f>IF(H699="",0,IF(ISNUMBER(H699),H699,IFERROR(DATE(VALUE(MID(H699,FIND("/",H699,FIND("/",H699)+1)+1,4)),VALUE(MID(H699,FIND("/",H699)+1,FIND("/",H699,FIND("/",H699)+1)-FIND("/",H699)-1)),VALUE(LEFT(H699,FIND("/",H699)-1)))+IFERROR(TIMEVALUE(TRIM(MID(H699,FIND(" ",H699)+1,20))),0),0)))</f>
        <v/>
      </c>
      <c r="K699" s="256">
        <f>IF(I699=0,0,INT(I699))</f>
        <v/>
      </c>
      <c r="L699" s="257">
        <f>IF(OR(I699=0,J699=0),0,ROUND((J699-I699)*24,2))</f>
        <v/>
      </c>
      <c r="M699" s="254">
        <f>IFERROR(TRIM(MID(A699,FIND("@",SUBSTITUTE(A699,"(","@",LEN(A699)-LEN(SUBSTITUTE(A699,"(",""))))+1,FIND(")",A699,FIND("@",SUBSTITUTE(A699,"(","@",LEN(A699)-LEN(SUBSTITUTE(A699,"(","")))))-FIND("@",SUBSTITUTE(A699,"(","@",LEN(A699)-LEN(SUBSTITUTE(A699,"(",""))))-1)),"")</f>
        <v/>
      </c>
      <c r="N699" s="254">
        <f>IF(A699="","",IF(LEFT(TRIM(A699),5)="Leave","Leave",IF(OR(ISNUMBER(SEARCH("public holiday",A699)),ISNUMBER(SEARCH("Purple",E699))),"Public holiday","Event")))</f>
        <v/>
      </c>
    </row>
    <row r="700">
      <c r="G700" s="254">
        <f>IF(C700="","",IF(ISNUMBER(C700),C700,IF(ISNUMBER(VALUE(LEFT(TRIM(C700),1))),TRIM(C700),TRIM(MID(TRIM(C700),FIND(" ",TRIM(C700))+1,99)))))</f>
        <v/>
      </c>
      <c r="H700" s="254">
        <f>IF(D700="","",IF(ISNUMBER(D700),D700,IF(ISNUMBER(VALUE(LEFT(TRIM(D700),1))),TRIM(D700),TRIM(MID(TRIM(D700),FIND(" ",TRIM(D700))+1,99)))))</f>
        <v/>
      </c>
      <c r="I700" s="255">
        <f>IF(G700="",0,IF(ISNUMBER(G700),G700,IFERROR(DATE(VALUE(MID(G700,FIND("/",G700,FIND("/",G700)+1)+1,4)),VALUE(MID(G700,FIND("/",G700)+1,FIND("/",G700,FIND("/",G700)+1)-FIND("/",G700)-1)),VALUE(LEFT(G700,FIND("/",G700)-1)))+IFERROR(TIMEVALUE(TRIM(MID(G700,FIND(" ",G700)+1,20))),0),0)))</f>
        <v/>
      </c>
      <c r="J700" s="255">
        <f>IF(H700="",0,IF(ISNUMBER(H700),H700,IFERROR(DATE(VALUE(MID(H700,FIND("/",H700,FIND("/",H700)+1)+1,4)),VALUE(MID(H700,FIND("/",H700)+1,FIND("/",H700,FIND("/",H700)+1)-FIND("/",H700)-1)),VALUE(LEFT(H700,FIND("/",H700)-1)))+IFERROR(TIMEVALUE(TRIM(MID(H700,FIND(" ",H700)+1,20))),0),0)))</f>
        <v/>
      </c>
      <c r="K700" s="256">
        <f>IF(I700=0,0,INT(I700))</f>
        <v/>
      </c>
      <c r="L700" s="257">
        <f>IF(OR(I700=0,J700=0),0,ROUND((J700-I700)*24,2))</f>
        <v/>
      </c>
      <c r="M700" s="254">
        <f>IFERROR(TRIM(MID(A700,FIND("@",SUBSTITUTE(A700,"(","@",LEN(A700)-LEN(SUBSTITUTE(A700,"(",""))))+1,FIND(")",A700,FIND("@",SUBSTITUTE(A700,"(","@",LEN(A700)-LEN(SUBSTITUTE(A700,"(","")))))-FIND("@",SUBSTITUTE(A700,"(","@",LEN(A700)-LEN(SUBSTITUTE(A700,"(",""))))-1)),"")</f>
        <v/>
      </c>
      <c r="N700" s="254">
        <f>IF(A700="","",IF(LEFT(TRIM(A700),5)="Leave","Leave",IF(OR(ISNUMBER(SEARCH("public holiday",A700)),ISNUMBER(SEARCH("Purple",E700))),"Public holiday","Event")))</f>
        <v/>
      </c>
    </row>
    <row r="701">
      <c r="G701" s="254">
        <f>IF(C701="","",IF(ISNUMBER(C701),C701,IF(ISNUMBER(VALUE(LEFT(TRIM(C701),1))),TRIM(C701),TRIM(MID(TRIM(C701),FIND(" ",TRIM(C701))+1,99)))))</f>
        <v/>
      </c>
      <c r="H701" s="254">
        <f>IF(D701="","",IF(ISNUMBER(D701),D701,IF(ISNUMBER(VALUE(LEFT(TRIM(D701),1))),TRIM(D701),TRIM(MID(TRIM(D701),FIND(" ",TRIM(D701))+1,99)))))</f>
        <v/>
      </c>
      <c r="I701" s="255">
        <f>IF(G701="",0,IF(ISNUMBER(G701),G701,IFERROR(DATE(VALUE(MID(G701,FIND("/",G701,FIND("/",G701)+1)+1,4)),VALUE(MID(G701,FIND("/",G701)+1,FIND("/",G701,FIND("/",G701)+1)-FIND("/",G701)-1)),VALUE(LEFT(G701,FIND("/",G701)-1)))+IFERROR(TIMEVALUE(TRIM(MID(G701,FIND(" ",G701)+1,20))),0),0)))</f>
        <v/>
      </c>
      <c r="J701" s="255">
        <f>IF(H701="",0,IF(ISNUMBER(H701),H701,IFERROR(DATE(VALUE(MID(H701,FIND("/",H701,FIND("/",H701)+1)+1,4)),VALUE(MID(H701,FIND("/",H701)+1,FIND("/",H701,FIND("/",H701)+1)-FIND("/",H701)-1)),VALUE(LEFT(H701,FIND("/",H701)-1)))+IFERROR(TIMEVALUE(TRIM(MID(H701,FIND(" ",H701)+1,20))),0),0)))</f>
        <v/>
      </c>
      <c r="K701" s="256">
        <f>IF(I701=0,0,INT(I701))</f>
        <v/>
      </c>
      <c r="L701" s="257">
        <f>IF(OR(I701=0,J701=0),0,ROUND((J701-I701)*24,2))</f>
        <v/>
      </c>
      <c r="M701" s="254">
        <f>IFERROR(TRIM(MID(A701,FIND("@",SUBSTITUTE(A701,"(","@",LEN(A701)-LEN(SUBSTITUTE(A701,"(",""))))+1,FIND(")",A701,FIND("@",SUBSTITUTE(A701,"(","@",LEN(A701)-LEN(SUBSTITUTE(A701,"(","")))))-FIND("@",SUBSTITUTE(A701,"(","@",LEN(A701)-LEN(SUBSTITUTE(A701,"(",""))))-1)),"")</f>
        <v/>
      </c>
      <c r="N701" s="254">
        <f>IF(A701="","",IF(LEFT(TRIM(A701),5)="Leave","Leave",IF(OR(ISNUMBER(SEARCH("public holiday",A701)),ISNUMBER(SEARCH("Purple",E701))),"Public holiday","Event")))</f>
        <v/>
      </c>
    </row>
    <row r="702">
      <c r="G702" s="254">
        <f>IF(C702="","",IF(ISNUMBER(C702),C702,IF(ISNUMBER(VALUE(LEFT(TRIM(C702),1))),TRIM(C702),TRIM(MID(TRIM(C702),FIND(" ",TRIM(C702))+1,99)))))</f>
        <v/>
      </c>
      <c r="H702" s="254">
        <f>IF(D702="","",IF(ISNUMBER(D702),D702,IF(ISNUMBER(VALUE(LEFT(TRIM(D702),1))),TRIM(D702),TRIM(MID(TRIM(D702),FIND(" ",TRIM(D702))+1,99)))))</f>
        <v/>
      </c>
      <c r="I702" s="255">
        <f>IF(G702="",0,IF(ISNUMBER(G702),G702,IFERROR(DATE(VALUE(MID(G702,FIND("/",G702,FIND("/",G702)+1)+1,4)),VALUE(MID(G702,FIND("/",G702)+1,FIND("/",G702,FIND("/",G702)+1)-FIND("/",G702)-1)),VALUE(LEFT(G702,FIND("/",G702)-1)))+IFERROR(TIMEVALUE(TRIM(MID(G702,FIND(" ",G702)+1,20))),0),0)))</f>
        <v/>
      </c>
      <c r="J702" s="255">
        <f>IF(H702="",0,IF(ISNUMBER(H702),H702,IFERROR(DATE(VALUE(MID(H702,FIND("/",H702,FIND("/",H702)+1)+1,4)),VALUE(MID(H702,FIND("/",H702)+1,FIND("/",H702,FIND("/",H702)+1)-FIND("/",H702)-1)),VALUE(LEFT(H702,FIND("/",H702)-1)))+IFERROR(TIMEVALUE(TRIM(MID(H702,FIND(" ",H702)+1,20))),0),0)))</f>
        <v/>
      </c>
      <c r="K702" s="256">
        <f>IF(I702=0,0,INT(I702))</f>
        <v/>
      </c>
      <c r="L702" s="257">
        <f>IF(OR(I702=0,J702=0),0,ROUND((J702-I702)*24,2))</f>
        <v/>
      </c>
      <c r="M702" s="254">
        <f>IFERROR(TRIM(MID(A702,FIND("@",SUBSTITUTE(A702,"(","@",LEN(A702)-LEN(SUBSTITUTE(A702,"(",""))))+1,FIND(")",A702,FIND("@",SUBSTITUTE(A702,"(","@",LEN(A702)-LEN(SUBSTITUTE(A702,"(","")))))-FIND("@",SUBSTITUTE(A702,"(","@",LEN(A702)-LEN(SUBSTITUTE(A702,"(",""))))-1)),"")</f>
        <v/>
      </c>
      <c r="N702" s="254">
        <f>IF(A702="","",IF(LEFT(TRIM(A702),5)="Leave","Leave",IF(OR(ISNUMBER(SEARCH("public holiday",A702)),ISNUMBER(SEARCH("Purple",E702))),"Public holiday","Event")))</f>
        <v/>
      </c>
    </row>
    <row r="703">
      <c r="G703" s="254">
        <f>IF(C703="","",IF(ISNUMBER(C703),C703,IF(ISNUMBER(VALUE(LEFT(TRIM(C703),1))),TRIM(C703),TRIM(MID(TRIM(C703),FIND(" ",TRIM(C703))+1,99)))))</f>
        <v/>
      </c>
      <c r="H703" s="254">
        <f>IF(D703="","",IF(ISNUMBER(D703),D703,IF(ISNUMBER(VALUE(LEFT(TRIM(D703),1))),TRIM(D703),TRIM(MID(TRIM(D703),FIND(" ",TRIM(D703))+1,99)))))</f>
        <v/>
      </c>
      <c r="I703" s="255">
        <f>IF(G703="",0,IF(ISNUMBER(G703),G703,IFERROR(DATE(VALUE(MID(G703,FIND("/",G703,FIND("/",G703)+1)+1,4)),VALUE(MID(G703,FIND("/",G703)+1,FIND("/",G703,FIND("/",G703)+1)-FIND("/",G703)-1)),VALUE(LEFT(G703,FIND("/",G703)-1)))+IFERROR(TIMEVALUE(TRIM(MID(G703,FIND(" ",G703)+1,20))),0),0)))</f>
        <v/>
      </c>
      <c r="J703" s="255">
        <f>IF(H703="",0,IF(ISNUMBER(H703),H703,IFERROR(DATE(VALUE(MID(H703,FIND("/",H703,FIND("/",H703)+1)+1,4)),VALUE(MID(H703,FIND("/",H703)+1,FIND("/",H703,FIND("/",H703)+1)-FIND("/",H703)-1)),VALUE(LEFT(H703,FIND("/",H703)-1)))+IFERROR(TIMEVALUE(TRIM(MID(H703,FIND(" ",H703)+1,20))),0),0)))</f>
        <v/>
      </c>
      <c r="K703" s="256">
        <f>IF(I703=0,0,INT(I703))</f>
        <v/>
      </c>
      <c r="L703" s="257">
        <f>IF(OR(I703=0,J703=0),0,ROUND((J703-I703)*24,2))</f>
        <v/>
      </c>
      <c r="M703" s="254">
        <f>IFERROR(TRIM(MID(A703,FIND("@",SUBSTITUTE(A703,"(","@",LEN(A703)-LEN(SUBSTITUTE(A703,"(",""))))+1,FIND(")",A703,FIND("@",SUBSTITUTE(A703,"(","@",LEN(A703)-LEN(SUBSTITUTE(A703,"(","")))))-FIND("@",SUBSTITUTE(A703,"(","@",LEN(A703)-LEN(SUBSTITUTE(A703,"(",""))))-1)),"")</f>
        <v/>
      </c>
      <c r="N703" s="254">
        <f>IF(A703="","",IF(LEFT(TRIM(A703),5)="Leave","Leave",IF(OR(ISNUMBER(SEARCH("public holiday",A703)),ISNUMBER(SEARCH("Purple",E703))),"Public holiday","Event")))</f>
        <v/>
      </c>
    </row>
    <row r="704">
      <c r="G704" s="254">
        <f>IF(C704="","",IF(ISNUMBER(C704),C704,IF(ISNUMBER(VALUE(LEFT(TRIM(C704),1))),TRIM(C704),TRIM(MID(TRIM(C704),FIND(" ",TRIM(C704))+1,99)))))</f>
        <v/>
      </c>
      <c r="H704" s="254">
        <f>IF(D704="","",IF(ISNUMBER(D704),D704,IF(ISNUMBER(VALUE(LEFT(TRIM(D704),1))),TRIM(D704),TRIM(MID(TRIM(D704),FIND(" ",TRIM(D704))+1,99)))))</f>
        <v/>
      </c>
      <c r="I704" s="255">
        <f>IF(G704="",0,IF(ISNUMBER(G704),G704,IFERROR(DATE(VALUE(MID(G704,FIND("/",G704,FIND("/",G704)+1)+1,4)),VALUE(MID(G704,FIND("/",G704)+1,FIND("/",G704,FIND("/",G704)+1)-FIND("/",G704)-1)),VALUE(LEFT(G704,FIND("/",G704)-1)))+IFERROR(TIMEVALUE(TRIM(MID(G704,FIND(" ",G704)+1,20))),0),0)))</f>
        <v/>
      </c>
      <c r="J704" s="255">
        <f>IF(H704="",0,IF(ISNUMBER(H704),H704,IFERROR(DATE(VALUE(MID(H704,FIND("/",H704,FIND("/",H704)+1)+1,4)),VALUE(MID(H704,FIND("/",H704)+1,FIND("/",H704,FIND("/",H704)+1)-FIND("/",H704)-1)),VALUE(LEFT(H704,FIND("/",H704)-1)))+IFERROR(TIMEVALUE(TRIM(MID(H704,FIND(" ",H704)+1,20))),0),0)))</f>
        <v/>
      </c>
      <c r="K704" s="256">
        <f>IF(I704=0,0,INT(I704))</f>
        <v/>
      </c>
      <c r="L704" s="257">
        <f>IF(OR(I704=0,J704=0),0,ROUND((J704-I704)*24,2))</f>
        <v/>
      </c>
      <c r="M704" s="254">
        <f>IFERROR(TRIM(MID(A704,FIND("@",SUBSTITUTE(A704,"(","@",LEN(A704)-LEN(SUBSTITUTE(A704,"(",""))))+1,FIND(")",A704,FIND("@",SUBSTITUTE(A704,"(","@",LEN(A704)-LEN(SUBSTITUTE(A704,"(","")))))-FIND("@",SUBSTITUTE(A704,"(","@",LEN(A704)-LEN(SUBSTITUTE(A704,"(",""))))-1)),"")</f>
        <v/>
      </c>
      <c r="N704" s="254">
        <f>IF(A704="","",IF(LEFT(TRIM(A704),5)="Leave","Leave",IF(OR(ISNUMBER(SEARCH("public holiday",A704)),ISNUMBER(SEARCH("Purple",E704))),"Public holiday","Event")))</f>
        <v/>
      </c>
    </row>
    <row r="705">
      <c r="G705" s="254">
        <f>IF(C705="","",IF(ISNUMBER(C705),C705,IF(ISNUMBER(VALUE(LEFT(TRIM(C705),1))),TRIM(C705),TRIM(MID(TRIM(C705),FIND(" ",TRIM(C705))+1,99)))))</f>
        <v/>
      </c>
      <c r="H705" s="254">
        <f>IF(D705="","",IF(ISNUMBER(D705),D705,IF(ISNUMBER(VALUE(LEFT(TRIM(D705),1))),TRIM(D705),TRIM(MID(TRIM(D705),FIND(" ",TRIM(D705))+1,99)))))</f>
        <v/>
      </c>
      <c r="I705" s="255">
        <f>IF(G705="",0,IF(ISNUMBER(G705),G705,IFERROR(DATE(VALUE(MID(G705,FIND("/",G705,FIND("/",G705)+1)+1,4)),VALUE(MID(G705,FIND("/",G705)+1,FIND("/",G705,FIND("/",G705)+1)-FIND("/",G705)-1)),VALUE(LEFT(G705,FIND("/",G705)-1)))+IFERROR(TIMEVALUE(TRIM(MID(G705,FIND(" ",G705)+1,20))),0),0)))</f>
        <v/>
      </c>
      <c r="J705" s="255">
        <f>IF(H705="",0,IF(ISNUMBER(H705),H705,IFERROR(DATE(VALUE(MID(H705,FIND("/",H705,FIND("/",H705)+1)+1,4)),VALUE(MID(H705,FIND("/",H705)+1,FIND("/",H705,FIND("/",H705)+1)-FIND("/",H705)-1)),VALUE(LEFT(H705,FIND("/",H705)-1)))+IFERROR(TIMEVALUE(TRIM(MID(H705,FIND(" ",H705)+1,20))),0),0)))</f>
        <v/>
      </c>
      <c r="K705" s="256">
        <f>IF(I705=0,0,INT(I705))</f>
        <v/>
      </c>
      <c r="L705" s="257">
        <f>IF(OR(I705=0,J705=0),0,ROUND((J705-I705)*24,2))</f>
        <v/>
      </c>
      <c r="M705" s="254">
        <f>IFERROR(TRIM(MID(A705,FIND("@",SUBSTITUTE(A705,"(","@",LEN(A705)-LEN(SUBSTITUTE(A705,"(",""))))+1,FIND(")",A705,FIND("@",SUBSTITUTE(A705,"(","@",LEN(A705)-LEN(SUBSTITUTE(A705,"(","")))))-FIND("@",SUBSTITUTE(A705,"(","@",LEN(A705)-LEN(SUBSTITUTE(A705,"(",""))))-1)),"")</f>
        <v/>
      </c>
      <c r="N705" s="254">
        <f>IF(A705="","",IF(LEFT(TRIM(A705),5)="Leave","Leave",IF(OR(ISNUMBER(SEARCH("public holiday",A705)),ISNUMBER(SEARCH("Purple",E705))),"Public holiday","Event")))</f>
        <v/>
      </c>
    </row>
    <row r="706">
      <c r="G706" s="254">
        <f>IF(C706="","",IF(ISNUMBER(C706),C706,IF(ISNUMBER(VALUE(LEFT(TRIM(C706),1))),TRIM(C706),TRIM(MID(TRIM(C706),FIND(" ",TRIM(C706))+1,99)))))</f>
        <v/>
      </c>
      <c r="H706" s="254">
        <f>IF(D706="","",IF(ISNUMBER(D706),D706,IF(ISNUMBER(VALUE(LEFT(TRIM(D706),1))),TRIM(D706),TRIM(MID(TRIM(D706),FIND(" ",TRIM(D706))+1,99)))))</f>
        <v/>
      </c>
      <c r="I706" s="255">
        <f>IF(G706="",0,IF(ISNUMBER(G706),G706,IFERROR(DATE(VALUE(MID(G706,FIND("/",G706,FIND("/",G706)+1)+1,4)),VALUE(MID(G706,FIND("/",G706)+1,FIND("/",G706,FIND("/",G706)+1)-FIND("/",G706)-1)),VALUE(LEFT(G706,FIND("/",G706)-1)))+IFERROR(TIMEVALUE(TRIM(MID(G706,FIND(" ",G706)+1,20))),0),0)))</f>
        <v/>
      </c>
      <c r="J706" s="255">
        <f>IF(H706="",0,IF(ISNUMBER(H706),H706,IFERROR(DATE(VALUE(MID(H706,FIND("/",H706,FIND("/",H706)+1)+1,4)),VALUE(MID(H706,FIND("/",H706)+1,FIND("/",H706,FIND("/",H706)+1)-FIND("/",H706)-1)),VALUE(LEFT(H706,FIND("/",H706)-1)))+IFERROR(TIMEVALUE(TRIM(MID(H706,FIND(" ",H706)+1,20))),0),0)))</f>
        <v/>
      </c>
      <c r="K706" s="256">
        <f>IF(I706=0,0,INT(I706))</f>
        <v/>
      </c>
      <c r="L706" s="257">
        <f>IF(OR(I706=0,J706=0),0,ROUND((J706-I706)*24,2))</f>
        <v/>
      </c>
      <c r="M706" s="254">
        <f>IFERROR(TRIM(MID(A706,FIND("@",SUBSTITUTE(A706,"(","@",LEN(A706)-LEN(SUBSTITUTE(A706,"(",""))))+1,FIND(")",A706,FIND("@",SUBSTITUTE(A706,"(","@",LEN(A706)-LEN(SUBSTITUTE(A706,"(","")))))-FIND("@",SUBSTITUTE(A706,"(","@",LEN(A706)-LEN(SUBSTITUTE(A706,"(",""))))-1)),"")</f>
        <v/>
      </c>
      <c r="N706" s="254">
        <f>IF(A706="","",IF(LEFT(TRIM(A706),5)="Leave","Leave",IF(OR(ISNUMBER(SEARCH("public holiday",A706)),ISNUMBER(SEARCH("Purple",E706))),"Public holiday","Event")))</f>
        <v/>
      </c>
    </row>
    <row r="707">
      <c r="G707" s="254">
        <f>IF(C707="","",IF(ISNUMBER(C707),C707,IF(ISNUMBER(VALUE(LEFT(TRIM(C707),1))),TRIM(C707),TRIM(MID(TRIM(C707),FIND(" ",TRIM(C707))+1,99)))))</f>
        <v/>
      </c>
      <c r="H707" s="254">
        <f>IF(D707="","",IF(ISNUMBER(D707),D707,IF(ISNUMBER(VALUE(LEFT(TRIM(D707),1))),TRIM(D707),TRIM(MID(TRIM(D707),FIND(" ",TRIM(D707))+1,99)))))</f>
        <v/>
      </c>
      <c r="I707" s="255">
        <f>IF(G707="",0,IF(ISNUMBER(G707),G707,IFERROR(DATE(VALUE(MID(G707,FIND("/",G707,FIND("/",G707)+1)+1,4)),VALUE(MID(G707,FIND("/",G707)+1,FIND("/",G707,FIND("/",G707)+1)-FIND("/",G707)-1)),VALUE(LEFT(G707,FIND("/",G707)-1)))+IFERROR(TIMEVALUE(TRIM(MID(G707,FIND(" ",G707)+1,20))),0),0)))</f>
        <v/>
      </c>
      <c r="J707" s="255">
        <f>IF(H707="",0,IF(ISNUMBER(H707),H707,IFERROR(DATE(VALUE(MID(H707,FIND("/",H707,FIND("/",H707)+1)+1,4)),VALUE(MID(H707,FIND("/",H707)+1,FIND("/",H707,FIND("/",H707)+1)-FIND("/",H707)-1)),VALUE(LEFT(H707,FIND("/",H707)-1)))+IFERROR(TIMEVALUE(TRIM(MID(H707,FIND(" ",H707)+1,20))),0),0)))</f>
        <v/>
      </c>
      <c r="K707" s="256">
        <f>IF(I707=0,0,INT(I707))</f>
        <v/>
      </c>
      <c r="L707" s="257">
        <f>IF(OR(I707=0,J707=0),0,ROUND((J707-I707)*24,2))</f>
        <v/>
      </c>
      <c r="M707" s="254">
        <f>IFERROR(TRIM(MID(A707,FIND("@",SUBSTITUTE(A707,"(","@",LEN(A707)-LEN(SUBSTITUTE(A707,"(",""))))+1,FIND(")",A707,FIND("@",SUBSTITUTE(A707,"(","@",LEN(A707)-LEN(SUBSTITUTE(A707,"(","")))))-FIND("@",SUBSTITUTE(A707,"(","@",LEN(A707)-LEN(SUBSTITUTE(A707,"(",""))))-1)),"")</f>
        <v/>
      </c>
      <c r="N707" s="254">
        <f>IF(A707="","",IF(LEFT(TRIM(A707),5)="Leave","Leave",IF(OR(ISNUMBER(SEARCH("public holiday",A707)),ISNUMBER(SEARCH("Purple",E707))),"Public holiday","Event")))</f>
        <v/>
      </c>
    </row>
    <row r="708">
      <c r="G708" s="254">
        <f>IF(C708="","",IF(ISNUMBER(C708),C708,IF(ISNUMBER(VALUE(LEFT(TRIM(C708),1))),TRIM(C708),TRIM(MID(TRIM(C708),FIND(" ",TRIM(C708))+1,99)))))</f>
        <v/>
      </c>
      <c r="H708" s="254">
        <f>IF(D708="","",IF(ISNUMBER(D708),D708,IF(ISNUMBER(VALUE(LEFT(TRIM(D708),1))),TRIM(D708),TRIM(MID(TRIM(D708),FIND(" ",TRIM(D708))+1,99)))))</f>
        <v/>
      </c>
      <c r="I708" s="255">
        <f>IF(G708="",0,IF(ISNUMBER(G708),G708,IFERROR(DATE(VALUE(MID(G708,FIND("/",G708,FIND("/",G708)+1)+1,4)),VALUE(MID(G708,FIND("/",G708)+1,FIND("/",G708,FIND("/",G708)+1)-FIND("/",G708)-1)),VALUE(LEFT(G708,FIND("/",G708)-1)))+IFERROR(TIMEVALUE(TRIM(MID(G708,FIND(" ",G708)+1,20))),0),0)))</f>
        <v/>
      </c>
      <c r="J708" s="255">
        <f>IF(H708="",0,IF(ISNUMBER(H708),H708,IFERROR(DATE(VALUE(MID(H708,FIND("/",H708,FIND("/",H708)+1)+1,4)),VALUE(MID(H708,FIND("/",H708)+1,FIND("/",H708,FIND("/",H708)+1)-FIND("/",H708)-1)),VALUE(LEFT(H708,FIND("/",H708)-1)))+IFERROR(TIMEVALUE(TRIM(MID(H708,FIND(" ",H708)+1,20))),0),0)))</f>
        <v/>
      </c>
      <c r="K708" s="256">
        <f>IF(I708=0,0,INT(I708))</f>
        <v/>
      </c>
      <c r="L708" s="257">
        <f>IF(OR(I708=0,J708=0),0,ROUND((J708-I708)*24,2))</f>
        <v/>
      </c>
      <c r="M708" s="254">
        <f>IFERROR(TRIM(MID(A708,FIND("@",SUBSTITUTE(A708,"(","@",LEN(A708)-LEN(SUBSTITUTE(A708,"(",""))))+1,FIND(")",A708,FIND("@",SUBSTITUTE(A708,"(","@",LEN(A708)-LEN(SUBSTITUTE(A708,"(","")))))-FIND("@",SUBSTITUTE(A708,"(","@",LEN(A708)-LEN(SUBSTITUTE(A708,"(",""))))-1)),"")</f>
        <v/>
      </c>
      <c r="N708" s="254">
        <f>IF(A708="","",IF(LEFT(TRIM(A708),5)="Leave","Leave",IF(OR(ISNUMBER(SEARCH("public holiday",A708)),ISNUMBER(SEARCH("Purple",E708))),"Public holiday","Event")))</f>
        <v/>
      </c>
    </row>
    <row r="709">
      <c r="G709" s="254">
        <f>IF(C709="","",IF(ISNUMBER(C709),C709,IF(ISNUMBER(VALUE(LEFT(TRIM(C709),1))),TRIM(C709),TRIM(MID(TRIM(C709),FIND(" ",TRIM(C709))+1,99)))))</f>
        <v/>
      </c>
      <c r="H709" s="254">
        <f>IF(D709="","",IF(ISNUMBER(D709),D709,IF(ISNUMBER(VALUE(LEFT(TRIM(D709),1))),TRIM(D709),TRIM(MID(TRIM(D709),FIND(" ",TRIM(D709))+1,99)))))</f>
        <v/>
      </c>
      <c r="I709" s="255">
        <f>IF(G709="",0,IF(ISNUMBER(G709),G709,IFERROR(DATE(VALUE(MID(G709,FIND("/",G709,FIND("/",G709)+1)+1,4)),VALUE(MID(G709,FIND("/",G709)+1,FIND("/",G709,FIND("/",G709)+1)-FIND("/",G709)-1)),VALUE(LEFT(G709,FIND("/",G709)-1)))+IFERROR(TIMEVALUE(TRIM(MID(G709,FIND(" ",G709)+1,20))),0),0)))</f>
        <v/>
      </c>
      <c r="J709" s="255">
        <f>IF(H709="",0,IF(ISNUMBER(H709),H709,IFERROR(DATE(VALUE(MID(H709,FIND("/",H709,FIND("/",H709)+1)+1,4)),VALUE(MID(H709,FIND("/",H709)+1,FIND("/",H709,FIND("/",H709)+1)-FIND("/",H709)-1)),VALUE(LEFT(H709,FIND("/",H709)-1)))+IFERROR(TIMEVALUE(TRIM(MID(H709,FIND(" ",H709)+1,20))),0),0)))</f>
        <v/>
      </c>
      <c r="K709" s="256">
        <f>IF(I709=0,0,INT(I709))</f>
        <v/>
      </c>
      <c r="L709" s="257">
        <f>IF(OR(I709=0,J709=0),0,ROUND((J709-I709)*24,2))</f>
        <v/>
      </c>
      <c r="M709" s="254">
        <f>IFERROR(TRIM(MID(A709,FIND("@",SUBSTITUTE(A709,"(","@",LEN(A709)-LEN(SUBSTITUTE(A709,"(",""))))+1,FIND(")",A709,FIND("@",SUBSTITUTE(A709,"(","@",LEN(A709)-LEN(SUBSTITUTE(A709,"(","")))))-FIND("@",SUBSTITUTE(A709,"(","@",LEN(A709)-LEN(SUBSTITUTE(A709,"(",""))))-1)),"")</f>
        <v/>
      </c>
      <c r="N709" s="254">
        <f>IF(A709="","",IF(LEFT(TRIM(A709),5)="Leave","Leave",IF(OR(ISNUMBER(SEARCH("public holiday",A709)),ISNUMBER(SEARCH("Purple",E709))),"Public holiday","Event")))</f>
        <v/>
      </c>
    </row>
    <row r="710">
      <c r="G710" s="254">
        <f>IF(C710="","",IF(ISNUMBER(C710),C710,IF(ISNUMBER(VALUE(LEFT(TRIM(C710),1))),TRIM(C710),TRIM(MID(TRIM(C710),FIND(" ",TRIM(C710))+1,99)))))</f>
        <v/>
      </c>
      <c r="H710" s="254">
        <f>IF(D710="","",IF(ISNUMBER(D710),D710,IF(ISNUMBER(VALUE(LEFT(TRIM(D710),1))),TRIM(D710),TRIM(MID(TRIM(D710),FIND(" ",TRIM(D710))+1,99)))))</f>
        <v/>
      </c>
      <c r="I710" s="255">
        <f>IF(G710="",0,IF(ISNUMBER(G710),G710,IFERROR(DATE(VALUE(MID(G710,FIND("/",G710,FIND("/",G710)+1)+1,4)),VALUE(MID(G710,FIND("/",G710)+1,FIND("/",G710,FIND("/",G710)+1)-FIND("/",G710)-1)),VALUE(LEFT(G710,FIND("/",G710)-1)))+IFERROR(TIMEVALUE(TRIM(MID(G710,FIND(" ",G710)+1,20))),0),0)))</f>
        <v/>
      </c>
      <c r="J710" s="255">
        <f>IF(H710="",0,IF(ISNUMBER(H710),H710,IFERROR(DATE(VALUE(MID(H710,FIND("/",H710,FIND("/",H710)+1)+1,4)),VALUE(MID(H710,FIND("/",H710)+1,FIND("/",H710,FIND("/",H710)+1)-FIND("/",H710)-1)),VALUE(LEFT(H710,FIND("/",H710)-1)))+IFERROR(TIMEVALUE(TRIM(MID(H710,FIND(" ",H710)+1,20))),0),0)))</f>
        <v/>
      </c>
      <c r="K710" s="256">
        <f>IF(I710=0,0,INT(I710))</f>
        <v/>
      </c>
      <c r="L710" s="257">
        <f>IF(OR(I710=0,J710=0),0,ROUND((J710-I710)*24,2))</f>
        <v/>
      </c>
      <c r="M710" s="254">
        <f>IFERROR(TRIM(MID(A710,FIND("@",SUBSTITUTE(A710,"(","@",LEN(A710)-LEN(SUBSTITUTE(A710,"(",""))))+1,FIND(")",A710,FIND("@",SUBSTITUTE(A710,"(","@",LEN(A710)-LEN(SUBSTITUTE(A710,"(","")))))-FIND("@",SUBSTITUTE(A710,"(","@",LEN(A710)-LEN(SUBSTITUTE(A710,"(",""))))-1)),"")</f>
        <v/>
      </c>
      <c r="N710" s="254">
        <f>IF(A710="","",IF(LEFT(TRIM(A710),5)="Leave","Leave",IF(OR(ISNUMBER(SEARCH("public holiday",A710)),ISNUMBER(SEARCH("Purple",E710))),"Public holiday","Event")))</f>
        <v/>
      </c>
    </row>
    <row r="711">
      <c r="G711" s="254">
        <f>IF(C711="","",IF(ISNUMBER(C711),C711,IF(ISNUMBER(VALUE(LEFT(TRIM(C711),1))),TRIM(C711),TRIM(MID(TRIM(C711),FIND(" ",TRIM(C711))+1,99)))))</f>
        <v/>
      </c>
      <c r="H711" s="254">
        <f>IF(D711="","",IF(ISNUMBER(D711),D711,IF(ISNUMBER(VALUE(LEFT(TRIM(D711),1))),TRIM(D711),TRIM(MID(TRIM(D711),FIND(" ",TRIM(D711))+1,99)))))</f>
        <v/>
      </c>
      <c r="I711" s="255">
        <f>IF(G711="",0,IF(ISNUMBER(G711),G711,IFERROR(DATE(VALUE(MID(G711,FIND("/",G711,FIND("/",G711)+1)+1,4)),VALUE(MID(G711,FIND("/",G711)+1,FIND("/",G711,FIND("/",G711)+1)-FIND("/",G711)-1)),VALUE(LEFT(G711,FIND("/",G711)-1)))+IFERROR(TIMEVALUE(TRIM(MID(G711,FIND(" ",G711)+1,20))),0),0)))</f>
        <v/>
      </c>
      <c r="J711" s="255">
        <f>IF(H711="",0,IF(ISNUMBER(H711),H711,IFERROR(DATE(VALUE(MID(H711,FIND("/",H711,FIND("/",H711)+1)+1,4)),VALUE(MID(H711,FIND("/",H711)+1,FIND("/",H711,FIND("/",H711)+1)-FIND("/",H711)-1)),VALUE(LEFT(H711,FIND("/",H711)-1)))+IFERROR(TIMEVALUE(TRIM(MID(H711,FIND(" ",H711)+1,20))),0),0)))</f>
        <v/>
      </c>
      <c r="K711" s="256">
        <f>IF(I711=0,0,INT(I711))</f>
        <v/>
      </c>
      <c r="L711" s="257">
        <f>IF(OR(I711=0,J711=0),0,ROUND((J711-I711)*24,2))</f>
        <v/>
      </c>
      <c r="M711" s="254">
        <f>IFERROR(TRIM(MID(A711,FIND("@",SUBSTITUTE(A711,"(","@",LEN(A711)-LEN(SUBSTITUTE(A711,"(",""))))+1,FIND(")",A711,FIND("@",SUBSTITUTE(A711,"(","@",LEN(A711)-LEN(SUBSTITUTE(A711,"(","")))))-FIND("@",SUBSTITUTE(A711,"(","@",LEN(A711)-LEN(SUBSTITUTE(A711,"(",""))))-1)),"")</f>
        <v/>
      </c>
      <c r="N711" s="254">
        <f>IF(A711="","",IF(LEFT(TRIM(A711),5)="Leave","Leave",IF(OR(ISNUMBER(SEARCH("public holiday",A711)),ISNUMBER(SEARCH("Purple",E711))),"Public holiday","Event")))</f>
        <v/>
      </c>
    </row>
    <row r="712">
      <c r="G712" s="254">
        <f>IF(C712="","",IF(ISNUMBER(C712),C712,IF(ISNUMBER(VALUE(LEFT(TRIM(C712),1))),TRIM(C712),TRIM(MID(TRIM(C712),FIND(" ",TRIM(C712))+1,99)))))</f>
        <v/>
      </c>
      <c r="H712" s="254">
        <f>IF(D712="","",IF(ISNUMBER(D712),D712,IF(ISNUMBER(VALUE(LEFT(TRIM(D712),1))),TRIM(D712),TRIM(MID(TRIM(D712),FIND(" ",TRIM(D712))+1,99)))))</f>
        <v/>
      </c>
      <c r="I712" s="255">
        <f>IF(G712="",0,IF(ISNUMBER(G712),G712,IFERROR(DATE(VALUE(MID(G712,FIND("/",G712,FIND("/",G712)+1)+1,4)),VALUE(MID(G712,FIND("/",G712)+1,FIND("/",G712,FIND("/",G712)+1)-FIND("/",G712)-1)),VALUE(LEFT(G712,FIND("/",G712)-1)))+IFERROR(TIMEVALUE(TRIM(MID(G712,FIND(" ",G712)+1,20))),0),0)))</f>
        <v/>
      </c>
      <c r="J712" s="255">
        <f>IF(H712="",0,IF(ISNUMBER(H712),H712,IFERROR(DATE(VALUE(MID(H712,FIND("/",H712,FIND("/",H712)+1)+1,4)),VALUE(MID(H712,FIND("/",H712)+1,FIND("/",H712,FIND("/",H712)+1)-FIND("/",H712)-1)),VALUE(LEFT(H712,FIND("/",H712)-1)))+IFERROR(TIMEVALUE(TRIM(MID(H712,FIND(" ",H712)+1,20))),0),0)))</f>
        <v/>
      </c>
      <c r="K712" s="256">
        <f>IF(I712=0,0,INT(I712))</f>
        <v/>
      </c>
      <c r="L712" s="257">
        <f>IF(OR(I712=0,J712=0),0,ROUND((J712-I712)*24,2))</f>
        <v/>
      </c>
      <c r="M712" s="254">
        <f>IFERROR(TRIM(MID(A712,FIND("@",SUBSTITUTE(A712,"(","@",LEN(A712)-LEN(SUBSTITUTE(A712,"(",""))))+1,FIND(")",A712,FIND("@",SUBSTITUTE(A712,"(","@",LEN(A712)-LEN(SUBSTITUTE(A712,"(","")))))-FIND("@",SUBSTITUTE(A712,"(","@",LEN(A712)-LEN(SUBSTITUTE(A712,"(",""))))-1)),"")</f>
        <v/>
      </c>
      <c r="N712" s="254">
        <f>IF(A712="","",IF(LEFT(TRIM(A712),5)="Leave","Leave",IF(OR(ISNUMBER(SEARCH("public holiday",A712)),ISNUMBER(SEARCH("Purple",E712))),"Public holiday","Event")))</f>
        <v/>
      </c>
    </row>
    <row r="713">
      <c r="G713" s="254">
        <f>IF(C713="","",IF(ISNUMBER(C713),C713,IF(ISNUMBER(VALUE(LEFT(TRIM(C713),1))),TRIM(C713),TRIM(MID(TRIM(C713),FIND(" ",TRIM(C713))+1,99)))))</f>
        <v/>
      </c>
      <c r="H713" s="254">
        <f>IF(D713="","",IF(ISNUMBER(D713),D713,IF(ISNUMBER(VALUE(LEFT(TRIM(D713),1))),TRIM(D713),TRIM(MID(TRIM(D713),FIND(" ",TRIM(D713))+1,99)))))</f>
        <v/>
      </c>
      <c r="I713" s="255">
        <f>IF(G713="",0,IF(ISNUMBER(G713),G713,IFERROR(DATE(VALUE(MID(G713,FIND("/",G713,FIND("/",G713)+1)+1,4)),VALUE(MID(G713,FIND("/",G713)+1,FIND("/",G713,FIND("/",G713)+1)-FIND("/",G713)-1)),VALUE(LEFT(G713,FIND("/",G713)-1)))+IFERROR(TIMEVALUE(TRIM(MID(G713,FIND(" ",G713)+1,20))),0),0)))</f>
        <v/>
      </c>
      <c r="J713" s="255">
        <f>IF(H713="",0,IF(ISNUMBER(H713),H713,IFERROR(DATE(VALUE(MID(H713,FIND("/",H713,FIND("/",H713)+1)+1,4)),VALUE(MID(H713,FIND("/",H713)+1,FIND("/",H713,FIND("/",H713)+1)-FIND("/",H713)-1)),VALUE(LEFT(H713,FIND("/",H713)-1)))+IFERROR(TIMEVALUE(TRIM(MID(H713,FIND(" ",H713)+1,20))),0),0)))</f>
        <v/>
      </c>
      <c r="K713" s="256">
        <f>IF(I713=0,0,INT(I713))</f>
        <v/>
      </c>
      <c r="L713" s="257">
        <f>IF(OR(I713=0,J713=0),0,ROUND((J713-I713)*24,2))</f>
        <v/>
      </c>
      <c r="M713" s="254">
        <f>IFERROR(TRIM(MID(A713,FIND("@",SUBSTITUTE(A713,"(","@",LEN(A713)-LEN(SUBSTITUTE(A713,"(",""))))+1,FIND(")",A713,FIND("@",SUBSTITUTE(A713,"(","@",LEN(A713)-LEN(SUBSTITUTE(A713,"(","")))))-FIND("@",SUBSTITUTE(A713,"(","@",LEN(A713)-LEN(SUBSTITUTE(A713,"(",""))))-1)),"")</f>
        <v/>
      </c>
      <c r="N713" s="254">
        <f>IF(A713="","",IF(LEFT(TRIM(A713),5)="Leave","Leave",IF(OR(ISNUMBER(SEARCH("public holiday",A713)),ISNUMBER(SEARCH("Purple",E713))),"Public holiday","Event")))</f>
        <v/>
      </c>
    </row>
    <row r="714">
      <c r="G714" s="254">
        <f>IF(C714="","",IF(ISNUMBER(C714),C714,IF(ISNUMBER(VALUE(LEFT(TRIM(C714),1))),TRIM(C714),TRIM(MID(TRIM(C714),FIND(" ",TRIM(C714))+1,99)))))</f>
        <v/>
      </c>
      <c r="H714" s="254">
        <f>IF(D714="","",IF(ISNUMBER(D714),D714,IF(ISNUMBER(VALUE(LEFT(TRIM(D714),1))),TRIM(D714),TRIM(MID(TRIM(D714),FIND(" ",TRIM(D714))+1,99)))))</f>
        <v/>
      </c>
      <c r="I714" s="255">
        <f>IF(G714="",0,IF(ISNUMBER(G714),G714,IFERROR(DATE(VALUE(MID(G714,FIND("/",G714,FIND("/",G714)+1)+1,4)),VALUE(MID(G714,FIND("/",G714)+1,FIND("/",G714,FIND("/",G714)+1)-FIND("/",G714)-1)),VALUE(LEFT(G714,FIND("/",G714)-1)))+IFERROR(TIMEVALUE(TRIM(MID(G714,FIND(" ",G714)+1,20))),0),0)))</f>
        <v/>
      </c>
      <c r="J714" s="255">
        <f>IF(H714="",0,IF(ISNUMBER(H714),H714,IFERROR(DATE(VALUE(MID(H714,FIND("/",H714,FIND("/",H714)+1)+1,4)),VALUE(MID(H714,FIND("/",H714)+1,FIND("/",H714,FIND("/",H714)+1)-FIND("/",H714)-1)),VALUE(LEFT(H714,FIND("/",H714)-1)))+IFERROR(TIMEVALUE(TRIM(MID(H714,FIND(" ",H714)+1,20))),0),0)))</f>
        <v/>
      </c>
      <c r="K714" s="256">
        <f>IF(I714=0,0,INT(I714))</f>
        <v/>
      </c>
      <c r="L714" s="257">
        <f>IF(OR(I714=0,J714=0),0,ROUND((J714-I714)*24,2))</f>
        <v/>
      </c>
      <c r="M714" s="254">
        <f>IFERROR(TRIM(MID(A714,FIND("@",SUBSTITUTE(A714,"(","@",LEN(A714)-LEN(SUBSTITUTE(A714,"(",""))))+1,FIND(")",A714,FIND("@",SUBSTITUTE(A714,"(","@",LEN(A714)-LEN(SUBSTITUTE(A714,"(","")))))-FIND("@",SUBSTITUTE(A714,"(","@",LEN(A714)-LEN(SUBSTITUTE(A714,"(",""))))-1)),"")</f>
        <v/>
      </c>
      <c r="N714" s="254">
        <f>IF(A714="","",IF(LEFT(TRIM(A714),5)="Leave","Leave",IF(OR(ISNUMBER(SEARCH("public holiday",A714)),ISNUMBER(SEARCH("Purple",E714))),"Public holiday","Event")))</f>
        <v/>
      </c>
    </row>
    <row r="715">
      <c r="G715" s="254">
        <f>IF(C715="","",IF(ISNUMBER(C715),C715,IF(ISNUMBER(VALUE(LEFT(TRIM(C715),1))),TRIM(C715),TRIM(MID(TRIM(C715),FIND(" ",TRIM(C715))+1,99)))))</f>
        <v/>
      </c>
      <c r="H715" s="254">
        <f>IF(D715="","",IF(ISNUMBER(D715),D715,IF(ISNUMBER(VALUE(LEFT(TRIM(D715),1))),TRIM(D715),TRIM(MID(TRIM(D715),FIND(" ",TRIM(D715))+1,99)))))</f>
        <v/>
      </c>
      <c r="I715" s="255">
        <f>IF(G715="",0,IF(ISNUMBER(G715),G715,IFERROR(DATE(VALUE(MID(G715,FIND("/",G715,FIND("/",G715)+1)+1,4)),VALUE(MID(G715,FIND("/",G715)+1,FIND("/",G715,FIND("/",G715)+1)-FIND("/",G715)-1)),VALUE(LEFT(G715,FIND("/",G715)-1)))+IFERROR(TIMEVALUE(TRIM(MID(G715,FIND(" ",G715)+1,20))),0),0)))</f>
        <v/>
      </c>
      <c r="J715" s="255">
        <f>IF(H715="",0,IF(ISNUMBER(H715),H715,IFERROR(DATE(VALUE(MID(H715,FIND("/",H715,FIND("/",H715)+1)+1,4)),VALUE(MID(H715,FIND("/",H715)+1,FIND("/",H715,FIND("/",H715)+1)-FIND("/",H715)-1)),VALUE(LEFT(H715,FIND("/",H715)-1)))+IFERROR(TIMEVALUE(TRIM(MID(H715,FIND(" ",H715)+1,20))),0),0)))</f>
        <v/>
      </c>
      <c r="K715" s="256">
        <f>IF(I715=0,0,INT(I715))</f>
        <v/>
      </c>
      <c r="L715" s="257">
        <f>IF(OR(I715=0,J715=0),0,ROUND((J715-I715)*24,2))</f>
        <v/>
      </c>
      <c r="M715" s="254">
        <f>IFERROR(TRIM(MID(A715,FIND("@",SUBSTITUTE(A715,"(","@",LEN(A715)-LEN(SUBSTITUTE(A715,"(",""))))+1,FIND(")",A715,FIND("@",SUBSTITUTE(A715,"(","@",LEN(A715)-LEN(SUBSTITUTE(A715,"(","")))))-FIND("@",SUBSTITUTE(A715,"(","@",LEN(A715)-LEN(SUBSTITUTE(A715,"(",""))))-1)),"")</f>
        <v/>
      </c>
      <c r="N715" s="254">
        <f>IF(A715="","",IF(LEFT(TRIM(A715),5)="Leave","Leave",IF(OR(ISNUMBER(SEARCH("public holiday",A715)),ISNUMBER(SEARCH("Purple",E715))),"Public holiday","Event")))</f>
        <v/>
      </c>
    </row>
    <row r="716">
      <c r="G716" s="254">
        <f>IF(C716="","",IF(ISNUMBER(C716),C716,IF(ISNUMBER(VALUE(LEFT(TRIM(C716),1))),TRIM(C716),TRIM(MID(TRIM(C716),FIND(" ",TRIM(C716))+1,99)))))</f>
        <v/>
      </c>
      <c r="H716" s="254">
        <f>IF(D716="","",IF(ISNUMBER(D716),D716,IF(ISNUMBER(VALUE(LEFT(TRIM(D716),1))),TRIM(D716),TRIM(MID(TRIM(D716),FIND(" ",TRIM(D716))+1,99)))))</f>
        <v/>
      </c>
      <c r="I716" s="255">
        <f>IF(G716="",0,IF(ISNUMBER(G716),G716,IFERROR(DATE(VALUE(MID(G716,FIND("/",G716,FIND("/",G716)+1)+1,4)),VALUE(MID(G716,FIND("/",G716)+1,FIND("/",G716,FIND("/",G716)+1)-FIND("/",G716)-1)),VALUE(LEFT(G716,FIND("/",G716)-1)))+IFERROR(TIMEVALUE(TRIM(MID(G716,FIND(" ",G716)+1,20))),0),0)))</f>
        <v/>
      </c>
      <c r="J716" s="255">
        <f>IF(H716="",0,IF(ISNUMBER(H716),H716,IFERROR(DATE(VALUE(MID(H716,FIND("/",H716,FIND("/",H716)+1)+1,4)),VALUE(MID(H716,FIND("/",H716)+1,FIND("/",H716,FIND("/",H716)+1)-FIND("/",H716)-1)),VALUE(LEFT(H716,FIND("/",H716)-1)))+IFERROR(TIMEVALUE(TRIM(MID(H716,FIND(" ",H716)+1,20))),0),0)))</f>
        <v/>
      </c>
      <c r="K716" s="256">
        <f>IF(I716=0,0,INT(I716))</f>
        <v/>
      </c>
      <c r="L716" s="257">
        <f>IF(OR(I716=0,J716=0),0,ROUND((J716-I716)*24,2))</f>
        <v/>
      </c>
      <c r="M716" s="254">
        <f>IFERROR(TRIM(MID(A716,FIND("@",SUBSTITUTE(A716,"(","@",LEN(A716)-LEN(SUBSTITUTE(A716,"(",""))))+1,FIND(")",A716,FIND("@",SUBSTITUTE(A716,"(","@",LEN(A716)-LEN(SUBSTITUTE(A716,"(","")))))-FIND("@",SUBSTITUTE(A716,"(","@",LEN(A716)-LEN(SUBSTITUTE(A716,"(",""))))-1)),"")</f>
        <v/>
      </c>
      <c r="N716" s="254">
        <f>IF(A716="","",IF(LEFT(TRIM(A716),5)="Leave","Leave",IF(OR(ISNUMBER(SEARCH("public holiday",A716)),ISNUMBER(SEARCH("Purple",E716))),"Public holiday","Event")))</f>
        <v/>
      </c>
    </row>
    <row r="717">
      <c r="G717" s="254">
        <f>IF(C717="","",IF(ISNUMBER(C717),C717,IF(ISNUMBER(VALUE(LEFT(TRIM(C717),1))),TRIM(C717),TRIM(MID(TRIM(C717),FIND(" ",TRIM(C717))+1,99)))))</f>
        <v/>
      </c>
      <c r="H717" s="254">
        <f>IF(D717="","",IF(ISNUMBER(D717),D717,IF(ISNUMBER(VALUE(LEFT(TRIM(D717),1))),TRIM(D717),TRIM(MID(TRIM(D717),FIND(" ",TRIM(D717))+1,99)))))</f>
        <v/>
      </c>
      <c r="I717" s="255">
        <f>IF(G717="",0,IF(ISNUMBER(G717),G717,IFERROR(DATE(VALUE(MID(G717,FIND("/",G717,FIND("/",G717)+1)+1,4)),VALUE(MID(G717,FIND("/",G717)+1,FIND("/",G717,FIND("/",G717)+1)-FIND("/",G717)-1)),VALUE(LEFT(G717,FIND("/",G717)-1)))+IFERROR(TIMEVALUE(TRIM(MID(G717,FIND(" ",G717)+1,20))),0),0)))</f>
        <v/>
      </c>
      <c r="J717" s="255">
        <f>IF(H717="",0,IF(ISNUMBER(H717),H717,IFERROR(DATE(VALUE(MID(H717,FIND("/",H717,FIND("/",H717)+1)+1,4)),VALUE(MID(H717,FIND("/",H717)+1,FIND("/",H717,FIND("/",H717)+1)-FIND("/",H717)-1)),VALUE(LEFT(H717,FIND("/",H717)-1)))+IFERROR(TIMEVALUE(TRIM(MID(H717,FIND(" ",H717)+1,20))),0),0)))</f>
        <v/>
      </c>
      <c r="K717" s="256">
        <f>IF(I717=0,0,INT(I717))</f>
        <v/>
      </c>
      <c r="L717" s="257">
        <f>IF(OR(I717=0,J717=0),0,ROUND((J717-I717)*24,2))</f>
        <v/>
      </c>
      <c r="M717" s="254">
        <f>IFERROR(TRIM(MID(A717,FIND("@",SUBSTITUTE(A717,"(","@",LEN(A717)-LEN(SUBSTITUTE(A717,"(",""))))+1,FIND(")",A717,FIND("@",SUBSTITUTE(A717,"(","@",LEN(A717)-LEN(SUBSTITUTE(A717,"(","")))))-FIND("@",SUBSTITUTE(A717,"(","@",LEN(A717)-LEN(SUBSTITUTE(A717,"(",""))))-1)),"")</f>
        <v/>
      </c>
      <c r="N717" s="254">
        <f>IF(A717="","",IF(LEFT(TRIM(A717),5)="Leave","Leave",IF(OR(ISNUMBER(SEARCH("public holiday",A717)),ISNUMBER(SEARCH("Purple",E717))),"Public holiday","Event")))</f>
        <v/>
      </c>
    </row>
    <row r="718">
      <c r="G718" s="254">
        <f>IF(C718="","",IF(ISNUMBER(C718),C718,IF(ISNUMBER(VALUE(LEFT(TRIM(C718),1))),TRIM(C718),TRIM(MID(TRIM(C718),FIND(" ",TRIM(C718))+1,99)))))</f>
        <v/>
      </c>
      <c r="H718" s="254">
        <f>IF(D718="","",IF(ISNUMBER(D718),D718,IF(ISNUMBER(VALUE(LEFT(TRIM(D718),1))),TRIM(D718),TRIM(MID(TRIM(D718),FIND(" ",TRIM(D718))+1,99)))))</f>
        <v/>
      </c>
      <c r="I718" s="255">
        <f>IF(G718="",0,IF(ISNUMBER(G718),G718,IFERROR(DATE(VALUE(MID(G718,FIND("/",G718,FIND("/",G718)+1)+1,4)),VALUE(MID(G718,FIND("/",G718)+1,FIND("/",G718,FIND("/",G718)+1)-FIND("/",G718)-1)),VALUE(LEFT(G718,FIND("/",G718)-1)))+IFERROR(TIMEVALUE(TRIM(MID(G718,FIND(" ",G718)+1,20))),0),0)))</f>
        <v/>
      </c>
      <c r="J718" s="255">
        <f>IF(H718="",0,IF(ISNUMBER(H718),H718,IFERROR(DATE(VALUE(MID(H718,FIND("/",H718,FIND("/",H718)+1)+1,4)),VALUE(MID(H718,FIND("/",H718)+1,FIND("/",H718,FIND("/",H718)+1)-FIND("/",H718)-1)),VALUE(LEFT(H718,FIND("/",H718)-1)))+IFERROR(TIMEVALUE(TRIM(MID(H718,FIND(" ",H718)+1,20))),0),0)))</f>
        <v/>
      </c>
      <c r="K718" s="256">
        <f>IF(I718=0,0,INT(I718))</f>
        <v/>
      </c>
      <c r="L718" s="257">
        <f>IF(OR(I718=0,J718=0),0,ROUND((J718-I718)*24,2))</f>
        <v/>
      </c>
      <c r="M718" s="254">
        <f>IFERROR(TRIM(MID(A718,FIND("@",SUBSTITUTE(A718,"(","@",LEN(A718)-LEN(SUBSTITUTE(A718,"(",""))))+1,FIND(")",A718,FIND("@",SUBSTITUTE(A718,"(","@",LEN(A718)-LEN(SUBSTITUTE(A718,"(","")))))-FIND("@",SUBSTITUTE(A718,"(","@",LEN(A718)-LEN(SUBSTITUTE(A718,"(",""))))-1)),"")</f>
        <v/>
      </c>
      <c r="N718" s="254">
        <f>IF(A718="","",IF(LEFT(TRIM(A718),5)="Leave","Leave",IF(OR(ISNUMBER(SEARCH("public holiday",A718)),ISNUMBER(SEARCH("Purple",E718))),"Public holiday","Event")))</f>
        <v/>
      </c>
    </row>
    <row r="719">
      <c r="G719" s="254">
        <f>IF(C719="","",IF(ISNUMBER(C719),C719,IF(ISNUMBER(VALUE(LEFT(TRIM(C719),1))),TRIM(C719),TRIM(MID(TRIM(C719),FIND(" ",TRIM(C719))+1,99)))))</f>
        <v/>
      </c>
      <c r="H719" s="254">
        <f>IF(D719="","",IF(ISNUMBER(D719),D719,IF(ISNUMBER(VALUE(LEFT(TRIM(D719),1))),TRIM(D719),TRIM(MID(TRIM(D719),FIND(" ",TRIM(D719))+1,99)))))</f>
        <v/>
      </c>
      <c r="I719" s="255">
        <f>IF(G719="",0,IF(ISNUMBER(G719),G719,IFERROR(DATE(VALUE(MID(G719,FIND("/",G719,FIND("/",G719)+1)+1,4)),VALUE(MID(G719,FIND("/",G719)+1,FIND("/",G719,FIND("/",G719)+1)-FIND("/",G719)-1)),VALUE(LEFT(G719,FIND("/",G719)-1)))+IFERROR(TIMEVALUE(TRIM(MID(G719,FIND(" ",G719)+1,20))),0),0)))</f>
        <v/>
      </c>
      <c r="J719" s="255">
        <f>IF(H719="",0,IF(ISNUMBER(H719),H719,IFERROR(DATE(VALUE(MID(H719,FIND("/",H719,FIND("/",H719)+1)+1,4)),VALUE(MID(H719,FIND("/",H719)+1,FIND("/",H719,FIND("/",H719)+1)-FIND("/",H719)-1)),VALUE(LEFT(H719,FIND("/",H719)-1)))+IFERROR(TIMEVALUE(TRIM(MID(H719,FIND(" ",H719)+1,20))),0),0)))</f>
        <v/>
      </c>
      <c r="K719" s="256">
        <f>IF(I719=0,0,INT(I719))</f>
        <v/>
      </c>
      <c r="L719" s="257">
        <f>IF(OR(I719=0,J719=0),0,ROUND((J719-I719)*24,2))</f>
        <v/>
      </c>
      <c r="M719" s="254">
        <f>IFERROR(TRIM(MID(A719,FIND("@",SUBSTITUTE(A719,"(","@",LEN(A719)-LEN(SUBSTITUTE(A719,"(",""))))+1,FIND(")",A719,FIND("@",SUBSTITUTE(A719,"(","@",LEN(A719)-LEN(SUBSTITUTE(A719,"(","")))))-FIND("@",SUBSTITUTE(A719,"(","@",LEN(A719)-LEN(SUBSTITUTE(A719,"(",""))))-1)),"")</f>
        <v/>
      </c>
      <c r="N719" s="254">
        <f>IF(A719="","",IF(LEFT(TRIM(A719),5)="Leave","Leave",IF(OR(ISNUMBER(SEARCH("public holiday",A719)),ISNUMBER(SEARCH("Purple",E719))),"Public holiday","Event")))</f>
        <v/>
      </c>
    </row>
    <row r="720">
      <c r="G720" s="254">
        <f>IF(C720="","",IF(ISNUMBER(C720),C720,IF(ISNUMBER(VALUE(LEFT(TRIM(C720),1))),TRIM(C720),TRIM(MID(TRIM(C720),FIND(" ",TRIM(C720))+1,99)))))</f>
        <v/>
      </c>
      <c r="H720" s="254">
        <f>IF(D720="","",IF(ISNUMBER(D720),D720,IF(ISNUMBER(VALUE(LEFT(TRIM(D720),1))),TRIM(D720),TRIM(MID(TRIM(D720),FIND(" ",TRIM(D720))+1,99)))))</f>
        <v/>
      </c>
      <c r="I720" s="255">
        <f>IF(G720="",0,IF(ISNUMBER(G720),G720,IFERROR(DATE(VALUE(MID(G720,FIND("/",G720,FIND("/",G720)+1)+1,4)),VALUE(MID(G720,FIND("/",G720)+1,FIND("/",G720,FIND("/",G720)+1)-FIND("/",G720)-1)),VALUE(LEFT(G720,FIND("/",G720)-1)))+IFERROR(TIMEVALUE(TRIM(MID(G720,FIND(" ",G720)+1,20))),0),0)))</f>
        <v/>
      </c>
      <c r="J720" s="255">
        <f>IF(H720="",0,IF(ISNUMBER(H720),H720,IFERROR(DATE(VALUE(MID(H720,FIND("/",H720,FIND("/",H720)+1)+1,4)),VALUE(MID(H720,FIND("/",H720)+1,FIND("/",H720,FIND("/",H720)+1)-FIND("/",H720)-1)),VALUE(LEFT(H720,FIND("/",H720)-1)))+IFERROR(TIMEVALUE(TRIM(MID(H720,FIND(" ",H720)+1,20))),0),0)))</f>
        <v/>
      </c>
      <c r="K720" s="256">
        <f>IF(I720=0,0,INT(I720))</f>
        <v/>
      </c>
      <c r="L720" s="257">
        <f>IF(OR(I720=0,J720=0),0,ROUND((J720-I720)*24,2))</f>
        <v/>
      </c>
      <c r="M720" s="254">
        <f>IFERROR(TRIM(MID(A720,FIND("@",SUBSTITUTE(A720,"(","@",LEN(A720)-LEN(SUBSTITUTE(A720,"(",""))))+1,FIND(")",A720,FIND("@",SUBSTITUTE(A720,"(","@",LEN(A720)-LEN(SUBSTITUTE(A720,"(","")))))-FIND("@",SUBSTITUTE(A720,"(","@",LEN(A720)-LEN(SUBSTITUTE(A720,"(",""))))-1)),"")</f>
        <v/>
      </c>
      <c r="N720" s="254">
        <f>IF(A720="","",IF(LEFT(TRIM(A720),5)="Leave","Leave",IF(OR(ISNUMBER(SEARCH("public holiday",A720)),ISNUMBER(SEARCH("Purple",E720))),"Public holiday","Event")))</f>
        <v/>
      </c>
    </row>
    <row r="721">
      <c r="G721" s="254">
        <f>IF(C721="","",IF(ISNUMBER(C721),C721,IF(ISNUMBER(VALUE(LEFT(TRIM(C721),1))),TRIM(C721),TRIM(MID(TRIM(C721),FIND(" ",TRIM(C721))+1,99)))))</f>
        <v/>
      </c>
      <c r="H721" s="254">
        <f>IF(D721="","",IF(ISNUMBER(D721),D721,IF(ISNUMBER(VALUE(LEFT(TRIM(D721),1))),TRIM(D721),TRIM(MID(TRIM(D721),FIND(" ",TRIM(D721))+1,99)))))</f>
        <v/>
      </c>
      <c r="I721" s="255">
        <f>IF(G721="",0,IF(ISNUMBER(G721),G721,IFERROR(DATE(VALUE(MID(G721,FIND("/",G721,FIND("/",G721)+1)+1,4)),VALUE(MID(G721,FIND("/",G721)+1,FIND("/",G721,FIND("/",G721)+1)-FIND("/",G721)-1)),VALUE(LEFT(G721,FIND("/",G721)-1)))+IFERROR(TIMEVALUE(TRIM(MID(G721,FIND(" ",G721)+1,20))),0),0)))</f>
        <v/>
      </c>
      <c r="J721" s="255">
        <f>IF(H721="",0,IF(ISNUMBER(H721),H721,IFERROR(DATE(VALUE(MID(H721,FIND("/",H721,FIND("/",H721)+1)+1,4)),VALUE(MID(H721,FIND("/",H721)+1,FIND("/",H721,FIND("/",H721)+1)-FIND("/",H721)-1)),VALUE(LEFT(H721,FIND("/",H721)-1)))+IFERROR(TIMEVALUE(TRIM(MID(H721,FIND(" ",H721)+1,20))),0),0)))</f>
        <v/>
      </c>
      <c r="K721" s="256">
        <f>IF(I721=0,0,INT(I721))</f>
        <v/>
      </c>
      <c r="L721" s="257">
        <f>IF(OR(I721=0,J721=0),0,ROUND((J721-I721)*24,2))</f>
        <v/>
      </c>
      <c r="M721" s="254">
        <f>IFERROR(TRIM(MID(A721,FIND("@",SUBSTITUTE(A721,"(","@",LEN(A721)-LEN(SUBSTITUTE(A721,"(",""))))+1,FIND(")",A721,FIND("@",SUBSTITUTE(A721,"(","@",LEN(A721)-LEN(SUBSTITUTE(A721,"(","")))))-FIND("@",SUBSTITUTE(A721,"(","@",LEN(A721)-LEN(SUBSTITUTE(A721,"(",""))))-1)),"")</f>
        <v/>
      </c>
      <c r="N721" s="254">
        <f>IF(A721="","",IF(LEFT(TRIM(A721),5)="Leave","Leave",IF(OR(ISNUMBER(SEARCH("public holiday",A721)),ISNUMBER(SEARCH("Purple",E721))),"Public holiday","Event")))</f>
        <v/>
      </c>
    </row>
    <row r="722">
      <c r="G722" s="254">
        <f>IF(C722="","",IF(ISNUMBER(C722),C722,IF(ISNUMBER(VALUE(LEFT(TRIM(C722),1))),TRIM(C722),TRIM(MID(TRIM(C722),FIND(" ",TRIM(C722))+1,99)))))</f>
        <v/>
      </c>
      <c r="H722" s="254">
        <f>IF(D722="","",IF(ISNUMBER(D722),D722,IF(ISNUMBER(VALUE(LEFT(TRIM(D722),1))),TRIM(D722),TRIM(MID(TRIM(D722),FIND(" ",TRIM(D722))+1,99)))))</f>
        <v/>
      </c>
      <c r="I722" s="255">
        <f>IF(G722="",0,IF(ISNUMBER(G722),G722,IFERROR(DATE(VALUE(MID(G722,FIND("/",G722,FIND("/",G722)+1)+1,4)),VALUE(MID(G722,FIND("/",G722)+1,FIND("/",G722,FIND("/",G722)+1)-FIND("/",G722)-1)),VALUE(LEFT(G722,FIND("/",G722)-1)))+IFERROR(TIMEVALUE(TRIM(MID(G722,FIND(" ",G722)+1,20))),0),0)))</f>
        <v/>
      </c>
      <c r="J722" s="255">
        <f>IF(H722="",0,IF(ISNUMBER(H722),H722,IFERROR(DATE(VALUE(MID(H722,FIND("/",H722,FIND("/",H722)+1)+1,4)),VALUE(MID(H722,FIND("/",H722)+1,FIND("/",H722,FIND("/",H722)+1)-FIND("/",H722)-1)),VALUE(LEFT(H722,FIND("/",H722)-1)))+IFERROR(TIMEVALUE(TRIM(MID(H722,FIND(" ",H722)+1,20))),0),0)))</f>
        <v/>
      </c>
      <c r="K722" s="256">
        <f>IF(I722=0,0,INT(I722))</f>
        <v/>
      </c>
      <c r="L722" s="257">
        <f>IF(OR(I722=0,J722=0),0,ROUND((J722-I722)*24,2))</f>
        <v/>
      </c>
      <c r="M722" s="254">
        <f>IFERROR(TRIM(MID(A722,FIND("@",SUBSTITUTE(A722,"(","@",LEN(A722)-LEN(SUBSTITUTE(A722,"(",""))))+1,FIND(")",A722,FIND("@",SUBSTITUTE(A722,"(","@",LEN(A722)-LEN(SUBSTITUTE(A722,"(","")))))-FIND("@",SUBSTITUTE(A722,"(","@",LEN(A722)-LEN(SUBSTITUTE(A722,"(",""))))-1)),"")</f>
        <v/>
      </c>
      <c r="N722" s="254">
        <f>IF(A722="","",IF(LEFT(TRIM(A722),5)="Leave","Leave",IF(OR(ISNUMBER(SEARCH("public holiday",A722)),ISNUMBER(SEARCH("Purple",E722))),"Public holiday","Event")))</f>
        <v/>
      </c>
    </row>
    <row r="723">
      <c r="G723" s="254">
        <f>IF(C723="","",IF(ISNUMBER(C723),C723,IF(ISNUMBER(VALUE(LEFT(TRIM(C723),1))),TRIM(C723),TRIM(MID(TRIM(C723),FIND(" ",TRIM(C723))+1,99)))))</f>
        <v/>
      </c>
      <c r="H723" s="254">
        <f>IF(D723="","",IF(ISNUMBER(D723),D723,IF(ISNUMBER(VALUE(LEFT(TRIM(D723),1))),TRIM(D723),TRIM(MID(TRIM(D723),FIND(" ",TRIM(D723))+1,99)))))</f>
        <v/>
      </c>
      <c r="I723" s="255">
        <f>IF(G723="",0,IF(ISNUMBER(G723),G723,IFERROR(DATE(VALUE(MID(G723,FIND("/",G723,FIND("/",G723)+1)+1,4)),VALUE(MID(G723,FIND("/",G723)+1,FIND("/",G723,FIND("/",G723)+1)-FIND("/",G723)-1)),VALUE(LEFT(G723,FIND("/",G723)-1)))+IFERROR(TIMEVALUE(TRIM(MID(G723,FIND(" ",G723)+1,20))),0),0)))</f>
        <v/>
      </c>
      <c r="J723" s="255">
        <f>IF(H723="",0,IF(ISNUMBER(H723),H723,IFERROR(DATE(VALUE(MID(H723,FIND("/",H723,FIND("/",H723)+1)+1,4)),VALUE(MID(H723,FIND("/",H723)+1,FIND("/",H723,FIND("/",H723)+1)-FIND("/",H723)-1)),VALUE(LEFT(H723,FIND("/",H723)-1)))+IFERROR(TIMEVALUE(TRIM(MID(H723,FIND(" ",H723)+1,20))),0),0)))</f>
        <v/>
      </c>
      <c r="K723" s="256">
        <f>IF(I723=0,0,INT(I723))</f>
        <v/>
      </c>
      <c r="L723" s="257">
        <f>IF(OR(I723=0,J723=0),0,ROUND((J723-I723)*24,2))</f>
        <v/>
      </c>
      <c r="M723" s="254">
        <f>IFERROR(TRIM(MID(A723,FIND("@",SUBSTITUTE(A723,"(","@",LEN(A723)-LEN(SUBSTITUTE(A723,"(",""))))+1,FIND(")",A723,FIND("@",SUBSTITUTE(A723,"(","@",LEN(A723)-LEN(SUBSTITUTE(A723,"(","")))))-FIND("@",SUBSTITUTE(A723,"(","@",LEN(A723)-LEN(SUBSTITUTE(A723,"(",""))))-1)),"")</f>
        <v/>
      </c>
      <c r="N723" s="254">
        <f>IF(A723="","",IF(LEFT(TRIM(A723),5)="Leave","Leave",IF(OR(ISNUMBER(SEARCH("public holiday",A723)),ISNUMBER(SEARCH("Purple",E723))),"Public holiday","Event")))</f>
        <v/>
      </c>
    </row>
    <row r="724">
      <c r="G724" s="254">
        <f>IF(C724="","",IF(ISNUMBER(C724),C724,IF(ISNUMBER(VALUE(LEFT(TRIM(C724),1))),TRIM(C724),TRIM(MID(TRIM(C724),FIND(" ",TRIM(C724))+1,99)))))</f>
        <v/>
      </c>
      <c r="H724" s="254">
        <f>IF(D724="","",IF(ISNUMBER(D724),D724,IF(ISNUMBER(VALUE(LEFT(TRIM(D724),1))),TRIM(D724),TRIM(MID(TRIM(D724),FIND(" ",TRIM(D724))+1,99)))))</f>
        <v/>
      </c>
      <c r="I724" s="255">
        <f>IF(G724="",0,IF(ISNUMBER(G724),G724,IFERROR(DATE(VALUE(MID(G724,FIND("/",G724,FIND("/",G724)+1)+1,4)),VALUE(MID(G724,FIND("/",G724)+1,FIND("/",G724,FIND("/",G724)+1)-FIND("/",G724)-1)),VALUE(LEFT(G724,FIND("/",G724)-1)))+IFERROR(TIMEVALUE(TRIM(MID(G724,FIND(" ",G724)+1,20))),0),0)))</f>
        <v/>
      </c>
      <c r="J724" s="255">
        <f>IF(H724="",0,IF(ISNUMBER(H724),H724,IFERROR(DATE(VALUE(MID(H724,FIND("/",H724,FIND("/",H724)+1)+1,4)),VALUE(MID(H724,FIND("/",H724)+1,FIND("/",H724,FIND("/",H724)+1)-FIND("/",H724)-1)),VALUE(LEFT(H724,FIND("/",H724)-1)))+IFERROR(TIMEVALUE(TRIM(MID(H724,FIND(" ",H724)+1,20))),0),0)))</f>
        <v/>
      </c>
      <c r="K724" s="256">
        <f>IF(I724=0,0,INT(I724))</f>
        <v/>
      </c>
      <c r="L724" s="257">
        <f>IF(OR(I724=0,J724=0),0,ROUND((J724-I724)*24,2))</f>
        <v/>
      </c>
      <c r="M724" s="254">
        <f>IFERROR(TRIM(MID(A724,FIND("@",SUBSTITUTE(A724,"(","@",LEN(A724)-LEN(SUBSTITUTE(A724,"(",""))))+1,FIND(")",A724,FIND("@",SUBSTITUTE(A724,"(","@",LEN(A724)-LEN(SUBSTITUTE(A724,"(","")))))-FIND("@",SUBSTITUTE(A724,"(","@",LEN(A724)-LEN(SUBSTITUTE(A724,"(",""))))-1)),"")</f>
        <v/>
      </c>
      <c r="N724" s="254">
        <f>IF(A724="","",IF(LEFT(TRIM(A724),5)="Leave","Leave",IF(OR(ISNUMBER(SEARCH("public holiday",A724)),ISNUMBER(SEARCH("Purple",E724))),"Public holiday","Event")))</f>
        <v/>
      </c>
    </row>
    <row r="725">
      <c r="G725" s="254">
        <f>IF(C725="","",IF(ISNUMBER(C725),C725,IF(ISNUMBER(VALUE(LEFT(TRIM(C725),1))),TRIM(C725),TRIM(MID(TRIM(C725),FIND(" ",TRIM(C725))+1,99)))))</f>
        <v/>
      </c>
      <c r="H725" s="254">
        <f>IF(D725="","",IF(ISNUMBER(D725),D725,IF(ISNUMBER(VALUE(LEFT(TRIM(D725),1))),TRIM(D725),TRIM(MID(TRIM(D725),FIND(" ",TRIM(D725))+1,99)))))</f>
        <v/>
      </c>
      <c r="I725" s="255">
        <f>IF(G725="",0,IF(ISNUMBER(G725),G725,IFERROR(DATE(VALUE(MID(G725,FIND("/",G725,FIND("/",G725)+1)+1,4)),VALUE(MID(G725,FIND("/",G725)+1,FIND("/",G725,FIND("/",G725)+1)-FIND("/",G725)-1)),VALUE(LEFT(G725,FIND("/",G725)-1)))+IFERROR(TIMEVALUE(TRIM(MID(G725,FIND(" ",G725)+1,20))),0),0)))</f>
        <v/>
      </c>
      <c r="J725" s="255">
        <f>IF(H725="",0,IF(ISNUMBER(H725),H725,IFERROR(DATE(VALUE(MID(H725,FIND("/",H725,FIND("/",H725)+1)+1,4)),VALUE(MID(H725,FIND("/",H725)+1,FIND("/",H725,FIND("/",H725)+1)-FIND("/",H725)-1)),VALUE(LEFT(H725,FIND("/",H725)-1)))+IFERROR(TIMEVALUE(TRIM(MID(H725,FIND(" ",H725)+1,20))),0),0)))</f>
        <v/>
      </c>
      <c r="K725" s="256">
        <f>IF(I725=0,0,INT(I725))</f>
        <v/>
      </c>
      <c r="L725" s="257">
        <f>IF(OR(I725=0,J725=0),0,ROUND((J725-I725)*24,2))</f>
        <v/>
      </c>
      <c r="M725" s="254">
        <f>IFERROR(TRIM(MID(A725,FIND("@",SUBSTITUTE(A725,"(","@",LEN(A725)-LEN(SUBSTITUTE(A725,"(",""))))+1,FIND(")",A725,FIND("@",SUBSTITUTE(A725,"(","@",LEN(A725)-LEN(SUBSTITUTE(A725,"(","")))))-FIND("@",SUBSTITUTE(A725,"(","@",LEN(A725)-LEN(SUBSTITUTE(A725,"(",""))))-1)),"")</f>
        <v/>
      </c>
      <c r="N725" s="254">
        <f>IF(A725="","",IF(LEFT(TRIM(A725),5)="Leave","Leave",IF(OR(ISNUMBER(SEARCH("public holiday",A725)),ISNUMBER(SEARCH("Purple",E725))),"Public holiday","Event")))</f>
        <v/>
      </c>
    </row>
    <row r="726">
      <c r="G726" s="254">
        <f>IF(C726="","",IF(ISNUMBER(C726),C726,IF(ISNUMBER(VALUE(LEFT(TRIM(C726),1))),TRIM(C726),TRIM(MID(TRIM(C726),FIND(" ",TRIM(C726))+1,99)))))</f>
        <v/>
      </c>
      <c r="H726" s="254">
        <f>IF(D726="","",IF(ISNUMBER(D726),D726,IF(ISNUMBER(VALUE(LEFT(TRIM(D726),1))),TRIM(D726),TRIM(MID(TRIM(D726),FIND(" ",TRIM(D726))+1,99)))))</f>
        <v/>
      </c>
      <c r="I726" s="255">
        <f>IF(G726="",0,IF(ISNUMBER(G726),G726,IFERROR(DATE(VALUE(MID(G726,FIND("/",G726,FIND("/",G726)+1)+1,4)),VALUE(MID(G726,FIND("/",G726)+1,FIND("/",G726,FIND("/",G726)+1)-FIND("/",G726)-1)),VALUE(LEFT(G726,FIND("/",G726)-1)))+IFERROR(TIMEVALUE(TRIM(MID(G726,FIND(" ",G726)+1,20))),0),0)))</f>
        <v/>
      </c>
      <c r="J726" s="255">
        <f>IF(H726="",0,IF(ISNUMBER(H726),H726,IFERROR(DATE(VALUE(MID(H726,FIND("/",H726,FIND("/",H726)+1)+1,4)),VALUE(MID(H726,FIND("/",H726)+1,FIND("/",H726,FIND("/",H726)+1)-FIND("/",H726)-1)),VALUE(LEFT(H726,FIND("/",H726)-1)))+IFERROR(TIMEVALUE(TRIM(MID(H726,FIND(" ",H726)+1,20))),0),0)))</f>
        <v/>
      </c>
      <c r="K726" s="256">
        <f>IF(I726=0,0,INT(I726))</f>
        <v/>
      </c>
      <c r="L726" s="257">
        <f>IF(OR(I726=0,J726=0),0,ROUND((J726-I726)*24,2))</f>
        <v/>
      </c>
      <c r="M726" s="254">
        <f>IFERROR(TRIM(MID(A726,FIND("@",SUBSTITUTE(A726,"(","@",LEN(A726)-LEN(SUBSTITUTE(A726,"(",""))))+1,FIND(")",A726,FIND("@",SUBSTITUTE(A726,"(","@",LEN(A726)-LEN(SUBSTITUTE(A726,"(","")))))-FIND("@",SUBSTITUTE(A726,"(","@",LEN(A726)-LEN(SUBSTITUTE(A726,"(",""))))-1)),"")</f>
        <v/>
      </c>
      <c r="N726" s="254">
        <f>IF(A726="","",IF(LEFT(TRIM(A726),5)="Leave","Leave",IF(OR(ISNUMBER(SEARCH("public holiday",A726)),ISNUMBER(SEARCH("Purple",E726))),"Public holiday","Event")))</f>
        <v/>
      </c>
    </row>
    <row r="727">
      <c r="G727" s="254">
        <f>IF(C727="","",IF(ISNUMBER(C727),C727,IF(ISNUMBER(VALUE(LEFT(TRIM(C727),1))),TRIM(C727),TRIM(MID(TRIM(C727),FIND(" ",TRIM(C727))+1,99)))))</f>
        <v/>
      </c>
      <c r="H727" s="254">
        <f>IF(D727="","",IF(ISNUMBER(D727),D727,IF(ISNUMBER(VALUE(LEFT(TRIM(D727),1))),TRIM(D727),TRIM(MID(TRIM(D727),FIND(" ",TRIM(D727))+1,99)))))</f>
        <v/>
      </c>
      <c r="I727" s="255">
        <f>IF(G727="",0,IF(ISNUMBER(G727),G727,IFERROR(DATE(VALUE(MID(G727,FIND("/",G727,FIND("/",G727)+1)+1,4)),VALUE(MID(G727,FIND("/",G727)+1,FIND("/",G727,FIND("/",G727)+1)-FIND("/",G727)-1)),VALUE(LEFT(G727,FIND("/",G727)-1)))+IFERROR(TIMEVALUE(TRIM(MID(G727,FIND(" ",G727)+1,20))),0),0)))</f>
        <v/>
      </c>
      <c r="J727" s="255">
        <f>IF(H727="",0,IF(ISNUMBER(H727),H727,IFERROR(DATE(VALUE(MID(H727,FIND("/",H727,FIND("/",H727)+1)+1,4)),VALUE(MID(H727,FIND("/",H727)+1,FIND("/",H727,FIND("/",H727)+1)-FIND("/",H727)-1)),VALUE(LEFT(H727,FIND("/",H727)-1)))+IFERROR(TIMEVALUE(TRIM(MID(H727,FIND(" ",H727)+1,20))),0),0)))</f>
        <v/>
      </c>
      <c r="K727" s="256">
        <f>IF(I727=0,0,INT(I727))</f>
        <v/>
      </c>
      <c r="L727" s="257">
        <f>IF(OR(I727=0,J727=0),0,ROUND((J727-I727)*24,2))</f>
        <v/>
      </c>
      <c r="M727" s="254">
        <f>IFERROR(TRIM(MID(A727,FIND("@",SUBSTITUTE(A727,"(","@",LEN(A727)-LEN(SUBSTITUTE(A727,"(",""))))+1,FIND(")",A727,FIND("@",SUBSTITUTE(A727,"(","@",LEN(A727)-LEN(SUBSTITUTE(A727,"(","")))))-FIND("@",SUBSTITUTE(A727,"(","@",LEN(A727)-LEN(SUBSTITUTE(A727,"(",""))))-1)),"")</f>
        <v/>
      </c>
      <c r="N727" s="254">
        <f>IF(A727="","",IF(LEFT(TRIM(A727),5)="Leave","Leave",IF(OR(ISNUMBER(SEARCH("public holiday",A727)),ISNUMBER(SEARCH("Purple",E727))),"Public holiday","Event")))</f>
        <v/>
      </c>
    </row>
    <row r="728">
      <c r="G728" s="254">
        <f>IF(C728="","",IF(ISNUMBER(C728),C728,IF(ISNUMBER(VALUE(LEFT(TRIM(C728),1))),TRIM(C728),TRIM(MID(TRIM(C728),FIND(" ",TRIM(C728))+1,99)))))</f>
        <v/>
      </c>
      <c r="H728" s="254">
        <f>IF(D728="","",IF(ISNUMBER(D728),D728,IF(ISNUMBER(VALUE(LEFT(TRIM(D728),1))),TRIM(D728),TRIM(MID(TRIM(D728),FIND(" ",TRIM(D728))+1,99)))))</f>
        <v/>
      </c>
      <c r="I728" s="255">
        <f>IF(G728="",0,IF(ISNUMBER(G728),G728,IFERROR(DATE(VALUE(MID(G728,FIND("/",G728,FIND("/",G728)+1)+1,4)),VALUE(MID(G728,FIND("/",G728)+1,FIND("/",G728,FIND("/",G728)+1)-FIND("/",G728)-1)),VALUE(LEFT(G728,FIND("/",G728)-1)))+IFERROR(TIMEVALUE(TRIM(MID(G728,FIND(" ",G728)+1,20))),0),0)))</f>
        <v/>
      </c>
      <c r="J728" s="255">
        <f>IF(H728="",0,IF(ISNUMBER(H728),H728,IFERROR(DATE(VALUE(MID(H728,FIND("/",H728,FIND("/",H728)+1)+1,4)),VALUE(MID(H728,FIND("/",H728)+1,FIND("/",H728,FIND("/",H728)+1)-FIND("/",H728)-1)),VALUE(LEFT(H728,FIND("/",H728)-1)))+IFERROR(TIMEVALUE(TRIM(MID(H728,FIND(" ",H728)+1,20))),0),0)))</f>
        <v/>
      </c>
      <c r="K728" s="256">
        <f>IF(I728=0,0,INT(I728))</f>
        <v/>
      </c>
      <c r="L728" s="257">
        <f>IF(OR(I728=0,J728=0),0,ROUND((J728-I728)*24,2))</f>
        <v/>
      </c>
      <c r="M728" s="254">
        <f>IFERROR(TRIM(MID(A728,FIND("@",SUBSTITUTE(A728,"(","@",LEN(A728)-LEN(SUBSTITUTE(A728,"(",""))))+1,FIND(")",A728,FIND("@",SUBSTITUTE(A728,"(","@",LEN(A728)-LEN(SUBSTITUTE(A728,"(","")))))-FIND("@",SUBSTITUTE(A728,"(","@",LEN(A728)-LEN(SUBSTITUTE(A728,"(",""))))-1)),"")</f>
        <v/>
      </c>
      <c r="N728" s="254">
        <f>IF(A728="","",IF(LEFT(TRIM(A728),5)="Leave","Leave",IF(OR(ISNUMBER(SEARCH("public holiday",A728)),ISNUMBER(SEARCH("Purple",E728))),"Public holiday","Event")))</f>
        <v/>
      </c>
    </row>
    <row r="729">
      <c r="G729" s="254">
        <f>IF(C729="","",IF(ISNUMBER(C729),C729,IF(ISNUMBER(VALUE(LEFT(TRIM(C729),1))),TRIM(C729),TRIM(MID(TRIM(C729),FIND(" ",TRIM(C729))+1,99)))))</f>
        <v/>
      </c>
      <c r="H729" s="254">
        <f>IF(D729="","",IF(ISNUMBER(D729),D729,IF(ISNUMBER(VALUE(LEFT(TRIM(D729),1))),TRIM(D729),TRIM(MID(TRIM(D729),FIND(" ",TRIM(D729))+1,99)))))</f>
        <v/>
      </c>
      <c r="I729" s="255">
        <f>IF(G729="",0,IF(ISNUMBER(G729),G729,IFERROR(DATE(VALUE(MID(G729,FIND("/",G729,FIND("/",G729)+1)+1,4)),VALUE(MID(G729,FIND("/",G729)+1,FIND("/",G729,FIND("/",G729)+1)-FIND("/",G729)-1)),VALUE(LEFT(G729,FIND("/",G729)-1)))+IFERROR(TIMEVALUE(TRIM(MID(G729,FIND(" ",G729)+1,20))),0),0)))</f>
        <v/>
      </c>
      <c r="J729" s="255">
        <f>IF(H729="",0,IF(ISNUMBER(H729),H729,IFERROR(DATE(VALUE(MID(H729,FIND("/",H729,FIND("/",H729)+1)+1,4)),VALUE(MID(H729,FIND("/",H729)+1,FIND("/",H729,FIND("/",H729)+1)-FIND("/",H729)-1)),VALUE(LEFT(H729,FIND("/",H729)-1)))+IFERROR(TIMEVALUE(TRIM(MID(H729,FIND(" ",H729)+1,20))),0),0)))</f>
        <v/>
      </c>
      <c r="K729" s="256">
        <f>IF(I729=0,0,INT(I729))</f>
        <v/>
      </c>
      <c r="L729" s="257">
        <f>IF(OR(I729=0,J729=0),0,ROUND((J729-I729)*24,2))</f>
        <v/>
      </c>
      <c r="M729" s="254">
        <f>IFERROR(TRIM(MID(A729,FIND("@",SUBSTITUTE(A729,"(","@",LEN(A729)-LEN(SUBSTITUTE(A729,"(",""))))+1,FIND(")",A729,FIND("@",SUBSTITUTE(A729,"(","@",LEN(A729)-LEN(SUBSTITUTE(A729,"(","")))))-FIND("@",SUBSTITUTE(A729,"(","@",LEN(A729)-LEN(SUBSTITUTE(A729,"(",""))))-1)),"")</f>
        <v/>
      </c>
      <c r="N729" s="254">
        <f>IF(A729="","",IF(LEFT(TRIM(A729),5)="Leave","Leave",IF(OR(ISNUMBER(SEARCH("public holiday",A729)),ISNUMBER(SEARCH("Purple",E729))),"Public holiday","Event")))</f>
        <v/>
      </c>
    </row>
    <row r="730">
      <c r="G730" s="254">
        <f>IF(C730="","",IF(ISNUMBER(C730),C730,IF(ISNUMBER(VALUE(LEFT(TRIM(C730),1))),TRIM(C730),TRIM(MID(TRIM(C730),FIND(" ",TRIM(C730))+1,99)))))</f>
        <v/>
      </c>
      <c r="H730" s="254">
        <f>IF(D730="","",IF(ISNUMBER(D730),D730,IF(ISNUMBER(VALUE(LEFT(TRIM(D730),1))),TRIM(D730),TRIM(MID(TRIM(D730),FIND(" ",TRIM(D730))+1,99)))))</f>
        <v/>
      </c>
      <c r="I730" s="255">
        <f>IF(G730="",0,IF(ISNUMBER(G730),G730,IFERROR(DATE(VALUE(MID(G730,FIND("/",G730,FIND("/",G730)+1)+1,4)),VALUE(MID(G730,FIND("/",G730)+1,FIND("/",G730,FIND("/",G730)+1)-FIND("/",G730)-1)),VALUE(LEFT(G730,FIND("/",G730)-1)))+IFERROR(TIMEVALUE(TRIM(MID(G730,FIND(" ",G730)+1,20))),0),0)))</f>
        <v/>
      </c>
      <c r="J730" s="255">
        <f>IF(H730="",0,IF(ISNUMBER(H730),H730,IFERROR(DATE(VALUE(MID(H730,FIND("/",H730,FIND("/",H730)+1)+1,4)),VALUE(MID(H730,FIND("/",H730)+1,FIND("/",H730,FIND("/",H730)+1)-FIND("/",H730)-1)),VALUE(LEFT(H730,FIND("/",H730)-1)))+IFERROR(TIMEVALUE(TRIM(MID(H730,FIND(" ",H730)+1,20))),0),0)))</f>
        <v/>
      </c>
      <c r="K730" s="256">
        <f>IF(I730=0,0,INT(I730))</f>
        <v/>
      </c>
      <c r="L730" s="257">
        <f>IF(OR(I730=0,J730=0),0,ROUND((J730-I730)*24,2))</f>
        <v/>
      </c>
      <c r="M730" s="254">
        <f>IFERROR(TRIM(MID(A730,FIND("@",SUBSTITUTE(A730,"(","@",LEN(A730)-LEN(SUBSTITUTE(A730,"(",""))))+1,FIND(")",A730,FIND("@",SUBSTITUTE(A730,"(","@",LEN(A730)-LEN(SUBSTITUTE(A730,"(","")))))-FIND("@",SUBSTITUTE(A730,"(","@",LEN(A730)-LEN(SUBSTITUTE(A730,"(",""))))-1)),"")</f>
        <v/>
      </c>
      <c r="N730" s="254">
        <f>IF(A730="","",IF(LEFT(TRIM(A730),5)="Leave","Leave",IF(OR(ISNUMBER(SEARCH("public holiday",A730)),ISNUMBER(SEARCH("Purple",E730))),"Public holiday","Event")))</f>
        <v/>
      </c>
    </row>
    <row r="731">
      <c r="G731" s="254">
        <f>IF(C731="","",IF(ISNUMBER(C731),C731,IF(ISNUMBER(VALUE(LEFT(TRIM(C731),1))),TRIM(C731),TRIM(MID(TRIM(C731),FIND(" ",TRIM(C731))+1,99)))))</f>
        <v/>
      </c>
      <c r="H731" s="254">
        <f>IF(D731="","",IF(ISNUMBER(D731),D731,IF(ISNUMBER(VALUE(LEFT(TRIM(D731),1))),TRIM(D731),TRIM(MID(TRIM(D731),FIND(" ",TRIM(D731))+1,99)))))</f>
        <v/>
      </c>
      <c r="I731" s="255">
        <f>IF(G731="",0,IF(ISNUMBER(G731),G731,IFERROR(DATE(VALUE(MID(G731,FIND("/",G731,FIND("/",G731)+1)+1,4)),VALUE(MID(G731,FIND("/",G731)+1,FIND("/",G731,FIND("/",G731)+1)-FIND("/",G731)-1)),VALUE(LEFT(G731,FIND("/",G731)-1)))+IFERROR(TIMEVALUE(TRIM(MID(G731,FIND(" ",G731)+1,20))),0),0)))</f>
        <v/>
      </c>
      <c r="J731" s="255">
        <f>IF(H731="",0,IF(ISNUMBER(H731),H731,IFERROR(DATE(VALUE(MID(H731,FIND("/",H731,FIND("/",H731)+1)+1,4)),VALUE(MID(H731,FIND("/",H731)+1,FIND("/",H731,FIND("/",H731)+1)-FIND("/",H731)-1)),VALUE(LEFT(H731,FIND("/",H731)-1)))+IFERROR(TIMEVALUE(TRIM(MID(H731,FIND(" ",H731)+1,20))),0),0)))</f>
        <v/>
      </c>
      <c r="K731" s="256">
        <f>IF(I731=0,0,INT(I731))</f>
        <v/>
      </c>
      <c r="L731" s="257">
        <f>IF(OR(I731=0,J731=0),0,ROUND((J731-I731)*24,2))</f>
        <v/>
      </c>
      <c r="M731" s="254">
        <f>IFERROR(TRIM(MID(A731,FIND("@",SUBSTITUTE(A731,"(","@",LEN(A731)-LEN(SUBSTITUTE(A731,"(",""))))+1,FIND(")",A731,FIND("@",SUBSTITUTE(A731,"(","@",LEN(A731)-LEN(SUBSTITUTE(A731,"(","")))))-FIND("@",SUBSTITUTE(A731,"(","@",LEN(A731)-LEN(SUBSTITUTE(A731,"(",""))))-1)),"")</f>
        <v/>
      </c>
      <c r="N731" s="254">
        <f>IF(A731="","",IF(LEFT(TRIM(A731),5)="Leave","Leave",IF(OR(ISNUMBER(SEARCH("public holiday",A731)),ISNUMBER(SEARCH("Purple",E731))),"Public holiday","Event")))</f>
        <v/>
      </c>
    </row>
    <row r="732">
      <c r="G732" s="254">
        <f>IF(C732="","",IF(ISNUMBER(C732),C732,IF(ISNUMBER(VALUE(LEFT(TRIM(C732),1))),TRIM(C732),TRIM(MID(TRIM(C732),FIND(" ",TRIM(C732))+1,99)))))</f>
        <v/>
      </c>
      <c r="H732" s="254">
        <f>IF(D732="","",IF(ISNUMBER(D732),D732,IF(ISNUMBER(VALUE(LEFT(TRIM(D732),1))),TRIM(D732),TRIM(MID(TRIM(D732),FIND(" ",TRIM(D732))+1,99)))))</f>
        <v/>
      </c>
      <c r="I732" s="255">
        <f>IF(G732="",0,IF(ISNUMBER(G732),G732,IFERROR(DATE(VALUE(MID(G732,FIND("/",G732,FIND("/",G732)+1)+1,4)),VALUE(MID(G732,FIND("/",G732)+1,FIND("/",G732,FIND("/",G732)+1)-FIND("/",G732)-1)),VALUE(LEFT(G732,FIND("/",G732)-1)))+IFERROR(TIMEVALUE(TRIM(MID(G732,FIND(" ",G732)+1,20))),0),0)))</f>
        <v/>
      </c>
      <c r="J732" s="255">
        <f>IF(H732="",0,IF(ISNUMBER(H732),H732,IFERROR(DATE(VALUE(MID(H732,FIND("/",H732,FIND("/",H732)+1)+1,4)),VALUE(MID(H732,FIND("/",H732)+1,FIND("/",H732,FIND("/",H732)+1)-FIND("/",H732)-1)),VALUE(LEFT(H732,FIND("/",H732)-1)))+IFERROR(TIMEVALUE(TRIM(MID(H732,FIND(" ",H732)+1,20))),0),0)))</f>
        <v/>
      </c>
      <c r="K732" s="256">
        <f>IF(I732=0,0,INT(I732))</f>
        <v/>
      </c>
      <c r="L732" s="257">
        <f>IF(OR(I732=0,J732=0),0,ROUND((J732-I732)*24,2))</f>
        <v/>
      </c>
      <c r="M732" s="254">
        <f>IFERROR(TRIM(MID(A732,FIND("@",SUBSTITUTE(A732,"(","@",LEN(A732)-LEN(SUBSTITUTE(A732,"(",""))))+1,FIND(")",A732,FIND("@",SUBSTITUTE(A732,"(","@",LEN(A732)-LEN(SUBSTITUTE(A732,"(","")))))-FIND("@",SUBSTITUTE(A732,"(","@",LEN(A732)-LEN(SUBSTITUTE(A732,"(",""))))-1)),"")</f>
        <v/>
      </c>
      <c r="N732" s="254">
        <f>IF(A732="","",IF(LEFT(TRIM(A732),5)="Leave","Leave",IF(OR(ISNUMBER(SEARCH("public holiday",A732)),ISNUMBER(SEARCH("Purple",E732))),"Public holiday","Event")))</f>
        <v/>
      </c>
    </row>
    <row r="733">
      <c r="G733" s="254">
        <f>IF(C733="","",IF(ISNUMBER(C733),C733,IF(ISNUMBER(VALUE(LEFT(TRIM(C733),1))),TRIM(C733),TRIM(MID(TRIM(C733),FIND(" ",TRIM(C733))+1,99)))))</f>
        <v/>
      </c>
      <c r="H733" s="254">
        <f>IF(D733="","",IF(ISNUMBER(D733),D733,IF(ISNUMBER(VALUE(LEFT(TRIM(D733),1))),TRIM(D733),TRIM(MID(TRIM(D733),FIND(" ",TRIM(D733))+1,99)))))</f>
        <v/>
      </c>
      <c r="I733" s="255">
        <f>IF(G733="",0,IF(ISNUMBER(G733),G733,IFERROR(DATE(VALUE(MID(G733,FIND("/",G733,FIND("/",G733)+1)+1,4)),VALUE(MID(G733,FIND("/",G733)+1,FIND("/",G733,FIND("/",G733)+1)-FIND("/",G733)-1)),VALUE(LEFT(G733,FIND("/",G733)-1)))+IFERROR(TIMEVALUE(TRIM(MID(G733,FIND(" ",G733)+1,20))),0),0)))</f>
        <v/>
      </c>
      <c r="J733" s="255">
        <f>IF(H733="",0,IF(ISNUMBER(H733),H733,IFERROR(DATE(VALUE(MID(H733,FIND("/",H733,FIND("/",H733)+1)+1,4)),VALUE(MID(H733,FIND("/",H733)+1,FIND("/",H733,FIND("/",H733)+1)-FIND("/",H733)-1)),VALUE(LEFT(H733,FIND("/",H733)-1)))+IFERROR(TIMEVALUE(TRIM(MID(H733,FIND(" ",H733)+1,20))),0),0)))</f>
        <v/>
      </c>
      <c r="K733" s="256">
        <f>IF(I733=0,0,INT(I733))</f>
        <v/>
      </c>
      <c r="L733" s="257">
        <f>IF(OR(I733=0,J733=0),0,ROUND((J733-I733)*24,2))</f>
        <v/>
      </c>
      <c r="M733" s="254">
        <f>IFERROR(TRIM(MID(A733,FIND("@",SUBSTITUTE(A733,"(","@",LEN(A733)-LEN(SUBSTITUTE(A733,"(",""))))+1,FIND(")",A733,FIND("@",SUBSTITUTE(A733,"(","@",LEN(A733)-LEN(SUBSTITUTE(A733,"(","")))))-FIND("@",SUBSTITUTE(A733,"(","@",LEN(A733)-LEN(SUBSTITUTE(A733,"(",""))))-1)),"")</f>
        <v/>
      </c>
      <c r="N733" s="254">
        <f>IF(A733="","",IF(LEFT(TRIM(A733),5)="Leave","Leave",IF(OR(ISNUMBER(SEARCH("public holiday",A733)),ISNUMBER(SEARCH("Purple",E733))),"Public holiday","Event")))</f>
        <v/>
      </c>
    </row>
    <row r="734">
      <c r="G734" s="254">
        <f>IF(C734="","",IF(ISNUMBER(C734),C734,IF(ISNUMBER(VALUE(LEFT(TRIM(C734),1))),TRIM(C734),TRIM(MID(TRIM(C734),FIND(" ",TRIM(C734))+1,99)))))</f>
        <v/>
      </c>
      <c r="H734" s="254">
        <f>IF(D734="","",IF(ISNUMBER(D734),D734,IF(ISNUMBER(VALUE(LEFT(TRIM(D734),1))),TRIM(D734),TRIM(MID(TRIM(D734),FIND(" ",TRIM(D734))+1,99)))))</f>
        <v/>
      </c>
      <c r="I734" s="255">
        <f>IF(G734="",0,IF(ISNUMBER(G734),G734,IFERROR(DATE(VALUE(MID(G734,FIND("/",G734,FIND("/",G734)+1)+1,4)),VALUE(MID(G734,FIND("/",G734)+1,FIND("/",G734,FIND("/",G734)+1)-FIND("/",G734)-1)),VALUE(LEFT(G734,FIND("/",G734)-1)))+IFERROR(TIMEVALUE(TRIM(MID(G734,FIND(" ",G734)+1,20))),0),0)))</f>
        <v/>
      </c>
      <c r="J734" s="255">
        <f>IF(H734="",0,IF(ISNUMBER(H734),H734,IFERROR(DATE(VALUE(MID(H734,FIND("/",H734,FIND("/",H734)+1)+1,4)),VALUE(MID(H734,FIND("/",H734)+1,FIND("/",H734,FIND("/",H734)+1)-FIND("/",H734)-1)),VALUE(LEFT(H734,FIND("/",H734)-1)))+IFERROR(TIMEVALUE(TRIM(MID(H734,FIND(" ",H734)+1,20))),0),0)))</f>
        <v/>
      </c>
      <c r="K734" s="256">
        <f>IF(I734=0,0,INT(I734))</f>
        <v/>
      </c>
      <c r="L734" s="257">
        <f>IF(OR(I734=0,J734=0),0,ROUND((J734-I734)*24,2))</f>
        <v/>
      </c>
      <c r="M734" s="254">
        <f>IFERROR(TRIM(MID(A734,FIND("@",SUBSTITUTE(A734,"(","@",LEN(A734)-LEN(SUBSTITUTE(A734,"(",""))))+1,FIND(")",A734,FIND("@",SUBSTITUTE(A734,"(","@",LEN(A734)-LEN(SUBSTITUTE(A734,"(","")))))-FIND("@",SUBSTITUTE(A734,"(","@",LEN(A734)-LEN(SUBSTITUTE(A734,"(",""))))-1)),"")</f>
        <v/>
      </c>
      <c r="N734" s="254">
        <f>IF(A734="","",IF(LEFT(TRIM(A734),5)="Leave","Leave",IF(OR(ISNUMBER(SEARCH("public holiday",A734)),ISNUMBER(SEARCH("Purple",E734))),"Public holiday","Event")))</f>
        <v/>
      </c>
    </row>
    <row r="735">
      <c r="G735" s="254">
        <f>IF(C735="","",IF(ISNUMBER(C735),C735,IF(ISNUMBER(VALUE(LEFT(TRIM(C735),1))),TRIM(C735),TRIM(MID(TRIM(C735),FIND(" ",TRIM(C735))+1,99)))))</f>
        <v/>
      </c>
      <c r="H735" s="254">
        <f>IF(D735="","",IF(ISNUMBER(D735),D735,IF(ISNUMBER(VALUE(LEFT(TRIM(D735),1))),TRIM(D735),TRIM(MID(TRIM(D735),FIND(" ",TRIM(D735))+1,99)))))</f>
        <v/>
      </c>
      <c r="I735" s="255">
        <f>IF(G735="",0,IF(ISNUMBER(G735),G735,IFERROR(DATE(VALUE(MID(G735,FIND("/",G735,FIND("/",G735)+1)+1,4)),VALUE(MID(G735,FIND("/",G735)+1,FIND("/",G735,FIND("/",G735)+1)-FIND("/",G735)-1)),VALUE(LEFT(G735,FIND("/",G735)-1)))+IFERROR(TIMEVALUE(TRIM(MID(G735,FIND(" ",G735)+1,20))),0),0)))</f>
        <v/>
      </c>
      <c r="J735" s="255">
        <f>IF(H735="",0,IF(ISNUMBER(H735),H735,IFERROR(DATE(VALUE(MID(H735,FIND("/",H735,FIND("/",H735)+1)+1,4)),VALUE(MID(H735,FIND("/",H735)+1,FIND("/",H735,FIND("/",H735)+1)-FIND("/",H735)-1)),VALUE(LEFT(H735,FIND("/",H735)-1)))+IFERROR(TIMEVALUE(TRIM(MID(H735,FIND(" ",H735)+1,20))),0),0)))</f>
        <v/>
      </c>
      <c r="K735" s="256">
        <f>IF(I735=0,0,INT(I735))</f>
        <v/>
      </c>
      <c r="L735" s="257">
        <f>IF(OR(I735=0,J735=0),0,ROUND((J735-I735)*24,2))</f>
        <v/>
      </c>
      <c r="M735" s="254">
        <f>IFERROR(TRIM(MID(A735,FIND("@",SUBSTITUTE(A735,"(","@",LEN(A735)-LEN(SUBSTITUTE(A735,"(",""))))+1,FIND(")",A735,FIND("@",SUBSTITUTE(A735,"(","@",LEN(A735)-LEN(SUBSTITUTE(A735,"(","")))))-FIND("@",SUBSTITUTE(A735,"(","@",LEN(A735)-LEN(SUBSTITUTE(A735,"(",""))))-1)),"")</f>
        <v/>
      </c>
      <c r="N735" s="254">
        <f>IF(A735="","",IF(LEFT(TRIM(A735),5)="Leave","Leave",IF(OR(ISNUMBER(SEARCH("public holiday",A735)),ISNUMBER(SEARCH("Purple",E735))),"Public holiday","Event")))</f>
        <v/>
      </c>
    </row>
    <row r="736">
      <c r="G736" s="254">
        <f>IF(C736="","",IF(ISNUMBER(C736),C736,IF(ISNUMBER(VALUE(LEFT(TRIM(C736),1))),TRIM(C736),TRIM(MID(TRIM(C736),FIND(" ",TRIM(C736))+1,99)))))</f>
        <v/>
      </c>
      <c r="H736" s="254">
        <f>IF(D736="","",IF(ISNUMBER(D736),D736,IF(ISNUMBER(VALUE(LEFT(TRIM(D736),1))),TRIM(D736),TRIM(MID(TRIM(D736),FIND(" ",TRIM(D736))+1,99)))))</f>
        <v/>
      </c>
      <c r="I736" s="255">
        <f>IF(G736="",0,IF(ISNUMBER(G736),G736,IFERROR(DATE(VALUE(MID(G736,FIND("/",G736,FIND("/",G736)+1)+1,4)),VALUE(MID(G736,FIND("/",G736)+1,FIND("/",G736,FIND("/",G736)+1)-FIND("/",G736)-1)),VALUE(LEFT(G736,FIND("/",G736)-1)))+IFERROR(TIMEVALUE(TRIM(MID(G736,FIND(" ",G736)+1,20))),0),0)))</f>
        <v/>
      </c>
      <c r="J736" s="255">
        <f>IF(H736="",0,IF(ISNUMBER(H736),H736,IFERROR(DATE(VALUE(MID(H736,FIND("/",H736,FIND("/",H736)+1)+1,4)),VALUE(MID(H736,FIND("/",H736)+1,FIND("/",H736,FIND("/",H736)+1)-FIND("/",H736)-1)),VALUE(LEFT(H736,FIND("/",H736)-1)))+IFERROR(TIMEVALUE(TRIM(MID(H736,FIND(" ",H736)+1,20))),0),0)))</f>
        <v/>
      </c>
      <c r="K736" s="256">
        <f>IF(I736=0,0,INT(I736))</f>
        <v/>
      </c>
      <c r="L736" s="257">
        <f>IF(OR(I736=0,J736=0),0,ROUND((J736-I736)*24,2))</f>
        <v/>
      </c>
      <c r="M736" s="254">
        <f>IFERROR(TRIM(MID(A736,FIND("@",SUBSTITUTE(A736,"(","@",LEN(A736)-LEN(SUBSTITUTE(A736,"(",""))))+1,FIND(")",A736,FIND("@",SUBSTITUTE(A736,"(","@",LEN(A736)-LEN(SUBSTITUTE(A736,"(","")))))-FIND("@",SUBSTITUTE(A736,"(","@",LEN(A736)-LEN(SUBSTITUTE(A736,"(",""))))-1)),"")</f>
        <v/>
      </c>
      <c r="N736" s="254">
        <f>IF(A736="","",IF(LEFT(TRIM(A736),5)="Leave","Leave",IF(OR(ISNUMBER(SEARCH("public holiday",A736)),ISNUMBER(SEARCH("Purple",E736))),"Public holiday","Event")))</f>
        <v/>
      </c>
    </row>
    <row r="737">
      <c r="G737" s="254">
        <f>IF(C737="","",IF(ISNUMBER(C737),C737,IF(ISNUMBER(VALUE(LEFT(TRIM(C737),1))),TRIM(C737),TRIM(MID(TRIM(C737),FIND(" ",TRIM(C737))+1,99)))))</f>
        <v/>
      </c>
      <c r="H737" s="254">
        <f>IF(D737="","",IF(ISNUMBER(D737),D737,IF(ISNUMBER(VALUE(LEFT(TRIM(D737),1))),TRIM(D737),TRIM(MID(TRIM(D737),FIND(" ",TRIM(D737))+1,99)))))</f>
        <v/>
      </c>
      <c r="I737" s="255">
        <f>IF(G737="",0,IF(ISNUMBER(G737),G737,IFERROR(DATE(VALUE(MID(G737,FIND("/",G737,FIND("/",G737)+1)+1,4)),VALUE(MID(G737,FIND("/",G737)+1,FIND("/",G737,FIND("/",G737)+1)-FIND("/",G737)-1)),VALUE(LEFT(G737,FIND("/",G737)-1)))+IFERROR(TIMEVALUE(TRIM(MID(G737,FIND(" ",G737)+1,20))),0),0)))</f>
        <v/>
      </c>
      <c r="J737" s="255">
        <f>IF(H737="",0,IF(ISNUMBER(H737),H737,IFERROR(DATE(VALUE(MID(H737,FIND("/",H737,FIND("/",H737)+1)+1,4)),VALUE(MID(H737,FIND("/",H737)+1,FIND("/",H737,FIND("/",H737)+1)-FIND("/",H737)-1)),VALUE(LEFT(H737,FIND("/",H737)-1)))+IFERROR(TIMEVALUE(TRIM(MID(H737,FIND(" ",H737)+1,20))),0),0)))</f>
        <v/>
      </c>
      <c r="K737" s="256">
        <f>IF(I737=0,0,INT(I737))</f>
        <v/>
      </c>
      <c r="L737" s="257">
        <f>IF(OR(I737=0,J737=0),0,ROUND((J737-I737)*24,2))</f>
        <v/>
      </c>
      <c r="M737" s="254">
        <f>IFERROR(TRIM(MID(A737,FIND("@",SUBSTITUTE(A737,"(","@",LEN(A737)-LEN(SUBSTITUTE(A737,"(",""))))+1,FIND(")",A737,FIND("@",SUBSTITUTE(A737,"(","@",LEN(A737)-LEN(SUBSTITUTE(A737,"(","")))))-FIND("@",SUBSTITUTE(A737,"(","@",LEN(A737)-LEN(SUBSTITUTE(A737,"(",""))))-1)),"")</f>
        <v/>
      </c>
      <c r="N737" s="254">
        <f>IF(A737="","",IF(LEFT(TRIM(A737),5)="Leave","Leave",IF(OR(ISNUMBER(SEARCH("public holiday",A737)),ISNUMBER(SEARCH("Purple",E737))),"Public holiday","Event")))</f>
        <v/>
      </c>
    </row>
    <row r="738">
      <c r="G738" s="254">
        <f>IF(C738="","",IF(ISNUMBER(C738),C738,IF(ISNUMBER(VALUE(LEFT(TRIM(C738),1))),TRIM(C738),TRIM(MID(TRIM(C738),FIND(" ",TRIM(C738))+1,99)))))</f>
        <v/>
      </c>
      <c r="H738" s="254">
        <f>IF(D738="","",IF(ISNUMBER(D738),D738,IF(ISNUMBER(VALUE(LEFT(TRIM(D738),1))),TRIM(D738),TRIM(MID(TRIM(D738),FIND(" ",TRIM(D738))+1,99)))))</f>
        <v/>
      </c>
      <c r="I738" s="255">
        <f>IF(G738="",0,IF(ISNUMBER(G738),G738,IFERROR(DATE(VALUE(MID(G738,FIND("/",G738,FIND("/",G738)+1)+1,4)),VALUE(MID(G738,FIND("/",G738)+1,FIND("/",G738,FIND("/",G738)+1)-FIND("/",G738)-1)),VALUE(LEFT(G738,FIND("/",G738)-1)))+IFERROR(TIMEVALUE(TRIM(MID(G738,FIND(" ",G738)+1,20))),0),0)))</f>
        <v/>
      </c>
      <c r="J738" s="255">
        <f>IF(H738="",0,IF(ISNUMBER(H738),H738,IFERROR(DATE(VALUE(MID(H738,FIND("/",H738,FIND("/",H738)+1)+1,4)),VALUE(MID(H738,FIND("/",H738)+1,FIND("/",H738,FIND("/",H738)+1)-FIND("/",H738)-1)),VALUE(LEFT(H738,FIND("/",H738)-1)))+IFERROR(TIMEVALUE(TRIM(MID(H738,FIND(" ",H738)+1,20))),0),0)))</f>
        <v/>
      </c>
      <c r="K738" s="256">
        <f>IF(I738=0,0,INT(I738))</f>
        <v/>
      </c>
      <c r="L738" s="257">
        <f>IF(OR(I738=0,J738=0),0,ROUND((J738-I738)*24,2))</f>
        <v/>
      </c>
      <c r="M738" s="254">
        <f>IFERROR(TRIM(MID(A738,FIND("@",SUBSTITUTE(A738,"(","@",LEN(A738)-LEN(SUBSTITUTE(A738,"(",""))))+1,FIND(")",A738,FIND("@",SUBSTITUTE(A738,"(","@",LEN(A738)-LEN(SUBSTITUTE(A738,"(","")))))-FIND("@",SUBSTITUTE(A738,"(","@",LEN(A738)-LEN(SUBSTITUTE(A738,"(",""))))-1)),"")</f>
        <v/>
      </c>
      <c r="N738" s="254">
        <f>IF(A738="","",IF(LEFT(TRIM(A738),5)="Leave","Leave",IF(OR(ISNUMBER(SEARCH("public holiday",A738)),ISNUMBER(SEARCH("Purple",E738))),"Public holiday","Event")))</f>
        <v/>
      </c>
    </row>
    <row r="739">
      <c r="G739" s="254">
        <f>IF(C739="","",IF(ISNUMBER(C739),C739,IF(ISNUMBER(VALUE(LEFT(TRIM(C739),1))),TRIM(C739),TRIM(MID(TRIM(C739),FIND(" ",TRIM(C739))+1,99)))))</f>
        <v/>
      </c>
      <c r="H739" s="254">
        <f>IF(D739="","",IF(ISNUMBER(D739),D739,IF(ISNUMBER(VALUE(LEFT(TRIM(D739),1))),TRIM(D739),TRIM(MID(TRIM(D739),FIND(" ",TRIM(D739))+1,99)))))</f>
        <v/>
      </c>
      <c r="I739" s="255">
        <f>IF(G739="",0,IF(ISNUMBER(G739),G739,IFERROR(DATE(VALUE(MID(G739,FIND("/",G739,FIND("/",G739)+1)+1,4)),VALUE(MID(G739,FIND("/",G739)+1,FIND("/",G739,FIND("/",G739)+1)-FIND("/",G739)-1)),VALUE(LEFT(G739,FIND("/",G739)-1)))+IFERROR(TIMEVALUE(TRIM(MID(G739,FIND(" ",G739)+1,20))),0),0)))</f>
        <v/>
      </c>
      <c r="J739" s="255">
        <f>IF(H739="",0,IF(ISNUMBER(H739),H739,IFERROR(DATE(VALUE(MID(H739,FIND("/",H739,FIND("/",H739)+1)+1,4)),VALUE(MID(H739,FIND("/",H739)+1,FIND("/",H739,FIND("/",H739)+1)-FIND("/",H739)-1)),VALUE(LEFT(H739,FIND("/",H739)-1)))+IFERROR(TIMEVALUE(TRIM(MID(H739,FIND(" ",H739)+1,20))),0),0)))</f>
        <v/>
      </c>
      <c r="K739" s="256">
        <f>IF(I739=0,0,INT(I739))</f>
        <v/>
      </c>
      <c r="L739" s="257">
        <f>IF(OR(I739=0,J739=0),0,ROUND((J739-I739)*24,2))</f>
        <v/>
      </c>
      <c r="M739" s="254">
        <f>IFERROR(TRIM(MID(A739,FIND("@",SUBSTITUTE(A739,"(","@",LEN(A739)-LEN(SUBSTITUTE(A739,"(",""))))+1,FIND(")",A739,FIND("@",SUBSTITUTE(A739,"(","@",LEN(A739)-LEN(SUBSTITUTE(A739,"(","")))))-FIND("@",SUBSTITUTE(A739,"(","@",LEN(A739)-LEN(SUBSTITUTE(A739,"(",""))))-1)),"")</f>
        <v/>
      </c>
      <c r="N739" s="254">
        <f>IF(A739="","",IF(LEFT(TRIM(A739),5)="Leave","Leave",IF(OR(ISNUMBER(SEARCH("public holiday",A739)),ISNUMBER(SEARCH("Purple",E739))),"Public holiday","Event")))</f>
        <v/>
      </c>
    </row>
    <row r="740">
      <c r="G740" s="254">
        <f>IF(C740="","",IF(ISNUMBER(C740),C740,IF(ISNUMBER(VALUE(LEFT(TRIM(C740),1))),TRIM(C740),TRIM(MID(TRIM(C740),FIND(" ",TRIM(C740))+1,99)))))</f>
        <v/>
      </c>
      <c r="H740" s="254">
        <f>IF(D740="","",IF(ISNUMBER(D740),D740,IF(ISNUMBER(VALUE(LEFT(TRIM(D740),1))),TRIM(D740),TRIM(MID(TRIM(D740),FIND(" ",TRIM(D740))+1,99)))))</f>
        <v/>
      </c>
      <c r="I740" s="255">
        <f>IF(G740="",0,IF(ISNUMBER(G740),G740,IFERROR(DATE(VALUE(MID(G740,FIND("/",G740,FIND("/",G740)+1)+1,4)),VALUE(MID(G740,FIND("/",G740)+1,FIND("/",G740,FIND("/",G740)+1)-FIND("/",G740)-1)),VALUE(LEFT(G740,FIND("/",G740)-1)))+IFERROR(TIMEVALUE(TRIM(MID(G740,FIND(" ",G740)+1,20))),0),0)))</f>
        <v/>
      </c>
      <c r="J740" s="255">
        <f>IF(H740="",0,IF(ISNUMBER(H740),H740,IFERROR(DATE(VALUE(MID(H740,FIND("/",H740,FIND("/",H740)+1)+1,4)),VALUE(MID(H740,FIND("/",H740)+1,FIND("/",H740,FIND("/",H740)+1)-FIND("/",H740)-1)),VALUE(LEFT(H740,FIND("/",H740)-1)))+IFERROR(TIMEVALUE(TRIM(MID(H740,FIND(" ",H740)+1,20))),0),0)))</f>
        <v/>
      </c>
      <c r="K740" s="256">
        <f>IF(I740=0,0,INT(I740))</f>
        <v/>
      </c>
      <c r="L740" s="257">
        <f>IF(OR(I740=0,J740=0),0,ROUND((J740-I740)*24,2))</f>
        <v/>
      </c>
      <c r="M740" s="254">
        <f>IFERROR(TRIM(MID(A740,FIND("@",SUBSTITUTE(A740,"(","@",LEN(A740)-LEN(SUBSTITUTE(A740,"(",""))))+1,FIND(")",A740,FIND("@",SUBSTITUTE(A740,"(","@",LEN(A740)-LEN(SUBSTITUTE(A740,"(","")))))-FIND("@",SUBSTITUTE(A740,"(","@",LEN(A740)-LEN(SUBSTITUTE(A740,"(",""))))-1)),"")</f>
        <v/>
      </c>
      <c r="N740" s="254">
        <f>IF(A740="","",IF(LEFT(TRIM(A740),5)="Leave","Leave",IF(OR(ISNUMBER(SEARCH("public holiday",A740)),ISNUMBER(SEARCH("Purple",E740))),"Public holiday","Event")))</f>
        <v/>
      </c>
    </row>
    <row r="741">
      <c r="G741" s="254">
        <f>IF(C741="","",IF(ISNUMBER(C741),C741,IF(ISNUMBER(VALUE(LEFT(TRIM(C741),1))),TRIM(C741),TRIM(MID(TRIM(C741),FIND(" ",TRIM(C741))+1,99)))))</f>
        <v/>
      </c>
      <c r="H741" s="254">
        <f>IF(D741="","",IF(ISNUMBER(D741),D741,IF(ISNUMBER(VALUE(LEFT(TRIM(D741),1))),TRIM(D741),TRIM(MID(TRIM(D741),FIND(" ",TRIM(D741))+1,99)))))</f>
        <v/>
      </c>
      <c r="I741" s="255">
        <f>IF(G741="",0,IF(ISNUMBER(G741),G741,IFERROR(DATE(VALUE(MID(G741,FIND("/",G741,FIND("/",G741)+1)+1,4)),VALUE(MID(G741,FIND("/",G741)+1,FIND("/",G741,FIND("/",G741)+1)-FIND("/",G741)-1)),VALUE(LEFT(G741,FIND("/",G741)-1)))+IFERROR(TIMEVALUE(TRIM(MID(G741,FIND(" ",G741)+1,20))),0),0)))</f>
        <v/>
      </c>
      <c r="J741" s="255">
        <f>IF(H741="",0,IF(ISNUMBER(H741),H741,IFERROR(DATE(VALUE(MID(H741,FIND("/",H741,FIND("/",H741)+1)+1,4)),VALUE(MID(H741,FIND("/",H741)+1,FIND("/",H741,FIND("/",H741)+1)-FIND("/",H741)-1)),VALUE(LEFT(H741,FIND("/",H741)-1)))+IFERROR(TIMEVALUE(TRIM(MID(H741,FIND(" ",H741)+1,20))),0),0)))</f>
        <v/>
      </c>
      <c r="K741" s="256">
        <f>IF(I741=0,0,INT(I741))</f>
        <v/>
      </c>
      <c r="L741" s="257">
        <f>IF(OR(I741=0,J741=0),0,ROUND((J741-I741)*24,2))</f>
        <v/>
      </c>
      <c r="M741" s="254">
        <f>IFERROR(TRIM(MID(A741,FIND("@",SUBSTITUTE(A741,"(","@",LEN(A741)-LEN(SUBSTITUTE(A741,"(",""))))+1,FIND(")",A741,FIND("@",SUBSTITUTE(A741,"(","@",LEN(A741)-LEN(SUBSTITUTE(A741,"(","")))))-FIND("@",SUBSTITUTE(A741,"(","@",LEN(A741)-LEN(SUBSTITUTE(A741,"(",""))))-1)),"")</f>
        <v/>
      </c>
      <c r="N741" s="254">
        <f>IF(A741="","",IF(LEFT(TRIM(A741),5)="Leave","Leave",IF(OR(ISNUMBER(SEARCH("public holiday",A741)),ISNUMBER(SEARCH("Purple",E741))),"Public holiday","Event")))</f>
        <v/>
      </c>
    </row>
    <row r="742">
      <c r="G742" s="254">
        <f>IF(C742="","",IF(ISNUMBER(C742),C742,IF(ISNUMBER(VALUE(LEFT(TRIM(C742),1))),TRIM(C742),TRIM(MID(TRIM(C742),FIND(" ",TRIM(C742))+1,99)))))</f>
        <v/>
      </c>
      <c r="H742" s="254">
        <f>IF(D742="","",IF(ISNUMBER(D742),D742,IF(ISNUMBER(VALUE(LEFT(TRIM(D742),1))),TRIM(D742),TRIM(MID(TRIM(D742),FIND(" ",TRIM(D742))+1,99)))))</f>
        <v/>
      </c>
      <c r="I742" s="255">
        <f>IF(G742="",0,IF(ISNUMBER(G742),G742,IFERROR(DATE(VALUE(MID(G742,FIND("/",G742,FIND("/",G742)+1)+1,4)),VALUE(MID(G742,FIND("/",G742)+1,FIND("/",G742,FIND("/",G742)+1)-FIND("/",G742)-1)),VALUE(LEFT(G742,FIND("/",G742)-1)))+IFERROR(TIMEVALUE(TRIM(MID(G742,FIND(" ",G742)+1,20))),0),0)))</f>
        <v/>
      </c>
      <c r="J742" s="255">
        <f>IF(H742="",0,IF(ISNUMBER(H742),H742,IFERROR(DATE(VALUE(MID(H742,FIND("/",H742,FIND("/",H742)+1)+1,4)),VALUE(MID(H742,FIND("/",H742)+1,FIND("/",H742,FIND("/",H742)+1)-FIND("/",H742)-1)),VALUE(LEFT(H742,FIND("/",H742)-1)))+IFERROR(TIMEVALUE(TRIM(MID(H742,FIND(" ",H742)+1,20))),0),0)))</f>
        <v/>
      </c>
      <c r="K742" s="256">
        <f>IF(I742=0,0,INT(I742))</f>
        <v/>
      </c>
      <c r="L742" s="257">
        <f>IF(OR(I742=0,J742=0),0,ROUND((J742-I742)*24,2))</f>
        <v/>
      </c>
      <c r="M742" s="254">
        <f>IFERROR(TRIM(MID(A742,FIND("@",SUBSTITUTE(A742,"(","@",LEN(A742)-LEN(SUBSTITUTE(A742,"(",""))))+1,FIND(")",A742,FIND("@",SUBSTITUTE(A742,"(","@",LEN(A742)-LEN(SUBSTITUTE(A742,"(","")))))-FIND("@",SUBSTITUTE(A742,"(","@",LEN(A742)-LEN(SUBSTITUTE(A742,"(",""))))-1)),"")</f>
        <v/>
      </c>
      <c r="N742" s="254">
        <f>IF(A742="","",IF(LEFT(TRIM(A742),5)="Leave","Leave",IF(OR(ISNUMBER(SEARCH("public holiday",A742)),ISNUMBER(SEARCH("Purple",E742))),"Public holiday","Event")))</f>
        <v/>
      </c>
    </row>
    <row r="743">
      <c r="G743" s="254">
        <f>IF(C743="","",IF(ISNUMBER(C743),C743,IF(ISNUMBER(VALUE(LEFT(TRIM(C743),1))),TRIM(C743),TRIM(MID(TRIM(C743),FIND(" ",TRIM(C743))+1,99)))))</f>
        <v/>
      </c>
      <c r="H743" s="254">
        <f>IF(D743="","",IF(ISNUMBER(D743),D743,IF(ISNUMBER(VALUE(LEFT(TRIM(D743),1))),TRIM(D743),TRIM(MID(TRIM(D743),FIND(" ",TRIM(D743))+1,99)))))</f>
        <v/>
      </c>
      <c r="I743" s="255">
        <f>IF(G743="",0,IF(ISNUMBER(G743),G743,IFERROR(DATE(VALUE(MID(G743,FIND("/",G743,FIND("/",G743)+1)+1,4)),VALUE(MID(G743,FIND("/",G743)+1,FIND("/",G743,FIND("/",G743)+1)-FIND("/",G743)-1)),VALUE(LEFT(G743,FIND("/",G743)-1)))+IFERROR(TIMEVALUE(TRIM(MID(G743,FIND(" ",G743)+1,20))),0),0)))</f>
        <v/>
      </c>
      <c r="J743" s="255">
        <f>IF(H743="",0,IF(ISNUMBER(H743),H743,IFERROR(DATE(VALUE(MID(H743,FIND("/",H743,FIND("/",H743)+1)+1,4)),VALUE(MID(H743,FIND("/",H743)+1,FIND("/",H743,FIND("/",H743)+1)-FIND("/",H743)-1)),VALUE(LEFT(H743,FIND("/",H743)-1)))+IFERROR(TIMEVALUE(TRIM(MID(H743,FIND(" ",H743)+1,20))),0),0)))</f>
        <v/>
      </c>
      <c r="K743" s="256">
        <f>IF(I743=0,0,INT(I743))</f>
        <v/>
      </c>
      <c r="L743" s="257">
        <f>IF(OR(I743=0,J743=0),0,ROUND((J743-I743)*24,2))</f>
        <v/>
      </c>
      <c r="M743" s="254">
        <f>IFERROR(TRIM(MID(A743,FIND("@",SUBSTITUTE(A743,"(","@",LEN(A743)-LEN(SUBSTITUTE(A743,"(",""))))+1,FIND(")",A743,FIND("@",SUBSTITUTE(A743,"(","@",LEN(A743)-LEN(SUBSTITUTE(A743,"(","")))))-FIND("@",SUBSTITUTE(A743,"(","@",LEN(A743)-LEN(SUBSTITUTE(A743,"(",""))))-1)),"")</f>
        <v/>
      </c>
      <c r="N743" s="254">
        <f>IF(A743="","",IF(LEFT(TRIM(A743),5)="Leave","Leave",IF(OR(ISNUMBER(SEARCH("public holiday",A743)),ISNUMBER(SEARCH("Purple",E743))),"Public holiday","Event")))</f>
        <v/>
      </c>
    </row>
    <row r="744">
      <c r="G744" s="254">
        <f>IF(C744="","",IF(ISNUMBER(C744),C744,IF(ISNUMBER(VALUE(LEFT(TRIM(C744),1))),TRIM(C744),TRIM(MID(TRIM(C744),FIND(" ",TRIM(C744))+1,99)))))</f>
        <v/>
      </c>
      <c r="H744" s="254">
        <f>IF(D744="","",IF(ISNUMBER(D744),D744,IF(ISNUMBER(VALUE(LEFT(TRIM(D744),1))),TRIM(D744),TRIM(MID(TRIM(D744),FIND(" ",TRIM(D744))+1,99)))))</f>
        <v/>
      </c>
      <c r="I744" s="255">
        <f>IF(G744="",0,IF(ISNUMBER(G744),G744,IFERROR(DATE(VALUE(MID(G744,FIND("/",G744,FIND("/",G744)+1)+1,4)),VALUE(MID(G744,FIND("/",G744)+1,FIND("/",G744,FIND("/",G744)+1)-FIND("/",G744)-1)),VALUE(LEFT(G744,FIND("/",G744)-1)))+IFERROR(TIMEVALUE(TRIM(MID(G744,FIND(" ",G744)+1,20))),0),0)))</f>
        <v/>
      </c>
      <c r="J744" s="255">
        <f>IF(H744="",0,IF(ISNUMBER(H744),H744,IFERROR(DATE(VALUE(MID(H744,FIND("/",H744,FIND("/",H744)+1)+1,4)),VALUE(MID(H744,FIND("/",H744)+1,FIND("/",H744,FIND("/",H744)+1)-FIND("/",H744)-1)),VALUE(LEFT(H744,FIND("/",H744)-1)))+IFERROR(TIMEVALUE(TRIM(MID(H744,FIND(" ",H744)+1,20))),0),0)))</f>
        <v/>
      </c>
      <c r="K744" s="256">
        <f>IF(I744=0,0,INT(I744))</f>
        <v/>
      </c>
      <c r="L744" s="257">
        <f>IF(OR(I744=0,J744=0),0,ROUND((J744-I744)*24,2))</f>
        <v/>
      </c>
      <c r="M744" s="254">
        <f>IFERROR(TRIM(MID(A744,FIND("@",SUBSTITUTE(A744,"(","@",LEN(A744)-LEN(SUBSTITUTE(A744,"(",""))))+1,FIND(")",A744,FIND("@",SUBSTITUTE(A744,"(","@",LEN(A744)-LEN(SUBSTITUTE(A744,"(","")))))-FIND("@",SUBSTITUTE(A744,"(","@",LEN(A744)-LEN(SUBSTITUTE(A744,"(",""))))-1)),"")</f>
        <v/>
      </c>
      <c r="N744" s="254">
        <f>IF(A744="","",IF(LEFT(TRIM(A744),5)="Leave","Leave",IF(OR(ISNUMBER(SEARCH("public holiday",A744)),ISNUMBER(SEARCH("Purple",E744))),"Public holiday","Event")))</f>
        <v/>
      </c>
    </row>
    <row r="745">
      <c r="G745" s="254">
        <f>IF(C745="","",IF(ISNUMBER(C745),C745,IF(ISNUMBER(VALUE(LEFT(TRIM(C745),1))),TRIM(C745),TRIM(MID(TRIM(C745),FIND(" ",TRIM(C745))+1,99)))))</f>
        <v/>
      </c>
      <c r="H745" s="254">
        <f>IF(D745="","",IF(ISNUMBER(D745),D745,IF(ISNUMBER(VALUE(LEFT(TRIM(D745),1))),TRIM(D745),TRIM(MID(TRIM(D745),FIND(" ",TRIM(D745))+1,99)))))</f>
        <v/>
      </c>
      <c r="I745" s="255">
        <f>IF(G745="",0,IF(ISNUMBER(G745),G745,IFERROR(DATE(VALUE(MID(G745,FIND("/",G745,FIND("/",G745)+1)+1,4)),VALUE(MID(G745,FIND("/",G745)+1,FIND("/",G745,FIND("/",G745)+1)-FIND("/",G745)-1)),VALUE(LEFT(G745,FIND("/",G745)-1)))+IFERROR(TIMEVALUE(TRIM(MID(G745,FIND(" ",G745)+1,20))),0),0)))</f>
        <v/>
      </c>
      <c r="J745" s="255">
        <f>IF(H745="",0,IF(ISNUMBER(H745),H745,IFERROR(DATE(VALUE(MID(H745,FIND("/",H745,FIND("/",H745)+1)+1,4)),VALUE(MID(H745,FIND("/",H745)+1,FIND("/",H745,FIND("/",H745)+1)-FIND("/",H745)-1)),VALUE(LEFT(H745,FIND("/",H745)-1)))+IFERROR(TIMEVALUE(TRIM(MID(H745,FIND(" ",H745)+1,20))),0),0)))</f>
        <v/>
      </c>
      <c r="K745" s="256">
        <f>IF(I745=0,0,INT(I745))</f>
        <v/>
      </c>
      <c r="L745" s="257">
        <f>IF(OR(I745=0,J745=0),0,ROUND((J745-I745)*24,2))</f>
        <v/>
      </c>
      <c r="M745" s="254">
        <f>IFERROR(TRIM(MID(A745,FIND("@",SUBSTITUTE(A745,"(","@",LEN(A745)-LEN(SUBSTITUTE(A745,"(",""))))+1,FIND(")",A745,FIND("@",SUBSTITUTE(A745,"(","@",LEN(A745)-LEN(SUBSTITUTE(A745,"(","")))))-FIND("@",SUBSTITUTE(A745,"(","@",LEN(A745)-LEN(SUBSTITUTE(A745,"(",""))))-1)),"")</f>
        <v/>
      </c>
      <c r="N745" s="254">
        <f>IF(A745="","",IF(LEFT(TRIM(A745),5)="Leave","Leave",IF(OR(ISNUMBER(SEARCH("public holiday",A745)),ISNUMBER(SEARCH("Purple",E745))),"Public holiday","Event")))</f>
        <v/>
      </c>
    </row>
    <row r="746">
      <c r="G746" s="254">
        <f>IF(C746="","",IF(ISNUMBER(C746),C746,IF(ISNUMBER(VALUE(LEFT(TRIM(C746),1))),TRIM(C746),TRIM(MID(TRIM(C746),FIND(" ",TRIM(C746))+1,99)))))</f>
        <v/>
      </c>
      <c r="H746" s="254">
        <f>IF(D746="","",IF(ISNUMBER(D746),D746,IF(ISNUMBER(VALUE(LEFT(TRIM(D746),1))),TRIM(D746),TRIM(MID(TRIM(D746),FIND(" ",TRIM(D746))+1,99)))))</f>
        <v/>
      </c>
      <c r="I746" s="255">
        <f>IF(G746="",0,IF(ISNUMBER(G746),G746,IFERROR(DATE(VALUE(MID(G746,FIND("/",G746,FIND("/",G746)+1)+1,4)),VALUE(MID(G746,FIND("/",G746)+1,FIND("/",G746,FIND("/",G746)+1)-FIND("/",G746)-1)),VALUE(LEFT(G746,FIND("/",G746)-1)))+IFERROR(TIMEVALUE(TRIM(MID(G746,FIND(" ",G746)+1,20))),0),0)))</f>
        <v/>
      </c>
      <c r="J746" s="255">
        <f>IF(H746="",0,IF(ISNUMBER(H746),H746,IFERROR(DATE(VALUE(MID(H746,FIND("/",H746,FIND("/",H746)+1)+1,4)),VALUE(MID(H746,FIND("/",H746)+1,FIND("/",H746,FIND("/",H746)+1)-FIND("/",H746)-1)),VALUE(LEFT(H746,FIND("/",H746)-1)))+IFERROR(TIMEVALUE(TRIM(MID(H746,FIND(" ",H746)+1,20))),0),0)))</f>
        <v/>
      </c>
      <c r="K746" s="256">
        <f>IF(I746=0,0,INT(I746))</f>
        <v/>
      </c>
      <c r="L746" s="257">
        <f>IF(OR(I746=0,J746=0),0,ROUND((J746-I746)*24,2))</f>
        <v/>
      </c>
      <c r="M746" s="254">
        <f>IFERROR(TRIM(MID(A746,FIND("@",SUBSTITUTE(A746,"(","@",LEN(A746)-LEN(SUBSTITUTE(A746,"(",""))))+1,FIND(")",A746,FIND("@",SUBSTITUTE(A746,"(","@",LEN(A746)-LEN(SUBSTITUTE(A746,"(","")))))-FIND("@",SUBSTITUTE(A746,"(","@",LEN(A746)-LEN(SUBSTITUTE(A746,"(",""))))-1)),"")</f>
        <v/>
      </c>
      <c r="N746" s="254">
        <f>IF(A746="","",IF(LEFT(TRIM(A746),5)="Leave","Leave",IF(OR(ISNUMBER(SEARCH("public holiday",A746)),ISNUMBER(SEARCH("Purple",E746))),"Public holiday","Event")))</f>
        <v/>
      </c>
    </row>
    <row r="747">
      <c r="G747" s="254">
        <f>IF(C747="","",IF(ISNUMBER(C747),C747,IF(ISNUMBER(VALUE(LEFT(TRIM(C747),1))),TRIM(C747),TRIM(MID(TRIM(C747),FIND(" ",TRIM(C747))+1,99)))))</f>
        <v/>
      </c>
      <c r="H747" s="254">
        <f>IF(D747="","",IF(ISNUMBER(D747),D747,IF(ISNUMBER(VALUE(LEFT(TRIM(D747),1))),TRIM(D747),TRIM(MID(TRIM(D747),FIND(" ",TRIM(D747))+1,99)))))</f>
        <v/>
      </c>
      <c r="I747" s="255">
        <f>IF(G747="",0,IF(ISNUMBER(G747),G747,IFERROR(DATE(VALUE(MID(G747,FIND("/",G747,FIND("/",G747)+1)+1,4)),VALUE(MID(G747,FIND("/",G747)+1,FIND("/",G747,FIND("/",G747)+1)-FIND("/",G747)-1)),VALUE(LEFT(G747,FIND("/",G747)-1)))+IFERROR(TIMEVALUE(TRIM(MID(G747,FIND(" ",G747)+1,20))),0),0)))</f>
        <v/>
      </c>
      <c r="J747" s="255">
        <f>IF(H747="",0,IF(ISNUMBER(H747),H747,IFERROR(DATE(VALUE(MID(H747,FIND("/",H747,FIND("/",H747)+1)+1,4)),VALUE(MID(H747,FIND("/",H747)+1,FIND("/",H747,FIND("/",H747)+1)-FIND("/",H747)-1)),VALUE(LEFT(H747,FIND("/",H747)-1)))+IFERROR(TIMEVALUE(TRIM(MID(H747,FIND(" ",H747)+1,20))),0),0)))</f>
        <v/>
      </c>
      <c r="K747" s="256">
        <f>IF(I747=0,0,INT(I747))</f>
        <v/>
      </c>
      <c r="L747" s="257">
        <f>IF(OR(I747=0,J747=0),0,ROUND((J747-I747)*24,2))</f>
        <v/>
      </c>
      <c r="M747" s="254">
        <f>IFERROR(TRIM(MID(A747,FIND("@",SUBSTITUTE(A747,"(","@",LEN(A747)-LEN(SUBSTITUTE(A747,"(",""))))+1,FIND(")",A747,FIND("@",SUBSTITUTE(A747,"(","@",LEN(A747)-LEN(SUBSTITUTE(A747,"(","")))))-FIND("@",SUBSTITUTE(A747,"(","@",LEN(A747)-LEN(SUBSTITUTE(A747,"(",""))))-1)),"")</f>
        <v/>
      </c>
      <c r="N747" s="254">
        <f>IF(A747="","",IF(LEFT(TRIM(A747),5)="Leave","Leave",IF(OR(ISNUMBER(SEARCH("public holiday",A747)),ISNUMBER(SEARCH("Purple",E747))),"Public holiday","Event")))</f>
        <v/>
      </c>
    </row>
    <row r="748">
      <c r="G748" s="254">
        <f>IF(C748="","",IF(ISNUMBER(C748),C748,IF(ISNUMBER(VALUE(LEFT(TRIM(C748),1))),TRIM(C748),TRIM(MID(TRIM(C748),FIND(" ",TRIM(C748))+1,99)))))</f>
        <v/>
      </c>
      <c r="H748" s="254">
        <f>IF(D748="","",IF(ISNUMBER(D748),D748,IF(ISNUMBER(VALUE(LEFT(TRIM(D748),1))),TRIM(D748),TRIM(MID(TRIM(D748),FIND(" ",TRIM(D748))+1,99)))))</f>
        <v/>
      </c>
      <c r="I748" s="255">
        <f>IF(G748="",0,IF(ISNUMBER(G748),G748,IFERROR(DATE(VALUE(MID(G748,FIND("/",G748,FIND("/",G748)+1)+1,4)),VALUE(MID(G748,FIND("/",G748)+1,FIND("/",G748,FIND("/",G748)+1)-FIND("/",G748)-1)),VALUE(LEFT(G748,FIND("/",G748)-1)))+IFERROR(TIMEVALUE(TRIM(MID(G748,FIND(" ",G748)+1,20))),0),0)))</f>
        <v/>
      </c>
      <c r="J748" s="255">
        <f>IF(H748="",0,IF(ISNUMBER(H748),H748,IFERROR(DATE(VALUE(MID(H748,FIND("/",H748,FIND("/",H748)+1)+1,4)),VALUE(MID(H748,FIND("/",H748)+1,FIND("/",H748,FIND("/",H748)+1)-FIND("/",H748)-1)),VALUE(LEFT(H748,FIND("/",H748)-1)))+IFERROR(TIMEVALUE(TRIM(MID(H748,FIND(" ",H748)+1,20))),0),0)))</f>
        <v/>
      </c>
      <c r="K748" s="256">
        <f>IF(I748=0,0,INT(I748))</f>
        <v/>
      </c>
      <c r="L748" s="257">
        <f>IF(OR(I748=0,J748=0),0,ROUND((J748-I748)*24,2))</f>
        <v/>
      </c>
      <c r="M748" s="254">
        <f>IFERROR(TRIM(MID(A748,FIND("@",SUBSTITUTE(A748,"(","@",LEN(A748)-LEN(SUBSTITUTE(A748,"(",""))))+1,FIND(")",A748,FIND("@",SUBSTITUTE(A748,"(","@",LEN(A748)-LEN(SUBSTITUTE(A748,"(","")))))-FIND("@",SUBSTITUTE(A748,"(","@",LEN(A748)-LEN(SUBSTITUTE(A748,"(",""))))-1)),"")</f>
        <v/>
      </c>
      <c r="N748" s="254">
        <f>IF(A748="","",IF(LEFT(TRIM(A748),5)="Leave","Leave",IF(OR(ISNUMBER(SEARCH("public holiday",A748)),ISNUMBER(SEARCH("Purple",E748))),"Public holiday","Event")))</f>
        <v/>
      </c>
    </row>
    <row r="749">
      <c r="G749" s="254">
        <f>IF(C749="","",IF(ISNUMBER(C749),C749,IF(ISNUMBER(VALUE(LEFT(TRIM(C749),1))),TRIM(C749),TRIM(MID(TRIM(C749),FIND(" ",TRIM(C749))+1,99)))))</f>
        <v/>
      </c>
      <c r="H749" s="254">
        <f>IF(D749="","",IF(ISNUMBER(D749),D749,IF(ISNUMBER(VALUE(LEFT(TRIM(D749),1))),TRIM(D749),TRIM(MID(TRIM(D749),FIND(" ",TRIM(D749))+1,99)))))</f>
        <v/>
      </c>
      <c r="I749" s="255">
        <f>IF(G749="",0,IF(ISNUMBER(G749),G749,IFERROR(DATE(VALUE(MID(G749,FIND("/",G749,FIND("/",G749)+1)+1,4)),VALUE(MID(G749,FIND("/",G749)+1,FIND("/",G749,FIND("/",G749)+1)-FIND("/",G749)-1)),VALUE(LEFT(G749,FIND("/",G749)-1)))+IFERROR(TIMEVALUE(TRIM(MID(G749,FIND(" ",G749)+1,20))),0),0)))</f>
        <v/>
      </c>
      <c r="J749" s="255">
        <f>IF(H749="",0,IF(ISNUMBER(H749),H749,IFERROR(DATE(VALUE(MID(H749,FIND("/",H749,FIND("/",H749)+1)+1,4)),VALUE(MID(H749,FIND("/",H749)+1,FIND("/",H749,FIND("/",H749)+1)-FIND("/",H749)-1)),VALUE(LEFT(H749,FIND("/",H749)-1)))+IFERROR(TIMEVALUE(TRIM(MID(H749,FIND(" ",H749)+1,20))),0),0)))</f>
        <v/>
      </c>
      <c r="K749" s="256">
        <f>IF(I749=0,0,INT(I749))</f>
        <v/>
      </c>
      <c r="L749" s="257">
        <f>IF(OR(I749=0,J749=0),0,ROUND((J749-I749)*24,2))</f>
        <v/>
      </c>
      <c r="M749" s="254">
        <f>IFERROR(TRIM(MID(A749,FIND("@",SUBSTITUTE(A749,"(","@",LEN(A749)-LEN(SUBSTITUTE(A749,"(",""))))+1,FIND(")",A749,FIND("@",SUBSTITUTE(A749,"(","@",LEN(A749)-LEN(SUBSTITUTE(A749,"(","")))))-FIND("@",SUBSTITUTE(A749,"(","@",LEN(A749)-LEN(SUBSTITUTE(A749,"(",""))))-1)),"")</f>
        <v/>
      </c>
      <c r="N749" s="254">
        <f>IF(A749="","",IF(LEFT(TRIM(A749),5)="Leave","Leave",IF(OR(ISNUMBER(SEARCH("public holiday",A749)),ISNUMBER(SEARCH("Purple",E749))),"Public holiday","Event")))</f>
        <v/>
      </c>
    </row>
    <row r="750">
      <c r="G750" s="254">
        <f>IF(C750="","",IF(ISNUMBER(C750),C750,IF(ISNUMBER(VALUE(LEFT(TRIM(C750),1))),TRIM(C750),TRIM(MID(TRIM(C750),FIND(" ",TRIM(C750))+1,99)))))</f>
        <v/>
      </c>
      <c r="H750" s="254">
        <f>IF(D750="","",IF(ISNUMBER(D750),D750,IF(ISNUMBER(VALUE(LEFT(TRIM(D750),1))),TRIM(D750),TRIM(MID(TRIM(D750),FIND(" ",TRIM(D750))+1,99)))))</f>
        <v/>
      </c>
      <c r="I750" s="255">
        <f>IF(G750="",0,IF(ISNUMBER(G750),G750,IFERROR(DATE(VALUE(MID(G750,FIND("/",G750,FIND("/",G750)+1)+1,4)),VALUE(MID(G750,FIND("/",G750)+1,FIND("/",G750,FIND("/",G750)+1)-FIND("/",G750)-1)),VALUE(LEFT(G750,FIND("/",G750)-1)))+IFERROR(TIMEVALUE(TRIM(MID(G750,FIND(" ",G750)+1,20))),0),0)))</f>
        <v/>
      </c>
      <c r="J750" s="255">
        <f>IF(H750="",0,IF(ISNUMBER(H750),H750,IFERROR(DATE(VALUE(MID(H750,FIND("/",H750,FIND("/",H750)+1)+1,4)),VALUE(MID(H750,FIND("/",H750)+1,FIND("/",H750,FIND("/",H750)+1)-FIND("/",H750)-1)),VALUE(LEFT(H750,FIND("/",H750)-1)))+IFERROR(TIMEVALUE(TRIM(MID(H750,FIND(" ",H750)+1,20))),0),0)))</f>
        <v/>
      </c>
      <c r="K750" s="256">
        <f>IF(I750=0,0,INT(I750))</f>
        <v/>
      </c>
      <c r="L750" s="257">
        <f>IF(OR(I750=0,J750=0),0,ROUND((J750-I750)*24,2))</f>
        <v/>
      </c>
      <c r="M750" s="254">
        <f>IFERROR(TRIM(MID(A750,FIND("@",SUBSTITUTE(A750,"(","@",LEN(A750)-LEN(SUBSTITUTE(A750,"(",""))))+1,FIND(")",A750,FIND("@",SUBSTITUTE(A750,"(","@",LEN(A750)-LEN(SUBSTITUTE(A750,"(","")))))-FIND("@",SUBSTITUTE(A750,"(","@",LEN(A750)-LEN(SUBSTITUTE(A750,"(",""))))-1)),"")</f>
        <v/>
      </c>
      <c r="N750" s="254">
        <f>IF(A750="","",IF(LEFT(TRIM(A750),5)="Leave","Leave",IF(OR(ISNUMBER(SEARCH("public holiday",A750)),ISNUMBER(SEARCH("Purple",E750))),"Public holiday","Event")))</f>
        <v/>
      </c>
    </row>
    <row r="751">
      <c r="G751" s="254">
        <f>IF(C751="","",IF(ISNUMBER(C751),C751,IF(ISNUMBER(VALUE(LEFT(TRIM(C751),1))),TRIM(C751),TRIM(MID(TRIM(C751),FIND(" ",TRIM(C751))+1,99)))))</f>
        <v/>
      </c>
      <c r="H751" s="254">
        <f>IF(D751="","",IF(ISNUMBER(D751),D751,IF(ISNUMBER(VALUE(LEFT(TRIM(D751),1))),TRIM(D751),TRIM(MID(TRIM(D751),FIND(" ",TRIM(D751))+1,99)))))</f>
        <v/>
      </c>
      <c r="I751" s="255">
        <f>IF(G751="",0,IF(ISNUMBER(G751),G751,IFERROR(DATE(VALUE(MID(G751,FIND("/",G751,FIND("/",G751)+1)+1,4)),VALUE(MID(G751,FIND("/",G751)+1,FIND("/",G751,FIND("/",G751)+1)-FIND("/",G751)-1)),VALUE(LEFT(G751,FIND("/",G751)-1)))+IFERROR(TIMEVALUE(TRIM(MID(G751,FIND(" ",G751)+1,20))),0),0)))</f>
        <v/>
      </c>
      <c r="J751" s="255">
        <f>IF(H751="",0,IF(ISNUMBER(H751),H751,IFERROR(DATE(VALUE(MID(H751,FIND("/",H751,FIND("/",H751)+1)+1,4)),VALUE(MID(H751,FIND("/",H751)+1,FIND("/",H751,FIND("/",H751)+1)-FIND("/",H751)-1)),VALUE(LEFT(H751,FIND("/",H751)-1)))+IFERROR(TIMEVALUE(TRIM(MID(H751,FIND(" ",H751)+1,20))),0),0)))</f>
        <v/>
      </c>
      <c r="K751" s="256">
        <f>IF(I751=0,0,INT(I751))</f>
        <v/>
      </c>
      <c r="L751" s="257">
        <f>IF(OR(I751=0,J751=0),0,ROUND((J751-I751)*24,2))</f>
        <v/>
      </c>
      <c r="M751" s="254">
        <f>IFERROR(TRIM(MID(A751,FIND("@",SUBSTITUTE(A751,"(","@",LEN(A751)-LEN(SUBSTITUTE(A751,"(",""))))+1,FIND(")",A751,FIND("@",SUBSTITUTE(A751,"(","@",LEN(A751)-LEN(SUBSTITUTE(A751,"(","")))))-FIND("@",SUBSTITUTE(A751,"(","@",LEN(A751)-LEN(SUBSTITUTE(A751,"(",""))))-1)),"")</f>
        <v/>
      </c>
      <c r="N751" s="254">
        <f>IF(A751="","",IF(LEFT(TRIM(A751),5)="Leave","Leave",IF(OR(ISNUMBER(SEARCH("public holiday",A751)),ISNUMBER(SEARCH("Purple",E751))),"Public holiday","Event")))</f>
        <v/>
      </c>
    </row>
    <row r="752">
      <c r="G752" s="254">
        <f>IF(C752="","",IF(ISNUMBER(C752),C752,IF(ISNUMBER(VALUE(LEFT(TRIM(C752),1))),TRIM(C752),TRIM(MID(TRIM(C752),FIND(" ",TRIM(C752))+1,99)))))</f>
        <v/>
      </c>
      <c r="H752" s="254">
        <f>IF(D752="","",IF(ISNUMBER(D752),D752,IF(ISNUMBER(VALUE(LEFT(TRIM(D752),1))),TRIM(D752),TRIM(MID(TRIM(D752),FIND(" ",TRIM(D752))+1,99)))))</f>
        <v/>
      </c>
      <c r="I752" s="255">
        <f>IF(G752="",0,IF(ISNUMBER(G752),G752,IFERROR(DATE(VALUE(MID(G752,FIND("/",G752,FIND("/",G752)+1)+1,4)),VALUE(MID(G752,FIND("/",G752)+1,FIND("/",G752,FIND("/",G752)+1)-FIND("/",G752)-1)),VALUE(LEFT(G752,FIND("/",G752)-1)))+IFERROR(TIMEVALUE(TRIM(MID(G752,FIND(" ",G752)+1,20))),0),0)))</f>
        <v/>
      </c>
      <c r="J752" s="255">
        <f>IF(H752="",0,IF(ISNUMBER(H752),H752,IFERROR(DATE(VALUE(MID(H752,FIND("/",H752,FIND("/",H752)+1)+1,4)),VALUE(MID(H752,FIND("/",H752)+1,FIND("/",H752,FIND("/",H752)+1)-FIND("/",H752)-1)),VALUE(LEFT(H752,FIND("/",H752)-1)))+IFERROR(TIMEVALUE(TRIM(MID(H752,FIND(" ",H752)+1,20))),0),0)))</f>
        <v/>
      </c>
      <c r="K752" s="256">
        <f>IF(I752=0,0,INT(I752))</f>
        <v/>
      </c>
      <c r="L752" s="257">
        <f>IF(OR(I752=0,J752=0),0,ROUND((J752-I752)*24,2))</f>
        <v/>
      </c>
      <c r="M752" s="254">
        <f>IFERROR(TRIM(MID(A752,FIND("@",SUBSTITUTE(A752,"(","@",LEN(A752)-LEN(SUBSTITUTE(A752,"(",""))))+1,FIND(")",A752,FIND("@",SUBSTITUTE(A752,"(","@",LEN(A752)-LEN(SUBSTITUTE(A752,"(","")))))-FIND("@",SUBSTITUTE(A752,"(","@",LEN(A752)-LEN(SUBSTITUTE(A752,"(",""))))-1)),"")</f>
        <v/>
      </c>
      <c r="N752" s="254">
        <f>IF(A752="","",IF(LEFT(TRIM(A752),5)="Leave","Leave",IF(OR(ISNUMBER(SEARCH("public holiday",A752)),ISNUMBER(SEARCH("Purple",E752))),"Public holiday","Event")))</f>
        <v/>
      </c>
    </row>
    <row r="753">
      <c r="G753" s="254">
        <f>IF(C753="","",IF(ISNUMBER(C753),C753,IF(ISNUMBER(VALUE(LEFT(TRIM(C753),1))),TRIM(C753),TRIM(MID(TRIM(C753),FIND(" ",TRIM(C753))+1,99)))))</f>
        <v/>
      </c>
      <c r="H753" s="254">
        <f>IF(D753="","",IF(ISNUMBER(D753),D753,IF(ISNUMBER(VALUE(LEFT(TRIM(D753),1))),TRIM(D753),TRIM(MID(TRIM(D753),FIND(" ",TRIM(D753))+1,99)))))</f>
        <v/>
      </c>
      <c r="I753" s="255">
        <f>IF(G753="",0,IF(ISNUMBER(G753),G753,IFERROR(DATE(VALUE(MID(G753,FIND("/",G753,FIND("/",G753)+1)+1,4)),VALUE(MID(G753,FIND("/",G753)+1,FIND("/",G753,FIND("/",G753)+1)-FIND("/",G753)-1)),VALUE(LEFT(G753,FIND("/",G753)-1)))+IFERROR(TIMEVALUE(TRIM(MID(G753,FIND(" ",G753)+1,20))),0),0)))</f>
        <v/>
      </c>
      <c r="J753" s="255">
        <f>IF(H753="",0,IF(ISNUMBER(H753),H753,IFERROR(DATE(VALUE(MID(H753,FIND("/",H753,FIND("/",H753)+1)+1,4)),VALUE(MID(H753,FIND("/",H753)+1,FIND("/",H753,FIND("/",H753)+1)-FIND("/",H753)-1)),VALUE(LEFT(H753,FIND("/",H753)-1)))+IFERROR(TIMEVALUE(TRIM(MID(H753,FIND(" ",H753)+1,20))),0),0)))</f>
        <v/>
      </c>
      <c r="K753" s="256">
        <f>IF(I753=0,0,INT(I753))</f>
        <v/>
      </c>
      <c r="L753" s="257">
        <f>IF(OR(I753=0,J753=0),0,ROUND((J753-I753)*24,2))</f>
        <v/>
      </c>
      <c r="M753" s="254">
        <f>IFERROR(TRIM(MID(A753,FIND("@",SUBSTITUTE(A753,"(","@",LEN(A753)-LEN(SUBSTITUTE(A753,"(",""))))+1,FIND(")",A753,FIND("@",SUBSTITUTE(A753,"(","@",LEN(A753)-LEN(SUBSTITUTE(A753,"(","")))))-FIND("@",SUBSTITUTE(A753,"(","@",LEN(A753)-LEN(SUBSTITUTE(A753,"(",""))))-1)),"")</f>
        <v/>
      </c>
      <c r="N753" s="254">
        <f>IF(A753="","",IF(LEFT(TRIM(A753),5)="Leave","Leave",IF(OR(ISNUMBER(SEARCH("public holiday",A753)),ISNUMBER(SEARCH("Purple",E753))),"Public holiday","Event")))</f>
        <v/>
      </c>
    </row>
    <row r="754">
      <c r="G754" s="254">
        <f>IF(C754="","",IF(ISNUMBER(C754),C754,IF(ISNUMBER(VALUE(LEFT(TRIM(C754),1))),TRIM(C754),TRIM(MID(TRIM(C754),FIND(" ",TRIM(C754))+1,99)))))</f>
        <v/>
      </c>
      <c r="H754" s="254">
        <f>IF(D754="","",IF(ISNUMBER(D754),D754,IF(ISNUMBER(VALUE(LEFT(TRIM(D754),1))),TRIM(D754),TRIM(MID(TRIM(D754),FIND(" ",TRIM(D754))+1,99)))))</f>
        <v/>
      </c>
      <c r="I754" s="255">
        <f>IF(G754="",0,IF(ISNUMBER(G754),G754,IFERROR(DATE(VALUE(MID(G754,FIND("/",G754,FIND("/",G754)+1)+1,4)),VALUE(MID(G754,FIND("/",G754)+1,FIND("/",G754,FIND("/",G754)+1)-FIND("/",G754)-1)),VALUE(LEFT(G754,FIND("/",G754)-1)))+IFERROR(TIMEVALUE(TRIM(MID(G754,FIND(" ",G754)+1,20))),0),0)))</f>
        <v/>
      </c>
      <c r="J754" s="255">
        <f>IF(H754="",0,IF(ISNUMBER(H754),H754,IFERROR(DATE(VALUE(MID(H754,FIND("/",H754,FIND("/",H754)+1)+1,4)),VALUE(MID(H754,FIND("/",H754)+1,FIND("/",H754,FIND("/",H754)+1)-FIND("/",H754)-1)),VALUE(LEFT(H754,FIND("/",H754)-1)))+IFERROR(TIMEVALUE(TRIM(MID(H754,FIND(" ",H754)+1,20))),0),0)))</f>
        <v/>
      </c>
      <c r="K754" s="256">
        <f>IF(I754=0,0,INT(I754))</f>
        <v/>
      </c>
      <c r="L754" s="257">
        <f>IF(OR(I754=0,J754=0),0,ROUND((J754-I754)*24,2))</f>
        <v/>
      </c>
      <c r="M754" s="254">
        <f>IFERROR(TRIM(MID(A754,FIND("@",SUBSTITUTE(A754,"(","@",LEN(A754)-LEN(SUBSTITUTE(A754,"(",""))))+1,FIND(")",A754,FIND("@",SUBSTITUTE(A754,"(","@",LEN(A754)-LEN(SUBSTITUTE(A754,"(","")))))-FIND("@",SUBSTITUTE(A754,"(","@",LEN(A754)-LEN(SUBSTITUTE(A754,"(",""))))-1)),"")</f>
        <v/>
      </c>
      <c r="N754" s="254">
        <f>IF(A754="","",IF(LEFT(TRIM(A754),5)="Leave","Leave",IF(OR(ISNUMBER(SEARCH("public holiday",A754)),ISNUMBER(SEARCH("Purple",E754))),"Public holiday","Event")))</f>
        <v/>
      </c>
    </row>
    <row r="755">
      <c r="G755" s="254">
        <f>IF(C755="","",IF(ISNUMBER(C755),C755,IF(ISNUMBER(VALUE(LEFT(TRIM(C755),1))),TRIM(C755),TRIM(MID(TRIM(C755),FIND(" ",TRIM(C755))+1,99)))))</f>
        <v/>
      </c>
      <c r="H755" s="254">
        <f>IF(D755="","",IF(ISNUMBER(D755),D755,IF(ISNUMBER(VALUE(LEFT(TRIM(D755),1))),TRIM(D755),TRIM(MID(TRIM(D755),FIND(" ",TRIM(D755))+1,99)))))</f>
        <v/>
      </c>
      <c r="I755" s="255">
        <f>IF(G755="",0,IF(ISNUMBER(G755),G755,IFERROR(DATE(VALUE(MID(G755,FIND("/",G755,FIND("/",G755)+1)+1,4)),VALUE(MID(G755,FIND("/",G755)+1,FIND("/",G755,FIND("/",G755)+1)-FIND("/",G755)-1)),VALUE(LEFT(G755,FIND("/",G755)-1)))+IFERROR(TIMEVALUE(TRIM(MID(G755,FIND(" ",G755)+1,20))),0),0)))</f>
        <v/>
      </c>
      <c r="J755" s="255">
        <f>IF(H755="",0,IF(ISNUMBER(H755),H755,IFERROR(DATE(VALUE(MID(H755,FIND("/",H755,FIND("/",H755)+1)+1,4)),VALUE(MID(H755,FIND("/",H755)+1,FIND("/",H755,FIND("/",H755)+1)-FIND("/",H755)-1)),VALUE(LEFT(H755,FIND("/",H755)-1)))+IFERROR(TIMEVALUE(TRIM(MID(H755,FIND(" ",H755)+1,20))),0),0)))</f>
        <v/>
      </c>
      <c r="K755" s="256">
        <f>IF(I755=0,0,INT(I755))</f>
        <v/>
      </c>
      <c r="L755" s="257">
        <f>IF(OR(I755=0,J755=0),0,ROUND((J755-I755)*24,2))</f>
        <v/>
      </c>
      <c r="M755" s="254">
        <f>IFERROR(TRIM(MID(A755,FIND("@",SUBSTITUTE(A755,"(","@",LEN(A755)-LEN(SUBSTITUTE(A755,"(",""))))+1,FIND(")",A755,FIND("@",SUBSTITUTE(A755,"(","@",LEN(A755)-LEN(SUBSTITUTE(A755,"(","")))))-FIND("@",SUBSTITUTE(A755,"(","@",LEN(A755)-LEN(SUBSTITUTE(A755,"(",""))))-1)),"")</f>
        <v/>
      </c>
      <c r="N755" s="254">
        <f>IF(A755="","",IF(LEFT(TRIM(A755),5)="Leave","Leave",IF(OR(ISNUMBER(SEARCH("public holiday",A755)),ISNUMBER(SEARCH("Purple",E755))),"Public holiday","Event")))</f>
        <v/>
      </c>
    </row>
    <row r="756">
      <c r="G756" s="254">
        <f>IF(C756="","",IF(ISNUMBER(C756),C756,IF(ISNUMBER(VALUE(LEFT(TRIM(C756),1))),TRIM(C756),TRIM(MID(TRIM(C756),FIND(" ",TRIM(C756))+1,99)))))</f>
        <v/>
      </c>
      <c r="H756" s="254">
        <f>IF(D756="","",IF(ISNUMBER(D756),D756,IF(ISNUMBER(VALUE(LEFT(TRIM(D756),1))),TRIM(D756),TRIM(MID(TRIM(D756),FIND(" ",TRIM(D756))+1,99)))))</f>
        <v/>
      </c>
      <c r="I756" s="255">
        <f>IF(G756="",0,IF(ISNUMBER(G756),G756,IFERROR(DATE(VALUE(MID(G756,FIND("/",G756,FIND("/",G756)+1)+1,4)),VALUE(MID(G756,FIND("/",G756)+1,FIND("/",G756,FIND("/",G756)+1)-FIND("/",G756)-1)),VALUE(LEFT(G756,FIND("/",G756)-1)))+IFERROR(TIMEVALUE(TRIM(MID(G756,FIND(" ",G756)+1,20))),0),0)))</f>
        <v/>
      </c>
      <c r="J756" s="255">
        <f>IF(H756="",0,IF(ISNUMBER(H756),H756,IFERROR(DATE(VALUE(MID(H756,FIND("/",H756,FIND("/",H756)+1)+1,4)),VALUE(MID(H756,FIND("/",H756)+1,FIND("/",H756,FIND("/",H756)+1)-FIND("/",H756)-1)),VALUE(LEFT(H756,FIND("/",H756)-1)))+IFERROR(TIMEVALUE(TRIM(MID(H756,FIND(" ",H756)+1,20))),0),0)))</f>
        <v/>
      </c>
      <c r="K756" s="256">
        <f>IF(I756=0,0,INT(I756))</f>
        <v/>
      </c>
      <c r="L756" s="257">
        <f>IF(OR(I756=0,J756=0),0,ROUND((J756-I756)*24,2))</f>
        <v/>
      </c>
      <c r="M756" s="254">
        <f>IFERROR(TRIM(MID(A756,FIND("@",SUBSTITUTE(A756,"(","@",LEN(A756)-LEN(SUBSTITUTE(A756,"(",""))))+1,FIND(")",A756,FIND("@",SUBSTITUTE(A756,"(","@",LEN(A756)-LEN(SUBSTITUTE(A756,"(","")))))-FIND("@",SUBSTITUTE(A756,"(","@",LEN(A756)-LEN(SUBSTITUTE(A756,"(",""))))-1)),"")</f>
        <v/>
      </c>
      <c r="N756" s="254">
        <f>IF(A756="","",IF(LEFT(TRIM(A756),5)="Leave","Leave",IF(OR(ISNUMBER(SEARCH("public holiday",A756)),ISNUMBER(SEARCH("Purple",E756))),"Public holiday","Event")))</f>
        <v/>
      </c>
    </row>
    <row r="757">
      <c r="G757" s="254">
        <f>IF(C757="","",IF(ISNUMBER(C757),C757,IF(ISNUMBER(VALUE(LEFT(TRIM(C757),1))),TRIM(C757),TRIM(MID(TRIM(C757),FIND(" ",TRIM(C757))+1,99)))))</f>
        <v/>
      </c>
      <c r="H757" s="254">
        <f>IF(D757="","",IF(ISNUMBER(D757),D757,IF(ISNUMBER(VALUE(LEFT(TRIM(D757),1))),TRIM(D757),TRIM(MID(TRIM(D757),FIND(" ",TRIM(D757))+1,99)))))</f>
        <v/>
      </c>
      <c r="I757" s="255">
        <f>IF(G757="",0,IF(ISNUMBER(G757),G757,IFERROR(DATE(VALUE(MID(G757,FIND("/",G757,FIND("/",G757)+1)+1,4)),VALUE(MID(G757,FIND("/",G757)+1,FIND("/",G757,FIND("/",G757)+1)-FIND("/",G757)-1)),VALUE(LEFT(G757,FIND("/",G757)-1)))+IFERROR(TIMEVALUE(TRIM(MID(G757,FIND(" ",G757)+1,20))),0),0)))</f>
        <v/>
      </c>
      <c r="J757" s="255">
        <f>IF(H757="",0,IF(ISNUMBER(H757),H757,IFERROR(DATE(VALUE(MID(H757,FIND("/",H757,FIND("/",H757)+1)+1,4)),VALUE(MID(H757,FIND("/",H757)+1,FIND("/",H757,FIND("/",H757)+1)-FIND("/",H757)-1)),VALUE(LEFT(H757,FIND("/",H757)-1)))+IFERROR(TIMEVALUE(TRIM(MID(H757,FIND(" ",H757)+1,20))),0),0)))</f>
        <v/>
      </c>
      <c r="K757" s="256">
        <f>IF(I757=0,0,INT(I757))</f>
        <v/>
      </c>
      <c r="L757" s="257">
        <f>IF(OR(I757=0,J757=0),0,ROUND((J757-I757)*24,2))</f>
        <v/>
      </c>
      <c r="M757" s="254">
        <f>IFERROR(TRIM(MID(A757,FIND("@",SUBSTITUTE(A757,"(","@",LEN(A757)-LEN(SUBSTITUTE(A757,"(",""))))+1,FIND(")",A757,FIND("@",SUBSTITUTE(A757,"(","@",LEN(A757)-LEN(SUBSTITUTE(A757,"(","")))))-FIND("@",SUBSTITUTE(A757,"(","@",LEN(A757)-LEN(SUBSTITUTE(A757,"(",""))))-1)),"")</f>
        <v/>
      </c>
      <c r="N757" s="254">
        <f>IF(A757="","",IF(LEFT(TRIM(A757),5)="Leave","Leave",IF(OR(ISNUMBER(SEARCH("public holiday",A757)),ISNUMBER(SEARCH("Purple",E757))),"Public holiday","Event")))</f>
        <v/>
      </c>
    </row>
    <row r="758">
      <c r="G758" s="254">
        <f>IF(C758="","",IF(ISNUMBER(C758),C758,IF(ISNUMBER(VALUE(LEFT(TRIM(C758),1))),TRIM(C758),TRIM(MID(TRIM(C758),FIND(" ",TRIM(C758))+1,99)))))</f>
        <v/>
      </c>
      <c r="H758" s="254">
        <f>IF(D758="","",IF(ISNUMBER(D758),D758,IF(ISNUMBER(VALUE(LEFT(TRIM(D758),1))),TRIM(D758),TRIM(MID(TRIM(D758),FIND(" ",TRIM(D758))+1,99)))))</f>
        <v/>
      </c>
      <c r="I758" s="255">
        <f>IF(G758="",0,IF(ISNUMBER(G758),G758,IFERROR(DATE(VALUE(MID(G758,FIND("/",G758,FIND("/",G758)+1)+1,4)),VALUE(MID(G758,FIND("/",G758)+1,FIND("/",G758,FIND("/",G758)+1)-FIND("/",G758)-1)),VALUE(LEFT(G758,FIND("/",G758)-1)))+IFERROR(TIMEVALUE(TRIM(MID(G758,FIND(" ",G758)+1,20))),0),0)))</f>
        <v/>
      </c>
      <c r="J758" s="255">
        <f>IF(H758="",0,IF(ISNUMBER(H758),H758,IFERROR(DATE(VALUE(MID(H758,FIND("/",H758,FIND("/",H758)+1)+1,4)),VALUE(MID(H758,FIND("/",H758)+1,FIND("/",H758,FIND("/",H758)+1)-FIND("/",H758)-1)),VALUE(LEFT(H758,FIND("/",H758)-1)))+IFERROR(TIMEVALUE(TRIM(MID(H758,FIND(" ",H758)+1,20))),0),0)))</f>
        <v/>
      </c>
      <c r="K758" s="256">
        <f>IF(I758=0,0,INT(I758))</f>
        <v/>
      </c>
      <c r="L758" s="257">
        <f>IF(OR(I758=0,J758=0),0,ROUND((J758-I758)*24,2))</f>
        <v/>
      </c>
      <c r="M758" s="254">
        <f>IFERROR(TRIM(MID(A758,FIND("@",SUBSTITUTE(A758,"(","@",LEN(A758)-LEN(SUBSTITUTE(A758,"(",""))))+1,FIND(")",A758,FIND("@",SUBSTITUTE(A758,"(","@",LEN(A758)-LEN(SUBSTITUTE(A758,"(","")))))-FIND("@",SUBSTITUTE(A758,"(","@",LEN(A758)-LEN(SUBSTITUTE(A758,"(",""))))-1)),"")</f>
        <v/>
      </c>
      <c r="N758" s="254">
        <f>IF(A758="","",IF(LEFT(TRIM(A758),5)="Leave","Leave",IF(OR(ISNUMBER(SEARCH("public holiday",A758)),ISNUMBER(SEARCH("Purple",E758))),"Public holiday","Event")))</f>
        <v/>
      </c>
    </row>
    <row r="759">
      <c r="G759" s="254">
        <f>IF(C759="","",IF(ISNUMBER(C759),C759,IF(ISNUMBER(VALUE(LEFT(TRIM(C759),1))),TRIM(C759),TRIM(MID(TRIM(C759),FIND(" ",TRIM(C759))+1,99)))))</f>
        <v/>
      </c>
      <c r="H759" s="254">
        <f>IF(D759="","",IF(ISNUMBER(D759),D759,IF(ISNUMBER(VALUE(LEFT(TRIM(D759),1))),TRIM(D759),TRIM(MID(TRIM(D759),FIND(" ",TRIM(D759))+1,99)))))</f>
        <v/>
      </c>
      <c r="I759" s="255">
        <f>IF(G759="",0,IF(ISNUMBER(G759),G759,IFERROR(DATE(VALUE(MID(G759,FIND("/",G759,FIND("/",G759)+1)+1,4)),VALUE(MID(G759,FIND("/",G759)+1,FIND("/",G759,FIND("/",G759)+1)-FIND("/",G759)-1)),VALUE(LEFT(G759,FIND("/",G759)-1)))+IFERROR(TIMEVALUE(TRIM(MID(G759,FIND(" ",G759)+1,20))),0),0)))</f>
        <v/>
      </c>
      <c r="J759" s="255">
        <f>IF(H759="",0,IF(ISNUMBER(H759),H759,IFERROR(DATE(VALUE(MID(H759,FIND("/",H759,FIND("/",H759)+1)+1,4)),VALUE(MID(H759,FIND("/",H759)+1,FIND("/",H759,FIND("/",H759)+1)-FIND("/",H759)-1)),VALUE(LEFT(H759,FIND("/",H759)-1)))+IFERROR(TIMEVALUE(TRIM(MID(H759,FIND(" ",H759)+1,20))),0),0)))</f>
        <v/>
      </c>
      <c r="K759" s="256">
        <f>IF(I759=0,0,INT(I759))</f>
        <v/>
      </c>
      <c r="L759" s="257">
        <f>IF(OR(I759=0,J759=0),0,ROUND((J759-I759)*24,2))</f>
        <v/>
      </c>
      <c r="M759" s="254">
        <f>IFERROR(TRIM(MID(A759,FIND("@",SUBSTITUTE(A759,"(","@",LEN(A759)-LEN(SUBSTITUTE(A759,"(",""))))+1,FIND(")",A759,FIND("@",SUBSTITUTE(A759,"(","@",LEN(A759)-LEN(SUBSTITUTE(A759,"(","")))))-FIND("@",SUBSTITUTE(A759,"(","@",LEN(A759)-LEN(SUBSTITUTE(A759,"(",""))))-1)),"")</f>
        <v/>
      </c>
      <c r="N759" s="254">
        <f>IF(A759="","",IF(LEFT(TRIM(A759),5)="Leave","Leave",IF(OR(ISNUMBER(SEARCH("public holiday",A759)),ISNUMBER(SEARCH("Purple",E759))),"Public holiday","Event")))</f>
        <v/>
      </c>
    </row>
    <row r="760">
      <c r="G760" s="254">
        <f>IF(C760="","",IF(ISNUMBER(C760),C760,IF(ISNUMBER(VALUE(LEFT(TRIM(C760),1))),TRIM(C760),TRIM(MID(TRIM(C760),FIND(" ",TRIM(C760))+1,99)))))</f>
        <v/>
      </c>
      <c r="H760" s="254">
        <f>IF(D760="","",IF(ISNUMBER(D760),D760,IF(ISNUMBER(VALUE(LEFT(TRIM(D760),1))),TRIM(D760),TRIM(MID(TRIM(D760),FIND(" ",TRIM(D760))+1,99)))))</f>
        <v/>
      </c>
      <c r="I760" s="255">
        <f>IF(G760="",0,IF(ISNUMBER(G760),G760,IFERROR(DATE(VALUE(MID(G760,FIND("/",G760,FIND("/",G760)+1)+1,4)),VALUE(MID(G760,FIND("/",G760)+1,FIND("/",G760,FIND("/",G760)+1)-FIND("/",G760)-1)),VALUE(LEFT(G760,FIND("/",G760)-1)))+IFERROR(TIMEVALUE(TRIM(MID(G760,FIND(" ",G760)+1,20))),0),0)))</f>
        <v/>
      </c>
      <c r="J760" s="255">
        <f>IF(H760="",0,IF(ISNUMBER(H760),H760,IFERROR(DATE(VALUE(MID(H760,FIND("/",H760,FIND("/",H760)+1)+1,4)),VALUE(MID(H760,FIND("/",H760)+1,FIND("/",H760,FIND("/",H760)+1)-FIND("/",H760)-1)),VALUE(LEFT(H760,FIND("/",H760)-1)))+IFERROR(TIMEVALUE(TRIM(MID(H760,FIND(" ",H760)+1,20))),0),0)))</f>
        <v/>
      </c>
      <c r="K760" s="256">
        <f>IF(I760=0,0,INT(I760))</f>
        <v/>
      </c>
      <c r="L760" s="257">
        <f>IF(OR(I760=0,J760=0),0,ROUND((J760-I760)*24,2))</f>
        <v/>
      </c>
      <c r="M760" s="254">
        <f>IFERROR(TRIM(MID(A760,FIND("@",SUBSTITUTE(A760,"(","@",LEN(A760)-LEN(SUBSTITUTE(A760,"(",""))))+1,FIND(")",A760,FIND("@",SUBSTITUTE(A760,"(","@",LEN(A760)-LEN(SUBSTITUTE(A760,"(","")))))-FIND("@",SUBSTITUTE(A760,"(","@",LEN(A760)-LEN(SUBSTITUTE(A760,"(",""))))-1)),"")</f>
        <v/>
      </c>
      <c r="N760" s="254">
        <f>IF(A760="","",IF(LEFT(TRIM(A760),5)="Leave","Leave",IF(OR(ISNUMBER(SEARCH("public holiday",A760)),ISNUMBER(SEARCH("Purple",E760))),"Public holiday","Event")))</f>
        <v/>
      </c>
    </row>
    <row r="761">
      <c r="G761" s="254">
        <f>IF(C761="","",IF(ISNUMBER(C761),C761,IF(ISNUMBER(VALUE(LEFT(TRIM(C761),1))),TRIM(C761),TRIM(MID(TRIM(C761),FIND(" ",TRIM(C761))+1,99)))))</f>
        <v/>
      </c>
      <c r="H761" s="254">
        <f>IF(D761="","",IF(ISNUMBER(D761),D761,IF(ISNUMBER(VALUE(LEFT(TRIM(D761),1))),TRIM(D761),TRIM(MID(TRIM(D761),FIND(" ",TRIM(D761))+1,99)))))</f>
        <v/>
      </c>
      <c r="I761" s="255">
        <f>IF(G761="",0,IF(ISNUMBER(G761),G761,IFERROR(DATE(VALUE(MID(G761,FIND("/",G761,FIND("/",G761)+1)+1,4)),VALUE(MID(G761,FIND("/",G761)+1,FIND("/",G761,FIND("/",G761)+1)-FIND("/",G761)-1)),VALUE(LEFT(G761,FIND("/",G761)-1)))+IFERROR(TIMEVALUE(TRIM(MID(G761,FIND(" ",G761)+1,20))),0),0)))</f>
        <v/>
      </c>
      <c r="J761" s="255">
        <f>IF(H761="",0,IF(ISNUMBER(H761),H761,IFERROR(DATE(VALUE(MID(H761,FIND("/",H761,FIND("/",H761)+1)+1,4)),VALUE(MID(H761,FIND("/",H761)+1,FIND("/",H761,FIND("/",H761)+1)-FIND("/",H761)-1)),VALUE(LEFT(H761,FIND("/",H761)-1)))+IFERROR(TIMEVALUE(TRIM(MID(H761,FIND(" ",H761)+1,20))),0),0)))</f>
        <v/>
      </c>
      <c r="K761" s="256">
        <f>IF(I761=0,0,INT(I761))</f>
        <v/>
      </c>
      <c r="L761" s="257">
        <f>IF(OR(I761=0,J761=0),0,ROUND((J761-I761)*24,2))</f>
        <v/>
      </c>
      <c r="M761" s="254">
        <f>IFERROR(TRIM(MID(A761,FIND("@",SUBSTITUTE(A761,"(","@",LEN(A761)-LEN(SUBSTITUTE(A761,"(",""))))+1,FIND(")",A761,FIND("@",SUBSTITUTE(A761,"(","@",LEN(A761)-LEN(SUBSTITUTE(A761,"(","")))))-FIND("@",SUBSTITUTE(A761,"(","@",LEN(A761)-LEN(SUBSTITUTE(A761,"(",""))))-1)),"")</f>
        <v/>
      </c>
      <c r="N761" s="254">
        <f>IF(A761="","",IF(LEFT(TRIM(A761),5)="Leave","Leave",IF(OR(ISNUMBER(SEARCH("public holiday",A761)),ISNUMBER(SEARCH("Purple",E761))),"Public holiday","Event")))</f>
        <v/>
      </c>
    </row>
    <row r="762">
      <c r="G762" s="254">
        <f>IF(C762="","",IF(ISNUMBER(C762),C762,IF(ISNUMBER(VALUE(LEFT(TRIM(C762),1))),TRIM(C762),TRIM(MID(TRIM(C762),FIND(" ",TRIM(C762))+1,99)))))</f>
        <v/>
      </c>
      <c r="H762" s="254">
        <f>IF(D762="","",IF(ISNUMBER(D762),D762,IF(ISNUMBER(VALUE(LEFT(TRIM(D762),1))),TRIM(D762),TRIM(MID(TRIM(D762),FIND(" ",TRIM(D762))+1,99)))))</f>
        <v/>
      </c>
      <c r="I762" s="255">
        <f>IF(G762="",0,IF(ISNUMBER(G762),G762,IFERROR(DATE(VALUE(MID(G762,FIND("/",G762,FIND("/",G762)+1)+1,4)),VALUE(MID(G762,FIND("/",G762)+1,FIND("/",G762,FIND("/",G762)+1)-FIND("/",G762)-1)),VALUE(LEFT(G762,FIND("/",G762)-1)))+IFERROR(TIMEVALUE(TRIM(MID(G762,FIND(" ",G762)+1,20))),0),0)))</f>
        <v/>
      </c>
      <c r="J762" s="255">
        <f>IF(H762="",0,IF(ISNUMBER(H762),H762,IFERROR(DATE(VALUE(MID(H762,FIND("/",H762,FIND("/",H762)+1)+1,4)),VALUE(MID(H762,FIND("/",H762)+1,FIND("/",H762,FIND("/",H762)+1)-FIND("/",H762)-1)),VALUE(LEFT(H762,FIND("/",H762)-1)))+IFERROR(TIMEVALUE(TRIM(MID(H762,FIND(" ",H762)+1,20))),0),0)))</f>
        <v/>
      </c>
      <c r="K762" s="256">
        <f>IF(I762=0,0,INT(I762))</f>
        <v/>
      </c>
      <c r="L762" s="257">
        <f>IF(OR(I762=0,J762=0),0,ROUND((J762-I762)*24,2))</f>
        <v/>
      </c>
      <c r="M762" s="254">
        <f>IFERROR(TRIM(MID(A762,FIND("@",SUBSTITUTE(A762,"(","@",LEN(A762)-LEN(SUBSTITUTE(A762,"(",""))))+1,FIND(")",A762,FIND("@",SUBSTITUTE(A762,"(","@",LEN(A762)-LEN(SUBSTITUTE(A762,"(","")))))-FIND("@",SUBSTITUTE(A762,"(","@",LEN(A762)-LEN(SUBSTITUTE(A762,"(",""))))-1)),"")</f>
        <v/>
      </c>
      <c r="N762" s="254">
        <f>IF(A762="","",IF(LEFT(TRIM(A762),5)="Leave","Leave",IF(OR(ISNUMBER(SEARCH("public holiday",A762)),ISNUMBER(SEARCH("Purple",E762))),"Public holiday","Event")))</f>
        <v/>
      </c>
    </row>
    <row r="763">
      <c r="G763" s="254">
        <f>IF(C763="","",IF(ISNUMBER(C763),C763,IF(ISNUMBER(VALUE(LEFT(TRIM(C763),1))),TRIM(C763),TRIM(MID(TRIM(C763),FIND(" ",TRIM(C763))+1,99)))))</f>
        <v/>
      </c>
      <c r="H763" s="254">
        <f>IF(D763="","",IF(ISNUMBER(D763),D763,IF(ISNUMBER(VALUE(LEFT(TRIM(D763),1))),TRIM(D763),TRIM(MID(TRIM(D763),FIND(" ",TRIM(D763))+1,99)))))</f>
        <v/>
      </c>
      <c r="I763" s="255">
        <f>IF(G763="",0,IF(ISNUMBER(G763),G763,IFERROR(DATE(VALUE(MID(G763,FIND("/",G763,FIND("/",G763)+1)+1,4)),VALUE(MID(G763,FIND("/",G763)+1,FIND("/",G763,FIND("/",G763)+1)-FIND("/",G763)-1)),VALUE(LEFT(G763,FIND("/",G763)-1)))+IFERROR(TIMEVALUE(TRIM(MID(G763,FIND(" ",G763)+1,20))),0),0)))</f>
        <v/>
      </c>
      <c r="J763" s="255">
        <f>IF(H763="",0,IF(ISNUMBER(H763),H763,IFERROR(DATE(VALUE(MID(H763,FIND("/",H763,FIND("/",H763)+1)+1,4)),VALUE(MID(H763,FIND("/",H763)+1,FIND("/",H763,FIND("/",H763)+1)-FIND("/",H763)-1)),VALUE(LEFT(H763,FIND("/",H763)-1)))+IFERROR(TIMEVALUE(TRIM(MID(H763,FIND(" ",H763)+1,20))),0),0)))</f>
        <v/>
      </c>
      <c r="K763" s="256">
        <f>IF(I763=0,0,INT(I763))</f>
        <v/>
      </c>
      <c r="L763" s="257">
        <f>IF(OR(I763=0,J763=0),0,ROUND((J763-I763)*24,2))</f>
        <v/>
      </c>
      <c r="M763" s="254">
        <f>IFERROR(TRIM(MID(A763,FIND("@",SUBSTITUTE(A763,"(","@",LEN(A763)-LEN(SUBSTITUTE(A763,"(",""))))+1,FIND(")",A763,FIND("@",SUBSTITUTE(A763,"(","@",LEN(A763)-LEN(SUBSTITUTE(A763,"(","")))))-FIND("@",SUBSTITUTE(A763,"(","@",LEN(A763)-LEN(SUBSTITUTE(A763,"(",""))))-1)),"")</f>
        <v/>
      </c>
      <c r="N763" s="254">
        <f>IF(A763="","",IF(LEFT(TRIM(A763),5)="Leave","Leave",IF(OR(ISNUMBER(SEARCH("public holiday",A763)),ISNUMBER(SEARCH("Purple",E763))),"Public holiday","Event")))</f>
        <v/>
      </c>
    </row>
    <row r="764">
      <c r="G764" s="254">
        <f>IF(C764="","",IF(ISNUMBER(C764),C764,IF(ISNUMBER(VALUE(LEFT(TRIM(C764),1))),TRIM(C764),TRIM(MID(TRIM(C764),FIND(" ",TRIM(C764))+1,99)))))</f>
        <v/>
      </c>
      <c r="H764" s="254">
        <f>IF(D764="","",IF(ISNUMBER(D764),D764,IF(ISNUMBER(VALUE(LEFT(TRIM(D764),1))),TRIM(D764),TRIM(MID(TRIM(D764),FIND(" ",TRIM(D764))+1,99)))))</f>
        <v/>
      </c>
      <c r="I764" s="255">
        <f>IF(G764="",0,IF(ISNUMBER(G764),G764,IFERROR(DATE(VALUE(MID(G764,FIND("/",G764,FIND("/",G764)+1)+1,4)),VALUE(MID(G764,FIND("/",G764)+1,FIND("/",G764,FIND("/",G764)+1)-FIND("/",G764)-1)),VALUE(LEFT(G764,FIND("/",G764)-1)))+IFERROR(TIMEVALUE(TRIM(MID(G764,FIND(" ",G764)+1,20))),0),0)))</f>
        <v/>
      </c>
      <c r="J764" s="255">
        <f>IF(H764="",0,IF(ISNUMBER(H764),H764,IFERROR(DATE(VALUE(MID(H764,FIND("/",H764,FIND("/",H764)+1)+1,4)),VALUE(MID(H764,FIND("/",H764)+1,FIND("/",H764,FIND("/",H764)+1)-FIND("/",H764)-1)),VALUE(LEFT(H764,FIND("/",H764)-1)))+IFERROR(TIMEVALUE(TRIM(MID(H764,FIND(" ",H764)+1,20))),0),0)))</f>
        <v/>
      </c>
      <c r="K764" s="256">
        <f>IF(I764=0,0,INT(I764))</f>
        <v/>
      </c>
      <c r="L764" s="257">
        <f>IF(OR(I764=0,J764=0),0,ROUND((J764-I764)*24,2))</f>
        <v/>
      </c>
      <c r="M764" s="254">
        <f>IFERROR(TRIM(MID(A764,FIND("@",SUBSTITUTE(A764,"(","@",LEN(A764)-LEN(SUBSTITUTE(A764,"(",""))))+1,FIND(")",A764,FIND("@",SUBSTITUTE(A764,"(","@",LEN(A764)-LEN(SUBSTITUTE(A764,"(","")))))-FIND("@",SUBSTITUTE(A764,"(","@",LEN(A764)-LEN(SUBSTITUTE(A764,"(",""))))-1)),"")</f>
        <v/>
      </c>
      <c r="N764" s="254">
        <f>IF(A764="","",IF(LEFT(TRIM(A764),5)="Leave","Leave",IF(OR(ISNUMBER(SEARCH("public holiday",A764)),ISNUMBER(SEARCH("Purple",E764))),"Public holiday","Event")))</f>
        <v/>
      </c>
    </row>
    <row r="765">
      <c r="G765" s="254">
        <f>IF(C765="","",IF(ISNUMBER(C765),C765,IF(ISNUMBER(VALUE(LEFT(TRIM(C765),1))),TRIM(C765),TRIM(MID(TRIM(C765),FIND(" ",TRIM(C765))+1,99)))))</f>
        <v/>
      </c>
      <c r="H765" s="254">
        <f>IF(D765="","",IF(ISNUMBER(D765),D765,IF(ISNUMBER(VALUE(LEFT(TRIM(D765),1))),TRIM(D765),TRIM(MID(TRIM(D765),FIND(" ",TRIM(D765))+1,99)))))</f>
        <v/>
      </c>
      <c r="I765" s="255">
        <f>IF(G765="",0,IF(ISNUMBER(G765),G765,IFERROR(DATE(VALUE(MID(G765,FIND("/",G765,FIND("/",G765)+1)+1,4)),VALUE(MID(G765,FIND("/",G765)+1,FIND("/",G765,FIND("/",G765)+1)-FIND("/",G765)-1)),VALUE(LEFT(G765,FIND("/",G765)-1)))+IFERROR(TIMEVALUE(TRIM(MID(G765,FIND(" ",G765)+1,20))),0),0)))</f>
        <v/>
      </c>
      <c r="J765" s="255">
        <f>IF(H765="",0,IF(ISNUMBER(H765),H765,IFERROR(DATE(VALUE(MID(H765,FIND("/",H765,FIND("/",H765)+1)+1,4)),VALUE(MID(H765,FIND("/",H765)+1,FIND("/",H765,FIND("/",H765)+1)-FIND("/",H765)-1)),VALUE(LEFT(H765,FIND("/",H765)-1)))+IFERROR(TIMEVALUE(TRIM(MID(H765,FIND(" ",H765)+1,20))),0),0)))</f>
        <v/>
      </c>
      <c r="K765" s="256">
        <f>IF(I765=0,0,INT(I765))</f>
        <v/>
      </c>
      <c r="L765" s="257">
        <f>IF(OR(I765=0,J765=0),0,ROUND((J765-I765)*24,2))</f>
        <v/>
      </c>
      <c r="M765" s="254">
        <f>IFERROR(TRIM(MID(A765,FIND("@",SUBSTITUTE(A765,"(","@",LEN(A765)-LEN(SUBSTITUTE(A765,"(",""))))+1,FIND(")",A765,FIND("@",SUBSTITUTE(A765,"(","@",LEN(A765)-LEN(SUBSTITUTE(A765,"(","")))))-FIND("@",SUBSTITUTE(A765,"(","@",LEN(A765)-LEN(SUBSTITUTE(A765,"(",""))))-1)),"")</f>
        <v/>
      </c>
      <c r="N765" s="254">
        <f>IF(A765="","",IF(LEFT(TRIM(A765),5)="Leave","Leave",IF(OR(ISNUMBER(SEARCH("public holiday",A765)),ISNUMBER(SEARCH("Purple",E765))),"Public holiday","Event")))</f>
        <v/>
      </c>
    </row>
    <row r="766">
      <c r="G766" s="254">
        <f>IF(C766="","",IF(ISNUMBER(C766),C766,IF(ISNUMBER(VALUE(LEFT(TRIM(C766),1))),TRIM(C766),TRIM(MID(TRIM(C766),FIND(" ",TRIM(C766))+1,99)))))</f>
        <v/>
      </c>
      <c r="H766" s="254">
        <f>IF(D766="","",IF(ISNUMBER(D766),D766,IF(ISNUMBER(VALUE(LEFT(TRIM(D766),1))),TRIM(D766),TRIM(MID(TRIM(D766),FIND(" ",TRIM(D766))+1,99)))))</f>
        <v/>
      </c>
      <c r="I766" s="255">
        <f>IF(G766="",0,IF(ISNUMBER(G766),G766,IFERROR(DATE(VALUE(MID(G766,FIND("/",G766,FIND("/",G766)+1)+1,4)),VALUE(MID(G766,FIND("/",G766)+1,FIND("/",G766,FIND("/",G766)+1)-FIND("/",G766)-1)),VALUE(LEFT(G766,FIND("/",G766)-1)))+IFERROR(TIMEVALUE(TRIM(MID(G766,FIND(" ",G766)+1,20))),0),0)))</f>
        <v/>
      </c>
      <c r="J766" s="255">
        <f>IF(H766="",0,IF(ISNUMBER(H766),H766,IFERROR(DATE(VALUE(MID(H766,FIND("/",H766,FIND("/",H766)+1)+1,4)),VALUE(MID(H766,FIND("/",H766)+1,FIND("/",H766,FIND("/",H766)+1)-FIND("/",H766)-1)),VALUE(LEFT(H766,FIND("/",H766)-1)))+IFERROR(TIMEVALUE(TRIM(MID(H766,FIND(" ",H766)+1,20))),0),0)))</f>
        <v/>
      </c>
      <c r="K766" s="256">
        <f>IF(I766=0,0,INT(I766))</f>
        <v/>
      </c>
      <c r="L766" s="257">
        <f>IF(OR(I766=0,J766=0),0,ROUND((J766-I766)*24,2))</f>
        <v/>
      </c>
      <c r="M766" s="254">
        <f>IFERROR(TRIM(MID(A766,FIND("@",SUBSTITUTE(A766,"(","@",LEN(A766)-LEN(SUBSTITUTE(A766,"(",""))))+1,FIND(")",A766,FIND("@",SUBSTITUTE(A766,"(","@",LEN(A766)-LEN(SUBSTITUTE(A766,"(","")))))-FIND("@",SUBSTITUTE(A766,"(","@",LEN(A766)-LEN(SUBSTITUTE(A766,"(",""))))-1)),"")</f>
        <v/>
      </c>
      <c r="N766" s="254">
        <f>IF(A766="","",IF(LEFT(TRIM(A766),5)="Leave","Leave",IF(OR(ISNUMBER(SEARCH("public holiday",A766)),ISNUMBER(SEARCH("Purple",E766))),"Public holiday","Event")))</f>
        <v/>
      </c>
    </row>
    <row r="767">
      <c r="G767" s="254">
        <f>IF(C767="","",IF(ISNUMBER(C767),C767,IF(ISNUMBER(VALUE(LEFT(TRIM(C767),1))),TRIM(C767),TRIM(MID(TRIM(C767),FIND(" ",TRIM(C767))+1,99)))))</f>
        <v/>
      </c>
      <c r="H767" s="254">
        <f>IF(D767="","",IF(ISNUMBER(D767),D767,IF(ISNUMBER(VALUE(LEFT(TRIM(D767),1))),TRIM(D767),TRIM(MID(TRIM(D767),FIND(" ",TRIM(D767))+1,99)))))</f>
        <v/>
      </c>
      <c r="I767" s="255">
        <f>IF(G767="",0,IF(ISNUMBER(G767),G767,IFERROR(DATE(VALUE(MID(G767,FIND("/",G767,FIND("/",G767)+1)+1,4)),VALUE(MID(G767,FIND("/",G767)+1,FIND("/",G767,FIND("/",G767)+1)-FIND("/",G767)-1)),VALUE(LEFT(G767,FIND("/",G767)-1)))+IFERROR(TIMEVALUE(TRIM(MID(G767,FIND(" ",G767)+1,20))),0),0)))</f>
        <v/>
      </c>
      <c r="J767" s="255">
        <f>IF(H767="",0,IF(ISNUMBER(H767),H767,IFERROR(DATE(VALUE(MID(H767,FIND("/",H767,FIND("/",H767)+1)+1,4)),VALUE(MID(H767,FIND("/",H767)+1,FIND("/",H767,FIND("/",H767)+1)-FIND("/",H767)-1)),VALUE(LEFT(H767,FIND("/",H767)-1)))+IFERROR(TIMEVALUE(TRIM(MID(H767,FIND(" ",H767)+1,20))),0),0)))</f>
        <v/>
      </c>
      <c r="K767" s="256">
        <f>IF(I767=0,0,INT(I767))</f>
        <v/>
      </c>
      <c r="L767" s="257">
        <f>IF(OR(I767=0,J767=0),0,ROUND((J767-I767)*24,2))</f>
        <v/>
      </c>
      <c r="M767" s="254">
        <f>IFERROR(TRIM(MID(A767,FIND("@",SUBSTITUTE(A767,"(","@",LEN(A767)-LEN(SUBSTITUTE(A767,"(",""))))+1,FIND(")",A767,FIND("@",SUBSTITUTE(A767,"(","@",LEN(A767)-LEN(SUBSTITUTE(A767,"(","")))))-FIND("@",SUBSTITUTE(A767,"(","@",LEN(A767)-LEN(SUBSTITUTE(A767,"(",""))))-1)),"")</f>
        <v/>
      </c>
      <c r="N767" s="254">
        <f>IF(A767="","",IF(LEFT(TRIM(A767),5)="Leave","Leave",IF(OR(ISNUMBER(SEARCH("public holiday",A767)),ISNUMBER(SEARCH("Purple",E767))),"Public holiday","Event")))</f>
        <v/>
      </c>
    </row>
    <row r="768">
      <c r="G768" s="254">
        <f>IF(C768="","",IF(ISNUMBER(C768),C768,IF(ISNUMBER(VALUE(LEFT(TRIM(C768),1))),TRIM(C768),TRIM(MID(TRIM(C768),FIND(" ",TRIM(C768))+1,99)))))</f>
        <v/>
      </c>
      <c r="H768" s="254">
        <f>IF(D768="","",IF(ISNUMBER(D768),D768,IF(ISNUMBER(VALUE(LEFT(TRIM(D768),1))),TRIM(D768),TRIM(MID(TRIM(D768),FIND(" ",TRIM(D768))+1,99)))))</f>
        <v/>
      </c>
      <c r="I768" s="255">
        <f>IF(G768="",0,IF(ISNUMBER(G768),G768,IFERROR(DATE(VALUE(MID(G768,FIND("/",G768,FIND("/",G768)+1)+1,4)),VALUE(MID(G768,FIND("/",G768)+1,FIND("/",G768,FIND("/",G768)+1)-FIND("/",G768)-1)),VALUE(LEFT(G768,FIND("/",G768)-1)))+IFERROR(TIMEVALUE(TRIM(MID(G768,FIND(" ",G768)+1,20))),0),0)))</f>
        <v/>
      </c>
      <c r="J768" s="255">
        <f>IF(H768="",0,IF(ISNUMBER(H768),H768,IFERROR(DATE(VALUE(MID(H768,FIND("/",H768,FIND("/",H768)+1)+1,4)),VALUE(MID(H768,FIND("/",H768)+1,FIND("/",H768,FIND("/",H768)+1)-FIND("/",H768)-1)),VALUE(LEFT(H768,FIND("/",H768)-1)))+IFERROR(TIMEVALUE(TRIM(MID(H768,FIND(" ",H768)+1,20))),0),0)))</f>
        <v/>
      </c>
      <c r="K768" s="256">
        <f>IF(I768=0,0,INT(I768))</f>
        <v/>
      </c>
      <c r="L768" s="257">
        <f>IF(OR(I768=0,J768=0),0,ROUND((J768-I768)*24,2))</f>
        <v/>
      </c>
      <c r="M768" s="254">
        <f>IFERROR(TRIM(MID(A768,FIND("@",SUBSTITUTE(A768,"(","@",LEN(A768)-LEN(SUBSTITUTE(A768,"(",""))))+1,FIND(")",A768,FIND("@",SUBSTITUTE(A768,"(","@",LEN(A768)-LEN(SUBSTITUTE(A768,"(","")))))-FIND("@",SUBSTITUTE(A768,"(","@",LEN(A768)-LEN(SUBSTITUTE(A768,"(",""))))-1)),"")</f>
        <v/>
      </c>
      <c r="N768" s="254">
        <f>IF(A768="","",IF(LEFT(TRIM(A768),5)="Leave","Leave",IF(OR(ISNUMBER(SEARCH("public holiday",A768)),ISNUMBER(SEARCH("Purple",E768))),"Public holiday","Event")))</f>
        <v/>
      </c>
    </row>
    <row r="769">
      <c r="G769" s="254">
        <f>IF(C769="","",IF(ISNUMBER(C769),C769,IF(ISNUMBER(VALUE(LEFT(TRIM(C769),1))),TRIM(C769),TRIM(MID(TRIM(C769),FIND(" ",TRIM(C769))+1,99)))))</f>
        <v/>
      </c>
      <c r="H769" s="254">
        <f>IF(D769="","",IF(ISNUMBER(D769),D769,IF(ISNUMBER(VALUE(LEFT(TRIM(D769),1))),TRIM(D769),TRIM(MID(TRIM(D769),FIND(" ",TRIM(D769))+1,99)))))</f>
        <v/>
      </c>
      <c r="I769" s="255">
        <f>IF(G769="",0,IF(ISNUMBER(G769),G769,IFERROR(DATE(VALUE(MID(G769,FIND("/",G769,FIND("/",G769)+1)+1,4)),VALUE(MID(G769,FIND("/",G769)+1,FIND("/",G769,FIND("/",G769)+1)-FIND("/",G769)-1)),VALUE(LEFT(G769,FIND("/",G769)-1)))+IFERROR(TIMEVALUE(TRIM(MID(G769,FIND(" ",G769)+1,20))),0),0)))</f>
        <v/>
      </c>
      <c r="J769" s="255">
        <f>IF(H769="",0,IF(ISNUMBER(H769),H769,IFERROR(DATE(VALUE(MID(H769,FIND("/",H769,FIND("/",H769)+1)+1,4)),VALUE(MID(H769,FIND("/",H769)+1,FIND("/",H769,FIND("/",H769)+1)-FIND("/",H769)-1)),VALUE(LEFT(H769,FIND("/",H769)-1)))+IFERROR(TIMEVALUE(TRIM(MID(H769,FIND(" ",H769)+1,20))),0),0)))</f>
        <v/>
      </c>
      <c r="K769" s="256">
        <f>IF(I769=0,0,INT(I769))</f>
        <v/>
      </c>
      <c r="L769" s="257">
        <f>IF(OR(I769=0,J769=0),0,ROUND((J769-I769)*24,2))</f>
        <v/>
      </c>
      <c r="M769" s="254">
        <f>IFERROR(TRIM(MID(A769,FIND("@",SUBSTITUTE(A769,"(","@",LEN(A769)-LEN(SUBSTITUTE(A769,"(",""))))+1,FIND(")",A769,FIND("@",SUBSTITUTE(A769,"(","@",LEN(A769)-LEN(SUBSTITUTE(A769,"(","")))))-FIND("@",SUBSTITUTE(A769,"(","@",LEN(A769)-LEN(SUBSTITUTE(A769,"(",""))))-1)),"")</f>
        <v/>
      </c>
      <c r="N769" s="254">
        <f>IF(A769="","",IF(LEFT(TRIM(A769),5)="Leave","Leave",IF(OR(ISNUMBER(SEARCH("public holiday",A769)),ISNUMBER(SEARCH("Purple",E769))),"Public holiday","Event")))</f>
        <v/>
      </c>
    </row>
    <row r="770">
      <c r="G770" s="254">
        <f>IF(C770="","",IF(ISNUMBER(C770),C770,IF(ISNUMBER(VALUE(LEFT(TRIM(C770),1))),TRIM(C770),TRIM(MID(TRIM(C770),FIND(" ",TRIM(C770))+1,99)))))</f>
        <v/>
      </c>
      <c r="H770" s="254">
        <f>IF(D770="","",IF(ISNUMBER(D770),D770,IF(ISNUMBER(VALUE(LEFT(TRIM(D770),1))),TRIM(D770),TRIM(MID(TRIM(D770),FIND(" ",TRIM(D770))+1,99)))))</f>
        <v/>
      </c>
      <c r="I770" s="255">
        <f>IF(G770="",0,IF(ISNUMBER(G770),G770,IFERROR(DATE(VALUE(MID(G770,FIND("/",G770,FIND("/",G770)+1)+1,4)),VALUE(MID(G770,FIND("/",G770)+1,FIND("/",G770,FIND("/",G770)+1)-FIND("/",G770)-1)),VALUE(LEFT(G770,FIND("/",G770)-1)))+IFERROR(TIMEVALUE(TRIM(MID(G770,FIND(" ",G770)+1,20))),0),0)))</f>
        <v/>
      </c>
      <c r="J770" s="255">
        <f>IF(H770="",0,IF(ISNUMBER(H770),H770,IFERROR(DATE(VALUE(MID(H770,FIND("/",H770,FIND("/",H770)+1)+1,4)),VALUE(MID(H770,FIND("/",H770)+1,FIND("/",H770,FIND("/",H770)+1)-FIND("/",H770)-1)),VALUE(LEFT(H770,FIND("/",H770)-1)))+IFERROR(TIMEVALUE(TRIM(MID(H770,FIND(" ",H770)+1,20))),0),0)))</f>
        <v/>
      </c>
      <c r="K770" s="256">
        <f>IF(I770=0,0,INT(I770))</f>
        <v/>
      </c>
      <c r="L770" s="257">
        <f>IF(OR(I770=0,J770=0),0,ROUND((J770-I770)*24,2))</f>
        <v/>
      </c>
      <c r="M770" s="254">
        <f>IFERROR(TRIM(MID(A770,FIND("@",SUBSTITUTE(A770,"(","@",LEN(A770)-LEN(SUBSTITUTE(A770,"(",""))))+1,FIND(")",A770,FIND("@",SUBSTITUTE(A770,"(","@",LEN(A770)-LEN(SUBSTITUTE(A770,"(","")))))-FIND("@",SUBSTITUTE(A770,"(","@",LEN(A770)-LEN(SUBSTITUTE(A770,"(",""))))-1)),"")</f>
        <v/>
      </c>
      <c r="N770" s="254">
        <f>IF(A770="","",IF(LEFT(TRIM(A770),5)="Leave","Leave",IF(OR(ISNUMBER(SEARCH("public holiday",A770)),ISNUMBER(SEARCH("Purple",E770))),"Public holiday","Event")))</f>
        <v/>
      </c>
    </row>
    <row r="771">
      <c r="G771" s="254">
        <f>IF(C771="","",IF(ISNUMBER(C771),C771,IF(ISNUMBER(VALUE(LEFT(TRIM(C771),1))),TRIM(C771),TRIM(MID(TRIM(C771),FIND(" ",TRIM(C771))+1,99)))))</f>
        <v/>
      </c>
      <c r="H771" s="254">
        <f>IF(D771="","",IF(ISNUMBER(D771),D771,IF(ISNUMBER(VALUE(LEFT(TRIM(D771),1))),TRIM(D771),TRIM(MID(TRIM(D771),FIND(" ",TRIM(D771))+1,99)))))</f>
        <v/>
      </c>
      <c r="I771" s="255">
        <f>IF(G771="",0,IF(ISNUMBER(G771),G771,IFERROR(DATE(VALUE(MID(G771,FIND("/",G771,FIND("/",G771)+1)+1,4)),VALUE(MID(G771,FIND("/",G771)+1,FIND("/",G771,FIND("/",G771)+1)-FIND("/",G771)-1)),VALUE(LEFT(G771,FIND("/",G771)-1)))+IFERROR(TIMEVALUE(TRIM(MID(G771,FIND(" ",G771)+1,20))),0),0)))</f>
        <v/>
      </c>
      <c r="J771" s="255">
        <f>IF(H771="",0,IF(ISNUMBER(H771),H771,IFERROR(DATE(VALUE(MID(H771,FIND("/",H771,FIND("/",H771)+1)+1,4)),VALUE(MID(H771,FIND("/",H771)+1,FIND("/",H771,FIND("/",H771)+1)-FIND("/",H771)-1)),VALUE(LEFT(H771,FIND("/",H771)-1)))+IFERROR(TIMEVALUE(TRIM(MID(H771,FIND(" ",H771)+1,20))),0),0)))</f>
        <v/>
      </c>
      <c r="K771" s="256">
        <f>IF(I771=0,0,INT(I771))</f>
        <v/>
      </c>
      <c r="L771" s="257">
        <f>IF(OR(I771=0,J771=0),0,ROUND((J771-I771)*24,2))</f>
        <v/>
      </c>
      <c r="M771" s="254">
        <f>IFERROR(TRIM(MID(A771,FIND("@",SUBSTITUTE(A771,"(","@",LEN(A771)-LEN(SUBSTITUTE(A771,"(",""))))+1,FIND(")",A771,FIND("@",SUBSTITUTE(A771,"(","@",LEN(A771)-LEN(SUBSTITUTE(A771,"(","")))))-FIND("@",SUBSTITUTE(A771,"(","@",LEN(A771)-LEN(SUBSTITUTE(A771,"(",""))))-1)),"")</f>
        <v/>
      </c>
      <c r="N771" s="254">
        <f>IF(A771="","",IF(LEFT(TRIM(A771),5)="Leave","Leave",IF(OR(ISNUMBER(SEARCH("public holiday",A771)),ISNUMBER(SEARCH("Purple",E771))),"Public holiday","Event")))</f>
        <v/>
      </c>
    </row>
    <row r="772">
      <c r="G772" s="254">
        <f>IF(C772="","",IF(ISNUMBER(C772),C772,IF(ISNUMBER(VALUE(LEFT(TRIM(C772),1))),TRIM(C772),TRIM(MID(TRIM(C772),FIND(" ",TRIM(C772))+1,99)))))</f>
        <v/>
      </c>
      <c r="H772" s="254">
        <f>IF(D772="","",IF(ISNUMBER(D772),D772,IF(ISNUMBER(VALUE(LEFT(TRIM(D772),1))),TRIM(D772),TRIM(MID(TRIM(D772),FIND(" ",TRIM(D772))+1,99)))))</f>
        <v/>
      </c>
      <c r="I772" s="255">
        <f>IF(G772="",0,IF(ISNUMBER(G772),G772,IFERROR(DATE(VALUE(MID(G772,FIND("/",G772,FIND("/",G772)+1)+1,4)),VALUE(MID(G772,FIND("/",G772)+1,FIND("/",G772,FIND("/",G772)+1)-FIND("/",G772)-1)),VALUE(LEFT(G772,FIND("/",G772)-1)))+IFERROR(TIMEVALUE(TRIM(MID(G772,FIND(" ",G772)+1,20))),0),0)))</f>
        <v/>
      </c>
      <c r="J772" s="255">
        <f>IF(H772="",0,IF(ISNUMBER(H772),H772,IFERROR(DATE(VALUE(MID(H772,FIND("/",H772,FIND("/",H772)+1)+1,4)),VALUE(MID(H772,FIND("/",H772)+1,FIND("/",H772,FIND("/",H772)+1)-FIND("/",H772)-1)),VALUE(LEFT(H772,FIND("/",H772)-1)))+IFERROR(TIMEVALUE(TRIM(MID(H772,FIND(" ",H772)+1,20))),0),0)))</f>
        <v/>
      </c>
      <c r="K772" s="256">
        <f>IF(I772=0,0,INT(I772))</f>
        <v/>
      </c>
      <c r="L772" s="257">
        <f>IF(OR(I772=0,J772=0),0,ROUND((J772-I772)*24,2))</f>
        <v/>
      </c>
      <c r="M772" s="254">
        <f>IFERROR(TRIM(MID(A772,FIND("@",SUBSTITUTE(A772,"(","@",LEN(A772)-LEN(SUBSTITUTE(A772,"(",""))))+1,FIND(")",A772,FIND("@",SUBSTITUTE(A772,"(","@",LEN(A772)-LEN(SUBSTITUTE(A772,"(","")))))-FIND("@",SUBSTITUTE(A772,"(","@",LEN(A772)-LEN(SUBSTITUTE(A772,"(",""))))-1)),"")</f>
        <v/>
      </c>
      <c r="N772" s="254">
        <f>IF(A772="","",IF(LEFT(TRIM(A772),5)="Leave","Leave",IF(OR(ISNUMBER(SEARCH("public holiday",A772)),ISNUMBER(SEARCH("Purple",E772))),"Public holiday","Event")))</f>
        <v/>
      </c>
    </row>
    <row r="773">
      <c r="G773" s="254">
        <f>IF(C773="","",IF(ISNUMBER(C773),C773,IF(ISNUMBER(VALUE(LEFT(TRIM(C773),1))),TRIM(C773),TRIM(MID(TRIM(C773),FIND(" ",TRIM(C773))+1,99)))))</f>
        <v/>
      </c>
      <c r="H773" s="254">
        <f>IF(D773="","",IF(ISNUMBER(D773),D773,IF(ISNUMBER(VALUE(LEFT(TRIM(D773),1))),TRIM(D773),TRIM(MID(TRIM(D773),FIND(" ",TRIM(D773))+1,99)))))</f>
        <v/>
      </c>
      <c r="I773" s="255">
        <f>IF(G773="",0,IF(ISNUMBER(G773),G773,IFERROR(DATE(VALUE(MID(G773,FIND("/",G773,FIND("/",G773)+1)+1,4)),VALUE(MID(G773,FIND("/",G773)+1,FIND("/",G773,FIND("/",G773)+1)-FIND("/",G773)-1)),VALUE(LEFT(G773,FIND("/",G773)-1)))+IFERROR(TIMEVALUE(TRIM(MID(G773,FIND(" ",G773)+1,20))),0),0)))</f>
        <v/>
      </c>
      <c r="J773" s="255">
        <f>IF(H773="",0,IF(ISNUMBER(H773),H773,IFERROR(DATE(VALUE(MID(H773,FIND("/",H773,FIND("/",H773)+1)+1,4)),VALUE(MID(H773,FIND("/",H773)+1,FIND("/",H773,FIND("/",H773)+1)-FIND("/",H773)-1)),VALUE(LEFT(H773,FIND("/",H773)-1)))+IFERROR(TIMEVALUE(TRIM(MID(H773,FIND(" ",H773)+1,20))),0),0)))</f>
        <v/>
      </c>
      <c r="K773" s="256">
        <f>IF(I773=0,0,INT(I773))</f>
        <v/>
      </c>
      <c r="L773" s="257">
        <f>IF(OR(I773=0,J773=0),0,ROUND((J773-I773)*24,2))</f>
        <v/>
      </c>
      <c r="M773" s="254">
        <f>IFERROR(TRIM(MID(A773,FIND("@",SUBSTITUTE(A773,"(","@",LEN(A773)-LEN(SUBSTITUTE(A773,"(",""))))+1,FIND(")",A773,FIND("@",SUBSTITUTE(A773,"(","@",LEN(A773)-LEN(SUBSTITUTE(A773,"(","")))))-FIND("@",SUBSTITUTE(A773,"(","@",LEN(A773)-LEN(SUBSTITUTE(A773,"(",""))))-1)),"")</f>
        <v/>
      </c>
      <c r="N773" s="254">
        <f>IF(A773="","",IF(LEFT(TRIM(A773),5)="Leave","Leave",IF(OR(ISNUMBER(SEARCH("public holiday",A773)),ISNUMBER(SEARCH("Purple",E773))),"Public holiday","Event")))</f>
        <v/>
      </c>
    </row>
    <row r="774">
      <c r="G774" s="254">
        <f>IF(C774="","",IF(ISNUMBER(C774),C774,IF(ISNUMBER(VALUE(LEFT(TRIM(C774),1))),TRIM(C774),TRIM(MID(TRIM(C774),FIND(" ",TRIM(C774))+1,99)))))</f>
        <v/>
      </c>
      <c r="H774" s="254">
        <f>IF(D774="","",IF(ISNUMBER(D774),D774,IF(ISNUMBER(VALUE(LEFT(TRIM(D774),1))),TRIM(D774),TRIM(MID(TRIM(D774),FIND(" ",TRIM(D774))+1,99)))))</f>
        <v/>
      </c>
      <c r="I774" s="255">
        <f>IF(G774="",0,IF(ISNUMBER(G774),G774,IFERROR(DATE(VALUE(MID(G774,FIND("/",G774,FIND("/",G774)+1)+1,4)),VALUE(MID(G774,FIND("/",G774)+1,FIND("/",G774,FIND("/",G774)+1)-FIND("/",G774)-1)),VALUE(LEFT(G774,FIND("/",G774)-1)))+IFERROR(TIMEVALUE(TRIM(MID(G774,FIND(" ",G774)+1,20))),0),0)))</f>
        <v/>
      </c>
      <c r="J774" s="255">
        <f>IF(H774="",0,IF(ISNUMBER(H774),H774,IFERROR(DATE(VALUE(MID(H774,FIND("/",H774,FIND("/",H774)+1)+1,4)),VALUE(MID(H774,FIND("/",H774)+1,FIND("/",H774,FIND("/",H774)+1)-FIND("/",H774)-1)),VALUE(LEFT(H774,FIND("/",H774)-1)))+IFERROR(TIMEVALUE(TRIM(MID(H774,FIND(" ",H774)+1,20))),0),0)))</f>
        <v/>
      </c>
      <c r="K774" s="256">
        <f>IF(I774=0,0,INT(I774))</f>
        <v/>
      </c>
      <c r="L774" s="257">
        <f>IF(OR(I774=0,J774=0),0,ROUND((J774-I774)*24,2))</f>
        <v/>
      </c>
      <c r="M774" s="254">
        <f>IFERROR(TRIM(MID(A774,FIND("@",SUBSTITUTE(A774,"(","@",LEN(A774)-LEN(SUBSTITUTE(A774,"(",""))))+1,FIND(")",A774,FIND("@",SUBSTITUTE(A774,"(","@",LEN(A774)-LEN(SUBSTITUTE(A774,"(","")))))-FIND("@",SUBSTITUTE(A774,"(","@",LEN(A774)-LEN(SUBSTITUTE(A774,"(",""))))-1)),"")</f>
        <v/>
      </c>
      <c r="N774" s="254">
        <f>IF(A774="","",IF(LEFT(TRIM(A774),5)="Leave","Leave",IF(OR(ISNUMBER(SEARCH("public holiday",A774)),ISNUMBER(SEARCH("Purple",E774))),"Public holiday","Event")))</f>
        <v/>
      </c>
    </row>
    <row r="775">
      <c r="G775" s="254">
        <f>IF(C775="","",IF(ISNUMBER(C775),C775,IF(ISNUMBER(VALUE(LEFT(TRIM(C775),1))),TRIM(C775),TRIM(MID(TRIM(C775),FIND(" ",TRIM(C775))+1,99)))))</f>
        <v/>
      </c>
      <c r="H775" s="254">
        <f>IF(D775="","",IF(ISNUMBER(D775),D775,IF(ISNUMBER(VALUE(LEFT(TRIM(D775),1))),TRIM(D775),TRIM(MID(TRIM(D775),FIND(" ",TRIM(D775))+1,99)))))</f>
        <v/>
      </c>
      <c r="I775" s="255">
        <f>IF(G775="",0,IF(ISNUMBER(G775),G775,IFERROR(DATE(VALUE(MID(G775,FIND("/",G775,FIND("/",G775)+1)+1,4)),VALUE(MID(G775,FIND("/",G775)+1,FIND("/",G775,FIND("/",G775)+1)-FIND("/",G775)-1)),VALUE(LEFT(G775,FIND("/",G775)-1)))+IFERROR(TIMEVALUE(TRIM(MID(G775,FIND(" ",G775)+1,20))),0),0)))</f>
        <v/>
      </c>
      <c r="J775" s="255">
        <f>IF(H775="",0,IF(ISNUMBER(H775),H775,IFERROR(DATE(VALUE(MID(H775,FIND("/",H775,FIND("/",H775)+1)+1,4)),VALUE(MID(H775,FIND("/",H775)+1,FIND("/",H775,FIND("/",H775)+1)-FIND("/",H775)-1)),VALUE(LEFT(H775,FIND("/",H775)-1)))+IFERROR(TIMEVALUE(TRIM(MID(H775,FIND(" ",H775)+1,20))),0),0)))</f>
        <v/>
      </c>
      <c r="K775" s="256">
        <f>IF(I775=0,0,INT(I775))</f>
        <v/>
      </c>
      <c r="L775" s="257">
        <f>IF(OR(I775=0,J775=0),0,ROUND((J775-I775)*24,2))</f>
        <v/>
      </c>
      <c r="M775" s="254">
        <f>IFERROR(TRIM(MID(A775,FIND("@",SUBSTITUTE(A775,"(","@",LEN(A775)-LEN(SUBSTITUTE(A775,"(",""))))+1,FIND(")",A775,FIND("@",SUBSTITUTE(A775,"(","@",LEN(A775)-LEN(SUBSTITUTE(A775,"(","")))))-FIND("@",SUBSTITUTE(A775,"(","@",LEN(A775)-LEN(SUBSTITUTE(A775,"(",""))))-1)),"")</f>
        <v/>
      </c>
      <c r="N775" s="254">
        <f>IF(A775="","",IF(LEFT(TRIM(A775),5)="Leave","Leave",IF(OR(ISNUMBER(SEARCH("public holiday",A775)),ISNUMBER(SEARCH("Purple",E775))),"Public holiday","Event")))</f>
        <v/>
      </c>
    </row>
    <row r="776">
      <c r="G776" s="254">
        <f>IF(C776="","",IF(ISNUMBER(C776),C776,IF(ISNUMBER(VALUE(LEFT(TRIM(C776),1))),TRIM(C776),TRIM(MID(TRIM(C776),FIND(" ",TRIM(C776))+1,99)))))</f>
        <v/>
      </c>
      <c r="H776" s="254">
        <f>IF(D776="","",IF(ISNUMBER(D776),D776,IF(ISNUMBER(VALUE(LEFT(TRIM(D776),1))),TRIM(D776),TRIM(MID(TRIM(D776),FIND(" ",TRIM(D776))+1,99)))))</f>
        <v/>
      </c>
      <c r="I776" s="255">
        <f>IF(G776="",0,IF(ISNUMBER(G776),G776,IFERROR(DATE(VALUE(MID(G776,FIND("/",G776,FIND("/",G776)+1)+1,4)),VALUE(MID(G776,FIND("/",G776)+1,FIND("/",G776,FIND("/",G776)+1)-FIND("/",G776)-1)),VALUE(LEFT(G776,FIND("/",G776)-1)))+IFERROR(TIMEVALUE(TRIM(MID(G776,FIND(" ",G776)+1,20))),0),0)))</f>
        <v/>
      </c>
      <c r="J776" s="255">
        <f>IF(H776="",0,IF(ISNUMBER(H776),H776,IFERROR(DATE(VALUE(MID(H776,FIND("/",H776,FIND("/",H776)+1)+1,4)),VALUE(MID(H776,FIND("/",H776)+1,FIND("/",H776,FIND("/",H776)+1)-FIND("/",H776)-1)),VALUE(LEFT(H776,FIND("/",H776)-1)))+IFERROR(TIMEVALUE(TRIM(MID(H776,FIND(" ",H776)+1,20))),0),0)))</f>
        <v/>
      </c>
      <c r="K776" s="256">
        <f>IF(I776=0,0,INT(I776))</f>
        <v/>
      </c>
      <c r="L776" s="257">
        <f>IF(OR(I776=0,J776=0),0,ROUND((J776-I776)*24,2))</f>
        <v/>
      </c>
      <c r="M776" s="254">
        <f>IFERROR(TRIM(MID(A776,FIND("@",SUBSTITUTE(A776,"(","@",LEN(A776)-LEN(SUBSTITUTE(A776,"(",""))))+1,FIND(")",A776,FIND("@",SUBSTITUTE(A776,"(","@",LEN(A776)-LEN(SUBSTITUTE(A776,"(","")))))-FIND("@",SUBSTITUTE(A776,"(","@",LEN(A776)-LEN(SUBSTITUTE(A776,"(",""))))-1)),"")</f>
        <v/>
      </c>
      <c r="N776" s="254">
        <f>IF(A776="","",IF(LEFT(TRIM(A776),5)="Leave","Leave",IF(OR(ISNUMBER(SEARCH("public holiday",A776)),ISNUMBER(SEARCH("Purple",E776))),"Public holiday","Event")))</f>
        <v/>
      </c>
    </row>
    <row r="777">
      <c r="G777" s="254">
        <f>IF(C777="","",IF(ISNUMBER(C777),C777,IF(ISNUMBER(VALUE(LEFT(TRIM(C777),1))),TRIM(C777),TRIM(MID(TRIM(C777),FIND(" ",TRIM(C777))+1,99)))))</f>
        <v/>
      </c>
      <c r="H777" s="254">
        <f>IF(D777="","",IF(ISNUMBER(D777),D777,IF(ISNUMBER(VALUE(LEFT(TRIM(D777),1))),TRIM(D777),TRIM(MID(TRIM(D777),FIND(" ",TRIM(D777))+1,99)))))</f>
        <v/>
      </c>
      <c r="I777" s="255">
        <f>IF(G777="",0,IF(ISNUMBER(G777),G777,IFERROR(DATE(VALUE(MID(G777,FIND("/",G777,FIND("/",G777)+1)+1,4)),VALUE(MID(G777,FIND("/",G777)+1,FIND("/",G777,FIND("/",G777)+1)-FIND("/",G777)-1)),VALUE(LEFT(G777,FIND("/",G777)-1)))+IFERROR(TIMEVALUE(TRIM(MID(G777,FIND(" ",G777)+1,20))),0),0)))</f>
        <v/>
      </c>
      <c r="J777" s="255">
        <f>IF(H777="",0,IF(ISNUMBER(H777),H777,IFERROR(DATE(VALUE(MID(H777,FIND("/",H777,FIND("/",H777)+1)+1,4)),VALUE(MID(H777,FIND("/",H777)+1,FIND("/",H777,FIND("/",H777)+1)-FIND("/",H777)-1)),VALUE(LEFT(H777,FIND("/",H777)-1)))+IFERROR(TIMEVALUE(TRIM(MID(H777,FIND(" ",H777)+1,20))),0),0)))</f>
        <v/>
      </c>
      <c r="K777" s="256">
        <f>IF(I777=0,0,INT(I777))</f>
        <v/>
      </c>
      <c r="L777" s="257">
        <f>IF(OR(I777=0,J777=0),0,ROUND((J777-I777)*24,2))</f>
        <v/>
      </c>
      <c r="M777" s="254">
        <f>IFERROR(TRIM(MID(A777,FIND("@",SUBSTITUTE(A777,"(","@",LEN(A777)-LEN(SUBSTITUTE(A777,"(",""))))+1,FIND(")",A777,FIND("@",SUBSTITUTE(A777,"(","@",LEN(A777)-LEN(SUBSTITUTE(A777,"(","")))))-FIND("@",SUBSTITUTE(A777,"(","@",LEN(A777)-LEN(SUBSTITUTE(A777,"(",""))))-1)),"")</f>
        <v/>
      </c>
      <c r="N777" s="254">
        <f>IF(A777="","",IF(LEFT(TRIM(A777),5)="Leave","Leave",IF(OR(ISNUMBER(SEARCH("public holiday",A777)),ISNUMBER(SEARCH("Purple",E777))),"Public holiday","Event")))</f>
        <v/>
      </c>
    </row>
    <row r="778">
      <c r="G778" s="254">
        <f>IF(C778="","",IF(ISNUMBER(C778),C778,IF(ISNUMBER(VALUE(LEFT(TRIM(C778),1))),TRIM(C778),TRIM(MID(TRIM(C778),FIND(" ",TRIM(C778))+1,99)))))</f>
        <v/>
      </c>
      <c r="H778" s="254">
        <f>IF(D778="","",IF(ISNUMBER(D778),D778,IF(ISNUMBER(VALUE(LEFT(TRIM(D778),1))),TRIM(D778),TRIM(MID(TRIM(D778),FIND(" ",TRIM(D778))+1,99)))))</f>
        <v/>
      </c>
      <c r="I778" s="255">
        <f>IF(G778="",0,IF(ISNUMBER(G778),G778,IFERROR(DATE(VALUE(MID(G778,FIND("/",G778,FIND("/",G778)+1)+1,4)),VALUE(MID(G778,FIND("/",G778)+1,FIND("/",G778,FIND("/",G778)+1)-FIND("/",G778)-1)),VALUE(LEFT(G778,FIND("/",G778)-1)))+IFERROR(TIMEVALUE(TRIM(MID(G778,FIND(" ",G778)+1,20))),0),0)))</f>
        <v/>
      </c>
      <c r="J778" s="255">
        <f>IF(H778="",0,IF(ISNUMBER(H778),H778,IFERROR(DATE(VALUE(MID(H778,FIND("/",H778,FIND("/",H778)+1)+1,4)),VALUE(MID(H778,FIND("/",H778)+1,FIND("/",H778,FIND("/",H778)+1)-FIND("/",H778)-1)),VALUE(LEFT(H778,FIND("/",H778)-1)))+IFERROR(TIMEVALUE(TRIM(MID(H778,FIND(" ",H778)+1,20))),0),0)))</f>
        <v/>
      </c>
      <c r="K778" s="256">
        <f>IF(I778=0,0,INT(I778))</f>
        <v/>
      </c>
      <c r="L778" s="257">
        <f>IF(OR(I778=0,J778=0),0,ROUND((J778-I778)*24,2))</f>
        <v/>
      </c>
      <c r="M778" s="254">
        <f>IFERROR(TRIM(MID(A778,FIND("@",SUBSTITUTE(A778,"(","@",LEN(A778)-LEN(SUBSTITUTE(A778,"(",""))))+1,FIND(")",A778,FIND("@",SUBSTITUTE(A778,"(","@",LEN(A778)-LEN(SUBSTITUTE(A778,"(","")))))-FIND("@",SUBSTITUTE(A778,"(","@",LEN(A778)-LEN(SUBSTITUTE(A778,"(",""))))-1)),"")</f>
        <v/>
      </c>
      <c r="N778" s="254">
        <f>IF(A778="","",IF(LEFT(TRIM(A778),5)="Leave","Leave",IF(OR(ISNUMBER(SEARCH("public holiday",A778)),ISNUMBER(SEARCH("Purple",E778))),"Public holiday","Event")))</f>
        <v/>
      </c>
    </row>
    <row r="779">
      <c r="G779" s="254">
        <f>IF(C779="","",IF(ISNUMBER(C779),C779,IF(ISNUMBER(VALUE(LEFT(TRIM(C779),1))),TRIM(C779),TRIM(MID(TRIM(C779),FIND(" ",TRIM(C779))+1,99)))))</f>
        <v/>
      </c>
      <c r="H779" s="254">
        <f>IF(D779="","",IF(ISNUMBER(D779),D779,IF(ISNUMBER(VALUE(LEFT(TRIM(D779),1))),TRIM(D779),TRIM(MID(TRIM(D779),FIND(" ",TRIM(D779))+1,99)))))</f>
        <v/>
      </c>
      <c r="I779" s="255">
        <f>IF(G779="",0,IF(ISNUMBER(G779),G779,IFERROR(DATE(VALUE(MID(G779,FIND("/",G779,FIND("/",G779)+1)+1,4)),VALUE(MID(G779,FIND("/",G779)+1,FIND("/",G779,FIND("/",G779)+1)-FIND("/",G779)-1)),VALUE(LEFT(G779,FIND("/",G779)-1)))+IFERROR(TIMEVALUE(TRIM(MID(G779,FIND(" ",G779)+1,20))),0),0)))</f>
        <v/>
      </c>
      <c r="J779" s="255">
        <f>IF(H779="",0,IF(ISNUMBER(H779),H779,IFERROR(DATE(VALUE(MID(H779,FIND("/",H779,FIND("/",H779)+1)+1,4)),VALUE(MID(H779,FIND("/",H779)+1,FIND("/",H779,FIND("/",H779)+1)-FIND("/",H779)-1)),VALUE(LEFT(H779,FIND("/",H779)-1)))+IFERROR(TIMEVALUE(TRIM(MID(H779,FIND(" ",H779)+1,20))),0),0)))</f>
        <v/>
      </c>
      <c r="K779" s="256">
        <f>IF(I779=0,0,INT(I779))</f>
        <v/>
      </c>
      <c r="L779" s="257">
        <f>IF(OR(I779=0,J779=0),0,ROUND((J779-I779)*24,2))</f>
        <v/>
      </c>
      <c r="M779" s="254">
        <f>IFERROR(TRIM(MID(A779,FIND("@",SUBSTITUTE(A779,"(","@",LEN(A779)-LEN(SUBSTITUTE(A779,"(",""))))+1,FIND(")",A779,FIND("@",SUBSTITUTE(A779,"(","@",LEN(A779)-LEN(SUBSTITUTE(A779,"(","")))))-FIND("@",SUBSTITUTE(A779,"(","@",LEN(A779)-LEN(SUBSTITUTE(A779,"(",""))))-1)),"")</f>
        <v/>
      </c>
      <c r="N779" s="254">
        <f>IF(A779="","",IF(LEFT(TRIM(A779),5)="Leave","Leave",IF(OR(ISNUMBER(SEARCH("public holiday",A779)),ISNUMBER(SEARCH("Purple",E779))),"Public holiday","Event")))</f>
        <v/>
      </c>
    </row>
    <row r="780">
      <c r="G780" s="254">
        <f>IF(C780="","",IF(ISNUMBER(C780),C780,IF(ISNUMBER(VALUE(LEFT(TRIM(C780),1))),TRIM(C780),TRIM(MID(TRIM(C780),FIND(" ",TRIM(C780))+1,99)))))</f>
        <v/>
      </c>
      <c r="H780" s="254">
        <f>IF(D780="","",IF(ISNUMBER(D780),D780,IF(ISNUMBER(VALUE(LEFT(TRIM(D780),1))),TRIM(D780),TRIM(MID(TRIM(D780),FIND(" ",TRIM(D780))+1,99)))))</f>
        <v/>
      </c>
      <c r="I780" s="255">
        <f>IF(G780="",0,IF(ISNUMBER(G780),G780,IFERROR(DATE(VALUE(MID(G780,FIND("/",G780,FIND("/",G780)+1)+1,4)),VALUE(MID(G780,FIND("/",G780)+1,FIND("/",G780,FIND("/",G780)+1)-FIND("/",G780)-1)),VALUE(LEFT(G780,FIND("/",G780)-1)))+IFERROR(TIMEVALUE(TRIM(MID(G780,FIND(" ",G780)+1,20))),0),0)))</f>
        <v/>
      </c>
      <c r="J780" s="255">
        <f>IF(H780="",0,IF(ISNUMBER(H780),H780,IFERROR(DATE(VALUE(MID(H780,FIND("/",H780,FIND("/",H780)+1)+1,4)),VALUE(MID(H780,FIND("/",H780)+1,FIND("/",H780,FIND("/",H780)+1)-FIND("/",H780)-1)),VALUE(LEFT(H780,FIND("/",H780)-1)))+IFERROR(TIMEVALUE(TRIM(MID(H780,FIND(" ",H780)+1,20))),0),0)))</f>
        <v/>
      </c>
      <c r="K780" s="256">
        <f>IF(I780=0,0,INT(I780))</f>
        <v/>
      </c>
      <c r="L780" s="257">
        <f>IF(OR(I780=0,J780=0),0,ROUND((J780-I780)*24,2))</f>
        <v/>
      </c>
      <c r="M780" s="254">
        <f>IFERROR(TRIM(MID(A780,FIND("@",SUBSTITUTE(A780,"(","@",LEN(A780)-LEN(SUBSTITUTE(A780,"(",""))))+1,FIND(")",A780,FIND("@",SUBSTITUTE(A780,"(","@",LEN(A780)-LEN(SUBSTITUTE(A780,"(","")))))-FIND("@",SUBSTITUTE(A780,"(","@",LEN(A780)-LEN(SUBSTITUTE(A780,"(",""))))-1)),"")</f>
        <v/>
      </c>
      <c r="N780" s="254">
        <f>IF(A780="","",IF(LEFT(TRIM(A780),5)="Leave","Leave",IF(OR(ISNUMBER(SEARCH("public holiday",A780)),ISNUMBER(SEARCH("Purple",E780))),"Public holiday","Event")))</f>
        <v/>
      </c>
    </row>
    <row r="781">
      <c r="G781" s="254">
        <f>IF(C781="","",IF(ISNUMBER(C781),C781,IF(ISNUMBER(VALUE(LEFT(TRIM(C781),1))),TRIM(C781),TRIM(MID(TRIM(C781),FIND(" ",TRIM(C781))+1,99)))))</f>
        <v/>
      </c>
      <c r="H781" s="254">
        <f>IF(D781="","",IF(ISNUMBER(D781),D781,IF(ISNUMBER(VALUE(LEFT(TRIM(D781),1))),TRIM(D781),TRIM(MID(TRIM(D781),FIND(" ",TRIM(D781))+1,99)))))</f>
        <v/>
      </c>
      <c r="I781" s="255">
        <f>IF(G781="",0,IF(ISNUMBER(G781),G781,IFERROR(DATE(VALUE(MID(G781,FIND("/",G781,FIND("/",G781)+1)+1,4)),VALUE(MID(G781,FIND("/",G781)+1,FIND("/",G781,FIND("/",G781)+1)-FIND("/",G781)-1)),VALUE(LEFT(G781,FIND("/",G781)-1)))+IFERROR(TIMEVALUE(TRIM(MID(G781,FIND(" ",G781)+1,20))),0),0)))</f>
        <v/>
      </c>
      <c r="J781" s="255">
        <f>IF(H781="",0,IF(ISNUMBER(H781),H781,IFERROR(DATE(VALUE(MID(H781,FIND("/",H781,FIND("/",H781)+1)+1,4)),VALUE(MID(H781,FIND("/",H781)+1,FIND("/",H781,FIND("/",H781)+1)-FIND("/",H781)-1)),VALUE(LEFT(H781,FIND("/",H781)-1)))+IFERROR(TIMEVALUE(TRIM(MID(H781,FIND(" ",H781)+1,20))),0),0)))</f>
        <v/>
      </c>
      <c r="K781" s="256">
        <f>IF(I781=0,0,INT(I781))</f>
        <v/>
      </c>
      <c r="L781" s="257">
        <f>IF(OR(I781=0,J781=0),0,ROUND((J781-I781)*24,2))</f>
        <v/>
      </c>
      <c r="M781" s="254">
        <f>IFERROR(TRIM(MID(A781,FIND("@",SUBSTITUTE(A781,"(","@",LEN(A781)-LEN(SUBSTITUTE(A781,"(",""))))+1,FIND(")",A781,FIND("@",SUBSTITUTE(A781,"(","@",LEN(A781)-LEN(SUBSTITUTE(A781,"(","")))))-FIND("@",SUBSTITUTE(A781,"(","@",LEN(A781)-LEN(SUBSTITUTE(A781,"(",""))))-1)),"")</f>
        <v/>
      </c>
      <c r="N781" s="254">
        <f>IF(A781="","",IF(LEFT(TRIM(A781),5)="Leave","Leave",IF(OR(ISNUMBER(SEARCH("public holiday",A781)),ISNUMBER(SEARCH("Purple",E781))),"Public holiday","Event")))</f>
        <v/>
      </c>
    </row>
    <row r="782">
      <c r="G782" s="254">
        <f>IF(C782="","",IF(ISNUMBER(C782),C782,IF(ISNUMBER(VALUE(LEFT(TRIM(C782),1))),TRIM(C782),TRIM(MID(TRIM(C782),FIND(" ",TRIM(C782))+1,99)))))</f>
        <v/>
      </c>
      <c r="H782" s="254">
        <f>IF(D782="","",IF(ISNUMBER(D782),D782,IF(ISNUMBER(VALUE(LEFT(TRIM(D782),1))),TRIM(D782),TRIM(MID(TRIM(D782),FIND(" ",TRIM(D782))+1,99)))))</f>
        <v/>
      </c>
      <c r="I782" s="255">
        <f>IF(G782="",0,IF(ISNUMBER(G782),G782,IFERROR(DATE(VALUE(MID(G782,FIND("/",G782,FIND("/",G782)+1)+1,4)),VALUE(MID(G782,FIND("/",G782)+1,FIND("/",G782,FIND("/",G782)+1)-FIND("/",G782)-1)),VALUE(LEFT(G782,FIND("/",G782)-1)))+IFERROR(TIMEVALUE(TRIM(MID(G782,FIND(" ",G782)+1,20))),0),0)))</f>
        <v/>
      </c>
      <c r="J782" s="255">
        <f>IF(H782="",0,IF(ISNUMBER(H782),H782,IFERROR(DATE(VALUE(MID(H782,FIND("/",H782,FIND("/",H782)+1)+1,4)),VALUE(MID(H782,FIND("/",H782)+1,FIND("/",H782,FIND("/",H782)+1)-FIND("/",H782)-1)),VALUE(LEFT(H782,FIND("/",H782)-1)))+IFERROR(TIMEVALUE(TRIM(MID(H782,FIND(" ",H782)+1,20))),0),0)))</f>
        <v/>
      </c>
      <c r="K782" s="256">
        <f>IF(I782=0,0,INT(I782))</f>
        <v/>
      </c>
      <c r="L782" s="257">
        <f>IF(OR(I782=0,J782=0),0,ROUND((J782-I782)*24,2))</f>
        <v/>
      </c>
      <c r="M782" s="254">
        <f>IFERROR(TRIM(MID(A782,FIND("@",SUBSTITUTE(A782,"(","@",LEN(A782)-LEN(SUBSTITUTE(A782,"(",""))))+1,FIND(")",A782,FIND("@",SUBSTITUTE(A782,"(","@",LEN(A782)-LEN(SUBSTITUTE(A782,"(","")))))-FIND("@",SUBSTITUTE(A782,"(","@",LEN(A782)-LEN(SUBSTITUTE(A782,"(",""))))-1)),"")</f>
        <v/>
      </c>
      <c r="N782" s="254">
        <f>IF(A782="","",IF(LEFT(TRIM(A782),5)="Leave","Leave",IF(OR(ISNUMBER(SEARCH("public holiday",A782)),ISNUMBER(SEARCH("Purple",E782))),"Public holiday","Event")))</f>
        <v/>
      </c>
    </row>
    <row r="783">
      <c r="G783" s="254">
        <f>IF(C783="","",IF(ISNUMBER(C783),C783,IF(ISNUMBER(VALUE(LEFT(TRIM(C783),1))),TRIM(C783),TRIM(MID(TRIM(C783),FIND(" ",TRIM(C783))+1,99)))))</f>
        <v/>
      </c>
      <c r="H783" s="254">
        <f>IF(D783="","",IF(ISNUMBER(D783),D783,IF(ISNUMBER(VALUE(LEFT(TRIM(D783),1))),TRIM(D783),TRIM(MID(TRIM(D783),FIND(" ",TRIM(D783))+1,99)))))</f>
        <v/>
      </c>
      <c r="I783" s="255">
        <f>IF(G783="",0,IF(ISNUMBER(G783),G783,IFERROR(DATE(VALUE(MID(G783,FIND("/",G783,FIND("/",G783)+1)+1,4)),VALUE(MID(G783,FIND("/",G783)+1,FIND("/",G783,FIND("/",G783)+1)-FIND("/",G783)-1)),VALUE(LEFT(G783,FIND("/",G783)-1)))+IFERROR(TIMEVALUE(TRIM(MID(G783,FIND(" ",G783)+1,20))),0),0)))</f>
        <v/>
      </c>
      <c r="J783" s="255">
        <f>IF(H783="",0,IF(ISNUMBER(H783),H783,IFERROR(DATE(VALUE(MID(H783,FIND("/",H783,FIND("/",H783)+1)+1,4)),VALUE(MID(H783,FIND("/",H783)+1,FIND("/",H783,FIND("/",H783)+1)-FIND("/",H783)-1)),VALUE(LEFT(H783,FIND("/",H783)-1)))+IFERROR(TIMEVALUE(TRIM(MID(H783,FIND(" ",H783)+1,20))),0),0)))</f>
        <v/>
      </c>
      <c r="K783" s="256">
        <f>IF(I783=0,0,INT(I783))</f>
        <v/>
      </c>
      <c r="L783" s="257">
        <f>IF(OR(I783=0,J783=0),0,ROUND((J783-I783)*24,2))</f>
        <v/>
      </c>
      <c r="M783" s="254">
        <f>IFERROR(TRIM(MID(A783,FIND("@",SUBSTITUTE(A783,"(","@",LEN(A783)-LEN(SUBSTITUTE(A783,"(",""))))+1,FIND(")",A783,FIND("@",SUBSTITUTE(A783,"(","@",LEN(A783)-LEN(SUBSTITUTE(A783,"(","")))))-FIND("@",SUBSTITUTE(A783,"(","@",LEN(A783)-LEN(SUBSTITUTE(A783,"(",""))))-1)),"")</f>
        <v/>
      </c>
      <c r="N783" s="254">
        <f>IF(A783="","",IF(LEFT(TRIM(A783),5)="Leave","Leave",IF(OR(ISNUMBER(SEARCH("public holiday",A783)),ISNUMBER(SEARCH("Purple",E783))),"Public holiday","Event")))</f>
        <v/>
      </c>
    </row>
    <row r="784">
      <c r="G784" s="254">
        <f>IF(C784="","",IF(ISNUMBER(C784),C784,IF(ISNUMBER(VALUE(LEFT(TRIM(C784),1))),TRIM(C784),TRIM(MID(TRIM(C784),FIND(" ",TRIM(C784))+1,99)))))</f>
        <v/>
      </c>
      <c r="H784" s="254">
        <f>IF(D784="","",IF(ISNUMBER(D784),D784,IF(ISNUMBER(VALUE(LEFT(TRIM(D784),1))),TRIM(D784),TRIM(MID(TRIM(D784),FIND(" ",TRIM(D784))+1,99)))))</f>
        <v/>
      </c>
      <c r="I784" s="255">
        <f>IF(G784="",0,IF(ISNUMBER(G784),G784,IFERROR(DATE(VALUE(MID(G784,FIND("/",G784,FIND("/",G784)+1)+1,4)),VALUE(MID(G784,FIND("/",G784)+1,FIND("/",G784,FIND("/",G784)+1)-FIND("/",G784)-1)),VALUE(LEFT(G784,FIND("/",G784)-1)))+IFERROR(TIMEVALUE(TRIM(MID(G784,FIND(" ",G784)+1,20))),0),0)))</f>
        <v/>
      </c>
      <c r="J784" s="255">
        <f>IF(H784="",0,IF(ISNUMBER(H784),H784,IFERROR(DATE(VALUE(MID(H784,FIND("/",H784,FIND("/",H784)+1)+1,4)),VALUE(MID(H784,FIND("/",H784)+1,FIND("/",H784,FIND("/",H784)+1)-FIND("/",H784)-1)),VALUE(LEFT(H784,FIND("/",H784)-1)))+IFERROR(TIMEVALUE(TRIM(MID(H784,FIND(" ",H784)+1,20))),0),0)))</f>
        <v/>
      </c>
      <c r="K784" s="256">
        <f>IF(I784=0,0,INT(I784))</f>
        <v/>
      </c>
      <c r="L784" s="257">
        <f>IF(OR(I784=0,J784=0),0,ROUND((J784-I784)*24,2))</f>
        <v/>
      </c>
      <c r="M784" s="254">
        <f>IFERROR(TRIM(MID(A784,FIND("@",SUBSTITUTE(A784,"(","@",LEN(A784)-LEN(SUBSTITUTE(A784,"(",""))))+1,FIND(")",A784,FIND("@",SUBSTITUTE(A784,"(","@",LEN(A784)-LEN(SUBSTITUTE(A784,"(","")))))-FIND("@",SUBSTITUTE(A784,"(","@",LEN(A784)-LEN(SUBSTITUTE(A784,"(",""))))-1)),"")</f>
        <v/>
      </c>
      <c r="N784" s="254">
        <f>IF(A784="","",IF(LEFT(TRIM(A784),5)="Leave","Leave",IF(OR(ISNUMBER(SEARCH("public holiday",A784)),ISNUMBER(SEARCH("Purple",E784))),"Public holiday","Event")))</f>
        <v/>
      </c>
    </row>
    <row r="785">
      <c r="G785" s="254">
        <f>IF(C785="","",IF(ISNUMBER(C785),C785,IF(ISNUMBER(VALUE(LEFT(TRIM(C785),1))),TRIM(C785),TRIM(MID(TRIM(C785),FIND(" ",TRIM(C785))+1,99)))))</f>
        <v/>
      </c>
      <c r="H785" s="254">
        <f>IF(D785="","",IF(ISNUMBER(D785),D785,IF(ISNUMBER(VALUE(LEFT(TRIM(D785),1))),TRIM(D785),TRIM(MID(TRIM(D785),FIND(" ",TRIM(D785))+1,99)))))</f>
        <v/>
      </c>
      <c r="I785" s="255">
        <f>IF(G785="",0,IF(ISNUMBER(G785),G785,IFERROR(DATE(VALUE(MID(G785,FIND("/",G785,FIND("/",G785)+1)+1,4)),VALUE(MID(G785,FIND("/",G785)+1,FIND("/",G785,FIND("/",G785)+1)-FIND("/",G785)-1)),VALUE(LEFT(G785,FIND("/",G785)-1)))+IFERROR(TIMEVALUE(TRIM(MID(G785,FIND(" ",G785)+1,20))),0),0)))</f>
        <v/>
      </c>
      <c r="J785" s="255">
        <f>IF(H785="",0,IF(ISNUMBER(H785),H785,IFERROR(DATE(VALUE(MID(H785,FIND("/",H785,FIND("/",H785)+1)+1,4)),VALUE(MID(H785,FIND("/",H785)+1,FIND("/",H785,FIND("/",H785)+1)-FIND("/",H785)-1)),VALUE(LEFT(H785,FIND("/",H785)-1)))+IFERROR(TIMEVALUE(TRIM(MID(H785,FIND(" ",H785)+1,20))),0),0)))</f>
        <v/>
      </c>
      <c r="K785" s="256">
        <f>IF(I785=0,0,INT(I785))</f>
        <v/>
      </c>
      <c r="L785" s="257">
        <f>IF(OR(I785=0,J785=0),0,ROUND((J785-I785)*24,2))</f>
        <v/>
      </c>
      <c r="M785" s="254">
        <f>IFERROR(TRIM(MID(A785,FIND("@",SUBSTITUTE(A785,"(","@",LEN(A785)-LEN(SUBSTITUTE(A785,"(",""))))+1,FIND(")",A785,FIND("@",SUBSTITUTE(A785,"(","@",LEN(A785)-LEN(SUBSTITUTE(A785,"(","")))))-FIND("@",SUBSTITUTE(A785,"(","@",LEN(A785)-LEN(SUBSTITUTE(A785,"(",""))))-1)),"")</f>
        <v/>
      </c>
      <c r="N785" s="254">
        <f>IF(A785="","",IF(LEFT(TRIM(A785),5)="Leave","Leave",IF(OR(ISNUMBER(SEARCH("public holiday",A785)),ISNUMBER(SEARCH("Purple",E785))),"Public holiday","Event")))</f>
        <v/>
      </c>
    </row>
    <row r="786">
      <c r="G786" s="254">
        <f>IF(C786="","",IF(ISNUMBER(C786),C786,IF(ISNUMBER(VALUE(LEFT(TRIM(C786),1))),TRIM(C786),TRIM(MID(TRIM(C786),FIND(" ",TRIM(C786))+1,99)))))</f>
        <v/>
      </c>
      <c r="H786" s="254">
        <f>IF(D786="","",IF(ISNUMBER(D786),D786,IF(ISNUMBER(VALUE(LEFT(TRIM(D786),1))),TRIM(D786),TRIM(MID(TRIM(D786),FIND(" ",TRIM(D786))+1,99)))))</f>
        <v/>
      </c>
      <c r="I786" s="255">
        <f>IF(G786="",0,IF(ISNUMBER(G786),G786,IFERROR(DATE(VALUE(MID(G786,FIND("/",G786,FIND("/",G786)+1)+1,4)),VALUE(MID(G786,FIND("/",G786)+1,FIND("/",G786,FIND("/",G786)+1)-FIND("/",G786)-1)),VALUE(LEFT(G786,FIND("/",G786)-1)))+IFERROR(TIMEVALUE(TRIM(MID(G786,FIND(" ",G786)+1,20))),0),0)))</f>
        <v/>
      </c>
      <c r="J786" s="255">
        <f>IF(H786="",0,IF(ISNUMBER(H786),H786,IFERROR(DATE(VALUE(MID(H786,FIND("/",H786,FIND("/",H786)+1)+1,4)),VALUE(MID(H786,FIND("/",H786)+1,FIND("/",H786,FIND("/",H786)+1)-FIND("/",H786)-1)),VALUE(LEFT(H786,FIND("/",H786)-1)))+IFERROR(TIMEVALUE(TRIM(MID(H786,FIND(" ",H786)+1,20))),0),0)))</f>
        <v/>
      </c>
      <c r="K786" s="256">
        <f>IF(I786=0,0,INT(I786))</f>
        <v/>
      </c>
      <c r="L786" s="257">
        <f>IF(OR(I786=0,J786=0),0,ROUND((J786-I786)*24,2))</f>
        <v/>
      </c>
      <c r="M786" s="254">
        <f>IFERROR(TRIM(MID(A786,FIND("@",SUBSTITUTE(A786,"(","@",LEN(A786)-LEN(SUBSTITUTE(A786,"(",""))))+1,FIND(")",A786,FIND("@",SUBSTITUTE(A786,"(","@",LEN(A786)-LEN(SUBSTITUTE(A786,"(","")))))-FIND("@",SUBSTITUTE(A786,"(","@",LEN(A786)-LEN(SUBSTITUTE(A786,"(",""))))-1)),"")</f>
        <v/>
      </c>
      <c r="N786" s="254">
        <f>IF(A786="","",IF(LEFT(TRIM(A786),5)="Leave","Leave",IF(OR(ISNUMBER(SEARCH("public holiday",A786)),ISNUMBER(SEARCH("Purple",E786))),"Public holiday","Event")))</f>
        <v/>
      </c>
    </row>
    <row r="787">
      <c r="G787" s="254">
        <f>IF(C787="","",IF(ISNUMBER(C787),C787,IF(ISNUMBER(VALUE(LEFT(TRIM(C787),1))),TRIM(C787),TRIM(MID(TRIM(C787),FIND(" ",TRIM(C787))+1,99)))))</f>
        <v/>
      </c>
      <c r="H787" s="254">
        <f>IF(D787="","",IF(ISNUMBER(D787),D787,IF(ISNUMBER(VALUE(LEFT(TRIM(D787),1))),TRIM(D787),TRIM(MID(TRIM(D787),FIND(" ",TRIM(D787))+1,99)))))</f>
        <v/>
      </c>
      <c r="I787" s="255">
        <f>IF(G787="",0,IF(ISNUMBER(G787),G787,IFERROR(DATE(VALUE(MID(G787,FIND("/",G787,FIND("/",G787)+1)+1,4)),VALUE(MID(G787,FIND("/",G787)+1,FIND("/",G787,FIND("/",G787)+1)-FIND("/",G787)-1)),VALUE(LEFT(G787,FIND("/",G787)-1)))+IFERROR(TIMEVALUE(TRIM(MID(G787,FIND(" ",G787)+1,20))),0),0)))</f>
        <v/>
      </c>
      <c r="J787" s="255">
        <f>IF(H787="",0,IF(ISNUMBER(H787),H787,IFERROR(DATE(VALUE(MID(H787,FIND("/",H787,FIND("/",H787)+1)+1,4)),VALUE(MID(H787,FIND("/",H787)+1,FIND("/",H787,FIND("/",H787)+1)-FIND("/",H787)-1)),VALUE(LEFT(H787,FIND("/",H787)-1)))+IFERROR(TIMEVALUE(TRIM(MID(H787,FIND(" ",H787)+1,20))),0),0)))</f>
        <v/>
      </c>
      <c r="K787" s="256">
        <f>IF(I787=0,0,INT(I787))</f>
        <v/>
      </c>
      <c r="L787" s="257">
        <f>IF(OR(I787=0,J787=0),0,ROUND((J787-I787)*24,2))</f>
        <v/>
      </c>
      <c r="M787" s="254">
        <f>IFERROR(TRIM(MID(A787,FIND("@",SUBSTITUTE(A787,"(","@",LEN(A787)-LEN(SUBSTITUTE(A787,"(",""))))+1,FIND(")",A787,FIND("@",SUBSTITUTE(A787,"(","@",LEN(A787)-LEN(SUBSTITUTE(A787,"(","")))))-FIND("@",SUBSTITUTE(A787,"(","@",LEN(A787)-LEN(SUBSTITUTE(A787,"(",""))))-1)),"")</f>
        <v/>
      </c>
      <c r="N787" s="254">
        <f>IF(A787="","",IF(LEFT(TRIM(A787),5)="Leave","Leave",IF(OR(ISNUMBER(SEARCH("public holiday",A787)),ISNUMBER(SEARCH("Purple",E787))),"Public holiday","Event")))</f>
        <v/>
      </c>
    </row>
    <row r="788">
      <c r="G788" s="254">
        <f>IF(C788="","",IF(ISNUMBER(C788),C788,IF(ISNUMBER(VALUE(LEFT(TRIM(C788),1))),TRIM(C788),TRIM(MID(TRIM(C788),FIND(" ",TRIM(C788))+1,99)))))</f>
        <v/>
      </c>
      <c r="H788" s="254">
        <f>IF(D788="","",IF(ISNUMBER(D788),D788,IF(ISNUMBER(VALUE(LEFT(TRIM(D788),1))),TRIM(D788),TRIM(MID(TRIM(D788),FIND(" ",TRIM(D788))+1,99)))))</f>
        <v/>
      </c>
      <c r="I788" s="255">
        <f>IF(G788="",0,IF(ISNUMBER(G788),G788,IFERROR(DATE(VALUE(MID(G788,FIND("/",G788,FIND("/",G788)+1)+1,4)),VALUE(MID(G788,FIND("/",G788)+1,FIND("/",G788,FIND("/",G788)+1)-FIND("/",G788)-1)),VALUE(LEFT(G788,FIND("/",G788)-1)))+IFERROR(TIMEVALUE(TRIM(MID(G788,FIND(" ",G788)+1,20))),0),0)))</f>
        <v/>
      </c>
      <c r="J788" s="255">
        <f>IF(H788="",0,IF(ISNUMBER(H788),H788,IFERROR(DATE(VALUE(MID(H788,FIND("/",H788,FIND("/",H788)+1)+1,4)),VALUE(MID(H788,FIND("/",H788)+1,FIND("/",H788,FIND("/",H788)+1)-FIND("/",H788)-1)),VALUE(LEFT(H788,FIND("/",H788)-1)))+IFERROR(TIMEVALUE(TRIM(MID(H788,FIND(" ",H788)+1,20))),0),0)))</f>
        <v/>
      </c>
      <c r="K788" s="256">
        <f>IF(I788=0,0,INT(I788))</f>
        <v/>
      </c>
      <c r="L788" s="257">
        <f>IF(OR(I788=0,J788=0),0,ROUND((J788-I788)*24,2))</f>
        <v/>
      </c>
      <c r="M788" s="254">
        <f>IFERROR(TRIM(MID(A788,FIND("@",SUBSTITUTE(A788,"(","@",LEN(A788)-LEN(SUBSTITUTE(A788,"(",""))))+1,FIND(")",A788,FIND("@",SUBSTITUTE(A788,"(","@",LEN(A788)-LEN(SUBSTITUTE(A788,"(","")))))-FIND("@",SUBSTITUTE(A788,"(","@",LEN(A788)-LEN(SUBSTITUTE(A788,"(",""))))-1)),"")</f>
        <v/>
      </c>
      <c r="N788" s="254">
        <f>IF(A788="","",IF(LEFT(TRIM(A788),5)="Leave","Leave",IF(OR(ISNUMBER(SEARCH("public holiday",A788)),ISNUMBER(SEARCH("Purple",E788))),"Public holiday","Event")))</f>
        <v/>
      </c>
    </row>
    <row r="789">
      <c r="G789" s="254">
        <f>IF(C789="","",IF(ISNUMBER(C789),C789,IF(ISNUMBER(VALUE(LEFT(TRIM(C789),1))),TRIM(C789),TRIM(MID(TRIM(C789),FIND(" ",TRIM(C789))+1,99)))))</f>
        <v/>
      </c>
      <c r="H789" s="254">
        <f>IF(D789="","",IF(ISNUMBER(D789),D789,IF(ISNUMBER(VALUE(LEFT(TRIM(D789),1))),TRIM(D789),TRIM(MID(TRIM(D789),FIND(" ",TRIM(D789))+1,99)))))</f>
        <v/>
      </c>
      <c r="I789" s="255">
        <f>IF(G789="",0,IF(ISNUMBER(G789),G789,IFERROR(DATE(VALUE(MID(G789,FIND("/",G789,FIND("/",G789)+1)+1,4)),VALUE(MID(G789,FIND("/",G789)+1,FIND("/",G789,FIND("/",G789)+1)-FIND("/",G789)-1)),VALUE(LEFT(G789,FIND("/",G789)-1)))+IFERROR(TIMEVALUE(TRIM(MID(G789,FIND(" ",G789)+1,20))),0),0)))</f>
        <v/>
      </c>
      <c r="J789" s="255">
        <f>IF(H789="",0,IF(ISNUMBER(H789),H789,IFERROR(DATE(VALUE(MID(H789,FIND("/",H789,FIND("/",H789)+1)+1,4)),VALUE(MID(H789,FIND("/",H789)+1,FIND("/",H789,FIND("/",H789)+1)-FIND("/",H789)-1)),VALUE(LEFT(H789,FIND("/",H789)-1)))+IFERROR(TIMEVALUE(TRIM(MID(H789,FIND(" ",H789)+1,20))),0),0)))</f>
        <v/>
      </c>
      <c r="K789" s="256">
        <f>IF(I789=0,0,INT(I789))</f>
        <v/>
      </c>
      <c r="L789" s="257">
        <f>IF(OR(I789=0,J789=0),0,ROUND((J789-I789)*24,2))</f>
        <v/>
      </c>
      <c r="M789" s="254">
        <f>IFERROR(TRIM(MID(A789,FIND("@",SUBSTITUTE(A789,"(","@",LEN(A789)-LEN(SUBSTITUTE(A789,"(",""))))+1,FIND(")",A789,FIND("@",SUBSTITUTE(A789,"(","@",LEN(A789)-LEN(SUBSTITUTE(A789,"(","")))))-FIND("@",SUBSTITUTE(A789,"(","@",LEN(A789)-LEN(SUBSTITUTE(A789,"(",""))))-1)),"")</f>
        <v/>
      </c>
      <c r="N789" s="254">
        <f>IF(A789="","",IF(LEFT(TRIM(A789),5)="Leave","Leave",IF(OR(ISNUMBER(SEARCH("public holiday",A789)),ISNUMBER(SEARCH("Purple",E789))),"Public holiday","Event")))</f>
        <v/>
      </c>
    </row>
    <row r="790">
      <c r="G790" s="254">
        <f>IF(C790="","",IF(ISNUMBER(C790),C790,IF(ISNUMBER(VALUE(LEFT(TRIM(C790),1))),TRIM(C790),TRIM(MID(TRIM(C790),FIND(" ",TRIM(C790))+1,99)))))</f>
        <v/>
      </c>
      <c r="H790" s="254">
        <f>IF(D790="","",IF(ISNUMBER(D790),D790,IF(ISNUMBER(VALUE(LEFT(TRIM(D790),1))),TRIM(D790),TRIM(MID(TRIM(D790),FIND(" ",TRIM(D790))+1,99)))))</f>
        <v/>
      </c>
      <c r="I790" s="255">
        <f>IF(G790="",0,IF(ISNUMBER(G790),G790,IFERROR(DATE(VALUE(MID(G790,FIND("/",G790,FIND("/",G790)+1)+1,4)),VALUE(MID(G790,FIND("/",G790)+1,FIND("/",G790,FIND("/",G790)+1)-FIND("/",G790)-1)),VALUE(LEFT(G790,FIND("/",G790)-1)))+IFERROR(TIMEVALUE(TRIM(MID(G790,FIND(" ",G790)+1,20))),0),0)))</f>
        <v/>
      </c>
      <c r="J790" s="255">
        <f>IF(H790="",0,IF(ISNUMBER(H790),H790,IFERROR(DATE(VALUE(MID(H790,FIND("/",H790,FIND("/",H790)+1)+1,4)),VALUE(MID(H790,FIND("/",H790)+1,FIND("/",H790,FIND("/",H790)+1)-FIND("/",H790)-1)),VALUE(LEFT(H790,FIND("/",H790)-1)))+IFERROR(TIMEVALUE(TRIM(MID(H790,FIND(" ",H790)+1,20))),0),0)))</f>
        <v/>
      </c>
      <c r="K790" s="256">
        <f>IF(I790=0,0,INT(I790))</f>
        <v/>
      </c>
      <c r="L790" s="257">
        <f>IF(OR(I790=0,J790=0),0,ROUND((J790-I790)*24,2))</f>
        <v/>
      </c>
      <c r="M790" s="254">
        <f>IFERROR(TRIM(MID(A790,FIND("@",SUBSTITUTE(A790,"(","@",LEN(A790)-LEN(SUBSTITUTE(A790,"(",""))))+1,FIND(")",A790,FIND("@",SUBSTITUTE(A790,"(","@",LEN(A790)-LEN(SUBSTITUTE(A790,"(","")))))-FIND("@",SUBSTITUTE(A790,"(","@",LEN(A790)-LEN(SUBSTITUTE(A790,"(",""))))-1)),"")</f>
        <v/>
      </c>
      <c r="N790" s="254">
        <f>IF(A790="","",IF(LEFT(TRIM(A790),5)="Leave","Leave",IF(OR(ISNUMBER(SEARCH("public holiday",A790)),ISNUMBER(SEARCH("Purple",E790))),"Public holiday","Event")))</f>
        <v/>
      </c>
    </row>
    <row r="791">
      <c r="G791" s="254">
        <f>IF(C791="","",IF(ISNUMBER(C791),C791,IF(ISNUMBER(VALUE(LEFT(TRIM(C791),1))),TRIM(C791),TRIM(MID(TRIM(C791),FIND(" ",TRIM(C791))+1,99)))))</f>
        <v/>
      </c>
      <c r="H791" s="254">
        <f>IF(D791="","",IF(ISNUMBER(D791),D791,IF(ISNUMBER(VALUE(LEFT(TRIM(D791),1))),TRIM(D791),TRIM(MID(TRIM(D791),FIND(" ",TRIM(D791))+1,99)))))</f>
        <v/>
      </c>
      <c r="I791" s="255">
        <f>IF(G791="",0,IF(ISNUMBER(G791),G791,IFERROR(DATE(VALUE(MID(G791,FIND("/",G791,FIND("/",G791)+1)+1,4)),VALUE(MID(G791,FIND("/",G791)+1,FIND("/",G791,FIND("/",G791)+1)-FIND("/",G791)-1)),VALUE(LEFT(G791,FIND("/",G791)-1)))+IFERROR(TIMEVALUE(TRIM(MID(G791,FIND(" ",G791)+1,20))),0),0)))</f>
        <v/>
      </c>
      <c r="J791" s="255">
        <f>IF(H791="",0,IF(ISNUMBER(H791),H791,IFERROR(DATE(VALUE(MID(H791,FIND("/",H791,FIND("/",H791)+1)+1,4)),VALUE(MID(H791,FIND("/",H791)+1,FIND("/",H791,FIND("/",H791)+1)-FIND("/",H791)-1)),VALUE(LEFT(H791,FIND("/",H791)-1)))+IFERROR(TIMEVALUE(TRIM(MID(H791,FIND(" ",H791)+1,20))),0),0)))</f>
        <v/>
      </c>
      <c r="K791" s="256">
        <f>IF(I791=0,0,INT(I791))</f>
        <v/>
      </c>
      <c r="L791" s="257">
        <f>IF(OR(I791=0,J791=0),0,ROUND((J791-I791)*24,2))</f>
        <v/>
      </c>
      <c r="M791" s="254">
        <f>IFERROR(TRIM(MID(A791,FIND("@",SUBSTITUTE(A791,"(","@",LEN(A791)-LEN(SUBSTITUTE(A791,"(",""))))+1,FIND(")",A791,FIND("@",SUBSTITUTE(A791,"(","@",LEN(A791)-LEN(SUBSTITUTE(A791,"(","")))))-FIND("@",SUBSTITUTE(A791,"(","@",LEN(A791)-LEN(SUBSTITUTE(A791,"(",""))))-1)),"")</f>
        <v/>
      </c>
      <c r="N791" s="254">
        <f>IF(A791="","",IF(LEFT(TRIM(A791),5)="Leave","Leave",IF(OR(ISNUMBER(SEARCH("public holiday",A791)),ISNUMBER(SEARCH("Purple",E791))),"Public holiday","Event")))</f>
        <v/>
      </c>
    </row>
    <row r="792">
      <c r="G792" s="254">
        <f>IF(C792="","",IF(ISNUMBER(C792),C792,IF(ISNUMBER(VALUE(LEFT(TRIM(C792),1))),TRIM(C792),TRIM(MID(TRIM(C792),FIND(" ",TRIM(C792))+1,99)))))</f>
        <v/>
      </c>
      <c r="H792" s="254">
        <f>IF(D792="","",IF(ISNUMBER(D792),D792,IF(ISNUMBER(VALUE(LEFT(TRIM(D792),1))),TRIM(D792),TRIM(MID(TRIM(D792),FIND(" ",TRIM(D792))+1,99)))))</f>
        <v/>
      </c>
      <c r="I792" s="255">
        <f>IF(G792="",0,IF(ISNUMBER(G792),G792,IFERROR(DATE(VALUE(MID(G792,FIND("/",G792,FIND("/",G792)+1)+1,4)),VALUE(MID(G792,FIND("/",G792)+1,FIND("/",G792,FIND("/",G792)+1)-FIND("/",G792)-1)),VALUE(LEFT(G792,FIND("/",G792)-1)))+IFERROR(TIMEVALUE(TRIM(MID(G792,FIND(" ",G792)+1,20))),0),0)))</f>
        <v/>
      </c>
      <c r="J792" s="255">
        <f>IF(H792="",0,IF(ISNUMBER(H792),H792,IFERROR(DATE(VALUE(MID(H792,FIND("/",H792,FIND("/",H792)+1)+1,4)),VALUE(MID(H792,FIND("/",H792)+1,FIND("/",H792,FIND("/",H792)+1)-FIND("/",H792)-1)),VALUE(LEFT(H792,FIND("/",H792)-1)))+IFERROR(TIMEVALUE(TRIM(MID(H792,FIND(" ",H792)+1,20))),0),0)))</f>
        <v/>
      </c>
      <c r="K792" s="256">
        <f>IF(I792=0,0,INT(I792))</f>
        <v/>
      </c>
      <c r="L792" s="257">
        <f>IF(OR(I792=0,J792=0),0,ROUND((J792-I792)*24,2))</f>
        <v/>
      </c>
      <c r="M792" s="254">
        <f>IFERROR(TRIM(MID(A792,FIND("@",SUBSTITUTE(A792,"(","@",LEN(A792)-LEN(SUBSTITUTE(A792,"(",""))))+1,FIND(")",A792,FIND("@",SUBSTITUTE(A792,"(","@",LEN(A792)-LEN(SUBSTITUTE(A792,"(","")))))-FIND("@",SUBSTITUTE(A792,"(","@",LEN(A792)-LEN(SUBSTITUTE(A792,"(",""))))-1)),"")</f>
        <v/>
      </c>
      <c r="N792" s="254">
        <f>IF(A792="","",IF(LEFT(TRIM(A792),5)="Leave","Leave",IF(OR(ISNUMBER(SEARCH("public holiday",A792)),ISNUMBER(SEARCH("Purple",E792))),"Public holiday","Event")))</f>
        <v/>
      </c>
    </row>
    <row r="793">
      <c r="G793" s="254">
        <f>IF(C793="","",IF(ISNUMBER(C793),C793,IF(ISNUMBER(VALUE(LEFT(TRIM(C793),1))),TRIM(C793),TRIM(MID(TRIM(C793),FIND(" ",TRIM(C793))+1,99)))))</f>
        <v/>
      </c>
      <c r="H793" s="254">
        <f>IF(D793="","",IF(ISNUMBER(D793),D793,IF(ISNUMBER(VALUE(LEFT(TRIM(D793),1))),TRIM(D793),TRIM(MID(TRIM(D793),FIND(" ",TRIM(D793))+1,99)))))</f>
        <v/>
      </c>
      <c r="I793" s="255">
        <f>IF(G793="",0,IF(ISNUMBER(G793),G793,IFERROR(DATE(VALUE(MID(G793,FIND("/",G793,FIND("/",G793)+1)+1,4)),VALUE(MID(G793,FIND("/",G793)+1,FIND("/",G793,FIND("/",G793)+1)-FIND("/",G793)-1)),VALUE(LEFT(G793,FIND("/",G793)-1)))+IFERROR(TIMEVALUE(TRIM(MID(G793,FIND(" ",G793)+1,20))),0),0)))</f>
        <v/>
      </c>
      <c r="J793" s="255">
        <f>IF(H793="",0,IF(ISNUMBER(H793),H793,IFERROR(DATE(VALUE(MID(H793,FIND("/",H793,FIND("/",H793)+1)+1,4)),VALUE(MID(H793,FIND("/",H793)+1,FIND("/",H793,FIND("/",H793)+1)-FIND("/",H793)-1)),VALUE(LEFT(H793,FIND("/",H793)-1)))+IFERROR(TIMEVALUE(TRIM(MID(H793,FIND(" ",H793)+1,20))),0),0)))</f>
        <v/>
      </c>
      <c r="K793" s="256">
        <f>IF(I793=0,0,INT(I793))</f>
        <v/>
      </c>
      <c r="L793" s="257">
        <f>IF(OR(I793=0,J793=0),0,ROUND((J793-I793)*24,2))</f>
        <v/>
      </c>
      <c r="M793" s="254">
        <f>IFERROR(TRIM(MID(A793,FIND("@",SUBSTITUTE(A793,"(","@",LEN(A793)-LEN(SUBSTITUTE(A793,"(",""))))+1,FIND(")",A793,FIND("@",SUBSTITUTE(A793,"(","@",LEN(A793)-LEN(SUBSTITUTE(A793,"(","")))))-FIND("@",SUBSTITUTE(A793,"(","@",LEN(A793)-LEN(SUBSTITUTE(A793,"(",""))))-1)),"")</f>
        <v/>
      </c>
      <c r="N793" s="254">
        <f>IF(A793="","",IF(LEFT(TRIM(A793),5)="Leave","Leave",IF(OR(ISNUMBER(SEARCH("public holiday",A793)),ISNUMBER(SEARCH("Purple",E793))),"Public holiday","Event")))</f>
        <v/>
      </c>
    </row>
    <row r="794">
      <c r="G794" s="254">
        <f>IF(C794="","",IF(ISNUMBER(C794),C794,IF(ISNUMBER(VALUE(LEFT(TRIM(C794),1))),TRIM(C794),TRIM(MID(TRIM(C794),FIND(" ",TRIM(C794))+1,99)))))</f>
        <v/>
      </c>
      <c r="H794" s="254">
        <f>IF(D794="","",IF(ISNUMBER(D794),D794,IF(ISNUMBER(VALUE(LEFT(TRIM(D794),1))),TRIM(D794),TRIM(MID(TRIM(D794),FIND(" ",TRIM(D794))+1,99)))))</f>
        <v/>
      </c>
      <c r="I794" s="255">
        <f>IF(G794="",0,IF(ISNUMBER(G794),G794,IFERROR(DATE(VALUE(MID(G794,FIND("/",G794,FIND("/",G794)+1)+1,4)),VALUE(MID(G794,FIND("/",G794)+1,FIND("/",G794,FIND("/",G794)+1)-FIND("/",G794)-1)),VALUE(LEFT(G794,FIND("/",G794)-1)))+IFERROR(TIMEVALUE(TRIM(MID(G794,FIND(" ",G794)+1,20))),0),0)))</f>
        <v/>
      </c>
      <c r="J794" s="255">
        <f>IF(H794="",0,IF(ISNUMBER(H794),H794,IFERROR(DATE(VALUE(MID(H794,FIND("/",H794,FIND("/",H794)+1)+1,4)),VALUE(MID(H794,FIND("/",H794)+1,FIND("/",H794,FIND("/",H794)+1)-FIND("/",H794)-1)),VALUE(LEFT(H794,FIND("/",H794)-1)))+IFERROR(TIMEVALUE(TRIM(MID(H794,FIND(" ",H794)+1,20))),0),0)))</f>
        <v/>
      </c>
      <c r="K794" s="256">
        <f>IF(I794=0,0,INT(I794))</f>
        <v/>
      </c>
      <c r="L794" s="257">
        <f>IF(OR(I794=0,J794=0),0,ROUND((J794-I794)*24,2))</f>
        <v/>
      </c>
      <c r="M794" s="254">
        <f>IFERROR(TRIM(MID(A794,FIND("@",SUBSTITUTE(A794,"(","@",LEN(A794)-LEN(SUBSTITUTE(A794,"(",""))))+1,FIND(")",A794,FIND("@",SUBSTITUTE(A794,"(","@",LEN(A794)-LEN(SUBSTITUTE(A794,"(","")))))-FIND("@",SUBSTITUTE(A794,"(","@",LEN(A794)-LEN(SUBSTITUTE(A794,"(",""))))-1)),"")</f>
        <v/>
      </c>
      <c r="N794" s="254">
        <f>IF(A794="","",IF(LEFT(TRIM(A794),5)="Leave","Leave",IF(OR(ISNUMBER(SEARCH("public holiday",A794)),ISNUMBER(SEARCH("Purple",E794))),"Public holiday","Event")))</f>
        <v/>
      </c>
    </row>
    <row r="795">
      <c r="G795" s="254">
        <f>IF(C795="","",IF(ISNUMBER(C795),C795,IF(ISNUMBER(VALUE(LEFT(TRIM(C795),1))),TRIM(C795),TRIM(MID(TRIM(C795),FIND(" ",TRIM(C795))+1,99)))))</f>
        <v/>
      </c>
      <c r="H795" s="254">
        <f>IF(D795="","",IF(ISNUMBER(D795),D795,IF(ISNUMBER(VALUE(LEFT(TRIM(D795),1))),TRIM(D795),TRIM(MID(TRIM(D795),FIND(" ",TRIM(D795))+1,99)))))</f>
        <v/>
      </c>
      <c r="I795" s="255">
        <f>IF(G795="",0,IF(ISNUMBER(G795),G795,IFERROR(DATE(VALUE(MID(G795,FIND("/",G795,FIND("/",G795)+1)+1,4)),VALUE(MID(G795,FIND("/",G795)+1,FIND("/",G795,FIND("/",G795)+1)-FIND("/",G795)-1)),VALUE(LEFT(G795,FIND("/",G795)-1)))+IFERROR(TIMEVALUE(TRIM(MID(G795,FIND(" ",G795)+1,20))),0),0)))</f>
        <v/>
      </c>
      <c r="J795" s="255">
        <f>IF(H795="",0,IF(ISNUMBER(H795),H795,IFERROR(DATE(VALUE(MID(H795,FIND("/",H795,FIND("/",H795)+1)+1,4)),VALUE(MID(H795,FIND("/",H795)+1,FIND("/",H795,FIND("/",H795)+1)-FIND("/",H795)-1)),VALUE(LEFT(H795,FIND("/",H795)-1)))+IFERROR(TIMEVALUE(TRIM(MID(H795,FIND(" ",H795)+1,20))),0),0)))</f>
        <v/>
      </c>
      <c r="K795" s="256">
        <f>IF(I795=0,0,INT(I795))</f>
        <v/>
      </c>
      <c r="L795" s="257">
        <f>IF(OR(I795=0,J795=0),0,ROUND((J795-I795)*24,2))</f>
        <v/>
      </c>
      <c r="M795" s="254">
        <f>IFERROR(TRIM(MID(A795,FIND("@",SUBSTITUTE(A795,"(","@",LEN(A795)-LEN(SUBSTITUTE(A795,"(",""))))+1,FIND(")",A795,FIND("@",SUBSTITUTE(A795,"(","@",LEN(A795)-LEN(SUBSTITUTE(A795,"(","")))))-FIND("@",SUBSTITUTE(A795,"(","@",LEN(A795)-LEN(SUBSTITUTE(A795,"(",""))))-1)),"")</f>
        <v/>
      </c>
      <c r="N795" s="254">
        <f>IF(A795="","",IF(LEFT(TRIM(A795),5)="Leave","Leave",IF(OR(ISNUMBER(SEARCH("public holiday",A795)),ISNUMBER(SEARCH("Purple",E795))),"Public holiday","Event")))</f>
        <v/>
      </c>
    </row>
    <row r="796">
      <c r="G796" s="254">
        <f>IF(C796="","",IF(ISNUMBER(C796),C796,IF(ISNUMBER(VALUE(LEFT(TRIM(C796),1))),TRIM(C796),TRIM(MID(TRIM(C796),FIND(" ",TRIM(C796))+1,99)))))</f>
        <v/>
      </c>
      <c r="H796" s="254">
        <f>IF(D796="","",IF(ISNUMBER(D796),D796,IF(ISNUMBER(VALUE(LEFT(TRIM(D796),1))),TRIM(D796),TRIM(MID(TRIM(D796),FIND(" ",TRIM(D796))+1,99)))))</f>
        <v/>
      </c>
      <c r="I796" s="255">
        <f>IF(G796="",0,IF(ISNUMBER(G796),G796,IFERROR(DATE(VALUE(MID(G796,FIND("/",G796,FIND("/",G796)+1)+1,4)),VALUE(MID(G796,FIND("/",G796)+1,FIND("/",G796,FIND("/",G796)+1)-FIND("/",G796)-1)),VALUE(LEFT(G796,FIND("/",G796)-1)))+IFERROR(TIMEVALUE(TRIM(MID(G796,FIND(" ",G796)+1,20))),0),0)))</f>
        <v/>
      </c>
      <c r="J796" s="255">
        <f>IF(H796="",0,IF(ISNUMBER(H796),H796,IFERROR(DATE(VALUE(MID(H796,FIND("/",H796,FIND("/",H796)+1)+1,4)),VALUE(MID(H796,FIND("/",H796)+1,FIND("/",H796,FIND("/",H796)+1)-FIND("/",H796)-1)),VALUE(LEFT(H796,FIND("/",H796)-1)))+IFERROR(TIMEVALUE(TRIM(MID(H796,FIND(" ",H796)+1,20))),0),0)))</f>
        <v/>
      </c>
      <c r="K796" s="256">
        <f>IF(I796=0,0,INT(I796))</f>
        <v/>
      </c>
      <c r="L796" s="257">
        <f>IF(OR(I796=0,J796=0),0,ROUND((J796-I796)*24,2))</f>
        <v/>
      </c>
      <c r="M796" s="254">
        <f>IFERROR(TRIM(MID(A796,FIND("@",SUBSTITUTE(A796,"(","@",LEN(A796)-LEN(SUBSTITUTE(A796,"(",""))))+1,FIND(")",A796,FIND("@",SUBSTITUTE(A796,"(","@",LEN(A796)-LEN(SUBSTITUTE(A796,"(","")))))-FIND("@",SUBSTITUTE(A796,"(","@",LEN(A796)-LEN(SUBSTITUTE(A796,"(",""))))-1)),"")</f>
        <v/>
      </c>
      <c r="N796" s="254">
        <f>IF(A796="","",IF(LEFT(TRIM(A796),5)="Leave","Leave",IF(OR(ISNUMBER(SEARCH("public holiday",A796)),ISNUMBER(SEARCH("Purple",E796))),"Public holiday","Event")))</f>
        <v/>
      </c>
    </row>
    <row r="797">
      <c r="G797" s="254">
        <f>IF(C797="","",IF(ISNUMBER(C797),C797,IF(ISNUMBER(VALUE(LEFT(TRIM(C797),1))),TRIM(C797),TRIM(MID(TRIM(C797),FIND(" ",TRIM(C797))+1,99)))))</f>
        <v/>
      </c>
      <c r="H797" s="254">
        <f>IF(D797="","",IF(ISNUMBER(D797),D797,IF(ISNUMBER(VALUE(LEFT(TRIM(D797),1))),TRIM(D797),TRIM(MID(TRIM(D797),FIND(" ",TRIM(D797))+1,99)))))</f>
        <v/>
      </c>
      <c r="I797" s="255">
        <f>IF(G797="",0,IF(ISNUMBER(G797),G797,IFERROR(DATE(VALUE(MID(G797,FIND("/",G797,FIND("/",G797)+1)+1,4)),VALUE(MID(G797,FIND("/",G797)+1,FIND("/",G797,FIND("/",G797)+1)-FIND("/",G797)-1)),VALUE(LEFT(G797,FIND("/",G797)-1)))+IFERROR(TIMEVALUE(TRIM(MID(G797,FIND(" ",G797)+1,20))),0),0)))</f>
        <v/>
      </c>
      <c r="J797" s="255">
        <f>IF(H797="",0,IF(ISNUMBER(H797),H797,IFERROR(DATE(VALUE(MID(H797,FIND("/",H797,FIND("/",H797)+1)+1,4)),VALUE(MID(H797,FIND("/",H797)+1,FIND("/",H797,FIND("/",H797)+1)-FIND("/",H797)-1)),VALUE(LEFT(H797,FIND("/",H797)-1)))+IFERROR(TIMEVALUE(TRIM(MID(H797,FIND(" ",H797)+1,20))),0),0)))</f>
        <v/>
      </c>
      <c r="K797" s="256">
        <f>IF(I797=0,0,INT(I797))</f>
        <v/>
      </c>
      <c r="L797" s="257">
        <f>IF(OR(I797=0,J797=0),0,ROUND((J797-I797)*24,2))</f>
        <v/>
      </c>
      <c r="M797" s="254">
        <f>IFERROR(TRIM(MID(A797,FIND("@",SUBSTITUTE(A797,"(","@",LEN(A797)-LEN(SUBSTITUTE(A797,"(",""))))+1,FIND(")",A797,FIND("@",SUBSTITUTE(A797,"(","@",LEN(A797)-LEN(SUBSTITUTE(A797,"(","")))))-FIND("@",SUBSTITUTE(A797,"(","@",LEN(A797)-LEN(SUBSTITUTE(A797,"(",""))))-1)),"")</f>
        <v/>
      </c>
      <c r="N797" s="254">
        <f>IF(A797="","",IF(LEFT(TRIM(A797),5)="Leave","Leave",IF(OR(ISNUMBER(SEARCH("public holiday",A797)),ISNUMBER(SEARCH("Purple",E797))),"Public holiday","Event")))</f>
        <v/>
      </c>
    </row>
    <row r="798">
      <c r="G798" s="254">
        <f>IF(C798="","",IF(ISNUMBER(C798),C798,IF(ISNUMBER(VALUE(LEFT(TRIM(C798),1))),TRIM(C798),TRIM(MID(TRIM(C798),FIND(" ",TRIM(C798))+1,99)))))</f>
        <v/>
      </c>
      <c r="H798" s="254">
        <f>IF(D798="","",IF(ISNUMBER(D798),D798,IF(ISNUMBER(VALUE(LEFT(TRIM(D798),1))),TRIM(D798),TRIM(MID(TRIM(D798),FIND(" ",TRIM(D798))+1,99)))))</f>
        <v/>
      </c>
      <c r="I798" s="255">
        <f>IF(G798="",0,IF(ISNUMBER(G798),G798,IFERROR(DATE(VALUE(MID(G798,FIND("/",G798,FIND("/",G798)+1)+1,4)),VALUE(MID(G798,FIND("/",G798)+1,FIND("/",G798,FIND("/",G798)+1)-FIND("/",G798)-1)),VALUE(LEFT(G798,FIND("/",G798)-1)))+IFERROR(TIMEVALUE(TRIM(MID(G798,FIND(" ",G798)+1,20))),0),0)))</f>
        <v/>
      </c>
      <c r="J798" s="255">
        <f>IF(H798="",0,IF(ISNUMBER(H798),H798,IFERROR(DATE(VALUE(MID(H798,FIND("/",H798,FIND("/",H798)+1)+1,4)),VALUE(MID(H798,FIND("/",H798)+1,FIND("/",H798,FIND("/",H798)+1)-FIND("/",H798)-1)),VALUE(LEFT(H798,FIND("/",H798)-1)))+IFERROR(TIMEVALUE(TRIM(MID(H798,FIND(" ",H798)+1,20))),0),0)))</f>
        <v/>
      </c>
      <c r="K798" s="256">
        <f>IF(I798=0,0,INT(I798))</f>
        <v/>
      </c>
      <c r="L798" s="257">
        <f>IF(OR(I798=0,J798=0),0,ROUND((J798-I798)*24,2))</f>
        <v/>
      </c>
      <c r="M798" s="254">
        <f>IFERROR(TRIM(MID(A798,FIND("@",SUBSTITUTE(A798,"(","@",LEN(A798)-LEN(SUBSTITUTE(A798,"(",""))))+1,FIND(")",A798,FIND("@",SUBSTITUTE(A798,"(","@",LEN(A798)-LEN(SUBSTITUTE(A798,"(","")))))-FIND("@",SUBSTITUTE(A798,"(","@",LEN(A798)-LEN(SUBSTITUTE(A798,"(",""))))-1)),"")</f>
        <v/>
      </c>
      <c r="N798" s="254">
        <f>IF(A798="","",IF(LEFT(TRIM(A798),5)="Leave","Leave",IF(OR(ISNUMBER(SEARCH("public holiday",A798)),ISNUMBER(SEARCH("Purple",E798))),"Public holiday","Event")))</f>
        <v/>
      </c>
    </row>
    <row r="799">
      <c r="G799" s="254">
        <f>IF(C799="","",IF(ISNUMBER(C799),C799,IF(ISNUMBER(VALUE(LEFT(TRIM(C799),1))),TRIM(C799),TRIM(MID(TRIM(C799),FIND(" ",TRIM(C799))+1,99)))))</f>
        <v/>
      </c>
      <c r="H799" s="254">
        <f>IF(D799="","",IF(ISNUMBER(D799),D799,IF(ISNUMBER(VALUE(LEFT(TRIM(D799),1))),TRIM(D799),TRIM(MID(TRIM(D799),FIND(" ",TRIM(D799))+1,99)))))</f>
        <v/>
      </c>
      <c r="I799" s="255">
        <f>IF(G799="",0,IF(ISNUMBER(G799),G799,IFERROR(DATE(VALUE(MID(G799,FIND("/",G799,FIND("/",G799)+1)+1,4)),VALUE(MID(G799,FIND("/",G799)+1,FIND("/",G799,FIND("/",G799)+1)-FIND("/",G799)-1)),VALUE(LEFT(G799,FIND("/",G799)-1)))+IFERROR(TIMEVALUE(TRIM(MID(G799,FIND(" ",G799)+1,20))),0),0)))</f>
        <v/>
      </c>
      <c r="J799" s="255">
        <f>IF(H799="",0,IF(ISNUMBER(H799),H799,IFERROR(DATE(VALUE(MID(H799,FIND("/",H799,FIND("/",H799)+1)+1,4)),VALUE(MID(H799,FIND("/",H799)+1,FIND("/",H799,FIND("/",H799)+1)-FIND("/",H799)-1)),VALUE(LEFT(H799,FIND("/",H799)-1)))+IFERROR(TIMEVALUE(TRIM(MID(H799,FIND(" ",H799)+1,20))),0),0)))</f>
        <v/>
      </c>
      <c r="K799" s="256">
        <f>IF(I799=0,0,INT(I799))</f>
        <v/>
      </c>
      <c r="L799" s="257">
        <f>IF(OR(I799=0,J799=0),0,ROUND((J799-I799)*24,2))</f>
        <v/>
      </c>
      <c r="M799" s="254">
        <f>IFERROR(TRIM(MID(A799,FIND("@",SUBSTITUTE(A799,"(","@",LEN(A799)-LEN(SUBSTITUTE(A799,"(",""))))+1,FIND(")",A799,FIND("@",SUBSTITUTE(A799,"(","@",LEN(A799)-LEN(SUBSTITUTE(A799,"(","")))))-FIND("@",SUBSTITUTE(A799,"(","@",LEN(A799)-LEN(SUBSTITUTE(A799,"(",""))))-1)),"")</f>
        <v/>
      </c>
      <c r="N799" s="254">
        <f>IF(A799="","",IF(LEFT(TRIM(A799),5)="Leave","Leave",IF(OR(ISNUMBER(SEARCH("public holiday",A799)),ISNUMBER(SEARCH("Purple",E799))),"Public holiday","Event")))</f>
        <v/>
      </c>
    </row>
    <row r="800">
      <c r="G800" s="254">
        <f>IF(C800="","",IF(ISNUMBER(C800),C800,IF(ISNUMBER(VALUE(LEFT(TRIM(C800),1))),TRIM(C800),TRIM(MID(TRIM(C800),FIND(" ",TRIM(C800))+1,99)))))</f>
        <v/>
      </c>
      <c r="H800" s="254">
        <f>IF(D800="","",IF(ISNUMBER(D800),D800,IF(ISNUMBER(VALUE(LEFT(TRIM(D800),1))),TRIM(D800),TRIM(MID(TRIM(D800),FIND(" ",TRIM(D800))+1,99)))))</f>
        <v/>
      </c>
      <c r="I800" s="255">
        <f>IF(G800="",0,IF(ISNUMBER(G800),G800,IFERROR(DATE(VALUE(MID(G800,FIND("/",G800,FIND("/",G800)+1)+1,4)),VALUE(MID(G800,FIND("/",G800)+1,FIND("/",G800,FIND("/",G800)+1)-FIND("/",G800)-1)),VALUE(LEFT(G800,FIND("/",G800)-1)))+IFERROR(TIMEVALUE(TRIM(MID(G800,FIND(" ",G800)+1,20))),0),0)))</f>
        <v/>
      </c>
      <c r="J800" s="255">
        <f>IF(H800="",0,IF(ISNUMBER(H800),H800,IFERROR(DATE(VALUE(MID(H800,FIND("/",H800,FIND("/",H800)+1)+1,4)),VALUE(MID(H800,FIND("/",H800)+1,FIND("/",H800,FIND("/",H800)+1)-FIND("/",H800)-1)),VALUE(LEFT(H800,FIND("/",H800)-1)))+IFERROR(TIMEVALUE(TRIM(MID(H800,FIND(" ",H800)+1,20))),0),0)))</f>
        <v/>
      </c>
      <c r="K800" s="256">
        <f>IF(I800=0,0,INT(I800))</f>
        <v/>
      </c>
      <c r="L800" s="257">
        <f>IF(OR(I800=0,J800=0),0,ROUND((J800-I800)*24,2))</f>
        <v/>
      </c>
      <c r="M800" s="254">
        <f>IFERROR(TRIM(MID(A800,FIND("@",SUBSTITUTE(A800,"(","@",LEN(A800)-LEN(SUBSTITUTE(A800,"(",""))))+1,FIND(")",A800,FIND("@",SUBSTITUTE(A800,"(","@",LEN(A800)-LEN(SUBSTITUTE(A800,"(","")))))-FIND("@",SUBSTITUTE(A800,"(","@",LEN(A800)-LEN(SUBSTITUTE(A800,"(",""))))-1)),"")</f>
        <v/>
      </c>
      <c r="N800" s="254">
        <f>IF(A800="","",IF(LEFT(TRIM(A800),5)="Leave","Leave",IF(OR(ISNUMBER(SEARCH("public holiday",A800)),ISNUMBER(SEARCH("Purple",E800))),"Public holiday","Event")))</f>
        <v/>
      </c>
    </row>
    <row r="801">
      <c r="G801" s="254">
        <f>IF(C801="","",IF(ISNUMBER(C801),C801,IF(ISNUMBER(VALUE(LEFT(TRIM(C801),1))),TRIM(C801),TRIM(MID(TRIM(C801),FIND(" ",TRIM(C801))+1,99)))))</f>
        <v/>
      </c>
      <c r="H801" s="254">
        <f>IF(D801="","",IF(ISNUMBER(D801),D801,IF(ISNUMBER(VALUE(LEFT(TRIM(D801),1))),TRIM(D801),TRIM(MID(TRIM(D801),FIND(" ",TRIM(D801))+1,99)))))</f>
        <v/>
      </c>
      <c r="I801" s="255">
        <f>IF(G801="",0,IF(ISNUMBER(G801),G801,IFERROR(DATE(VALUE(MID(G801,FIND("/",G801,FIND("/",G801)+1)+1,4)),VALUE(MID(G801,FIND("/",G801)+1,FIND("/",G801,FIND("/",G801)+1)-FIND("/",G801)-1)),VALUE(LEFT(G801,FIND("/",G801)-1)))+IFERROR(TIMEVALUE(TRIM(MID(G801,FIND(" ",G801)+1,20))),0),0)))</f>
        <v/>
      </c>
      <c r="J801" s="255">
        <f>IF(H801="",0,IF(ISNUMBER(H801),H801,IFERROR(DATE(VALUE(MID(H801,FIND("/",H801,FIND("/",H801)+1)+1,4)),VALUE(MID(H801,FIND("/",H801)+1,FIND("/",H801,FIND("/",H801)+1)-FIND("/",H801)-1)),VALUE(LEFT(H801,FIND("/",H801)-1)))+IFERROR(TIMEVALUE(TRIM(MID(H801,FIND(" ",H801)+1,20))),0),0)))</f>
        <v/>
      </c>
      <c r="K801" s="256">
        <f>IF(I801=0,0,INT(I801))</f>
        <v/>
      </c>
      <c r="L801" s="257">
        <f>IF(OR(I801=0,J801=0),0,ROUND((J801-I801)*24,2))</f>
        <v/>
      </c>
      <c r="M801" s="254">
        <f>IFERROR(TRIM(MID(A801,FIND("@",SUBSTITUTE(A801,"(","@",LEN(A801)-LEN(SUBSTITUTE(A801,"(",""))))+1,FIND(")",A801,FIND("@",SUBSTITUTE(A801,"(","@",LEN(A801)-LEN(SUBSTITUTE(A801,"(","")))))-FIND("@",SUBSTITUTE(A801,"(","@",LEN(A801)-LEN(SUBSTITUTE(A801,"(",""))))-1)),"")</f>
        <v/>
      </c>
      <c r="N801" s="254">
        <f>IF(A801="","",IF(LEFT(TRIM(A801),5)="Leave","Leave",IF(OR(ISNUMBER(SEARCH("public holiday",A801)),ISNUMBER(SEARCH("Purple",E801))),"Public holiday","Event")))</f>
        <v/>
      </c>
    </row>
    <row r="802">
      <c r="G802" s="254">
        <f>IF(C802="","",IF(ISNUMBER(C802),C802,IF(ISNUMBER(VALUE(LEFT(TRIM(C802),1))),TRIM(C802),TRIM(MID(TRIM(C802),FIND(" ",TRIM(C802))+1,99)))))</f>
        <v/>
      </c>
      <c r="H802" s="254">
        <f>IF(D802="","",IF(ISNUMBER(D802),D802,IF(ISNUMBER(VALUE(LEFT(TRIM(D802),1))),TRIM(D802),TRIM(MID(TRIM(D802),FIND(" ",TRIM(D802))+1,99)))))</f>
        <v/>
      </c>
      <c r="I802" s="255">
        <f>IF(G802="",0,IF(ISNUMBER(G802),G802,IFERROR(DATE(VALUE(MID(G802,FIND("/",G802,FIND("/",G802)+1)+1,4)),VALUE(MID(G802,FIND("/",G802)+1,FIND("/",G802,FIND("/",G802)+1)-FIND("/",G802)-1)),VALUE(LEFT(G802,FIND("/",G802)-1)))+IFERROR(TIMEVALUE(TRIM(MID(G802,FIND(" ",G802)+1,20))),0),0)))</f>
        <v/>
      </c>
      <c r="J802" s="255">
        <f>IF(H802="",0,IF(ISNUMBER(H802),H802,IFERROR(DATE(VALUE(MID(H802,FIND("/",H802,FIND("/",H802)+1)+1,4)),VALUE(MID(H802,FIND("/",H802)+1,FIND("/",H802,FIND("/",H802)+1)-FIND("/",H802)-1)),VALUE(LEFT(H802,FIND("/",H802)-1)))+IFERROR(TIMEVALUE(TRIM(MID(H802,FIND(" ",H802)+1,20))),0),0)))</f>
        <v/>
      </c>
      <c r="K802" s="256">
        <f>IF(I802=0,0,INT(I802))</f>
        <v/>
      </c>
      <c r="L802" s="257">
        <f>IF(OR(I802=0,J802=0),0,ROUND((J802-I802)*24,2))</f>
        <v/>
      </c>
      <c r="M802" s="254">
        <f>IFERROR(TRIM(MID(A802,FIND("@",SUBSTITUTE(A802,"(","@",LEN(A802)-LEN(SUBSTITUTE(A802,"(",""))))+1,FIND(")",A802,FIND("@",SUBSTITUTE(A802,"(","@",LEN(A802)-LEN(SUBSTITUTE(A802,"(","")))))-FIND("@",SUBSTITUTE(A802,"(","@",LEN(A802)-LEN(SUBSTITUTE(A802,"(",""))))-1)),"")</f>
        <v/>
      </c>
      <c r="N802" s="254">
        <f>IF(A802="","",IF(LEFT(TRIM(A802),5)="Leave","Leave",IF(OR(ISNUMBER(SEARCH("public holiday",A802)),ISNUMBER(SEARCH("Purple",E802))),"Public holiday","Event")))</f>
        <v/>
      </c>
    </row>
    <row r="803">
      <c r="G803" s="254">
        <f>IF(C803="","",IF(ISNUMBER(C803),C803,IF(ISNUMBER(VALUE(LEFT(TRIM(C803),1))),TRIM(C803),TRIM(MID(TRIM(C803),FIND(" ",TRIM(C803))+1,99)))))</f>
        <v/>
      </c>
      <c r="H803" s="254">
        <f>IF(D803="","",IF(ISNUMBER(D803),D803,IF(ISNUMBER(VALUE(LEFT(TRIM(D803),1))),TRIM(D803),TRIM(MID(TRIM(D803),FIND(" ",TRIM(D803))+1,99)))))</f>
        <v/>
      </c>
      <c r="I803" s="255">
        <f>IF(G803="",0,IF(ISNUMBER(G803),G803,IFERROR(DATE(VALUE(MID(G803,FIND("/",G803,FIND("/",G803)+1)+1,4)),VALUE(MID(G803,FIND("/",G803)+1,FIND("/",G803,FIND("/",G803)+1)-FIND("/",G803)-1)),VALUE(LEFT(G803,FIND("/",G803)-1)))+IFERROR(TIMEVALUE(TRIM(MID(G803,FIND(" ",G803)+1,20))),0),0)))</f>
        <v/>
      </c>
      <c r="J803" s="255">
        <f>IF(H803="",0,IF(ISNUMBER(H803),H803,IFERROR(DATE(VALUE(MID(H803,FIND("/",H803,FIND("/",H803)+1)+1,4)),VALUE(MID(H803,FIND("/",H803)+1,FIND("/",H803,FIND("/",H803)+1)-FIND("/",H803)-1)),VALUE(LEFT(H803,FIND("/",H803)-1)))+IFERROR(TIMEVALUE(TRIM(MID(H803,FIND(" ",H803)+1,20))),0),0)))</f>
        <v/>
      </c>
      <c r="K803" s="256">
        <f>IF(I803=0,0,INT(I803))</f>
        <v/>
      </c>
      <c r="L803" s="257">
        <f>IF(OR(I803=0,J803=0),0,ROUND((J803-I803)*24,2))</f>
        <v/>
      </c>
      <c r="M803" s="254">
        <f>IFERROR(TRIM(MID(A803,FIND("@",SUBSTITUTE(A803,"(","@",LEN(A803)-LEN(SUBSTITUTE(A803,"(",""))))+1,FIND(")",A803,FIND("@",SUBSTITUTE(A803,"(","@",LEN(A803)-LEN(SUBSTITUTE(A803,"(","")))))-FIND("@",SUBSTITUTE(A803,"(","@",LEN(A803)-LEN(SUBSTITUTE(A803,"(",""))))-1)),"")</f>
        <v/>
      </c>
      <c r="N803" s="254">
        <f>IF(A803="","",IF(LEFT(TRIM(A803),5)="Leave","Leave",IF(OR(ISNUMBER(SEARCH("public holiday",A803)),ISNUMBER(SEARCH("Purple",E803))),"Public holiday","Event")))</f>
        <v/>
      </c>
    </row>
    <row r="804">
      <c r="G804" s="254">
        <f>IF(C804="","",IF(ISNUMBER(C804),C804,IF(ISNUMBER(VALUE(LEFT(TRIM(C804),1))),TRIM(C804),TRIM(MID(TRIM(C804),FIND(" ",TRIM(C804))+1,99)))))</f>
        <v/>
      </c>
      <c r="H804" s="254">
        <f>IF(D804="","",IF(ISNUMBER(D804),D804,IF(ISNUMBER(VALUE(LEFT(TRIM(D804),1))),TRIM(D804),TRIM(MID(TRIM(D804),FIND(" ",TRIM(D804))+1,99)))))</f>
        <v/>
      </c>
      <c r="I804" s="255">
        <f>IF(G804="",0,IF(ISNUMBER(G804),G804,IFERROR(DATE(VALUE(MID(G804,FIND("/",G804,FIND("/",G804)+1)+1,4)),VALUE(MID(G804,FIND("/",G804)+1,FIND("/",G804,FIND("/",G804)+1)-FIND("/",G804)-1)),VALUE(LEFT(G804,FIND("/",G804)-1)))+IFERROR(TIMEVALUE(TRIM(MID(G804,FIND(" ",G804)+1,20))),0),0)))</f>
        <v/>
      </c>
      <c r="J804" s="255">
        <f>IF(H804="",0,IF(ISNUMBER(H804),H804,IFERROR(DATE(VALUE(MID(H804,FIND("/",H804,FIND("/",H804)+1)+1,4)),VALUE(MID(H804,FIND("/",H804)+1,FIND("/",H804,FIND("/",H804)+1)-FIND("/",H804)-1)),VALUE(LEFT(H804,FIND("/",H804)-1)))+IFERROR(TIMEVALUE(TRIM(MID(H804,FIND(" ",H804)+1,20))),0),0)))</f>
        <v/>
      </c>
      <c r="K804" s="256">
        <f>IF(I804=0,0,INT(I804))</f>
        <v/>
      </c>
      <c r="L804" s="257">
        <f>IF(OR(I804=0,J804=0),0,ROUND((J804-I804)*24,2))</f>
        <v/>
      </c>
      <c r="M804" s="254">
        <f>IFERROR(TRIM(MID(A804,FIND("@",SUBSTITUTE(A804,"(","@",LEN(A804)-LEN(SUBSTITUTE(A804,"(",""))))+1,FIND(")",A804,FIND("@",SUBSTITUTE(A804,"(","@",LEN(A804)-LEN(SUBSTITUTE(A804,"(","")))))-FIND("@",SUBSTITUTE(A804,"(","@",LEN(A804)-LEN(SUBSTITUTE(A804,"(",""))))-1)),"")</f>
        <v/>
      </c>
      <c r="N804" s="254">
        <f>IF(A804="","",IF(LEFT(TRIM(A804),5)="Leave","Leave",IF(OR(ISNUMBER(SEARCH("public holiday",A804)),ISNUMBER(SEARCH("Purple",E804))),"Public holiday","Event")))</f>
        <v/>
      </c>
    </row>
    <row r="805">
      <c r="G805" s="254">
        <f>IF(C805="","",IF(ISNUMBER(C805),C805,IF(ISNUMBER(VALUE(LEFT(TRIM(C805),1))),TRIM(C805),TRIM(MID(TRIM(C805),FIND(" ",TRIM(C805))+1,99)))))</f>
        <v/>
      </c>
      <c r="H805" s="254">
        <f>IF(D805="","",IF(ISNUMBER(D805),D805,IF(ISNUMBER(VALUE(LEFT(TRIM(D805),1))),TRIM(D805),TRIM(MID(TRIM(D805),FIND(" ",TRIM(D805))+1,99)))))</f>
        <v/>
      </c>
      <c r="I805" s="255">
        <f>IF(G805="",0,IF(ISNUMBER(G805),G805,IFERROR(DATE(VALUE(MID(G805,FIND("/",G805,FIND("/",G805)+1)+1,4)),VALUE(MID(G805,FIND("/",G805)+1,FIND("/",G805,FIND("/",G805)+1)-FIND("/",G805)-1)),VALUE(LEFT(G805,FIND("/",G805)-1)))+IFERROR(TIMEVALUE(TRIM(MID(G805,FIND(" ",G805)+1,20))),0),0)))</f>
        <v/>
      </c>
      <c r="J805" s="255">
        <f>IF(H805="",0,IF(ISNUMBER(H805),H805,IFERROR(DATE(VALUE(MID(H805,FIND("/",H805,FIND("/",H805)+1)+1,4)),VALUE(MID(H805,FIND("/",H805)+1,FIND("/",H805,FIND("/",H805)+1)-FIND("/",H805)-1)),VALUE(LEFT(H805,FIND("/",H805)-1)))+IFERROR(TIMEVALUE(TRIM(MID(H805,FIND(" ",H805)+1,20))),0),0)))</f>
        <v/>
      </c>
      <c r="K805" s="256">
        <f>IF(I805=0,0,INT(I805))</f>
        <v/>
      </c>
      <c r="L805" s="257">
        <f>IF(OR(I805=0,J805=0),0,ROUND((J805-I805)*24,2))</f>
        <v/>
      </c>
      <c r="M805" s="254">
        <f>IFERROR(TRIM(MID(A805,FIND("@",SUBSTITUTE(A805,"(","@",LEN(A805)-LEN(SUBSTITUTE(A805,"(",""))))+1,FIND(")",A805,FIND("@",SUBSTITUTE(A805,"(","@",LEN(A805)-LEN(SUBSTITUTE(A805,"(","")))))-FIND("@",SUBSTITUTE(A805,"(","@",LEN(A805)-LEN(SUBSTITUTE(A805,"(",""))))-1)),"")</f>
        <v/>
      </c>
      <c r="N805" s="254">
        <f>IF(A805="","",IF(LEFT(TRIM(A805),5)="Leave","Leave",IF(OR(ISNUMBER(SEARCH("public holiday",A805)),ISNUMBER(SEARCH("Purple",E805))),"Public holiday","Event")))</f>
        <v/>
      </c>
    </row>
    <row r="806">
      <c r="G806" s="254">
        <f>IF(C806="","",IF(ISNUMBER(C806),C806,IF(ISNUMBER(VALUE(LEFT(TRIM(C806),1))),TRIM(C806),TRIM(MID(TRIM(C806),FIND(" ",TRIM(C806))+1,99)))))</f>
        <v/>
      </c>
      <c r="H806" s="254">
        <f>IF(D806="","",IF(ISNUMBER(D806),D806,IF(ISNUMBER(VALUE(LEFT(TRIM(D806),1))),TRIM(D806),TRIM(MID(TRIM(D806),FIND(" ",TRIM(D806))+1,99)))))</f>
        <v/>
      </c>
      <c r="I806" s="255">
        <f>IF(G806="",0,IF(ISNUMBER(G806),G806,IFERROR(DATE(VALUE(MID(G806,FIND("/",G806,FIND("/",G806)+1)+1,4)),VALUE(MID(G806,FIND("/",G806)+1,FIND("/",G806,FIND("/",G806)+1)-FIND("/",G806)-1)),VALUE(LEFT(G806,FIND("/",G806)-1)))+IFERROR(TIMEVALUE(TRIM(MID(G806,FIND(" ",G806)+1,20))),0),0)))</f>
        <v/>
      </c>
      <c r="J806" s="255">
        <f>IF(H806="",0,IF(ISNUMBER(H806),H806,IFERROR(DATE(VALUE(MID(H806,FIND("/",H806,FIND("/",H806)+1)+1,4)),VALUE(MID(H806,FIND("/",H806)+1,FIND("/",H806,FIND("/",H806)+1)-FIND("/",H806)-1)),VALUE(LEFT(H806,FIND("/",H806)-1)))+IFERROR(TIMEVALUE(TRIM(MID(H806,FIND(" ",H806)+1,20))),0),0)))</f>
        <v/>
      </c>
      <c r="K806" s="256">
        <f>IF(I806=0,0,INT(I806))</f>
        <v/>
      </c>
      <c r="L806" s="257">
        <f>IF(OR(I806=0,J806=0),0,ROUND((J806-I806)*24,2))</f>
        <v/>
      </c>
      <c r="M806" s="254">
        <f>IFERROR(TRIM(MID(A806,FIND("@",SUBSTITUTE(A806,"(","@",LEN(A806)-LEN(SUBSTITUTE(A806,"(",""))))+1,FIND(")",A806,FIND("@",SUBSTITUTE(A806,"(","@",LEN(A806)-LEN(SUBSTITUTE(A806,"(","")))))-FIND("@",SUBSTITUTE(A806,"(","@",LEN(A806)-LEN(SUBSTITUTE(A806,"(",""))))-1)),"")</f>
        <v/>
      </c>
      <c r="N806" s="254">
        <f>IF(A806="","",IF(LEFT(TRIM(A806),5)="Leave","Leave",IF(OR(ISNUMBER(SEARCH("public holiday",A806)),ISNUMBER(SEARCH("Purple",E806))),"Public holiday","Event")))</f>
        <v/>
      </c>
    </row>
    <row r="807">
      <c r="G807" s="254">
        <f>IF(C807="","",IF(ISNUMBER(C807),C807,IF(ISNUMBER(VALUE(LEFT(TRIM(C807),1))),TRIM(C807),TRIM(MID(TRIM(C807),FIND(" ",TRIM(C807))+1,99)))))</f>
        <v/>
      </c>
      <c r="H807" s="254">
        <f>IF(D807="","",IF(ISNUMBER(D807),D807,IF(ISNUMBER(VALUE(LEFT(TRIM(D807),1))),TRIM(D807),TRIM(MID(TRIM(D807),FIND(" ",TRIM(D807))+1,99)))))</f>
        <v/>
      </c>
      <c r="I807" s="255">
        <f>IF(G807="",0,IF(ISNUMBER(G807),G807,IFERROR(DATE(VALUE(MID(G807,FIND("/",G807,FIND("/",G807)+1)+1,4)),VALUE(MID(G807,FIND("/",G807)+1,FIND("/",G807,FIND("/",G807)+1)-FIND("/",G807)-1)),VALUE(LEFT(G807,FIND("/",G807)-1)))+IFERROR(TIMEVALUE(TRIM(MID(G807,FIND(" ",G807)+1,20))),0),0)))</f>
        <v/>
      </c>
      <c r="J807" s="255">
        <f>IF(H807="",0,IF(ISNUMBER(H807),H807,IFERROR(DATE(VALUE(MID(H807,FIND("/",H807,FIND("/",H807)+1)+1,4)),VALUE(MID(H807,FIND("/",H807)+1,FIND("/",H807,FIND("/",H807)+1)-FIND("/",H807)-1)),VALUE(LEFT(H807,FIND("/",H807)-1)))+IFERROR(TIMEVALUE(TRIM(MID(H807,FIND(" ",H807)+1,20))),0),0)))</f>
        <v/>
      </c>
      <c r="K807" s="256">
        <f>IF(I807=0,0,INT(I807))</f>
        <v/>
      </c>
      <c r="L807" s="257">
        <f>IF(OR(I807=0,J807=0),0,ROUND((J807-I807)*24,2))</f>
        <v/>
      </c>
      <c r="M807" s="254">
        <f>IFERROR(TRIM(MID(A807,FIND("@",SUBSTITUTE(A807,"(","@",LEN(A807)-LEN(SUBSTITUTE(A807,"(",""))))+1,FIND(")",A807,FIND("@",SUBSTITUTE(A807,"(","@",LEN(A807)-LEN(SUBSTITUTE(A807,"(","")))))-FIND("@",SUBSTITUTE(A807,"(","@",LEN(A807)-LEN(SUBSTITUTE(A807,"(",""))))-1)),"")</f>
        <v/>
      </c>
      <c r="N807" s="254">
        <f>IF(A807="","",IF(LEFT(TRIM(A807),5)="Leave","Leave",IF(OR(ISNUMBER(SEARCH("public holiday",A807)),ISNUMBER(SEARCH("Purple",E807))),"Public holiday","Event")))</f>
        <v/>
      </c>
    </row>
    <row r="808">
      <c r="G808" s="254">
        <f>IF(C808="","",IF(ISNUMBER(C808),C808,IF(ISNUMBER(VALUE(LEFT(TRIM(C808),1))),TRIM(C808),TRIM(MID(TRIM(C808),FIND(" ",TRIM(C808))+1,99)))))</f>
        <v/>
      </c>
      <c r="H808" s="254">
        <f>IF(D808="","",IF(ISNUMBER(D808),D808,IF(ISNUMBER(VALUE(LEFT(TRIM(D808),1))),TRIM(D808),TRIM(MID(TRIM(D808),FIND(" ",TRIM(D808))+1,99)))))</f>
        <v/>
      </c>
      <c r="I808" s="255">
        <f>IF(G808="",0,IF(ISNUMBER(G808),G808,IFERROR(DATE(VALUE(MID(G808,FIND("/",G808,FIND("/",G808)+1)+1,4)),VALUE(MID(G808,FIND("/",G808)+1,FIND("/",G808,FIND("/",G808)+1)-FIND("/",G808)-1)),VALUE(LEFT(G808,FIND("/",G808)-1)))+IFERROR(TIMEVALUE(TRIM(MID(G808,FIND(" ",G808)+1,20))),0),0)))</f>
        <v/>
      </c>
      <c r="J808" s="255">
        <f>IF(H808="",0,IF(ISNUMBER(H808),H808,IFERROR(DATE(VALUE(MID(H808,FIND("/",H808,FIND("/",H808)+1)+1,4)),VALUE(MID(H808,FIND("/",H808)+1,FIND("/",H808,FIND("/",H808)+1)-FIND("/",H808)-1)),VALUE(LEFT(H808,FIND("/",H808)-1)))+IFERROR(TIMEVALUE(TRIM(MID(H808,FIND(" ",H808)+1,20))),0),0)))</f>
        <v/>
      </c>
      <c r="K808" s="256">
        <f>IF(I808=0,0,INT(I808))</f>
        <v/>
      </c>
      <c r="L808" s="257">
        <f>IF(OR(I808=0,J808=0),0,ROUND((J808-I808)*24,2))</f>
        <v/>
      </c>
      <c r="M808" s="254">
        <f>IFERROR(TRIM(MID(A808,FIND("@",SUBSTITUTE(A808,"(","@",LEN(A808)-LEN(SUBSTITUTE(A808,"(",""))))+1,FIND(")",A808,FIND("@",SUBSTITUTE(A808,"(","@",LEN(A808)-LEN(SUBSTITUTE(A808,"(","")))))-FIND("@",SUBSTITUTE(A808,"(","@",LEN(A808)-LEN(SUBSTITUTE(A808,"(",""))))-1)),"")</f>
        <v/>
      </c>
      <c r="N808" s="254">
        <f>IF(A808="","",IF(LEFT(TRIM(A808),5)="Leave","Leave",IF(OR(ISNUMBER(SEARCH("public holiday",A808)),ISNUMBER(SEARCH("Purple",E808))),"Public holiday","Event")))</f>
        <v/>
      </c>
    </row>
    <row r="809">
      <c r="G809" s="254">
        <f>IF(C809="","",IF(ISNUMBER(C809),C809,IF(ISNUMBER(VALUE(LEFT(TRIM(C809),1))),TRIM(C809),TRIM(MID(TRIM(C809),FIND(" ",TRIM(C809))+1,99)))))</f>
        <v/>
      </c>
      <c r="H809" s="254">
        <f>IF(D809="","",IF(ISNUMBER(D809),D809,IF(ISNUMBER(VALUE(LEFT(TRIM(D809),1))),TRIM(D809),TRIM(MID(TRIM(D809),FIND(" ",TRIM(D809))+1,99)))))</f>
        <v/>
      </c>
      <c r="I809" s="255">
        <f>IF(G809="",0,IF(ISNUMBER(G809),G809,IFERROR(DATE(VALUE(MID(G809,FIND("/",G809,FIND("/",G809)+1)+1,4)),VALUE(MID(G809,FIND("/",G809)+1,FIND("/",G809,FIND("/",G809)+1)-FIND("/",G809)-1)),VALUE(LEFT(G809,FIND("/",G809)-1)))+IFERROR(TIMEVALUE(TRIM(MID(G809,FIND(" ",G809)+1,20))),0),0)))</f>
        <v/>
      </c>
      <c r="J809" s="255">
        <f>IF(H809="",0,IF(ISNUMBER(H809),H809,IFERROR(DATE(VALUE(MID(H809,FIND("/",H809,FIND("/",H809)+1)+1,4)),VALUE(MID(H809,FIND("/",H809)+1,FIND("/",H809,FIND("/",H809)+1)-FIND("/",H809)-1)),VALUE(LEFT(H809,FIND("/",H809)-1)))+IFERROR(TIMEVALUE(TRIM(MID(H809,FIND(" ",H809)+1,20))),0),0)))</f>
        <v/>
      </c>
      <c r="K809" s="256">
        <f>IF(I809=0,0,INT(I809))</f>
        <v/>
      </c>
      <c r="L809" s="257">
        <f>IF(OR(I809=0,J809=0),0,ROUND((J809-I809)*24,2))</f>
        <v/>
      </c>
      <c r="M809" s="254">
        <f>IFERROR(TRIM(MID(A809,FIND("@",SUBSTITUTE(A809,"(","@",LEN(A809)-LEN(SUBSTITUTE(A809,"(",""))))+1,FIND(")",A809,FIND("@",SUBSTITUTE(A809,"(","@",LEN(A809)-LEN(SUBSTITUTE(A809,"(","")))))-FIND("@",SUBSTITUTE(A809,"(","@",LEN(A809)-LEN(SUBSTITUTE(A809,"(",""))))-1)),"")</f>
        <v/>
      </c>
      <c r="N809" s="254">
        <f>IF(A809="","",IF(LEFT(TRIM(A809),5)="Leave","Leave",IF(OR(ISNUMBER(SEARCH("public holiday",A809)),ISNUMBER(SEARCH("Purple",E809))),"Public holiday","Event")))</f>
        <v/>
      </c>
    </row>
    <row r="810">
      <c r="G810" s="254">
        <f>IF(C810="","",IF(ISNUMBER(C810),C810,IF(ISNUMBER(VALUE(LEFT(TRIM(C810),1))),TRIM(C810),TRIM(MID(TRIM(C810),FIND(" ",TRIM(C810))+1,99)))))</f>
        <v/>
      </c>
      <c r="H810" s="254">
        <f>IF(D810="","",IF(ISNUMBER(D810),D810,IF(ISNUMBER(VALUE(LEFT(TRIM(D810),1))),TRIM(D810),TRIM(MID(TRIM(D810),FIND(" ",TRIM(D810))+1,99)))))</f>
        <v/>
      </c>
      <c r="I810" s="255">
        <f>IF(G810="",0,IF(ISNUMBER(G810),G810,IFERROR(DATE(VALUE(MID(G810,FIND("/",G810,FIND("/",G810)+1)+1,4)),VALUE(MID(G810,FIND("/",G810)+1,FIND("/",G810,FIND("/",G810)+1)-FIND("/",G810)-1)),VALUE(LEFT(G810,FIND("/",G810)-1)))+IFERROR(TIMEVALUE(TRIM(MID(G810,FIND(" ",G810)+1,20))),0),0)))</f>
        <v/>
      </c>
      <c r="J810" s="255">
        <f>IF(H810="",0,IF(ISNUMBER(H810),H810,IFERROR(DATE(VALUE(MID(H810,FIND("/",H810,FIND("/",H810)+1)+1,4)),VALUE(MID(H810,FIND("/",H810)+1,FIND("/",H810,FIND("/",H810)+1)-FIND("/",H810)-1)),VALUE(LEFT(H810,FIND("/",H810)-1)))+IFERROR(TIMEVALUE(TRIM(MID(H810,FIND(" ",H810)+1,20))),0),0)))</f>
        <v/>
      </c>
      <c r="K810" s="256">
        <f>IF(I810=0,0,INT(I810))</f>
        <v/>
      </c>
      <c r="L810" s="257">
        <f>IF(OR(I810=0,J810=0),0,ROUND((J810-I810)*24,2))</f>
        <v/>
      </c>
      <c r="M810" s="254">
        <f>IFERROR(TRIM(MID(A810,FIND("@",SUBSTITUTE(A810,"(","@",LEN(A810)-LEN(SUBSTITUTE(A810,"(",""))))+1,FIND(")",A810,FIND("@",SUBSTITUTE(A810,"(","@",LEN(A810)-LEN(SUBSTITUTE(A810,"(","")))))-FIND("@",SUBSTITUTE(A810,"(","@",LEN(A810)-LEN(SUBSTITUTE(A810,"(",""))))-1)),"")</f>
        <v/>
      </c>
      <c r="N810" s="254">
        <f>IF(A810="","",IF(LEFT(TRIM(A810),5)="Leave","Leave",IF(OR(ISNUMBER(SEARCH("public holiday",A810)),ISNUMBER(SEARCH("Purple",E810))),"Public holiday","Event")))</f>
        <v/>
      </c>
    </row>
    <row r="811">
      <c r="G811" s="254">
        <f>IF(C811="","",IF(ISNUMBER(C811),C811,IF(ISNUMBER(VALUE(LEFT(TRIM(C811),1))),TRIM(C811),TRIM(MID(TRIM(C811),FIND(" ",TRIM(C811))+1,99)))))</f>
        <v/>
      </c>
      <c r="H811" s="254">
        <f>IF(D811="","",IF(ISNUMBER(D811),D811,IF(ISNUMBER(VALUE(LEFT(TRIM(D811),1))),TRIM(D811),TRIM(MID(TRIM(D811),FIND(" ",TRIM(D811))+1,99)))))</f>
        <v/>
      </c>
      <c r="I811" s="255">
        <f>IF(G811="",0,IF(ISNUMBER(G811),G811,IFERROR(DATE(VALUE(MID(G811,FIND("/",G811,FIND("/",G811)+1)+1,4)),VALUE(MID(G811,FIND("/",G811)+1,FIND("/",G811,FIND("/",G811)+1)-FIND("/",G811)-1)),VALUE(LEFT(G811,FIND("/",G811)-1)))+IFERROR(TIMEVALUE(TRIM(MID(G811,FIND(" ",G811)+1,20))),0),0)))</f>
        <v/>
      </c>
      <c r="J811" s="255">
        <f>IF(H811="",0,IF(ISNUMBER(H811),H811,IFERROR(DATE(VALUE(MID(H811,FIND("/",H811,FIND("/",H811)+1)+1,4)),VALUE(MID(H811,FIND("/",H811)+1,FIND("/",H811,FIND("/",H811)+1)-FIND("/",H811)-1)),VALUE(LEFT(H811,FIND("/",H811)-1)))+IFERROR(TIMEVALUE(TRIM(MID(H811,FIND(" ",H811)+1,20))),0),0)))</f>
        <v/>
      </c>
      <c r="K811" s="256">
        <f>IF(I811=0,0,INT(I811))</f>
        <v/>
      </c>
      <c r="L811" s="257">
        <f>IF(OR(I811=0,J811=0),0,ROUND((J811-I811)*24,2))</f>
        <v/>
      </c>
      <c r="M811" s="254">
        <f>IFERROR(TRIM(MID(A811,FIND("@",SUBSTITUTE(A811,"(","@",LEN(A811)-LEN(SUBSTITUTE(A811,"(",""))))+1,FIND(")",A811,FIND("@",SUBSTITUTE(A811,"(","@",LEN(A811)-LEN(SUBSTITUTE(A811,"(","")))))-FIND("@",SUBSTITUTE(A811,"(","@",LEN(A811)-LEN(SUBSTITUTE(A811,"(",""))))-1)),"")</f>
        <v/>
      </c>
      <c r="N811" s="254">
        <f>IF(A811="","",IF(LEFT(TRIM(A811),5)="Leave","Leave",IF(OR(ISNUMBER(SEARCH("public holiday",A811)),ISNUMBER(SEARCH("Purple",E811))),"Public holiday","Event")))</f>
        <v/>
      </c>
    </row>
    <row r="812">
      <c r="G812" s="254">
        <f>IF(C812="","",IF(ISNUMBER(C812),C812,IF(ISNUMBER(VALUE(LEFT(TRIM(C812),1))),TRIM(C812),TRIM(MID(TRIM(C812),FIND(" ",TRIM(C812))+1,99)))))</f>
        <v/>
      </c>
      <c r="H812" s="254">
        <f>IF(D812="","",IF(ISNUMBER(D812),D812,IF(ISNUMBER(VALUE(LEFT(TRIM(D812),1))),TRIM(D812),TRIM(MID(TRIM(D812),FIND(" ",TRIM(D812))+1,99)))))</f>
        <v/>
      </c>
      <c r="I812" s="255">
        <f>IF(G812="",0,IF(ISNUMBER(G812),G812,IFERROR(DATE(VALUE(MID(G812,FIND("/",G812,FIND("/",G812)+1)+1,4)),VALUE(MID(G812,FIND("/",G812)+1,FIND("/",G812,FIND("/",G812)+1)-FIND("/",G812)-1)),VALUE(LEFT(G812,FIND("/",G812)-1)))+IFERROR(TIMEVALUE(TRIM(MID(G812,FIND(" ",G812)+1,20))),0),0)))</f>
        <v/>
      </c>
      <c r="J812" s="255">
        <f>IF(H812="",0,IF(ISNUMBER(H812),H812,IFERROR(DATE(VALUE(MID(H812,FIND("/",H812,FIND("/",H812)+1)+1,4)),VALUE(MID(H812,FIND("/",H812)+1,FIND("/",H812,FIND("/",H812)+1)-FIND("/",H812)-1)),VALUE(LEFT(H812,FIND("/",H812)-1)))+IFERROR(TIMEVALUE(TRIM(MID(H812,FIND(" ",H812)+1,20))),0),0)))</f>
        <v/>
      </c>
      <c r="K812" s="256">
        <f>IF(I812=0,0,INT(I812))</f>
        <v/>
      </c>
      <c r="L812" s="257">
        <f>IF(OR(I812=0,J812=0),0,ROUND((J812-I812)*24,2))</f>
        <v/>
      </c>
      <c r="M812" s="254">
        <f>IFERROR(TRIM(MID(A812,FIND("@",SUBSTITUTE(A812,"(","@",LEN(A812)-LEN(SUBSTITUTE(A812,"(",""))))+1,FIND(")",A812,FIND("@",SUBSTITUTE(A812,"(","@",LEN(A812)-LEN(SUBSTITUTE(A812,"(","")))))-FIND("@",SUBSTITUTE(A812,"(","@",LEN(A812)-LEN(SUBSTITUTE(A812,"(",""))))-1)),"")</f>
        <v/>
      </c>
      <c r="N812" s="254">
        <f>IF(A812="","",IF(LEFT(TRIM(A812),5)="Leave","Leave",IF(OR(ISNUMBER(SEARCH("public holiday",A812)),ISNUMBER(SEARCH("Purple",E812))),"Public holiday","Event")))</f>
        <v/>
      </c>
    </row>
    <row r="813">
      <c r="G813" s="254">
        <f>IF(C813="","",IF(ISNUMBER(C813),C813,IF(ISNUMBER(VALUE(LEFT(TRIM(C813),1))),TRIM(C813),TRIM(MID(TRIM(C813),FIND(" ",TRIM(C813))+1,99)))))</f>
        <v/>
      </c>
      <c r="H813" s="254">
        <f>IF(D813="","",IF(ISNUMBER(D813),D813,IF(ISNUMBER(VALUE(LEFT(TRIM(D813),1))),TRIM(D813),TRIM(MID(TRIM(D813),FIND(" ",TRIM(D813))+1,99)))))</f>
        <v/>
      </c>
      <c r="I813" s="255">
        <f>IF(G813="",0,IF(ISNUMBER(G813),G813,IFERROR(DATE(VALUE(MID(G813,FIND("/",G813,FIND("/",G813)+1)+1,4)),VALUE(MID(G813,FIND("/",G813)+1,FIND("/",G813,FIND("/",G813)+1)-FIND("/",G813)-1)),VALUE(LEFT(G813,FIND("/",G813)-1)))+IFERROR(TIMEVALUE(TRIM(MID(G813,FIND(" ",G813)+1,20))),0),0)))</f>
        <v/>
      </c>
      <c r="J813" s="255">
        <f>IF(H813="",0,IF(ISNUMBER(H813),H813,IFERROR(DATE(VALUE(MID(H813,FIND("/",H813,FIND("/",H813)+1)+1,4)),VALUE(MID(H813,FIND("/",H813)+1,FIND("/",H813,FIND("/",H813)+1)-FIND("/",H813)-1)),VALUE(LEFT(H813,FIND("/",H813)-1)))+IFERROR(TIMEVALUE(TRIM(MID(H813,FIND(" ",H813)+1,20))),0),0)))</f>
        <v/>
      </c>
      <c r="K813" s="256">
        <f>IF(I813=0,0,INT(I813))</f>
        <v/>
      </c>
      <c r="L813" s="257">
        <f>IF(OR(I813=0,J813=0),0,ROUND((J813-I813)*24,2))</f>
        <v/>
      </c>
      <c r="M813" s="254">
        <f>IFERROR(TRIM(MID(A813,FIND("@",SUBSTITUTE(A813,"(","@",LEN(A813)-LEN(SUBSTITUTE(A813,"(",""))))+1,FIND(")",A813,FIND("@",SUBSTITUTE(A813,"(","@",LEN(A813)-LEN(SUBSTITUTE(A813,"(","")))))-FIND("@",SUBSTITUTE(A813,"(","@",LEN(A813)-LEN(SUBSTITUTE(A813,"(",""))))-1)),"")</f>
        <v/>
      </c>
      <c r="N813" s="254">
        <f>IF(A813="","",IF(LEFT(TRIM(A813),5)="Leave","Leave",IF(OR(ISNUMBER(SEARCH("public holiday",A813)),ISNUMBER(SEARCH("Purple",E813))),"Public holiday","Event")))</f>
        <v/>
      </c>
    </row>
    <row r="814">
      <c r="G814" s="254">
        <f>IF(C814="","",IF(ISNUMBER(C814),C814,IF(ISNUMBER(VALUE(LEFT(TRIM(C814),1))),TRIM(C814),TRIM(MID(TRIM(C814),FIND(" ",TRIM(C814))+1,99)))))</f>
        <v/>
      </c>
      <c r="H814" s="254">
        <f>IF(D814="","",IF(ISNUMBER(D814),D814,IF(ISNUMBER(VALUE(LEFT(TRIM(D814),1))),TRIM(D814),TRIM(MID(TRIM(D814),FIND(" ",TRIM(D814))+1,99)))))</f>
        <v/>
      </c>
      <c r="I814" s="255">
        <f>IF(G814="",0,IF(ISNUMBER(G814),G814,IFERROR(DATE(VALUE(MID(G814,FIND("/",G814,FIND("/",G814)+1)+1,4)),VALUE(MID(G814,FIND("/",G814)+1,FIND("/",G814,FIND("/",G814)+1)-FIND("/",G814)-1)),VALUE(LEFT(G814,FIND("/",G814)-1)))+IFERROR(TIMEVALUE(TRIM(MID(G814,FIND(" ",G814)+1,20))),0),0)))</f>
        <v/>
      </c>
      <c r="J814" s="255">
        <f>IF(H814="",0,IF(ISNUMBER(H814),H814,IFERROR(DATE(VALUE(MID(H814,FIND("/",H814,FIND("/",H814)+1)+1,4)),VALUE(MID(H814,FIND("/",H814)+1,FIND("/",H814,FIND("/",H814)+1)-FIND("/",H814)-1)),VALUE(LEFT(H814,FIND("/",H814)-1)))+IFERROR(TIMEVALUE(TRIM(MID(H814,FIND(" ",H814)+1,20))),0),0)))</f>
        <v/>
      </c>
      <c r="K814" s="256">
        <f>IF(I814=0,0,INT(I814))</f>
        <v/>
      </c>
      <c r="L814" s="257">
        <f>IF(OR(I814=0,J814=0),0,ROUND((J814-I814)*24,2))</f>
        <v/>
      </c>
      <c r="M814" s="254">
        <f>IFERROR(TRIM(MID(A814,FIND("@",SUBSTITUTE(A814,"(","@",LEN(A814)-LEN(SUBSTITUTE(A814,"(",""))))+1,FIND(")",A814,FIND("@",SUBSTITUTE(A814,"(","@",LEN(A814)-LEN(SUBSTITUTE(A814,"(","")))))-FIND("@",SUBSTITUTE(A814,"(","@",LEN(A814)-LEN(SUBSTITUTE(A814,"(",""))))-1)),"")</f>
        <v/>
      </c>
      <c r="N814" s="254">
        <f>IF(A814="","",IF(LEFT(TRIM(A814),5)="Leave","Leave",IF(OR(ISNUMBER(SEARCH("public holiday",A814)),ISNUMBER(SEARCH("Purple",E814))),"Public holiday","Event")))</f>
        <v/>
      </c>
    </row>
    <row r="815">
      <c r="G815" s="254">
        <f>IF(C815="","",IF(ISNUMBER(C815),C815,IF(ISNUMBER(VALUE(LEFT(TRIM(C815),1))),TRIM(C815),TRIM(MID(TRIM(C815),FIND(" ",TRIM(C815))+1,99)))))</f>
        <v/>
      </c>
      <c r="H815" s="254">
        <f>IF(D815="","",IF(ISNUMBER(D815),D815,IF(ISNUMBER(VALUE(LEFT(TRIM(D815),1))),TRIM(D815),TRIM(MID(TRIM(D815),FIND(" ",TRIM(D815))+1,99)))))</f>
        <v/>
      </c>
      <c r="I815" s="255">
        <f>IF(G815="",0,IF(ISNUMBER(G815),G815,IFERROR(DATE(VALUE(MID(G815,FIND("/",G815,FIND("/",G815)+1)+1,4)),VALUE(MID(G815,FIND("/",G815)+1,FIND("/",G815,FIND("/",G815)+1)-FIND("/",G815)-1)),VALUE(LEFT(G815,FIND("/",G815)-1)))+IFERROR(TIMEVALUE(TRIM(MID(G815,FIND(" ",G815)+1,20))),0),0)))</f>
        <v/>
      </c>
      <c r="J815" s="255">
        <f>IF(H815="",0,IF(ISNUMBER(H815),H815,IFERROR(DATE(VALUE(MID(H815,FIND("/",H815,FIND("/",H815)+1)+1,4)),VALUE(MID(H815,FIND("/",H815)+1,FIND("/",H815,FIND("/",H815)+1)-FIND("/",H815)-1)),VALUE(LEFT(H815,FIND("/",H815)-1)))+IFERROR(TIMEVALUE(TRIM(MID(H815,FIND(" ",H815)+1,20))),0),0)))</f>
        <v/>
      </c>
      <c r="K815" s="256">
        <f>IF(I815=0,0,INT(I815))</f>
        <v/>
      </c>
      <c r="L815" s="257">
        <f>IF(OR(I815=0,J815=0),0,ROUND((J815-I815)*24,2))</f>
        <v/>
      </c>
      <c r="M815" s="254">
        <f>IFERROR(TRIM(MID(A815,FIND("@",SUBSTITUTE(A815,"(","@",LEN(A815)-LEN(SUBSTITUTE(A815,"(",""))))+1,FIND(")",A815,FIND("@",SUBSTITUTE(A815,"(","@",LEN(A815)-LEN(SUBSTITUTE(A815,"(","")))))-FIND("@",SUBSTITUTE(A815,"(","@",LEN(A815)-LEN(SUBSTITUTE(A815,"(",""))))-1)),"")</f>
        <v/>
      </c>
      <c r="N815" s="254">
        <f>IF(A815="","",IF(LEFT(TRIM(A815),5)="Leave","Leave",IF(OR(ISNUMBER(SEARCH("public holiday",A815)),ISNUMBER(SEARCH("Purple",E815))),"Public holiday","Event")))</f>
        <v/>
      </c>
    </row>
    <row r="816">
      <c r="G816" s="254">
        <f>IF(C816="","",IF(ISNUMBER(C816),C816,IF(ISNUMBER(VALUE(LEFT(TRIM(C816),1))),TRIM(C816),TRIM(MID(TRIM(C816),FIND(" ",TRIM(C816))+1,99)))))</f>
        <v/>
      </c>
      <c r="H816" s="254">
        <f>IF(D816="","",IF(ISNUMBER(D816),D816,IF(ISNUMBER(VALUE(LEFT(TRIM(D816),1))),TRIM(D816),TRIM(MID(TRIM(D816),FIND(" ",TRIM(D816))+1,99)))))</f>
        <v/>
      </c>
      <c r="I816" s="255">
        <f>IF(G816="",0,IF(ISNUMBER(G816),G816,IFERROR(DATE(VALUE(MID(G816,FIND("/",G816,FIND("/",G816)+1)+1,4)),VALUE(MID(G816,FIND("/",G816)+1,FIND("/",G816,FIND("/",G816)+1)-FIND("/",G816)-1)),VALUE(LEFT(G816,FIND("/",G816)-1)))+IFERROR(TIMEVALUE(TRIM(MID(G816,FIND(" ",G816)+1,20))),0),0)))</f>
        <v/>
      </c>
      <c r="J816" s="255">
        <f>IF(H816="",0,IF(ISNUMBER(H816),H816,IFERROR(DATE(VALUE(MID(H816,FIND("/",H816,FIND("/",H816)+1)+1,4)),VALUE(MID(H816,FIND("/",H816)+1,FIND("/",H816,FIND("/",H816)+1)-FIND("/",H816)-1)),VALUE(LEFT(H816,FIND("/",H816)-1)))+IFERROR(TIMEVALUE(TRIM(MID(H816,FIND(" ",H816)+1,20))),0),0)))</f>
        <v/>
      </c>
      <c r="K816" s="256">
        <f>IF(I816=0,0,INT(I816))</f>
        <v/>
      </c>
      <c r="L816" s="257">
        <f>IF(OR(I816=0,J816=0),0,ROUND((J816-I816)*24,2))</f>
        <v/>
      </c>
      <c r="M816" s="254">
        <f>IFERROR(TRIM(MID(A816,FIND("@",SUBSTITUTE(A816,"(","@",LEN(A816)-LEN(SUBSTITUTE(A816,"(",""))))+1,FIND(")",A816,FIND("@",SUBSTITUTE(A816,"(","@",LEN(A816)-LEN(SUBSTITUTE(A816,"(","")))))-FIND("@",SUBSTITUTE(A816,"(","@",LEN(A816)-LEN(SUBSTITUTE(A816,"(",""))))-1)),"")</f>
        <v/>
      </c>
      <c r="N816" s="254">
        <f>IF(A816="","",IF(LEFT(TRIM(A816),5)="Leave","Leave",IF(OR(ISNUMBER(SEARCH("public holiday",A816)),ISNUMBER(SEARCH("Purple",E816))),"Public holiday","Event")))</f>
        <v/>
      </c>
    </row>
    <row r="817">
      <c r="G817" s="254">
        <f>IF(C817="","",IF(ISNUMBER(C817),C817,IF(ISNUMBER(VALUE(LEFT(TRIM(C817),1))),TRIM(C817),TRIM(MID(TRIM(C817),FIND(" ",TRIM(C817))+1,99)))))</f>
        <v/>
      </c>
      <c r="H817" s="254">
        <f>IF(D817="","",IF(ISNUMBER(D817),D817,IF(ISNUMBER(VALUE(LEFT(TRIM(D817),1))),TRIM(D817),TRIM(MID(TRIM(D817),FIND(" ",TRIM(D817))+1,99)))))</f>
        <v/>
      </c>
      <c r="I817" s="255">
        <f>IF(G817="",0,IF(ISNUMBER(G817),G817,IFERROR(DATE(VALUE(MID(G817,FIND("/",G817,FIND("/",G817)+1)+1,4)),VALUE(MID(G817,FIND("/",G817)+1,FIND("/",G817,FIND("/",G817)+1)-FIND("/",G817)-1)),VALUE(LEFT(G817,FIND("/",G817)-1)))+IFERROR(TIMEVALUE(TRIM(MID(G817,FIND(" ",G817)+1,20))),0),0)))</f>
        <v/>
      </c>
      <c r="J817" s="255">
        <f>IF(H817="",0,IF(ISNUMBER(H817),H817,IFERROR(DATE(VALUE(MID(H817,FIND("/",H817,FIND("/",H817)+1)+1,4)),VALUE(MID(H817,FIND("/",H817)+1,FIND("/",H817,FIND("/",H817)+1)-FIND("/",H817)-1)),VALUE(LEFT(H817,FIND("/",H817)-1)))+IFERROR(TIMEVALUE(TRIM(MID(H817,FIND(" ",H817)+1,20))),0),0)))</f>
        <v/>
      </c>
      <c r="K817" s="256">
        <f>IF(I817=0,0,INT(I817))</f>
        <v/>
      </c>
      <c r="L817" s="257">
        <f>IF(OR(I817=0,J817=0),0,ROUND((J817-I817)*24,2))</f>
        <v/>
      </c>
      <c r="M817" s="254">
        <f>IFERROR(TRIM(MID(A817,FIND("@",SUBSTITUTE(A817,"(","@",LEN(A817)-LEN(SUBSTITUTE(A817,"(",""))))+1,FIND(")",A817,FIND("@",SUBSTITUTE(A817,"(","@",LEN(A817)-LEN(SUBSTITUTE(A817,"(","")))))-FIND("@",SUBSTITUTE(A817,"(","@",LEN(A817)-LEN(SUBSTITUTE(A817,"(",""))))-1)),"")</f>
        <v/>
      </c>
      <c r="N817" s="254">
        <f>IF(A817="","",IF(LEFT(TRIM(A817),5)="Leave","Leave",IF(OR(ISNUMBER(SEARCH("public holiday",A817)),ISNUMBER(SEARCH("Purple",E817))),"Public holiday","Event")))</f>
        <v/>
      </c>
    </row>
    <row r="818">
      <c r="G818" s="254">
        <f>IF(C818="","",IF(ISNUMBER(C818),C818,IF(ISNUMBER(VALUE(LEFT(TRIM(C818),1))),TRIM(C818),TRIM(MID(TRIM(C818),FIND(" ",TRIM(C818))+1,99)))))</f>
        <v/>
      </c>
      <c r="H818" s="254">
        <f>IF(D818="","",IF(ISNUMBER(D818),D818,IF(ISNUMBER(VALUE(LEFT(TRIM(D818),1))),TRIM(D818),TRIM(MID(TRIM(D818),FIND(" ",TRIM(D818))+1,99)))))</f>
        <v/>
      </c>
      <c r="I818" s="255">
        <f>IF(G818="",0,IF(ISNUMBER(G818),G818,IFERROR(DATE(VALUE(MID(G818,FIND("/",G818,FIND("/",G818)+1)+1,4)),VALUE(MID(G818,FIND("/",G818)+1,FIND("/",G818,FIND("/",G818)+1)-FIND("/",G818)-1)),VALUE(LEFT(G818,FIND("/",G818)-1)))+IFERROR(TIMEVALUE(TRIM(MID(G818,FIND(" ",G818)+1,20))),0),0)))</f>
        <v/>
      </c>
      <c r="J818" s="255">
        <f>IF(H818="",0,IF(ISNUMBER(H818),H818,IFERROR(DATE(VALUE(MID(H818,FIND("/",H818,FIND("/",H818)+1)+1,4)),VALUE(MID(H818,FIND("/",H818)+1,FIND("/",H818,FIND("/",H818)+1)-FIND("/",H818)-1)),VALUE(LEFT(H818,FIND("/",H818)-1)))+IFERROR(TIMEVALUE(TRIM(MID(H818,FIND(" ",H818)+1,20))),0),0)))</f>
        <v/>
      </c>
      <c r="K818" s="256">
        <f>IF(I818=0,0,INT(I818))</f>
        <v/>
      </c>
      <c r="L818" s="257">
        <f>IF(OR(I818=0,J818=0),0,ROUND((J818-I818)*24,2))</f>
        <v/>
      </c>
      <c r="M818" s="254">
        <f>IFERROR(TRIM(MID(A818,FIND("@",SUBSTITUTE(A818,"(","@",LEN(A818)-LEN(SUBSTITUTE(A818,"(",""))))+1,FIND(")",A818,FIND("@",SUBSTITUTE(A818,"(","@",LEN(A818)-LEN(SUBSTITUTE(A818,"(","")))))-FIND("@",SUBSTITUTE(A818,"(","@",LEN(A818)-LEN(SUBSTITUTE(A818,"(",""))))-1)),"")</f>
        <v/>
      </c>
      <c r="N818" s="254">
        <f>IF(A818="","",IF(LEFT(TRIM(A818),5)="Leave","Leave",IF(OR(ISNUMBER(SEARCH("public holiday",A818)),ISNUMBER(SEARCH("Purple",E818))),"Public holiday","Event")))</f>
        <v/>
      </c>
    </row>
    <row r="819">
      <c r="G819" s="254">
        <f>IF(C819="","",IF(ISNUMBER(C819),C819,IF(ISNUMBER(VALUE(LEFT(TRIM(C819),1))),TRIM(C819),TRIM(MID(TRIM(C819),FIND(" ",TRIM(C819))+1,99)))))</f>
        <v/>
      </c>
      <c r="H819" s="254">
        <f>IF(D819="","",IF(ISNUMBER(D819),D819,IF(ISNUMBER(VALUE(LEFT(TRIM(D819),1))),TRIM(D819),TRIM(MID(TRIM(D819),FIND(" ",TRIM(D819))+1,99)))))</f>
        <v/>
      </c>
      <c r="I819" s="255">
        <f>IF(G819="",0,IF(ISNUMBER(G819),G819,IFERROR(DATE(VALUE(MID(G819,FIND("/",G819,FIND("/",G819)+1)+1,4)),VALUE(MID(G819,FIND("/",G819)+1,FIND("/",G819,FIND("/",G819)+1)-FIND("/",G819)-1)),VALUE(LEFT(G819,FIND("/",G819)-1)))+IFERROR(TIMEVALUE(TRIM(MID(G819,FIND(" ",G819)+1,20))),0),0)))</f>
        <v/>
      </c>
      <c r="J819" s="255">
        <f>IF(H819="",0,IF(ISNUMBER(H819),H819,IFERROR(DATE(VALUE(MID(H819,FIND("/",H819,FIND("/",H819)+1)+1,4)),VALUE(MID(H819,FIND("/",H819)+1,FIND("/",H819,FIND("/",H819)+1)-FIND("/",H819)-1)),VALUE(LEFT(H819,FIND("/",H819)-1)))+IFERROR(TIMEVALUE(TRIM(MID(H819,FIND(" ",H819)+1,20))),0),0)))</f>
        <v/>
      </c>
      <c r="K819" s="256">
        <f>IF(I819=0,0,INT(I819))</f>
        <v/>
      </c>
      <c r="L819" s="257">
        <f>IF(OR(I819=0,J819=0),0,ROUND((J819-I819)*24,2))</f>
        <v/>
      </c>
      <c r="M819" s="254">
        <f>IFERROR(TRIM(MID(A819,FIND("@",SUBSTITUTE(A819,"(","@",LEN(A819)-LEN(SUBSTITUTE(A819,"(",""))))+1,FIND(")",A819,FIND("@",SUBSTITUTE(A819,"(","@",LEN(A819)-LEN(SUBSTITUTE(A819,"(","")))))-FIND("@",SUBSTITUTE(A819,"(","@",LEN(A819)-LEN(SUBSTITUTE(A819,"(",""))))-1)),"")</f>
        <v/>
      </c>
      <c r="N819" s="254">
        <f>IF(A819="","",IF(LEFT(TRIM(A819),5)="Leave","Leave",IF(OR(ISNUMBER(SEARCH("public holiday",A819)),ISNUMBER(SEARCH("Purple",E819))),"Public holiday","Event")))</f>
        <v/>
      </c>
    </row>
    <row r="820">
      <c r="G820" s="254">
        <f>IF(C820="","",IF(ISNUMBER(C820),C820,IF(ISNUMBER(VALUE(LEFT(TRIM(C820),1))),TRIM(C820),TRIM(MID(TRIM(C820),FIND(" ",TRIM(C820))+1,99)))))</f>
        <v/>
      </c>
      <c r="H820" s="254">
        <f>IF(D820="","",IF(ISNUMBER(D820),D820,IF(ISNUMBER(VALUE(LEFT(TRIM(D820),1))),TRIM(D820),TRIM(MID(TRIM(D820),FIND(" ",TRIM(D820))+1,99)))))</f>
        <v/>
      </c>
      <c r="I820" s="255">
        <f>IF(G820="",0,IF(ISNUMBER(G820),G820,IFERROR(DATE(VALUE(MID(G820,FIND("/",G820,FIND("/",G820)+1)+1,4)),VALUE(MID(G820,FIND("/",G820)+1,FIND("/",G820,FIND("/",G820)+1)-FIND("/",G820)-1)),VALUE(LEFT(G820,FIND("/",G820)-1)))+IFERROR(TIMEVALUE(TRIM(MID(G820,FIND(" ",G820)+1,20))),0),0)))</f>
        <v/>
      </c>
      <c r="J820" s="255">
        <f>IF(H820="",0,IF(ISNUMBER(H820),H820,IFERROR(DATE(VALUE(MID(H820,FIND("/",H820,FIND("/",H820)+1)+1,4)),VALUE(MID(H820,FIND("/",H820)+1,FIND("/",H820,FIND("/",H820)+1)-FIND("/",H820)-1)),VALUE(LEFT(H820,FIND("/",H820)-1)))+IFERROR(TIMEVALUE(TRIM(MID(H820,FIND(" ",H820)+1,20))),0),0)))</f>
        <v/>
      </c>
      <c r="K820" s="256">
        <f>IF(I820=0,0,INT(I820))</f>
        <v/>
      </c>
      <c r="L820" s="257">
        <f>IF(OR(I820=0,J820=0),0,ROUND((J820-I820)*24,2))</f>
        <v/>
      </c>
      <c r="M820" s="254">
        <f>IFERROR(TRIM(MID(A820,FIND("@",SUBSTITUTE(A820,"(","@",LEN(A820)-LEN(SUBSTITUTE(A820,"(",""))))+1,FIND(")",A820,FIND("@",SUBSTITUTE(A820,"(","@",LEN(A820)-LEN(SUBSTITUTE(A820,"(","")))))-FIND("@",SUBSTITUTE(A820,"(","@",LEN(A820)-LEN(SUBSTITUTE(A820,"(",""))))-1)),"")</f>
        <v/>
      </c>
      <c r="N820" s="254">
        <f>IF(A820="","",IF(LEFT(TRIM(A820),5)="Leave","Leave",IF(OR(ISNUMBER(SEARCH("public holiday",A820)),ISNUMBER(SEARCH("Purple",E820))),"Public holiday","Event")))</f>
        <v/>
      </c>
    </row>
    <row r="821">
      <c r="G821" s="254">
        <f>IF(C821="","",IF(ISNUMBER(C821),C821,IF(ISNUMBER(VALUE(LEFT(TRIM(C821),1))),TRIM(C821),TRIM(MID(TRIM(C821),FIND(" ",TRIM(C821))+1,99)))))</f>
        <v/>
      </c>
      <c r="H821" s="254">
        <f>IF(D821="","",IF(ISNUMBER(D821),D821,IF(ISNUMBER(VALUE(LEFT(TRIM(D821),1))),TRIM(D821),TRIM(MID(TRIM(D821),FIND(" ",TRIM(D821))+1,99)))))</f>
        <v/>
      </c>
      <c r="I821" s="255">
        <f>IF(G821="",0,IF(ISNUMBER(G821),G821,IFERROR(DATE(VALUE(MID(G821,FIND("/",G821,FIND("/",G821)+1)+1,4)),VALUE(MID(G821,FIND("/",G821)+1,FIND("/",G821,FIND("/",G821)+1)-FIND("/",G821)-1)),VALUE(LEFT(G821,FIND("/",G821)-1)))+IFERROR(TIMEVALUE(TRIM(MID(G821,FIND(" ",G821)+1,20))),0),0)))</f>
        <v/>
      </c>
      <c r="J821" s="255">
        <f>IF(H821="",0,IF(ISNUMBER(H821),H821,IFERROR(DATE(VALUE(MID(H821,FIND("/",H821,FIND("/",H821)+1)+1,4)),VALUE(MID(H821,FIND("/",H821)+1,FIND("/",H821,FIND("/",H821)+1)-FIND("/",H821)-1)),VALUE(LEFT(H821,FIND("/",H821)-1)))+IFERROR(TIMEVALUE(TRIM(MID(H821,FIND(" ",H821)+1,20))),0),0)))</f>
        <v/>
      </c>
      <c r="K821" s="256">
        <f>IF(I821=0,0,INT(I821))</f>
        <v/>
      </c>
      <c r="L821" s="257">
        <f>IF(OR(I821=0,J821=0),0,ROUND((J821-I821)*24,2))</f>
        <v/>
      </c>
      <c r="M821" s="254">
        <f>IFERROR(TRIM(MID(A821,FIND("@",SUBSTITUTE(A821,"(","@",LEN(A821)-LEN(SUBSTITUTE(A821,"(",""))))+1,FIND(")",A821,FIND("@",SUBSTITUTE(A821,"(","@",LEN(A821)-LEN(SUBSTITUTE(A821,"(","")))))-FIND("@",SUBSTITUTE(A821,"(","@",LEN(A821)-LEN(SUBSTITUTE(A821,"(",""))))-1)),"")</f>
        <v/>
      </c>
      <c r="N821" s="254">
        <f>IF(A821="","",IF(LEFT(TRIM(A821),5)="Leave","Leave",IF(OR(ISNUMBER(SEARCH("public holiday",A821)),ISNUMBER(SEARCH("Purple",E821))),"Public holiday","Event")))</f>
        <v/>
      </c>
    </row>
    <row r="822">
      <c r="G822" s="254">
        <f>IF(C822="","",IF(ISNUMBER(C822),C822,IF(ISNUMBER(VALUE(LEFT(TRIM(C822),1))),TRIM(C822),TRIM(MID(TRIM(C822),FIND(" ",TRIM(C822))+1,99)))))</f>
        <v/>
      </c>
      <c r="H822" s="254">
        <f>IF(D822="","",IF(ISNUMBER(D822),D822,IF(ISNUMBER(VALUE(LEFT(TRIM(D822),1))),TRIM(D822),TRIM(MID(TRIM(D822),FIND(" ",TRIM(D822))+1,99)))))</f>
        <v/>
      </c>
      <c r="I822" s="255">
        <f>IF(G822="",0,IF(ISNUMBER(G822),G822,IFERROR(DATE(VALUE(MID(G822,FIND("/",G822,FIND("/",G822)+1)+1,4)),VALUE(MID(G822,FIND("/",G822)+1,FIND("/",G822,FIND("/",G822)+1)-FIND("/",G822)-1)),VALUE(LEFT(G822,FIND("/",G822)-1)))+IFERROR(TIMEVALUE(TRIM(MID(G822,FIND(" ",G822)+1,20))),0),0)))</f>
        <v/>
      </c>
      <c r="J822" s="255">
        <f>IF(H822="",0,IF(ISNUMBER(H822),H822,IFERROR(DATE(VALUE(MID(H822,FIND("/",H822,FIND("/",H822)+1)+1,4)),VALUE(MID(H822,FIND("/",H822)+1,FIND("/",H822,FIND("/",H822)+1)-FIND("/",H822)-1)),VALUE(LEFT(H822,FIND("/",H822)-1)))+IFERROR(TIMEVALUE(TRIM(MID(H822,FIND(" ",H822)+1,20))),0),0)))</f>
        <v/>
      </c>
      <c r="K822" s="256">
        <f>IF(I822=0,0,INT(I822))</f>
        <v/>
      </c>
      <c r="L822" s="257">
        <f>IF(OR(I822=0,J822=0),0,ROUND((J822-I822)*24,2))</f>
        <v/>
      </c>
      <c r="M822" s="254">
        <f>IFERROR(TRIM(MID(A822,FIND("@",SUBSTITUTE(A822,"(","@",LEN(A822)-LEN(SUBSTITUTE(A822,"(",""))))+1,FIND(")",A822,FIND("@",SUBSTITUTE(A822,"(","@",LEN(A822)-LEN(SUBSTITUTE(A822,"(","")))))-FIND("@",SUBSTITUTE(A822,"(","@",LEN(A822)-LEN(SUBSTITUTE(A822,"(",""))))-1)),"")</f>
        <v/>
      </c>
      <c r="N822" s="254">
        <f>IF(A822="","",IF(LEFT(TRIM(A822),5)="Leave","Leave",IF(OR(ISNUMBER(SEARCH("public holiday",A822)),ISNUMBER(SEARCH("Purple",E822))),"Public holiday","Event")))</f>
        <v/>
      </c>
    </row>
    <row r="823">
      <c r="G823" s="254">
        <f>IF(C823="","",IF(ISNUMBER(C823),C823,IF(ISNUMBER(VALUE(LEFT(TRIM(C823),1))),TRIM(C823),TRIM(MID(TRIM(C823),FIND(" ",TRIM(C823))+1,99)))))</f>
        <v/>
      </c>
      <c r="H823" s="254">
        <f>IF(D823="","",IF(ISNUMBER(D823),D823,IF(ISNUMBER(VALUE(LEFT(TRIM(D823),1))),TRIM(D823),TRIM(MID(TRIM(D823),FIND(" ",TRIM(D823))+1,99)))))</f>
        <v/>
      </c>
      <c r="I823" s="255">
        <f>IF(G823="",0,IF(ISNUMBER(G823),G823,IFERROR(DATE(VALUE(MID(G823,FIND("/",G823,FIND("/",G823)+1)+1,4)),VALUE(MID(G823,FIND("/",G823)+1,FIND("/",G823,FIND("/",G823)+1)-FIND("/",G823)-1)),VALUE(LEFT(G823,FIND("/",G823)-1)))+IFERROR(TIMEVALUE(TRIM(MID(G823,FIND(" ",G823)+1,20))),0),0)))</f>
        <v/>
      </c>
      <c r="J823" s="255">
        <f>IF(H823="",0,IF(ISNUMBER(H823),H823,IFERROR(DATE(VALUE(MID(H823,FIND("/",H823,FIND("/",H823)+1)+1,4)),VALUE(MID(H823,FIND("/",H823)+1,FIND("/",H823,FIND("/",H823)+1)-FIND("/",H823)-1)),VALUE(LEFT(H823,FIND("/",H823)-1)))+IFERROR(TIMEVALUE(TRIM(MID(H823,FIND(" ",H823)+1,20))),0),0)))</f>
        <v/>
      </c>
      <c r="K823" s="256">
        <f>IF(I823=0,0,INT(I823))</f>
        <v/>
      </c>
      <c r="L823" s="257">
        <f>IF(OR(I823=0,J823=0),0,ROUND((J823-I823)*24,2))</f>
        <v/>
      </c>
      <c r="M823" s="254">
        <f>IFERROR(TRIM(MID(A823,FIND("@",SUBSTITUTE(A823,"(","@",LEN(A823)-LEN(SUBSTITUTE(A823,"(",""))))+1,FIND(")",A823,FIND("@",SUBSTITUTE(A823,"(","@",LEN(A823)-LEN(SUBSTITUTE(A823,"(","")))))-FIND("@",SUBSTITUTE(A823,"(","@",LEN(A823)-LEN(SUBSTITUTE(A823,"(",""))))-1)),"")</f>
        <v/>
      </c>
      <c r="N823" s="254">
        <f>IF(A823="","",IF(LEFT(TRIM(A823),5)="Leave","Leave",IF(OR(ISNUMBER(SEARCH("public holiday",A823)),ISNUMBER(SEARCH("Purple",E823))),"Public holiday","Event")))</f>
        <v/>
      </c>
    </row>
    <row r="824">
      <c r="G824" s="254">
        <f>IF(C824="","",IF(ISNUMBER(C824),C824,IF(ISNUMBER(VALUE(LEFT(TRIM(C824),1))),TRIM(C824),TRIM(MID(TRIM(C824),FIND(" ",TRIM(C824))+1,99)))))</f>
        <v/>
      </c>
      <c r="H824" s="254">
        <f>IF(D824="","",IF(ISNUMBER(D824),D824,IF(ISNUMBER(VALUE(LEFT(TRIM(D824),1))),TRIM(D824),TRIM(MID(TRIM(D824),FIND(" ",TRIM(D824))+1,99)))))</f>
        <v/>
      </c>
      <c r="I824" s="255">
        <f>IF(G824="",0,IF(ISNUMBER(G824),G824,IFERROR(DATE(VALUE(MID(G824,FIND("/",G824,FIND("/",G824)+1)+1,4)),VALUE(MID(G824,FIND("/",G824)+1,FIND("/",G824,FIND("/",G824)+1)-FIND("/",G824)-1)),VALUE(LEFT(G824,FIND("/",G824)-1)))+IFERROR(TIMEVALUE(TRIM(MID(G824,FIND(" ",G824)+1,20))),0),0)))</f>
        <v/>
      </c>
      <c r="J824" s="255">
        <f>IF(H824="",0,IF(ISNUMBER(H824),H824,IFERROR(DATE(VALUE(MID(H824,FIND("/",H824,FIND("/",H824)+1)+1,4)),VALUE(MID(H824,FIND("/",H824)+1,FIND("/",H824,FIND("/",H824)+1)-FIND("/",H824)-1)),VALUE(LEFT(H824,FIND("/",H824)-1)))+IFERROR(TIMEVALUE(TRIM(MID(H824,FIND(" ",H824)+1,20))),0),0)))</f>
        <v/>
      </c>
      <c r="K824" s="256">
        <f>IF(I824=0,0,INT(I824))</f>
        <v/>
      </c>
      <c r="L824" s="257">
        <f>IF(OR(I824=0,J824=0),0,ROUND((J824-I824)*24,2))</f>
        <v/>
      </c>
      <c r="M824" s="254">
        <f>IFERROR(TRIM(MID(A824,FIND("@",SUBSTITUTE(A824,"(","@",LEN(A824)-LEN(SUBSTITUTE(A824,"(",""))))+1,FIND(")",A824,FIND("@",SUBSTITUTE(A824,"(","@",LEN(A824)-LEN(SUBSTITUTE(A824,"(","")))))-FIND("@",SUBSTITUTE(A824,"(","@",LEN(A824)-LEN(SUBSTITUTE(A824,"(",""))))-1)),"")</f>
        <v/>
      </c>
      <c r="N824" s="254">
        <f>IF(A824="","",IF(LEFT(TRIM(A824),5)="Leave","Leave",IF(OR(ISNUMBER(SEARCH("public holiday",A824)),ISNUMBER(SEARCH("Purple",E824))),"Public holiday","Event")))</f>
        <v/>
      </c>
    </row>
    <row r="825">
      <c r="G825" s="254">
        <f>IF(C825="","",IF(ISNUMBER(C825),C825,IF(ISNUMBER(VALUE(LEFT(TRIM(C825),1))),TRIM(C825),TRIM(MID(TRIM(C825),FIND(" ",TRIM(C825))+1,99)))))</f>
        <v/>
      </c>
      <c r="H825" s="254">
        <f>IF(D825="","",IF(ISNUMBER(D825),D825,IF(ISNUMBER(VALUE(LEFT(TRIM(D825),1))),TRIM(D825),TRIM(MID(TRIM(D825),FIND(" ",TRIM(D825))+1,99)))))</f>
        <v/>
      </c>
      <c r="I825" s="255">
        <f>IF(G825="",0,IF(ISNUMBER(G825),G825,IFERROR(DATE(VALUE(MID(G825,FIND("/",G825,FIND("/",G825)+1)+1,4)),VALUE(MID(G825,FIND("/",G825)+1,FIND("/",G825,FIND("/",G825)+1)-FIND("/",G825)-1)),VALUE(LEFT(G825,FIND("/",G825)-1)))+IFERROR(TIMEVALUE(TRIM(MID(G825,FIND(" ",G825)+1,20))),0),0)))</f>
        <v/>
      </c>
      <c r="J825" s="255">
        <f>IF(H825="",0,IF(ISNUMBER(H825),H825,IFERROR(DATE(VALUE(MID(H825,FIND("/",H825,FIND("/",H825)+1)+1,4)),VALUE(MID(H825,FIND("/",H825)+1,FIND("/",H825,FIND("/",H825)+1)-FIND("/",H825)-1)),VALUE(LEFT(H825,FIND("/",H825)-1)))+IFERROR(TIMEVALUE(TRIM(MID(H825,FIND(" ",H825)+1,20))),0),0)))</f>
        <v/>
      </c>
      <c r="K825" s="256">
        <f>IF(I825=0,0,INT(I825))</f>
        <v/>
      </c>
      <c r="L825" s="257">
        <f>IF(OR(I825=0,J825=0),0,ROUND((J825-I825)*24,2))</f>
        <v/>
      </c>
      <c r="M825" s="254">
        <f>IFERROR(TRIM(MID(A825,FIND("@",SUBSTITUTE(A825,"(","@",LEN(A825)-LEN(SUBSTITUTE(A825,"(",""))))+1,FIND(")",A825,FIND("@",SUBSTITUTE(A825,"(","@",LEN(A825)-LEN(SUBSTITUTE(A825,"(","")))))-FIND("@",SUBSTITUTE(A825,"(","@",LEN(A825)-LEN(SUBSTITUTE(A825,"(",""))))-1)),"")</f>
        <v/>
      </c>
      <c r="N825" s="254">
        <f>IF(A825="","",IF(LEFT(TRIM(A825),5)="Leave","Leave",IF(OR(ISNUMBER(SEARCH("public holiday",A825)),ISNUMBER(SEARCH("Purple",E825))),"Public holiday","Event")))</f>
        <v/>
      </c>
    </row>
    <row r="826">
      <c r="G826" s="254">
        <f>IF(C826="","",IF(ISNUMBER(C826),C826,IF(ISNUMBER(VALUE(LEFT(TRIM(C826),1))),TRIM(C826),TRIM(MID(TRIM(C826),FIND(" ",TRIM(C826))+1,99)))))</f>
        <v/>
      </c>
      <c r="H826" s="254">
        <f>IF(D826="","",IF(ISNUMBER(D826),D826,IF(ISNUMBER(VALUE(LEFT(TRIM(D826),1))),TRIM(D826),TRIM(MID(TRIM(D826),FIND(" ",TRIM(D826))+1,99)))))</f>
        <v/>
      </c>
      <c r="I826" s="255">
        <f>IF(G826="",0,IF(ISNUMBER(G826),G826,IFERROR(DATE(VALUE(MID(G826,FIND("/",G826,FIND("/",G826)+1)+1,4)),VALUE(MID(G826,FIND("/",G826)+1,FIND("/",G826,FIND("/",G826)+1)-FIND("/",G826)-1)),VALUE(LEFT(G826,FIND("/",G826)-1)))+IFERROR(TIMEVALUE(TRIM(MID(G826,FIND(" ",G826)+1,20))),0),0)))</f>
        <v/>
      </c>
      <c r="J826" s="255">
        <f>IF(H826="",0,IF(ISNUMBER(H826),H826,IFERROR(DATE(VALUE(MID(H826,FIND("/",H826,FIND("/",H826)+1)+1,4)),VALUE(MID(H826,FIND("/",H826)+1,FIND("/",H826,FIND("/",H826)+1)-FIND("/",H826)-1)),VALUE(LEFT(H826,FIND("/",H826)-1)))+IFERROR(TIMEVALUE(TRIM(MID(H826,FIND(" ",H826)+1,20))),0),0)))</f>
        <v/>
      </c>
      <c r="K826" s="256">
        <f>IF(I826=0,0,INT(I826))</f>
        <v/>
      </c>
      <c r="L826" s="257">
        <f>IF(OR(I826=0,J826=0),0,ROUND((J826-I826)*24,2))</f>
        <v/>
      </c>
      <c r="M826" s="254">
        <f>IFERROR(TRIM(MID(A826,FIND("@",SUBSTITUTE(A826,"(","@",LEN(A826)-LEN(SUBSTITUTE(A826,"(",""))))+1,FIND(")",A826,FIND("@",SUBSTITUTE(A826,"(","@",LEN(A826)-LEN(SUBSTITUTE(A826,"(","")))))-FIND("@",SUBSTITUTE(A826,"(","@",LEN(A826)-LEN(SUBSTITUTE(A826,"(",""))))-1)),"")</f>
        <v/>
      </c>
      <c r="N826" s="254">
        <f>IF(A826="","",IF(LEFT(TRIM(A826),5)="Leave","Leave",IF(OR(ISNUMBER(SEARCH("public holiday",A826)),ISNUMBER(SEARCH("Purple",E826))),"Public holiday","Event")))</f>
        <v/>
      </c>
    </row>
    <row r="827">
      <c r="G827" s="254">
        <f>IF(C827="","",IF(ISNUMBER(C827),C827,IF(ISNUMBER(VALUE(LEFT(TRIM(C827),1))),TRIM(C827),TRIM(MID(TRIM(C827),FIND(" ",TRIM(C827))+1,99)))))</f>
        <v/>
      </c>
      <c r="H827" s="254">
        <f>IF(D827="","",IF(ISNUMBER(D827),D827,IF(ISNUMBER(VALUE(LEFT(TRIM(D827),1))),TRIM(D827),TRIM(MID(TRIM(D827),FIND(" ",TRIM(D827))+1,99)))))</f>
        <v/>
      </c>
      <c r="I827" s="255">
        <f>IF(G827="",0,IF(ISNUMBER(G827),G827,IFERROR(DATE(VALUE(MID(G827,FIND("/",G827,FIND("/",G827)+1)+1,4)),VALUE(MID(G827,FIND("/",G827)+1,FIND("/",G827,FIND("/",G827)+1)-FIND("/",G827)-1)),VALUE(LEFT(G827,FIND("/",G827)-1)))+IFERROR(TIMEVALUE(TRIM(MID(G827,FIND(" ",G827)+1,20))),0),0)))</f>
        <v/>
      </c>
      <c r="J827" s="255">
        <f>IF(H827="",0,IF(ISNUMBER(H827),H827,IFERROR(DATE(VALUE(MID(H827,FIND("/",H827,FIND("/",H827)+1)+1,4)),VALUE(MID(H827,FIND("/",H827)+1,FIND("/",H827,FIND("/",H827)+1)-FIND("/",H827)-1)),VALUE(LEFT(H827,FIND("/",H827)-1)))+IFERROR(TIMEVALUE(TRIM(MID(H827,FIND(" ",H827)+1,20))),0),0)))</f>
        <v/>
      </c>
      <c r="K827" s="256">
        <f>IF(I827=0,0,INT(I827))</f>
        <v/>
      </c>
      <c r="L827" s="257">
        <f>IF(OR(I827=0,J827=0),0,ROUND((J827-I827)*24,2))</f>
        <v/>
      </c>
      <c r="M827" s="254">
        <f>IFERROR(TRIM(MID(A827,FIND("@",SUBSTITUTE(A827,"(","@",LEN(A827)-LEN(SUBSTITUTE(A827,"(",""))))+1,FIND(")",A827,FIND("@",SUBSTITUTE(A827,"(","@",LEN(A827)-LEN(SUBSTITUTE(A827,"(","")))))-FIND("@",SUBSTITUTE(A827,"(","@",LEN(A827)-LEN(SUBSTITUTE(A827,"(",""))))-1)),"")</f>
        <v/>
      </c>
      <c r="N827" s="254">
        <f>IF(A827="","",IF(LEFT(TRIM(A827),5)="Leave","Leave",IF(OR(ISNUMBER(SEARCH("public holiday",A827)),ISNUMBER(SEARCH("Purple",E827))),"Public holiday","Event")))</f>
        <v/>
      </c>
    </row>
    <row r="828">
      <c r="G828" s="254">
        <f>IF(C828="","",IF(ISNUMBER(C828),C828,IF(ISNUMBER(VALUE(LEFT(TRIM(C828),1))),TRIM(C828),TRIM(MID(TRIM(C828),FIND(" ",TRIM(C828))+1,99)))))</f>
        <v/>
      </c>
      <c r="H828" s="254">
        <f>IF(D828="","",IF(ISNUMBER(D828),D828,IF(ISNUMBER(VALUE(LEFT(TRIM(D828),1))),TRIM(D828),TRIM(MID(TRIM(D828),FIND(" ",TRIM(D828))+1,99)))))</f>
        <v/>
      </c>
      <c r="I828" s="255">
        <f>IF(G828="",0,IF(ISNUMBER(G828),G828,IFERROR(DATE(VALUE(MID(G828,FIND("/",G828,FIND("/",G828)+1)+1,4)),VALUE(MID(G828,FIND("/",G828)+1,FIND("/",G828,FIND("/",G828)+1)-FIND("/",G828)-1)),VALUE(LEFT(G828,FIND("/",G828)-1)))+IFERROR(TIMEVALUE(TRIM(MID(G828,FIND(" ",G828)+1,20))),0),0)))</f>
        <v/>
      </c>
      <c r="J828" s="255">
        <f>IF(H828="",0,IF(ISNUMBER(H828),H828,IFERROR(DATE(VALUE(MID(H828,FIND("/",H828,FIND("/",H828)+1)+1,4)),VALUE(MID(H828,FIND("/",H828)+1,FIND("/",H828,FIND("/",H828)+1)-FIND("/",H828)-1)),VALUE(LEFT(H828,FIND("/",H828)-1)))+IFERROR(TIMEVALUE(TRIM(MID(H828,FIND(" ",H828)+1,20))),0),0)))</f>
        <v/>
      </c>
      <c r="K828" s="256">
        <f>IF(I828=0,0,INT(I828))</f>
        <v/>
      </c>
      <c r="L828" s="257">
        <f>IF(OR(I828=0,J828=0),0,ROUND((J828-I828)*24,2))</f>
        <v/>
      </c>
      <c r="M828" s="254">
        <f>IFERROR(TRIM(MID(A828,FIND("@",SUBSTITUTE(A828,"(","@",LEN(A828)-LEN(SUBSTITUTE(A828,"(",""))))+1,FIND(")",A828,FIND("@",SUBSTITUTE(A828,"(","@",LEN(A828)-LEN(SUBSTITUTE(A828,"(","")))))-FIND("@",SUBSTITUTE(A828,"(","@",LEN(A828)-LEN(SUBSTITUTE(A828,"(",""))))-1)),"")</f>
        <v/>
      </c>
      <c r="N828" s="254">
        <f>IF(A828="","",IF(LEFT(TRIM(A828),5)="Leave","Leave",IF(OR(ISNUMBER(SEARCH("public holiday",A828)),ISNUMBER(SEARCH("Purple",E828))),"Public holiday","Event")))</f>
        <v/>
      </c>
    </row>
    <row r="829">
      <c r="G829" s="254">
        <f>IF(C829="","",IF(ISNUMBER(C829),C829,IF(ISNUMBER(VALUE(LEFT(TRIM(C829),1))),TRIM(C829),TRIM(MID(TRIM(C829),FIND(" ",TRIM(C829))+1,99)))))</f>
        <v/>
      </c>
      <c r="H829" s="254">
        <f>IF(D829="","",IF(ISNUMBER(D829),D829,IF(ISNUMBER(VALUE(LEFT(TRIM(D829),1))),TRIM(D829),TRIM(MID(TRIM(D829),FIND(" ",TRIM(D829))+1,99)))))</f>
        <v/>
      </c>
      <c r="I829" s="255">
        <f>IF(G829="",0,IF(ISNUMBER(G829),G829,IFERROR(DATE(VALUE(MID(G829,FIND("/",G829,FIND("/",G829)+1)+1,4)),VALUE(MID(G829,FIND("/",G829)+1,FIND("/",G829,FIND("/",G829)+1)-FIND("/",G829)-1)),VALUE(LEFT(G829,FIND("/",G829)-1)))+IFERROR(TIMEVALUE(TRIM(MID(G829,FIND(" ",G829)+1,20))),0),0)))</f>
        <v/>
      </c>
      <c r="J829" s="255">
        <f>IF(H829="",0,IF(ISNUMBER(H829),H829,IFERROR(DATE(VALUE(MID(H829,FIND("/",H829,FIND("/",H829)+1)+1,4)),VALUE(MID(H829,FIND("/",H829)+1,FIND("/",H829,FIND("/",H829)+1)-FIND("/",H829)-1)),VALUE(LEFT(H829,FIND("/",H829)-1)))+IFERROR(TIMEVALUE(TRIM(MID(H829,FIND(" ",H829)+1,20))),0),0)))</f>
        <v/>
      </c>
      <c r="K829" s="256">
        <f>IF(I829=0,0,INT(I829))</f>
        <v/>
      </c>
      <c r="L829" s="257">
        <f>IF(OR(I829=0,J829=0),0,ROUND((J829-I829)*24,2))</f>
        <v/>
      </c>
      <c r="M829" s="254">
        <f>IFERROR(TRIM(MID(A829,FIND("@",SUBSTITUTE(A829,"(","@",LEN(A829)-LEN(SUBSTITUTE(A829,"(",""))))+1,FIND(")",A829,FIND("@",SUBSTITUTE(A829,"(","@",LEN(A829)-LEN(SUBSTITUTE(A829,"(","")))))-FIND("@",SUBSTITUTE(A829,"(","@",LEN(A829)-LEN(SUBSTITUTE(A829,"(",""))))-1)),"")</f>
        <v/>
      </c>
      <c r="N829" s="254">
        <f>IF(A829="","",IF(LEFT(TRIM(A829),5)="Leave","Leave",IF(OR(ISNUMBER(SEARCH("public holiday",A829)),ISNUMBER(SEARCH("Purple",E829))),"Public holiday","Event")))</f>
        <v/>
      </c>
    </row>
    <row r="830">
      <c r="G830" s="254">
        <f>IF(C830="","",IF(ISNUMBER(C830),C830,IF(ISNUMBER(VALUE(LEFT(TRIM(C830),1))),TRIM(C830),TRIM(MID(TRIM(C830),FIND(" ",TRIM(C830))+1,99)))))</f>
        <v/>
      </c>
      <c r="H830" s="254">
        <f>IF(D830="","",IF(ISNUMBER(D830),D830,IF(ISNUMBER(VALUE(LEFT(TRIM(D830),1))),TRIM(D830),TRIM(MID(TRIM(D830),FIND(" ",TRIM(D830))+1,99)))))</f>
        <v/>
      </c>
      <c r="I830" s="255">
        <f>IF(G830="",0,IF(ISNUMBER(G830),G830,IFERROR(DATE(VALUE(MID(G830,FIND("/",G830,FIND("/",G830)+1)+1,4)),VALUE(MID(G830,FIND("/",G830)+1,FIND("/",G830,FIND("/",G830)+1)-FIND("/",G830)-1)),VALUE(LEFT(G830,FIND("/",G830)-1)))+IFERROR(TIMEVALUE(TRIM(MID(G830,FIND(" ",G830)+1,20))),0),0)))</f>
        <v/>
      </c>
      <c r="J830" s="255">
        <f>IF(H830="",0,IF(ISNUMBER(H830),H830,IFERROR(DATE(VALUE(MID(H830,FIND("/",H830,FIND("/",H830)+1)+1,4)),VALUE(MID(H830,FIND("/",H830)+1,FIND("/",H830,FIND("/",H830)+1)-FIND("/",H830)-1)),VALUE(LEFT(H830,FIND("/",H830)-1)))+IFERROR(TIMEVALUE(TRIM(MID(H830,FIND(" ",H830)+1,20))),0),0)))</f>
        <v/>
      </c>
      <c r="K830" s="256">
        <f>IF(I830=0,0,INT(I830))</f>
        <v/>
      </c>
      <c r="L830" s="257">
        <f>IF(OR(I830=0,J830=0),0,ROUND((J830-I830)*24,2))</f>
        <v/>
      </c>
      <c r="M830" s="254">
        <f>IFERROR(TRIM(MID(A830,FIND("@",SUBSTITUTE(A830,"(","@",LEN(A830)-LEN(SUBSTITUTE(A830,"(",""))))+1,FIND(")",A830,FIND("@",SUBSTITUTE(A830,"(","@",LEN(A830)-LEN(SUBSTITUTE(A830,"(","")))))-FIND("@",SUBSTITUTE(A830,"(","@",LEN(A830)-LEN(SUBSTITUTE(A830,"(",""))))-1)),"")</f>
        <v/>
      </c>
      <c r="N830" s="254">
        <f>IF(A830="","",IF(LEFT(TRIM(A830),5)="Leave","Leave",IF(OR(ISNUMBER(SEARCH("public holiday",A830)),ISNUMBER(SEARCH("Purple",E830))),"Public holiday","Event")))</f>
        <v/>
      </c>
    </row>
    <row r="831">
      <c r="G831" s="254">
        <f>IF(C831="","",IF(ISNUMBER(C831),C831,IF(ISNUMBER(VALUE(LEFT(TRIM(C831),1))),TRIM(C831),TRIM(MID(TRIM(C831),FIND(" ",TRIM(C831))+1,99)))))</f>
        <v/>
      </c>
      <c r="H831" s="254">
        <f>IF(D831="","",IF(ISNUMBER(D831),D831,IF(ISNUMBER(VALUE(LEFT(TRIM(D831),1))),TRIM(D831),TRIM(MID(TRIM(D831),FIND(" ",TRIM(D831))+1,99)))))</f>
        <v/>
      </c>
      <c r="I831" s="255">
        <f>IF(G831="",0,IF(ISNUMBER(G831),G831,IFERROR(DATE(VALUE(MID(G831,FIND("/",G831,FIND("/",G831)+1)+1,4)),VALUE(MID(G831,FIND("/",G831)+1,FIND("/",G831,FIND("/",G831)+1)-FIND("/",G831)-1)),VALUE(LEFT(G831,FIND("/",G831)-1)))+IFERROR(TIMEVALUE(TRIM(MID(G831,FIND(" ",G831)+1,20))),0),0)))</f>
        <v/>
      </c>
      <c r="J831" s="255">
        <f>IF(H831="",0,IF(ISNUMBER(H831),H831,IFERROR(DATE(VALUE(MID(H831,FIND("/",H831,FIND("/",H831)+1)+1,4)),VALUE(MID(H831,FIND("/",H831)+1,FIND("/",H831,FIND("/",H831)+1)-FIND("/",H831)-1)),VALUE(LEFT(H831,FIND("/",H831)-1)))+IFERROR(TIMEVALUE(TRIM(MID(H831,FIND(" ",H831)+1,20))),0),0)))</f>
        <v/>
      </c>
      <c r="K831" s="256">
        <f>IF(I831=0,0,INT(I831))</f>
        <v/>
      </c>
      <c r="L831" s="257">
        <f>IF(OR(I831=0,J831=0),0,ROUND((J831-I831)*24,2))</f>
        <v/>
      </c>
      <c r="M831" s="254">
        <f>IFERROR(TRIM(MID(A831,FIND("@",SUBSTITUTE(A831,"(","@",LEN(A831)-LEN(SUBSTITUTE(A831,"(",""))))+1,FIND(")",A831,FIND("@",SUBSTITUTE(A831,"(","@",LEN(A831)-LEN(SUBSTITUTE(A831,"(","")))))-FIND("@",SUBSTITUTE(A831,"(","@",LEN(A831)-LEN(SUBSTITUTE(A831,"(",""))))-1)),"")</f>
        <v/>
      </c>
      <c r="N831" s="254">
        <f>IF(A831="","",IF(LEFT(TRIM(A831),5)="Leave","Leave",IF(OR(ISNUMBER(SEARCH("public holiday",A831)),ISNUMBER(SEARCH("Purple",E831))),"Public holiday","Event")))</f>
        <v/>
      </c>
    </row>
    <row r="832">
      <c r="G832" s="254">
        <f>IF(C832="","",IF(ISNUMBER(C832),C832,IF(ISNUMBER(VALUE(LEFT(TRIM(C832),1))),TRIM(C832),TRIM(MID(TRIM(C832),FIND(" ",TRIM(C832))+1,99)))))</f>
        <v/>
      </c>
      <c r="H832" s="254">
        <f>IF(D832="","",IF(ISNUMBER(D832),D832,IF(ISNUMBER(VALUE(LEFT(TRIM(D832),1))),TRIM(D832),TRIM(MID(TRIM(D832),FIND(" ",TRIM(D832))+1,99)))))</f>
        <v/>
      </c>
      <c r="I832" s="255">
        <f>IF(G832="",0,IF(ISNUMBER(G832),G832,IFERROR(DATE(VALUE(MID(G832,FIND("/",G832,FIND("/",G832)+1)+1,4)),VALUE(MID(G832,FIND("/",G832)+1,FIND("/",G832,FIND("/",G832)+1)-FIND("/",G832)-1)),VALUE(LEFT(G832,FIND("/",G832)-1)))+IFERROR(TIMEVALUE(TRIM(MID(G832,FIND(" ",G832)+1,20))),0),0)))</f>
        <v/>
      </c>
      <c r="J832" s="255">
        <f>IF(H832="",0,IF(ISNUMBER(H832),H832,IFERROR(DATE(VALUE(MID(H832,FIND("/",H832,FIND("/",H832)+1)+1,4)),VALUE(MID(H832,FIND("/",H832)+1,FIND("/",H832,FIND("/",H832)+1)-FIND("/",H832)-1)),VALUE(LEFT(H832,FIND("/",H832)-1)))+IFERROR(TIMEVALUE(TRIM(MID(H832,FIND(" ",H832)+1,20))),0),0)))</f>
        <v/>
      </c>
      <c r="K832" s="256">
        <f>IF(I832=0,0,INT(I832))</f>
        <v/>
      </c>
      <c r="L832" s="257">
        <f>IF(OR(I832=0,J832=0),0,ROUND((J832-I832)*24,2))</f>
        <v/>
      </c>
      <c r="M832" s="254">
        <f>IFERROR(TRIM(MID(A832,FIND("@",SUBSTITUTE(A832,"(","@",LEN(A832)-LEN(SUBSTITUTE(A832,"(",""))))+1,FIND(")",A832,FIND("@",SUBSTITUTE(A832,"(","@",LEN(A832)-LEN(SUBSTITUTE(A832,"(","")))))-FIND("@",SUBSTITUTE(A832,"(","@",LEN(A832)-LEN(SUBSTITUTE(A832,"(",""))))-1)),"")</f>
        <v/>
      </c>
      <c r="N832" s="254">
        <f>IF(A832="","",IF(LEFT(TRIM(A832),5)="Leave","Leave",IF(OR(ISNUMBER(SEARCH("public holiday",A832)),ISNUMBER(SEARCH("Purple",E832))),"Public holiday","Event")))</f>
        <v/>
      </c>
    </row>
    <row r="833">
      <c r="G833" s="254">
        <f>IF(C833="","",IF(ISNUMBER(C833),C833,IF(ISNUMBER(VALUE(LEFT(TRIM(C833),1))),TRIM(C833),TRIM(MID(TRIM(C833),FIND(" ",TRIM(C833))+1,99)))))</f>
        <v/>
      </c>
      <c r="H833" s="254">
        <f>IF(D833="","",IF(ISNUMBER(D833),D833,IF(ISNUMBER(VALUE(LEFT(TRIM(D833),1))),TRIM(D833),TRIM(MID(TRIM(D833),FIND(" ",TRIM(D833))+1,99)))))</f>
        <v/>
      </c>
      <c r="I833" s="255">
        <f>IF(G833="",0,IF(ISNUMBER(G833),G833,IFERROR(DATE(VALUE(MID(G833,FIND("/",G833,FIND("/",G833)+1)+1,4)),VALUE(MID(G833,FIND("/",G833)+1,FIND("/",G833,FIND("/",G833)+1)-FIND("/",G833)-1)),VALUE(LEFT(G833,FIND("/",G833)-1)))+IFERROR(TIMEVALUE(TRIM(MID(G833,FIND(" ",G833)+1,20))),0),0)))</f>
        <v/>
      </c>
      <c r="J833" s="255">
        <f>IF(H833="",0,IF(ISNUMBER(H833),H833,IFERROR(DATE(VALUE(MID(H833,FIND("/",H833,FIND("/",H833)+1)+1,4)),VALUE(MID(H833,FIND("/",H833)+1,FIND("/",H833,FIND("/",H833)+1)-FIND("/",H833)-1)),VALUE(LEFT(H833,FIND("/",H833)-1)))+IFERROR(TIMEVALUE(TRIM(MID(H833,FIND(" ",H833)+1,20))),0),0)))</f>
        <v/>
      </c>
      <c r="K833" s="256">
        <f>IF(I833=0,0,INT(I833))</f>
        <v/>
      </c>
      <c r="L833" s="257">
        <f>IF(OR(I833=0,J833=0),0,ROUND((J833-I833)*24,2))</f>
        <v/>
      </c>
      <c r="M833" s="254">
        <f>IFERROR(TRIM(MID(A833,FIND("@",SUBSTITUTE(A833,"(","@",LEN(A833)-LEN(SUBSTITUTE(A833,"(",""))))+1,FIND(")",A833,FIND("@",SUBSTITUTE(A833,"(","@",LEN(A833)-LEN(SUBSTITUTE(A833,"(","")))))-FIND("@",SUBSTITUTE(A833,"(","@",LEN(A833)-LEN(SUBSTITUTE(A833,"(",""))))-1)),"")</f>
        <v/>
      </c>
      <c r="N833" s="254">
        <f>IF(A833="","",IF(LEFT(TRIM(A833),5)="Leave","Leave",IF(OR(ISNUMBER(SEARCH("public holiday",A833)),ISNUMBER(SEARCH("Purple",E833))),"Public holiday","Event")))</f>
        <v/>
      </c>
    </row>
    <row r="834">
      <c r="G834" s="254">
        <f>IF(C834="","",IF(ISNUMBER(C834),C834,IF(ISNUMBER(VALUE(LEFT(TRIM(C834),1))),TRIM(C834),TRIM(MID(TRIM(C834),FIND(" ",TRIM(C834))+1,99)))))</f>
        <v/>
      </c>
      <c r="H834" s="254">
        <f>IF(D834="","",IF(ISNUMBER(D834),D834,IF(ISNUMBER(VALUE(LEFT(TRIM(D834),1))),TRIM(D834),TRIM(MID(TRIM(D834),FIND(" ",TRIM(D834))+1,99)))))</f>
        <v/>
      </c>
      <c r="I834" s="255">
        <f>IF(G834="",0,IF(ISNUMBER(G834),G834,IFERROR(DATE(VALUE(MID(G834,FIND("/",G834,FIND("/",G834)+1)+1,4)),VALUE(MID(G834,FIND("/",G834)+1,FIND("/",G834,FIND("/",G834)+1)-FIND("/",G834)-1)),VALUE(LEFT(G834,FIND("/",G834)-1)))+IFERROR(TIMEVALUE(TRIM(MID(G834,FIND(" ",G834)+1,20))),0),0)))</f>
        <v/>
      </c>
      <c r="J834" s="255">
        <f>IF(H834="",0,IF(ISNUMBER(H834),H834,IFERROR(DATE(VALUE(MID(H834,FIND("/",H834,FIND("/",H834)+1)+1,4)),VALUE(MID(H834,FIND("/",H834)+1,FIND("/",H834,FIND("/",H834)+1)-FIND("/",H834)-1)),VALUE(LEFT(H834,FIND("/",H834)-1)))+IFERROR(TIMEVALUE(TRIM(MID(H834,FIND(" ",H834)+1,20))),0),0)))</f>
        <v/>
      </c>
      <c r="K834" s="256">
        <f>IF(I834=0,0,INT(I834))</f>
        <v/>
      </c>
      <c r="L834" s="257">
        <f>IF(OR(I834=0,J834=0),0,ROUND((J834-I834)*24,2))</f>
        <v/>
      </c>
      <c r="M834" s="254">
        <f>IFERROR(TRIM(MID(A834,FIND("@",SUBSTITUTE(A834,"(","@",LEN(A834)-LEN(SUBSTITUTE(A834,"(",""))))+1,FIND(")",A834,FIND("@",SUBSTITUTE(A834,"(","@",LEN(A834)-LEN(SUBSTITUTE(A834,"(","")))))-FIND("@",SUBSTITUTE(A834,"(","@",LEN(A834)-LEN(SUBSTITUTE(A834,"(",""))))-1)),"")</f>
        <v/>
      </c>
      <c r="N834" s="254">
        <f>IF(A834="","",IF(LEFT(TRIM(A834),5)="Leave","Leave",IF(OR(ISNUMBER(SEARCH("public holiday",A834)),ISNUMBER(SEARCH("Purple",E834))),"Public holiday","Event")))</f>
        <v/>
      </c>
    </row>
    <row r="835">
      <c r="G835" s="254">
        <f>IF(C835="","",IF(ISNUMBER(C835),C835,IF(ISNUMBER(VALUE(LEFT(TRIM(C835),1))),TRIM(C835),TRIM(MID(TRIM(C835),FIND(" ",TRIM(C835))+1,99)))))</f>
        <v/>
      </c>
      <c r="H835" s="254">
        <f>IF(D835="","",IF(ISNUMBER(D835),D835,IF(ISNUMBER(VALUE(LEFT(TRIM(D835),1))),TRIM(D835),TRIM(MID(TRIM(D835),FIND(" ",TRIM(D835))+1,99)))))</f>
        <v/>
      </c>
      <c r="I835" s="255">
        <f>IF(G835="",0,IF(ISNUMBER(G835),G835,IFERROR(DATE(VALUE(MID(G835,FIND("/",G835,FIND("/",G835)+1)+1,4)),VALUE(MID(G835,FIND("/",G835)+1,FIND("/",G835,FIND("/",G835)+1)-FIND("/",G835)-1)),VALUE(LEFT(G835,FIND("/",G835)-1)))+IFERROR(TIMEVALUE(TRIM(MID(G835,FIND(" ",G835)+1,20))),0),0)))</f>
        <v/>
      </c>
      <c r="J835" s="255">
        <f>IF(H835="",0,IF(ISNUMBER(H835),H835,IFERROR(DATE(VALUE(MID(H835,FIND("/",H835,FIND("/",H835)+1)+1,4)),VALUE(MID(H835,FIND("/",H835)+1,FIND("/",H835,FIND("/",H835)+1)-FIND("/",H835)-1)),VALUE(LEFT(H835,FIND("/",H835)-1)))+IFERROR(TIMEVALUE(TRIM(MID(H835,FIND(" ",H835)+1,20))),0),0)))</f>
        <v/>
      </c>
      <c r="K835" s="256">
        <f>IF(I835=0,0,INT(I835))</f>
        <v/>
      </c>
      <c r="L835" s="257">
        <f>IF(OR(I835=0,J835=0),0,ROUND((J835-I835)*24,2))</f>
        <v/>
      </c>
      <c r="M835" s="254">
        <f>IFERROR(TRIM(MID(A835,FIND("@",SUBSTITUTE(A835,"(","@",LEN(A835)-LEN(SUBSTITUTE(A835,"(",""))))+1,FIND(")",A835,FIND("@",SUBSTITUTE(A835,"(","@",LEN(A835)-LEN(SUBSTITUTE(A835,"(","")))))-FIND("@",SUBSTITUTE(A835,"(","@",LEN(A835)-LEN(SUBSTITUTE(A835,"(",""))))-1)),"")</f>
        <v/>
      </c>
      <c r="N835" s="254">
        <f>IF(A835="","",IF(LEFT(TRIM(A835),5)="Leave","Leave",IF(OR(ISNUMBER(SEARCH("public holiday",A835)),ISNUMBER(SEARCH("Purple",E835))),"Public holiday","Event")))</f>
        <v/>
      </c>
    </row>
    <row r="836">
      <c r="G836" s="254">
        <f>IF(C836="","",IF(ISNUMBER(C836),C836,IF(ISNUMBER(VALUE(LEFT(TRIM(C836),1))),TRIM(C836),TRIM(MID(TRIM(C836),FIND(" ",TRIM(C836))+1,99)))))</f>
        <v/>
      </c>
      <c r="H836" s="254">
        <f>IF(D836="","",IF(ISNUMBER(D836),D836,IF(ISNUMBER(VALUE(LEFT(TRIM(D836),1))),TRIM(D836),TRIM(MID(TRIM(D836),FIND(" ",TRIM(D836))+1,99)))))</f>
        <v/>
      </c>
      <c r="I836" s="255">
        <f>IF(G836="",0,IF(ISNUMBER(G836),G836,IFERROR(DATE(VALUE(MID(G836,FIND("/",G836,FIND("/",G836)+1)+1,4)),VALUE(MID(G836,FIND("/",G836)+1,FIND("/",G836,FIND("/",G836)+1)-FIND("/",G836)-1)),VALUE(LEFT(G836,FIND("/",G836)-1)))+IFERROR(TIMEVALUE(TRIM(MID(G836,FIND(" ",G836)+1,20))),0),0)))</f>
        <v/>
      </c>
      <c r="J836" s="255">
        <f>IF(H836="",0,IF(ISNUMBER(H836),H836,IFERROR(DATE(VALUE(MID(H836,FIND("/",H836,FIND("/",H836)+1)+1,4)),VALUE(MID(H836,FIND("/",H836)+1,FIND("/",H836,FIND("/",H836)+1)-FIND("/",H836)-1)),VALUE(LEFT(H836,FIND("/",H836)-1)))+IFERROR(TIMEVALUE(TRIM(MID(H836,FIND(" ",H836)+1,20))),0),0)))</f>
        <v/>
      </c>
      <c r="K836" s="256">
        <f>IF(I836=0,0,INT(I836))</f>
        <v/>
      </c>
      <c r="L836" s="257">
        <f>IF(OR(I836=0,J836=0),0,ROUND((J836-I836)*24,2))</f>
        <v/>
      </c>
      <c r="M836" s="254">
        <f>IFERROR(TRIM(MID(A836,FIND("@",SUBSTITUTE(A836,"(","@",LEN(A836)-LEN(SUBSTITUTE(A836,"(",""))))+1,FIND(")",A836,FIND("@",SUBSTITUTE(A836,"(","@",LEN(A836)-LEN(SUBSTITUTE(A836,"(","")))))-FIND("@",SUBSTITUTE(A836,"(","@",LEN(A836)-LEN(SUBSTITUTE(A836,"(",""))))-1)),"")</f>
        <v/>
      </c>
      <c r="N836" s="254">
        <f>IF(A836="","",IF(LEFT(TRIM(A836),5)="Leave","Leave",IF(OR(ISNUMBER(SEARCH("public holiday",A836)),ISNUMBER(SEARCH("Purple",E836))),"Public holiday","Event")))</f>
        <v/>
      </c>
    </row>
    <row r="837">
      <c r="G837" s="254">
        <f>IF(C837="","",IF(ISNUMBER(C837),C837,IF(ISNUMBER(VALUE(LEFT(TRIM(C837),1))),TRIM(C837),TRIM(MID(TRIM(C837),FIND(" ",TRIM(C837))+1,99)))))</f>
        <v/>
      </c>
      <c r="H837" s="254">
        <f>IF(D837="","",IF(ISNUMBER(D837),D837,IF(ISNUMBER(VALUE(LEFT(TRIM(D837),1))),TRIM(D837),TRIM(MID(TRIM(D837),FIND(" ",TRIM(D837))+1,99)))))</f>
        <v/>
      </c>
      <c r="I837" s="255">
        <f>IF(G837="",0,IF(ISNUMBER(G837),G837,IFERROR(DATE(VALUE(MID(G837,FIND("/",G837,FIND("/",G837)+1)+1,4)),VALUE(MID(G837,FIND("/",G837)+1,FIND("/",G837,FIND("/",G837)+1)-FIND("/",G837)-1)),VALUE(LEFT(G837,FIND("/",G837)-1)))+IFERROR(TIMEVALUE(TRIM(MID(G837,FIND(" ",G837)+1,20))),0),0)))</f>
        <v/>
      </c>
      <c r="J837" s="255">
        <f>IF(H837="",0,IF(ISNUMBER(H837),H837,IFERROR(DATE(VALUE(MID(H837,FIND("/",H837,FIND("/",H837)+1)+1,4)),VALUE(MID(H837,FIND("/",H837)+1,FIND("/",H837,FIND("/",H837)+1)-FIND("/",H837)-1)),VALUE(LEFT(H837,FIND("/",H837)-1)))+IFERROR(TIMEVALUE(TRIM(MID(H837,FIND(" ",H837)+1,20))),0),0)))</f>
        <v/>
      </c>
      <c r="K837" s="256">
        <f>IF(I837=0,0,INT(I837))</f>
        <v/>
      </c>
      <c r="L837" s="257">
        <f>IF(OR(I837=0,J837=0),0,ROUND((J837-I837)*24,2))</f>
        <v/>
      </c>
      <c r="M837" s="254">
        <f>IFERROR(TRIM(MID(A837,FIND("@",SUBSTITUTE(A837,"(","@",LEN(A837)-LEN(SUBSTITUTE(A837,"(",""))))+1,FIND(")",A837,FIND("@",SUBSTITUTE(A837,"(","@",LEN(A837)-LEN(SUBSTITUTE(A837,"(","")))))-FIND("@",SUBSTITUTE(A837,"(","@",LEN(A837)-LEN(SUBSTITUTE(A837,"(",""))))-1)),"")</f>
        <v/>
      </c>
      <c r="N837" s="254">
        <f>IF(A837="","",IF(LEFT(TRIM(A837),5)="Leave","Leave",IF(OR(ISNUMBER(SEARCH("public holiday",A837)),ISNUMBER(SEARCH("Purple",E837))),"Public holiday","Event")))</f>
        <v/>
      </c>
    </row>
    <row r="838">
      <c r="G838" s="254">
        <f>IF(C838="","",IF(ISNUMBER(C838),C838,IF(ISNUMBER(VALUE(LEFT(TRIM(C838),1))),TRIM(C838),TRIM(MID(TRIM(C838),FIND(" ",TRIM(C838))+1,99)))))</f>
        <v/>
      </c>
      <c r="H838" s="254">
        <f>IF(D838="","",IF(ISNUMBER(D838),D838,IF(ISNUMBER(VALUE(LEFT(TRIM(D838),1))),TRIM(D838),TRIM(MID(TRIM(D838),FIND(" ",TRIM(D838))+1,99)))))</f>
        <v/>
      </c>
      <c r="I838" s="255">
        <f>IF(G838="",0,IF(ISNUMBER(G838),G838,IFERROR(DATE(VALUE(MID(G838,FIND("/",G838,FIND("/",G838)+1)+1,4)),VALUE(MID(G838,FIND("/",G838)+1,FIND("/",G838,FIND("/",G838)+1)-FIND("/",G838)-1)),VALUE(LEFT(G838,FIND("/",G838)-1)))+IFERROR(TIMEVALUE(TRIM(MID(G838,FIND(" ",G838)+1,20))),0),0)))</f>
        <v/>
      </c>
      <c r="J838" s="255">
        <f>IF(H838="",0,IF(ISNUMBER(H838),H838,IFERROR(DATE(VALUE(MID(H838,FIND("/",H838,FIND("/",H838)+1)+1,4)),VALUE(MID(H838,FIND("/",H838)+1,FIND("/",H838,FIND("/",H838)+1)-FIND("/",H838)-1)),VALUE(LEFT(H838,FIND("/",H838)-1)))+IFERROR(TIMEVALUE(TRIM(MID(H838,FIND(" ",H838)+1,20))),0),0)))</f>
        <v/>
      </c>
      <c r="K838" s="256">
        <f>IF(I838=0,0,INT(I838))</f>
        <v/>
      </c>
      <c r="L838" s="257">
        <f>IF(OR(I838=0,J838=0),0,ROUND((J838-I838)*24,2))</f>
        <v/>
      </c>
      <c r="M838" s="254">
        <f>IFERROR(TRIM(MID(A838,FIND("@",SUBSTITUTE(A838,"(","@",LEN(A838)-LEN(SUBSTITUTE(A838,"(",""))))+1,FIND(")",A838,FIND("@",SUBSTITUTE(A838,"(","@",LEN(A838)-LEN(SUBSTITUTE(A838,"(","")))))-FIND("@",SUBSTITUTE(A838,"(","@",LEN(A838)-LEN(SUBSTITUTE(A838,"(",""))))-1)),"")</f>
        <v/>
      </c>
      <c r="N838" s="254">
        <f>IF(A838="","",IF(LEFT(TRIM(A838),5)="Leave","Leave",IF(OR(ISNUMBER(SEARCH("public holiday",A838)),ISNUMBER(SEARCH("Purple",E838))),"Public holiday","Event")))</f>
        <v/>
      </c>
    </row>
    <row r="839">
      <c r="G839" s="254">
        <f>IF(C839="","",IF(ISNUMBER(C839),C839,IF(ISNUMBER(VALUE(LEFT(TRIM(C839),1))),TRIM(C839),TRIM(MID(TRIM(C839),FIND(" ",TRIM(C839))+1,99)))))</f>
        <v/>
      </c>
      <c r="H839" s="254">
        <f>IF(D839="","",IF(ISNUMBER(D839),D839,IF(ISNUMBER(VALUE(LEFT(TRIM(D839),1))),TRIM(D839),TRIM(MID(TRIM(D839),FIND(" ",TRIM(D839))+1,99)))))</f>
        <v/>
      </c>
      <c r="I839" s="255">
        <f>IF(G839="",0,IF(ISNUMBER(G839),G839,IFERROR(DATE(VALUE(MID(G839,FIND("/",G839,FIND("/",G839)+1)+1,4)),VALUE(MID(G839,FIND("/",G839)+1,FIND("/",G839,FIND("/",G839)+1)-FIND("/",G839)-1)),VALUE(LEFT(G839,FIND("/",G839)-1)))+IFERROR(TIMEVALUE(TRIM(MID(G839,FIND(" ",G839)+1,20))),0),0)))</f>
        <v/>
      </c>
      <c r="J839" s="255">
        <f>IF(H839="",0,IF(ISNUMBER(H839),H839,IFERROR(DATE(VALUE(MID(H839,FIND("/",H839,FIND("/",H839)+1)+1,4)),VALUE(MID(H839,FIND("/",H839)+1,FIND("/",H839,FIND("/",H839)+1)-FIND("/",H839)-1)),VALUE(LEFT(H839,FIND("/",H839)-1)))+IFERROR(TIMEVALUE(TRIM(MID(H839,FIND(" ",H839)+1,20))),0),0)))</f>
        <v/>
      </c>
      <c r="K839" s="256">
        <f>IF(I839=0,0,INT(I839))</f>
        <v/>
      </c>
      <c r="L839" s="257">
        <f>IF(OR(I839=0,J839=0),0,ROUND((J839-I839)*24,2))</f>
        <v/>
      </c>
      <c r="M839" s="254">
        <f>IFERROR(TRIM(MID(A839,FIND("@",SUBSTITUTE(A839,"(","@",LEN(A839)-LEN(SUBSTITUTE(A839,"(",""))))+1,FIND(")",A839,FIND("@",SUBSTITUTE(A839,"(","@",LEN(A839)-LEN(SUBSTITUTE(A839,"(","")))))-FIND("@",SUBSTITUTE(A839,"(","@",LEN(A839)-LEN(SUBSTITUTE(A839,"(",""))))-1)),"")</f>
        <v/>
      </c>
      <c r="N839" s="254">
        <f>IF(A839="","",IF(LEFT(TRIM(A839),5)="Leave","Leave",IF(OR(ISNUMBER(SEARCH("public holiday",A839)),ISNUMBER(SEARCH("Purple",E839))),"Public holiday","Event")))</f>
        <v/>
      </c>
    </row>
    <row r="840">
      <c r="G840" s="254">
        <f>IF(C840="","",IF(ISNUMBER(C840),C840,IF(ISNUMBER(VALUE(LEFT(TRIM(C840),1))),TRIM(C840),TRIM(MID(TRIM(C840),FIND(" ",TRIM(C840))+1,99)))))</f>
        <v/>
      </c>
      <c r="H840" s="254">
        <f>IF(D840="","",IF(ISNUMBER(D840),D840,IF(ISNUMBER(VALUE(LEFT(TRIM(D840),1))),TRIM(D840),TRIM(MID(TRIM(D840),FIND(" ",TRIM(D840))+1,99)))))</f>
        <v/>
      </c>
      <c r="I840" s="255">
        <f>IF(G840="",0,IF(ISNUMBER(G840),G840,IFERROR(DATE(VALUE(MID(G840,FIND("/",G840,FIND("/",G840)+1)+1,4)),VALUE(MID(G840,FIND("/",G840)+1,FIND("/",G840,FIND("/",G840)+1)-FIND("/",G840)-1)),VALUE(LEFT(G840,FIND("/",G840)-1)))+IFERROR(TIMEVALUE(TRIM(MID(G840,FIND(" ",G840)+1,20))),0),0)))</f>
        <v/>
      </c>
      <c r="J840" s="255">
        <f>IF(H840="",0,IF(ISNUMBER(H840),H840,IFERROR(DATE(VALUE(MID(H840,FIND("/",H840,FIND("/",H840)+1)+1,4)),VALUE(MID(H840,FIND("/",H840)+1,FIND("/",H840,FIND("/",H840)+1)-FIND("/",H840)-1)),VALUE(LEFT(H840,FIND("/",H840)-1)))+IFERROR(TIMEVALUE(TRIM(MID(H840,FIND(" ",H840)+1,20))),0),0)))</f>
        <v/>
      </c>
      <c r="K840" s="256">
        <f>IF(I840=0,0,INT(I840))</f>
        <v/>
      </c>
      <c r="L840" s="257">
        <f>IF(OR(I840=0,J840=0),0,ROUND((J840-I840)*24,2))</f>
        <v/>
      </c>
      <c r="M840" s="254">
        <f>IFERROR(TRIM(MID(A840,FIND("@",SUBSTITUTE(A840,"(","@",LEN(A840)-LEN(SUBSTITUTE(A840,"(",""))))+1,FIND(")",A840,FIND("@",SUBSTITUTE(A840,"(","@",LEN(A840)-LEN(SUBSTITUTE(A840,"(","")))))-FIND("@",SUBSTITUTE(A840,"(","@",LEN(A840)-LEN(SUBSTITUTE(A840,"(",""))))-1)),"")</f>
        <v/>
      </c>
      <c r="N840" s="254">
        <f>IF(A840="","",IF(LEFT(TRIM(A840),5)="Leave","Leave",IF(OR(ISNUMBER(SEARCH("public holiday",A840)),ISNUMBER(SEARCH("Purple",E840))),"Public holiday","Event")))</f>
        <v/>
      </c>
    </row>
    <row r="841">
      <c r="G841" s="254">
        <f>IF(C841="","",IF(ISNUMBER(C841),C841,IF(ISNUMBER(VALUE(LEFT(TRIM(C841),1))),TRIM(C841),TRIM(MID(TRIM(C841),FIND(" ",TRIM(C841))+1,99)))))</f>
        <v/>
      </c>
      <c r="H841" s="254">
        <f>IF(D841="","",IF(ISNUMBER(D841),D841,IF(ISNUMBER(VALUE(LEFT(TRIM(D841),1))),TRIM(D841),TRIM(MID(TRIM(D841),FIND(" ",TRIM(D841))+1,99)))))</f>
        <v/>
      </c>
      <c r="I841" s="255">
        <f>IF(G841="",0,IF(ISNUMBER(G841),G841,IFERROR(DATE(VALUE(MID(G841,FIND("/",G841,FIND("/",G841)+1)+1,4)),VALUE(MID(G841,FIND("/",G841)+1,FIND("/",G841,FIND("/",G841)+1)-FIND("/",G841)-1)),VALUE(LEFT(G841,FIND("/",G841)-1)))+IFERROR(TIMEVALUE(TRIM(MID(G841,FIND(" ",G841)+1,20))),0),0)))</f>
        <v/>
      </c>
      <c r="J841" s="255">
        <f>IF(H841="",0,IF(ISNUMBER(H841),H841,IFERROR(DATE(VALUE(MID(H841,FIND("/",H841,FIND("/",H841)+1)+1,4)),VALUE(MID(H841,FIND("/",H841)+1,FIND("/",H841,FIND("/",H841)+1)-FIND("/",H841)-1)),VALUE(LEFT(H841,FIND("/",H841)-1)))+IFERROR(TIMEVALUE(TRIM(MID(H841,FIND(" ",H841)+1,20))),0),0)))</f>
        <v/>
      </c>
      <c r="K841" s="256">
        <f>IF(I841=0,0,INT(I841))</f>
        <v/>
      </c>
      <c r="L841" s="257">
        <f>IF(OR(I841=0,J841=0),0,ROUND((J841-I841)*24,2))</f>
        <v/>
      </c>
      <c r="M841" s="254">
        <f>IFERROR(TRIM(MID(A841,FIND("@",SUBSTITUTE(A841,"(","@",LEN(A841)-LEN(SUBSTITUTE(A841,"(",""))))+1,FIND(")",A841,FIND("@",SUBSTITUTE(A841,"(","@",LEN(A841)-LEN(SUBSTITUTE(A841,"(","")))))-FIND("@",SUBSTITUTE(A841,"(","@",LEN(A841)-LEN(SUBSTITUTE(A841,"(",""))))-1)),"")</f>
        <v/>
      </c>
      <c r="N841" s="254">
        <f>IF(A841="","",IF(LEFT(TRIM(A841),5)="Leave","Leave",IF(OR(ISNUMBER(SEARCH("public holiday",A841)),ISNUMBER(SEARCH("Purple",E841))),"Public holiday","Event")))</f>
        <v/>
      </c>
    </row>
    <row r="842">
      <c r="G842" s="254">
        <f>IF(C842="","",IF(ISNUMBER(C842),C842,IF(ISNUMBER(VALUE(LEFT(TRIM(C842),1))),TRIM(C842),TRIM(MID(TRIM(C842),FIND(" ",TRIM(C842))+1,99)))))</f>
        <v/>
      </c>
      <c r="H842" s="254">
        <f>IF(D842="","",IF(ISNUMBER(D842),D842,IF(ISNUMBER(VALUE(LEFT(TRIM(D842),1))),TRIM(D842),TRIM(MID(TRIM(D842),FIND(" ",TRIM(D842))+1,99)))))</f>
        <v/>
      </c>
      <c r="I842" s="255">
        <f>IF(G842="",0,IF(ISNUMBER(G842),G842,IFERROR(DATE(VALUE(MID(G842,FIND("/",G842,FIND("/",G842)+1)+1,4)),VALUE(MID(G842,FIND("/",G842)+1,FIND("/",G842,FIND("/",G842)+1)-FIND("/",G842)-1)),VALUE(LEFT(G842,FIND("/",G842)-1)))+IFERROR(TIMEVALUE(TRIM(MID(G842,FIND(" ",G842)+1,20))),0),0)))</f>
        <v/>
      </c>
      <c r="J842" s="255">
        <f>IF(H842="",0,IF(ISNUMBER(H842),H842,IFERROR(DATE(VALUE(MID(H842,FIND("/",H842,FIND("/",H842)+1)+1,4)),VALUE(MID(H842,FIND("/",H842)+1,FIND("/",H842,FIND("/",H842)+1)-FIND("/",H842)-1)),VALUE(LEFT(H842,FIND("/",H842)-1)))+IFERROR(TIMEVALUE(TRIM(MID(H842,FIND(" ",H842)+1,20))),0),0)))</f>
        <v/>
      </c>
      <c r="K842" s="256">
        <f>IF(I842=0,0,INT(I842))</f>
        <v/>
      </c>
      <c r="L842" s="257">
        <f>IF(OR(I842=0,J842=0),0,ROUND((J842-I842)*24,2))</f>
        <v/>
      </c>
      <c r="M842" s="254">
        <f>IFERROR(TRIM(MID(A842,FIND("@",SUBSTITUTE(A842,"(","@",LEN(A842)-LEN(SUBSTITUTE(A842,"(",""))))+1,FIND(")",A842,FIND("@",SUBSTITUTE(A842,"(","@",LEN(A842)-LEN(SUBSTITUTE(A842,"(","")))))-FIND("@",SUBSTITUTE(A842,"(","@",LEN(A842)-LEN(SUBSTITUTE(A842,"(",""))))-1)),"")</f>
        <v/>
      </c>
      <c r="N842" s="254">
        <f>IF(A842="","",IF(LEFT(TRIM(A842),5)="Leave","Leave",IF(OR(ISNUMBER(SEARCH("public holiday",A842)),ISNUMBER(SEARCH("Purple",E842))),"Public holiday","Event")))</f>
        <v/>
      </c>
    </row>
    <row r="843">
      <c r="G843" s="254">
        <f>IF(C843="","",IF(ISNUMBER(C843),C843,IF(ISNUMBER(VALUE(LEFT(TRIM(C843),1))),TRIM(C843),TRIM(MID(TRIM(C843),FIND(" ",TRIM(C843))+1,99)))))</f>
        <v/>
      </c>
      <c r="H843" s="254">
        <f>IF(D843="","",IF(ISNUMBER(D843),D843,IF(ISNUMBER(VALUE(LEFT(TRIM(D843),1))),TRIM(D843),TRIM(MID(TRIM(D843),FIND(" ",TRIM(D843))+1,99)))))</f>
        <v/>
      </c>
      <c r="I843" s="255">
        <f>IF(G843="",0,IF(ISNUMBER(G843),G843,IFERROR(DATE(VALUE(MID(G843,FIND("/",G843,FIND("/",G843)+1)+1,4)),VALUE(MID(G843,FIND("/",G843)+1,FIND("/",G843,FIND("/",G843)+1)-FIND("/",G843)-1)),VALUE(LEFT(G843,FIND("/",G843)-1)))+IFERROR(TIMEVALUE(TRIM(MID(G843,FIND(" ",G843)+1,20))),0),0)))</f>
        <v/>
      </c>
      <c r="J843" s="255">
        <f>IF(H843="",0,IF(ISNUMBER(H843),H843,IFERROR(DATE(VALUE(MID(H843,FIND("/",H843,FIND("/",H843)+1)+1,4)),VALUE(MID(H843,FIND("/",H843)+1,FIND("/",H843,FIND("/",H843)+1)-FIND("/",H843)-1)),VALUE(LEFT(H843,FIND("/",H843)-1)))+IFERROR(TIMEVALUE(TRIM(MID(H843,FIND(" ",H843)+1,20))),0),0)))</f>
        <v/>
      </c>
      <c r="K843" s="256">
        <f>IF(I843=0,0,INT(I843))</f>
        <v/>
      </c>
      <c r="L843" s="257">
        <f>IF(OR(I843=0,J843=0),0,ROUND((J843-I843)*24,2))</f>
        <v/>
      </c>
      <c r="M843" s="254">
        <f>IFERROR(TRIM(MID(A843,FIND("@",SUBSTITUTE(A843,"(","@",LEN(A843)-LEN(SUBSTITUTE(A843,"(",""))))+1,FIND(")",A843,FIND("@",SUBSTITUTE(A843,"(","@",LEN(A843)-LEN(SUBSTITUTE(A843,"(","")))))-FIND("@",SUBSTITUTE(A843,"(","@",LEN(A843)-LEN(SUBSTITUTE(A843,"(",""))))-1)),"")</f>
        <v/>
      </c>
      <c r="N843" s="254">
        <f>IF(A843="","",IF(LEFT(TRIM(A843),5)="Leave","Leave",IF(OR(ISNUMBER(SEARCH("public holiday",A843)),ISNUMBER(SEARCH("Purple",E843))),"Public holiday","Event")))</f>
        <v/>
      </c>
    </row>
    <row r="844">
      <c r="G844" s="254">
        <f>IF(C844="","",IF(ISNUMBER(C844),C844,IF(ISNUMBER(VALUE(LEFT(TRIM(C844),1))),TRIM(C844),TRIM(MID(TRIM(C844),FIND(" ",TRIM(C844))+1,99)))))</f>
        <v/>
      </c>
      <c r="H844" s="254">
        <f>IF(D844="","",IF(ISNUMBER(D844),D844,IF(ISNUMBER(VALUE(LEFT(TRIM(D844),1))),TRIM(D844),TRIM(MID(TRIM(D844),FIND(" ",TRIM(D844))+1,99)))))</f>
        <v/>
      </c>
      <c r="I844" s="255">
        <f>IF(G844="",0,IF(ISNUMBER(G844),G844,IFERROR(DATE(VALUE(MID(G844,FIND("/",G844,FIND("/",G844)+1)+1,4)),VALUE(MID(G844,FIND("/",G844)+1,FIND("/",G844,FIND("/",G844)+1)-FIND("/",G844)-1)),VALUE(LEFT(G844,FIND("/",G844)-1)))+IFERROR(TIMEVALUE(TRIM(MID(G844,FIND(" ",G844)+1,20))),0),0)))</f>
        <v/>
      </c>
      <c r="J844" s="255">
        <f>IF(H844="",0,IF(ISNUMBER(H844),H844,IFERROR(DATE(VALUE(MID(H844,FIND("/",H844,FIND("/",H844)+1)+1,4)),VALUE(MID(H844,FIND("/",H844)+1,FIND("/",H844,FIND("/",H844)+1)-FIND("/",H844)-1)),VALUE(LEFT(H844,FIND("/",H844)-1)))+IFERROR(TIMEVALUE(TRIM(MID(H844,FIND(" ",H844)+1,20))),0),0)))</f>
        <v/>
      </c>
      <c r="K844" s="256">
        <f>IF(I844=0,0,INT(I844))</f>
        <v/>
      </c>
      <c r="L844" s="257">
        <f>IF(OR(I844=0,J844=0),0,ROUND((J844-I844)*24,2))</f>
        <v/>
      </c>
      <c r="M844" s="254">
        <f>IFERROR(TRIM(MID(A844,FIND("@",SUBSTITUTE(A844,"(","@",LEN(A844)-LEN(SUBSTITUTE(A844,"(",""))))+1,FIND(")",A844,FIND("@",SUBSTITUTE(A844,"(","@",LEN(A844)-LEN(SUBSTITUTE(A844,"(","")))))-FIND("@",SUBSTITUTE(A844,"(","@",LEN(A844)-LEN(SUBSTITUTE(A844,"(",""))))-1)),"")</f>
        <v/>
      </c>
      <c r="N844" s="254">
        <f>IF(A844="","",IF(LEFT(TRIM(A844),5)="Leave","Leave",IF(OR(ISNUMBER(SEARCH("public holiday",A844)),ISNUMBER(SEARCH("Purple",E844))),"Public holiday","Event")))</f>
        <v/>
      </c>
    </row>
    <row r="845">
      <c r="G845" s="254">
        <f>IF(C845="","",IF(ISNUMBER(C845),C845,IF(ISNUMBER(VALUE(LEFT(TRIM(C845),1))),TRIM(C845),TRIM(MID(TRIM(C845),FIND(" ",TRIM(C845))+1,99)))))</f>
        <v/>
      </c>
      <c r="H845" s="254">
        <f>IF(D845="","",IF(ISNUMBER(D845),D845,IF(ISNUMBER(VALUE(LEFT(TRIM(D845),1))),TRIM(D845),TRIM(MID(TRIM(D845),FIND(" ",TRIM(D845))+1,99)))))</f>
        <v/>
      </c>
      <c r="I845" s="255">
        <f>IF(G845="",0,IF(ISNUMBER(G845),G845,IFERROR(DATE(VALUE(MID(G845,FIND("/",G845,FIND("/",G845)+1)+1,4)),VALUE(MID(G845,FIND("/",G845)+1,FIND("/",G845,FIND("/",G845)+1)-FIND("/",G845)-1)),VALUE(LEFT(G845,FIND("/",G845)-1)))+IFERROR(TIMEVALUE(TRIM(MID(G845,FIND(" ",G845)+1,20))),0),0)))</f>
        <v/>
      </c>
      <c r="J845" s="255">
        <f>IF(H845="",0,IF(ISNUMBER(H845),H845,IFERROR(DATE(VALUE(MID(H845,FIND("/",H845,FIND("/",H845)+1)+1,4)),VALUE(MID(H845,FIND("/",H845)+1,FIND("/",H845,FIND("/",H845)+1)-FIND("/",H845)-1)),VALUE(LEFT(H845,FIND("/",H845)-1)))+IFERROR(TIMEVALUE(TRIM(MID(H845,FIND(" ",H845)+1,20))),0),0)))</f>
        <v/>
      </c>
      <c r="K845" s="256">
        <f>IF(I845=0,0,INT(I845))</f>
        <v/>
      </c>
      <c r="L845" s="257">
        <f>IF(OR(I845=0,J845=0),0,ROUND((J845-I845)*24,2))</f>
        <v/>
      </c>
      <c r="M845" s="254">
        <f>IFERROR(TRIM(MID(A845,FIND("@",SUBSTITUTE(A845,"(","@",LEN(A845)-LEN(SUBSTITUTE(A845,"(",""))))+1,FIND(")",A845,FIND("@",SUBSTITUTE(A845,"(","@",LEN(A845)-LEN(SUBSTITUTE(A845,"(","")))))-FIND("@",SUBSTITUTE(A845,"(","@",LEN(A845)-LEN(SUBSTITUTE(A845,"(",""))))-1)),"")</f>
        <v/>
      </c>
      <c r="N845" s="254">
        <f>IF(A845="","",IF(LEFT(TRIM(A845),5)="Leave","Leave",IF(OR(ISNUMBER(SEARCH("public holiday",A845)),ISNUMBER(SEARCH("Purple",E845))),"Public holiday","Event")))</f>
        <v/>
      </c>
    </row>
    <row r="846">
      <c r="G846" s="254">
        <f>IF(C846="","",IF(ISNUMBER(C846),C846,IF(ISNUMBER(VALUE(LEFT(TRIM(C846),1))),TRIM(C846),TRIM(MID(TRIM(C846),FIND(" ",TRIM(C846))+1,99)))))</f>
        <v/>
      </c>
      <c r="H846" s="254">
        <f>IF(D846="","",IF(ISNUMBER(D846),D846,IF(ISNUMBER(VALUE(LEFT(TRIM(D846),1))),TRIM(D846),TRIM(MID(TRIM(D846),FIND(" ",TRIM(D846))+1,99)))))</f>
        <v/>
      </c>
      <c r="I846" s="255">
        <f>IF(G846="",0,IF(ISNUMBER(G846),G846,IFERROR(DATE(VALUE(MID(G846,FIND("/",G846,FIND("/",G846)+1)+1,4)),VALUE(MID(G846,FIND("/",G846)+1,FIND("/",G846,FIND("/",G846)+1)-FIND("/",G846)-1)),VALUE(LEFT(G846,FIND("/",G846)-1)))+IFERROR(TIMEVALUE(TRIM(MID(G846,FIND(" ",G846)+1,20))),0),0)))</f>
        <v/>
      </c>
      <c r="J846" s="255">
        <f>IF(H846="",0,IF(ISNUMBER(H846),H846,IFERROR(DATE(VALUE(MID(H846,FIND("/",H846,FIND("/",H846)+1)+1,4)),VALUE(MID(H846,FIND("/",H846)+1,FIND("/",H846,FIND("/",H846)+1)-FIND("/",H846)-1)),VALUE(LEFT(H846,FIND("/",H846)-1)))+IFERROR(TIMEVALUE(TRIM(MID(H846,FIND(" ",H846)+1,20))),0),0)))</f>
        <v/>
      </c>
      <c r="K846" s="256">
        <f>IF(I846=0,0,INT(I846))</f>
        <v/>
      </c>
      <c r="L846" s="257">
        <f>IF(OR(I846=0,J846=0),0,ROUND((J846-I846)*24,2))</f>
        <v/>
      </c>
      <c r="M846" s="254">
        <f>IFERROR(TRIM(MID(A846,FIND("@",SUBSTITUTE(A846,"(","@",LEN(A846)-LEN(SUBSTITUTE(A846,"(",""))))+1,FIND(")",A846,FIND("@",SUBSTITUTE(A846,"(","@",LEN(A846)-LEN(SUBSTITUTE(A846,"(","")))))-FIND("@",SUBSTITUTE(A846,"(","@",LEN(A846)-LEN(SUBSTITUTE(A846,"(",""))))-1)),"")</f>
        <v/>
      </c>
      <c r="N846" s="254">
        <f>IF(A846="","",IF(LEFT(TRIM(A846),5)="Leave","Leave",IF(OR(ISNUMBER(SEARCH("public holiday",A846)),ISNUMBER(SEARCH("Purple",E846))),"Public holiday","Event")))</f>
        <v/>
      </c>
    </row>
    <row r="847">
      <c r="G847" s="254">
        <f>IF(C847="","",IF(ISNUMBER(C847),C847,IF(ISNUMBER(VALUE(LEFT(TRIM(C847),1))),TRIM(C847),TRIM(MID(TRIM(C847),FIND(" ",TRIM(C847))+1,99)))))</f>
        <v/>
      </c>
      <c r="H847" s="254">
        <f>IF(D847="","",IF(ISNUMBER(D847),D847,IF(ISNUMBER(VALUE(LEFT(TRIM(D847),1))),TRIM(D847),TRIM(MID(TRIM(D847),FIND(" ",TRIM(D847))+1,99)))))</f>
        <v/>
      </c>
      <c r="I847" s="255">
        <f>IF(G847="",0,IF(ISNUMBER(G847),G847,IFERROR(DATE(VALUE(MID(G847,FIND("/",G847,FIND("/",G847)+1)+1,4)),VALUE(MID(G847,FIND("/",G847)+1,FIND("/",G847,FIND("/",G847)+1)-FIND("/",G847)-1)),VALUE(LEFT(G847,FIND("/",G847)-1)))+IFERROR(TIMEVALUE(TRIM(MID(G847,FIND(" ",G847)+1,20))),0),0)))</f>
        <v/>
      </c>
      <c r="J847" s="255">
        <f>IF(H847="",0,IF(ISNUMBER(H847),H847,IFERROR(DATE(VALUE(MID(H847,FIND("/",H847,FIND("/",H847)+1)+1,4)),VALUE(MID(H847,FIND("/",H847)+1,FIND("/",H847,FIND("/",H847)+1)-FIND("/",H847)-1)),VALUE(LEFT(H847,FIND("/",H847)-1)))+IFERROR(TIMEVALUE(TRIM(MID(H847,FIND(" ",H847)+1,20))),0),0)))</f>
        <v/>
      </c>
      <c r="K847" s="256">
        <f>IF(I847=0,0,INT(I847))</f>
        <v/>
      </c>
      <c r="L847" s="257">
        <f>IF(OR(I847=0,J847=0),0,ROUND((J847-I847)*24,2))</f>
        <v/>
      </c>
      <c r="M847" s="254">
        <f>IFERROR(TRIM(MID(A847,FIND("@",SUBSTITUTE(A847,"(","@",LEN(A847)-LEN(SUBSTITUTE(A847,"(",""))))+1,FIND(")",A847,FIND("@",SUBSTITUTE(A847,"(","@",LEN(A847)-LEN(SUBSTITUTE(A847,"(","")))))-FIND("@",SUBSTITUTE(A847,"(","@",LEN(A847)-LEN(SUBSTITUTE(A847,"(",""))))-1)),"")</f>
        <v/>
      </c>
      <c r="N847" s="254">
        <f>IF(A847="","",IF(LEFT(TRIM(A847),5)="Leave","Leave",IF(OR(ISNUMBER(SEARCH("public holiday",A847)),ISNUMBER(SEARCH("Purple",E847))),"Public holiday","Event")))</f>
        <v/>
      </c>
    </row>
    <row r="848">
      <c r="G848" s="254">
        <f>IF(C848="","",IF(ISNUMBER(C848),C848,IF(ISNUMBER(VALUE(LEFT(TRIM(C848),1))),TRIM(C848),TRIM(MID(TRIM(C848),FIND(" ",TRIM(C848))+1,99)))))</f>
        <v/>
      </c>
      <c r="H848" s="254">
        <f>IF(D848="","",IF(ISNUMBER(D848),D848,IF(ISNUMBER(VALUE(LEFT(TRIM(D848),1))),TRIM(D848),TRIM(MID(TRIM(D848),FIND(" ",TRIM(D848))+1,99)))))</f>
        <v/>
      </c>
      <c r="I848" s="255">
        <f>IF(G848="",0,IF(ISNUMBER(G848),G848,IFERROR(DATE(VALUE(MID(G848,FIND("/",G848,FIND("/",G848)+1)+1,4)),VALUE(MID(G848,FIND("/",G848)+1,FIND("/",G848,FIND("/",G848)+1)-FIND("/",G848)-1)),VALUE(LEFT(G848,FIND("/",G848)-1)))+IFERROR(TIMEVALUE(TRIM(MID(G848,FIND(" ",G848)+1,20))),0),0)))</f>
        <v/>
      </c>
      <c r="J848" s="255">
        <f>IF(H848="",0,IF(ISNUMBER(H848),H848,IFERROR(DATE(VALUE(MID(H848,FIND("/",H848,FIND("/",H848)+1)+1,4)),VALUE(MID(H848,FIND("/",H848)+1,FIND("/",H848,FIND("/",H848)+1)-FIND("/",H848)-1)),VALUE(LEFT(H848,FIND("/",H848)-1)))+IFERROR(TIMEVALUE(TRIM(MID(H848,FIND(" ",H848)+1,20))),0),0)))</f>
        <v/>
      </c>
      <c r="K848" s="256">
        <f>IF(I848=0,0,INT(I848))</f>
        <v/>
      </c>
      <c r="L848" s="257">
        <f>IF(OR(I848=0,J848=0),0,ROUND((J848-I848)*24,2))</f>
        <v/>
      </c>
      <c r="M848" s="254">
        <f>IFERROR(TRIM(MID(A848,FIND("@",SUBSTITUTE(A848,"(","@",LEN(A848)-LEN(SUBSTITUTE(A848,"(",""))))+1,FIND(")",A848,FIND("@",SUBSTITUTE(A848,"(","@",LEN(A848)-LEN(SUBSTITUTE(A848,"(","")))))-FIND("@",SUBSTITUTE(A848,"(","@",LEN(A848)-LEN(SUBSTITUTE(A848,"(",""))))-1)),"")</f>
        <v/>
      </c>
      <c r="N848" s="254">
        <f>IF(A848="","",IF(LEFT(TRIM(A848),5)="Leave","Leave",IF(OR(ISNUMBER(SEARCH("public holiday",A848)),ISNUMBER(SEARCH("Purple",E848))),"Public holiday","Event")))</f>
        <v/>
      </c>
    </row>
    <row r="849">
      <c r="G849" s="254">
        <f>IF(C849="","",IF(ISNUMBER(C849),C849,IF(ISNUMBER(VALUE(LEFT(TRIM(C849),1))),TRIM(C849),TRIM(MID(TRIM(C849),FIND(" ",TRIM(C849))+1,99)))))</f>
        <v/>
      </c>
      <c r="H849" s="254">
        <f>IF(D849="","",IF(ISNUMBER(D849),D849,IF(ISNUMBER(VALUE(LEFT(TRIM(D849),1))),TRIM(D849),TRIM(MID(TRIM(D849),FIND(" ",TRIM(D849))+1,99)))))</f>
        <v/>
      </c>
      <c r="I849" s="255">
        <f>IF(G849="",0,IF(ISNUMBER(G849),G849,IFERROR(DATE(VALUE(MID(G849,FIND("/",G849,FIND("/",G849)+1)+1,4)),VALUE(MID(G849,FIND("/",G849)+1,FIND("/",G849,FIND("/",G849)+1)-FIND("/",G849)-1)),VALUE(LEFT(G849,FIND("/",G849)-1)))+IFERROR(TIMEVALUE(TRIM(MID(G849,FIND(" ",G849)+1,20))),0),0)))</f>
        <v/>
      </c>
      <c r="J849" s="255">
        <f>IF(H849="",0,IF(ISNUMBER(H849),H849,IFERROR(DATE(VALUE(MID(H849,FIND("/",H849,FIND("/",H849)+1)+1,4)),VALUE(MID(H849,FIND("/",H849)+1,FIND("/",H849,FIND("/",H849)+1)-FIND("/",H849)-1)),VALUE(LEFT(H849,FIND("/",H849)-1)))+IFERROR(TIMEVALUE(TRIM(MID(H849,FIND(" ",H849)+1,20))),0),0)))</f>
        <v/>
      </c>
      <c r="K849" s="256">
        <f>IF(I849=0,0,INT(I849))</f>
        <v/>
      </c>
      <c r="L849" s="257">
        <f>IF(OR(I849=0,J849=0),0,ROUND((J849-I849)*24,2))</f>
        <v/>
      </c>
      <c r="M849" s="254">
        <f>IFERROR(TRIM(MID(A849,FIND("@",SUBSTITUTE(A849,"(","@",LEN(A849)-LEN(SUBSTITUTE(A849,"(",""))))+1,FIND(")",A849,FIND("@",SUBSTITUTE(A849,"(","@",LEN(A849)-LEN(SUBSTITUTE(A849,"(","")))))-FIND("@",SUBSTITUTE(A849,"(","@",LEN(A849)-LEN(SUBSTITUTE(A849,"(",""))))-1)),"")</f>
        <v/>
      </c>
      <c r="N849" s="254">
        <f>IF(A849="","",IF(LEFT(TRIM(A849),5)="Leave","Leave",IF(OR(ISNUMBER(SEARCH("public holiday",A849)),ISNUMBER(SEARCH("Purple",E849))),"Public holiday","Event")))</f>
        <v/>
      </c>
    </row>
    <row r="850">
      <c r="G850" s="254">
        <f>IF(C850="","",IF(ISNUMBER(C850),C850,IF(ISNUMBER(VALUE(LEFT(TRIM(C850),1))),TRIM(C850),TRIM(MID(TRIM(C850),FIND(" ",TRIM(C850))+1,99)))))</f>
        <v/>
      </c>
      <c r="H850" s="254">
        <f>IF(D850="","",IF(ISNUMBER(D850),D850,IF(ISNUMBER(VALUE(LEFT(TRIM(D850),1))),TRIM(D850),TRIM(MID(TRIM(D850),FIND(" ",TRIM(D850))+1,99)))))</f>
        <v/>
      </c>
      <c r="I850" s="255">
        <f>IF(G850="",0,IF(ISNUMBER(G850),G850,IFERROR(DATE(VALUE(MID(G850,FIND("/",G850,FIND("/",G850)+1)+1,4)),VALUE(MID(G850,FIND("/",G850)+1,FIND("/",G850,FIND("/",G850)+1)-FIND("/",G850)-1)),VALUE(LEFT(G850,FIND("/",G850)-1)))+IFERROR(TIMEVALUE(TRIM(MID(G850,FIND(" ",G850)+1,20))),0),0)))</f>
        <v/>
      </c>
      <c r="J850" s="255">
        <f>IF(H850="",0,IF(ISNUMBER(H850),H850,IFERROR(DATE(VALUE(MID(H850,FIND("/",H850,FIND("/",H850)+1)+1,4)),VALUE(MID(H850,FIND("/",H850)+1,FIND("/",H850,FIND("/",H850)+1)-FIND("/",H850)-1)),VALUE(LEFT(H850,FIND("/",H850)-1)))+IFERROR(TIMEVALUE(TRIM(MID(H850,FIND(" ",H850)+1,20))),0),0)))</f>
        <v/>
      </c>
      <c r="K850" s="256">
        <f>IF(I850=0,0,INT(I850))</f>
        <v/>
      </c>
      <c r="L850" s="257">
        <f>IF(OR(I850=0,J850=0),0,ROUND((J850-I850)*24,2))</f>
        <v/>
      </c>
      <c r="M850" s="254">
        <f>IFERROR(TRIM(MID(A850,FIND("@",SUBSTITUTE(A850,"(","@",LEN(A850)-LEN(SUBSTITUTE(A850,"(",""))))+1,FIND(")",A850,FIND("@",SUBSTITUTE(A850,"(","@",LEN(A850)-LEN(SUBSTITUTE(A850,"(","")))))-FIND("@",SUBSTITUTE(A850,"(","@",LEN(A850)-LEN(SUBSTITUTE(A850,"(",""))))-1)),"")</f>
        <v/>
      </c>
      <c r="N850" s="254">
        <f>IF(A850="","",IF(LEFT(TRIM(A850),5)="Leave","Leave",IF(OR(ISNUMBER(SEARCH("public holiday",A850)),ISNUMBER(SEARCH("Purple",E850))),"Public holiday","Event")))</f>
        <v/>
      </c>
    </row>
    <row r="851">
      <c r="G851" s="254">
        <f>IF(C851="","",IF(ISNUMBER(C851),C851,IF(ISNUMBER(VALUE(LEFT(TRIM(C851),1))),TRIM(C851),TRIM(MID(TRIM(C851),FIND(" ",TRIM(C851))+1,99)))))</f>
        <v/>
      </c>
      <c r="H851" s="254">
        <f>IF(D851="","",IF(ISNUMBER(D851),D851,IF(ISNUMBER(VALUE(LEFT(TRIM(D851),1))),TRIM(D851),TRIM(MID(TRIM(D851),FIND(" ",TRIM(D851))+1,99)))))</f>
        <v/>
      </c>
      <c r="I851" s="255">
        <f>IF(G851="",0,IF(ISNUMBER(G851),G851,IFERROR(DATE(VALUE(MID(G851,FIND("/",G851,FIND("/",G851)+1)+1,4)),VALUE(MID(G851,FIND("/",G851)+1,FIND("/",G851,FIND("/",G851)+1)-FIND("/",G851)-1)),VALUE(LEFT(G851,FIND("/",G851)-1)))+IFERROR(TIMEVALUE(TRIM(MID(G851,FIND(" ",G851)+1,20))),0),0)))</f>
        <v/>
      </c>
      <c r="J851" s="255">
        <f>IF(H851="",0,IF(ISNUMBER(H851),H851,IFERROR(DATE(VALUE(MID(H851,FIND("/",H851,FIND("/",H851)+1)+1,4)),VALUE(MID(H851,FIND("/",H851)+1,FIND("/",H851,FIND("/",H851)+1)-FIND("/",H851)-1)),VALUE(LEFT(H851,FIND("/",H851)-1)))+IFERROR(TIMEVALUE(TRIM(MID(H851,FIND(" ",H851)+1,20))),0),0)))</f>
        <v/>
      </c>
      <c r="K851" s="256">
        <f>IF(I851=0,0,INT(I851))</f>
        <v/>
      </c>
      <c r="L851" s="257">
        <f>IF(OR(I851=0,J851=0),0,ROUND((J851-I851)*24,2))</f>
        <v/>
      </c>
      <c r="M851" s="254">
        <f>IFERROR(TRIM(MID(A851,FIND("@",SUBSTITUTE(A851,"(","@",LEN(A851)-LEN(SUBSTITUTE(A851,"(",""))))+1,FIND(")",A851,FIND("@",SUBSTITUTE(A851,"(","@",LEN(A851)-LEN(SUBSTITUTE(A851,"(","")))))-FIND("@",SUBSTITUTE(A851,"(","@",LEN(A851)-LEN(SUBSTITUTE(A851,"(",""))))-1)),"")</f>
        <v/>
      </c>
      <c r="N851" s="254">
        <f>IF(A851="","",IF(LEFT(TRIM(A851),5)="Leave","Leave",IF(OR(ISNUMBER(SEARCH("public holiday",A851)),ISNUMBER(SEARCH("Purple",E851))),"Public holiday","Event")))</f>
        <v/>
      </c>
    </row>
    <row r="852">
      <c r="G852" s="254">
        <f>IF(C852="","",IF(ISNUMBER(C852),C852,IF(ISNUMBER(VALUE(LEFT(TRIM(C852),1))),TRIM(C852),TRIM(MID(TRIM(C852),FIND(" ",TRIM(C852))+1,99)))))</f>
        <v/>
      </c>
      <c r="H852" s="254">
        <f>IF(D852="","",IF(ISNUMBER(D852),D852,IF(ISNUMBER(VALUE(LEFT(TRIM(D852),1))),TRIM(D852),TRIM(MID(TRIM(D852),FIND(" ",TRIM(D852))+1,99)))))</f>
        <v/>
      </c>
      <c r="I852" s="255">
        <f>IF(G852="",0,IF(ISNUMBER(G852),G852,IFERROR(DATE(VALUE(MID(G852,FIND("/",G852,FIND("/",G852)+1)+1,4)),VALUE(MID(G852,FIND("/",G852)+1,FIND("/",G852,FIND("/",G852)+1)-FIND("/",G852)-1)),VALUE(LEFT(G852,FIND("/",G852)-1)))+IFERROR(TIMEVALUE(TRIM(MID(G852,FIND(" ",G852)+1,20))),0),0)))</f>
        <v/>
      </c>
      <c r="J852" s="255">
        <f>IF(H852="",0,IF(ISNUMBER(H852),H852,IFERROR(DATE(VALUE(MID(H852,FIND("/",H852,FIND("/",H852)+1)+1,4)),VALUE(MID(H852,FIND("/",H852)+1,FIND("/",H852,FIND("/",H852)+1)-FIND("/",H852)-1)),VALUE(LEFT(H852,FIND("/",H852)-1)))+IFERROR(TIMEVALUE(TRIM(MID(H852,FIND(" ",H852)+1,20))),0),0)))</f>
        <v/>
      </c>
      <c r="K852" s="256">
        <f>IF(I852=0,0,INT(I852))</f>
        <v/>
      </c>
      <c r="L852" s="257">
        <f>IF(OR(I852=0,J852=0),0,ROUND((J852-I852)*24,2))</f>
        <v/>
      </c>
      <c r="M852" s="254">
        <f>IFERROR(TRIM(MID(A852,FIND("@",SUBSTITUTE(A852,"(","@",LEN(A852)-LEN(SUBSTITUTE(A852,"(",""))))+1,FIND(")",A852,FIND("@",SUBSTITUTE(A852,"(","@",LEN(A852)-LEN(SUBSTITUTE(A852,"(","")))))-FIND("@",SUBSTITUTE(A852,"(","@",LEN(A852)-LEN(SUBSTITUTE(A852,"(",""))))-1)),"")</f>
        <v/>
      </c>
      <c r="N852" s="254">
        <f>IF(A852="","",IF(LEFT(TRIM(A852),5)="Leave","Leave",IF(OR(ISNUMBER(SEARCH("public holiday",A852)),ISNUMBER(SEARCH("Purple",E852))),"Public holiday","Event")))</f>
        <v/>
      </c>
    </row>
    <row r="853">
      <c r="G853" s="254">
        <f>IF(C853="","",IF(ISNUMBER(C853),C853,IF(ISNUMBER(VALUE(LEFT(TRIM(C853),1))),TRIM(C853),TRIM(MID(TRIM(C853),FIND(" ",TRIM(C853))+1,99)))))</f>
        <v/>
      </c>
      <c r="H853" s="254">
        <f>IF(D853="","",IF(ISNUMBER(D853),D853,IF(ISNUMBER(VALUE(LEFT(TRIM(D853),1))),TRIM(D853),TRIM(MID(TRIM(D853),FIND(" ",TRIM(D853))+1,99)))))</f>
        <v/>
      </c>
      <c r="I853" s="255">
        <f>IF(G853="",0,IF(ISNUMBER(G853),G853,IFERROR(DATE(VALUE(MID(G853,FIND("/",G853,FIND("/",G853)+1)+1,4)),VALUE(MID(G853,FIND("/",G853)+1,FIND("/",G853,FIND("/",G853)+1)-FIND("/",G853)-1)),VALUE(LEFT(G853,FIND("/",G853)-1)))+IFERROR(TIMEVALUE(TRIM(MID(G853,FIND(" ",G853)+1,20))),0),0)))</f>
        <v/>
      </c>
      <c r="J853" s="255">
        <f>IF(H853="",0,IF(ISNUMBER(H853),H853,IFERROR(DATE(VALUE(MID(H853,FIND("/",H853,FIND("/",H853)+1)+1,4)),VALUE(MID(H853,FIND("/",H853)+1,FIND("/",H853,FIND("/",H853)+1)-FIND("/",H853)-1)),VALUE(LEFT(H853,FIND("/",H853)-1)))+IFERROR(TIMEVALUE(TRIM(MID(H853,FIND(" ",H853)+1,20))),0),0)))</f>
        <v/>
      </c>
      <c r="K853" s="256">
        <f>IF(I853=0,0,INT(I853))</f>
        <v/>
      </c>
      <c r="L853" s="257">
        <f>IF(OR(I853=0,J853=0),0,ROUND((J853-I853)*24,2))</f>
        <v/>
      </c>
      <c r="M853" s="254">
        <f>IFERROR(TRIM(MID(A853,FIND("@",SUBSTITUTE(A853,"(","@",LEN(A853)-LEN(SUBSTITUTE(A853,"(",""))))+1,FIND(")",A853,FIND("@",SUBSTITUTE(A853,"(","@",LEN(A853)-LEN(SUBSTITUTE(A853,"(","")))))-FIND("@",SUBSTITUTE(A853,"(","@",LEN(A853)-LEN(SUBSTITUTE(A853,"(",""))))-1)),"")</f>
        <v/>
      </c>
      <c r="N853" s="254">
        <f>IF(A853="","",IF(LEFT(TRIM(A853),5)="Leave","Leave",IF(OR(ISNUMBER(SEARCH("public holiday",A853)),ISNUMBER(SEARCH("Purple",E853))),"Public holiday","Event")))</f>
        <v/>
      </c>
    </row>
    <row r="854">
      <c r="G854" s="254">
        <f>IF(C854="","",IF(ISNUMBER(C854),C854,IF(ISNUMBER(VALUE(LEFT(TRIM(C854),1))),TRIM(C854),TRIM(MID(TRIM(C854),FIND(" ",TRIM(C854))+1,99)))))</f>
        <v/>
      </c>
      <c r="H854" s="254">
        <f>IF(D854="","",IF(ISNUMBER(D854),D854,IF(ISNUMBER(VALUE(LEFT(TRIM(D854),1))),TRIM(D854),TRIM(MID(TRIM(D854),FIND(" ",TRIM(D854))+1,99)))))</f>
        <v/>
      </c>
      <c r="I854" s="255">
        <f>IF(G854="",0,IF(ISNUMBER(G854),G854,IFERROR(DATE(VALUE(MID(G854,FIND("/",G854,FIND("/",G854)+1)+1,4)),VALUE(MID(G854,FIND("/",G854)+1,FIND("/",G854,FIND("/",G854)+1)-FIND("/",G854)-1)),VALUE(LEFT(G854,FIND("/",G854)-1)))+IFERROR(TIMEVALUE(TRIM(MID(G854,FIND(" ",G854)+1,20))),0),0)))</f>
        <v/>
      </c>
      <c r="J854" s="255">
        <f>IF(H854="",0,IF(ISNUMBER(H854),H854,IFERROR(DATE(VALUE(MID(H854,FIND("/",H854,FIND("/",H854)+1)+1,4)),VALUE(MID(H854,FIND("/",H854)+1,FIND("/",H854,FIND("/",H854)+1)-FIND("/",H854)-1)),VALUE(LEFT(H854,FIND("/",H854)-1)))+IFERROR(TIMEVALUE(TRIM(MID(H854,FIND(" ",H854)+1,20))),0),0)))</f>
        <v/>
      </c>
      <c r="K854" s="256">
        <f>IF(I854=0,0,INT(I854))</f>
        <v/>
      </c>
      <c r="L854" s="257">
        <f>IF(OR(I854=0,J854=0),0,ROUND((J854-I854)*24,2))</f>
        <v/>
      </c>
      <c r="M854" s="254">
        <f>IFERROR(TRIM(MID(A854,FIND("@",SUBSTITUTE(A854,"(","@",LEN(A854)-LEN(SUBSTITUTE(A854,"(",""))))+1,FIND(")",A854,FIND("@",SUBSTITUTE(A854,"(","@",LEN(A854)-LEN(SUBSTITUTE(A854,"(","")))))-FIND("@",SUBSTITUTE(A854,"(","@",LEN(A854)-LEN(SUBSTITUTE(A854,"(",""))))-1)),"")</f>
        <v/>
      </c>
      <c r="N854" s="254">
        <f>IF(A854="","",IF(LEFT(TRIM(A854),5)="Leave","Leave",IF(OR(ISNUMBER(SEARCH("public holiday",A854)),ISNUMBER(SEARCH("Purple",E854))),"Public holiday","Event")))</f>
        <v/>
      </c>
    </row>
    <row r="855">
      <c r="G855" s="254">
        <f>IF(C855="","",IF(ISNUMBER(C855),C855,IF(ISNUMBER(VALUE(LEFT(TRIM(C855),1))),TRIM(C855),TRIM(MID(TRIM(C855),FIND(" ",TRIM(C855))+1,99)))))</f>
        <v/>
      </c>
      <c r="H855" s="254">
        <f>IF(D855="","",IF(ISNUMBER(D855),D855,IF(ISNUMBER(VALUE(LEFT(TRIM(D855),1))),TRIM(D855),TRIM(MID(TRIM(D855),FIND(" ",TRIM(D855))+1,99)))))</f>
        <v/>
      </c>
      <c r="I855" s="255">
        <f>IF(G855="",0,IF(ISNUMBER(G855),G855,IFERROR(DATE(VALUE(MID(G855,FIND("/",G855,FIND("/",G855)+1)+1,4)),VALUE(MID(G855,FIND("/",G855)+1,FIND("/",G855,FIND("/",G855)+1)-FIND("/",G855)-1)),VALUE(LEFT(G855,FIND("/",G855)-1)))+IFERROR(TIMEVALUE(TRIM(MID(G855,FIND(" ",G855)+1,20))),0),0)))</f>
        <v/>
      </c>
      <c r="J855" s="255">
        <f>IF(H855="",0,IF(ISNUMBER(H855),H855,IFERROR(DATE(VALUE(MID(H855,FIND("/",H855,FIND("/",H855)+1)+1,4)),VALUE(MID(H855,FIND("/",H855)+1,FIND("/",H855,FIND("/",H855)+1)-FIND("/",H855)-1)),VALUE(LEFT(H855,FIND("/",H855)-1)))+IFERROR(TIMEVALUE(TRIM(MID(H855,FIND(" ",H855)+1,20))),0),0)))</f>
        <v/>
      </c>
      <c r="K855" s="256">
        <f>IF(I855=0,0,INT(I855))</f>
        <v/>
      </c>
      <c r="L855" s="257">
        <f>IF(OR(I855=0,J855=0),0,ROUND((J855-I855)*24,2))</f>
        <v/>
      </c>
      <c r="M855" s="254">
        <f>IFERROR(TRIM(MID(A855,FIND("@",SUBSTITUTE(A855,"(","@",LEN(A855)-LEN(SUBSTITUTE(A855,"(",""))))+1,FIND(")",A855,FIND("@",SUBSTITUTE(A855,"(","@",LEN(A855)-LEN(SUBSTITUTE(A855,"(","")))))-FIND("@",SUBSTITUTE(A855,"(","@",LEN(A855)-LEN(SUBSTITUTE(A855,"(",""))))-1)),"")</f>
        <v/>
      </c>
      <c r="N855" s="254">
        <f>IF(A855="","",IF(LEFT(TRIM(A855),5)="Leave","Leave",IF(OR(ISNUMBER(SEARCH("public holiday",A855)),ISNUMBER(SEARCH("Purple",E855))),"Public holiday","Event")))</f>
        <v/>
      </c>
    </row>
    <row r="856">
      <c r="G856" s="254">
        <f>IF(C856="","",IF(ISNUMBER(C856),C856,IF(ISNUMBER(VALUE(LEFT(TRIM(C856),1))),TRIM(C856),TRIM(MID(TRIM(C856),FIND(" ",TRIM(C856))+1,99)))))</f>
        <v/>
      </c>
      <c r="H856" s="254">
        <f>IF(D856="","",IF(ISNUMBER(D856),D856,IF(ISNUMBER(VALUE(LEFT(TRIM(D856),1))),TRIM(D856),TRIM(MID(TRIM(D856),FIND(" ",TRIM(D856))+1,99)))))</f>
        <v/>
      </c>
      <c r="I856" s="255">
        <f>IF(G856="",0,IF(ISNUMBER(G856),G856,IFERROR(DATE(VALUE(MID(G856,FIND("/",G856,FIND("/",G856)+1)+1,4)),VALUE(MID(G856,FIND("/",G856)+1,FIND("/",G856,FIND("/",G856)+1)-FIND("/",G856)-1)),VALUE(LEFT(G856,FIND("/",G856)-1)))+IFERROR(TIMEVALUE(TRIM(MID(G856,FIND(" ",G856)+1,20))),0),0)))</f>
        <v/>
      </c>
      <c r="J856" s="255">
        <f>IF(H856="",0,IF(ISNUMBER(H856),H856,IFERROR(DATE(VALUE(MID(H856,FIND("/",H856,FIND("/",H856)+1)+1,4)),VALUE(MID(H856,FIND("/",H856)+1,FIND("/",H856,FIND("/",H856)+1)-FIND("/",H856)-1)),VALUE(LEFT(H856,FIND("/",H856)-1)))+IFERROR(TIMEVALUE(TRIM(MID(H856,FIND(" ",H856)+1,20))),0),0)))</f>
        <v/>
      </c>
      <c r="K856" s="256">
        <f>IF(I856=0,0,INT(I856))</f>
        <v/>
      </c>
      <c r="L856" s="257">
        <f>IF(OR(I856=0,J856=0),0,ROUND((J856-I856)*24,2))</f>
        <v/>
      </c>
      <c r="M856" s="254">
        <f>IFERROR(TRIM(MID(A856,FIND("@",SUBSTITUTE(A856,"(","@",LEN(A856)-LEN(SUBSTITUTE(A856,"(",""))))+1,FIND(")",A856,FIND("@",SUBSTITUTE(A856,"(","@",LEN(A856)-LEN(SUBSTITUTE(A856,"(","")))))-FIND("@",SUBSTITUTE(A856,"(","@",LEN(A856)-LEN(SUBSTITUTE(A856,"(",""))))-1)),"")</f>
        <v/>
      </c>
      <c r="N856" s="254">
        <f>IF(A856="","",IF(LEFT(TRIM(A856),5)="Leave","Leave",IF(OR(ISNUMBER(SEARCH("public holiday",A856)),ISNUMBER(SEARCH("Purple",E856))),"Public holiday","Event")))</f>
        <v/>
      </c>
    </row>
    <row r="857">
      <c r="G857" s="254">
        <f>IF(C857="","",IF(ISNUMBER(C857),C857,IF(ISNUMBER(VALUE(LEFT(TRIM(C857),1))),TRIM(C857),TRIM(MID(TRIM(C857),FIND(" ",TRIM(C857))+1,99)))))</f>
        <v/>
      </c>
      <c r="H857" s="254">
        <f>IF(D857="","",IF(ISNUMBER(D857),D857,IF(ISNUMBER(VALUE(LEFT(TRIM(D857),1))),TRIM(D857),TRIM(MID(TRIM(D857),FIND(" ",TRIM(D857))+1,99)))))</f>
        <v/>
      </c>
      <c r="I857" s="255">
        <f>IF(G857="",0,IF(ISNUMBER(G857),G857,IFERROR(DATE(VALUE(MID(G857,FIND("/",G857,FIND("/",G857)+1)+1,4)),VALUE(MID(G857,FIND("/",G857)+1,FIND("/",G857,FIND("/",G857)+1)-FIND("/",G857)-1)),VALUE(LEFT(G857,FIND("/",G857)-1)))+IFERROR(TIMEVALUE(TRIM(MID(G857,FIND(" ",G857)+1,20))),0),0)))</f>
        <v/>
      </c>
      <c r="J857" s="255">
        <f>IF(H857="",0,IF(ISNUMBER(H857),H857,IFERROR(DATE(VALUE(MID(H857,FIND("/",H857,FIND("/",H857)+1)+1,4)),VALUE(MID(H857,FIND("/",H857)+1,FIND("/",H857,FIND("/",H857)+1)-FIND("/",H857)-1)),VALUE(LEFT(H857,FIND("/",H857)-1)))+IFERROR(TIMEVALUE(TRIM(MID(H857,FIND(" ",H857)+1,20))),0),0)))</f>
        <v/>
      </c>
      <c r="K857" s="256">
        <f>IF(I857=0,0,INT(I857))</f>
        <v/>
      </c>
      <c r="L857" s="257">
        <f>IF(OR(I857=0,J857=0),0,ROUND((J857-I857)*24,2))</f>
        <v/>
      </c>
      <c r="M857" s="254">
        <f>IFERROR(TRIM(MID(A857,FIND("@",SUBSTITUTE(A857,"(","@",LEN(A857)-LEN(SUBSTITUTE(A857,"(",""))))+1,FIND(")",A857,FIND("@",SUBSTITUTE(A857,"(","@",LEN(A857)-LEN(SUBSTITUTE(A857,"(","")))))-FIND("@",SUBSTITUTE(A857,"(","@",LEN(A857)-LEN(SUBSTITUTE(A857,"(",""))))-1)),"")</f>
        <v/>
      </c>
      <c r="N857" s="254">
        <f>IF(A857="","",IF(LEFT(TRIM(A857),5)="Leave","Leave",IF(OR(ISNUMBER(SEARCH("public holiday",A857)),ISNUMBER(SEARCH("Purple",E857))),"Public holiday","Event")))</f>
        <v/>
      </c>
    </row>
    <row r="858">
      <c r="G858" s="254">
        <f>IF(C858="","",IF(ISNUMBER(C858),C858,IF(ISNUMBER(VALUE(LEFT(TRIM(C858),1))),TRIM(C858),TRIM(MID(TRIM(C858),FIND(" ",TRIM(C858))+1,99)))))</f>
        <v/>
      </c>
      <c r="H858" s="254">
        <f>IF(D858="","",IF(ISNUMBER(D858),D858,IF(ISNUMBER(VALUE(LEFT(TRIM(D858),1))),TRIM(D858),TRIM(MID(TRIM(D858),FIND(" ",TRIM(D858))+1,99)))))</f>
        <v/>
      </c>
      <c r="I858" s="255">
        <f>IF(G858="",0,IF(ISNUMBER(G858),G858,IFERROR(DATE(VALUE(MID(G858,FIND("/",G858,FIND("/",G858)+1)+1,4)),VALUE(MID(G858,FIND("/",G858)+1,FIND("/",G858,FIND("/",G858)+1)-FIND("/",G858)-1)),VALUE(LEFT(G858,FIND("/",G858)-1)))+IFERROR(TIMEVALUE(TRIM(MID(G858,FIND(" ",G858)+1,20))),0),0)))</f>
        <v/>
      </c>
      <c r="J858" s="255">
        <f>IF(H858="",0,IF(ISNUMBER(H858),H858,IFERROR(DATE(VALUE(MID(H858,FIND("/",H858,FIND("/",H858)+1)+1,4)),VALUE(MID(H858,FIND("/",H858)+1,FIND("/",H858,FIND("/",H858)+1)-FIND("/",H858)-1)),VALUE(LEFT(H858,FIND("/",H858)-1)))+IFERROR(TIMEVALUE(TRIM(MID(H858,FIND(" ",H858)+1,20))),0),0)))</f>
        <v/>
      </c>
      <c r="K858" s="256">
        <f>IF(I858=0,0,INT(I858))</f>
        <v/>
      </c>
      <c r="L858" s="257">
        <f>IF(OR(I858=0,J858=0),0,ROUND((J858-I858)*24,2))</f>
        <v/>
      </c>
      <c r="M858" s="254">
        <f>IFERROR(TRIM(MID(A858,FIND("@",SUBSTITUTE(A858,"(","@",LEN(A858)-LEN(SUBSTITUTE(A858,"(",""))))+1,FIND(")",A858,FIND("@",SUBSTITUTE(A858,"(","@",LEN(A858)-LEN(SUBSTITUTE(A858,"(","")))))-FIND("@",SUBSTITUTE(A858,"(","@",LEN(A858)-LEN(SUBSTITUTE(A858,"(",""))))-1)),"")</f>
        <v/>
      </c>
      <c r="N858" s="254">
        <f>IF(A858="","",IF(LEFT(TRIM(A858),5)="Leave","Leave",IF(OR(ISNUMBER(SEARCH("public holiday",A858)),ISNUMBER(SEARCH("Purple",E858))),"Public holiday","Event")))</f>
        <v/>
      </c>
    </row>
    <row r="859">
      <c r="G859" s="254">
        <f>IF(C859="","",IF(ISNUMBER(C859),C859,IF(ISNUMBER(VALUE(LEFT(TRIM(C859),1))),TRIM(C859),TRIM(MID(TRIM(C859),FIND(" ",TRIM(C859))+1,99)))))</f>
        <v/>
      </c>
      <c r="H859" s="254">
        <f>IF(D859="","",IF(ISNUMBER(D859),D859,IF(ISNUMBER(VALUE(LEFT(TRIM(D859),1))),TRIM(D859),TRIM(MID(TRIM(D859),FIND(" ",TRIM(D859))+1,99)))))</f>
        <v/>
      </c>
      <c r="I859" s="255">
        <f>IF(G859="",0,IF(ISNUMBER(G859),G859,IFERROR(DATE(VALUE(MID(G859,FIND("/",G859,FIND("/",G859)+1)+1,4)),VALUE(MID(G859,FIND("/",G859)+1,FIND("/",G859,FIND("/",G859)+1)-FIND("/",G859)-1)),VALUE(LEFT(G859,FIND("/",G859)-1)))+IFERROR(TIMEVALUE(TRIM(MID(G859,FIND(" ",G859)+1,20))),0),0)))</f>
        <v/>
      </c>
      <c r="J859" s="255">
        <f>IF(H859="",0,IF(ISNUMBER(H859),H859,IFERROR(DATE(VALUE(MID(H859,FIND("/",H859,FIND("/",H859)+1)+1,4)),VALUE(MID(H859,FIND("/",H859)+1,FIND("/",H859,FIND("/",H859)+1)-FIND("/",H859)-1)),VALUE(LEFT(H859,FIND("/",H859)-1)))+IFERROR(TIMEVALUE(TRIM(MID(H859,FIND(" ",H859)+1,20))),0),0)))</f>
        <v/>
      </c>
      <c r="K859" s="256">
        <f>IF(I859=0,0,INT(I859))</f>
        <v/>
      </c>
      <c r="L859" s="257">
        <f>IF(OR(I859=0,J859=0),0,ROUND((J859-I859)*24,2))</f>
        <v/>
      </c>
      <c r="M859" s="254">
        <f>IFERROR(TRIM(MID(A859,FIND("@",SUBSTITUTE(A859,"(","@",LEN(A859)-LEN(SUBSTITUTE(A859,"(",""))))+1,FIND(")",A859,FIND("@",SUBSTITUTE(A859,"(","@",LEN(A859)-LEN(SUBSTITUTE(A859,"(","")))))-FIND("@",SUBSTITUTE(A859,"(","@",LEN(A859)-LEN(SUBSTITUTE(A859,"(",""))))-1)),"")</f>
        <v/>
      </c>
      <c r="N859" s="254">
        <f>IF(A859="","",IF(LEFT(TRIM(A859),5)="Leave","Leave",IF(OR(ISNUMBER(SEARCH("public holiday",A859)),ISNUMBER(SEARCH("Purple",E859))),"Public holiday","Event")))</f>
        <v/>
      </c>
    </row>
    <row r="860">
      <c r="G860" s="254">
        <f>IF(C860="","",IF(ISNUMBER(C860),C860,IF(ISNUMBER(VALUE(LEFT(TRIM(C860),1))),TRIM(C860),TRIM(MID(TRIM(C860),FIND(" ",TRIM(C860))+1,99)))))</f>
        <v/>
      </c>
      <c r="H860" s="254">
        <f>IF(D860="","",IF(ISNUMBER(D860),D860,IF(ISNUMBER(VALUE(LEFT(TRIM(D860),1))),TRIM(D860),TRIM(MID(TRIM(D860),FIND(" ",TRIM(D860))+1,99)))))</f>
        <v/>
      </c>
      <c r="I860" s="255">
        <f>IF(G860="",0,IF(ISNUMBER(G860),G860,IFERROR(DATE(VALUE(MID(G860,FIND("/",G860,FIND("/",G860)+1)+1,4)),VALUE(MID(G860,FIND("/",G860)+1,FIND("/",G860,FIND("/",G860)+1)-FIND("/",G860)-1)),VALUE(LEFT(G860,FIND("/",G860)-1)))+IFERROR(TIMEVALUE(TRIM(MID(G860,FIND(" ",G860)+1,20))),0),0)))</f>
        <v/>
      </c>
      <c r="J860" s="255">
        <f>IF(H860="",0,IF(ISNUMBER(H860),H860,IFERROR(DATE(VALUE(MID(H860,FIND("/",H860,FIND("/",H860)+1)+1,4)),VALUE(MID(H860,FIND("/",H860)+1,FIND("/",H860,FIND("/",H860)+1)-FIND("/",H860)-1)),VALUE(LEFT(H860,FIND("/",H860)-1)))+IFERROR(TIMEVALUE(TRIM(MID(H860,FIND(" ",H860)+1,20))),0),0)))</f>
        <v/>
      </c>
      <c r="K860" s="256">
        <f>IF(I860=0,0,INT(I860))</f>
        <v/>
      </c>
      <c r="L860" s="257">
        <f>IF(OR(I860=0,J860=0),0,ROUND((J860-I860)*24,2))</f>
        <v/>
      </c>
      <c r="M860" s="254">
        <f>IFERROR(TRIM(MID(A860,FIND("@",SUBSTITUTE(A860,"(","@",LEN(A860)-LEN(SUBSTITUTE(A860,"(",""))))+1,FIND(")",A860,FIND("@",SUBSTITUTE(A860,"(","@",LEN(A860)-LEN(SUBSTITUTE(A860,"(","")))))-FIND("@",SUBSTITUTE(A860,"(","@",LEN(A860)-LEN(SUBSTITUTE(A860,"(",""))))-1)),"")</f>
        <v/>
      </c>
      <c r="N860" s="254">
        <f>IF(A860="","",IF(LEFT(TRIM(A860),5)="Leave","Leave",IF(OR(ISNUMBER(SEARCH("public holiday",A860)),ISNUMBER(SEARCH("Purple",E860))),"Public holiday","Event")))</f>
        <v/>
      </c>
    </row>
    <row r="861">
      <c r="G861" s="254">
        <f>IF(C861="","",IF(ISNUMBER(C861),C861,IF(ISNUMBER(VALUE(LEFT(TRIM(C861),1))),TRIM(C861),TRIM(MID(TRIM(C861),FIND(" ",TRIM(C861))+1,99)))))</f>
        <v/>
      </c>
      <c r="H861" s="254">
        <f>IF(D861="","",IF(ISNUMBER(D861),D861,IF(ISNUMBER(VALUE(LEFT(TRIM(D861),1))),TRIM(D861),TRIM(MID(TRIM(D861),FIND(" ",TRIM(D861))+1,99)))))</f>
        <v/>
      </c>
      <c r="I861" s="255">
        <f>IF(G861="",0,IF(ISNUMBER(G861),G861,IFERROR(DATE(VALUE(MID(G861,FIND("/",G861,FIND("/",G861)+1)+1,4)),VALUE(MID(G861,FIND("/",G861)+1,FIND("/",G861,FIND("/",G861)+1)-FIND("/",G861)-1)),VALUE(LEFT(G861,FIND("/",G861)-1)))+IFERROR(TIMEVALUE(TRIM(MID(G861,FIND(" ",G861)+1,20))),0),0)))</f>
        <v/>
      </c>
      <c r="J861" s="255">
        <f>IF(H861="",0,IF(ISNUMBER(H861),H861,IFERROR(DATE(VALUE(MID(H861,FIND("/",H861,FIND("/",H861)+1)+1,4)),VALUE(MID(H861,FIND("/",H861)+1,FIND("/",H861,FIND("/",H861)+1)-FIND("/",H861)-1)),VALUE(LEFT(H861,FIND("/",H861)-1)))+IFERROR(TIMEVALUE(TRIM(MID(H861,FIND(" ",H861)+1,20))),0),0)))</f>
        <v/>
      </c>
      <c r="K861" s="256">
        <f>IF(I861=0,0,INT(I861))</f>
        <v/>
      </c>
      <c r="L861" s="257">
        <f>IF(OR(I861=0,J861=0),0,ROUND((J861-I861)*24,2))</f>
        <v/>
      </c>
      <c r="M861" s="254">
        <f>IFERROR(TRIM(MID(A861,FIND("@",SUBSTITUTE(A861,"(","@",LEN(A861)-LEN(SUBSTITUTE(A861,"(",""))))+1,FIND(")",A861,FIND("@",SUBSTITUTE(A861,"(","@",LEN(A861)-LEN(SUBSTITUTE(A861,"(","")))))-FIND("@",SUBSTITUTE(A861,"(","@",LEN(A861)-LEN(SUBSTITUTE(A861,"(",""))))-1)),"")</f>
        <v/>
      </c>
      <c r="N861" s="254">
        <f>IF(A861="","",IF(LEFT(TRIM(A861),5)="Leave","Leave",IF(OR(ISNUMBER(SEARCH("public holiday",A861)),ISNUMBER(SEARCH("Purple",E861))),"Public holiday","Event")))</f>
        <v/>
      </c>
    </row>
    <row r="862">
      <c r="G862" s="254">
        <f>IF(C862="","",IF(ISNUMBER(C862),C862,IF(ISNUMBER(VALUE(LEFT(TRIM(C862),1))),TRIM(C862),TRIM(MID(TRIM(C862),FIND(" ",TRIM(C862))+1,99)))))</f>
        <v/>
      </c>
      <c r="H862" s="254">
        <f>IF(D862="","",IF(ISNUMBER(D862),D862,IF(ISNUMBER(VALUE(LEFT(TRIM(D862),1))),TRIM(D862),TRIM(MID(TRIM(D862),FIND(" ",TRIM(D862))+1,99)))))</f>
        <v/>
      </c>
      <c r="I862" s="255">
        <f>IF(G862="",0,IF(ISNUMBER(G862),G862,IFERROR(DATE(VALUE(MID(G862,FIND("/",G862,FIND("/",G862)+1)+1,4)),VALUE(MID(G862,FIND("/",G862)+1,FIND("/",G862,FIND("/",G862)+1)-FIND("/",G862)-1)),VALUE(LEFT(G862,FIND("/",G862)-1)))+IFERROR(TIMEVALUE(TRIM(MID(G862,FIND(" ",G862)+1,20))),0),0)))</f>
        <v/>
      </c>
      <c r="J862" s="255">
        <f>IF(H862="",0,IF(ISNUMBER(H862),H862,IFERROR(DATE(VALUE(MID(H862,FIND("/",H862,FIND("/",H862)+1)+1,4)),VALUE(MID(H862,FIND("/",H862)+1,FIND("/",H862,FIND("/",H862)+1)-FIND("/",H862)-1)),VALUE(LEFT(H862,FIND("/",H862)-1)))+IFERROR(TIMEVALUE(TRIM(MID(H862,FIND(" ",H862)+1,20))),0),0)))</f>
        <v/>
      </c>
      <c r="K862" s="256">
        <f>IF(I862=0,0,INT(I862))</f>
        <v/>
      </c>
      <c r="L862" s="257">
        <f>IF(OR(I862=0,J862=0),0,ROUND((J862-I862)*24,2))</f>
        <v/>
      </c>
      <c r="M862" s="254">
        <f>IFERROR(TRIM(MID(A862,FIND("@",SUBSTITUTE(A862,"(","@",LEN(A862)-LEN(SUBSTITUTE(A862,"(",""))))+1,FIND(")",A862,FIND("@",SUBSTITUTE(A862,"(","@",LEN(A862)-LEN(SUBSTITUTE(A862,"(","")))))-FIND("@",SUBSTITUTE(A862,"(","@",LEN(A862)-LEN(SUBSTITUTE(A862,"(",""))))-1)),"")</f>
        <v/>
      </c>
      <c r="N862" s="254">
        <f>IF(A862="","",IF(LEFT(TRIM(A862),5)="Leave","Leave",IF(OR(ISNUMBER(SEARCH("public holiday",A862)),ISNUMBER(SEARCH("Purple",E862))),"Public holiday","Event")))</f>
        <v/>
      </c>
    </row>
    <row r="863">
      <c r="G863" s="254">
        <f>IF(C863="","",IF(ISNUMBER(C863),C863,IF(ISNUMBER(VALUE(LEFT(TRIM(C863),1))),TRIM(C863),TRIM(MID(TRIM(C863),FIND(" ",TRIM(C863))+1,99)))))</f>
        <v/>
      </c>
      <c r="H863" s="254">
        <f>IF(D863="","",IF(ISNUMBER(D863),D863,IF(ISNUMBER(VALUE(LEFT(TRIM(D863),1))),TRIM(D863),TRIM(MID(TRIM(D863),FIND(" ",TRIM(D863))+1,99)))))</f>
        <v/>
      </c>
      <c r="I863" s="255">
        <f>IF(G863="",0,IF(ISNUMBER(G863),G863,IFERROR(DATE(VALUE(MID(G863,FIND("/",G863,FIND("/",G863)+1)+1,4)),VALUE(MID(G863,FIND("/",G863)+1,FIND("/",G863,FIND("/",G863)+1)-FIND("/",G863)-1)),VALUE(LEFT(G863,FIND("/",G863)-1)))+IFERROR(TIMEVALUE(TRIM(MID(G863,FIND(" ",G863)+1,20))),0),0)))</f>
        <v/>
      </c>
      <c r="J863" s="255">
        <f>IF(H863="",0,IF(ISNUMBER(H863),H863,IFERROR(DATE(VALUE(MID(H863,FIND("/",H863,FIND("/",H863)+1)+1,4)),VALUE(MID(H863,FIND("/",H863)+1,FIND("/",H863,FIND("/",H863)+1)-FIND("/",H863)-1)),VALUE(LEFT(H863,FIND("/",H863)-1)))+IFERROR(TIMEVALUE(TRIM(MID(H863,FIND(" ",H863)+1,20))),0),0)))</f>
        <v/>
      </c>
      <c r="K863" s="256">
        <f>IF(I863=0,0,INT(I863))</f>
        <v/>
      </c>
      <c r="L863" s="257">
        <f>IF(OR(I863=0,J863=0),0,ROUND((J863-I863)*24,2))</f>
        <v/>
      </c>
      <c r="M863" s="254">
        <f>IFERROR(TRIM(MID(A863,FIND("@",SUBSTITUTE(A863,"(","@",LEN(A863)-LEN(SUBSTITUTE(A863,"(",""))))+1,FIND(")",A863,FIND("@",SUBSTITUTE(A863,"(","@",LEN(A863)-LEN(SUBSTITUTE(A863,"(","")))))-FIND("@",SUBSTITUTE(A863,"(","@",LEN(A863)-LEN(SUBSTITUTE(A863,"(",""))))-1)),"")</f>
        <v/>
      </c>
      <c r="N863" s="254">
        <f>IF(A863="","",IF(LEFT(TRIM(A863),5)="Leave","Leave",IF(OR(ISNUMBER(SEARCH("public holiday",A863)),ISNUMBER(SEARCH("Purple",E863))),"Public holiday","Event")))</f>
        <v/>
      </c>
    </row>
    <row r="864">
      <c r="G864" s="254">
        <f>IF(C864="","",IF(ISNUMBER(C864),C864,IF(ISNUMBER(VALUE(LEFT(TRIM(C864),1))),TRIM(C864),TRIM(MID(TRIM(C864),FIND(" ",TRIM(C864))+1,99)))))</f>
        <v/>
      </c>
      <c r="H864" s="254">
        <f>IF(D864="","",IF(ISNUMBER(D864),D864,IF(ISNUMBER(VALUE(LEFT(TRIM(D864),1))),TRIM(D864),TRIM(MID(TRIM(D864),FIND(" ",TRIM(D864))+1,99)))))</f>
        <v/>
      </c>
      <c r="I864" s="255">
        <f>IF(G864="",0,IF(ISNUMBER(G864),G864,IFERROR(DATE(VALUE(MID(G864,FIND("/",G864,FIND("/",G864)+1)+1,4)),VALUE(MID(G864,FIND("/",G864)+1,FIND("/",G864,FIND("/",G864)+1)-FIND("/",G864)-1)),VALUE(LEFT(G864,FIND("/",G864)-1)))+IFERROR(TIMEVALUE(TRIM(MID(G864,FIND(" ",G864)+1,20))),0),0)))</f>
        <v/>
      </c>
      <c r="J864" s="255">
        <f>IF(H864="",0,IF(ISNUMBER(H864),H864,IFERROR(DATE(VALUE(MID(H864,FIND("/",H864,FIND("/",H864)+1)+1,4)),VALUE(MID(H864,FIND("/",H864)+1,FIND("/",H864,FIND("/",H864)+1)-FIND("/",H864)-1)),VALUE(LEFT(H864,FIND("/",H864)-1)))+IFERROR(TIMEVALUE(TRIM(MID(H864,FIND(" ",H864)+1,20))),0),0)))</f>
        <v/>
      </c>
      <c r="K864" s="256">
        <f>IF(I864=0,0,INT(I864))</f>
        <v/>
      </c>
      <c r="L864" s="257">
        <f>IF(OR(I864=0,J864=0),0,ROUND((J864-I864)*24,2))</f>
        <v/>
      </c>
      <c r="M864" s="254">
        <f>IFERROR(TRIM(MID(A864,FIND("@",SUBSTITUTE(A864,"(","@",LEN(A864)-LEN(SUBSTITUTE(A864,"(",""))))+1,FIND(")",A864,FIND("@",SUBSTITUTE(A864,"(","@",LEN(A864)-LEN(SUBSTITUTE(A864,"(","")))))-FIND("@",SUBSTITUTE(A864,"(","@",LEN(A864)-LEN(SUBSTITUTE(A864,"(",""))))-1)),"")</f>
        <v/>
      </c>
      <c r="N864" s="254">
        <f>IF(A864="","",IF(LEFT(TRIM(A864),5)="Leave","Leave",IF(OR(ISNUMBER(SEARCH("public holiday",A864)),ISNUMBER(SEARCH("Purple",E864))),"Public holiday","Event")))</f>
        <v/>
      </c>
    </row>
    <row r="865">
      <c r="G865" s="254">
        <f>IF(C865="","",IF(ISNUMBER(C865),C865,IF(ISNUMBER(VALUE(LEFT(TRIM(C865),1))),TRIM(C865),TRIM(MID(TRIM(C865),FIND(" ",TRIM(C865))+1,99)))))</f>
        <v/>
      </c>
      <c r="H865" s="254">
        <f>IF(D865="","",IF(ISNUMBER(D865),D865,IF(ISNUMBER(VALUE(LEFT(TRIM(D865),1))),TRIM(D865),TRIM(MID(TRIM(D865),FIND(" ",TRIM(D865))+1,99)))))</f>
        <v/>
      </c>
      <c r="I865" s="255">
        <f>IF(G865="",0,IF(ISNUMBER(G865),G865,IFERROR(DATE(VALUE(MID(G865,FIND("/",G865,FIND("/",G865)+1)+1,4)),VALUE(MID(G865,FIND("/",G865)+1,FIND("/",G865,FIND("/",G865)+1)-FIND("/",G865)-1)),VALUE(LEFT(G865,FIND("/",G865)-1)))+IFERROR(TIMEVALUE(TRIM(MID(G865,FIND(" ",G865)+1,20))),0),0)))</f>
        <v/>
      </c>
      <c r="J865" s="255">
        <f>IF(H865="",0,IF(ISNUMBER(H865),H865,IFERROR(DATE(VALUE(MID(H865,FIND("/",H865,FIND("/",H865)+1)+1,4)),VALUE(MID(H865,FIND("/",H865)+1,FIND("/",H865,FIND("/",H865)+1)-FIND("/",H865)-1)),VALUE(LEFT(H865,FIND("/",H865)-1)))+IFERROR(TIMEVALUE(TRIM(MID(H865,FIND(" ",H865)+1,20))),0),0)))</f>
        <v/>
      </c>
      <c r="K865" s="256">
        <f>IF(I865=0,0,INT(I865))</f>
        <v/>
      </c>
      <c r="L865" s="257">
        <f>IF(OR(I865=0,J865=0),0,ROUND((J865-I865)*24,2))</f>
        <v/>
      </c>
      <c r="M865" s="254">
        <f>IFERROR(TRIM(MID(A865,FIND("@",SUBSTITUTE(A865,"(","@",LEN(A865)-LEN(SUBSTITUTE(A865,"(",""))))+1,FIND(")",A865,FIND("@",SUBSTITUTE(A865,"(","@",LEN(A865)-LEN(SUBSTITUTE(A865,"(","")))))-FIND("@",SUBSTITUTE(A865,"(","@",LEN(A865)-LEN(SUBSTITUTE(A865,"(",""))))-1)),"")</f>
        <v/>
      </c>
      <c r="N865" s="254">
        <f>IF(A865="","",IF(LEFT(TRIM(A865),5)="Leave","Leave",IF(OR(ISNUMBER(SEARCH("public holiday",A865)),ISNUMBER(SEARCH("Purple",E865))),"Public holiday","Event")))</f>
        <v/>
      </c>
    </row>
    <row r="866">
      <c r="G866" s="254">
        <f>IF(C866="","",IF(ISNUMBER(C866),C866,IF(ISNUMBER(VALUE(LEFT(TRIM(C866),1))),TRIM(C866),TRIM(MID(TRIM(C866),FIND(" ",TRIM(C866))+1,99)))))</f>
        <v/>
      </c>
      <c r="H866" s="254">
        <f>IF(D866="","",IF(ISNUMBER(D866),D866,IF(ISNUMBER(VALUE(LEFT(TRIM(D866),1))),TRIM(D866),TRIM(MID(TRIM(D866),FIND(" ",TRIM(D866))+1,99)))))</f>
        <v/>
      </c>
      <c r="I866" s="255">
        <f>IF(G866="",0,IF(ISNUMBER(G866),G866,IFERROR(DATE(VALUE(MID(G866,FIND("/",G866,FIND("/",G866)+1)+1,4)),VALUE(MID(G866,FIND("/",G866)+1,FIND("/",G866,FIND("/",G866)+1)-FIND("/",G866)-1)),VALUE(LEFT(G866,FIND("/",G866)-1)))+IFERROR(TIMEVALUE(TRIM(MID(G866,FIND(" ",G866)+1,20))),0),0)))</f>
        <v/>
      </c>
      <c r="J866" s="255">
        <f>IF(H866="",0,IF(ISNUMBER(H866),H866,IFERROR(DATE(VALUE(MID(H866,FIND("/",H866,FIND("/",H866)+1)+1,4)),VALUE(MID(H866,FIND("/",H866)+1,FIND("/",H866,FIND("/",H866)+1)-FIND("/",H866)-1)),VALUE(LEFT(H866,FIND("/",H866)-1)))+IFERROR(TIMEVALUE(TRIM(MID(H866,FIND(" ",H866)+1,20))),0),0)))</f>
        <v/>
      </c>
      <c r="K866" s="256">
        <f>IF(I866=0,0,INT(I866))</f>
        <v/>
      </c>
      <c r="L866" s="257">
        <f>IF(OR(I866=0,J866=0),0,ROUND((J866-I866)*24,2))</f>
        <v/>
      </c>
      <c r="M866" s="254">
        <f>IFERROR(TRIM(MID(A866,FIND("@",SUBSTITUTE(A866,"(","@",LEN(A866)-LEN(SUBSTITUTE(A866,"(",""))))+1,FIND(")",A866,FIND("@",SUBSTITUTE(A866,"(","@",LEN(A866)-LEN(SUBSTITUTE(A866,"(","")))))-FIND("@",SUBSTITUTE(A866,"(","@",LEN(A866)-LEN(SUBSTITUTE(A866,"(",""))))-1)),"")</f>
        <v/>
      </c>
      <c r="N866" s="254">
        <f>IF(A866="","",IF(LEFT(TRIM(A866),5)="Leave","Leave",IF(OR(ISNUMBER(SEARCH("public holiday",A866)),ISNUMBER(SEARCH("Purple",E866))),"Public holiday","Event")))</f>
        <v/>
      </c>
    </row>
    <row r="867">
      <c r="G867" s="254">
        <f>IF(C867="","",IF(ISNUMBER(C867),C867,IF(ISNUMBER(VALUE(LEFT(TRIM(C867),1))),TRIM(C867),TRIM(MID(TRIM(C867),FIND(" ",TRIM(C867))+1,99)))))</f>
        <v/>
      </c>
      <c r="H867" s="254">
        <f>IF(D867="","",IF(ISNUMBER(D867),D867,IF(ISNUMBER(VALUE(LEFT(TRIM(D867),1))),TRIM(D867),TRIM(MID(TRIM(D867),FIND(" ",TRIM(D867))+1,99)))))</f>
        <v/>
      </c>
      <c r="I867" s="255">
        <f>IF(G867="",0,IF(ISNUMBER(G867),G867,IFERROR(DATE(VALUE(MID(G867,FIND("/",G867,FIND("/",G867)+1)+1,4)),VALUE(MID(G867,FIND("/",G867)+1,FIND("/",G867,FIND("/",G867)+1)-FIND("/",G867)-1)),VALUE(LEFT(G867,FIND("/",G867)-1)))+IFERROR(TIMEVALUE(TRIM(MID(G867,FIND(" ",G867)+1,20))),0),0)))</f>
        <v/>
      </c>
      <c r="J867" s="255">
        <f>IF(H867="",0,IF(ISNUMBER(H867),H867,IFERROR(DATE(VALUE(MID(H867,FIND("/",H867,FIND("/",H867)+1)+1,4)),VALUE(MID(H867,FIND("/",H867)+1,FIND("/",H867,FIND("/",H867)+1)-FIND("/",H867)-1)),VALUE(LEFT(H867,FIND("/",H867)-1)))+IFERROR(TIMEVALUE(TRIM(MID(H867,FIND(" ",H867)+1,20))),0),0)))</f>
        <v/>
      </c>
      <c r="K867" s="256">
        <f>IF(I867=0,0,INT(I867))</f>
        <v/>
      </c>
      <c r="L867" s="257">
        <f>IF(OR(I867=0,J867=0),0,ROUND((J867-I867)*24,2))</f>
        <v/>
      </c>
      <c r="M867" s="254">
        <f>IFERROR(TRIM(MID(A867,FIND("@",SUBSTITUTE(A867,"(","@",LEN(A867)-LEN(SUBSTITUTE(A867,"(",""))))+1,FIND(")",A867,FIND("@",SUBSTITUTE(A867,"(","@",LEN(A867)-LEN(SUBSTITUTE(A867,"(","")))))-FIND("@",SUBSTITUTE(A867,"(","@",LEN(A867)-LEN(SUBSTITUTE(A867,"(",""))))-1)),"")</f>
        <v/>
      </c>
      <c r="N867" s="254">
        <f>IF(A867="","",IF(LEFT(TRIM(A867),5)="Leave","Leave",IF(OR(ISNUMBER(SEARCH("public holiday",A867)),ISNUMBER(SEARCH("Purple",E867))),"Public holiday","Event")))</f>
        <v/>
      </c>
    </row>
    <row r="868">
      <c r="G868" s="254">
        <f>IF(C868="","",IF(ISNUMBER(C868),C868,IF(ISNUMBER(VALUE(LEFT(TRIM(C868),1))),TRIM(C868),TRIM(MID(TRIM(C868),FIND(" ",TRIM(C868))+1,99)))))</f>
        <v/>
      </c>
      <c r="H868" s="254">
        <f>IF(D868="","",IF(ISNUMBER(D868),D868,IF(ISNUMBER(VALUE(LEFT(TRIM(D868),1))),TRIM(D868),TRIM(MID(TRIM(D868),FIND(" ",TRIM(D868))+1,99)))))</f>
        <v/>
      </c>
      <c r="I868" s="255">
        <f>IF(G868="",0,IF(ISNUMBER(G868),G868,IFERROR(DATE(VALUE(MID(G868,FIND("/",G868,FIND("/",G868)+1)+1,4)),VALUE(MID(G868,FIND("/",G868)+1,FIND("/",G868,FIND("/",G868)+1)-FIND("/",G868)-1)),VALUE(LEFT(G868,FIND("/",G868)-1)))+IFERROR(TIMEVALUE(TRIM(MID(G868,FIND(" ",G868)+1,20))),0),0)))</f>
        <v/>
      </c>
      <c r="J868" s="255">
        <f>IF(H868="",0,IF(ISNUMBER(H868),H868,IFERROR(DATE(VALUE(MID(H868,FIND("/",H868,FIND("/",H868)+1)+1,4)),VALUE(MID(H868,FIND("/",H868)+1,FIND("/",H868,FIND("/",H868)+1)-FIND("/",H868)-1)),VALUE(LEFT(H868,FIND("/",H868)-1)))+IFERROR(TIMEVALUE(TRIM(MID(H868,FIND(" ",H868)+1,20))),0),0)))</f>
        <v/>
      </c>
      <c r="K868" s="256">
        <f>IF(I868=0,0,INT(I868))</f>
        <v/>
      </c>
      <c r="L868" s="257">
        <f>IF(OR(I868=0,J868=0),0,ROUND((J868-I868)*24,2))</f>
        <v/>
      </c>
      <c r="M868" s="254">
        <f>IFERROR(TRIM(MID(A868,FIND("@",SUBSTITUTE(A868,"(","@",LEN(A868)-LEN(SUBSTITUTE(A868,"(",""))))+1,FIND(")",A868,FIND("@",SUBSTITUTE(A868,"(","@",LEN(A868)-LEN(SUBSTITUTE(A868,"(","")))))-FIND("@",SUBSTITUTE(A868,"(","@",LEN(A868)-LEN(SUBSTITUTE(A868,"(",""))))-1)),"")</f>
        <v/>
      </c>
      <c r="N868" s="254">
        <f>IF(A868="","",IF(LEFT(TRIM(A868),5)="Leave","Leave",IF(OR(ISNUMBER(SEARCH("public holiday",A868)),ISNUMBER(SEARCH("Purple",E868))),"Public holiday","Event")))</f>
        <v/>
      </c>
    </row>
    <row r="869">
      <c r="G869" s="254">
        <f>IF(C869="","",IF(ISNUMBER(C869),C869,IF(ISNUMBER(VALUE(LEFT(TRIM(C869),1))),TRIM(C869),TRIM(MID(TRIM(C869),FIND(" ",TRIM(C869))+1,99)))))</f>
        <v/>
      </c>
      <c r="H869" s="254">
        <f>IF(D869="","",IF(ISNUMBER(D869),D869,IF(ISNUMBER(VALUE(LEFT(TRIM(D869),1))),TRIM(D869),TRIM(MID(TRIM(D869),FIND(" ",TRIM(D869))+1,99)))))</f>
        <v/>
      </c>
      <c r="I869" s="255">
        <f>IF(G869="",0,IF(ISNUMBER(G869),G869,IFERROR(DATE(VALUE(MID(G869,FIND("/",G869,FIND("/",G869)+1)+1,4)),VALUE(MID(G869,FIND("/",G869)+1,FIND("/",G869,FIND("/",G869)+1)-FIND("/",G869)-1)),VALUE(LEFT(G869,FIND("/",G869)-1)))+IFERROR(TIMEVALUE(TRIM(MID(G869,FIND(" ",G869)+1,20))),0),0)))</f>
        <v/>
      </c>
      <c r="J869" s="255">
        <f>IF(H869="",0,IF(ISNUMBER(H869),H869,IFERROR(DATE(VALUE(MID(H869,FIND("/",H869,FIND("/",H869)+1)+1,4)),VALUE(MID(H869,FIND("/",H869)+1,FIND("/",H869,FIND("/",H869)+1)-FIND("/",H869)-1)),VALUE(LEFT(H869,FIND("/",H869)-1)))+IFERROR(TIMEVALUE(TRIM(MID(H869,FIND(" ",H869)+1,20))),0),0)))</f>
        <v/>
      </c>
      <c r="K869" s="256">
        <f>IF(I869=0,0,INT(I869))</f>
        <v/>
      </c>
      <c r="L869" s="257">
        <f>IF(OR(I869=0,J869=0),0,ROUND((J869-I869)*24,2))</f>
        <v/>
      </c>
      <c r="M869" s="254">
        <f>IFERROR(TRIM(MID(A869,FIND("@",SUBSTITUTE(A869,"(","@",LEN(A869)-LEN(SUBSTITUTE(A869,"(",""))))+1,FIND(")",A869,FIND("@",SUBSTITUTE(A869,"(","@",LEN(A869)-LEN(SUBSTITUTE(A869,"(","")))))-FIND("@",SUBSTITUTE(A869,"(","@",LEN(A869)-LEN(SUBSTITUTE(A869,"(",""))))-1)),"")</f>
        <v/>
      </c>
      <c r="N869" s="254">
        <f>IF(A869="","",IF(LEFT(TRIM(A869),5)="Leave","Leave",IF(OR(ISNUMBER(SEARCH("public holiday",A869)),ISNUMBER(SEARCH("Purple",E869))),"Public holiday","Event")))</f>
        <v/>
      </c>
    </row>
    <row r="870">
      <c r="G870" s="254">
        <f>IF(C870="","",IF(ISNUMBER(C870),C870,IF(ISNUMBER(VALUE(LEFT(TRIM(C870),1))),TRIM(C870),TRIM(MID(TRIM(C870),FIND(" ",TRIM(C870))+1,99)))))</f>
        <v/>
      </c>
      <c r="H870" s="254">
        <f>IF(D870="","",IF(ISNUMBER(D870),D870,IF(ISNUMBER(VALUE(LEFT(TRIM(D870),1))),TRIM(D870),TRIM(MID(TRIM(D870),FIND(" ",TRIM(D870))+1,99)))))</f>
        <v/>
      </c>
      <c r="I870" s="255">
        <f>IF(G870="",0,IF(ISNUMBER(G870),G870,IFERROR(DATE(VALUE(MID(G870,FIND("/",G870,FIND("/",G870)+1)+1,4)),VALUE(MID(G870,FIND("/",G870)+1,FIND("/",G870,FIND("/",G870)+1)-FIND("/",G870)-1)),VALUE(LEFT(G870,FIND("/",G870)-1)))+IFERROR(TIMEVALUE(TRIM(MID(G870,FIND(" ",G870)+1,20))),0),0)))</f>
        <v/>
      </c>
      <c r="J870" s="255">
        <f>IF(H870="",0,IF(ISNUMBER(H870),H870,IFERROR(DATE(VALUE(MID(H870,FIND("/",H870,FIND("/",H870)+1)+1,4)),VALUE(MID(H870,FIND("/",H870)+1,FIND("/",H870,FIND("/",H870)+1)-FIND("/",H870)-1)),VALUE(LEFT(H870,FIND("/",H870)-1)))+IFERROR(TIMEVALUE(TRIM(MID(H870,FIND(" ",H870)+1,20))),0),0)))</f>
        <v/>
      </c>
      <c r="K870" s="256">
        <f>IF(I870=0,0,INT(I870))</f>
        <v/>
      </c>
      <c r="L870" s="257">
        <f>IF(OR(I870=0,J870=0),0,ROUND((J870-I870)*24,2))</f>
        <v/>
      </c>
      <c r="M870" s="254">
        <f>IFERROR(TRIM(MID(A870,FIND("@",SUBSTITUTE(A870,"(","@",LEN(A870)-LEN(SUBSTITUTE(A870,"(",""))))+1,FIND(")",A870,FIND("@",SUBSTITUTE(A870,"(","@",LEN(A870)-LEN(SUBSTITUTE(A870,"(","")))))-FIND("@",SUBSTITUTE(A870,"(","@",LEN(A870)-LEN(SUBSTITUTE(A870,"(",""))))-1)),"")</f>
        <v/>
      </c>
      <c r="N870" s="254">
        <f>IF(A870="","",IF(LEFT(TRIM(A870),5)="Leave","Leave",IF(OR(ISNUMBER(SEARCH("public holiday",A870)),ISNUMBER(SEARCH("Purple",E870))),"Public holiday","Event")))</f>
        <v/>
      </c>
    </row>
    <row r="871">
      <c r="G871" s="254">
        <f>IF(C871="","",IF(ISNUMBER(C871),C871,IF(ISNUMBER(VALUE(LEFT(TRIM(C871),1))),TRIM(C871),TRIM(MID(TRIM(C871),FIND(" ",TRIM(C871))+1,99)))))</f>
        <v/>
      </c>
      <c r="H871" s="254">
        <f>IF(D871="","",IF(ISNUMBER(D871),D871,IF(ISNUMBER(VALUE(LEFT(TRIM(D871),1))),TRIM(D871),TRIM(MID(TRIM(D871),FIND(" ",TRIM(D871))+1,99)))))</f>
        <v/>
      </c>
      <c r="I871" s="255">
        <f>IF(G871="",0,IF(ISNUMBER(G871),G871,IFERROR(DATE(VALUE(MID(G871,FIND("/",G871,FIND("/",G871)+1)+1,4)),VALUE(MID(G871,FIND("/",G871)+1,FIND("/",G871,FIND("/",G871)+1)-FIND("/",G871)-1)),VALUE(LEFT(G871,FIND("/",G871)-1)))+IFERROR(TIMEVALUE(TRIM(MID(G871,FIND(" ",G871)+1,20))),0),0)))</f>
        <v/>
      </c>
      <c r="J871" s="255">
        <f>IF(H871="",0,IF(ISNUMBER(H871),H871,IFERROR(DATE(VALUE(MID(H871,FIND("/",H871,FIND("/",H871)+1)+1,4)),VALUE(MID(H871,FIND("/",H871)+1,FIND("/",H871,FIND("/",H871)+1)-FIND("/",H871)-1)),VALUE(LEFT(H871,FIND("/",H871)-1)))+IFERROR(TIMEVALUE(TRIM(MID(H871,FIND(" ",H871)+1,20))),0),0)))</f>
        <v/>
      </c>
      <c r="K871" s="256">
        <f>IF(I871=0,0,INT(I871))</f>
        <v/>
      </c>
      <c r="L871" s="257">
        <f>IF(OR(I871=0,J871=0),0,ROUND((J871-I871)*24,2))</f>
        <v/>
      </c>
      <c r="M871" s="254">
        <f>IFERROR(TRIM(MID(A871,FIND("@",SUBSTITUTE(A871,"(","@",LEN(A871)-LEN(SUBSTITUTE(A871,"(",""))))+1,FIND(")",A871,FIND("@",SUBSTITUTE(A871,"(","@",LEN(A871)-LEN(SUBSTITUTE(A871,"(","")))))-FIND("@",SUBSTITUTE(A871,"(","@",LEN(A871)-LEN(SUBSTITUTE(A871,"(",""))))-1)),"")</f>
        <v/>
      </c>
      <c r="N871" s="254">
        <f>IF(A871="","",IF(LEFT(TRIM(A871),5)="Leave","Leave",IF(OR(ISNUMBER(SEARCH("public holiday",A871)),ISNUMBER(SEARCH("Purple",E871))),"Public holiday","Event")))</f>
        <v/>
      </c>
    </row>
    <row r="872">
      <c r="G872" s="254">
        <f>IF(C872="","",IF(ISNUMBER(C872),C872,IF(ISNUMBER(VALUE(LEFT(TRIM(C872),1))),TRIM(C872),TRIM(MID(TRIM(C872),FIND(" ",TRIM(C872))+1,99)))))</f>
        <v/>
      </c>
      <c r="H872" s="254">
        <f>IF(D872="","",IF(ISNUMBER(D872),D872,IF(ISNUMBER(VALUE(LEFT(TRIM(D872),1))),TRIM(D872),TRIM(MID(TRIM(D872),FIND(" ",TRIM(D872))+1,99)))))</f>
        <v/>
      </c>
      <c r="I872" s="255">
        <f>IF(G872="",0,IF(ISNUMBER(G872),G872,IFERROR(DATE(VALUE(MID(G872,FIND("/",G872,FIND("/",G872)+1)+1,4)),VALUE(MID(G872,FIND("/",G872)+1,FIND("/",G872,FIND("/",G872)+1)-FIND("/",G872)-1)),VALUE(LEFT(G872,FIND("/",G872)-1)))+IFERROR(TIMEVALUE(TRIM(MID(G872,FIND(" ",G872)+1,20))),0),0)))</f>
        <v/>
      </c>
      <c r="J872" s="255">
        <f>IF(H872="",0,IF(ISNUMBER(H872),H872,IFERROR(DATE(VALUE(MID(H872,FIND("/",H872,FIND("/",H872)+1)+1,4)),VALUE(MID(H872,FIND("/",H872)+1,FIND("/",H872,FIND("/",H872)+1)-FIND("/",H872)-1)),VALUE(LEFT(H872,FIND("/",H872)-1)))+IFERROR(TIMEVALUE(TRIM(MID(H872,FIND(" ",H872)+1,20))),0),0)))</f>
        <v/>
      </c>
      <c r="K872" s="256">
        <f>IF(I872=0,0,INT(I872))</f>
        <v/>
      </c>
      <c r="L872" s="257">
        <f>IF(OR(I872=0,J872=0),0,ROUND((J872-I872)*24,2))</f>
        <v/>
      </c>
      <c r="M872" s="254">
        <f>IFERROR(TRIM(MID(A872,FIND("@",SUBSTITUTE(A872,"(","@",LEN(A872)-LEN(SUBSTITUTE(A872,"(",""))))+1,FIND(")",A872,FIND("@",SUBSTITUTE(A872,"(","@",LEN(A872)-LEN(SUBSTITUTE(A872,"(","")))))-FIND("@",SUBSTITUTE(A872,"(","@",LEN(A872)-LEN(SUBSTITUTE(A872,"(",""))))-1)),"")</f>
        <v/>
      </c>
      <c r="N872" s="254">
        <f>IF(A872="","",IF(LEFT(TRIM(A872),5)="Leave","Leave",IF(OR(ISNUMBER(SEARCH("public holiday",A872)),ISNUMBER(SEARCH("Purple",E872))),"Public holiday","Event")))</f>
        <v/>
      </c>
    </row>
    <row r="873">
      <c r="G873" s="254">
        <f>IF(C873="","",IF(ISNUMBER(C873),C873,IF(ISNUMBER(VALUE(LEFT(TRIM(C873),1))),TRIM(C873),TRIM(MID(TRIM(C873),FIND(" ",TRIM(C873))+1,99)))))</f>
        <v/>
      </c>
      <c r="H873" s="254">
        <f>IF(D873="","",IF(ISNUMBER(D873),D873,IF(ISNUMBER(VALUE(LEFT(TRIM(D873),1))),TRIM(D873),TRIM(MID(TRIM(D873),FIND(" ",TRIM(D873))+1,99)))))</f>
        <v/>
      </c>
      <c r="I873" s="255">
        <f>IF(G873="",0,IF(ISNUMBER(G873),G873,IFERROR(DATE(VALUE(MID(G873,FIND("/",G873,FIND("/",G873)+1)+1,4)),VALUE(MID(G873,FIND("/",G873)+1,FIND("/",G873,FIND("/",G873)+1)-FIND("/",G873)-1)),VALUE(LEFT(G873,FIND("/",G873)-1)))+IFERROR(TIMEVALUE(TRIM(MID(G873,FIND(" ",G873)+1,20))),0),0)))</f>
        <v/>
      </c>
      <c r="J873" s="255">
        <f>IF(H873="",0,IF(ISNUMBER(H873),H873,IFERROR(DATE(VALUE(MID(H873,FIND("/",H873,FIND("/",H873)+1)+1,4)),VALUE(MID(H873,FIND("/",H873)+1,FIND("/",H873,FIND("/",H873)+1)-FIND("/",H873)-1)),VALUE(LEFT(H873,FIND("/",H873)-1)))+IFERROR(TIMEVALUE(TRIM(MID(H873,FIND(" ",H873)+1,20))),0),0)))</f>
        <v/>
      </c>
      <c r="K873" s="256">
        <f>IF(I873=0,0,INT(I873))</f>
        <v/>
      </c>
      <c r="L873" s="257">
        <f>IF(OR(I873=0,J873=0),0,ROUND((J873-I873)*24,2))</f>
        <v/>
      </c>
      <c r="M873" s="254">
        <f>IFERROR(TRIM(MID(A873,FIND("@",SUBSTITUTE(A873,"(","@",LEN(A873)-LEN(SUBSTITUTE(A873,"(",""))))+1,FIND(")",A873,FIND("@",SUBSTITUTE(A873,"(","@",LEN(A873)-LEN(SUBSTITUTE(A873,"(","")))))-FIND("@",SUBSTITUTE(A873,"(","@",LEN(A873)-LEN(SUBSTITUTE(A873,"(",""))))-1)),"")</f>
        <v/>
      </c>
      <c r="N873" s="254">
        <f>IF(A873="","",IF(LEFT(TRIM(A873),5)="Leave","Leave",IF(OR(ISNUMBER(SEARCH("public holiday",A873)),ISNUMBER(SEARCH("Purple",E873))),"Public holiday","Event")))</f>
        <v/>
      </c>
    </row>
    <row r="874">
      <c r="G874" s="254">
        <f>IF(C874="","",IF(ISNUMBER(C874),C874,IF(ISNUMBER(VALUE(LEFT(TRIM(C874),1))),TRIM(C874),TRIM(MID(TRIM(C874),FIND(" ",TRIM(C874))+1,99)))))</f>
        <v/>
      </c>
      <c r="H874" s="254">
        <f>IF(D874="","",IF(ISNUMBER(D874),D874,IF(ISNUMBER(VALUE(LEFT(TRIM(D874),1))),TRIM(D874),TRIM(MID(TRIM(D874),FIND(" ",TRIM(D874))+1,99)))))</f>
        <v/>
      </c>
      <c r="I874" s="255">
        <f>IF(G874="",0,IF(ISNUMBER(G874),G874,IFERROR(DATE(VALUE(MID(G874,FIND("/",G874,FIND("/",G874)+1)+1,4)),VALUE(MID(G874,FIND("/",G874)+1,FIND("/",G874,FIND("/",G874)+1)-FIND("/",G874)-1)),VALUE(LEFT(G874,FIND("/",G874)-1)))+IFERROR(TIMEVALUE(TRIM(MID(G874,FIND(" ",G874)+1,20))),0),0)))</f>
        <v/>
      </c>
      <c r="J874" s="255">
        <f>IF(H874="",0,IF(ISNUMBER(H874),H874,IFERROR(DATE(VALUE(MID(H874,FIND("/",H874,FIND("/",H874)+1)+1,4)),VALUE(MID(H874,FIND("/",H874)+1,FIND("/",H874,FIND("/",H874)+1)-FIND("/",H874)-1)),VALUE(LEFT(H874,FIND("/",H874)-1)))+IFERROR(TIMEVALUE(TRIM(MID(H874,FIND(" ",H874)+1,20))),0),0)))</f>
        <v/>
      </c>
      <c r="K874" s="256">
        <f>IF(I874=0,0,INT(I874))</f>
        <v/>
      </c>
      <c r="L874" s="257">
        <f>IF(OR(I874=0,J874=0),0,ROUND((J874-I874)*24,2))</f>
        <v/>
      </c>
      <c r="M874" s="254">
        <f>IFERROR(TRIM(MID(A874,FIND("@",SUBSTITUTE(A874,"(","@",LEN(A874)-LEN(SUBSTITUTE(A874,"(",""))))+1,FIND(")",A874,FIND("@",SUBSTITUTE(A874,"(","@",LEN(A874)-LEN(SUBSTITUTE(A874,"(","")))))-FIND("@",SUBSTITUTE(A874,"(","@",LEN(A874)-LEN(SUBSTITUTE(A874,"(",""))))-1)),"")</f>
        <v/>
      </c>
      <c r="N874" s="254">
        <f>IF(A874="","",IF(LEFT(TRIM(A874),5)="Leave","Leave",IF(OR(ISNUMBER(SEARCH("public holiday",A874)),ISNUMBER(SEARCH("Purple",E874))),"Public holiday","Event")))</f>
        <v/>
      </c>
    </row>
    <row r="875">
      <c r="G875" s="254">
        <f>IF(C875="","",IF(ISNUMBER(C875),C875,IF(ISNUMBER(VALUE(LEFT(TRIM(C875),1))),TRIM(C875),TRIM(MID(TRIM(C875),FIND(" ",TRIM(C875))+1,99)))))</f>
        <v/>
      </c>
      <c r="H875" s="254">
        <f>IF(D875="","",IF(ISNUMBER(D875),D875,IF(ISNUMBER(VALUE(LEFT(TRIM(D875),1))),TRIM(D875),TRIM(MID(TRIM(D875),FIND(" ",TRIM(D875))+1,99)))))</f>
        <v/>
      </c>
      <c r="I875" s="255">
        <f>IF(G875="",0,IF(ISNUMBER(G875),G875,IFERROR(DATE(VALUE(MID(G875,FIND("/",G875,FIND("/",G875)+1)+1,4)),VALUE(MID(G875,FIND("/",G875)+1,FIND("/",G875,FIND("/",G875)+1)-FIND("/",G875)-1)),VALUE(LEFT(G875,FIND("/",G875)-1)))+IFERROR(TIMEVALUE(TRIM(MID(G875,FIND(" ",G875)+1,20))),0),0)))</f>
        <v/>
      </c>
      <c r="J875" s="255">
        <f>IF(H875="",0,IF(ISNUMBER(H875),H875,IFERROR(DATE(VALUE(MID(H875,FIND("/",H875,FIND("/",H875)+1)+1,4)),VALUE(MID(H875,FIND("/",H875)+1,FIND("/",H875,FIND("/",H875)+1)-FIND("/",H875)-1)),VALUE(LEFT(H875,FIND("/",H875)-1)))+IFERROR(TIMEVALUE(TRIM(MID(H875,FIND(" ",H875)+1,20))),0),0)))</f>
        <v/>
      </c>
      <c r="K875" s="256">
        <f>IF(I875=0,0,INT(I875))</f>
        <v/>
      </c>
      <c r="L875" s="257">
        <f>IF(OR(I875=0,J875=0),0,ROUND((J875-I875)*24,2))</f>
        <v/>
      </c>
      <c r="M875" s="254">
        <f>IFERROR(TRIM(MID(A875,FIND("@",SUBSTITUTE(A875,"(","@",LEN(A875)-LEN(SUBSTITUTE(A875,"(",""))))+1,FIND(")",A875,FIND("@",SUBSTITUTE(A875,"(","@",LEN(A875)-LEN(SUBSTITUTE(A875,"(","")))))-FIND("@",SUBSTITUTE(A875,"(","@",LEN(A875)-LEN(SUBSTITUTE(A875,"(",""))))-1)),"")</f>
        <v/>
      </c>
      <c r="N875" s="254">
        <f>IF(A875="","",IF(LEFT(TRIM(A875),5)="Leave","Leave",IF(OR(ISNUMBER(SEARCH("public holiday",A875)),ISNUMBER(SEARCH("Purple",E875))),"Public holiday","Event")))</f>
        <v/>
      </c>
    </row>
    <row r="876">
      <c r="G876" s="254">
        <f>IF(C876="","",IF(ISNUMBER(C876),C876,IF(ISNUMBER(VALUE(LEFT(TRIM(C876),1))),TRIM(C876),TRIM(MID(TRIM(C876),FIND(" ",TRIM(C876))+1,99)))))</f>
        <v/>
      </c>
      <c r="H876" s="254">
        <f>IF(D876="","",IF(ISNUMBER(D876),D876,IF(ISNUMBER(VALUE(LEFT(TRIM(D876),1))),TRIM(D876),TRIM(MID(TRIM(D876),FIND(" ",TRIM(D876))+1,99)))))</f>
        <v/>
      </c>
      <c r="I876" s="255">
        <f>IF(G876="",0,IF(ISNUMBER(G876),G876,IFERROR(DATE(VALUE(MID(G876,FIND("/",G876,FIND("/",G876)+1)+1,4)),VALUE(MID(G876,FIND("/",G876)+1,FIND("/",G876,FIND("/",G876)+1)-FIND("/",G876)-1)),VALUE(LEFT(G876,FIND("/",G876)-1)))+IFERROR(TIMEVALUE(TRIM(MID(G876,FIND(" ",G876)+1,20))),0),0)))</f>
        <v/>
      </c>
      <c r="J876" s="255">
        <f>IF(H876="",0,IF(ISNUMBER(H876),H876,IFERROR(DATE(VALUE(MID(H876,FIND("/",H876,FIND("/",H876)+1)+1,4)),VALUE(MID(H876,FIND("/",H876)+1,FIND("/",H876,FIND("/",H876)+1)-FIND("/",H876)-1)),VALUE(LEFT(H876,FIND("/",H876)-1)))+IFERROR(TIMEVALUE(TRIM(MID(H876,FIND(" ",H876)+1,20))),0),0)))</f>
        <v/>
      </c>
      <c r="K876" s="256">
        <f>IF(I876=0,0,INT(I876))</f>
        <v/>
      </c>
      <c r="L876" s="257">
        <f>IF(OR(I876=0,J876=0),0,ROUND((J876-I876)*24,2))</f>
        <v/>
      </c>
      <c r="M876" s="254">
        <f>IFERROR(TRIM(MID(A876,FIND("@",SUBSTITUTE(A876,"(","@",LEN(A876)-LEN(SUBSTITUTE(A876,"(",""))))+1,FIND(")",A876,FIND("@",SUBSTITUTE(A876,"(","@",LEN(A876)-LEN(SUBSTITUTE(A876,"(","")))))-FIND("@",SUBSTITUTE(A876,"(","@",LEN(A876)-LEN(SUBSTITUTE(A876,"(",""))))-1)),"")</f>
        <v/>
      </c>
      <c r="N876" s="254">
        <f>IF(A876="","",IF(LEFT(TRIM(A876),5)="Leave","Leave",IF(OR(ISNUMBER(SEARCH("public holiday",A876)),ISNUMBER(SEARCH("Purple",E876))),"Public holiday","Event")))</f>
        <v/>
      </c>
    </row>
    <row r="877">
      <c r="G877" s="254">
        <f>IF(C877="","",IF(ISNUMBER(C877),C877,IF(ISNUMBER(VALUE(LEFT(TRIM(C877),1))),TRIM(C877),TRIM(MID(TRIM(C877),FIND(" ",TRIM(C877))+1,99)))))</f>
        <v/>
      </c>
      <c r="H877" s="254">
        <f>IF(D877="","",IF(ISNUMBER(D877),D877,IF(ISNUMBER(VALUE(LEFT(TRIM(D877),1))),TRIM(D877),TRIM(MID(TRIM(D877),FIND(" ",TRIM(D877))+1,99)))))</f>
        <v/>
      </c>
      <c r="I877" s="255">
        <f>IF(G877="",0,IF(ISNUMBER(G877),G877,IFERROR(DATE(VALUE(MID(G877,FIND("/",G877,FIND("/",G877)+1)+1,4)),VALUE(MID(G877,FIND("/",G877)+1,FIND("/",G877,FIND("/",G877)+1)-FIND("/",G877)-1)),VALUE(LEFT(G877,FIND("/",G877)-1)))+IFERROR(TIMEVALUE(TRIM(MID(G877,FIND(" ",G877)+1,20))),0),0)))</f>
        <v/>
      </c>
      <c r="J877" s="255">
        <f>IF(H877="",0,IF(ISNUMBER(H877),H877,IFERROR(DATE(VALUE(MID(H877,FIND("/",H877,FIND("/",H877)+1)+1,4)),VALUE(MID(H877,FIND("/",H877)+1,FIND("/",H877,FIND("/",H877)+1)-FIND("/",H877)-1)),VALUE(LEFT(H877,FIND("/",H877)-1)))+IFERROR(TIMEVALUE(TRIM(MID(H877,FIND(" ",H877)+1,20))),0),0)))</f>
        <v/>
      </c>
      <c r="K877" s="256">
        <f>IF(I877=0,0,INT(I877))</f>
        <v/>
      </c>
      <c r="L877" s="257">
        <f>IF(OR(I877=0,J877=0),0,ROUND((J877-I877)*24,2))</f>
        <v/>
      </c>
      <c r="M877" s="254">
        <f>IFERROR(TRIM(MID(A877,FIND("@",SUBSTITUTE(A877,"(","@",LEN(A877)-LEN(SUBSTITUTE(A877,"(",""))))+1,FIND(")",A877,FIND("@",SUBSTITUTE(A877,"(","@",LEN(A877)-LEN(SUBSTITUTE(A877,"(","")))))-FIND("@",SUBSTITUTE(A877,"(","@",LEN(A877)-LEN(SUBSTITUTE(A877,"(",""))))-1)),"")</f>
        <v/>
      </c>
      <c r="N877" s="254">
        <f>IF(A877="","",IF(LEFT(TRIM(A877),5)="Leave","Leave",IF(OR(ISNUMBER(SEARCH("public holiday",A877)),ISNUMBER(SEARCH("Purple",E877))),"Public holiday","Event")))</f>
        <v/>
      </c>
    </row>
    <row r="878">
      <c r="G878" s="254">
        <f>IF(C878="","",IF(ISNUMBER(C878),C878,IF(ISNUMBER(VALUE(LEFT(TRIM(C878),1))),TRIM(C878),TRIM(MID(TRIM(C878),FIND(" ",TRIM(C878))+1,99)))))</f>
        <v/>
      </c>
      <c r="H878" s="254">
        <f>IF(D878="","",IF(ISNUMBER(D878),D878,IF(ISNUMBER(VALUE(LEFT(TRIM(D878),1))),TRIM(D878),TRIM(MID(TRIM(D878),FIND(" ",TRIM(D878))+1,99)))))</f>
        <v/>
      </c>
      <c r="I878" s="255">
        <f>IF(G878="",0,IF(ISNUMBER(G878),G878,IFERROR(DATE(VALUE(MID(G878,FIND("/",G878,FIND("/",G878)+1)+1,4)),VALUE(MID(G878,FIND("/",G878)+1,FIND("/",G878,FIND("/",G878)+1)-FIND("/",G878)-1)),VALUE(LEFT(G878,FIND("/",G878)-1)))+IFERROR(TIMEVALUE(TRIM(MID(G878,FIND(" ",G878)+1,20))),0),0)))</f>
        <v/>
      </c>
      <c r="J878" s="255">
        <f>IF(H878="",0,IF(ISNUMBER(H878),H878,IFERROR(DATE(VALUE(MID(H878,FIND("/",H878,FIND("/",H878)+1)+1,4)),VALUE(MID(H878,FIND("/",H878)+1,FIND("/",H878,FIND("/",H878)+1)-FIND("/",H878)-1)),VALUE(LEFT(H878,FIND("/",H878)-1)))+IFERROR(TIMEVALUE(TRIM(MID(H878,FIND(" ",H878)+1,20))),0),0)))</f>
        <v/>
      </c>
      <c r="K878" s="256">
        <f>IF(I878=0,0,INT(I878))</f>
        <v/>
      </c>
      <c r="L878" s="257">
        <f>IF(OR(I878=0,J878=0),0,ROUND((J878-I878)*24,2))</f>
        <v/>
      </c>
      <c r="M878" s="254">
        <f>IFERROR(TRIM(MID(A878,FIND("@",SUBSTITUTE(A878,"(","@",LEN(A878)-LEN(SUBSTITUTE(A878,"(",""))))+1,FIND(")",A878,FIND("@",SUBSTITUTE(A878,"(","@",LEN(A878)-LEN(SUBSTITUTE(A878,"(","")))))-FIND("@",SUBSTITUTE(A878,"(","@",LEN(A878)-LEN(SUBSTITUTE(A878,"(",""))))-1)),"")</f>
        <v/>
      </c>
      <c r="N878" s="254">
        <f>IF(A878="","",IF(LEFT(TRIM(A878),5)="Leave","Leave",IF(OR(ISNUMBER(SEARCH("public holiday",A878)),ISNUMBER(SEARCH("Purple",E878))),"Public holiday","Event")))</f>
        <v/>
      </c>
    </row>
    <row r="879">
      <c r="G879" s="254">
        <f>IF(C879="","",IF(ISNUMBER(C879),C879,IF(ISNUMBER(VALUE(LEFT(TRIM(C879),1))),TRIM(C879),TRIM(MID(TRIM(C879),FIND(" ",TRIM(C879))+1,99)))))</f>
        <v/>
      </c>
      <c r="H879" s="254">
        <f>IF(D879="","",IF(ISNUMBER(D879),D879,IF(ISNUMBER(VALUE(LEFT(TRIM(D879),1))),TRIM(D879),TRIM(MID(TRIM(D879),FIND(" ",TRIM(D879))+1,99)))))</f>
        <v/>
      </c>
      <c r="I879" s="255">
        <f>IF(G879="",0,IF(ISNUMBER(G879),G879,IFERROR(DATE(VALUE(MID(G879,FIND("/",G879,FIND("/",G879)+1)+1,4)),VALUE(MID(G879,FIND("/",G879)+1,FIND("/",G879,FIND("/",G879)+1)-FIND("/",G879)-1)),VALUE(LEFT(G879,FIND("/",G879)-1)))+IFERROR(TIMEVALUE(TRIM(MID(G879,FIND(" ",G879)+1,20))),0),0)))</f>
        <v/>
      </c>
      <c r="J879" s="255">
        <f>IF(H879="",0,IF(ISNUMBER(H879),H879,IFERROR(DATE(VALUE(MID(H879,FIND("/",H879,FIND("/",H879)+1)+1,4)),VALUE(MID(H879,FIND("/",H879)+1,FIND("/",H879,FIND("/",H879)+1)-FIND("/",H879)-1)),VALUE(LEFT(H879,FIND("/",H879)-1)))+IFERROR(TIMEVALUE(TRIM(MID(H879,FIND(" ",H879)+1,20))),0),0)))</f>
        <v/>
      </c>
      <c r="K879" s="256">
        <f>IF(I879=0,0,INT(I879))</f>
        <v/>
      </c>
      <c r="L879" s="257">
        <f>IF(OR(I879=0,J879=0),0,ROUND((J879-I879)*24,2))</f>
        <v/>
      </c>
      <c r="M879" s="254">
        <f>IFERROR(TRIM(MID(A879,FIND("@",SUBSTITUTE(A879,"(","@",LEN(A879)-LEN(SUBSTITUTE(A879,"(",""))))+1,FIND(")",A879,FIND("@",SUBSTITUTE(A879,"(","@",LEN(A879)-LEN(SUBSTITUTE(A879,"(","")))))-FIND("@",SUBSTITUTE(A879,"(","@",LEN(A879)-LEN(SUBSTITUTE(A879,"(",""))))-1)),"")</f>
        <v/>
      </c>
      <c r="N879" s="254">
        <f>IF(A879="","",IF(LEFT(TRIM(A879),5)="Leave","Leave",IF(OR(ISNUMBER(SEARCH("public holiday",A879)),ISNUMBER(SEARCH("Purple",E879))),"Public holiday","Event")))</f>
        <v/>
      </c>
    </row>
    <row r="880">
      <c r="G880" s="254">
        <f>IF(C880="","",IF(ISNUMBER(C880),C880,IF(ISNUMBER(VALUE(LEFT(TRIM(C880),1))),TRIM(C880),TRIM(MID(TRIM(C880),FIND(" ",TRIM(C880))+1,99)))))</f>
        <v/>
      </c>
      <c r="H880" s="254">
        <f>IF(D880="","",IF(ISNUMBER(D880),D880,IF(ISNUMBER(VALUE(LEFT(TRIM(D880),1))),TRIM(D880),TRIM(MID(TRIM(D880),FIND(" ",TRIM(D880))+1,99)))))</f>
        <v/>
      </c>
      <c r="I880" s="255">
        <f>IF(G880="",0,IF(ISNUMBER(G880),G880,IFERROR(DATE(VALUE(MID(G880,FIND("/",G880,FIND("/",G880)+1)+1,4)),VALUE(MID(G880,FIND("/",G880)+1,FIND("/",G880,FIND("/",G880)+1)-FIND("/",G880)-1)),VALUE(LEFT(G880,FIND("/",G880)-1)))+IFERROR(TIMEVALUE(TRIM(MID(G880,FIND(" ",G880)+1,20))),0),0)))</f>
        <v/>
      </c>
      <c r="J880" s="255">
        <f>IF(H880="",0,IF(ISNUMBER(H880),H880,IFERROR(DATE(VALUE(MID(H880,FIND("/",H880,FIND("/",H880)+1)+1,4)),VALUE(MID(H880,FIND("/",H880)+1,FIND("/",H880,FIND("/",H880)+1)-FIND("/",H880)-1)),VALUE(LEFT(H880,FIND("/",H880)-1)))+IFERROR(TIMEVALUE(TRIM(MID(H880,FIND(" ",H880)+1,20))),0),0)))</f>
        <v/>
      </c>
      <c r="K880" s="256">
        <f>IF(I880=0,0,INT(I880))</f>
        <v/>
      </c>
      <c r="L880" s="257">
        <f>IF(OR(I880=0,J880=0),0,ROUND((J880-I880)*24,2))</f>
        <v/>
      </c>
      <c r="M880" s="254">
        <f>IFERROR(TRIM(MID(A880,FIND("@",SUBSTITUTE(A880,"(","@",LEN(A880)-LEN(SUBSTITUTE(A880,"(",""))))+1,FIND(")",A880,FIND("@",SUBSTITUTE(A880,"(","@",LEN(A880)-LEN(SUBSTITUTE(A880,"(","")))))-FIND("@",SUBSTITUTE(A880,"(","@",LEN(A880)-LEN(SUBSTITUTE(A880,"(",""))))-1)),"")</f>
        <v/>
      </c>
      <c r="N880" s="254">
        <f>IF(A880="","",IF(LEFT(TRIM(A880),5)="Leave","Leave",IF(OR(ISNUMBER(SEARCH("public holiday",A880)),ISNUMBER(SEARCH("Purple",E880))),"Public holiday","Event")))</f>
        <v/>
      </c>
    </row>
    <row r="881">
      <c r="G881" s="254">
        <f>IF(C881="","",IF(ISNUMBER(C881),C881,IF(ISNUMBER(VALUE(LEFT(TRIM(C881),1))),TRIM(C881),TRIM(MID(TRIM(C881),FIND(" ",TRIM(C881))+1,99)))))</f>
        <v/>
      </c>
      <c r="H881" s="254">
        <f>IF(D881="","",IF(ISNUMBER(D881),D881,IF(ISNUMBER(VALUE(LEFT(TRIM(D881),1))),TRIM(D881),TRIM(MID(TRIM(D881),FIND(" ",TRIM(D881))+1,99)))))</f>
        <v/>
      </c>
      <c r="I881" s="255">
        <f>IF(G881="",0,IF(ISNUMBER(G881),G881,IFERROR(DATE(VALUE(MID(G881,FIND("/",G881,FIND("/",G881)+1)+1,4)),VALUE(MID(G881,FIND("/",G881)+1,FIND("/",G881,FIND("/",G881)+1)-FIND("/",G881)-1)),VALUE(LEFT(G881,FIND("/",G881)-1)))+IFERROR(TIMEVALUE(TRIM(MID(G881,FIND(" ",G881)+1,20))),0),0)))</f>
        <v/>
      </c>
      <c r="J881" s="255">
        <f>IF(H881="",0,IF(ISNUMBER(H881),H881,IFERROR(DATE(VALUE(MID(H881,FIND("/",H881,FIND("/",H881)+1)+1,4)),VALUE(MID(H881,FIND("/",H881)+1,FIND("/",H881,FIND("/",H881)+1)-FIND("/",H881)-1)),VALUE(LEFT(H881,FIND("/",H881)-1)))+IFERROR(TIMEVALUE(TRIM(MID(H881,FIND(" ",H881)+1,20))),0),0)))</f>
        <v/>
      </c>
      <c r="K881" s="256">
        <f>IF(I881=0,0,INT(I881))</f>
        <v/>
      </c>
      <c r="L881" s="257">
        <f>IF(OR(I881=0,J881=0),0,ROUND((J881-I881)*24,2))</f>
        <v/>
      </c>
      <c r="M881" s="254">
        <f>IFERROR(TRIM(MID(A881,FIND("@",SUBSTITUTE(A881,"(","@",LEN(A881)-LEN(SUBSTITUTE(A881,"(",""))))+1,FIND(")",A881,FIND("@",SUBSTITUTE(A881,"(","@",LEN(A881)-LEN(SUBSTITUTE(A881,"(","")))))-FIND("@",SUBSTITUTE(A881,"(","@",LEN(A881)-LEN(SUBSTITUTE(A881,"(",""))))-1)),"")</f>
        <v/>
      </c>
      <c r="N881" s="254">
        <f>IF(A881="","",IF(LEFT(TRIM(A881),5)="Leave","Leave",IF(OR(ISNUMBER(SEARCH("public holiday",A881)),ISNUMBER(SEARCH("Purple",E881))),"Public holiday","Event")))</f>
        <v/>
      </c>
    </row>
    <row r="882">
      <c r="G882" s="254">
        <f>IF(C882="","",IF(ISNUMBER(C882),C882,IF(ISNUMBER(VALUE(LEFT(TRIM(C882),1))),TRIM(C882),TRIM(MID(TRIM(C882),FIND(" ",TRIM(C882))+1,99)))))</f>
        <v/>
      </c>
      <c r="H882" s="254">
        <f>IF(D882="","",IF(ISNUMBER(D882),D882,IF(ISNUMBER(VALUE(LEFT(TRIM(D882),1))),TRIM(D882),TRIM(MID(TRIM(D882),FIND(" ",TRIM(D882))+1,99)))))</f>
        <v/>
      </c>
      <c r="I882" s="255">
        <f>IF(G882="",0,IF(ISNUMBER(G882),G882,IFERROR(DATE(VALUE(MID(G882,FIND("/",G882,FIND("/",G882)+1)+1,4)),VALUE(MID(G882,FIND("/",G882)+1,FIND("/",G882,FIND("/",G882)+1)-FIND("/",G882)-1)),VALUE(LEFT(G882,FIND("/",G882)-1)))+IFERROR(TIMEVALUE(TRIM(MID(G882,FIND(" ",G882)+1,20))),0),0)))</f>
        <v/>
      </c>
      <c r="J882" s="255">
        <f>IF(H882="",0,IF(ISNUMBER(H882),H882,IFERROR(DATE(VALUE(MID(H882,FIND("/",H882,FIND("/",H882)+1)+1,4)),VALUE(MID(H882,FIND("/",H882)+1,FIND("/",H882,FIND("/",H882)+1)-FIND("/",H882)-1)),VALUE(LEFT(H882,FIND("/",H882)-1)))+IFERROR(TIMEVALUE(TRIM(MID(H882,FIND(" ",H882)+1,20))),0),0)))</f>
        <v/>
      </c>
      <c r="K882" s="256">
        <f>IF(I882=0,0,INT(I882))</f>
        <v/>
      </c>
      <c r="L882" s="257">
        <f>IF(OR(I882=0,J882=0),0,ROUND((J882-I882)*24,2))</f>
        <v/>
      </c>
      <c r="M882" s="254">
        <f>IFERROR(TRIM(MID(A882,FIND("@",SUBSTITUTE(A882,"(","@",LEN(A882)-LEN(SUBSTITUTE(A882,"(",""))))+1,FIND(")",A882,FIND("@",SUBSTITUTE(A882,"(","@",LEN(A882)-LEN(SUBSTITUTE(A882,"(","")))))-FIND("@",SUBSTITUTE(A882,"(","@",LEN(A882)-LEN(SUBSTITUTE(A882,"(",""))))-1)),"")</f>
        <v/>
      </c>
      <c r="N882" s="254">
        <f>IF(A882="","",IF(LEFT(TRIM(A882),5)="Leave","Leave",IF(OR(ISNUMBER(SEARCH("public holiday",A882)),ISNUMBER(SEARCH("Purple",E882))),"Public holiday","Event")))</f>
        <v/>
      </c>
    </row>
    <row r="883">
      <c r="G883" s="254">
        <f>IF(C883="","",IF(ISNUMBER(C883),C883,IF(ISNUMBER(VALUE(LEFT(TRIM(C883),1))),TRIM(C883),TRIM(MID(TRIM(C883),FIND(" ",TRIM(C883))+1,99)))))</f>
        <v/>
      </c>
      <c r="H883" s="254">
        <f>IF(D883="","",IF(ISNUMBER(D883),D883,IF(ISNUMBER(VALUE(LEFT(TRIM(D883),1))),TRIM(D883),TRIM(MID(TRIM(D883),FIND(" ",TRIM(D883))+1,99)))))</f>
        <v/>
      </c>
      <c r="I883" s="255">
        <f>IF(G883="",0,IF(ISNUMBER(G883),G883,IFERROR(DATE(VALUE(MID(G883,FIND("/",G883,FIND("/",G883)+1)+1,4)),VALUE(MID(G883,FIND("/",G883)+1,FIND("/",G883,FIND("/",G883)+1)-FIND("/",G883)-1)),VALUE(LEFT(G883,FIND("/",G883)-1)))+IFERROR(TIMEVALUE(TRIM(MID(G883,FIND(" ",G883)+1,20))),0),0)))</f>
        <v/>
      </c>
      <c r="J883" s="255">
        <f>IF(H883="",0,IF(ISNUMBER(H883),H883,IFERROR(DATE(VALUE(MID(H883,FIND("/",H883,FIND("/",H883)+1)+1,4)),VALUE(MID(H883,FIND("/",H883)+1,FIND("/",H883,FIND("/",H883)+1)-FIND("/",H883)-1)),VALUE(LEFT(H883,FIND("/",H883)-1)))+IFERROR(TIMEVALUE(TRIM(MID(H883,FIND(" ",H883)+1,20))),0),0)))</f>
        <v/>
      </c>
      <c r="K883" s="256">
        <f>IF(I883=0,0,INT(I883))</f>
        <v/>
      </c>
      <c r="L883" s="257">
        <f>IF(OR(I883=0,J883=0),0,ROUND((J883-I883)*24,2))</f>
        <v/>
      </c>
      <c r="M883" s="254">
        <f>IFERROR(TRIM(MID(A883,FIND("@",SUBSTITUTE(A883,"(","@",LEN(A883)-LEN(SUBSTITUTE(A883,"(",""))))+1,FIND(")",A883,FIND("@",SUBSTITUTE(A883,"(","@",LEN(A883)-LEN(SUBSTITUTE(A883,"(","")))))-FIND("@",SUBSTITUTE(A883,"(","@",LEN(A883)-LEN(SUBSTITUTE(A883,"(",""))))-1)),"")</f>
        <v/>
      </c>
      <c r="N883" s="254">
        <f>IF(A883="","",IF(LEFT(TRIM(A883),5)="Leave","Leave",IF(OR(ISNUMBER(SEARCH("public holiday",A883)),ISNUMBER(SEARCH("Purple",E883))),"Public holiday","Event")))</f>
        <v/>
      </c>
    </row>
    <row r="884">
      <c r="G884" s="254">
        <f>IF(C884="","",IF(ISNUMBER(C884),C884,IF(ISNUMBER(VALUE(LEFT(TRIM(C884),1))),TRIM(C884),TRIM(MID(TRIM(C884),FIND(" ",TRIM(C884))+1,99)))))</f>
        <v/>
      </c>
      <c r="H884" s="254">
        <f>IF(D884="","",IF(ISNUMBER(D884),D884,IF(ISNUMBER(VALUE(LEFT(TRIM(D884),1))),TRIM(D884),TRIM(MID(TRIM(D884),FIND(" ",TRIM(D884))+1,99)))))</f>
        <v/>
      </c>
      <c r="I884" s="255">
        <f>IF(G884="",0,IF(ISNUMBER(G884),G884,IFERROR(DATE(VALUE(MID(G884,FIND("/",G884,FIND("/",G884)+1)+1,4)),VALUE(MID(G884,FIND("/",G884)+1,FIND("/",G884,FIND("/",G884)+1)-FIND("/",G884)-1)),VALUE(LEFT(G884,FIND("/",G884)-1)))+IFERROR(TIMEVALUE(TRIM(MID(G884,FIND(" ",G884)+1,20))),0),0)))</f>
        <v/>
      </c>
      <c r="J884" s="255">
        <f>IF(H884="",0,IF(ISNUMBER(H884),H884,IFERROR(DATE(VALUE(MID(H884,FIND("/",H884,FIND("/",H884)+1)+1,4)),VALUE(MID(H884,FIND("/",H884)+1,FIND("/",H884,FIND("/",H884)+1)-FIND("/",H884)-1)),VALUE(LEFT(H884,FIND("/",H884)-1)))+IFERROR(TIMEVALUE(TRIM(MID(H884,FIND(" ",H884)+1,20))),0),0)))</f>
        <v/>
      </c>
      <c r="K884" s="256">
        <f>IF(I884=0,0,INT(I884))</f>
        <v/>
      </c>
      <c r="L884" s="257">
        <f>IF(OR(I884=0,J884=0),0,ROUND((J884-I884)*24,2))</f>
        <v/>
      </c>
      <c r="M884" s="254">
        <f>IFERROR(TRIM(MID(A884,FIND("@",SUBSTITUTE(A884,"(","@",LEN(A884)-LEN(SUBSTITUTE(A884,"(",""))))+1,FIND(")",A884,FIND("@",SUBSTITUTE(A884,"(","@",LEN(A884)-LEN(SUBSTITUTE(A884,"(","")))))-FIND("@",SUBSTITUTE(A884,"(","@",LEN(A884)-LEN(SUBSTITUTE(A884,"(",""))))-1)),"")</f>
        <v/>
      </c>
      <c r="N884" s="254">
        <f>IF(A884="","",IF(LEFT(TRIM(A884),5)="Leave","Leave",IF(OR(ISNUMBER(SEARCH("public holiday",A884)),ISNUMBER(SEARCH("Purple",E884))),"Public holiday","Event")))</f>
        <v/>
      </c>
    </row>
    <row r="885">
      <c r="G885" s="254">
        <f>IF(C885="","",IF(ISNUMBER(C885),C885,IF(ISNUMBER(VALUE(LEFT(TRIM(C885),1))),TRIM(C885),TRIM(MID(TRIM(C885),FIND(" ",TRIM(C885))+1,99)))))</f>
        <v/>
      </c>
      <c r="H885" s="254">
        <f>IF(D885="","",IF(ISNUMBER(D885),D885,IF(ISNUMBER(VALUE(LEFT(TRIM(D885),1))),TRIM(D885),TRIM(MID(TRIM(D885),FIND(" ",TRIM(D885))+1,99)))))</f>
        <v/>
      </c>
      <c r="I885" s="255">
        <f>IF(G885="",0,IF(ISNUMBER(G885),G885,IFERROR(DATE(VALUE(MID(G885,FIND("/",G885,FIND("/",G885)+1)+1,4)),VALUE(MID(G885,FIND("/",G885)+1,FIND("/",G885,FIND("/",G885)+1)-FIND("/",G885)-1)),VALUE(LEFT(G885,FIND("/",G885)-1)))+IFERROR(TIMEVALUE(TRIM(MID(G885,FIND(" ",G885)+1,20))),0),0)))</f>
        <v/>
      </c>
      <c r="J885" s="255">
        <f>IF(H885="",0,IF(ISNUMBER(H885),H885,IFERROR(DATE(VALUE(MID(H885,FIND("/",H885,FIND("/",H885)+1)+1,4)),VALUE(MID(H885,FIND("/",H885)+1,FIND("/",H885,FIND("/",H885)+1)-FIND("/",H885)-1)),VALUE(LEFT(H885,FIND("/",H885)-1)))+IFERROR(TIMEVALUE(TRIM(MID(H885,FIND(" ",H885)+1,20))),0),0)))</f>
        <v/>
      </c>
      <c r="K885" s="256">
        <f>IF(I885=0,0,INT(I885))</f>
        <v/>
      </c>
      <c r="L885" s="257">
        <f>IF(OR(I885=0,J885=0),0,ROUND((J885-I885)*24,2))</f>
        <v/>
      </c>
      <c r="M885" s="254">
        <f>IFERROR(TRIM(MID(A885,FIND("@",SUBSTITUTE(A885,"(","@",LEN(A885)-LEN(SUBSTITUTE(A885,"(",""))))+1,FIND(")",A885,FIND("@",SUBSTITUTE(A885,"(","@",LEN(A885)-LEN(SUBSTITUTE(A885,"(","")))))-FIND("@",SUBSTITUTE(A885,"(","@",LEN(A885)-LEN(SUBSTITUTE(A885,"(",""))))-1)),"")</f>
        <v/>
      </c>
      <c r="N885" s="254">
        <f>IF(A885="","",IF(LEFT(TRIM(A885),5)="Leave","Leave",IF(OR(ISNUMBER(SEARCH("public holiday",A885)),ISNUMBER(SEARCH("Purple",E885))),"Public holiday","Event")))</f>
        <v/>
      </c>
    </row>
    <row r="886">
      <c r="G886" s="254">
        <f>IF(C886="","",IF(ISNUMBER(C886),C886,IF(ISNUMBER(VALUE(LEFT(TRIM(C886),1))),TRIM(C886),TRIM(MID(TRIM(C886),FIND(" ",TRIM(C886))+1,99)))))</f>
        <v/>
      </c>
      <c r="H886" s="254">
        <f>IF(D886="","",IF(ISNUMBER(D886),D886,IF(ISNUMBER(VALUE(LEFT(TRIM(D886),1))),TRIM(D886),TRIM(MID(TRIM(D886),FIND(" ",TRIM(D886))+1,99)))))</f>
        <v/>
      </c>
      <c r="I886" s="255">
        <f>IF(G886="",0,IF(ISNUMBER(G886),G886,IFERROR(DATE(VALUE(MID(G886,FIND("/",G886,FIND("/",G886)+1)+1,4)),VALUE(MID(G886,FIND("/",G886)+1,FIND("/",G886,FIND("/",G886)+1)-FIND("/",G886)-1)),VALUE(LEFT(G886,FIND("/",G886)-1)))+IFERROR(TIMEVALUE(TRIM(MID(G886,FIND(" ",G886)+1,20))),0),0)))</f>
        <v/>
      </c>
      <c r="J886" s="255">
        <f>IF(H886="",0,IF(ISNUMBER(H886),H886,IFERROR(DATE(VALUE(MID(H886,FIND("/",H886,FIND("/",H886)+1)+1,4)),VALUE(MID(H886,FIND("/",H886)+1,FIND("/",H886,FIND("/",H886)+1)-FIND("/",H886)-1)),VALUE(LEFT(H886,FIND("/",H886)-1)))+IFERROR(TIMEVALUE(TRIM(MID(H886,FIND(" ",H886)+1,20))),0),0)))</f>
        <v/>
      </c>
      <c r="K886" s="256">
        <f>IF(I886=0,0,INT(I886))</f>
        <v/>
      </c>
      <c r="L886" s="257">
        <f>IF(OR(I886=0,J886=0),0,ROUND((J886-I886)*24,2))</f>
        <v/>
      </c>
      <c r="M886" s="254">
        <f>IFERROR(TRIM(MID(A886,FIND("@",SUBSTITUTE(A886,"(","@",LEN(A886)-LEN(SUBSTITUTE(A886,"(",""))))+1,FIND(")",A886,FIND("@",SUBSTITUTE(A886,"(","@",LEN(A886)-LEN(SUBSTITUTE(A886,"(","")))))-FIND("@",SUBSTITUTE(A886,"(","@",LEN(A886)-LEN(SUBSTITUTE(A886,"(",""))))-1)),"")</f>
        <v/>
      </c>
      <c r="N886" s="254">
        <f>IF(A886="","",IF(LEFT(TRIM(A886),5)="Leave","Leave",IF(OR(ISNUMBER(SEARCH("public holiday",A886)),ISNUMBER(SEARCH("Purple",E886))),"Public holiday","Event")))</f>
        <v/>
      </c>
    </row>
    <row r="887">
      <c r="G887" s="254">
        <f>IF(C887="","",IF(ISNUMBER(C887),C887,IF(ISNUMBER(VALUE(LEFT(TRIM(C887),1))),TRIM(C887),TRIM(MID(TRIM(C887),FIND(" ",TRIM(C887))+1,99)))))</f>
        <v/>
      </c>
      <c r="H887" s="254">
        <f>IF(D887="","",IF(ISNUMBER(D887),D887,IF(ISNUMBER(VALUE(LEFT(TRIM(D887),1))),TRIM(D887),TRIM(MID(TRIM(D887),FIND(" ",TRIM(D887))+1,99)))))</f>
        <v/>
      </c>
      <c r="I887" s="255">
        <f>IF(G887="",0,IF(ISNUMBER(G887),G887,IFERROR(DATE(VALUE(MID(G887,FIND("/",G887,FIND("/",G887)+1)+1,4)),VALUE(MID(G887,FIND("/",G887)+1,FIND("/",G887,FIND("/",G887)+1)-FIND("/",G887)-1)),VALUE(LEFT(G887,FIND("/",G887)-1)))+IFERROR(TIMEVALUE(TRIM(MID(G887,FIND(" ",G887)+1,20))),0),0)))</f>
        <v/>
      </c>
      <c r="J887" s="255">
        <f>IF(H887="",0,IF(ISNUMBER(H887),H887,IFERROR(DATE(VALUE(MID(H887,FIND("/",H887,FIND("/",H887)+1)+1,4)),VALUE(MID(H887,FIND("/",H887)+1,FIND("/",H887,FIND("/",H887)+1)-FIND("/",H887)-1)),VALUE(LEFT(H887,FIND("/",H887)-1)))+IFERROR(TIMEVALUE(TRIM(MID(H887,FIND(" ",H887)+1,20))),0),0)))</f>
        <v/>
      </c>
      <c r="K887" s="256">
        <f>IF(I887=0,0,INT(I887))</f>
        <v/>
      </c>
      <c r="L887" s="257">
        <f>IF(OR(I887=0,J887=0),0,ROUND((J887-I887)*24,2))</f>
        <v/>
      </c>
      <c r="M887" s="254">
        <f>IFERROR(TRIM(MID(A887,FIND("@",SUBSTITUTE(A887,"(","@",LEN(A887)-LEN(SUBSTITUTE(A887,"(",""))))+1,FIND(")",A887,FIND("@",SUBSTITUTE(A887,"(","@",LEN(A887)-LEN(SUBSTITUTE(A887,"(","")))))-FIND("@",SUBSTITUTE(A887,"(","@",LEN(A887)-LEN(SUBSTITUTE(A887,"(",""))))-1)),"")</f>
        <v/>
      </c>
      <c r="N887" s="254">
        <f>IF(A887="","",IF(LEFT(TRIM(A887),5)="Leave","Leave",IF(OR(ISNUMBER(SEARCH("public holiday",A887)),ISNUMBER(SEARCH("Purple",E887))),"Public holiday","Event")))</f>
        <v/>
      </c>
    </row>
    <row r="888">
      <c r="G888" s="254">
        <f>IF(C888="","",IF(ISNUMBER(C888),C888,IF(ISNUMBER(VALUE(LEFT(TRIM(C888),1))),TRIM(C888),TRIM(MID(TRIM(C888),FIND(" ",TRIM(C888))+1,99)))))</f>
        <v/>
      </c>
      <c r="H888" s="254">
        <f>IF(D888="","",IF(ISNUMBER(D888),D888,IF(ISNUMBER(VALUE(LEFT(TRIM(D888),1))),TRIM(D888),TRIM(MID(TRIM(D888),FIND(" ",TRIM(D888))+1,99)))))</f>
        <v/>
      </c>
      <c r="I888" s="255">
        <f>IF(G888="",0,IF(ISNUMBER(G888),G888,IFERROR(DATE(VALUE(MID(G888,FIND("/",G888,FIND("/",G888)+1)+1,4)),VALUE(MID(G888,FIND("/",G888)+1,FIND("/",G888,FIND("/",G888)+1)-FIND("/",G888)-1)),VALUE(LEFT(G888,FIND("/",G888)-1)))+IFERROR(TIMEVALUE(TRIM(MID(G888,FIND(" ",G888)+1,20))),0),0)))</f>
        <v/>
      </c>
      <c r="J888" s="255">
        <f>IF(H888="",0,IF(ISNUMBER(H888),H888,IFERROR(DATE(VALUE(MID(H888,FIND("/",H888,FIND("/",H888)+1)+1,4)),VALUE(MID(H888,FIND("/",H888)+1,FIND("/",H888,FIND("/",H888)+1)-FIND("/",H888)-1)),VALUE(LEFT(H888,FIND("/",H888)-1)))+IFERROR(TIMEVALUE(TRIM(MID(H888,FIND(" ",H888)+1,20))),0),0)))</f>
        <v/>
      </c>
      <c r="K888" s="256">
        <f>IF(I888=0,0,INT(I888))</f>
        <v/>
      </c>
      <c r="L888" s="257">
        <f>IF(OR(I888=0,J888=0),0,ROUND((J888-I888)*24,2))</f>
        <v/>
      </c>
      <c r="M888" s="254">
        <f>IFERROR(TRIM(MID(A888,FIND("@",SUBSTITUTE(A888,"(","@",LEN(A888)-LEN(SUBSTITUTE(A888,"(",""))))+1,FIND(")",A888,FIND("@",SUBSTITUTE(A888,"(","@",LEN(A888)-LEN(SUBSTITUTE(A888,"(","")))))-FIND("@",SUBSTITUTE(A888,"(","@",LEN(A888)-LEN(SUBSTITUTE(A888,"(",""))))-1)),"")</f>
        <v/>
      </c>
      <c r="N888" s="254">
        <f>IF(A888="","",IF(LEFT(TRIM(A888),5)="Leave","Leave",IF(OR(ISNUMBER(SEARCH("public holiday",A888)),ISNUMBER(SEARCH("Purple",E888))),"Public holiday","Event")))</f>
        <v/>
      </c>
    </row>
    <row r="889">
      <c r="G889" s="254">
        <f>IF(C889="","",IF(ISNUMBER(C889),C889,IF(ISNUMBER(VALUE(LEFT(TRIM(C889),1))),TRIM(C889),TRIM(MID(TRIM(C889),FIND(" ",TRIM(C889))+1,99)))))</f>
        <v/>
      </c>
      <c r="H889" s="254">
        <f>IF(D889="","",IF(ISNUMBER(D889),D889,IF(ISNUMBER(VALUE(LEFT(TRIM(D889),1))),TRIM(D889),TRIM(MID(TRIM(D889),FIND(" ",TRIM(D889))+1,99)))))</f>
        <v/>
      </c>
      <c r="I889" s="255">
        <f>IF(G889="",0,IF(ISNUMBER(G889),G889,IFERROR(DATE(VALUE(MID(G889,FIND("/",G889,FIND("/",G889)+1)+1,4)),VALUE(MID(G889,FIND("/",G889)+1,FIND("/",G889,FIND("/",G889)+1)-FIND("/",G889)-1)),VALUE(LEFT(G889,FIND("/",G889)-1)))+IFERROR(TIMEVALUE(TRIM(MID(G889,FIND(" ",G889)+1,20))),0),0)))</f>
        <v/>
      </c>
      <c r="J889" s="255">
        <f>IF(H889="",0,IF(ISNUMBER(H889),H889,IFERROR(DATE(VALUE(MID(H889,FIND("/",H889,FIND("/",H889)+1)+1,4)),VALUE(MID(H889,FIND("/",H889)+1,FIND("/",H889,FIND("/",H889)+1)-FIND("/",H889)-1)),VALUE(LEFT(H889,FIND("/",H889)-1)))+IFERROR(TIMEVALUE(TRIM(MID(H889,FIND(" ",H889)+1,20))),0),0)))</f>
        <v/>
      </c>
      <c r="K889" s="256">
        <f>IF(I889=0,0,INT(I889))</f>
        <v/>
      </c>
      <c r="L889" s="257">
        <f>IF(OR(I889=0,J889=0),0,ROUND((J889-I889)*24,2))</f>
        <v/>
      </c>
      <c r="M889" s="254">
        <f>IFERROR(TRIM(MID(A889,FIND("@",SUBSTITUTE(A889,"(","@",LEN(A889)-LEN(SUBSTITUTE(A889,"(",""))))+1,FIND(")",A889,FIND("@",SUBSTITUTE(A889,"(","@",LEN(A889)-LEN(SUBSTITUTE(A889,"(","")))))-FIND("@",SUBSTITUTE(A889,"(","@",LEN(A889)-LEN(SUBSTITUTE(A889,"(",""))))-1)),"")</f>
        <v/>
      </c>
      <c r="N889" s="254">
        <f>IF(A889="","",IF(LEFT(TRIM(A889),5)="Leave","Leave",IF(OR(ISNUMBER(SEARCH("public holiday",A889)),ISNUMBER(SEARCH("Purple",E889))),"Public holiday","Event")))</f>
        <v/>
      </c>
    </row>
    <row r="890">
      <c r="G890" s="254">
        <f>IF(C890="","",IF(ISNUMBER(C890),C890,IF(ISNUMBER(VALUE(LEFT(TRIM(C890),1))),TRIM(C890),TRIM(MID(TRIM(C890),FIND(" ",TRIM(C890))+1,99)))))</f>
        <v/>
      </c>
      <c r="H890" s="254">
        <f>IF(D890="","",IF(ISNUMBER(D890),D890,IF(ISNUMBER(VALUE(LEFT(TRIM(D890),1))),TRIM(D890),TRIM(MID(TRIM(D890),FIND(" ",TRIM(D890))+1,99)))))</f>
        <v/>
      </c>
      <c r="I890" s="255">
        <f>IF(G890="",0,IF(ISNUMBER(G890),G890,IFERROR(DATE(VALUE(MID(G890,FIND("/",G890,FIND("/",G890)+1)+1,4)),VALUE(MID(G890,FIND("/",G890)+1,FIND("/",G890,FIND("/",G890)+1)-FIND("/",G890)-1)),VALUE(LEFT(G890,FIND("/",G890)-1)))+IFERROR(TIMEVALUE(TRIM(MID(G890,FIND(" ",G890)+1,20))),0),0)))</f>
        <v/>
      </c>
      <c r="J890" s="255">
        <f>IF(H890="",0,IF(ISNUMBER(H890),H890,IFERROR(DATE(VALUE(MID(H890,FIND("/",H890,FIND("/",H890)+1)+1,4)),VALUE(MID(H890,FIND("/",H890)+1,FIND("/",H890,FIND("/",H890)+1)-FIND("/",H890)-1)),VALUE(LEFT(H890,FIND("/",H890)-1)))+IFERROR(TIMEVALUE(TRIM(MID(H890,FIND(" ",H890)+1,20))),0),0)))</f>
        <v/>
      </c>
      <c r="K890" s="256">
        <f>IF(I890=0,0,INT(I890))</f>
        <v/>
      </c>
      <c r="L890" s="257">
        <f>IF(OR(I890=0,J890=0),0,ROUND((J890-I890)*24,2))</f>
        <v/>
      </c>
      <c r="M890" s="254">
        <f>IFERROR(TRIM(MID(A890,FIND("@",SUBSTITUTE(A890,"(","@",LEN(A890)-LEN(SUBSTITUTE(A890,"(",""))))+1,FIND(")",A890,FIND("@",SUBSTITUTE(A890,"(","@",LEN(A890)-LEN(SUBSTITUTE(A890,"(","")))))-FIND("@",SUBSTITUTE(A890,"(","@",LEN(A890)-LEN(SUBSTITUTE(A890,"(",""))))-1)),"")</f>
        <v/>
      </c>
      <c r="N890" s="254">
        <f>IF(A890="","",IF(LEFT(TRIM(A890),5)="Leave","Leave",IF(OR(ISNUMBER(SEARCH("public holiday",A890)),ISNUMBER(SEARCH("Purple",E890))),"Public holiday","Event")))</f>
        <v/>
      </c>
    </row>
    <row r="891">
      <c r="G891" s="254">
        <f>IF(C891="","",IF(ISNUMBER(C891),C891,IF(ISNUMBER(VALUE(LEFT(TRIM(C891),1))),TRIM(C891),TRIM(MID(TRIM(C891),FIND(" ",TRIM(C891))+1,99)))))</f>
        <v/>
      </c>
      <c r="H891" s="254">
        <f>IF(D891="","",IF(ISNUMBER(D891),D891,IF(ISNUMBER(VALUE(LEFT(TRIM(D891),1))),TRIM(D891),TRIM(MID(TRIM(D891),FIND(" ",TRIM(D891))+1,99)))))</f>
        <v/>
      </c>
      <c r="I891" s="255">
        <f>IF(G891="",0,IF(ISNUMBER(G891),G891,IFERROR(DATE(VALUE(MID(G891,FIND("/",G891,FIND("/",G891)+1)+1,4)),VALUE(MID(G891,FIND("/",G891)+1,FIND("/",G891,FIND("/",G891)+1)-FIND("/",G891)-1)),VALUE(LEFT(G891,FIND("/",G891)-1)))+IFERROR(TIMEVALUE(TRIM(MID(G891,FIND(" ",G891)+1,20))),0),0)))</f>
        <v/>
      </c>
      <c r="J891" s="255">
        <f>IF(H891="",0,IF(ISNUMBER(H891),H891,IFERROR(DATE(VALUE(MID(H891,FIND("/",H891,FIND("/",H891)+1)+1,4)),VALUE(MID(H891,FIND("/",H891)+1,FIND("/",H891,FIND("/",H891)+1)-FIND("/",H891)-1)),VALUE(LEFT(H891,FIND("/",H891)-1)))+IFERROR(TIMEVALUE(TRIM(MID(H891,FIND(" ",H891)+1,20))),0),0)))</f>
        <v/>
      </c>
      <c r="K891" s="256">
        <f>IF(I891=0,0,INT(I891))</f>
        <v/>
      </c>
      <c r="L891" s="257">
        <f>IF(OR(I891=0,J891=0),0,ROUND((J891-I891)*24,2))</f>
        <v/>
      </c>
      <c r="M891" s="254">
        <f>IFERROR(TRIM(MID(A891,FIND("@",SUBSTITUTE(A891,"(","@",LEN(A891)-LEN(SUBSTITUTE(A891,"(",""))))+1,FIND(")",A891,FIND("@",SUBSTITUTE(A891,"(","@",LEN(A891)-LEN(SUBSTITUTE(A891,"(","")))))-FIND("@",SUBSTITUTE(A891,"(","@",LEN(A891)-LEN(SUBSTITUTE(A891,"(",""))))-1)),"")</f>
        <v/>
      </c>
      <c r="N891" s="254">
        <f>IF(A891="","",IF(LEFT(TRIM(A891),5)="Leave","Leave",IF(OR(ISNUMBER(SEARCH("public holiday",A891)),ISNUMBER(SEARCH("Purple",E891))),"Public holiday","Event")))</f>
        <v/>
      </c>
    </row>
    <row r="892">
      <c r="G892" s="254">
        <f>IF(C892="","",IF(ISNUMBER(C892),C892,IF(ISNUMBER(VALUE(LEFT(TRIM(C892),1))),TRIM(C892),TRIM(MID(TRIM(C892),FIND(" ",TRIM(C892))+1,99)))))</f>
        <v/>
      </c>
      <c r="H892" s="254">
        <f>IF(D892="","",IF(ISNUMBER(D892),D892,IF(ISNUMBER(VALUE(LEFT(TRIM(D892),1))),TRIM(D892),TRIM(MID(TRIM(D892),FIND(" ",TRIM(D892))+1,99)))))</f>
        <v/>
      </c>
      <c r="I892" s="255">
        <f>IF(G892="",0,IF(ISNUMBER(G892),G892,IFERROR(DATE(VALUE(MID(G892,FIND("/",G892,FIND("/",G892)+1)+1,4)),VALUE(MID(G892,FIND("/",G892)+1,FIND("/",G892,FIND("/",G892)+1)-FIND("/",G892)-1)),VALUE(LEFT(G892,FIND("/",G892)-1)))+IFERROR(TIMEVALUE(TRIM(MID(G892,FIND(" ",G892)+1,20))),0),0)))</f>
        <v/>
      </c>
      <c r="J892" s="255">
        <f>IF(H892="",0,IF(ISNUMBER(H892),H892,IFERROR(DATE(VALUE(MID(H892,FIND("/",H892,FIND("/",H892)+1)+1,4)),VALUE(MID(H892,FIND("/",H892)+1,FIND("/",H892,FIND("/",H892)+1)-FIND("/",H892)-1)),VALUE(LEFT(H892,FIND("/",H892)-1)))+IFERROR(TIMEVALUE(TRIM(MID(H892,FIND(" ",H892)+1,20))),0),0)))</f>
        <v/>
      </c>
      <c r="K892" s="256">
        <f>IF(I892=0,0,INT(I892))</f>
        <v/>
      </c>
      <c r="L892" s="257">
        <f>IF(OR(I892=0,J892=0),0,ROUND((J892-I892)*24,2))</f>
        <v/>
      </c>
      <c r="M892" s="254">
        <f>IFERROR(TRIM(MID(A892,FIND("@",SUBSTITUTE(A892,"(","@",LEN(A892)-LEN(SUBSTITUTE(A892,"(",""))))+1,FIND(")",A892,FIND("@",SUBSTITUTE(A892,"(","@",LEN(A892)-LEN(SUBSTITUTE(A892,"(","")))))-FIND("@",SUBSTITUTE(A892,"(","@",LEN(A892)-LEN(SUBSTITUTE(A892,"(",""))))-1)),"")</f>
        <v/>
      </c>
      <c r="N892" s="254">
        <f>IF(A892="","",IF(LEFT(TRIM(A892),5)="Leave","Leave",IF(OR(ISNUMBER(SEARCH("public holiday",A892)),ISNUMBER(SEARCH("Purple",E892))),"Public holiday","Event")))</f>
        <v/>
      </c>
    </row>
    <row r="893">
      <c r="G893" s="254">
        <f>IF(C893="","",IF(ISNUMBER(C893),C893,IF(ISNUMBER(VALUE(LEFT(TRIM(C893),1))),TRIM(C893),TRIM(MID(TRIM(C893),FIND(" ",TRIM(C893))+1,99)))))</f>
        <v/>
      </c>
      <c r="H893" s="254">
        <f>IF(D893="","",IF(ISNUMBER(D893),D893,IF(ISNUMBER(VALUE(LEFT(TRIM(D893),1))),TRIM(D893),TRIM(MID(TRIM(D893),FIND(" ",TRIM(D893))+1,99)))))</f>
        <v/>
      </c>
      <c r="I893" s="255">
        <f>IF(G893="",0,IF(ISNUMBER(G893),G893,IFERROR(DATE(VALUE(MID(G893,FIND("/",G893,FIND("/",G893)+1)+1,4)),VALUE(MID(G893,FIND("/",G893)+1,FIND("/",G893,FIND("/",G893)+1)-FIND("/",G893)-1)),VALUE(LEFT(G893,FIND("/",G893)-1)))+IFERROR(TIMEVALUE(TRIM(MID(G893,FIND(" ",G893)+1,20))),0),0)))</f>
        <v/>
      </c>
      <c r="J893" s="255">
        <f>IF(H893="",0,IF(ISNUMBER(H893),H893,IFERROR(DATE(VALUE(MID(H893,FIND("/",H893,FIND("/",H893)+1)+1,4)),VALUE(MID(H893,FIND("/",H893)+1,FIND("/",H893,FIND("/",H893)+1)-FIND("/",H893)-1)),VALUE(LEFT(H893,FIND("/",H893)-1)))+IFERROR(TIMEVALUE(TRIM(MID(H893,FIND(" ",H893)+1,20))),0),0)))</f>
        <v/>
      </c>
      <c r="K893" s="256">
        <f>IF(I893=0,0,INT(I893))</f>
        <v/>
      </c>
      <c r="L893" s="257">
        <f>IF(OR(I893=0,J893=0),0,ROUND((J893-I893)*24,2))</f>
        <v/>
      </c>
      <c r="M893" s="254">
        <f>IFERROR(TRIM(MID(A893,FIND("@",SUBSTITUTE(A893,"(","@",LEN(A893)-LEN(SUBSTITUTE(A893,"(",""))))+1,FIND(")",A893,FIND("@",SUBSTITUTE(A893,"(","@",LEN(A893)-LEN(SUBSTITUTE(A893,"(","")))))-FIND("@",SUBSTITUTE(A893,"(","@",LEN(A893)-LEN(SUBSTITUTE(A893,"(",""))))-1)),"")</f>
        <v/>
      </c>
      <c r="N893" s="254">
        <f>IF(A893="","",IF(LEFT(TRIM(A893),5)="Leave","Leave",IF(OR(ISNUMBER(SEARCH("public holiday",A893)),ISNUMBER(SEARCH("Purple",E893))),"Public holiday","Event")))</f>
        <v/>
      </c>
    </row>
    <row r="894">
      <c r="G894" s="254">
        <f>IF(C894="","",IF(ISNUMBER(C894),C894,IF(ISNUMBER(VALUE(LEFT(TRIM(C894),1))),TRIM(C894),TRIM(MID(TRIM(C894),FIND(" ",TRIM(C894))+1,99)))))</f>
        <v/>
      </c>
      <c r="H894" s="254">
        <f>IF(D894="","",IF(ISNUMBER(D894),D894,IF(ISNUMBER(VALUE(LEFT(TRIM(D894),1))),TRIM(D894),TRIM(MID(TRIM(D894),FIND(" ",TRIM(D894))+1,99)))))</f>
        <v/>
      </c>
      <c r="I894" s="255">
        <f>IF(G894="",0,IF(ISNUMBER(G894),G894,IFERROR(DATE(VALUE(MID(G894,FIND("/",G894,FIND("/",G894)+1)+1,4)),VALUE(MID(G894,FIND("/",G894)+1,FIND("/",G894,FIND("/",G894)+1)-FIND("/",G894)-1)),VALUE(LEFT(G894,FIND("/",G894)-1)))+IFERROR(TIMEVALUE(TRIM(MID(G894,FIND(" ",G894)+1,20))),0),0)))</f>
        <v/>
      </c>
      <c r="J894" s="255">
        <f>IF(H894="",0,IF(ISNUMBER(H894),H894,IFERROR(DATE(VALUE(MID(H894,FIND("/",H894,FIND("/",H894)+1)+1,4)),VALUE(MID(H894,FIND("/",H894)+1,FIND("/",H894,FIND("/",H894)+1)-FIND("/",H894)-1)),VALUE(LEFT(H894,FIND("/",H894)-1)))+IFERROR(TIMEVALUE(TRIM(MID(H894,FIND(" ",H894)+1,20))),0),0)))</f>
        <v/>
      </c>
      <c r="K894" s="256">
        <f>IF(I894=0,0,INT(I894))</f>
        <v/>
      </c>
      <c r="L894" s="257">
        <f>IF(OR(I894=0,J894=0),0,ROUND((J894-I894)*24,2))</f>
        <v/>
      </c>
      <c r="M894" s="254">
        <f>IFERROR(TRIM(MID(A894,FIND("@",SUBSTITUTE(A894,"(","@",LEN(A894)-LEN(SUBSTITUTE(A894,"(",""))))+1,FIND(")",A894,FIND("@",SUBSTITUTE(A894,"(","@",LEN(A894)-LEN(SUBSTITUTE(A894,"(","")))))-FIND("@",SUBSTITUTE(A894,"(","@",LEN(A894)-LEN(SUBSTITUTE(A894,"(",""))))-1)),"")</f>
        <v/>
      </c>
      <c r="N894" s="254">
        <f>IF(A894="","",IF(LEFT(TRIM(A894),5)="Leave","Leave",IF(OR(ISNUMBER(SEARCH("public holiday",A894)),ISNUMBER(SEARCH("Purple",E894))),"Public holiday","Event")))</f>
        <v/>
      </c>
    </row>
    <row r="895">
      <c r="G895" s="254">
        <f>IF(C895="","",IF(ISNUMBER(C895),C895,IF(ISNUMBER(VALUE(LEFT(TRIM(C895),1))),TRIM(C895),TRIM(MID(TRIM(C895),FIND(" ",TRIM(C895))+1,99)))))</f>
        <v/>
      </c>
      <c r="H895" s="254">
        <f>IF(D895="","",IF(ISNUMBER(D895),D895,IF(ISNUMBER(VALUE(LEFT(TRIM(D895),1))),TRIM(D895),TRIM(MID(TRIM(D895),FIND(" ",TRIM(D895))+1,99)))))</f>
        <v/>
      </c>
      <c r="I895" s="255">
        <f>IF(G895="",0,IF(ISNUMBER(G895),G895,IFERROR(DATE(VALUE(MID(G895,FIND("/",G895,FIND("/",G895)+1)+1,4)),VALUE(MID(G895,FIND("/",G895)+1,FIND("/",G895,FIND("/",G895)+1)-FIND("/",G895)-1)),VALUE(LEFT(G895,FIND("/",G895)-1)))+IFERROR(TIMEVALUE(TRIM(MID(G895,FIND(" ",G895)+1,20))),0),0)))</f>
        <v/>
      </c>
      <c r="J895" s="255">
        <f>IF(H895="",0,IF(ISNUMBER(H895),H895,IFERROR(DATE(VALUE(MID(H895,FIND("/",H895,FIND("/",H895)+1)+1,4)),VALUE(MID(H895,FIND("/",H895)+1,FIND("/",H895,FIND("/",H895)+1)-FIND("/",H895)-1)),VALUE(LEFT(H895,FIND("/",H895)-1)))+IFERROR(TIMEVALUE(TRIM(MID(H895,FIND(" ",H895)+1,20))),0),0)))</f>
        <v/>
      </c>
      <c r="K895" s="256">
        <f>IF(I895=0,0,INT(I895))</f>
        <v/>
      </c>
      <c r="L895" s="257">
        <f>IF(OR(I895=0,J895=0),0,ROUND((J895-I895)*24,2))</f>
        <v/>
      </c>
      <c r="M895" s="254">
        <f>IFERROR(TRIM(MID(A895,FIND("@",SUBSTITUTE(A895,"(","@",LEN(A895)-LEN(SUBSTITUTE(A895,"(",""))))+1,FIND(")",A895,FIND("@",SUBSTITUTE(A895,"(","@",LEN(A895)-LEN(SUBSTITUTE(A895,"(","")))))-FIND("@",SUBSTITUTE(A895,"(","@",LEN(A895)-LEN(SUBSTITUTE(A895,"(",""))))-1)),"")</f>
        <v/>
      </c>
      <c r="N895" s="254">
        <f>IF(A895="","",IF(LEFT(TRIM(A895),5)="Leave","Leave",IF(OR(ISNUMBER(SEARCH("public holiday",A895)),ISNUMBER(SEARCH("Purple",E895))),"Public holiday","Event")))</f>
        <v/>
      </c>
    </row>
    <row r="896">
      <c r="G896" s="254">
        <f>IF(C896="","",IF(ISNUMBER(C896),C896,IF(ISNUMBER(VALUE(LEFT(TRIM(C896),1))),TRIM(C896),TRIM(MID(TRIM(C896),FIND(" ",TRIM(C896))+1,99)))))</f>
        <v/>
      </c>
      <c r="H896" s="254">
        <f>IF(D896="","",IF(ISNUMBER(D896),D896,IF(ISNUMBER(VALUE(LEFT(TRIM(D896),1))),TRIM(D896),TRIM(MID(TRIM(D896),FIND(" ",TRIM(D896))+1,99)))))</f>
        <v/>
      </c>
      <c r="I896" s="255">
        <f>IF(G896="",0,IF(ISNUMBER(G896),G896,IFERROR(DATE(VALUE(MID(G896,FIND("/",G896,FIND("/",G896)+1)+1,4)),VALUE(MID(G896,FIND("/",G896)+1,FIND("/",G896,FIND("/",G896)+1)-FIND("/",G896)-1)),VALUE(LEFT(G896,FIND("/",G896)-1)))+IFERROR(TIMEVALUE(TRIM(MID(G896,FIND(" ",G896)+1,20))),0),0)))</f>
        <v/>
      </c>
      <c r="J896" s="255">
        <f>IF(H896="",0,IF(ISNUMBER(H896),H896,IFERROR(DATE(VALUE(MID(H896,FIND("/",H896,FIND("/",H896)+1)+1,4)),VALUE(MID(H896,FIND("/",H896)+1,FIND("/",H896,FIND("/",H896)+1)-FIND("/",H896)-1)),VALUE(LEFT(H896,FIND("/",H896)-1)))+IFERROR(TIMEVALUE(TRIM(MID(H896,FIND(" ",H896)+1,20))),0),0)))</f>
        <v/>
      </c>
      <c r="K896" s="256">
        <f>IF(I896=0,0,INT(I896))</f>
        <v/>
      </c>
      <c r="L896" s="257">
        <f>IF(OR(I896=0,J896=0),0,ROUND((J896-I896)*24,2))</f>
        <v/>
      </c>
      <c r="M896" s="254">
        <f>IFERROR(TRIM(MID(A896,FIND("@",SUBSTITUTE(A896,"(","@",LEN(A896)-LEN(SUBSTITUTE(A896,"(",""))))+1,FIND(")",A896,FIND("@",SUBSTITUTE(A896,"(","@",LEN(A896)-LEN(SUBSTITUTE(A896,"(","")))))-FIND("@",SUBSTITUTE(A896,"(","@",LEN(A896)-LEN(SUBSTITUTE(A896,"(",""))))-1)),"")</f>
        <v/>
      </c>
      <c r="N896" s="254">
        <f>IF(A896="","",IF(LEFT(TRIM(A896),5)="Leave","Leave",IF(OR(ISNUMBER(SEARCH("public holiday",A896)),ISNUMBER(SEARCH("Purple",E896))),"Public holiday","Event")))</f>
        <v/>
      </c>
    </row>
    <row r="897">
      <c r="G897" s="254">
        <f>IF(C897="","",IF(ISNUMBER(C897),C897,IF(ISNUMBER(VALUE(LEFT(TRIM(C897),1))),TRIM(C897),TRIM(MID(TRIM(C897),FIND(" ",TRIM(C897))+1,99)))))</f>
        <v/>
      </c>
      <c r="H897" s="254">
        <f>IF(D897="","",IF(ISNUMBER(D897),D897,IF(ISNUMBER(VALUE(LEFT(TRIM(D897),1))),TRIM(D897),TRIM(MID(TRIM(D897),FIND(" ",TRIM(D897))+1,99)))))</f>
        <v/>
      </c>
      <c r="I897" s="255">
        <f>IF(G897="",0,IF(ISNUMBER(G897),G897,IFERROR(DATE(VALUE(MID(G897,FIND("/",G897,FIND("/",G897)+1)+1,4)),VALUE(MID(G897,FIND("/",G897)+1,FIND("/",G897,FIND("/",G897)+1)-FIND("/",G897)-1)),VALUE(LEFT(G897,FIND("/",G897)-1)))+IFERROR(TIMEVALUE(TRIM(MID(G897,FIND(" ",G897)+1,20))),0),0)))</f>
        <v/>
      </c>
      <c r="J897" s="255">
        <f>IF(H897="",0,IF(ISNUMBER(H897),H897,IFERROR(DATE(VALUE(MID(H897,FIND("/",H897,FIND("/",H897)+1)+1,4)),VALUE(MID(H897,FIND("/",H897)+1,FIND("/",H897,FIND("/",H897)+1)-FIND("/",H897)-1)),VALUE(LEFT(H897,FIND("/",H897)-1)))+IFERROR(TIMEVALUE(TRIM(MID(H897,FIND(" ",H897)+1,20))),0),0)))</f>
        <v/>
      </c>
      <c r="K897" s="256">
        <f>IF(I897=0,0,INT(I897))</f>
        <v/>
      </c>
      <c r="L897" s="257">
        <f>IF(OR(I897=0,J897=0),0,ROUND((J897-I897)*24,2))</f>
        <v/>
      </c>
      <c r="M897" s="254">
        <f>IFERROR(TRIM(MID(A897,FIND("@",SUBSTITUTE(A897,"(","@",LEN(A897)-LEN(SUBSTITUTE(A897,"(",""))))+1,FIND(")",A897,FIND("@",SUBSTITUTE(A897,"(","@",LEN(A897)-LEN(SUBSTITUTE(A897,"(","")))))-FIND("@",SUBSTITUTE(A897,"(","@",LEN(A897)-LEN(SUBSTITUTE(A897,"(",""))))-1)),"")</f>
        <v/>
      </c>
      <c r="N897" s="254">
        <f>IF(A897="","",IF(LEFT(TRIM(A897),5)="Leave","Leave",IF(OR(ISNUMBER(SEARCH("public holiday",A897)),ISNUMBER(SEARCH("Purple",E897))),"Public holiday","Event")))</f>
        <v/>
      </c>
    </row>
    <row r="898">
      <c r="G898" s="254">
        <f>IF(C898="","",IF(ISNUMBER(C898),C898,IF(ISNUMBER(VALUE(LEFT(TRIM(C898),1))),TRIM(C898),TRIM(MID(TRIM(C898),FIND(" ",TRIM(C898))+1,99)))))</f>
        <v/>
      </c>
      <c r="H898" s="254">
        <f>IF(D898="","",IF(ISNUMBER(D898),D898,IF(ISNUMBER(VALUE(LEFT(TRIM(D898),1))),TRIM(D898),TRIM(MID(TRIM(D898),FIND(" ",TRIM(D898))+1,99)))))</f>
        <v/>
      </c>
      <c r="I898" s="255">
        <f>IF(G898="",0,IF(ISNUMBER(G898),G898,IFERROR(DATE(VALUE(MID(G898,FIND("/",G898,FIND("/",G898)+1)+1,4)),VALUE(MID(G898,FIND("/",G898)+1,FIND("/",G898,FIND("/",G898)+1)-FIND("/",G898)-1)),VALUE(LEFT(G898,FIND("/",G898)-1)))+IFERROR(TIMEVALUE(TRIM(MID(G898,FIND(" ",G898)+1,20))),0),0)))</f>
        <v/>
      </c>
      <c r="J898" s="255">
        <f>IF(H898="",0,IF(ISNUMBER(H898),H898,IFERROR(DATE(VALUE(MID(H898,FIND("/",H898,FIND("/",H898)+1)+1,4)),VALUE(MID(H898,FIND("/",H898)+1,FIND("/",H898,FIND("/",H898)+1)-FIND("/",H898)-1)),VALUE(LEFT(H898,FIND("/",H898)-1)))+IFERROR(TIMEVALUE(TRIM(MID(H898,FIND(" ",H898)+1,20))),0),0)))</f>
        <v/>
      </c>
      <c r="K898" s="256">
        <f>IF(I898=0,0,INT(I898))</f>
        <v/>
      </c>
      <c r="L898" s="257">
        <f>IF(OR(I898=0,J898=0),0,ROUND((J898-I898)*24,2))</f>
        <v/>
      </c>
      <c r="M898" s="254">
        <f>IFERROR(TRIM(MID(A898,FIND("@",SUBSTITUTE(A898,"(","@",LEN(A898)-LEN(SUBSTITUTE(A898,"(",""))))+1,FIND(")",A898,FIND("@",SUBSTITUTE(A898,"(","@",LEN(A898)-LEN(SUBSTITUTE(A898,"(","")))))-FIND("@",SUBSTITUTE(A898,"(","@",LEN(A898)-LEN(SUBSTITUTE(A898,"(",""))))-1)),"")</f>
        <v/>
      </c>
      <c r="N898" s="254">
        <f>IF(A898="","",IF(LEFT(TRIM(A898),5)="Leave","Leave",IF(OR(ISNUMBER(SEARCH("public holiday",A898)),ISNUMBER(SEARCH("Purple",E898))),"Public holiday","Event")))</f>
        <v/>
      </c>
    </row>
    <row r="899">
      <c r="G899" s="254">
        <f>IF(C899="","",IF(ISNUMBER(C899),C899,IF(ISNUMBER(VALUE(LEFT(TRIM(C899),1))),TRIM(C899),TRIM(MID(TRIM(C899),FIND(" ",TRIM(C899))+1,99)))))</f>
        <v/>
      </c>
      <c r="H899" s="254">
        <f>IF(D899="","",IF(ISNUMBER(D899),D899,IF(ISNUMBER(VALUE(LEFT(TRIM(D899),1))),TRIM(D899),TRIM(MID(TRIM(D899),FIND(" ",TRIM(D899))+1,99)))))</f>
        <v/>
      </c>
      <c r="I899" s="255">
        <f>IF(G899="",0,IF(ISNUMBER(G899),G899,IFERROR(DATE(VALUE(MID(G899,FIND("/",G899,FIND("/",G899)+1)+1,4)),VALUE(MID(G899,FIND("/",G899)+1,FIND("/",G899,FIND("/",G899)+1)-FIND("/",G899)-1)),VALUE(LEFT(G899,FIND("/",G899)-1)))+IFERROR(TIMEVALUE(TRIM(MID(G899,FIND(" ",G899)+1,20))),0),0)))</f>
        <v/>
      </c>
      <c r="J899" s="255">
        <f>IF(H899="",0,IF(ISNUMBER(H899),H899,IFERROR(DATE(VALUE(MID(H899,FIND("/",H899,FIND("/",H899)+1)+1,4)),VALUE(MID(H899,FIND("/",H899)+1,FIND("/",H899,FIND("/",H899)+1)-FIND("/",H899)-1)),VALUE(LEFT(H899,FIND("/",H899)-1)))+IFERROR(TIMEVALUE(TRIM(MID(H899,FIND(" ",H899)+1,20))),0),0)))</f>
        <v/>
      </c>
      <c r="K899" s="256">
        <f>IF(I899=0,0,INT(I899))</f>
        <v/>
      </c>
      <c r="L899" s="257">
        <f>IF(OR(I899=0,J899=0),0,ROUND((J899-I899)*24,2))</f>
        <v/>
      </c>
      <c r="M899" s="254">
        <f>IFERROR(TRIM(MID(A899,FIND("@",SUBSTITUTE(A899,"(","@",LEN(A899)-LEN(SUBSTITUTE(A899,"(",""))))+1,FIND(")",A899,FIND("@",SUBSTITUTE(A899,"(","@",LEN(A899)-LEN(SUBSTITUTE(A899,"(","")))))-FIND("@",SUBSTITUTE(A899,"(","@",LEN(A899)-LEN(SUBSTITUTE(A899,"(",""))))-1)),"")</f>
        <v/>
      </c>
      <c r="N899" s="254">
        <f>IF(A899="","",IF(LEFT(TRIM(A899),5)="Leave","Leave",IF(OR(ISNUMBER(SEARCH("public holiday",A899)),ISNUMBER(SEARCH("Purple",E899))),"Public holiday","Event")))</f>
        <v/>
      </c>
    </row>
    <row r="900">
      <c r="G900" s="254">
        <f>IF(C900="","",IF(ISNUMBER(C900),C900,IF(ISNUMBER(VALUE(LEFT(TRIM(C900),1))),TRIM(C900),TRIM(MID(TRIM(C900),FIND(" ",TRIM(C900))+1,99)))))</f>
        <v/>
      </c>
      <c r="H900" s="254">
        <f>IF(D900="","",IF(ISNUMBER(D900),D900,IF(ISNUMBER(VALUE(LEFT(TRIM(D900),1))),TRIM(D900),TRIM(MID(TRIM(D900),FIND(" ",TRIM(D900))+1,99)))))</f>
        <v/>
      </c>
      <c r="I900" s="255">
        <f>IF(G900="",0,IF(ISNUMBER(G900),G900,IFERROR(DATE(VALUE(MID(G900,FIND("/",G900,FIND("/",G900)+1)+1,4)),VALUE(MID(G900,FIND("/",G900)+1,FIND("/",G900,FIND("/",G900)+1)-FIND("/",G900)-1)),VALUE(LEFT(G900,FIND("/",G900)-1)))+IFERROR(TIMEVALUE(TRIM(MID(G900,FIND(" ",G900)+1,20))),0),0)))</f>
        <v/>
      </c>
      <c r="J900" s="255">
        <f>IF(H900="",0,IF(ISNUMBER(H900),H900,IFERROR(DATE(VALUE(MID(H900,FIND("/",H900,FIND("/",H900)+1)+1,4)),VALUE(MID(H900,FIND("/",H900)+1,FIND("/",H900,FIND("/",H900)+1)-FIND("/",H900)-1)),VALUE(LEFT(H900,FIND("/",H900)-1)))+IFERROR(TIMEVALUE(TRIM(MID(H900,FIND(" ",H900)+1,20))),0),0)))</f>
        <v/>
      </c>
      <c r="K900" s="256">
        <f>IF(I900=0,0,INT(I900))</f>
        <v/>
      </c>
      <c r="L900" s="257">
        <f>IF(OR(I900=0,J900=0),0,ROUND((J900-I900)*24,2))</f>
        <v/>
      </c>
      <c r="M900" s="254">
        <f>IFERROR(TRIM(MID(A900,FIND("@",SUBSTITUTE(A900,"(","@",LEN(A900)-LEN(SUBSTITUTE(A900,"(",""))))+1,FIND(")",A900,FIND("@",SUBSTITUTE(A900,"(","@",LEN(A900)-LEN(SUBSTITUTE(A900,"(","")))))-FIND("@",SUBSTITUTE(A900,"(","@",LEN(A900)-LEN(SUBSTITUTE(A900,"(",""))))-1)),"")</f>
        <v/>
      </c>
      <c r="N900" s="254">
        <f>IF(A900="","",IF(LEFT(TRIM(A900),5)="Leave","Leave",IF(OR(ISNUMBER(SEARCH("public holiday",A900)),ISNUMBER(SEARCH("Purple",E900))),"Public holiday","Event")))</f>
        <v/>
      </c>
    </row>
    <row r="901">
      <c r="G901" s="254">
        <f>IF(C901="","",IF(ISNUMBER(C901),C901,IF(ISNUMBER(VALUE(LEFT(TRIM(C901),1))),TRIM(C901),TRIM(MID(TRIM(C901),FIND(" ",TRIM(C901))+1,99)))))</f>
        <v/>
      </c>
      <c r="H901" s="254">
        <f>IF(D901="","",IF(ISNUMBER(D901),D901,IF(ISNUMBER(VALUE(LEFT(TRIM(D901),1))),TRIM(D901),TRIM(MID(TRIM(D901),FIND(" ",TRIM(D901))+1,99)))))</f>
        <v/>
      </c>
      <c r="I901" s="255">
        <f>IF(G901="",0,IF(ISNUMBER(G901),G901,IFERROR(DATE(VALUE(MID(G901,FIND("/",G901,FIND("/",G901)+1)+1,4)),VALUE(MID(G901,FIND("/",G901)+1,FIND("/",G901,FIND("/",G901)+1)-FIND("/",G901)-1)),VALUE(LEFT(G901,FIND("/",G901)-1)))+IFERROR(TIMEVALUE(TRIM(MID(G901,FIND(" ",G901)+1,20))),0),0)))</f>
        <v/>
      </c>
      <c r="J901" s="255">
        <f>IF(H901="",0,IF(ISNUMBER(H901),H901,IFERROR(DATE(VALUE(MID(H901,FIND("/",H901,FIND("/",H901)+1)+1,4)),VALUE(MID(H901,FIND("/",H901)+1,FIND("/",H901,FIND("/",H901)+1)-FIND("/",H901)-1)),VALUE(LEFT(H901,FIND("/",H901)-1)))+IFERROR(TIMEVALUE(TRIM(MID(H901,FIND(" ",H901)+1,20))),0),0)))</f>
        <v/>
      </c>
      <c r="K901" s="256">
        <f>IF(I901=0,0,INT(I901))</f>
        <v/>
      </c>
      <c r="L901" s="257">
        <f>IF(OR(I901=0,J901=0),0,ROUND((J901-I901)*24,2))</f>
        <v/>
      </c>
      <c r="M901" s="254">
        <f>IFERROR(TRIM(MID(A901,FIND("@",SUBSTITUTE(A901,"(","@",LEN(A901)-LEN(SUBSTITUTE(A901,"(",""))))+1,FIND(")",A901,FIND("@",SUBSTITUTE(A901,"(","@",LEN(A901)-LEN(SUBSTITUTE(A901,"(","")))))-FIND("@",SUBSTITUTE(A901,"(","@",LEN(A901)-LEN(SUBSTITUTE(A901,"(",""))))-1)),"")</f>
        <v/>
      </c>
      <c r="N901" s="254">
        <f>IF(A901="","",IF(LEFT(TRIM(A901),5)="Leave","Leave",IF(OR(ISNUMBER(SEARCH("public holiday",A901)),ISNUMBER(SEARCH("Purple",E901))),"Public holiday","Event")))</f>
        <v/>
      </c>
    </row>
    <row r="902">
      <c r="G902" s="254">
        <f>IF(C902="","",IF(ISNUMBER(C902),C902,IF(ISNUMBER(VALUE(LEFT(TRIM(C902),1))),TRIM(C902),TRIM(MID(TRIM(C902),FIND(" ",TRIM(C902))+1,99)))))</f>
        <v/>
      </c>
      <c r="H902" s="254">
        <f>IF(D902="","",IF(ISNUMBER(D902),D902,IF(ISNUMBER(VALUE(LEFT(TRIM(D902),1))),TRIM(D902),TRIM(MID(TRIM(D902),FIND(" ",TRIM(D902))+1,99)))))</f>
        <v/>
      </c>
      <c r="I902" s="255">
        <f>IF(G902="",0,IF(ISNUMBER(G902),G902,IFERROR(DATE(VALUE(MID(G902,FIND("/",G902,FIND("/",G902)+1)+1,4)),VALUE(MID(G902,FIND("/",G902)+1,FIND("/",G902,FIND("/",G902)+1)-FIND("/",G902)-1)),VALUE(LEFT(G902,FIND("/",G902)-1)))+IFERROR(TIMEVALUE(TRIM(MID(G902,FIND(" ",G902)+1,20))),0),0)))</f>
        <v/>
      </c>
      <c r="J902" s="255">
        <f>IF(H902="",0,IF(ISNUMBER(H902),H902,IFERROR(DATE(VALUE(MID(H902,FIND("/",H902,FIND("/",H902)+1)+1,4)),VALUE(MID(H902,FIND("/",H902)+1,FIND("/",H902,FIND("/",H902)+1)-FIND("/",H902)-1)),VALUE(LEFT(H902,FIND("/",H902)-1)))+IFERROR(TIMEVALUE(TRIM(MID(H902,FIND(" ",H902)+1,20))),0),0)))</f>
        <v/>
      </c>
      <c r="K902" s="256">
        <f>IF(I902=0,0,INT(I902))</f>
        <v/>
      </c>
      <c r="L902" s="257">
        <f>IF(OR(I902=0,J902=0),0,ROUND((J902-I902)*24,2))</f>
        <v/>
      </c>
      <c r="M902" s="254">
        <f>IFERROR(TRIM(MID(A902,FIND("@",SUBSTITUTE(A902,"(","@",LEN(A902)-LEN(SUBSTITUTE(A902,"(",""))))+1,FIND(")",A902,FIND("@",SUBSTITUTE(A902,"(","@",LEN(A902)-LEN(SUBSTITUTE(A902,"(","")))))-FIND("@",SUBSTITUTE(A902,"(","@",LEN(A902)-LEN(SUBSTITUTE(A902,"(",""))))-1)),"")</f>
        <v/>
      </c>
      <c r="N902" s="254">
        <f>IF(A902="","",IF(LEFT(TRIM(A902),5)="Leave","Leave",IF(OR(ISNUMBER(SEARCH("public holiday",A902)),ISNUMBER(SEARCH("Purple",E902))),"Public holiday","Event")))</f>
        <v/>
      </c>
    </row>
    <row r="903">
      <c r="G903" s="254">
        <f>IF(C903="","",IF(ISNUMBER(C903),C903,IF(ISNUMBER(VALUE(LEFT(TRIM(C903),1))),TRIM(C903),TRIM(MID(TRIM(C903),FIND(" ",TRIM(C903))+1,99)))))</f>
        <v/>
      </c>
      <c r="H903" s="254">
        <f>IF(D903="","",IF(ISNUMBER(D903),D903,IF(ISNUMBER(VALUE(LEFT(TRIM(D903),1))),TRIM(D903),TRIM(MID(TRIM(D903),FIND(" ",TRIM(D903))+1,99)))))</f>
        <v/>
      </c>
      <c r="I903" s="255">
        <f>IF(G903="",0,IF(ISNUMBER(G903),G903,IFERROR(DATE(VALUE(MID(G903,FIND("/",G903,FIND("/",G903)+1)+1,4)),VALUE(MID(G903,FIND("/",G903)+1,FIND("/",G903,FIND("/",G903)+1)-FIND("/",G903)-1)),VALUE(LEFT(G903,FIND("/",G903)-1)))+IFERROR(TIMEVALUE(TRIM(MID(G903,FIND(" ",G903)+1,20))),0),0)))</f>
        <v/>
      </c>
      <c r="J903" s="255">
        <f>IF(H903="",0,IF(ISNUMBER(H903),H903,IFERROR(DATE(VALUE(MID(H903,FIND("/",H903,FIND("/",H903)+1)+1,4)),VALUE(MID(H903,FIND("/",H903)+1,FIND("/",H903,FIND("/",H903)+1)-FIND("/",H903)-1)),VALUE(LEFT(H903,FIND("/",H903)-1)))+IFERROR(TIMEVALUE(TRIM(MID(H903,FIND(" ",H903)+1,20))),0),0)))</f>
        <v/>
      </c>
      <c r="K903" s="256">
        <f>IF(I903=0,0,INT(I903))</f>
        <v/>
      </c>
      <c r="L903" s="257">
        <f>IF(OR(I903=0,J903=0),0,ROUND((J903-I903)*24,2))</f>
        <v/>
      </c>
      <c r="M903" s="254">
        <f>IFERROR(TRIM(MID(A903,FIND("@",SUBSTITUTE(A903,"(","@",LEN(A903)-LEN(SUBSTITUTE(A903,"(",""))))+1,FIND(")",A903,FIND("@",SUBSTITUTE(A903,"(","@",LEN(A903)-LEN(SUBSTITUTE(A903,"(","")))))-FIND("@",SUBSTITUTE(A903,"(","@",LEN(A903)-LEN(SUBSTITUTE(A903,"(",""))))-1)),"")</f>
        <v/>
      </c>
      <c r="N903" s="254">
        <f>IF(A903="","",IF(LEFT(TRIM(A903),5)="Leave","Leave",IF(OR(ISNUMBER(SEARCH("public holiday",A903)),ISNUMBER(SEARCH("Purple",E903))),"Public holiday","Event")))</f>
        <v/>
      </c>
    </row>
    <row r="904">
      <c r="G904" s="254">
        <f>IF(C904="","",IF(ISNUMBER(C904),C904,IF(ISNUMBER(VALUE(LEFT(TRIM(C904),1))),TRIM(C904),TRIM(MID(TRIM(C904),FIND(" ",TRIM(C904))+1,99)))))</f>
        <v/>
      </c>
      <c r="H904" s="254">
        <f>IF(D904="","",IF(ISNUMBER(D904),D904,IF(ISNUMBER(VALUE(LEFT(TRIM(D904),1))),TRIM(D904),TRIM(MID(TRIM(D904),FIND(" ",TRIM(D904))+1,99)))))</f>
        <v/>
      </c>
      <c r="I904" s="255">
        <f>IF(G904="",0,IF(ISNUMBER(G904),G904,IFERROR(DATE(VALUE(MID(G904,FIND("/",G904,FIND("/",G904)+1)+1,4)),VALUE(MID(G904,FIND("/",G904)+1,FIND("/",G904,FIND("/",G904)+1)-FIND("/",G904)-1)),VALUE(LEFT(G904,FIND("/",G904)-1)))+IFERROR(TIMEVALUE(TRIM(MID(G904,FIND(" ",G904)+1,20))),0),0)))</f>
        <v/>
      </c>
      <c r="J904" s="255">
        <f>IF(H904="",0,IF(ISNUMBER(H904),H904,IFERROR(DATE(VALUE(MID(H904,FIND("/",H904,FIND("/",H904)+1)+1,4)),VALUE(MID(H904,FIND("/",H904)+1,FIND("/",H904,FIND("/",H904)+1)-FIND("/",H904)-1)),VALUE(LEFT(H904,FIND("/",H904)-1)))+IFERROR(TIMEVALUE(TRIM(MID(H904,FIND(" ",H904)+1,20))),0),0)))</f>
        <v/>
      </c>
      <c r="K904" s="256">
        <f>IF(I904=0,0,INT(I904))</f>
        <v/>
      </c>
      <c r="L904" s="257">
        <f>IF(OR(I904=0,J904=0),0,ROUND((J904-I904)*24,2))</f>
        <v/>
      </c>
      <c r="M904" s="254">
        <f>IFERROR(TRIM(MID(A904,FIND("@",SUBSTITUTE(A904,"(","@",LEN(A904)-LEN(SUBSTITUTE(A904,"(",""))))+1,FIND(")",A904,FIND("@",SUBSTITUTE(A904,"(","@",LEN(A904)-LEN(SUBSTITUTE(A904,"(","")))))-FIND("@",SUBSTITUTE(A904,"(","@",LEN(A904)-LEN(SUBSTITUTE(A904,"(",""))))-1)),"")</f>
        <v/>
      </c>
      <c r="N904" s="254">
        <f>IF(A904="","",IF(LEFT(TRIM(A904),5)="Leave","Leave",IF(OR(ISNUMBER(SEARCH("public holiday",A904)),ISNUMBER(SEARCH("Purple",E904))),"Public holiday","Event")))</f>
        <v/>
      </c>
    </row>
    <row r="905">
      <c r="G905" s="254">
        <f>IF(C905="","",IF(ISNUMBER(C905),C905,IF(ISNUMBER(VALUE(LEFT(TRIM(C905),1))),TRIM(C905),TRIM(MID(TRIM(C905),FIND(" ",TRIM(C905))+1,99)))))</f>
        <v/>
      </c>
      <c r="H905" s="254">
        <f>IF(D905="","",IF(ISNUMBER(D905),D905,IF(ISNUMBER(VALUE(LEFT(TRIM(D905),1))),TRIM(D905),TRIM(MID(TRIM(D905),FIND(" ",TRIM(D905))+1,99)))))</f>
        <v/>
      </c>
      <c r="I905" s="255">
        <f>IF(G905="",0,IF(ISNUMBER(G905),G905,IFERROR(DATE(VALUE(MID(G905,FIND("/",G905,FIND("/",G905)+1)+1,4)),VALUE(MID(G905,FIND("/",G905)+1,FIND("/",G905,FIND("/",G905)+1)-FIND("/",G905)-1)),VALUE(LEFT(G905,FIND("/",G905)-1)))+IFERROR(TIMEVALUE(TRIM(MID(G905,FIND(" ",G905)+1,20))),0),0)))</f>
        <v/>
      </c>
      <c r="J905" s="255">
        <f>IF(H905="",0,IF(ISNUMBER(H905),H905,IFERROR(DATE(VALUE(MID(H905,FIND("/",H905,FIND("/",H905)+1)+1,4)),VALUE(MID(H905,FIND("/",H905)+1,FIND("/",H905,FIND("/",H905)+1)-FIND("/",H905)-1)),VALUE(LEFT(H905,FIND("/",H905)-1)))+IFERROR(TIMEVALUE(TRIM(MID(H905,FIND(" ",H905)+1,20))),0),0)))</f>
        <v/>
      </c>
      <c r="K905" s="256">
        <f>IF(I905=0,0,INT(I905))</f>
        <v/>
      </c>
      <c r="L905" s="257">
        <f>IF(OR(I905=0,J905=0),0,ROUND((J905-I905)*24,2))</f>
        <v/>
      </c>
      <c r="M905" s="254">
        <f>IFERROR(TRIM(MID(A905,FIND("@",SUBSTITUTE(A905,"(","@",LEN(A905)-LEN(SUBSTITUTE(A905,"(",""))))+1,FIND(")",A905,FIND("@",SUBSTITUTE(A905,"(","@",LEN(A905)-LEN(SUBSTITUTE(A905,"(","")))))-FIND("@",SUBSTITUTE(A905,"(","@",LEN(A905)-LEN(SUBSTITUTE(A905,"(",""))))-1)),"")</f>
        <v/>
      </c>
      <c r="N905" s="254">
        <f>IF(A905="","",IF(LEFT(TRIM(A905),5)="Leave","Leave",IF(OR(ISNUMBER(SEARCH("public holiday",A905)),ISNUMBER(SEARCH("Purple",E905))),"Public holiday","Event")))</f>
        <v/>
      </c>
    </row>
    <row r="906">
      <c r="G906" s="254">
        <f>IF(C906="","",IF(ISNUMBER(C906),C906,IF(ISNUMBER(VALUE(LEFT(TRIM(C906),1))),TRIM(C906),TRIM(MID(TRIM(C906),FIND(" ",TRIM(C906))+1,99)))))</f>
        <v/>
      </c>
      <c r="H906" s="254">
        <f>IF(D906="","",IF(ISNUMBER(D906),D906,IF(ISNUMBER(VALUE(LEFT(TRIM(D906),1))),TRIM(D906),TRIM(MID(TRIM(D906),FIND(" ",TRIM(D906))+1,99)))))</f>
        <v/>
      </c>
      <c r="I906" s="255">
        <f>IF(G906="",0,IF(ISNUMBER(G906),G906,IFERROR(DATE(VALUE(MID(G906,FIND("/",G906,FIND("/",G906)+1)+1,4)),VALUE(MID(G906,FIND("/",G906)+1,FIND("/",G906,FIND("/",G906)+1)-FIND("/",G906)-1)),VALUE(LEFT(G906,FIND("/",G906)-1)))+IFERROR(TIMEVALUE(TRIM(MID(G906,FIND(" ",G906)+1,20))),0),0)))</f>
        <v/>
      </c>
      <c r="J906" s="255">
        <f>IF(H906="",0,IF(ISNUMBER(H906),H906,IFERROR(DATE(VALUE(MID(H906,FIND("/",H906,FIND("/",H906)+1)+1,4)),VALUE(MID(H906,FIND("/",H906)+1,FIND("/",H906,FIND("/",H906)+1)-FIND("/",H906)-1)),VALUE(LEFT(H906,FIND("/",H906)-1)))+IFERROR(TIMEVALUE(TRIM(MID(H906,FIND(" ",H906)+1,20))),0),0)))</f>
        <v/>
      </c>
      <c r="K906" s="256">
        <f>IF(I906=0,0,INT(I906))</f>
        <v/>
      </c>
      <c r="L906" s="257">
        <f>IF(OR(I906=0,J906=0),0,ROUND((J906-I906)*24,2))</f>
        <v/>
      </c>
      <c r="M906" s="254">
        <f>IFERROR(TRIM(MID(A906,FIND("@",SUBSTITUTE(A906,"(","@",LEN(A906)-LEN(SUBSTITUTE(A906,"(",""))))+1,FIND(")",A906,FIND("@",SUBSTITUTE(A906,"(","@",LEN(A906)-LEN(SUBSTITUTE(A906,"(","")))))-FIND("@",SUBSTITUTE(A906,"(","@",LEN(A906)-LEN(SUBSTITUTE(A906,"(",""))))-1)),"")</f>
        <v/>
      </c>
      <c r="N906" s="254">
        <f>IF(A906="","",IF(LEFT(TRIM(A906),5)="Leave","Leave",IF(OR(ISNUMBER(SEARCH("public holiday",A906)),ISNUMBER(SEARCH("Purple",E906))),"Public holiday","Event")))</f>
        <v/>
      </c>
    </row>
    <row r="907">
      <c r="G907" s="254">
        <f>IF(C907="","",IF(ISNUMBER(C907),C907,IF(ISNUMBER(VALUE(LEFT(TRIM(C907),1))),TRIM(C907),TRIM(MID(TRIM(C907),FIND(" ",TRIM(C907))+1,99)))))</f>
        <v/>
      </c>
      <c r="H907" s="254">
        <f>IF(D907="","",IF(ISNUMBER(D907),D907,IF(ISNUMBER(VALUE(LEFT(TRIM(D907),1))),TRIM(D907),TRIM(MID(TRIM(D907),FIND(" ",TRIM(D907))+1,99)))))</f>
        <v/>
      </c>
      <c r="I907" s="255">
        <f>IF(G907="",0,IF(ISNUMBER(G907),G907,IFERROR(DATE(VALUE(MID(G907,FIND("/",G907,FIND("/",G907)+1)+1,4)),VALUE(MID(G907,FIND("/",G907)+1,FIND("/",G907,FIND("/",G907)+1)-FIND("/",G907)-1)),VALUE(LEFT(G907,FIND("/",G907)-1)))+IFERROR(TIMEVALUE(TRIM(MID(G907,FIND(" ",G907)+1,20))),0),0)))</f>
        <v/>
      </c>
      <c r="J907" s="255">
        <f>IF(H907="",0,IF(ISNUMBER(H907),H907,IFERROR(DATE(VALUE(MID(H907,FIND("/",H907,FIND("/",H907)+1)+1,4)),VALUE(MID(H907,FIND("/",H907)+1,FIND("/",H907,FIND("/",H907)+1)-FIND("/",H907)-1)),VALUE(LEFT(H907,FIND("/",H907)-1)))+IFERROR(TIMEVALUE(TRIM(MID(H907,FIND(" ",H907)+1,20))),0),0)))</f>
        <v/>
      </c>
      <c r="K907" s="256">
        <f>IF(I907=0,0,INT(I907))</f>
        <v/>
      </c>
      <c r="L907" s="257">
        <f>IF(OR(I907=0,J907=0),0,ROUND((J907-I907)*24,2))</f>
        <v/>
      </c>
      <c r="M907" s="254">
        <f>IFERROR(TRIM(MID(A907,FIND("@",SUBSTITUTE(A907,"(","@",LEN(A907)-LEN(SUBSTITUTE(A907,"(",""))))+1,FIND(")",A907,FIND("@",SUBSTITUTE(A907,"(","@",LEN(A907)-LEN(SUBSTITUTE(A907,"(","")))))-FIND("@",SUBSTITUTE(A907,"(","@",LEN(A907)-LEN(SUBSTITUTE(A907,"(",""))))-1)),"")</f>
        <v/>
      </c>
      <c r="N907" s="254">
        <f>IF(A907="","",IF(LEFT(TRIM(A907),5)="Leave","Leave",IF(OR(ISNUMBER(SEARCH("public holiday",A907)),ISNUMBER(SEARCH("Purple",E907))),"Public holiday","Event")))</f>
        <v/>
      </c>
    </row>
    <row r="908">
      <c r="G908" s="254">
        <f>IF(C908="","",IF(ISNUMBER(C908),C908,IF(ISNUMBER(VALUE(LEFT(TRIM(C908),1))),TRIM(C908),TRIM(MID(TRIM(C908),FIND(" ",TRIM(C908))+1,99)))))</f>
        <v/>
      </c>
      <c r="H908" s="254">
        <f>IF(D908="","",IF(ISNUMBER(D908),D908,IF(ISNUMBER(VALUE(LEFT(TRIM(D908),1))),TRIM(D908),TRIM(MID(TRIM(D908),FIND(" ",TRIM(D908))+1,99)))))</f>
        <v/>
      </c>
      <c r="I908" s="255">
        <f>IF(G908="",0,IF(ISNUMBER(G908),G908,IFERROR(DATE(VALUE(MID(G908,FIND("/",G908,FIND("/",G908)+1)+1,4)),VALUE(MID(G908,FIND("/",G908)+1,FIND("/",G908,FIND("/",G908)+1)-FIND("/",G908)-1)),VALUE(LEFT(G908,FIND("/",G908)-1)))+IFERROR(TIMEVALUE(TRIM(MID(G908,FIND(" ",G908)+1,20))),0),0)))</f>
        <v/>
      </c>
      <c r="J908" s="255">
        <f>IF(H908="",0,IF(ISNUMBER(H908),H908,IFERROR(DATE(VALUE(MID(H908,FIND("/",H908,FIND("/",H908)+1)+1,4)),VALUE(MID(H908,FIND("/",H908)+1,FIND("/",H908,FIND("/",H908)+1)-FIND("/",H908)-1)),VALUE(LEFT(H908,FIND("/",H908)-1)))+IFERROR(TIMEVALUE(TRIM(MID(H908,FIND(" ",H908)+1,20))),0),0)))</f>
        <v/>
      </c>
      <c r="K908" s="256">
        <f>IF(I908=0,0,INT(I908))</f>
        <v/>
      </c>
      <c r="L908" s="257">
        <f>IF(OR(I908=0,J908=0),0,ROUND((J908-I908)*24,2))</f>
        <v/>
      </c>
      <c r="M908" s="254">
        <f>IFERROR(TRIM(MID(A908,FIND("@",SUBSTITUTE(A908,"(","@",LEN(A908)-LEN(SUBSTITUTE(A908,"(",""))))+1,FIND(")",A908,FIND("@",SUBSTITUTE(A908,"(","@",LEN(A908)-LEN(SUBSTITUTE(A908,"(","")))))-FIND("@",SUBSTITUTE(A908,"(","@",LEN(A908)-LEN(SUBSTITUTE(A908,"(",""))))-1)),"")</f>
        <v/>
      </c>
      <c r="N908" s="254">
        <f>IF(A908="","",IF(LEFT(TRIM(A908),5)="Leave","Leave",IF(OR(ISNUMBER(SEARCH("public holiday",A908)),ISNUMBER(SEARCH("Purple",E908))),"Public holiday","Event")))</f>
        <v/>
      </c>
    </row>
    <row r="909">
      <c r="G909" s="254">
        <f>IF(C909="","",IF(ISNUMBER(C909),C909,IF(ISNUMBER(VALUE(LEFT(TRIM(C909),1))),TRIM(C909),TRIM(MID(TRIM(C909),FIND(" ",TRIM(C909))+1,99)))))</f>
        <v/>
      </c>
      <c r="H909" s="254">
        <f>IF(D909="","",IF(ISNUMBER(D909),D909,IF(ISNUMBER(VALUE(LEFT(TRIM(D909),1))),TRIM(D909),TRIM(MID(TRIM(D909),FIND(" ",TRIM(D909))+1,99)))))</f>
        <v/>
      </c>
      <c r="I909" s="255">
        <f>IF(G909="",0,IF(ISNUMBER(G909),G909,IFERROR(DATE(VALUE(MID(G909,FIND("/",G909,FIND("/",G909)+1)+1,4)),VALUE(MID(G909,FIND("/",G909)+1,FIND("/",G909,FIND("/",G909)+1)-FIND("/",G909)-1)),VALUE(LEFT(G909,FIND("/",G909)-1)))+IFERROR(TIMEVALUE(TRIM(MID(G909,FIND(" ",G909)+1,20))),0),0)))</f>
        <v/>
      </c>
      <c r="J909" s="255">
        <f>IF(H909="",0,IF(ISNUMBER(H909),H909,IFERROR(DATE(VALUE(MID(H909,FIND("/",H909,FIND("/",H909)+1)+1,4)),VALUE(MID(H909,FIND("/",H909)+1,FIND("/",H909,FIND("/",H909)+1)-FIND("/",H909)-1)),VALUE(LEFT(H909,FIND("/",H909)-1)))+IFERROR(TIMEVALUE(TRIM(MID(H909,FIND(" ",H909)+1,20))),0),0)))</f>
        <v/>
      </c>
      <c r="K909" s="256">
        <f>IF(I909=0,0,INT(I909))</f>
        <v/>
      </c>
      <c r="L909" s="257">
        <f>IF(OR(I909=0,J909=0),0,ROUND((J909-I909)*24,2))</f>
        <v/>
      </c>
      <c r="M909" s="254">
        <f>IFERROR(TRIM(MID(A909,FIND("@",SUBSTITUTE(A909,"(","@",LEN(A909)-LEN(SUBSTITUTE(A909,"(",""))))+1,FIND(")",A909,FIND("@",SUBSTITUTE(A909,"(","@",LEN(A909)-LEN(SUBSTITUTE(A909,"(","")))))-FIND("@",SUBSTITUTE(A909,"(","@",LEN(A909)-LEN(SUBSTITUTE(A909,"(",""))))-1)),"")</f>
        <v/>
      </c>
      <c r="N909" s="254">
        <f>IF(A909="","",IF(LEFT(TRIM(A909),5)="Leave","Leave",IF(OR(ISNUMBER(SEARCH("public holiday",A909)),ISNUMBER(SEARCH("Purple",E909))),"Public holiday","Event")))</f>
        <v/>
      </c>
    </row>
    <row r="910">
      <c r="G910" s="254">
        <f>IF(C910="","",IF(ISNUMBER(C910),C910,IF(ISNUMBER(VALUE(LEFT(TRIM(C910),1))),TRIM(C910),TRIM(MID(TRIM(C910),FIND(" ",TRIM(C910))+1,99)))))</f>
        <v/>
      </c>
      <c r="H910" s="254">
        <f>IF(D910="","",IF(ISNUMBER(D910),D910,IF(ISNUMBER(VALUE(LEFT(TRIM(D910),1))),TRIM(D910),TRIM(MID(TRIM(D910),FIND(" ",TRIM(D910))+1,99)))))</f>
        <v/>
      </c>
      <c r="I910" s="255">
        <f>IF(G910="",0,IF(ISNUMBER(G910),G910,IFERROR(DATE(VALUE(MID(G910,FIND("/",G910,FIND("/",G910)+1)+1,4)),VALUE(MID(G910,FIND("/",G910)+1,FIND("/",G910,FIND("/",G910)+1)-FIND("/",G910)-1)),VALUE(LEFT(G910,FIND("/",G910)-1)))+IFERROR(TIMEVALUE(TRIM(MID(G910,FIND(" ",G910)+1,20))),0),0)))</f>
        <v/>
      </c>
      <c r="J910" s="255">
        <f>IF(H910="",0,IF(ISNUMBER(H910),H910,IFERROR(DATE(VALUE(MID(H910,FIND("/",H910,FIND("/",H910)+1)+1,4)),VALUE(MID(H910,FIND("/",H910)+1,FIND("/",H910,FIND("/",H910)+1)-FIND("/",H910)-1)),VALUE(LEFT(H910,FIND("/",H910)-1)))+IFERROR(TIMEVALUE(TRIM(MID(H910,FIND(" ",H910)+1,20))),0),0)))</f>
        <v/>
      </c>
      <c r="K910" s="256">
        <f>IF(I910=0,0,INT(I910))</f>
        <v/>
      </c>
      <c r="L910" s="257">
        <f>IF(OR(I910=0,J910=0),0,ROUND((J910-I910)*24,2))</f>
        <v/>
      </c>
      <c r="M910" s="254">
        <f>IFERROR(TRIM(MID(A910,FIND("@",SUBSTITUTE(A910,"(","@",LEN(A910)-LEN(SUBSTITUTE(A910,"(",""))))+1,FIND(")",A910,FIND("@",SUBSTITUTE(A910,"(","@",LEN(A910)-LEN(SUBSTITUTE(A910,"(","")))))-FIND("@",SUBSTITUTE(A910,"(","@",LEN(A910)-LEN(SUBSTITUTE(A910,"(",""))))-1)),"")</f>
        <v/>
      </c>
      <c r="N910" s="254">
        <f>IF(A910="","",IF(LEFT(TRIM(A910),5)="Leave","Leave",IF(OR(ISNUMBER(SEARCH("public holiday",A910)),ISNUMBER(SEARCH("Purple",E910))),"Public holiday","Event")))</f>
        <v/>
      </c>
    </row>
    <row r="911">
      <c r="G911" s="254">
        <f>IF(C911="","",IF(ISNUMBER(C911),C911,IF(ISNUMBER(VALUE(LEFT(TRIM(C911),1))),TRIM(C911),TRIM(MID(TRIM(C911),FIND(" ",TRIM(C911))+1,99)))))</f>
        <v/>
      </c>
      <c r="H911" s="254">
        <f>IF(D911="","",IF(ISNUMBER(D911),D911,IF(ISNUMBER(VALUE(LEFT(TRIM(D911),1))),TRIM(D911),TRIM(MID(TRIM(D911),FIND(" ",TRIM(D911))+1,99)))))</f>
        <v/>
      </c>
      <c r="I911" s="255">
        <f>IF(G911="",0,IF(ISNUMBER(G911),G911,IFERROR(DATE(VALUE(MID(G911,FIND("/",G911,FIND("/",G911)+1)+1,4)),VALUE(MID(G911,FIND("/",G911)+1,FIND("/",G911,FIND("/",G911)+1)-FIND("/",G911)-1)),VALUE(LEFT(G911,FIND("/",G911)-1)))+IFERROR(TIMEVALUE(TRIM(MID(G911,FIND(" ",G911)+1,20))),0),0)))</f>
        <v/>
      </c>
      <c r="J911" s="255">
        <f>IF(H911="",0,IF(ISNUMBER(H911),H911,IFERROR(DATE(VALUE(MID(H911,FIND("/",H911,FIND("/",H911)+1)+1,4)),VALUE(MID(H911,FIND("/",H911)+1,FIND("/",H911,FIND("/",H911)+1)-FIND("/",H911)-1)),VALUE(LEFT(H911,FIND("/",H911)-1)))+IFERROR(TIMEVALUE(TRIM(MID(H911,FIND(" ",H911)+1,20))),0),0)))</f>
        <v/>
      </c>
      <c r="K911" s="256">
        <f>IF(I911=0,0,INT(I911))</f>
        <v/>
      </c>
      <c r="L911" s="257">
        <f>IF(OR(I911=0,J911=0),0,ROUND((J911-I911)*24,2))</f>
        <v/>
      </c>
      <c r="M911" s="254">
        <f>IFERROR(TRIM(MID(A911,FIND("@",SUBSTITUTE(A911,"(","@",LEN(A911)-LEN(SUBSTITUTE(A911,"(",""))))+1,FIND(")",A911,FIND("@",SUBSTITUTE(A911,"(","@",LEN(A911)-LEN(SUBSTITUTE(A911,"(","")))))-FIND("@",SUBSTITUTE(A911,"(","@",LEN(A911)-LEN(SUBSTITUTE(A911,"(",""))))-1)),"")</f>
        <v/>
      </c>
      <c r="N911" s="254">
        <f>IF(A911="","",IF(LEFT(TRIM(A911),5)="Leave","Leave",IF(OR(ISNUMBER(SEARCH("public holiday",A911)),ISNUMBER(SEARCH("Purple",E911))),"Public holiday","Event")))</f>
        <v/>
      </c>
    </row>
    <row r="912">
      <c r="G912" s="254">
        <f>IF(C912="","",IF(ISNUMBER(C912),C912,IF(ISNUMBER(VALUE(LEFT(TRIM(C912),1))),TRIM(C912),TRIM(MID(TRIM(C912),FIND(" ",TRIM(C912))+1,99)))))</f>
        <v/>
      </c>
      <c r="H912" s="254">
        <f>IF(D912="","",IF(ISNUMBER(D912),D912,IF(ISNUMBER(VALUE(LEFT(TRIM(D912),1))),TRIM(D912),TRIM(MID(TRIM(D912),FIND(" ",TRIM(D912))+1,99)))))</f>
        <v/>
      </c>
      <c r="I912" s="255">
        <f>IF(G912="",0,IF(ISNUMBER(G912),G912,IFERROR(DATE(VALUE(MID(G912,FIND("/",G912,FIND("/",G912)+1)+1,4)),VALUE(MID(G912,FIND("/",G912)+1,FIND("/",G912,FIND("/",G912)+1)-FIND("/",G912)-1)),VALUE(LEFT(G912,FIND("/",G912)-1)))+IFERROR(TIMEVALUE(TRIM(MID(G912,FIND(" ",G912)+1,20))),0),0)))</f>
        <v/>
      </c>
      <c r="J912" s="255">
        <f>IF(H912="",0,IF(ISNUMBER(H912),H912,IFERROR(DATE(VALUE(MID(H912,FIND("/",H912,FIND("/",H912)+1)+1,4)),VALUE(MID(H912,FIND("/",H912)+1,FIND("/",H912,FIND("/",H912)+1)-FIND("/",H912)-1)),VALUE(LEFT(H912,FIND("/",H912)-1)))+IFERROR(TIMEVALUE(TRIM(MID(H912,FIND(" ",H912)+1,20))),0),0)))</f>
        <v/>
      </c>
      <c r="K912" s="256">
        <f>IF(I912=0,0,INT(I912))</f>
        <v/>
      </c>
      <c r="L912" s="257">
        <f>IF(OR(I912=0,J912=0),0,ROUND((J912-I912)*24,2))</f>
        <v/>
      </c>
      <c r="M912" s="254">
        <f>IFERROR(TRIM(MID(A912,FIND("@",SUBSTITUTE(A912,"(","@",LEN(A912)-LEN(SUBSTITUTE(A912,"(",""))))+1,FIND(")",A912,FIND("@",SUBSTITUTE(A912,"(","@",LEN(A912)-LEN(SUBSTITUTE(A912,"(","")))))-FIND("@",SUBSTITUTE(A912,"(","@",LEN(A912)-LEN(SUBSTITUTE(A912,"(",""))))-1)),"")</f>
        <v/>
      </c>
      <c r="N912" s="254">
        <f>IF(A912="","",IF(LEFT(TRIM(A912),5)="Leave","Leave",IF(OR(ISNUMBER(SEARCH("public holiday",A912)),ISNUMBER(SEARCH("Purple",E912))),"Public holiday","Event")))</f>
        <v/>
      </c>
    </row>
    <row r="913">
      <c r="G913" s="254">
        <f>IF(C913="","",IF(ISNUMBER(C913),C913,IF(ISNUMBER(VALUE(LEFT(TRIM(C913),1))),TRIM(C913),TRIM(MID(TRIM(C913),FIND(" ",TRIM(C913))+1,99)))))</f>
        <v/>
      </c>
      <c r="H913" s="254">
        <f>IF(D913="","",IF(ISNUMBER(D913),D913,IF(ISNUMBER(VALUE(LEFT(TRIM(D913),1))),TRIM(D913),TRIM(MID(TRIM(D913),FIND(" ",TRIM(D913))+1,99)))))</f>
        <v/>
      </c>
      <c r="I913" s="255">
        <f>IF(G913="",0,IF(ISNUMBER(G913),G913,IFERROR(DATE(VALUE(MID(G913,FIND("/",G913,FIND("/",G913)+1)+1,4)),VALUE(MID(G913,FIND("/",G913)+1,FIND("/",G913,FIND("/",G913)+1)-FIND("/",G913)-1)),VALUE(LEFT(G913,FIND("/",G913)-1)))+IFERROR(TIMEVALUE(TRIM(MID(G913,FIND(" ",G913)+1,20))),0),0)))</f>
        <v/>
      </c>
      <c r="J913" s="255">
        <f>IF(H913="",0,IF(ISNUMBER(H913),H913,IFERROR(DATE(VALUE(MID(H913,FIND("/",H913,FIND("/",H913)+1)+1,4)),VALUE(MID(H913,FIND("/",H913)+1,FIND("/",H913,FIND("/",H913)+1)-FIND("/",H913)-1)),VALUE(LEFT(H913,FIND("/",H913)-1)))+IFERROR(TIMEVALUE(TRIM(MID(H913,FIND(" ",H913)+1,20))),0),0)))</f>
        <v/>
      </c>
      <c r="K913" s="256">
        <f>IF(I913=0,0,INT(I913))</f>
        <v/>
      </c>
      <c r="L913" s="257">
        <f>IF(OR(I913=0,J913=0),0,ROUND((J913-I913)*24,2))</f>
        <v/>
      </c>
      <c r="M913" s="254">
        <f>IFERROR(TRIM(MID(A913,FIND("@",SUBSTITUTE(A913,"(","@",LEN(A913)-LEN(SUBSTITUTE(A913,"(",""))))+1,FIND(")",A913,FIND("@",SUBSTITUTE(A913,"(","@",LEN(A913)-LEN(SUBSTITUTE(A913,"(","")))))-FIND("@",SUBSTITUTE(A913,"(","@",LEN(A913)-LEN(SUBSTITUTE(A913,"(",""))))-1)),"")</f>
        <v/>
      </c>
      <c r="N913" s="254">
        <f>IF(A913="","",IF(LEFT(TRIM(A913),5)="Leave","Leave",IF(OR(ISNUMBER(SEARCH("public holiday",A913)),ISNUMBER(SEARCH("Purple",E913))),"Public holiday","Event")))</f>
        <v/>
      </c>
    </row>
    <row r="914">
      <c r="G914" s="254">
        <f>IF(C914="","",IF(ISNUMBER(C914),C914,IF(ISNUMBER(VALUE(LEFT(TRIM(C914),1))),TRIM(C914),TRIM(MID(TRIM(C914),FIND(" ",TRIM(C914))+1,99)))))</f>
        <v/>
      </c>
      <c r="H914" s="254">
        <f>IF(D914="","",IF(ISNUMBER(D914),D914,IF(ISNUMBER(VALUE(LEFT(TRIM(D914),1))),TRIM(D914),TRIM(MID(TRIM(D914),FIND(" ",TRIM(D914))+1,99)))))</f>
        <v/>
      </c>
      <c r="I914" s="255">
        <f>IF(G914="",0,IF(ISNUMBER(G914),G914,IFERROR(DATE(VALUE(MID(G914,FIND("/",G914,FIND("/",G914)+1)+1,4)),VALUE(MID(G914,FIND("/",G914)+1,FIND("/",G914,FIND("/",G914)+1)-FIND("/",G914)-1)),VALUE(LEFT(G914,FIND("/",G914)-1)))+IFERROR(TIMEVALUE(TRIM(MID(G914,FIND(" ",G914)+1,20))),0),0)))</f>
        <v/>
      </c>
      <c r="J914" s="255">
        <f>IF(H914="",0,IF(ISNUMBER(H914),H914,IFERROR(DATE(VALUE(MID(H914,FIND("/",H914,FIND("/",H914)+1)+1,4)),VALUE(MID(H914,FIND("/",H914)+1,FIND("/",H914,FIND("/",H914)+1)-FIND("/",H914)-1)),VALUE(LEFT(H914,FIND("/",H914)-1)))+IFERROR(TIMEVALUE(TRIM(MID(H914,FIND(" ",H914)+1,20))),0),0)))</f>
        <v/>
      </c>
      <c r="K914" s="256">
        <f>IF(I914=0,0,INT(I914))</f>
        <v/>
      </c>
      <c r="L914" s="257">
        <f>IF(OR(I914=0,J914=0),0,ROUND((J914-I914)*24,2))</f>
        <v/>
      </c>
      <c r="M914" s="254">
        <f>IFERROR(TRIM(MID(A914,FIND("@",SUBSTITUTE(A914,"(","@",LEN(A914)-LEN(SUBSTITUTE(A914,"(",""))))+1,FIND(")",A914,FIND("@",SUBSTITUTE(A914,"(","@",LEN(A914)-LEN(SUBSTITUTE(A914,"(","")))))-FIND("@",SUBSTITUTE(A914,"(","@",LEN(A914)-LEN(SUBSTITUTE(A914,"(",""))))-1)),"")</f>
        <v/>
      </c>
      <c r="N914" s="254">
        <f>IF(A914="","",IF(LEFT(TRIM(A914),5)="Leave","Leave",IF(OR(ISNUMBER(SEARCH("public holiday",A914)),ISNUMBER(SEARCH("Purple",E914))),"Public holiday","Event")))</f>
        <v/>
      </c>
    </row>
    <row r="915">
      <c r="G915" s="254">
        <f>IF(C915="","",IF(ISNUMBER(C915),C915,IF(ISNUMBER(VALUE(LEFT(TRIM(C915),1))),TRIM(C915),TRIM(MID(TRIM(C915),FIND(" ",TRIM(C915))+1,99)))))</f>
        <v/>
      </c>
      <c r="H915" s="254">
        <f>IF(D915="","",IF(ISNUMBER(D915),D915,IF(ISNUMBER(VALUE(LEFT(TRIM(D915),1))),TRIM(D915),TRIM(MID(TRIM(D915),FIND(" ",TRIM(D915))+1,99)))))</f>
        <v/>
      </c>
      <c r="I915" s="255">
        <f>IF(G915="",0,IF(ISNUMBER(G915),G915,IFERROR(DATE(VALUE(MID(G915,FIND("/",G915,FIND("/",G915)+1)+1,4)),VALUE(MID(G915,FIND("/",G915)+1,FIND("/",G915,FIND("/",G915)+1)-FIND("/",G915)-1)),VALUE(LEFT(G915,FIND("/",G915)-1)))+IFERROR(TIMEVALUE(TRIM(MID(G915,FIND(" ",G915)+1,20))),0),0)))</f>
        <v/>
      </c>
      <c r="J915" s="255">
        <f>IF(H915="",0,IF(ISNUMBER(H915),H915,IFERROR(DATE(VALUE(MID(H915,FIND("/",H915,FIND("/",H915)+1)+1,4)),VALUE(MID(H915,FIND("/",H915)+1,FIND("/",H915,FIND("/",H915)+1)-FIND("/",H915)-1)),VALUE(LEFT(H915,FIND("/",H915)-1)))+IFERROR(TIMEVALUE(TRIM(MID(H915,FIND(" ",H915)+1,20))),0),0)))</f>
        <v/>
      </c>
      <c r="K915" s="256">
        <f>IF(I915=0,0,INT(I915))</f>
        <v/>
      </c>
      <c r="L915" s="257">
        <f>IF(OR(I915=0,J915=0),0,ROUND((J915-I915)*24,2))</f>
        <v/>
      </c>
      <c r="M915" s="254">
        <f>IFERROR(TRIM(MID(A915,FIND("@",SUBSTITUTE(A915,"(","@",LEN(A915)-LEN(SUBSTITUTE(A915,"(",""))))+1,FIND(")",A915,FIND("@",SUBSTITUTE(A915,"(","@",LEN(A915)-LEN(SUBSTITUTE(A915,"(","")))))-FIND("@",SUBSTITUTE(A915,"(","@",LEN(A915)-LEN(SUBSTITUTE(A915,"(",""))))-1)),"")</f>
        <v/>
      </c>
      <c r="N915" s="254">
        <f>IF(A915="","",IF(LEFT(TRIM(A915),5)="Leave","Leave",IF(OR(ISNUMBER(SEARCH("public holiday",A915)),ISNUMBER(SEARCH("Purple",E915))),"Public holiday","Event")))</f>
        <v/>
      </c>
    </row>
    <row r="916">
      <c r="G916" s="254">
        <f>IF(C916="","",IF(ISNUMBER(C916),C916,IF(ISNUMBER(VALUE(LEFT(TRIM(C916),1))),TRIM(C916),TRIM(MID(TRIM(C916),FIND(" ",TRIM(C916))+1,99)))))</f>
        <v/>
      </c>
      <c r="H916" s="254">
        <f>IF(D916="","",IF(ISNUMBER(D916),D916,IF(ISNUMBER(VALUE(LEFT(TRIM(D916),1))),TRIM(D916),TRIM(MID(TRIM(D916),FIND(" ",TRIM(D916))+1,99)))))</f>
        <v/>
      </c>
      <c r="I916" s="255">
        <f>IF(G916="",0,IF(ISNUMBER(G916),G916,IFERROR(DATE(VALUE(MID(G916,FIND("/",G916,FIND("/",G916)+1)+1,4)),VALUE(MID(G916,FIND("/",G916)+1,FIND("/",G916,FIND("/",G916)+1)-FIND("/",G916)-1)),VALUE(LEFT(G916,FIND("/",G916)-1)))+IFERROR(TIMEVALUE(TRIM(MID(G916,FIND(" ",G916)+1,20))),0),0)))</f>
        <v/>
      </c>
      <c r="J916" s="255">
        <f>IF(H916="",0,IF(ISNUMBER(H916),H916,IFERROR(DATE(VALUE(MID(H916,FIND("/",H916,FIND("/",H916)+1)+1,4)),VALUE(MID(H916,FIND("/",H916)+1,FIND("/",H916,FIND("/",H916)+1)-FIND("/",H916)-1)),VALUE(LEFT(H916,FIND("/",H916)-1)))+IFERROR(TIMEVALUE(TRIM(MID(H916,FIND(" ",H916)+1,20))),0),0)))</f>
        <v/>
      </c>
      <c r="K916" s="256">
        <f>IF(I916=0,0,INT(I916))</f>
        <v/>
      </c>
      <c r="L916" s="257">
        <f>IF(OR(I916=0,J916=0),0,ROUND((J916-I916)*24,2))</f>
        <v/>
      </c>
      <c r="M916" s="254">
        <f>IFERROR(TRIM(MID(A916,FIND("@",SUBSTITUTE(A916,"(","@",LEN(A916)-LEN(SUBSTITUTE(A916,"(",""))))+1,FIND(")",A916,FIND("@",SUBSTITUTE(A916,"(","@",LEN(A916)-LEN(SUBSTITUTE(A916,"(","")))))-FIND("@",SUBSTITUTE(A916,"(","@",LEN(A916)-LEN(SUBSTITUTE(A916,"(",""))))-1)),"")</f>
        <v/>
      </c>
      <c r="N916" s="254">
        <f>IF(A916="","",IF(LEFT(TRIM(A916),5)="Leave","Leave",IF(OR(ISNUMBER(SEARCH("public holiday",A916)),ISNUMBER(SEARCH("Purple",E916))),"Public holiday","Event")))</f>
        <v/>
      </c>
    </row>
    <row r="917">
      <c r="G917" s="254">
        <f>IF(C917="","",IF(ISNUMBER(C917),C917,IF(ISNUMBER(VALUE(LEFT(TRIM(C917),1))),TRIM(C917),TRIM(MID(TRIM(C917),FIND(" ",TRIM(C917))+1,99)))))</f>
        <v/>
      </c>
      <c r="H917" s="254">
        <f>IF(D917="","",IF(ISNUMBER(D917),D917,IF(ISNUMBER(VALUE(LEFT(TRIM(D917),1))),TRIM(D917),TRIM(MID(TRIM(D917),FIND(" ",TRIM(D917))+1,99)))))</f>
        <v/>
      </c>
      <c r="I917" s="255">
        <f>IF(G917="",0,IF(ISNUMBER(G917),G917,IFERROR(DATE(VALUE(MID(G917,FIND("/",G917,FIND("/",G917)+1)+1,4)),VALUE(MID(G917,FIND("/",G917)+1,FIND("/",G917,FIND("/",G917)+1)-FIND("/",G917)-1)),VALUE(LEFT(G917,FIND("/",G917)-1)))+IFERROR(TIMEVALUE(TRIM(MID(G917,FIND(" ",G917)+1,20))),0),0)))</f>
        <v/>
      </c>
      <c r="J917" s="255">
        <f>IF(H917="",0,IF(ISNUMBER(H917),H917,IFERROR(DATE(VALUE(MID(H917,FIND("/",H917,FIND("/",H917)+1)+1,4)),VALUE(MID(H917,FIND("/",H917)+1,FIND("/",H917,FIND("/",H917)+1)-FIND("/",H917)-1)),VALUE(LEFT(H917,FIND("/",H917)-1)))+IFERROR(TIMEVALUE(TRIM(MID(H917,FIND(" ",H917)+1,20))),0),0)))</f>
        <v/>
      </c>
      <c r="K917" s="256">
        <f>IF(I917=0,0,INT(I917))</f>
        <v/>
      </c>
      <c r="L917" s="257">
        <f>IF(OR(I917=0,J917=0),0,ROUND((J917-I917)*24,2))</f>
        <v/>
      </c>
      <c r="M917" s="254">
        <f>IFERROR(TRIM(MID(A917,FIND("@",SUBSTITUTE(A917,"(","@",LEN(A917)-LEN(SUBSTITUTE(A917,"(",""))))+1,FIND(")",A917,FIND("@",SUBSTITUTE(A917,"(","@",LEN(A917)-LEN(SUBSTITUTE(A917,"(","")))))-FIND("@",SUBSTITUTE(A917,"(","@",LEN(A917)-LEN(SUBSTITUTE(A917,"(",""))))-1)),"")</f>
        <v/>
      </c>
      <c r="N917" s="254">
        <f>IF(A917="","",IF(LEFT(TRIM(A917),5)="Leave","Leave",IF(OR(ISNUMBER(SEARCH("public holiday",A917)),ISNUMBER(SEARCH("Purple",E917))),"Public holiday","Event")))</f>
        <v/>
      </c>
    </row>
    <row r="918">
      <c r="G918" s="254">
        <f>IF(C918="","",IF(ISNUMBER(C918),C918,IF(ISNUMBER(VALUE(LEFT(TRIM(C918),1))),TRIM(C918),TRIM(MID(TRIM(C918),FIND(" ",TRIM(C918))+1,99)))))</f>
        <v/>
      </c>
      <c r="H918" s="254">
        <f>IF(D918="","",IF(ISNUMBER(D918),D918,IF(ISNUMBER(VALUE(LEFT(TRIM(D918),1))),TRIM(D918),TRIM(MID(TRIM(D918),FIND(" ",TRIM(D918))+1,99)))))</f>
        <v/>
      </c>
      <c r="I918" s="255">
        <f>IF(G918="",0,IF(ISNUMBER(G918),G918,IFERROR(DATE(VALUE(MID(G918,FIND("/",G918,FIND("/",G918)+1)+1,4)),VALUE(MID(G918,FIND("/",G918)+1,FIND("/",G918,FIND("/",G918)+1)-FIND("/",G918)-1)),VALUE(LEFT(G918,FIND("/",G918)-1)))+IFERROR(TIMEVALUE(TRIM(MID(G918,FIND(" ",G918)+1,20))),0),0)))</f>
        <v/>
      </c>
      <c r="J918" s="255">
        <f>IF(H918="",0,IF(ISNUMBER(H918),H918,IFERROR(DATE(VALUE(MID(H918,FIND("/",H918,FIND("/",H918)+1)+1,4)),VALUE(MID(H918,FIND("/",H918)+1,FIND("/",H918,FIND("/",H918)+1)-FIND("/",H918)-1)),VALUE(LEFT(H918,FIND("/",H918)-1)))+IFERROR(TIMEVALUE(TRIM(MID(H918,FIND(" ",H918)+1,20))),0),0)))</f>
        <v/>
      </c>
      <c r="K918" s="256">
        <f>IF(I918=0,0,INT(I918))</f>
        <v/>
      </c>
      <c r="L918" s="257">
        <f>IF(OR(I918=0,J918=0),0,ROUND((J918-I918)*24,2))</f>
        <v/>
      </c>
      <c r="M918" s="254">
        <f>IFERROR(TRIM(MID(A918,FIND("@",SUBSTITUTE(A918,"(","@",LEN(A918)-LEN(SUBSTITUTE(A918,"(",""))))+1,FIND(")",A918,FIND("@",SUBSTITUTE(A918,"(","@",LEN(A918)-LEN(SUBSTITUTE(A918,"(","")))))-FIND("@",SUBSTITUTE(A918,"(","@",LEN(A918)-LEN(SUBSTITUTE(A918,"(",""))))-1)),"")</f>
        <v/>
      </c>
      <c r="N918" s="254">
        <f>IF(A918="","",IF(LEFT(TRIM(A918),5)="Leave","Leave",IF(OR(ISNUMBER(SEARCH("public holiday",A918)),ISNUMBER(SEARCH("Purple",E918))),"Public holiday","Event")))</f>
        <v/>
      </c>
    </row>
    <row r="919">
      <c r="G919" s="254">
        <f>IF(C919="","",IF(ISNUMBER(C919),C919,IF(ISNUMBER(VALUE(LEFT(TRIM(C919),1))),TRIM(C919),TRIM(MID(TRIM(C919),FIND(" ",TRIM(C919))+1,99)))))</f>
        <v/>
      </c>
      <c r="H919" s="254">
        <f>IF(D919="","",IF(ISNUMBER(D919),D919,IF(ISNUMBER(VALUE(LEFT(TRIM(D919),1))),TRIM(D919),TRIM(MID(TRIM(D919),FIND(" ",TRIM(D919))+1,99)))))</f>
        <v/>
      </c>
      <c r="I919" s="255">
        <f>IF(G919="",0,IF(ISNUMBER(G919),G919,IFERROR(DATE(VALUE(MID(G919,FIND("/",G919,FIND("/",G919)+1)+1,4)),VALUE(MID(G919,FIND("/",G919)+1,FIND("/",G919,FIND("/",G919)+1)-FIND("/",G919)-1)),VALUE(LEFT(G919,FIND("/",G919)-1)))+IFERROR(TIMEVALUE(TRIM(MID(G919,FIND(" ",G919)+1,20))),0),0)))</f>
        <v/>
      </c>
      <c r="J919" s="255">
        <f>IF(H919="",0,IF(ISNUMBER(H919),H919,IFERROR(DATE(VALUE(MID(H919,FIND("/",H919,FIND("/",H919)+1)+1,4)),VALUE(MID(H919,FIND("/",H919)+1,FIND("/",H919,FIND("/",H919)+1)-FIND("/",H919)-1)),VALUE(LEFT(H919,FIND("/",H919)-1)))+IFERROR(TIMEVALUE(TRIM(MID(H919,FIND(" ",H919)+1,20))),0),0)))</f>
        <v/>
      </c>
      <c r="K919" s="256">
        <f>IF(I919=0,0,INT(I919))</f>
        <v/>
      </c>
      <c r="L919" s="257">
        <f>IF(OR(I919=0,J919=0),0,ROUND((J919-I919)*24,2))</f>
        <v/>
      </c>
      <c r="M919" s="254">
        <f>IFERROR(TRIM(MID(A919,FIND("@",SUBSTITUTE(A919,"(","@",LEN(A919)-LEN(SUBSTITUTE(A919,"(",""))))+1,FIND(")",A919,FIND("@",SUBSTITUTE(A919,"(","@",LEN(A919)-LEN(SUBSTITUTE(A919,"(","")))))-FIND("@",SUBSTITUTE(A919,"(","@",LEN(A919)-LEN(SUBSTITUTE(A919,"(",""))))-1)),"")</f>
        <v/>
      </c>
      <c r="N919" s="254">
        <f>IF(A919="","",IF(LEFT(TRIM(A919),5)="Leave","Leave",IF(OR(ISNUMBER(SEARCH("public holiday",A919)),ISNUMBER(SEARCH("Purple",E919))),"Public holiday","Event")))</f>
        <v/>
      </c>
    </row>
    <row r="920">
      <c r="G920" s="254">
        <f>IF(C920="","",IF(ISNUMBER(C920),C920,IF(ISNUMBER(VALUE(LEFT(TRIM(C920),1))),TRIM(C920),TRIM(MID(TRIM(C920),FIND(" ",TRIM(C920))+1,99)))))</f>
        <v/>
      </c>
      <c r="H920" s="254">
        <f>IF(D920="","",IF(ISNUMBER(D920),D920,IF(ISNUMBER(VALUE(LEFT(TRIM(D920),1))),TRIM(D920),TRIM(MID(TRIM(D920),FIND(" ",TRIM(D920))+1,99)))))</f>
        <v/>
      </c>
      <c r="I920" s="255">
        <f>IF(G920="",0,IF(ISNUMBER(G920),G920,IFERROR(DATE(VALUE(MID(G920,FIND("/",G920,FIND("/",G920)+1)+1,4)),VALUE(MID(G920,FIND("/",G920)+1,FIND("/",G920,FIND("/",G920)+1)-FIND("/",G920)-1)),VALUE(LEFT(G920,FIND("/",G920)-1)))+IFERROR(TIMEVALUE(TRIM(MID(G920,FIND(" ",G920)+1,20))),0),0)))</f>
        <v/>
      </c>
      <c r="J920" s="255">
        <f>IF(H920="",0,IF(ISNUMBER(H920),H920,IFERROR(DATE(VALUE(MID(H920,FIND("/",H920,FIND("/",H920)+1)+1,4)),VALUE(MID(H920,FIND("/",H920)+1,FIND("/",H920,FIND("/",H920)+1)-FIND("/",H920)-1)),VALUE(LEFT(H920,FIND("/",H920)-1)))+IFERROR(TIMEVALUE(TRIM(MID(H920,FIND(" ",H920)+1,20))),0),0)))</f>
        <v/>
      </c>
      <c r="K920" s="256">
        <f>IF(I920=0,0,INT(I920))</f>
        <v/>
      </c>
      <c r="L920" s="257">
        <f>IF(OR(I920=0,J920=0),0,ROUND((J920-I920)*24,2))</f>
        <v/>
      </c>
      <c r="M920" s="254">
        <f>IFERROR(TRIM(MID(A920,FIND("@",SUBSTITUTE(A920,"(","@",LEN(A920)-LEN(SUBSTITUTE(A920,"(",""))))+1,FIND(")",A920,FIND("@",SUBSTITUTE(A920,"(","@",LEN(A920)-LEN(SUBSTITUTE(A920,"(","")))))-FIND("@",SUBSTITUTE(A920,"(","@",LEN(A920)-LEN(SUBSTITUTE(A920,"(",""))))-1)),"")</f>
        <v/>
      </c>
      <c r="N920" s="254">
        <f>IF(A920="","",IF(LEFT(TRIM(A920),5)="Leave","Leave",IF(OR(ISNUMBER(SEARCH("public holiday",A920)),ISNUMBER(SEARCH("Purple",E920))),"Public holiday","Event")))</f>
        <v/>
      </c>
    </row>
    <row r="921">
      <c r="G921" s="254">
        <f>IF(C921="","",IF(ISNUMBER(C921),C921,IF(ISNUMBER(VALUE(LEFT(TRIM(C921),1))),TRIM(C921),TRIM(MID(TRIM(C921),FIND(" ",TRIM(C921))+1,99)))))</f>
        <v/>
      </c>
      <c r="H921" s="254">
        <f>IF(D921="","",IF(ISNUMBER(D921),D921,IF(ISNUMBER(VALUE(LEFT(TRIM(D921),1))),TRIM(D921),TRIM(MID(TRIM(D921),FIND(" ",TRIM(D921))+1,99)))))</f>
        <v/>
      </c>
      <c r="I921" s="255">
        <f>IF(G921="",0,IF(ISNUMBER(G921),G921,IFERROR(DATE(VALUE(MID(G921,FIND("/",G921,FIND("/",G921)+1)+1,4)),VALUE(MID(G921,FIND("/",G921)+1,FIND("/",G921,FIND("/",G921)+1)-FIND("/",G921)-1)),VALUE(LEFT(G921,FIND("/",G921)-1)))+IFERROR(TIMEVALUE(TRIM(MID(G921,FIND(" ",G921)+1,20))),0),0)))</f>
        <v/>
      </c>
      <c r="J921" s="255">
        <f>IF(H921="",0,IF(ISNUMBER(H921),H921,IFERROR(DATE(VALUE(MID(H921,FIND("/",H921,FIND("/",H921)+1)+1,4)),VALUE(MID(H921,FIND("/",H921)+1,FIND("/",H921,FIND("/",H921)+1)-FIND("/",H921)-1)),VALUE(LEFT(H921,FIND("/",H921)-1)))+IFERROR(TIMEVALUE(TRIM(MID(H921,FIND(" ",H921)+1,20))),0),0)))</f>
        <v/>
      </c>
      <c r="K921" s="256">
        <f>IF(I921=0,0,INT(I921))</f>
        <v/>
      </c>
      <c r="L921" s="257">
        <f>IF(OR(I921=0,J921=0),0,ROUND((J921-I921)*24,2))</f>
        <v/>
      </c>
      <c r="M921" s="254">
        <f>IFERROR(TRIM(MID(A921,FIND("@",SUBSTITUTE(A921,"(","@",LEN(A921)-LEN(SUBSTITUTE(A921,"(",""))))+1,FIND(")",A921,FIND("@",SUBSTITUTE(A921,"(","@",LEN(A921)-LEN(SUBSTITUTE(A921,"(","")))))-FIND("@",SUBSTITUTE(A921,"(","@",LEN(A921)-LEN(SUBSTITUTE(A921,"(",""))))-1)),"")</f>
        <v/>
      </c>
      <c r="N921" s="254">
        <f>IF(A921="","",IF(LEFT(TRIM(A921),5)="Leave","Leave",IF(OR(ISNUMBER(SEARCH("public holiday",A921)),ISNUMBER(SEARCH("Purple",E921))),"Public holiday","Event")))</f>
        <v/>
      </c>
    </row>
    <row r="922">
      <c r="G922" s="254">
        <f>IF(C922="","",IF(ISNUMBER(C922),C922,IF(ISNUMBER(VALUE(LEFT(TRIM(C922),1))),TRIM(C922),TRIM(MID(TRIM(C922),FIND(" ",TRIM(C922))+1,99)))))</f>
        <v/>
      </c>
      <c r="H922" s="254">
        <f>IF(D922="","",IF(ISNUMBER(D922),D922,IF(ISNUMBER(VALUE(LEFT(TRIM(D922),1))),TRIM(D922),TRIM(MID(TRIM(D922),FIND(" ",TRIM(D922))+1,99)))))</f>
        <v/>
      </c>
      <c r="I922" s="255">
        <f>IF(G922="",0,IF(ISNUMBER(G922),G922,IFERROR(DATE(VALUE(MID(G922,FIND("/",G922,FIND("/",G922)+1)+1,4)),VALUE(MID(G922,FIND("/",G922)+1,FIND("/",G922,FIND("/",G922)+1)-FIND("/",G922)-1)),VALUE(LEFT(G922,FIND("/",G922)-1)))+IFERROR(TIMEVALUE(TRIM(MID(G922,FIND(" ",G922)+1,20))),0),0)))</f>
        <v/>
      </c>
      <c r="J922" s="255">
        <f>IF(H922="",0,IF(ISNUMBER(H922),H922,IFERROR(DATE(VALUE(MID(H922,FIND("/",H922,FIND("/",H922)+1)+1,4)),VALUE(MID(H922,FIND("/",H922)+1,FIND("/",H922,FIND("/",H922)+1)-FIND("/",H922)-1)),VALUE(LEFT(H922,FIND("/",H922)-1)))+IFERROR(TIMEVALUE(TRIM(MID(H922,FIND(" ",H922)+1,20))),0),0)))</f>
        <v/>
      </c>
      <c r="K922" s="256">
        <f>IF(I922=0,0,INT(I922))</f>
        <v/>
      </c>
      <c r="L922" s="257">
        <f>IF(OR(I922=0,J922=0),0,ROUND((J922-I922)*24,2))</f>
        <v/>
      </c>
      <c r="M922" s="254">
        <f>IFERROR(TRIM(MID(A922,FIND("@",SUBSTITUTE(A922,"(","@",LEN(A922)-LEN(SUBSTITUTE(A922,"(",""))))+1,FIND(")",A922,FIND("@",SUBSTITUTE(A922,"(","@",LEN(A922)-LEN(SUBSTITUTE(A922,"(","")))))-FIND("@",SUBSTITUTE(A922,"(","@",LEN(A922)-LEN(SUBSTITUTE(A922,"(",""))))-1)),"")</f>
        <v/>
      </c>
      <c r="N922" s="254">
        <f>IF(A922="","",IF(LEFT(TRIM(A922),5)="Leave","Leave",IF(OR(ISNUMBER(SEARCH("public holiday",A922)),ISNUMBER(SEARCH("Purple",E922))),"Public holiday","Event")))</f>
        <v/>
      </c>
    </row>
    <row r="923">
      <c r="G923" s="254">
        <f>IF(C923="","",IF(ISNUMBER(C923),C923,IF(ISNUMBER(VALUE(LEFT(TRIM(C923),1))),TRIM(C923),TRIM(MID(TRIM(C923),FIND(" ",TRIM(C923))+1,99)))))</f>
        <v/>
      </c>
      <c r="H923" s="254">
        <f>IF(D923="","",IF(ISNUMBER(D923),D923,IF(ISNUMBER(VALUE(LEFT(TRIM(D923),1))),TRIM(D923),TRIM(MID(TRIM(D923),FIND(" ",TRIM(D923))+1,99)))))</f>
        <v/>
      </c>
      <c r="I923" s="255">
        <f>IF(G923="",0,IF(ISNUMBER(G923),G923,IFERROR(DATE(VALUE(MID(G923,FIND("/",G923,FIND("/",G923)+1)+1,4)),VALUE(MID(G923,FIND("/",G923)+1,FIND("/",G923,FIND("/",G923)+1)-FIND("/",G923)-1)),VALUE(LEFT(G923,FIND("/",G923)-1)))+IFERROR(TIMEVALUE(TRIM(MID(G923,FIND(" ",G923)+1,20))),0),0)))</f>
        <v/>
      </c>
      <c r="J923" s="255">
        <f>IF(H923="",0,IF(ISNUMBER(H923),H923,IFERROR(DATE(VALUE(MID(H923,FIND("/",H923,FIND("/",H923)+1)+1,4)),VALUE(MID(H923,FIND("/",H923)+1,FIND("/",H923,FIND("/",H923)+1)-FIND("/",H923)-1)),VALUE(LEFT(H923,FIND("/",H923)-1)))+IFERROR(TIMEVALUE(TRIM(MID(H923,FIND(" ",H923)+1,20))),0),0)))</f>
        <v/>
      </c>
      <c r="K923" s="256">
        <f>IF(I923=0,0,INT(I923))</f>
        <v/>
      </c>
      <c r="L923" s="257">
        <f>IF(OR(I923=0,J923=0),0,ROUND((J923-I923)*24,2))</f>
        <v/>
      </c>
      <c r="M923" s="254">
        <f>IFERROR(TRIM(MID(A923,FIND("@",SUBSTITUTE(A923,"(","@",LEN(A923)-LEN(SUBSTITUTE(A923,"(",""))))+1,FIND(")",A923,FIND("@",SUBSTITUTE(A923,"(","@",LEN(A923)-LEN(SUBSTITUTE(A923,"(","")))))-FIND("@",SUBSTITUTE(A923,"(","@",LEN(A923)-LEN(SUBSTITUTE(A923,"(",""))))-1)),"")</f>
        <v/>
      </c>
      <c r="N923" s="254">
        <f>IF(A923="","",IF(LEFT(TRIM(A923),5)="Leave","Leave",IF(OR(ISNUMBER(SEARCH("public holiday",A923)),ISNUMBER(SEARCH("Purple",E923))),"Public holiday","Event")))</f>
        <v/>
      </c>
    </row>
    <row r="924">
      <c r="G924" s="254">
        <f>IF(C924="","",IF(ISNUMBER(C924),C924,IF(ISNUMBER(VALUE(LEFT(TRIM(C924),1))),TRIM(C924),TRIM(MID(TRIM(C924),FIND(" ",TRIM(C924))+1,99)))))</f>
        <v/>
      </c>
      <c r="H924" s="254">
        <f>IF(D924="","",IF(ISNUMBER(D924),D924,IF(ISNUMBER(VALUE(LEFT(TRIM(D924),1))),TRIM(D924),TRIM(MID(TRIM(D924),FIND(" ",TRIM(D924))+1,99)))))</f>
        <v/>
      </c>
      <c r="I924" s="255">
        <f>IF(G924="",0,IF(ISNUMBER(G924),G924,IFERROR(DATE(VALUE(MID(G924,FIND("/",G924,FIND("/",G924)+1)+1,4)),VALUE(MID(G924,FIND("/",G924)+1,FIND("/",G924,FIND("/",G924)+1)-FIND("/",G924)-1)),VALUE(LEFT(G924,FIND("/",G924)-1)))+IFERROR(TIMEVALUE(TRIM(MID(G924,FIND(" ",G924)+1,20))),0),0)))</f>
        <v/>
      </c>
      <c r="J924" s="255">
        <f>IF(H924="",0,IF(ISNUMBER(H924),H924,IFERROR(DATE(VALUE(MID(H924,FIND("/",H924,FIND("/",H924)+1)+1,4)),VALUE(MID(H924,FIND("/",H924)+1,FIND("/",H924,FIND("/",H924)+1)-FIND("/",H924)-1)),VALUE(LEFT(H924,FIND("/",H924)-1)))+IFERROR(TIMEVALUE(TRIM(MID(H924,FIND(" ",H924)+1,20))),0),0)))</f>
        <v/>
      </c>
      <c r="K924" s="256">
        <f>IF(I924=0,0,INT(I924))</f>
        <v/>
      </c>
      <c r="L924" s="257">
        <f>IF(OR(I924=0,J924=0),0,ROUND((J924-I924)*24,2))</f>
        <v/>
      </c>
      <c r="M924" s="254">
        <f>IFERROR(TRIM(MID(A924,FIND("@",SUBSTITUTE(A924,"(","@",LEN(A924)-LEN(SUBSTITUTE(A924,"(",""))))+1,FIND(")",A924,FIND("@",SUBSTITUTE(A924,"(","@",LEN(A924)-LEN(SUBSTITUTE(A924,"(","")))))-FIND("@",SUBSTITUTE(A924,"(","@",LEN(A924)-LEN(SUBSTITUTE(A924,"(",""))))-1)),"")</f>
        <v/>
      </c>
      <c r="N924" s="254">
        <f>IF(A924="","",IF(LEFT(TRIM(A924),5)="Leave","Leave",IF(OR(ISNUMBER(SEARCH("public holiday",A924)),ISNUMBER(SEARCH("Purple",E924))),"Public holiday","Event")))</f>
        <v/>
      </c>
    </row>
    <row r="925">
      <c r="G925" s="254">
        <f>IF(C925="","",IF(ISNUMBER(C925),C925,IF(ISNUMBER(VALUE(LEFT(TRIM(C925),1))),TRIM(C925),TRIM(MID(TRIM(C925),FIND(" ",TRIM(C925))+1,99)))))</f>
        <v/>
      </c>
      <c r="H925" s="254">
        <f>IF(D925="","",IF(ISNUMBER(D925),D925,IF(ISNUMBER(VALUE(LEFT(TRIM(D925),1))),TRIM(D925),TRIM(MID(TRIM(D925),FIND(" ",TRIM(D925))+1,99)))))</f>
        <v/>
      </c>
      <c r="I925" s="255">
        <f>IF(G925="",0,IF(ISNUMBER(G925),G925,IFERROR(DATE(VALUE(MID(G925,FIND("/",G925,FIND("/",G925)+1)+1,4)),VALUE(MID(G925,FIND("/",G925)+1,FIND("/",G925,FIND("/",G925)+1)-FIND("/",G925)-1)),VALUE(LEFT(G925,FIND("/",G925)-1)))+IFERROR(TIMEVALUE(TRIM(MID(G925,FIND(" ",G925)+1,20))),0),0)))</f>
        <v/>
      </c>
      <c r="J925" s="255">
        <f>IF(H925="",0,IF(ISNUMBER(H925),H925,IFERROR(DATE(VALUE(MID(H925,FIND("/",H925,FIND("/",H925)+1)+1,4)),VALUE(MID(H925,FIND("/",H925)+1,FIND("/",H925,FIND("/",H925)+1)-FIND("/",H925)-1)),VALUE(LEFT(H925,FIND("/",H925)-1)))+IFERROR(TIMEVALUE(TRIM(MID(H925,FIND(" ",H925)+1,20))),0),0)))</f>
        <v/>
      </c>
      <c r="K925" s="256">
        <f>IF(I925=0,0,INT(I925))</f>
        <v/>
      </c>
      <c r="L925" s="257">
        <f>IF(OR(I925=0,J925=0),0,ROUND((J925-I925)*24,2))</f>
        <v/>
      </c>
      <c r="M925" s="254">
        <f>IFERROR(TRIM(MID(A925,FIND("@",SUBSTITUTE(A925,"(","@",LEN(A925)-LEN(SUBSTITUTE(A925,"(",""))))+1,FIND(")",A925,FIND("@",SUBSTITUTE(A925,"(","@",LEN(A925)-LEN(SUBSTITUTE(A925,"(","")))))-FIND("@",SUBSTITUTE(A925,"(","@",LEN(A925)-LEN(SUBSTITUTE(A925,"(",""))))-1)),"")</f>
        <v/>
      </c>
      <c r="N925" s="254">
        <f>IF(A925="","",IF(LEFT(TRIM(A925),5)="Leave","Leave",IF(OR(ISNUMBER(SEARCH("public holiday",A925)),ISNUMBER(SEARCH("Purple",E925))),"Public holiday","Event")))</f>
        <v/>
      </c>
    </row>
    <row r="926">
      <c r="G926" s="254">
        <f>IF(C926="","",IF(ISNUMBER(C926),C926,IF(ISNUMBER(VALUE(LEFT(TRIM(C926),1))),TRIM(C926),TRIM(MID(TRIM(C926),FIND(" ",TRIM(C926))+1,99)))))</f>
        <v/>
      </c>
      <c r="H926" s="254">
        <f>IF(D926="","",IF(ISNUMBER(D926),D926,IF(ISNUMBER(VALUE(LEFT(TRIM(D926),1))),TRIM(D926),TRIM(MID(TRIM(D926),FIND(" ",TRIM(D926))+1,99)))))</f>
        <v/>
      </c>
      <c r="I926" s="255">
        <f>IF(G926="",0,IF(ISNUMBER(G926),G926,IFERROR(DATE(VALUE(MID(G926,FIND("/",G926,FIND("/",G926)+1)+1,4)),VALUE(MID(G926,FIND("/",G926)+1,FIND("/",G926,FIND("/",G926)+1)-FIND("/",G926)-1)),VALUE(LEFT(G926,FIND("/",G926)-1)))+IFERROR(TIMEVALUE(TRIM(MID(G926,FIND(" ",G926)+1,20))),0),0)))</f>
        <v/>
      </c>
      <c r="J926" s="255">
        <f>IF(H926="",0,IF(ISNUMBER(H926),H926,IFERROR(DATE(VALUE(MID(H926,FIND("/",H926,FIND("/",H926)+1)+1,4)),VALUE(MID(H926,FIND("/",H926)+1,FIND("/",H926,FIND("/",H926)+1)-FIND("/",H926)-1)),VALUE(LEFT(H926,FIND("/",H926)-1)))+IFERROR(TIMEVALUE(TRIM(MID(H926,FIND(" ",H926)+1,20))),0),0)))</f>
        <v/>
      </c>
      <c r="K926" s="256">
        <f>IF(I926=0,0,INT(I926))</f>
        <v/>
      </c>
      <c r="L926" s="257">
        <f>IF(OR(I926=0,J926=0),0,ROUND((J926-I926)*24,2))</f>
        <v/>
      </c>
      <c r="M926" s="254">
        <f>IFERROR(TRIM(MID(A926,FIND("@",SUBSTITUTE(A926,"(","@",LEN(A926)-LEN(SUBSTITUTE(A926,"(",""))))+1,FIND(")",A926,FIND("@",SUBSTITUTE(A926,"(","@",LEN(A926)-LEN(SUBSTITUTE(A926,"(","")))))-FIND("@",SUBSTITUTE(A926,"(","@",LEN(A926)-LEN(SUBSTITUTE(A926,"(",""))))-1)),"")</f>
        <v/>
      </c>
      <c r="N926" s="254">
        <f>IF(A926="","",IF(LEFT(TRIM(A926),5)="Leave","Leave",IF(OR(ISNUMBER(SEARCH("public holiday",A926)),ISNUMBER(SEARCH("Purple",E926))),"Public holiday","Event")))</f>
        <v/>
      </c>
    </row>
    <row r="927">
      <c r="G927" s="254">
        <f>IF(C927="","",IF(ISNUMBER(C927),C927,IF(ISNUMBER(VALUE(LEFT(TRIM(C927),1))),TRIM(C927),TRIM(MID(TRIM(C927),FIND(" ",TRIM(C927))+1,99)))))</f>
        <v/>
      </c>
      <c r="H927" s="254">
        <f>IF(D927="","",IF(ISNUMBER(D927),D927,IF(ISNUMBER(VALUE(LEFT(TRIM(D927),1))),TRIM(D927),TRIM(MID(TRIM(D927),FIND(" ",TRIM(D927))+1,99)))))</f>
        <v/>
      </c>
      <c r="I927" s="255">
        <f>IF(G927="",0,IF(ISNUMBER(G927),G927,IFERROR(DATE(VALUE(MID(G927,FIND("/",G927,FIND("/",G927)+1)+1,4)),VALUE(MID(G927,FIND("/",G927)+1,FIND("/",G927,FIND("/",G927)+1)-FIND("/",G927)-1)),VALUE(LEFT(G927,FIND("/",G927)-1)))+IFERROR(TIMEVALUE(TRIM(MID(G927,FIND(" ",G927)+1,20))),0),0)))</f>
        <v/>
      </c>
      <c r="J927" s="255">
        <f>IF(H927="",0,IF(ISNUMBER(H927),H927,IFERROR(DATE(VALUE(MID(H927,FIND("/",H927,FIND("/",H927)+1)+1,4)),VALUE(MID(H927,FIND("/",H927)+1,FIND("/",H927,FIND("/",H927)+1)-FIND("/",H927)-1)),VALUE(LEFT(H927,FIND("/",H927)-1)))+IFERROR(TIMEVALUE(TRIM(MID(H927,FIND(" ",H927)+1,20))),0),0)))</f>
        <v/>
      </c>
      <c r="K927" s="256">
        <f>IF(I927=0,0,INT(I927))</f>
        <v/>
      </c>
      <c r="L927" s="257">
        <f>IF(OR(I927=0,J927=0),0,ROUND((J927-I927)*24,2))</f>
        <v/>
      </c>
      <c r="M927" s="254">
        <f>IFERROR(TRIM(MID(A927,FIND("@",SUBSTITUTE(A927,"(","@",LEN(A927)-LEN(SUBSTITUTE(A927,"(",""))))+1,FIND(")",A927,FIND("@",SUBSTITUTE(A927,"(","@",LEN(A927)-LEN(SUBSTITUTE(A927,"(","")))))-FIND("@",SUBSTITUTE(A927,"(","@",LEN(A927)-LEN(SUBSTITUTE(A927,"(",""))))-1)),"")</f>
        <v/>
      </c>
      <c r="N927" s="254">
        <f>IF(A927="","",IF(LEFT(TRIM(A927),5)="Leave","Leave",IF(OR(ISNUMBER(SEARCH("public holiday",A927)),ISNUMBER(SEARCH("Purple",E927))),"Public holiday","Event")))</f>
        <v/>
      </c>
    </row>
    <row r="928">
      <c r="G928" s="254">
        <f>IF(C928="","",IF(ISNUMBER(C928),C928,IF(ISNUMBER(VALUE(LEFT(TRIM(C928),1))),TRIM(C928),TRIM(MID(TRIM(C928),FIND(" ",TRIM(C928))+1,99)))))</f>
        <v/>
      </c>
      <c r="H928" s="254">
        <f>IF(D928="","",IF(ISNUMBER(D928),D928,IF(ISNUMBER(VALUE(LEFT(TRIM(D928),1))),TRIM(D928),TRIM(MID(TRIM(D928),FIND(" ",TRIM(D928))+1,99)))))</f>
        <v/>
      </c>
      <c r="I928" s="255">
        <f>IF(G928="",0,IF(ISNUMBER(G928),G928,IFERROR(DATE(VALUE(MID(G928,FIND("/",G928,FIND("/",G928)+1)+1,4)),VALUE(MID(G928,FIND("/",G928)+1,FIND("/",G928,FIND("/",G928)+1)-FIND("/",G928)-1)),VALUE(LEFT(G928,FIND("/",G928)-1)))+IFERROR(TIMEVALUE(TRIM(MID(G928,FIND(" ",G928)+1,20))),0),0)))</f>
        <v/>
      </c>
      <c r="J928" s="255">
        <f>IF(H928="",0,IF(ISNUMBER(H928),H928,IFERROR(DATE(VALUE(MID(H928,FIND("/",H928,FIND("/",H928)+1)+1,4)),VALUE(MID(H928,FIND("/",H928)+1,FIND("/",H928,FIND("/",H928)+1)-FIND("/",H928)-1)),VALUE(LEFT(H928,FIND("/",H928)-1)))+IFERROR(TIMEVALUE(TRIM(MID(H928,FIND(" ",H928)+1,20))),0),0)))</f>
        <v/>
      </c>
      <c r="K928" s="256">
        <f>IF(I928=0,0,INT(I928))</f>
        <v/>
      </c>
      <c r="L928" s="257">
        <f>IF(OR(I928=0,J928=0),0,ROUND((J928-I928)*24,2))</f>
        <v/>
      </c>
      <c r="M928" s="254">
        <f>IFERROR(TRIM(MID(A928,FIND("@",SUBSTITUTE(A928,"(","@",LEN(A928)-LEN(SUBSTITUTE(A928,"(",""))))+1,FIND(")",A928,FIND("@",SUBSTITUTE(A928,"(","@",LEN(A928)-LEN(SUBSTITUTE(A928,"(","")))))-FIND("@",SUBSTITUTE(A928,"(","@",LEN(A928)-LEN(SUBSTITUTE(A928,"(",""))))-1)),"")</f>
        <v/>
      </c>
      <c r="N928" s="254">
        <f>IF(A928="","",IF(LEFT(TRIM(A928),5)="Leave","Leave",IF(OR(ISNUMBER(SEARCH("public holiday",A928)),ISNUMBER(SEARCH("Purple",E928))),"Public holiday","Event")))</f>
        <v/>
      </c>
    </row>
    <row r="929">
      <c r="G929" s="254">
        <f>IF(C929="","",IF(ISNUMBER(C929),C929,IF(ISNUMBER(VALUE(LEFT(TRIM(C929),1))),TRIM(C929),TRIM(MID(TRIM(C929),FIND(" ",TRIM(C929))+1,99)))))</f>
        <v/>
      </c>
      <c r="H929" s="254">
        <f>IF(D929="","",IF(ISNUMBER(D929),D929,IF(ISNUMBER(VALUE(LEFT(TRIM(D929),1))),TRIM(D929),TRIM(MID(TRIM(D929),FIND(" ",TRIM(D929))+1,99)))))</f>
        <v/>
      </c>
      <c r="I929" s="255">
        <f>IF(G929="",0,IF(ISNUMBER(G929),G929,IFERROR(DATE(VALUE(MID(G929,FIND("/",G929,FIND("/",G929)+1)+1,4)),VALUE(MID(G929,FIND("/",G929)+1,FIND("/",G929,FIND("/",G929)+1)-FIND("/",G929)-1)),VALUE(LEFT(G929,FIND("/",G929)-1)))+IFERROR(TIMEVALUE(TRIM(MID(G929,FIND(" ",G929)+1,20))),0),0)))</f>
        <v/>
      </c>
      <c r="J929" s="255">
        <f>IF(H929="",0,IF(ISNUMBER(H929),H929,IFERROR(DATE(VALUE(MID(H929,FIND("/",H929,FIND("/",H929)+1)+1,4)),VALUE(MID(H929,FIND("/",H929)+1,FIND("/",H929,FIND("/",H929)+1)-FIND("/",H929)-1)),VALUE(LEFT(H929,FIND("/",H929)-1)))+IFERROR(TIMEVALUE(TRIM(MID(H929,FIND(" ",H929)+1,20))),0),0)))</f>
        <v/>
      </c>
      <c r="K929" s="256">
        <f>IF(I929=0,0,INT(I929))</f>
        <v/>
      </c>
      <c r="L929" s="257">
        <f>IF(OR(I929=0,J929=0),0,ROUND((J929-I929)*24,2))</f>
        <v/>
      </c>
      <c r="M929" s="254">
        <f>IFERROR(TRIM(MID(A929,FIND("@",SUBSTITUTE(A929,"(","@",LEN(A929)-LEN(SUBSTITUTE(A929,"(",""))))+1,FIND(")",A929,FIND("@",SUBSTITUTE(A929,"(","@",LEN(A929)-LEN(SUBSTITUTE(A929,"(","")))))-FIND("@",SUBSTITUTE(A929,"(","@",LEN(A929)-LEN(SUBSTITUTE(A929,"(",""))))-1)),"")</f>
        <v/>
      </c>
      <c r="N929" s="254">
        <f>IF(A929="","",IF(LEFT(TRIM(A929),5)="Leave","Leave",IF(OR(ISNUMBER(SEARCH("public holiday",A929)),ISNUMBER(SEARCH("Purple",E929))),"Public holiday","Event")))</f>
        <v/>
      </c>
    </row>
    <row r="930">
      <c r="G930" s="254">
        <f>IF(C930="","",IF(ISNUMBER(C930),C930,IF(ISNUMBER(VALUE(LEFT(TRIM(C930),1))),TRIM(C930),TRIM(MID(TRIM(C930),FIND(" ",TRIM(C930))+1,99)))))</f>
        <v/>
      </c>
      <c r="H930" s="254">
        <f>IF(D930="","",IF(ISNUMBER(D930),D930,IF(ISNUMBER(VALUE(LEFT(TRIM(D930),1))),TRIM(D930),TRIM(MID(TRIM(D930),FIND(" ",TRIM(D930))+1,99)))))</f>
        <v/>
      </c>
      <c r="I930" s="255">
        <f>IF(G930="",0,IF(ISNUMBER(G930),G930,IFERROR(DATE(VALUE(MID(G930,FIND("/",G930,FIND("/",G930)+1)+1,4)),VALUE(MID(G930,FIND("/",G930)+1,FIND("/",G930,FIND("/",G930)+1)-FIND("/",G930)-1)),VALUE(LEFT(G930,FIND("/",G930)-1)))+IFERROR(TIMEVALUE(TRIM(MID(G930,FIND(" ",G930)+1,20))),0),0)))</f>
        <v/>
      </c>
      <c r="J930" s="255">
        <f>IF(H930="",0,IF(ISNUMBER(H930),H930,IFERROR(DATE(VALUE(MID(H930,FIND("/",H930,FIND("/",H930)+1)+1,4)),VALUE(MID(H930,FIND("/",H930)+1,FIND("/",H930,FIND("/",H930)+1)-FIND("/",H930)-1)),VALUE(LEFT(H930,FIND("/",H930)-1)))+IFERROR(TIMEVALUE(TRIM(MID(H930,FIND(" ",H930)+1,20))),0),0)))</f>
        <v/>
      </c>
      <c r="K930" s="256">
        <f>IF(I930=0,0,INT(I930))</f>
        <v/>
      </c>
      <c r="L930" s="257">
        <f>IF(OR(I930=0,J930=0),0,ROUND((J930-I930)*24,2))</f>
        <v/>
      </c>
      <c r="M930" s="254">
        <f>IFERROR(TRIM(MID(A930,FIND("@",SUBSTITUTE(A930,"(","@",LEN(A930)-LEN(SUBSTITUTE(A930,"(",""))))+1,FIND(")",A930,FIND("@",SUBSTITUTE(A930,"(","@",LEN(A930)-LEN(SUBSTITUTE(A930,"(","")))))-FIND("@",SUBSTITUTE(A930,"(","@",LEN(A930)-LEN(SUBSTITUTE(A930,"(",""))))-1)),"")</f>
        <v/>
      </c>
      <c r="N930" s="254">
        <f>IF(A930="","",IF(LEFT(TRIM(A930),5)="Leave","Leave",IF(OR(ISNUMBER(SEARCH("public holiday",A930)),ISNUMBER(SEARCH("Purple",E930))),"Public holiday","Event")))</f>
        <v/>
      </c>
    </row>
    <row r="931">
      <c r="G931" s="254">
        <f>IF(C931="","",IF(ISNUMBER(C931),C931,IF(ISNUMBER(VALUE(LEFT(TRIM(C931),1))),TRIM(C931),TRIM(MID(TRIM(C931),FIND(" ",TRIM(C931))+1,99)))))</f>
        <v/>
      </c>
      <c r="H931" s="254">
        <f>IF(D931="","",IF(ISNUMBER(D931),D931,IF(ISNUMBER(VALUE(LEFT(TRIM(D931),1))),TRIM(D931),TRIM(MID(TRIM(D931),FIND(" ",TRIM(D931))+1,99)))))</f>
        <v/>
      </c>
      <c r="I931" s="255">
        <f>IF(G931="",0,IF(ISNUMBER(G931),G931,IFERROR(DATE(VALUE(MID(G931,FIND("/",G931,FIND("/",G931)+1)+1,4)),VALUE(MID(G931,FIND("/",G931)+1,FIND("/",G931,FIND("/",G931)+1)-FIND("/",G931)-1)),VALUE(LEFT(G931,FIND("/",G931)-1)))+IFERROR(TIMEVALUE(TRIM(MID(G931,FIND(" ",G931)+1,20))),0),0)))</f>
        <v/>
      </c>
      <c r="J931" s="255">
        <f>IF(H931="",0,IF(ISNUMBER(H931),H931,IFERROR(DATE(VALUE(MID(H931,FIND("/",H931,FIND("/",H931)+1)+1,4)),VALUE(MID(H931,FIND("/",H931)+1,FIND("/",H931,FIND("/",H931)+1)-FIND("/",H931)-1)),VALUE(LEFT(H931,FIND("/",H931)-1)))+IFERROR(TIMEVALUE(TRIM(MID(H931,FIND(" ",H931)+1,20))),0),0)))</f>
        <v/>
      </c>
      <c r="K931" s="256">
        <f>IF(I931=0,0,INT(I931))</f>
        <v/>
      </c>
      <c r="L931" s="257">
        <f>IF(OR(I931=0,J931=0),0,ROUND((J931-I931)*24,2))</f>
        <v/>
      </c>
      <c r="M931" s="254">
        <f>IFERROR(TRIM(MID(A931,FIND("@",SUBSTITUTE(A931,"(","@",LEN(A931)-LEN(SUBSTITUTE(A931,"(",""))))+1,FIND(")",A931,FIND("@",SUBSTITUTE(A931,"(","@",LEN(A931)-LEN(SUBSTITUTE(A931,"(","")))))-FIND("@",SUBSTITUTE(A931,"(","@",LEN(A931)-LEN(SUBSTITUTE(A931,"(",""))))-1)),"")</f>
        <v/>
      </c>
      <c r="N931" s="254">
        <f>IF(A931="","",IF(LEFT(TRIM(A931),5)="Leave","Leave",IF(OR(ISNUMBER(SEARCH("public holiday",A931)),ISNUMBER(SEARCH("Purple",E931))),"Public holiday","Event")))</f>
        <v/>
      </c>
    </row>
    <row r="932">
      <c r="G932" s="254">
        <f>IF(C932="","",IF(ISNUMBER(C932),C932,IF(ISNUMBER(VALUE(LEFT(TRIM(C932),1))),TRIM(C932),TRIM(MID(TRIM(C932),FIND(" ",TRIM(C932))+1,99)))))</f>
        <v/>
      </c>
      <c r="H932" s="254">
        <f>IF(D932="","",IF(ISNUMBER(D932),D932,IF(ISNUMBER(VALUE(LEFT(TRIM(D932),1))),TRIM(D932),TRIM(MID(TRIM(D932),FIND(" ",TRIM(D932))+1,99)))))</f>
        <v/>
      </c>
      <c r="I932" s="255">
        <f>IF(G932="",0,IF(ISNUMBER(G932),G932,IFERROR(DATE(VALUE(MID(G932,FIND("/",G932,FIND("/",G932)+1)+1,4)),VALUE(MID(G932,FIND("/",G932)+1,FIND("/",G932,FIND("/",G932)+1)-FIND("/",G932)-1)),VALUE(LEFT(G932,FIND("/",G932)-1)))+IFERROR(TIMEVALUE(TRIM(MID(G932,FIND(" ",G932)+1,20))),0),0)))</f>
        <v/>
      </c>
      <c r="J932" s="255">
        <f>IF(H932="",0,IF(ISNUMBER(H932),H932,IFERROR(DATE(VALUE(MID(H932,FIND("/",H932,FIND("/",H932)+1)+1,4)),VALUE(MID(H932,FIND("/",H932)+1,FIND("/",H932,FIND("/",H932)+1)-FIND("/",H932)-1)),VALUE(LEFT(H932,FIND("/",H932)-1)))+IFERROR(TIMEVALUE(TRIM(MID(H932,FIND(" ",H932)+1,20))),0),0)))</f>
        <v/>
      </c>
      <c r="K932" s="256">
        <f>IF(I932=0,0,INT(I932))</f>
        <v/>
      </c>
      <c r="L932" s="257">
        <f>IF(OR(I932=0,J932=0),0,ROUND((J932-I932)*24,2))</f>
        <v/>
      </c>
      <c r="M932" s="254">
        <f>IFERROR(TRIM(MID(A932,FIND("@",SUBSTITUTE(A932,"(","@",LEN(A932)-LEN(SUBSTITUTE(A932,"(",""))))+1,FIND(")",A932,FIND("@",SUBSTITUTE(A932,"(","@",LEN(A932)-LEN(SUBSTITUTE(A932,"(","")))))-FIND("@",SUBSTITUTE(A932,"(","@",LEN(A932)-LEN(SUBSTITUTE(A932,"(",""))))-1)),"")</f>
        <v/>
      </c>
      <c r="N932" s="254">
        <f>IF(A932="","",IF(LEFT(TRIM(A932),5)="Leave","Leave",IF(OR(ISNUMBER(SEARCH("public holiday",A932)),ISNUMBER(SEARCH("Purple",E932))),"Public holiday","Event")))</f>
        <v/>
      </c>
    </row>
    <row r="933">
      <c r="G933" s="254">
        <f>IF(C933="","",IF(ISNUMBER(C933),C933,IF(ISNUMBER(VALUE(LEFT(TRIM(C933),1))),TRIM(C933),TRIM(MID(TRIM(C933),FIND(" ",TRIM(C933))+1,99)))))</f>
        <v/>
      </c>
      <c r="H933" s="254">
        <f>IF(D933="","",IF(ISNUMBER(D933),D933,IF(ISNUMBER(VALUE(LEFT(TRIM(D933),1))),TRIM(D933),TRIM(MID(TRIM(D933),FIND(" ",TRIM(D933))+1,99)))))</f>
        <v/>
      </c>
      <c r="I933" s="255">
        <f>IF(G933="",0,IF(ISNUMBER(G933),G933,IFERROR(DATE(VALUE(MID(G933,FIND("/",G933,FIND("/",G933)+1)+1,4)),VALUE(MID(G933,FIND("/",G933)+1,FIND("/",G933,FIND("/",G933)+1)-FIND("/",G933)-1)),VALUE(LEFT(G933,FIND("/",G933)-1)))+IFERROR(TIMEVALUE(TRIM(MID(G933,FIND(" ",G933)+1,20))),0),0)))</f>
        <v/>
      </c>
      <c r="J933" s="255">
        <f>IF(H933="",0,IF(ISNUMBER(H933),H933,IFERROR(DATE(VALUE(MID(H933,FIND("/",H933,FIND("/",H933)+1)+1,4)),VALUE(MID(H933,FIND("/",H933)+1,FIND("/",H933,FIND("/",H933)+1)-FIND("/",H933)-1)),VALUE(LEFT(H933,FIND("/",H933)-1)))+IFERROR(TIMEVALUE(TRIM(MID(H933,FIND(" ",H933)+1,20))),0),0)))</f>
        <v/>
      </c>
      <c r="K933" s="256">
        <f>IF(I933=0,0,INT(I933))</f>
        <v/>
      </c>
      <c r="L933" s="257">
        <f>IF(OR(I933=0,J933=0),0,ROUND((J933-I933)*24,2))</f>
        <v/>
      </c>
      <c r="M933" s="254">
        <f>IFERROR(TRIM(MID(A933,FIND("@",SUBSTITUTE(A933,"(","@",LEN(A933)-LEN(SUBSTITUTE(A933,"(",""))))+1,FIND(")",A933,FIND("@",SUBSTITUTE(A933,"(","@",LEN(A933)-LEN(SUBSTITUTE(A933,"(","")))))-FIND("@",SUBSTITUTE(A933,"(","@",LEN(A933)-LEN(SUBSTITUTE(A933,"(",""))))-1)),"")</f>
        <v/>
      </c>
      <c r="N933" s="254">
        <f>IF(A933="","",IF(LEFT(TRIM(A933),5)="Leave","Leave",IF(OR(ISNUMBER(SEARCH("public holiday",A933)),ISNUMBER(SEARCH("Purple",E933))),"Public holiday","Event")))</f>
        <v/>
      </c>
    </row>
    <row r="934">
      <c r="G934" s="254">
        <f>IF(C934="","",IF(ISNUMBER(C934),C934,IF(ISNUMBER(VALUE(LEFT(TRIM(C934),1))),TRIM(C934),TRIM(MID(TRIM(C934),FIND(" ",TRIM(C934))+1,99)))))</f>
        <v/>
      </c>
      <c r="H934" s="254">
        <f>IF(D934="","",IF(ISNUMBER(D934),D934,IF(ISNUMBER(VALUE(LEFT(TRIM(D934),1))),TRIM(D934),TRIM(MID(TRIM(D934),FIND(" ",TRIM(D934))+1,99)))))</f>
        <v/>
      </c>
      <c r="I934" s="255">
        <f>IF(G934="",0,IF(ISNUMBER(G934),G934,IFERROR(DATE(VALUE(MID(G934,FIND("/",G934,FIND("/",G934)+1)+1,4)),VALUE(MID(G934,FIND("/",G934)+1,FIND("/",G934,FIND("/",G934)+1)-FIND("/",G934)-1)),VALUE(LEFT(G934,FIND("/",G934)-1)))+IFERROR(TIMEVALUE(TRIM(MID(G934,FIND(" ",G934)+1,20))),0),0)))</f>
        <v/>
      </c>
      <c r="J934" s="255">
        <f>IF(H934="",0,IF(ISNUMBER(H934),H934,IFERROR(DATE(VALUE(MID(H934,FIND("/",H934,FIND("/",H934)+1)+1,4)),VALUE(MID(H934,FIND("/",H934)+1,FIND("/",H934,FIND("/",H934)+1)-FIND("/",H934)-1)),VALUE(LEFT(H934,FIND("/",H934)-1)))+IFERROR(TIMEVALUE(TRIM(MID(H934,FIND(" ",H934)+1,20))),0),0)))</f>
        <v/>
      </c>
      <c r="K934" s="256">
        <f>IF(I934=0,0,INT(I934))</f>
        <v/>
      </c>
      <c r="L934" s="257">
        <f>IF(OR(I934=0,J934=0),0,ROUND((J934-I934)*24,2))</f>
        <v/>
      </c>
      <c r="M934" s="254">
        <f>IFERROR(TRIM(MID(A934,FIND("@",SUBSTITUTE(A934,"(","@",LEN(A934)-LEN(SUBSTITUTE(A934,"(",""))))+1,FIND(")",A934,FIND("@",SUBSTITUTE(A934,"(","@",LEN(A934)-LEN(SUBSTITUTE(A934,"(","")))))-FIND("@",SUBSTITUTE(A934,"(","@",LEN(A934)-LEN(SUBSTITUTE(A934,"(",""))))-1)),"")</f>
        <v/>
      </c>
      <c r="N934" s="254">
        <f>IF(A934="","",IF(LEFT(TRIM(A934),5)="Leave","Leave",IF(OR(ISNUMBER(SEARCH("public holiday",A934)),ISNUMBER(SEARCH("Purple",E934))),"Public holiday","Event")))</f>
        <v/>
      </c>
    </row>
    <row r="935">
      <c r="G935" s="254">
        <f>IF(C935="","",IF(ISNUMBER(C935),C935,IF(ISNUMBER(VALUE(LEFT(TRIM(C935),1))),TRIM(C935),TRIM(MID(TRIM(C935),FIND(" ",TRIM(C935))+1,99)))))</f>
        <v/>
      </c>
      <c r="H935" s="254">
        <f>IF(D935="","",IF(ISNUMBER(D935),D935,IF(ISNUMBER(VALUE(LEFT(TRIM(D935),1))),TRIM(D935),TRIM(MID(TRIM(D935),FIND(" ",TRIM(D935))+1,99)))))</f>
        <v/>
      </c>
      <c r="I935" s="255">
        <f>IF(G935="",0,IF(ISNUMBER(G935),G935,IFERROR(DATE(VALUE(MID(G935,FIND("/",G935,FIND("/",G935)+1)+1,4)),VALUE(MID(G935,FIND("/",G935)+1,FIND("/",G935,FIND("/",G935)+1)-FIND("/",G935)-1)),VALUE(LEFT(G935,FIND("/",G935)-1)))+IFERROR(TIMEVALUE(TRIM(MID(G935,FIND(" ",G935)+1,20))),0),0)))</f>
        <v/>
      </c>
      <c r="J935" s="255">
        <f>IF(H935="",0,IF(ISNUMBER(H935),H935,IFERROR(DATE(VALUE(MID(H935,FIND("/",H935,FIND("/",H935)+1)+1,4)),VALUE(MID(H935,FIND("/",H935)+1,FIND("/",H935,FIND("/",H935)+1)-FIND("/",H935)-1)),VALUE(LEFT(H935,FIND("/",H935)-1)))+IFERROR(TIMEVALUE(TRIM(MID(H935,FIND(" ",H935)+1,20))),0),0)))</f>
        <v/>
      </c>
      <c r="K935" s="256">
        <f>IF(I935=0,0,INT(I935))</f>
        <v/>
      </c>
      <c r="L935" s="257">
        <f>IF(OR(I935=0,J935=0),0,ROUND((J935-I935)*24,2))</f>
        <v/>
      </c>
      <c r="M935" s="254">
        <f>IFERROR(TRIM(MID(A935,FIND("@",SUBSTITUTE(A935,"(","@",LEN(A935)-LEN(SUBSTITUTE(A935,"(",""))))+1,FIND(")",A935,FIND("@",SUBSTITUTE(A935,"(","@",LEN(A935)-LEN(SUBSTITUTE(A935,"(","")))))-FIND("@",SUBSTITUTE(A935,"(","@",LEN(A935)-LEN(SUBSTITUTE(A935,"(",""))))-1)),"")</f>
        <v/>
      </c>
      <c r="N935" s="254">
        <f>IF(A935="","",IF(LEFT(TRIM(A935),5)="Leave","Leave",IF(OR(ISNUMBER(SEARCH("public holiday",A935)),ISNUMBER(SEARCH("Purple",E935))),"Public holiday","Event")))</f>
        <v/>
      </c>
    </row>
    <row r="936">
      <c r="G936" s="254">
        <f>IF(C936="","",IF(ISNUMBER(C936),C936,IF(ISNUMBER(VALUE(LEFT(TRIM(C936),1))),TRIM(C936),TRIM(MID(TRIM(C936),FIND(" ",TRIM(C936))+1,99)))))</f>
        <v/>
      </c>
      <c r="H936" s="254">
        <f>IF(D936="","",IF(ISNUMBER(D936),D936,IF(ISNUMBER(VALUE(LEFT(TRIM(D936),1))),TRIM(D936),TRIM(MID(TRIM(D936),FIND(" ",TRIM(D936))+1,99)))))</f>
        <v/>
      </c>
      <c r="I936" s="255">
        <f>IF(G936="",0,IF(ISNUMBER(G936),G936,IFERROR(DATE(VALUE(MID(G936,FIND("/",G936,FIND("/",G936)+1)+1,4)),VALUE(MID(G936,FIND("/",G936)+1,FIND("/",G936,FIND("/",G936)+1)-FIND("/",G936)-1)),VALUE(LEFT(G936,FIND("/",G936)-1)))+IFERROR(TIMEVALUE(TRIM(MID(G936,FIND(" ",G936)+1,20))),0),0)))</f>
        <v/>
      </c>
      <c r="J936" s="255">
        <f>IF(H936="",0,IF(ISNUMBER(H936),H936,IFERROR(DATE(VALUE(MID(H936,FIND("/",H936,FIND("/",H936)+1)+1,4)),VALUE(MID(H936,FIND("/",H936)+1,FIND("/",H936,FIND("/",H936)+1)-FIND("/",H936)-1)),VALUE(LEFT(H936,FIND("/",H936)-1)))+IFERROR(TIMEVALUE(TRIM(MID(H936,FIND(" ",H936)+1,20))),0),0)))</f>
        <v/>
      </c>
      <c r="K936" s="256">
        <f>IF(I936=0,0,INT(I936))</f>
        <v/>
      </c>
      <c r="L936" s="257">
        <f>IF(OR(I936=0,J936=0),0,ROUND((J936-I936)*24,2))</f>
        <v/>
      </c>
      <c r="M936" s="254">
        <f>IFERROR(TRIM(MID(A936,FIND("@",SUBSTITUTE(A936,"(","@",LEN(A936)-LEN(SUBSTITUTE(A936,"(",""))))+1,FIND(")",A936,FIND("@",SUBSTITUTE(A936,"(","@",LEN(A936)-LEN(SUBSTITUTE(A936,"(","")))))-FIND("@",SUBSTITUTE(A936,"(","@",LEN(A936)-LEN(SUBSTITUTE(A936,"(",""))))-1)),"")</f>
        <v/>
      </c>
      <c r="N936" s="254">
        <f>IF(A936="","",IF(LEFT(TRIM(A936),5)="Leave","Leave",IF(OR(ISNUMBER(SEARCH("public holiday",A936)),ISNUMBER(SEARCH("Purple",E936))),"Public holiday","Event")))</f>
        <v/>
      </c>
    </row>
    <row r="937">
      <c r="G937" s="254">
        <f>IF(C937="","",IF(ISNUMBER(C937),C937,IF(ISNUMBER(VALUE(LEFT(TRIM(C937),1))),TRIM(C937),TRIM(MID(TRIM(C937),FIND(" ",TRIM(C937))+1,99)))))</f>
        <v/>
      </c>
      <c r="H937" s="254">
        <f>IF(D937="","",IF(ISNUMBER(D937),D937,IF(ISNUMBER(VALUE(LEFT(TRIM(D937),1))),TRIM(D937),TRIM(MID(TRIM(D937),FIND(" ",TRIM(D937))+1,99)))))</f>
        <v/>
      </c>
      <c r="I937" s="255">
        <f>IF(G937="",0,IF(ISNUMBER(G937),G937,IFERROR(DATE(VALUE(MID(G937,FIND("/",G937,FIND("/",G937)+1)+1,4)),VALUE(MID(G937,FIND("/",G937)+1,FIND("/",G937,FIND("/",G937)+1)-FIND("/",G937)-1)),VALUE(LEFT(G937,FIND("/",G937)-1)))+IFERROR(TIMEVALUE(TRIM(MID(G937,FIND(" ",G937)+1,20))),0),0)))</f>
        <v/>
      </c>
      <c r="J937" s="255">
        <f>IF(H937="",0,IF(ISNUMBER(H937),H937,IFERROR(DATE(VALUE(MID(H937,FIND("/",H937,FIND("/",H937)+1)+1,4)),VALUE(MID(H937,FIND("/",H937)+1,FIND("/",H937,FIND("/",H937)+1)-FIND("/",H937)-1)),VALUE(LEFT(H937,FIND("/",H937)-1)))+IFERROR(TIMEVALUE(TRIM(MID(H937,FIND(" ",H937)+1,20))),0),0)))</f>
        <v/>
      </c>
      <c r="K937" s="256">
        <f>IF(I937=0,0,INT(I937))</f>
        <v/>
      </c>
      <c r="L937" s="257">
        <f>IF(OR(I937=0,J937=0),0,ROUND((J937-I937)*24,2))</f>
        <v/>
      </c>
      <c r="M937" s="254">
        <f>IFERROR(TRIM(MID(A937,FIND("@",SUBSTITUTE(A937,"(","@",LEN(A937)-LEN(SUBSTITUTE(A937,"(",""))))+1,FIND(")",A937,FIND("@",SUBSTITUTE(A937,"(","@",LEN(A937)-LEN(SUBSTITUTE(A937,"(","")))))-FIND("@",SUBSTITUTE(A937,"(","@",LEN(A937)-LEN(SUBSTITUTE(A937,"(",""))))-1)),"")</f>
        <v/>
      </c>
      <c r="N937" s="254">
        <f>IF(A937="","",IF(LEFT(TRIM(A937),5)="Leave","Leave",IF(OR(ISNUMBER(SEARCH("public holiday",A937)),ISNUMBER(SEARCH("Purple",E937))),"Public holiday","Event")))</f>
        <v/>
      </c>
    </row>
    <row r="938">
      <c r="G938" s="254">
        <f>IF(C938="","",IF(ISNUMBER(C938),C938,IF(ISNUMBER(VALUE(LEFT(TRIM(C938),1))),TRIM(C938),TRIM(MID(TRIM(C938),FIND(" ",TRIM(C938))+1,99)))))</f>
        <v/>
      </c>
      <c r="H938" s="254">
        <f>IF(D938="","",IF(ISNUMBER(D938),D938,IF(ISNUMBER(VALUE(LEFT(TRIM(D938),1))),TRIM(D938),TRIM(MID(TRIM(D938),FIND(" ",TRIM(D938))+1,99)))))</f>
        <v/>
      </c>
      <c r="I938" s="255">
        <f>IF(G938="",0,IF(ISNUMBER(G938),G938,IFERROR(DATE(VALUE(MID(G938,FIND("/",G938,FIND("/",G938)+1)+1,4)),VALUE(MID(G938,FIND("/",G938)+1,FIND("/",G938,FIND("/",G938)+1)-FIND("/",G938)-1)),VALUE(LEFT(G938,FIND("/",G938)-1)))+IFERROR(TIMEVALUE(TRIM(MID(G938,FIND(" ",G938)+1,20))),0),0)))</f>
        <v/>
      </c>
      <c r="J938" s="255">
        <f>IF(H938="",0,IF(ISNUMBER(H938),H938,IFERROR(DATE(VALUE(MID(H938,FIND("/",H938,FIND("/",H938)+1)+1,4)),VALUE(MID(H938,FIND("/",H938)+1,FIND("/",H938,FIND("/",H938)+1)-FIND("/",H938)-1)),VALUE(LEFT(H938,FIND("/",H938)-1)))+IFERROR(TIMEVALUE(TRIM(MID(H938,FIND(" ",H938)+1,20))),0),0)))</f>
        <v/>
      </c>
      <c r="K938" s="256">
        <f>IF(I938=0,0,INT(I938))</f>
        <v/>
      </c>
      <c r="L938" s="257">
        <f>IF(OR(I938=0,J938=0),0,ROUND((J938-I938)*24,2))</f>
        <v/>
      </c>
      <c r="M938" s="254">
        <f>IFERROR(TRIM(MID(A938,FIND("@",SUBSTITUTE(A938,"(","@",LEN(A938)-LEN(SUBSTITUTE(A938,"(",""))))+1,FIND(")",A938,FIND("@",SUBSTITUTE(A938,"(","@",LEN(A938)-LEN(SUBSTITUTE(A938,"(","")))))-FIND("@",SUBSTITUTE(A938,"(","@",LEN(A938)-LEN(SUBSTITUTE(A938,"(",""))))-1)),"")</f>
        <v/>
      </c>
      <c r="N938" s="254">
        <f>IF(A938="","",IF(LEFT(TRIM(A938),5)="Leave","Leave",IF(OR(ISNUMBER(SEARCH("public holiday",A938)),ISNUMBER(SEARCH("Purple",E938))),"Public holiday","Event")))</f>
        <v/>
      </c>
    </row>
    <row r="939">
      <c r="G939" s="254">
        <f>IF(C939="","",IF(ISNUMBER(C939),C939,IF(ISNUMBER(VALUE(LEFT(TRIM(C939),1))),TRIM(C939),TRIM(MID(TRIM(C939),FIND(" ",TRIM(C939))+1,99)))))</f>
        <v/>
      </c>
      <c r="H939" s="254">
        <f>IF(D939="","",IF(ISNUMBER(D939),D939,IF(ISNUMBER(VALUE(LEFT(TRIM(D939),1))),TRIM(D939),TRIM(MID(TRIM(D939),FIND(" ",TRIM(D939))+1,99)))))</f>
        <v/>
      </c>
      <c r="I939" s="255">
        <f>IF(G939="",0,IF(ISNUMBER(G939),G939,IFERROR(DATE(VALUE(MID(G939,FIND("/",G939,FIND("/",G939)+1)+1,4)),VALUE(MID(G939,FIND("/",G939)+1,FIND("/",G939,FIND("/",G939)+1)-FIND("/",G939)-1)),VALUE(LEFT(G939,FIND("/",G939)-1)))+IFERROR(TIMEVALUE(TRIM(MID(G939,FIND(" ",G939)+1,20))),0),0)))</f>
        <v/>
      </c>
      <c r="J939" s="255">
        <f>IF(H939="",0,IF(ISNUMBER(H939),H939,IFERROR(DATE(VALUE(MID(H939,FIND("/",H939,FIND("/",H939)+1)+1,4)),VALUE(MID(H939,FIND("/",H939)+1,FIND("/",H939,FIND("/",H939)+1)-FIND("/",H939)-1)),VALUE(LEFT(H939,FIND("/",H939)-1)))+IFERROR(TIMEVALUE(TRIM(MID(H939,FIND(" ",H939)+1,20))),0),0)))</f>
        <v/>
      </c>
      <c r="K939" s="256">
        <f>IF(I939=0,0,INT(I939))</f>
        <v/>
      </c>
      <c r="L939" s="257">
        <f>IF(OR(I939=0,J939=0),0,ROUND((J939-I939)*24,2))</f>
        <v/>
      </c>
      <c r="M939" s="254">
        <f>IFERROR(TRIM(MID(A939,FIND("@",SUBSTITUTE(A939,"(","@",LEN(A939)-LEN(SUBSTITUTE(A939,"(",""))))+1,FIND(")",A939,FIND("@",SUBSTITUTE(A939,"(","@",LEN(A939)-LEN(SUBSTITUTE(A939,"(","")))))-FIND("@",SUBSTITUTE(A939,"(","@",LEN(A939)-LEN(SUBSTITUTE(A939,"(",""))))-1)),"")</f>
        <v/>
      </c>
      <c r="N939" s="254">
        <f>IF(A939="","",IF(LEFT(TRIM(A939),5)="Leave","Leave",IF(OR(ISNUMBER(SEARCH("public holiday",A939)),ISNUMBER(SEARCH("Purple",E939))),"Public holiday","Event")))</f>
        <v/>
      </c>
    </row>
    <row r="940">
      <c r="G940" s="254">
        <f>IF(C940="","",IF(ISNUMBER(C940),C940,IF(ISNUMBER(VALUE(LEFT(TRIM(C940),1))),TRIM(C940),TRIM(MID(TRIM(C940),FIND(" ",TRIM(C940))+1,99)))))</f>
        <v/>
      </c>
      <c r="H940" s="254">
        <f>IF(D940="","",IF(ISNUMBER(D940),D940,IF(ISNUMBER(VALUE(LEFT(TRIM(D940),1))),TRIM(D940),TRIM(MID(TRIM(D940),FIND(" ",TRIM(D940))+1,99)))))</f>
        <v/>
      </c>
      <c r="I940" s="255">
        <f>IF(G940="",0,IF(ISNUMBER(G940),G940,IFERROR(DATE(VALUE(MID(G940,FIND("/",G940,FIND("/",G940)+1)+1,4)),VALUE(MID(G940,FIND("/",G940)+1,FIND("/",G940,FIND("/",G940)+1)-FIND("/",G940)-1)),VALUE(LEFT(G940,FIND("/",G940)-1)))+IFERROR(TIMEVALUE(TRIM(MID(G940,FIND(" ",G940)+1,20))),0),0)))</f>
        <v/>
      </c>
      <c r="J940" s="255">
        <f>IF(H940="",0,IF(ISNUMBER(H940),H940,IFERROR(DATE(VALUE(MID(H940,FIND("/",H940,FIND("/",H940)+1)+1,4)),VALUE(MID(H940,FIND("/",H940)+1,FIND("/",H940,FIND("/",H940)+1)-FIND("/",H940)-1)),VALUE(LEFT(H940,FIND("/",H940)-1)))+IFERROR(TIMEVALUE(TRIM(MID(H940,FIND(" ",H940)+1,20))),0),0)))</f>
        <v/>
      </c>
      <c r="K940" s="256">
        <f>IF(I940=0,0,INT(I940))</f>
        <v/>
      </c>
      <c r="L940" s="257">
        <f>IF(OR(I940=0,J940=0),0,ROUND((J940-I940)*24,2))</f>
        <v/>
      </c>
      <c r="M940" s="254">
        <f>IFERROR(TRIM(MID(A940,FIND("@",SUBSTITUTE(A940,"(","@",LEN(A940)-LEN(SUBSTITUTE(A940,"(",""))))+1,FIND(")",A940,FIND("@",SUBSTITUTE(A940,"(","@",LEN(A940)-LEN(SUBSTITUTE(A940,"(","")))))-FIND("@",SUBSTITUTE(A940,"(","@",LEN(A940)-LEN(SUBSTITUTE(A940,"(",""))))-1)),"")</f>
        <v/>
      </c>
      <c r="N940" s="254">
        <f>IF(A940="","",IF(LEFT(TRIM(A940),5)="Leave","Leave",IF(OR(ISNUMBER(SEARCH("public holiday",A940)),ISNUMBER(SEARCH("Purple",E940))),"Public holiday","Event")))</f>
        <v/>
      </c>
    </row>
    <row r="941">
      <c r="G941" s="254">
        <f>IF(C941="","",IF(ISNUMBER(C941),C941,IF(ISNUMBER(VALUE(LEFT(TRIM(C941),1))),TRIM(C941),TRIM(MID(TRIM(C941),FIND(" ",TRIM(C941))+1,99)))))</f>
        <v/>
      </c>
      <c r="H941" s="254">
        <f>IF(D941="","",IF(ISNUMBER(D941),D941,IF(ISNUMBER(VALUE(LEFT(TRIM(D941),1))),TRIM(D941),TRIM(MID(TRIM(D941),FIND(" ",TRIM(D941))+1,99)))))</f>
        <v/>
      </c>
      <c r="I941" s="255">
        <f>IF(G941="",0,IF(ISNUMBER(G941),G941,IFERROR(DATE(VALUE(MID(G941,FIND("/",G941,FIND("/",G941)+1)+1,4)),VALUE(MID(G941,FIND("/",G941)+1,FIND("/",G941,FIND("/",G941)+1)-FIND("/",G941)-1)),VALUE(LEFT(G941,FIND("/",G941)-1)))+IFERROR(TIMEVALUE(TRIM(MID(G941,FIND(" ",G941)+1,20))),0),0)))</f>
        <v/>
      </c>
      <c r="J941" s="255">
        <f>IF(H941="",0,IF(ISNUMBER(H941),H941,IFERROR(DATE(VALUE(MID(H941,FIND("/",H941,FIND("/",H941)+1)+1,4)),VALUE(MID(H941,FIND("/",H941)+1,FIND("/",H941,FIND("/",H941)+1)-FIND("/",H941)-1)),VALUE(LEFT(H941,FIND("/",H941)-1)))+IFERROR(TIMEVALUE(TRIM(MID(H941,FIND(" ",H941)+1,20))),0),0)))</f>
        <v/>
      </c>
      <c r="K941" s="256">
        <f>IF(I941=0,0,INT(I941))</f>
        <v/>
      </c>
      <c r="L941" s="257">
        <f>IF(OR(I941=0,J941=0),0,ROUND((J941-I941)*24,2))</f>
        <v/>
      </c>
      <c r="M941" s="254">
        <f>IFERROR(TRIM(MID(A941,FIND("@",SUBSTITUTE(A941,"(","@",LEN(A941)-LEN(SUBSTITUTE(A941,"(",""))))+1,FIND(")",A941,FIND("@",SUBSTITUTE(A941,"(","@",LEN(A941)-LEN(SUBSTITUTE(A941,"(","")))))-FIND("@",SUBSTITUTE(A941,"(","@",LEN(A941)-LEN(SUBSTITUTE(A941,"(",""))))-1)),"")</f>
        <v/>
      </c>
      <c r="N941" s="254">
        <f>IF(A941="","",IF(LEFT(TRIM(A941),5)="Leave","Leave",IF(OR(ISNUMBER(SEARCH("public holiday",A941)),ISNUMBER(SEARCH("Purple",E941))),"Public holiday","Event")))</f>
        <v/>
      </c>
    </row>
    <row r="942">
      <c r="G942" s="254">
        <f>IF(C942="","",IF(ISNUMBER(C942),C942,IF(ISNUMBER(VALUE(LEFT(TRIM(C942),1))),TRIM(C942),TRIM(MID(TRIM(C942),FIND(" ",TRIM(C942))+1,99)))))</f>
        <v/>
      </c>
      <c r="H942" s="254">
        <f>IF(D942="","",IF(ISNUMBER(D942),D942,IF(ISNUMBER(VALUE(LEFT(TRIM(D942),1))),TRIM(D942),TRIM(MID(TRIM(D942),FIND(" ",TRIM(D942))+1,99)))))</f>
        <v/>
      </c>
      <c r="I942" s="255">
        <f>IF(G942="",0,IF(ISNUMBER(G942),G942,IFERROR(DATE(VALUE(MID(G942,FIND("/",G942,FIND("/",G942)+1)+1,4)),VALUE(MID(G942,FIND("/",G942)+1,FIND("/",G942,FIND("/",G942)+1)-FIND("/",G942)-1)),VALUE(LEFT(G942,FIND("/",G942)-1)))+IFERROR(TIMEVALUE(TRIM(MID(G942,FIND(" ",G942)+1,20))),0),0)))</f>
        <v/>
      </c>
      <c r="J942" s="255">
        <f>IF(H942="",0,IF(ISNUMBER(H942),H942,IFERROR(DATE(VALUE(MID(H942,FIND("/",H942,FIND("/",H942)+1)+1,4)),VALUE(MID(H942,FIND("/",H942)+1,FIND("/",H942,FIND("/",H942)+1)-FIND("/",H942)-1)),VALUE(LEFT(H942,FIND("/",H942)-1)))+IFERROR(TIMEVALUE(TRIM(MID(H942,FIND(" ",H942)+1,20))),0),0)))</f>
        <v/>
      </c>
      <c r="K942" s="256">
        <f>IF(I942=0,0,INT(I942))</f>
        <v/>
      </c>
      <c r="L942" s="257">
        <f>IF(OR(I942=0,J942=0),0,ROUND((J942-I942)*24,2))</f>
        <v/>
      </c>
      <c r="M942" s="254">
        <f>IFERROR(TRIM(MID(A942,FIND("@",SUBSTITUTE(A942,"(","@",LEN(A942)-LEN(SUBSTITUTE(A942,"(",""))))+1,FIND(")",A942,FIND("@",SUBSTITUTE(A942,"(","@",LEN(A942)-LEN(SUBSTITUTE(A942,"(","")))))-FIND("@",SUBSTITUTE(A942,"(","@",LEN(A942)-LEN(SUBSTITUTE(A942,"(",""))))-1)),"")</f>
        <v/>
      </c>
      <c r="N942" s="254">
        <f>IF(A942="","",IF(LEFT(TRIM(A942),5)="Leave","Leave",IF(OR(ISNUMBER(SEARCH("public holiday",A942)),ISNUMBER(SEARCH("Purple",E942))),"Public holiday","Event")))</f>
        <v/>
      </c>
    </row>
    <row r="943">
      <c r="G943" s="254">
        <f>IF(C943="","",IF(ISNUMBER(C943),C943,IF(ISNUMBER(VALUE(LEFT(TRIM(C943),1))),TRIM(C943),TRIM(MID(TRIM(C943),FIND(" ",TRIM(C943))+1,99)))))</f>
        <v/>
      </c>
      <c r="H943" s="254">
        <f>IF(D943="","",IF(ISNUMBER(D943),D943,IF(ISNUMBER(VALUE(LEFT(TRIM(D943),1))),TRIM(D943),TRIM(MID(TRIM(D943),FIND(" ",TRIM(D943))+1,99)))))</f>
        <v/>
      </c>
      <c r="I943" s="255">
        <f>IF(G943="",0,IF(ISNUMBER(G943),G943,IFERROR(DATE(VALUE(MID(G943,FIND("/",G943,FIND("/",G943)+1)+1,4)),VALUE(MID(G943,FIND("/",G943)+1,FIND("/",G943,FIND("/",G943)+1)-FIND("/",G943)-1)),VALUE(LEFT(G943,FIND("/",G943)-1)))+IFERROR(TIMEVALUE(TRIM(MID(G943,FIND(" ",G943)+1,20))),0),0)))</f>
        <v/>
      </c>
      <c r="J943" s="255">
        <f>IF(H943="",0,IF(ISNUMBER(H943),H943,IFERROR(DATE(VALUE(MID(H943,FIND("/",H943,FIND("/",H943)+1)+1,4)),VALUE(MID(H943,FIND("/",H943)+1,FIND("/",H943,FIND("/",H943)+1)-FIND("/",H943)-1)),VALUE(LEFT(H943,FIND("/",H943)-1)))+IFERROR(TIMEVALUE(TRIM(MID(H943,FIND(" ",H943)+1,20))),0),0)))</f>
        <v/>
      </c>
      <c r="K943" s="256">
        <f>IF(I943=0,0,INT(I943))</f>
        <v/>
      </c>
      <c r="L943" s="257">
        <f>IF(OR(I943=0,J943=0),0,ROUND((J943-I943)*24,2))</f>
        <v/>
      </c>
      <c r="M943" s="254">
        <f>IFERROR(TRIM(MID(A943,FIND("@",SUBSTITUTE(A943,"(","@",LEN(A943)-LEN(SUBSTITUTE(A943,"(",""))))+1,FIND(")",A943,FIND("@",SUBSTITUTE(A943,"(","@",LEN(A943)-LEN(SUBSTITUTE(A943,"(","")))))-FIND("@",SUBSTITUTE(A943,"(","@",LEN(A943)-LEN(SUBSTITUTE(A943,"(",""))))-1)),"")</f>
        <v/>
      </c>
      <c r="N943" s="254">
        <f>IF(A943="","",IF(LEFT(TRIM(A943),5)="Leave","Leave",IF(OR(ISNUMBER(SEARCH("public holiday",A943)),ISNUMBER(SEARCH("Purple",E943))),"Public holiday","Event")))</f>
        <v/>
      </c>
    </row>
    <row r="944">
      <c r="G944" s="254">
        <f>IF(C944="","",IF(ISNUMBER(C944),C944,IF(ISNUMBER(VALUE(LEFT(TRIM(C944),1))),TRIM(C944),TRIM(MID(TRIM(C944),FIND(" ",TRIM(C944))+1,99)))))</f>
        <v/>
      </c>
      <c r="H944" s="254">
        <f>IF(D944="","",IF(ISNUMBER(D944),D944,IF(ISNUMBER(VALUE(LEFT(TRIM(D944),1))),TRIM(D944),TRIM(MID(TRIM(D944),FIND(" ",TRIM(D944))+1,99)))))</f>
        <v/>
      </c>
      <c r="I944" s="255">
        <f>IF(G944="",0,IF(ISNUMBER(G944),G944,IFERROR(DATE(VALUE(MID(G944,FIND("/",G944,FIND("/",G944)+1)+1,4)),VALUE(MID(G944,FIND("/",G944)+1,FIND("/",G944,FIND("/",G944)+1)-FIND("/",G944)-1)),VALUE(LEFT(G944,FIND("/",G944)-1)))+IFERROR(TIMEVALUE(TRIM(MID(G944,FIND(" ",G944)+1,20))),0),0)))</f>
        <v/>
      </c>
      <c r="J944" s="255">
        <f>IF(H944="",0,IF(ISNUMBER(H944),H944,IFERROR(DATE(VALUE(MID(H944,FIND("/",H944,FIND("/",H944)+1)+1,4)),VALUE(MID(H944,FIND("/",H944)+1,FIND("/",H944,FIND("/",H944)+1)-FIND("/",H944)-1)),VALUE(LEFT(H944,FIND("/",H944)-1)))+IFERROR(TIMEVALUE(TRIM(MID(H944,FIND(" ",H944)+1,20))),0),0)))</f>
        <v/>
      </c>
      <c r="K944" s="256">
        <f>IF(I944=0,0,INT(I944))</f>
        <v/>
      </c>
      <c r="L944" s="257">
        <f>IF(OR(I944=0,J944=0),0,ROUND((J944-I944)*24,2))</f>
        <v/>
      </c>
      <c r="M944" s="254">
        <f>IFERROR(TRIM(MID(A944,FIND("@",SUBSTITUTE(A944,"(","@",LEN(A944)-LEN(SUBSTITUTE(A944,"(",""))))+1,FIND(")",A944,FIND("@",SUBSTITUTE(A944,"(","@",LEN(A944)-LEN(SUBSTITUTE(A944,"(","")))))-FIND("@",SUBSTITUTE(A944,"(","@",LEN(A944)-LEN(SUBSTITUTE(A944,"(",""))))-1)),"")</f>
        <v/>
      </c>
      <c r="N944" s="254">
        <f>IF(A944="","",IF(LEFT(TRIM(A944),5)="Leave","Leave",IF(OR(ISNUMBER(SEARCH("public holiday",A944)),ISNUMBER(SEARCH("Purple",E944))),"Public holiday","Event")))</f>
        <v/>
      </c>
    </row>
    <row r="945">
      <c r="G945" s="254">
        <f>IF(C945="","",IF(ISNUMBER(C945),C945,IF(ISNUMBER(VALUE(LEFT(TRIM(C945),1))),TRIM(C945),TRIM(MID(TRIM(C945),FIND(" ",TRIM(C945))+1,99)))))</f>
        <v/>
      </c>
      <c r="H945" s="254">
        <f>IF(D945="","",IF(ISNUMBER(D945),D945,IF(ISNUMBER(VALUE(LEFT(TRIM(D945),1))),TRIM(D945),TRIM(MID(TRIM(D945),FIND(" ",TRIM(D945))+1,99)))))</f>
        <v/>
      </c>
      <c r="I945" s="255">
        <f>IF(G945="",0,IF(ISNUMBER(G945),G945,IFERROR(DATE(VALUE(MID(G945,FIND("/",G945,FIND("/",G945)+1)+1,4)),VALUE(MID(G945,FIND("/",G945)+1,FIND("/",G945,FIND("/",G945)+1)-FIND("/",G945)-1)),VALUE(LEFT(G945,FIND("/",G945)-1)))+IFERROR(TIMEVALUE(TRIM(MID(G945,FIND(" ",G945)+1,20))),0),0)))</f>
        <v/>
      </c>
      <c r="J945" s="255">
        <f>IF(H945="",0,IF(ISNUMBER(H945),H945,IFERROR(DATE(VALUE(MID(H945,FIND("/",H945,FIND("/",H945)+1)+1,4)),VALUE(MID(H945,FIND("/",H945)+1,FIND("/",H945,FIND("/",H945)+1)-FIND("/",H945)-1)),VALUE(LEFT(H945,FIND("/",H945)-1)))+IFERROR(TIMEVALUE(TRIM(MID(H945,FIND(" ",H945)+1,20))),0),0)))</f>
        <v/>
      </c>
      <c r="K945" s="256">
        <f>IF(I945=0,0,INT(I945))</f>
        <v/>
      </c>
      <c r="L945" s="257">
        <f>IF(OR(I945=0,J945=0),0,ROUND((J945-I945)*24,2))</f>
        <v/>
      </c>
      <c r="M945" s="254">
        <f>IFERROR(TRIM(MID(A945,FIND("@",SUBSTITUTE(A945,"(","@",LEN(A945)-LEN(SUBSTITUTE(A945,"(",""))))+1,FIND(")",A945,FIND("@",SUBSTITUTE(A945,"(","@",LEN(A945)-LEN(SUBSTITUTE(A945,"(","")))))-FIND("@",SUBSTITUTE(A945,"(","@",LEN(A945)-LEN(SUBSTITUTE(A945,"(",""))))-1)),"")</f>
        <v/>
      </c>
      <c r="N945" s="254">
        <f>IF(A945="","",IF(LEFT(TRIM(A945),5)="Leave","Leave",IF(OR(ISNUMBER(SEARCH("public holiday",A945)),ISNUMBER(SEARCH("Purple",E945))),"Public holiday","Event")))</f>
        <v/>
      </c>
    </row>
    <row r="946">
      <c r="G946" s="254">
        <f>IF(C946="","",IF(ISNUMBER(C946),C946,IF(ISNUMBER(VALUE(LEFT(TRIM(C946),1))),TRIM(C946),TRIM(MID(TRIM(C946),FIND(" ",TRIM(C946))+1,99)))))</f>
        <v/>
      </c>
      <c r="H946" s="254">
        <f>IF(D946="","",IF(ISNUMBER(D946),D946,IF(ISNUMBER(VALUE(LEFT(TRIM(D946),1))),TRIM(D946),TRIM(MID(TRIM(D946),FIND(" ",TRIM(D946))+1,99)))))</f>
        <v/>
      </c>
      <c r="I946" s="255">
        <f>IF(G946="",0,IF(ISNUMBER(G946),G946,IFERROR(DATE(VALUE(MID(G946,FIND("/",G946,FIND("/",G946)+1)+1,4)),VALUE(MID(G946,FIND("/",G946)+1,FIND("/",G946,FIND("/",G946)+1)-FIND("/",G946)-1)),VALUE(LEFT(G946,FIND("/",G946)-1)))+IFERROR(TIMEVALUE(TRIM(MID(G946,FIND(" ",G946)+1,20))),0),0)))</f>
        <v/>
      </c>
      <c r="J946" s="255">
        <f>IF(H946="",0,IF(ISNUMBER(H946),H946,IFERROR(DATE(VALUE(MID(H946,FIND("/",H946,FIND("/",H946)+1)+1,4)),VALUE(MID(H946,FIND("/",H946)+1,FIND("/",H946,FIND("/",H946)+1)-FIND("/",H946)-1)),VALUE(LEFT(H946,FIND("/",H946)-1)))+IFERROR(TIMEVALUE(TRIM(MID(H946,FIND(" ",H946)+1,20))),0),0)))</f>
        <v/>
      </c>
      <c r="K946" s="256">
        <f>IF(I946=0,0,INT(I946))</f>
        <v/>
      </c>
      <c r="L946" s="257">
        <f>IF(OR(I946=0,J946=0),0,ROUND((J946-I946)*24,2))</f>
        <v/>
      </c>
      <c r="M946" s="254">
        <f>IFERROR(TRIM(MID(A946,FIND("@",SUBSTITUTE(A946,"(","@",LEN(A946)-LEN(SUBSTITUTE(A946,"(",""))))+1,FIND(")",A946,FIND("@",SUBSTITUTE(A946,"(","@",LEN(A946)-LEN(SUBSTITUTE(A946,"(","")))))-FIND("@",SUBSTITUTE(A946,"(","@",LEN(A946)-LEN(SUBSTITUTE(A946,"(",""))))-1)),"")</f>
        <v/>
      </c>
      <c r="N946" s="254">
        <f>IF(A946="","",IF(LEFT(TRIM(A946),5)="Leave","Leave",IF(OR(ISNUMBER(SEARCH("public holiday",A946)),ISNUMBER(SEARCH("Purple",E946))),"Public holiday","Event")))</f>
        <v/>
      </c>
    </row>
    <row r="947">
      <c r="G947" s="254">
        <f>IF(C947="","",IF(ISNUMBER(C947),C947,IF(ISNUMBER(VALUE(LEFT(TRIM(C947),1))),TRIM(C947),TRIM(MID(TRIM(C947),FIND(" ",TRIM(C947))+1,99)))))</f>
        <v/>
      </c>
      <c r="H947" s="254">
        <f>IF(D947="","",IF(ISNUMBER(D947),D947,IF(ISNUMBER(VALUE(LEFT(TRIM(D947),1))),TRIM(D947),TRIM(MID(TRIM(D947),FIND(" ",TRIM(D947))+1,99)))))</f>
        <v/>
      </c>
      <c r="I947" s="255">
        <f>IF(G947="",0,IF(ISNUMBER(G947),G947,IFERROR(DATE(VALUE(MID(G947,FIND("/",G947,FIND("/",G947)+1)+1,4)),VALUE(MID(G947,FIND("/",G947)+1,FIND("/",G947,FIND("/",G947)+1)-FIND("/",G947)-1)),VALUE(LEFT(G947,FIND("/",G947)-1)))+IFERROR(TIMEVALUE(TRIM(MID(G947,FIND(" ",G947)+1,20))),0),0)))</f>
        <v/>
      </c>
      <c r="J947" s="255">
        <f>IF(H947="",0,IF(ISNUMBER(H947),H947,IFERROR(DATE(VALUE(MID(H947,FIND("/",H947,FIND("/",H947)+1)+1,4)),VALUE(MID(H947,FIND("/",H947)+1,FIND("/",H947,FIND("/",H947)+1)-FIND("/",H947)-1)),VALUE(LEFT(H947,FIND("/",H947)-1)))+IFERROR(TIMEVALUE(TRIM(MID(H947,FIND(" ",H947)+1,20))),0),0)))</f>
        <v/>
      </c>
      <c r="K947" s="256">
        <f>IF(I947=0,0,INT(I947))</f>
        <v/>
      </c>
      <c r="L947" s="257">
        <f>IF(OR(I947=0,J947=0),0,ROUND((J947-I947)*24,2))</f>
        <v/>
      </c>
      <c r="M947" s="254">
        <f>IFERROR(TRIM(MID(A947,FIND("@",SUBSTITUTE(A947,"(","@",LEN(A947)-LEN(SUBSTITUTE(A947,"(",""))))+1,FIND(")",A947,FIND("@",SUBSTITUTE(A947,"(","@",LEN(A947)-LEN(SUBSTITUTE(A947,"(","")))))-FIND("@",SUBSTITUTE(A947,"(","@",LEN(A947)-LEN(SUBSTITUTE(A947,"(",""))))-1)),"")</f>
        <v/>
      </c>
      <c r="N947" s="254">
        <f>IF(A947="","",IF(LEFT(TRIM(A947),5)="Leave","Leave",IF(OR(ISNUMBER(SEARCH("public holiday",A947)),ISNUMBER(SEARCH("Purple",E947))),"Public holiday","Event")))</f>
        <v/>
      </c>
    </row>
    <row r="948">
      <c r="G948" s="254">
        <f>IF(C948="","",IF(ISNUMBER(C948),C948,IF(ISNUMBER(VALUE(LEFT(TRIM(C948),1))),TRIM(C948),TRIM(MID(TRIM(C948),FIND(" ",TRIM(C948))+1,99)))))</f>
        <v/>
      </c>
      <c r="H948" s="254">
        <f>IF(D948="","",IF(ISNUMBER(D948),D948,IF(ISNUMBER(VALUE(LEFT(TRIM(D948),1))),TRIM(D948),TRIM(MID(TRIM(D948),FIND(" ",TRIM(D948))+1,99)))))</f>
        <v/>
      </c>
      <c r="I948" s="255">
        <f>IF(G948="",0,IF(ISNUMBER(G948),G948,IFERROR(DATE(VALUE(MID(G948,FIND("/",G948,FIND("/",G948)+1)+1,4)),VALUE(MID(G948,FIND("/",G948)+1,FIND("/",G948,FIND("/",G948)+1)-FIND("/",G948)-1)),VALUE(LEFT(G948,FIND("/",G948)-1)))+IFERROR(TIMEVALUE(TRIM(MID(G948,FIND(" ",G948)+1,20))),0),0)))</f>
        <v/>
      </c>
      <c r="J948" s="255">
        <f>IF(H948="",0,IF(ISNUMBER(H948),H948,IFERROR(DATE(VALUE(MID(H948,FIND("/",H948,FIND("/",H948)+1)+1,4)),VALUE(MID(H948,FIND("/",H948)+1,FIND("/",H948,FIND("/",H948)+1)-FIND("/",H948)-1)),VALUE(LEFT(H948,FIND("/",H948)-1)))+IFERROR(TIMEVALUE(TRIM(MID(H948,FIND(" ",H948)+1,20))),0),0)))</f>
        <v/>
      </c>
      <c r="K948" s="256">
        <f>IF(I948=0,0,INT(I948))</f>
        <v/>
      </c>
      <c r="L948" s="257">
        <f>IF(OR(I948=0,J948=0),0,ROUND((J948-I948)*24,2))</f>
        <v/>
      </c>
      <c r="M948" s="254">
        <f>IFERROR(TRIM(MID(A948,FIND("@",SUBSTITUTE(A948,"(","@",LEN(A948)-LEN(SUBSTITUTE(A948,"(",""))))+1,FIND(")",A948,FIND("@",SUBSTITUTE(A948,"(","@",LEN(A948)-LEN(SUBSTITUTE(A948,"(","")))))-FIND("@",SUBSTITUTE(A948,"(","@",LEN(A948)-LEN(SUBSTITUTE(A948,"(",""))))-1)),"")</f>
        <v/>
      </c>
      <c r="N948" s="254">
        <f>IF(A948="","",IF(LEFT(TRIM(A948),5)="Leave","Leave",IF(OR(ISNUMBER(SEARCH("public holiday",A948)),ISNUMBER(SEARCH("Purple",E948))),"Public holiday","Event")))</f>
        <v/>
      </c>
    </row>
    <row r="949">
      <c r="G949" s="254">
        <f>IF(C949="","",IF(ISNUMBER(C949),C949,IF(ISNUMBER(VALUE(LEFT(TRIM(C949),1))),TRIM(C949),TRIM(MID(TRIM(C949),FIND(" ",TRIM(C949))+1,99)))))</f>
        <v/>
      </c>
      <c r="H949" s="254">
        <f>IF(D949="","",IF(ISNUMBER(D949),D949,IF(ISNUMBER(VALUE(LEFT(TRIM(D949),1))),TRIM(D949),TRIM(MID(TRIM(D949),FIND(" ",TRIM(D949))+1,99)))))</f>
        <v/>
      </c>
      <c r="I949" s="255">
        <f>IF(G949="",0,IF(ISNUMBER(G949),G949,IFERROR(DATE(VALUE(MID(G949,FIND("/",G949,FIND("/",G949)+1)+1,4)),VALUE(MID(G949,FIND("/",G949)+1,FIND("/",G949,FIND("/",G949)+1)-FIND("/",G949)-1)),VALUE(LEFT(G949,FIND("/",G949)-1)))+IFERROR(TIMEVALUE(TRIM(MID(G949,FIND(" ",G949)+1,20))),0),0)))</f>
        <v/>
      </c>
      <c r="J949" s="255">
        <f>IF(H949="",0,IF(ISNUMBER(H949),H949,IFERROR(DATE(VALUE(MID(H949,FIND("/",H949,FIND("/",H949)+1)+1,4)),VALUE(MID(H949,FIND("/",H949)+1,FIND("/",H949,FIND("/",H949)+1)-FIND("/",H949)-1)),VALUE(LEFT(H949,FIND("/",H949)-1)))+IFERROR(TIMEVALUE(TRIM(MID(H949,FIND(" ",H949)+1,20))),0),0)))</f>
        <v/>
      </c>
      <c r="K949" s="256">
        <f>IF(I949=0,0,INT(I949))</f>
        <v/>
      </c>
      <c r="L949" s="257">
        <f>IF(OR(I949=0,J949=0),0,ROUND((J949-I949)*24,2))</f>
        <v/>
      </c>
      <c r="M949" s="254">
        <f>IFERROR(TRIM(MID(A949,FIND("@",SUBSTITUTE(A949,"(","@",LEN(A949)-LEN(SUBSTITUTE(A949,"(",""))))+1,FIND(")",A949,FIND("@",SUBSTITUTE(A949,"(","@",LEN(A949)-LEN(SUBSTITUTE(A949,"(","")))))-FIND("@",SUBSTITUTE(A949,"(","@",LEN(A949)-LEN(SUBSTITUTE(A949,"(",""))))-1)),"")</f>
        <v/>
      </c>
      <c r="N949" s="254">
        <f>IF(A949="","",IF(LEFT(TRIM(A949),5)="Leave","Leave",IF(OR(ISNUMBER(SEARCH("public holiday",A949)),ISNUMBER(SEARCH("Purple",E949))),"Public holiday","Event")))</f>
        <v/>
      </c>
    </row>
    <row r="950">
      <c r="G950" s="254">
        <f>IF(C950="","",IF(ISNUMBER(C950),C950,IF(ISNUMBER(VALUE(LEFT(TRIM(C950),1))),TRIM(C950),TRIM(MID(TRIM(C950),FIND(" ",TRIM(C950))+1,99)))))</f>
        <v/>
      </c>
      <c r="H950" s="254">
        <f>IF(D950="","",IF(ISNUMBER(D950),D950,IF(ISNUMBER(VALUE(LEFT(TRIM(D950),1))),TRIM(D950),TRIM(MID(TRIM(D950),FIND(" ",TRIM(D950))+1,99)))))</f>
        <v/>
      </c>
      <c r="I950" s="255">
        <f>IF(G950="",0,IF(ISNUMBER(G950),G950,IFERROR(DATE(VALUE(MID(G950,FIND("/",G950,FIND("/",G950)+1)+1,4)),VALUE(MID(G950,FIND("/",G950)+1,FIND("/",G950,FIND("/",G950)+1)-FIND("/",G950)-1)),VALUE(LEFT(G950,FIND("/",G950)-1)))+IFERROR(TIMEVALUE(TRIM(MID(G950,FIND(" ",G950)+1,20))),0),0)))</f>
        <v/>
      </c>
      <c r="J950" s="255">
        <f>IF(H950="",0,IF(ISNUMBER(H950),H950,IFERROR(DATE(VALUE(MID(H950,FIND("/",H950,FIND("/",H950)+1)+1,4)),VALUE(MID(H950,FIND("/",H950)+1,FIND("/",H950,FIND("/",H950)+1)-FIND("/",H950)-1)),VALUE(LEFT(H950,FIND("/",H950)-1)))+IFERROR(TIMEVALUE(TRIM(MID(H950,FIND(" ",H950)+1,20))),0),0)))</f>
        <v/>
      </c>
      <c r="K950" s="256">
        <f>IF(I950=0,0,INT(I950))</f>
        <v/>
      </c>
      <c r="L950" s="257">
        <f>IF(OR(I950=0,J950=0),0,ROUND((J950-I950)*24,2))</f>
        <v/>
      </c>
      <c r="M950" s="254">
        <f>IFERROR(TRIM(MID(A950,FIND("@",SUBSTITUTE(A950,"(","@",LEN(A950)-LEN(SUBSTITUTE(A950,"(",""))))+1,FIND(")",A950,FIND("@",SUBSTITUTE(A950,"(","@",LEN(A950)-LEN(SUBSTITUTE(A950,"(","")))))-FIND("@",SUBSTITUTE(A950,"(","@",LEN(A950)-LEN(SUBSTITUTE(A950,"(",""))))-1)),"")</f>
        <v/>
      </c>
      <c r="N950" s="254">
        <f>IF(A950="","",IF(LEFT(TRIM(A950),5)="Leave","Leave",IF(OR(ISNUMBER(SEARCH("public holiday",A950)),ISNUMBER(SEARCH("Purple",E950))),"Public holiday","Event")))</f>
        <v/>
      </c>
    </row>
    <row r="951">
      <c r="G951" s="254">
        <f>IF(C951="","",IF(ISNUMBER(C951),C951,IF(ISNUMBER(VALUE(LEFT(TRIM(C951),1))),TRIM(C951),TRIM(MID(TRIM(C951),FIND(" ",TRIM(C951))+1,99)))))</f>
        <v/>
      </c>
      <c r="H951" s="254">
        <f>IF(D951="","",IF(ISNUMBER(D951),D951,IF(ISNUMBER(VALUE(LEFT(TRIM(D951),1))),TRIM(D951),TRIM(MID(TRIM(D951),FIND(" ",TRIM(D951))+1,99)))))</f>
        <v/>
      </c>
      <c r="I951" s="255">
        <f>IF(G951="",0,IF(ISNUMBER(G951),G951,IFERROR(DATE(VALUE(MID(G951,FIND("/",G951,FIND("/",G951)+1)+1,4)),VALUE(MID(G951,FIND("/",G951)+1,FIND("/",G951,FIND("/",G951)+1)-FIND("/",G951)-1)),VALUE(LEFT(G951,FIND("/",G951)-1)))+IFERROR(TIMEVALUE(TRIM(MID(G951,FIND(" ",G951)+1,20))),0),0)))</f>
        <v/>
      </c>
      <c r="J951" s="255">
        <f>IF(H951="",0,IF(ISNUMBER(H951),H951,IFERROR(DATE(VALUE(MID(H951,FIND("/",H951,FIND("/",H951)+1)+1,4)),VALUE(MID(H951,FIND("/",H951)+1,FIND("/",H951,FIND("/",H951)+1)-FIND("/",H951)-1)),VALUE(LEFT(H951,FIND("/",H951)-1)))+IFERROR(TIMEVALUE(TRIM(MID(H951,FIND(" ",H951)+1,20))),0),0)))</f>
        <v/>
      </c>
      <c r="K951" s="256">
        <f>IF(I951=0,0,INT(I951))</f>
        <v/>
      </c>
      <c r="L951" s="257">
        <f>IF(OR(I951=0,J951=0),0,ROUND((J951-I951)*24,2))</f>
        <v/>
      </c>
      <c r="M951" s="254">
        <f>IFERROR(TRIM(MID(A951,FIND("@",SUBSTITUTE(A951,"(","@",LEN(A951)-LEN(SUBSTITUTE(A951,"(",""))))+1,FIND(")",A951,FIND("@",SUBSTITUTE(A951,"(","@",LEN(A951)-LEN(SUBSTITUTE(A951,"(","")))))-FIND("@",SUBSTITUTE(A951,"(","@",LEN(A951)-LEN(SUBSTITUTE(A951,"(",""))))-1)),"")</f>
        <v/>
      </c>
      <c r="N951" s="254">
        <f>IF(A951="","",IF(LEFT(TRIM(A951),5)="Leave","Leave",IF(OR(ISNUMBER(SEARCH("public holiday",A951)),ISNUMBER(SEARCH("Purple",E951))),"Public holiday","Event")))</f>
        <v/>
      </c>
    </row>
    <row r="952">
      <c r="G952" s="254">
        <f>IF(C952="","",IF(ISNUMBER(C952),C952,IF(ISNUMBER(VALUE(LEFT(TRIM(C952),1))),TRIM(C952),TRIM(MID(TRIM(C952),FIND(" ",TRIM(C952))+1,99)))))</f>
        <v/>
      </c>
      <c r="H952" s="254">
        <f>IF(D952="","",IF(ISNUMBER(D952),D952,IF(ISNUMBER(VALUE(LEFT(TRIM(D952),1))),TRIM(D952),TRIM(MID(TRIM(D952),FIND(" ",TRIM(D952))+1,99)))))</f>
        <v/>
      </c>
      <c r="I952" s="255">
        <f>IF(G952="",0,IF(ISNUMBER(G952),G952,IFERROR(DATE(VALUE(MID(G952,FIND("/",G952,FIND("/",G952)+1)+1,4)),VALUE(MID(G952,FIND("/",G952)+1,FIND("/",G952,FIND("/",G952)+1)-FIND("/",G952)-1)),VALUE(LEFT(G952,FIND("/",G952)-1)))+IFERROR(TIMEVALUE(TRIM(MID(G952,FIND(" ",G952)+1,20))),0),0)))</f>
        <v/>
      </c>
      <c r="J952" s="255">
        <f>IF(H952="",0,IF(ISNUMBER(H952),H952,IFERROR(DATE(VALUE(MID(H952,FIND("/",H952,FIND("/",H952)+1)+1,4)),VALUE(MID(H952,FIND("/",H952)+1,FIND("/",H952,FIND("/",H952)+1)-FIND("/",H952)-1)),VALUE(LEFT(H952,FIND("/",H952)-1)))+IFERROR(TIMEVALUE(TRIM(MID(H952,FIND(" ",H952)+1,20))),0),0)))</f>
        <v/>
      </c>
      <c r="K952" s="256">
        <f>IF(I952=0,0,INT(I952))</f>
        <v/>
      </c>
      <c r="L952" s="257">
        <f>IF(OR(I952=0,J952=0),0,ROUND((J952-I952)*24,2))</f>
        <v/>
      </c>
      <c r="M952" s="254">
        <f>IFERROR(TRIM(MID(A952,FIND("@",SUBSTITUTE(A952,"(","@",LEN(A952)-LEN(SUBSTITUTE(A952,"(",""))))+1,FIND(")",A952,FIND("@",SUBSTITUTE(A952,"(","@",LEN(A952)-LEN(SUBSTITUTE(A952,"(","")))))-FIND("@",SUBSTITUTE(A952,"(","@",LEN(A952)-LEN(SUBSTITUTE(A952,"(",""))))-1)),"")</f>
        <v/>
      </c>
      <c r="N952" s="254">
        <f>IF(A952="","",IF(LEFT(TRIM(A952),5)="Leave","Leave",IF(OR(ISNUMBER(SEARCH("public holiday",A952)),ISNUMBER(SEARCH("Purple",E952))),"Public holiday","Event")))</f>
        <v/>
      </c>
    </row>
    <row r="953">
      <c r="G953" s="254">
        <f>IF(C953="","",IF(ISNUMBER(C953),C953,IF(ISNUMBER(VALUE(LEFT(TRIM(C953),1))),TRIM(C953),TRIM(MID(TRIM(C953),FIND(" ",TRIM(C953))+1,99)))))</f>
        <v/>
      </c>
      <c r="H953" s="254">
        <f>IF(D953="","",IF(ISNUMBER(D953),D953,IF(ISNUMBER(VALUE(LEFT(TRIM(D953),1))),TRIM(D953),TRIM(MID(TRIM(D953),FIND(" ",TRIM(D953))+1,99)))))</f>
        <v/>
      </c>
      <c r="I953" s="255">
        <f>IF(G953="",0,IF(ISNUMBER(G953),G953,IFERROR(DATE(VALUE(MID(G953,FIND("/",G953,FIND("/",G953)+1)+1,4)),VALUE(MID(G953,FIND("/",G953)+1,FIND("/",G953,FIND("/",G953)+1)-FIND("/",G953)-1)),VALUE(LEFT(G953,FIND("/",G953)-1)))+IFERROR(TIMEVALUE(TRIM(MID(G953,FIND(" ",G953)+1,20))),0),0)))</f>
        <v/>
      </c>
      <c r="J953" s="255">
        <f>IF(H953="",0,IF(ISNUMBER(H953),H953,IFERROR(DATE(VALUE(MID(H953,FIND("/",H953,FIND("/",H953)+1)+1,4)),VALUE(MID(H953,FIND("/",H953)+1,FIND("/",H953,FIND("/",H953)+1)-FIND("/",H953)-1)),VALUE(LEFT(H953,FIND("/",H953)-1)))+IFERROR(TIMEVALUE(TRIM(MID(H953,FIND(" ",H953)+1,20))),0),0)))</f>
        <v/>
      </c>
      <c r="K953" s="256">
        <f>IF(I953=0,0,INT(I953))</f>
        <v/>
      </c>
      <c r="L953" s="257">
        <f>IF(OR(I953=0,J953=0),0,ROUND((J953-I953)*24,2))</f>
        <v/>
      </c>
      <c r="M953" s="254">
        <f>IFERROR(TRIM(MID(A953,FIND("@",SUBSTITUTE(A953,"(","@",LEN(A953)-LEN(SUBSTITUTE(A953,"(",""))))+1,FIND(")",A953,FIND("@",SUBSTITUTE(A953,"(","@",LEN(A953)-LEN(SUBSTITUTE(A953,"(","")))))-FIND("@",SUBSTITUTE(A953,"(","@",LEN(A953)-LEN(SUBSTITUTE(A953,"(",""))))-1)),"")</f>
        <v/>
      </c>
      <c r="N953" s="254">
        <f>IF(A953="","",IF(LEFT(TRIM(A953),5)="Leave","Leave",IF(OR(ISNUMBER(SEARCH("public holiday",A953)),ISNUMBER(SEARCH("Purple",E953))),"Public holiday","Event")))</f>
        <v/>
      </c>
    </row>
    <row r="954">
      <c r="G954" s="254">
        <f>IF(C954="","",IF(ISNUMBER(C954),C954,IF(ISNUMBER(VALUE(LEFT(TRIM(C954),1))),TRIM(C954),TRIM(MID(TRIM(C954),FIND(" ",TRIM(C954))+1,99)))))</f>
        <v/>
      </c>
      <c r="H954" s="254">
        <f>IF(D954="","",IF(ISNUMBER(D954),D954,IF(ISNUMBER(VALUE(LEFT(TRIM(D954),1))),TRIM(D954),TRIM(MID(TRIM(D954),FIND(" ",TRIM(D954))+1,99)))))</f>
        <v/>
      </c>
      <c r="I954" s="255">
        <f>IF(G954="",0,IF(ISNUMBER(G954),G954,IFERROR(DATE(VALUE(MID(G954,FIND("/",G954,FIND("/",G954)+1)+1,4)),VALUE(MID(G954,FIND("/",G954)+1,FIND("/",G954,FIND("/",G954)+1)-FIND("/",G954)-1)),VALUE(LEFT(G954,FIND("/",G954)-1)))+IFERROR(TIMEVALUE(TRIM(MID(G954,FIND(" ",G954)+1,20))),0),0)))</f>
        <v/>
      </c>
      <c r="J954" s="255">
        <f>IF(H954="",0,IF(ISNUMBER(H954),H954,IFERROR(DATE(VALUE(MID(H954,FIND("/",H954,FIND("/",H954)+1)+1,4)),VALUE(MID(H954,FIND("/",H954)+1,FIND("/",H954,FIND("/",H954)+1)-FIND("/",H954)-1)),VALUE(LEFT(H954,FIND("/",H954)-1)))+IFERROR(TIMEVALUE(TRIM(MID(H954,FIND(" ",H954)+1,20))),0),0)))</f>
        <v/>
      </c>
      <c r="K954" s="256">
        <f>IF(I954=0,0,INT(I954))</f>
        <v/>
      </c>
      <c r="L954" s="257">
        <f>IF(OR(I954=0,J954=0),0,ROUND((J954-I954)*24,2))</f>
        <v/>
      </c>
      <c r="M954" s="254">
        <f>IFERROR(TRIM(MID(A954,FIND("@",SUBSTITUTE(A954,"(","@",LEN(A954)-LEN(SUBSTITUTE(A954,"(",""))))+1,FIND(")",A954,FIND("@",SUBSTITUTE(A954,"(","@",LEN(A954)-LEN(SUBSTITUTE(A954,"(","")))))-FIND("@",SUBSTITUTE(A954,"(","@",LEN(A954)-LEN(SUBSTITUTE(A954,"(",""))))-1)),"")</f>
        <v/>
      </c>
      <c r="N954" s="254">
        <f>IF(A954="","",IF(LEFT(TRIM(A954),5)="Leave","Leave",IF(OR(ISNUMBER(SEARCH("public holiday",A954)),ISNUMBER(SEARCH("Purple",E954))),"Public holiday","Event")))</f>
        <v/>
      </c>
    </row>
    <row r="955">
      <c r="G955" s="254">
        <f>IF(C955="","",IF(ISNUMBER(C955),C955,IF(ISNUMBER(VALUE(LEFT(TRIM(C955),1))),TRIM(C955),TRIM(MID(TRIM(C955),FIND(" ",TRIM(C955))+1,99)))))</f>
        <v/>
      </c>
      <c r="H955" s="254">
        <f>IF(D955="","",IF(ISNUMBER(D955),D955,IF(ISNUMBER(VALUE(LEFT(TRIM(D955),1))),TRIM(D955),TRIM(MID(TRIM(D955),FIND(" ",TRIM(D955))+1,99)))))</f>
        <v/>
      </c>
      <c r="I955" s="255">
        <f>IF(G955="",0,IF(ISNUMBER(G955),G955,IFERROR(DATE(VALUE(MID(G955,FIND("/",G955,FIND("/",G955)+1)+1,4)),VALUE(MID(G955,FIND("/",G955)+1,FIND("/",G955,FIND("/",G955)+1)-FIND("/",G955)-1)),VALUE(LEFT(G955,FIND("/",G955)-1)))+IFERROR(TIMEVALUE(TRIM(MID(G955,FIND(" ",G955)+1,20))),0),0)))</f>
        <v/>
      </c>
      <c r="J955" s="255">
        <f>IF(H955="",0,IF(ISNUMBER(H955),H955,IFERROR(DATE(VALUE(MID(H955,FIND("/",H955,FIND("/",H955)+1)+1,4)),VALUE(MID(H955,FIND("/",H955)+1,FIND("/",H955,FIND("/",H955)+1)-FIND("/",H955)-1)),VALUE(LEFT(H955,FIND("/",H955)-1)))+IFERROR(TIMEVALUE(TRIM(MID(H955,FIND(" ",H955)+1,20))),0),0)))</f>
        <v/>
      </c>
      <c r="K955" s="256">
        <f>IF(I955=0,0,INT(I955))</f>
        <v/>
      </c>
      <c r="L955" s="257">
        <f>IF(OR(I955=0,J955=0),0,ROUND((J955-I955)*24,2))</f>
        <v/>
      </c>
      <c r="M955" s="254">
        <f>IFERROR(TRIM(MID(A955,FIND("@",SUBSTITUTE(A955,"(","@",LEN(A955)-LEN(SUBSTITUTE(A955,"(",""))))+1,FIND(")",A955,FIND("@",SUBSTITUTE(A955,"(","@",LEN(A955)-LEN(SUBSTITUTE(A955,"(","")))))-FIND("@",SUBSTITUTE(A955,"(","@",LEN(A955)-LEN(SUBSTITUTE(A955,"(",""))))-1)),"")</f>
        <v/>
      </c>
      <c r="N955" s="254">
        <f>IF(A955="","",IF(LEFT(TRIM(A955),5)="Leave","Leave",IF(OR(ISNUMBER(SEARCH("public holiday",A955)),ISNUMBER(SEARCH("Purple",E955))),"Public holiday","Event")))</f>
        <v/>
      </c>
    </row>
    <row r="956">
      <c r="G956" s="254">
        <f>IF(C956="","",IF(ISNUMBER(C956),C956,IF(ISNUMBER(VALUE(LEFT(TRIM(C956),1))),TRIM(C956),TRIM(MID(TRIM(C956),FIND(" ",TRIM(C956))+1,99)))))</f>
        <v/>
      </c>
      <c r="H956" s="254">
        <f>IF(D956="","",IF(ISNUMBER(D956),D956,IF(ISNUMBER(VALUE(LEFT(TRIM(D956),1))),TRIM(D956),TRIM(MID(TRIM(D956),FIND(" ",TRIM(D956))+1,99)))))</f>
        <v/>
      </c>
      <c r="I956" s="255">
        <f>IF(G956="",0,IF(ISNUMBER(G956),G956,IFERROR(DATE(VALUE(MID(G956,FIND("/",G956,FIND("/",G956)+1)+1,4)),VALUE(MID(G956,FIND("/",G956)+1,FIND("/",G956,FIND("/",G956)+1)-FIND("/",G956)-1)),VALUE(LEFT(G956,FIND("/",G956)-1)))+IFERROR(TIMEVALUE(TRIM(MID(G956,FIND(" ",G956)+1,20))),0),0)))</f>
        <v/>
      </c>
      <c r="J956" s="255">
        <f>IF(H956="",0,IF(ISNUMBER(H956),H956,IFERROR(DATE(VALUE(MID(H956,FIND("/",H956,FIND("/",H956)+1)+1,4)),VALUE(MID(H956,FIND("/",H956)+1,FIND("/",H956,FIND("/",H956)+1)-FIND("/",H956)-1)),VALUE(LEFT(H956,FIND("/",H956)-1)))+IFERROR(TIMEVALUE(TRIM(MID(H956,FIND(" ",H956)+1,20))),0),0)))</f>
        <v/>
      </c>
      <c r="K956" s="256">
        <f>IF(I956=0,0,INT(I956))</f>
        <v/>
      </c>
      <c r="L956" s="257">
        <f>IF(OR(I956=0,J956=0),0,ROUND((J956-I956)*24,2))</f>
        <v/>
      </c>
      <c r="M956" s="254">
        <f>IFERROR(TRIM(MID(A956,FIND("@",SUBSTITUTE(A956,"(","@",LEN(A956)-LEN(SUBSTITUTE(A956,"(",""))))+1,FIND(")",A956,FIND("@",SUBSTITUTE(A956,"(","@",LEN(A956)-LEN(SUBSTITUTE(A956,"(","")))))-FIND("@",SUBSTITUTE(A956,"(","@",LEN(A956)-LEN(SUBSTITUTE(A956,"(",""))))-1)),"")</f>
        <v/>
      </c>
      <c r="N956" s="254">
        <f>IF(A956="","",IF(LEFT(TRIM(A956),5)="Leave","Leave",IF(OR(ISNUMBER(SEARCH("public holiday",A956)),ISNUMBER(SEARCH("Purple",E956))),"Public holiday","Event")))</f>
        <v/>
      </c>
    </row>
    <row r="957">
      <c r="G957" s="254">
        <f>IF(C957="","",IF(ISNUMBER(C957),C957,IF(ISNUMBER(VALUE(LEFT(TRIM(C957),1))),TRIM(C957),TRIM(MID(TRIM(C957),FIND(" ",TRIM(C957))+1,99)))))</f>
        <v/>
      </c>
      <c r="H957" s="254">
        <f>IF(D957="","",IF(ISNUMBER(D957),D957,IF(ISNUMBER(VALUE(LEFT(TRIM(D957),1))),TRIM(D957),TRIM(MID(TRIM(D957),FIND(" ",TRIM(D957))+1,99)))))</f>
        <v/>
      </c>
      <c r="I957" s="255">
        <f>IF(G957="",0,IF(ISNUMBER(G957),G957,IFERROR(DATE(VALUE(MID(G957,FIND("/",G957,FIND("/",G957)+1)+1,4)),VALUE(MID(G957,FIND("/",G957)+1,FIND("/",G957,FIND("/",G957)+1)-FIND("/",G957)-1)),VALUE(LEFT(G957,FIND("/",G957)-1)))+IFERROR(TIMEVALUE(TRIM(MID(G957,FIND(" ",G957)+1,20))),0),0)))</f>
        <v/>
      </c>
      <c r="J957" s="255">
        <f>IF(H957="",0,IF(ISNUMBER(H957),H957,IFERROR(DATE(VALUE(MID(H957,FIND("/",H957,FIND("/",H957)+1)+1,4)),VALUE(MID(H957,FIND("/",H957)+1,FIND("/",H957,FIND("/",H957)+1)-FIND("/",H957)-1)),VALUE(LEFT(H957,FIND("/",H957)-1)))+IFERROR(TIMEVALUE(TRIM(MID(H957,FIND(" ",H957)+1,20))),0),0)))</f>
        <v/>
      </c>
      <c r="K957" s="256">
        <f>IF(I957=0,0,INT(I957))</f>
        <v/>
      </c>
      <c r="L957" s="257">
        <f>IF(OR(I957=0,J957=0),0,ROUND((J957-I957)*24,2))</f>
        <v/>
      </c>
      <c r="M957" s="254">
        <f>IFERROR(TRIM(MID(A957,FIND("@",SUBSTITUTE(A957,"(","@",LEN(A957)-LEN(SUBSTITUTE(A957,"(",""))))+1,FIND(")",A957,FIND("@",SUBSTITUTE(A957,"(","@",LEN(A957)-LEN(SUBSTITUTE(A957,"(","")))))-FIND("@",SUBSTITUTE(A957,"(","@",LEN(A957)-LEN(SUBSTITUTE(A957,"(",""))))-1)),"")</f>
        <v/>
      </c>
      <c r="N957" s="254">
        <f>IF(A957="","",IF(LEFT(TRIM(A957),5)="Leave","Leave",IF(OR(ISNUMBER(SEARCH("public holiday",A957)),ISNUMBER(SEARCH("Purple",E957))),"Public holiday","Event")))</f>
        <v/>
      </c>
    </row>
    <row r="958">
      <c r="G958" s="254">
        <f>IF(C958="","",IF(ISNUMBER(C958),C958,IF(ISNUMBER(VALUE(LEFT(TRIM(C958),1))),TRIM(C958),TRIM(MID(TRIM(C958),FIND(" ",TRIM(C958))+1,99)))))</f>
        <v/>
      </c>
      <c r="H958" s="254">
        <f>IF(D958="","",IF(ISNUMBER(D958),D958,IF(ISNUMBER(VALUE(LEFT(TRIM(D958),1))),TRIM(D958),TRIM(MID(TRIM(D958),FIND(" ",TRIM(D958))+1,99)))))</f>
        <v/>
      </c>
      <c r="I958" s="255">
        <f>IF(G958="",0,IF(ISNUMBER(G958),G958,IFERROR(DATE(VALUE(MID(G958,FIND("/",G958,FIND("/",G958)+1)+1,4)),VALUE(MID(G958,FIND("/",G958)+1,FIND("/",G958,FIND("/",G958)+1)-FIND("/",G958)-1)),VALUE(LEFT(G958,FIND("/",G958)-1)))+IFERROR(TIMEVALUE(TRIM(MID(G958,FIND(" ",G958)+1,20))),0),0)))</f>
        <v/>
      </c>
      <c r="J958" s="255">
        <f>IF(H958="",0,IF(ISNUMBER(H958),H958,IFERROR(DATE(VALUE(MID(H958,FIND("/",H958,FIND("/",H958)+1)+1,4)),VALUE(MID(H958,FIND("/",H958)+1,FIND("/",H958,FIND("/",H958)+1)-FIND("/",H958)-1)),VALUE(LEFT(H958,FIND("/",H958)-1)))+IFERROR(TIMEVALUE(TRIM(MID(H958,FIND(" ",H958)+1,20))),0),0)))</f>
        <v/>
      </c>
      <c r="K958" s="256">
        <f>IF(I958=0,0,INT(I958))</f>
        <v/>
      </c>
      <c r="L958" s="257">
        <f>IF(OR(I958=0,J958=0),0,ROUND((J958-I958)*24,2))</f>
        <v/>
      </c>
      <c r="M958" s="254">
        <f>IFERROR(TRIM(MID(A958,FIND("@",SUBSTITUTE(A958,"(","@",LEN(A958)-LEN(SUBSTITUTE(A958,"(",""))))+1,FIND(")",A958,FIND("@",SUBSTITUTE(A958,"(","@",LEN(A958)-LEN(SUBSTITUTE(A958,"(","")))))-FIND("@",SUBSTITUTE(A958,"(","@",LEN(A958)-LEN(SUBSTITUTE(A958,"(",""))))-1)),"")</f>
        <v/>
      </c>
      <c r="N958" s="254">
        <f>IF(A958="","",IF(LEFT(TRIM(A958),5)="Leave","Leave",IF(OR(ISNUMBER(SEARCH("public holiday",A958)),ISNUMBER(SEARCH("Purple",E958))),"Public holiday","Event")))</f>
        <v/>
      </c>
    </row>
    <row r="959">
      <c r="G959" s="254">
        <f>IF(C959="","",IF(ISNUMBER(C959),C959,IF(ISNUMBER(VALUE(LEFT(TRIM(C959),1))),TRIM(C959),TRIM(MID(TRIM(C959),FIND(" ",TRIM(C959))+1,99)))))</f>
        <v/>
      </c>
      <c r="H959" s="254">
        <f>IF(D959="","",IF(ISNUMBER(D959),D959,IF(ISNUMBER(VALUE(LEFT(TRIM(D959),1))),TRIM(D959),TRIM(MID(TRIM(D959),FIND(" ",TRIM(D959))+1,99)))))</f>
        <v/>
      </c>
      <c r="I959" s="255">
        <f>IF(G959="",0,IF(ISNUMBER(G959),G959,IFERROR(DATE(VALUE(MID(G959,FIND("/",G959,FIND("/",G959)+1)+1,4)),VALUE(MID(G959,FIND("/",G959)+1,FIND("/",G959,FIND("/",G959)+1)-FIND("/",G959)-1)),VALUE(LEFT(G959,FIND("/",G959)-1)))+IFERROR(TIMEVALUE(TRIM(MID(G959,FIND(" ",G959)+1,20))),0),0)))</f>
        <v/>
      </c>
      <c r="J959" s="255">
        <f>IF(H959="",0,IF(ISNUMBER(H959),H959,IFERROR(DATE(VALUE(MID(H959,FIND("/",H959,FIND("/",H959)+1)+1,4)),VALUE(MID(H959,FIND("/",H959)+1,FIND("/",H959,FIND("/",H959)+1)-FIND("/",H959)-1)),VALUE(LEFT(H959,FIND("/",H959)-1)))+IFERROR(TIMEVALUE(TRIM(MID(H959,FIND(" ",H959)+1,20))),0),0)))</f>
        <v/>
      </c>
      <c r="K959" s="256">
        <f>IF(I959=0,0,INT(I959))</f>
        <v/>
      </c>
      <c r="L959" s="257">
        <f>IF(OR(I959=0,J959=0),0,ROUND((J959-I959)*24,2))</f>
        <v/>
      </c>
      <c r="M959" s="254">
        <f>IFERROR(TRIM(MID(A959,FIND("@",SUBSTITUTE(A959,"(","@",LEN(A959)-LEN(SUBSTITUTE(A959,"(",""))))+1,FIND(")",A959,FIND("@",SUBSTITUTE(A959,"(","@",LEN(A959)-LEN(SUBSTITUTE(A959,"(","")))))-FIND("@",SUBSTITUTE(A959,"(","@",LEN(A959)-LEN(SUBSTITUTE(A959,"(",""))))-1)),"")</f>
        <v/>
      </c>
      <c r="N959" s="254">
        <f>IF(A959="","",IF(LEFT(TRIM(A959),5)="Leave","Leave",IF(OR(ISNUMBER(SEARCH("public holiday",A959)),ISNUMBER(SEARCH("Purple",E959))),"Public holiday","Event")))</f>
        <v/>
      </c>
    </row>
    <row r="960">
      <c r="G960" s="254">
        <f>IF(C960="","",IF(ISNUMBER(C960),C960,IF(ISNUMBER(VALUE(LEFT(TRIM(C960),1))),TRIM(C960),TRIM(MID(TRIM(C960),FIND(" ",TRIM(C960))+1,99)))))</f>
        <v/>
      </c>
      <c r="H960" s="254">
        <f>IF(D960="","",IF(ISNUMBER(D960),D960,IF(ISNUMBER(VALUE(LEFT(TRIM(D960),1))),TRIM(D960),TRIM(MID(TRIM(D960),FIND(" ",TRIM(D960))+1,99)))))</f>
        <v/>
      </c>
      <c r="I960" s="255">
        <f>IF(G960="",0,IF(ISNUMBER(G960),G960,IFERROR(DATE(VALUE(MID(G960,FIND("/",G960,FIND("/",G960)+1)+1,4)),VALUE(MID(G960,FIND("/",G960)+1,FIND("/",G960,FIND("/",G960)+1)-FIND("/",G960)-1)),VALUE(LEFT(G960,FIND("/",G960)-1)))+IFERROR(TIMEVALUE(TRIM(MID(G960,FIND(" ",G960)+1,20))),0),0)))</f>
        <v/>
      </c>
      <c r="J960" s="255">
        <f>IF(H960="",0,IF(ISNUMBER(H960),H960,IFERROR(DATE(VALUE(MID(H960,FIND("/",H960,FIND("/",H960)+1)+1,4)),VALUE(MID(H960,FIND("/",H960)+1,FIND("/",H960,FIND("/",H960)+1)-FIND("/",H960)-1)),VALUE(LEFT(H960,FIND("/",H960)-1)))+IFERROR(TIMEVALUE(TRIM(MID(H960,FIND(" ",H960)+1,20))),0),0)))</f>
        <v/>
      </c>
      <c r="K960" s="256">
        <f>IF(I960=0,0,INT(I960))</f>
        <v/>
      </c>
      <c r="L960" s="257">
        <f>IF(OR(I960=0,J960=0),0,ROUND((J960-I960)*24,2))</f>
        <v/>
      </c>
      <c r="M960" s="254">
        <f>IFERROR(TRIM(MID(A960,FIND("@",SUBSTITUTE(A960,"(","@",LEN(A960)-LEN(SUBSTITUTE(A960,"(",""))))+1,FIND(")",A960,FIND("@",SUBSTITUTE(A960,"(","@",LEN(A960)-LEN(SUBSTITUTE(A960,"(","")))))-FIND("@",SUBSTITUTE(A960,"(","@",LEN(A960)-LEN(SUBSTITUTE(A960,"(",""))))-1)),"")</f>
        <v/>
      </c>
      <c r="N960" s="254">
        <f>IF(A960="","",IF(LEFT(TRIM(A960),5)="Leave","Leave",IF(OR(ISNUMBER(SEARCH("public holiday",A960)),ISNUMBER(SEARCH("Purple",E960))),"Public holiday","Event")))</f>
        <v/>
      </c>
    </row>
    <row r="961">
      <c r="G961" s="254">
        <f>IF(C961="","",IF(ISNUMBER(C961),C961,IF(ISNUMBER(VALUE(LEFT(TRIM(C961),1))),TRIM(C961),TRIM(MID(TRIM(C961),FIND(" ",TRIM(C961))+1,99)))))</f>
        <v/>
      </c>
      <c r="H961" s="254">
        <f>IF(D961="","",IF(ISNUMBER(D961),D961,IF(ISNUMBER(VALUE(LEFT(TRIM(D961),1))),TRIM(D961),TRIM(MID(TRIM(D961),FIND(" ",TRIM(D961))+1,99)))))</f>
        <v/>
      </c>
      <c r="I961" s="255">
        <f>IF(G961="",0,IF(ISNUMBER(G961),G961,IFERROR(DATE(VALUE(MID(G961,FIND("/",G961,FIND("/",G961)+1)+1,4)),VALUE(MID(G961,FIND("/",G961)+1,FIND("/",G961,FIND("/",G961)+1)-FIND("/",G961)-1)),VALUE(LEFT(G961,FIND("/",G961)-1)))+IFERROR(TIMEVALUE(TRIM(MID(G961,FIND(" ",G961)+1,20))),0),0)))</f>
        <v/>
      </c>
      <c r="J961" s="255">
        <f>IF(H961="",0,IF(ISNUMBER(H961),H961,IFERROR(DATE(VALUE(MID(H961,FIND("/",H961,FIND("/",H961)+1)+1,4)),VALUE(MID(H961,FIND("/",H961)+1,FIND("/",H961,FIND("/",H961)+1)-FIND("/",H961)-1)),VALUE(LEFT(H961,FIND("/",H961)-1)))+IFERROR(TIMEVALUE(TRIM(MID(H961,FIND(" ",H961)+1,20))),0),0)))</f>
        <v/>
      </c>
      <c r="K961" s="256">
        <f>IF(I961=0,0,INT(I961))</f>
        <v/>
      </c>
      <c r="L961" s="257">
        <f>IF(OR(I961=0,J961=0),0,ROUND((J961-I961)*24,2))</f>
        <v/>
      </c>
      <c r="M961" s="254">
        <f>IFERROR(TRIM(MID(A961,FIND("@",SUBSTITUTE(A961,"(","@",LEN(A961)-LEN(SUBSTITUTE(A961,"(",""))))+1,FIND(")",A961,FIND("@",SUBSTITUTE(A961,"(","@",LEN(A961)-LEN(SUBSTITUTE(A961,"(","")))))-FIND("@",SUBSTITUTE(A961,"(","@",LEN(A961)-LEN(SUBSTITUTE(A961,"(",""))))-1)),"")</f>
        <v/>
      </c>
      <c r="N961" s="254">
        <f>IF(A961="","",IF(LEFT(TRIM(A961),5)="Leave","Leave",IF(OR(ISNUMBER(SEARCH("public holiday",A961)),ISNUMBER(SEARCH("Purple",E961))),"Public holiday","Event")))</f>
        <v/>
      </c>
    </row>
    <row r="962">
      <c r="G962" s="254">
        <f>IF(C962="","",IF(ISNUMBER(C962),C962,IF(ISNUMBER(VALUE(LEFT(TRIM(C962),1))),TRIM(C962),TRIM(MID(TRIM(C962),FIND(" ",TRIM(C962))+1,99)))))</f>
        <v/>
      </c>
      <c r="H962" s="254">
        <f>IF(D962="","",IF(ISNUMBER(D962),D962,IF(ISNUMBER(VALUE(LEFT(TRIM(D962),1))),TRIM(D962),TRIM(MID(TRIM(D962),FIND(" ",TRIM(D962))+1,99)))))</f>
        <v/>
      </c>
      <c r="I962" s="255">
        <f>IF(G962="",0,IF(ISNUMBER(G962),G962,IFERROR(DATE(VALUE(MID(G962,FIND("/",G962,FIND("/",G962)+1)+1,4)),VALUE(MID(G962,FIND("/",G962)+1,FIND("/",G962,FIND("/",G962)+1)-FIND("/",G962)-1)),VALUE(LEFT(G962,FIND("/",G962)-1)))+IFERROR(TIMEVALUE(TRIM(MID(G962,FIND(" ",G962)+1,20))),0),0)))</f>
        <v/>
      </c>
      <c r="J962" s="255">
        <f>IF(H962="",0,IF(ISNUMBER(H962),H962,IFERROR(DATE(VALUE(MID(H962,FIND("/",H962,FIND("/",H962)+1)+1,4)),VALUE(MID(H962,FIND("/",H962)+1,FIND("/",H962,FIND("/",H962)+1)-FIND("/",H962)-1)),VALUE(LEFT(H962,FIND("/",H962)-1)))+IFERROR(TIMEVALUE(TRIM(MID(H962,FIND(" ",H962)+1,20))),0),0)))</f>
        <v/>
      </c>
      <c r="K962" s="256">
        <f>IF(I962=0,0,INT(I962))</f>
        <v/>
      </c>
      <c r="L962" s="257">
        <f>IF(OR(I962=0,J962=0),0,ROUND((J962-I962)*24,2))</f>
        <v/>
      </c>
      <c r="M962" s="254">
        <f>IFERROR(TRIM(MID(A962,FIND("@",SUBSTITUTE(A962,"(","@",LEN(A962)-LEN(SUBSTITUTE(A962,"(",""))))+1,FIND(")",A962,FIND("@",SUBSTITUTE(A962,"(","@",LEN(A962)-LEN(SUBSTITUTE(A962,"(","")))))-FIND("@",SUBSTITUTE(A962,"(","@",LEN(A962)-LEN(SUBSTITUTE(A962,"(",""))))-1)),"")</f>
        <v/>
      </c>
      <c r="N962" s="254">
        <f>IF(A962="","",IF(LEFT(TRIM(A962),5)="Leave","Leave",IF(OR(ISNUMBER(SEARCH("public holiday",A962)),ISNUMBER(SEARCH("Purple",E962))),"Public holiday","Event")))</f>
        <v/>
      </c>
    </row>
    <row r="963">
      <c r="G963" s="254">
        <f>IF(C963="","",IF(ISNUMBER(C963),C963,IF(ISNUMBER(VALUE(LEFT(TRIM(C963),1))),TRIM(C963),TRIM(MID(TRIM(C963),FIND(" ",TRIM(C963))+1,99)))))</f>
        <v/>
      </c>
      <c r="H963" s="254">
        <f>IF(D963="","",IF(ISNUMBER(D963),D963,IF(ISNUMBER(VALUE(LEFT(TRIM(D963),1))),TRIM(D963),TRIM(MID(TRIM(D963),FIND(" ",TRIM(D963))+1,99)))))</f>
        <v/>
      </c>
      <c r="I963" s="255">
        <f>IF(G963="",0,IF(ISNUMBER(G963),G963,IFERROR(DATE(VALUE(MID(G963,FIND("/",G963,FIND("/",G963)+1)+1,4)),VALUE(MID(G963,FIND("/",G963)+1,FIND("/",G963,FIND("/",G963)+1)-FIND("/",G963)-1)),VALUE(LEFT(G963,FIND("/",G963)-1)))+IFERROR(TIMEVALUE(TRIM(MID(G963,FIND(" ",G963)+1,20))),0),0)))</f>
        <v/>
      </c>
      <c r="J963" s="255">
        <f>IF(H963="",0,IF(ISNUMBER(H963),H963,IFERROR(DATE(VALUE(MID(H963,FIND("/",H963,FIND("/",H963)+1)+1,4)),VALUE(MID(H963,FIND("/",H963)+1,FIND("/",H963,FIND("/",H963)+1)-FIND("/",H963)-1)),VALUE(LEFT(H963,FIND("/",H963)-1)))+IFERROR(TIMEVALUE(TRIM(MID(H963,FIND(" ",H963)+1,20))),0),0)))</f>
        <v/>
      </c>
      <c r="K963" s="256">
        <f>IF(I963=0,0,INT(I963))</f>
        <v/>
      </c>
      <c r="L963" s="257">
        <f>IF(OR(I963=0,J963=0),0,ROUND((J963-I963)*24,2))</f>
        <v/>
      </c>
      <c r="M963" s="254">
        <f>IFERROR(TRIM(MID(A963,FIND("@",SUBSTITUTE(A963,"(","@",LEN(A963)-LEN(SUBSTITUTE(A963,"(",""))))+1,FIND(")",A963,FIND("@",SUBSTITUTE(A963,"(","@",LEN(A963)-LEN(SUBSTITUTE(A963,"(","")))))-FIND("@",SUBSTITUTE(A963,"(","@",LEN(A963)-LEN(SUBSTITUTE(A963,"(",""))))-1)),"")</f>
        <v/>
      </c>
      <c r="N963" s="254">
        <f>IF(A963="","",IF(LEFT(TRIM(A963),5)="Leave","Leave",IF(OR(ISNUMBER(SEARCH("public holiday",A963)),ISNUMBER(SEARCH("Purple",E963))),"Public holiday","Event")))</f>
        <v/>
      </c>
    </row>
    <row r="964">
      <c r="G964" s="254">
        <f>IF(C964="","",IF(ISNUMBER(C964),C964,IF(ISNUMBER(VALUE(LEFT(TRIM(C964),1))),TRIM(C964),TRIM(MID(TRIM(C964),FIND(" ",TRIM(C964))+1,99)))))</f>
        <v/>
      </c>
      <c r="H964" s="254">
        <f>IF(D964="","",IF(ISNUMBER(D964),D964,IF(ISNUMBER(VALUE(LEFT(TRIM(D964),1))),TRIM(D964),TRIM(MID(TRIM(D964),FIND(" ",TRIM(D964))+1,99)))))</f>
        <v/>
      </c>
      <c r="I964" s="255">
        <f>IF(G964="",0,IF(ISNUMBER(G964),G964,IFERROR(DATE(VALUE(MID(G964,FIND("/",G964,FIND("/",G964)+1)+1,4)),VALUE(MID(G964,FIND("/",G964)+1,FIND("/",G964,FIND("/",G964)+1)-FIND("/",G964)-1)),VALUE(LEFT(G964,FIND("/",G964)-1)))+IFERROR(TIMEVALUE(TRIM(MID(G964,FIND(" ",G964)+1,20))),0),0)))</f>
        <v/>
      </c>
      <c r="J964" s="255">
        <f>IF(H964="",0,IF(ISNUMBER(H964),H964,IFERROR(DATE(VALUE(MID(H964,FIND("/",H964,FIND("/",H964)+1)+1,4)),VALUE(MID(H964,FIND("/",H964)+1,FIND("/",H964,FIND("/",H964)+1)-FIND("/",H964)-1)),VALUE(LEFT(H964,FIND("/",H964)-1)))+IFERROR(TIMEVALUE(TRIM(MID(H964,FIND(" ",H964)+1,20))),0),0)))</f>
        <v/>
      </c>
      <c r="K964" s="256">
        <f>IF(I964=0,0,INT(I964))</f>
        <v/>
      </c>
      <c r="L964" s="257">
        <f>IF(OR(I964=0,J964=0),0,ROUND((J964-I964)*24,2))</f>
        <v/>
      </c>
      <c r="M964" s="254">
        <f>IFERROR(TRIM(MID(A964,FIND("@",SUBSTITUTE(A964,"(","@",LEN(A964)-LEN(SUBSTITUTE(A964,"(",""))))+1,FIND(")",A964,FIND("@",SUBSTITUTE(A964,"(","@",LEN(A964)-LEN(SUBSTITUTE(A964,"(","")))))-FIND("@",SUBSTITUTE(A964,"(","@",LEN(A964)-LEN(SUBSTITUTE(A964,"(",""))))-1)),"")</f>
        <v/>
      </c>
      <c r="N964" s="254">
        <f>IF(A964="","",IF(LEFT(TRIM(A964),5)="Leave","Leave",IF(OR(ISNUMBER(SEARCH("public holiday",A964)),ISNUMBER(SEARCH("Purple",E964))),"Public holiday","Event")))</f>
        <v/>
      </c>
    </row>
    <row r="965">
      <c r="G965" s="254">
        <f>IF(C965="","",IF(ISNUMBER(C965),C965,IF(ISNUMBER(VALUE(LEFT(TRIM(C965),1))),TRIM(C965),TRIM(MID(TRIM(C965),FIND(" ",TRIM(C965))+1,99)))))</f>
        <v/>
      </c>
      <c r="H965" s="254">
        <f>IF(D965="","",IF(ISNUMBER(D965),D965,IF(ISNUMBER(VALUE(LEFT(TRIM(D965),1))),TRIM(D965),TRIM(MID(TRIM(D965),FIND(" ",TRIM(D965))+1,99)))))</f>
        <v/>
      </c>
      <c r="I965" s="255">
        <f>IF(G965="",0,IF(ISNUMBER(G965),G965,IFERROR(DATE(VALUE(MID(G965,FIND("/",G965,FIND("/",G965)+1)+1,4)),VALUE(MID(G965,FIND("/",G965)+1,FIND("/",G965,FIND("/",G965)+1)-FIND("/",G965)-1)),VALUE(LEFT(G965,FIND("/",G965)-1)))+IFERROR(TIMEVALUE(TRIM(MID(G965,FIND(" ",G965)+1,20))),0),0)))</f>
        <v/>
      </c>
      <c r="J965" s="255">
        <f>IF(H965="",0,IF(ISNUMBER(H965),H965,IFERROR(DATE(VALUE(MID(H965,FIND("/",H965,FIND("/",H965)+1)+1,4)),VALUE(MID(H965,FIND("/",H965)+1,FIND("/",H965,FIND("/",H965)+1)-FIND("/",H965)-1)),VALUE(LEFT(H965,FIND("/",H965)-1)))+IFERROR(TIMEVALUE(TRIM(MID(H965,FIND(" ",H965)+1,20))),0),0)))</f>
        <v/>
      </c>
      <c r="K965" s="256">
        <f>IF(I965=0,0,INT(I965))</f>
        <v/>
      </c>
      <c r="L965" s="257">
        <f>IF(OR(I965=0,J965=0),0,ROUND((J965-I965)*24,2))</f>
        <v/>
      </c>
      <c r="M965" s="254">
        <f>IFERROR(TRIM(MID(A965,FIND("@",SUBSTITUTE(A965,"(","@",LEN(A965)-LEN(SUBSTITUTE(A965,"(",""))))+1,FIND(")",A965,FIND("@",SUBSTITUTE(A965,"(","@",LEN(A965)-LEN(SUBSTITUTE(A965,"(","")))))-FIND("@",SUBSTITUTE(A965,"(","@",LEN(A965)-LEN(SUBSTITUTE(A965,"(",""))))-1)),"")</f>
        <v/>
      </c>
      <c r="N965" s="254">
        <f>IF(A965="","",IF(LEFT(TRIM(A965),5)="Leave","Leave",IF(OR(ISNUMBER(SEARCH("public holiday",A965)),ISNUMBER(SEARCH("Purple",E965))),"Public holiday","Event")))</f>
        <v/>
      </c>
    </row>
    <row r="966">
      <c r="G966" s="254">
        <f>IF(C966="","",IF(ISNUMBER(C966),C966,IF(ISNUMBER(VALUE(LEFT(TRIM(C966),1))),TRIM(C966),TRIM(MID(TRIM(C966),FIND(" ",TRIM(C966))+1,99)))))</f>
        <v/>
      </c>
      <c r="H966" s="254">
        <f>IF(D966="","",IF(ISNUMBER(D966),D966,IF(ISNUMBER(VALUE(LEFT(TRIM(D966),1))),TRIM(D966),TRIM(MID(TRIM(D966),FIND(" ",TRIM(D966))+1,99)))))</f>
        <v/>
      </c>
      <c r="I966" s="255">
        <f>IF(G966="",0,IF(ISNUMBER(G966),G966,IFERROR(DATE(VALUE(MID(G966,FIND("/",G966,FIND("/",G966)+1)+1,4)),VALUE(MID(G966,FIND("/",G966)+1,FIND("/",G966,FIND("/",G966)+1)-FIND("/",G966)-1)),VALUE(LEFT(G966,FIND("/",G966)-1)))+IFERROR(TIMEVALUE(TRIM(MID(G966,FIND(" ",G966)+1,20))),0),0)))</f>
        <v/>
      </c>
      <c r="J966" s="255">
        <f>IF(H966="",0,IF(ISNUMBER(H966),H966,IFERROR(DATE(VALUE(MID(H966,FIND("/",H966,FIND("/",H966)+1)+1,4)),VALUE(MID(H966,FIND("/",H966)+1,FIND("/",H966,FIND("/",H966)+1)-FIND("/",H966)-1)),VALUE(LEFT(H966,FIND("/",H966)-1)))+IFERROR(TIMEVALUE(TRIM(MID(H966,FIND(" ",H966)+1,20))),0),0)))</f>
        <v/>
      </c>
      <c r="K966" s="256">
        <f>IF(I966=0,0,INT(I966))</f>
        <v/>
      </c>
      <c r="L966" s="257">
        <f>IF(OR(I966=0,J966=0),0,ROUND((J966-I966)*24,2))</f>
        <v/>
      </c>
      <c r="M966" s="254">
        <f>IFERROR(TRIM(MID(A966,FIND("@",SUBSTITUTE(A966,"(","@",LEN(A966)-LEN(SUBSTITUTE(A966,"(",""))))+1,FIND(")",A966,FIND("@",SUBSTITUTE(A966,"(","@",LEN(A966)-LEN(SUBSTITUTE(A966,"(","")))))-FIND("@",SUBSTITUTE(A966,"(","@",LEN(A966)-LEN(SUBSTITUTE(A966,"(",""))))-1)),"")</f>
        <v/>
      </c>
      <c r="N966" s="254">
        <f>IF(A966="","",IF(LEFT(TRIM(A966),5)="Leave","Leave",IF(OR(ISNUMBER(SEARCH("public holiday",A966)),ISNUMBER(SEARCH("Purple",E966))),"Public holiday","Event")))</f>
        <v/>
      </c>
    </row>
    <row r="967">
      <c r="G967" s="254">
        <f>IF(C967="","",IF(ISNUMBER(C967),C967,IF(ISNUMBER(VALUE(LEFT(TRIM(C967),1))),TRIM(C967),TRIM(MID(TRIM(C967),FIND(" ",TRIM(C967))+1,99)))))</f>
        <v/>
      </c>
      <c r="H967" s="254">
        <f>IF(D967="","",IF(ISNUMBER(D967),D967,IF(ISNUMBER(VALUE(LEFT(TRIM(D967),1))),TRIM(D967),TRIM(MID(TRIM(D967),FIND(" ",TRIM(D967))+1,99)))))</f>
        <v/>
      </c>
      <c r="I967" s="255">
        <f>IF(G967="",0,IF(ISNUMBER(G967),G967,IFERROR(DATE(VALUE(MID(G967,FIND("/",G967,FIND("/",G967)+1)+1,4)),VALUE(MID(G967,FIND("/",G967)+1,FIND("/",G967,FIND("/",G967)+1)-FIND("/",G967)-1)),VALUE(LEFT(G967,FIND("/",G967)-1)))+IFERROR(TIMEVALUE(TRIM(MID(G967,FIND(" ",G967)+1,20))),0),0)))</f>
        <v/>
      </c>
      <c r="J967" s="255">
        <f>IF(H967="",0,IF(ISNUMBER(H967),H967,IFERROR(DATE(VALUE(MID(H967,FIND("/",H967,FIND("/",H967)+1)+1,4)),VALUE(MID(H967,FIND("/",H967)+1,FIND("/",H967,FIND("/",H967)+1)-FIND("/",H967)-1)),VALUE(LEFT(H967,FIND("/",H967)-1)))+IFERROR(TIMEVALUE(TRIM(MID(H967,FIND(" ",H967)+1,20))),0),0)))</f>
        <v/>
      </c>
      <c r="K967" s="256">
        <f>IF(I967=0,0,INT(I967))</f>
        <v/>
      </c>
      <c r="L967" s="257">
        <f>IF(OR(I967=0,J967=0),0,ROUND((J967-I967)*24,2))</f>
        <v/>
      </c>
      <c r="M967" s="254">
        <f>IFERROR(TRIM(MID(A967,FIND("@",SUBSTITUTE(A967,"(","@",LEN(A967)-LEN(SUBSTITUTE(A967,"(",""))))+1,FIND(")",A967,FIND("@",SUBSTITUTE(A967,"(","@",LEN(A967)-LEN(SUBSTITUTE(A967,"(","")))))-FIND("@",SUBSTITUTE(A967,"(","@",LEN(A967)-LEN(SUBSTITUTE(A967,"(",""))))-1)),"")</f>
        <v/>
      </c>
      <c r="N967" s="254">
        <f>IF(A967="","",IF(LEFT(TRIM(A967),5)="Leave","Leave",IF(OR(ISNUMBER(SEARCH("public holiday",A967)),ISNUMBER(SEARCH("Purple",E967))),"Public holiday","Event")))</f>
        <v/>
      </c>
    </row>
    <row r="968">
      <c r="G968" s="254">
        <f>IF(C968="","",IF(ISNUMBER(C968),C968,IF(ISNUMBER(VALUE(LEFT(TRIM(C968),1))),TRIM(C968),TRIM(MID(TRIM(C968),FIND(" ",TRIM(C968))+1,99)))))</f>
        <v/>
      </c>
      <c r="H968" s="254">
        <f>IF(D968="","",IF(ISNUMBER(D968),D968,IF(ISNUMBER(VALUE(LEFT(TRIM(D968),1))),TRIM(D968),TRIM(MID(TRIM(D968),FIND(" ",TRIM(D968))+1,99)))))</f>
        <v/>
      </c>
      <c r="I968" s="255">
        <f>IF(G968="",0,IF(ISNUMBER(G968),G968,IFERROR(DATE(VALUE(MID(G968,FIND("/",G968,FIND("/",G968)+1)+1,4)),VALUE(MID(G968,FIND("/",G968)+1,FIND("/",G968,FIND("/",G968)+1)-FIND("/",G968)-1)),VALUE(LEFT(G968,FIND("/",G968)-1)))+IFERROR(TIMEVALUE(TRIM(MID(G968,FIND(" ",G968)+1,20))),0),0)))</f>
        <v/>
      </c>
      <c r="J968" s="255">
        <f>IF(H968="",0,IF(ISNUMBER(H968),H968,IFERROR(DATE(VALUE(MID(H968,FIND("/",H968,FIND("/",H968)+1)+1,4)),VALUE(MID(H968,FIND("/",H968)+1,FIND("/",H968,FIND("/",H968)+1)-FIND("/",H968)-1)),VALUE(LEFT(H968,FIND("/",H968)-1)))+IFERROR(TIMEVALUE(TRIM(MID(H968,FIND(" ",H968)+1,20))),0),0)))</f>
        <v/>
      </c>
      <c r="K968" s="256">
        <f>IF(I968=0,0,INT(I968))</f>
        <v/>
      </c>
      <c r="L968" s="257">
        <f>IF(OR(I968=0,J968=0),0,ROUND((J968-I968)*24,2))</f>
        <v/>
      </c>
      <c r="M968" s="254">
        <f>IFERROR(TRIM(MID(A968,FIND("@",SUBSTITUTE(A968,"(","@",LEN(A968)-LEN(SUBSTITUTE(A968,"(",""))))+1,FIND(")",A968,FIND("@",SUBSTITUTE(A968,"(","@",LEN(A968)-LEN(SUBSTITUTE(A968,"(","")))))-FIND("@",SUBSTITUTE(A968,"(","@",LEN(A968)-LEN(SUBSTITUTE(A968,"(",""))))-1)),"")</f>
        <v/>
      </c>
      <c r="N968" s="254">
        <f>IF(A968="","",IF(LEFT(TRIM(A968),5)="Leave","Leave",IF(OR(ISNUMBER(SEARCH("public holiday",A968)),ISNUMBER(SEARCH("Purple",E968))),"Public holiday","Event")))</f>
        <v/>
      </c>
    </row>
    <row r="969">
      <c r="G969" s="254">
        <f>IF(C969="","",IF(ISNUMBER(C969),C969,IF(ISNUMBER(VALUE(LEFT(TRIM(C969),1))),TRIM(C969),TRIM(MID(TRIM(C969),FIND(" ",TRIM(C969))+1,99)))))</f>
        <v/>
      </c>
      <c r="H969" s="254">
        <f>IF(D969="","",IF(ISNUMBER(D969),D969,IF(ISNUMBER(VALUE(LEFT(TRIM(D969),1))),TRIM(D969),TRIM(MID(TRIM(D969),FIND(" ",TRIM(D969))+1,99)))))</f>
        <v/>
      </c>
      <c r="I969" s="255">
        <f>IF(G969="",0,IF(ISNUMBER(G969),G969,IFERROR(DATE(VALUE(MID(G969,FIND("/",G969,FIND("/",G969)+1)+1,4)),VALUE(MID(G969,FIND("/",G969)+1,FIND("/",G969,FIND("/",G969)+1)-FIND("/",G969)-1)),VALUE(LEFT(G969,FIND("/",G969)-1)))+IFERROR(TIMEVALUE(TRIM(MID(G969,FIND(" ",G969)+1,20))),0),0)))</f>
        <v/>
      </c>
      <c r="J969" s="255">
        <f>IF(H969="",0,IF(ISNUMBER(H969),H969,IFERROR(DATE(VALUE(MID(H969,FIND("/",H969,FIND("/",H969)+1)+1,4)),VALUE(MID(H969,FIND("/",H969)+1,FIND("/",H969,FIND("/",H969)+1)-FIND("/",H969)-1)),VALUE(LEFT(H969,FIND("/",H969)-1)))+IFERROR(TIMEVALUE(TRIM(MID(H969,FIND(" ",H969)+1,20))),0),0)))</f>
        <v/>
      </c>
      <c r="K969" s="256">
        <f>IF(I969=0,0,INT(I969))</f>
        <v/>
      </c>
      <c r="L969" s="257">
        <f>IF(OR(I969=0,J969=0),0,ROUND((J969-I969)*24,2))</f>
        <v/>
      </c>
      <c r="M969" s="254">
        <f>IFERROR(TRIM(MID(A969,FIND("@",SUBSTITUTE(A969,"(","@",LEN(A969)-LEN(SUBSTITUTE(A969,"(",""))))+1,FIND(")",A969,FIND("@",SUBSTITUTE(A969,"(","@",LEN(A969)-LEN(SUBSTITUTE(A969,"(","")))))-FIND("@",SUBSTITUTE(A969,"(","@",LEN(A969)-LEN(SUBSTITUTE(A969,"(",""))))-1)),"")</f>
        <v/>
      </c>
      <c r="N969" s="254">
        <f>IF(A969="","",IF(LEFT(TRIM(A969),5)="Leave","Leave",IF(OR(ISNUMBER(SEARCH("public holiday",A969)),ISNUMBER(SEARCH("Purple",E969))),"Public holiday","Event")))</f>
        <v/>
      </c>
    </row>
    <row r="970">
      <c r="G970" s="254">
        <f>IF(C970="","",IF(ISNUMBER(C970),C970,IF(ISNUMBER(VALUE(LEFT(TRIM(C970),1))),TRIM(C970),TRIM(MID(TRIM(C970),FIND(" ",TRIM(C970))+1,99)))))</f>
        <v/>
      </c>
      <c r="H970" s="254">
        <f>IF(D970="","",IF(ISNUMBER(D970),D970,IF(ISNUMBER(VALUE(LEFT(TRIM(D970),1))),TRIM(D970),TRIM(MID(TRIM(D970),FIND(" ",TRIM(D970))+1,99)))))</f>
        <v/>
      </c>
      <c r="I970" s="255">
        <f>IF(G970="",0,IF(ISNUMBER(G970),G970,IFERROR(DATE(VALUE(MID(G970,FIND("/",G970,FIND("/",G970)+1)+1,4)),VALUE(MID(G970,FIND("/",G970)+1,FIND("/",G970,FIND("/",G970)+1)-FIND("/",G970)-1)),VALUE(LEFT(G970,FIND("/",G970)-1)))+IFERROR(TIMEVALUE(TRIM(MID(G970,FIND(" ",G970)+1,20))),0),0)))</f>
        <v/>
      </c>
      <c r="J970" s="255">
        <f>IF(H970="",0,IF(ISNUMBER(H970),H970,IFERROR(DATE(VALUE(MID(H970,FIND("/",H970,FIND("/",H970)+1)+1,4)),VALUE(MID(H970,FIND("/",H970)+1,FIND("/",H970,FIND("/",H970)+1)-FIND("/",H970)-1)),VALUE(LEFT(H970,FIND("/",H970)-1)))+IFERROR(TIMEVALUE(TRIM(MID(H970,FIND(" ",H970)+1,20))),0),0)))</f>
        <v/>
      </c>
      <c r="K970" s="256">
        <f>IF(I970=0,0,INT(I970))</f>
        <v/>
      </c>
      <c r="L970" s="257">
        <f>IF(OR(I970=0,J970=0),0,ROUND((J970-I970)*24,2))</f>
        <v/>
      </c>
      <c r="M970" s="254">
        <f>IFERROR(TRIM(MID(A970,FIND("@",SUBSTITUTE(A970,"(","@",LEN(A970)-LEN(SUBSTITUTE(A970,"(",""))))+1,FIND(")",A970,FIND("@",SUBSTITUTE(A970,"(","@",LEN(A970)-LEN(SUBSTITUTE(A970,"(","")))))-FIND("@",SUBSTITUTE(A970,"(","@",LEN(A970)-LEN(SUBSTITUTE(A970,"(",""))))-1)),"")</f>
        <v/>
      </c>
      <c r="N970" s="254">
        <f>IF(A970="","",IF(LEFT(TRIM(A970),5)="Leave","Leave",IF(OR(ISNUMBER(SEARCH("public holiday",A970)),ISNUMBER(SEARCH("Purple",E970))),"Public holiday","Event")))</f>
        <v/>
      </c>
    </row>
    <row r="971">
      <c r="G971" s="254">
        <f>IF(C971="","",IF(ISNUMBER(C971),C971,IF(ISNUMBER(VALUE(LEFT(TRIM(C971),1))),TRIM(C971),TRIM(MID(TRIM(C971),FIND(" ",TRIM(C971))+1,99)))))</f>
        <v/>
      </c>
      <c r="H971" s="254">
        <f>IF(D971="","",IF(ISNUMBER(D971),D971,IF(ISNUMBER(VALUE(LEFT(TRIM(D971),1))),TRIM(D971),TRIM(MID(TRIM(D971),FIND(" ",TRIM(D971))+1,99)))))</f>
        <v/>
      </c>
      <c r="I971" s="255">
        <f>IF(G971="",0,IF(ISNUMBER(G971),G971,IFERROR(DATE(VALUE(MID(G971,FIND("/",G971,FIND("/",G971)+1)+1,4)),VALUE(MID(G971,FIND("/",G971)+1,FIND("/",G971,FIND("/",G971)+1)-FIND("/",G971)-1)),VALUE(LEFT(G971,FIND("/",G971)-1)))+IFERROR(TIMEVALUE(TRIM(MID(G971,FIND(" ",G971)+1,20))),0),0)))</f>
        <v/>
      </c>
      <c r="J971" s="255">
        <f>IF(H971="",0,IF(ISNUMBER(H971),H971,IFERROR(DATE(VALUE(MID(H971,FIND("/",H971,FIND("/",H971)+1)+1,4)),VALUE(MID(H971,FIND("/",H971)+1,FIND("/",H971,FIND("/",H971)+1)-FIND("/",H971)-1)),VALUE(LEFT(H971,FIND("/",H971)-1)))+IFERROR(TIMEVALUE(TRIM(MID(H971,FIND(" ",H971)+1,20))),0),0)))</f>
        <v/>
      </c>
      <c r="K971" s="256">
        <f>IF(I971=0,0,INT(I971))</f>
        <v/>
      </c>
      <c r="L971" s="257">
        <f>IF(OR(I971=0,J971=0),0,ROUND((J971-I971)*24,2))</f>
        <v/>
      </c>
      <c r="M971" s="254">
        <f>IFERROR(TRIM(MID(A971,FIND("@",SUBSTITUTE(A971,"(","@",LEN(A971)-LEN(SUBSTITUTE(A971,"(",""))))+1,FIND(")",A971,FIND("@",SUBSTITUTE(A971,"(","@",LEN(A971)-LEN(SUBSTITUTE(A971,"(","")))))-FIND("@",SUBSTITUTE(A971,"(","@",LEN(A971)-LEN(SUBSTITUTE(A971,"(",""))))-1)),"")</f>
        <v/>
      </c>
      <c r="N971" s="254">
        <f>IF(A971="","",IF(LEFT(TRIM(A971),5)="Leave","Leave",IF(OR(ISNUMBER(SEARCH("public holiday",A971)),ISNUMBER(SEARCH("Purple",E971))),"Public holiday","Event")))</f>
        <v/>
      </c>
    </row>
    <row r="972">
      <c r="G972" s="254">
        <f>IF(C972="","",IF(ISNUMBER(C972),C972,IF(ISNUMBER(VALUE(LEFT(TRIM(C972),1))),TRIM(C972),TRIM(MID(TRIM(C972),FIND(" ",TRIM(C972))+1,99)))))</f>
        <v/>
      </c>
      <c r="H972" s="254">
        <f>IF(D972="","",IF(ISNUMBER(D972),D972,IF(ISNUMBER(VALUE(LEFT(TRIM(D972),1))),TRIM(D972),TRIM(MID(TRIM(D972),FIND(" ",TRIM(D972))+1,99)))))</f>
        <v/>
      </c>
      <c r="I972" s="255">
        <f>IF(G972="",0,IF(ISNUMBER(G972),G972,IFERROR(DATE(VALUE(MID(G972,FIND("/",G972,FIND("/",G972)+1)+1,4)),VALUE(MID(G972,FIND("/",G972)+1,FIND("/",G972,FIND("/",G972)+1)-FIND("/",G972)-1)),VALUE(LEFT(G972,FIND("/",G972)-1)))+IFERROR(TIMEVALUE(TRIM(MID(G972,FIND(" ",G972)+1,20))),0),0)))</f>
        <v/>
      </c>
      <c r="J972" s="255">
        <f>IF(H972="",0,IF(ISNUMBER(H972),H972,IFERROR(DATE(VALUE(MID(H972,FIND("/",H972,FIND("/",H972)+1)+1,4)),VALUE(MID(H972,FIND("/",H972)+1,FIND("/",H972,FIND("/",H972)+1)-FIND("/",H972)-1)),VALUE(LEFT(H972,FIND("/",H972)-1)))+IFERROR(TIMEVALUE(TRIM(MID(H972,FIND(" ",H972)+1,20))),0),0)))</f>
        <v/>
      </c>
      <c r="K972" s="256">
        <f>IF(I972=0,0,INT(I972))</f>
        <v/>
      </c>
      <c r="L972" s="257">
        <f>IF(OR(I972=0,J972=0),0,ROUND((J972-I972)*24,2))</f>
        <v/>
      </c>
      <c r="M972" s="254">
        <f>IFERROR(TRIM(MID(A972,FIND("@",SUBSTITUTE(A972,"(","@",LEN(A972)-LEN(SUBSTITUTE(A972,"(",""))))+1,FIND(")",A972,FIND("@",SUBSTITUTE(A972,"(","@",LEN(A972)-LEN(SUBSTITUTE(A972,"(","")))))-FIND("@",SUBSTITUTE(A972,"(","@",LEN(A972)-LEN(SUBSTITUTE(A972,"(",""))))-1)),"")</f>
        <v/>
      </c>
      <c r="N972" s="254">
        <f>IF(A972="","",IF(LEFT(TRIM(A972),5)="Leave","Leave",IF(OR(ISNUMBER(SEARCH("public holiday",A972)),ISNUMBER(SEARCH("Purple",E972))),"Public holiday","Event")))</f>
        <v/>
      </c>
    </row>
    <row r="973">
      <c r="G973" s="254">
        <f>IF(C973="","",IF(ISNUMBER(C973),C973,IF(ISNUMBER(VALUE(LEFT(TRIM(C973),1))),TRIM(C973),TRIM(MID(TRIM(C973),FIND(" ",TRIM(C973))+1,99)))))</f>
        <v/>
      </c>
      <c r="H973" s="254">
        <f>IF(D973="","",IF(ISNUMBER(D973),D973,IF(ISNUMBER(VALUE(LEFT(TRIM(D973),1))),TRIM(D973),TRIM(MID(TRIM(D973),FIND(" ",TRIM(D973))+1,99)))))</f>
        <v/>
      </c>
      <c r="I973" s="255">
        <f>IF(G973="",0,IF(ISNUMBER(G973),G973,IFERROR(DATE(VALUE(MID(G973,FIND("/",G973,FIND("/",G973)+1)+1,4)),VALUE(MID(G973,FIND("/",G973)+1,FIND("/",G973,FIND("/",G973)+1)-FIND("/",G973)-1)),VALUE(LEFT(G973,FIND("/",G973)-1)))+IFERROR(TIMEVALUE(TRIM(MID(G973,FIND(" ",G973)+1,20))),0),0)))</f>
        <v/>
      </c>
      <c r="J973" s="255">
        <f>IF(H973="",0,IF(ISNUMBER(H973),H973,IFERROR(DATE(VALUE(MID(H973,FIND("/",H973,FIND("/",H973)+1)+1,4)),VALUE(MID(H973,FIND("/",H973)+1,FIND("/",H973,FIND("/",H973)+1)-FIND("/",H973)-1)),VALUE(LEFT(H973,FIND("/",H973)-1)))+IFERROR(TIMEVALUE(TRIM(MID(H973,FIND(" ",H973)+1,20))),0),0)))</f>
        <v/>
      </c>
      <c r="K973" s="256">
        <f>IF(I973=0,0,INT(I973))</f>
        <v/>
      </c>
      <c r="L973" s="257">
        <f>IF(OR(I973=0,J973=0),0,ROUND((J973-I973)*24,2))</f>
        <v/>
      </c>
      <c r="M973" s="254">
        <f>IFERROR(TRIM(MID(A973,FIND("@",SUBSTITUTE(A973,"(","@",LEN(A973)-LEN(SUBSTITUTE(A973,"(",""))))+1,FIND(")",A973,FIND("@",SUBSTITUTE(A973,"(","@",LEN(A973)-LEN(SUBSTITUTE(A973,"(","")))))-FIND("@",SUBSTITUTE(A973,"(","@",LEN(A973)-LEN(SUBSTITUTE(A973,"(",""))))-1)),"")</f>
        <v/>
      </c>
      <c r="N973" s="254">
        <f>IF(A973="","",IF(LEFT(TRIM(A973),5)="Leave","Leave",IF(OR(ISNUMBER(SEARCH("public holiday",A973)),ISNUMBER(SEARCH("Purple",E973))),"Public holiday","Event")))</f>
        <v/>
      </c>
    </row>
    <row r="974">
      <c r="G974" s="254">
        <f>IF(C974="","",IF(ISNUMBER(C974),C974,IF(ISNUMBER(VALUE(LEFT(TRIM(C974),1))),TRIM(C974),TRIM(MID(TRIM(C974),FIND(" ",TRIM(C974))+1,99)))))</f>
        <v/>
      </c>
      <c r="H974" s="254">
        <f>IF(D974="","",IF(ISNUMBER(D974),D974,IF(ISNUMBER(VALUE(LEFT(TRIM(D974),1))),TRIM(D974),TRIM(MID(TRIM(D974),FIND(" ",TRIM(D974))+1,99)))))</f>
        <v/>
      </c>
      <c r="I974" s="255">
        <f>IF(G974="",0,IF(ISNUMBER(G974),G974,IFERROR(DATE(VALUE(MID(G974,FIND("/",G974,FIND("/",G974)+1)+1,4)),VALUE(MID(G974,FIND("/",G974)+1,FIND("/",G974,FIND("/",G974)+1)-FIND("/",G974)-1)),VALUE(LEFT(G974,FIND("/",G974)-1)))+IFERROR(TIMEVALUE(TRIM(MID(G974,FIND(" ",G974)+1,20))),0),0)))</f>
        <v/>
      </c>
      <c r="J974" s="255">
        <f>IF(H974="",0,IF(ISNUMBER(H974),H974,IFERROR(DATE(VALUE(MID(H974,FIND("/",H974,FIND("/",H974)+1)+1,4)),VALUE(MID(H974,FIND("/",H974)+1,FIND("/",H974,FIND("/",H974)+1)-FIND("/",H974)-1)),VALUE(LEFT(H974,FIND("/",H974)-1)))+IFERROR(TIMEVALUE(TRIM(MID(H974,FIND(" ",H974)+1,20))),0),0)))</f>
        <v/>
      </c>
      <c r="K974" s="256">
        <f>IF(I974=0,0,INT(I974))</f>
        <v/>
      </c>
      <c r="L974" s="257">
        <f>IF(OR(I974=0,J974=0),0,ROUND((J974-I974)*24,2))</f>
        <v/>
      </c>
      <c r="M974" s="254">
        <f>IFERROR(TRIM(MID(A974,FIND("@",SUBSTITUTE(A974,"(","@",LEN(A974)-LEN(SUBSTITUTE(A974,"(",""))))+1,FIND(")",A974,FIND("@",SUBSTITUTE(A974,"(","@",LEN(A974)-LEN(SUBSTITUTE(A974,"(","")))))-FIND("@",SUBSTITUTE(A974,"(","@",LEN(A974)-LEN(SUBSTITUTE(A974,"(",""))))-1)),"")</f>
        <v/>
      </c>
      <c r="N974" s="254">
        <f>IF(A974="","",IF(LEFT(TRIM(A974),5)="Leave","Leave",IF(OR(ISNUMBER(SEARCH("public holiday",A974)),ISNUMBER(SEARCH("Purple",E974))),"Public holiday","Event")))</f>
        <v/>
      </c>
    </row>
    <row r="975">
      <c r="G975" s="254">
        <f>IF(C975="","",IF(ISNUMBER(C975),C975,IF(ISNUMBER(VALUE(LEFT(TRIM(C975),1))),TRIM(C975),TRIM(MID(TRIM(C975),FIND(" ",TRIM(C975))+1,99)))))</f>
        <v/>
      </c>
      <c r="H975" s="254">
        <f>IF(D975="","",IF(ISNUMBER(D975),D975,IF(ISNUMBER(VALUE(LEFT(TRIM(D975),1))),TRIM(D975),TRIM(MID(TRIM(D975),FIND(" ",TRIM(D975))+1,99)))))</f>
        <v/>
      </c>
      <c r="I975" s="255">
        <f>IF(G975="",0,IF(ISNUMBER(G975),G975,IFERROR(DATE(VALUE(MID(G975,FIND("/",G975,FIND("/",G975)+1)+1,4)),VALUE(MID(G975,FIND("/",G975)+1,FIND("/",G975,FIND("/",G975)+1)-FIND("/",G975)-1)),VALUE(LEFT(G975,FIND("/",G975)-1)))+IFERROR(TIMEVALUE(TRIM(MID(G975,FIND(" ",G975)+1,20))),0),0)))</f>
        <v/>
      </c>
      <c r="J975" s="255">
        <f>IF(H975="",0,IF(ISNUMBER(H975),H975,IFERROR(DATE(VALUE(MID(H975,FIND("/",H975,FIND("/",H975)+1)+1,4)),VALUE(MID(H975,FIND("/",H975)+1,FIND("/",H975,FIND("/",H975)+1)-FIND("/",H975)-1)),VALUE(LEFT(H975,FIND("/",H975)-1)))+IFERROR(TIMEVALUE(TRIM(MID(H975,FIND(" ",H975)+1,20))),0),0)))</f>
        <v/>
      </c>
      <c r="K975" s="256">
        <f>IF(I975=0,0,INT(I975))</f>
        <v/>
      </c>
      <c r="L975" s="257">
        <f>IF(OR(I975=0,J975=0),0,ROUND((J975-I975)*24,2))</f>
        <v/>
      </c>
      <c r="M975" s="254">
        <f>IFERROR(TRIM(MID(A975,FIND("@",SUBSTITUTE(A975,"(","@",LEN(A975)-LEN(SUBSTITUTE(A975,"(",""))))+1,FIND(")",A975,FIND("@",SUBSTITUTE(A975,"(","@",LEN(A975)-LEN(SUBSTITUTE(A975,"(","")))))-FIND("@",SUBSTITUTE(A975,"(","@",LEN(A975)-LEN(SUBSTITUTE(A975,"(",""))))-1)),"")</f>
        <v/>
      </c>
      <c r="N975" s="254">
        <f>IF(A975="","",IF(LEFT(TRIM(A975),5)="Leave","Leave",IF(OR(ISNUMBER(SEARCH("public holiday",A975)),ISNUMBER(SEARCH("Purple",E975))),"Public holiday","Event")))</f>
        <v/>
      </c>
    </row>
    <row r="976">
      <c r="G976" s="254">
        <f>IF(C976="","",IF(ISNUMBER(C976),C976,IF(ISNUMBER(VALUE(LEFT(TRIM(C976),1))),TRIM(C976),TRIM(MID(TRIM(C976),FIND(" ",TRIM(C976))+1,99)))))</f>
        <v/>
      </c>
      <c r="H976" s="254">
        <f>IF(D976="","",IF(ISNUMBER(D976),D976,IF(ISNUMBER(VALUE(LEFT(TRIM(D976),1))),TRIM(D976),TRIM(MID(TRIM(D976),FIND(" ",TRIM(D976))+1,99)))))</f>
        <v/>
      </c>
      <c r="I976" s="255">
        <f>IF(G976="",0,IF(ISNUMBER(G976),G976,IFERROR(DATE(VALUE(MID(G976,FIND("/",G976,FIND("/",G976)+1)+1,4)),VALUE(MID(G976,FIND("/",G976)+1,FIND("/",G976,FIND("/",G976)+1)-FIND("/",G976)-1)),VALUE(LEFT(G976,FIND("/",G976)-1)))+IFERROR(TIMEVALUE(TRIM(MID(G976,FIND(" ",G976)+1,20))),0),0)))</f>
        <v/>
      </c>
      <c r="J976" s="255">
        <f>IF(H976="",0,IF(ISNUMBER(H976),H976,IFERROR(DATE(VALUE(MID(H976,FIND("/",H976,FIND("/",H976)+1)+1,4)),VALUE(MID(H976,FIND("/",H976)+1,FIND("/",H976,FIND("/",H976)+1)-FIND("/",H976)-1)),VALUE(LEFT(H976,FIND("/",H976)-1)))+IFERROR(TIMEVALUE(TRIM(MID(H976,FIND(" ",H976)+1,20))),0),0)))</f>
        <v/>
      </c>
      <c r="K976" s="256">
        <f>IF(I976=0,0,INT(I976))</f>
        <v/>
      </c>
      <c r="L976" s="257">
        <f>IF(OR(I976=0,J976=0),0,ROUND((J976-I976)*24,2))</f>
        <v/>
      </c>
      <c r="M976" s="254">
        <f>IFERROR(TRIM(MID(A976,FIND("@",SUBSTITUTE(A976,"(","@",LEN(A976)-LEN(SUBSTITUTE(A976,"(",""))))+1,FIND(")",A976,FIND("@",SUBSTITUTE(A976,"(","@",LEN(A976)-LEN(SUBSTITUTE(A976,"(","")))))-FIND("@",SUBSTITUTE(A976,"(","@",LEN(A976)-LEN(SUBSTITUTE(A976,"(",""))))-1)),"")</f>
        <v/>
      </c>
      <c r="N976" s="254">
        <f>IF(A976="","",IF(LEFT(TRIM(A976),5)="Leave","Leave",IF(OR(ISNUMBER(SEARCH("public holiday",A976)),ISNUMBER(SEARCH("Purple",E976))),"Public holiday","Event")))</f>
        <v/>
      </c>
    </row>
    <row r="977">
      <c r="G977" s="254">
        <f>IF(C977="","",IF(ISNUMBER(C977),C977,IF(ISNUMBER(VALUE(LEFT(TRIM(C977),1))),TRIM(C977),TRIM(MID(TRIM(C977),FIND(" ",TRIM(C977))+1,99)))))</f>
        <v/>
      </c>
      <c r="H977" s="254">
        <f>IF(D977="","",IF(ISNUMBER(D977),D977,IF(ISNUMBER(VALUE(LEFT(TRIM(D977),1))),TRIM(D977),TRIM(MID(TRIM(D977),FIND(" ",TRIM(D977))+1,99)))))</f>
        <v/>
      </c>
      <c r="I977" s="255">
        <f>IF(G977="",0,IF(ISNUMBER(G977),G977,IFERROR(DATE(VALUE(MID(G977,FIND("/",G977,FIND("/",G977)+1)+1,4)),VALUE(MID(G977,FIND("/",G977)+1,FIND("/",G977,FIND("/",G977)+1)-FIND("/",G977)-1)),VALUE(LEFT(G977,FIND("/",G977)-1)))+IFERROR(TIMEVALUE(TRIM(MID(G977,FIND(" ",G977)+1,20))),0),0)))</f>
        <v/>
      </c>
      <c r="J977" s="255">
        <f>IF(H977="",0,IF(ISNUMBER(H977),H977,IFERROR(DATE(VALUE(MID(H977,FIND("/",H977,FIND("/",H977)+1)+1,4)),VALUE(MID(H977,FIND("/",H977)+1,FIND("/",H977,FIND("/",H977)+1)-FIND("/",H977)-1)),VALUE(LEFT(H977,FIND("/",H977)-1)))+IFERROR(TIMEVALUE(TRIM(MID(H977,FIND(" ",H977)+1,20))),0),0)))</f>
        <v/>
      </c>
      <c r="K977" s="256">
        <f>IF(I977=0,0,INT(I977))</f>
        <v/>
      </c>
      <c r="L977" s="257">
        <f>IF(OR(I977=0,J977=0),0,ROUND((J977-I977)*24,2))</f>
        <v/>
      </c>
      <c r="M977" s="254">
        <f>IFERROR(TRIM(MID(A977,FIND("@",SUBSTITUTE(A977,"(","@",LEN(A977)-LEN(SUBSTITUTE(A977,"(",""))))+1,FIND(")",A977,FIND("@",SUBSTITUTE(A977,"(","@",LEN(A977)-LEN(SUBSTITUTE(A977,"(","")))))-FIND("@",SUBSTITUTE(A977,"(","@",LEN(A977)-LEN(SUBSTITUTE(A977,"(",""))))-1)),"")</f>
        <v/>
      </c>
      <c r="N977" s="254">
        <f>IF(A977="","",IF(LEFT(TRIM(A977),5)="Leave","Leave",IF(OR(ISNUMBER(SEARCH("public holiday",A977)),ISNUMBER(SEARCH("Purple",E977))),"Public holiday","Event")))</f>
        <v/>
      </c>
    </row>
    <row r="978">
      <c r="G978" s="254">
        <f>IF(C978="","",IF(ISNUMBER(C978),C978,IF(ISNUMBER(VALUE(LEFT(TRIM(C978),1))),TRIM(C978),TRIM(MID(TRIM(C978),FIND(" ",TRIM(C978))+1,99)))))</f>
        <v/>
      </c>
      <c r="H978" s="254">
        <f>IF(D978="","",IF(ISNUMBER(D978),D978,IF(ISNUMBER(VALUE(LEFT(TRIM(D978),1))),TRIM(D978),TRIM(MID(TRIM(D978),FIND(" ",TRIM(D978))+1,99)))))</f>
        <v/>
      </c>
      <c r="I978" s="255">
        <f>IF(G978="",0,IF(ISNUMBER(G978),G978,IFERROR(DATE(VALUE(MID(G978,FIND("/",G978,FIND("/",G978)+1)+1,4)),VALUE(MID(G978,FIND("/",G978)+1,FIND("/",G978,FIND("/",G978)+1)-FIND("/",G978)-1)),VALUE(LEFT(G978,FIND("/",G978)-1)))+IFERROR(TIMEVALUE(TRIM(MID(G978,FIND(" ",G978)+1,20))),0),0)))</f>
        <v/>
      </c>
      <c r="J978" s="255">
        <f>IF(H978="",0,IF(ISNUMBER(H978),H978,IFERROR(DATE(VALUE(MID(H978,FIND("/",H978,FIND("/",H978)+1)+1,4)),VALUE(MID(H978,FIND("/",H978)+1,FIND("/",H978,FIND("/",H978)+1)-FIND("/",H978)-1)),VALUE(LEFT(H978,FIND("/",H978)-1)))+IFERROR(TIMEVALUE(TRIM(MID(H978,FIND(" ",H978)+1,20))),0),0)))</f>
        <v/>
      </c>
      <c r="K978" s="256">
        <f>IF(I978=0,0,INT(I978))</f>
        <v/>
      </c>
      <c r="L978" s="257">
        <f>IF(OR(I978=0,J978=0),0,ROUND((J978-I978)*24,2))</f>
        <v/>
      </c>
      <c r="M978" s="254">
        <f>IFERROR(TRIM(MID(A978,FIND("@",SUBSTITUTE(A978,"(","@",LEN(A978)-LEN(SUBSTITUTE(A978,"(",""))))+1,FIND(")",A978,FIND("@",SUBSTITUTE(A978,"(","@",LEN(A978)-LEN(SUBSTITUTE(A978,"(","")))))-FIND("@",SUBSTITUTE(A978,"(","@",LEN(A978)-LEN(SUBSTITUTE(A978,"(",""))))-1)),"")</f>
        <v/>
      </c>
      <c r="N978" s="254">
        <f>IF(A978="","",IF(LEFT(TRIM(A978),5)="Leave","Leave",IF(OR(ISNUMBER(SEARCH("public holiday",A978)),ISNUMBER(SEARCH("Purple",E978))),"Public holiday","Event")))</f>
        <v/>
      </c>
    </row>
    <row r="979">
      <c r="G979" s="254">
        <f>IF(C979="","",IF(ISNUMBER(C979),C979,IF(ISNUMBER(VALUE(LEFT(TRIM(C979),1))),TRIM(C979),TRIM(MID(TRIM(C979),FIND(" ",TRIM(C979))+1,99)))))</f>
        <v/>
      </c>
      <c r="H979" s="254">
        <f>IF(D979="","",IF(ISNUMBER(D979),D979,IF(ISNUMBER(VALUE(LEFT(TRIM(D979),1))),TRIM(D979),TRIM(MID(TRIM(D979),FIND(" ",TRIM(D979))+1,99)))))</f>
        <v/>
      </c>
      <c r="I979" s="255">
        <f>IF(G979="",0,IF(ISNUMBER(G979),G979,IFERROR(DATE(VALUE(MID(G979,FIND("/",G979,FIND("/",G979)+1)+1,4)),VALUE(MID(G979,FIND("/",G979)+1,FIND("/",G979,FIND("/",G979)+1)-FIND("/",G979)-1)),VALUE(LEFT(G979,FIND("/",G979)-1)))+IFERROR(TIMEVALUE(TRIM(MID(G979,FIND(" ",G979)+1,20))),0),0)))</f>
        <v/>
      </c>
      <c r="J979" s="255">
        <f>IF(H979="",0,IF(ISNUMBER(H979),H979,IFERROR(DATE(VALUE(MID(H979,FIND("/",H979,FIND("/",H979)+1)+1,4)),VALUE(MID(H979,FIND("/",H979)+1,FIND("/",H979,FIND("/",H979)+1)-FIND("/",H979)-1)),VALUE(LEFT(H979,FIND("/",H979)-1)))+IFERROR(TIMEVALUE(TRIM(MID(H979,FIND(" ",H979)+1,20))),0),0)))</f>
        <v/>
      </c>
      <c r="K979" s="256">
        <f>IF(I979=0,0,INT(I979))</f>
        <v/>
      </c>
      <c r="L979" s="257">
        <f>IF(OR(I979=0,J979=0),0,ROUND((J979-I979)*24,2))</f>
        <v/>
      </c>
      <c r="M979" s="254">
        <f>IFERROR(TRIM(MID(A979,FIND("@",SUBSTITUTE(A979,"(","@",LEN(A979)-LEN(SUBSTITUTE(A979,"(",""))))+1,FIND(")",A979,FIND("@",SUBSTITUTE(A979,"(","@",LEN(A979)-LEN(SUBSTITUTE(A979,"(","")))))-FIND("@",SUBSTITUTE(A979,"(","@",LEN(A979)-LEN(SUBSTITUTE(A979,"(",""))))-1)),"")</f>
        <v/>
      </c>
      <c r="N979" s="254">
        <f>IF(A979="","",IF(LEFT(TRIM(A979),5)="Leave","Leave",IF(OR(ISNUMBER(SEARCH("public holiday",A979)),ISNUMBER(SEARCH("Purple",E979))),"Public holiday","Event")))</f>
        <v/>
      </c>
    </row>
    <row r="980">
      <c r="G980" s="254">
        <f>IF(C980="","",IF(ISNUMBER(C980),C980,IF(ISNUMBER(VALUE(LEFT(TRIM(C980),1))),TRIM(C980),TRIM(MID(TRIM(C980),FIND(" ",TRIM(C980))+1,99)))))</f>
        <v/>
      </c>
      <c r="H980" s="254">
        <f>IF(D980="","",IF(ISNUMBER(D980),D980,IF(ISNUMBER(VALUE(LEFT(TRIM(D980),1))),TRIM(D980),TRIM(MID(TRIM(D980),FIND(" ",TRIM(D980))+1,99)))))</f>
        <v/>
      </c>
      <c r="I980" s="255">
        <f>IF(G980="",0,IF(ISNUMBER(G980),G980,IFERROR(DATE(VALUE(MID(G980,FIND("/",G980,FIND("/",G980)+1)+1,4)),VALUE(MID(G980,FIND("/",G980)+1,FIND("/",G980,FIND("/",G980)+1)-FIND("/",G980)-1)),VALUE(LEFT(G980,FIND("/",G980)-1)))+IFERROR(TIMEVALUE(TRIM(MID(G980,FIND(" ",G980)+1,20))),0),0)))</f>
        <v/>
      </c>
      <c r="J980" s="255">
        <f>IF(H980="",0,IF(ISNUMBER(H980),H980,IFERROR(DATE(VALUE(MID(H980,FIND("/",H980,FIND("/",H980)+1)+1,4)),VALUE(MID(H980,FIND("/",H980)+1,FIND("/",H980,FIND("/",H980)+1)-FIND("/",H980)-1)),VALUE(LEFT(H980,FIND("/",H980)-1)))+IFERROR(TIMEVALUE(TRIM(MID(H980,FIND(" ",H980)+1,20))),0),0)))</f>
        <v/>
      </c>
      <c r="K980" s="256">
        <f>IF(I980=0,0,INT(I980))</f>
        <v/>
      </c>
      <c r="L980" s="257">
        <f>IF(OR(I980=0,J980=0),0,ROUND((J980-I980)*24,2))</f>
        <v/>
      </c>
      <c r="M980" s="254">
        <f>IFERROR(TRIM(MID(A980,FIND("@",SUBSTITUTE(A980,"(","@",LEN(A980)-LEN(SUBSTITUTE(A980,"(",""))))+1,FIND(")",A980,FIND("@",SUBSTITUTE(A980,"(","@",LEN(A980)-LEN(SUBSTITUTE(A980,"(","")))))-FIND("@",SUBSTITUTE(A980,"(","@",LEN(A980)-LEN(SUBSTITUTE(A980,"(",""))))-1)),"")</f>
        <v/>
      </c>
      <c r="N980" s="254">
        <f>IF(A980="","",IF(LEFT(TRIM(A980),5)="Leave","Leave",IF(OR(ISNUMBER(SEARCH("public holiday",A980)),ISNUMBER(SEARCH("Purple",E980))),"Public holiday","Event")))</f>
        <v/>
      </c>
    </row>
    <row r="981">
      <c r="G981" s="254">
        <f>IF(C981="","",IF(ISNUMBER(C981),C981,IF(ISNUMBER(VALUE(LEFT(TRIM(C981),1))),TRIM(C981),TRIM(MID(TRIM(C981),FIND(" ",TRIM(C981))+1,99)))))</f>
        <v/>
      </c>
      <c r="H981" s="254">
        <f>IF(D981="","",IF(ISNUMBER(D981),D981,IF(ISNUMBER(VALUE(LEFT(TRIM(D981),1))),TRIM(D981),TRIM(MID(TRIM(D981),FIND(" ",TRIM(D981))+1,99)))))</f>
        <v/>
      </c>
      <c r="I981" s="255">
        <f>IF(G981="",0,IF(ISNUMBER(G981),G981,IFERROR(DATE(VALUE(MID(G981,FIND("/",G981,FIND("/",G981)+1)+1,4)),VALUE(MID(G981,FIND("/",G981)+1,FIND("/",G981,FIND("/",G981)+1)-FIND("/",G981)-1)),VALUE(LEFT(G981,FIND("/",G981)-1)))+IFERROR(TIMEVALUE(TRIM(MID(G981,FIND(" ",G981)+1,20))),0),0)))</f>
        <v/>
      </c>
      <c r="J981" s="255">
        <f>IF(H981="",0,IF(ISNUMBER(H981),H981,IFERROR(DATE(VALUE(MID(H981,FIND("/",H981,FIND("/",H981)+1)+1,4)),VALUE(MID(H981,FIND("/",H981)+1,FIND("/",H981,FIND("/",H981)+1)-FIND("/",H981)-1)),VALUE(LEFT(H981,FIND("/",H981)-1)))+IFERROR(TIMEVALUE(TRIM(MID(H981,FIND(" ",H981)+1,20))),0),0)))</f>
        <v/>
      </c>
      <c r="K981" s="256">
        <f>IF(I981=0,0,INT(I981))</f>
        <v/>
      </c>
      <c r="L981" s="257">
        <f>IF(OR(I981=0,J981=0),0,ROUND((J981-I981)*24,2))</f>
        <v/>
      </c>
      <c r="M981" s="254">
        <f>IFERROR(TRIM(MID(A981,FIND("@",SUBSTITUTE(A981,"(","@",LEN(A981)-LEN(SUBSTITUTE(A981,"(",""))))+1,FIND(")",A981,FIND("@",SUBSTITUTE(A981,"(","@",LEN(A981)-LEN(SUBSTITUTE(A981,"(","")))))-FIND("@",SUBSTITUTE(A981,"(","@",LEN(A981)-LEN(SUBSTITUTE(A981,"(",""))))-1)),"")</f>
        <v/>
      </c>
      <c r="N981" s="254">
        <f>IF(A981="","",IF(LEFT(TRIM(A981),5)="Leave","Leave",IF(OR(ISNUMBER(SEARCH("public holiday",A981)),ISNUMBER(SEARCH("Purple",E981))),"Public holiday","Event")))</f>
        <v/>
      </c>
    </row>
    <row r="982">
      <c r="G982" s="254">
        <f>IF(C982="","",IF(ISNUMBER(C982),C982,IF(ISNUMBER(VALUE(LEFT(TRIM(C982),1))),TRIM(C982),TRIM(MID(TRIM(C982),FIND(" ",TRIM(C982))+1,99)))))</f>
        <v/>
      </c>
      <c r="H982" s="254">
        <f>IF(D982="","",IF(ISNUMBER(D982),D982,IF(ISNUMBER(VALUE(LEFT(TRIM(D982),1))),TRIM(D982),TRIM(MID(TRIM(D982),FIND(" ",TRIM(D982))+1,99)))))</f>
        <v/>
      </c>
      <c r="I982" s="255">
        <f>IF(G982="",0,IF(ISNUMBER(G982),G982,IFERROR(DATE(VALUE(MID(G982,FIND("/",G982,FIND("/",G982)+1)+1,4)),VALUE(MID(G982,FIND("/",G982)+1,FIND("/",G982,FIND("/",G982)+1)-FIND("/",G982)-1)),VALUE(LEFT(G982,FIND("/",G982)-1)))+IFERROR(TIMEVALUE(TRIM(MID(G982,FIND(" ",G982)+1,20))),0),0)))</f>
        <v/>
      </c>
      <c r="J982" s="255">
        <f>IF(H982="",0,IF(ISNUMBER(H982),H982,IFERROR(DATE(VALUE(MID(H982,FIND("/",H982,FIND("/",H982)+1)+1,4)),VALUE(MID(H982,FIND("/",H982)+1,FIND("/",H982,FIND("/",H982)+1)-FIND("/",H982)-1)),VALUE(LEFT(H982,FIND("/",H982)-1)))+IFERROR(TIMEVALUE(TRIM(MID(H982,FIND(" ",H982)+1,20))),0),0)))</f>
        <v/>
      </c>
      <c r="K982" s="256">
        <f>IF(I982=0,0,INT(I982))</f>
        <v/>
      </c>
      <c r="L982" s="257">
        <f>IF(OR(I982=0,J982=0),0,ROUND((J982-I982)*24,2))</f>
        <v/>
      </c>
      <c r="M982" s="254">
        <f>IFERROR(TRIM(MID(A982,FIND("@",SUBSTITUTE(A982,"(","@",LEN(A982)-LEN(SUBSTITUTE(A982,"(",""))))+1,FIND(")",A982,FIND("@",SUBSTITUTE(A982,"(","@",LEN(A982)-LEN(SUBSTITUTE(A982,"(","")))))-FIND("@",SUBSTITUTE(A982,"(","@",LEN(A982)-LEN(SUBSTITUTE(A982,"(",""))))-1)),"")</f>
        <v/>
      </c>
      <c r="N982" s="254">
        <f>IF(A982="","",IF(LEFT(TRIM(A982),5)="Leave","Leave",IF(OR(ISNUMBER(SEARCH("public holiday",A982)),ISNUMBER(SEARCH("Purple",E982))),"Public holiday","Event")))</f>
        <v/>
      </c>
    </row>
    <row r="983">
      <c r="G983" s="254">
        <f>IF(C983="","",IF(ISNUMBER(C983),C983,IF(ISNUMBER(VALUE(LEFT(TRIM(C983),1))),TRIM(C983),TRIM(MID(TRIM(C983),FIND(" ",TRIM(C983))+1,99)))))</f>
        <v/>
      </c>
      <c r="H983" s="254">
        <f>IF(D983="","",IF(ISNUMBER(D983),D983,IF(ISNUMBER(VALUE(LEFT(TRIM(D983),1))),TRIM(D983),TRIM(MID(TRIM(D983),FIND(" ",TRIM(D983))+1,99)))))</f>
        <v/>
      </c>
      <c r="I983" s="255">
        <f>IF(G983="",0,IF(ISNUMBER(G983),G983,IFERROR(DATE(VALUE(MID(G983,FIND("/",G983,FIND("/",G983)+1)+1,4)),VALUE(MID(G983,FIND("/",G983)+1,FIND("/",G983,FIND("/",G983)+1)-FIND("/",G983)-1)),VALUE(LEFT(G983,FIND("/",G983)-1)))+IFERROR(TIMEVALUE(TRIM(MID(G983,FIND(" ",G983)+1,20))),0),0)))</f>
        <v/>
      </c>
      <c r="J983" s="255">
        <f>IF(H983="",0,IF(ISNUMBER(H983),H983,IFERROR(DATE(VALUE(MID(H983,FIND("/",H983,FIND("/",H983)+1)+1,4)),VALUE(MID(H983,FIND("/",H983)+1,FIND("/",H983,FIND("/",H983)+1)-FIND("/",H983)-1)),VALUE(LEFT(H983,FIND("/",H983)-1)))+IFERROR(TIMEVALUE(TRIM(MID(H983,FIND(" ",H983)+1,20))),0),0)))</f>
        <v/>
      </c>
      <c r="K983" s="256">
        <f>IF(I983=0,0,INT(I983))</f>
        <v/>
      </c>
      <c r="L983" s="257">
        <f>IF(OR(I983=0,J983=0),0,ROUND((J983-I983)*24,2))</f>
        <v/>
      </c>
      <c r="M983" s="254">
        <f>IFERROR(TRIM(MID(A983,FIND("@",SUBSTITUTE(A983,"(","@",LEN(A983)-LEN(SUBSTITUTE(A983,"(",""))))+1,FIND(")",A983,FIND("@",SUBSTITUTE(A983,"(","@",LEN(A983)-LEN(SUBSTITUTE(A983,"(","")))))-FIND("@",SUBSTITUTE(A983,"(","@",LEN(A983)-LEN(SUBSTITUTE(A983,"(",""))))-1)),"")</f>
        <v/>
      </c>
      <c r="N983" s="254">
        <f>IF(A983="","",IF(LEFT(TRIM(A983),5)="Leave","Leave",IF(OR(ISNUMBER(SEARCH("public holiday",A983)),ISNUMBER(SEARCH("Purple",E983))),"Public holiday","Event")))</f>
        <v/>
      </c>
    </row>
    <row r="984">
      <c r="G984" s="254">
        <f>IF(C984="","",IF(ISNUMBER(C984),C984,IF(ISNUMBER(VALUE(LEFT(TRIM(C984),1))),TRIM(C984),TRIM(MID(TRIM(C984),FIND(" ",TRIM(C984))+1,99)))))</f>
        <v/>
      </c>
      <c r="H984" s="254">
        <f>IF(D984="","",IF(ISNUMBER(D984),D984,IF(ISNUMBER(VALUE(LEFT(TRIM(D984),1))),TRIM(D984),TRIM(MID(TRIM(D984),FIND(" ",TRIM(D984))+1,99)))))</f>
        <v/>
      </c>
      <c r="I984" s="255">
        <f>IF(G984="",0,IF(ISNUMBER(G984),G984,IFERROR(DATE(VALUE(MID(G984,FIND("/",G984,FIND("/",G984)+1)+1,4)),VALUE(MID(G984,FIND("/",G984)+1,FIND("/",G984,FIND("/",G984)+1)-FIND("/",G984)-1)),VALUE(LEFT(G984,FIND("/",G984)-1)))+IFERROR(TIMEVALUE(TRIM(MID(G984,FIND(" ",G984)+1,20))),0),0)))</f>
        <v/>
      </c>
      <c r="J984" s="255">
        <f>IF(H984="",0,IF(ISNUMBER(H984),H984,IFERROR(DATE(VALUE(MID(H984,FIND("/",H984,FIND("/",H984)+1)+1,4)),VALUE(MID(H984,FIND("/",H984)+1,FIND("/",H984,FIND("/",H984)+1)-FIND("/",H984)-1)),VALUE(LEFT(H984,FIND("/",H984)-1)))+IFERROR(TIMEVALUE(TRIM(MID(H984,FIND(" ",H984)+1,20))),0),0)))</f>
        <v/>
      </c>
      <c r="K984" s="256">
        <f>IF(I984=0,0,INT(I984))</f>
        <v/>
      </c>
      <c r="L984" s="257">
        <f>IF(OR(I984=0,J984=0),0,ROUND((J984-I984)*24,2))</f>
        <v/>
      </c>
      <c r="M984" s="254">
        <f>IFERROR(TRIM(MID(A984,FIND("@",SUBSTITUTE(A984,"(","@",LEN(A984)-LEN(SUBSTITUTE(A984,"(",""))))+1,FIND(")",A984,FIND("@",SUBSTITUTE(A984,"(","@",LEN(A984)-LEN(SUBSTITUTE(A984,"(","")))))-FIND("@",SUBSTITUTE(A984,"(","@",LEN(A984)-LEN(SUBSTITUTE(A984,"(",""))))-1)),"")</f>
        <v/>
      </c>
      <c r="N984" s="254">
        <f>IF(A984="","",IF(LEFT(TRIM(A984),5)="Leave","Leave",IF(OR(ISNUMBER(SEARCH("public holiday",A984)),ISNUMBER(SEARCH("Purple",E984))),"Public holiday","Event")))</f>
        <v/>
      </c>
    </row>
    <row r="985">
      <c r="G985" s="254">
        <f>IF(C985="","",IF(ISNUMBER(C985),C985,IF(ISNUMBER(VALUE(LEFT(TRIM(C985),1))),TRIM(C985),TRIM(MID(TRIM(C985),FIND(" ",TRIM(C985))+1,99)))))</f>
        <v/>
      </c>
      <c r="H985" s="254">
        <f>IF(D985="","",IF(ISNUMBER(D985),D985,IF(ISNUMBER(VALUE(LEFT(TRIM(D985),1))),TRIM(D985),TRIM(MID(TRIM(D985),FIND(" ",TRIM(D985))+1,99)))))</f>
        <v/>
      </c>
      <c r="I985" s="255">
        <f>IF(G985="",0,IF(ISNUMBER(G985),G985,IFERROR(DATE(VALUE(MID(G985,FIND("/",G985,FIND("/",G985)+1)+1,4)),VALUE(MID(G985,FIND("/",G985)+1,FIND("/",G985,FIND("/",G985)+1)-FIND("/",G985)-1)),VALUE(LEFT(G985,FIND("/",G985)-1)))+IFERROR(TIMEVALUE(TRIM(MID(G985,FIND(" ",G985)+1,20))),0),0)))</f>
        <v/>
      </c>
      <c r="J985" s="255">
        <f>IF(H985="",0,IF(ISNUMBER(H985),H985,IFERROR(DATE(VALUE(MID(H985,FIND("/",H985,FIND("/",H985)+1)+1,4)),VALUE(MID(H985,FIND("/",H985)+1,FIND("/",H985,FIND("/",H985)+1)-FIND("/",H985)-1)),VALUE(LEFT(H985,FIND("/",H985)-1)))+IFERROR(TIMEVALUE(TRIM(MID(H985,FIND(" ",H985)+1,20))),0),0)))</f>
        <v/>
      </c>
      <c r="K985" s="256">
        <f>IF(I985=0,0,INT(I985))</f>
        <v/>
      </c>
      <c r="L985" s="257">
        <f>IF(OR(I985=0,J985=0),0,ROUND((J985-I985)*24,2))</f>
        <v/>
      </c>
      <c r="M985" s="254">
        <f>IFERROR(TRIM(MID(A985,FIND("@",SUBSTITUTE(A985,"(","@",LEN(A985)-LEN(SUBSTITUTE(A985,"(",""))))+1,FIND(")",A985,FIND("@",SUBSTITUTE(A985,"(","@",LEN(A985)-LEN(SUBSTITUTE(A985,"(","")))))-FIND("@",SUBSTITUTE(A985,"(","@",LEN(A985)-LEN(SUBSTITUTE(A985,"(",""))))-1)),"")</f>
        <v/>
      </c>
      <c r="N985" s="254">
        <f>IF(A985="","",IF(LEFT(TRIM(A985),5)="Leave","Leave",IF(OR(ISNUMBER(SEARCH("public holiday",A985)),ISNUMBER(SEARCH("Purple",E985))),"Public holiday","Event")))</f>
        <v/>
      </c>
    </row>
    <row r="986">
      <c r="G986" s="254">
        <f>IF(C986="","",IF(ISNUMBER(C986),C986,IF(ISNUMBER(VALUE(LEFT(TRIM(C986),1))),TRIM(C986),TRIM(MID(TRIM(C986),FIND(" ",TRIM(C986))+1,99)))))</f>
        <v/>
      </c>
      <c r="H986" s="254">
        <f>IF(D986="","",IF(ISNUMBER(D986),D986,IF(ISNUMBER(VALUE(LEFT(TRIM(D986),1))),TRIM(D986),TRIM(MID(TRIM(D986),FIND(" ",TRIM(D986))+1,99)))))</f>
        <v/>
      </c>
      <c r="I986" s="255">
        <f>IF(G986="",0,IF(ISNUMBER(G986),G986,IFERROR(DATE(VALUE(MID(G986,FIND("/",G986,FIND("/",G986)+1)+1,4)),VALUE(MID(G986,FIND("/",G986)+1,FIND("/",G986,FIND("/",G986)+1)-FIND("/",G986)-1)),VALUE(LEFT(G986,FIND("/",G986)-1)))+IFERROR(TIMEVALUE(TRIM(MID(G986,FIND(" ",G986)+1,20))),0),0)))</f>
        <v/>
      </c>
      <c r="J986" s="255">
        <f>IF(H986="",0,IF(ISNUMBER(H986),H986,IFERROR(DATE(VALUE(MID(H986,FIND("/",H986,FIND("/",H986)+1)+1,4)),VALUE(MID(H986,FIND("/",H986)+1,FIND("/",H986,FIND("/",H986)+1)-FIND("/",H986)-1)),VALUE(LEFT(H986,FIND("/",H986)-1)))+IFERROR(TIMEVALUE(TRIM(MID(H986,FIND(" ",H986)+1,20))),0),0)))</f>
        <v/>
      </c>
      <c r="K986" s="256">
        <f>IF(I986=0,0,INT(I986))</f>
        <v/>
      </c>
      <c r="L986" s="257">
        <f>IF(OR(I986=0,J986=0),0,ROUND((J986-I986)*24,2))</f>
        <v/>
      </c>
      <c r="M986" s="254">
        <f>IFERROR(TRIM(MID(A986,FIND("@",SUBSTITUTE(A986,"(","@",LEN(A986)-LEN(SUBSTITUTE(A986,"(",""))))+1,FIND(")",A986,FIND("@",SUBSTITUTE(A986,"(","@",LEN(A986)-LEN(SUBSTITUTE(A986,"(","")))))-FIND("@",SUBSTITUTE(A986,"(","@",LEN(A986)-LEN(SUBSTITUTE(A986,"(",""))))-1)),"")</f>
        <v/>
      </c>
      <c r="N986" s="254">
        <f>IF(A986="","",IF(LEFT(TRIM(A986),5)="Leave","Leave",IF(OR(ISNUMBER(SEARCH("public holiday",A986)),ISNUMBER(SEARCH("Purple",E986))),"Public holiday","Event")))</f>
        <v/>
      </c>
    </row>
    <row r="987">
      <c r="G987" s="254">
        <f>IF(C987="","",IF(ISNUMBER(C987),C987,IF(ISNUMBER(VALUE(LEFT(TRIM(C987),1))),TRIM(C987),TRIM(MID(TRIM(C987),FIND(" ",TRIM(C987))+1,99)))))</f>
        <v/>
      </c>
      <c r="H987" s="254">
        <f>IF(D987="","",IF(ISNUMBER(D987),D987,IF(ISNUMBER(VALUE(LEFT(TRIM(D987),1))),TRIM(D987),TRIM(MID(TRIM(D987),FIND(" ",TRIM(D987))+1,99)))))</f>
        <v/>
      </c>
      <c r="I987" s="255">
        <f>IF(G987="",0,IF(ISNUMBER(G987),G987,IFERROR(DATE(VALUE(MID(G987,FIND("/",G987,FIND("/",G987)+1)+1,4)),VALUE(MID(G987,FIND("/",G987)+1,FIND("/",G987,FIND("/",G987)+1)-FIND("/",G987)-1)),VALUE(LEFT(G987,FIND("/",G987)-1)))+IFERROR(TIMEVALUE(TRIM(MID(G987,FIND(" ",G987)+1,20))),0),0)))</f>
        <v/>
      </c>
      <c r="J987" s="255">
        <f>IF(H987="",0,IF(ISNUMBER(H987),H987,IFERROR(DATE(VALUE(MID(H987,FIND("/",H987,FIND("/",H987)+1)+1,4)),VALUE(MID(H987,FIND("/",H987)+1,FIND("/",H987,FIND("/",H987)+1)-FIND("/",H987)-1)),VALUE(LEFT(H987,FIND("/",H987)-1)))+IFERROR(TIMEVALUE(TRIM(MID(H987,FIND(" ",H987)+1,20))),0),0)))</f>
        <v/>
      </c>
      <c r="K987" s="256">
        <f>IF(I987=0,0,INT(I987))</f>
        <v/>
      </c>
      <c r="L987" s="257">
        <f>IF(OR(I987=0,J987=0),0,ROUND((J987-I987)*24,2))</f>
        <v/>
      </c>
      <c r="M987" s="254">
        <f>IFERROR(TRIM(MID(A987,FIND("@",SUBSTITUTE(A987,"(","@",LEN(A987)-LEN(SUBSTITUTE(A987,"(",""))))+1,FIND(")",A987,FIND("@",SUBSTITUTE(A987,"(","@",LEN(A987)-LEN(SUBSTITUTE(A987,"(","")))))-FIND("@",SUBSTITUTE(A987,"(","@",LEN(A987)-LEN(SUBSTITUTE(A987,"(",""))))-1)),"")</f>
        <v/>
      </c>
      <c r="N987" s="254">
        <f>IF(A987="","",IF(LEFT(TRIM(A987),5)="Leave","Leave",IF(OR(ISNUMBER(SEARCH("public holiday",A987)),ISNUMBER(SEARCH("Purple",E987))),"Public holiday","Event")))</f>
        <v/>
      </c>
    </row>
    <row r="988">
      <c r="G988" s="254">
        <f>IF(C988="","",IF(ISNUMBER(C988),C988,IF(ISNUMBER(VALUE(LEFT(TRIM(C988),1))),TRIM(C988),TRIM(MID(TRIM(C988),FIND(" ",TRIM(C988))+1,99)))))</f>
        <v/>
      </c>
      <c r="H988" s="254">
        <f>IF(D988="","",IF(ISNUMBER(D988),D988,IF(ISNUMBER(VALUE(LEFT(TRIM(D988),1))),TRIM(D988),TRIM(MID(TRIM(D988),FIND(" ",TRIM(D988))+1,99)))))</f>
        <v/>
      </c>
      <c r="I988" s="255">
        <f>IF(G988="",0,IF(ISNUMBER(G988),G988,IFERROR(DATE(VALUE(MID(G988,FIND("/",G988,FIND("/",G988)+1)+1,4)),VALUE(MID(G988,FIND("/",G988)+1,FIND("/",G988,FIND("/",G988)+1)-FIND("/",G988)-1)),VALUE(LEFT(G988,FIND("/",G988)-1)))+IFERROR(TIMEVALUE(TRIM(MID(G988,FIND(" ",G988)+1,20))),0),0)))</f>
        <v/>
      </c>
      <c r="J988" s="255">
        <f>IF(H988="",0,IF(ISNUMBER(H988),H988,IFERROR(DATE(VALUE(MID(H988,FIND("/",H988,FIND("/",H988)+1)+1,4)),VALUE(MID(H988,FIND("/",H988)+1,FIND("/",H988,FIND("/",H988)+1)-FIND("/",H988)-1)),VALUE(LEFT(H988,FIND("/",H988)-1)))+IFERROR(TIMEVALUE(TRIM(MID(H988,FIND(" ",H988)+1,20))),0),0)))</f>
        <v/>
      </c>
      <c r="K988" s="256">
        <f>IF(I988=0,0,INT(I988))</f>
        <v/>
      </c>
      <c r="L988" s="257">
        <f>IF(OR(I988=0,J988=0),0,ROUND((J988-I988)*24,2))</f>
        <v/>
      </c>
      <c r="M988" s="254">
        <f>IFERROR(TRIM(MID(A988,FIND("@",SUBSTITUTE(A988,"(","@",LEN(A988)-LEN(SUBSTITUTE(A988,"(",""))))+1,FIND(")",A988,FIND("@",SUBSTITUTE(A988,"(","@",LEN(A988)-LEN(SUBSTITUTE(A988,"(","")))))-FIND("@",SUBSTITUTE(A988,"(","@",LEN(A988)-LEN(SUBSTITUTE(A988,"(",""))))-1)),"")</f>
        <v/>
      </c>
      <c r="N988" s="254">
        <f>IF(A988="","",IF(LEFT(TRIM(A988),5)="Leave","Leave",IF(OR(ISNUMBER(SEARCH("public holiday",A988)),ISNUMBER(SEARCH("Purple",E988))),"Public holiday","Event")))</f>
        <v/>
      </c>
    </row>
    <row r="989">
      <c r="G989" s="254">
        <f>IF(C989="","",IF(ISNUMBER(C989),C989,IF(ISNUMBER(VALUE(LEFT(TRIM(C989),1))),TRIM(C989),TRIM(MID(TRIM(C989),FIND(" ",TRIM(C989))+1,99)))))</f>
        <v/>
      </c>
      <c r="H989" s="254">
        <f>IF(D989="","",IF(ISNUMBER(D989),D989,IF(ISNUMBER(VALUE(LEFT(TRIM(D989),1))),TRIM(D989),TRIM(MID(TRIM(D989),FIND(" ",TRIM(D989))+1,99)))))</f>
        <v/>
      </c>
      <c r="I989" s="255">
        <f>IF(G989="",0,IF(ISNUMBER(G989),G989,IFERROR(DATE(VALUE(MID(G989,FIND("/",G989,FIND("/",G989)+1)+1,4)),VALUE(MID(G989,FIND("/",G989)+1,FIND("/",G989,FIND("/",G989)+1)-FIND("/",G989)-1)),VALUE(LEFT(G989,FIND("/",G989)-1)))+IFERROR(TIMEVALUE(TRIM(MID(G989,FIND(" ",G989)+1,20))),0),0)))</f>
        <v/>
      </c>
      <c r="J989" s="255">
        <f>IF(H989="",0,IF(ISNUMBER(H989),H989,IFERROR(DATE(VALUE(MID(H989,FIND("/",H989,FIND("/",H989)+1)+1,4)),VALUE(MID(H989,FIND("/",H989)+1,FIND("/",H989,FIND("/",H989)+1)-FIND("/",H989)-1)),VALUE(LEFT(H989,FIND("/",H989)-1)))+IFERROR(TIMEVALUE(TRIM(MID(H989,FIND(" ",H989)+1,20))),0),0)))</f>
        <v/>
      </c>
      <c r="K989" s="256">
        <f>IF(I989=0,0,INT(I989))</f>
        <v/>
      </c>
      <c r="L989" s="257">
        <f>IF(OR(I989=0,J989=0),0,ROUND((J989-I989)*24,2))</f>
        <v/>
      </c>
      <c r="M989" s="254">
        <f>IFERROR(TRIM(MID(A989,FIND("@",SUBSTITUTE(A989,"(","@",LEN(A989)-LEN(SUBSTITUTE(A989,"(",""))))+1,FIND(")",A989,FIND("@",SUBSTITUTE(A989,"(","@",LEN(A989)-LEN(SUBSTITUTE(A989,"(","")))))-FIND("@",SUBSTITUTE(A989,"(","@",LEN(A989)-LEN(SUBSTITUTE(A989,"(",""))))-1)),"")</f>
        <v/>
      </c>
      <c r="N989" s="254">
        <f>IF(A989="","",IF(LEFT(TRIM(A989),5)="Leave","Leave",IF(OR(ISNUMBER(SEARCH("public holiday",A989)),ISNUMBER(SEARCH("Purple",E989))),"Public holiday","Event")))</f>
        <v/>
      </c>
    </row>
    <row r="990">
      <c r="G990" s="254">
        <f>IF(C990="","",IF(ISNUMBER(C990),C990,IF(ISNUMBER(VALUE(LEFT(TRIM(C990),1))),TRIM(C990),TRIM(MID(TRIM(C990),FIND(" ",TRIM(C990))+1,99)))))</f>
        <v/>
      </c>
      <c r="H990" s="254">
        <f>IF(D990="","",IF(ISNUMBER(D990),D990,IF(ISNUMBER(VALUE(LEFT(TRIM(D990),1))),TRIM(D990),TRIM(MID(TRIM(D990),FIND(" ",TRIM(D990))+1,99)))))</f>
        <v/>
      </c>
      <c r="I990" s="255">
        <f>IF(G990="",0,IF(ISNUMBER(G990),G990,IFERROR(DATE(VALUE(MID(G990,FIND("/",G990,FIND("/",G990)+1)+1,4)),VALUE(MID(G990,FIND("/",G990)+1,FIND("/",G990,FIND("/",G990)+1)-FIND("/",G990)-1)),VALUE(LEFT(G990,FIND("/",G990)-1)))+IFERROR(TIMEVALUE(TRIM(MID(G990,FIND(" ",G990)+1,20))),0),0)))</f>
        <v/>
      </c>
      <c r="J990" s="255">
        <f>IF(H990="",0,IF(ISNUMBER(H990),H990,IFERROR(DATE(VALUE(MID(H990,FIND("/",H990,FIND("/",H990)+1)+1,4)),VALUE(MID(H990,FIND("/",H990)+1,FIND("/",H990,FIND("/",H990)+1)-FIND("/",H990)-1)),VALUE(LEFT(H990,FIND("/",H990)-1)))+IFERROR(TIMEVALUE(TRIM(MID(H990,FIND(" ",H990)+1,20))),0),0)))</f>
        <v/>
      </c>
      <c r="K990" s="256">
        <f>IF(I990=0,0,INT(I990))</f>
        <v/>
      </c>
      <c r="L990" s="257">
        <f>IF(OR(I990=0,J990=0),0,ROUND((J990-I990)*24,2))</f>
        <v/>
      </c>
      <c r="M990" s="254">
        <f>IFERROR(TRIM(MID(A990,FIND("@",SUBSTITUTE(A990,"(","@",LEN(A990)-LEN(SUBSTITUTE(A990,"(",""))))+1,FIND(")",A990,FIND("@",SUBSTITUTE(A990,"(","@",LEN(A990)-LEN(SUBSTITUTE(A990,"(","")))))-FIND("@",SUBSTITUTE(A990,"(","@",LEN(A990)-LEN(SUBSTITUTE(A990,"(",""))))-1)),"")</f>
        <v/>
      </c>
      <c r="N990" s="254">
        <f>IF(A990="","",IF(LEFT(TRIM(A990),5)="Leave","Leave",IF(OR(ISNUMBER(SEARCH("public holiday",A990)),ISNUMBER(SEARCH("Purple",E990))),"Public holiday","Event")))</f>
        <v/>
      </c>
    </row>
    <row r="991">
      <c r="G991" s="254">
        <f>IF(C991="","",IF(ISNUMBER(C991),C991,IF(ISNUMBER(VALUE(LEFT(TRIM(C991),1))),TRIM(C991),TRIM(MID(TRIM(C991),FIND(" ",TRIM(C991))+1,99)))))</f>
        <v/>
      </c>
      <c r="H991" s="254">
        <f>IF(D991="","",IF(ISNUMBER(D991),D991,IF(ISNUMBER(VALUE(LEFT(TRIM(D991),1))),TRIM(D991),TRIM(MID(TRIM(D991),FIND(" ",TRIM(D991))+1,99)))))</f>
        <v/>
      </c>
      <c r="I991" s="255">
        <f>IF(G991="",0,IF(ISNUMBER(G991),G991,IFERROR(DATE(VALUE(MID(G991,FIND("/",G991,FIND("/",G991)+1)+1,4)),VALUE(MID(G991,FIND("/",G991)+1,FIND("/",G991,FIND("/",G991)+1)-FIND("/",G991)-1)),VALUE(LEFT(G991,FIND("/",G991)-1)))+IFERROR(TIMEVALUE(TRIM(MID(G991,FIND(" ",G991)+1,20))),0),0)))</f>
        <v/>
      </c>
      <c r="J991" s="255">
        <f>IF(H991="",0,IF(ISNUMBER(H991),H991,IFERROR(DATE(VALUE(MID(H991,FIND("/",H991,FIND("/",H991)+1)+1,4)),VALUE(MID(H991,FIND("/",H991)+1,FIND("/",H991,FIND("/",H991)+1)-FIND("/",H991)-1)),VALUE(LEFT(H991,FIND("/",H991)-1)))+IFERROR(TIMEVALUE(TRIM(MID(H991,FIND(" ",H991)+1,20))),0),0)))</f>
        <v/>
      </c>
      <c r="K991" s="256">
        <f>IF(I991=0,0,INT(I991))</f>
        <v/>
      </c>
      <c r="L991" s="257">
        <f>IF(OR(I991=0,J991=0),0,ROUND((J991-I991)*24,2))</f>
        <v/>
      </c>
      <c r="M991" s="254">
        <f>IFERROR(TRIM(MID(A991,FIND("@",SUBSTITUTE(A991,"(","@",LEN(A991)-LEN(SUBSTITUTE(A991,"(",""))))+1,FIND(")",A991,FIND("@",SUBSTITUTE(A991,"(","@",LEN(A991)-LEN(SUBSTITUTE(A991,"(","")))))-FIND("@",SUBSTITUTE(A991,"(","@",LEN(A991)-LEN(SUBSTITUTE(A991,"(",""))))-1)),"")</f>
        <v/>
      </c>
      <c r="N991" s="254">
        <f>IF(A991="","",IF(LEFT(TRIM(A991),5)="Leave","Leave",IF(OR(ISNUMBER(SEARCH("public holiday",A991)),ISNUMBER(SEARCH("Purple",E991))),"Public holiday","Event")))</f>
        <v/>
      </c>
    </row>
    <row r="992">
      <c r="G992" s="254">
        <f>IF(C992="","",IF(ISNUMBER(C992),C992,IF(ISNUMBER(VALUE(LEFT(TRIM(C992),1))),TRIM(C992),TRIM(MID(TRIM(C992),FIND(" ",TRIM(C992))+1,99)))))</f>
        <v/>
      </c>
      <c r="H992" s="254">
        <f>IF(D992="","",IF(ISNUMBER(D992),D992,IF(ISNUMBER(VALUE(LEFT(TRIM(D992),1))),TRIM(D992),TRIM(MID(TRIM(D992),FIND(" ",TRIM(D992))+1,99)))))</f>
        <v/>
      </c>
      <c r="I992" s="255">
        <f>IF(G992="",0,IF(ISNUMBER(G992),G992,IFERROR(DATE(VALUE(MID(G992,FIND("/",G992,FIND("/",G992)+1)+1,4)),VALUE(MID(G992,FIND("/",G992)+1,FIND("/",G992,FIND("/",G992)+1)-FIND("/",G992)-1)),VALUE(LEFT(G992,FIND("/",G992)-1)))+IFERROR(TIMEVALUE(TRIM(MID(G992,FIND(" ",G992)+1,20))),0),0)))</f>
        <v/>
      </c>
      <c r="J992" s="255">
        <f>IF(H992="",0,IF(ISNUMBER(H992),H992,IFERROR(DATE(VALUE(MID(H992,FIND("/",H992,FIND("/",H992)+1)+1,4)),VALUE(MID(H992,FIND("/",H992)+1,FIND("/",H992,FIND("/",H992)+1)-FIND("/",H992)-1)),VALUE(LEFT(H992,FIND("/",H992)-1)))+IFERROR(TIMEVALUE(TRIM(MID(H992,FIND(" ",H992)+1,20))),0),0)))</f>
        <v/>
      </c>
      <c r="K992" s="256">
        <f>IF(I992=0,0,INT(I992))</f>
        <v/>
      </c>
      <c r="L992" s="257">
        <f>IF(OR(I992=0,J992=0),0,ROUND((J992-I992)*24,2))</f>
        <v/>
      </c>
      <c r="M992" s="254">
        <f>IFERROR(TRIM(MID(A992,FIND("@",SUBSTITUTE(A992,"(","@",LEN(A992)-LEN(SUBSTITUTE(A992,"(",""))))+1,FIND(")",A992,FIND("@",SUBSTITUTE(A992,"(","@",LEN(A992)-LEN(SUBSTITUTE(A992,"(","")))))-FIND("@",SUBSTITUTE(A992,"(","@",LEN(A992)-LEN(SUBSTITUTE(A992,"(",""))))-1)),"")</f>
        <v/>
      </c>
      <c r="N992" s="254">
        <f>IF(A992="","",IF(LEFT(TRIM(A992),5)="Leave","Leave",IF(OR(ISNUMBER(SEARCH("public holiday",A992)),ISNUMBER(SEARCH("Purple",E992))),"Public holiday","Event")))</f>
        <v/>
      </c>
    </row>
    <row r="993">
      <c r="G993" s="254">
        <f>IF(C993="","",IF(ISNUMBER(C993),C993,IF(ISNUMBER(VALUE(LEFT(TRIM(C993),1))),TRIM(C993),TRIM(MID(TRIM(C993),FIND(" ",TRIM(C993))+1,99)))))</f>
        <v/>
      </c>
      <c r="H993" s="254">
        <f>IF(D993="","",IF(ISNUMBER(D993),D993,IF(ISNUMBER(VALUE(LEFT(TRIM(D993),1))),TRIM(D993),TRIM(MID(TRIM(D993),FIND(" ",TRIM(D993))+1,99)))))</f>
        <v/>
      </c>
      <c r="I993" s="255">
        <f>IF(G993="",0,IF(ISNUMBER(G993),G993,IFERROR(DATE(VALUE(MID(G993,FIND("/",G993,FIND("/",G993)+1)+1,4)),VALUE(MID(G993,FIND("/",G993)+1,FIND("/",G993,FIND("/",G993)+1)-FIND("/",G993)-1)),VALUE(LEFT(G993,FIND("/",G993)-1)))+IFERROR(TIMEVALUE(TRIM(MID(G993,FIND(" ",G993)+1,20))),0),0)))</f>
        <v/>
      </c>
      <c r="J993" s="255">
        <f>IF(H993="",0,IF(ISNUMBER(H993),H993,IFERROR(DATE(VALUE(MID(H993,FIND("/",H993,FIND("/",H993)+1)+1,4)),VALUE(MID(H993,FIND("/",H993)+1,FIND("/",H993,FIND("/",H993)+1)-FIND("/",H993)-1)),VALUE(LEFT(H993,FIND("/",H993)-1)))+IFERROR(TIMEVALUE(TRIM(MID(H993,FIND(" ",H993)+1,20))),0),0)))</f>
        <v/>
      </c>
      <c r="K993" s="256">
        <f>IF(I993=0,0,INT(I993))</f>
        <v/>
      </c>
      <c r="L993" s="257">
        <f>IF(OR(I993=0,J993=0),0,ROUND((J993-I993)*24,2))</f>
        <v/>
      </c>
      <c r="M993" s="254">
        <f>IFERROR(TRIM(MID(A993,FIND("@",SUBSTITUTE(A993,"(","@",LEN(A993)-LEN(SUBSTITUTE(A993,"(",""))))+1,FIND(")",A993,FIND("@",SUBSTITUTE(A993,"(","@",LEN(A993)-LEN(SUBSTITUTE(A993,"(","")))))-FIND("@",SUBSTITUTE(A993,"(","@",LEN(A993)-LEN(SUBSTITUTE(A993,"(",""))))-1)),"")</f>
        <v/>
      </c>
      <c r="N993" s="254">
        <f>IF(A993="","",IF(LEFT(TRIM(A993),5)="Leave","Leave",IF(OR(ISNUMBER(SEARCH("public holiday",A993)),ISNUMBER(SEARCH("Purple",E993))),"Public holiday","Event")))</f>
        <v/>
      </c>
    </row>
    <row r="994">
      <c r="G994" s="254">
        <f>IF(C994="","",IF(ISNUMBER(C994),C994,IF(ISNUMBER(VALUE(LEFT(TRIM(C994),1))),TRIM(C994),TRIM(MID(TRIM(C994),FIND(" ",TRIM(C994))+1,99)))))</f>
        <v/>
      </c>
      <c r="H994" s="254">
        <f>IF(D994="","",IF(ISNUMBER(D994),D994,IF(ISNUMBER(VALUE(LEFT(TRIM(D994),1))),TRIM(D994),TRIM(MID(TRIM(D994),FIND(" ",TRIM(D994))+1,99)))))</f>
        <v/>
      </c>
      <c r="I994" s="255">
        <f>IF(G994="",0,IF(ISNUMBER(G994),G994,IFERROR(DATE(VALUE(MID(G994,FIND("/",G994,FIND("/",G994)+1)+1,4)),VALUE(MID(G994,FIND("/",G994)+1,FIND("/",G994,FIND("/",G994)+1)-FIND("/",G994)-1)),VALUE(LEFT(G994,FIND("/",G994)-1)))+IFERROR(TIMEVALUE(TRIM(MID(G994,FIND(" ",G994)+1,20))),0),0)))</f>
        <v/>
      </c>
      <c r="J994" s="255">
        <f>IF(H994="",0,IF(ISNUMBER(H994),H994,IFERROR(DATE(VALUE(MID(H994,FIND("/",H994,FIND("/",H994)+1)+1,4)),VALUE(MID(H994,FIND("/",H994)+1,FIND("/",H994,FIND("/",H994)+1)-FIND("/",H994)-1)),VALUE(LEFT(H994,FIND("/",H994)-1)))+IFERROR(TIMEVALUE(TRIM(MID(H994,FIND(" ",H994)+1,20))),0),0)))</f>
        <v/>
      </c>
      <c r="K994" s="256">
        <f>IF(I994=0,0,INT(I994))</f>
        <v/>
      </c>
      <c r="L994" s="257">
        <f>IF(OR(I994=0,J994=0),0,ROUND((J994-I994)*24,2))</f>
        <v/>
      </c>
      <c r="M994" s="254">
        <f>IFERROR(TRIM(MID(A994,FIND("@",SUBSTITUTE(A994,"(","@",LEN(A994)-LEN(SUBSTITUTE(A994,"(",""))))+1,FIND(")",A994,FIND("@",SUBSTITUTE(A994,"(","@",LEN(A994)-LEN(SUBSTITUTE(A994,"(","")))))-FIND("@",SUBSTITUTE(A994,"(","@",LEN(A994)-LEN(SUBSTITUTE(A994,"(",""))))-1)),"")</f>
        <v/>
      </c>
      <c r="N994" s="254">
        <f>IF(A994="","",IF(LEFT(TRIM(A994),5)="Leave","Leave",IF(OR(ISNUMBER(SEARCH("public holiday",A994)),ISNUMBER(SEARCH("Purple",E994))),"Public holiday","Event")))</f>
        <v/>
      </c>
    </row>
    <row r="995">
      <c r="G995" s="254">
        <f>IF(C995="","",IF(ISNUMBER(C995),C995,IF(ISNUMBER(VALUE(LEFT(TRIM(C995),1))),TRIM(C995),TRIM(MID(TRIM(C995),FIND(" ",TRIM(C995))+1,99)))))</f>
        <v/>
      </c>
      <c r="H995" s="254">
        <f>IF(D995="","",IF(ISNUMBER(D995),D995,IF(ISNUMBER(VALUE(LEFT(TRIM(D995),1))),TRIM(D995),TRIM(MID(TRIM(D995),FIND(" ",TRIM(D995))+1,99)))))</f>
        <v/>
      </c>
      <c r="I995" s="255">
        <f>IF(G995="",0,IF(ISNUMBER(G995),G995,IFERROR(DATE(VALUE(MID(G995,FIND("/",G995,FIND("/",G995)+1)+1,4)),VALUE(MID(G995,FIND("/",G995)+1,FIND("/",G995,FIND("/",G995)+1)-FIND("/",G995)-1)),VALUE(LEFT(G995,FIND("/",G995)-1)))+IFERROR(TIMEVALUE(TRIM(MID(G995,FIND(" ",G995)+1,20))),0),0)))</f>
        <v/>
      </c>
      <c r="J995" s="255">
        <f>IF(H995="",0,IF(ISNUMBER(H995),H995,IFERROR(DATE(VALUE(MID(H995,FIND("/",H995,FIND("/",H995)+1)+1,4)),VALUE(MID(H995,FIND("/",H995)+1,FIND("/",H995,FIND("/",H995)+1)-FIND("/",H995)-1)),VALUE(LEFT(H995,FIND("/",H995)-1)))+IFERROR(TIMEVALUE(TRIM(MID(H995,FIND(" ",H995)+1,20))),0),0)))</f>
        <v/>
      </c>
      <c r="K995" s="256">
        <f>IF(I995=0,0,INT(I995))</f>
        <v/>
      </c>
      <c r="L995" s="257">
        <f>IF(OR(I995=0,J995=0),0,ROUND((J995-I995)*24,2))</f>
        <v/>
      </c>
      <c r="M995" s="254">
        <f>IFERROR(TRIM(MID(A995,FIND("@",SUBSTITUTE(A995,"(","@",LEN(A995)-LEN(SUBSTITUTE(A995,"(",""))))+1,FIND(")",A995,FIND("@",SUBSTITUTE(A995,"(","@",LEN(A995)-LEN(SUBSTITUTE(A995,"(","")))))-FIND("@",SUBSTITUTE(A995,"(","@",LEN(A995)-LEN(SUBSTITUTE(A995,"(",""))))-1)),"")</f>
        <v/>
      </c>
      <c r="N995" s="254">
        <f>IF(A995="","",IF(LEFT(TRIM(A995),5)="Leave","Leave",IF(OR(ISNUMBER(SEARCH("public holiday",A995)),ISNUMBER(SEARCH("Purple",E995))),"Public holiday","Event")))</f>
        <v/>
      </c>
    </row>
    <row r="996">
      <c r="G996" s="254">
        <f>IF(C996="","",IF(ISNUMBER(C996),C996,IF(ISNUMBER(VALUE(LEFT(TRIM(C996),1))),TRIM(C996),TRIM(MID(TRIM(C996),FIND(" ",TRIM(C996))+1,99)))))</f>
        <v/>
      </c>
      <c r="H996" s="254">
        <f>IF(D996="","",IF(ISNUMBER(D996),D996,IF(ISNUMBER(VALUE(LEFT(TRIM(D996),1))),TRIM(D996),TRIM(MID(TRIM(D996),FIND(" ",TRIM(D996))+1,99)))))</f>
        <v/>
      </c>
      <c r="I996" s="255">
        <f>IF(G996="",0,IF(ISNUMBER(G996),G996,IFERROR(DATE(VALUE(MID(G996,FIND("/",G996,FIND("/",G996)+1)+1,4)),VALUE(MID(G996,FIND("/",G996)+1,FIND("/",G996,FIND("/",G996)+1)-FIND("/",G996)-1)),VALUE(LEFT(G996,FIND("/",G996)-1)))+IFERROR(TIMEVALUE(TRIM(MID(G996,FIND(" ",G996)+1,20))),0),0)))</f>
        <v/>
      </c>
      <c r="J996" s="255">
        <f>IF(H996="",0,IF(ISNUMBER(H996),H996,IFERROR(DATE(VALUE(MID(H996,FIND("/",H996,FIND("/",H996)+1)+1,4)),VALUE(MID(H996,FIND("/",H996)+1,FIND("/",H996,FIND("/",H996)+1)-FIND("/",H996)-1)),VALUE(LEFT(H996,FIND("/",H996)-1)))+IFERROR(TIMEVALUE(TRIM(MID(H996,FIND(" ",H996)+1,20))),0),0)))</f>
        <v/>
      </c>
      <c r="K996" s="256">
        <f>IF(I996=0,0,INT(I996))</f>
        <v/>
      </c>
      <c r="L996" s="257">
        <f>IF(OR(I996=0,J996=0),0,ROUND((J996-I996)*24,2))</f>
        <v/>
      </c>
      <c r="M996" s="254">
        <f>IFERROR(TRIM(MID(A996,FIND("@",SUBSTITUTE(A996,"(","@",LEN(A996)-LEN(SUBSTITUTE(A996,"(",""))))+1,FIND(")",A996,FIND("@",SUBSTITUTE(A996,"(","@",LEN(A996)-LEN(SUBSTITUTE(A996,"(","")))))-FIND("@",SUBSTITUTE(A996,"(","@",LEN(A996)-LEN(SUBSTITUTE(A996,"(",""))))-1)),"")</f>
        <v/>
      </c>
      <c r="N996" s="254">
        <f>IF(A996="","",IF(LEFT(TRIM(A996),5)="Leave","Leave",IF(OR(ISNUMBER(SEARCH("public holiday",A996)),ISNUMBER(SEARCH("Purple",E996))),"Public holiday","Event")))</f>
        <v/>
      </c>
    </row>
    <row r="997">
      <c r="G997" s="254">
        <f>IF(C997="","",IF(ISNUMBER(C997),C997,IF(ISNUMBER(VALUE(LEFT(TRIM(C997),1))),TRIM(C997),TRIM(MID(TRIM(C997),FIND(" ",TRIM(C997))+1,99)))))</f>
        <v/>
      </c>
      <c r="H997" s="254">
        <f>IF(D997="","",IF(ISNUMBER(D997),D997,IF(ISNUMBER(VALUE(LEFT(TRIM(D997),1))),TRIM(D997),TRIM(MID(TRIM(D997),FIND(" ",TRIM(D997))+1,99)))))</f>
        <v/>
      </c>
      <c r="I997" s="255">
        <f>IF(G997="",0,IF(ISNUMBER(G997),G997,IFERROR(DATE(VALUE(MID(G997,FIND("/",G997,FIND("/",G997)+1)+1,4)),VALUE(MID(G997,FIND("/",G997)+1,FIND("/",G997,FIND("/",G997)+1)-FIND("/",G997)-1)),VALUE(LEFT(G997,FIND("/",G997)-1)))+IFERROR(TIMEVALUE(TRIM(MID(G997,FIND(" ",G997)+1,20))),0),0)))</f>
        <v/>
      </c>
      <c r="J997" s="255">
        <f>IF(H997="",0,IF(ISNUMBER(H997),H997,IFERROR(DATE(VALUE(MID(H997,FIND("/",H997,FIND("/",H997)+1)+1,4)),VALUE(MID(H997,FIND("/",H997)+1,FIND("/",H997,FIND("/",H997)+1)-FIND("/",H997)-1)),VALUE(LEFT(H997,FIND("/",H997)-1)))+IFERROR(TIMEVALUE(TRIM(MID(H997,FIND(" ",H997)+1,20))),0),0)))</f>
        <v/>
      </c>
      <c r="K997" s="256">
        <f>IF(I997=0,0,INT(I997))</f>
        <v/>
      </c>
      <c r="L997" s="257">
        <f>IF(OR(I997=0,J997=0),0,ROUND((J997-I997)*24,2))</f>
        <v/>
      </c>
      <c r="M997" s="254">
        <f>IFERROR(TRIM(MID(A997,FIND("@",SUBSTITUTE(A997,"(","@",LEN(A997)-LEN(SUBSTITUTE(A997,"(",""))))+1,FIND(")",A997,FIND("@",SUBSTITUTE(A997,"(","@",LEN(A997)-LEN(SUBSTITUTE(A997,"(","")))))-FIND("@",SUBSTITUTE(A997,"(","@",LEN(A997)-LEN(SUBSTITUTE(A997,"(",""))))-1)),"")</f>
        <v/>
      </c>
      <c r="N997" s="254">
        <f>IF(A997="","",IF(LEFT(TRIM(A997),5)="Leave","Leave",IF(OR(ISNUMBER(SEARCH("public holiday",A997)),ISNUMBER(SEARCH("Purple",E997))),"Public holiday","Event")))</f>
        <v/>
      </c>
    </row>
    <row r="998">
      <c r="G998" s="254">
        <f>IF(C998="","",IF(ISNUMBER(C998),C998,IF(ISNUMBER(VALUE(LEFT(TRIM(C998),1))),TRIM(C998),TRIM(MID(TRIM(C998),FIND(" ",TRIM(C998))+1,99)))))</f>
        <v/>
      </c>
      <c r="H998" s="254">
        <f>IF(D998="","",IF(ISNUMBER(D998),D998,IF(ISNUMBER(VALUE(LEFT(TRIM(D998),1))),TRIM(D998),TRIM(MID(TRIM(D998),FIND(" ",TRIM(D998))+1,99)))))</f>
        <v/>
      </c>
      <c r="I998" s="255">
        <f>IF(G998="",0,IF(ISNUMBER(G998),G998,IFERROR(DATE(VALUE(MID(G998,FIND("/",G998,FIND("/",G998)+1)+1,4)),VALUE(MID(G998,FIND("/",G998)+1,FIND("/",G998,FIND("/",G998)+1)-FIND("/",G998)-1)),VALUE(LEFT(G998,FIND("/",G998)-1)))+IFERROR(TIMEVALUE(TRIM(MID(G998,FIND(" ",G998)+1,20))),0),0)))</f>
        <v/>
      </c>
      <c r="J998" s="255">
        <f>IF(H998="",0,IF(ISNUMBER(H998),H998,IFERROR(DATE(VALUE(MID(H998,FIND("/",H998,FIND("/",H998)+1)+1,4)),VALUE(MID(H998,FIND("/",H998)+1,FIND("/",H998,FIND("/",H998)+1)-FIND("/",H998)-1)),VALUE(LEFT(H998,FIND("/",H998)-1)))+IFERROR(TIMEVALUE(TRIM(MID(H998,FIND(" ",H998)+1,20))),0),0)))</f>
        <v/>
      </c>
      <c r="K998" s="256">
        <f>IF(I998=0,0,INT(I998))</f>
        <v/>
      </c>
      <c r="L998" s="257">
        <f>IF(OR(I998=0,J998=0),0,ROUND((J998-I998)*24,2))</f>
        <v/>
      </c>
      <c r="M998" s="254">
        <f>IFERROR(TRIM(MID(A998,FIND("@",SUBSTITUTE(A998,"(","@",LEN(A998)-LEN(SUBSTITUTE(A998,"(",""))))+1,FIND(")",A998,FIND("@",SUBSTITUTE(A998,"(","@",LEN(A998)-LEN(SUBSTITUTE(A998,"(","")))))-FIND("@",SUBSTITUTE(A998,"(","@",LEN(A998)-LEN(SUBSTITUTE(A998,"(",""))))-1)),"")</f>
        <v/>
      </c>
      <c r="N998" s="254">
        <f>IF(A998="","",IF(LEFT(TRIM(A998),5)="Leave","Leave",IF(OR(ISNUMBER(SEARCH("public holiday",A998)),ISNUMBER(SEARCH("Purple",E998))),"Public holiday","Event")))</f>
        <v/>
      </c>
    </row>
    <row r="999">
      <c r="G999" s="254">
        <f>IF(C999="","",IF(ISNUMBER(C999),C999,IF(ISNUMBER(VALUE(LEFT(TRIM(C999),1))),TRIM(C999),TRIM(MID(TRIM(C999),FIND(" ",TRIM(C999))+1,99)))))</f>
        <v/>
      </c>
      <c r="H999" s="254">
        <f>IF(D999="","",IF(ISNUMBER(D999),D999,IF(ISNUMBER(VALUE(LEFT(TRIM(D999),1))),TRIM(D999),TRIM(MID(TRIM(D999),FIND(" ",TRIM(D999))+1,99)))))</f>
        <v/>
      </c>
      <c r="I999" s="255">
        <f>IF(G999="",0,IF(ISNUMBER(G999),G999,IFERROR(DATE(VALUE(MID(G999,FIND("/",G999,FIND("/",G999)+1)+1,4)),VALUE(MID(G999,FIND("/",G999)+1,FIND("/",G999,FIND("/",G999)+1)-FIND("/",G999)-1)),VALUE(LEFT(G999,FIND("/",G999)-1)))+IFERROR(TIMEVALUE(TRIM(MID(G999,FIND(" ",G999)+1,20))),0),0)))</f>
        <v/>
      </c>
      <c r="J999" s="255">
        <f>IF(H999="",0,IF(ISNUMBER(H999),H999,IFERROR(DATE(VALUE(MID(H999,FIND("/",H999,FIND("/",H999)+1)+1,4)),VALUE(MID(H999,FIND("/",H999)+1,FIND("/",H999,FIND("/",H999)+1)-FIND("/",H999)-1)),VALUE(LEFT(H999,FIND("/",H999)-1)))+IFERROR(TIMEVALUE(TRIM(MID(H999,FIND(" ",H999)+1,20))),0),0)))</f>
        <v/>
      </c>
      <c r="K999" s="256">
        <f>IF(I999=0,0,INT(I999))</f>
        <v/>
      </c>
      <c r="L999" s="257">
        <f>IF(OR(I999=0,J999=0),0,ROUND((J999-I999)*24,2))</f>
        <v/>
      </c>
      <c r="M999" s="254">
        <f>IFERROR(TRIM(MID(A999,FIND("@",SUBSTITUTE(A999,"(","@",LEN(A999)-LEN(SUBSTITUTE(A999,"(",""))))+1,FIND(")",A999,FIND("@",SUBSTITUTE(A999,"(","@",LEN(A999)-LEN(SUBSTITUTE(A999,"(","")))))-FIND("@",SUBSTITUTE(A999,"(","@",LEN(A999)-LEN(SUBSTITUTE(A999,"(",""))))-1)),"")</f>
        <v/>
      </c>
      <c r="N999" s="254">
        <f>IF(A999="","",IF(LEFT(TRIM(A999),5)="Leave","Leave",IF(OR(ISNUMBER(SEARCH("public holiday",A999)),ISNUMBER(SEARCH("Purple",E999))),"Public holiday","Event")))</f>
        <v/>
      </c>
    </row>
    <row r="1000">
      <c r="G1000" s="254">
        <f>IF(C1000="","",IF(ISNUMBER(C1000),C1000,IF(ISNUMBER(VALUE(LEFT(TRIM(C1000),1))),TRIM(C1000),TRIM(MID(TRIM(C1000),FIND(" ",TRIM(C1000))+1,99)))))</f>
        <v/>
      </c>
      <c r="H1000" s="254">
        <f>IF(D1000="","",IF(ISNUMBER(D1000),D1000,IF(ISNUMBER(VALUE(LEFT(TRIM(D1000),1))),TRIM(D1000),TRIM(MID(TRIM(D1000),FIND(" ",TRIM(D1000))+1,99)))))</f>
        <v/>
      </c>
      <c r="I1000" s="255">
        <f>IF(G1000="",0,IF(ISNUMBER(G1000),G1000,IFERROR(DATE(VALUE(MID(G1000,FIND("/",G1000,FIND("/",G1000)+1)+1,4)),VALUE(MID(G1000,FIND("/",G1000)+1,FIND("/",G1000,FIND("/",G1000)+1)-FIND("/",G1000)-1)),VALUE(LEFT(G1000,FIND("/",G1000)-1)))+IFERROR(TIMEVALUE(TRIM(MID(G1000,FIND(" ",G1000)+1,20))),0),0)))</f>
        <v/>
      </c>
      <c r="J1000" s="255">
        <f>IF(H1000="",0,IF(ISNUMBER(H1000),H1000,IFERROR(DATE(VALUE(MID(H1000,FIND("/",H1000,FIND("/",H1000)+1)+1,4)),VALUE(MID(H1000,FIND("/",H1000)+1,FIND("/",H1000,FIND("/",H1000)+1)-FIND("/",H1000)-1)),VALUE(LEFT(H1000,FIND("/",H1000)-1)))+IFERROR(TIMEVALUE(TRIM(MID(H1000,FIND(" ",H1000)+1,20))),0),0)))</f>
        <v/>
      </c>
      <c r="K1000" s="256">
        <f>IF(I1000=0,0,INT(I1000))</f>
        <v/>
      </c>
      <c r="L1000" s="257">
        <f>IF(OR(I1000=0,J1000=0),0,ROUND((J1000-I1000)*24,2))</f>
        <v/>
      </c>
      <c r="M1000" s="254">
        <f>IFERROR(TRIM(MID(A1000,FIND("@",SUBSTITUTE(A1000,"(","@",LEN(A1000)-LEN(SUBSTITUTE(A1000,"(",""))))+1,FIND(")",A1000,FIND("@",SUBSTITUTE(A1000,"(","@",LEN(A1000)-LEN(SUBSTITUTE(A1000,"(","")))))-FIND("@",SUBSTITUTE(A1000,"(","@",LEN(A1000)-LEN(SUBSTITUTE(A1000,"(",""))))-1)),"")</f>
        <v/>
      </c>
      <c r="N1000" s="254">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58" t="n"/>
      <c r="H2" s="258" t="n"/>
    </row>
    <row r="3" ht="15" customHeight="1">
      <c r="G3" s="258" t="n"/>
      <c r="H3" s="258" t="n"/>
    </row>
    <row r="4" ht="15" customHeight="1">
      <c r="G4" s="258" t="n"/>
      <c r="H4" s="258" t="n"/>
    </row>
    <row r="5" ht="15" customHeight="1">
      <c r="G5" s="258" t="n"/>
      <c r="H5" s="258" t="n"/>
    </row>
    <row r="6" ht="15" customHeight="1">
      <c r="G6" s="258" t="n"/>
      <c r="H6" s="258" t="n"/>
    </row>
    <row r="7" ht="15" customHeight="1">
      <c r="G7" s="258" t="n"/>
      <c r="H7" s="258" t="n"/>
    </row>
    <row r="8" ht="15" customHeight="1">
      <c r="G8" s="258" t="n"/>
      <c r="H8" s="258" t="n"/>
    </row>
    <row r="9" ht="15" customHeight="1">
      <c r="G9" s="258" t="n"/>
      <c r="H9" s="258" t="n"/>
    </row>
    <row r="10" ht="15" customHeight="1">
      <c r="G10" s="258" t="n"/>
      <c r="H10" s="258" t="n"/>
    </row>
    <row r="11" ht="15" customHeight="1">
      <c r="G11" s="258" t="n"/>
      <c r="H11" s="258" t="n"/>
    </row>
    <row r="12" ht="15" customHeight="1">
      <c r="G12" s="258" t="n"/>
      <c r="H12" s="258" t="n"/>
    </row>
    <row r="13" ht="15" customHeight="1">
      <c r="G13" s="258" t="n"/>
      <c r="H13" s="258" t="n"/>
    </row>
    <row r="14" ht="15" customHeight="1">
      <c r="G14" s="258" t="n"/>
      <c r="H14" s="258" t="n"/>
    </row>
    <row r="15" ht="15" customHeight="1">
      <c r="G15" s="258" t="n"/>
      <c r="H15" s="258" t="n"/>
    </row>
    <row r="16" ht="15" customHeight="1">
      <c r="A16" s="56" t="n"/>
      <c r="B16" s="56" t="n"/>
      <c r="C16" s="56" t="n"/>
      <c r="D16" s="56" t="n"/>
      <c r="E16" s="56" t="n"/>
      <c r="F16" s="56" t="n"/>
      <c r="G16" s="259" t="n"/>
      <c r="H16" s="259" t="n"/>
    </row>
  </sheetData>
  <pageMargins left="0.7" right="0.7" top="0.75" bottom="0.75"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60" t="n"/>
    </row>
    <row r="2" ht="15" customHeight="1">
      <c r="A2" t="inlineStr">
        <is>
          <t>Backpay for Rates</t>
        </is>
      </c>
      <c r="D2" s="260" t="n"/>
    </row>
    <row r="3" ht="15" customHeight="1">
      <c r="B3" t="inlineStr">
        <is>
          <t>Hours</t>
        </is>
      </c>
      <c r="C3" t="inlineStr">
        <is>
          <t>Old Rate</t>
        </is>
      </c>
      <c r="D3" s="260" t="n"/>
      <c r="F3" t="inlineStr">
        <is>
          <t>New Rate</t>
        </is>
      </c>
      <c r="I3" t="inlineStr">
        <is>
          <t>Backpay total</t>
        </is>
      </c>
    </row>
    <row r="4" ht="15" customHeight="1">
      <c r="D4" s="260" t="n"/>
      <c r="I4" s="261" t="n"/>
    </row>
    <row r="5" ht="15" customHeight="1">
      <c r="D5" s="260" t="n"/>
      <c r="I5" s="261" t="n"/>
    </row>
    <row r="6" ht="15" customHeight="1">
      <c r="D6" s="260" t="n"/>
      <c r="I6" s="261" t="n"/>
    </row>
    <row r="7" ht="15" customHeight="1">
      <c r="D7" s="260" t="n"/>
      <c r="I7" s="261" t="n"/>
    </row>
    <row r="8" ht="15" customHeight="1">
      <c r="D8" s="260" t="n"/>
    </row>
    <row r="9" ht="15" customHeight="1">
      <c r="D9" s="260" t="n"/>
    </row>
    <row r="10" ht="15" customHeight="1">
      <c r="D10" s="260" t="n"/>
    </row>
  </sheetData>
  <pageMargins left="0.7" right="0.7" top="0.75" bottom="0.75"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62" t="n"/>
      <c r="C20" s="262" t="n"/>
      <c r="D20" s="263"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62" t="n"/>
      <c r="C38" s="262" t="n"/>
      <c r="D38" s="263"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62" t="n"/>
      <c r="C51" s="262" t="n"/>
      <c r="D51" s="263"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62" t="n"/>
      <c r="C64" s="262" t="n"/>
      <c r="D64" s="263"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62" t="n"/>
      <c r="C78" s="262" t="n"/>
      <c r="D78" s="263"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62" t="n"/>
      <c r="C92" s="262" t="n"/>
      <c r="D92" s="263"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62" t="n"/>
      <c r="C107" s="262" t="n"/>
      <c r="D107" s="263"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62" t="n"/>
      <c r="C123" s="262" t="n"/>
      <c r="D123" s="263"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64" t="n">
        <v>46200</v>
      </c>
      <c r="C2" s="264" t="n">
        <v>46213</v>
      </c>
      <c r="D2" s="79">
        <f>TEXT(B2,"ddd")</f>
        <v/>
      </c>
      <c r="E2" s="79">
        <f>TEXT(C2,"ddd")</f>
        <v/>
      </c>
      <c r="G2" s="265" t="inlineStr">
        <is>
          <t>Casual loading</t>
        </is>
      </c>
      <c r="H2" s="82" t="n">
        <v>0.25</v>
      </c>
      <c r="I2" s="195" t="inlineStr">
        <is>
          <t>Casual Pay Rate (col D) includes this loading. Base (col C) = D / (1 + loading)</t>
        </is>
      </c>
      <c r="K2" s="61" t="inlineStr">
        <is>
          <t>Super Cap FY2027</t>
        </is>
      </c>
      <c r="L2" s="266" t="n">
        <v>32500</v>
      </c>
      <c r="M2" s="266">
        <f>L2/26</f>
        <v/>
      </c>
    </row>
    <row r="3" ht="15" customHeight="1">
      <c r="A3" s="79" t="n">
        <v>2</v>
      </c>
      <c r="B3" s="264">
        <f>B2+14</f>
        <v/>
      </c>
      <c r="C3" s="264">
        <f>C2+14</f>
        <v/>
      </c>
      <c r="D3" s="79">
        <f>TEXT(B3,"ddd")</f>
        <v/>
      </c>
      <c r="E3" s="79">
        <f>TEXT(C3,"ddd")</f>
        <v/>
      </c>
      <c r="G3" s="265" t="inlineStr">
        <is>
          <t>Overtime T1.25</t>
        </is>
      </c>
      <c r="H3" s="84" t="n">
        <v>1.25</v>
      </c>
      <c r="I3" s="195" t="inlineStr">
        <is>
          <t>Multiplier for column I</t>
        </is>
      </c>
      <c r="K3" s="61" t="n"/>
      <c r="L3" s="266" t="n"/>
      <c r="M3" s="266" t="inlineStr">
        <is>
          <t>Per fortnight over 26 payruns</t>
        </is>
      </c>
    </row>
    <row r="4" ht="15" customHeight="1">
      <c r="A4" s="79" t="n">
        <v>3</v>
      </c>
      <c r="B4" s="264">
        <f>B3+14</f>
        <v/>
      </c>
      <c r="C4" s="264">
        <f>C3+14</f>
        <v/>
      </c>
      <c r="D4" s="79">
        <f>TEXT(B4,"ddd")</f>
        <v/>
      </c>
      <c r="E4" s="79">
        <f>TEXT(C4,"ddd")</f>
        <v/>
      </c>
      <c r="G4" s="265" t="inlineStr">
        <is>
          <t>Overtime T1.5</t>
        </is>
      </c>
      <c r="H4" s="84" t="n">
        <v>1.5</v>
      </c>
      <c r="I4" s="195" t="inlineStr">
        <is>
          <t>Multiplier for column J</t>
        </is>
      </c>
      <c r="K4" s="61" t="inlineStr">
        <is>
          <t>DL SG</t>
        </is>
      </c>
      <c r="L4" s="266">
        <f>249.48</f>
        <v/>
      </c>
      <c r="M4" s="266" t="n"/>
      <c r="O4" s="267" t="n"/>
    </row>
    <row r="5" ht="15" customHeight="1">
      <c r="A5" s="79" t="n">
        <v>4</v>
      </c>
      <c r="B5" s="264">
        <f>B4+14</f>
        <v/>
      </c>
      <c r="C5" s="264">
        <f>C4+14</f>
        <v/>
      </c>
      <c r="D5" s="79">
        <f>TEXT(B5,"ddd")</f>
        <v/>
      </c>
      <c r="E5" s="79">
        <f>TEXT(C5,"ddd")</f>
        <v/>
      </c>
      <c r="G5" s="265" t="inlineStr">
        <is>
          <t>Overtime T1.75</t>
        </is>
      </c>
      <c r="H5" s="84" t="n">
        <v>1.75</v>
      </c>
      <c r="I5" s="195" t="inlineStr">
        <is>
          <t>Multiplier for column K</t>
        </is>
      </c>
      <c r="K5" s="61" t="inlineStr">
        <is>
          <t>DL Superannuation EC</t>
        </is>
      </c>
      <c r="L5" s="268">
        <f>M2-L4</f>
        <v/>
      </c>
      <c r="M5" s="266" t="n"/>
    </row>
    <row r="6" ht="15" customHeight="1">
      <c r="A6" s="79" t="n">
        <v>5</v>
      </c>
      <c r="B6" s="264">
        <f>B5+14</f>
        <v/>
      </c>
      <c r="C6" s="264">
        <f>C5+14</f>
        <v/>
      </c>
      <c r="D6" s="79">
        <f>TEXT(B6,"ddd")</f>
        <v/>
      </c>
      <c r="E6" s="79">
        <f>TEXT(C6,"ddd")</f>
        <v/>
      </c>
      <c r="G6" s="265" t="inlineStr">
        <is>
          <t>Overtime T2.0</t>
        </is>
      </c>
      <c r="H6" s="84" t="n">
        <v>2</v>
      </c>
      <c r="I6" s="195" t="inlineStr">
        <is>
          <t>Multiplier for column L</t>
        </is>
      </c>
      <c r="K6" s="61" t="n"/>
      <c r="L6" s="269">
        <f>SUM(L4:L5)</f>
        <v/>
      </c>
      <c r="M6" s="61" t="n"/>
    </row>
    <row r="7" ht="15" customHeight="1">
      <c r="A7" s="79" t="n">
        <v>6</v>
      </c>
      <c r="B7" s="264">
        <f>B6+14</f>
        <v/>
      </c>
      <c r="C7" s="264">
        <f>C6+14</f>
        <v/>
      </c>
      <c r="D7" s="79">
        <f>TEXT(B7,"ddd")</f>
        <v/>
      </c>
      <c r="E7" s="79">
        <f>TEXT(C7,"ddd")</f>
        <v/>
      </c>
      <c r="G7" s="265" t="inlineStr">
        <is>
          <t>Overtime T2.25</t>
        </is>
      </c>
      <c r="H7" s="84" t="n">
        <v>2.25</v>
      </c>
      <c r="I7" s="195" t="inlineStr">
        <is>
          <t>Multiplier for column M</t>
        </is>
      </c>
      <c r="K7" s="61" t="inlineStr">
        <is>
          <t>PL SG</t>
        </is>
      </c>
      <c r="L7" s="266" t="n">
        <v>151.35</v>
      </c>
      <c r="M7" s="266" t="n"/>
    </row>
    <row r="8" ht="15" customHeight="1">
      <c r="A8" s="79" t="n">
        <v>7</v>
      </c>
      <c r="B8" s="264">
        <f>B7+14</f>
        <v/>
      </c>
      <c r="C8" s="264">
        <f>C7+14</f>
        <v/>
      </c>
      <c r="D8" s="79">
        <f>TEXT(B8,"ddd")</f>
        <v/>
      </c>
      <c r="E8" s="79">
        <f>TEXT(C8,"ddd")</f>
        <v/>
      </c>
      <c r="G8" s="265"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68">
        <f>M2-L7</f>
        <v/>
      </c>
      <c r="M8" s="266" t="n"/>
    </row>
    <row r="9" ht="15" customHeight="1">
      <c r="A9" s="79" t="n">
        <v>8</v>
      </c>
      <c r="B9" s="264">
        <f>B8+14</f>
        <v/>
      </c>
      <c r="C9" s="264">
        <f>C8+14</f>
        <v/>
      </c>
      <c r="D9" s="79">
        <f>TEXT(B9,"ddd")</f>
        <v/>
      </c>
      <c r="E9" s="79">
        <f>TEXT(C9,"ddd")</f>
        <v/>
      </c>
      <c r="G9" s="265" t="inlineStr">
        <is>
          <t>Super Guarantee rate</t>
        </is>
      </c>
      <c r="H9" s="270" t="n">
        <v>0.12</v>
      </c>
      <c r="I9" s="195" t="inlineStr">
        <is>
          <t>SG 12%. From 1 July 2026 (Payday Super) SG is worked out on qualifying earnings: ordinary time pay plus salary-sacrificed amounts. Overtime is excluded.</t>
        </is>
      </c>
      <c r="K9" s="61" t="n"/>
      <c r="L9" s="271">
        <f>SUM(L7:L8)</f>
        <v/>
      </c>
      <c r="M9" s="271" t="n"/>
    </row>
    <row r="10" ht="15" customHeight="1">
      <c r="A10" s="79" t="n">
        <v>9</v>
      </c>
      <c r="B10" s="264">
        <f>B9+14</f>
        <v/>
      </c>
      <c r="C10" s="264">
        <f>C9+14</f>
        <v/>
      </c>
      <c r="D10" s="79">
        <f>TEXT(B10,"ddd")</f>
        <v/>
      </c>
      <c r="E10" s="79">
        <f>TEXT(C10,"ddd")</f>
        <v/>
      </c>
      <c r="G10" s="272" t="inlineStr">
        <is>
          <t>Include Bonus/Allowance (col U) in super?</t>
        </is>
      </c>
      <c r="H10" s="273" t="inlineStr">
        <is>
          <t>Yes</t>
        </is>
      </c>
      <c r="I10" s="195" t="inlineStr">
        <is>
          <t>Yes = bonuses/allowances count as qualifying earnings (most do). Reimbursements do not - reverse those in Super Adj (col Y).</t>
        </is>
      </c>
    </row>
    <row r="11" ht="15" customHeight="1">
      <c r="A11" s="79" t="n">
        <v>10</v>
      </c>
      <c r="B11" s="264">
        <f>B10+14</f>
        <v/>
      </c>
      <c r="C11" s="264">
        <f>C10+14</f>
        <v/>
      </c>
      <c r="D11" s="79">
        <f>TEXT(B11,"ddd")</f>
        <v/>
      </c>
      <c r="E11" s="79">
        <f>TEXT(C11,"ddd")</f>
        <v/>
      </c>
      <c r="G11" s="252" t="n"/>
      <c r="H11" s="252" t="n"/>
    </row>
    <row r="12" ht="15" customHeight="1">
      <c r="A12" s="79" t="n">
        <v>11</v>
      </c>
      <c r="B12" s="264">
        <f>B11+14</f>
        <v/>
      </c>
      <c r="C12" s="264">
        <f>C11+14</f>
        <v/>
      </c>
      <c r="D12" s="79">
        <f>TEXT(B12,"ddd")</f>
        <v/>
      </c>
      <c r="E12" s="79">
        <f>TEXT(C12,"ddd")</f>
        <v/>
      </c>
      <c r="G12" s="265" t="inlineStr">
        <is>
          <t>Employment types</t>
        </is>
      </c>
      <c r="H12" s="252" t="n"/>
    </row>
    <row r="13" ht="15" customHeight="1">
      <c r="A13" s="79" t="n">
        <v>12</v>
      </c>
      <c r="B13" s="264">
        <f>B12+14</f>
        <v/>
      </c>
      <c r="C13" s="264">
        <f>C12+14</f>
        <v/>
      </c>
      <c r="D13" s="79">
        <f>TEXT(B13,"ddd")</f>
        <v/>
      </c>
      <c r="E13" s="79">
        <f>TEXT(C13,"ddd")</f>
        <v/>
      </c>
      <c r="G13" s="274" t="inlineStr">
        <is>
          <t>Casual</t>
        </is>
      </c>
      <c r="H13" s="252" t="n"/>
    </row>
    <row r="14" ht="15" customHeight="1">
      <c r="A14" s="79" t="n">
        <v>13</v>
      </c>
      <c r="B14" s="264">
        <f>B13+14</f>
        <v/>
      </c>
      <c r="C14" s="264">
        <f>C13+14</f>
        <v/>
      </c>
      <c r="D14" s="79">
        <f>TEXT(B14,"ddd")</f>
        <v/>
      </c>
      <c r="E14" s="79">
        <f>TEXT(C14,"ddd")</f>
        <v/>
      </c>
      <c r="G14" s="274" t="inlineStr">
        <is>
          <t>Full-time</t>
        </is>
      </c>
      <c r="H14" s="252" t="n"/>
    </row>
    <row r="15" ht="15" customHeight="1">
      <c r="A15" s="79" t="n">
        <v>14</v>
      </c>
      <c r="B15" s="264">
        <f>B14+14</f>
        <v/>
      </c>
      <c r="C15" s="264">
        <f>C14+14</f>
        <v/>
      </c>
      <c r="D15" s="79">
        <f>TEXT(B15,"ddd")</f>
        <v/>
      </c>
      <c r="E15" s="79">
        <f>TEXT(C15,"ddd")</f>
        <v/>
      </c>
      <c r="G15" s="274" t="inlineStr">
        <is>
          <t>Part-time</t>
        </is>
      </c>
      <c r="H15" s="252" t="n"/>
    </row>
    <row r="16" ht="15" customHeight="1">
      <c r="A16" s="79" t="n">
        <v>15</v>
      </c>
      <c r="B16" s="264">
        <f>B15+14</f>
        <v/>
      </c>
      <c r="C16" s="264">
        <f>C15+14</f>
        <v/>
      </c>
      <c r="D16" s="79">
        <f>TEXT(B16,"ddd")</f>
        <v/>
      </c>
      <c r="E16" s="79">
        <f>TEXT(C16,"ddd")</f>
        <v/>
      </c>
      <c r="G16" s="252" t="n"/>
      <c r="H16" s="252" t="n"/>
    </row>
    <row r="17" ht="15" customHeight="1">
      <c r="A17" s="79" t="n">
        <v>16</v>
      </c>
      <c r="B17" s="264">
        <f>B16+14</f>
        <v/>
      </c>
      <c r="C17" s="264">
        <f>C16+14</f>
        <v/>
      </c>
      <c r="D17" s="79">
        <f>TEXT(B17,"ddd")</f>
        <v/>
      </c>
      <c r="E17" s="79">
        <f>TEXT(C17,"ddd")</f>
        <v/>
      </c>
      <c r="G17" s="265" t="inlineStr">
        <is>
          <t>Tax scales</t>
        </is>
      </c>
      <c r="H17" s="252" t="n"/>
    </row>
    <row r="18" ht="15" customHeight="1">
      <c r="A18" s="79" t="n">
        <v>17</v>
      </c>
      <c r="B18" s="264">
        <f>B17+14</f>
        <v/>
      </c>
      <c r="C18" s="264">
        <f>C17+14</f>
        <v/>
      </c>
      <c r="D18" s="79">
        <f>TEXT(B18,"ddd")</f>
        <v/>
      </c>
      <c r="E18" s="79">
        <f>TEXT(C18,"ddd")</f>
        <v/>
      </c>
      <c r="G18" s="274" t="inlineStr">
        <is>
          <t>2 - Tax-free threshold claimed</t>
        </is>
      </c>
      <c r="H18" s="252" t="n"/>
    </row>
    <row r="19" ht="15" customHeight="1">
      <c r="A19" s="79" t="n">
        <v>18</v>
      </c>
      <c r="B19" s="264">
        <f>B18+14</f>
        <v/>
      </c>
      <c r="C19" s="264">
        <f>C18+14</f>
        <v/>
      </c>
      <c r="D19" s="79">
        <f>TEXT(B19,"ddd")</f>
        <v/>
      </c>
      <c r="E19" s="79">
        <f>TEXT(C19,"ddd")</f>
        <v/>
      </c>
      <c r="G19" s="274" t="inlineStr">
        <is>
          <t>1 - No tax-free threshold</t>
        </is>
      </c>
      <c r="H19" s="252" t="n"/>
    </row>
    <row r="20" ht="15" customHeight="1">
      <c r="A20" s="79" t="n">
        <v>19</v>
      </c>
      <c r="B20" s="264">
        <f>B19+14</f>
        <v/>
      </c>
      <c r="C20" s="264">
        <f>C19+14</f>
        <v/>
      </c>
      <c r="D20" s="79">
        <f>TEXT(B20,"ddd")</f>
        <v/>
      </c>
      <c r="E20" s="79">
        <f>TEXT(C20,"ddd")</f>
        <v/>
      </c>
      <c r="G20" s="274" t="inlineStr">
        <is>
          <t>3 - Foreign resident</t>
        </is>
      </c>
      <c r="H20" s="252" t="n"/>
    </row>
    <row r="21" ht="15" customHeight="1">
      <c r="A21" s="79" t="n">
        <v>20</v>
      </c>
      <c r="B21" s="264">
        <f>B20+14</f>
        <v/>
      </c>
      <c r="C21" s="264">
        <f>C20+14</f>
        <v/>
      </c>
      <c r="D21" s="79">
        <f>TEXT(B21,"ddd")</f>
        <v/>
      </c>
      <c r="E21" s="79">
        <f>TEXT(C21,"ddd")</f>
        <v/>
      </c>
      <c r="G21" s="275" t="inlineStr">
        <is>
          <t>4 - No TFN provided (47%)</t>
        </is>
      </c>
      <c r="H21" s="252" t="n"/>
    </row>
    <row r="22" ht="15" customHeight="1">
      <c r="A22" s="79" t="n">
        <v>21</v>
      </c>
      <c r="B22" s="264">
        <f>B21+14</f>
        <v/>
      </c>
      <c r="C22" s="264">
        <f>C21+14</f>
        <v/>
      </c>
      <c r="D22" s="79">
        <f>TEXT(B22,"ddd")</f>
        <v/>
      </c>
      <c r="E22" s="79">
        <f>TEXT(C22,"ddd")</f>
        <v/>
      </c>
      <c r="G22" s="252" t="n"/>
      <c r="H22" s="252" t="n"/>
    </row>
    <row r="23" ht="15" customHeight="1">
      <c r="A23" s="79" t="n">
        <v>22</v>
      </c>
      <c r="B23" s="264">
        <f>B22+14</f>
        <v/>
      </c>
      <c r="C23" s="264">
        <f>C22+14</f>
        <v/>
      </c>
      <c r="D23" s="79">
        <f>TEXT(B23,"ddd")</f>
        <v/>
      </c>
      <c r="E23" s="79">
        <f>TEXT(C23,"ddd")</f>
        <v/>
      </c>
      <c r="G23" s="252" t="n"/>
      <c r="H23" s="252" t="n"/>
    </row>
    <row r="24" ht="15" customHeight="1">
      <c r="A24" s="79" t="n">
        <v>23</v>
      </c>
      <c r="B24" s="264">
        <f>B23+14</f>
        <v/>
      </c>
      <c r="C24" s="264">
        <f>C23+14</f>
        <v/>
      </c>
      <c r="D24" s="79">
        <f>TEXT(B24,"ddd")</f>
        <v/>
      </c>
      <c r="E24" s="79">
        <f>TEXT(C24,"ddd")</f>
        <v/>
      </c>
      <c r="G24" s="252" t="n"/>
      <c r="H24" s="252" t="n"/>
    </row>
    <row r="25" ht="15" customHeight="1">
      <c r="A25" s="79" t="n">
        <v>24</v>
      </c>
      <c r="B25" s="264">
        <f>B24+14</f>
        <v/>
      </c>
      <c r="C25" s="264">
        <f>C24+14</f>
        <v/>
      </c>
      <c r="D25" s="79">
        <f>TEXT(B25,"ddd")</f>
        <v/>
      </c>
      <c r="E25" s="79">
        <f>TEXT(C25,"ddd")</f>
        <v/>
      </c>
      <c r="G25" s="252" t="n"/>
      <c r="H25" s="252" t="n"/>
    </row>
    <row r="26" ht="15" customHeight="1">
      <c r="A26" s="79" t="n">
        <v>25</v>
      </c>
      <c r="B26" s="264">
        <f>B25+14</f>
        <v/>
      </c>
      <c r="C26" s="264">
        <f>C25+14</f>
        <v/>
      </c>
      <c r="D26" s="79">
        <f>TEXT(B26,"ddd")</f>
        <v/>
      </c>
      <c r="E26" s="79">
        <f>TEXT(C26,"ddd")</f>
        <v/>
      </c>
      <c r="G26" s="252" t="n"/>
      <c r="H26" s="252" t="n"/>
    </row>
    <row r="27" ht="15" customHeight="1">
      <c r="A27" s="79" t="n">
        <v>26</v>
      </c>
      <c r="B27" s="264">
        <f>B26+14</f>
        <v/>
      </c>
      <c r="C27" s="264">
        <f>C26+14</f>
        <v/>
      </c>
      <c r="D27" s="79">
        <f>TEXT(B27,"ddd")</f>
        <v/>
      </c>
      <c r="E27" s="79">
        <f>TEXT(C27,"ddd")</f>
        <v/>
      </c>
      <c r="G27" s="252" t="n"/>
      <c r="H27" s="252" t="n"/>
    </row>
    <row r="28" ht="15" customHeight="1">
      <c r="A28" s="79" t="n">
        <v>27</v>
      </c>
      <c r="B28" s="264" t="n"/>
      <c r="C28" s="264" t="n"/>
      <c r="D28" s="79" t="n"/>
      <c r="E28" s="79" t="n"/>
      <c r="G28" s="252" t="n"/>
      <c r="H28" s="252" t="n"/>
    </row>
    <row r="29" ht="15" customHeight="1">
      <c r="B29" s="252" t="n"/>
      <c r="G29" s="252" t="n"/>
      <c r="H29" s="252" t="n"/>
    </row>
    <row r="55" ht="15" customHeight="1">
      <c r="B55" s="252" t="n"/>
      <c r="C55" s="252"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76" min="4" max="4"/>
  </cols>
  <sheetData>
    <row r="1" ht="20.25" customHeight="1">
      <c r="A1" s="97" t="inlineStr">
        <is>
          <t xml:space="preserve">Commbiz CTS Business Account </t>
        </is>
      </c>
      <c r="B1" s="97" t="n"/>
      <c r="C1" s="97" t="n"/>
      <c r="D1" s="277" t="n"/>
    </row>
    <row r="2" ht="15.75" customHeight="1"/>
    <row r="3" ht="15" customHeight="1">
      <c r="A3" s="99" t="inlineStr">
        <is>
          <t>Balance @ 04/12/23</t>
        </is>
      </c>
      <c r="D3" s="276" t="n">
        <v>116191.25</v>
      </c>
    </row>
    <row r="4" ht="15" customHeight="1">
      <c r="A4" s="99" t="n"/>
    </row>
    <row r="5" ht="15" customHeight="1">
      <c r="A5" t="inlineStr">
        <is>
          <t>Payroll 05/12/23</t>
        </is>
      </c>
      <c r="B5" s="252" t="n"/>
      <c r="D5" s="276" t="n">
        <v>-110882.12</v>
      </c>
    </row>
    <row r="7" ht="15" customHeight="1">
      <c r="A7" t="inlineStr">
        <is>
          <t>Payroll Tax</t>
        </is>
      </c>
      <c r="D7" s="276" t="n">
        <v>-8000</v>
      </c>
    </row>
    <row r="9" ht="15.75" customHeight="1">
      <c r="A9" s="100" t="inlineStr">
        <is>
          <t>Balance after Payments</t>
        </is>
      </c>
      <c r="B9" s="100" t="n"/>
      <c r="C9" s="100" t="n"/>
      <c r="D9" s="278">
        <f>SUM(D3:D7)</f>
        <v/>
      </c>
    </row>
    <row r="10" ht="15.75" customHeight="1"/>
    <row r="11" ht="15" customHeight="1">
      <c r="A11" t="inlineStr">
        <is>
          <t>Buffer needed in Acct</t>
        </is>
      </c>
      <c r="D11" s="276" t="n">
        <v>50000</v>
      </c>
    </row>
    <row r="13" ht="15.75" customHeight="1">
      <c r="A13" s="100" t="inlineStr">
        <is>
          <t xml:space="preserve">Amount to Transfer </t>
        </is>
      </c>
      <c r="B13" s="100" t="n"/>
      <c r="C13" s="100" t="n"/>
      <c r="D13" s="278">
        <f>D11-D9</f>
        <v/>
      </c>
    </row>
    <row r="14" ht="15.75" customHeight="1"/>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76" t="n">
        <v>122000</v>
      </c>
      <c r="P4" s="276">
        <f>+O4/1.105</f>
        <v/>
      </c>
      <c r="Q4" s="267">
        <f>+O4-P4</f>
        <v/>
      </c>
    </row>
    <row r="5" ht="15" customHeight="1">
      <c r="N5" t="inlineStr">
        <is>
          <t>Fortnightly</t>
        </is>
      </c>
      <c r="O5" s="276">
        <f>+O4/26</f>
        <v/>
      </c>
      <c r="P5" s="276">
        <f>+P4/26</f>
        <v/>
      </c>
      <c r="Q5" s="267">
        <f>+O5-P5</f>
        <v/>
      </c>
    </row>
    <row r="6" ht="15" customHeight="1">
      <c r="N6" t="inlineStr">
        <is>
          <t>Weekly</t>
        </is>
      </c>
      <c r="O6" s="276">
        <f>+O5/2</f>
        <v/>
      </c>
      <c r="P6" s="276">
        <f>+P5/2</f>
        <v/>
      </c>
      <c r="Q6" s="267">
        <f>+O6-P6</f>
        <v/>
      </c>
    </row>
    <row r="7" ht="15" customHeight="1">
      <c r="N7" t="inlineStr">
        <is>
          <t>Hourly</t>
        </is>
      </c>
      <c r="O7" s="276">
        <f>+O6/40</f>
        <v/>
      </c>
      <c r="P7" s="276">
        <f>+P6/40</f>
        <v/>
      </c>
      <c r="Q7" s="267">
        <f>+O7-P7</f>
        <v/>
      </c>
    </row>
    <row r="9" ht="15" customHeight="1">
      <c r="N9" s="99" t="inlineStr">
        <is>
          <t>Government Payment</t>
        </is>
      </c>
      <c r="O9" s="99" t="inlineStr">
        <is>
          <t>Inc Tax</t>
        </is>
      </c>
    </row>
    <row r="10" ht="15" customHeight="1">
      <c r="N10" t="inlineStr">
        <is>
          <t>Weekly</t>
        </is>
      </c>
      <c r="O10" s="276"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76">
        <f>+(P6-O10)/2</f>
        <v/>
      </c>
      <c r="P13" s="276">
        <f>+O13*0.105</f>
        <v/>
      </c>
      <c r="S13" t="inlineStr">
        <is>
          <t>https://www.servicesaustralia.gov.au/how-much-parental-leave-pay-you-can-get?context=22191</t>
        </is>
      </c>
    </row>
    <row r="14" ht="15" customHeight="1">
      <c r="N14" t="inlineStr">
        <is>
          <t>Fortnightly</t>
        </is>
      </c>
      <c r="O14" s="276">
        <f>+O13*2</f>
        <v/>
      </c>
      <c r="P14" s="276">
        <f>+O14*0.105</f>
        <v/>
      </c>
    </row>
    <row r="15" ht="15" customHeight="1">
      <c r="N15" t="inlineStr">
        <is>
          <t>6 weeks</t>
        </is>
      </c>
      <c r="O15" s="279">
        <f>+O13*6</f>
        <v/>
      </c>
      <c r="P15" s="279">
        <f>+O15*0.105</f>
        <v/>
      </c>
    </row>
    <row r="16" ht="15" customHeight="1">
      <c r="N16" t="inlineStr">
        <is>
          <t>2 weeks</t>
        </is>
      </c>
      <c r="O16" s="279">
        <f>+O15/3</f>
        <v/>
      </c>
      <c r="P16" s="279">
        <f>+O16*0.11</f>
        <v/>
      </c>
    </row>
    <row r="18" ht="15" customHeight="1">
      <c r="N18" t="inlineStr">
        <is>
          <t>Payroll Payment</t>
        </is>
      </c>
      <c r="O18" s="267" t="inlineStr">
        <is>
          <t>Salary</t>
        </is>
      </c>
      <c r="P18" t="inlineStr">
        <is>
          <t>Houly Rate</t>
        </is>
      </c>
      <c r="Q18" t="inlineStr">
        <is>
          <t>Super</t>
        </is>
      </c>
    </row>
    <row r="19" ht="15" customHeight="1">
      <c r="N19" t="inlineStr">
        <is>
          <t>Weekly</t>
        </is>
      </c>
      <c r="O19" s="280">
        <f>+O13+O10</f>
        <v/>
      </c>
    </row>
    <row r="20" ht="15" customHeight="1">
      <c r="N20" t="inlineStr">
        <is>
          <t>Fortnightly</t>
        </is>
      </c>
      <c r="O20" s="279">
        <f>+O19*2</f>
        <v/>
      </c>
      <c r="P20" s="281">
        <f>+O20/80</f>
        <v/>
      </c>
      <c r="Q20" s="267">
        <f>+P14</f>
        <v/>
      </c>
    </row>
    <row r="21" ht="15" customHeight="1">
      <c r="N21" t="inlineStr">
        <is>
          <t>6 weeks</t>
        </is>
      </c>
      <c r="O21" s="279">
        <f>+O20*3</f>
        <v/>
      </c>
    </row>
    <row r="23" ht="15" customHeight="1">
      <c r="O23" s="276" t="n"/>
      <c r="S23" s="62" t="inlineStr">
        <is>
          <t>Payment Schedule</t>
        </is>
      </c>
    </row>
    <row r="24" ht="15" customHeight="1">
      <c r="O24" s="276" t="n"/>
      <c r="Q24" s="267"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82"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283" t="n"/>
      <c r="F1" s="110" t="n"/>
      <c r="G1" s="110" t="n"/>
      <c r="H1" s="110" t="n"/>
      <c r="I1" s="110" t="n"/>
      <c r="J1" s="110" t="n"/>
    </row>
    <row r="2" ht="12.75" customHeight="1">
      <c r="B2" s="202" t="inlineStr">
        <is>
          <t>Corporate Technology Services Pty Ltd</t>
        </is>
      </c>
      <c r="C2" s="284" t="n"/>
      <c r="D2" s="284" t="n"/>
      <c r="E2" s="284" t="n"/>
      <c r="F2" s="284" t="n"/>
      <c r="G2" s="284" t="n"/>
      <c r="H2" s="284" t="n"/>
      <c r="I2" s="285" t="n"/>
    </row>
    <row r="3" ht="12" customHeight="1">
      <c r="B3" s="203" t="inlineStr">
        <is>
          <t>Suite 202, Level 2</t>
        </is>
      </c>
      <c r="I3" s="286" t="n"/>
    </row>
    <row r="4" ht="12.75" customHeight="1">
      <c r="B4" s="203" t="inlineStr">
        <is>
          <t>50 Clarence St, Sydney</t>
        </is>
      </c>
      <c r="I4" s="286" t="n"/>
      <c r="K4" s="114" t="inlineStr">
        <is>
          <t>MYOB Ending Balance</t>
        </is>
      </c>
      <c r="L4" s="287">
        <f>+H48-G48</f>
        <v/>
      </c>
      <c r="M4" s="287" t="n"/>
      <c r="N4" s="287" t="n"/>
      <c r="O4" s="287" t="n"/>
      <c r="P4" s="287" t="n"/>
      <c r="Q4" s="287" t="inlineStr">
        <is>
          <t>Legend</t>
        </is>
      </c>
      <c r="R4" s="287" t="n"/>
      <c r="S4" s="287" t="n"/>
      <c r="T4" s="287" t="n"/>
      <c r="U4" s="287" t="n"/>
      <c r="V4" s="287" t="n"/>
      <c r="W4" s="287" t="n"/>
      <c r="X4" s="287" t="n"/>
      <c r="Y4" s="114" t="n"/>
      <c r="Z4" s="114" t="n"/>
      <c r="AA4" s="114" t="n"/>
      <c r="AB4" s="114" t="n"/>
      <c r="AC4" s="114" t="n"/>
      <c r="AD4" s="114" t="n"/>
      <c r="AE4" s="114" t="n"/>
      <c r="AF4" s="114" t="n"/>
    </row>
    <row r="5" ht="12.75" customHeight="1">
      <c r="B5" s="203" t="inlineStr">
        <is>
          <t>NSW,2000</t>
        </is>
      </c>
      <c r="I5" s="286" t="n"/>
      <c r="K5" s="114" t="inlineStr">
        <is>
          <t>Variance</t>
        </is>
      </c>
      <c r="L5" s="287">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286"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286"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286" t="n"/>
      <c r="K8" s="118" t="inlineStr">
        <is>
          <t>Employee</t>
        </is>
      </c>
      <c r="L8" s="118" t="inlineStr">
        <is>
          <t>Item</t>
        </is>
      </c>
      <c r="M8" s="119" t="inlineStr">
        <is>
          <t>Total Purchase Amount</t>
        </is>
      </c>
      <c r="N8" s="288">
        <f>+O8-14</f>
        <v/>
      </c>
      <c r="O8" s="288">
        <f>+P8-14</f>
        <v/>
      </c>
      <c r="P8" s="288">
        <f>+Q8-14</f>
        <v/>
      </c>
      <c r="Q8" s="288">
        <f>+R8-14</f>
        <v/>
      </c>
      <c r="R8" s="288">
        <f>+S8-14</f>
        <v/>
      </c>
      <c r="S8" s="288">
        <f>+T8-14</f>
        <v/>
      </c>
      <c r="T8" s="288">
        <f>+U8-14</f>
        <v/>
      </c>
      <c r="U8" s="288">
        <f>+V8-14</f>
        <v/>
      </c>
      <c r="V8" s="288">
        <f>+W8-14</f>
        <v/>
      </c>
      <c r="W8" s="288">
        <f>+X8-14</f>
        <v/>
      </c>
      <c r="X8" s="288">
        <f>+Y8-14</f>
        <v/>
      </c>
      <c r="Y8" s="289" t="n">
        <v>44995</v>
      </c>
      <c r="Z8" s="289" t="n">
        <v>45009</v>
      </c>
      <c r="AA8" s="289" t="n">
        <v>45023</v>
      </c>
      <c r="AB8" s="289" t="n">
        <v>45037</v>
      </c>
      <c r="AC8" s="290">
        <f>AB8+14</f>
        <v/>
      </c>
      <c r="AD8" s="291">
        <f>+AC8+14</f>
        <v/>
      </c>
      <c r="AE8" s="291">
        <f>+AD8+14</f>
        <v/>
      </c>
      <c r="AF8" s="292">
        <f>+AE8+14</f>
        <v/>
      </c>
      <c r="AG8" s="119" t="inlineStr">
        <is>
          <t>Closing Balance</t>
        </is>
      </c>
    </row>
    <row r="9" ht="12.75" customHeight="1">
      <c r="B9" s="125" t="n"/>
      <c r="E9" s="293" t="n"/>
      <c r="I9" s="127" t="n"/>
      <c r="K9" s="128" t="inlineStr">
        <is>
          <t>Simon Gruenefeld</t>
        </is>
      </c>
      <c r="L9" s="128" t="inlineStr">
        <is>
          <t>iPhone</t>
        </is>
      </c>
      <c r="M9" s="294" t="n">
        <v>1731.81</v>
      </c>
      <c r="N9" s="294" t="n">
        <v>-216.5</v>
      </c>
      <c r="O9" s="294" t="n">
        <v>-216.5</v>
      </c>
      <c r="P9" s="294" t="n">
        <v>-216.5</v>
      </c>
      <c r="Q9" s="294" t="n">
        <v>-216.5</v>
      </c>
      <c r="R9" s="294" t="n">
        <v>-216.5</v>
      </c>
      <c r="S9" s="294" t="n">
        <v>-216.5</v>
      </c>
      <c r="T9" s="294" t="n">
        <v>-216.5</v>
      </c>
      <c r="U9" s="294" t="n">
        <v>-216.5</v>
      </c>
      <c r="V9" s="294" t="n"/>
      <c r="W9" s="294" t="n"/>
      <c r="X9" s="294" t="n"/>
      <c r="Y9" s="294" t="n"/>
      <c r="Z9" s="294" t="n"/>
      <c r="AA9" s="294" t="n"/>
      <c r="AB9" s="294" t="n"/>
      <c r="AC9" s="294" t="n"/>
      <c r="AD9" s="294" t="n"/>
      <c r="AE9" s="294" t="n"/>
      <c r="AF9" s="294" t="n"/>
      <c r="AG9" s="294">
        <f>SUM(M9:AF9)</f>
        <v/>
      </c>
    </row>
    <row r="10" ht="12.75" customFormat="1" customHeight="1" s="135">
      <c r="A10" s="130" t="n"/>
      <c r="B10" s="131" t="n"/>
      <c r="C10" s="132" t="inlineStr">
        <is>
          <t>ID No.</t>
        </is>
      </c>
      <c r="D10" s="132" t="inlineStr">
        <is>
          <t>Src</t>
        </is>
      </c>
      <c r="E10" s="295"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294">
        <f>1595.45</f>
        <v/>
      </c>
      <c r="N10" s="294" t="n"/>
      <c r="O10" s="294" t="n"/>
      <c r="P10" s="294" t="n"/>
      <c r="Q10" s="294" t="n"/>
      <c r="R10" s="294" t="n"/>
      <c r="S10" s="294">
        <f>+-124.93</f>
        <v/>
      </c>
      <c r="T10" s="294">
        <f>+-124.93</f>
        <v/>
      </c>
      <c r="U10" s="294">
        <f>+-124.93</f>
        <v/>
      </c>
      <c r="V10" s="294">
        <f>+-124.93</f>
        <v/>
      </c>
      <c r="W10" s="294">
        <f>+-124.93</f>
        <v/>
      </c>
      <c r="X10" s="294">
        <f>+-124.93</f>
        <v/>
      </c>
      <c r="Y10" s="294">
        <f>+-124.93</f>
        <v/>
      </c>
      <c r="Z10" s="294" t="n">
        <v>-102.99</v>
      </c>
      <c r="AA10" s="294" t="n">
        <v>-102.99</v>
      </c>
      <c r="AB10" s="294" t="n">
        <v>-102.99</v>
      </c>
      <c r="AC10" s="294" t="n">
        <v>-102.99</v>
      </c>
      <c r="AD10" s="294" t="n">
        <v>-102.99</v>
      </c>
      <c r="AE10" s="294" t="n">
        <v>-102.99</v>
      </c>
      <c r="AF10" s="294" t="n">
        <v>-102.99</v>
      </c>
      <c r="AG10" s="294">
        <f>SUM(M10:AF10)</f>
        <v/>
      </c>
      <c r="AH10" s="107" t="n"/>
    </row>
    <row r="11" ht="12.75" customFormat="1" customHeight="1" s="135">
      <c r="B11" s="136" t="n"/>
      <c r="C11" s="137" t="n"/>
      <c r="D11" s="137" t="n"/>
      <c r="E11" s="296" t="n"/>
      <c r="F11" s="137" t="n"/>
      <c r="G11" s="137" t="n"/>
      <c r="H11" s="137" t="n"/>
      <c r="I11" s="139" t="n"/>
      <c r="J11" s="117" t="n"/>
      <c r="K11" s="128" t="inlineStr">
        <is>
          <t>Anuraag Arora</t>
        </is>
      </c>
      <c r="L11" s="128" t="inlineStr">
        <is>
          <t>Headphones</t>
        </is>
      </c>
      <c r="M11" s="294" t="n">
        <v>144.55</v>
      </c>
      <c r="N11" s="294" t="n"/>
      <c r="O11" s="294" t="n"/>
      <c r="P11" s="294" t="n"/>
      <c r="Q11" s="294" t="n"/>
      <c r="R11" s="294" t="n"/>
      <c r="S11" s="297" t="n"/>
      <c r="T11" s="297" t="n"/>
      <c r="U11" s="297" t="n"/>
      <c r="V11" s="297" t="n"/>
      <c r="W11" s="297" t="n"/>
      <c r="X11" s="294" t="n">
        <v>-17.77</v>
      </c>
      <c r="Y11" s="294" t="n">
        <v>-17.77</v>
      </c>
      <c r="Z11" s="294" t="n">
        <v>-15.57</v>
      </c>
      <c r="AA11" s="294" t="n">
        <v>-15.57</v>
      </c>
      <c r="AB11" s="294" t="n">
        <v>-15.57</v>
      </c>
      <c r="AC11" s="294" t="n">
        <v>-15.57</v>
      </c>
      <c r="AD11" s="294" t="n">
        <v>-15.57</v>
      </c>
      <c r="AE11" s="294" t="n">
        <v>-15.57</v>
      </c>
      <c r="AF11" s="294" t="n">
        <v>-15.57</v>
      </c>
      <c r="AG11" s="294">
        <f>SUM(M11:AF11)</f>
        <v/>
      </c>
      <c r="AH11" s="107" t="n"/>
    </row>
    <row r="12" ht="24" customFormat="1" customHeight="1" s="141">
      <c r="B12" s="142" t="inlineStr">
        <is>
          <t xml:space="preserve">2-1270
</t>
        </is>
      </c>
      <c r="C12" s="143" t="inlineStr">
        <is>
          <t>Salary Sacrifice</t>
        </is>
      </c>
      <c r="D12" s="143" t="n"/>
      <c r="E12" s="144" t="n"/>
      <c r="F12" s="145" t="n"/>
      <c r="G12" s="298" t="n"/>
      <c r="H12" s="298" t="n"/>
      <c r="I12" s="147" t="n"/>
      <c r="J12" s="148" t="n"/>
      <c r="K12" s="128" t="inlineStr">
        <is>
          <t>Jordan Sexty</t>
        </is>
      </c>
      <c r="L12" s="128" t="inlineStr">
        <is>
          <t>iPhone</t>
        </is>
      </c>
      <c r="M12" s="294">
        <f>1049/1.1</f>
        <v/>
      </c>
      <c r="N12" s="294" t="n"/>
      <c r="O12" s="294" t="n"/>
      <c r="P12" s="294" t="n"/>
      <c r="Q12" s="294" t="n"/>
      <c r="R12" s="294" t="n"/>
      <c r="S12" s="297" t="n"/>
      <c r="T12" s="297" t="n"/>
      <c r="U12" s="297" t="n"/>
      <c r="V12" s="297" t="n"/>
      <c r="W12" s="294" t="n">
        <v>-104.9</v>
      </c>
      <c r="X12" s="294" t="n">
        <v>-104.9</v>
      </c>
      <c r="Y12" s="294" t="n">
        <v>-104.9</v>
      </c>
      <c r="Z12" s="294" t="n">
        <v>-91.28</v>
      </c>
      <c r="AA12" s="294" t="n">
        <v>-91.28</v>
      </c>
      <c r="AB12" s="294" t="n">
        <v>-91.28</v>
      </c>
      <c r="AC12" s="294" t="n">
        <v>-91.28</v>
      </c>
      <c r="AD12" s="294" t="n">
        <v>-91.28</v>
      </c>
      <c r="AE12" s="294" t="n">
        <v>-91.28</v>
      </c>
      <c r="AF12" s="294" t="n">
        <v>-91.28</v>
      </c>
      <c r="AG12" s="294">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299" t="n">
        <v>899.1799999999999</v>
      </c>
      <c r="H13" s="298" t="n"/>
      <c r="I13" s="147" t="n">
        <v>9100</v>
      </c>
      <c r="J13" s="148" t="n"/>
      <c r="K13" s="150" t="inlineStr">
        <is>
          <t>Gary Carter</t>
        </is>
      </c>
      <c r="L13" s="150" t="inlineStr">
        <is>
          <t>Camera</t>
        </is>
      </c>
      <c r="M13" s="300">
        <f>1235/1.1</f>
        <v/>
      </c>
      <c r="N13" s="300" t="n"/>
      <c r="O13" s="300" t="n"/>
      <c r="P13" s="300" t="n"/>
      <c r="Q13" s="300" t="n"/>
      <c r="R13" s="300" t="n"/>
      <c r="S13" s="300" t="n"/>
      <c r="T13" s="300" t="n"/>
      <c r="U13" s="300" t="n"/>
      <c r="V13" s="300" t="n"/>
      <c r="W13" s="300" t="n"/>
      <c r="X13" s="300" t="n"/>
      <c r="Y13" s="300" t="n">
        <v>-154.38</v>
      </c>
      <c r="Z13" s="300" t="n">
        <v>-138.34</v>
      </c>
      <c r="AA13" s="300" t="n">
        <v>-138.34</v>
      </c>
      <c r="AB13" s="300" t="n">
        <v>-138.34</v>
      </c>
      <c r="AC13" s="300" t="n">
        <v>-138.34</v>
      </c>
      <c r="AD13" s="300" t="n">
        <v>-138.34</v>
      </c>
      <c r="AE13" s="300" t="n">
        <v>-138.34</v>
      </c>
      <c r="AF13" s="300" t="n">
        <v>-138.34</v>
      </c>
      <c r="AG13" s="294">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298" t="n"/>
      <c r="H14" s="299"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298" t="n"/>
      <c r="H15" s="299"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298" t="n"/>
      <c r="H16" s="299"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298" t="n"/>
      <c r="H17" s="299"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298" t="n"/>
      <c r="H18" s="299"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01" t="n">
        <v>334.55</v>
      </c>
      <c r="H19" s="298"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298" t="n"/>
      <c r="H20" s="299"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298" t="n"/>
      <c r="H21" s="301"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298" t="n"/>
      <c r="H22" s="301"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298" t="n"/>
      <c r="H23" s="301"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298" t="n"/>
      <c r="H24" s="301"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298" t="n"/>
      <c r="H25" s="301"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298" t="n"/>
      <c r="H26" s="301"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298" t="n">
        <v>1731.81</v>
      </c>
      <c r="H27" s="298" t="n"/>
      <c r="I27" s="147" t="n">
        <v>9105</v>
      </c>
      <c r="J27" s="148" t="n"/>
      <c r="K27" s="148" t="inlineStr">
        <is>
          <t>Running Balance</t>
        </is>
      </c>
      <c r="L27" s="148" t="n"/>
      <c r="M27" s="302">
        <f>SUM(M9:M25)</f>
        <v/>
      </c>
      <c r="N27" s="302">
        <f>SUM(N9:N25)</f>
        <v/>
      </c>
      <c r="O27" s="302">
        <f>SUM(O9:O25)</f>
        <v/>
      </c>
      <c r="P27" s="302">
        <f>SUM(P9:P25)</f>
        <v/>
      </c>
      <c r="Q27" s="302">
        <f>SUM(Q9:Q25)</f>
        <v/>
      </c>
      <c r="R27" s="302">
        <f>SUM(R9:R25)</f>
        <v/>
      </c>
      <c r="S27" s="302">
        <f>SUM(S9:S25)</f>
        <v/>
      </c>
      <c r="T27" s="302">
        <f>SUM(T9:T25)</f>
        <v/>
      </c>
      <c r="U27" s="302">
        <f>SUM(U9:U25)</f>
        <v/>
      </c>
      <c r="V27" s="302">
        <f>SUM(V9:V25)</f>
        <v/>
      </c>
      <c r="W27" s="302">
        <f>SUM(W9:W25)</f>
        <v/>
      </c>
      <c r="X27" s="302">
        <f>SUM(X9:X25)</f>
        <v/>
      </c>
      <c r="Y27" s="302">
        <f>SUM(Y9:Y25)</f>
        <v/>
      </c>
      <c r="Z27" s="302">
        <f>SUM(Z9:Z25)</f>
        <v/>
      </c>
      <c r="AA27" s="302">
        <f>SUM(AA9:AA25)</f>
        <v/>
      </c>
      <c r="AB27" s="302">
        <f>SUM(AB9:AB25)</f>
        <v/>
      </c>
      <c r="AC27" s="302">
        <f>SUM(AC9:AC25)</f>
        <v/>
      </c>
      <c r="AD27" s="302">
        <f>SUM(AD9:AD25)</f>
        <v/>
      </c>
      <c r="AE27" s="302">
        <f>SUM(AE9:AE25)</f>
        <v/>
      </c>
      <c r="AF27" s="302">
        <f>SUM(AF9:AF25)</f>
        <v/>
      </c>
      <c r="AG27" s="302">
        <f>SUM(AG9:AG25)</f>
        <v/>
      </c>
    </row>
    <row r="28" ht="24" customFormat="1" customHeight="1" s="141">
      <c r="B28" s="142" t="n"/>
      <c r="C28" s="143" t="inlineStr">
        <is>
          <t>GJ001300</t>
        </is>
      </c>
      <c r="D28" s="143" t="inlineStr">
        <is>
          <t>GJ</t>
        </is>
      </c>
      <c r="E28" s="144" t="inlineStr">
        <is>
          <t>11/10/2022</t>
        </is>
      </c>
      <c r="F28" s="145" t="inlineStr">
        <is>
          <t>Payroll 33008 Reclass (24/09-07/10)</t>
        </is>
      </c>
      <c r="G28" s="298" t="n"/>
      <c r="H28" s="298"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298" t="n"/>
      <c r="H29" s="298"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298" t="n"/>
      <c r="H30" s="298"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298" t="n"/>
      <c r="H31" s="298"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298" t="n"/>
      <c r="H32" s="298"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298" t="n">
        <v>1595.45</v>
      </c>
      <c r="H33" s="298"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298" t="n"/>
      <c r="H34" s="298"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298" t="n"/>
      <c r="H35" s="298"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298" t="n"/>
      <c r="H36" s="298"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298" t="n"/>
      <c r="H37" s="298"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298" t="n">
        <v>953.64</v>
      </c>
      <c r="H38" s="298"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298" t="n"/>
      <c r="H39" s="298"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298" t="n">
        <v>144.55</v>
      </c>
      <c r="H40" s="298"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298" t="n"/>
      <c r="H41" s="298"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298" t="n"/>
      <c r="H42" s="298"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298" t="n">
        <v>1122.73</v>
      </c>
      <c r="H43" s="298"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298" t="n"/>
      <c r="H44" s="298"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298" t="n"/>
      <c r="H45" s="298"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298" t="n"/>
      <c r="H46" s="298"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298" t="n"/>
      <c r="H47" s="298"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298">
        <f>SUM(G12:G47)</f>
        <v/>
      </c>
      <c r="H48" s="298">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03" t="n"/>
      <c r="H49" s="303"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04"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05" t="n"/>
    </row>
    <row r="55" ht="11.25" customHeight="1">
      <c r="F55" s="306" t="n"/>
      <c r="J55" s="307" t="n"/>
    </row>
    <row r="57" ht="11.25" customHeight="1">
      <c r="H57" s="307" t="n"/>
    </row>
    <row r="58" ht="11.25" customHeight="1">
      <c r="H58" s="307" t="n"/>
    </row>
    <row r="59" ht="11.25" customHeight="1">
      <c r="I59" s="307" t="n"/>
    </row>
    <row r="60" ht="11.25" customHeight="1">
      <c r="I60" s="307" t="n"/>
    </row>
    <row r="61" ht="11.25" customHeight="1">
      <c r="H61" s="307" t="n"/>
    </row>
    <row r="62" ht="11.25" customHeight="1">
      <c r="I62" s="307" t="n"/>
    </row>
    <row r="63" ht="11.25" customHeight="1">
      <c r="I63" s="307"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18.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08" t="n">
        <v>80000</v>
      </c>
      <c r="B3" s="276">
        <f>A3/1.11</f>
        <v/>
      </c>
      <c r="C3" s="276">
        <f>B3/C1</f>
        <v/>
      </c>
      <c r="D3" s="309">
        <f>C3/40</f>
        <v/>
      </c>
      <c r="E3" s="267">
        <f>D3*80</f>
        <v/>
      </c>
      <c r="F3" s="276">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10" t="n">
        <v>31.4016</v>
      </c>
      <c r="J9" s="311">
        <f>I9*80</f>
        <v/>
      </c>
      <c r="K9" s="54" t="n"/>
      <c r="L9" s="54" t="n"/>
    </row>
    <row r="10" ht="15" customHeight="1">
      <c r="G10" s="54" t="n"/>
      <c r="H10" s="54" t="inlineStr">
        <is>
          <t>New</t>
        </is>
      </c>
      <c r="I10" s="310" t="n">
        <v>34.65</v>
      </c>
      <c r="J10" s="311">
        <f>I10*80</f>
        <v/>
      </c>
      <c r="K10" s="54" t="n"/>
      <c r="L10" s="311">
        <f>J10-J9</f>
        <v/>
      </c>
    </row>
    <row r="11" ht="15" customHeight="1">
      <c r="I11" s="309" t="n"/>
    </row>
  </sheetData>
  <mergeCells count="1">
    <mergeCell ref="A1:B1"/>
  </mergeCells>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2026-10-01T06:15:30Z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