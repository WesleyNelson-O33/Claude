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 Jobs" sheetId="1" state="visible" r:id="rId3"/>
  </sheets>
  <definedNames>
    <definedName function="false" hidden="true" localSheetId="0" name="_xlnm._FilterDatabase" vbProcedure="false">'Production Jobs'!$A$4:$AA$80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<sst xmlns="http://schemas.openxmlformats.org/spreadsheetml/2006/main" count="263" uniqueCount="147">
  <si>
    <t xml:space="preserve">Production &amp; Video Jobs  -  July to September 2026</t>
  </si>
  <si>
    <t xml:space="preserve">Net Total = Invoice Value - Discounts.  Discounts % = Discounts / Net Total.  Margin = Invoice Value - Cross Hire - Labour.  Margin % = Margin / Invoice Value.  (These four are formulas.)</t>
  </si>
  <si>
    <t xml:space="preserve">#</t>
  </si>
  <si>
    <t xml:space="preserve">Date</t>
  </si>
  <si>
    <t xml:space="preserve">Department</t>
  </si>
  <si>
    <t xml:space="preserve">Client</t>
  </si>
  <si>
    <t xml:space="preserve">Job Number</t>
  </si>
  <si>
    <t xml:space="preserve">Project Name</t>
  </si>
  <si>
    <t xml:space="preserve">Event Date</t>
  </si>
  <si>
    <t xml:space="preserve">Invoice Posted to Xero</t>
  </si>
  <si>
    <t xml:space="preserve">Invoice Number</t>
  </si>
  <si>
    <t xml:space="preserve">Invoice Value</t>
  </si>
  <si>
    <t xml:space="preserve">Client Email</t>
  </si>
  <si>
    <t xml:space="preserve">Zoho Number</t>
  </si>
  <si>
    <t xml:space="preserve">Closed</t>
  </si>
  <si>
    <t xml:space="preserve">Current Number</t>
  </si>
  <si>
    <t xml:space="preserve">Production Labour Hours</t>
  </si>
  <si>
    <t xml:space="preserve">Project Management</t>
  </si>
  <si>
    <t xml:space="preserve">Video Filming</t>
  </si>
  <si>
    <t xml:space="preserve">Video Editing</t>
  </si>
  <si>
    <t xml:space="preserve">Video Project Management</t>
  </si>
  <si>
    <t xml:space="preserve">Video Total</t>
  </si>
  <si>
    <t xml:space="preserve">Discounts Included</t>
  </si>
  <si>
    <t xml:space="preserve">Cross Hire Expense</t>
  </si>
  <si>
    <t xml:space="preserve">Labour Expense (Internal)</t>
  </si>
  <si>
    <t xml:space="preserve">Net Total</t>
  </si>
  <si>
    <t xml:space="preserve">Discounts as % of Net Total</t>
  </si>
  <si>
    <t xml:space="preserve">Margin</t>
  </si>
  <si>
    <t xml:space="preserve">Margin %</t>
  </si>
  <si>
    <t xml:space="preserve">Production</t>
  </si>
  <si>
    <t xml:space="preserve">RSNSW</t>
  </si>
  <si>
    <t xml:space="preserve">26032301</t>
  </si>
  <si>
    <t xml:space="preserve">Ordinary General Meeting | 1.7.26</t>
  </si>
  <si>
    <t xml:space="preserve">Y</t>
  </si>
  <si>
    <t xml:space="preserve">INV-10519</t>
  </si>
  <si>
    <t xml:space="preserve">lindsay.botten@outlook.com</t>
  </si>
  <si>
    <t xml:space="preserve">PWC</t>
  </si>
  <si>
    <t xml:space="preserve">26062201</t>
  </si>
  <si>
    <t xml:space="preserve">Tax and Legal Webcast 2.7.26</t>
  </si>
  <si>
    <t xml:space="preserve">INV-10515</t>
  </si>
  <si>
    <t xml:space="preserve">libby.kovac@au.pwc.com</t>
  </si>
  <si>
    <t xml:space="preserve">Video</t>
  </si>
  <si>
    <t xml:space="preserve">Litecard</t>
  </si>
  <si>
    <t xml:space="preserve">2607701</t>
  </si>
  <si>
    <t xml:space="preserve">Litecard - Event Photographer - 16.7.26</t>
  </si>
  <si>
    <t xml:space="preserve">INV-10522</t>
  </si>
  <si>
    <t xml:space="preserve">brian@litecard.com.au</t>
  </si>
  <si>
    <t xml:space="preserve">Microsoft</t>
  </si>
  <si>
    <t xml:space="preserve">26052703</t>
  </si>
  <si>
    <t xml:space="preserve">Microsoft Town Hall 21.7.26</t>
  </si>
  <si>
    <t xml:space="preserve">INV-10554</t>
  </si>
  <si>
    <t xml:space="preserve">helenkingham@microsoft.com</t>
  </si>
  <si>
    <t xml:space="preserve">Arup</t>
  </si>
  <si>
    <t xml:space="preserve">2605403</t>
  </si>
  <si>
    <t xml:space="preserve">Oves Awards Night 23.7.26</t>
  </si>
  <si>
    <t xml:space="preserve">INV-10540</t>
  </si>
  <si>
    <t xml:space="preserve">Timothy.Hicks@arup.com</t>
  </si>
  <si>
    <t xml:space="preserve">2512804</t>
  </si>
  <si>
    <t xml:space="preserve">Ordinary General Meeting 5.8.26</t>
  </si>
  <si>
    <t xml:space="preserve">INV-10561</t>
  </si>
  <si>
    <t xml:space="preserve">PwC</t>
  </si>
  <si>
    <t xml:space="preserve">26072902</t>
  </si>
  <si>
    <t xml:space="preserve">AI Townhall 6.8.26 (PO2601703328)</t>
  </si>
  <si>
    <t xml:space="preserve">INV-10562</t>
  </si>
  <si>
    <t xml:space="preserve">CEO Institute</t>
  </si>
  <si>
    <t xml:space="preserve">26063002</t>
  </si>
  <si>
    <t xml:space="preserve">CEO Connect 11.8.26</t>
  </si>
  <si>
    <t xml:space="preserve">INV-10581</t>
  </si>
  <si>
    <t xml:space="preserve">taniaa@ceoinstitute.com</t>
  </si>
  <si>
    <t xml:space="preserve">26072903</t>
  </si>
  <si>
    <t xml:space="preserve">GB Webcast 11.8.26</t>
  </si>
  <si>
    <t xml:space="preserve">INV-10577</t>
  </si>
  <si>
    <t xml:space="preserve">MUFG</t>
  </si>
  <si>
    <t xml:space="preserve">26061104</t>
  </si>
  <si>
    <t xml:space="preserve">MUFG - Suncorp FYR</t>
  </si>
  <si>
    <t xml:space="preserve">INV-10584, INV-10585</t>
  </si>
  <si>
    <t xml:space="preserve">events@cm.mpms.mufg.com</t>
  </si>
  <si>
    <t xml:space="preserve">Proj: 0016</t>
  </si>
  <si>
    <t xml:space="preserve">CBA</t>
  </si>
  <si>
    <t xml:space="preserve">26061105</t>
  </si>
  <si>
    <t xml:space="preserve">CBA FYR 2026 (Order PO3308779)</t>
  </si>
  <si>
    <t xml:space="preserve">INV-10563</t>
  </si>
  <si>
    <t xml:space="preserve">Rebecca.Rodger@cba.com.au</t>
  </si>
  <si>
    <t xml:space="preserve">AGL</t>
  </si>
  <si>
    <t xml:space="preserve">2605401</t>
  </si>
  <si>
    <t xml:space="preserve">AGL FYR - Investor Briefing</t>
  </si>
  <si>
    <t xml:space="preserve">INV-10579</t>
  </si>
  <si>
    <t xml:space="preserve">KDraisey@agl.com.au</t>
  </si>
  <si>
    <t xml:space="preserve">Proj: 0019</t>
  </si>
  <si>
    <t xml:space="preserve">ASX</t>
  </si>
  <si>
    <t xml:space="preserve">2608604</t>
  </si>
  <si>
    <t xml:space="preserve">ASX Employee Townhall 13.8.26</t>
  </si>
  <si>
    <t xml:space="preserve">INV-10599</t>
  </si>
  <si>
    <t xml:space="preserve">Aimee.Kuipers@asx.com.au</t>
  </si>
  <si>
    <t xml:space="preserve">26052702</t>
  </si>
  <si>
    <t xml:space="preserve">ASX FYR Briefing 13.8.26</t>
  </si>
  <si>
    <t xml:space="preserve">INV-10576</t>
  </si>
  <si>
    <t xml:space="preserve">simon.starr@asx.com.au</t>
  </si>
  <si>
    <t xml:space="preserve">26072906</t>
  </si>
  <si>
    <t xml:space="preserve">ASX Advisory Group on Corporate Governance</t>
  </si>
  <si>
    <t xml:space="preserve">INV-10600</t>
  </si>
  <si>
    <t xml:space="preserve">vicky.duan@asx.com.au</t>
  </si>
  <si>
    <t xml:space="preserve">TLC - Melbourne</t>
  </si>
  <si>
    <t xml:space="preserve">26061106</t>
  </si>
  <si>
    <t xml:space="preserve">TLC Full Year Results</t>
  </si>
  <si>
    <t xml:space="preserve">INV-10591</t>
  </si>
  <si>
    <t xml:space="preserve">sharne.flanagan@thelotterycorporation.com</t>
  </si>
  <si>
    <t xml:space="preserve">Downer</t>
  </si>
  <si>
    <t xml:space="preserve">26061107</t>
  </si>
  <si>
    <t xml:space="preserve">Downer FYR26 20.8.26</t>
  </si>
  <si>
    <t xml:space="preserve">INV-10587</t>
  </si>
  <si>
    <t xml:space="preserve">mitchell.dale@downergroup.com</t>
  </si>
  <si>
    <t xml:space="preserve">APA</t>
  </si>
  <si>
    <t xml:space="preserve">26061108</t>
  </si>
  <si>
    <t xml:space="preserve">APA FYR Town Hall 20.8.26</t>
  </si>
  <si>
    <t xml:space="preserve">Package</t>
  </si>
  <si>
    <t xml:space="preserve">steph.bennett@apa.com.au</t>
  </si>
  <si>
    <t xml:space="preserve">Ventia</t>
  </si>
  <si>
    <t xml:space="preserve">26061109</t>
  </si>
  <si>
    <t xml:space="preserve">Ventia HYR Employee Town Hall 24.8.26 (PO 4701366307)</t>
  </si>
  <si>
    <t xml:space="preserve">INV-10593</t>
  </si>
  <si>
    <t xml:space="preserve">amy.johnson@ventia.com</t>
  </si>
  <si>
    <t xml:space="preserve">Downer - Melbourne</t>
  </si>
  <si>
    <t xml:space="preserve">26073111</t>
  </si>
  <si>
    <t xml:space="preserve">Employee Results Briefing</t>
  </si>
  <si>
    <t xml:space="preserve">INV-10611</t>
  </si>
  <si>
    <t xml:space="preserve">Symal - Melbourne</t>
  </si>
  <si>
    <t xml:space="preserve">2606904</t>
  </si>
  <si>
    <t xml:space="preserve">Symal FYR 2026</t>
  </si>
  <si>
    <t xml:space="preserve">INV10567</t>
  </si>
  <si>
    <t xml:space="preserve">pia.witt@symal.com.au</t>
  </si>
  <si>
    <t xml:space="preserve">26061609/26061608/26061607/26061108</t>
  </si>
  <si>
    <t xml:space="preserve">APA - All Hands Package FY27 (PO-00030766)</t>
  </si>
  <si>
    <t xml:space="preserve">N/A</t>
  </si>
  <si>
    <t xml:space="preserve">INV-10521</t>
  </si>
  <si>
    <t xml:space="preserve">26061609</t>
  </si>
  <si>
    <t xml:space="preserve">Proj: 0017</t>
  </si>
  <si>
    <t xml:space="preserve">26061602</t>
  </si>
  <si>
    <t xml:space="preserve">CEO Connect (Extended Results)</t>
  </si>
  <si>
    <t xml:space="preserve">oliver.mariano@asx.com.au</t>
  </si>
  <si>
    <t xml:space="preserve">26071701</t>
  </si>
  <si>
    <t xml:space="preserve">ASX Live 1.9.26</t>
  </si>
  <si>
    <t xml:space="preserve">26032302</t>
  </si>
  <si>
    <t xml:space="preserve">Ordinary General Meeting 2.9.26</t>
  </si>
  <si>
    <t xml:space="preserve">26072102</t>
  </si>
  <si>
    <t xml:space="preserve">RUOK? Day 10.9.26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</si>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</sst>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"/>
    <numFmt numFmtId="166" formatCode="@"/>
    <numFmt numFmtId="167" formatCode="\$#,##0.00;[RED]&quot;-$&quot;#,##0.00;\-"/>
    <numFmt numFmtId="168" formatCode="0.0%"/>
    <numFmt numFmtId="169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4F7FB"/>
      </patternFill>
    </fill>
    <fill>
      <patternFill patternType="solid">
        <fgColor rgb="FFF4F7FB"/>
        <bgColor rgb="FFFFFFFF"/>
      </patternFill>
    </fill>
    <fill>
      <patternFill patternType="solid">
        <fgColor rgb="FFD9E2F3"/>
        <bgColor rgb="FFC9D3E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C9D3E3"/>
      </top>
      <bottom style="thin">
        <color rgb="FFC9D3E3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4F7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B"/>
      <rgbColor rgb="FFD9E2F3"/>
      <rgbColor rgb="FF660066"/>
      <rgbColor rgb="FFFF8080"/>
      <rgbColor rgb="FF0066CC"/>
      <rgbColor rgb="FFC9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8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G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14" min="14" style="0" width="12"/>
    <col collapsed="false" customWidth="true" hidden="false" outlineLevel="0" max="16" min="15" style="0" width="11"/>
    <col collapsed="false" customWidth="true" hidden="false" outlineLevel="0" max="18" min="17" style="0" width="10"/>
    <col collapsed="false" customWidth="true" hidden="false" outlineLevel="0" max="19" min="19" style="0" width="11"/>
    <col collapsed="false" customWidth="true" hidden="false" outlineLevel="0" max="22" min="20" style="0" width="13"/>
    <col collapsed="false" customWidth="true" hidden="false" outlineLevel="0" max="24" min="23" style="0" width="14"/>
    <col collapsed="false" customWidth="true" hidden="false" outlineLevel="0" max="25" min="25" style="0" width="11"/>
    <col collapsed="false" customWidth="true" hidden="false" outlineLevel="0" max="26" min="26" style="0" width="14"/>
    <col collapsed="false" customWidth="true" hidden="false" outlineLevel="0" max="27" min="27" style="0" width="9"/>
  </cols>
  <sheetData>
    <row r="1" customFormat="false" ht="31.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false" outlineLevel="0" collapsed="false">
      <c r="A2" s="3" t="s">
        <v>1</v>
      </c>
    </row>
    <row r="4" customFormat="false" ht="42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</row>
    <row r="5" customFormat="false" ht="30" hidden="false" customHeight="true" outlineLevel="0" collapsed="false">
      <c r="A5" s="5" t="n">
        <v>2</v>
      </c>
      <c r="B5" s="6" t="n">
        <v>46210</v>
      </c>
      <c r="C5" s="7" t="s">
        <v>29</v>
      </c>
      <c r="D5" s="7" t="s">
        <v>30</v>
      </c>
      <c r="E5" s="8" t="s">
        <v>31</v>
      </c>
      <c r="F5" s="9" t="s">
        <v>32</v>
      </c>
      <c r="G5" s="6" t="n">
        <v>46204</v>
      </c>
      <c r="H5" s="5" t="s">
        <v>33</v>
      </c>
      <c r="I5" s="10" t="s">
        <v>34</v>
      </c>
      <c r="J5" s="11" t="n">
        <v>3071</v>
      </c>
      <c r="K5" s="7" t="s">
        <v>35</v>
      </c>
      <c r="L5" s="12" t="s">
        <v>31</v>
      </c>
      <c r="M5" s="5" t="s">
        <v>33</v>
      </c>
      <c r="N5" s="5" t="n">
        <v>5924</v>
      </c>
      <c r="O5" s="5" t="n">
        <v>10</v>
      </c>
      <c r="P5" s="5"/>
      <c r="Q5" s="5" t="n">
        <v>4</v>
      </c>
      <c r="R5" s="5"/>
      <c r="S5" s="5"/>
      <c r="T5" s="13" t="n">
        <v>1029</v>
      </c>
      <c r="U5" s="13" t="n">
        <v>334</v>
      </c>
      <c r="V5" s="13"/>
      <c r="W5" s="13" t="n">
        <v>977.23</v>
      </c>
      <c r="X5" s="13" t="n">
        <f aca="false">J5-N(U5)</f>
        <v>2737</v>
      </c>
      <c r="Y5" s="14" t="n">
        <f aca="false">IFERROR(N(U5)/X5,0)</f>
        <v>0.122031421264158</v>
      </c>
      <c r="Z5" s="11" t="n">
        <f aca="false">J5-N(V5)-N(W5)</f>
        <v>2093.77</v>
      </c>
      <c r="AA5" s="14" t="n">
        <f aca="false">IFERROR(Z5/J5,0)</f>
        <v>0.681787691305764</v>
      </c>
    </row>
    <row r="8" customFormat="false" ht="30" hidden="false" customHeight="true" outlineLevel="0" collapsed="false">
      <c r="A8" s="15" t="n">
        <v>3</v>
      </c>
      <c r="B8" s="16" t="n">
        <v>46210</v>
      </c>
      <c r="C8" s="17" t="s">
        <v>29</v>
      </c>
      <c r="D8" s="17" t="s">
        <v>36</v>
      </c>
      <c r="E8" s="18" t="s">
        <v>37</v>
      </c>
      <c r="F8" s="19" t="s">
        <v>38</v>
      </c>
      <c r="G8" s="16" t="n">
        <v>46205</v>
      </c>
      <c r="H8" s="15" t="s">
        <v>33</v>
      </c>
      <c r="I8" s="20" t="s">
        <v>39</v>
      </c>
      <c r="J8" s="21" t="n">
        <v>1925</v>
      </c>
      <c r="K8" s="17" t="s">
        <v>40</v>
      </c>
      <c r="L8" s="22" t="s">
        <v>37</v>
      </c>
      <c r="M8" s="15" t="s">
        <v>33</v>
      </c>
      <c r="N8" s="15" t="n">
        <v>6076</v>
      </c>
      <c r="O8" s="15" t="n">
        <v>8</v>
      </c>
      <c r="P8" s="15" t="n">
        <v>1</v>
      </c>
      <c r="Q8" s="15" t="n">
        <v>8</v>
      </c>
      <c r="R8" s="15"/>
      <c r="S8" s="15"/>
      <c r="T8" s="23" t="n">
        <v>970</v>
      </c>
      <c r="U8" s="23"/>
      <c r="V8" s="23"/>
      <c r="W8" s="23" t="n">
        <v>821.56</v>
      </c>
      <c r="X8" s="23" t="n">
        <f aca="false">J8-N(U8)</f>
        <v>1925</v>
      </c>
      <c r="Y8" s="24" t="n">
        <f aca="false">IFERROR(N(U8)/X8,0)</f>
        <v>0</v>
      </c>
      <c r="Z8" s="21" t="n">
        <f aca="false">J8-N(V8)-N(W8)</f>
        <v>1103.44</v>
      </c>
      <c r="AA8" s="24" t="n">
        <f aca="false">IFERROR(Z8/J8,0)</f>
        <v>0.573215584415584</v>
      </c>
    </row>
    <row r="11" customFormat="false" ht="30" hidden="false" customHeight="true" outlineLevel="0" collapsed="false">
      <c r="A11" s="5" t="n">
        <v>6</v>
      </c>
      <c r="B11" s="6" t="n">
        <v>46216</v>
      </c>
      <c r="C11" s="7" t="s">
        <v>41</v>
      </c>
      <c r="D11" s="7" t="s">
        <v>42</v>
      </c>
      <c r="E11" s="8" t="s">
        <v>43</v>
      </c>
      <c r="F11" s="9" t="s">
        <v>44</v>
      </c>
      <c r="G11" s="6" t="n">
        <v>46219</v>
      </c>
      <c r="H11" s="5" t="s">
        <v>33</v>
      </c>
      <c r="I11" s="10" t="s">
        <v>45</v>
      </c>
      <c r="J11" s="11" t="n">
        <v>550</v>
      </c>
      <c r="K11" s="7" t="s">
        <v>46</v>
      </c>
      <c r="L11" s="12" t="s">
        <v>43</v>
      </c>
      <c r="M11" s="5" t="s">
        <v>33</v>
      </c>
      <c r="N11" s="5" t="n">
        <v>6102</v>
      </c>
      <c r="O11" s="5"/>
      <c r="P11" s="5"/>
      <c r="Q11" s="5" t="n">
        <v>4</v>
      </c>
      <c r="R11" s="5"/>
      <c r="S11" s="5"/>
      <c r="T11" s="13" t="n">
        <v>550</v>
      </c>
      <c r="U11" s="13"/>
      <c r="V11" s="13"/>
      <c r="W11" s="13" t="n">
        <v>312.18</v>
      </c>
      <c r="X11" s="13" t="n">
        <f aca="false">J11-N(U11)</f>
        <v>550</v>
      </c>
      <c r="Y11" s="14" t="n">
        <f aca="false">IFERROR(N(U11)/X11,0)</f>
        <v>0</v>
      </c>
      <c r="Z11" s="11" t="n">
        <f aca="false">J11-N(V11)-N(W11)</f>
        <v>237.82</v>
      </c>
      <c r="AA11" s="14" t="n">
        <f aca="false">IFERROR(Z11/J11,0)</f>
        <v>0.4324</v>
      </c>
    </row>
    <row r="14" customFormat="false" ht="30" hidden="false" customHeight="true" outlineLevel="0" collapsed="false">
      <c r="A14" s="15" t="n">
        <v>7</v>
      </c>
      <c r="B14" s="16" t="n">
        <v>46234</v>
      </c>
      <c r="C14" s="17" t="s">
        <v>29</v>
      </c>
      <c r="D14" s="17" t="s">
        <v>47</v>
      </c>
      <c r="E14" s="18" t="s">
        <v>48</v>
      </c>
      <c r="F14" s="19" t="s">
        <v>49</v>
      </c>
      <c r="G14" s="16" t="n">
        <v>46224</v>
      </c>
      <c r="H14" s="15" t="s">
        <v>33</v>
      </c>
      <c r="I14" s="20" t="s">
        <v>50</v>
      </c>
      <c r="J14" s="21" t="n">
        <v>12587</v>
      </c>
      <c r="K14" s="17" t="s">
        <v>51</v>
      </c>
      <c r="L14" s="22" t="s">
        <v>48</v>
      </c>
      <c r="M14" s="15" t="s">
        <v>33</v>
      </c>
      <c r="N14" s="15" t="n">
        <v>6034</v>
      </c>
      <c r="O14" s="15" t="n">
        <v>44</v>
      </c>
      <c r="P14" s="15"/>
      <c r="Q14" s="15" t="n">
        <v>4</v>
      </c>
      <c r="R14" s="15"/>
      <c r="S14" s="15"/>
      <c r="T14" s="23" t="n">
        <v>1702</v>
      </c>
      <c r="U14" s="23" t="n">
        <v>580</v>
      </c>
      <c r="V14" s="23" t="n">
        <v>631.5</v>
      </c>
      <c r="W14" s="23" t="n">
        <v>3148.7</v>
      </c>
      <c r="X14" s="23" t="n">
        <f aca="false">J14-N(U14)</f>
        <v>12007</v>
      </c>
      <c r="Y14" s="24" t="n">
        <f aca="false">IFERROR(N(U14)/X14,0)</f>
        <v>0.0483051553260598</v>
      </c>
      <c r="Z14" s="21" t="n">
        <f aca="false">J14-N(V14)-N(W14)</f>
        <v>8806.8</v>
      </c>
      <c r="AA14" s="24" t="n">
        <f aca="false">IFERROR(Z14/J14,0)</f>
        <v>0.699674267100977</v>
      </c>
    </row>
    <row r="17" customFormat="false" ht="30" hidden="false" customHeight="true" outlineLevel="0" collapsed="false">
      <c r="A17" s="5" t="n">
        <v>9</v>
      </c>
      <c r="B17" s="6" t="n">
        <v>46234</v>
      </c>
      <c r="C17" s="7" t="s">
        <v>29</v>
      </c>
      <c r="D17" s="7" t="s">
        <v>52</v>
      </c>
      <c r="E17" s="8" t="s">
        <v>53</v>
      </c>
      <c r="F17" s="9" t="s">
        <v>54</v>
      </c>
      <c r="G17" s="6" t="n">
        <v>46226</v>
      </c>
      <c r="H17" s="5" t="s">
        <v>33</v>
      </c>
      <c r="I17" s="10" t="s">
        <v>55</v>
      </c>
      <c r="J17" s="11" t="n">
        <v>5636</v>
      </c>
      <c r="K17" s="7" t="s">
        <v>56</v>
      </c>
      <c r="L17" s="12" t="s">
        <v>53</v>
      </c>
      <c r="M17" s="5" t="s">
        <v>33</v>
      </c>
      <c r="N17" s="5" t="n">
        <v>5956</v>
      </c>
      <c r="O17" s="5" t="n">
        <v>16</v>
      </c>
      <c r="P17" s="5"/>
      <c r="Q17" s="5"/>
      <c r="R17" s="5"/>
      <c r="S17" s="5"/>
      <c r="T17" s="13" t="n">
        <v>176</v>
      </c>
      <c r="U17" s="13" t="n">
        <v>839</v>
      </c>
      <c r="V17" s="13"/>
      <c r="W17" s="13" t="n">
        <v>1375.96</v>
      </c>
      <c r="X17" s="13" t="n">
        <f aca="false">J17-N(U17)</f>
        <v>4797</v>
      </c>
      <c r="Y17" s="14" t="n">
        <f aca="false">IFERROR(N(U17)/X17,0)</f>
        <v>0.174900979779029</v>
      </c>
      <c r="Z17" s="11" t="n">
        <f aca="false">J17-N(V17)-N(W17)</f>
        <v>4260.04</v>
      </c>
      <c r="AA17" s="14" t="n">
        <f aca="false">IFERROR(Z17/J17,0)</f>
        <v>0.755862313697658</v>
      </c>
    </row>
    <row r="20" customFormat="false" ht="30" hidden="false" customHeight="true" outlineLevel="0" collapsed="false">
      <c r="A20" s="15" t="n">
        <v>18</v>
      </c>
      <c r="B20" s="16" t="n">
        <v>46247</v>
      </c>
      <c r="C20" s="17" t="s">
        <v>29</v>
      </c>
      <c r="D20" s="17" t="s">
        <v>30</v>
      </c>
      <c r="E20" s="18" t="s">
        <v>57</v>
      </c>
      <c r="F20" s="19" t="s">
        <v>58</v>
      </c>
      <c r="G20" s="16" t="n">
        <v>46239</v>
      </c>
      <c r="H20" s="15" t="s">
        <v>33</v>
      </c>
      <c r="I20" s="20" t="s">
        <v>59</v>
      </c>
      <c r="J20" s="21" t="n">
        <v>3261</v>
      </c>
      <c r="K20" s="17" t="s">
        <v>35</v>
      </c>
      <c r="L20" s="22" t="s">
        <v>57</v>
      </c>
      <c r="M20" s="15" t="s">
        <v>33</v>
      </c>
      <c r="N20" s="15" t="n">
        <v>5826</v>
      </c>
      <c r="O20" s="15" t="n">
        <v>12</v>
      </c>
      <c r="P20" s="15"/>
      <c r="Q20" s="15" t="n">
        <v>4</v>
      </c>
      <c r="R20" s="15"/>
      <c r="S20" s="15"/>
      <c r="T20" s="23" t="n">
        <v>1029</v>
      </c>
      <c r="U20" s="23" t="n">
        <v>334</v>
      </c>
      <c r="V20" s="23"/>
      <c r="W20" s="23"/>
      <c r="X20" s="23" t="n">
        <f aca="false">J20-N(U20)</f>
        <v>2927</v>
      </c>
      <c r="Y20" s="24" t="n">
        <f aca="false">IFERROR(N(U20)/X20,0)</f>
        <v>0.114110010249402</v>
      </c>
      <c r="Z20" s="21" t="n">
        <f aca="false">J20-N(V20)-N(W20)</f>
        <v>3261</v>
      </c>
      <c r="AA20" s="24" t="n">
        <f aca="false">IFERROR(Z20/J20,0)</f>
        <v>1</v>
      </c>
    </row>
    <row r="23" customFormat="false" ht="30" hidden="false" customHeight="true" outlineLevel="0" collapsed="false">
      <c r="A23" s="5" t="n">
        <v>20</v>
      </c>
      <c r="B23" s="6" t="n">
        <v>46247</v>
      </c>
      <c r="C23" s="7" t="s">
        <v>29</v>
      </c>
      <c r="D23" s="7" t="s">
        <v>60</v>
      </c>
      <c r="E23" s="8" t="s">
        <v>61</v>
      </c>
      <c r="F23" s="9" t="s">
        <v>62</v>
      </c>
      <c r="G23" s="6" t="n">
        <v>46240</v>
      </c>
      <c r="H23" s="5" t="s">
        <v>33</v>
      </c>
      <c r="I23" s="10" t="s">
        <v>63</v>
      </c>
      <c r="J23" s="11" t="n">
        <v>1650</v>
      </c>
      <c r="K23" s="7" t="s">
        <v>40</v>
      </c>
      <c r="L23" s="12" t="s">
        <v>61</v>
      </c>
      <c r="M23" s="5" t="s">
        <v>33</v>
      </c>
      <c r="N23" s="5" t="n">
        <v>6128</v>
      </c>
      <c r="O23" s="5" t="n">
        <v>10</v>
      </c>
      <c r="P23" s="5" t="n">
        <v>1</v>
      </c>
      <c r="Q23" s="5" t="n">
        <v>4</v>
      </c>
      <c r="R23" s="5"/>
      <c r="S23" s="5"/>
      <c r="T23" s="13" t="n">
        <v>485</v>
      </c>
      <c r="U23" s="13"/>
      <c r="V23" s="13" t="n">
        <v>1092.36</v>
      </c>
      <c r="W23" s="13"/>
      <c r="X23" s="13" t="n">
        <f aca="false">J23-N(U23)</f>
        <v>1650</v>
      </c>
      <c r="Y23" s="14" t="n">
        <f aca="false">IFERROR(N(U23)/X23,0)</f>
        <v>0</v>
      </c>
      <c r="Z23" s="11" t="n">
        <f aca="false">J23-N(V23)-N(W23)</f>
        <v>557.64</v>
      </c>
      <c r="AA23" s="14" t="n">
        <f aca="false">IFERROR(Z23/J23,0)</f>
        <v>0.337963636363636</v>
      </c>
    </row>
    <row r="26" customFormat="false" ht="30" hidden="false" customHeight="true" outlineLevel="0" collapsed="false">
      <c r="A26" s="15" t="n">
        <v>22</v>
      </c>
      <c r="B26" s="16" t="n">
        <v>46255</v>
      </c>
      <c r="C26" s="17" t="s">
        <v>29</v>
      </c>
      <c r="D26" s="17" t="s">
        <v>64</v>
      </c>
      <c r="E26" s="18" t="s">
        <v>65</v>
      </c>
      <c r="F26" s="19" t="s">
        <v>66</v>
      </c>
      <c r="G26" s="16" t="n">
        <v>46245</v>
      </c>
      <c r="H26" s="15" t="s">
        <v>33</v>
      </c>
      <c r="I26" s="20" t="s">
        <v>67</v>
      </c>
      <c r="J26" s="21" t="n">
        <v>8260.35</v>
      </c>
      <c r="K26" s="17" t="s">
        <v>68</v>
      </c>
      <c r="L26" s="22" t="s">
        <v>65</v>
      </c>
      <c r="M26" s="15" t="s">
        <v>33</v>
      </c>
      <c r="N26" s="15" t="n">
        <v>6084</v>
      </c>
      <c r="O26" s="15" t="n">
        <v>37</v>
      </c>
      <c r="P26" s="15" t="n">
        <v>2</v>
      </c>
      <c r="Q26" s="15" t="n">
        <v>7</v>
      </c>
      <c r="R26" s="15"/>
      <c r="S26" s="15"/>
      <c r="T26" s="23" t="n">
        <v>1977.35</v>
      </c>
      <c r="U26" s="23" t="n">
        <v>2104.4</v>
      </c>
      <c r="V26" s="23"/>
      <c r="W26" s="23"/>
      <c r="X26" s="23" t="n">
        <f aca="false">J26-N(U26)</f>
        <v>6155.95</v>
      </c>
      <c r="Y26" s="24" t="n">
        <f aca="false">IFERROR(N(U26)/X26,0)</f>
        <v>0.341848130670327</v>
      </c>
      <c r="Z26" s="21" t="n">
        <f aca="false">J26-N(V26)-N(W26)</f>
        <v>8260.35</v>
      </c>
      <c r="AA26" s="24" t="n">
        <f aca="false">IFERROR(Z26/J26,0)</f>
        <v>1</v>
      </c>
    </row>
    <row r="29" customFormat="false" ht="30" hidden="false" customHeight="true" outlineLevel="0" collapsed="false">
      <c r="A29" s="5" t="n">
        <v>23</v>
      </c>
      <c r="B29" s="6" t="n">
        <v>46259</v>
      </c>
      <c r="C29" s="7" t="s">
        <v>29</v>
      </c>
      <c r="D29" s="7" t="s">
        <v>60</v>
      </c>
      <c r="E29" s="8" t="s">
        <v>69</v>
      </c>
      <c r="F29" s="9" t="s">
        <v>70</v>
      </c>
      <c r="G29" s="6" t="n">
        <v>46245</v>
      </c>
      <c r="H29" s="5" t="s">
        <v>33</v>
      </c>
      <c r="I29" s="10" t="s">
        <v>71</v>
      </c>
      <c r="J29" s="11" t="n">
        <v>4300</v>
      </c>
      <c r="K29" s="7" t="s">
        <v>40</v>
      </c>
      <c r="L29" s="12" t="s">
        <v>69</v>
      </c>
      <c r="M29" s="5" t="s">
        <v>33</v>
      </c>
      <c r="N29" s="5" t="n">
        <v>6134</v>
      </c>
      <c r="O29" s="5" t="n">
        <v>9</v>
      </c>
      <c r="P29" s="5"/>
      <c r="Q29" s="5" t="n">
        <v>9</v>
      </c>
      <c r="R29" s="5"/>
      <c r="S29" s="5"/>
      <c r="T29" s="13" t="n">
        <v>1065</v>
      </c>
      <c r="U29" s="13"/>
      <c r="V29" s="13" t="n">
        <v>1092.36</v>
      </c>
      <c r="W29" s="13"/>
      <c r="X29" s="13" t="n">
        <f aca="false">J29-N(U29)</f>
        <v>4300</v>
      </c>
      <c r="Y29" s="14" t="n">
        <f aca="false">IFERROR(N(U29)/X29,0)</f>
        <v>0</v>
      </c>
      <c r="Z29" s="11" t="n">
        <f aca="false">J29-N(V29)-N(W29)</f>
        <v>3207.64</v>
      </c>
      <c r="AA29" s="14" t="n">
        <f aca="false">IFERROR(Z29/J29,0)</f>
        <v>0.745962790697675</v>
      </c>
    </row>
    <row r="32" customFormat="false" ht="30" hidden="false" customHeight="true" outlineLevel="0" collapsed="false">
      <c r="A32" s="15" t="n">
        <v>24</v>
      </c>
      <c r="B32" s="16" t="n">
        <v>46259</v>
      </c>
      <c r="C32" s="17" t="s">
        <v>29</v>
      </c>
      <c r="D32" s="17" t="s">
        <v>72</v>
      </c>
      <c r="E32" s="18" t="s">
        <v>73</v>
      </c>
      <c r="F32" s="19" t="s">
        <v>74</v>
      </c>
      <c r="G32" s="16" t="n">
        <v>46246</v>
      </c>
      <c r="H32" s="15" t="s">
        <v>33</v>
      </c>
      <c r="I32" s="20" t="s">
        <v>75</v>
      </c>
      <c r="J32" s="21" t="n">
        <v>28652.25</v>
      </c>
      <c r="K32" s="17" t="s">
        <v>76</v>
      </c>
      <c r="L32" s="22" t="s">
        <v>73</v>
      </c>
      <c r="M32" s="15" t="s">
        <v>33</v>
      </c>
      <c r="N32" s="15" t="s">
        <v>77</v>
      </c>
      <c r="O32" s="15" t="n">
        <v>104</v>
      </c>
      <c r="P32" s="15" t="n">
        <v>12</v>
      </c>
      <c r="Q32" s="15" t="n">
        <v>8</v>
      </c>
      <c r="R32" s="15"/>
      <c r="S32" s="15"/>
      <c r="T32" s="23" t="n">
        <v>3017</v>
      </c>
      <c r="U32" s="23" t="n">
        <v>5271.5</v>
      </c>
      <c r="V32" s="23" t="n">
        <v>980.16</v>
      </c>
      <c r="W32" s="23"/>
      <c r="X32" s="23" t="n">
        <f aca="false">J32-N(U32)</f>
        <v>23380.75</v>
      </c>
      <c r="Y32" s="24" t="n">
        <f aca="false">IFERROR(N(U32)/X32,0)</f>
        <v>0.225463255028175</v>
      </c>
      <c r="Z32" s="21" t="n">
        <f aca="false">J32-N(V32)-N(W32)</f>
        <v>27672.09</v>
      </c>
      <c r="AA32" s="24" t="n">
        <f aca="false">IFERROR(Z32/J32,0)</f>
        <v>0.965791168232861</v>
      </c>
    </row>
    <row r="35" customFormat="false" ht="30" hidden="false" customHeight="true" outlineLevel="0" collapsed="false">
      <c r="A35" s="5" t="n">
        <v>25</v>
      </c>
      <c r="B35" s="6" t="n">
        <v>46247</v>
      </c>
      <c r="C35" s="7" t="s">
        <v>29</v>
      </c>
      <c r="D35" s="7" t="s">
        <v>78</v>
      </c>
      <c r="E35" s="8" t="s">
        <v>79</v>
      </c>
      <c r="F35" s="9" t="s">
        <v>80</v>
      </c>
      <c r="G35" s="6" t="n">
        <v>46246</v>
      </c>
      <c r="H35" s="5" t="s">
        <v>33</v>
      </c>
      <c r="I35" s="10" t="s">
        <v>81</v>
      </c>
      <c r="J35" s="11" t="n">
        <v>12170</v>
      </c>
      <c r="K35" s="7" t="s">
        <v>82</v>
      </c>
      <c r="L35" s="12" t="s">
        <v>79</v>
      </c>
      <c r="M35" s="5" t="s">
        <v>33</v>
      </c>
      <c r="N35" s="5" t="n">
        <v>6093</v>
      </c>
      <c r="O35" s="5" t="n">
        <v>16</v>
      </c>
      <c r="P35" s="5"/>
      <c r="Q35" s="5"/>
      <c r="R35" s="5"/>
      <c r="S35" s="5"/>
      <c r="T35" s="13" t="n">
        <v>850</v>
      </c>
      <c r="U35" s="13" t="n">
        <v>1680</v>
      </c>
      <c r="V35" s="13" t="n">
        <v>3111.2</v>
      </c>
      <c r="W35" s="13"/>
      <c r="X35" s="13" t="n">
        <f aca="false">J35-N(U35)</f>
        <v>10490</v>
      </c>
      <c r="Y35" s="14" t="n">
        <f aca="false">IFERROR(N(U35)/X35,0)</f>
        <v>0.160152526215443</v>
      </c>
      <c r="Z35" s="11" t="n">
        <f aca="false">J35-N(V35)-N(W35)</f>
        <v>9058.8</v>
      </c>
      <c r="AA35" s="14" t="n">
        <f aca="false">IFERROR(Z35/J35,0)</f>
        <v>0.744354971240756</v>
      </c>
    </row>
    <row r="38" customFormat="false" ht="30" hidden="false" customHeight="true" outlineLevel="0" collapsed="false">
      <c r="A38" s="15" t="n">
        <v>26</v>
      </c>
      <c r="B38" s="16" t="n">
        <v>46255</v>
      </c>
      <c r="C38" s="17" t="s">
        <v>29</v>
      </c>
      <c r="D38" s="17" t="s">
        <v>83</v>
      </c>
      <c r="E38" s="18" t="s">
        <v>84</v>
      </c>
      <c r="F38" s="19" t="s">
        <v>85</v>
      </c>
      <c r="G38" s="16" t="n">
        <v>46246</v>
      </c>
      <c r="H38" s="15" t="s">
        <v>33</v>
      </c>
      <c r="I38" s="20" t="s">
        <v>86</v>
      </c>
      <c r="J38" s="21" t="n">
        <v>14271.5</v>
      </c>
      <c r="K38" s="17" t="s">
        <v>87</v>
      </c>
      <c r="L38" s="22" t="s">
        <v>84</v>
      </c>
      <c r="M38" s="15" t="s">
        <v>33</v>
      </c>
      <c r="N38" s="15" t="s">
        <v>88</v>
      </c>
      <c r="O38" s="15" t="n">
        <v>18</v>
      </c>
      <c r="P38" s="15"/>
      <c r="Q38" s="15"/>
      <c r="R38" s="15" t="n">
        <v>8</v>
      </c>
      <c r="S38" s="15"/>
      <c r="T38" s="23" t="n">
        <v>1806</v>
      </c>
      <c r="U38" s="23" t="n">
        <v>2351.5</v>
      </c>
      <c r="V38" s="23" t="n">
        <v>3520.25</v>
      </c>
      <c r="W38" s="23"/>
      <c r="X38" s="23" t="n">
        <f aca="false">J38-N(U38)</f>
        <v>11920</v>
      </c>
      <c r="Y38" s="24" t="n">
        <f aca="false">IFERROR(N(U38)/X38,0)</f>
        <v>0.197273489932886</v>
      </c>
      <c r="Z38" s="21" t="n">
        <f aca="false">J38-N(V38)-N(W38)</f>
        <v>10751.25</v>
      </c>
      <c r="AA38" s="24" t="n">
        <f aca="false">IFERROR(Z38/J38,0)</f>
        <v>0.753337070385033</v>
      </c>
    </row>
    <row r="41" customFormat="false" ht="30" hidden="false" customHeight="true" outlineLevel="0" collapsed="false">
      <c r="A41" s="5" t="n">
        <v>28</v>
      </c>
      <c r="B41" s="6" t="n">
        <v>46255</v>
      </c>
      <c r="C41" s="7" t="s">
        <v>29</v>
      </c>
      <c r="D41" s="7" t="s">
        <v>89</v>
      </c>
      <c r="E41" s="8" t="s">
        <v>90</v>
      </c>
      <c r="F41" s="9" t="s">
        <v>91</v>
      </c>
      <c r="G41" s="6" t="n">
        <v>46247</v>
      </c>
      <c r="H41" s="5" t="s">
        <v>33</v>
      </c>
      <c r="I41" s="10" t="s">
        <v>92</v>
      </c>
      <c r="J41" s="11" t="n">
        <v>1510</v>
      </c>
      <c r="K41" s="7" t="s">
        <v>93</v>
      </c>
      <c r="L41" s="12" t="s">
        <v>90</v>
      </c>
      <c r="M41" s="5" t="s">
        <v>33</v>
      </c>
      <c r="N41" s="5" t="n">
        <v>6138</v>
      </c>
      <c r="O41" s="5" t="n">
        <v>6</v>
      </c>
      <c r="P41" s="5" t="n">
        <v>2</v>
      </c>
      <c r="Q41" s="5" t="n">
        <v>4</v>
      </c>
      <c r="R41" s="5"/>
      <c r="S41" s="5"/>
      <c r="T41" s="13" t="n">
        <v>485</v>
      </c>
      <c r="U41" s="13" t="n">
        <v>25</v>
      </c>
      <c r="V41" s="13"/>
      <c r="W41" s="13"/>
      <c r="X41" s="13" t="n">
        <f aca="false">J41-N(U41)</f>
        <v>1485</v>
      </c>
      <c r="Y41" s="14" t="n">
        <f aca="false">IFERROR(N(U41)/X41,0)</f>
        <v>0.0168350168350168</v>
      </c>
      <c r="Z41" s="11" t="n">
        <f aca="false">J41-N(V41)-N(W41)</f>
        <v>1510</v>
      </c>
      <c r="AA41" s="14" t="n">
        <f aca="false">IFERROR(Z41/J41,0)</f>
        <v>1</v>
      </c>
    </row>
    <row r="44" customFormat="false" ht="30" hidden="false" customHeight="true" outlineLevel="0" collapsed="false">
      <c r="A44" s="15" t="n">
        <v>29</v>
      </c>
      <c r="B44" s="16" t="n">
        <v>46255</v>
      </c>
      <c r="C44" s="17" t="s">
        <v>29</v>
      </c>
      <c r="D44" s="17" t="s">
        <v>89</v>
      </c>
      <c r="E44" s="18" t="s">
        <v>94</v>
      </c>
      <c r="F44" s="19" t="s">
        <v>95</v>
      </c>
      <c r="G44" s="16" t="n">
        <v>46247</v>
      </c>
      <c r="H44" s="15" t="s">
        <v>33</v>
      </c>
      <c r="I44" s="20" t="s">
        <v>96</v>
      </c>
      <c r="J44" s="21" t="n">
        <v>37579</v>
      </c>
      <c r="K44" s="17" t="s">
        <v>97</v>
      </c>
      <c r="L44" s="22" t="s">
        <v>94</v>
      </c>
      <c r="M44" s="15" t="s">
        <v>33</v>
      </c>
      <c r="N44" s="15" t="n">
        <v>6045</v>
      </c>
      <c r="O44" s="15" t="n">
        <v>78</v>
      </c>
      <c r="P44" s="15" t="n">
        <v>6</v>
      </c>
      <c r="Q44" s="15"/>
      <c r="R44" s="15"/>
      <c r="S44" s="15"/>
      <c r="T44" s="23" t="n">
        <v>3357</v>
      </c>
      <c r="U44" s="23" t="n">
        <v>2181</v>
      </c>
      <c r="V44" s="23" t="n">
        <v>5005.78</v>
      </c>
      <c r="W44" s="23"/>
      <c r="X44" s="23" t="n">
        <f aca="false">J44-N(U44)</f>
        <v>35398</v>
      </c>
      <c r="Y44" s="24" t="n">
        <f aca="false">IFERROR(N(U44)/X44,0)</f>
        <v>0.0616136504887282</v>
      </c>
      <c r="Z44" s="21" t="n">
        <f aca="false">J44-N(V44)-N(W44)</f>
        <v>32573.22</v>
      </c>
      <c r="AA44" s="24" t="n">
        <f aca="false">IFERROR(Z44/J44,0)</f>
        <v>0.866793155751883</v>
      </c>
    </row>
    <row r="47" customFormat="false" ht="30" hidden="false" customHeight="true" outlineLevel="0" collapsed="false">
      <c r="A47" s="5" t="n">
        <v>30</v>
      </c>
      <c r="B47" s="6" t="n">
        <v>46261</v>
      </c>
      <c r="C47" s="7" t="s">
        <v>41</v>
      </c>
      <c r="D47" s="7" t="s">
        <v>89</v>
      </c>
      <c r="E47" s="8" t="s">
        <v>98</v>
      </c>
      <c r="F47" s="9" t="s">
        <v>99</v>
      </c>
      <c r="G47" s="6" t="n">
        <v>46252</v>
      </c>
      <c r="H47" s="5" t="s">
        <v>33</v>
      </c>
      <c r="I47" s="10" t="s">
        <v>100</v>
      </c>
      <c r="J47" s="11" t="n">
        <v>4601.7</v>
      </c>
      <c r="K47" s="7" t="s">
        <v>101</v>
      </c>
      <c r="L47" s="12" t="s">
        <v>98</v>
      </c>
      <c r="M47" s="5" t="s">
        <v>33</v>
      </c>
      <c r="N47" s="5" t="n">
        <v>6130</v>
      </c>
      <c r="O47" s="5" t="n">
        <v>8</v>
      </c>
      <c r="P47" s="5"/>
      <c r="Q47" s="5" t="n">
        <v>8</v>
      </c>
      <c r="R47" s="5" t="n">
        <v>8</v>
      </c>
      <c r="S47" s="5"/>
      <c r="T47" s="13" t="n">
        <v>4221.7</v>
      </c>
      <c r="U47" s="13" t="n">
        <v>148.8</v>
      </c>
      <c r="V47" s="13"/>
      <c r="W47" s="13"/>
      <c r="X47" s="13" t="n">
        <f aca="false">J47-N(U47)</f>
        <v>4452.9</v>
      </c>
      <c r="Y47" s="14" t="n">
        <f aca="false">IFERROR(N(U47)/X47,0)</f>
        <v>0.0334164252509601</v>
      </c>
      <c r="Z47" s="11" t="n">
        <f aca="false">J47-N(V47)-N(W47)</f>
        <v>4601.7</v>
      </c>
      <c r="AA47" s="14" t="n">
        <f aca="false">IFERROR(Z47/J47,0)</f>
        <v>1</v>
      </c>
    </row>
    <row r="50" customFormat="false" ht="30" hidden="false" customHeight="true" outlineLevel="0" collapsed="false">
      <c r="A50" s="15" t="n">
        <v>34</v>
      </c>
      <c r="B50" s="16" t="n">
        <v>46259</v>
      </c>
      <c r="C50" s="17" t="s">
        <v>29</v>
      </c>
      <c r="D50" s="17" t="s">
        <v>102</v>
      </c>
      <c r="E50" s="18" t="s">
        <v>103</v>
      </c>
      <c r="F50" s="19" t="s">
        <v>104</v>
      </c>
      <c r="G50" s="16" t="n">
        <v>46253</v>
      </c>
      <c r="H50" s="15" t="s">
        <v>33</v>
      </c>
      <c r="I50" s="20" t="s">
        <v>105</v>
      </c>
      <c r="J50" s="21" t="n">
        <v>13661</v>
      </c>
      <c r="K50" s="17" t="s">
        <v>106</v>
      </c>
      <c r="L50" s="22" t="s">
        <v>103</v>
      </c>
      <c r="M50" s="15" t="s">
        <v>33</v>
      </c>
      <c r="N50" s="15" t="n">
        <v>5853</v>
      </c>
      <c r="O50" s="15" t="n">
        <v>25</v>
      </c>
      <c r="P50" s="15" t="n">
        <v>2</v>
      </c>
      <c r="Q50" s="15"/>
      <c r="R50" s="15" t="n">
        <v>4</v>
      </c>
      <c r="S50" s="15"/>
      <c r="T50" s="23" t="n">
        <v>674</v>
      </c>
      <c r="U50" s="23" t="n">
        <v>611.5</v>
      </c>
      <c r="V50" s="23" t="n">
        <v>4272.26</v>
      </c>
      <c r="W50" s="23"/>
      <c r="X50" s="23" t="n">
        <f aca="false">J50-N(U50)</f>
        <v>13049.5</v>
      </c>
      <c r="Y50" s="24" t="n">
        <f aca="false">IFERROR(N(U50)/X50,0)</f>
        <v>0.0468600329514541</v>
      </c>
      <c r="Z50" s="21" t="n">
        <f aca="false">J50-N(V50)-N(W50)</f>
        <v>9388.74</v>
      </c>
      <c r="AA50" s="24" t="n">
        <f aca="false">IFERROR(Z50/J50,0)</f>
        <v>0.687265939535905</v>
      </c>
    </row>
    <row r="53" customFormat="false" ht="30" hidden="false" customHeight="true" outlineLevel="0" collapsed="false">
      <c r="A53" s="5" t="n">
        <v>35</v>
      </c>
      <c r="B53" s="6" t="n">
        <v>46259</v>
      </c>
      <c r="C53" s="7" t="s">
        <v>29</v>
      </c>
      <c r="D53" s="7" t="s">
        <v>107</v>
      </c>
      <c r="E53" s="8" t="s">
        <v>108</v>
      </c>
      <c r="F53" s="9" t="s">
        <v>109</v>
      </c>
      <c r="G53" s="6" t="n">
        <v>46254</v>
      </c>
      <c r="H53" s="5" t="s">
        <v>33</v>
      </c>
      <c r="I53" s="10" t="s">
        <v>110</v>
      </c>
      <c r="J53" s="11" t="n">
        <v>11644.25</v>
      </c>
      <c r="K53" s="7" t="s">
        <v>111</v>
      </c>
      <c r="L53" s="12" t="s">
        <v>108</v>
      </c>
      <c r="M53" s="5" t="s">
        <v>33</v>
      </c>
      <c r="N53" s="5" t="n">
        <v>6092</v>
      </c>
      <c r="O53" s="5" t="n">
        <v>18</v>
      </c>
      <c r="P53" s="5" t="n">
        <v>3</v>
      </c>
      <c r="Q53" s="5"/>
      <c r="R53" s="5"/>
      <c r="S53" s="5"/>
      <c r="T53" s="13" t="n">
        <v>263.5</v>
      </c>
      <c r="U53" s="13" t="n">
        <v>885.75</v>
      </c>
      <c r="V53" s="13" t="n">
        <v>1221.04</v>
      </c>
      <c r="W53" s="13"/>
      <c r="X53" s="13" t="n">
        <f aca="false">J53-N(U53)</f>
        <v>10758.5</v>
      </c>
      <c r="Y53" s="14" t="n">
        <f aca="false">IFERROR(N(U53)/X53,0)</f>
        <v>0.082330250499605</v>
      </c>
      <c r="Z53" s="11" t="n">
        <f aca="false">J53-N(V53)-N(W53)</f>
        <v>10423.21</v>
      </c>
      <c r="AA53" s="14" t="n">
        <f aca="false">IFERROR(Z53/J53,0)</f>
        <v>0.895137943620242</v>
      </c>
    </row>
    <row r="56" customFormat="false" ht="30" hidden="false" customHeight="true" outlineLevel="0" collapsed="false">
      <c r="A56" s="15"/>
      <c r="B56" s="16"/>
      <c r="C56" s="17" t="s">
        <v>29</v>
      </c>
      <c r="D56" s="17" t="s">
        <v>112</v>
      </c>
      <c r="E56" s="18" t="s">
        <v>113</v>
      </c>
      <c r="F56" s="19" t="s">
        <v>114</v>
      </c>
      <c r="G56" s="16" t="n">
        <v>46254</v>
      </c>
      <c r="H56" s="15" t="s">
        <v>33</v>
      </c>
      <c r="I56" s="20" t="s">
        <v>115</v>
      </c>
      <c r="J56" s="21" t="n">
        <v>12600.6</v>
      </c>
      <c r="K56" s="17" t="s">
        <v>116</v>
      </c>
      <c r="L56" s="22" t="s">
        <v>113</v>
      </c>
      <c r="M56" s="15" t="s">
        <v>33</v>
      </c>
      <c r="N56" s="15" t="n">
        <v>6073</v>
      </c>
      <c r="O56" s="15" t="n">
        <v>45</v>
      </c>
      <c r="P56" s="15" t="n">
        <v>6</v>
      </c>
      <c r="Q56" s="15" t="n">
        <v>5</v>
      </c>
      <c r="R56" s="15"/>
      <c r="S56" s="15"/>
      <c r="T56" s="23" t="n">
        <v>1261.6</v>
      </c>
      <c r="U56" s="23" t="n">
        <v>1651.4</v>
      </c>
      <c r="V56" s="23"/>
      <c r="W56" s="23"/>
      <c r="X56" s="23" t="n">
        <f aca="false">J56-N(U56)</f>
        <v>10949.2</v>
      </c>
      <c r="Y56" s="24" t="n">
        <f aca="false">IFERROR(N(U56)/X56,0)</f>
        <v>0.150823804478866</v>
      </c>
      <c r="Z56" s="21" t="n">
        <f aca="false">J56-N(V56)-N(W56)</f>
        <v>12600.6</v>
      </c>
      <c r="AA56" s="24" t="n">
        <f aca="false">IFERROR(Z56/J56,0)</f>
        <v>1</v>
      </c>
    </row>
    <row r="59" customFormat="false" ht="30" hidden="false" customHeight="true" outlineLevel="0" collapsed="false">
      <c r="A59" s="5" t="n">
        <v>39</v>
      </c>
      <c r="B59" s="6" t="n">
        <v>46265</v>
      </c>
      <c r="C59" s="7" t="s">
        <v>29</v>
      </c>
      <c r="D59" s="7" t="s">
        <v>117</v>
      </c>
      <c r="E59" s="8" t="s">
        <v>118</v>
      </c>
      <c r="F59" s="9" t="s">
        <v>119</v>
      </c>
      <c r="G59" s="6" t="n">
        <v>46258</v>
      </c>
      <c r="H59" s="5" t="s">
        <v>33</v>
      </c>
      <c r="I59" s="10" t="s">
        <v>120</v>
      </c>
      <c r="J59" s="11" t="n">
        <v>13401.5</v>
      </c>
      <c r="K59" s="7" t="s">
        <v>121</v>
      </c>
      <c r="L59" s="12" t="s">
        <v>118</v>
      </c>
      <c r="M59" s="5" t="s">
        <v>33</v>
      </c>
      <c r="N59" s="5" t="n">
        <v>6095</v>
      </c>
      <c r="O59" s="5" t="n">
        <v>41</v>
      </c>
      <c r="P59" s="5"/>
      <c r="Q59" s="5" t="n">
        <v>4</v>
      </c>
      <c r="R59" s="5"/>
      <c r="S59" s="5"/>
      <c r="T59" s="13" t="n">
        <v>1771</v>
      </c>
      <c r="U59" s="13" t="n">
        <v>524.5</v>
      </c>
      <c r="V59" s="13" t="n">
        <v>1350</v>
      </c>
      <c r="W59" s="13"/>
      <c r="X59" s="13" t="n">
        <f aca="false">J59-N(U59)</f>
        <v>12877</v>
      </c>
      <c r="Y59" s="14" t="n">
        <f aca="false">IFERROR(N(U59)/X59,0)</f>
        <v>0.0407315368486449</v>
      </c>
      <c r="Z59" s="11" t="n">
        <f aca="false">J59-N(V59)-N(W59)</f>
        <v>12051.5</v>
      </c>
      <c r="AA59" s="14" t="n">
        <f aca="false">IFERROR(Z59/J59,0)</f>
        <v>0.899265007648398</v>
      </c>
    </row>
    <row r="62" customFormat="false" ht="30" hidden="false" customHeight="true" outlineLevel="0" collapsed="false">
      <c r="A62" s="15" t="n">
        <v>41</v>
      </c>
      <c r="B62" s="16" t="n">
        <v>46265</v>
      </c>
      <c r="C62" s="17" t="s">
        <v>29</v>
      </c>
      <c r="D62" s="17" t="s">
        <v>122</v>
      </c>
      <c r="E62" s="18" t="s">
        <v>123</v>
      </c>
      <c r="F62" s="19" t="s">
        <v>124</v>
      </c>
      <c r="G62" s="16" t="n">
        <v>46259</v>
      </c>
      <c r="H62" s="15" t="s">
        <v>33</v>
      </c>
      <c r="I62" s="20" t="s">
        <v>125</v>
      </c>
      <c r="J62" s="21" t="n">
        <v>24413.75</v>
      </c>
      <c r="K62" s="17" t="s">
        <v>111</v>
      </c>
      <c r="L62" s="22" t="s">
        <v>123</v>
      </c>
      <c r="M62" s="15" t="s">
        <v>33</v>
      </c>
      <c r="N62" s="15" t="n">
        <v>6144</v>
      </c>
      <c r="O62" s="15" t="n">
        <v>37</v>
      </c>
      <c r="P62" s="15" t="n">
        <v>3</v>
      </c>
      <c r="Q62" s="15" t="n">
        <v>5</v>
      </c>
      <c r="R62" s="15"/>
      <c r="S62" s="15"/>
      <c r="T62" s="23" t="n">
        <v>1785</v>
      </c>
      <c r="U62" s="23" t="n">
        <v>2281.25</v>
      </c>
      <c r="V62" s="23" t="n">
        <v>14754.3</v>
      </c>
      <c r="W62" s="23"/>
      <c r="X62" s="23" t="n">
        <f aca="false">J62-N(U62)</f>
        <v>22132.5</v>
      </c>
      <c r="Y62" s="24" t="n">
        <f aca="false">IFERROR(N(U62)/X62,0)</f>
        <v>0.103072404834519</v>
      </c>
      <c r="Z62" s="21" t="n">
        <f aca="false">J62-N(V62)-N(W62)</f>
        <v>9659.45</v>
      </c>
      <c r="AA62" s="24" t="n">
        <f aca="false">IFERROR(Z62/J62,0)</f>
        <v>0.395656136398546</v>
      </c>
    </row>
    <row r="65" customFormat="false" ht="30" hidden="false" customHeight="true" outlineLevel="0" collapsed="false">
      <c r="A65" s="5" t="n">
        <v>42</v>
      </c>
      <c r="B65" s="6" t="n">
        <v>46253</v>
      </c>
      <c r="C65" s="7" t="s">
        <v>29</v>
      </c>
      <c r="D65" s="7" t="s">
        <v>126</v>
      </c>
      <c r="E65" s="8" t="s">
        <v>127</v>
      </c>
      <c r="F65" s="9" t="s">
        <v>128</v>
      </c>
      <c r="G65" s="6" t="n">
        <v>46259</v>
      </c>
      <c r="H65" s="5" t="s">
        <v>33</v>
      </c>
      <c r="I65" s="10" t="s">
        <v>129</v>
      </c>
      <c r="J65" s="11" t="n">
        <v>13347</v>
      </c>
      <c r="K65" s="7" t="s">
        <v>130</v>
      </c>
      <c r="L65" s="12" t="s">
        <v>127</v>
      </c>
      <c r="M65" s="5" t="s">
        <v>33</v>
      </c>
      <c r="N65" s="5" t="n">
        <v>6044</v>
      </c>
      <c r="O65" s="5" t="n">
        <v>22</v>
      </c>
      <c r="P65" s="5" t="n">
        <v>2</v>
      </c>
      <c r="Q65" s="5"/>
      <c r="R65" s="5"/>
      <c r="S65" s="5"/>
      <c r="T65" s="13" t="n">
        <v>86.5</v>
      </c>
      <c r="U65" s="13" t="n">
        <v>3563</v>
      </c>
      <c r="V65" s="13" t="n">
        <v>1874</v>
      </c>
      <c r="W65" s="13"/>
      <c r="X65" s="13" t="n">
        <f aca="false">J65-N(U65)</f>
        <v>9784</v>
      </c>
      <c r="Y65" s="14" t="n">
        <f aca="false">IFERROR(N(U65)/X65,0)</f>
        <v>0.364165985282093</v>
      </c>
      <c r="Z65" s="11" t="n">
        <f aca="false">J65-N(V65)-N(W65)</f>
        <v>11473</v>
      </c>
      <c r="AA65" s="14" t="n">
        <f aca="false">IFERROR(Z65/J65,0)</f>
        <v>0.859593916235858</v>
      </c>
    </row>
    <row r="68" customFormat="false" ht="30" hidden="false" customHeight="true" outlineLevel="0" collapsed="false">
      <c r="A68" s="15" t="n">
        <v>48</v>
      </c>
      <c r="B68" s="16" t="n">
        <v>46218</v>
      </c>
      <c r="C68" s="17" t="s">
        <v>29</v>
      </c>
      <c r="D68" s="17" t="s">
        <v>112</v>
      </c>
      <c r="E68" s="18" t="s">
        <v>131</v>
      </c>
      <c r="F68" s="19" t="s">
        <v>132</v>
      </c>
      <c r="G68" s="16" t="s">
        <v>133</v>
      </c>
      <c r="H68" s="15" t="s">
        <v>33</v>
      </c>
      <c r="I68" s="20" t="s">
        <v>134</v>
      </c>
      <c r="J68" s="21" t="n">
        <v>54051.4</v>
      </c>
      <c r="K68" s="17"/>
      <c r="L68" s="22" t="s">
        <v>135</v>
      </c>
      <c r="M68" s="15" t="s">
        <v>33</v>
      </c>
      <c r="N68" s="15" t="s">
        <v>136</v>
      </c>
      <c r="O68" s="15"/>
      <c r="P68" s="15"/>
      <c r="Q68" s="15"/>
      <c r="R68" s="15"/>
      <c r="S68" s="15"/>
      <c r="T68" s="23" t="n">
        <v>4308</v>
      </c>
      <c r="U68" s="23"/>
      <c r="V68" s="23"/>
      <c r="W68" s="23"/>
      <c r="X68" s="23" t="n">
        <f aca="false">J68-N(U68)</f>
        <v>54051.4</v>
      </c>
      <c r="Y68" s="24" t="n">
        <f aca="false">IFERROR(N(U68)/X68,0)</f>
        <v>0</v>
      </c>
      <c r="Z68" s="21" t="n">
        <f aca="false">J68-N(V68)-N(W68)</f>
        <v>54051.4</v>
      </c>
      <c r="AA68" s="24" t="n">
        <f aca="false">IFERROR(Z68/J68,0)</f>
        <v>1</v>
      </c>
    </row>
    <row r="71" customFormat="false" ht="30" hidden="false" customHeight="true" outlineLevel="0" collapsed="false">
      <c r="A71" s="5"/>
      <c r="B71" s="6"/>
      <c r="C71" s="7" t="s">
        <v>29</v>
      </c>
      <c r="D71" s="7" t="s">
        <v>89</v>
      </c>
      <c r="E71" s="8" t="s">
        <v>137</v>
      </c>
      <c r="F71" s="9" t="s">
        <v>138</v>
      </c>
      <c r="G71" s="6" t="n">
        <v>46266</v>
      </c>
      <c r="H71" s="5" t="s">
        <v>33</v>
      </c>
      <c r="I71" s="10"/>
      <c r="J71" s="11" t="n">
        <v>4174</v>
      </c>
      <c r="K71" s="7" t="s">
        <v>139</v>
      </c>
      <c r="L71" s="12" t="s">
        <v>137</v>
      </c>
      <c r="M71" s="5" t="s">
        <v>33</v>
      </c>
      <c r="N71" s="5" t="n">
        <v>5849</v>
      </c>
      <c r="O71" s="5" t="n">
        <v>16</v>
      </c>
      <c r="P71" s="5"/>
      <c r="Q71" s="5"/>
      <c r="R71" s="5" t="n">
        <v>9</v>
      </c>
      <c r="S71" s="5"/>
      <c r="T71" s="13" t="n">
        <v>1500</v>
      </c>
      <c r="U71" s="13" t="n">
        <v>261</v>
      </c>
      <c r="V71" s="13"/>
      <c r="W71" s="13"/>
      <c r="X71" s="13" t="n">
        <f aca="false">J71-N(U71)</f>
        <v>3913</v>
      </c>
      <c r="Y71" s="14" t="n">
        <f aca="false">IFERROR(N(U71)/X71,0)</f>
        <v>0.0667007411193458</v>
      </c>
      <c r="Z71" s="11" t="n">
        <f aca="false">J71-N(V71)-N(W71)</f>
        <v>4174</v>
      </c>
      <c r="AA71" s="14" t="n">
        <f aca="false">IFERROR(Z71/J71,0)</f>
        <v>1</v>
      </c>
    </row>
    <row r="74" customFormat="false" ht="30" hidden="false" customHeight="true" outlineLevel="0" collapsed="false">
      <c r="A74" s="15"/>
      <c r="B74" s="16"/>
      <c r="C74" s="17" t="s">
        <v>29</v>
      </c>
      <c r="D74" s="17" t="s">
        <v>89</v>
      </c>
      <c r="E74" s="18" t="s">
        <v>140</v>
      </c>
      <c r="F74" s="19" t="s">
        <v>141</v>
      </c>
      <c r="G74" s="16" t="n">
        <v>46266</v>
      </c>
      <c r="H74" s="15" t="s">
        <v>33</v>
      </c>
      <c r="I74" s="20"/>
      <c r="J74" s="21" t="n">
        <v>7768</v>
      </c>
      <c r="K74" s="17" t="s">
        <v>93</v>
      </c>
      <c r="L74" s="22" t="s">
        <v>140</v>
      </c>
      <c r="M74" s="15" t="s">
        <v>33</v>
      </c>
      <c r="N74" s="15" t="n">
        <v>6143</v>
      </c>
      <c r="O74" s="15" t="n">
        <v>31</v>
      </c>
      <c r="P74" s="15"/>
      <c r="Q74" s="15" t="n">
        <v>4</v>
      </c>
      <c r="R74" s="15"/>
      <c r="S74" s="15"/>
      <c r="T74" s="23" t="n">
        <v>1508</v>
      </c>
      <c r="U74" s="23" t="n">
        <v>180</v>
      </c>
      <c r="V74" s="23"/>
      <c r="W74" s="23"/>
      <c r="X74" s="23" t="n">
        <f aca="false">J74-N(U74)</f>
        <v>7588</v>
      </c>
      <c r="Y74" s="24" t="n">
        <f aca="false">IFERROR(N(U74)/X74,0)</f>
        <v>0.0237216657880865</v>
      </c>
      <c r="Z74" s="21" t="n">
        <f aca="false">J74-N(V74)-N(W74)</f>
        <v>7768</v>
      </c>
      <c r="AA74" s="24" t="n">
        <f aca="false">IFERROR(Z74/J74,0)</f>
        <v>1</v>
      </c>
    </row>
    <row r="77" customFormat="false" ht="30" hidden="false" customHeight="true" outlineLevel="0" collapsed="false">
      <c r="A77" s="5"/>
      <c r="B77" s="6"/>
      <c r="C77" s="7" t="s">
        <v>29</v>
      </c>
      <c r="D77" s="7" t="s">
        <v>30</v>
      </c>
      <c r="E77" s="8" t="s">
        <v>142</v>
      </c>
      <c r="F77" s="9" t="s">
        <v>143</v>
      </c>
      <c r="G77" s="6" t="n">
        <v>46267</v>
      </c>
      <c r="H77" s="5" t="s">
        <v>33</v>
      </c>
      <c r="I77" s="10"/>
      <c r="J77" s="11" t="n">
        <v>3261</v>
      </c>
      <c r="K77" s="7" t="s">
        <v>35</v>
      </c>
      <c r="L77" s="12" t="s">
        <v>142</v>
      </c>
      <c r="M77" s="5" t="s">
        <v>33</v>
      </c>
      <c r="N77" s="5" t="n">
        <v>5925</v>
      </c>
      <c r="O77" s="5" t="n">
        <v>12</v>
      </c>
      <c r="P77" s="5"/>
      <c r="Q77" s="5" t="n">
        <v>4</v>
      </c>
      <c r="R77" s="5"/>
      <c r="S77" s="5"/>
      <c r="T77" s="13" t="n">
        <v>1029</v>
      </c>
      <c r="U77" s="13" t="n">
        <v>334</v>
      </c>
      <c r="V77" s="13"/>
      <c r="W77" s="13"/>
      <c r="X77" s="13" t="n">
        <f aca="false">J77-N(U77)</f>
        <v>2927</v>
      </c>
      <c r="Y77" s="14" t="n">
        <f aca="false">IFERROR(N(U77)/X77,0)</f>
        <v>0.114110010249402</v>
      </c>
      <c r="Z77" s="11" t="n">
        <f aca="false">J77-N(V77)-N(W77)</f>
        <v>3261</v>
      </c>
      <c r="AA77" s="14" t="n">
        <f aca="false">IFERROR(Z77/J77,0)</f>
        <v>1</v>
      </c>
    </row>
    <row r="80" customFormat="false" ht="30" hidden="false" customHeight="true" outlineLevel="0" collapsed="false">
      <c r="A80" s="15"/>
      <c r="B80" s="16"/>
      <c r="C80" s="17" t="s">
        <v>29</v>
      </c>
      <c r="D80" s="17" t="s">
        <v>117</v>
      </c>
      <c r="E80" s="18" t="s">
        <v>144</v>
      </c>
      <c r="F80" s="19" t="s">
        <v>145</v>
      </c>
      <c r="G80" s="16" t="n">
        <v>46275</v>
      </c>
      <c r="H80" s="15" t="s">
        <v>33</v>
      </c>
      <c r="I80" s="20"/>
      <c r="J80" s="21" t="n">
        <v>10015.89</v>
      </c>
      <c r="K80" s="17" t="s">
        <v>121</v>
      </c>
      <c r="L80" s="22" t="s">
        <v>144</v>
      </c>
      <c r="M80" s="15" t="s">
        <v>33</v>
      </c>
      <c r="N80" s="15" t="n">
        <v>6122</v>
      </c>
      <c r="O80" s="15" t="n">
        <v>28</v>
      </c>
      <c r="P80" s="15"/>
      <c r="Q80" s="15" t="n">
        <v>4</v>
      </c>
      <c r="R80" s="15"/>
      <c r="S80" s="15"/>
      <c r="T80" s="23" t="n">
        <v>1578.1</v>
      </c>
      <c r="U80" s="23" t="n">
        <v>2005.65</v>
      </c>
      <c r="V80" s="23"/>
      <c r="W80" s="23"/>
      <c r="X80" s="23" t="n">
        <f aca="false">J80-N(U80)</f>
        <v>8010.24</v>
      </c>
      <c r="Y80" s="24" t="n">
        <f aca="false">IFERROR(N(U80)/X80,0)</f>
        <v>0.250385756232023</v>
      </c>
      <c r="Z80" s="21" t="n">
        <f aca="false">J80-N(V80)-N(W80)</f>
        <v>10015.89</v>
      </c>
      <c r="AA80" s="24" t="n">
        <f aca="false">IFERROR(Z80/J80,0)</f>
        <v>1</v>
      </c>
    </row>
    <row r="83" customFormat="false" ht="15" hidden="false" customHeight="false" outlineLevel="0" collapsed="false">
      <c r="A83" s="25" t="s">
        <v>146</v>
      </c>
      <c r="B83" s="25"/>
      <c r="C83" s="25"/>
      <c r="D83" s="25"/>
      <c r="E83" s="25"/>
      <c r="F83" s="25"/>
      <c r="G83" s="25"/>
      <c r="H83" s="25"/>
      <c r="I83" s="25"/>
      <c r="J83" s="26" t="n">
        <f aca="false">SUM(J5:J80)</f>
        <v>308363.19</v>
      </c>
      <c r="K83" s="25"/>
      <c r="L83" s="25"/>
      <c r="M83" s="25"/>
      <c r="N83" s="25"/>
      <c r="O83" s="27" t="n">
        <f aca="false">SUM(O5:O80)</f>
        <v>651</v>
      </c>
      <c r="P83" s="27" t="n">
        <f aca="false">SUM(P5:P80)</f>
        <v>40</v>
      </c>
      <c r="Q83" s="27" t="n">
        <f aca="false">SUM(Q5:Q80)</f>
        <v>90</v>
      </c>
      <c r="R83" s="27" t="n">
        <f aca="false">SUM(R5:R80)</f>
        <v>29</v>
      </c>
      <c r="S83" s="27" t="n">
        <f aca="false">SUM(S5:S80)</f>
        <v>0</v>
      </c>
      <c r="T83" s="26" t="n">
        <f aca="false">SUM(T5:T80)</f>
        <v>38484.75</v>
      </c>
      <c r="U83" s="26" t="n">
        <f aca="false">SUM(U5:U80)</f>
        <v>28147.25</v>
      </c>
      <c r="V83" s="26" t="n">
        <f aca="false">SUM(V5:V80)</f>
        <v>38905.21</v>
      </c>
      <c r="W83" s="26" t="n">
        <f aca="false">SUM(W5:W80)</f>
        <v>6635.63</v>
      </c>
      <c r="X83" s="26" t="n">
        <f aca="false">SUM(X5:X80)</f>
        <v>280215.94</v>
      </c>
      <c r="Y83" s="28" t="n">
        <f aca="false">IFERROR(U83/X83,0)</f>
        <v>0.100448425596345</v>
      </c>
      <c r="Z83" s="26" t="n">
        <f aca="false">SUM(Z5:Z80)</f>
        <v>262822.35</v>
      </c>
      <c r="AA83" s="28" t="n">
        <f aca="false">IFERROR(Z83/J83,0)</f>
        <v>0.852314279145964</v>
      </c>
    </row>
  </sheetData>
  <autoFilter ref="A4:AA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2026-09-28T00:34:36Z</dcterms:created>
  <dc:creator>openpyxl</dc:creator>
  <dc:description/>
  <dc:language>en-US</dc:language>
  <cp:lastModifiedBy/>
  <dcterms:modified xsi:type="dcterms:W3CDTF">2026-09-28T00:34:36Z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