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sis of Preparation" sheetId="1" state="visible" r:id="rId3"/>
    <sheet name="Summary" sheetId="2" state="visible" r:id="rId4"/>
    <sheet name="Supplier Analysis" sheetId="3" state="visible" r:id="rId5"/>
    <sheet name="Monthly Analysis" sheetId="4" state="visible" r:id="rId6"/>
    <sheet name="Transaction Listing" sheetId="5" state="visible" r:id="rId7"/>
    <sheet name="Reconciliation" sheetId="6" state="visible" r:id="rId8"/>
  </sheets>
  <definedNames>
    <definedName function="false" hidden="false" localSheetId="2" name="_xlnm.Print_Titles" vbProcedure="false">'Supplier Analysis'!$5:$5</definedName>
    <definedName function="false" hidden="false" localSheetId="4" name="_xlnm.Print_Titles" vbProcedure="false">'Transaction Listing'!$5:$5</definedName>
    <definedName function="false" hidden="true" localSheetId="4" name="_xlnm._FilterDatabase" vbProcedure="false">'Transaction Listing'!$A$5:$M$252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<sst xmlns="http://schemas.openxmlformats.org/spreadsheetml/2006/main" count="3562" uniqueCount="428">
  <si>
    <t xml:space="preserve">Corporate Technology Services Pty Ltd</t>
  </si>
  <si>
    <t xml:space="preserve">Basis of Preparation</t>
  </si>
  <si>
    <t xml:space="preserve">Discretionary technology spend  -  FY2027 year to date (1 July 2026 to 31 August 2026)</t>
  </si>
  <si>
    <t xml:space="preserve">Entity</t>
  </si>
  <si>
    <t xml:space="preserve">Corporate Technology Services Pty Ltd.</t>
  </si>
  <si>
    <t xml:space="preserve">Reporting period</t>
  </si>
  <si>
    <t xml:space="preserve">1 July 2026 to 31 August 2026. This is 2 months of the FY2027 financial year (1 July 2026 to 30 June 2027). Actual amounts in this report are for those 2 months only and are not annual figures.</t>
  </si>
  <si>
    <t xml:space="preserve">Source of actuals</t>
  </si>
  <si>
    <t xml:space="preserve">General ledger transaction export from Xero, being the same export used for the entity's monthly management reporting. The export covers 3,771 ledger lines for the period, of which 247 lines relate to the accounts within the scope of this report.</t>
  </si>
  <si>
    <t xml:space="preserve">Accounting basis</t>
  </si>
  <si>
    <t xml:space="preserve">Accrual. Amounts are exclusive of GST, consistent with the general ledger.</t>
  </si>
  <si>
    <t xml:space="preserve">Scope</t>
  </si>
  <si>
    <t xml:space="preserve">Seven general ledger accounts identified by management as discretionary technology spend, listed on the Summary schedule. No other accounts have been included, and no allocation, apportionment or estimate has been applied.</t>
  </si>
  <si>
    <t xml:space="preserve">Presentation of amounts</t>
  </si>
  <si>
    <t xml:space="preserve">The general ledger records amounts as credit less debit. Costs are therefore negative in the ledger and have been presented here as positive expenditure. Debit and credit as recorded are shown unchanged on the Transaction Listing so that each line can be agreed back to the ledger.</t>
  </si>
  <si>
    <t xml:space="preserve">Budget figures</t>
  </si>
  <si>
    <t xml:space="preserve">Budget amounts are management's FY2027 annual budget for each account, as provided. They are unaudited and are included for comparison only. The year-to-date budget shown is the annual budget apportioned evenly across twelve months and multiplied by 2; no seasonality has been applied.</t>
  </si>
  <si>
    <t xml:space="preserve">Completeness</t>
  </si>
  <si>
    <t xml:space="preserve">Every ledger line coded to the seven accounts in the period is listed on the Transaction Listing. No line has been excluded, summarised or netted. The Reconciliation schedule agrees the listing to the summary and to the ledger.</t>
  </si>
  <si>
    <t xml:space="preserve">Matters noted</t>
  </si>
  <si>
    <t xml:space="preserve">Two matters are disclosed on the Summary schedule: an arithmetic overstatement in the budget total as originally presented to us, and expenditure recorded without a supplier name. Both are described where they arise.</t>
  </si>
  <si>
    <t xml:space="preserve">Prepared</t>
  </si>
  <si>
    <t xml:space="preserve">Prepared from the general ledger export by the finance function. Figures are unaudited.</t>
  </si>
  <si>
    <t xml:space="preserve">Summary by account</t>
  </si>
  <si>
    <t xml:space="preserve">Grouping</t>
  </si>
  <si>
    <t xml:space="preserve">General ledger account</t>
  </si>
  <si>
    <t xml:space="preserve">Annual budget
FY2027</t>
  </si>
  <si>
    <t xml:space="preserve">Budget
2 months</t>
  </si>
  <si>
    <t xml:space="preserve">Actual
2 months</t>
  </si>
  <si>
    <t xml:space="preserve">Variance</t>
  </si>
  <si>
    <t xml:space="preserve">Lines</t>
  </si>
  <si>
    <t xml:space="preserve">Annualised
run rate</t>
  </si>
  <si>
    <t xml:space="preserve">Run rate vs
budget</t>
  </si>
  <si>
    <t xml:space="preserve">Core technology</t>
  </si>
  <si>
    <t xml:space="preserve">IT Network Service &amp; Support</t>
  </si>
  <si>
    <t xml:space="preserve">Dues &amp; Subscriptions</t>
  </si>
  <si>
    <t xml:space="preserve">Instant Asset Write Off</t>
  </si>
  <si>
    <t xml:space="preserve">Telecommunications</t>
  </si>
  <si>
    <t xml:space="preserve">Internet</t>
  </si>
  <si>
    <t xml:space="preserve">Mobile Phones</t>
  </si>
  <si>
    <t xml:space="preserve">Office Phones</t>
  </si>
  <si>
    <t xml:space="preserve">1300 Number</t>
  </si>
  <si>
    <t xml:space="preserve">Subtotal - core technology</t>
  </si>
  <si>
    <t xml:space="preserve">Subtotal - telecommunications</t>
  </si>
  <si>
    <t xml:space="preserve">Total discretionary technology spend</t>
  </si>
  <si>
    <t xml:space="preserve">Note 1 - budget total</t>
  </si>
  <si>
    <t xml:space="preserve">The budget schedule provided to us showed a total of $602,702. That figure adds a 'standard' subtotal of $295,704 (the three core technology accounts) to a 'broad' subtotal of $306,998, where the broad subtotal already contains the standard subtotal. The three core accounts are therefore counted twice and the total is overstated by $295,704. The annual budget for the seven accounts, each counted once, is $306,998 as shown above.</t>
  </si>
  <si>
    <t xml:space="preserve">Note 2 - expenditure with no supplier recorded</t>
  </si>
  <si>
    <t xml:space="preserve">$9,568.78 of the expenditure in the period, being 16.4% of the total, is recorded on ledger lines that carry no contact or supplier name. These lines are listed in full on the Transaction Listing and are shown as a separate line on the Supplier Analysis schedule.</t>
  </si>
  <si>
    <t xml:space="preserve">Note 3 - supplier concentration</t>
  </si>
  <si>
    <t xml:space="preserve">One supplier, First Focus IT Pty Ltd, accounts for $37,799.82 of expenditure in the period, being 64.7% of the total. That expenditure is recorded across two accounts, IT Network Service &amp; Support and Dues &amp; Subscriptions. See the Supplier Analysis schedule.</t>
  </si>
  <si>
    <t xml:space="preserve">Note 4 - period covered</t>
  </si>
  <si>
    <t xml:space="preserve">These figures cover July and August only, which is 2 months of a twelve month year. The annualised run rate column takes what has been spent so far, divides it by 2 and multiplies by twelve, so it assumes the rest of the year looks like the first 2 months. It makes no allowance for quieter or busier periods, for annual renewals that fall due later in the year, or for spending already committed but not yet incurred. Treat it as a rough indicator, not a forecast.</t>
  </si>
  <si>
    <t xml:space="preserve">Supplier analysis</t>
  </si>
  <si>
    <t xml:space="preserve">Discretionary technology spend  -  FY2027 year to date (1 July 2026 to 31 August 2026)  -  use the + and - buttons in the left margin to open a supplier down to its ledger lines</t>
  </si>
  <si>
    <t xml:space="preserve">Supplier  /  account  /  transaction date</t>
  </si>
  <si>
    <t xml:space="preserve">Amount</t>
  </si>
  <si>
    <t xml:space="preserve">% of total</t>
  </si>
  <si>
    <t xml:space="preserve">Description</t>
  </si>
  <si>
    <t xml:space="preserve">Invoice no.</t>
  </si>
  <si>
    <t xml:space="preserve">Reference</t>
  </si>
  <si>
    <t xml:space="preserve">Job number</t>
  </si>
  <si>
    <t xml:space="preserve">Cost centre</t>
  </si>
  <si>
    <t xml:space="preserve">Source</t>
  </si>
  <si>
    <t xml:space="preserve">First Focus IT Pty Ltd</t>
  </si>
  <si>
    <t xml:space="preserve">    IT Network Service &amp; Support</t>
  </si>
  <si>
    <t xml:space="preserve">First Focus IT Pty Ltd - CORE Intelligent Managed Services</t>
  </si>
  <si>
    <t xml:space="preserve">INV167160 - MSA: CORE Intelligent Managed Services: CORE Intelligent Managed Services July 2026 [paid via DD] To recieve credits for the interest charged</t>
  </si>
  <si>
    <t xml:space="preserve">9000 - OFFICE / ADMIN [CTS]</t>
  </si>
  <si>
    <t xml:space="preserve">CTS</t>
  </si>
  <si>
    <t xml:space="preserve">Payable Invoice</t>
  </si>
  <si>
    <t xml:space="preserve">First Focus IT Pty Ltd - CORE Intelligent Managed Services
Email Only User 75% discount</t>
  </si>
  <si>
    <t xml:space="preserve">First Focus IT Pty Ltd - CORE - Hatz AI Multi-LLM Platform</t>
  </si>
  <si>
    <t xml:space="preserve">First Focus IT Pty Ltd - CORE Early Sign Up Discount Hatz (12 month)</t>
  </si>
  <si>
    <t xml:space="preserve">First Focus IT Pty Ltd - DMARC Email Security Management: Per Domain</t>
  </si>
  <si>
    <t xml:space="preserve">First Focus IT Pty Ltd - Managed SD-WAN Firewall (1Gbps max)</t>
  </si>
  <si>
    <t xml:space="preserve">First Focus IT Pty Ltd - Exchange Online (Plan 1) (NCE COM 1MTH)
Serial Number(s): S365L</t>
  </si>
  <si>
    <t xml:space="preserve">First Focus IT Pty Ltd - Interest on late payments
162027
164522
162627
(To be credited)</t>
  </si>
  <si>
    <t xml:space="preserve">First Focus IT Pty Ltd - Interest on late payments
162027
164522
162627</t>
  </si>
  <si>
    <t xml:space="preserve">INV168824 - Interest Charges on INV167160 for May 2026 invoices (to apply in August invoice)</t>
  </si>
  <si>
    <t xml:space="preserve">Payable Credit Note</t>
  </si>
  <si>
    <t xml:space="preserve">First Focus IT Pty Ltd - Fixed Fee Project</t>
  </si>
  <si>
    <t xml:space="preserve">INV171598 - Completion of CORE Intelligent Managed Services One-Time Project - Balance Fee [PO-00016880] pay via EFT</t>
  </si>
  <si>
    <t xml:space="preserve">First Focus IT Pty Ltd - CORE Early Sign Up Discount
At cost transitions project
Offer valid for agreements signed prior to
15/04</t>
  </si>
  <si>
    <t xml:space="preserve">First Focus IT Pty Ltd - CORE Early Sign Up Discount Hatz</t>
  </si>
  <si>
    <t xml:space="preserve">INV170755 - MSA: CORE Intelligent Managed Services: CORE Intelligent Managed Services August 2026 [paid via DD]</t>
  </si>
  <si>
    <t xml:space="preserve">First Focus IT Pty Ltd - Replacement for NAS Hard Drive
Seagate IronWolf  8 TB Hard Drive - 3.5" Internal - SATA (SATA/600) - 7200rpm 
256 MB Buffer - 3 Year Warranty</t>
  </si>
  <si>
    <t xml:space="preserve">INV170542 - Replacement for NAS Hard Drive [Q-034252v1 - PO-00016911] GC App (Pay by EFT)</t>
  </si>
  <si>
    <t xml:space="preserve">    Dues &amp; Subscriptions</t>
  </si>
  <si>
    <t xml:space="preserve">First Focus IT Pty Ltd - Microsoft Azure Consumption</t>
  </si>
  <si>
    <t xml:space="preserve">INV168585: MSA: Managed Services: Managed Services - Azure July 2026 [paid via DD]</t>
  </si>
  <si>
    <t xml:space="preserve">First Focus IT Pty Ltd - Exchange Online (Plan 2) (NCE COM 1MTH)
Serial Number(s): S365L</t>
  </si>
  <si>
    <t xml:space="preserve">First Focus IT Pty Ltd - Microsoft Defender for Office 365 (Plan 1) (NCE COM 1MTH)</t>
  </si>
  <si>
    <t xml:space="preserve">First Focus IT Pty Ltd - Microsoft Defender for Office 365 (Plan 2) (NCE COM 1MTH)</t>
  </si>
  <si>
    <t xml:space="preserve">First Focus IT Pty Ltd - Office 365 Extra File Storage (NCE Product) (NCE COM 1MTH</t>
  </si>
  <si>
    <t xml:space="preserve">First Focus IT Pty Ltd - Planner and Project Plan 3 (NCE COM 1MTH)
Serial Number(s): S365L</t>
  </si>
  <si>
    <t xml:space="preserve">First Focus IT Pty Ltd - Visio Plan 2 (NCE COM 1MTH)
Serial Number(s): S365L</t>
  </si>
  <si>
    <t xml:space="preserve">First Focus IT Pty Ltd - Microsoft 365 Business Standard (NCE COM 1YR MTH)
Serial Number(s): S365L</t>
  </si>
  <si>
    <t xml:space="preserve">First Focus IT Pty Ltd - Microsoft 365 Business Basic (NCE COM 1YR MTH)
Serial Number(s): S365L</t>
  </si>
  <si>
    <t xml:space="preserve">First Focus IT Pty Ltd - Microsoft 365 Business Premium (NCE COM 1YR MTH)
Serial Number(s): S365L</t>
  </si>
  <si>
    <t xml:space="preserve">First Focus IT Pty Ltd - Microsoft 365 Business Basic (NCE COM 1YR MTH)
This item has been prorated with a start date of: 06/06/2026</t>
  </si>
  <si>
    <t xml:space="preserve">First Focus IT Pty Ltd - Datto SAAS Protection for Microsoft 365 (CSP COM 3YR MTH)</t>
  </si>
  <si>
    <t xml:space="preserve">INV173381: MSA: Managed Services: Managed Services - Azure August 2026 [paid via DD]</t>
  </si>
  <si>
    <t xml:space="preserve">(no supplier name recorded on the ledger line)</t>
  </si>
  <si>
    <t xml:space="preserve">Prepayments July 2026 - Inv6115846AA|27/03|Dicker Data|</t>
  </si>
  <si>
    <t xml:space="preserve">#69222</t>
  </si>
  <si>
    <t xml:space="preserve">2910 - Office Move 2024 [CTS]</t>
  </si>
  <si>
    <t xml:space="preserve">Manual Journal</t>
  </si>
  <si>
    <t xml:space="preserve">Prepayments July 2026 - Inv58586033|10/02|Crazy Domains (website renewal)|</t>
  </si>
  <si>
    <t xml:space="preserve">9350 - MARKETING (external) [CTS]</t>
  </si>
  <si>
    <t xml:space="preserve">Prepayments July 2026 - Inv1753767723|29/07|Webflow.com|</t>
  </si>
  <si>
    <t xml:space="preserve">Prepayments July 2026 - Inv415083|06/08|PigeonLab Pte Ltd|</t>
  </si>
  <si>
    <t xml:space="preserve">9100 - PRODUCTION [PRD]</t>
  </si>
  <si>
    <t xml:space="preserve">PRODUCTION</t>
  </si>
  <si>
    <t xml:space="preserve">Prepayments July 2026 - Inv88AD1D8F-0004|15/08|Plumsail Inc|</t>
  </si>
  <si>
    <t xml:space="preserve">Prepayments July 2026 - Inv51110652883|01/09|Linkedin Singapore|</t>
  </si>
  <si>
    <t xml:space="preserve">9300 - HUMAN RESOURCES [CTS]</t>
  </si>
  <si>
    <t xml:space="preserve">Prepayments July 2026 - Inv721699|22/09|Qantas Airways Limited|</t>
  </si>
  <si>
    <t xml:space="preserve">3059 - CBA AGM 2025 [PRD]</t>
  </si>
  <si>
    <t xml:space="preserve">Prepayments July 2026 - Inv356325|08/09|AddEvent Inc|</t>
  </si>
  <si>
    <t xml:space="preserve">Prepayments July 2026 - Inv50BB48DA-0011|06/10|Qwilr Pty Ltd|</t>
  </si>
  <si>
    <t xml:space="preserve">9105 - ONSITE (including PROD backup)</t>
  </si>
  <si>
    <t xml:space="preserve">ONSITE</t>
  </si>
  <si>
    <t xml:space="preserve">9200 - INTEGRATION [INT]</t>
  </si>
  <si>
    <t xml:space="preserve">INTEGRATION</t>
  </si>
  <si>
    <t xml:space="preserve">9400 - CONSULTING [CONS]</t>
  </si>
  <si>
    <t xml:space="preserve">CONSULTING</t>
  </si>
  <si>
    <t xml:space="preserve">Prepayments July 2026 - Inv3435939|11/11|AVIXA (Formerly InfoComm International)|</t>
  </si>
  <si>
    <t xml:space="preserve">Prepayments July 2026 - Inv12112025|12/11|Linkedin Singapore|</t>
  </si>
  <si>
    <t xml:space="preserve">Prepayments July 2026 - InvINV339521207|28/01|Zoom Video Communications Inc|</t>
  </si>
  <si>
    <t xml:space="preserve">Prepayments July 2026 - Inv135662|31/01|The CEO Institute - DL FY26|</t>
  </si>
  <si>
    <t xml:space="preserve">Prepayments July 2026 - InvINV5359 |14/04|Network Communication Industries (Dashlane)|</t>
  </si>
  <si>
    <t xml:space="preserve">Prepayments July 2026 - InvINV9072972906 |24/04|Autodesk Inc|</t>
  </si>
  <si>
    <t xml:space="preserve">Prepayments July 2026 - InvGPTWANZ-102767|02/04|Great Place to Work|One (1) Certification and Best Workplaces eligible Trust Index© Survey</t>
  </si>
  <si>
    <t xml:space="preserve">Prepayments July 2026 - InvINV06150251 |28/04|Vimeo Inc|</t>
  </si>
  <si>
    <t xml:space="preserve">9125 - VIDEO DEPT [VID]</t>
  </si>
  <si>
    <t xml:space="preserve">VIDEO</t>
  </si>
  <si>
    <t xml:space="preserve">Prepayments July 2026 - InvINV80090459659|10/06|ZOHO Corp.|</t>
  </si>
  <si>
    <t xml:space="preserve">Prepayments July 2026 - Inv8000000003329040|14/06|Artist Ltd T/A MotionArray|</t>
  </si>
  <si>
    <t xml:space="preserve">Prepayments July 2026 - InvINV20611845 |06/07|Lucid|</t>
  </si>
  <si>
    <t xml:space="preserve">Expense Accrual August 2026 - LiveU June 2025 &amp; July 2026</t>
  </si>
  <si>
    <t xml:space="preserve">#70416</t>
  </si>
  <si>
    <t xml:space="preserve">Prepayments August 2026 - Inv6115846AA|27/03|Dicker Data|</t>
  </si>
  <si>
    <t xml:space="preserve">#70417</t>
  </si>
  <si>
    <t xml:space="preserve">Prepayments August 2026 - Inv58586033|10/02|Crazy Domains (website renewal)|</t>
  </si>
  <si>
    <t xml:space="preserve">Prepayments August 2026 - Inv51110652883|01/09|Linkedin Singapore|</t>
  </si>
  <si>
    <t xml:space="preserve">Prepayments August 2026 - Inv721699|22/09|Qantas Airways Limited|</t>
  </si>
  <si>
    <t xml:space="preserve">Prepayments August 2026 - Inv1847146|29/09|Brookvale Insurance Brokers Pty Ltd (Bus Com)|</t>
  </si>
  <si>
    <t xml:space="preserve">Prepayments August 2026 - Inv1847148|29/09|Brookvale Insurance Brokers Pty Ltd (Mecon)|</t>
  </si>
  <si>
    <t xml:space="preserve">Prepayments August 2026 - Inv1847147|29/09|Brookvale Insurance Brokers Pty Ltd (Removeable Equip)|</t>
  </si>
  <si>
    <t xml:space="preserve">Prepayments August 2026 - Inv3435939|11/11|AVIXA (Formerly InfoComm International)|</t>
  </si>
  <si>
    <t xml:space="preserve">Prepayments August 2026 - Inv12112025|12/11|Linkedin Singapore|</t>
  </si>
  <si>
    <t xml:space="preserve">Prepayments August 2026 - InvINV-18112025|18/11|Labour Hire Licence VIC|</t>
  </si>
  <si>
    <t xml:space="preserve">Prepayments August 2026 - InvINV02191196|11/11|Avetta|</t>
  </si>
  <si>
    <t xml:space="preserve">585 - CBA Team Leader [ONS]</t>
  </si>
  <si>
    <t xml:space="preserve">587 - CBA Tech TN [ONS]</t>
  </si>
  <si>
    <t xml:space="preserve">1350 - CBA Brisbane ONS [ONS]</t>
  </si>
  <si>
    <t xml:space="preserve">Prepayments August 2026 - InvINV5359 |14/04|Network Communication Industries (Dashlane)|</t>
  </si>
  <si>
    <t xml:space="preserve">Prepayments August 2026 - InvGPTWANZ-102767|02/04|Great Place to Work|One (1) Certification and Best Workplaces eligible Trust Index© Survey</t>
  </si>
  <si>
    <t xml:space="preserve">Prepayments August 2026 - InvINV80090459659|10/06|ZOHO Corp.|</t>
  </si>
  <si>
    <t xml:space="preserve">Prepayments August 2026 - Inv8000000003329040|14/06|Artist Ltd T/A MotionArray|</t>
  </si>
  <si>
    <t xml:space="preserve">Prepayments August 2026 - InvINV-35039-J4Y7Z7|22/06|Office of Industrial Relations|</t>
  </si>
  <si>
    <t xml:space="preserve">Prepayments August 2026 - InvPE1977894GWC|01/07|QBE Workers Comp WA Jul24-Jun23|</t>
  </si>
  <si>
    <t xml:space="preserve">Prepayments August 2026 - Inv103585601|01/07|Icare|</t>
  </si>
  <si>
    <t xml:space="preserve">Prepayments August 2026 - InvWNA101052812|12/07|Workcover Queensland|</t>
  </si>
  <si>
    <t xml:space="preserve">Prepayments August 2026 - Inv31414304|12/07|Return to Work SA|</t>
  </si>
  <si>
    <t xml:space="preserve">1862 - DTTL ADL Onsite [ONS]</t>
  </si>
  <si>
    <t xml:space="preserve">Prepayments August 2026 - InvINV137220 |01/08|The CEO Institute (JS)|</t>
  </si>
  <si>
    <t xml:space="preserve">Expense Plumsail residual - net position under the $300 prepayment threshold - Rounding Variance - Expense Plumsail residual - net position under the $300 prepayment threshold</t>
  </si>
  <si>
    <t xml:space="preserve">#70435</t>
  </si>
  <si>
    <t xml:space="preserve">    Instant Asset Write Off</t>
  </si>
  <si>
    <t xml:space="preserve">Expense Accrual July 2026 - Instant Asset Write Off</t>
  </si>
  <si>
    <t xml:space="preserve">#69405</t>
  </si>
  <si>
    <t xml:space="preserve">Expense Accrual August 2026 - Instant Asset Write Off</t>
  </si>
  <si>
    <t xml:space="preserve">Optus Billing Services Pty Ltd</t>
  </si>
  <si>
    <t xml:space="preserve">    Mobile Phones</t>
  </si>
  <si>
    <t xml:space="preserve">Optus Billing Services Pty Ltd - 0488287111 - Mitchell Healey (PRD Manager)</t>
  </si>
  <si>
    <t xml:space="preserve">INV000583847765 - Office Internet and Phone Service Charges July 2026 [paid via PL CC]</t>
  </si>
  <si>
    <t xml:space="preserve">Optus Billing Services Pty Ltd - 0417669001 - Duncan Lugstein (MD)</t>
  </si>
  <si>
    <t xml:space="preserve">Optus Billing Services Pty Ltd - 0488287000 - Tyler Wood (Events Op Manager)</t>
  </si>
  <si>
    <t xml:space="preserve">Optus Billing Services Pty Ltd - 0488287777 - Graham Cherry</t>
  </si>
  <si>
    <t xml:space="preserve">Optus Billing Services Pty Ltd - 0488287092 - Rob Mahood (Gen-E Onsite)</t>
  </si>
  <si>
    <t xml:space="preserve">26021602 - Gen E ABS AV Support (Canberra) [ONS]</t>
  </si>
  <si>
    <t xml:space="preserve">Optus Billing Services Pty Ltd - 0488688446 - Available but Locked Handset (HR Manager)</t>
  </si>
  <si>
    <t xml:space="preserve">Optus Billing Services Pty Ltd - 0488287280 - Daniel Sobkowski (CONS)</t>
  </si>
  <si>
    <t xml:space="preserve">Optus Billing Services Pty Ltd - 0401365435 - CTS Tech 1 (In Bluekeeper Kit 2)</t>
  </si>
  <si>
    <t xml:space="preserve">Optus Billing Services Pty Ltd - 0401851589 - Jordan Sexty (GM)</t>
  </si>
  <si>
    <t xml:space="preserve">Optus Billing Services Pty Ltd - 0411840340 - (CONS Manager)</t>
  </si>
  <si>
    <t xml:space="preserve">Optus Billing Services Pty Ltd - 0402849950 - Premila Lugstein (ACC)</t>
  </si>
  <si>
    <t xml:space="preserve">Optus Billing Services Pty Ltd - 0481100557 - CTS Tech 2 (In Bluekeeper Kit 1)</t>
  </si>
  <si>
    <t xml:space="preserve">Optus Billing Services Pty Ltd - 0413858618</t>
  </si>
  <si>
    <t xml:space="preserve">Optus Billing Services Pty Ltd - 0431016047</t>
  </si>
  <si>
    <t xml:space="preserve">Optus Billing Services Pty Ltd - 0431397625</t>
  </si>
  <si>
    <t xml:space="preserve">Optus Billing Services Pty Ltd - 0403482898</t>
  </si>
  <si>
    <t xml:space="preserve">INV000589213447 - Office Internet and Phone Service Charges August 2026 [paid via PL CC]</t>
  </si>
  <si>
    <t xml:space="preserve">Optus Billing Services Pty Ltd - 0488287092 - Not in use (In Office Cupboard)</t>
  </si>
  <si>
    <t xml:space="preserve">Optus Billing Services Pty Ltd - 0488688446 - Not in Use (HR Manager)</t>
  </si>
  <si>
    <t xml:space="preserve">Optus Billing Services Pty Ltd - 0411840340 - Jarad Avnell (CONS Manager)</t>
  </si>
  <si>
    <t xml:space="preserve">INV000589831435 - Office Internet and Phone Service Charges August 2026 [paid via PL CC]</t>
  </si>
  <si>
    <t xml:space="preserve">Optus Billing Services Pty Ltd - 0488688446 - Available to use (HR Manager)</t>
  </si>
  <si>
    <t xml:space="preserve">Optus Billing Services Pty Ltd - Usage Charges</t>
  </si>
  <si>
    <t xml:space="preserve">    Internet</t>
  </si>
  <si>
    <t xml:space="preserve">Optus Billing Services Pty Ltd - Lugstein on Internet Everyday Fast</t>
  </si>
  <si>
    <t xml:space="preserve">INV000583618957 - Lugstein Home Internet July 2026</t>
  </si>
  <si>
    <t xml:space="preserve">Optus Billing Services Pty Ltd - Evolve Internet RC - Unlimited</t>
  </si>
  <si>
    <t xml:space="preserve">INV000589011323 - Lugstein Home Internet August 2026 [BPAY]</t>
  </si>
  <si>
    <t xml:space="preserve">    Office Phones</t>
  </si>
  <si>
    <t xml:space="preserve">Optus Billing Services Pty Ltd - Evolve Voice Number Extensions - PAYG</t>
  </si>
  <si>
    <t xml:space="preserve">Optus Billing Services Pty Ltd - Evolve Voice</t>
  </si>
  <si>
    <t xml:space="preserve">    1300 Number</t>
  </si>
  <si>
    <t xml:space="preserve">Optus Billing Services Pty Ltd - 1300 283 247</t>
  </si>
  <si>
    <t xml:space="preserve">Optus Billing Services Pty Ltd - 1300 388 528 (DTTL Phone)</t>
  </si>
  <si>
    <t xml:space="preserve">974 - DTTL 1300 Number [ONS]</t>
  </si>
  <si>
    <t xml:space="preserve">Optus Billing Services Pty Ltd - 1800 225 528</t>
  </si>
  <si>
    <t xml:space="preserve">Officeworks Superstores Pty Ltd</t>
  </si>
  <si>
    <t xml:space="preserve">Officeworks Superstores Pty Ltd - SAMSUNG 2TB T7 SSD GY</t>
  </si>
  <si>
    <t xml:space="preserve">INV631151334 - Graham Cherry SAMSUNG 2TB hard drive [paid via PL CC]</t>
  </si>
  <si>
    <t xml:space="preserve">Officeworks Superstores Pty Ltd - CYGNETT 12W DUAL USB-A WL CHRG</t>
  </si>
  <si>
    <t xml:space="preserve">INV631256092 - PRD Asset purchase [JS App]</t>
  </si>
  <si>
    <t xml:space="preserve">Techbox Australia Pty Ltd</t>
  </si>
  <si>
    <t xml:space="preserve">Techbox Australia Pty Ltd -  DSAN PerfectCue Four Button
Transmitter
SKU: TBVISDSANPC4BUTREM_</t>
  </si>
  <si>
    <t xml:space="preserve">TB008297 - PRD Asset purchase [JS App]</t>
  </si>
  <si>
    <t xml:space="preserve">Insphire Ltd. (Current)</t>
  </si>
  <si>
    <t xml:space="preserve">Insphire Ltd. (Current) - Current RMS</t>
  </si>
  <si>
    <t xml:space="preserve">CAU-21862 - Current RMS Monthly July 2026</t>
  </si>
  <si>
    <t xml:space="preserve">Insphire Ltd. (Current) - Additional User</t>
  </si>
  <si>
    <t xml:space="preserve">CAU-22062 - Current RMS Monthly August 2026 [paid via PL CC]</t>
  </si>
  <si>
    <t xml:space="preserve">DJ City</t>
  </si>
  <si>
    <t xml:space="preserve">DJ City - Zoom H6essential 32-Bit Float Portable Field Recorder
SKU:ZOOM-H6EBackorder product</t>
  </si>
  <si>
    <t xml:space="preserve">INV1265316 - PRD Asset purchases [JS App]</t>
  </si>
  <si>
    <t xml:space="preserve">Zoom Video Communications Inc.</t>
  </si>
  <si>
    <t xml:space="preserve">Zoom Video Communications Inc. - Charge Name: Room Connector Monthly
Jul 28, 2026  Aug 27, 2026</t>
  </si>
  <si>
    <t xml:space="preserve">INV363791943 - Zoom Subs renewal July 2026 [paid via PL CC]</t>
  </si>
  <si>
    <t xml:space="preserve">Zoom Video Communications Inc. - Charge Name: Audio Monthly
Jul 28, 2026  Aug 27, 2026</t>
  </si>
  <si>
    <t xml:space="preserve">Zoom Video Communications Inc. - Charge Name: Zoom Events 500 Monthly
Jul 28, 2026  Aug 27, 2026</t>
  </si>
  <si>
    <t xml:space="preserve">Zoom Video Communications Inc. - Charge Name: Room Connector Monthly
Aug 28, 2026 - Sep 27, 2026</t>
  </si>
  <si>
    <t xml:space="preserve">INV367816684 - Zoom Subs renewal August 2026 [paid via PL CC]</t>
  </si>
  <si>
    <t xml:space="preserve">Zoom Video Communications Inc. - Charge Name: Audio Monthly
Aug 28, 2026 - Sep 27, 2026</t>
  </si>
  <si>
    <t xml:space="preserve">Zoom Video Communications Inc. - Charge Name: Zoom Events 500 Monthly
Aug 28, 2026 - Sep 27, 2026</t>
  </si>
  <si>
    <t xml:space="preserve">LIVEU INC - US &amp; INTERNATIONAL</t>
  </si>
  <si>
    <t xml:space="preserve">LIVEU INC - US &amp; INTERNATIONAL - 1 × Monthly (at $45.00 US Dollars / month)
July 7, 2026 to August 7, 2026
Serial number: 201706-23902</t>
  </si>
  <si>
    <t xml:space="preserve">AF983502-0243 - LiveU Monthly Plan for 201706-23902</t>
  </si>
  <si>
    <t xml:space="preserve">LIVEU INC - US &amp; INTERNATIONAL - 1 × Monthly (at $45.00 US Dollars / month)
July 7, 2026 to August 7, 2026
Serial number: 201706-23900</t>
  </si>
  <si>
    <t xml:space="preserve">AF983502-0244 - LiveU Monthly Plan for 201706-23900</t>
  </si>
  <si>
    <t xml:space="preserve">LIVEU INC - US &amp; INTERNATIONAL - 1 × Monthly (at $45.00 US Dollars / month)
July 31, 2026 to August 31, 2026
Serial number: 202120-23123</t>
  </si>
  <si>
    <t xml:space="preserve">AF983502-0245 - LiveU Monthly Plan for 202120-23123</t>
  </si>
  <si>
    <t xml:space="preserve">LIVEU INC - US &amp; INTERNATIONAL - 1 × Monthly (at $45.00 US Dollars / month)
August 1, 2026 to September 1, 2026
Serial number: 202120-23120</t>
  </si>
  <si>
    <t xml:space="preserve">AF983502-0246 - LiveU Monthly Plan for 202120-23120</t>
  </si>
  <si>
    <t xml:space="preserve">LIVEU INC - US &amp; INTERNATIONAL - 1 × Monthly (at $45.00 US Dollars / month)
August 7, 2026 to September 7, 2026
Serial number: 201706-23902</t>
  </si>
  <si>
    <t xml:space="preserve">AF983502-0248 - LiveU Monthly Plan for 201706-23902</t>
  </si>
  <si>
    <t xml:space="preserve">LIVEU INC - US &amp; INTERNATIONAL - 1 × Monthly (at $45.00 US Dollars / month)
August 7, 2026 to September 7, 2026
Serial number: 201706-23900</t>
  </si>
  <si>
    <t xml:space="preserve">AF983502-0247 - LiveU Monthly Plan for 201706-23900</t>
  </si>
  <si>
    <t xml:space="preserve">LIVEU INC - US &amp; INTERNATIONAL - 1 × Monthly (at $45.00 US Dollars / month)
August 31, 2026 to October 1, 2026
Serial number: 201706-23902</t>
  </si>
  <si>
    <t xml:space="preserve">AF983502-0249 - LiveU Monthly Plan for 202120-23123</t>
  </si>
  <si>
    <t xml:space="preserve">LIVEU INC - US &amp; INTERNATIONAL - 1 × Monthly (at $45.00 US Dollars / month)
September 1, 2026 to October 1, 2026
Serial number: 202120-23120</t>
  </si>
  <si>
    <t xml:space="preserve">AF983502-0250 - LiveU Monthly Plan for 202120-23120</t>
  </si>
  <si>
    <t xml:space="preserve">RS Components Pty Ltd</t>
  </si>
  <si>
    <t xml:space="preserve">RS Components Pty Ltd -  RS PRO 81PNF260 Trolley Wheel
HS export code 87169090
HS import code 87169000
*** STANDARD SERVICE ***</t>
  </si>
  <si>
    <t xml:space="preserve">INV3604366882 - PRD Asset purchase [JS App]</t>
  </si>
  <si>
    <t xml:space="preserve">ETREND PTY LTD</t>
  </si>
  <si>
    <t xml:space="preserve">ETREND PTY LTD - Sandisk Extreme PRO SD 256GB Memory Card DSLR 4K UHD Video
Camera SDSDXXD-256G</t>
  </si>
  <si>
    <t xml:space="preserve">N122492 - PRD Asset purchase [JS App]</t>
  </si>
  <si>
    <t xml:space="preserve">Telstra Corporation Limited</t>
  </si>
  <si>
    <t xml:space="preserve">Telstra Corporation Limited - $44 Recharge 0477 188 994 (PROD Tech 5)</t>
  </si>
  <si>
    <t xml:space="preserve">TRN10389334175 - July 2026 Recharge (0477 188 994)</t>
  </si>
  <si>
    <t xml:space="preserve">Telstra Corporation Limited - $44 Recharge 0477 739 237 (PROD Tech 3)</t>
  </si>
  <si>
    <t xml:space="preserve">TRN10389327232 - July 2026 Recharge (0477 739 237)</t>
  </si>
  <si>
    <t xml:space="preserve">Telstra Corporation Limited - $44 Recharge 0477 318 485 (PROD Tech 6)</t>
  </si>
  <si>
    <t xml:space="preserve">TRN10389309363 - July 2026 Recharge (0477 318 485)</t>
  </si>
  <si>
    <t xml:space="preserve">Telstra Corporation Limited - $44 Recharge 0477 483 319 (PROD Tech 4)</t>
  </si>
  <si>
    <t xml:space="preserve">TRN10389659096 - July 2026 Recharge (477 483 319)</t>
  </si>
  <si>
    <t xml:space="preserve">TRN10398354801 - August 2026 Recharge (0477 188 994)</t>
  </si>
  <si>
    <t xml:space="preserve">TRN10398369956 - August 2026 Recharge (0477 739 237)</t>
  </si>
  <si>
    <t xml:space="preserve">TRN10398333724 - August 2026 Recharge (0477 318 485)</t>
  </si>
  <si>
    <t xml:space="preserve">TRN10398719343 - August 2026 Recharge (477 483 319)</t>
  </si>
  <si>
    <t xml:space="preserve">Videocraft Equipment Pty Ltd</t>
  </si>
  <si>
    <t xml:space="preserve">Videocraft Equipment Pty Ltd - Decimator Power Supply module +12V DC for metal lock</t>
  </si>
  <si>
    <t xml:space="preserve">SSO16589 - PRD Asset purchase [JS App]</t>
  </si>
  <si>
    <t xml:space="preserve">Adobe Creative Cloud</t>
  </si>
  <si>
    <t xml:space="preserve">Adobe Creative Cloud - Creative Cloud Pro</t>
  </si>
  <si>
    <t xml:space="preserve">INV3525467632 - Creative Cloud Pro July 2026 (paid via PL cc)</t>
  </si>
  <si>
    <t xml:space="preserve">Adobe Creative Cloud - AI Assistant for Acrobat</t>
  </si>
  <si>
    <t xml:space="preserve">INV3526248692 - Adobe Stock July 2026 (paid via PL cc)</t>
  </si>
  <si>
    <t xml:space="preserve">Adobe Creative Cloud - Adobe Stock – 10 assets a month</t>
  </si>
  <si>
    <t xml:space="preserve">INV3534036738 - Creative Cloud Pro [to be credited] (paid via PL cc)</t>
  </si>
  <si>
    <t xml:space="preserve">Adobe Creative Cloud - Creative Cloud Pro Plus</t>
  </si>
  <si>
    <t xml:space="preserve">INV3534036373 -Creative Cloud Pro Plus [Extra charge to be credited] (paid via PL cc)</t>
  </si>
  <si>
    <t xml:space="preserve">INV3534039312 - Credit for Creative Cloud Pro [INV3534036738]</t>
  </si>
  <si>
    <t xml:space="preserve">INV3534039272 - AI Assistant for Acrobat [INV3526248692]</t>
  </si>
  <si>
    <t xml:space="preserve">INV3541001422 - Incorrect Creative Cloud Pro Plus [INV3534036373]</t>
  </si>
  <si>
    <t xml:space="preserve">INV3541001728 - Double charge for July 2026 </t>
  </si>
  <si>
    <t xml:space="preserve">INV3557171900 - Adobe Stock August 2026 [paid via PL cc]</t>
  </si>
  <si>
    <t xml:space="preserve">INV3557099651 - Adobe AI Assistance for Acrobat August 2026 [paid via PL cc]</t>
  </si>
  <si>
    <t xml:space="preserve">INV3564760519 - Creative Cloud Pro for Team August 2026 [paid via PL cc]</t>
  </si>
  <si>
    <t xml:space="preserve">Videopro Pty Ltd</t>
  </si>
  <si>
    <t xml:space="preserve">Videopro Pty Ltd -  SHURE PSM 3M RG58 COAX CABLE BNC TO BNC</t>
  </si>
  <si>
    <t xml:space="preserve">INV2047631 - PRD Asset purchases [JS App] paid via PL CC</t>
  </si>
  <si>
    <t xml:space="preserve">SafetyCulture Pty Ltd</t>
  </si>
  <si>
    <t xml:space="preserve">SafetyCulture Pty Ltd - SC Premium | Lite Seat | Billed Monthly
04-Jul-2026 - 03-Aug-2026</t>
  </si>
  <si>
    <t xml:space="preserve">INV00062648 - Safety Culture Subs Renewal July 2026 [paid via PL CC]</t>
  </si>
  <si>
    <t xml:space="preserve">SafetyCulture Pty Ltd - SC Premium | Full Seat | Billed Monthly
04-Jul-2026 - 03-Aug-2026</t>
  </si>
  <si>
    <t xml:space="preserve">SafetyCulture Pty Ltd - SC Premium | Lite Seat | Billed Monthly
04-Aug-2026 - 03-Sep-2026</t>
  </si>
  <si>
    <t xml:space="preserve">INV00075466 - Safety Culture Subs Renewal August 2026 [paid via PL CC]</t>
  </si>
  <si>
    <t xml:space="preserve">SafetyCulture Pty Ltd - SC Premium | Full Seat | Billed Monthly
04-Aug-2026 - 03-Sep-2026</t>
  </si>
  <si>
    <t xml:space="preserve">Xero Australia Pty Ltd</t>
  </si>
  <si>
    <t xml:space="preserve">Xero Australia Pty Ltd - Corporate Technology Services Pty Ltd. Monthly Subscription, Comprehensive, 
24 Jul 2026 to 23 Aug 2026</t>
  </si>
  <si>
    <t xml:space="preserve">INV-54572654 - Xero Subs Renewal for July 2026 [paid via PL CC]</t>
  </si>
  <si>
    <t xml:space="preserve">Xero Australia Pty Ltd - Corporate Technology Services Pty Ltd. Monthly Subscription, Comprehensive, 
24 Aug 2026 to 23 Sep 2026</t>
  </si>
  <si>
    <t xml:space="preserve">INV-55393813 - Xero Subs Renewal for August 2026 [paid via PL CC]</t>
  </si>
  <si>
    <t xml:space="preserve">Australian Tenders</t>
  </si>
  <si>
    <t xml:space="preserve">Australian Tenders - Core Subscription Plan SaaS
Jul 27 to Aug 27, 2026</t>
  </si>
  <si>
    <t xml:space="preserve">Missing Invoice - Monthly WA Core Subscription Plan July 2026 [JS App]</t>
  </si>
  <si>
    <t xml:space="preserve">Australian Tenders - Core Subscription Plan SaaS
Aug 27 - Sep 27, 2026</t>
  </si>
  <si>
    <t xml:space="preserve">WLVRMZBY001 - August 2026 WA Core Subscription Plan [JS App] paid by PL CC</t>
  </si>
  <si>
    <t xml:space="preserve">Titan AV</t>
  </si>
  <si>
    <t xml:space="preserve">Titan AV - 10L Small Hard Case [1009]
SKU: FXC-1009</t>
  </si>
  <si>
    <t xml:space="preserve">T126644 - PRD Asset purchase [JS App]</t>
  </si>
  <si>
    <t xml:space="preserve">Core Electronics</t>
  </si>
  <si>
    <t xml:space="preserve">Core Electronics - Mini HDMI to HDMI Cable</t>
  </si>
  <si>
    <t xml:space="preserve">INV1000704401 - PRD Asset purchase [JS App]</t>
  </si>
  <si>
    <t xml:space="preserve">Crazy Domains</t>
  </si>
  <si>
    <t xml:space="preserve">Crazy Domains - ctsproduction.com.au
Domain Name Registration
Term: 1 Year (29/07/2026 - 29/07/2027)</t>
  </si>
  <si>
    <t xml:space="preserve">INV62764917 - Domain Name Registration from July 2026 to July 2027</t>
  </si>
  <si>
    <t xml:space="preserve">Crazy Domains - ctsproduction.au
Domain Name Registration
Term: 1 Year (29/07/2026 - 29/07/2027)</t>
  </si>
  <si>
    <t xml:space="preserve">Crazy Domains - ctsvideo.com.au
Domain Name Registration
Term: 1 Year (29/07/2026 - 29/07/2027)</t>
  </si>
  <si>
    <t xml:space="preserve">Crazy Domains - ctsvideo.au
Domain Name Registration
Term: 1 Year (29/07/2026 - 29/07/2027)</t>
  </si>
  <si>
    <t xml:space="preserve">Crazy Domains - ctswebcasting.com.au
Domain Name Registration
Term: 1 Year (29/07/2026 - 29/07/2027)</t>
  </si>
  <si>
    <t xml:space="preserve">Crazy Domains - ctswebcasting.au
Domain Name Registration
Term: 1 Year (29/07/2026 - 29/07/2027)</t>
  </si>
  <si>
    <t xml:space="preserve">Crazy Domains - ctsconsultants.com.au
Domain Name Registration
Term: 1 Year (29/07/2026 - 29/07/2027)</t>
  </si>
  <si>
    <t xml:space="preserve">Crazy Domains - ctsconsultants.au
Domain Name Registration
Term: 1 Year (29/07/2026 - 29/07/2027)</t>
  </si>
  <si>
    <t xml:space="preserve">Crazy Domains - ctsconsultant.com.au
Domain Name Registration
Term: 1 Year (29/07/2026 - 29/07/2027)</t>
  </si>
  <si>
    <t xml:space="preserve">Crazy Domains - ctsconsultant.au
Domain Name Registration
Term: 1 Year (29/07/2026 - 29/07/2027)</t>
  </si>
  <si>
    <t xml:space="preserve">Crazy Domains - ctssupport.com.au
Domain Name Registration
Term: 1 Year (29/07/2026 - 29/07/2027)</t>
  </si>
  <si>
    <t xml:space="preserve">Crazy Domains - ctssupport.au
Domain Name Registration
Term: 1 Year (29/07/2026 - 29/07/2027)</t>
  </si>
  <si>
    <t xml:space="preserve">Crazy Domains - ctsseamless.com.au
Domain Name Registration
Term: 1 Year (29/07/2026 - 29/07/2027)</t>
  </si>
  <si>
    <t xml:space="preserve">Crazy Domains - ctsseamless.au
Domain Name Registration
Term: 1 Year (29/07/2026 - 29/07/2027)</t>
  </si>
  <si>
    <t xml:space="preserve">Mouser Electronics Inc.</t>
  </si>
  <si>
    <t xml:space="preserve">Mouser Electronics Inc. -  490-SDI18-5-U-P5
MFG Part No: SDI18-5-U-P5
CUI Inc. 15W 5V 3A C14 2.1 ce / Desktop AC Adapters
US HTS:8504409510 ECCN:EAR99 COO:CN ACO:-- COD:</t>
  </si>
  <si>
    <t xml:space="preserve">INV91792378 - PRD Asset purchase [JS App]</t>
  </si>
  <si>
    <t xml:space="preserve">Scorptec Computers</t>
  </si>
  <si>
    <t xml:space="preserve">Scorptec Computers - Samsung S32GF 24inch 120Hz FHD IPS Monitor, 1920x1080, 16:9, 5ms GTG, 1000:1 Contrast, 250 Nits, 2x
HDMI 1.4, Super Slim Design, Tilt, VESA 100x100mm (WTY - 3 year)
Model: LS24F320GAEXXY (WTY - 3 year)
1 x SN: 0YR7HNAL500571</t>
  </si>
  <si>
    <t xml:space="preserve">INV3924027 - PRD Asset purchase [JS App]</t>
  </si>
  <si>
    <t xml:space="preserve">Videoguys Australia Pty Ltd</t>
  </si>
  <si>
    <t xml:space="preserve">Videoguys Australia Pty Ltd - Miller 3516 DV Soft Case
SKU: MI3516</t>
  </si>
  <si>
    <t xml:space="preserve">SVG-18791 - PRD Asset purchases [JS App]</t>
  </si>
  <si>
    <t xml:space="preserve">Amazon.com, Inc.</t>
  </si>
  <si>
    <t xml:space="preserve">Amazon.com, Inc. - Bingfu HD/3G-SDI RG179 BNC Cable 30cm 75 Ohm for Camera Monitor</t>
  </si>
  <si>
    <t xml:space="preserve">INV249-8412052 - PRD Asset purchase [JS App]</t>
  </si>
  <si>
    <t xml:space="preserve">Amazon.com, Inc. - Patriot EP Series 128GB Micro SDXC V30 A2 UHS-I U3 4K UHD Memory Card - PEF128GEP32MCX</t>
  </si>
  <si>
    <t xml:space="preserve">INV02105 - PRD Asset purchase [JS App]</t>
  </si>
  <si>
    <t xml:space="preserve">JB Hi-Fi Pty Ltd Group</t>
  </si>
  <si>
    <t xml:space="preserve">JB Hi-Fi Pty Ltd Group - Samsung 45W Power Adapter with USB-C Cable</t>
  </si>
  <si>
    <t xml:space="preserve">JB-26704587 - PRD Asset purchase [JS App]</t>
  </si>
  <si>
    <t xml:space="preserve">Mailchimp</t>
  </si>
  <si>
    <t xml:space="preserve">Mailchimp - Essentials plan
1,500 contacts</t>
  </si>
  <si>
    <t xml:space="preserve">MC26690131- Mailchimp July 2026 [paid via PL CC]</t>
  </si>
  <si>
    <t xml:space="preserve">MC26989211 - Mailchimp August 2026 [paid via PL CC]</t>
  </si>
  <si>
    <t xml:space="preserve">Rubber Monkey Sales</t>
  </si>
  <si>
    <t xml:space="preserve">Rubber Monkey Sales - Atomos Locking AC Power Adaptor</t>
  </si>
  <si>
    <t xml:space="preserve">RMS-470854 - PRD Asset purchases [JS App]</t>
  </si>
  <si>
    <t xml:space="preserve">MEXI TRADING PTY LTD (T/A LG Spare Part)</t>
  </si>
  <si>
    <t xml:space="preserve">MEXI TRADING PTY LTD (T/A LG Spare Part) - LG GENUINE PART -EAY62990908
LG TV AC POWER ADAPTER 19V
3.42A 65W</t>
  </si>
  <si>
    <t xml:space="preserve">LGSP107722 - PRD Asset purchases [JS App]</t>
  </si>
  <si>
    <t xml:space="preserve">Spotify</t>
  </si>
  <si>
    <t xml:space="preserve">Spotify - Prod - Premium Family  (1 month)</t>
  </si>
  <si>
    <t xml:space="preserve">INVe95175f1 - PRD Spotify July 2026 (paid via PL cc)</t>
  </si>
  <si>
    <t xml:space="preserve">INV1ee8d0ea - PRD Spotify August 2026 (paid via PL cc)</t>
  </si>
  <si>
    <t xml:space="preserve">Apple Pty Ltd</t>
  </si>
  <si>
    <t xml:space="preserve">Apple Pty Ltd - August 2026 iCloud+ with 2 TB (Monthly)
Brielle’s iPhone</t>
  </si>
  <si>
    <t xml:space="preserve">12082026 - BL Apple iCLoud Storage August 2026 [paid via DL CC]</t>
  </si>
  <si>
    <t xml:space="preserve">MMGGXD4TH5 - BL Apple iCLoud Storage August 2026 [paid via DL CC]</t>
  </si>
  <si>
    <t xml:space="preserve">digiDirect Sydney</t>
  </si>
  <si>
    <t xml:space="preserve">digiDirect Sydney - Atomos AtomX Battery Eliminator</t>
  </si>
  <si>
    <t xml:space="preserve">INV563536 - PRD Asset purchase [JS App]</t>
  </si>
  <si>
    <t xml:space="preserve">Google Australia Pty Ltd</t>
  </si>
  <si>
    <t xml:space="preserve">Google Australia Pty Ltd - YouTube Premium (YouTube)</t>
  </si>
  <si>
    <t xml:space="preserve">INV1115.6 - YouTube Premium Subscription July 2026 [via DL CC]</t>
  </si>
  <si>
    <t xml:space="preserve">INV1115.7 - YouTube Premium Subscription August 2026 [via DL CC]</t>
  </si>
  <si>
    <t xml:space="preserve">K&amp;F Concept Australia</t>
  </si>
  <si>
    <t xml:space="preserve">K&amp;F Concept Australia - Camera Tripod Quick Release Mounting Plate 
KF31.030</t>
  </si>
  <si>
    <t xml:space="preserve">INV15-403950 - PRD Asset purchase [JS App]</t>
  </si>
  <si>
    <t xml:space="preserve">Total</t>
  </si>
  <si>
    <t xml:space="preserve">Each supplier total is the sum of its account rows, and each account row is the sum of the ledger lines beneath it, so the schedule foots at every level. Open a supplier with the + button to see the lines that make up its total. The same lines appear on the Transaction Listing.</t>
  </si>
  <si>
    <t xml:space="preserve">Monthly analysis by account</t>
  </si>
  <si>
    <t xml:space="preserve">Jul 2026</t>
  </si>
  <si>
    <t xml:space="preserve">Aug 2026</t>
  </si>
  <si>
    <t xml:space="preserve">Transaction listing</t>
  </si>
  <si>
    <t xml:space="preserve">Discretionary technology spend  -  FY2027 year to date (1 July 2026 to 31 August 2026)  -  every ledger line coded to the seven accounts, 247 lines</t>
  </si>
  <si>
    <t xml:space="preserve">Date</t>
  </si>
  <si>
    <t xml:space="preserve">Acct code</t>
  </si>
  <si>
    <t xml:space="preserve">Supplier / contact</t>
  </si>
  <si>
    <t xml:space="preserve">Debit</t>
  </si>
  <si>
    <t xml:space="preserve">Credit</t>
  </si>
  <si>
    <t xml:space="preserve">Expenditure</t>
  </si>
  <si>
    <t xml:space="preserve">(no supplier name recorded)</t>
  </si>
  <si>
    <t xml:space="preserve">Reconciliation</t>
  </si>
  <si>
    <t xml:space="preserve">Ref</t>
  </si>
  <si>
    <t xml:space="preserve">Reconciling item</t>
  </si>
  <si>
    <t xml:space="preserve">Agrees</t>
  </si>
  <si>
    <t xml:space="preserve">Basis</t>
  </si>
  <si>
    <t xml:space="preserve">R1</t>
  </si>
  <si>
    <t xml:space="preserve">Total expenditure per the Transaction Listing</t>
  </si>
  <si>
    <t xml:space="preserve">Sum of 247 ledger lines.</t>
  </si>
  <si>
    <t xml:space="preserve">R2</t>
  </si>
  <si>
    <t xml:space="preserve">Total expenditure per the Summary schedule</t>
  </si>
  <si>
    <t xml:space="preserve">Sum of the seven accounts.</t>
  </si>
  <si>
    <t xml:space="preserve">R3</t>
  </si>
  <si>
    <t xml:space="preserve">Difference, R1 less R2</t>
  </si>
  <si>
    <t xml:space="preserve">Must be nil. The two schedules are built from the same lines.</t>
  </si>
  <si>
    <t xml:space="preserve">R4</t>
  </si>
  <si>
    <t xml:space="preserve">Total expenditure per the Supplier Analysis schedule</t>
  </si>
  <si>
    <t xml:space="preserve">Sum of all suppliers, including lines with no supplier recorded.</t>
  </si>
  <si>
    <t xml:space="preserve">R5</t>
  </si>
  <si>
    <t xml:space="preserve">Difference, R1 less R4</t>
  </si>
  <si>
    <t xml:space="preserve">Must be nil.</t>
  </si>
  <si>
    <t xml:space="preserve">R6</t>
  </si>
  <si>
    <t xml:space="preserve">Total expenditure per the Monthly Analysis schedule</t>
  </si>
  <si>
    <t xml:space="preserve">Sum of all months.</t>
  </si>
  <si>
    <t xml:space="preserve">R7</t>
  </si>
  <si>
    <t xml:space="preserve">Difference, R1 less R6</t>
  </si>
  <si>
    <t xml:space="preserve">R8</t>
  </si>
  <si>
    <t xml:space="preserve">Line count per the Transaction Listing</t>
  </si>
  <si>
    <t xml:space="preserve">Against 3,771 lines in the full ledger export for the period.</t>
  </si>
  <si>
    <t xml:space="preserve">R9</t>
  </si>
  <si>
    <t xml:space="preserve">Debits less credits per the Transaction Listing</t>
  </si>
  <si>
    <t xml:space="preserve">Equals total expenditure, confirming these are expense lines with no credits netted off.</t>
  </si>
  <si>
    <t xml:space="preserve">R10</t>
  </si>
  <si>
    <t xml:space="preserve">Difference, R9 less R1</t>
  </si>
</sst>
</file>

<file path=xl/styles.xml><?xml version="1.0" encoding="utf-8"?>
<styleSheet xmlns="http://schemas.openxmlformats.org/spreadsheetml/2006/main">
  <numFmts count="7">
    <numFmt numFmtId="164" formatCode="General"/>
    <numFmt numFmtId="165" formatCode="\$#,##0.00;&quot;($&quot;#,##0.00\);\-"/>
    <numFmt numFmtId="166" formatCode="0.0%;\(0.0%\);\-"/>
    <numFmt numFmtId="167" formatCode="#,##0"/>
    <numFmt numFmtId="168" formatCode="dd/mm/yyyy"/>
    <numFmt numFmtId="169" formatCode="General"/>
    <numFmt numFmtId="170" formatCode="0"/>
  </numFmts>
  <fonts count="20">
    <font>
      <sz val="11"/>
      <color theme="1"/>
      <name val="Calibri"/>
      <family val="2"/>
      <charset val="1"/>
    </font>
    <font>
      <sz val="10"/>
      <name val="Arial"/>
      <family val="0"/>
    </font>
    <font>
      <sz val="10"/>
      <name val="Arial"/>
      <family val="0"/>
    </font>
    <font>
      <sz val="10"/>
      <name val="Arial"/>
      <family val="0"/>
    </font>
    <font>
      <sz val="11"/>
      <color rgb="FF595959"/>
      <name val="Times New Roman"/>
      <family val="0"/>
      <charset val="1"/>
    </font>
    <font>
      <b val="true"/>
      <sz val="15"/>
      <color rgb="FF1F3864"/>
      <name val="Times New Roman"/>
      <family val="0"/>
      <charset val="1"/>
    </font>
    <font>
      <i val="true"/>
      <sz val="10"/>
      <color rgb="FF595959"/>
      <name val="Times New Roman"/>
      <family val="0"/>
      <charset val="1"/>
    </font>
    <font>
      <b val="true"/>
      <sz val="10"/>
      <name val="Times New Roman"/>
      <family val="0"/>
      <charset val="1"/>
    </font>
    <font>
      <sz val="10"/>
      <name val="Times New Roman"/>
      <family val="0"/>
      <charset val="1"/>
    </font>
    <font>
      <b val="true"/>
      <sz val="10"/>
      <color rgb="FFFFFFFF"/>
      <name val="Times New Roman"/>
      <family val="0"/>
      <charset val="1"/>
    </font>
    <font>
      <sz val="11"/>
      <color theme="1"/>
      <name val="Times New Roman"/>
      <family val="0"/>
      <charset val="1"/>
    </font>
    <font>
      <b val="true"/>
      <sz val="11"/>
      <color rgb="FFFFFFFF"/>
      <name val="Times New Roman"/>
      <family val="0"/>
      <charset val="1"/>
    </font>
    <font>
      <b val="true"/>
      <sz val="11"/>
      <color rgb="FF1F3864"/>
      <name val="Times New Roman"/>
      <family val="0"/>
      <charset val="1"/>
    </font>
    <font>
      <b val="true"/>
      <sz val="11"/>
      <color rgb="FF000000"/>
      <name val="Times New Roman"/>
      <family val="0"/>
      <charset val="1"/>
    </font>
    <font>
      <b val="true"/>
      <sz val="11"/>
      <name val="Times New Roman"/>
      <family val="0"/>
      <charset val="1"/>
    </font>
    <font>
      <sz val="9"/>
      <name val="Times New Roman"/>
      <family val="0"/>
      <charset val="1"/>
    </font>
    <font>
      <b val="true"/>
      <sz val="11"/>
      <color rgb="FF9C0006"/>
      <name val="Times New Roman"/>
      <family val="0"/>
      <charset val="1"/>
    </font>
    <font>
      <i val="true"/>
      <sz val="9"/>
      <color rgb="FF595959"/>
      <name val="Times New Roman"/>
      <family val="0"/>
      <charset val="1"/>
    </font>
    <font>
      <sz val="9"/>
      <color rgb="FF000000"/>
      <name val="Times New Roman"/>
      <family val="0"/>
      <charset val="1"/>
    </font>
    <font>
      <sz val="9"/>
      <color rgb="FF9C0006"/>
      <name val="Times New Roman"/>
      <family val="0"/>
      <charset val="1"/>
    </font>
  </fonts>
  <fills count="5">
    <fill>
      <patternFill patternType="none"/>
    </fill>
    <fill>
      <patternFill patternType="gray125"/>
    </fill>
    <fill>
      <patternFill patternType="solid">
        <fgColor rgb="FF1F3864"/>
        <bgColor rgb="FF333333"/>
      </patternFill>
    </fill>
    <fill>
      <patternFill patternType="solid">
        <fgColor rgb="FFEDEDED"/>
        <bgColor rgb="FFD9E2F3"/>
      </patternFill>
    </fill>
    <fill>
      <patternFill patternType="solid">
        <fgColor rgb="FFD9E2F3"/>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7" fontId="7" fillId="3"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7" fontId="11" fillId="2" borderId="0" xfId="0" applyFont="true" applyBorder="false" applyAlignment="false" applyProtection="false">
      <alignment horizontal="general" vertical="bottom" textRotation="0" wrapText="false" indent="0" shrinkToFit="false"/>
      <protection locked="true" hidden="false"/>
    </xf>
    <xf numFmtId="166" fontId="11"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6" fontId="14"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4" borderId="1" xfId="0" applyFont="true" applyBorder="true" applyAlignment="false" applyProtection="false">
      <alignment horizontal="general" vertical="bottom" textRotation="0" wrapText="false" indent="0" shrinkToFit="false"/>
      <protection locked="true" hidden="false"/>
    </xf>
    <xf numFmtId="165" fontId="16" fillId="4" borderId="1" xfId="0" applyFont="true" applyBorder="true" applyAlignment="false" applyProtection="false">
      <alignment horizontal="general" vertical="bottom" textRotation="0" wrapText="false" indent="0" shrinkToFit="false"/>
      <protection locked="true" hidden="false"/>
    </xf>
    <xf numFmtId="169" fontId="11" fillId="2" borderId="0" xfId="0" applyFont="true" applyBorder="false" applyAlignment="true" applyProtection="false">
      <alignment horizontal="center"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8" fontId="18" fillId="0" borderId="1" xfId="0" applyFont="true" applyBorder="true" applyAlignment="false" applyProtection="false">
      <alignment horizontal="general" vertical="bottom" textRotation="0" wrapText="false" indent="0" shrinkToFit="false"/>
      <protection locked="true" hidden="false"/>
    </xf>
    <xf numFmtId="170" fontId="18"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5" fontId="18"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tru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9C0006"/>
          <bgColor rgb="FF000000"/>
        </patternFill>
      </fill>
    </dxf>
    <dxf>
      <font>
        <b val="1"/>
        <color rgb="FF006100"/>
      </font>
      <fill>
        <patternFill>
          <bgColor rgb="FFC6EFCE"/>
        </patternFill>
      </fill>
    </dxf>
    <dxf>
      <font>
        <b val="1"/>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04"/>
  </cols>
  <sheetData>
    <row r="1" customFormat="false" ht="15" hidden="false" customHeight="false" outlineLevel="0" collapsed="false">
      <c r="A1" s="1" t="s">
        <v>0</v>
      </c>
    </row>
    <row r="2" customFormat="false" ht="18.55" hidden="false" customHeight="false" outlineLevel="0" collapsed="false">
      <c r="A2" s="2" t="s">
        <v>1</v>
      </c>
    </row>
    <row r="3" customFormat="false" ht="15" hidden="false" customHeight="false" outlineLevel="0" collapsed="false">
      <c r="A3" s="3" t="s">
        <v>2</v>
      </c>
    </row>
    <row r="5" customFormat="false" ht="15" hidden="false" customHeight="true" outlineLevel="0" collapsed="false">
      <c r="A5" s="4" t="s">
        <v>3</v>
      </c>
      <c r="B5" s="5" t="s">
        <v>4</v>
      </c>
    </row>
    <row r="6" customFormat="false" ht="25.5" hidden="false" customHeight="true" outlineLevel="0" collapsed="false">
      <c r="A6" s="4" t="s">
        <v>5</v>
      </c>
      <c r="B6" s="5" t="s">
        <v>6</v>
      </c>
    </row>
    <row r="7" customFormat="false" ht="39" hidden="false" customHeight="true" outlineLevel="0" collapsed="false">
      <c r="A7" s="4" t="s">
        <v>7</v>
      </c>
      <c r="B7" s="5" t="s">
        <v>8</v>
      </c>
    </row>
    <row r="8" customFormat="false" ht="15" hidden="false" customHeight="true" outlineLevel="0" collapsed="false">
      <c r="A8" s="4" t="s">
        <v>9</v>
      </c>
      <c r="B8" s="5" t="s">
        <v>10</v>
      </c>
    </row>
    <row r="9" customFormat="false" ht="39" hidden="false" customHeight="true" outlineLevel="0" collapsed="false">
      <c r="A9" s="4" t="s">
        <v>11</v>
      </c>
      <c r="B9" s="5" t="s">
        <v>12</v>
      </c>
    </row>
    <row r="10" customFormat="false" ht="39" hidden="false" customHeight="true" outlineLevel="0" collapsed="false">
      <c r="A10" s="4" t="s">
        <v>13</v>
      </c>
      <c r="B10" s="5" t="s">
        <v>14</v>
      </c>
    </row>
    <row r="11" customFormat="false" ht="39" hidden="false" customHeight="true" outlineLevel="0" collapsed="false">
      <c r="A11" s="4" t="s">
        <v>15</v>
      </c>
      <c r="B11" s="5" t="s">
        <v>16</v>
      </c>
    </row>
    <row r="12" customFormat="false" ht="39" hidden="false" customHeight="true" outlineLevel="0" collapsed="false">
      <c r="A12" s="4" t="s">
        <v>17</v>
      </c>
      <c r="B12" s="5" t="s">
        <v>18</v>
      </c>
    </row>
    <row r="13" customFormat="false" ht="39" hidden="false" customHeight="true" outlineLevel="0" collapsed="false">
      <c r="A13" s="4" t="s">
        <v>19</v>
      </c>
      <c r="B13" s="5" t="s">
        <v>20</v>
      </c>
    </row>
    <row r="14" customFormat="false" ht="15" hidden="false" customHeight="true" outlineLevel="0" collapsed="false">
      <c r="A14" s="4" t="s">
        <v>21</v>
      </c>
      <c r="B14" s="5" t="s">
        <v>22</v>
      </c>
    </row>
  </sheetData>
  <printOptions headings="false" gridLines="false" gridLinesSet="true" horizontalCentered="tru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Corporate Technology Services Pty Ltd  -  Discretionary technology spend  -  FY2027 year to date  -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6" min="3" style="0" width="16"/>
    <col collapsed="false" customWidth="true" hidden="false" outlineLevel="0" max="7" min="7" style="0" width="14"/>
    <col collapsed="false" customWidth="true" hidden="false" outlineLevel="0" max="8" min="8" style="0" width="16"/>
    <col collapsed="false" customWidth="true" hidden="false" outlineLevel="0" max="9" min="9" style="0" width="12"/>
  </cols>
  <sheetData>
    <row r="1" customFormat="false" ht="15" hidden="false" customHeight="false" outlineLevel="0" collapsed="false">
      <c r="A1" s="1" t="s">
        <v>0</v>
      </c>
    </row>
    <row r="2" customFormat="false" ht="18.55" hidden="false" customHeight="false" outlineLevel="0" collapsed="false">
      <c r="A2" s="2" t="s">
        <v>23</v>
      </c>
    </row>
    <row r="3" customFormat="false" ht="15" hidden="false" customHeight="false" outlineLevel="0" collapsed="false">
      <c r="A3" s="3" t="s">
        <v>2</v>
      </c>
    </row>
    <row r="5" customFormat="false" ht="27.75" hidden="false" customHeight="true" outlineLevel="0" collapsed="false">
      <c r="A5" s="6" t="s">
        <v>24</v>
      </c>
      <c r="B5" s="6" t="s">
        <v>25</v>
      </c>
      <c r="C5" s="6" t="s">
        <v>26</v>
      </c>
      <c r="D5" s="6" t="s">
        <v>27</v>
      </c>
      <c r="E5" s="6" t="s">
        <v>28</v>
      </c>
      <c r="F5" s="6" t="s">
        <v>29</v>
      </c>
      <c r="G5" s="6" t="s">
        <v>30</v>
      </c>
      <c r="H5" s="6" t="s">
        <v>31</v>
      </c>
      <c r="I5" s="6" t="s">
        <v>32</v>
      </c>
    </row>
    <row r="6" customFormat="false" ht="15" hidden="false" customHeight="false" outlineLevel="0" collapsed="false">
      <c r="A6" s="7" t="s">
        <v>33</v>
      </c>
      <c r="B6" s="7" t="s">
        <v>34</v>
      </c>
      <c r="C6" s="8" t="n">
        <v>149160</v>
      </c>
      <c r="D6" s="8" t="n">
        <v>24860</v>
      </c>
      <c r="E6" s="8" t="n">
        <v>30218.74</v>
      </c>
      <c r="F6" s="8" t="n">
        <f aca="false">E6-D6</f>
        <v>5358.74</v>
      </c>
      <c r="G6" s="9" t="n">
        <v>20</v>
      </c>
      <c r="H6" s="8" t="n">
        <f aca="false">E6/2*12</f>
        <v>181312.44</v>
      </c>
      <c r="I6" s="10" t="n">
        <f aca="false">IF(C6=0,"n/a",H6/C6-1)</f>
        <v>0.215556717618665</v>
      </c>
    </row>
    <row r="7" customFormat="false" ht="15" hidden="false" customHeight="false" outlineLevel="0" collapsed="false">
      <c r="A7" s="7" t="s">
        <v>33</v>
      </c>
      <c r="B7" s="7" t="s">
        <v>35</v>
      </c>
      <c r="C7" s="8" t="n">
        <v>86544</v>
      </c>
      <c r="D7" s="8" t="n">
        <v>14424</v>
      </c>
      <c r="E7" s="8" t="n">
        <v>20672.16</v>
      </c>
      <c r="F7" s="8" t="n">
        <f aca="false">E7-D7</f>
        <v>6248.16</v>
      </c>
      <c r="G7" s="9" t="n">
        <v>139</v>
      </c>
      <c r="H7" s="8" t="n">
        <f aca="false">E7/2*12</f>
        <v>124032.96</v>
      </c>
      <c r="I7" s="10" t="n">
        <f aca="false">IF(C7=0,"n/a",H7/C7-1)</f>
        <v>0.433178036605657</v>
      </c>
    </row>
    <row r="8" customFormat="false" ht="15" hidden="false" customHeight="false" outlineLevel="0" collapsed="false">
      <c r="A8" s="7" t="s">
        <v>33</v>
      </c>
      <c r="B8" s="7" t="s">
        <v>36</v>
      </c>
      <c r="C8" s="8" t="n">
        <v>60000</v>
      </c>
      <c r="D8" s="8" t="n">
        <v>10000</v>
      </c>
      <c r="E8" s="8" t="n">
        <v>5000</v>
      </c>
      <c r="F8" s="8" t="n">
        <f aca="false">E8-D8</f>
        <v>-5000</v>
      </c>
      <c r="G8" s="9" t="n">
        <v>22</v>
      </c>
      <c r="H8" s="8" t="n">
        <f aca="false">E8/2*12</f>
        <v>30000</v>
      </c>
      <c r="I8" s="10" t="n">
        <f aca="false">IF(C8=0,"n/a",H8/C8-1)</f>
        <v>-0.5</v>
      </c>
    </row>
    <row r="9" customFormat="false" ht="15" hidden="false" customHeight="false" outlineLevel="0" collapsed="false">
      <c r="A9" s="7" t="s">
        <v>37</v>
      </c>
      <c r="B9" s="7" t="s">
        <v>38</v>
      </c>
      <c r="C9" s="8" t="n">
        <v>4814</v>
      </c>
      <c r="D9" s="8" t="n">
        <v>802.33</v>
      </c>
      <c r="E9" s="8" t="n">
        <v>727.64</v>
      </c>
      <c r="F9" s="8" t="n">
        <f aca="false">E9-D9</f>
        <v>-74.6900000000001</v>
      </c>
      <c r="G9" s="9" t="n">
        <v>4</v>
      </c>
      <c r="H9" s="8" t="n">
        <f aca="false">E9/2*12</f>
        <v>4365.84</v>
      </c>
      <c r="I9" s="10" t="n">
        <f aca="false">IF(C9=0,"n/a",H9/C9-1)</f>
        <v>-0.0930951391773992</v>
      </c>
    </row>
    <row r="10" customFormat="false" ht="15" hidden="false" customHeight="false" outlineLevel="0" collapsed="false">
      <c r="A10" s="7" t="s">
        <v>37</v>
      </c>
      <c r="B10" s="7" t="s">
        <v>39</v>
      </c>
      <c r="C10" s="8" t="n">
        <v>3300</v>
      </c>
      <c r="D10" s="8" t="n">
        <v>550</v>
      </c>
      <c r="E10" s="8" t="n">
        <v>1286.29</v>
      </c>
      <c r="F10" s="8" t="n">
        <f aca="false">E10-D10</f>
        <v>736.29</v>
      </c>
      <c r="G10" s="9" t="n">
        <v>53</v>
      </c>
      <c r="H10" s="8" t="n">
        <f aca="false">E10/2*12</f>
        <v>7717.74</v>
      </c>
      <c r="I10" s="10" t="n">
        <f aca="false">IF(C10=0,"n/a",H10/C10-1)</f>
        <v>1.33870909090909</v>
      </c>
    </row>
    <row r="11" customFormat="false" ht="15" hidden="false" customHeight="false" outlineLevel="0" collapsed="false">
      <c r="A11" s="7" t="s">
        <v>37</v>
      </c>
      <c r="B11" s="7" t="s">
        <v>40</v>
      </c>
      <c r="C11" s="8" t="n">
        <v>2400</v>
      </c>
      <c r="D11" s="8" t="n">
        <v>400</v>
      </c>
      <c r="E11" s="8" t="n">
        <v>343.42</v>
      </c>
      <c r="F11" s="8" t="n">
        <f aca="false">E11-D11</f>
        <v>-56.58</v>
      </c>
      <c r="G11" s="9" t="n">
        <v>3</v>
      </c>
      <c r="H11" s="8" t="n">
        <f aca="false">E11/2*12</f>
        <v>2060.52</v>
      </c>
      <c r="I11" s="10" t="n">
        <f aca="false">IF(C11=0,"n/a",H11/C11-1)</f>
        <v>-0.14145</v>
      </c>
    </row>
    <row r="12" customFormat="false" ht="15" hidden="false" customHeight="false" outlineLevel="0" collapsed="false">
      <c r="A12" s="7" t="s">
        <v>37</v>
      </c>
      <c r="B12" s="7" t="s">
        <v>41</v>
      </c>
      <c r="C12" s="8" t="n">
        <v>780</v>
      </c>
      <c r="D12" s="8" t="n">
        <v>130</v>
      </c>
      <c r="E12" s="8" t="n">
        <v>171.33</v>
      </c>
      <c r="F12" s="8" t="n">
        <f aca="false">E12-D12</f>
        <v>41.33</v>
      </c>
      <c r="G12" s="9" t="n">
        <v>6</v>
      </c>
      <c r="H12" s="8" t="n">
        <f aca="false">E12/2*12</f>
        <v>1027.98</v>
      </c>
      <c r="I12" s="10" t="n">
        <f aca="false">IF(C12=0,"n/a",H12/C12-1)</f>
        <v>0.317923076923077</v>
      </c>
    </row>
    <row r="13" customFormat="false" ht="15" hidden="false" customHeight="false" outlineLevel="0" collapsed="false">
      <c r="A13" s="11"/>
      <c r="B13" s="12" t="s">
        <v>42</v>
      </c>
      <c r="C13" s="13" t="n">
        <f aca="false">C6+C7+C8</f>
        <v>295704</v>
      </c>
      <c r="D13" s="13" t="n">
        <f aca="false">D6+D7+D8</f>
        <v>49284</v>
      </c>
      <c r="E13" s="13" t="n">
        <f aca="false">E6+E7+E8</f>
        <v>55890.9</v>
      </c>
      <c r="F13" s="13" t="n">
        <f aca="false">F6+F7+F8</f>
        <v>6606.9</v>
      </c>
      <c r="G13" s="14" t="n">
        <f aca="false">G6+G7+G8</f>
        <v>181</v>
      </c>
      <c r="H13" s="13" t="n">
        <f aca="false">H6+H7+H8</f>
        <v>335345.4</v>
      </c>
      <c r="I13" s="15" t="n">
        <f aca="false">IF(C13=0,"n/a",H13/C13-1)</f>
        <v>0.134057706355004</v>
      </c>
    </row>
    <row r="14" customFormat="false" ht="15" hidden="false" customHeight="false" outlineLevel="0" collapsed="false">
      <c r="A14" s="11"/>
      <c r="B14" s="12" t="s">
        <v>43</v>
      </c>
      <c r="C14" s="13" t="n">
        <f aca="false">C9+C10+C11+C12</f>
        <v>11294</v>
      </c>
      <c r="D14" s="13" t="n">
        <f aca="false">D9+D10+D11+D12</f>
        <v>1882.33</v>
      </c>
      <c r="E14" s="13" t="n">
        <f aca="false">E9+E10+E11+E12</f>
        <v>2528.68</v>
      </c>
      <c r="F14" s="13" t="n">
        <f aca="false">F9+F10+F11+F12</f>
        <v>646.35</v>
      </c>
      <c r="G14" s="14" t="n">
        <f aca="false">G9+G10+G11+G12</f>
        <v>66</v>
      </c>
      <c r="H14" s="13" t="n">
        <f aca="false">H9+H10+H11+H12</f>
        <v>15172.08</v>
      </c>
      <c r="I14" s="15" t="n">
        <f aca="false">IF(C14=0,"n/a",H14/C14-1)</f>
        <v>0.34337524349212</v>
      </c>
    </row>
    <row r="15" customFormat="false" ht="15" hidden="false" customHeight="false" outlineLevel="0" collapsed="false">
      <c r="A15" s="16"/>
      <c r="B15" s="17" t="s">
        <v>44</v>
      </c>
      <c r="C15" s="18" t="n">
        <f aca="false">C13+C14</f>
        <v>306998</v>
      </c>
      <c r="D15" s="18" t="n">
        <f aca="false">D13+D14</f>
        <v>51166.33</v>
      </c>
      <c r="E15" s="18" t="n">
        <f aca="false">E13+E14</f>
        <v>58419.58</v>
      </c>
      <c r="F15" s="18" t="n">
        <f aca="false">F13+F14</f>
        <v>7253.25</v>
      </c>
      <c r="G15" s="19" t="n">
        <f aca="false">G13+G14</f>
        <v>247</v>
      </c>
      <c r="H15" s="18" t="n">
        <f aca="false">H13+H14</f>
        <v>350517.48</v>
      </c>
      <c r="I15" s="20" t="n">
        <f aca="false">IF(C15=0,"n/a",H15/C15-1)</f>
        <v>0.141758187349755</v>
      </c>
    </row>
    <row r="17" customFormat="false" ht="49.5" hidden="false" customHeight="true" outlineLevel="0" collapsed="false">
      <c r="A17" s="4" t="s">
        <v>45</v>
      </c>
      <c r="B17" s="21" t="s">
        <v>46</v>
      </c>
      <c r="C17" s="21"/>
      <c r="D17" s="21"/>
      <c r="E17" s="21"/>
      <c r="F17" s="21"/>
      <c r="G17" s="21"/>
      <c r="H17" s="21"/>
      <c r="I17" s="21"/>
    </row>
    <row r="18" customFormat="false" ht="37.5" hidden="false" customHeight="true" outlineLevel="0" collapsed="false">
      <c r="A18" s="4" t="s">
        <v>47</v>
      </c>
      <c r="B18" s="21" t="s">
        <v>48</v>
      </c>
      <c r="C18" s="21"/>
      <c r="D18" s="21"/>
      <c r="E18" s="21"/>
      <c r="F18" s="21"/>
      <c r="G18" s="21"/>
      <c r="H18" s="21"/>
      <c r="I18" s="21"/>
    </row>
    <row r="19" customFormat="false" ht="37.5" hidden="false" customHeight="true" outlineLevel="0" collapsed="false">
      <c r="A19" s="4" t="s">
        <v>49</v>
      </c>
      <c r="B19" s="21" t="s">
        <v>50</v>
      </c>
      <c r="C19" s="21"/>
      <c r="D19" s="21"/>
      <c r="E19" s="21"/>
      <c r="F19" s="21"/>
      <c r="G19" s="21"/>
      <c r="H19" s="21"/>
      <c r="I19" s="21"/>
    </row>
    <row r="20" customFormat="false" ht="49.5" hidden="false" customHeight="true" outlineLevel="0" collapsed="false">
      <c r="A20" s="4" t="s">
        <v>51</v>
      </c>
      <c r="B20" s="21" t="s">
        <v>52</v>
      </c>
      <c r="C20" s="21"/>
      <c r="D20" s="21"/>
      <c r="E20" s="21"/>
      <c r="F20" s="21"/>
      <c r="G20" s="21"/>
      <c r="H20" s="21"/>
      <c r="I20" s="21"/>
    </row>
  </sheetData>
  <mergeCells count="4">
    <mergeCell ref="B17:I17"/>
    <mergeCell ref="B18:I18"/>
    <mergeCell ref="B19:I19"/>
    <mergeCell ref="B20:I20"/>
  </mergeCells>
  <printOptions headings="false" gridLines="false" gridLinesSet="true" horizontalCentered="tru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Corporate Technology Services Pty Ltd  -  Discretionary technology spend  -  FY2027 year to date  -  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applyStyles="0" summaryBelow="0" summaryRight="0"/>
    <pageSetUpPr fitToPage="true"/>
  </sheetPr>
  <dimension ref="A1:J3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2" outlineLevelCol="0"/>
  <cols>
    <col collapsed="false" customWidth="true" hidden="false" outlineLevel="0" max="1" min="1" style="0" width="52"/>
    <col collapsed="false" customWidth="true" hidden="false" outlineLevel="0" max="2" min="2" style="0" width="15"/>
    <col collapsed="false" customWidth="true" hidden="false" outlineLevel="0" max="3" min="3" style="0" width="11"/>
    <col collapsed="false" customWidth="true" hidden="false" outlineLevel="0" max="4" min="4" style="0" width="8"/>
    <col collapsed="false" customWidth="true" hidden="false" outlineLevel="0" max="5" min="5" style="0" width="42"/>
    <col collapsed="false" customWidth="true" hidden="false" outlineLevel="0" max="6" min="6" style="0" width="15"/>
    <col collapsed="false" customWidth="true" hidden="false" outlineLevel="0" max="7" min="7" style="0" width="20"/>
    <col collapsed="false" customWidth="true" hidden="false" outlineLevel="0" max="8" min="8" style="0" width="24"/>
    <col collapsed="false" customWidth="true" hidden="false" outlineLevel="0" max="9" min="9" style="0" width="13"/>
    <col collapsed="false" customWidth="true" hidden="false" outlineLevel="0" max="10" min="10" style="0" width="17"/>
  </cols>
  <sheetData>
    <row r="1" customFormat="false" ht="15" hidden="false" customHeight="false" outlineLevel="0" collapsed="false">
      <c r="A1" s="1" t="s">
        <v>0</v>
      </c>
    </row>
    <row r="2" customFormat="false" ht="18.55" hidden="false" customHeight="false" outlineLevel="0" collapsed="false">
      <c r="A2" s="2" t="s">
        <v>53</v>
      </c>
    </row>
    <row r="3" customFormat="false" ht="15" hidden="false" customHeight="false" outlineLevel="0" collapsed="false">
      <c r="A3" s="3" t="s">
        <v>54</v>
      </c>
    </row>
    <row r="5" customFormat="false" ht="27.75" hidden="false" customHeight="true" outlineLevel="0" collapsed="false">
      <c r="A5" s="6" t="s">
        <v>55</v>
      </c>
      <c r="B5" s="6" t="s">
        <v>56</v>
      </c>
      <c r="C5" s="6" t="s">
        <v>57</v>
      </c>
      <c r="D5" s="6" t="s">
        <v>30</v>
      </c>
      <c r="E5" s="6" t="s">
        <v>58</v>
      </c>
      <c r="F5" s="6" t="s">
        <v>59</v>
      </c>
      <c r="G5" s="6" t="s">
        <v>60</v>
      </c>
      <c r="H5" s="6" t="s">
        <v>61</v>
      </c>
      <c r="I5" s="6" t="s">
        <v>62</v>
      </c>
      <c r="J5" s="6" t="s">
        <v>63</v>
      </c>
    </row>
    <row r="6" customFormat="false" ht="15" hidden="false" customHeight="false" outlineLevel="0" collapsed="false">
      <c r="A6" s="22" t="s">
        <v>64</v>
      </c>
      <c r="B6" s="23" t="n">
        <f aca="false">B7+B28</f>
        <v>37799.82</v>
      </c>
      <c r="C6" s="24" t="n">
        <f aca="false">B6/$B$326</f>
        <v>0.647040256023751</v>
      </c>
      <c r="D6" s="25" t="n">
        <v>43</v>
      </c>
      <c r="E6" s="26"/>
      <c r="F6" s="26"/>
      <c r="G6" s="26"/>
      <c r="H6" s="26"/>
      <c r="I6" s="26"/>
      <c r="J6" s="26"/>
    </row>
    <row r="7" customFormat="false" ht="15" hidden="false" customHeight="false" outlineLevel="1" collapsed="false">
      <c r="A7" s="27" t="s">
        <v>65</v>
      </c>
      <c r="B7" s="13" t="n">
        <f aca="false">B8+B9+B10+B11+B12+B13+B14+B15+B16+B17+B18+B19+B20+B21+B22+B23+B24+B25+B26+B27</f>
        <v>30218.74</v>
      </c>
      <c r="C7" s="28"/>
      <c r="D7" s="29" t="n">
        <v>20</v>
      </c>
      <c r="E7" s="28"/>
      <c r="F7" s="28"/>
      <c r="G7" s="28"/>
      <c r="H7" s="28"/>
      <c r="I7" s="28"/>
      <c r="J7" s="28"/>
    </row>
    <row r="8" customFormat="false" ht="15" hidden="true" customHeight="false" outlineLevel="2" collapsed="false">
      <c r="A8" s="30" t="n">
        <v>46204</v>
      </c>
      <c r="B8" s="31" t="n">
        <v>9953</v>
      </c>
      <c r="C8" s="32"/>
      <c r="D8" s="32"/>
      <c r="E8" s="32" t="s">
        <v>66</v>
      </c>
      <c r="F8" s="32" t="s">
        <v>67</v>
      </c>
      <c r="G8" s="32" t="s">
        <v>67</v>
      </c>
      <c r="H8" s="32" t="s">
        <v>68</v>
      </c>
      <c r="I8" s="32" t="s">
        <v>69</v>
      </c>
      <c r="J8" s="32" t="s">
        <v>70</v>
      </c>
    </row>
    <row r="9" customFormat="false" ht="15" hidden="true" customHeight="false" outlineLevel="2" collapsed="false">
      <c r="A9" s="30" t="n">
        <v>46204</v>
      </c>
      <c r="B9" s="31" t="n">
        <v>403.5</v>
      </c>
      <c r="C9" s="32"/>
      <c r="D9" s="32"/>
      <c r="E9" s="33" t="s">
        <v>71</v>
      </c>
      <c r="F9" s="32" t="s">
        <v>67</v>
      </c>
      <c r="G9" s="32" t="s">
        <v>67</v>
      </c>
      <c r="H9" s="32" t="s">
        <v>68</v>
      </c>
      <c r="I9" s="32" t="s">
        <v>69</v>
      </c>
      <c r="J9" s="32" t="s">
        <v>70</v>
      </c>
    </row>
    <row r="10" customFormat="false" ht="15" hidden="true" customHeight="false" outlineLevel="2" collapsed="false">
      <c r="A10" s="30" t="n">
        <v>46204</v>
      </c>
      <c r="B10" s="31" t="n">
        <v>1247</v>
      </c>
      <c r="C10" s="32"/>
      <c r="D10" s="32"/>
      <c r="E10" s="32" t="s">
        <v>72</v>
      </c>
      <c r="F10" s="32" t="s">
        <v>67</v>
      </c>
      <c r="G10" s="32" t="s">
        <v>67</v>
      </c>
      <c r="H10" s="32" t="s">
        <v>68</v>
      </c>
      <c r="I10" s="32" t="s">
        <v>69</v>
      </c>
      <c r="J10" s="32" t="s">
        <v>70</v>
      </c>
    </row>
    <row r="11" customFormat="false" ht="15" hidden="true" customHeight="false" outlineLevel="2" collapsed="false">
      <c r="A11" s="30" t="n">
        <v>46204</v>
      </c>
      <c r="B11" s="31" t="n">
        <v>-430</v>
      </c>
      <c r="C11" s="32"/>
      <c r="D11" s="32"/>
      <c r="E11" s="32" t="s">
        <v>73</v>
      </c>
      <c r="F11" s="32" t="s">
        <v>67</v>
      </c>
      <c r="G11" s="32" t="s">
        <v>67</v>
      </c>
      <c r="H11" s="32" t="s">
        <v>68</v>
      </c>
      <c r="I11" s="32" t="s">
        <v>69</v>
      </c>
      <c r="J11" s="32" t="s">
        <v>70</v>
      </c>
    </row>
    <row r="12" customFormat="false" ht="15" hidden="true" customHeight="false" outlineLevel="2" collapsed="false">
      <c r="A12" s="30" t="n">
        <v>46204</v>
      </c>
      <c r="B12" s="31" t="n">
        <v>100</v>
      </c>
      <c r="C12" s="32"/>
      <c r="D12" s="32"/>
      <c r="E12" s="32" t="s">
        <v>74</v>
      </c>
      <c r="F12" s="32" t="s">
        <v>67</v>
      </c>
      <c r="G12" s="32" t="s">
        <v>67</v>
      </c>
      <c r="H12" s="32" t="s">
        <v>68</v>
      </c>
      <c r="I12" s="32" t="s">
        <v>69</v>
      </c>
      <c r="J12" s="32" t="s">
        <v>70</v>
      </c>
    </row>
    <row r="13" customFormat="false" ht="15" hidden="true" customHeight="false" outlineLevel="2" collapsed="false">
      <c r="A13" s="30" t="n">
        <v>46204</v>
      </c>
      <c r="B13" s="31" t="n">
        <v>325</v>
      </c>
      <c r="C13" s="32"/>
      <c r="D13" s="32"/>
      <c r="E13" s="32" t="s">
        <v>75</v>
      </c>
      <c r="F13" s="32" t="s">
        <v>67</v>
      </c>
      <c r="G13" s="32" t="s">
        <v>67</v>
      </c>
      <c r="H13" s="32" t="s">
        <v>68</v>
      </c>
      <c r="I13" s="32" t="s">
        <v>69</v>
      </c>
      <c r="J13" s="32" t="s">
        <v>70</v>
      </c>
    </row>
    <row r="14" customFormat="false" ht="15" hidden="true" customHeight="false" outlineLevel="2" collapsed="false">
      <c r="A14" s="30" t="n">
        <v>46204</v>
      </c>
      <c r="B14" s="31" t="n">
        <v>28.8</v>
      </c>
      <c r="C14" s="32"/>
      <c r="D14" s="32"/>
      <c r="E14" s="33" t="s">
        <v>76</v>
      </c>
      <c r="F14" s="32" t="s">
        <v>67</v>
      </c>
      <c r="G14" s="32" t="s">
        <v>67</v>
      </c>
      <c r="H14" s="32" t="s">
        <v>68</v>
      </c>
      <c r="I14" s="32" t="s">
        <v>69</v>
      </c>
      <c r="J14" s="32" t="s">
        <v>70</v>
      </c>
    </row>
    <row r="15" customFormat="false" ht="15" hidden="true" customHeight="false" outlineLevel="2" collapsed="false">
      <c r="A15" s="30" t="n">
        <v>46204</v>
      </c>
      <c r="B15" s="31" t="n">
        <v>198.58</v>
      </c>
      <c r="C15" s="32"/>
      <c r="D15" s="32"/>
      <c r="E15" s="33" t="s">
        <v>77</v>
      </c>
      <c r="F15" s="32" t="s">
        <v>67</v>
      </c>
      <c r="G15" s="32" t="s">
        <v>67</v>
      </c>
      <c r="H15" s="32" t="s">
        <v>68</v>
      </c>
      <c r="I15" s="32" t="s">
        <v>69</v>
      </c>
      <c r="J15" s="32" t="s">
        <v>70</v>
      </c>
    </row>
    <row r="16" customFormat="false" ht="15" hidden="true" customHeight="false" outlineLevel="2" collapsed="false">
      <c r="A16" s="30" t="n">
        <v>46219</v>
      </c>
      <c r="B16" s="31" t="n">
        <v>-198.58</v>
      </c>
      <c r="C16" s="32"/>
      <c r="D16" s="32"/>
      <c r="E16" s="33" t="s">
        <v>78</v>
      </c>
      <c r="F16" s="32" t="s">
        <v>79</v>
      </c>
      <c r="G16" s="32" t="s">
        <v>79</v>
      </c>
      <c r="H16" s="32" t="s">
        <v>68</v>
      </c>
      <c r="I16" s="32" t="s">
        <v>69</v>
      </c>
      <c r="J16" s="32" t="s">
        <v>80</v>
      </c>
    </row>
    <row r="17" customFormat="false" ht="15" hidden="true" customHeight="false" outlineLevel="2" collapsed="false">
      <c r="A17" s="30" t="n">
        <v>46234</v>
      </c>
      <c r="B17" s="31" t="n">
        <v>18325.73</v>
      </c>
      <c r="C17" s="32"/>
      <c r="D17" s="32"/>
      <c r="E17" s="32" t="s">
        <v>81</v>
      </c>
      <c r="F17" s="32" t="s">
        <v>82</v>
      </c>
      <c r="G17" s="32" t="s">
        <v>82</v>
      </c>
      <c r="H17" s="32" t="s">
        <v>68</v>
      </c>
      <c r="I17" s="32" t="s">
        <v>69</v>
      </c>
      <c r="J17" s="32" t="s">
        <v>70</v>
      </c>
    </row>
    <row r="18" customFormat="false" ht="15" hidden="true" customHeight="false" outlineLevel="2" collapsed="false">
      <c r="A18" s="30" t="n">
        <v>46234</v>
      </c>
      <c r="B18" s="31" t="n">
        <v>-7330.29</v>
      </c>
      <c r="C18" s="32"/>
      <c r="D18" s="32"/>
      <c r="E18" s="33" t="s">
        <v>83</v>
      </c>
      <c r="F18" s="32" t="s">
        <v>82</v>
      </c>
      <c r="G18" s="32" t="s">
        <v>82</v>
      </c>
      <c r="H18" s="32" t="s">
        <v>68</v>
      </c>
      <c r="I18" s="32" t="s">
        <v>69</v>
      </c>
      <c r="J18" s="32" t="s">
        <v>70</v>
      </c>
    </row>
    <row r="19" customFormat="false" ht="15" hidden="true" customHeight="false" outlineLevel="2" collapsed="false">
      <c r="A19" s="30" t="n">
        <v>46234</v>
      </c>
      <c r="B19" s="31" t="n">
        <v>-2451</v>
      </c>
      <c r="C19" s="32"/>
      <c r="D19" s="32"/>
      <c r="E19" s="32" t="s">
        <v>84</v>
      </c>
      <c r="F19" s="32" t="s">
        <v>82</v>
      </c>
      <c r="G19" s="32" t="s">
        <v>82</v>
      </c>
      <c r="H19" s="32" t="s">
        <v>68</v>
      </c>
      <c r="I19" s="32" t="s">
        <v>69</v>
      </c>
      <c r="J19" s="32" t="s">
        <v>70</v>
      </c>
    </row>
    <row r="20" customFormat="false" ht="15" hidden="true" customHeight="false" outlineLevel="2" collapsed="false">
      <c r="A20" s="30" t="n">
        <v>46235</v>
      </c>
      <c r="B20" s="31" t="n">
        <v>7263</v>
      </c>
      <c r="C20" s="32"/>
      <c r="D20" s="32"/>
      <c r="E20" s="32" t="s">
        <v>66</v>
      </c>
      <c r="F20" s="32" t="s">
        <v>85</v>
      </c>
      <c r="G20" s="32" t="s">
        <v>85</v>
      </c>
      <c r="H20" s="32" t="s">
        <v>68</v>
      </c>
      <c r="I20" s="32" t="s">
        <v>69</v>
      </c>
      <c r="J20" s="32" t="s">
        <v>70</v>
      </c>
    </row>
    <row r="21" customFormat="false" ht="15" hidden="true" customHeight="false" outlineLevel="2" collapsed="false">
      <c r="A21" s="30" t="n">
        <v>46235</v>
      </c>
      <c r="B21" s="31" t="n">
        <v>941.5</v>
      </c>
      <c r="C21" s="32"/>
      <c r="D21" s="32"/>
      <c r="E21" s="33" t="s">
        <v>71</v>
      </c>
      <c r="F21" s="32" t="s">
        <v>85</v>
      </c>
      <c r="G21" s="32" t="s">
        <v>85</v>
      </c>
      <c r="H21" s="32" t="s">
        <v>68</v>
      </c>
      <c r="I21" s="32" t="s">
        <v>69</v>
      </c>
      <c r="J21" s="32" t="s">
        <v>70</v>
      </c>
    </row>
    <row r="22" customFormat="false" ht="15" hidden="true" customHeight="false" outlineLevel="2" collapsed="false">
      <c r="A22" s="30" t="n">
        <v>46235</v>
      </c>
      <c r="B22" s="31" t="n">
        <v>1189</v>
      </c>
      <c r="C22" s="32"/>
      <c r="D22" s="32"/>
      <c r="E22" s="32" t="s">
        <v>72</v>
      </c>
      <c r="F22" s="32" t="s">
        <v>85</v>
      </c>
      <c r="G22" s="32" t="s">
        <v>85</v>
      </c>
      <c r="H22" s="32" t="s">
        <v>68</v>
      </c>
      <c r="I22" s="32" t="s">
        <v>69</v>
      </c>
      <c r="J22" s="32" t="s">
        <v>70</v>
      </c>
    </row>
    <row r="23" customFormat="false" ht="15" hidden="true" customHeight="false" outlineLevel="2" collapsed="false">
      <c r="A23" s="30" t="n">
        <v>46235</v>
      </c>
      <c r="B23" s="31" t="n">
        <v>-410</v>
      </c>
      <c r="C23" s="32"/>
      <c r="D23" s="32"/>
      <c r="E23" s="32" t="s">
        <v>73</v>
      </c>
      <c r="F23" s="32" t="s">
        <v>85</v>
      </c>
      <c r="G23" s="32" t="s">
        <v>85</v>
      </c>
      <c r="H23" s="32" t="s">
        <v>68</v>
      </c>
      <c r="I23" s="32" t="s">
        <v>69</v>
      </c>
      <c r="J23" s="32" t="s">
        <v>70</v>
      </c>
    </row>
    <row r="24" customFormat="false" ht="15" hidden="true" customHeight="false" outlineLevel="2" collapsed="false">
      <c r="A24" s="30" t="n">
        <v>46235</v>
      </c>
      <c r="B24" s="31" t="n">
        <v>100</v>
      </c>
      <c r="C24" s="32"/>
      <c r="D24" s="32"/>
      <c r="E24" s="32" t="s">
        <v>74</v>
      </c>
      <c r="F24" s="32" t="s">
        <v>85</v>
      </c>
      <c r="G24" s="32" t="s">
        <v>85</v>
      </c>
      <c r="H24" s="32" t="s">
        <v>68</v>
      </c>
      <c r="I24" s="32" t="s">
        <v>69</v>
      </c>
      <c r="J24" s="32" t="s">
        <v>70</v>
      </c>
    </row>
    <row r="25" customFormat="false" ht="15" hidden="true" customHeight="false" outlineLevel="2" collapsed="false">
      <c r="A25" s="30" t="n">
        <v>46235</v>
      </c>
      <c r="B25" s="31" t="n">
        <v>325</v>
      </c>
      <c r="C25" s="32"/>
      <c r="D25" s="32"/>
      <c r="E25" s="32" t="s">
        <v>75</v>
      </c>
      <c r="F25" s="32" t="s">
        <v>85</v>
      </c>
      <c r="G25" s="32" t="s">
        <v>85</v>
      </c>
      <c r="H25" s="32" t="s">
        <v>68</v>
      </c>
      <c r="I25" s="32" t="s">
        <v>69</v>
      </c>
      <c r="J25" s="32" t="s">
        <v>70</v>
      </c>
    </row>
    <row r="26" customFormat="false" ht="15" hidden="true" customHeight="false" outlineLevel="2" collapsed="false">
      <c r="A26" s="30" t="n">
        <v>46235</v>
      </c>
      <c r="B26" s="31" t="n">
        <v>28.8</v>
      </c>
      <c r="C26" s="32"/>
      <c r="D26" s="32"/>
      <c r="E26" s="33" t="s">
        <v>76</v>
      </c>
      <c r="F26" s="32" t="s">
        <v>85</v>
      </c>
      <c r="G26" s="32" t="s">
        <v>85</v>
      </c>
      <c r="H26" s="32" t="s">
        <v>68</v>
      </c>
      <c r="I26" s="32" t="s">
        <v>69</v>
      </c>
      <c r="J26" s="32" t="s">
        <v>70</v>
      </c>
    </row>
    <row r="27" customFormat="false" ht="15" hidden="true" customHeight="false" outlineLevel="2" collapsed="false">
      <c r="A27" s="30" t="n">
        <v>46237</v>
      </c>
      <c r="B27" s="31" t="n">
        <v>609.7</v>
      </c>
      <c r="C27" s="32"/>
      <c r="D27" s="32"/>
      <c r="E27" s="33" t="s">
        <v>86</v>
      </c>
      <c r="F27" s="32" t="s">
        <v>87</v>
      </c>
      <c r="G27" s="32" t="s">
        <v>87</v>
      </c>
      <c r="H27" s="32" t="s">
        <v>68</v>
      </c>
      <c r="I27" s="32" t="s">
        <v>69</v>
      </c>
      <c r="J27" s="32" t="s">
        <v>70</v>
      </c>
    </row>
    <row r="28" customFormat="false" ht="15" hidden="false" customHeight="false" outlineLevel="1" collapsed="true">
      <c r="A28" s="27" t="s">
        <v>88</v>
      </c>
      <c r="B28" s="13" t="n">
        <f aca="false">B29+B30+B31+B32+B33+B34+B35+B36+B37+B38+B39+B40+B41+B42+B43+B44+B45+B46+B47+B48+B49+B50+B51</f>
        <v>7581.08</v>
      </c>
      <c r="C28" s="28"/>
      <c r="D28" s="29" t="n">
        <v>23</v>
      </c>
      <c r="E28" s="28"/>
      <c r="F28" s="28"/>
      <c r="G28" s="28"/>
      <c r="H28" s="28"/>
      <c r="I28" s="28"/>
      <c r="J28" s="28"/>
    </row>
    <row r="29" customFormat="false" ht="15" hidden="true" customHeight="false" outlineLevel="2" collapsed="false">
      <c r="A29" s="30" t="n">
        <v>46204</v>
      </c>
      <c r="B29" s="31" t="n">
        <v>616.89</v>
      </c>
      <c r="C29" s="32"/>
      <c r="D29" s="32"/>
      <c r="E29" s="32" t="s">
        <v>89</v>
      </c>
      <c r="F29" s="32" t="s">
        <v>90</v>
      </c>
      <c r="G29" s="32" t="s">
        <v>90</v>
      </c>
      <c r="H29" s="32" t="s">
        <v>68</v>
      </c>
      <c r="I29" s="32" t="s">
        <v>69</v>
      </c>
      <c r="J29" s="32" t="s">
        <v>70</v>
      </c>
    </row>
    <row r="30" customFormat="false" ht="15" hidden="true" customHeight="false" outlineLevel="2" collapsed="false">
      <c r="A30" s="30" t="n">
        <v>46204</v>
      </c>
      <c r="B30" s="31" t="n">
        <v>79.92</v>
      </c>
      <c r="C30" s="32"/>
      <c r="D30" s="32"/>
      <c r="E30" s="33" t="s">
        <v>91</v>
      </c>
      <c r="F30" s="32" t="s">
        <v>67</v>
      </c>
      <c r="G30" s="32" t="s">
        <v>67</v>
      </c>
      <c r="H30" s="32" t="s">
        <v>68</v>
      </c>
      <c r="I30" s="32" t="s">
        <v>69</v>
      </c>
      <c r="J30" s="32" t="s">
        <v>70</v>
      </c>
    </row>
    <row r="31" customFormat="false" ht="15" hidden="true" customHeight="false" outlineLevel="2" collapsed="false">
      <c r="A31" s="30" t="n">
        <v>46204</v>
      </c>
      <c r="B31" s="31" t="n">
        <v>57.6</v>
      </c>
      <c r="C31" s="32"/>
      <c r="D31" s="32"/>
      <c r="E31" s="32" t="s">
        <v>92</v>
      </c>
      <c r="F31" s="32" t="s">
        <v>67</v>
      </c>
      <c r="G31" s="32" t="s">
        <v>67</v>
      </c>
      <c r="H31" s="32" t="s">
        <v>68</v>
      </c>
      <c r="I31" s="32" t="s">
        <v>69</v>
      </c>
      <c r="J31" s="32" t="s">
        <v>70</v>
      </c>
    </row>
    <row r="32" customFormat="false" ht="15" hidden="true" customHeight="false" outlineLevel="2" collapsed="false">
      <c r="A32" s="30" t="n">
        <v>46204</v>
      </c>
      <c r="B32" s="31" t="n">
        <v>9</v>
      </c>
      <c r="C32" s="32"/>
      <c r="D32" s="32"/>
      <c r="E32" s="32" t="s">
        <v>93</v>
      </c>
      <c r="F32" s="32" t="s">
        <v>67</v>
      </c>
      <c r="G32" s="32" t="s">
        <v>67</v>
      </c>
      <c r="H32" s="32" t="s">
        <v>68</v>
      </c>
      <c r="I32" s="32" t="s">
        <v>69</v>
      </c>
      <c r="J32" s="32" t="s">
        <v>70</v>
      </c>
    </row>
    <row r="33" customFormat="false" ht="15" hidden="true" customHeight="false" outlineLevel="2" collapsed="false">
      <c r="A33" s="30" t="n">
        <v>46204</v>
      </c>
      <c r="B33" s="31" t="n">
        <v>917.28</v>
      </c>
      <c r="C33" s="32"/>
      <c r="D33" s="32"/>
      <c r="E33" s="32" t="s">
        <v>94</v>
      </c>
      <c r="F33" s="32" t="s">
        <v>67</v>
      </c>
      <c r="G33" s="32" t="s">
        <v>67</v>
      </c>
      <c r="H33" s="32" t="s">
        <v>68</v>
      </c>
      <c r="I33" s="32" t="s">
        <v>69</v>
      </c>
      <c r="J33" s="32" t="s">
        <v>70</v>
      </c>
    </row>
    <row r="34" customFormat="false" ht="15" hidden="true" customHeight="false" outlineLevel="2" collapsed="false">
      <c r="A34" s="30" t="n">
        <v>46204</v>
      </c>
      <c r="B34" s="31" t="n">
        <v>104.1</v>
      </c>
      <c r="C34" s="32"/>
      <c r="D34" s="32"/>
      <c r="E34" s="33" t="s">
        <v>95</v>
      </c>
      <c r="F34" s="32" t="s">
        <v>67</v>
      </c>
      <c r="G34" s="32" t="s">
        <v>67</v>
      </c>
      <c r="H34" s="32" t="s">
        <v>68</v>
      </c>
      <c r="I34" s="32" t="s">
        <v>69</v>
      </c>
      <c r="J34" s="32" t="s">
        <v>70</v>
      </c>
    </row>
    <row r="35" customFormat="false" ht="15" hidden="true" customHeight="false" outlineLevel="2" collapsed="false">
      <c r="A35" s="30" t="n">
        <v>46204</v>
      </c>
      <c r="B35" s="31" t="n">
        <v>215.04</v>
      </c>
      <c r="C35" s="32"/>
      <c r="D35" s="32"/>
      <c r="E35" s="33" t="s">
        <v>96</v>
      </c>
      <c r="F35" s="32" t="s">
        <v>67</v>
      </c>
      <c r="G35" s="32" t="s">
        <v>67</v>
      </c>
      <c r="H35" s="32" t="s">
        <v>68</v>
      </c>
      <c r="I35" s="32" t="s">
        <v>69</v>
      </c>
      <c r="J35" s="32" t="s">
        <v>70</v>
      </c>
    </row>
    <row r="36" customFormat="false" ht="15" hidden="true" customHeight="false" outlineLevel="2" collapsed="false">
      <c r="A36" s="30" t="n">
        <v>46204</v>
      </c>
      <c r="B36" s="31" t="n">
        <v>157.12</v>
      </c>
      <c r="C36" s="32"/>
      <c r="D36" s="32"/>
      <c r="E36" s="33" t="s">
        <v>97</v>
      </c>
      <c r="F36" s="32" t="s">
        <v>67</v>
      </c>
      <c r="G36" s="32" t="s">
        <v>67</v>
      </c>
      <c r="H36" s="32" t="s">
        <v>68</v>
      </c>
      <c r="I36" s="32" t="s">
        <v>69</v>
      </c>
      <c r="J36" s="32" t="s">
        <v>70</v>
      </c>
    </row>
    <row r="37" customFormat="false" ht="15" hidden="true" customHeight="false" outlineLevel="2" collapsed="false">
      <c r="A37" s="30" t="n">
        <v>46204</v>
      </c>
      <c r="B37" s="31" t="n">
        <v>274.05</v>
      </c>
      <c r="C37" s="32"/>
      <c r="D37" s="32"/>
      <c r="E37" s="33" t="s">
        <v>98</v>
      </c>
      <c r="F37" s="32" t="s">
        <v>67</v>
      </c>
      <c r="G37" s="32" t="s">
        <v>67</v>
      </c>
      <c r="H37" s="32" t="s">
        <v>68</v>
      </c>
      <c r="I37" s="32" t="s">
        <v>69</v>
      </c>
      <c r="J37" s="32" t="s">
        <v>70</v>
      </c>
    </row>
    <row r="38" customFormat="false" ht="15" hidden="true" customHeight="false" outlineLevel="2" collapsed="false">
      <c r="A38" s="30" t="n">
        <v>46204</v>
      </c>
      <c r="B38" s="31" t="n">
        <v>1071.05</v>
      </c>
      <c r="C38" s="32"/>
      <c r="D38" s="32"/>
      <c r="E38" s="33" t="s">
        <v>99</v>
      </c>
      <c r="F38" s="32" t="s">
        <v>67</v>
      </c>
      <c r="G38" s="32" t="s">
        <v>67</v>
      </c>
      <c r="H38" s="32" t="s">
        <v>68</v>
      </c>
      <c r="I38" s="32" t="s">
        <v>69</v>
      </c>
      <c r="J38" s="32" t="s">
        <v>70</v>
      </c>
    </row>
    <row r="39" customFormat="false" ht="15" hidden="true" customHeight="false" outlineLevel="2" collapsed="false">
      <c r="A39" s="30" t="n">
        <v>46204</v>
      </c>
      <c r="B39" s="31" t="n">
        <v>15.76</v>
      </c>
      <c r="C39" s="32"/>
      <c r="D39" s="32"/>
      <c r="E39" s="33" t="s">
        <v>100</v>
      </c>
      <c r="F39" s="32" t="s">
        <v>67</v>
      </c>
      <c r="G39" s="32" t="s">
        <v>67</v>
      </c>
      <c r="H39" s="32" t="s">
        <v>68</v>
      </c>
      <c r="I39" s="32" t="s">
        <v>69</v>
      </c>
      <c r="J39" s="32" t="s">
        <v>70</v>
      </c>
    </row>
    <row r="40" customFormat="false" ht="15" hidden="true" customHeight="false" outlineLevel="2" collapsed="false">
      <c r="A40" s="30" t="n">
        <v>46204</v>
      </c>
      <c r="B40" s="31" t="n">
        <v>265.36</v>
      </c>
      <c r="C40" s="32"/>
      <c r="D40" s="32"/>
      <c r="E40" s="32" t="s">
        <v>101</v>
      </c>
      <c r="F40" s="32" t="s">
        <v>67</v>
      </c>
      <c r="G40" s="32" t="s">
        <v>67</v>
      </c>
      <c r="H40" s="32" t="s">
        <v>68</v>
      </c>
      <c r="I40" s="32" t="s">
        <v>69</v>
      </c>
      <c r="J40" s="32" t="s">
        <v>70</v>
      </c>
    </row>
    <row r="41" customFormat="false" ht="15" hidden="true" customHeight="false" outlineLevel="2" collapsed="false">
      <c r="A41" s="30" t="n">
        <v>46235</v>
      </c>
      <c r="B41" s="31" t="n">
        <v>643.73</v>
      </c>
      <c r="C41" s="32"/>
      <c r="D41" s="32"/>
      <c r="E41" s="32" t="s">
        <v>89</v>
      </c>
      <c r="F41" s="32" t="s">
        <v>102</v>
      </c>
      <c r="G41" s="32" t="s">
        <v>102</v>
      </c>
      <c r="H41" s="32" t="s">
        <v>68</v>
      </c>
      <c r="I41" s="32" t="s">
        <v>69</v>
      </c>
      <c r="J41" s="32" t="s">
        <v>70</v>
      </c>
    </row>
    <row r="42" customFormat="false" ht="15" hidden="true" customHeight="false" outlineLevel="2" collapsed="false">
      <c r="A42" s="30" t="n">
        <v>46235</v>
      </c>
      <c r="B42" s="31" t="n">
        <v>79.92</v>
      </c>
      <c r="C42" s="32"/>
      <c r="D42" s="32"/>
      <c r="E42" s="33" t="s">
        <v>91</v>
      </c>
      <c r="F42" s="32" t="s">
        <v>85</v>
      </c>
      <c r="G42" s="32" t="s">
        <v>85</v>
      </c>
      <c r="H42" s="32" t="s">
        <v>68</v>
      </c>
      <c r="I42" s="32" t="s">
        <v>69</v>
      </c>
      <c r="J42" s="32" t="s">
        <v>70</v>
      </c>
    </row>
    <row r="43" customFormat="false" ht="15" hidden="true" customHeight="false" outlineLevel="2" collapsed="false">
      <c r="A43" s="30" t="n">
        <v>46235</v>
      </c>
      <c r="B43" s="31" t="n">
        <v>57.6</v>
      </c>
      <c r="C43" s="32"/>
      <c r="D43" s="32"/>
      <c r="E43" s="32" t="s">
        <v>92</v>
      </c>
      <c r="F43" s="32" t="s">
        <v>85</v>
      </c>
      <c r="G43" s="32" t="s">
        <v>85</v>
      </c>
      <c r="H43" s="32" t="s">
        <v>68</v>
      </c>
      <c r="I43" s="32" t="s">
        <v>69</v>
      </c>
      <c r="J43" s="32" t="s">
        <v>70</v>
      </c>
    </row>
    <row r="44" customFormat="false" ht="15" hidden="true" customHeight="false" outlineLevel="2" collapsed="false">
      <c r="A44" s="30" t="n">
        <v>46235</v>
      </c>
      <c r="B44" s="31" t="n">
        <v>9</v>
      </c>
      <c r="C44" s="32"/>
      <c r="D44" s="32"/>
      <c r="E44" s="32" t="s">
        <v>93</v>
      </c>
      <c r="F44" s="32" t="s">
        <v>85</v>
      </c>
      <c r="G44" s="32" t="s">
        <v>85</v>
      </c>
      <c r="H44" s="32" t="s">
        <v>68</v>
      </c>
      <c r="I44" s="32" t="s">
        <v>69</v>
      </c>
      <c r="J44" s="32" t="s">
        <v>70</v>
      </c>
    </row>
    <row r="45" customFormat="false" ht="15" hidden="true" customHeight="false" outlineLevel="2" collapsed="false">
      <c r="A45" s="30" t="n">
        <v>46235</v>
      </c>
      <c r="B45" s="31" t="n">
        <v>917.28</v>
      </c>
      <c r="C45" s="32"/>
      <c r="D45" s="32"/>
      <c r="E45" s="32" t="s">
        <v>94</v>
      </c>
      <c r="F45" s="32" t="s">
        <v>85</v>
      </c>
      <c r="G45" s="32" t="s">
        <v>85</v>
      </c>
      <c r="H45" s="32" t="s">
        <v>68</v>
      </c>
      <c r="I45" s="32" t="s">
        <v>69</v>
      </c>
      <c r="J45" s="32" t="s">
        <v>70</v>
      </c>
    </row>
    <row r="46" customFormat="false" ht="15" hidden="true" customHeight="false" outlineLevel="2" collapsed="false">
      <c r="A46" s="30" t="n">
        <v>46235</v>
      </c>
      <c r="B46" s="31" t="n">
        <v>107.76</v>
      </c>
      <c r="C46" s="32"/>
      <c r="D46" s="32"/>
      <c r="E46" s="33" t="s">
        <v>95</v>
      </c>
      <c r="F46" s="32" t="s">
        <v>85</v>
      </c>
      <c r="G46" s="32" t="s">
        <v>85</v>
      </c>
      <c r="H46" s="32" t="s">
        <v>68</v>
      </c>
      <c r="I46" s="32" t="s">
        <v>69</v>
      </c>
      <c r="J46" s="32" t="s">
        <v>70</v>
      </c>
    </row>
    <row r="47" customFormat="false" ht="15" hidden="true" customHeight="false" outlineLevel="2" collapsed="false">
      <c r="A47" s="30" t="n">
        <v>46235</v>
      </c>
      <c r="B47" s="31" t="n">
        <v>215.04</v>
      </c>
      <c r="C47" s="32"/>
      <c r="D47" s="32"/>
      <c r="E47" s="33" t="s">
        <v>96</v>
      </c>
      <c r="F47" s="32" t="s">
        <v>85</v>
      </c>
      <c r="G47" s="32" t="s">
        <v>85</v>
      </c>
      <c r="H47" s="32" t="s">
        <v>68</v>
      </c>
      <c r="I47" s="32" t="s">
        <v>69</v>
      </c>
      <c r="J47" s="32" t="s">
        <v>70</v>
      </c>
    </row>
    <row r="48" customFormat="false" ht="15" hidden="true" customHeight="false" outlineLevel="2" collapsed="false">
      <c r="A48" s="30" t="n">
        <v>46235</v>
      </c>
      <c r="B48" s="31" t="n">
        <v>157.12</v>
      </c>
      <c r="C48" s="32"/>
      <c r="D48" s="32"/>
      <c r="E48" s="33" t="s">
        <v>97</v>
      </c>
      <c r="F48" s="32" t="s">
        <v>85</v>
      </c>
      <c r="G48" s="32" t="s">
        <v>85</v>
      </c>
      <c r="H48" s="32" t="s">
        <v>68</v>
      </c>
      <c r="I48" s="32" t="s">
        <v>69</v>
      </c>
      <c r="J48" s="32" t="s">
        <v>70</v>
      </c>
    </row>
    <row r="49" customFormat="false" ht="15" hidden="true" customHeight="false" outlineLevel="2" collapsed="false">
      <c r="A49" s="30" t="n">
        <v>46235</v>
      </c>
      <c r="B49" s="31" t="n">
        <v>274.05</v>
      </c>
      <c r="C49" s="32"/>
      <c r="D49" s="32"/>
      <c r="E49" s="33" t="s">
        <v>98</v>
      </c>
      <c r="F49" s="32" t="s">
        <v>85</v>
      </c>
      <c r="G49" s="32" t="s">
        <v>85</v>
      </c>
      <c r="H49" s="32" t="s">
        <v>68</v>
      </c>
      <c r="I49" s="32" t="s">
        <v>69</v>
      </c>
      <c r="J49" s="32" t="s">
        <v>70</v>
      </c>
    </row>
    <row r="50" customFormat="false" ht="15" hidden="true" customHeight="false" outlineLevel="2" collapsed="false">
      <c r="A50" s="30" t="n">
        <v>46235</v>
      </c>
      <c r="B50" s="31" t="n">
        <v>1071.05</v>
      </c>
      <c r="C50" s="32"/>
      <c r="D50" s="32"/>
      <c r="E50" s="33" t="s">
        <v>99</v>
      </c>
      <c r="F50" s="32" t="s">
        <v>85</v>
      </c>
      <c r="G50" s="32" t="s">
        <v>85</v>
      </c>
      <c r="H50" s="32" t="s">
        <v>68</v>
      </c>
      <c r="I50" s="32" t="s">
        <v>69</v>
      </c>
      <c r="J50" s="32" t="s">
        <v>70</v>
      </c>
    </row>
    <row r="51" customFormat="false" ht="15" hidden="true" customHeight="false" outlineLevel="2" collapsed="false">
      <c r="A51" s="30" t="n">
        <v>46235</v>
      </c>
      <c r="B51" s="31" t="n">
        <v>265.36</v>
      </c>
      <c r="C51" s="32"/>
      <c r="D51" s="32"/>
      <c r="E51" s="32" t="s">
        <v>101</v>
      </c>
      <c r="F51" s="32" t="s">
        <v>85</v>
      </c>
      <c r="G51" s="32" t="s">
        <v>85</v>
      </c>
      <c r="H51" s="32" t="s">
        <v>68</v>
      </c>
      <c r="I51" s="32" t="s">
        <v>69</v>
      </c>
      <c r="J51" s="32" t="s">
        <v>70</v>
      </c>
    </row>
    <row r="52" customFormat="false" ht="15" hidden="false" customHeight="false" outlineLevel="0" collapsed="false">
      <c r="A52" s="34" t="s">
        <v>103</v>
      </c>
      <c r="B52" s="35" t="n">
        <f aca="false">B53+B108</f>
        <v>9568.78</v>
      </c>
      <c r="C52" s="24" t="n">
        <f aca="false">B52/$B$326</f>
        <v>0.163794056718655</v>
      </c>
      <c r="D52" s="25" t="n">
        <v>56</v>
      </c>
      <c r="E52" s="26"/>
      <c r="F52" s="26"/>
      <c r="G52" s="26"/>
      <c r="H52" s="26"/>
      <c r="I52" s="26"/>
      <c r="J52" s="26"/>
    </row>
    <row r="53" customFormat="false" ht="15" hidden="false" customHeight="false" outlineLevel="1" collapsed="false">
      <c r="A53" s="27" t="s">
        <v>88</v>
      </c>
      <c r="B53" s="13" t="n">
        <f aca="false">B54+B55+B56+B57+B58+B59+B60+B61+B62+B63+B64+B65+B66+B67+B68+B69+B70+B71+B72+B73+B74+B75+B76+B77+B78+B79+B80+B81+B82+B83+B84+B85+B86+B87+B88+B89+B90+B91+B92+B93+B94+B95+B96+B97+B98+B99+B100+B101+B102+B103+B104+B105+B106+B107</f>
        <v>9876.52</v>
      </c>
      <c r="C53" s="28"/>
      <c r="D53" s="29" t="n">
        <v>54</v>
      </c>
      <c r="E53" s="28"/>
      <c r="F53" s="28"/>
      <c r="G53" s="28"/>
      <c r="H53" s="28"/>
      <c r="I53" s="28"/>
      <c r="J53" s="28"/>
    </row>
    <row r="54" customFormat="false" ht="15" hidden="true" customHeight="false" outlineLevel="2" collapsed="false">
      <c r="A54" s="30" t="n">
        <v>46234</v>
      </c>
      <c r="B54" s="31" t="n">
        <v>38.75</v>
      </c>
      <c r="C54" s="32"/>
      <c r="D54" s="32"/>
      <c r="E54" s="32" t="s">
        <v>104</v>
      </c>
      <c r="F54" s="32"/>
      <c r="G54" s="32" t="s">
        <v>105</v>
      </c>
      <c r="H54" s="32" t="s">
        <v>106</v>
      </c>
      <c r="I54" s="32" t="s">
        <v>69</v>
      </c>
      <c r="J54" s="32" t="s">
        <v>107</v>
      </c>
    </row>
    <row r="55" customFormat="false" ht="15" hidden="true" customHeight="false" outlineLevel="2" collapsed="false">
      <c r="A55" s="30" t="n">
        <v>46234</v>
      </c>
      <c r="B55" s="31" t="n">
        <v>12.5</v>
      </c>
      <c r="C55" s="32"/>
      <c r="D55" s="32"/>
      <c r="E55" s="32" t="s">
        <v>108</v>
      </c>
      <c r="F55" s="32"/>
      <c r="G55" s="32" t="s">
        <v>105</v>
      </c>
      <c r="H55" s="32" t="s">
        <v>109</v>
      </c>
      <c r="I55" s="32" t="s">
        <v>69</v>
      </c>
      <c r="J55" s="32" t="s">
        <v>107</v>
      </c>
    </row>
    <row r="56" customFormat="false" ht="15" hidden="true" customHeight="false" outlineLevel="2" collapsed="false">
      <c r="A56" s="30" t="n">
        <v>46234</v>
      </c>
      <c r="B56" s="31" t="n">
        <v>35.36</v>
      </c>
      <c r="C56" s="32"/>
      <c r="D56" s="32"/>
      <c r="E56" s="32" t="s">
        <v>110</v>
      </c>
      <c r="F56" s="32"/>
      <c r="G56" s="32" t="s">
        <v>105</v>
      </c>
      <c r="H56" s="32" t="s">
        <v>109</v>
      </c>
      <c r="I56" s="32" t="s">
        <v>69</v>
      </c>
      <c r="J56" s="32" t="s">
        <v>107</v>
      </c>
    </row>
    <row r="57" customFormat="false" ht="15" hidden="true" customHeight="false" outlineLevel="2" collapsed="false">
      <c r="A57" s="30" t="n">
        <v>46234</v>
      </c>
      <c r="B57" s="31" t="n">
        <v>348.89</v>
      </c>
      <c r="C57" s="32"/>
      <c r="D57" s="32"/>
      <c r="E57" s="32" t="s">
        <v>111</v>
      </c>
      <c r="F57" s="32"/>
      <c r="G57" s="32" t="s">
        <v>105</v>
      </c>
      <c r="H57" s="32" t="s">
        <v>112</v>
      </c>
      <c r="I57" s="32" t="s">
        <v>113</v>
      </c>
      <c r="J57" s="32" t="s">
        <v>107</v>
      </c>
    </row>
    <row r="58" customFormat="false" ht="15" hidden="true" customHeight="false" outlineLevel="2" collapsed="false">
      <c r="A58" s="30" t="n">
        <v>46234</v>
      </c>
      <c r="B58" s="31" t="n">
        <v>38.59</v>
      </c>
      <c r="C58" s="32"/>
      <c r="D58" s="32"/>
      <c r="E58" s="32" t="s">
        <v>114</v>
      </c>
      <c r="F58" s="32"/>
      <c r="G58" s="32" t="s">
        <v>105</v>
      </c>
      <c r="H58" s="32" t="s">
        <v>112</v>
      </c>
      <c r="I58" s="32" t="s">
        <v>113</v>
      </c>
      <c r="J58" s="32" t="s">
        <v>107</v>
      </c>
    </row>
    <row r="59" customFormat="false" ht="15" hidden="true" customHeight="false" outlineLevel="2" collapsed="false">
      <c r="A59" s="30" t="n">
        <v>46234</v>
      </c>
      <c r="B59" s="31" t="n">
        <v>530</v>
      </c>
      <c r="C59" s="32"/>
      <c r="D59" s="32"/>
      <c r="E59" s="32" t="s">
        <v>115</v>
      </c>
      <c r="F59" s="32"/>
      <c r="G59" s="32" t="s">
        <v>105</v>
      </c>
      <c r="H59" s="32" t="s">
        <v>116</v>
      </c>
      <c r="I59" s="32" t="s">
        <v>69</v>
      </c>
      <c r="J59" s="32" t="s">
        <v>107</v>
      </c>
    </row>
    <row r="60" customFormat="false" ht="15" hidden="true" customHeight="false" outlineLevel="2" collapsed="false">
      <c r="A60" s="30" t="n">
        <v>46234</v>
      </c>
      <c r="B60" s="31" t="n">
        <v>44.28</v>
      </c>
      <c r="C60" s="32"/>
      <c r="D60" s="32"/>
      <c r="E60" s="32" t="s">
        <v>117</v>
      </c>
      <c r="F60" s="32"/>
      <c r="G60" s="32" t="s">
        <v>105</v>
      </c>
      <c r="H60" s="32" t="s">
        <v>118</v>
      </c>
      <c r="I60" s="32" t="s">
        <v>113</v>
      </c>
      <c r="J60" s="32" t="s">
        <v>107</v>
      </c>
    </row>
    <row r="61" customFormat="false" ht="15" hidden="true" customHeight="false" outlineLevel="2" collapsed="false">
      <c r="A61" s="30" t="n">
        <v>46234</v>
      </c>
      <c r="B61" s="31" t="n">
        <v>44.33</v>
      </c>
      <c r="C61" s="32"/>
      <c r="D61" s="32"/>
      <c r="E61" s="32" t="s">
        <v>119</v>
      </c>
      <c r="F61" s="32"/>
      <c r="G61" s="32" t="s">
        <v>105</v>
      </c>
      <c r="H61" s="32" t="s">
        <v>112</v>
      </c>
      <c r="I61" s="32" t="s">
        <v>113</v>
      </c>
      <c r="J61" s="32" t="s">
        <v>107</v>
      </c>
    </row>
    <row r="62" customFormat="false" ht="15" hidden="true" customHeight="false" outlineLevel="2" collapsed="false">
      <c r="A62" s="30" t="n">
        <v>46234</v>
      </c>
      <c r="B62" s="31" t="n">
        <v>79.75</v>
      </c>
      <c r="C62" s="32"/>
      <c r="D62" s="32"/>
      <c r="E62" s="32" t="s">
        <v>120</v>
      </c>
      <c r="F62" s="32"/>
      <c r="G62" s="32" t="s">
        <v>105</v>
      </c>
      <c r="H62" s="32" t="s">
        <v>121</v>
      </c>
      <c r="I62" s="32" t="s">
        <v>122</v>
      </c>
      <c r="J62" s="32" t="s">
        <v>107</v>
      </c>
    </row>
    <row r="63" customFormat="false" ht="15" hidden="true" customHeight="false" outlineLevel="2" collapsed="false">
      <c r="A63" s="30" t="n">
        <v>46234</v>
      </c>
      <c r="B63" s="31" t="n">
        <v>39.88</v>
      </c>
      <c r="C63" s="32"/>
      <c r="D63" s="32"/>
      <c r="E63" s="32" t="s">
        <v>120</v>
      </c>
      <c r="F63" s="32"/>
      <c r="G63" s="32" t="s">
        <v>105</v>
      </c>
      <c r="H63" s="32" t="s">
        <v>123</v>
      </c>
      <c r="I63" s="32" t="s">
        <v>124</v>
      </c>
      <c r="J63" s="32" t="s">
        <v>107</v>
      </c>
    </row>
    <row r="64" customFormat="false" ht="15" hidden="true" customHeight="false" outlineLevel="2" collapsed="false">
      <c r="A64" s="30" t="n">
        <v>46234</v>
      </c>
      <c r="B64" s="31" t="n">
        <v>39.88</v>
      </c>
      <c r="C64" s="32"/>
      <c r="D64" s="32"/>
      <c r="E64" s="32" t="s">
        <v>120</v>
      </c>
      <c r="F64" s="32"/>
      <c r="G64" s="32" t="s">
        <v>105</v>
      </c>
      <c r="H64" s="32" t="s">
        <v>125</v>
      </c>
      <c r="I64" s="32" t="s">
        <v>126</v>
      </c>
      <c r="J64" s="32" t="s">
        <v>107</v>
      </c>
    </row>
    <row r="65" customFormat="false" ht="15" hidden="true" customHeight="false" outlineLevel="2" collapsed="false">
      <c r="A65" s="30" t="n">
        <v>46234</v>
      </c>
      <c r="B65" s="31" t="n">
        <v>237.5</v>
      </c>
      <c r="C65" s="32"/>
      <c r="D65" s="32"/>
      <c r="E65" s="32" t="s">
        <v>127</v>
      </c>
      <c r="F65" s="32"/>
      <c r="G65" s="32" t="s">
        <v>105</v>
      </c>
      <c r="H65" s="32" t="s">
        <v>68</v>
      </c>
      <c r="I65" s="32" t="s">
        <v>69</v>
      </c>
      <c r="J65" s="32" t="s">
        <v>107</v>
      </c>
    </row>
    <row r="66" customFormat="false" ht="15" hidden="true" customHeight="false" outlineLevel="2" collapsed="false">
      <c r="A66" s="30" t="n">
        <v>46234</v>
      </c>
      <c r="B66" s="31" t="n">
        <v>49.99</v>
      </c>
      <c r="C66" s="32"/>
      <c r="D66" s="32"/>
      <c r="E66" s="32" t="s">
        <v>128</v>
      </c>
      <c r="F66" s="32"/>
      <c r="G66" s="32" t="s">
        <v>105</v>
      </c>
      <c r="H66" s="32" t="s">
        <v>68</v>
      </c>
      <c r="I66" s="32" t="s">
        <v>69</v>
      </c>
      <c r="J66" s="32" t="s">
        <v>107</v>
      </c>
    </row>
    <row r="67" customFormat="false" ht="15" hidden="true" customHeight="false" outlineLevel="2" collapsed="false">
      <c r="A67" s="30" t="n">
        <v>46234</v>
      </c>
      <c r="B67" s="31" t="n">
        <v>783.65</v>
      </c>
      <c r="C67" s="32"/>
      <c r="D67" s="32"/>
      <c r="E67" s="32" t="s">
        <v>129</v>
      </c>
      <c r="F67" s="32"/>
      <c r="G67" s="32" t="s">
        <v>105</v>
      </c>
      <c r="H67" s="32" t="s">
        <v>68</v>
      </c>
      <c r="I67" s="32" t="s">
        <v>69</v>
      </c>
      <c r="J67" s="32" t="s">
        <v>107</v>
      </c>
    </row>
    <row r="68" customFormat="false" ht="15" hidden="true" customHeight="false" outlineLevel="2" collapsed="false">
      <c r="A68" s="30" t="n">
        <v>46234</v>
      </c>
      <c r="B68" s="31" t="n">
        <v>700</v>
      </c>
      <c r="C68" s="32"/>
      <c r="D68" s="32"/>
      <c r="E68" s="32" t="s">
        <v>130</v>
      </c>
      <c r="F68" s="32"/>
      <c r="G68" s="32" t="s">
        <v>105</v>
      </c>
      <c r="H68" s="32" t="s">
        <v>68</v>
      </c>
      <c r="I68" s="32" t="s">
        <v>69</v>
      </c>
      <c r="J68" s="32" t="s">
        <v>107</v>
      </c>
    </row>
    <row r="69" customFormat="false" ht="15" hidden="true" customHeight="false" outlineLevel="2" collapsed="false">
      <c r="A69" s="30" t="n">
        <v>46234</v>
      </c>
      <c r="B69" s="31" t="n">
        <v>229.17</v>
      </c>
      <c r="C69" s="32"/>
      <c r="D69" s="32"/>
      <c r="E69" s="32" t="s">
        <v>131</v>
      </c>
      <c r="F69" s="32"/>
      <c r="G69" s="32" t="s">
        <v>105</v>
      </c>
      <c r="H69" s="32" t="s">
        <v>68</v>
      </c>
      <c r="I69" s="32" t="s">
        <v>69</v>
      </c>
      <c r="J69" s="32" t="s">
        <v>107</v>
      </c>
    </row>
    <row r="70" customFormat="false" ht="15" hidden="true" customHeight="false" outlineLevel="2" collapsed="false">
      <c r="A70" s="30" t="n">
        <v>46234</v>
      </c>
      <c r="B70" s="31" t="n">
        <v>115</v>
      </c>
      <c r="C70" s="32"/>
      <c r="D70" s="32"/>
      <c r="E70" s="32" t="s">
        <v>132</v>
      </c>
      <c r="F70" s="32"/>
      <c r="G70" s="32" t="s">
        <v>105</v>
      </c>
      <c r="H70" s="32" t="s">
        <v>125</v>
      </c>
      <c r="I70" s="32" t="s">
        <v>126</v>
      </c>
      <c r="J70" s="32" t="s">
        <v>107</v>
      </c>
    </row>
    <row r="71" customFormat="false" ht="15" hidden="true" customHeight="false" outlineLevel="2" collapsed="false">
      <c r="A71" s="30" t="n">
        <v>46234</v>
      </c>
      <c r="B71" s="31" t="n">
        <v>383.33</v>
      </c>
      <c r="C71" s="32"/>
      <c r="D71" s="32"/>
      <c r="E71" s="32" t="s">
        <v>133</v>
      </c>
      <c r="F71" s="32"/>
      <c r="G71" s="32" t="s">
        <v>105</v>
      </c>
      <c r="H71" s="32" t="s">
        <v>116</v>
      </c>
      <c r="I71" s="32" t="s">
        <v>69</v>
      </c>
      <c r="J71" s="32" t="s">
        <v>107</v>
      </c>
    </row>
    <row r="72" customFormat="false" ht="15" hidden="true" customHeight="false" outlineLevel="2" collapsed="false">
      <c r="A72" s="30" t="n">
        <v>46234</v>
      </c>
      <c r="B72" s="31" t="n">
        <v>95</v>
      </c>
      <c r="C72" s="32"/>
      <c r="D72" s="32"/>
      <c r="E72" s="32" t="s">
        <v>134</v>
      </c>
      <c r="F72" s="32"/>
      <c r="G72" s="32" t="s">
        <v>105</v>
      </c>
      <c r="H72" s="32" t="s">
        <v>135</v>
      </c>
      <c r="I72" s="32" t="s">
        <v>136</v>
      </c>
      <c r="J72" s="32" t="s">
        <v>107</v>
      </c>
    </row>
    <row r="73" customFormat="false" ht="15" hidden="true" customHeight="false" outlineLevel="2" collapsed="false">
      <c r="A73" s="30" t="n">
        <v>46234</v>
      </c>
      <c r="B73" s="31" t="n">
        <v>220</v>
      </c>
      <c r="C73" s="32"/>
      <c r="D73" s="32"/>
      <c r="E73" s="32" t="s">
        <v>137</v>
      </c>
      <c r="F73" s="32"/>
      <c r="G73" s="32" t="s">
        <v>105</v>
      </c>
      <c r="H73" s="32" t="s">
        <v>68</v>
      </c>
      <c r="I73" s="32" t="s">
        <v>69</v>
      </c>
      <c r="J73" s="32" t="s">
        <v>107</v>
      </c>
    </row>
    <row r="74" customFormat="false" ht="15" hidden="true" customHeight="false" outlineLevel="2" collapsed="false">
      <c r="A74" s="30" t="n">
        <v>46234</v>
      </c>
      <c r="B74" s="31" t="n">
        <v>363</v>
      </c>
      <c r="C74" s="32"/>
      <c r="D74" s="32"/>
      <c r="E74" s="32" t="s">
        <v>137</v>
      </c>
      <c r="F74" s="32"/>
      <c r="G74" s="32" t="s">
        <v>105</v>
      </c>
      <c r="H74" s="32" t="s">
        <v>112</v>
      </c>
      <c r="I74" s="32" t="s">
        <v>113</v>
      </c>
      <c r="J74" s="32" t="s">
        <v>107</v>
      </c>
    </row>
    <row r="75" customFormat="false" ht="15" hidden="true" customHeight="false" outlineLevel="2" collapsed="false">
      <c r="A75" s="30" t="n">
        <v>46234</v>
      </c>
      <c r="B75" s="31" t="n">
        <v>60.5</v>
      </c>
      <c r="C75" s="32"/>
      <c r="D75" s="32"/>
      <c r="E75" s="32" t="s">
        <v>137</v>
      </c>
      <c r="F75" s="32"/>
      <c r="G75" s="32" t="s">
        <v>105</v>
      </c>
      <c r="H75" s="32" t="s">
        <v>135</v>
      </c>
      <c r="I75" s="32" t="s">
        <v>136</v>
      </c>
      <c r="J75" s="32" t="s">
        <v>107</v>
      </c>
    </row>
    <row r="76" customFormat="false" ht="15" hidden="true" customHeight="false" outlineLevel="2" collapsed="false">
      <c r="A76" s="30" t="n">
        <v>46234</v>
      </c>
      <c r="B76" s="31" t="n">
        <v>60.5</v>
      </c>
      <c r="C76" s="32"/>
      <c r="D76" s="32"/>
      <c r="E76" s="32" t="s">
        <v>137</v>
      </c>
      <c r="F76" s="32"/>
      <c r="G76" s="32" t="s">
        <v>105</v>
      </c>
      <c r="H76" s="32" t="s">
        <v>121</v>
      </c>
      <c r="I76" s="32" t="s">
        <v>122</v>
      </c>
      <c r="J76" s="32" t="s">
        <v>107</v>
      </c>
    </row>
    <row r="77" customFormat="false" ht="15" hidden="true" customHeight="false" outlineLevel="2" collapsed="false">
      <c r="A77" s="30" t="n">
        <v>46234</v>
      </c>
      <c r="B77" s="31" t="n">
        <v>121</v>
      </c>
      <c r="C77" s="32"/>
      <c r="D77" s="32"/>
      <c r="E77" s="32" t="s">
        <v>137</v>
      </c>
      <c r="F77" s="32"/>
      <c r="G77" s="32" t="s">
        <v>105</v>
      </c>
      <c r="H77" s="32" t="s">
        <v>125</v>
      </c>
      <c r="I77" s="32" t="s">
        <v>126</v>
      </c>
      <c r="J77" s="32" t="s">
        <v>107</v>
      </c>
    </row>
    <row r="78" customFormat="false" ht="15" hidden="true" customHeight="false" outlineLevel="2" collapsed="false">
      <c r="A78" s="30" t="n">
        <v>46234</v>
      </c>
      <c r="B78" s="31" t="n">
        <v>61.78</v>
      </c>
      <c r="C78" s="32"/>
      <c r="D78" s="32"/>
      <c r="E78" s="32" t="s">
        <v>138</v>
      </c>
      <c r="F78" s="32"/>
      <c r="G78" s="32" t="s">
        <v>105</v>
      </c>
      <c r="H78" s="32" t="s">
        <v>135</v>
      </c>
      <c r="I78" s="32" t="s">
        <v>136</v>
      </c>
      <c r="J78" s="32" t="s">
        <v>107</v>
      </c>
    </row>
    <row r="79" customFormat="false" ht="15" hidden="true" customHeight="false" outlineLevel="2" collapsed="false">
      <c r="A79" s="30" t="n">
        <v>46234</v>
      </c>
      <c r="B79" s="31" t="n">
        <v>43.36</v>
      </c>
      <c r="C79" s="32"/>
      <c r="D79" s="32"/>
      <c r="E79" s="32" t="s">
        <v>139</v>
      </c>
      <c r="F79" s="32"/>
      <c r="G79" s="32" t="s">
        <v>105</v>
      </c>
      <c r="H79" s="32" t="s">
        <v>68</v>
      </c>
      <c r="I79" s="32" t="s">
        <v>69</v>
      </c>
      <c r="J79" s="32" t="s">
        <v>107</v>
      </c>
    </row>
    <row r="80" customFormat="false" ht="15" hidden="true" customHeight="false" outlineLevel="2" collapsed="false">
      <c r="A80" s="30" t="n">
        <v>46265</v>
      </c>
      <c r="B80" s="31" t="n">
        <v>208.09</v>
      </c>
      <c r="C80" s="32"/>
      <c r="D80" s="32"/>
      <c r="E80" s="32" t="s">
        <v>140</v>
      </c>
      <c r="F80" s="32"/>
      <c r="G80" s="32" t="s">
        <v>141</v>
      </c>
      <c r="H80" s="32" t="s">
        <v>68</v>
      </c>
      <c r="I80" s="32" t="s">
        <v>69</v>
      </c>
      <c r="J80" s="32" t="s">
        <v>107</v>
      </c>
    </row>
    <row r="81" customFormat="false" ht="15" hidden="true" customHeight="false" outlineLevel="2" collapsed="false">
      <c r="A81" s="30" t="n">
        <v>46265</v>
      </c>
      <c r="B81" s="31" t="n">
        <v>38.75</v>
      </c>
      <c r="C81" s="32"/>
      <c r="D81" s="32"/>
      <c r="E81" s="32" t="s">
        <v>142</v>
      </c>
      <c r="F81" s="32"/>
      <c r="G81" s="32" t="s">
        <v>143</v>
      </c>
      <c r="H81" s="32" t="s">
        <v>106</v>
      </c>
      <c r="I81" s="32" t="s">
        <v>69</v>
      </c>
      <c r="J81" s="32" t="s">
        <v>107</v>
      </c>
    </row>
    <row r="82" customFormat="false" ht="15" hidden="true" customHeight="false" outlineLevel="2" collapsed="false">
      <c r="A82" s="30" t="n">
        <v>46265</v>
      </c>
      <c r="B82" s="31" t="n">
        <v>12.5</v>
      </c>
      <c r="C82" s="32"/>
      <c r="D82" s="32"/>
      <c r="E82" s="32" t="s">
        <v>144</v>
      </c>
      <c r="F82" s="32"/>
      <c r="G82" s="32" t="s">
        <v>143</v>
      </c>
      <c r="H82" s="32" t="s">
        <v>109</v>
      </c>
      <c r="I82" s="32" t="s">
        <v>69</v>
      </c>
      <c r="J82" s="32" t="s">
        <v>107</v>
      </c>
    </row>
    <row r="83" customFormat="false" ht="15" hidden="true" customHeight="false" outlineLevel="2" collapsed="false">
      <c r="A83" s="30" t="n">
        <v>46265</v>
      </c>
      <c r="B83" s="31" t="n">
        <v>530</v>
      </c>
      <c r="C83" s="32"/>
      <c r="D83" s="32"/>
      <c r="E83" s="32" t="s">
        <v>145</v>
      </c>
      <c r="F83" s="32"/>
      <c r="G83" s="32" t="s">
        <v>143</v>
      </c>
      <c r="H83" s="32" t="s">
        <v>116</v>
      </c>
      <c r="I83" s="32" t="s">
        <v>69</v>
      </c>
      <c r="J83" s="32" t="s">
        <v>107</v>
      </c>
    </row>
    <row r="84" customFormat="false" ht="15" hidden="true" customHeight="false" outlineLevel="2" collapsed="false">
      <c r="A84" s="30" t="n">
        <v>46265</v>
      </c>
      <c r="B84" s="31" t="n">
        <v>44.28</v>
      </c>
      <c r="C84" s="32"/>
      <c r="D84" s="32"/>
      <c r="E84" s="32" t="s">
        <v>146</v>
      </c>
      <c r="F84" s="32"/>
      <c r="G84" s="32" t="s">
        <v>143</v>
      </c>
      <c r="H84" s="32" t="s">
        <v>118</v>
      </c>
      <c r="I84" s="32" t="s">
        <v>113</v>
      </c>
      <c r="J84" s="32" t="s">
        <v>107</v>
      </c>
    </row>
    <row r="85" customFormat="false" ht="15" hidden="true" customHeight="false" outlineLevel="2" collapsed="false">
      <c r="A85" s="30" t="n">
        <v>46265</v>
      </c>
      <c r="B85" s="31" t="n">
        <v>175.03</v>
      </c>
      <c r="C85" s="32"/>
      <c r="D85" s="32"/>
      <c r="E85" s="32" t="s">
        <v>147</v>
      </c>
      <c r="F85" s="32"/>
      <c r="G85" s="32" t="s">
        <v>143</v>
      </c>
      <c r="H85" s="32" t="s">
        <v>68</v>
      </c>
      <c r="I85" s="32" t="s">
        <v>69</v>
      </c>
      <c r="J85" s="32" t="s">
        <v>107</v>
      </c>
    </row>
    <row r="86" customFormat="false" ht="15" hidden="true" customHeight="false" outlineLevel="2" collapsed="false">
      <c r="A86" s="30" t="n">
        <v>46265</v>
      </c>
      <c r="B86" s="31" t="n">
        <v>343.27</v>
      </c>
      <c r="C86" s="32"/>
      <c r="D86" s="32"/>
      <c r="E86" s="32" t="s">
        <v>148</v>
      </c>
      <c r="F86" s="32"/>
      <c r="G86" s="32" t="s">
        <v>143</v>
      </c>
      <c r="H86" s="32" t="s">
        <v>123</v>
      </c>
      <c r="I86" s="32" t="s">
        <v>124</v>
      </c>
      <c r="J86" s="32" t="s">
        <v>107</v>
      </c>
    </row>
    <row r="87" customFormat="false" ht="15" hidden="true" customHeight="false" outlineLevel="2" collapsed="false">
      <c r="A87" s="30" t="n">
        <v>46265</v>
      </c>
      <c r="B87" s="31" t="n">
        <v>528.18</v>
      </c>
      <c r="C87" s="32"/>
      <c r="D87" s="32"/>
      <c r="E87" s="32" t="s">
        <v>149</v>
      </c>
      <c r="F87" s="32"/>
      <c r="G87" s="32" t="s">
        <v>143</v>
      </c>
      <c r="H87" s="32" t="s">
        <v>112</v>
      </c>
      <c r="I87" s="32" t="s">
        <v>113</v>
      </c>
      <c r="J87" s="32" t="s">
        <v>107</v>
      </c>
    </row>
    <row r="88" customFormat="false" ht="15" hidden="true" customHeight="false" outlineLevel="2" collapsed="false">
      <c r="A88" s="30" t="n">
        <v>46265</v>
      </c>
      <c r="B88" s="31" t="n">
        <v>237.5</v>
      </c>
      <c r="C88" s="32"/>
      <c r="D88" s="32"/>
      <c r="E88" s="32" t="s">
        <v>150</v>
      </c>
      <c r="F88" s="32"/>
      <c r="G88" s="32" t="s">
        <v>143</v>
      </c>
      <c r="H88" s="32" t="s">
        <v>68</v>
      </c>
      <c r="I88" s="32" t="s">
        <v>69</v>
      </c>
      <c r="J88" s="32" t="s">
        <v>107</v>
      </c>
    </row>
    <row r="89" customFormat="false" ht="15" hidden="true" customHeight="false" outlineLevel="2" collapsed="false">
      <c r="A89" s="30" t="n">
        <v>46265</v>
      </c>
      <c r="B89" s="31" t="n">
        <v>49.99</v>
      </c>
      <c r="C89" s="32"/>
      <c r="D89" s="32"/>
      <c r="E89" s="32" t="s">
        <v>151</v>
      </c>
      <c r="F89" s="32"/>
      <c r="G89" s="32" t="s">
        <v>143</v>
      </c>
      <c r="H89" s="32" t="s">
        <v>68</v>
      </c>
      <c r="I89" s="32" t="s">
        <v>69</v>
      </c>
      <c r="J89" s="32" t="s">
        <v>107</v>
      </c>
    </row>
    <row r="90" customFormat="false" ht="15" hidden="true" customHeight="false" outlineLevel="2" collapsed="false">
      <c r="A90" s="30" t="n">
        <v>46265</v>
      </c>
      <c r="B90" s="31" t="n">
        <v>280.17</v>
      </c>
      <c r="C90" s="32"/>
      <c r="D90" s="32"/>
      <c r="E90" s="32" t="s">
        <v>152</v>
      </c>
      <c r="F90" s="32"/>
      <c r="G90" s="32" t="s">
        <v>143</v>
      </c>
      <c r="H90" s="32" t="s">
        <v>121</v>
      </c>
      <c r="I90" s="32" t="s">
        <v>122</v>
      </c>
      <c r="J90" s="32" t="s">
        <v>107</v>
      </c>
    </row>
    <row r="91" customFormat="false" ht="15" hidden="true" customHeight="false" outlineLevel="2" collapsed="false">
      <c r="A91" s="30" t="n">
        <v>46265</v>
      </c>
      <c r="B91" s="31" t="n">
        <v>24.78</v>
      </c>
      <c r="C91" s="32"/>
      <c r="D91" s="32"/>
      <c r="E91" s="32" t="s">
        <v>153</v>
      </c>
      <c r="F91" s="32"/>
      <c r="G91" s="32" t="s">
        <v>143</v>
      </c>
      <c r="H91" s="32" t="s">
        <v>154</v>
      </c>
      <c r="I91" s="32" t="s">
        <v>122</v>
      </c>
      <c r="J91" s="32" t="s">
        <v>107</v>
      </c>
    </row>
    <row r="92" customFormat="false" ht="15" hidden="true" customHeight="false" outlineLevel="2" collapsed="false">
      <c r="A92" s="30" t="n">
        <v>46265</v>
      </c>
      <c r="B92" s="31" t="n">
        <v>24.78</v>
      </c>
      <c r="C92" s="32"/>
      <c r="D92" s="32"/>
      <c r="E92" s="32" t="s">
        <v>153</v>
      </c>
      <c r="F92" s="32"/>
      <c r="G92" s="32" t="s">
        <v>143</v>
      </c>
      <c r="H92" s="32" t="s">
        <v>155</v>
      </c>
      <c r="I92" s="32" t="s">
        <v>122</v>
      </c>
      <c r="J92" s="32" t="s">
        <v>107</v>
      </c>
    </row>
    <row r="93" customFormat="false" ht="15" hidden="true" customHeight="false" outlineLevel="2" collapsed="false">
      <c r="A93" s="30" t="n">
        <v>46265</v>
      </c>
      <c r="B93" s="31" t="n">
        <v>24.78</v>
      </c>
      <c r="C93" s="32"/>
      <c r="D93" s="32"/>
      <c r="E93" s="32" t="s">
        <v>153</v>
      </c>
      <c r="F93" s="32"/>
      <c r="G93" s="32" t="s">
        <v>143</v>
      </c>
      <c r="H93" s="32" t="s">
        <v>156</v>
      </c>
      <c r="I93" s="32" t="s">
        <v>122</v>
      </c>
      <c r="J93" s="32" t="s">
        <v>107</v>
      </c>
    </row>
    <row r="94" customFormat="false" ht="15" hidden="true" customHeight="false" outlineLevel="2" collapsed="false">
      <c r="A94" s="30" t="n">
        <v>46265</v>
      </c>
      <c r="B94" s="31" t="n">
        <v>229.17</v>
      </c>
      <c r="C94" s="32"/>
      <c r="D94" s="32"/>
      <c r="E94" s="32" t="s">
        <v>157</v>
      </c>
      <c r="F94" s="32"/>
      <c r="G94" s="32" t="s">
        <v>143</v>
      </c>
      <c r="H94" s="32" t="s">
        <v>68</v>
      </c>
      <c r="I94" s="32" t="s">
        <v>69</v>
      </c>
      <c r="J94" s="32" t="s">
        <v>107</v>
      </c>
    </row>
    <row r="95" customFormat="false" ht="15" hidden="true" customHeight="false" outlineLevel="2" collapsed="false">
      <c r="A95" s="30" t="n">
        <v>46265</v>
      </c>
      <c r="B95" s="31" t="n">
        <v>383.33</v>
      </c>
      <c r="C95" s="32"/>
      <c r="D95" s="32"/>
      <c r="E95" s="32" t="s">
        <v>158</v>
      </c>
      <c r="F95" s="32"/>
      <c r="G95" s="32" t="s">
        <v>143</v>
      </c>
      <c r="H95" s="32" t="s">
        <v>116</v>
      </c>
      <c r="I95" s="32" t="s">
        <v>69</v>
      </c>
      <c r="J95" s="32" t="s">
        <v>107</v>
      </c>
    </row>
    <row r="96" customFormat="false" ht="15" hidden="true" customHeight="false" outlineLevel="2" collapsed="false">
      <c r="A96" s="30" t="n">
        <v>46265</v>
      </c>
      <c r="B96" s="31" t="n">
        <v>363</v>
      </c>
      <c r="C96" s="32"/>
      <c r="D96" s="32"/>
      <c r="E96" s="32" t="s">
        <v>159</v>
      </c>
      <c r="F96" s="32"/>
      <c r="G96" s="32" t="s">
        <v>143</v>
      </c>
      <c r="H96" s="32" t="s">
        <v>112</v>
      </c>
      <c r="I96" s="32" t="s">
        <v>113</v>
      </c>
      <c r="J96" s="32" t="s">
        <v>107</v>
      </c>
    </row>
    <row r="97" customFormat="false" ht="15" hidden="true" customHeight="false" outlineLevel="2" collapsed="false">
      <c r="A97" s="30" t="n">
        <v>46265</v>
      </c>
      <c r="B97" s="31" t="n">
        <v>60.5</v>
      </c>
      <c r="C97" s="32"/>
      <c r="D97" s="32"/>
      <c r="E97" s="32" t="s">
        <v>159</v>
      </c>
      <c r="F97" s="32"/>
      <c r="G97" s="32" t="s">
        <v>143</v>
      </c>
      <c r="H97" s="32" t="s">
        <v>135</v>
      </c>
      <c r="I97" s="32" t="s">
        <v>136</v>
      </c>
      <c r="J97" s="32" t="s">
        <v>107</v>
      </c>
    </row>
    <row r="98" customFormat="false" ht="15" hidden="true" customHeight="false" outlineLevel="2" collapsed="false">
      <c r="A98" s="30" t="n">
        <v>46265</v>
      </c>
      <c r="B98" s="31" t="n">
        <v>60.5</v>
      </c>
      <c r="C98" s="32"/>
      <c r="D98" s="32"/>
      <c r="E98" s="32" t="s">
        <v>159</v>
      </c>
      <c r="F98" s="32"/>
      <c r="G98" s="32" t="s">
        <v>143</v>
      </c>
      <c r="H98" s="32" t="s">
        <v>121</v>
      </c>
      <c r="I98" s="32" t="s">
        <v>122</v>
      </c>
      <c r="J98" s="32" t="s">
        <v>107</v>
      </c>
    </row>
    <row r="99" customFormat="false" ht="15" hidden="true" customHeight="false" outlineLevel="2" collapsed="false">
      <c r="A99" s="30" t="n">
        <v>46265</v>
      </c>
      <c r="B99" s="31" t="n">
        <v>121</v>
      </c>
      <c r="C99" s="32"/>
      <c r="D99" s="32"/>
      <c r="E99" s="32" t="s">
        <v>159</v>
      </c>
      <c r="F99" s="32"/>
      <c r="G99" s="32" t="s">
        <v>143</v>
      </c>
      <c r="H99" s="32" t="s">
        <v>125</v>
      </c>
      <c r="I99" s="32" t="s">
        <v>126</v>
      </c>
      <c r="J99" s="32" t="s">
        <v>107</v>
      </c>
    </row>
    <row r="100" customFormat="false" ht="15" hidden="true" customHeight="false" outlineLevel="2" collapsed="false">
      <c r="A100" s="30" t="n">
        <v>46265</v>
      </c>
      <c r="B100" s="31" t="n">
        <v>61.78</v>
      </c>
      <c r="C100" s="32"/>
      <c r="D100" s="32"/>
      <c r="E100" s="32" t="s">
        <v>160</v>
      </c>
      <c r="F100" s="32"/>
      <c r="G100" s="32" t="s">
        <v>143</v>
      </c>
      <c r="H100" s="32" t="s">
        <v>135</v>
      </c>
      <c r="I100" s="32" t="s">
        <v>136</v>
      </c>
      <c r="J100" s="32" t="s">
        <v>107</v>
      </c>
    </row>
    <row r="101" customFormat="false" ht="15" hidden="true" customHeight="false" outlineLevel="2" collapsed="false">
      <c r="A101" s="30" t="n">
        <v>46265</v>
      </c>
      <c r="B101" s="31" t="n">
        <v>96.54</v>
      </c>
      <c r="C101" s="32"/>
      <c r="D101" s="32"/>
      <c r="E101" s="32" t="s">
        <v>161</v>
      </c>
      <c r="F101" s="32"/>
      <c r="G101" s="32" t="s">
        <v>143</v>
      </c>
      <c r="H101" s="32" t="s">
        <v>121</v>
      </c>
      <c r="I101" s="32" t="s">
        <v>122</v>
      </c>
      <c r="J101" s="32" t="s">
        <v>107</v>
      </c>
    </row>
    <row r="102" customFormat="false" ht="15" hidden="true" customHeight="false" outlineLevel="2" collapsed="false">
      <c r="A102" s="30" t="n">
        <v>46265</v>
      </c>
      <c r="B102" s="31" t="n">
        <v>31.84</v>
      </c>
      <c r="C102" s="32"/>
      <c r="D102" s="32"/>
      <c r="E102" s="32" t="s">
        <v>162</v>
      </c>
      <c r="F102" s="32"/>
      <c r="G102" s="32" t="s">
        <v>143</v>
      </c>
      <c r="H102" s="32" t="s">
        <v>121</v>
      </c>
      <c r="I102" s="32" t="s">
        <v>122</v>
      </c>
      <c r="J102" s="32" t="s">
        <v>107</v>
      </c>
    </row>
    <row r="103" customFormat="false" ht="15" hidden="true" customHeight="false" outlineLevel="2" collapsed="false">
      <c r="A103" s="30" t="n">
        <v>46265</v>
      </c>
      <c r="B103" s="31" t="n">
        <v>382.93</v>
      </c>
      <c r="C103" s="32"/>
      <c r="D103" s="32"/>
      <c r="E103" s="32" t="s">
        <v>163</v>
      </c>
      <c r="F103" s="32"/>
      <c r="G103" s="32" t="s">
        <v>143</v>
      </c>
      <c r="H103" s="32" t="s">
        <v>68</v>
      </c>
      <c r="I103" s="32" t="s">
        <v>69</v>
      </c>
      <c r="J103" s="32" t="s">
        <v>107</v>
      </c>
    </row>
    <row r="104" customFormat="false" ht="15" hidden="true" customHeight="false" outlineLevel="2" collapsed="false">
      <c r="A104" s="30" t="n">
        <v>46265</v>
      </c>
      <c r="B104" s="31" t="n">
        <v>61.44</v>
      </c>
      <c r="C104" s="32"/>
      <c r="D104" s="32"/>
      <c r="E104" s="32" t="s">
        <v>164</v>
      </c>
      <c r="F104" s="32"/>
      <c r="G104" s="32" t="s">
        <v>143</v>
      </c>
      <c r="H104" s="32" t="s">
        <v>156</v>
      </c>
      <c r="I104" s="32" t="s">
        <v>122</v>
      </c>
      <c r="J104" s="32" t="s">
        <v>107</v>
      </c>
    </row>
    <row r="105" customFormat="false" ht="15" hidden="true" customHeight="false" outlineLevel="2" collapsed="false">
      <c r="A105" s="30" t="n">
        <v>46265</v>
      </c>
      <c r="B105" s="31" t="n">
        <v>25.5</v>
      </c>
      <c r="C105" s="32"/>
      <c r="D105" s="32"/>
      <c r="E105" s="32" t="s">
        <v>165</v>
      </c>
      <c r="F105" s="32"/>
      <c r="G105" s="32" t="s">
        <v>143</v>
      </c>
      <c r="H105" s="32" t="s">
        <v>166</v>
      </c>
      <c r="I105" s="32" t="s">
        <v>122</v>
      </c>
      <c r="J105" s="32" t="s">
        <v>107</v>
      </c>
    </row>
    <row r="106" customFormat="false" ht="15" hidden="true" customHeight="false" outlineLevel="2" collapsed="false">
      <c r="A106" s="30" t="n">
        <v>46265</v>
      </c>
      <c r="B106" s="31" t="n">
        <v>700</v>
      </c>
      <c r="C106" s="32"/>
      <c r="D106" s="32"/>
      <c r="E106" s="32" t="s">
        <v>167</v>
      </c>
      <c r="F106" s="32"/>
      <c r="G106" s="32" t="s">
        <v>143</v>
      </c>
      <c r="H106" s="32" t="s">
        <v>68</v>
      </c>
      <c r="I106" s="32" t="s">
        <v>69</v>
      </c>
      <c r="J106" s="32" t="s">
        <v>107</v>
      </c>
    </row>
    <row r="107" customFormat="false" ht="15" hidden="true" customHeight="false" outlineLevel="2" collapsed="false">
      <c r="A107" s="30" t="n">
        <v>46265</v>
      </c>
      <c r="B107" s="31" t="n">
        <v>0.9</v>
      </c>
      <c r="C107" s="32"/>
      <c r="D107" s="32"/>
      <c r="E107" s="32" t="s">
        <v>168</v>
      </c>
      <c r="F107" s="32"/>
      <c r="G107" s="32" t="s">
        <v>169</v>
      </c>
      <c r="H107" s="32"/>
      <c r="I107" s="32" t="s">
        <v>113</v>
      </c>
      <c r="J107" s="32" t="s">
        <v>107</v>
      </c>
    </row>
    <row r="108" customFormat="false" ht="15" hidden="false" customHeight="false" outlineLevel="1" collapsed="true">
      <c r="A108" s="27" t="s">
        <v>170</v>
      </c>
      <c r="B108" s="13" t="n">
        <f aca="false">B109+B110</f>
        <v>-307.74</v>
      </c>
      <c r="C108" s="28"/>
      <c r="D108" s="29" t="n">
        <v>2</v>
      </c>
      <c r="E108" s="28"/>
      <c r="F108" s="28"/>
      <c r="G108" s="28"/>
      <c r="H108" s="28"/>
      <c r="I108" s="28"/>
      <c r="J108" s="28"/>
    </row>
    <row r="109" customFormat="false" ht="15" hidden="true" customHeight="false" outlineLevel="2" collapsed="false">
      <c r="A109" s="30" t="n">
        <v>46234</v>
      </c>
      <c r="B109" s="31" t="n">
        <v>3910.91</v>
      </c>
      <c r="C109" s="32"/>
      <c r="D109" s="32"/>
      <c r="E109" s="32" t="s">
        <v>171</v>
      </c>
      <c r="F109" s="32"/>
      <c r="G109" s="32" t="s">
        <v>172</v>
      </c>
      <c r="H109" s="32" t="s">
        <v>68</v>
      </c>
      <c r="I109" s="32" t="s">
        <v>69</v>
      </c>
      <c r="J109" s="32" t="s">
        <v>107</v>
      </c>
    </row>
    <row r="110" customFormat="false" ht="15" hidden="true" customHeight="false" outlineLevel="2" collapsed="false">
      <c r="A110" s="30" t="n">
        <v>46265</v>
      </c>
      <c r="B110" s="31" t="n">
        <v>-4218.65</v>
      </c>
      <c r="C110" s="32"/>
      <c r="D110" s="32"/>
      <c r="E110" s="32" t="s">
        <v>173</v>
      </c>
      <c r="F110" s="32"/>
      <c r="G110" s="32" t="s">
        <v>141</v>
      </c>
      <c r="H110" s="32" t="s">
        <v>68</v>
      </c>
      <c r="I110" s="32" t="s">
        <v>69</v>
      </c>
      <c r="J110" s="32" t="s">
        <v>107</v>
      </c>
    </row>
    <row r="111" customFormat="false" ht="15" hidden="false" customHeight="false" outlineLevel="0" collapsed="false">
      <c r="A111" s="22" t="s">
        <v>174</v>
      </c>
      <c r="B111" s="23" t="n">
        <f aca="false">B112+B158+B163+B167</f>
        <v>2208.68</v>
      </c>
      <c r="C111" s="24" t="n">
        <f aca="false">B111/$B$326</f>
        <v>0.0378071872478371</v>
      </c>
      <c r="D111" s="25" t="n">
        <v>58</v>
      </c>
      <c r="E111" s="26"/>
      <c r="F111" s="26"/>
      <c r="G111" s="26"/>
      <c r="H111" s="26"/>
      <c r="I111" s="26"/>
      <c r="J111" s="26"/>
    </row>
    <row r="112" customFormat="false" ht="15" hidden="false" customHeight="false" outlineLevel="1" collapsed="false">
      <c r="A112" s="27" t="s">
        <v>175</v>
      </c>
      <c r="B112" s="13" t="n">
        <f aca="false">B113+B114+B115+B116+B117+B118+B119+B120+B121+B122+B123+B124+B125+B126+B127+B128+B129+B130+B131+B132+B133+B134+B135+B136+B137+B138+B139+B140+B141+B142+B143+B144+B145+B146+B147+B148+B149+B150+B151+B152+B153+B154+B155+B156+B157</f>
        <v>966.29</v>
      </c>
      <c r="C112" s="28"/>
      <c r="D112" s="29" t="n">
        <v>45</v>
      </c>
      <c r="E112" s="28"/>
      <c r="F112" s="28"/>
      <c r="G112" s="28"/>
      <c r="H112" s="28"/>
      <c r="I112" s="28"/>
      <c r="J112" s="28"/>
    </row>
    <row r="113" customFormat="false" ht="15" hidden="true" customHeight="false" outlineLevel="2" collapsed="false">
      <c r="A113" s="30" t="n">
        <v>46210</v>
      </c>
      <c r="B113" s="31" t="n">
        <v>31.35</v>
      </c>
      <c r="C113" s="32"/>
      <c r="D113" s="32"/>
      <c r="E113" s="32" t="s">
        <v>176</v>
      </c>
      <c r="F113" s="32" t="s">
        <v>177</v>
      </c>
      <c r="G113" s="32" t="s">
        <v>177</v>
      </c>
      <c r="H113" s="32" t="s">
        <v>112</v>
      </c>
      <c r="I113" s="32" t="s">
        <v>113</v>
      </c>
      <c r="J113" s="32" t="s">
        <v>70</v>
      </c>
    </row>
    <row r="114" customFormat="false" ht="15" hidden="true" customHeight="false" outlineLevel="2" collapsed="false">
      <c r="A114" s="30" t="n">
        <v>46210</v>
      </c>
      <c r="B114" s="31" t="n">
        <v>31.35</v>
      </c>
      <c r="C114" s="32"/>
      <c r="D114" s="32"/>
      <c r="E114" s="32" t="s">
        <v>178</v>
      </c>
      <c r="F114" s="32" t="s">
        <v>177</v>
      </c>
      <c r="G114" s="32" t="s">
        <v>177</v>
      </c>
      <c r="H114" s="32" t="s">
        <v>68</v>
      </c>
      <c r="I114" s="32" t="s">
        <v>69</v>
      </c>
      <c r="J114" s="32" t="s">
        <v>70</v>
      </c>
    </row>
    <row r="115" customFormat="false" ht="15" hidden="true" customHeight="false" outlineLevel="2" collapsed="false">
      <c r="A115" s="30" t="n">
        <v>46210</v>
      </c>
      <c r="B115" s="31" t="n">
        <v>31.35</v>
      </c>
      <c r="C115" s="32"/>
      <c r="D115" s="32"/>
      <c r="E115" s="32" t="s">
        <v>179</v>
      </c>
      <c r="F115" s="32" t="s">
        <v>177</v>
      </c>
      <c r="G115" s="32" t="s">
        <v>177</v>
      </c>
      <c r="H115" s="32" t="s">
        <v>112</v>
      </c>
      <c r="I115" s="32" t="s">
        <v>113</v>
      </c>
      <c r="J115" s="32" t="s">
        <v>70</v>
      </c>
    </row>
    <row r="116" customFormat="false" ht="15" hidden="true" customHeight="false" outlineLevel="2" collapsed="false">
      <c r="A116" s="30" t="n">
        <v>46210</v>
      </c>
      <c r="B116" s="31" t="n">
        <v>31.35</v>
      </c>
      <c r="C116" s="32"/>
      <c r="D116" s="32"/>
      <c r="E116" s="32" t="s">
        <v>180</v>
      </c>
      <c r="F116" s="32" t="s">
        <v>177</v>
      </c>
      <c r="G116" s="32" t="s">
        <v>177</v>
      </c>
      <c r="H116" s="32" t="s">
        <v>68</v>
      </c>
      <c r="I116" s="32" t="s">
        <v>69</v>
      </c>
      <c r="J116" s="32" t="s">
        <v>70</v>
      </c>
    </row>
    <row r="117" customFormat="false" ht="15" hidden="true" customHeight="false" outlineLevel="2" collapsed="false">
      <c r="A117" s="30" t="n">
        <v>46210</v>
      </c>
      <c r="B117" s="31" t="n">
        <v>31.35</v>
      </c>
      <c r="C117" s="32"/>
      <c r="D117" s="32"/>
      <c r="E117" s="32" t="s">
        <v>181</v>
      </c>
      <c r="F117" s="32" t="s">
        <v>177</v>
      </c>
      <c r="G117" s="32" t="s">
        <v>177</v>
      </c>
      <c r="H117" s="32" t="s">
        <v>182</v>
      </c>
      <c r="I117" s="32" t="s">
        <v>122</v>
      </c>
      <c r="J117" s="32" t="s">
        <v>70</v>
      </c>
    </row>
    <row r="118" customFormat="false" ht="15" hidden="true" customHeight="false" outlineLevel="2" collapsed="false">
      <c r="A118" s="30" t="n">
        <v>46210</v>
      </c>
      <c r="B118" s="31" t="n">
        <v>31.35</v>
      </c>
      <c r="C118" s="32"/>
      <c r="D118" s="32"/>
      <c r="E118" s="32" t="s">
        <v>183</v>
      </c>
      <c r="F118" s="32" t="s">
        <v>177</v>
      </c>
      <c r="G118" s="32" t="s">
        <v>177</v>
      </c>
      <c r="H118" s="32" t="s">
        <v>116</v>
      </c>
      <c r="I118" s="32" t="s">
        <v>69</v>
      </c>
      <c r="J118" s="32" t="s">
        <v>70</v>
      </c>
    </row>
    <row r="119" customFormat="false" ht="15" hidden="true" customHeight="false" outlineLevel="2" collapsed="false">
      <c r="A119" s="30" t="n">
        <v>46210</v>
      </c>
      <c r="B119" s="31" t="n">
        <v>31.35</v>
      </c>
      <c r="C119" s="32"/>
      <c r="D119" s="32"/>
      <c r="E119" s="32" t="s">
        <v>184</v>
      </c>
      <c r="F119" s="32" t="s">
        <v>177</v>
      </c>
      <c r="G119" s="32" t="s">
        <v>177</v>
      </c>
      <c r="H119" s="32" t="s">
        <v>123</v>
      </c>
      <c r="I119" s="32" t="s">
        <v>124</v>
      </c>
      <c r="J119" s="32" t="s">
        <v>70</v>
      </c>
    </row>
    <row r="120" customFormat="false" ht="15" hidden="true" customHeight="false" outlineLevel="2" collapsed="false">
      <c r="A120" s="30" t="n">
        <v>46210</v>
      </c>
      <c r="B120" s="31" t="n">
        <v>31.35</v>
      </c>
      <c r="C120" s="32"/>
      <c r="D120" s="32"/>
      <c r="E120" s="32" t="s">
        <v>185</v>
      </c>
      <c r="F120" s="32" t="s">
        <v>177</v>
      </c>
      <c r="G120" s="32" t="s">
        <v>177</v>
      </c>
      <c r="H120" s="32" t="s">
        <v>112</v>
      </c>
      <c r="I120" s="32" t="s">
        <v>113</v>
      </c>
      <c r="J120" s="32" t="s">
        <v>70</v>
      </c>
    </row>
    <row r="121" customFormat="false" ht="15" hidden="true" customHeight="false" outlineLevel="2" collapsed="false">
      <c r="A121" s="30" t="n">
        <v>46210</v>
      </c>
      <c r="B121" s="31" t="n">
        <v>31.35</v>
      </c>
      <c r="C121" s="32"/>
      <c r="D121" s="32"/>
      <c r="E121" s="32" t="s">
        <v>186</v>
      </c>
      <c r="F121" s="32" t="s">
        <v>177</v>
      </c>
      <c r="G121" s="32" t="s">
        <v>177</v>
      </c>
      <c r="H121" s="32" t="s">
        <v>68</v>
      </c>
      <c r="I121" s="32" t="s">
        <v>69</v>
      </c>
      <c r="J121" s="32" t="s">
        <v>70</v>
      </c>
    </row>
    <row r="122" customFormat="false" ht="15" hidden="true" customHeight="false" outlineLevel="2" collapsed="false">
      <c r="A122" s="30" t="n">
        <v>46210</v>
      </c>
      <c r="B122" s="31" t="n">
        <v>31.35</v>
      </c>
      <c r="C122" s="32"/>
      <c r="D122" s="32"/>
      <c r="E122" s="32" t="s">
        <v>187</v>
      </c>
      <c r="F122" s="32" t="s">
        <v>177</v>
      </c>
      <c r="G122" s="32" t="s">
        <v>177</v>
      </c>
      <c r="H122" s="32" t="s">
        <v>125</v>
      </c>
      <c r="I122" s="32" t="s">
        <v>126</v>
      </c>
      <c r="J122" s="32" t="s">
        <v>70</v>
      </c>
    </row>
    <row r="123" customFormat="false" ht="15" hidden="true" customHeight="false" outlineLevel="2" collapsed="false">
      <c r="A123" s="30" t="n">
        <v>46210</v>
      </c>
      <c r="B123" s="31" t="n">
        <v>140.44</v>
      </c>
      <c r="C123" s="32"/>
      <c r="D123" s="32"/>
      <c r="E123" s="32" t="s">
        <v>188</v>
      </c>
      <c r="F123" s="32" t="s">
        <v>177</v>
      </c>
      <c r="G123" s="32" t="s">
        <v>177</v>
      </c>
      <c r="H123" s="32" t="s">
        <v>68</v>
      </c>
      <c r="I123" s="32" t="s">
        <v>69</v>
      </c>
      <c r="J123" s="32" t="s">
        <v>70</v>
      </c>
    </row>
    <row r="124" customFormat="false" ht="15" hidden="true" customHeight="false" outlineLevel="2" collapsed="false">
      <c r="A124" s="30" t="n">
        <v>46210</v>
      </c>
      <c r="B124" s="31" t="n">
        <v>31.35</v>
      </c>
      <c r="C124" s="32"/>
      <c r="D124" s="32"/>
      <c r="E124" s="32" t="s">
        <v>189</v>
      </c>
      <c r="F124" s="32" t="s">
        <v>177</v>
      </c>
      <c r="G124" s="32" t="s">
        <v>177</v>
      </c>
      <c r="H124" s="32" t="s">
        <v>68</v>
      </c>
      <c r="I124" s="32" t="s">
        <v>69</v>
      </c>
      <c r="J124" s="32" t="s">
        <v>70</v>
      </c>
    </row>
    <row r="125" customFormat="false" ht="15" hidden="true" customHeight="false" outlineLevel="2" collapsed="false">
      <c r="A125" s="30" t="n">
        <v>46210</v>
      </c>
      <c r="B125" s="31" t="n">
        <v>22.73</v>
      </c>
      <c r="C125" s="32"/>
      <c r="D125" s="32"/>
      <c r="E125" s="32" t="s">
        <v>190</v>
      </c>
      <c r="F125" s="32" t="s">
        <v>177</v>
      </c>
      <c r="G125" s="32" t="s">
        <v>177</v>
      </c>
      <c r="H125" s="32" t="s">
        <v>68</v>
      </c>
      <c r="I125" s="32" t="s">
        <v>69</v>
      </c>
      <c r="J125" s="32" t="s">
        <v>70</v>
      </c>
    </row>
    <row r="126" customFormat="false" ht="15" hidden="true" customHeight="false" outlineLevel="2" collapsed="false">
      <c r="A126" s="30" t="n">
        <v>46210</v>
      </c>
      <c r="B126" s="31" t="n">
        <v>9.09</v>
      </c>
      <c r="C126" s="32"/>
      <c r="D126" s="32"/>
      <c r="E126" s="32" t="s">
        <v>191</v>
      </c>
      <c r="F126" s="32" t="s">
        <v>177</v>
      </c>
      <c r="G126" s="32" t="s">
        <v>177</v>
      </c>
      <c r="H126" s="32" t="s">
        <v>68</v>
      </c>
      <c r="I126" s="32" t="s">
        <v>69</v>
      </c>
      <c r="J126" s="32" t="s">
        <v>70</v>
      </c>
    </row>
    <row r="127" customFormat="false" ht="15" hidden="true" customHeight="false" outlineLevel="2" collapsed="false">
      <c r="A127" s="30" t="n">
        <v>46210</v>
      </c>
      <c r="B127" s="31" t="n">
        <v>9.09</v>
      </c>
      <c r="C127" s="32"/>
      <c r="D127" s="32"/>
      <c r="E127" s="32" t="s">
        <v>192</v>
      </c>
      <c r="F127" s="32" t="s">
        <v>177</v>
      </c>
      <c r="G127" s="32" t="s">
        <v>177</v>
      </c>
      <c r="H127" s="32" t="s">
        <v>68</v>
      </c>
      <c r="I127" s="32" t="s">
        <v>69</v>
      </c>
      <c r="J127" s="32" t="s">
        <v>70</v>
      </c>
    </row>
    <row r="128" customFormat="false" ht="15" hidden="true" customHeight="false" outlineLevel="2" collapsed="false">
      <c r="A128" s="30" t="n">
        <v>46210</v>
      </c>
      <c r="B128" s="31" t="n">
        <v>9.09</v>
      </c>
      <c r="C128" s="32"/>
      <c r="D128" s="32"/>
      <c r="E128" s="32" t="s">
        <v>193</v>
      </c>
      <c r="F128" s="32" t="s">
        <v>177</v>
      </c>
      <c r="G128" s="32" t="s">
        <v>177</v>
      </c>
      <c r="H128" s="32" t="s">
        <v>68</v>
      </c>
      <c r="I128" s="32" t="s">
        <v>69</v>
      </c>
      <c r="J128" s="32" t="s">
        <v>70</v>
      </c>
    </row>
    <row r="129" customFormat="false" ht="15" hidden="true" customHeight="false" outlineLevel="2" collapsed="false">
      <c r="A129" s="30" t="n">
        <v>46241</v>
      </c>
      <c r="B129" s="31" t="n">
        <v>-10.11</v>
      </c>
      <c r="C129" s="32"/>
      <c r="D129" s="32"/>
      <c r="E129" s="32" t="s">
        <v>176</v>
      </c>
      <c r="F129" s="32" t="s">
        <v>194</v>
      </c>
      <c r="G129" s="32" t="s">
        <v>194</v>
      </c>
      <c r="H129" s="32" t="s">
        <v>112</v>
      </c>
      <c r="I129" s="32" t="s">
        <v>113</v>
      </c>
      <c r="J129" s="32" t="s">
        <v>70</v>
      </c>
    </row>
    <row r="130" customFormat="false" ht="15" hidden="true" customHeight="false" outlineLevel="2" collapsed="false">
      <c r="A130" s="30" t="n">
        <v>46241</v>
      </c>
      <c r="B130" s="31" t="n">
        <v>-10.11</v>
      </c>
      <c r="C130" s="32"/>
      <c r="D130" s="32"/>
      <c r="E130" s="32" t="s">
        <v>178</v>
      </c>
      <c r="F130" s="32" t="s">
        <v>194</v>
      </c>
      <c r="G130" s="32" t="s">
        <v>194</v>
      </c>
      <c r="H130" s="32" t="s">
        <v>68</v>
      </c>
      <c r="I130" s="32" t="s">
        <v>69</v>
      </c>
      <c r="J130" s="32" t="s">
        <v>70</v>
      </c>
    </row>
    <row r="131" customFormat="false" ht="15" hidden="true" customHeight="false" outlineLevel="2" collapsed="false">
      <c r="A131" s="30" t="n">
        <v>46241</v>
      </c>
      <c r="B131" s="31" t="n">
        <v>-10.11</v>
      </c>
      <c r="C131" s="32"/>
      <c r="D131" s="32"/>
      <c r="E131" s="32" t="s">
        <v>179</v>
      </c>
      <c r="F131" s="32" t="s">
        <v>194</v>
      </c>
      <c r="G131" s="32" t="s">
        <v>194</v>
      </c>
      <c r="H131" s="32" t="s">
        <v>112</v>
      </c>
      <c r="I131" s="32" t="s">
        <v>113</v>
      </c>
      <c r="J131" s="32" t="s">
        <v>70</v>
      </c>
    </row>
    <row r="132" customFormat="false" ht="15" hidden="true" customHeight="false" outlineLevel="2" collapsed="false">
      <c r="A132" s="30" t="n">
        <v>46241</v>
      </c>
      <c r="B132" s="31" t="n">
        <v>-10.11</v>
      </c>
      <c r="C132" s="32"/>
      <c r="D132" s="32"/>
      <c r="E132" s="32" t="s">
        <v>180</v>
      </c>
      <c r="F132" s="32" t="s">
        <v>194</v>
      </c>
      <c r="G132" s="32" t="s">
        <v>194</v>
      </c>
      <c r="H132" s="32" t="s">
        <v>68</v>
      </c>
      <c r="I132" s="32" t="s">
        <v>69</v>
      </c>
      <c r="J132" s="32" t="s">
        <v>70</v>
      </c>
    </row>
    <row r="133" customFormat="false" ht="15" hidden="true" customHeight="false" outlineLevel="2" collapsed="false">
      <c r="A133" s="30" t="n">
        <v>46241</v>
      </c>
      <c r="B133" s="31" t="n">
        <v>-10.11</v>
      </c>
      <c r="C133" s="32"/>
      <c r="D133" s="32"/>
      <c r="E133" s="32" t="s">
        <v>195</v>
      </c>
      <c r="F133" s="32" t="s">
        <v>194</v>
      </c>
      <c r="G133" s="32" t="s">
        <v>194</v>
      </c>
      <c r="H133" s="32" t="s">
        <v>112</v>
      </c>
      <c r="I133" s="32" t="s">
        <v>113</v>
      </c>
      <c r="J133" s="32" t="s">
        <v>70</v>
      </c>
    </row>
    <row r="134" customFormat="false" ht="15" hidden="true" customHeight="false" outlineLevel="2" collapsed="false">
      <c r="A134" s="30" t="n">
        <v>46241</v>
      </c>
      <c r="B134" s="31" t="n">
        <v>-10.11</v>
      </c>
      <c r="C134" s="32"/>
      <c r="D134" s="32"/>
      <c r="E134" s="32" t="s">
        <v>196</v>
      </c>
      <c r="F134" s="32" t="s">
        <v>194</v>
      </c>
      <c r="G134" s="32" t="s">
        <v>194</v>
      </c>
      <c r="H134" s="32" t="s">
        <v>116</v>
      </c>
      <c r="I134" s="32" t="s">
        <v>69</v>
      </c>
      <c r="J134" s="32" t="s">
        <v>70</v>
      </c>
    </row>
    <row r="135" customFormat="false" ht="15" hidden="true" customHeight="false" outlineLevel="2" collapsed="false">
      <c r="A135" s="30" t="n">
        <v>46241</v>
      </c>
      <c r="B135" s="31" t="n">
        <v>-10.11</v>
      </c>
      <c r="C135" s="32"/>
      <c r="D135" s="32"/>
      <c r="E135" s="32" t="s">
        <v>184</v>
      </c>
      <c r="F135" s="32" t="s">
        <v>194</v>
      </c>
      <c r="G135" s="32" t="s">
        <v>194</v>
      </c>
      <c r="H135" s="32" t="s">
        <v>123</v>
      </c>
      <c r="I135" s="32" t="s">
        <v>124</v>
      </c>
      <c r="J135" s="32" t="s">
        <v>70</v>
      </c>
    </row>
    <row r="136" customFormat="false" ht="15" hidden="true" customHeight="false" outlineLevel="2" collapsed="false">
      <c r="A136" s="30" t="n">
        <v>46241</v>
      </c>
      <c r="B136" s="31" t="n">
        <v>-10.11</v>
      </c>
      <c r="C136" s="32"/>
      <c r="D136" s="32"/>
      <c r="E136" s="32" t="s">
        <v>185</v>
      </c>
      <c r="F136" s="32" t="s">
        <v>194</v>
      </c>
      <c r="G136" s="32" t="s">
        <v>194</v>
      </c>
      <c r="H136" s="32" t="s">
        <v>112</v>
      </c>
      <c r="I136" s="32" t="s">
        <v>113</v>
      </c>
      <c r="J136" s="32" t="s">
        <v>70</v>
      </c>
    </row>
    <row r="137" customFormat="false" ht="15" hidden="true" customHeight="false" outlineLevel="2" collapsed="false">
      <c r="A137" s="30" t="n">
        <v>46241</v>
      </c>
      <c r="B137" s="31" t="n">
        <v>-10.11</v>
      </c>
      <c r="C137" s="32"/>
      <c r="D137" s="32"/>
      <c r="E137" s="32" t="s">
        <v>186</v>
      </c>
      <c r="F137" s="32" t="s">
        <v>194</v>
      </c>
      <c r="G137" s="32" t="s">
        <v>194</v>
      </c>
      <c r="H137" s="32" t="s">
        <v>68</v>
      </c>
      <c r="I137" s="32" t="s">
        <v>69</v>
      </c>
      <c r="J137" s="32" t="s">
        <v>70</v>
      </c>
    </row>
    <row r="138" customFormat="false" ht="15" hidden="true" customHeight="false" outlineLevel="2" collapsed="false">
      <c r="A138" s="30" t="n">
        <v>46241</v>
      </c>
      <c r="B138" s="31" t="n">
        <v>-10.11</v>
      </c>
      <c r="C138" s="32"/>
      <c r="D138" s="32"/>
      <c r="E138" s="32" t="s">
        <v>197</v>
      </c>
      <c r="F138" s="32" t="s">
        <v>194</v>
      </c>
      <c r="G138" s="32" t="s">
        <v>194</v>
      </c>
      <c r="H138" s="32" t="s">
        <v>125</v>
      </c>
      <c r="I138" s="32" t="s">
        <v>126</v>
      </c>
      <c r="J138" s="32" t="s">
        <v>70</v>
      </c>
    </row>
    <row r="139" customFormat="false" ht="15" hidden="true" customHeight="false" outlineLevel="2" collapsed="false">
      <c r="A139" s="30" t="n">
        <v>46241</v>
      </c>
      <c r="B139" s="31" t="n">
        <v>-13.05</v>
      </c>
      <c r="C139" s="32"/>
      <c r="D139" s="32"/>
      <c r="E139" s="32" t="s">
        <v>188</v>
      </c>
      <c r="F139" s="32" t="s">
        <v>194</v>
      </c>
      <c r="G139" s="32" t="s">
        <v>194</v>
      </c>
      <c r="H139" s="32" t="s">
        <v>68</v>
      </c>
      <c r="I139" s="32" t="s">
        <v>69</v>
      </c>
      <c r="J139" s="32" t="s">
        <v>70</v>
      </c>
    </row>
    <row r="140" customFormat="false" ht="15" hidden="true" customHeight="false" outlineLevel="2" collapsed="false">
      <c r="A140" s="30" t="n">
        <v>46241</v>
      </c>
      <c r="B140" s="31" t="n">
        <v>-10.11</v>
      </c>
      <c r="C140" s="32"/>
      <c r="D140" s="32"/>
      <c r="E140" s="32" t="s">
        <v>189</v>
      </c>
      <c r="F140" s="32" t="s">
        <v>194</v>
      </c>
      <c r="G140" s="32" t="s">
        <v>194</v>
      </c>
      <c r="H140" s="32" t="s">
        <v>68</v>
      </c>
      <c r="I140" s="32" t="s">
        <v>69</v>
      </c>
      <c r="J140" s="32" t="s">
        <v>70</v>
      </c>
    </row>
    <row r="141" customFormat="false" ht="15" hidden="true" customHeight="false" outlineLevel="2" collapsed="false">
      <c r="A141" s="30" t="n">
        <v>46241</v>
      </c>
      <c r="B141" s="31" t="n">
        <v>22.73</v>
      </c>
      <c r="C141" s="32"/>
      <c r="D141" s="32"/>
      <c r="E141" s="32" t="s">
        <v>190</v>
      </c>
      <c r="F141" s="32" t="s">
        <v>194</v>
      </c>
      <c r="G141" s="32" t="s">
        <v>194</v>
      </c>
      <c r="H141" s="32" t="s">
        <v>68</v>
      </c>
      <c r="I141" s="32" t="s">
        <v>69</v>
      </c>
      <c r="J141" s="32" t="s">
        <v>70</v>
      </c>
    </row>
    <row r="142" customFormat="false" ht="15" hidden="true" customHeight="false" outlineLevel="2" collapsed="false">
      <c r="A142" s="30" t="n">
        <v>46241</v>
      </c>
      <c r="B142" s="31" t="n">
        <v>9.09</v>
      </c>
      <c r="C142" s="32"/>
      <c r="D142" s="32"/>
      <c r="E142" s="32" t="s">
        <v>191</v>
      </c>
      <c r="F142" s="32" t="s">
        <v>194</v>
      </c>
      <c r="G142" s="32" t="s">
        <v>194</v>
      </c>
      <c r="H142" s="32" t="s">
        <v>68</v>
      </c>
      <c r="I142" s="32" t="s">
        <v>69</v>
      </c>
      <c r="J142" s="32" t="s">
        <v>70</v>
      </c>
    </row>
    <row r="143" customFormat="false" ht="15" hidden="true" customHeight="false" outlineLevel="2" collapsed="false">
      <c r="A143" s="30" t="n">
        <v>46241</v>
      </c>
      <c r="B143" s="31" t="n">
        <v>9.09</v>
      </c>
      <c r="C143" s="32"/>
      <c r="D143" s="32"/>
      <c r="E143" s="32" t="s">
        <v>192</v>
      </c>
      <c r="F143" s="32" t="s">
        <v>194</v>
      </c>
      <c r="G143" s="32" t="s">
        <v>194</v>
      </c>
      <c r="H143" s="32" t="s">
        <v>68</v>
      </c>
      <c r="I143" s="32" t="s">
        <v>69</v>
      </c>
      <c r="J143" s="32" t="s">
        <v>70</v>
      </c>
    </row>
    <row r="144" customFormat="false" ht="15" hidden="true" customHeight="false" outlineLevel="2" collapsed="false">
      <c r="A144" s="30" t="n">
        <v>46241</v>
      </c>
      <c r="B144" s="31" t="n">
        <v>9.09</v>
      </c>
      <c r="C144" s="32"/>
      <c r="D144" s="32"/>
      <c r="E144" s="32" t="s">
        <v>193</v>
      </c>
      <c r="F144" s="32" t="s">
        <v>194</v>
      </c>
      <c r="G144" s="32" t="s">
        <v>194</v>
      </c>
      <c r="H144" s="32" t="s">
        <v>68</v>
      </c>
      <c r="I144" s="32" t="s">
        <v>69</v>
      </c>
      <c r="J144" s="32" t="s">
        <v>70</v>
      </c>
    </row>
    <row r="145" customFormat="false" ht="15" hidden="true" customHeight="false" outlineLevel="2" collapsed="false">
      <c r="A145" s="30" t="n">
        <v>46245</v>
      </c>
      <c r="B145" s="31" t="n">
        <v>42.08</v>
      </c>
      <c r="C145" s="32"/>
      <c r="D145" s="32"/>
      <c r="E145" s="32" t="s">
        <v>176</v>
      </c>
      <c r="F145" s="32" t="s">
        <v>198</v>
      </c>
      <c r="G145" s="32" t="s">
        <v>198</v>
      </c>
      <c r="H145" s="32" t="s">
        <v>112</v>
      </c>
      <c r="I145" s="32" t="s">
        <v>113</v>
      </c>
      <c r="J145" s="32" t="s">
        <v>70</v>
      </c>
    </row>
    <row r="146" customFormat="false" ht="15" hidden="true" customHeight="false" outlineLevel="2" collapsed="false">
      <c r="A146" s="30" t="n">
        <v>46245</v>
      </c>
      <c r="B146" s="31" t="n">
        <v>42.08</v>
      </c>
      <c r="C146" s="32"/>
      <c r="D146" s="32"/>
      <c r="E146" s="32" t="s">
        <v>178</v>
      </c>
      <c r="F146" s="32" t="s">
        <v>198</v>
      </c>
      <c r="G146" s="32" t="s">
        <v>198</v>
      </c>
      <c r="H146" s="32" t="s">
        <v>68</v>
      </c>
      <c r="I146" s="32" t="s">
        <v>69</v>
      </c>
      <c r="J146" s="32" t="s">
        <v>70</v>
      </c>
    </row>
    <row r="147" customFormat="false" ht="15" hidden="true" customHeight="false" outlineLevel="2" collapsed="false">
      <c r="A147" s="30" t="n">
        <v>46245</v>
      </c>
      <c r="B147" s="31" t="n">
        <v>42.08</v>
      </c>
      <c r="C147" s="32"/>
      <c r="D147" s="32"/>
      <c r="E147" s="32" t="s">
        <v>179</v>
      </c>
      <c r="F147" s="32" t="s">
        <v>198</v>
      </c>
      <c r="G147" s="32" t="s">
        <v>198</v>
      </c>
      <c r="H147" s="32" t="s">
        <v>112</v>
      </c>
      <c r="I147" s="32" t="s">
        <v>113</v>
      </c>
      <c r="J147" s="32" t="s">
        <v>70</v>
      </c>
    </row>
    <row r="148" customFormat="false" ht="15" hidden="true" customHeight="false" outlineLevel="2" collapsed="false">
      <c r="A148" s="30" t="n">
        <v>46245</v>
      </c>
      <c r="B148" s="31" t="n">
        <v>42.08</v>
      </c>
      <c r="C148" s="32"/>
      <c r="D148" s="32"/>
      <c r="E148" s="32" t="s">
        <v>180</v>
      </c>
      <c r="F148" s="32" t="s">
        <v>198</v>
      </c>
      <c r="G148" s="32" t="s">
        <v>198</v>
      </c>
      <c r="H148" s="32" t="s">
        <v>68</v>
      </c>
      <c r="I148" s="32" t="s">
        <v>69</v>
      </c>
      <c r="J148" s="32" t="s">
        <v>70</v>
      </c>
    </row>
    <row r="149" customFormat="false" ht="15" hidden="true" customHeight="false" outlineLevel="2" collapsed="false">
      <c r="A149" s="30" t="n">
        <v>46245</v>
      </c>
      <c r="B149" s="31" t="n">
        <v>42.08</v>
      </c>
      <c r="C149" s="32"/>
      <c r="D149" s="32"/>
      <c r="E149" s="32" t="s">
        <v>181</v>
      </c>
      <c r="F149" s="32" t="s">
        <v>198</v>
      </c>
      <c r="G149" s="32" t="s">
        <v>198</v>
      </c>
      <c r="H149" s="32" t="s">
        <v>182</v>
      </c>
      <c r="I149" s="32" t="s">
        <v>122</v>
      </c>
      <c r="J149" s="32" t="s">
        <v>70</v>
      </c>
    </row>
    <row r="150" customFormat="false" ht="15" hidden="true" customHeight="false" outlineLevel="2" collapsed="false">
      <c r="A150" s="30" t="n">
        <v>46245</v>
      </c>
      <c r="B150" s="31" t="n">
        <v>42.08</v>
      </c>
      <c r="C150" s="32"/>
      <c r="D150" s="32"/>
      <c r="E150" s="32" t="s">
        <v>199</v>
      </c>
      <c r="F150" s="32" t="s">
        <v>198</v>
      </c>
      <c r="G150" s="32" t="s">
        <v>198</v>
      </c>
      <c r="H150" s="32" t="s">
        <v>116</v>
      </c>
      <c r="I150" s="32" t="s">
        <v>69</v>
      </c>
      <c r="J150" s="32" t="s">
        <v>70</v>
      </c>
    </row>
    <row r="151" customFormat="false" ht="15" hidden="true" customHeight="false" outlineLevel="2" collapsed="false">
      <c r="A151" s="30" t="n">
        <v>46245</v>
      </c>
      <c r="B151" s="31" t="n">
        <v>42.08</v>
      </c>
      <c r="C151" s="32"/>
      <c r="D151" s="32"/>
      <c r="E151" s="32" t="s">
        <v>184</v>
      </c>
      <c r="F151" s="32" t="s">
        <v>198</v>
      </c>
      <c r="G151" s="32" t="s">
        <v>198</v>
      </c>
      <c r="H151" s="32" t="s">
        <v>123</v>
      </c>
      <c r="I151" s="32" t="s">
        <v>124</v>
      </c>
      <c r="J151" s="32" t="s">
        <v>70</v>
      </c>
    </row>
    <row r="152" customFormat="false" ht="15" hidden="true" customHeight="false" outlineLevel="2" collapsed="false">
      <c r="A152" s="30" t="n">
        <v>46245</v>
      </c>
      <c r="B152" s="31" t="n">
        <v>42.08</v>
      </c>
      <c r="C152" s="32"/>
      <c r="D152" s="32"/>
      <c r="E152" s="32" t="s">
        <v>185</v>
      </c>
      <c r="F152" s="32" t="s">
        <v>198</v>
      </c>
      <c r="G152" s="32" t="s">
        <v>198</v>
      </c>
      <c r="H152" s="32" t="s">
        <v>112</v>
      </c>
      <c r="I152" s="32" t="s">
        <v>113</v>
      </c>
      <c r="J152" s="32" t="s">
        <v>70</v>
      </c>
    </row>
    <row r="153" customFormat="false" ht="15" hidden="true" customHeight="false" outlineLevel="2" collapsed="false">
      <c r="A153" s="30" t="n">
        <v>46245</v>
      </c>
      <c r="B153" s="31" t="n">
        <v>42.08</v>
      </c>
      <c r="C153" s="32"/>
      <c r="D153" s="32"/>
      <c r="E153" s="32" t="s">
        <v>186</v>
      </c>
      <c r="F153" s="32" t="s">
        <v>198</v>
      </c>
      <c r="G153" s="32" t="s">
        <v>198</v>
      </c>
      <c r="H153" s="32" t="s">
        <v>68</v>
      </c>
      <c r="I153" s="32" t="s">
        <v>69</v>
      </c>
      <c r="J153" s="32" t="s">
        <v>70</v>
      </c>
    </row>
    <row r="154" customFormat="false" ht="15" hidden="true" customHeight="false" outlineLevel="2" collapsed="false">
      <c r="A154" s="30" t="n">
        <v>46245</v>
      </c>
      <c r="B154" s="31" t="n">
        <v>42.08</v>
      </c>
      <c r="C154" s="32"/>
      <c r="D154" s="32"/>
      <c r="E154" s="32" t="s">
        <v>187</v>
      </c>
      <c r="F154" s="32" t="s">
        <v>198</v>
      </c>
      <c r="G154" s="32" t="s">
        <v>198</v>
      </c>
      <c r="H154" s="32" t="s">
        <v>125</v>
      </c>
      <c r="I154" s="32" t="s">
        <v>126</v>
      </c>
      <c r="J154" s="32" t="s">
        <v>70</v>
      </c>
    </row>
    <row r="155" customFormat="false" ht="15" hidden="true" customHeight="false" outlineLevel="2" collapsed="false">
      <c r="A155" s="30" t="n">
        <v>46245</v>
      </c>
      <c r="B155" s="31" t="n">
        <v>42.08</v>
      </c>
      <c r="C155" s="32"/>
      <c r="D155" s="32"/>
      <c r="E155" s="32" t="s">
        <v>188</v>
      </c>
      <c r="F155" s="32" t="s">
        <v>198</v>
      </c>
      <c r="G155" s="32" t="s">
        <v>198</v>
      </c>
      <c r="H155" s="32" t="s">
        <v>68</v>
      </c>
      <c r="I155" s="32" t="s">
        <v>69</v>
      </c>
      <c r="J155" s="32" t="s">
        <v>70</v>
      </c>
    </row>
    <row r="156" customFormat="false" ht="15" hidden="true" customHeight="false" outlineLevel="2" collapsed="false">
      <c r="A156" s="30" t="n">
        <v>46245</v>
      </c>
      <c r="B156" s="31" t="n">
        <v>42.08</v>
      </c>
      <c r="C156" s="32"/>
      <c r="D156" s="32"/>
      <c r="E156" s="32" t="s">
        <v>189</v>
      </c>
      <c r="F156" s="32" t="s">
        <v>198</v>
      </c>
      <c r="G156" s="32" t="s">
        <v>198</v>
      </c>
      <c r="H156" s="32" t="s">
        <v>68</v>
      </c>
      <c r="I156" s="32" t="s">
        <v>69</v>
      </c>
      <c r="J156" s="32" t="s">
        <v>70</v>
      </c>
    </row>
    <row r="157" customFormat="false" ht="15" hidden="true" customHeight="false" outlineLevel="2" collapsed="false">
      <c r="A157" s="30" t="n">
        <v>46245</v>
      </c>
      <c r="B157" s="31" t="n">
        <v>0.3</v>
      </c>
      <c r="C157" s="32"/>
      <c r="D157" s="32"/>
      <c r="E157" s="32" t="s">
        <v>200</v>
      </c>
      <c r="F157" s="32" t="s">
        <v>198</v>
      </c>
      <c r="G157" s="32" t="s">
        <v>198</v>
      </c>
      <c r="H157" s="32" t="s">
        <v>112</v>
      </c>
      <c r="I157" s="32" t="s">
        <v>113</v>
      </c>
      <c r="J157" s="32" t="s">
        <v>70</v>
      </c>
    </row>
    <row r="158" customFormat="false" ht="15" hidden="false" customHeight="false" outlineLevel="1" collapsed="true">
      <c r="A158" s="27" t="s">
        <v>201</v>
      </c>
      <c r="B158" s="13" t="n">
        <f aca="false">B159+B160+B161+B162</f>
        <v>727.64</v>
      </c>
      <c r="C158" s="28"/>
      <c r="D158" s="29" t="n">
        <v>4</v>
      </c>
      <c r="E158" s="28"/>
      <c r="F158" s="28"/>
      <c r="G158" s="28"/>
      <c r="H158" s="28"/>
      <c r="I158" s="28"/>
      <c r="J158" s="28"/>
    </row>
    <row r="159" customFormat="false" ht="15" hidden="true" customHeight="false" outlineLevel="2" collapsed="false">
      <c r="A159" s="30" t="n">
        <v>46209</v>
      </c>
      <c r="B159" s="31" t="n">
        <v>92</v>
      </c>
      <c r="C159" s="32"/>
      <c r="D159" s="32"/>
      <c r="E159" s="32" t="s">
        <v>202</v>
      </c>
      <c r="F159" s="32" t="s">
        <v>203</v>
      </c>
      <c r="G159" s="32" t="s">
        <v>203</v>
      </c>
      <c r="H159" s="32" t="s">
        <v>68</v>
      </c>
      <c r="I159" s="32" t="s">
        <v>69</v>
      </c>
      <c r="J159" s="32" t="s">
        <v>70</v>
      </c>
    </row>
    <row r="160" customFormat="false" ht="15" hidden="true" customHeight="false" outlineLevel="2" collapsed="false">
      <c r="A160" s="30" t="n">
        <v>46210</v>
      </c>
      <c r="B160" s="31" t="n">
        <v>271.82</v>
      </c>
      <c r="C160" s="32"/>
      <c r="D160" s="32"/>
      <c r="E160" s="32" t="s">
        <v>204</v>
      </c>
      <c r="F160" s="32" t="s">
        <v>177</v>
      </c>
      <c r="G160" s="32" t="s">
        <v>177</v>
      </c>
      <c r="H160" s="32" t="s">
        <v>68</v>
      </c>
      <c r="I160" s="32" t="s">
        <v>69</v>
      </c>
      <c r="J160" s="32" t="s">
        <v>70</v>
      </c>
    </row>
    <row r="161" customFormat="false" ht="15" hidden="true" customHeight="false" outlineLevel="2" collapsed="false">
      <c r="A161" s="30" t="n">
        <v>46240</v>
      </c>
      <c r="B161" s="31" t="n">
        <v>92</v>
      </c>
      <c r="C161" s="32"/>
      <c r="D161" s="32"/>
      <c r="E161" s="32" t="s">
        <v>202</v>
      </c>
      <c r="F161" s="32" t="s">
        <v>205</v>
      </c>
      <c r="G161" s="32" t="s">
        <v>205</v>
      </c>
      <c r="H161" s="32" t="s">
        <v>68</v>
      </c>
      <c r="I161" s="32" t="s">
        <v>69</v>
      </c>
      <c r="J161" s="32" t="s">
        <v>70</v>
      </c>
    </row>
    <row r="162" customFormat="false" ht="15" hidden="true" customHeight="false" outlineLevel="2" collapsed="false">
      <c r="A162" s="30" t="n">
        <v>46241</v>
      </c>
      <c r="B162" s="31" t="n">
        <v>271.82</v>
      </c>
      <c r="C162" s="32"/>
      <c r="D162" s="32"/>
      <c r="E162" s="32" t="s">
        <v>204</v>
      </c>
      <c r="F162" s="32" t="s">
        <v>194</v>
      </c>
      <c r="G162" s="32" t="s">
        <v>194</v>
      </c>
      <c r="H162" s="32" t="s">
        <v>68</v>
      </c>
      <c r="I162" s="32" t="s">
        <v>69</v>
      </c>
      <c r="J162" s="32" t="s">
        <v>70</v>
      </c>
    </row>
    <row r="163" customFormat="false" ht="15" hidden="false" customHeight="false" outlineLevel="1" collapsed="true">
      <c r="A163" s="27" t="s">
        <v>206</v>
      </c>
      <c r="B163" s="13" t="n">
        <f aca="false">B164+B165+B166</f>
        <v>343.42</v>
      </c>
      <c r="C163" s="28"/>
      <c r="D163" s="29" t="n">
        <v>3</v>
      </c>
      <c r="E163" s="28"/>
      <c r="F163" s="28"/>
      <c r="G163" s="28"/>
      <c r="H163" s="28"/>
      <c r="I163" s="28"/>
      <c r="J163" s="28"/>
    </row>
    <row r="164" customFormat="false" ht="15" hidden="true" customHeight="false" outlineLevel="2" collapsed="false">
      <c r="A164" s="30" t="n">
        <v>46210</v>
      </c>
      <c r="B164" s="31" t="n">
        <v>1.31</v>
      </c>
      <c r="C164" s="32"/>
      <c r="D164" s="32"/>
      <c r="E164" s="32" t="s">
        <v>207</v>
      </c>
      <c r="F164" s="32" t="s">
        <v>177</v>
      </c>
      <c r="G164" s="32" t="s">
        <v>177</v>
      </c>
      <c r="H164" s="32" t="s">
        <v>68</v>
      </c>
      <c r="I164" s="32" t="s">
        <v>69</v>
      </c>
      <c r="J164" s="32" t="s">
        <v>70</v>
      </c>
    </row>
    <row r="165" customFormat="false" ht="15" hidden="true" customHeight="false" outlineLevel="2" collapsed="false">
      <c r="A165" s="30" t="n">
        <v>46210</v>
      </c>
      <c r="B165" s="31" t="n">
        <v>170.4</v>
      </c>
      <c r="C165" s="32"/>
      <c r="D165" s="32"/>
      <c r="E165" s="32" t="s">
        <v>208</v>
      </c>
      <c r="F165" s="32" t="s">
        <v>177</v>
      </c>
      <c r="G165" s="32" t="s">
        <v>177</v>
      </c>
      <c r="H165" s="32" t="s">
        <v>68</v>
      </c>
      <c r="I165" s="32" t="s">
        <v>69</v>
      </c>
      <c r="J165" s="32" t="s">
        <v>70</v>
      </c>
    </row>
    <row r="166" customFormat="false" ht="15" hidden="true" customHeight="false" outlineLevel="2" collapsed="false">
      <c r="A166" s="30" t="n">
        <v>46241</v>
      </c>
      <c r="B166" s="31" t="n">
        <v>171.71</v>
      </c>
      <c r="C166" s="32"/>
      <c r="D166" s="32"/>
      <c r="E166" s="32" t="s">
        <v>208</v>
      </c>
      <c r="F166" s="32" t="s">
        <v>194</v>
      </c>
      <c r="G166" s="32" t="s">
        <v>194</v>
      </c>
      <c r="H166" s="32" t="s">
        <v>68</v>
      </c>
      <c r="I166" s="32" t="s">
        <v>69</v>
      </c>
      <c r="J166" s="32" t="s">
        <v>70</v>
      </c>
    </row>
    <row r="167" customFormat="false" ht="15" hidden="false" customHeight="false" outlineLevel="1" collapsed="true">
      <c r="A167" s="27" t="s">
        <v>209</v>
      </c>
      <c r="B167" s="13" t="n">
        <f aca="false">B168+B169+B170+B171+B172+B173</f>
        <v>171.33</v>
      </c>
      <c r="C167" s="28"/>
      <c r="D167" s="29" t="n">
        <v>6</v>
      </c>
      <c r="E167" s="28"/>
      <c r="F167" s="28"/>
      <c r="G167" s="28"/>
      <c r="H167" s="28"/>
      <c r="I167" s="28"/>
      <c r="J167" s="28"/>
    </row>
    <row r="168" customFormat="false" ht="15" hidden="true" customHeight="false" outlineLevel="2" collapsed="false">
      <c r="A168" s="30" t="n">
        <v>46210</v>
      </c>
      <c r="B168" s="31" t="n">
        <v>26.29</v>
      </c>
      <c r="C168" s="32"/>
      <c r="D168" s="32"/>
      <c r="E168" s="32" t="s">
        <v>210</v>
      </c>
      <c r="F168" s="32" t="s">
        <v>177</v>
      </c>
      <c r="G168" s="32" t="s">
        <v>177</v>
      </c>
      <c r="H168" s="32" t="s">
        <v>68</v>
      </c>
      <c r="I168" s="32" t="s">
        <v>69</v>
      </c>
      <c r="J168" s="32" t="s">
        <v>70</v>
      </c>
    </row>
    <row r="169" customFormat="false" ht="15" hidden="true" customHeight="false" outlineLevel="2" collapsed="false">
      <c r="A169" s="30" t="n">
        <v>46210</v>
      </c>
      <c r="B169" s="31" t="n">
        <v>25.85</v>
      </c>
      <c r="C169" s="32"/>
      <c r="D169" s="32"/>
      <c r="E169" s="32" t="s">
        <v>211</v>
      </c>
      <c r="F169" s="32" t="s">
        <v>177</v>
      </c>
      <c r="G169" s="32" t="s">
        <v>177</v>
      </c>
      <c r="H169" s="32" t="s">
        <v>212</v>
      </c>
      <c r="I169" s="32" t="s">
        <v>122</v>
      </c>
      <c r="J169" s="32" t="s">
        <v>70</v>
      </c>
    </row>
    <row r="170" customFormat="false" ht="15" hidden="true" customHeight="false" outlineLevel="2" collapsed="false">
      <c r="A170" s="30" t="n">
        <v>46210</v>
      </c>
      <c r="B170" s="31" t="n">
        <v>28.95</v>
      </c>
      <c r="C170" s="32"/>
      <c r="D170" s="32"/>
      <c r="E170" s="32" t="s">
        <v>213</v>
      </c>
      <c r="F170" s="32" t="s">
        <v>177</v>
      </c>
      <c r="G170" s="32" t="s">
        <v>177</v>
      </c>
      <c r="H170" s="32" t="s">
        <v>68</v>
      </c>
      <c r="I170" s="32" t="s">
        <v>69</v>
      </c>
      <c r="J170" s="32" t="s">
        <v>70</v>
      </c>
    </row>
    <row r="171" customFormat="false" ht="15" hidden="true" customHeight="false" outlineLevel="2" collapsed="false">
      <c r="A171" s="30" t="n">
        <v>46241</v>
      </c>
      <c r="B171" s="31" t="n">
        <v>26.31</v>
      </c>
      <c r="C171" s="32"/>
      <c r="D171" s="32"/>
      <c r="E171" s="32" t="s">
        <v>210</v>
      </c>
      <c r="F171" s="32" t="s">
        <v>194</v>
      </c>
      <c r="G171" s="32" t="s">
        <v>194</v>
      </c>
      <c r="H171" s="32" t="s">
        <v>68</v>
      </c>
      <c r="I171" s="32" t="s">
        <v>69</v>
      </c>
      <c r="J171" s="32" t="s">
        <v>70</v>
      </c>
    </row>
    <row r="172" customFormat="false" ht="15" hidden="true" customHeight="false" outlineLevel="2" collapsed="false">
      <c r="A172" s="30" t="n">
        <v>46241</v>
      </c>
      <c r="B172" s="31" t="n">
        <v>25.71</v>
      </c>
      <c r="C172" s="32"/>
      <c r="D172" s="32"/>
      <c r="E172" s="32" t="s">
        <v>211</v>
      </c>
      <c r="F172" s="32" t="s">
        <v>194</v>
      </c>
      <c r="G172" s="32" t="s">
        <v>194</v>
      </c>
      <c r="H172" s="32" t="s">
        <v>212</v>
      </c>
      <c r="I172" s="32" t="s">
        <v>122</v>
      </c>
      <c r="J172" s="32" t="s">
        <v>70</v>
      </c>
    </row>
    <row r="173" customFormat="false" ht="15" hidden="true" customHeight="false" outlineLevel="2" collapsed="false">
      <c r="A173" s="30" t="n">
        <v>46241</v>
      </c>
      <c r="B173" s="31" t="n">
        <v>38.22</v>
      </c>
      <c r="C173" s="32"/>
      <c r="D173" s="32"/>
      <c r="E173" s="32" t="s">
        <v>213</v>
      </c>
      <c r="F173" s="32" t="s">
        <v>194</v>
      </c>
      <c r="G173" s="32" t="s">
        <v>194</v>
      </c>
      <c r="H173" s="32" t="s">
        <v>68</v>
      </c>
      <c r="I173" s="32" t="s">
        <v>69</v>
      </c>
      <c r="J173" s="32" t="s">
        <v>70</v>
      </c>
    </row>
    <row r="174" customFormat="false" ht="15" hidden="false" customHeight="false" outlineLevel="0" collapsed="false">
      <c r="A174" s="22" t="s">
        <v>214</v>
      </c>
      <c r="B174" s="23" t="n">
        <f aca="false">B175</f>
        <v>1256.36</v>
      </c>
      <c r="C174" s="24" t="n">
        <f aca="false">B174/$B$326</f>
        <v>0.0215058033625028</v>
      </c>
      <c r="D174" s="25" t="n">
        <v>2</v>
      </c>
      <c r="E174" s="26"/>
      <c r="F174" s="26"/>
      <c r="G174" s="26"/>
      <c r="H174" s="26"/>
      <c r="I174" s="26"/>
      <c r="J174" s="26"/>
    </row>
    <row r="175" customFormat="false" ht="15" hidden="false" customHeight="false" outlineLevel="1" collapsed="false">
      <c r="A175" s="27" t="s">
        <v>170</v>
      </c>
      <c r="B175" s="13" t="n">
        <f aca="false">B176+B177</f>
        <v>1256.36</v>
      </c>
      <c r="C175" s="28"/>
      <c r="D175" s="29" t="n">
        <v>2</v>
      </c>
      <c r="E175" s="28"/>
      <c r="F175" s="28"/>
      <c r="G175" s="28"/>
      <c r="H175" s="28"/>
      <c r="I175" s="28"/>
      <c r="J175" s="28"/>
    </row>
    <row r="176" customFormat="false" ht="15" hidden="true" customHeight="false" outlineLevel="2" collapsed="false">
      <c r="A176" s="30" t="n">
        <v>46234</v>
      </c>
      <c r="B176" s="31" t="n">
        <v>1089.09</v>
      </c>
      <c r="C176" s="32"/>
      <c r="D176" s="32"/>
      <c r="E176" s="32" t="s">
        <v>215</v>
      </c>
      <c r="F176" s="32" t="s">
        <v>216</v>
      </c>
      <c r="G176" s="32" t="s">
        <v>216</v>
      </c>
      <c r="H176" s="32" t="s">
        <v>68</v>
      </c>
      <c r="I176" s="32" t="s">
        <v>69</v>
      </c>
      <c r="J176" s="32" t="s">
        <v>70</v>
      </c>
    </row>
    <row r="177" customFormat="false" ht="15" hidden="true" customHeight="false" outlineLevel="2" collapsed="false">
      <c r="A177" s="30" t="n">
        <v>46239</v>
      </c>
      <c r="B177" s="31" t="n">
        <v>167.27</v>
      </c>
      <c r="C177" s="32"/>
      <c r="D177" s="32"/>
      <c r="E177" s="32" t="s">
        <v>217</v>
      </c>
      <c r="F177" s="32" t="s">
        <v>218</v>
      </c>
      <c r="G177" s="32" t="s">
        <v>218</v>
      </c>
      <c r="H177" s="32" t="s">
        <v>112</v>
      </c>
      <c r="I177" s="32" t="s">
        <v>113</v>
      </c>
      <c r="J177" s="32" t="s">
        <v>70</v>
      </c>
    </row>
    <row r="178" customFormat="false" ht="15" hidden="false" customHeight="false" outlineLevel="0" collapsed="false">
      <c r="A178" s="22" t="s">
        <v>219</v>
      </c>
      <c r="B178" s="23" t="n">
        <f aca="false">B179</f>
        <v>889.08</v>
      </c>
      <c r="C178" s="24" t="n">
        <f aca="false">B178/$B$326</f>
        <v>0.0152188701116988</v>
      </c>
      <c r="D178" s="25" t="n">
        <v>1</v>
      </c>
      <c r="E178" s="26"/>
      <c r="F178" s="26"/>
      <c r="G178" s="26"/>
      <c r="H178" s="26"/>
      <c r="I178" s="26"/>
      <c r="J178" s="26"/>
    </row>
    <row r="179" customFormat="false" ht="15" hidden="false" customHeight="false" outlineLevel="1" collapsed="false">
      <c r="A179" s="27" t="s">
        <v>170</v>
      </c>
      <c r="B179" s="13" t="n">
        <f aca="false">B180</f>
        <v>889.08</v>
      </c>
      <c r="C179" s="28"/>
      <c r="D179" s="29" t="n">
        <v>1</v>
      </c>
      <c r="E179" s="28"/>
      <c r="F179" s="28"/>
      <c r="G179" s="28"/>
      <c r="H179" s="28"/>
      <c r="I179" s="28"/>
      <c r="J179" s="28"/>
    </row>
    <row r="180" customFormat="false" ht="15" hidden="true" customHeight="false" outlineLevel="2" collapsed="false">
      <c r="A180" s="30" t="n">
        <v>46239</v>
      </c>
      <c r="B180" s="31" t="n">
        <v>889.08</v>
      </c>
      <c r="C180" s="32"/>
      <c r="D180" s="32"/>
      <c r="E180" s="33" t="s">
        <v>220</v>
      </c>
      <c r="F180" s="32" t="s">
        <v>221</v>
      </c>
      <c r="G180" s="32" t="s">
        <v>221</v>
      </c>
      <c r="H180" s="32" t="s">
        <v>112</v>
      </c>
      <c r="I180" s="32" t="s">
        <v>113</v>
      </c>
      <c r="J180" s="32" t="s">
        <v>70</v>
      </c>
    </row>
    <row r="181" customFormat="false" ht="15" hidden="false" customHeight="false" outlineLevel="0" collapsed="false">
      <c r="A181" s="22" t="s">
        <v>222</v>
      </c>
      <c r="B181" s="23" t="n">
        <f aca="false">B182</f>
        <v>862</v>
      </c>
      <c r="C181" s="24" t="n">
        <f aca="false">B181/$B$326</f>
        <v>0.0147553268955374</v>
      </c>
      <c r="D181" s="25" t="n">
        <v>4</v>
      </c>
      <c r="E181" s="26"/>
      <c r="F181" s="26"/>
      <c r="G181" s="26"/>
      <c r="H181" s="26"/>
      <c r="I181" s="26"/>
      <c r="J181" s="26"/>
    </row>
    <row r="182" customFormat="false" ht="15" hidden="false" customHeight="false" outlineLevel="1" collapsed="false">
      <c r="A182" s="27" t="s">
        <v>88</v>
      </c>
      <c r="B182" s="13" t="n">
        <f aca="false">B183+B184+B185+B186</f>
        <v>862</v>
      </c>
      <c r="C182" s="28"/>
      <c r="D182" s="29" t="n">
        <v>4</v>
      </c>
      <c r="E182" s="28"/>
      <c r="F182" s="28"/>
      <c r="G182" s="28"/>
      <c r="H182" s="28"/>
      <c r="I182" s="28"/>
      <c r="J182" s="28"/>
    </row>
    <row r="183" customFormat="false" ht="15" hidden="true" customHeight="false" outlineLevel="2" collapsed="false">
      <c r="A183" s="30" t="n">
        <v>46219</v>
      </c>
      <c r="B183" s="31" t="n">
        <v>110</v>
      </c>
      <c r="C183" s="32"/>
      <c r="D183" s="32"/>
      <c r="E183" s="32" t="s">
        <v>223</v>
      </c>
      <c r="F183" s="32" t="s">
        <v>224</v>
      </c>
      <c r="G183" s="32" t="s">
        <v>224</v>
      </c>
      <c r="H183" s="32" t="s">
        <v>112</v>
      </c>
      <c r="I183" s="32" t="s">
        <v>113</v>
      </c>
      <c r="J183" s="32" t="s">
        <v>70</v>
      </c>
    </row>
    <row r="184" customFormat="false" ht="15" hidden="true" customHeight="false" outlineLevel="2" collapsed="false">
      <c r="A184" s="30" t="n">
        <v>46219</v>
      </c>
      <c r="B184" s="31" t="n">
        <v>321</v>
      </c>
      <c r="C184" s="32"/>
      <c r="D184" s="32"/>
      <c r="E184" s="32" t="s">
        <v>225</v>
      </c>
      <c r="F184" s="32" t="s">
        <v>224</v>
      </c>
      <c r="G184" s="32" t="s">
        <v>224</v>
      </c>
      <c r="H184" s="32" t="s">
        <v>112</v>
      </c>
      <c r="I184" s="32" t="s">
        <v>113</v>
      </c>
      <c r="J184" s="32" t="s">
        <v>70</v>
      </c>
    </row>
    <row r="185" customFormat="false" ht="15" hidden="true" customHeight="false" outlineLevel="2" collapsed="false">
      <c r="A185" s="30" t="n">
        <v>46250</v>
      </c>
      <c r="B185" s="31" t="n">
        <v>110</v>
      </c>
      <c r="C185" s="32"/>
      <c r="D185" s="32"/>
      <c r="E185" s="32" t="s">
        <v>223</v>
      </c>
      <c r="F185" s="32" t="s">
        <v>226</v>
      </c>
      <c r="G185" s="32" t="s">
        <v>226</v>
      </c>
      <c r="H185" s="32" t="s">
        <v>112</v>
      </c>
      <c r="I185" s="32" t="s">
        <v>113</v>
      </c>
      <c r="J185" s="32" t="s">
        <v>70</v>
      </c>
    </row>
    <row r="186" customFormat="false" ht="15" hidden="true" customHeight="false" outlineLevel="2" collapsed="false">
      <c r="A186" s="30" t="n">
        <v>46250</v>
      </c>
      <c r="B186" s="31" t="n">
        <v>321</v>
      </c>
      <c r="C186" s="32"/>
      <c r="D186" s="32"/>
      <c r="E186" s="32" t="s">
        <v>225</v>
      </c>
      <c r="F186" s="32" t="s">
        <v>226</v>
      </c>
      <c r="G186" s="32" t="s">
        <v>226</v>
      </c>
      <c r="H186" s="32" t="s">
        <v>112</v>
      </c>
      <c r="I186" s="32" t="s">
        <v>113</v>
      </c>
      <c r="J186" s="32" t="s">
        <v>70</v>
      </c>
    </row>
    <row r="187" customFormat="false" ht="15" hidden="false" customHeight="false" outlineLevel="0" collapsed="false">
      <c r="A187" s="22" t="s">
        <v>227</v>
      </c>
      <c r="B187" s="23" t="n">
        <f aca="false">B188</f>
        <v>780</v>
      </c>
      <c r="C187" s="24" t="n">
        <f aca="false">B187/$B$326</f>
        <v>0.0133516879101151</v>
      </c>
      <c r="D187" s="25" t="n">
        <v>1</v>
      </c>
      <c r="E187" s="26"/>
      <c r="F187" s="26"/>
      <c r="G187" s="26"/>
      <c r="H187" s="26"/>
      <c r="I187" s="26"/>
      <c r="J187" s="26"/>
    </row>
    <row r="188" customFormat="false" ht="15" hidden="false" customHeight="false" outlineLevel="1" collapsed="false">
      <c r="A188" s="27" t="s">
        <v>170</v>
      </c>
      <c r="B188" s="13" t="n">
        <f aca="false">B189</f>
        <v>780</v>
      </c>
      <c r="C188" s="28"/>
      <c r="D188" s="29" t="n">
        <v>1</v>
      </c>
      <c r="E188" s="28"/>
      <c r="F188" s="28"/>
      <c r="G188" s="28"/>
      <c r="H188" s="28"/>
      <c r="I188" s="28"/>
      <c r="J188" s="28"/>
    </row>
    <row r="189" customFormat="false" ht="15" hidden="true" customHeight="false" outlineLevel="2" collapsed="false">
      <c r="A189" s="30" t="n">
        <v>46239</v>
      </c>
      <c r="B189" s="31" t="n">
        <v>780</v>
      </c>
      <c r="C189" s="32"/>
      <c r="D189" s="32"/>
      <c r="E189" s="33" t="s">
        <v>228</v>
      </c>
      <c r="F189" s="32" t="s">
        <v>229</v>
      </c>
      <c r="G189" s="32" t="s">
        <v>229</v>
      </c>
      <c r="H189" s="32" t="s">
        <v>68</v>
      </c>
      <c r="I189" s="32" t="s">
        <v>113</v>
      </c>
      <c r="J189" s="32" t="s">
        <v>70</v>
      </c>
    </row>
    <row r="190" customFormat="false" ht="15" hidden="false" customHeight="false" outlineLevel="0" collapsed="false">
      <c r="A190" s="22" t="s">
        <v>230</v>
      </c>
      <c r="B190" s="23" t="n">
        <f aca="false">B191</f>
        <v>647.94</v>
      </c>
      <c r="C190" s="24" t="n">
        <f aca="false">B190/$B$326</f>
        <v>0.011091144441641</v>
      </c>
      <c r="D190" s="25" t="n">
        <v>6</v>
      </c>
      <c r="E190" s="26"/>
      <c r="F190" s="26"/>
      <c r="G190" s="26"/>
      <c r="H190" s="26"/>
      <c r="I190" s="26"/>
      <c r="J190" s="26"/>
    </row>
    <row r="191" customFormat="false" ht="15" hidden="false" customHeight="false" outlineLevel="1" collapsed="false">
      <c r="A191" s="27" t="s">
        <v>88</v>
      </c>
      <c r="B191" s="13" t="n">
        <f aca="false">B192+B193+B194+B195+B196+B197</f>
        <v>647.94</v>
      </c>
      <c r="C191" s="28"/>
      <c r="D191" s="29" t="n">
        <v>6</v>
      </c>
      <c r="E191" s="28"/>
      <c r="F191" s="28"/>
      <c r="G191" s="28"/>
      <c r="H191" s="28"/>
      <c r="I191" s="28"/>
      <c r="J191" s="28"/>
    </row>
    <row r="192" customFormat="false" ht="15" hidden="true" customHeight="false" outlineLevel="2" collapsed="false">
      <c r="A192" s="30" t="n">
        <v>46231</v>
      </c>
      <c r="B192" s="31" t="n">
        <v>73.99</v>
      </c>
      <c r="C192" s="32"/>
      <c r="D192" s="32"/>
      <c r="E192" s="33" t="s">
        <v>231</v>
      </c>
      <c r="F192" s="32" t="s">
        <v>232</v>
      </c>
      <c r="G192" s="32" t="s">
        <v>232</v>
      </c>
      <c r="H192" s="32" t="s">
        <v>112</v>
      </c>
      <c r="I192" s="32" t="s">
        <v>113</v>
      </c>
      <c r="J192" s="32" t="s">
        <v>70</v>
      </c>
    </row>
    <row r="193" customFormat="false" ht="15" hidden="true" customHeight="false" outlineLevel="2" collapsed="false">
      <c r="A193" s="30" t="n">
        <v>46231</v>
      </c>
      <c r="B193" s="31" t="n">
        <v>100</v>
      </c>
      <c r="C193" s="32"/>
      <c r="D193" s="32"/>
      <c r="E193" s="33" t="s">
        <v>233</v>
      </c>
      <c r="F193" s="32" t="s">
        <v>232</v>
      </c>
      <c r="G193" s="32" t="s">
        <v>232</v>
      </c>
      <c r="H193" s="32" t="s">
        <v>112</v>
      </c>
      <c r="I193" s="32" t="s">
        <v>113</v>
      </c>
      <c r="J193" s="32" t="s">
        <v>70</v>
      </c>
    </row>
    <row r="194" customFormat="false" ht="15" hidden="true" customHeight="false" outlineLevel="2" collapsed="false">
      <c r="A194" s="30" t="n">
        <v>46231</v>
      </c>
      <c r="B194" s="31" t="n">
        <v>149.98</v>
      </c>
      <c r="C194" s="32"/>
      <c r="D194" s="32"/>
      <c r="E194" s="33" t="s">
        <v>234</v>
      </c>
      <c r="F194" s="32" t="s">
        <v>232</v>
      </c>
      <c r="G194" s="32" t="s">
        <v>232</v>
      </c>
      <c r="H194" s="32" t="s">
        <v>112</v>
      </c>
      <c r="I194" s="32" t="s">
        <v>113</v>
      </c>
      <c r="J194" s="32" t="s">
        <v>70</v>
      </c>
    </row>
    <row r="195" customFormat="false" ht="15" hidden="true" customHeight="false" outlineLevel="2" collapsed="false">
      <c r="A195" s="30" t="n">
        <v>46262</v>
      </c>
      <c r="B195" s="31" t="n">
        <v>73.99</v>
      </c>
      <c r="C195" s="32"/>
      <c r="D195" s="32"/>
      <c r="E195" s="33" t="s">
        <v>235</v>
      </c>
      <c r="F195" s="32" t="s">
        <v>236</v>
      </c>
      <c r="G195" s="32" t="s">
        <v>236</v>
      </c>
      <c r="H195" s="32" t="s">
        <v>112</v>
      </c>
      <c r="I195" s="32" t="s">
        <v>113</v>
      </c>
      <c r="J195" s="32" t="s">
        <v>70</v>
      </c>
    </row>
    <row r="196" customFormat="false" ht="15" hidden="true" customHeight="false" outlineLevel="2" collapsed="false">
      <c r="A196" s="30" t="n">
        <v>46262</v>
      </c>
      <c r="B196" s="31" t="n">
        <v>100</v>
      </c>
      <c r="C196" s="32"/>
      <c r="D196" s="32"/>
      <c r="E196" s="33" t="s">
        <v>237</v>
      </c>
      <c r="F196" s="32" t="s">
        <v>236</v>
      </c>
      <c r="G196" s="32" t="s">
        <v>236</v>
      </c>
      <c r="H196" s="32" t="s">
        <v>112</v>
      </c>
      <c r="I196" s="32" t="s">
        <v>113</v>
      </c>
      <c r="J196" s="32" t="s">
        <v>70</v>
      </c>
    </row>
    <row r="197" customFormat="false" ht="22.35" hidden="true" customHeight="false" outlineLevel="2" collapsed="false">
      <c r="A197" s="30" t="n">
        <v>46262</v>
      </c>
      <c r="B197" s="31" t="n">
        <v>149.98</v>
      </c>
      <c r="C197" s="32"/>
      <c r="D197" s="32"/>
      <c r="E197" s="33" t="s">
        <v>238</v>
      </c>
      <c r="F197" s="32" t="s">
        <v>236</v>
      </c>
      <c r="G197" s="32" t="s">
        <v>236</v>
      </c>
      <c r="H197" s="32" t="s">
        <v>112</v>
      </c>
      <c r="I197" s="32" t="s">
        <v>113</v>
      </c>
      <c r="J197" s="32" t="s">
        <v>70</v>
      </c>
    </row>
    <row r="198" customFormat="false" ht="15" hidden="false" customHeight="false" outlineLevel="0" collapsed="false">
      <c r="A198" s="22" t="s">
        <v>239</v>
      </c>
      <c r="B198" s="23" t="n">
        <f aca="false">B199</f>
        <v>513.4</v>
      </c>
      <c r="C198" s="24" t="n">
        <f aca="false">B198/$B$326</f>
        <v>0.00878814945263215</v>
      </c>
      <c r="D198" s="25" t="n">
        <v>8</v>
      </c>
      <c r="E198" s="26"/>
      <c r="F198" s="26"/>
      <c r="G198" s="26"/>
      <c r="H198" s="26"/>
      <c r="I198" s="26"/>
      <c r="J198" s="26"/>
    </row>
    <row r="199" customFormat="false" ht="15" hidden="false" customHeight="false" outlineLevel="1" collapsed="false">
      <c r="A199" s="27" t="s">
        <v>88</v>
      </c>
      <c r="B199" s="13" t="n">
        <f aca="false">B200+B201+B202+B203+B204+B205+B206+B207</f>
        <v>513.4</v>
      </c>
      <c r="C199" s="28"/>
      <c r="D199" s="29" t="n">
        <v>8</v>
      </c>
      <c r="E199" s="28"/>
      <c r="F199" s="28"/>
      <c r="G199" s="28"/>
      <c r="H199" s="28"/>
      <c r="I199" s="28"/>
      <c r="J199" s="28"/>
    </row>
    <row r="200" customFormat="false" ht="15" hidden="true" customHeight="false" outlineLevel="2" collapsed="false">
      <c r="A200" s="30" t="n">
        <v>46210</v>
      </c>
      <c r="B200" s="31" t="n">
        <v>65.04</v>
      </c>
      <c r="C200" s="32"/>
      <c r="D200" s="32"/>
      <c r="E200" s="33" t="s">
        <v>240</v>
      </c>
      <c r="F200" s="32" t="s">
        <v>241</v>
      </c>
      <c r="G200" s="32" t="s">
        <v>241</v>
      </c>
      <c r="H200" s="32" t="s">
        <v>112</v>
      </c>
      <c r="I200" s="32" t="s">
        <v>113</v>
      </c>
      <c r="J200" s="32" t="s">
        <v>70</v>
      </c>
    </row>
    <row r="201" customFormat="false" ht="15" hidden="true" customHeight="false" outlineLevel="2" collapsed="false">
      <c r="A201" s="30" t="n">
        <v>46210</v>
      </c>
      <c r="B201" s="31" t="n">
        <v>65.04</v>
      </c>
      <c r="C201" s="32"/>
      <c r="D201" s="32"/>
      <c r="E201" s="33" t="s">
        <v>242</v>
      </c>
      <c r="F201" s="32" t="s">
        <v>243</v>
      </c>
      <c r="G201" s="32" t="s">
        <v>243</v>
      </c>
      <c r="H201" s="32" t="s">
        <v>112</v>
      </c>
      <c r="I201" s="32" t="s">
        <v>113</v>
      </c>
      <c r="J201" s="32" t="s">
        <v>70</v>
      </c>
    </row>
    <row r="202" customFormat="false" ht="15" hidden="true" customHeight="false" outlineLevel="2" collapsed="false">
      <c r="A202" s="30" t="n">
        <v>46233</v>
      </c>
      <c r="B202" s="31" t="n">
        <v>65.03</v>
      </c>
      <c r="C202" s="32"/>
      <c r="D202" s="32"/>
      <c r="E202" s="33" t="s">
        <v>244</v>
      </c>
      <c r="F202" s="32" t="s">
        <v>245</v>
      </c>
      <c r="G202" s="32" t="s">
        <v>245</v>
      </c>
      <c r="H202" s="32" t="s">
        <v>112</v>
      </c>
      <c r="I202" s="32" t="s">
        <v>113</v>
      </c>
      <c r="J202" s="32" t="s">
        <v>70</v>
      </c>
    </row>
    <row r="203" customFormat="false" ht="15" hidden="true" customHeight="false" outlineLevel="2" collapsed="false">
      <c r="A203" s="30" t="n">
        <v>46234</v>
      </c>
      <c r="B203" s="31" t="n">
        <v>64.39</v>
      </c>
      <c r="C203" s="32"/>
      <c r="D203" s="32"/>
      <c r="E203" s="33" t="s">
        <v>246</v>
      </c>
      <c r="F203" s="32" t="s">
        <v>247</v>
      </c>
      <c r="G203" s="32" t="s">
        <v>247</v>
      </c>
      <c r="H203" s="32" t="s">
        <v>112</v>
      </c>
      <c r="I203" s="32" t="s">
        <v>113</v>
      </c>
      <c r="J203" s="32" t="s">
        <v>70</v>
      </c>
    </row>
    <row r="204" customFormat="false" ht="15" hidden="true" customHeight="false" outlineLevel="2" collapsed="false">
      <c r="A204" s="30" t="n">
        <v>46240</v>
      </c>
      <c r="B204" s="31" t="n">
        <v>64.06</v>
      </c>
      <c r="C204" s="32"/>
      <c r="D204" s="32"/>
      <c r="E204" s="33" t="s">
        <v>248</v>
      </c>
      <c r="F204" s="32" t="s">
        <v>249</v>
      </c>
      <c r="G204" s="32" t="s">
        <v>249</v>
      </c>
      <c r="H204" s="32" t="s">
        <v>112</v>
      </c>
      <c r="I204" s="32" t="s">
        <v>113</v>
      </c>
      <c r="J204" s="32" t="s">
        <v>70</v>
      </c>
    </row>
    <row r="205" customFormat="false" ht="15" hidden="true" customHeight="false" outlineLevel="2" collapsed="false">
      <c r="A205" s="30" t="n">
        <v>46241</v>
      </c>
      <c r="B205" s="31" t="n">
        <v>64.06</v>
      </c>
      <c r="C205" s="32"/>
      <c r="D205" s="32"/>
      <c r="E205" s="33" t="s">
        <v>250</v>
      </c>
      <c r="F205" s="32" t="s">
        <v>251</v>
      </c>
      <c r="G205" s="32" t="s">
        <v>251</v>
      </c>
      <c r="H205" s="32" t="s">
        <v>112</v>
      </c>
      <c r="I205" s="32" t="s">
        <v>113</v>
      </c>
      <c r="J205" s="32" t="s">
        <v>70</v>
      </c>
    </row>
    <row r="206" customFormat="false" ht="15" hidden="true" customHeight="false" outlineLevel="2" collapsed="false">
      <c r="A206" s="30" t="n">
        <v>46264</v>
      </c>
      <c r="B206" s="31" t="n">
        <v>62.83</v>
      </c>
      <c r="C206" s="32"/>
      <c r="D206" s="32"/>
      <c r="E206" s="33" t="s">
        <v>252</v>
      </c>
      <c r="F206" s="32" t="s">
        <v>253</v>
      </c>
      <c r="G206" s="32" t="s">
        <v>253</v>
      </c>
      <c r="H206" s="32" t="s">
        <v>112</v>
      </c>
      <c r="I206" s="32" t="s">
        <v>113</v>
      </c>
      <c r="J206" s="32" t="s">
        <v>70</v>
      </c>
    </row>
    <row r="207" customFormat="false" ht="15" hidden="true" customHeight="false" outlineLevel="2" collapsed="false">
      <c r="A207" s="30" t="n">
        <v>46265</v>
      </c>
      <c r="B207" s="31" t="n">
        <v>62.95</v>
      </c>
      <c r="C207" s="32"/>
      <c r="D207" s="32"/>
      <c r="E207" s="33" t="s">
        <v>254</v>
      </c>
      <c r="F207" s="32" t="s">
        <v>255</v>
      </c>
      <c r="G207" s="32" t="s">
        <v>255</v>
      </c>
      <c r="H207" s="32" t="s">
        <v>112</v>
      </c>
      <c r="I207" s="32" t="s">
        <v>113</v>
      </c>
      <c r="J207" s="32" t="s">
        <v>70</v>
      </c>
    </row>
    <row r="208" customFormat="false" ht="15" hidden="false" customHeight="false" outlineLevel="0" collapsed="false">
      <c r="A208" s="22" t="s">
        <v>256</v>
      </c>
      <c r="B208" s="23" t="n">
        <f aca="false">B209</f>
        <v>397.98</v>
      </c>
      <c r="C208" s="24" t="n">
        <f aca="false">B208/$B$326</f>
        <v>0.00681244199290717</v>
      </c>
      <c r="D208" s="25" t="n">
        <v>1</v>
      </c>
      <c r="E208" s="26"/>
      <c r="F208" s="26"/>
      <c r="G208" s="26"/>
      <c r="H208" s="26"/>
      <c r="I208" s="26"/>
      <c r="J208" s="26"/>
    </row>
    <row r="209" customFormat="false" ht="15" hidden="false" customHeight="false" outlineLevel="1" collapsed="false">
      <c r="A209" s="27" t="s">
        <v>170</v>
      </c>
      <c r="B209" s="13" t="n">
        <f aca="false">B210</f>
        <v>397.98</v>
      </c>
      <c r="C209" s="28"/>
      <c r="D209" s="29" t="n">
        <v>1</v>
      </c>
      <c r="E209" s="28"/>
      <c r="F209" s="28"/>
      <c r="G209" s="28"/>
      <c r="H209" s="28"/>
      <c r="I209" s="28"/>
      <c r="J209" s="28"/>
    </row>
    <row r="210" customFormat="false" ht="15" hidden="true" customHeight="false" outlineLevel="2" collapsed="false">
      <c r="A210" s="30" t="n">
        <v>46248</v>
      </c>
      <c r="B210" s="31" t="n">
        <v>397.98</v>
      </c>
      <c r="C210" s="32"/>
      <c r="D210" s="32"/>
      <c r="E210" s="33" t="s">
        <v>257</v>
      </c>
      <c r="F210" s="32" t="s">
        <v>258</v>
      </c>
      <c r="G210" s="32" t="s">
        <v>258</v>
      </c>
      <c r="H210" s="32" t="s">
        <v>112</v>
      </c>
      <c r="I210" s="32" t="s">
        <v>113</v>
      </c>
      <c r="J210" s="32" t="s">
        <v>70</v>
      </c>
    </row>
    <row r="211" customFormat="false" ht="15" hidden="false" customHeight="false" outlineLevel="0" collapsed="false">
      <c r="A211" s="22" t="s">
        <v>259</v>
      </c>
      <c r="B211" s="23" t="n">
        <f aca="false">B212</f>
        <v>354.41</v>
      </c>
      <c r="C211" s="24" t="n">
        <f aca="false">B211/$B$326</f>
        <v>0.00606663040028703</v>
      </c>
      <c r="D211" s="25" t="n">
        <v>1</v>
      </c>
      <c r="E211" s="26"/>
      <c r="F211" s="26"/>
      <c r="G211" s="26"/>
      <c r="H211" s="26"/>
      <c r="I211" s="26"/>
      <c r="J211" s="26"/>
    </row>
    <row r="212" customFormat="false" ht="15" hidden="false" customHeight="false" outlineLevel="1" collapsed="false">
      <c r="A212" s="27" t="s">
        <v>170</v>
      </c>
      <c r="B212" s="13" t="n">
        <f aca="false">B213</f>
        <v>354.41</v>
      </c>
      <c r="C212" s="28"/>
      <c r="D212" s="29" t="n">
        <v>1</v>
      </c>
      <c r="E212" s="28"/>
      <c r="F212" s="28"/>
      <c r="G212" s="28"/>
      <c r="H212" s="28"/>
      <c r="I212" s="28"/>
      <c r="J212" s="28"/>
    </row>
    <row r="213" customFormat="false" ht="15" hidden="true" customHeight="false" outlineLevel="2" collapsed="false">
      <c r="A213" s="30" t="n">
        <v>46253</v>
      </c>
      <c r="B213" s="31" t="n">
        <v>354.41</v>
      </c>
      <c r="C213" s="32"/>
      <c r="D213" s="32"/>
      <c r="E213" s="33" t="s">
        <v>260</v>
      </c>
      <c r="F213" s="32" t="s">
        <v>261</v>
      </c>
      <c r="G213" s="32" t="s">
        <v>261</v>
      </c>
      <c r="H213" s="32" t="s">
        <v>112</v>
      </c>
      <c r="I213" s="32" t="s">
        <v>113</v>
      </c>
      <c r="J213" s="32" t="s">
        <v>70</v>
      </c>
    </row>
    <row r="214" customFormat="false" ht="15" hidden="false" customHeight="false" outlineLevel="0" collapsed="false">
      <c r="A214" s="22" t="s">
        <v>262</v>
      </c>
      <c r="B214" s="23" t="n">
        <f aca="false">B215</f>
        <v>320</v>
      </c>
      <c r="C214" s="24" t="n">
        <f aca="false">B214/$B$326</f>
        <v>0.00547761555286772</v>
      </c>
      <c r="D214" s="25" t="n">
        <v>8</v>
      </c>
      <c r="E214" s="26"/>
      <c r="F214" s="26"/>
      <c r="G214" s="26"/>
      <c r="H214" s="26"/>
      <c r="I214" s="26"/>
      <c r="J214" s="26"/>
    </row>
    <row r="215" customFormat="false" ht="15" hidden="false" customHeight="false" outlineLevel="1" collapsed="false">
      <c r="A215" s="27" t="s">
        <v>175</v>
      </c>
      <c r="B215" s="13" t="n">
        <f aca="false">B216+B217+B218+B219+B220+B221+B222+B223</f>
        <v>320</v>
      </c>
      <c r="C215" s="28"/>
      <c r="D215" s="29" t="n">
        <v>8</v>
      </c>
      <c r="E215" s="28"/>
      <c r="F215" s="28"/>
      <c r="G215" s="28"/>
      <c r="H215" s="28"/>
      <c r="I215" s="28"/>
      <c r="J215" s="28"/>
    </row>
    <row r="216" customFormat="false" ht="15" hidden="true" customHeight="false" outlineLevel="2" collapsed="false">
      <c r="A216" s="30" t="n">
        <v>46217</v>
      </c>
      <c r="B216" s="31" t="n">
        <v>40</v>
      </c>
      <c r="C216" s="32"/>
      <c r="D216" s="32"/>
      <c r="E216" s="32" t="s">
        <v>263</v>
      </c>
      <c r="F216" s="32" t="s">
        <v>264</v>
      </c>
      <c r="G216" s="32" t="s">
        <v>264</v>
      </c>
      <c r="H216" s="32" t="s">
        <v>112</v>
      </c>
      <c r="I216" s="32" t="s">
        <v>113</v>
      </c>
      <c r="J216" s="32" t="s">
        <v>70</v>
      </c>
    </row>
    <row r="217" customFormat="false" ht="15" hidden="true" customHeight="false" outlineLevel="2" collapsed="false">
      <c r="A217" s="30" t="n">
        <v>46217</v>
      </c>
      <c r="B217" s="31" t="n">
        <v>40</v>
      </c>
      <c r="C217" s="32"/>
      <c r="D217" s="32"/>
      <c r="E217" s="32" t="s">
        <v>265</v>
      </c>
      <c r="F217" s="32" t="s">
        <v>266</v>
      </c>
      <c r="G217" s="32" t="s">
        <v>266</v>
      </c>
      <c r="H217" s="32" t="s">
        <v>112</v>
      </c>
      <c r="I217" s="32" t="s">
        <v>113</v>
      </c>
      <c r="J217" s="32" t="s">
        <v>70</v>
      </c>
    </row>
    <row r="218" customFormat="false" ht="15" hidden="true" customHeight="false" outlineLevel="2" collapsed="false">
      <c r="A218" s="30" t="n">
        <v>46217</v>
      </c>
      <c r="B218" s="31" t="n">
        <v>40</v>
      </c>
      <c r="C218" s="32"/>
      <c r="D218" s="32"/>
      <c r="E218" s="32" t="s">
        <v>267</v>
      </c>
      <c r="F218" s="32" t="s">
        <v>268</v>
      </c>
      <c r="G218" s="32" t="s">
        <v>268</v>
      </c>
      <c r="H218" s="32" t="s">
        <v>112</v>
      </c>
      <c r="I218" s="32" t="s">
        <v>113</v>
      </c>
      <c r="J218" s="32" t="s">
        <v>70</v>
      </c>
    </row>
    <row r="219" customFormat="false" ht="15" hidden="true" customHeight="false" outlineLevel="2" collapsed="false">
      <c r="A219" s="30" t="n">
        <v>46218</v>
      </c>
      <c r="B219" s="31" t="n">
        <v>40</v>
      </c>
      <c r="C219" s="32"/>
      <c r="D219" s="32"/>
      <c r="E219" s="32" t="s">
        <v>269</v>
      </c>
      <c r="F219" s="32" t="s">
        <v>270</v>
      </c>
      <c r="G219" s="32" t="s">
        <v>270</v>
      </c>
      <c r="H219" s="32" t="s">
        <v>112</v>
      </c>
      <c r="I219" s="32" t="s">
        <v>113</v>
      </c>
      <c r="J219" s="32" t="s">
        <v>70</v>
      </c>
    </row>
    <row r="220" customFormat="false" ht="15" hidden="true" customHeight="false" outlineLevel="2" collapsed="false">
      <c r="A220" s="30" t="n">
        <v>46245</v>
      </c>
      <c r="B220" s="31" t="n">
        <v>40</v>
      </c>
      <c r="C220" s="32"/>
      <c r="D220" s="32"/>
      <c r="E220" s="32" t="s">
        <v>263</v>
      </c>
      <c r="F220" s="32" t="s">
        <v>271</v>
      </c>
      <c r="G220" s="32" t="s">
        <v>271</v>
      </c>
      <c r="H220" s="32" t="s">
        <v>112</v>
      </c>
      <c r="I220" s="32" t="s">
        <v>113</v>
      </c>
      <c r="J220" s="32" t="s">
        <v>70</v>
      </c>
    </row>
    <row r="221" customFormat="false" ht="15" hidden="true" customHeight="false" outlineLevel="2" collapsed="false">
      <c r="A221" s="30" t="n">
        <v>46245</v>
      </c>
      <c r="B221" s="31" t="n">
        <v>40</v>
      </c>
      <c r="C221" s="32"/>
      <c r="D221" s="32"/>
      <c r="E221" s="32" t="s">
        <v>265</v>
      </c>
      <c r="F221" s="32" t="s">
        <v>272</v>
      </c>
      <c r="G221" s="32" t="s">
        <v>272</v>
      </c>
      <c r="H221" s="32" t="s">
        <v>112</v>
      </c>
      <c r="I221" s="32" t="s">
        <v>113</v>
      </c>
      <c r="J221" s="32" t="s">
        <v>70</v>
      </c>
    </row>
    <row r="222" customFormat="false" ht="15" hidden="true" customHeight="false" outlineLevel="2" collapsed="false">
      <c r="A222" s="30" t="n">
        <v>46245</v>
      </c>
      <c r="B222" s="31" t="n">
        <v>40</v>
      </c>
      <c r="C222" s="32"/>
      <c r="D222" s="32"/>
      <c r="E222" s="32" t="s">
        <v>267</v>
      </c>
      <c r="F222" s="32" t="s">
        <v>273</v>
      </c>
      <c r="G222" s="32" t="s">
        <v>273</v>
      </c>
      <c r="H222" s="32" t="s">
        <v>112</v>
      </c>
      <c r="I222" s="32" t="s">
        <v>113</v>
      </c>
      <c r="J222" s="32" t="s">
        <v>70</v>
      </c>
    </row>
    <row r="223" customFormat="false" ht="15" hidden="true" customHeight="false" outlineLevel="2" collapsed="false">
      <c r="A223" s="30" t="n">
        <v>46246</v>
      </c>
      <c r="B223" s="31" t="n">
        <v>40</v>
      </c>
      <c r="C223" s="32"/>
      <c r="D223" s="32"/>
      <c r="E223" s="32" t="s">
        <v>269</v>
      </c>
      <c r="F223" s="32" t="s">
        <v>274</v>
      </c>
      <c r="G223" s="32" t="s">
        <v>274</v>
      </c>
      <c r="H223" s="32" t="s">
        <v>112</v>
      </c>
      <c r="I223" s="32" t="s">
        <v>113</v>
      </c>
      <c r="J223" s="32" t="s">
        <v>70</v>
      </c>
    </row>
    <row r="224" customFormat="false" ht="15" hidden="false" customHeight="false" outlineLevel="0" collapsed="false">
      <c r="A224" s="22" t="s">
        <v>275</v>
      </c>
      <c r="B224" s="23" t="n">
        <f aca="false">B225</f>
        <v>319.09</v>
      </c>
      <c r="C224" s="24" t="n">
        <f aca="false">B224/$B$326</f>
        <v>0.00546203858363925</v>
      </c>
      <c r="D224" s="25" t="n">
        <v>1</v>
      </c>
      <c r="E224" s="26"/>
      <c r="F224" s="26"/>
      <c r="G224" s="26"/>
      <c r="H224" s="26"/>
      <c r="I224" s="26"/>
      <c r="J224" s="26"/>
    </row>
    <row r="225" customFormat="false" ht="15" hidden="false" customHeight="false" outlineLevel="1" collapsed="false">
      <c r="A225" s="27" t="s">
        <v>170</v>
      </c>
      <c r="B225" s="13" t="n">
        <f aca="false">B226</f>
        <v>319.09</v>
      </c>
      <c r="C225" s="28"/>
      <c r="D225" s="29" t="n">
        <v>1</v>
      </c>
      <c r="E225" s="28"/>
      <c r="F225" s="28"/>
      <c r="G225" s="28"/>
      <c r="H225" s="28"/>
      <c r="I225" s="28"/>
      <c r="J225" s="28"/>
    </row>
    <row r="226" customFormat="false" ht="15" hidden="true" customHeight="false" outlineLevel="2" collapsed="false">
      <c r="A226" s="30" t="n">
        <v>46239</v>
      </c>
      <c r="B226" s="31" t="n">
        <v>319.09</v>
      </c>
      <c r="C226" s="32"/>
      <c r="D226" s="32"/>
      <c r="E226" s="32" t="s">
        <v>276</v>
      </c>
      <c r="F226" s="32" t="s">
        <v>277</v>
      </c>
      <c r="G226" s="32" t="s">
        <v>277</v>
      </c>
      <c r="H226" s="32" t="s">
        <v>112</v>
      </c>
      <c r="I226" s="32" t="s">
        <v>113</v>
      </c>
      <c r="J226" s="32" t="s">
        <v>70</v>
      </c>
    </row>
    <row r="227" customFormat="false" ht="15" hidden="false" customHeight="false" outlineLevel="0" collapsed="false">
      <c r="A227" s="22" t="s">
        <v>278</v>
      </c>
      <c r="B227" s="23" t="n">
        <f aca="false">B228</f>
        <v>298.47</v>
      </c>
      <c r="C227" s="24" t="n">
        <f aca="false">B227/$B$326</f>
        <v>0.00510907473145134</v>
      </c>
      <c r="D227" s="25" t="n">
        <v>14</v>
      </c>
      <c r="E227" s="26"/>
      <c r="F227" s="26"/>
      <c r="G227" s="26"/>
      <c r="H227" s="26"/>
      <c r="I227" s="26"/>
      <c r="J227" s="26"/>
    </row>
    <row r="228" customFormat="false" ht="15" hidden="false" customHeight="false" outlineLevel="1" collapsed="false">
      <c r="A228" s="27" t="s">
        <v>88</v>
      </c>
      <c r="B228" s="13" t="n">
        <f aca="false">B229+B230+B231+B232+B233+B234+B235+B236+B237+B238+B239+B240+B241+B242</f>
        <v>298.47</v>
      </c>
      <c r="C228" s="28"/>
      <c r="D228" s="29" t="n">
        <v>14</v>
      </c>
      <c r="E228" s="28"/>
      <c r="F228" s="28"/>
      <c r="G228" s="28"/>
      <c r="H228" s="28"/>
      <c r="I228" s="28"/>
      <c r="J228" s="28"/>
    </row>
    <row r="229" customFormat="false" ht="15" hidden="true" customHeight="false" outlineLevel="2" collapsed="false">
      <c r="A229" s="30" t="n">
        <v>46224</v>
      </c>
      <c r="B229" s="31" t="n">
        <v>103.17</v>
      </c>
      <c r="C229" s="32"/>
      <c r="D229" s="32"/>
      <c r="E229" s="32" t="s">
        <v>279</v>
      </c>
      <c r="F229" s="32" t="s">
        <v>280</v>
      </c>
      <c r="G229" s="32" t="s">
        <v>280</v>
      </c>
      <c r="H229" s="32" t="s">
        <v>135</v>
      </c>
      <c r="I229" s="32" t="s">
        <v>136</v>
      </c>
      <c r="J229" s="32" t="s">
        <v>70</v>
      </c>
    </row>
    <row r="230" customFormat="false" ht="15" hidden="true" customHeight="false" outlineLevel="2" collapsed="false">
      <c r="A230" s="30" t="n">
        <v>46224</v>
      </c>
      <c r="B230" s="31" t="n">
        <v>7.26</v>
      </c>
      <c r="C230" s="32"/>
      <c r="D230" s="32"/>
      <c r="E230" s="32" t="s">
        <v>281</v>
      </c>
      <c r="F230" s="32" t="s">
        <v>280</v>
      </c>
      <c r="G230" s="32" t="s">
        <v>280</v>
      </c>
      <c r="H230" s="32" t="s">
        <v>135</v>
      </c>
      <c r="I230" s="32" t="s">
        <v>136</v>
      </c>
      <c r="J230" s="32" t="s">
        <v>70</v>
      </c>
    </row>
    <row r="231" customFormat="false" ht="15" hidden="true" customHeight="false" outlineLevel="2" collapsed="false">
      <c r="A231" s="30" t="n">
        <v>46224</v>
      </c>
      <c r="B231" s="31" t="n">
        <v>7.26</v>
      </c>
      <c r="C231" s="32"/>
      <c r="D231" s="32"/>
      <c r="E231" s="32" t="s">
        <v>281</v>
      </c>
      <c r="F231" s="32" t="s">
        <v>282</v>
      </c>
      <c r="G231" s="32" t="s">
        <v>282</v>
      </c>
      <c r="H231" s="32" t="s">
        <v>109</v>
      </c>
      <c r="I231" s="32" t="s">
        <v>69</v>
      </c>
      <c r="J231" s="32" t="s">
        <v>70</v>
      </c>
    </row>
    <row r="232" customFormat="false" ht="15" hidden="true" customHeight="false" outlineLevel="2" collapsed="false">
      <c r="A232" s="30" t="n">
        <v>46224</v>
      </c>
      <c r="B232" s="31" t="n">
        <v>39.99</v>
      </c>
      <c r="C232" s="32"/>
      <c r="D232" s="32"/>
      <c r="E232" s="32" t="s">
        <v>283</v>
      </c>
      <c r="F232" s="32" t="s">
        <v>282</v>
      </c>
      <c r="G232" s="32" t="s">
        <v>282</v>
      </c>
      <c r="H232" s="32" t="s">
        <v>109</v>
      </c>
      <c r="I232" s="32" t="s">
        <v>69</v>
      </c>
      <c r="J232" s="32" t="s">
        <v>70</v>
      </c>
    </row>
    <row r="233" customFormat="false" ht="15" hidden="true" customHeight="false" outlineLevel="2" collapsed="false">
      <c r="A233" s="30" t="n">
        <v>46224</v>
      </c>
      <c r="B233" s="31" t="n">
        <v>103.17</v>
      </c>
      <c r="C233" s="32"/>
      <c r="D233" s="32"/>
      <c r="E233" s="32" t="s">
        <v>279</v>
      </c>
      <c r="F233" s="32" t="s">
        <v>282</v>
      </c>
      <c r="G233" s="32" t="s">
        <v>282</v>
      </c>
      <c r="H233" s="32" t="s">
        <v>109</v>
      </c>
      <c r="I233" s="32" t="s">
        <v>69</v>
      </c>
      <c r="J233" s="32" t="s">
        <v>70</v>
      </c>
    </row>
    <row r="234" customFormat="false" ht="15" hidden="true" customHeight="false" outlineLevel="2" collapsed="false">
      <c r="A234" s="30" t="n">
        <v>46232</v>
      </c>
      <c r="B234" s="31" t="n">
        <v>87.26</v>
      </c>
      <c r="C234" s="32"/>
      <c r="D234" s="32"/>
      <c r="E234" s="32" t="s">
        <v>279</v>
      </c>
      <c r="F234" s="32" t="s">
        <v>284</v>
      </c>
      <c r="G234" s="32" t="s">
        <v>284</v>
      </c>
      <c r="H234" s="32" t="s">
        <v>109</v>
      </c>
      <c r="I234" s="32" t="s">
        <v>69</v>
      </c>
      <c r="J234" s="32" t="s">
        <v>70</v>
      </c>
    </row>
    <row r="235" customFormat="false" ht="15" hidden="true" customHeight="false" outlineLevel="2" collapsed="false">
      <c r="A235" s="30" t="n">
        <v>46232</v>
      </c>
      <c r="B235" s="31" t="n">
        <v>116.35</v>
      </c>
      <c r="C235" s="32"/>
      <c r="D235" s="32"/>
      <c r="E235" s="32" t="s">
        <v>285</v>
      </c>
      <c r="F235" s="32" t="s">
        <v>286</v>
      </c>
      <c r="G235" s="32" t="s">
        <v>286</v>
      </c>
      <c r="H235" s="32" t="s">
        <v>109</v>
      </c>
      <c r="I235" s="32" t="s">
        <v>69</v>
      </c>
      <c r="J235" s="32" t="s">
        <v>70</v>
      </c>
    </row>
    <row r="236" customFormat="false" ht="15" hidden="true" customHeight="false" outlineLevel="2" collapsed="false">
      <c r="A236" s="30" t="n">
        <v>46233</v>
      </c>
      <c r="B236" s="31" t="n">
        <v>-75.66</v>
      </c>
      <c r="C236" s="32"/>
      <c r="D236" s="32"/>
      <c r="E236" s="32" t="s">
        <v>279</v>
      </c>
      <c r="F236" s="32" t="s">
        <v>287</v>
      </c>
      <c r="G236" s="32" t="s">
        <v>287</v>
      </c>
      <c r="H236" s="32" t="s">
        <v>68</v>
      </c>
      <c r="I236" s="32" t="s">
        <v>69</v>
      </c>
      <c r="J236" s="32" t="s">
        <v>80</v>
      </c>
    </row>
    <row r="237" customFormat="false" ht="15" hidden="true" customHeight="false" outlineLevel="2" collapsed="false">
      <c r="A237" s="30" t="n">
        <v>46233</v>
      </c>
      <c r="B237" s="31" t="n">
        <v>-5.32</v>
      </c>
      <c r="C237" s="32"/>
      <c r="D237" s="32"/>
      <c r="E237" s="32" t="s">
        <v>281</v>
      </c>
      <c r="F237" s="32" t="s">
        <v>288</v>
      </c>
      <c r="G237" s="32" t="s">
        <v>288</v>
      </c>
      <c r="H237" s="32" t="s">
        <v>68</v>
      </c>
      <c r="I237" s="32" t="s">
        <v>69</v>
      </c>
      <c r="J237" s="32" t="s">
        <v>80</v>
      </c>
    </row>
    <row r="238" customFormat="false" ht="15" hidden="true" customHeight="false" outlineLevel="2" collapsed="false">
      <c r="A238" s="30" t="n">
        <v>46239</v>
      </c>
      <c r="B238" s="31" t="n">
        <v>-116.35</v>
      </c>
      <c r="C238" s="32"/>
      <c r="D238" s="32"/>
      <c r="E238" s="32" t="s">
        <v>285</v>
      </c>
      <c r="F238" s="32" t="s">
        <v>289</v>
      </c>
      <c r="G238" s="32" t="s">
        <v>289</v>
      </c>
      <c r="H238" s="32" t="s">
        <v>68</v>
      </c>
      <c r="I238" s="32" t="s">
        <v>69</v>
      </c>
      <c r="J238" s="32" t="s">
        <v>80</v>
      </c>
    </row>
    <row r="239" customFormat="false" ht="15" hidden="true" customHeight="false" outlineLevel="2" collapsed="false">
      <c r="A239" s="30" t="n">
        <v>46239</v>
      </c>
      <c r="B239" s="31" t="n">
        <v>-103.17</v>
      </c>
      <c r="C239" s="32"/>
      <c r="D239" s="32"/>
      <c r="E239" s="32" t="s">
        <v>279</v>
      </c>
      <c r="F239" s="32" t="s">
        <v>290</v>
      </c>
      <c r="G239" s="32" t="s">
        <v>290</v>
      </c>
      <c r="H239" s="32" t="s">
        <v>68</v>
      </c>
      <c r="I239" s="32" t="s">
        <v>69</v>
      </c>
      <c r="J239" s="32" t="s">
        <v>80</v>
      </c>
    </row>
    <row r="240" customFormat="false" ht="15" hidden="true" customHeight="false" outlineLevel="2" collapsed="false">
      <c r="A240" s="30" t="n">
        <v>46255</v>
      </c>
      <c r="B240" s="31" t="n">
        <v>39.99</v>
      </c>
      <c r="C240" s="32"/>
      <c r="D240" s="32"/>
      <c r="E240" s="32" t="s">
        <v>283</v>
      </c>
      <c r="F240" s="32" t="s">
        <v>291</v>
      </c>
      <c r="G240" s="32" t="s">
        <v>291</v>
      </c>
      <c r="H240" s="32" t="s">
        <v>109</v>
      </c>
      <c r="I240" s="32" t="s">
        <v>69</v>
      </c>
      <c r="J240" s="32" t="s">
        <v>70</v>
      </c>
    </row>
    <row r="241" customFormat="false" ht="15" hidden="true" customHeight="false" outlineLevel="2" collapsed="false">
      <c r="A241" s="30" t="n">
        <v>46255</v>
      </c>
      <c r="B241" s="31" t="n">
        <v>7.26</v>
      </c>
      <c r="C241" s="32"/>
      <c r="D241" s="32"/>
      <c r="E241" s="32" t="s">
        <v>281</v>
      </c>
      <c r="F241" s="32" t="s">
        <v>292</v>
      </c>
      <c r="G241" s="32" t="s">
        <v>292</v>
      </c>
      <c r="H241" s="32" t="s">
        <v>109</v>
      </c>
      <c r="I241" s="32" t="s">
        <v>69</v>
      </c>
      <c r="J241" s="32" t="s">
        <v>70</v>
      </c>
    </row>
    <row r="242" customFormat="false" ht="15" hidden="true" customHeight="false" outlineLevel="2" collapsed="false">
      <c r="A242" s="30" t="n">
        <v>46263</v>
      </c>
      <c r="B242" s="31" t="n">
        <v>87.26</v>
      </c>
      <c r="C242" s="32"/>
      <c r="D242" s="32"/>
      <c r="E242" s="32" t="s">
        <v>279</v>
      </c>
      <c r="F242" s="32" t="s">
        <v>293</v>
      </c>
      <c r="G242" s="32" t="s">
        <v>293</v>
      </c>
      <c r="H242" s="32" t="s">
        <v>109</v>
      </c>
      <c r="I242" s="32" t="s">
        <v>69</v>
      </c>
      <c r="J242" s="32" t="s">
        <v>70</v>
      </c>
    </row>
    <row r="243" customFormat="false" ht="15" hidden="false" customHeight="false" outlineLevel="0" collapsed="false">
      <c r="A243" s="22" t="s">
        <v>294</v>
      </c>
      <c r="B243" s="23" t="n">
        <f aca="false">B244</f>
        <v>294.54</v>
      </c>
      <c r="C243" s="24" t="n">
        <f aca="false">B243/$B$326</f>
        <v>0.00504180276544268</v>
      </c>
      <c r="D243" s="25" t="n">
        <v>1</v>
      </c>
      <c r="E243" s="26"/>
      <c r="F243" s="26"/>
      <c r="G243" s="26"/>
      <c r="H243" s="26"/>
      <c r="I243" s="26"/>
      <c r="J243" s="26"/>
    </row>
    <row r="244" customFormat="false" ht="15" hidden="false" customHeight="false" outlineLevel="1" collapsed="false">
      <c r="A244" s="27" t="s">
        <v>170</v>
      </c>
      <c r="B244" s="13" t="n">
        <f aca="false">B245</f>
        <v>294.54</v>
      </c>
      <c r="C244" s="28"/>
      <c r="D244" s="29" t="n">
        <v>1</v>
      </c>
      <c r="E244" s="28"/>
      <c r="F244" s="28"/>
      <c r="G244" s="28"/>
      <c r="H244" s="28"/>
      <c r="I244" s="28"/>
      <c r="J244" s="28"/>
    </row>
    <row r="245" customFormat="false" ht="15" hidden="true" customHeight="false" outlineLevel="2" collapsed="false">
      <c r="A245" s="30" t="n">
        <v>46241</v>
      </c>
      <c r="B245" s="31" t="n">
        <v>294.54</v>
      </c>
      <c r="C245" s="32"/>
      <c r="D245" s="32"/>
      <c r="E245" s="32" t="s">
        <v>295</v>
      </c>
      <c r="F245" s="32" t="s">
        <v>296</v>
      </c>
      <c r="G245" s="32" t="s">
        <v>296</v>
      </c>
      <c r="H245" s="32" t="s">
        <v>112</v>
      </c>
      <c r="I245" s="32" t="s">
        <v>113</v>
      </c>
      <c r="J245" s="32" t="s">
        <v>70</v>
      </c>
    </row>
    <row r="246" customFormat="false" ht="15" hidden="false" customHeight="false" outlineLevel="0" collapsed="false">
      <c r="A246" s="22" t="s">
        <v>297</v>
      </c>
      <c r="B246" s="23" t="n">
        <f aca="false">B247</f>
        <v>200</v>
      </c>
      <c r="C246" s="24" t="n">
        <f aca="false">B246/$B$326</f>
        <v>0.00342350972054232</v>
      </c>
      <c r="D246" s="25" t="n">
        <v>4</v>
      </c>
      <c r="E246" s="26"/>
      <c r="F246" s="26"/>
      <c r="G246" s="26"/>
      <c r="H246" s="26"/>
      <c r="I246" s="26"/>
      <c r="J246" s="26"/>
    </row>
    <row r="247" customFormat="false" ht="15" hidden="false" customHeight="false" outlineLevel="1" collapsed="false">
      <c r="A247" s="27" t="s">
        <v>88</v>
      </c>
      <c r="B247" s="13" t="n">
        <f aca="false">B248+B249+B250+B251</f>
        <v>200</v>
      </c>
      <c r="C247" s="28"/>
      <c r="D247" s="29" t="n">
        <v>4</v>
      </c>
      <c r="E247" s="28"/>
      <c r="F247" s="28"/>
      <c r="G247" s="28"/>
      <c r="H247" s="28"/>
      <c r="I247" s="28"/>
      <c r="J247" s="28"/>
    </row>
    <row r="248" customFormat="false" ht="15" hidden="true" customHeight="false" outlineLevel="2" collapsed="false">
      <c r="A248" s="30" t="n">
        <v>46207</v>
      </c>
      <c r="B248" s="31" t="n">
        <v>42</v>
      </c>
      <c r="C248" s="32"/>
      <c r="D248" s="32"/>
      <c r="E248" s="33" t="s">
        <v>298</v>
      </c>
      <c r="F248" s="32" t="s">
        <v>299</v>
      </c>
      <c r="G248" s="32" t="s">
        <v>299</v>
      </c>
      <c r="H248" s="32" t="s">
        <v>112</v>
      </c>
      <c r="I248" s="32" t="s">
        <v>113</v>
      </c>
      <c r="J248" s="32" t="s">
        <v>70</v>
      </c>
    </row>
    <row r="249" customFormat="false" ht="15" hidden="true" customHeight="false" outlineLevel="2" collapsed="false">
      <c r="A249" s="30" t="n">
        <v>46207</v>
      </c>
      <c r="B249" s="31" t="n">
        <v>58</v>
      </c>
      <c r="C249" s="32"/>
      <c r="D249" s="32"/>
      <c r="E249" s="33" t="s">
        <v>300</v>
      </c>
      <c r="F249" s="32" t="s">
        <v>299</v>
      </c>
      <c r="G249" s="32" t="s">
        <v>299</v>
      </c>
      <c r="H249" s="32" t="s">
        <v>112</v>
      </c>
      <c r="I249" s="32" t="s">
        <v>113</v>
      </c>
      <c r="J249" s="32" t="s">
        <v>70</v>
      </c>
    </row>
    <row r="250" customFormat="false" ht="15" hidden="true" customHeight="false" outlineLevel="2" collapsed="false">
      <c r="A250" s="30" t="n">
        <v>46238</v>
      </c>
      <c r="B250" s="31" t="n">
        <v>42</v>
      </c>
      <c r="C250" s="32"/>
      <c r="D250" s="32"/>
      <c r="E250" s="33" t="s">
        <v>301</v>
      </c>
      <c r="F250" s="32" t="s">
        <v>302</v>
      </c>
      <c r="G250" s="32" t="s">
        <v>302</v>
      </c>
      <c r="H250" s="32" t="s">
        <v>112</v>
      </c>
      <c r="I250" s="32" t="s">
        <v>113</v>
      </c>
      <c r="J250" s="32" t="s">
        <v>70</v>
      </c>
    </row>
    <row r="251" customFormat="false" ht="15" hidden="true" customHeight="false" outlineLevel="2" collapsed="false">
      <c r="A251" s="30" t="n">
        <v>46238</v>
      </c>
      <c r="B251" s="31" t="n">
        <v>58</v>
      </c>
      <c r="C251" s="32"/>
      <c r="D251" s="32"/>
      <c r="E251" s="33" t="s">
        <v>303</v>
      </c>
      <c r="F251" s="32" t="s">
        <v>302</v>
      </c>
      <c r="G251" s="32" t="s">
        <v>302</v>
      </c>
      <c r="H251" s="32" t="s">
        <v>112</v>
      </c>
      <c r="I251" s="32" t="s">
        <v>113</v>
      </c>
      <c r="J251" s="32" t="s">
        <v>70</v>
      </c>
    </row>
    <row r="252" customFormat="false" ht="15" hidden="false" customHeight="false" outlineLevel="0" collapsed="false">
      <c r="A252" s="22" t="s">
        <v>304</v>
      </c>
      <c r="B252" s="23" t="n">
        <f aca="false">B253</f>
        <v>194.54</v>
      </c>
      <c r="C252" s="24" t="n">
        <f aca="false">B252/$B$326</f>
        <v>0.00333004790517152</v>
      </c>
      <c r="D252" s="25" t="n">
        <v>2</v>
      </c>
      <c r="E252" s="26"/>
      <c r="F252" s="26"/>
      <c r="G252" s="26"/>
      <c r="H252" s="26"/>
      <c r="I252" s="26"/>
      <c r="J252" s="26"/>
    </row>
    <row r="253" customFormat="false" ht="15" hidden="false" customHeight="false" outlineLevel="1" collapsed="false">
      <c r="A253" s="27" t="s">
        <v>88</v>
      </c>
      <c r="B253" s="13" t="n">
        <f aca="false">B254+B255</f>
        <v>194.54</v>
      </c>
      <c r="C253" s="28"/>
      <c r="D253" s="29" t="n">
        <v>2</v>
      </c>
      <c r="E253" s="28"/>
      <c r="F253" s="28"/>
      <c r="G253" s="28"/>
      <c r="H253" s="28"/>
      <c r="I253" s="28"/>
      <c r="J253" s="28"/>
    </row>
    <row r="254" customFormat="false" ht="15" hidden="true" customHeight="false" outlineLevel="2" collapsed="false">
      <c r="A254" s="30" t="n">
        <v>46227</v>
      </c>
      <c r="B254" s="31" t="n">
        <v>97.27</v>
      </c>
      <c r="C254" s="32"/>
      <c r="D254" s="32"/>
      <c r="E254" s="33" t="s">
        <v>305</v>
      </c>
      <c r="F254" s="32" t="s">
        <v>306</v>
      </c>
      <c r="G254" s="32" t="s">
        <v>306</v>
      </c>
      <c r="H254" s="32" t="s">
        <v>68</v>
      </c>
      <c r="I254" s="32" t="s">
        <v>69</v>
      </c>
      <c r="J254" s="32" t="s">
        <v>70</v>
      </c>
    </row>
    <row r="255" customFormat="false" ht="15" hidden="true" customHeight="false" outlineLevel="2" collapsed="false">
      <c r="A255" s="30" t="n">
        <v>46258</v>
      </c>
      <c r="B255" s="31" t="n">
        <v>97.27</v>
      </c>
      <c r="C255" s="32"/>
      <c r="D255" s="32"/>
      <c r="E255" s="33" t="s">
        <v>307</v>
      </c>
      <c r="F255" s="32" t="s">
        <v>308</v>
      </c>
      <c r="G255" s="32" t="s">
        <v>308</v>
      </c>
      <c r="H255" s="32" t="s">
        <v>68</v>
      </c>
      <c r="I255" s="32" t="s">
        <v>69</v>
      </c>
      <c r="J255" s="32" t="s">
        <v>70</v>
      </c>
    </row>
    <row r="256" customFormat="false" ht="15" hidden="false" customHeight="false" outlineLevel="0" collapsed="false">
      <c r="A256" s="22" t="s">
        <v>309</v>
      </c>
      <c r="B256" s="23" t="n">
        <f aca="false">B257</f>
        <v>180</v>
      </c>
      <c r="C256" s="24" t="n">
        <f aca="false">B256/$B$326</f>
        <v>0.00308115874848809</v>
      </c>
      <c r="D256" s="25" t="n">
        <v>2</v>
      </c>
      <c r="E256" s="26"/>
      <c r="F256" s="26"/>
      <c r="G256" s="26"/>
      <c r="H256" s="26"/>
      <c r="I256" s="26"/>
      <c r="J256" s="26"/>
    </row>
    <row r="257" customFormat="false" ht="15" hidden="false" customHeight="false" outlineLevel="1" collapsed="false">
      <c r="A257" s="27" t="s">
        <v>88</v>
      </c>
      <c r="B257" s="13" t="n">
        <f aca="false">B258+B259</f>
        <v>180</v>
      </c>
      <c r="C257" s="28"/>
      <c r="D257" s="29" t="n">
        <v>2</v>
      </c>
      <c r="E257" s="28"/>
      <c r="F257" s="28"/>
      <c r="G257" s="28"/>
      <c r="H257" s="28"/>
      <c r="I257" s="28"/>
      <c r="J257" s="28"/>
    </row>
    <row r="258" customFormat="false" ht="15" hidden="true" customHeight="false" outlineLevel="2" collapsed="false">
      <c r="A258" s="30" t="n">
        <v>46233</v>
      </c>
      <c r="B258" s="31" t="n">
        <v>90</v>
      </c>
      <c r="C258" s="32"/>
      <c r="D258" s="32"/>
      <c r="E258" s="33" t="s">
        <v>310</v>
      </c>
      <c r="F258" s="32" t="s">
        <v>311</v>
      </c>
      <c r="G258" s="32" t="s">
        <v>311</v>
      </c>
      <c r="H258" s="32" t="s">
        <v>121</v>
      </c>
      <c r="I258" s="32" t="s">
        <v>122</v>
      </c>
      <c r="J258" s="32" t="s">
        <v>70</v>
      </c>
    </row>
    <row r="259" customFormat="false" ht="15" hidden="true" customHeight="false" outlineLevel="2" collapsed="false">
      <c r="A259" s="30" t="n">
        <v>46261</v>
      </c>
      <c r="B259" s="31" t="n">
        <v>90</v>
      </c>
      <c r="C259" s="32"/>
      <c r="D259" s="32"/>
      <c r="E259" s="33" t="s">
        <v>312</v>
      </c>
      <c r="F259" s="32" t="s">
        <v>313</v>
      </c>
      <c r="G259" s="32" t="s">
        <v>313</v>
      </c>
      <c r="H259" s="32" t="s">
        <v>121</v>
      </c>
      <c r="I259" s="32" t="s">
        <v>122</v>
      </c>
      <c r="J259" s="32" t="s">
        <v>70</v>
      </c>
    </row>
    <row r="260" customFormat="false" ht="15" hidden="false" customHeight="false" outlineLevel="0" collapsed="false">
      <c r="A260" s="22" t="s">
        <v>314</v>
      </c>
      <c r="B260" s="23" t="n">
        <f aca="false">B261</f>
        <v>161.82</v>
      </c>
      <c r="C260" s="24" t="n">
        <f aca="false">B260/$B$326</f>
        <v>0.00276996171489079</v>
      </c>
      <c r="D260" s="25" t="n">
        <v>1</v>
      </c>
      <c r="E260" s="26"/>
      <c r="F260" s="26"/>
      <c r="G260" s="26"/>
      <c r="H260" s="26"/>
      <c r="I260" s="26"/>
      <c r="J260" s="26"/>
    </row>
    <row r="261" customFormat="false" ht="15" hidden="false" customHeight="false" outlineLevel="1" collapsed="false">
      <c r="A261" s="27" t="s">
        <v>170</v>
      </c>
      <c r="B261" s="13" t="n">
        <f aca="false">B262</f>
        <v>161.82</v>
      </c>
      <c r="C261" s="28"/>
      <c r="D261" s="29" t="n">
        <v>1</v>
      </c>
      <c r="E261" s="28"/>
      <c r="F261" s="28"/>
      <c r="G261" s="28"/>
      <c r="H261" s="28"/>
      <c r="I261" s="28"/>
      <c r="J261" s="28"/>
    </row>
    <row r="262" customFormat="false" ht="15" hidden="true" customHeight="false" outlineLevel="2" collapsed="false">
      <c r="A262" s="30" t="n">
        <v>46239</v>
      </c>
      <c r="B262" s="31" t="n">
        <v>161.82</v>
      </c>
      <c r="C262" s="32"/>
      <c r="D262" s="32"/>
      <c r="E262" s="33" t="s">
        <v>315</v>
      </c>
      <c r="F262" s="32" t="s">
        <v>316</v>
      </c>
      <c r="G262" s="32" t="s">
        <v>316</v>
      </c>
      <c r="H262" s="32" t="s">
        <v>112</v>
      </c>
      <c r="I262" s="32" t="s">
        <v>113</v>
      </c>
      <c r="J262" s="32" t="s">
        <v>70</v>
      </c>
    </row>
    <row r="263" customFormat="false" ht="15" hidden="false" customHeight="false" outlineLevel="0" collapsed="false">
      <c r="A263" s="22" t="s">
        <v>317</v>
      </c>
      <c r="B263" s="23" t="n">
        <f aca="false">B264</f>
        <v>130.35</v>
      </c>
      <c r="C263" s="24" t="n">
        <f aca="false">B263/$B$326</f>
        <v>0.00223127246036346</v>
      </c>
      <c r="D263" s="25" t="n">
        <v>1</v>
      </c>
      <c r="E263" s="26"/>
      <c r="F263" s="26"/>
      <c r="G263" s="26"/>
      <c r="H263" s="26"/>
      <c r="I263" s="26"/>
      <c r="J263" s="26"/>
    </row>
    <row r="264" customFormat="false" ht="15" hidden="false" customHeight="false" outlineLevel="1" collapsed="false">
      <c r="A264" s="27" t="s">
        <v>170</v>
      </c>
      <c r="B264" s="13" t="n">
        <f aca="false">B265</f>
        <v>130.35</v>
      </c>
      <c r="C264" s="28"/>
      <c r="D264" s="29" t="n">
        <v>1</v>
      </c>
      <c r="E264" s="28"/>
      <c r="F264" s="28"/>
      <c r="G264" s="28"/>
      <c r="H264" s="28"/>
      <c r="I264" s="28"/>
      <c r="J264" s="28"/>
    </row>
    <row r="265" customFormat="false" ht="15" hidden="true" customHeight="false" outlineLevel="2" collapsed="false">
      <c r="A265" s="30" t="n">
        <v>46239</v>
      </c>
      <c r="B265" s="31" t="n">
        <v>130.35</v>
      </c>
      <c r="C265" s="32"/>
      <c r="D265" s="32"/>
      <c r="E265" s="32" t="s">
        <v>318</v>
      </c>
      <c r="F265" s="32" t="s">
        <v>319</v>
      </c>
      <c r="G265" s="32" t="s">
        <v>319</v>
      </c>
      <c r="H265" s="32" t="s">
        <v>112</v>
      </c>
      <c r="I265" s="32" t="s">
        <v>113</v>
      </c>
      <c r="J265" s="32" t="s">
        <v>70</v>
      </c>
    </row>
    <row r="266" customFormat="false" ht="15" hidden="false" customHeight="false" outlineLevel="0" collapsed="false">
      <c r="A266" s="22" t="s">
        <v>320</v>
      </c>
      <c r="B266" s="23" t="n">
        <f aca="false">B267</f>
        <v>121.52</v>
      </c>
      <c r="C266" s="24" t="n">
        <f aca="false">B266/$B$326</f>
        <v>0.00208012450620152</v>
      </c>
      <c r="D266" s="25" t="n">
        <v>14</v>
      </c>
      <c r="E266" s="26"/>
      <c r="F266" s="26"/>
      <c r="G266" s="26"/>
      <c r="H266" s="26"/>
      <c r="I266" s="26"/>
      <c r="J266" s="26"/>
    </row>
    <row r="267" customFormat="false" ht="15" hidden="false" customHeight="false" outlineLevel="1" collapsed="false">
      <c r="A267" s="27" t="s">
        <v>88</v>
      </c>
      <c r="B267" s="13" t="n">
        <f aca="false">B268+B269+B270+B271+B272+B273+B274+B275+B276+B277+B278+B279+B280+B281</f>
        <v>121.52</v>
      </c>
      <c r="C267" s="28"/>
      <c r="D267" s="29" t="n">
        <v>14</v>
      </c>
      <c r="E267" s="28"/>
      <c r="F267" s="28"/>
      <c r="G267" s="28"/>
      <c r="H267" s="28"/>
      <c r="I267" s="28"/>
      <c r="J267" s="28"/>
    </row>
    <row r="268" customFormat="false" ht="15" hidden="true" customHeight="false" outlineLevel="2" collapsed="false">
      <c r="A268" s="30" t="n">
        <v>46232</v>
      </c>
      <c r="B268" s="31" t="n">
        <v>8.68</v>
      </c>
      <c r="C268" s="32"/>
      <c r="D268" s="32"/>
      <c r="E268" s="33" t="s">
        <v>321</v>
      </c>
      <c r="F268" s="32" t="s">
        <v>322</v>
      </c>
      <c r="G268" s="32" t="s">
        <v>322</v>
      </c>
      <c r="H268" s="32" t="s">
        <v>109</v>
      </c>
      <c r="I268" s="32" t="s">
        <v>69</v>
      </c>
      <c r="J268" s="32" t="s">
        <v>70</v>
      </c>
    </row>
    <row r="269" customFormat="false" ht="15" hidden="true" customHeight="false" outlineLevel="2" collapsed="false">
      <c r="A269" s="30" t="n">
        <v>46232</v>
      </c>
      <c r="B269" s="31" t="n">
        <v>8.68</v>
      </c>
      <c r="C269" s="32"/>
      <c r="D269" s="32"/>
      <c r="E269" s="33" t="s">
        <v>323</v>
      </c>
      <c r="F269" s="32" t="s">
        <v>322</v>
      </c>
      <c r="G269" s="32" t="s">
        <v>322</v>
      </c>
      <c r="H269" s="32" t="s">
        <v>109</v>
      </c>
      <c r="I269" s="32" t="s">
        <v>69</v>
      </c>
      <c r="J269" s="32" t="s">
        <v>70</v>
      </c>
    </row>
    <row r="270" customFormat="false" ht="15" hidden="true" customHeight="false" outlineLevel="2" collapsed="false">
      <c r="A270" s="30" t="n">
        <v>46232</v>
      </c>
      <c r="B270" s="31" t="n">
        <v>8.68</v>
      </c>
      <c r="C270" s="32"/>
      <c r="D270" s="32"/>
      <c r="E270" s="33" t="s">
        <v>324</v>
      </c>
      <c r="F270" s="32" t="s">
        <v>322</v>
      </c>
      <c r="G270" s="32" t="s">
        <v>322</v>
      </c>
      <c r="H270" s="32" t="s">
        <v>109</v>
      </c>
      <c r="I270" s="32" t="s">
        <v>69</v>
      </c>
      <c r="J270" s="32" t="s">
        <v>70</v>
      </c>
    </row>
    <row r="271" customFormat="false" ht="15" hidden="true" customHeight="false" outlineLevel="2" collapsed="false">
      <c r="A271" s="30" t="n">
        <v>46232</v>
      </c>
      <c r="B271" s="31" t="n">
        <v>8.68</v>
      </c>
      <c r="C271" s="32"/>
      <c r="D271" s="32"/>
      <c r="E271" s="33" t="s">
        <v>325</v>
      </c>
      <c r="F271" s="32" t="s">
        <v>322</v>
      </c>
      <c r="G271" s="32" t="s">
        <v>322</v>
      </c>
      <c r="H271" s="32" t="s">
        <v>109</v>
      </c>
      <c r="I271" s="32" t="s">
        <v>69</v>
      </c>
      <c r="J271" s="32" t="s">
        <v>70</v>
      </c>
    </row>
    <row r="272" customFormat="false" ht="15" hidden="true" customHeight="false" outlineLevel="2" collapsed="false">
      <c r="A272" s="30" t="n">
        <v>46232</v>
      </c>
      <c r="B272" s="31" t="n">
        <v>8.68</v>
      </c>
      <c r="C272" s="32"/>
      <c r="D272" s="32"/>
      <c r="E272" s="33" t="s">
        <v>326</v>
      </c>
      <c r="F272" s="32" t="s">
        <v>322</v>
      </c>
      <c r="G272" s="32" t="s">
        <v>322</v>
      </c>
      <c r="H272" s="32" t="s">
        <v>109</v>
      </c>
      <c r="I272" s="32" t="s">
        <v>69</v>
      </c>
      <c r="J272" s="32" t="s">
        <v>70</v>
      </c>
    </row>
    <row r="273" customFormat="false" ht="15" hidden="true" customHeight="false" outlineLevel="2" collapsed="false">
      <c r="A273" s="30" t="n">
        <v>46232</v>
      </c>
      <c r="B273" s="31" t="n">
        <v>8.68</v>
      </c>
      <c r="C273" s="32"/>
      <c r="D273" s="32"/>
      <c r="E273" s="33" t="s">
        <v>327</v>
      </c>
      <c r="F273" s="32" t="s">
        <v>322</v>
      </c>
      <c r="G273" s="32" t="s">
        <v>322</v>
      </c>
      <c r="H273" s="32" t="s">
        <v>109</v>
      </c>
      <c r="I273" s="32" t="s">
        <v>69</v>
      </c>
      <c r="J273" s="32" t="s">
        <v>70</v>
      </c>
    </row>
    <row r="274" customFormat="false" ht="15" hidden="true" customHeight="false" outlineLevel="2" collapsed="false">
      <c r="A274" s="30" t="n">
        <v>46232</v>
      </c>
      <c r="B274" s="31" t="n">
        <v>8.68</v>
      </c>
      <c r="C274" s="32"/>
      <c r="D274" s="32"/>
      <c r="E274" s="33" t="s">
        <v>328</v>
      </c>
      <c r="F274" s="32" t="s">
        <v>322</v>
      </c>
      <c r="G274" s="32" t="s">
        <v>322</v>
      </c>
      <c r="H274" s="32" t="s">
        <v>109</v>
      </c>
      <c r="I274" s="32" t="s">
        <v>69</v>
      </c>
      <c r="J274" s="32" t="s">
        <v>70</v>
      </c>
    </row>
    <row r="275" customFormat="false" ht="15" hidden="true" customHeight="false" outlineLevel="2" collapsed="false">
      <c r="A275" s="30" t="n">
        <v>46232</v>
      </c>
      <c r="B275" s="31" t="n">
        <v>8.68</v>
      </c>
      <c r="C275" s="32"/>
      <c r="D275" s="32"/>
      <c r="E275" s="33" t="s">
        <v>329</v>
      </c>
      <c r="F275" s="32" t="s">
        <v>322</v>
      </c>
      <c r="G275" s="32" t="s">
        <v>322</v>
      </c>
      <c r="H275" s="32" t="s">
        <v>109</v>
      </c>
      <c r="I275" s="32" t="s">
        <v>69</v>
      </c>
      <c r="J275" s="32" t="s">
        <v>70</v>
      </c>
    </row>
    <row r="276" customFormat="false" ht="15" hidden="true" customHeight="false" outlineLevel="2" collapsed="false">
      <c r="A276" s="30" t="n">
        <v>46232</v>
      </c>
      <c r="B276" s="31" t="n">
        <v>8.68</v>
      </c>
      <c r="C276" s="32"/>
      <c r="D276" s="32"/>
      <c r="E276" s="33" t="s">
        <v>330</v>
      </c>
      <c r="F276" s="32" t="s">
        <v>322</v>
      </c>
      <c r="G276" s="32" t="s">
        <v>322</v>
      </c>
      <c r="H276" s="32" t="s">
        <v>109</v>
      </c>
      <c r="I276" s="32" t="s">
        <v>69</v>
      </c>
      <c r="J276" s="32" t="s">
        <v>70</v>
      </c>
    </row>
    <row r="277" customFormat="false" ht="15" hidden="true" customHeight="false" outlineLevel="2" collapsed="false">
      <c r="A277" s="30" t="n">
        <v>46232</v>
      </c>
      <c r="B277" s="31" t="n">
        <v>8.68</v>
      </c>
      <c r="C277" s="32"/>
      <c r="D277" s="32"/>
      <c r="E277" s="33" t="s">
        <v>331</v>
      </c>
      <c r="F277" s="32" t="s">
        <v>322</v>
      </c>
      <c r="G277" s="32" t="s">
        <v>322</v>
      </c>
      <c r="H277" s="32" t="s">
        <v>109</v>
      </c>
      <c r="I277" s="32" t="s">
        <v>69</v>
      </c>
      <c r="J277" s="32" t="s">
        <v>70</v>
      </c>
    </row>
    <row r="278" customFormat="false" ht="15" hidden="true" customHeight="false" outlineLevel="2" collapsed="false">
      <c r="A278" s="30" t="n">
        <v>46232</v>
      </c>
      <c r="B278" s="31" t="n">
        <v>8.68</v>
      </c>
      <c r="C278" s="32"/>
      <c r="D278" s="32"/>
      <c r="E278" s="33" t="s">
        <v>332</v>
      </c>
      <c r="F278" s="32" t="s">
        <v>322</v>
      </c>
      <c r="G278" s="32" t="s">
        <v>322</v>
      </c>
      <c r="H278" s="32" t="s">
        <v>109</v>
      </c>
      <c r="I278" s="32" t="s">
        <v>69</v>
      </c>
      <c r="J278" s="32" t="s">
        <v>70</v>
      </c>
    </row>
    <row r="279" customFormat="false" ht="15" hidden="true" customHeight="false" outlineLevel="2" collapsed="false">
      <c r="A279" s="30" t="n">
        <v>46232</v>
      </c>
      <c r="B279" s="31" t="n">
        <v>8.68</v>
      </c>
      <c r="C279" s="32"/>
      <c r="D279" s="32"/>
      <c r="E279" s="33" t="s">
        <v>333</v>
      </c>
      <c r="F279" s="32" t="s">
        <v>322</v>
      </c>
      <c r="G279" s="32" t="s">
        <v>322</v>
      </c>
      <c r="H279" s="32" t="s">
        <v>109</v>
      </c>
      <c r="I279" s="32" t="s">
        <v>69</v>
      </c>
      <c r="J279" s="32" t="s">
        <v>70</v>
      </c>
    </row>
    <row r="280" customFormat="false" ht="15" hidden="true" customHeight="false" outlineLevel="2" collapsed="false">
      <c r="A280" s="30" t="n">
        <v>46232</v>
      </c>
      <c r="B280" s="31" t="n">
        <v>8.68</v>
      </c>
      <c r="C280" s="32"/>
      <c r="D280" s="32"/>
      <c r="E280" s="33" t="s">
        <v>334</v>
      </c>
      <c r="F280" s="32" t="s">
        <v>322</v>
      </c>
      <c r="G280" s="32" t="s">
        <v>322</v>
      </c>
      <c r="H280" s="32" t="s">
        <v>109</v>
      </c>
      <c r="I280" s="32" t="s">
        <v>69</v>
      </c>
      <c r="J280" s="32" t="s">
        <v>70</v>
      </c>
    </row>
    <row r="281" customFormat="false" ht="15" hidden="true" customHeight="false" outlineLevel="2" collapsed="false">
      <c r="A281" s="30" t="n">
        <v>46232</v>
      </c>
      <c r="B281" s="31" t="n">
        <v>8.68</v>
      </c>
      <c r="C281" s="32"/>
      <c r="D281" s="32"/>
      <c r="E281" s="33" t="s">
        <v>335</v>
      </c>
      <c r="F281" s="32" t="s">
        <v>322</v>
      </c>
      <c r="G281" s="32" t="s">
        <v>322</v>
      </c>
      <c r="H281" s="32" t="s">
        <v>109</v>
      </c>
      <c r="I281" s="32" t="s">
        <v>69</v>
      </c>
      <c r="J281" s="32" t="s">
        <v>70</v>
      </c>
    </row>
    <row r="282" customFormat="false" ht="15" hidden="false" customHeight="false" outlineLevel="0" collapsed="false">
      <c r="A282" s="22" t="s">
        <v>336</v>
      </c>
      <c r="B282" s="23" t="n">
        <f aca="false">B283</f>
        <v>120.6</v>
      </c>
      <c r="C282" s="24" t="n">
        <f aca="false">B282/$B$326</f>
        <v>0.00206437636148702</v>
      </c>
      <c r="D282" s="25" t="n">
        <v>1</v>
      </c>
      <c r="E282" s="26"/>
      <c r="F282" s="26"/>
      <c r="G282" s="26"/>
      <c r="H282" s="26"/>
      <c r="I282" s="26"/>
      <c r="J282" s="26"/>
    </row>
    <row r="283" customFormat="false" ht="15" hidden="false" customHeight="false" outlineLevel="1" collapsed="false">
      <c r="A283" s="27" t="s">
        <v>170</v>
      </c>
      <c r="B283" s="13" t="n">
        <f aca="false">B284</f>
        <v>120.6</v>
      </c>
      <c r="C283" s="28"/>
      <c r="D283" s="29" t="n">
        <v>1</v>
      </c>
      <c r="E283" s="28"/>
      <c r="F283" s="28"/>
      <c r="G283" s="28"/>
      <c r="H283" s="28"/>
      <c r="I283" s="28"/>
      <c r="J283" s="28"/>
    </row>
    <row r="284" customFormat="false" ht="15" hidden="true" customHeight="false" outlineLevel="2" collapsed="false">
      <c r="A284" s="30" t="n">
        <v>46239</v>
      </c>
      <c r="B284" s="31" t="n">
        <v>120.6</v>
      </c>
      <c r="C284" s="32"/>
      <c r="D284" s="32"/>
      <c r="E284" s="33" t="s">
        <v>337</v>
      </c>
      <c r="F284" s="32" t="s">
        <v>338</v>
      </c>
      <c r="G284" s="32" t="s">
        <v>338</v>
      </c>
      <c r="H284" s="32" t="s">
        <v>112</v>
      </c>
      <c r="I284" s="32" t="s">
        <v>113</v>
      </c>
      <c r="J284" s="32" t="s">
        <v>70</v>
      </c>
    </row>
    <row r="285" customFormat="false" ht="15" hidden="false" customHeight="false" outlineLevel="0" collapsed="false">
      <c r="A285" s="22" t="s">
        <v>339</v>
      </c>
      <c r="B285" s="23" t="n">
        <f aca="false">B286</f>
        <v>113.64</v>
      </c>
      <c r="C285" s="24" t="n">
        <f aca="false">B285/$B$326</f>
        <v>0.00194523822321215</v>
      </c>
      <c r="D285" s="25" t="n">
        <v>1</v>
      </c>
      <c r="E285" s="26"/>
      <c r="F285" s="26"/>
      <c r="G285" s="26"/>
      <c r="H285" s="26"/>
      <c r="I285" s="26"/>
      <c r="J285" s="26"/>
    </row>
    <row r="286" customFormat="false" ht="15" hidden="false" customHeight="false" outlineLevel="1" collapsed="false">
      <c r="A286" s="27" t="s">
        <v>170</v>
      </c>
      <c r="B286" s="13" t="n">
        <f aca="false">B287</f>
        <v>113.64</v>
      </c>
      <c r="C286" s="28"/>
      <c r="D286" s="29" t="n">
        <v>1</v>
      </c>
      <c r="E286" s="28"/>
      <c r="F286" s="28"/>
      <c r="G286" s="28"/>
      <c r="H286" s="28"/>
      <c r="I286" s="28"/>
      <c r="J286" s="28"/>
    </row>
    <row r="287" customFormat="false" ht="15" hidden="true" customHeight="false" outlineLevel="2" collapsed="false">
      <c r="A287" s="30" t="n">
        <v>46238</v>
      </c>
      <c r="B287" s="31" t="n">
        <v>113.64</v>
      </c>
      <c r="C287" s="32"/>
      <c r="D287" s="32"/>
      <c r="E287" s="33" t="s">
        <v>340</v>
      </c>
      <c r="F287" s="32" t="s">
        <v>341</v>
      </c>
      <c r="G287" s="32" t="s">
        <v>341</v>
      </c>
      <c r="H287" s="32" t="s">
        <v>112</v>
      </c>
      <c r="I287" s="32" t="s">
        <v>113</v>
      </c>
      <c r="J287" s="32" t="s">
        <v>70</v>
      </c>
    </row>
    <row r="288" customFormat="false" ht="15" hidden="false" customHeight="false" outlineLevel="0" collapsed="false">
      <c r="A288" s="22" t="s">
        <v>342</v>
      </c>
      <c r="B288" s="23" t="n">
        <f aca="false">B289</f>
        <v>108.18</v>
      </c>
      <c r="C288" s="24" t="n">
        <f aca="false">B288/$B$326</f>
        <v>0.00185177640784134</v>
      </c>
      <c r="D288" s="25" t="n">
        <v>1</v>
      </c>
      <c r="E288" s="26"/>
      <c r="F288" s="26"/>
      <c r="G288" s="26"/>
      <c r="H288" s="26"/>
      <c r="I288" s="26"/>
      <c r="J288" s="26"/>
    </row>
    <row r="289" customFormat="false" ht="15" hidden="false" customHeight="false" outlineLevel="1" collapsed="false">
      <c r="A289" s="27" t="s">
        <v>170</v>
      </c>
      <c r="B289" s="13" t="n">
        <f aca="false">B290</f>
        <v>108.18</v>
      </c>
      <c r="C289" s="28"/>
      <c r="D289" s="29" t="n">
        <v>1</v>
      </c>
      <c r="E289" s="28"/>
      <c r="F289" s="28"/>
      <c r="G289" s="28"/>
      <c r="H289" s="28"/>
      <c r="I289" s="28"/>
      <c r="J289" s="28"/>
    </row>
    <row r="290" customFormat="false" ht="15" hidden="true" customHeight="false" outlineLevel="2" collapsed="false">
      <c r="A290" s="30" t="n">
        <v>46239</v>
      </c>
      <c r="B290" s="31" t="n">
        <v>108.18</v>
      </c>
      <c r="C290" s="32"/>
      <c r="D290" s="32"/>
      <c r="E290" s="33" t="s">
        <v>343</v>
      </c>
      <c r="F290" s="32" t="s">
        <v>344</v>
      </c>
      <c r="G290" s="32" t="s">
        <v>344</v>
      </c>
      <c r="H290" s="32" t="s">
        <v>112</v>
      </c>
      <c r="I290" s="32" t="s">
        <v>113</v>
      </c>
      <c r="J290" s="32" t="s">
        <v>70</v>
      </c>
    </row>
    <row r="291" customFormat="false" ht="15" hidden="false" customHeight="false" outlineLevel="0" collapsed="false">
      <c r="A291" s="22" t="s">
        <v>345</v>
      </c>
      <c r="B291" s="23" t="n">
        <f aca="false">B292</f>
        <v>100.02</v>
      </c>
      <c r="C291" s="24" t="n">
        <f aca="false">B291/$B$326</f>
        <v>0.00171209721124322</v>
      </c>
      <c r="D291" s="25" t="n">
        <v>2</v>
      </c>
      <c r="E291" s="26"/>
      <c r="F291" s="26"/>
      <c r="G291" s="26"/>
      <c r="H291" s="26"/>
      <c r="I291" s="26"/>
      <c r="J291" s="26"/>
    </row>
    <row r="292" customFormat="false" ht="15" hidden="false" customHeight="false" outlineLevel="1" collapsed="false">
      <c r="A292" s="27" t="s">
        <v>170</v>
      </c>
      <c r="B292" s="13" t="n">
        <f aca="false">B293+B294</f>
        <v>100.02</v>
      </c>
      <c r="C292" s="28"/>
      <c r="D292" s="29" t="n">
        <v>2</v>
      </c>
      <c r="E292" s="28"/>
      <c r="F292" s="28"/>
      <c r="G292" s="28"/>
      <c r="H292" s="28"/>
      <c r="I292" s="28"/>
      <c r="J292" s="28"/>
    </row>
    <row r="293" customFormat="false" ht="15" hidden="true" customHeight="false" outlineLevel="2" collapsed="false">
      <c r="A293" s="30" t="n">
        <v>46238</v>
      </c>
      <c r="B293" s="31" t="n">
        <v>34.58</v>
      </c>
      <c r="C293" s="32"/>
      <c r="D293" s="32"/>
      <c r="E293" s="32" t="s">
        <v>346</v>
      </c>
      <c r="F293" s="32" t="s">
        <v>347</v>
      </c>
      <c r="G293" s="32" t="s">
        <v>347</v>
      </c>
      <c r="H293" s="32" t="s">
        <v>112</v>
      </c>
      <c r="I293" s="32" t="s">
        <v>113</v>
      </c>
      <c r="J293" s="32" t="s">
        <v>70</v>
      </c>
    </row>
    <row r="294" customFormat="false" ht="15" hidden="true" customHeight="false" outlineLevel="2" collapsed="false">
      <c r="A294" s="30" t="n">
        <v>46253</v>
      </c>
      <c r="B294" s="31" t="n">
        <v>65.44</v>
      </c>
      <c r="C294" s="32"/>
      <c r="D294" s="32"/>
      <c r="E294" s="32" t="s">
        <v>348</v>
      </c>
      <c r="F294" s="32" t="s">
        <v>349</v>
      </c>
      <c r="G294" s="32" t="s">
        <v>349</v>
      </c>
      <c r="H294" s="32" t="s">
        <v>112</v>
      </c>
      <c r="I294" s="32" t="s">
        <v>113</v>
      </c>
      <c r="J294" s="32" t="s">
        <v>70</v>
      </c>
    </row>
    <row r="295" customFormat="false" ht="15" hidden="false" customHeight="false" outlineLevel="0" collapsed="false">
      <c r="A295" s="22" t="s">
        <v>350</v>
      </c>
      <c r="B295" s="23" t="n">
        <f aca="false">B296</f>
        <v>76.36</v>
      </c>
      <c r="C295" s="24" t="n">
        <f aca="false">B295/$B$326</f>
        <v>0.00130709601130306</v>
      </c>
      <c r="D295" s="25" t="n">
        <v>1</v>
      </c>
      <c r="E295" s="26"/>
      <c r="F295" s="26"/>
      <c r="G295" s="26"/>
      <c r="H295" s="26"/>
      <c r="I295" s="26"/>
      <c r="J295" s="26"/>
    </row>
    <row r="296" customFormat="false" ht="15" hidden="false" customHeight="false" outlineLevel="1" collapsed="false">
      <c r="A296" s="27" t="s">
        <v>170</v>
      </c>
      <c r="B296" s="13" t="n">
        <f aca="false">B297</f>
        <v>76.36</v>
      </c>
      <c r="C296" s="28"/>
      <c r="D296" s="29" t="n">
        <v>1</v>
      </c>
      <c r="E296" s="28"/>
      <c r="F296" s="28"/>
      <c r="G296" s="28"/>
      <c r="H296" s="28"/>
      <c r="I296" s="28"/>
      <c r="J296" s="28"/>
    </row>
    <row r="297" customFormat="false" ht="15" hidden="true" customHeight="false" outlineLevel="2" collapsed="false">
      <c r="A297" s="30" t="n">
        <v>46239</v>
      </c>
      <c r="B297" s="31" t="n">
        <v>76.36</v>
      </c>
      <c r="C297" s="32"/>
      <c r="D297" s="32"/>
      <c r="E297" s="32" t="s">
        <v>351</v>
      </c>
      <c r="F297" s="32" t="s">
        <v>352</v>
      </c>
      <c r="G297" s="32" t="s">
        <v>352</v>
      </c>
      <c r="H297" s="32" t="s">
        <v>112</v>
      </c>
      <c r="I297" s="32" t="s">
        <v>113</v>
      </c>
      <c r="J297" s="32" t="s">
        <v>70</v>
      </c>
    </row>
    <row r="298" customFormat="false" ht="15" hidden="false" customHeight="false" outlineLevel="0" collapsed="false">
      <c r="A298" s="22" t="s">
        <v>353</v>
      </c>
      <c r="B298" s="23" t="n">
        <f aca="false">B299</f>
        <v>75.88</v>
      </c>
      <c r="C298" s="24" t="n">
        <f aca="false">B298/$B$326</f>
        <v>0.00129887958797376</v>
      </c>
      <c r="D298" s="25" t="n">
        <v>2</v>
      </c>
      <c r="E298" s="26"/>
      <c r="F298" s="26"/>
      <c r="G298" s="26"/>
      <c r="H298" s="26"/>
      <c r="I298" s="26"/>
      <c r="J298" s="26"/>
    </row>
    <row r="299" customFormat="false" ht="15" hidden="false" customHeight="false" outlineLevel="1" collapsed="false">
      <c r="A299" s="27" t="s">
        <v>88</v>
      </c>
      <c r="B299" s="13" t="n">
        <f aca="false">B300+B301</f>
        <v>75.88</v>
      </c>
      <c r="C299" s="28"/>
      <c r="D299" s="29" t="n">
        <v>2</v>
      </c>
      <c r="E299" s="28"/>
      <c r="F299" s="28"/>
      <c r="G299" s="28"/>
      <c r="H299" s="28"/>
      <c r="I299" s="28"/>
      <c r="J299" s="28"/>
    </row>
    <row r="300" customFormat="false" ht="15" hidden="true" customHeight="false" outlineLevel="2" collapsed="false">
      <c r="A300" s="30" t="n">
        <v>46221</v>
      </c>
      <c r="B300" s="31" t="n">
        <v>38.24</v>
      </c>
      <c r="C300" s="32"/>
      <c r="D300" s="32"/>
      <c r="E300" s="33" t="s">
        <v>354</v>
      </c>
      <c r="F300" s="32" t="s">
        <v>355</v>
      </c>
      <c r="G300" s="32" t="s">
        <v>355</v>
      </c>
      <c r="H300" s="32" t="s">
        <v>109</v>
      </c>
      <c r="I300" s="32" t="s">
        <v>69</v>
      </c>
      <c r="J300" s="32" t="s">
        <v>70</v>
      </c>
    </row>
    <row r="301" customFormat="false" ht="15" hidden="true" customHeight="false" outlineLevel="2" collapsed="false">
      <c r="A301" s="30" t="n">
        <v>46252</v>
      </c>
      <c r="B301" s="31" t="n">
        <v>37.64</v>
      </c>
      <c r="C301" s="32"/>
      <c r="D301" s="32"/>
      <c r="E301" s="33" t="s">
        <v>354</v>
      </c>
      <c r="F301" s="32" t="s">
        <v>356</v>
      </c>
      <c r="G301" s="32" t="s">
        <v>356</v>
      </c>
      <c r="H301" s="32" t="s">
        <v>109</v>
      </c>
      <c r="I301" s="32" t="s">
        <v>69</v>
      </c>
      <c r="J301" s="32" t="s">
        <v>70</v>
      </c>
    </row>
    <row r="302" customFormat="false" ht="15" hidden="false" customHeight="false" outlineLevel="0" collapsed="false">
      <c r="A302" s="22" t="s">
        <v>357</v>
      </c>
      <c r="B302" s="23" t="n">
        <f aca="false">B303</f>
        <v>75.41</v>
      </c>
      <c r="C302" s="24" t="n">
        <f aca="false">B302/$B$326</f>
        <v>0.00129083434013048</v>
      </c>
      <c r="D302" s="25" t="n">
        <v>1</v>
      </c>
      <c r="E302" s="26"/>
      <c r="F302" s="26"/>
      <c r="G302" s="26"/>
      <c r="H302" s="26"/>
      <c r="I302" s="26"/>
      <c r="J302" s="26"/>
    </row>
    <row r="303" customFormat="false" ht="15" hidden="false" customHeight="false" outlineLevel="1" collapsed="false">
      <c r="A303" s="27" t="s">
        <v>170</v>
      </c>
      <c r="B303" s="13" t="n">
        <f aca="false">B304</f>
        <v>75.41</v>
      </c>
      <c r="C303" s="28"/>
      <c r="D303" s="29" t="n">
        <v>1</v>
      </c>
      <c r="E303" s="28"/>
      <c r="F303" s="28"/>
      <c r="G303" s="28"/>
      <c r="H303" s="28"/>
      <c r="I303" s="28"/>
      <c r="J303" s="28"/>
    </row>
    <row r="304" customFormat="false" ht="15" hidden="true" customHeight="false" outlineLevel="2" collapsed="false">
      <c r="A304" s="30" t="n">
        <v>46239</v>
      </c>
      <c r="B304" s="31" t="n">
        <v>75.41</v>
      </c>
      <c r="C304" s="32"/>
      <c r="D304" s="32"/>
      <c r="E304" s="32" t="s">
        <v>358</v>
      </c>
      <c r="F304" s="32" t="s">
        <v>359</v>
      </c>
      <c r="G304" s="32" t="s">
        <v>359</v>
      </c>
      <c r="H304" s="32" t="s">
        <v>112</v>
      </c>
      <c r="I304" s="32" t="s">
        <v>113</v>
      </c>
      <c r="J304" s="32" t="s">
        <v>70</v>
      </c>
    </row>
    <row r="305" customFormat="false" ht="15" hidden="false" customHeight="false" outlineLevel="0" collapsed="false">
      <c r="A305" s="22" t="s">
        <v>360</v>
      </c>
      <c r="B305" s="23" t="n">
        <f aca="false">B306</f>
        <v>66.23</v>
      </c>
      <c r="C305" s="24" t="n">
        <f aca="false">B305/$B$326</f>
        <v>0.00113369524395759</v>
      </c>
      <c r="D305" s="25" t="n">
        <v>1</v>
      </c>
      <c r="E305" s="26"/>
      <c r="F305" s="26"/>
      <c r="G305" s="26"/>
      <c r="H305" s="26"/>
      <c r="I305" s="26"/>
      <c r="J305" s="26"/>
    </row>
    <row r="306" customFormat="false" ht="15" hidden="false" customHeight="false" outlineLevel="1" collapsed="false">
      <c r="A306" s="27" t="s">
        <v>170</v>
      </c>
      <c r="B306" s="13" t="n">
        <f aca="false">B307</f>
        <v>66.23</v>
      </c>
      <c r="C306" s="28"/>
      <c r="D306" s="29" t="n">
        <v>1</v>
      </c>
      <c r="E306" s="28"/>
      <c r="F306" s="28"/>
      <c r="G306" s="28"/>
      <c r="H306" s="28"/>
      <c r="I306" s="28"/>
      <c r="J306" s="28"/>
    </row>
    <row r="307" customFormat="false" ht="15" hidden="true" customHeight="false" outlineLevel="2" collapsed="false">
      <c r="A307" s="30" t="n">
        <v>46239</v>
      </c>
      <c r="B307" s="31" t="n">
        <v>66.23</v>
      </c>
      <c r="C307" s="32"/>
      <c r="D307" s="32"/>
      <c r="E307" s="33" t="s">
        <v>361</v>
      </c>
      <c r="F307" s="32" t="s">
        <v>362</v>
      </c>
      <c r="G307" s="32" t="s">
        <v>362</v>
      </c>
      <c r="H307" s="32" t="s">
        <v>112</v>
      </c>
      <c r="I307" s="32" t="s">
        <v>113</v>
      </c>
      <c r="J307" s="32" t="s">
        <v>70</v>
      </c>
    </row>
    <row r="308" customFormat="false" ht="15" hidden="false" customHeight="false" outlineLevel="0" collapsed="false">
      <c r="A308" s="22" t="s">
        <v>363</v>
      </c>
      <c r="B308" s="23" t="n">
        <f aca="false">B309</f>
        <v>50.9</v>
      </c>
      <c r="C308" s="24" t="n">
        <f aca="false">B308/$B$326</f>
        <v>0.000871283223878021</v>
      </c>
      <c r="D308" s="25" t="n">
        <v>2</v>
      </c>
      <c r="E308" s="26"/>
      <c r="F308" s="26"/>
      <c r="G308" s="26"/>
      <c r="H308" s="26"/>
      <c r="I308" s="26"/>
      <c r="J308" s="26"/>
    </row>
    <row r="309" customFormat="false" ht="15" hidden="false" customHeight="false" outlineLevel="1" collapsed="false">
      <c r="A309" s="27" t="s">
        <v>88</v>
      </c>
      <c r="B309" s="13" t="n">
        <f aca="false">B310+B311</f>
        <v>50.9</v>
      </c>
      <c r="C309" s="28"/>
      <c r="D309" s="29" t="n">
        <v>2</v>
      </c>
      <c r="E309" s="28"/>
      <c r="F309" s="28"/>
      <c r="G309" s="28"/>
      <c r="H309" s="28"/>
      <c r="I309" s="28"/>
      <c r="J309" s="28"/>
    </row>
    <row r="310" customFormat="false" ht="15" hidden="true" customHeight="false" outlineLevel="2" collapsed="false">
      <c r="A310" s="30" t="n">
        <v>46228</v>
      </c>
      <c r="B310" s="31" t="n">
        <v>25.45</v>
      </c>
      <c r="C310" s="32"/>
      <c r="D310" s="32"/>
      <c r="E310" s="32" t="s">
        <v>364</v>
      </c>
      <c r="F310" s="32" t="s">
        <v>365</v>
      </c>
      <c r="G310" s="32" t="s">
        <v>365</v>
      </c>
      <c r="H310" s="32" t="s">
        <v>112</v>
      </c>
      <c r="I310" s="32" t="s">
        <v>113</v>
      </c>
      <c r="J310" s="32" t="s">
        <v>70</v>
      </c>
    </row>
    <row r="311" customFormat="false" ht="15" hidden="true" customHeight="false" outlineLevel="2" collapsed="false">
      <c r="A311" s="30" t="n">
        <v>46258</v>
      </c>
      <c r="B311" s="31" t="n">
        <v>25.45</v>
      </c>
      <c r="C311" s="32"/>
      <c r="D311" s="32"/>
      <c r="E311" s="32" t="s">
        <v>364</v>
      </c>
      <c r="F311" s="32" t="s">
        <v>366</v>
      </c>
      <c r="G311" s="32" t="s">
        <v>366</v>
      </c>
      <c r="H311" s="32" t="s">
        <v>112</v>
      </c>
      <c r="I311" s="32" t="s">
        <v>113</v>
      </c>
      <c r="J311" s="32" t="s">
        <v>70</v>
      </c>
    </row>
    <row r="312" customFormat="false" ht="15" hidden="false" customHeight="false" outlineLevel="0" collapsed="false">
      <c r="A312" s="22" t="s">
        <v>367</v>
      </c>
      <c r="B312" s="23" t="n">
        <f aca="false">B313</f>
        <v>39.01</v>
      </c>
      <c r="C312" s="24" t="n">
        <f aca="false">B312/$B$326</f>
        <v>0.00066775557099178</v>
      </c>
      <c r="D312" s="25" t="n">
        <v>2</v>
      </c>
      <c r="E312" s="26"/>
      <c r="F312" s="26"/>
      <c r="G312" s="26"/>
      <c r="H312" s="26"/>
      <c r="I312" s="26"/>
      <c r="J312" s="26"/>
    </row>
    <row r="313" customFormat="false" ht="15" hidden="false" customHeight="false" outlineLevel="1" collapsed="false">
      <c r="A313" s="27" t="s">
        <v>88</v>
      </c>
      <c r="B313" s="13" t="n">
        <f aca="false">B314+B315</f>
        <v>39.01</v>
      </c>
      <c r="C313" s="28"/>
      <c r="D313" s="29" t="n">
        <v>2</v>
      </c>
      <c r="E313" s="28"/>
      <c r="F313" s="28"/>
      <c r="G313" s="28"/>
      <c r="H313" s="28"/>
      <c r="I313" s="28"/>
      <c r="J313" s="28"/>
    </row>
    <row r="314" customFormat="false" ht="22.35" hidden="true" customHeight="false" outlineLevel="2" collapsed="false">
      <c r="A314" s="30" t="n">
        <v>46246</v>
      </c>
      <c r="B314" s="31" t="n">
        <v>25.38</v>
      </c>
      <c r="C314" s="32"/>
      <c r="D314" s="32"/>
      <c r="E314" s="33" t="s">
        <v>368</v>
      </c>
      <c r="F314" s="32" t="s">
        <v>369</v>
      </c>
      <c r="G314" s="32" t="s">
        <v>369</v>
      </c>
      <c r="H314" s="32" t="s">
        <v>68</v>
      </c>
      <c r="I314" s="32" t="s">
        <v>69</v>
      </c>
      <c r="J314" s="32" t="s">
        <v>70</v>
      </c>
    </row>
    <row r="315" customFormat="false" ht="22.35" hidden="true" customHeight="false" outlineLevel="2" collapsed="false">
      <c r="A315" s="30" t="n">
        <v>46248</v>
      </c>
      <c r="B315" s="31" t="n">
        <v>13.63</v>
      </c>
      <c r="C315" s="32"/>
      <c r="D315" s="32"/>
      <c r="E315" s="33" t="s">
        <v>368</v>
      </c>
      <c r="F315" s="32" t="s">
        <v>370</v>
      </c>
      <c r="G315" s="32" t="s">
        <v>370</v>
      </c>
      <c r="H315" s="32" t="s">
        <v>68</v>
      </c>
      <c r="I315" s="32" t="s">
        <v>69</v>
      </c>
      <c r="J315" s="32" t="s">
        <v>70</v>
      </c>
    </row>
    <row r="316" customFormat="false" ht="15" hidden="false" customHeight="false" outlineLevel="0" collapsed="false">
      <c r="A316" s="22" t="s">
        <v>371</v>
      </c>
      <c r="B316" s="23" t="n">
        <f aca="false">B317</f>
        <v>33.68</v>
      </c>
      <c r="C316" s="24" t="n">
        <f aca="false">B316/$B$326</f>
        <v>0.000576519036939327</v>
      </c>
      <c r="D316" s="25" t="n">
        <v>1</v>
      </c>
      <c r="E316" s="26"/>
      <c r="F316" s="26"/>
      <c r="G316" s="26"/>
      <c r="H316" s="26"/>
      <c r="I316" s="26"/>
      <c r="J316" s="26"/>
    </row>
    <row r="317" customFormat="false" ht="15" hidden="false" customHeight="false" outlineLevel="1" collapsed="false">
      <c r="A317" s="27" t="s">
        <v>170</v>
      </c>
      <c r="B317" s="13" t="n">
        <f aca="false">B318</f>
        <v>33.68</v>
      </c>
      <c r="C317" s="28"/>
      <c r="D317" s="29" t="n">
        <v>1</v>
      </c>
      <c r="E317" s="28"/>
      <c r="F317" s="28"/>
      <c r="G317" s="28"/>
      <c r="H317" s="28"/>
      <c r="I317" s="28"/>
      <c r="J317" s="28"/>
    </row>
    <row r="318" customFormat="false" ht="15" hidden="true" customHeight="false" outlineLevel="2" collapsed="false">
      <c r="A318" s="30" t="n">
        <v>46253</v>
      </c>
      <c r="B318" s="31" t="n">
        <v>33.68</v>
      </c>
      <c r="C318" s="32"/>
      <c r="D318" s="32"/>
      <c r="E318" s="32" t="s">
        <v>372</v>
      </c>
      <c r="F318" s="32" t="s">
        <v>373</v>
      </c>
      <c r="G318" s="32" t="s">
        <v>373</v>
      </c>
      <c r="H318" s="32" t="s">
        <v>112</v>
      </c>
      <c r="I318" s="32" t="s">
        <v>113</v>
      </c>
      <c r="J318" s="32" t="s">
        <v>70</v>
      </c>
    </row>
    <row r="319" customFormat="false" ht="15" hidden="false" customHeight="false" outlineLevel="0" collapsed="false">
      <c r="A319" s="22" t="s">
        <v>374</v>
      </c>
      <c r="B319" s="23" t="n">
        <f aca="false">B320</f>
        <v>30.9</v>
      </c>
      <c r="C319" s="24" t="n">
        <f aca="false">B319/$B$326</f>
        <v>0.000528932251823789</v>
      </c>
      <c r="D319" s="25" t="n">
        <v>2</v>
      </c>
      <c r="E319" s="26"/>
      <c r="F319" s="26"/>
      <c r="G319" s="26"/>
      <c r="H319" s="26"/>
      <c r="I319" s="26"/>
      <c r="J319" s="26"/>
    </row>
    <row r="320" customFormat="false" ht="15" hidden="false" customHeight="false" outlineLevel="1" collapsed="false">
      <c r="A320" s="27" t="s">
        <v>88</v>
      </c>
      <c r="B320" s="13" t="n">
        <f aca="false">B321+B322</f>
        <v>30.9</v>
      </c>
      <c r="C320" s="28"/>
      <c r="D320" s="29" t="n">
        <v>2</v>
      </c>
      <c r="E320" s="28"/>
      <c r="F320" s="28"/>
      <c r="G320" s="28"/>
      <c r="H320" s="28"/>
      <c r="I320" s="28"/>
      <c r="J320" s="28"/>
    </row>
    <row r="321" customFormat="false" ht="15" hidden="true" customHeight="false" outlineLevel="2" collapsed="false">
      <c r="A321" s="30" t="n">
        <v>46231</v>
      </c>
      <c r="B321" s="31" t="n">
        <v>15.45</v>
      </c>
      <c r="C321" s="32"/>
      <c r="D321" s="32"/>
      <c r="E321" s="32" t="s">
        <v>375</v>
      </c>
      <c r="F321" s="32" t="s">
        <v>376</v>
      </c>
      <c r="G321" s="32" t="s">
        <v>376</v>
      </c>
      <c r="H321" s="32" t="s">
        <v>68</v>
      </c>
      <c r="I321" s="32" t="s">
        <v>69</v>
      </c>
      <c r="J321" s="32" t="s">
        <v>70</v>
      </c>
    </row>
    <row r="322" customFormat="false" ht="15" hidden="true" customHeight="false" outlineLevel="2" collapsed="false">
      <c r="A322" s="30" t="n">
        <v>46262</v>
      </c>
      <c r="B322" s="31" t="n">
        <v>15.45</v>
      </c>
      <c r="C322" s="32"/>
      <c r="D322" s="32"/>
      <c r="E322" s="32" t="s">
        <v>375</v>
      </c>
      <c r="F322" s="32" t="s">
        <v>377</v>
      </c>
      <c r="G322" s="32" t="s">
        <v>377</v>
      </c>
      <c r="H322" s="32" t="s">
        <v>68</v>
      </c>
      <c r="I322" s="32" t="s">
        <v>69</v>
      </c>
      <c r="J322" s="32" t="s">
        <v>70</v>
      </c>
    </row>
    <row r="323" customFormat="false" ht="15" hidden="false" customHeight="false" outlineLevel="0" collapsed="false">
      <c r="A323" s="22" t="s">
        <v>378</v>
      </c>
      <c r="B323" s="23" t="n">
        <f aca="false">B324</f>
        <v>29.99</v>
      </c>
      <c r="C323" s="24" t="n">
        <f aca="false">B323/$B$326</f>
        <v>0.000513355282595321</v>
      </c>
      <c r="D323" s="25" t="n">
        <v>1</v>
      </c>
      <c r="E323" s="26"/>
      <c r="F323" s="26"/>
      <c r="G323" s="26"/>
      <c r="H323" s="26"/>
      <c r="I323" s="26"/>
      <c r="J323" s="26"/>
    </row>
    <row r="324" customFormat="false" ht="15" hidden="false" customHeight="false" outlineLevel="1" collapsed="false">
      <c r="A324" s="27" t="s">
        <v>170</v>
      </c>
      <c r="B324" s="13" t="n">
        <f aca="false">B325</f>
        <v>29.99</v>
      </c>
      <c r="C324" s="28"/>
      <c r="D324" s="29" t="n">
        <v>1</v>
      </c>
      <c r="E324" s="28"/>
      <c r="F324" s="28"/>
      <c r="G324" s="28"/>
      <c r="H324" s="28"/>
      <c r="I324" s="28"/>
      <c r="J324" s="28"/>
    </row>
    <row r="325" customFormat="false" ht="22.35" hidden="true" customHeight="false" outlineLevel="2" collapsed="false">
      <c r="A325" s="30" t="n">
        <v>46238</v>
      </c>
      <c r="B325" s="31" t="n">
        <v>29.99</v>
      </c>
      <c r="C325" s="32"/>
      <c r="D325" s="32"/>
      <c r="E325" s="33" t="s">
        <v>379</v>
      </c>
      <c r="F325" s="32" t="s">
        <v>380</v>
      </c>
      <c r="G325" s="32" t="s">
        <v>380</v>
      </c>
      <c r="H325" s="32" t="s">
        <v>112</v>
      </c>
      <c r="I325" s="32" t="s">
        <v>113</v>
      </c>
      <c r="J325" s="32" t="s">
        <v>70</v>
      </c>
    </row>
    <row r="326" customFormat="false" ht="15" hidden="false" customHeight="false" outlineLevel="0" collapsed="false">
      <c r="A326" s="17" t="s">
        <v>381</v>
      </c>
      <c r="B326" s="18" t="n">
        <f aca="false">B6+B52+B111+B174+B178+B181+B187+B190+B198+B208+B211+B214+B224+B227+B243+B246+B252+B256+B260+B263+B266+B282+B285+B288+B291+B295+B298+B302+B305+B308+B312+B316+B319+B323</f>
        <v>58419.58</v>
      </c>
      <c r="C326" s="16"/>
      <c r="D326" s="36" t="n">
        <f aca="false">247</f>
        <v>247</v>
      </c>
      <c r="E326" s="16"/>
      <c r="F326" s="16"/>
      <c r="G326" s="16"/>
      <c r="H326" s="16"/>
      <c r="I326" s="16"/>
      <c r="J326" s="16"/>
    </row>
    <row r="328" customFormat="false" ht="15" hidden="false" customHeight="true" outlineLevel="0" collapsed="false">
      <c r="A328" s="37" t="s">
        <v>382</v>
      </c>
      <c r="B328" s="37"/>
      <c r="C328" s="37"/>
      <c r="D328" s="37"/>
      <c r="E328" s="37"/>
      <c r="F328" s="37"/>
      <c r="G328" s="37"/>
      <c r="H328" s="37"/>
      <c r="I328" s="37"/>
      <c r="J328" s="37"/>
    </row>
    <row r="329" customFormat="false" ht="15" hidden="false" customHeight="false" outlineLevel="0" collapsed="false">
      <c r="A329" s="37"/>
      <c r="B329" s="37"/>
      <c r="C329" s="37"/>
      <c r="D329" s="37"/>
      <c r="E329" s="37"/>
      <c r="F329" s="37"/>
      <c r="G329" s="37"/>
      <c r="H329" s="37"/>
      <c r="I329" s="37"/>
      <c r="J329" s="37"/>
    </row>
  </sheetData>
  <mergeCells count="1">
    <mergeCell ref="A328:J329"/>
  </mergeCells>
  <printOptions headings="false" gridLines="false" gridLinesSet="true" horizontalCentered="tru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Corporate Technology Services Pty Ltd  -  Discretionary technology spend  -  FY2027 year to date  -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 min="2" style="0" width="16"/>
  </cols>
  <sheetData>
    <row r="1" customFormat="false" ht="15" hidden="false" customHeight="false" outlineLevel="0" collapsed="false">
      <c r="A1" s="1" t="s">
        <v>0</v>
      </c>
    </row>
    <row r="2" customFormat="false" ht="18.55" hidden="false" customHeight="false" outlineLevel="0" collapsed="false">
      <c r="A2" s="2" t="s">
        <v>383</v>
      </c>
    </row>
    <row r="3" customFormat="false" ht="15" hidden="false" customHeight="false" outlineLevel="0" collapsed="false">
      <c r="A3" s="3" t="s">
        <v>2</v>
      </c>
    </row>
    <row r="5" customFormat="false" ht="27.75" hidden="false" customHeight="true" outlineLevel="0" collapsed="false">
      <c r="A5" s="6" t="s">
        <v>25</v>
      </c>
      <c r="B5" s="6" t="s">
        <v>384</v>
      </c>
      <c r="C5" s="6" t="s">
        <v>385</v>
      </c>
      <c r="D5" s="6" t="s">
        <v>381</v>
      </c>
    </row>
    <row r="6" customFormat="false" ht="15" hidden="false" customHeight="false" outlineLevel="0" collapsed="false">
      <c r="A6" s="7" t="s">
        <v>34</v>
      </c>
      <c r="B6" s="8" t="n">
        <v>20171.74</v>
      </c>
      <c r="C6" s="8" t="n">
        <v>10047</v>
      </c>
      <c r="D6" s="13" t="n">
        <f aca="false">SUM(B6:C6)</f>
        <v>30218.74</v>
      </c>
    </row>
    <row r="7" customFormat="false" ht="15" hidden="false" customHeight="false" outlineLevel="0" collapsed="false">
      <c r="A7" s="7" t="s">
        <v>35</v>
      </c>
      <c r="B7" s="8" t="n">
        <v>10445.04</v>
      </c>
      <c r="C7" s="8" t="n">
        <v>10227.12</v>
      </c>
      <c r="D7" s="13" t="n">
        <f aca="false">SUM(B7:C7)</f>
        <v>20672.16</v>
      </c>
    </row>
    <row r="8" customFormat="false" ht="15" hidden="false" customHeight="false" outlineLevel="0" collapsed="false">
      <c r="A8" s="7" t="s">
        <v>36</v>
      </c>
      <c r="B8" s="8" t="n">
        <v>5000</v>
      </c>
      <c r="C8" s="8" t="n">
        <v>0</v>
      </c>
      <c r="D8" s="13" t="n">
        <f aca="false">SUM(B8:C8)</f>
        <v>5000</v>
      </c>
    </row>
    <row r="9" customFormat="false" ht="15" hidden="false" customHeight="false" outlineLevel="0" collapsed="false">
      <c r="A9" s="7" t="s">
        <v>38</v>
      </c>
      <c r="B9" s="8" t="n">
        <v>363.82</v>
      </c>
      <c r="C9" s="8" t="n">
        <v>363.82</v>
      </c>
      <c r="D9" s="13" t="n">
        <f aca="false">SUM(B9:C9)</f>
        <v>727.64</v>
      </c>
    </row>
    <row r="10" customFormat="false" ht="15" hidden="false" customHeight="false" outlineLevel="0" collapsed="false">
      <c r="A10" s="7" t="s">
        <v>39</v>
      </c>
      <c r="B10" s="8" t="n">
        <v>695.29</v>
      </c>
      <c r="C10" s="8" t="n">
        <v>591</v>
      </c>
      <c r="D10" s="13" t="n">
        <f aca="false">SUM(B10:C10)</f>
        <v>1286.29</v>
      </c>
    </row>
    <row r="11" customFormat="false" ht="15" hidden="false" customHeight="false" outlineLevel="0" collapsed="false">
      <c r="A11" s="7" t="s">
        <v>40</v>
      </c>
      <c r="B11" s="8" t="n">
        <v>171.71</v>
      </c>
      <c r="C11" s="8" t="n">
        <v>171.71</v>
      </c>
      <c r="D11" s="13" t="n">
        <f aca="false">SUM(B11:C11)</f>
        <v>343.42</v>
      </c>
    </row>
    <row r="12" customFormat="false" ht="15" hidden="false" customHeight="false" outlineLevel="0" collapsed="false">
      <c r="A12" s="7" t="s">
        <v>41</v>
      </c>
      <c r="B12" s="8" t="n">
        <v>81.09</v>
      </c>
      <c r="C12" s="8" t="n">
        <v>90.24</v>
      </c>
      <c r="D12" s="13" t="n">
        <f aca="false">SUM(B12:C12)</f>
        <v>171.33</v>
      </c>
    </row>
    <row r="13" customFormat="false" ht="15" hidden="false" customHeight="false" outlineLevel="0" collapsed="false">
      <c r="A13" s="38" t="s">
        <v>381</v>
      </c>
      <c r="B13" s="39" t="n">
        <f aca="false">SUM(B6:B12)</f>
        <v>36928.69</v>
      </c>
      <c r="C13" s="39" t="n">
        <f aca="false">SUM(C6:C12)</f>
        <v>21490.89</v>
      </c>
      <c r="D13" s="39" t="n">
        <f aca="false">SUM(D6:D12)</f>
        <v>58419.58</v>
      </c>
    </row>
  </sheetData>
  <printOptions headings="false" gridLines="false" gridLinesSet="true" horizontalCentered="tru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Corporate Technology Services Pty Ltd  -  Discretionary technology spend  -  FY2027 year to date  -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30"/>
    <col collapsed="false" customWidth="true" hidden="false" outlineLevel="0" max="4" min="4" style="0" width="18"/>
    <col collapsed="false" customWidth="true" hidden="false" outlineLevel="0" max="5" min="5" style="0" width="30"/>
    <col collapsed="false" customWidth="true" hidden="false" outlineLevel="0" max="6" min="6" style="0" width="44"/>
    <col collapsed="false" customWidth="true" hidden="false" outlineLevel="0" max="7" min="7" style="0" width="14"/>
    <col collapsed="false" customWidth="true" hidden="false" outlineLevel="0" max="8" min="8" style="0" width="20"/>
    <col collapsed="false" customWidth="true" hidden="false" outlineLevel="0" max="9" min="9" style="0" width="24"/>
    <col collapsed="false" customWidth="true" hidden="false" outlineLevel="0" max="10" min="10" style="0" width="14"/>
    <col collapsed="false" customWidth="true" hidden="false" outlineLevel="0" max="12" min="11" style="0" width="13"/>
    <col collapsed="false" customWidth="true" hidden="false" outlineLevel="0" max="13" min="13" style="0" width="14"/>
  </cols>
  <sheetData>
    <row r="1" customFormat="false" ht="15" hidden="false" customHeight="false" outlineLevel="0" collapsed="false">
      <c r="A1" s="1" t="s">
        <v>0</v>
      </c>
    </row>
    <row r="2" customFormat="false" ht="18.55" hidden="false" customHeight="false" outlineLevel="0" collapsed="false">
      <c r="A2" s="2" t="s">
        <v>386</v>
      </c>
    </row>
    <row r="3" customFormat="false" ht="15" hidden="false" customHeight="false" outlineLevel="0" collapsed="false">
      <c r="A3" s="3" t="s">
        <v>387</v>
      </c>
    </row>
    <row r="5" customFormat="false" ht="27.75" hidden="false" customHeight="true" outlineLevel="0" collapsed="false">
      <c r="A5" s="6" t="s">
        <v>388</v>
      </c>
      <c r="B5" s="6" t="s">
        <v>389</v>
      </c>
      <c r="C5" s="6" t="s">
        <v>25</v>
      </c>
      <c r="D5" s="6" t="s">
        <v>63</v>
      </c>
      <c r="E5" s="6" t="s">
        <v>390</v>
      </c>
      <c r="F5" s="6" t="s">
        <v>58</v>
      </c>
      <c r="G5" s="6" t="s">
        <v>59</v>
      </c>
      <c r="H5" s="6" t="s">
        <v>60</v>
      </c>
      <c r="I5" s="6" t="s">
        <v>61</v>
      </c>
      <c r="J5" s="6" t="s">
        <v>62</v>
      </c>
      <c r="K5" s="6" t="s">
        <v>391</v>
      </c>
      <c r="L5" s="6" t="s">
        <v>392</v>
      </c>
      <c r="M5" s="6" t="s">
        <v>393</v>
      </c>
    </row>
    <row r="6" customFormat="false" ht="15" hidden="false" customHeight="false" outlineLevel="0" collapsed="false">
      <c r="A6" s="40" t="n">
        <v>46210</v>
      </c>
      <c r="B6" s="41" t="n">
        <v>64510</v>
      </c>
      <c r="C6" s="42" t="s">
        <v>41</v>
      </c>
      <c r="D6" s="42" t="s">
        <v>70</v>
      </c>
      <c r="E6" s="42" t="s">
        <v>174</v>
      </c>
      <c r="F6" s="42" t="s">
        <v>210</v>
      </c>
      <c r="G6" s="42" t="s">
        <v>177</v>
      </c>
      <c r="H6" s="42" t="s">
        <v>177</v>
      </c>
      <c r="I6" s="42" t="s">
        <v>68</v>
      </c>
      <c r="J6" s="42" t="s">
        <v>69</v>
      </c>
      <c r="K6" s="43" t="n">
        <v>26.29</v>
      </c>
      <c r="L6" s="43" t="n">
        <v>0</v>
      </c>
      <c r="M6" s="43" t="n">
        <v>26.29</v>
      </c>
    </row>
    <row r="7" customFormat="false" ht="15" hidden="false" customHeight="false" outlineLevel="0" collapsed="false">
      <c r="A7" s="40" t="n">
        <v>46210</v>
      </c>
      <c r="B7" s="41" t="n">
        <v>64510</v>
      </c>
      <c r="C7" s="42" t="s">
        <v>41</v>
      </c>
      <c r="D7" s="42" t="s">
        <v>70</v>
      </c>
      <c r="E7" s="42" t="s">
        <v>174</v>
      </c>
      <c r="F7" s="42" t="s">
        <v>211</v>
      </c>
      <c r="G7" s="42" t="s">
        <v>177</v>
      </c>
      <c r="H7" s="42" t="s">
        <v>177</v>
      </c>
      <c r="I7" s="42" t="s">
        <v>212</v>
      </c>
      <c r="J7" s="42" t="s">
        <v>122</v>
      </c>
      <c r="K7" s="43" t="n">
        <v>25.85</v>
      </c>
      <c r="L7" s="43" t="n">
        <v>0</v>
      </c>
      <c r="M7" s="43" t="n">
        <v>25.85</v>
      </c>
    </row>
    <row r="8" customFormat="false" ht="15" hidden="false" customHeight="false" outlineLevel="0" collapsed="false">
      <c r="A8" s="40" t="n">
        <v>46210</v>
      </c>
      <c r="B8" s="41" t="n">
        <v>64510</v>
      </c>
      <c r="C8" s="42" t="s">
        <v>41</v>
      </c>
      <c r="D8" s="42" t="s">
        <v>70</v>
      </c>
      <c r="E8" s="42" t="s">
        <v>174</v>
      </c>
      <c r="F8" s="42" t="s">
        <v>213</v>
      </c>
      <c r="G8" s="42" t="s">
        <v>177</v>
      </c>
      <c r="H8" s="42" t="s">
        <v>177</v>
      </c>
      <c r="I8" s="42" t="s">
        <v>68</v>
      </c>
      <c r="J8" s="42" t="s">
        <v>69</v>
      </c>
      <c r="K8" s="43" t="n">
        <v>28.95</v>
      </c>
      <c r="L8" s="43" t="n">
        <v>0</v>
      </c>
      <c r="M8" s="43" t="n">
        <v>28.95</v>
      </c>
    </row>
    <row r="9" customFormat="false" ht="15" hidden="false" customHeight="false" outlineLevel="0" collapsed="false">
      <c r="A9" s="40" t="n">
        <v>46241</v>
      </c>
      <c r="B9" s="41" t="n">
        <v>64510</v>
      </c>
      <c r="C9" s="42" t="s">
        <v>41</v>
      </c>
      <c r="D9" s="42" t="s">
        <v>70</v>
      </c>
      <c r="E9" s="42" t="s">
        <v>174</v>
      </c>
      <c r="F9" s="42" t="s">
        <v>210</v>
      </c>
      <c r="G9" s="42" t="s">
        <v>194</v>
      </c>
      <c r="H9" s="42" t="s">
        <v>194</v>
      </c>
      <c r="I9" s="42" t="s">
        <v>68</v>
      </c>
      <c r="J9" s="42" t="s">
        <v>69</v>
      </c>
      <c r="K9" s="43" t="n">
        <v>26.31</v>
      </c>
      <c r="L9" s="43" t="n">
        <v>0</v>
      </c>
      <c r="M9" s="43" t="n">
        <v>26.31</v>
      </c>
    </row>
    <row r="10" customFormat="false" ht="15" hidden="false" customHeight="false" outlineLevel="0" collapsed="false">
      <c r="A10" s="40" t="n">
        <v>46241</v>
      </c>
      <c r="B10" s="41" t="n">
        <v>64510</v>
      </c>
      <c r="C10" s="42" t="s">
        <v>41</v>
      </c>
      <c r="D10" s="42" t="s">
        <v>70</v>
      </c>
      <c r="E10" s="42" t="s">
        <v>174</v>
      </c>
      <c r="F10" s="42" t="s">
        <v>211</v>
      </c>
      <c r="G10" s="42" t="s">
        <v>194</v>
      </c>
      <c r="H10" s="42" t="s">
        <v>194</v>
      </c>
      <c r="I10" s="42" t="s">
        <v>212</v>
      </c>
      <c r="J10" s="42" t="s">
        <v>122</v>
      </c>
      <c r="K10" s="43" t="n">
        <v>25.71</v>
      </c>
      <c r="L10" s="43" t="n">
        <v>0</v>
      </c>
      <c r="M10" s="43" t="n">
        <v>25.71</v>
      </c>
    </row>
    <row r="11" customFormat="false" ht="15" hidden="false" customHeight="false" outlineLevel="0" collapsed="false">
      <c r="A11" s="40" t="n">
        <v>46241</v>
      </c>
      <c r="B11" s="41" t="n">
        <v>64510</v>
      </c>
      <c r="C11" s="42" t="s">
        <v>41</v>
      </c>
      <c r="D11" s="42" t="s">
        <v>70</v>
      </c>
      <c r="E11" s="42" t="s">
        <v>174</v>
      </c>
      <c r="F11" s="42" t="s">
        <v>213</v>
      </c>
      <c r="G11" s="42" t="s">
        <v>194</v>
      </c>
      <c r="H11" s="42" t="s">
        <v>194</v>
      </c>
      <c r="I11" s="42" t="s">
        <v>68</v>
      </c>
      <c r="J11" s="42" t="s">
        <v>69</v>
      </c>
      <c r="K11" s="43" t="n">
        <v>38.22</v>
      </c>
      <c r="L11" s="43" t="n">
        <v>0</v>
      </c>
      <c r="M11" s="43" t="n">
        <v>38.22</v>
      </c>
    </row>
    <row r="12" customFormat="false" ht="15" hidden="false" customHeight="false" outlineLevel="0" collapsed="false">
      <c r="A12" s="40" t="n">
        <v>46204</v>
      </c>
      <c r="B12" s="41" t="n">
        <v>61400</v>
      </c>
      <c r="C12" s="42" t="s">
        <v>35</v>
      </c>
      <c r="D12" s="42" t="s">
        <v>70</v>
      </c>
      <c r="E12" s="42" t="s">
        <v>64</v>
      </c>
      <c r="F12" s="42" t="s">
        <v>89</v>
      </c>
      <c r="G12" s="42" t="s">
        <v>90</v>
      </c>
      <c r="H12" s="42" t="s">
        <v>90</v>
      </c>
      <c r="I12" s="42" t="s">
        <v>68</v>
      </c>
      <c r="J12" s="42" t="s">
        <v>69</v>
      </c>
      <c r="K12" s="43" t="n">
        <v>616.89</v>
      </c>
      <c r="L12" s="43" t="n">
        <v>0</v>
      </c>
      <c r="M12" s="43" t="n">
        <v>616.89</v>
      </c>
    </row>
    <row r="13" customFormat="false" ht="22.35" hidden="false" customHeight="false" outlineLevel="0" collapsed="false">
      <c r="A13" s="40" t="n">
        <v>46204</v>
      </c>
      <c r="B13" s="41" t="n">
        <v>61400</v>
      </c>
      <c r="C13" s="42" t="s">
        <v>35</v>
      </c>
      <c r="D13" s="42" t="s">
        <v>70</v>
      </c>
      <c r="E13" s="42" t="s">
        <v>64</v>
      </c>
      <c r="F13" s="44" t="s">
        <v>91</v>
      </c>
      <c r="G13" s="42" t="s">
        <v>67</v>
      </c>
      <c r="H13" s="42" t="s">
        <v>67</v>
      </c>
      <c r="I13" s="42" t="s">
        <v>68</v>
      </c>
      <c r="J13" s="42" t="s">
        <v>69</v>
      </c>
      <c r="K13" s="43" t="n">
        <v>79.92</v>
      </c>
      <c r="L13" s="43" t="n">
        <v>0</v>
      </c>
      <c r="M13" s="43" t="n">
        <v>79.92</v>
      </c>
    </row>
    <row r="14" customFormat="false" ht="15" hidden="false" customHeight="false" outlineLevel="0" collapsed="false">
      <c r="A14" s="40" t="n">
        <v>46204</v>
      </c>
      <c r="B14" s="41" t="n">
        <v>61400</v>
      </c>
      <c r="C14" s="42" t="s">
        <v>35</v>
      </c>
      <c r="D14" s="42" t="s">
        <v>70</v>
      </c>
      <c r="E14" s="42" t="s">
        <v>64</v>
      </c>
      <c r="F14" s="42" t="s">
        <v>92</v>
      </c>
      <c r="G14" s="42" t="s">
        <v>67</v>
      </c>
      <c r="H14" s="42" t="s">
        <v>67</v>
      </c>
      <c r="I14" s="42" t="s">
        <v>68</v>
      </c>
      <c r="J14" s="42" t="s">
        <v>69</v>
      </c>
      <c r="K14" s="43" t="n">
        <v>57.6</v>
      </c>
      <c r="L14" s="43" t="n">
        <v>0</v>
      </c>
      <c r="M14" s="43" t="n">
        <v>57.6</v>
      </c>
    </row>
    <row r="15" customFormat="false" ht="15" hidden="false" customHeight="false" outlineLevel="0" collapsed="false">
      <c r="A15" s="40" t="n">
        <v>46204</v>
      </c>
      <c r="B15" s="41" t="n">
        <v>61400</v>
      </c>
      <c r="C15" s="42" t="s">
        <v>35</v>
      </c>
      <c r="D15" s="42" t="s">
        <v>70</v>
      </c>
      <c r="E15" s="42" t="s">
        <v>64</v>
      </c>
      <c r="F15" s="42" t="s">
        <v>93</v>
      </c>
      <c r="G15" s="42" t="s">
        <v>67</v>
      </c>
      <c r="H15" s="42" t="s">
        <v>67</v>
      </c>
      <c r="I15" s="42" t="s">
        <v>68</v>
      </c>
      <c r="J15" s="42" t="s">
        <v>69</v>
      </c>
      <c r="K15" s="43" t="n">
        <v>9</v>
      </c>
      <c r="L15" s="43" t="n">
        <v>0</v>
      </c>
      <c r="M15" s="43" t="n">
        <v>9</v>
      </c>
    </row>
    <row r="16" customFormat="false" ht="15" hidden="false" customHeight="false" outlineLevel="0" collapsed="false">
      <c r="A16" s="40" t="n">
        <v>46204</v>
      </c>
      <c r="B16" s="41" t="n">
        <v>61400</v>
      </c>
      <c r="C16" s="42" t="s">
        <v>35</v>
      </c>
      <c r="D16" s="42" t="s">
        <v>70</v>
      </c>
      <c r="E16" s="42" t="s">
        <v>64</v>
      </c>
      <c r="F16" s="42" t="s">
        <v>94</v>
      </c>
      <c r="G16" s="42" t="s">
        <v>67</v>
      </c>
      <c r="H16" s="42" t="s">
        <v>67</v>
      </c>
      <c r="I16" s="42" t="s">
        <v>68</v>
      </c>
      <c r="J16" s="42" t="s">
        <v>69</v>
      </c>
      <c r="K16" s="43" t="n">
        <v>917.28</v>
      </c>
      <c r="L16" s="43" t="n">
        <v>0</v>
      </c>
      <c r="M16" s="43" t="n">
        <v>917.28</v>
      </c>
    </row>
    <row r="17" customFormat="false" ht="15" hidden="false" customHeight="false" outlineLevel="0" collapsed="false">
      <c r="A17" s="40" t="n">
        <v>46204</v>
      </c>
      <c r="B17" s="41" t="n">
        <v>61400</v>
      </c>
      <c r="C17" s="42" t="s">
        <v>35</v>
      </c>
      <c r="D17" s="42" t="s">
        <v>70</v>
      </c>
      <c r="E17" s="42" t="s">
        <v>64</v>
      </c>
      <c r="F17" s="44" t="s">
        <v>95</v>
      </c>
      <c r="G17" s="42" t="s">
        <v>67</v>
      </c>
      <c r="H17" s="42" t="s">
        <v>67</v>
      </c>
      <c r="I17" s="42" t="s">
        <v>68</v>
      </c>
      <c r="J17" s="42" t="s">
        <v>69</v>
      </c>
      <c r="K17" s="43" t="n">
        <v>104.1</v>
      </c>
      <c r="L17" s="43" t="n">
        <v>0</v>
      </c>
      <c r="M17" s="43" t="n">
        <v>104.1</v>
      </c>
    </row>
    <row r="18" customFormat="false" ht="15" hidden="false" customHeight="false" outlineLevel="0" collapsed="false">
      <c r="A18" s="40" t="n">
        <v>46204</v>
      </c>
      <c r="B18" s="41" t="n">
        <v>61400</v>
      </c>
      <c r="C18" s="42" t="s">
        <v>35</v>
      </c>
      <c r="D18" s="42" t="s">
        <v>70</v>
      </c>
      <c r="E18" s="42" t="s">
        <v>64</v>
      </c>
      <c r="F18" s="44" t="s">
        <v>96</v>
      </c>
      <c r="G18" s="42" t="s">
        <v>67</v>
      </c>
      <c r="H18" s="42" t="s">
        <v>67</v>
      </c>
      <c r="I18" s="42" t="s">
        <v>68</v>
      </c>
      <c r="J18" s="42" t="s">
        <v>69</v>
      </c>
      <c r="K18" s="43" t="n">
        <v>215.04</v>
      </c>
      <c r="L18" s="43" t="n">
        <v>0</v>
      </c>
      <c r="M18" s="43" t="n">
        <v>215.04</v>
      </c>
    </row>
    <row r="19" customFormat="false" ht="15" hidden="false" customHeight="false" outlineLevel="0" collapsed="false">
      <c r="A19" s="40" t="n">
        <v>46204</v>
      </c>
      <c r="B19" s="41" t="n">
        <v>61400</v>
      </c>
      <c r="C19" s="42" t="s">
        <v>35</v>
      </c>
      <c r="D19" s="42" t="s">
        <v>70</v>
      </c>
      <c r="E19" s="42" t="s">
        <v>64</v>
      </c>
      <c r="F19" s="44" t="s">
        <v>97</v>
      </c>
      <c r="G19" s="42" t="s">
        <v>67</v>
      </c>
      <c r="H19" s="42" t="s">
        <v>67</v>
      </c>
      <c r="I19" s="42" t="s">
        <v>68</v>
      </c>
      <c r="J19" s="42" t="s">
        <v>69</v>
      </c>
      <c r="K19" s="43" t="n">
        <v>157.12</v>
      </c>
      <c r="L19" s="43" t="n">
        <v>0</v>
      </c>
      <c r="M19" s="43" t="n">
        <v>157.12</v>
      </c>
    </row>
    <row r="20" customFormat="false" ht="15" hidden="false" customHeight="false" outlineLevel="0" collapsed="false">
      <c r="A20" s="40" t="n">
        <v>46204</v>
      </c>
      <c r="B20" s="41" t="n">
        <v>61400</v>
      </c>
      <c r="C20" s="42" t="s">
        <v>35</v>
      </c>
      <c r="D20" s="42" t="s">
        <v>70</v>
      </c>
      <c r="E20" s="42" t="s">
        <v>64</v>
      </c>
      <c r="F20" s="44" t="s">
        <v>98</v>
      </c>
      <c r="G20" s="42" t="s">
        <v>67</v>
      </c>
      <c r="H20" s="42" t="s">
        <v>67</v>
      </c>
      <c r="I20" s="42" t="s">
        <v>68</v>
      </c>
      <c r="J20" s="42" t="s">
        <v>69</v>
      </c>
      <c r="K20" s="43" t="n">
        <v>274.05</v>
      </c>
      <c r="L20" s="43" t="n">
        <v>0</v>
      </c>
      <c r="M20" s="43" t="n">
        <v>274.05</v>
      </c>
    </row>
    <row r="21" customFormat="false" ht="15" hidden="false" customHeight="false" outlineLevel="0" collapsed="false">
      <c r="A21" s="40" t="n">
        <v>46204</v>
      </c>
      <c r="B21" s="41" t="n">
        <v>61400</v>
      </c>
      <c r="C21" s="42" t="s">
        <v>35</v>
      </c>
      <c r="D21" s="42" t="s">
        <v>70</v>
      </c>
      <c r="E21" s="42" t="s">
        <v>64</v>
      </c>
      <c r="F21" s="44" t="s">
        <v>99</v>
      </c>
      <c r="G21" s="42" t="s">
        <v>67</v>
      </c>
      <c r="H21" s="42" t="s">
        <v>67</v>
      </c>
      <c r="I21" s="42" t="s">
        <v>68</v>
      </c>
      <c r="J21" s="42" t="s">
        <v>69</v>
      </c>
      <c r="K21" s="43" t="n">
        <v>1071.05</v>
      </c>
      <c r="L21" s="43" t="n">
        <v>0</v>
      </c>
      <c r="M21" s="43" t="n">
        <v>1071.05</v>
      </c>
    </row>
    <row r="22" customFormat="false" ht="15" hidden="false" customHeight="false" outlineLevel="0" collapsed="false">
      <c r="A22" s="40" t="n">
        <v>46204</v>
      </c>
      <c r="B22" s="41" t="n">
        <v>61400</v>
      </c>
      <c r="C22" s="42" t="s">
        <v>35</v>
      </c>
      <c r="D22" s="42" t="s">
        <v>70</v>
      </c>
      <c r="E22" s="42" t="s">
        <v>64</v>
      </c>
      <c r="F22" s="44" t="s">
        <v>100</v>
      </c>
      <c r="G22" s="42" t="s">
        <v>67</v>
      </c>
      <c r="H22" s="42" t="s">
        <v>67</v>
      </c>
      <c r="I22" s="42" t="s">
        <v>68</v>
      </c>
      <c r="J22" s="42" t="s">
        <v>69</v>
      </c>
      <c r="K22" s="43" t="n">
        <v>15.76</v>
      </c>
      <c r="L22" s="43" t="n">
        <v>0</v>
      </c>
      <c r="M22" s="43" t="n">
        <v>15.76</v>
      </c>
    </row>
    <row r="23" customFormat="false" ht="15" hidden="false" customHeight="false" outlineLevel="0" collapsed="false">
      <c r="A23" s="40" t="n">
        <v>46204</v>
      </c>
      <c r="B23" s="41" t="n">
        <v>61400</v>
      </c>
      <c r="C23" s="42" t="s">
        <v>35</v>
      </c>
      <c r="D23" s="42" t="s">
        <v>70</v>
      </c>
      <c r="E23" s="42" t="s">
        <v>64</v>
      </c>
      <c r="F23" s="42" t="s">
        <v>101</v>
      </c>
      <c r="G23" s="42" t="s">
        <v>67</v>
      </c>
      <c r="H23" s="42" t="s">
        <v>67</v>
      </c>
      <c r="I23" s="42" t="s">
        <v>68</v>
      </c>
      <c r="J23" s="42" t="s">
        <v>69</v>
      </c>
      <c r="K23" s="43" t="n">
        <v>265.36</v>
      </c>
      <c r="L23" s="43" t="n">
        <v>0</v>
      </c>
      <c r="M23" s="43" t="n">
        <v>265.36</v>
      </c>
    </row>
    <row r="24" customFormat="false" ht="15" hidden="false" customHeight="false" outlineLevel="0" collapsed="false">
      <c r="A24" s="40" t="n">
        <v>46207</v>
      </c>
      <c r="B24" s="41" t="n">
        <v>61400</v>
      </c>
      <c r="C24" s="42" t="s">
        <v>35</v>
      </c>
      <c r="D24" s="42" t="s">
        <v>70</v>
      </c>
      <c r="E24" s="42" t="s">
        <v>297</v>
      </c>
      <c r="F24" s="44" t="s">
        <v>298</v>
      </c>
      <c r="G24" s="42" t="s">
        <v>299</v>
      </c>
      <c r="H24" s="42" t="s">
        <v>299</v>
      </c>
      <c r="I24" s="42" t="s">
        <v>112</v>
      </c>
      <c r="J24" s="42" t="s">
        <v>113</v>
      </c>
      <c r="K24" s="43" t="n">
        <v>42</v>
      </c>
      <c r="L24" s="43" t="n">
        <v>0</v>
      </c>
      <c r="M24" s="43" t="n">
        <v>42</v>
      </c>
    </row>
    <row r="25" customFormat="false" ht="15" hidden="false" customHeight="false" outlineLevel="0" collapsed="false">
      <c r="A25" s="40" t="n">
        <v>46207</v>
      </c>
      <c r="B25" s="41" t="n">
        <v>61400</v>
      </c>
      <c r="C25" s="42" t="s">
        <v>35</v>
      </c>
      <c r="D25" s="42" t="s">
        <v>70</v>
      </c>
      <c r="E25" s="42" t="s">
        <v>297</v>
      </c>
      <c r="F25" s="44" t="s">
        <v>300</v>
      </c>
      <c r="G25" s="42" t="s">
        <v>299</v>
      </c>
      <c r="H25" s="42" t="s">
        <v>299</v>
      </c>
      <c r="I25" s="42" t="s">
        <v>112</v>
      </c>
      <c r="J25" s="42" t="s">
        <v>113</v>
      </c>
      <c r="K25" s="43" t="n">
        <v>58</v>
      </c>
      <c r="L25" s="43" t="n">
        <v>0</v>
      </c>
      <c r="M25" s="43" t="n">
        <v>58</v>
      </c>
    </row>
    <row r="26" customFormat="false" ht="15" hidden="false" customHeight="false" outlineLevel="0" collapsed="false">
      <c r="A26" s="40" t="n">
        <v>46210</v>
      </c>
      <c r="B26" s="41" t="n">
        <v>61400</v>
      </c>
      <c r="C26" s="42" t="s">
        <v>35</v>
      </c>
      <c r="D26" s="42" t="s">
        <v>70</v>
      </c>
      <c r="E26" s="42" t="s">
        <v>239</v>
      </c>
      <c r="F26" s="44" t="s">
        <v>240</v>
      </c>
      <c r="G26" s="42" t="s">
        <v>241</v>
      </c>
      <c r="H26" s="42" t="s">
        <v>241</v>
      </c>
      <c r="I26" s="42" t="s">
        <v>112</v>
      </c>
      <c r="J26" s="42" t="s">
        <v>113</v>
      </c>
      <c r="K26" s="43" t="n">
        <v>65.04</v>
      </c>
      <c r="L26" s="43" t="n">
        <v>0</v>
      </c>
      <c r="M26" s="43" t="n">
        <v>65.04</v>
      </c>
    </row>
    <row r="27" customFormat="false" ht="15" hidden="false" customHeight="false" outlineLevel="0" collapsed="false">
      <c r="A27" s="40" t="n">
        <v>46210</v>
      </c>
      <c r="B27" s="41" t="n">
        <v>61400</v>
      </c>
      <c r="C27" s="42" t="s">
        <v>35</v>
      </c>
      <c r="D27" s="42" t="s">
        <v>70</v>
      </c>
      <c r="E27" s="42" t="s">
        <v>239</v>
      </c>
      <c r="F27" s="44" t="s">
        <v>242</v>
      </c>
      <c r="G27" s="42" t="s">
        <v>243</v>
      </c>
      <c r="H27" s="42" t="s">
        <v>243</v>
      </c>
      <c r="I27" s="42" t="s">
        <v>112</v>
      </c>
      <c r="J27" s="42" t="s">
        <v>113</v>
      </c>
      <c r="K27" s="43" t="n">
        <v>65.04</v>
      </c>
      <c r="L27" s="43" t="n">
        <v>0</v>
      </c>
      <c r="M27" s="43" t="n">
        <v>65.04</v>
      </c>
    </row>
    <row r="28" customFormat="false" ht="15" hidden="false" customHeight="false" outlineLevel="0" collapsed="false">
      <c r="A28" s="40" t="n">
        <v>46219</v>
      </c>
      <c r="B28" s="41" t="n">
        <v>61400</v>
      </c>
      <c r="C28" s="42" t="s">
        <v>35</v>
      </c>
      <c r="D28" s="42" t="s">
        <v>70</v>
      </c>
      <c r="E28" s="42" t="s">
        <v>222</v>
      </c>
      <c r="F28" s="42" t="s">
        <v>223</v>
      </c>
      <c r="G28" s="42" t="s">
        <v>224</v>
      </c>
      <c r="H28" s="42" t="s">
        <v>224</v>
      </c>
      <c r="I28" s="42" t="s">
        <v>112</v>
      </c>
      <c r="J28" s="42" t="s">
        <v>113</v>
      </c>
      <c r="K28" s="43" t="n">
        <v>110</v>
      </c>
      <c r="L28" s="43" t="n">
        <v>0</v>
      </c>
      <c r="M28" s="43" t="n">
        <v>110</v>
      </c>
    </row>
    <row r="29" customFormat="false" ht="15" hidden="false" customHeight="false" outlineLevel="0" collapsed="false">
      <c r="A29" s="40" t="n">
        <v>46219</v>
      </c>
      <c r="B29" s="41" t="n">
        <v>61400</v>
      </c>
      <c r="C29" s="42" t="s">
        <v>35</v>
      </c>
      <c r="D29" s="42" t="s">
        <v>70</v>
      </c>
      <c r="E29" s="42" t="s">
        <v>222</v>
      </c>
      <c r="F29" s="42" t="s">
        <v>225</v>
      </c>
      <c r="G29" s="42" t="s">
        <v>224</v>
      </c>
      <c r="H29" s="42" t="s">
        <v>224</v>
      </c>
      <c r="I29" s="42" t="s">
        <v>112</v>
      </c>
      <c r="J29" s="42" t="s">
        <v>113</v>
      </c>
      <c r="K29" s="43" t="n">
        <v>321</v>
      </c>
      <c r="L29" s="43" t="n">
        <v>0</v>
      </c>
      <c r="M29" s="43" t="n">
        <v>321</v>
      </c>
    </row>
    <row r="30" customFormat="false" ht="15" hidden="false" customHeight="false" outlineLevel="0" collapsed="false">
      <c r="A30" s="40" t="n">
        <v>46221</v>
      </c>
      <c r="B30" s="41" t="n">
        <v>61400</v>
      </c>
      <c r="C30" s="42" t="s">
        <v>35</v>
      </c>
      <c r="D30" s="42" t="s">
        <v>70</v>
      </c>
      <c r="E30" s="42" t="s">
        <v>353</v>
      </c>
      <c r="F30" s="44" t="s">
        <v>354</v>
      </c>
      <c r="G30" s="42" t="s">
        <v>355</v>
      </c>
      <c r="H30" s="42" t="s">
        <v>355</v>
      </c>
      <c r="I30" s="42" t="s">
        <v>109</v>
      </c>
      <c r="J30" s="42" t="s">
        <v>69</v>
      </c>
      <c r="K30" s="43" t="n">
        <v>38.24</v>
      </c>
      <c r="L30" s="43" t="n">
        <v>0</v>
      </c>
      <c r="M30" s="43" t="n">
        <v>38.24</v>
      </c>
    </row>
    <row r="31" customFormat="false" ht="15" hidden="false" customHeight="false" outlineLevel="0" collapsed="false">
      <c r="A31" s="40" t="n">
        <v>46224</v>
      </c>
      <c r="B31" s="41" t="n">
        <v>61400</v>
      </c>
      <c r="C31" s="42" t="s">
        <v>35</v>
      </c>
      <c r="D31" s="42" t="s">
        <v>70</v>
      </c>
      <c r="E31" s="42" t="s">
        <v>278</v>
      </c>
      <c r="F31" s="42" t="s">
        <v>279</v>
      </c>
      <c r="G31" s="42" t="s">
        <v>280</v>
      </c>
      <c r="H31" s="42" t="s">
        <v>280</v>
      </c>
      <c r="I31" s="42" t="s">
        <v>135</v>
      </c>
      <c r="J31" s="42" t="s">
        <v>136</v>
      </c>
      <c r="K31" s="43" t="n">
        <v>103.17</v>
      </c>
      <c r="L31" s="43" t="n">
        <v>0</v>
      </c>
      <c r="M31" s="43" t="n">
        <v>103.17</v>
      </c>
    </row>
    <row r="32" customFormat="false" ht="15" hidden="false" customHeight="false" outlineLevel="0" collapsed="false">
      <c r="A32" s="40" t="n">
        <v>46224</v>
      </c>
      <c r="B32" s="41" t="n">
        <v>61400</v>
      </c>
      <c r="C32" s="42" t="s">
        <v>35</v>
      </c>
      <c r="D32" s="42" t="s">
        <v>70</v>
      </c>
      <c r="E32" s="42" t="s">
        <v>278</v>
      </c>
      <c r="F32" s="42" t="s">
        <v>281</v>
      </c>
      <c r="G32" s="42" t="s">
        <v>280</v>
      </c>
      <c r="H32" s="42" t="s">
        <v>280</v>
      </c>
      <c r="I32" s="42" t="s">
        <v>135</v>
      </c>
      <c r="J32" s="42" t="s">
        <v>136</v>
      </c>
      <c r="K32" s="43" t="n">
        <v>7.26</v>
      </c>
      <c r="L32" s="43" t="n">
        <v>0</v>
      </c>
      <c r="M32" s="43" t="n">
        <v>7.26</v>
      </c>
    </row>
    <row r="33" customFormat="false" ht="15" hidden="false" customHeight="false" outlineLevel="0" collapsed="false">
      <c r="A33" s="40" t="n">
        <v>46224</v>
      </c>
      <c r="B33" s="41" t="n">
        <v>61400</v>
      </c>
      <c r="C33" s="42" t="s">
        <v>35</v>
      </c>
      <c r="D33" s="42" t="s">
        <v>70</v>
      </c>
      <c r="E33" s="42" t="s">
        <v>278</v>
      </c>
      <c r="F33" s="42" t="s">
        <v>281</v>
      </c>
      <c r="G33" s="42" t="s">
        <v>282</v>
      </c>
      <c r="H33" s="42" t="s">
        <v>282</v>
      </c>
      <c r="I33" s="42" t="s">
        <v>109</v>
      </c>
      <c r="J33" s="42" t="s">
        <v>69</v>
      </c>
      <c r="K33" s="43" t="n">
        <v>7.26</v>
      </c>
      <c r="L33" s="43" t="n">
        <v>0</v>
      </c>
      <c r="M33" s="43" t="n">
        <v>7.26</v>
      </c>
    </row>
    <row r="34" customFormat="false" ht="15" hidden="false" customHeight="false" outlineLevel="0" collapsed="false">
      <c r="A34" s="40" t="n">
        <v>46224</v>
      </c>
      <c r="B34" s="41" t="n">
        <v>61400</v>
      </c>
      <c r="C34" s="42" t="s">
        <v>35</v>
      </c>
      <c r="D34" s="42" t="s">
        <v>70</v>
      </c>
      <c r="E34" s="42" t="s">
        <v>278</v>
      </c>
      <c r="F34" s="42" t="s">
        <v>283</v>
      </c>
      <c r="G34" s="42" t="s">
        <v>282</v>
      </c>
      <c r="H34" s="42" t="s">
        <v>282</v>
      </c>
      <c r="I34" s="42" t="s">
        <v>109</v>
      </c>
      <c r="J34" s="42" t="s">
        <v>69</v>
      </c>
      <c r="K34" s="43" t="n">
        <v>39.99</v>
      </c>
      <c r="L34" s="43" t="n">
        <v>0</v>
      </c>
      <c r="M34" s="43" t="n">
        <v>39.99</v>
      </c>
    </row>
    <row r="35" customFormat="false" ht="15" hidden="false" customHeight="false" outlineLevel="0" collapsed="false">
      <c r="A35" s="40" t="n">
        <v>46224</v>
      </c>
      <c r="B35" s="41" t="n">
        <v>61400</v>
      </c>
      <c r="C35" s="42" t="s">
        <v>35</v>
      </c>
      <c r="D35" s="42" t="s">
        <v>70</v>
      </c>
      <c r="E35" s="42" t="s">
        <v>278</v>
      </c>
      <c r="F35" s="42" t="s">
        <v>279</v>
      </c>
      <c r="G35" s="42" t="s">
        <v>282</v>
      </c>
      <c r="H35" s="42" t="s">
        <v>282</v>
      </c>
      <c r="I35" s="42" t="s">
        <v>109</v>
      </c>
      <c r="J35" s="42" t="s">
        <v>69</v>
      </c>
      <c r="K35" s="43" t="n">
        <v>103.17</v>
      </c>
      <c r="L35" s="43" t="n">
        <v>0</v>
      </c>
      <c r="M35" s="43" t="n">
        <v>103.17</v>
      </c>
    </row>
    <row r="36" customFormat="false" ht="15" hidden="false" customHeight="false" outlineLevel="0" collapsed="false">
      <c r="A36" s="40" t="n">
        <v>46227</v>
      </c>
      <c r="B36" s="41" t="n">
        <v>61400</v>
      </c>
      <c r="C36" s="42" t="s">
        <v>35</v>
      </c>
      <c r="D36" s="42" t="s">
        <v>70</v>
      </c>
      <c r="E36" s="42" t="s">
        <v>304</v>
      </c>
      <c r="F36" s="44" t="s">
        <v>305</v>
      </c>
      <c r="G36" s="42" t="s">
        <v>306</v>
      </c>
      <c r="H36" s="42" t="s">
        <v>306</v>
      </c>
      <c r="I36" s="42" t="s">
        <v>68</v>
      </c>
      <c r="J36" s="42" t="s">
        <v>69</v>
      </c>
      <c r="K36" s="43" t="n">
        <v>97.27</v>
      </c>
      <c r="L36" s="43" t="n">
        <v>0</v>
      </c>
      <c r="M36" s="43" t="n">
        <v>97.27</v>
      </c>
    </row>
    <row r="37" customFormat="false" ht="15" hidden="false" customHeight="false" outlineLevel="0" collapsed="false">
      <c r="A37" s="40" t="n">
        <v>46228</v>
      </c>
      <c r="B37" s="41" t="n">
        <v>61400</v>
      </c>
      <c r="C37" s="42" t="s">
        <v>35</v>
      </c>
      <c r="D37" s="42" t="s">
        <v>70</v>
      </c>
      <c r="E37" s="42" t="s">
        <v>363</v>
      </c>
      <c r="F37" s="42" t="s">
        <v>364</v>
      </c>
      <c r="G37" s="42" t="s">
        <v>365</v>
      </c>
      <c r="H37" s="42" t="s">
        <v>365</v>
      </c>
      <c r="I37" s="42" t="s">
        <v>112</v>
      </c>
      <c r="J37" s="42" t="s">
        <v>113</v>
      </c>
      <c r="K37" s="43" t="n">
        <v>25.45</v>
      </c>
      <c r="L37" s="43" t="n">
        <v>0</v>
      </c>
      <c r="M37" s="43" t="n">
        <v>25.45</v>
      </c>
    </row>
    <row r="38" customFormat="false" ht="15" hidden="false" customHeight="false" outlineLevel="0" collapsed="false">
      <c r="A38" s="40" t="n">
        <v>46231</v>
      </c>
      <c r="B38" s="41" t="n">
        <v>61400</v>
      </c>
      <c r="C38" s="42" t="s">
        <v>35</v>
      </c>
      <c r="D38" s="42" t="s">
        <v>70</v>
      </c>
      <c r="E38" s="42" t="s">
        <v>374</v>
      </c>
      <c r="F38" s="42" t="s">
        <v>375</v>
      </c>
      <c r="G38" s="42" t="s">
        <v>376</v>
      </c>
      <c r="H38" s="42" t="s">
        <v>376</v>
      </c>
      <c r="I38" s="42" t="s">
        <v>68</v>
      </c>
      <c r="J38" s="42" t="s">
        <v>69</v>
      </c>
      <c r="K38" s="43" t="n">
        <v>15.45</v>
      </c>
      <c r="L38" s="43" t="n">
        <v>0</v>
      </c>
      <c r="M38" s="43" t="n">
        <v>15.45</v>
      </c>
    </row>
    <row r="39" customFormat="false" ht="15" hidden="false" customHeight="false" outlineLevel="0" collapsed="false">
      <c r="A39" s="40" t="n">
        <v>46231</v>
      </c>
      <c r="B39" s="41" t="n">
        <v>61400</v>
      </c>
      <c r="C39" s="42" t="s">
        <v>35</v>
      </c>
      <c r="D39" s="42" t="s">
        <v>70</v>
      </c>
      <c r="E39" s="42" t="s">
        <v>230</v>
      </c>
      <c r="F39" s="44" t="s">
        <v>231</v>
      </c>
      <c r="G39" s="42" t="s">
        <v>232</v>
      </c>
      <c r="H39" s="42" t="s">
        <v>232</v>
      </c>
      <c r="I39" s="42" t="s">
        <v>112</v>
      </c>
      <c r="J39" s="42" t="s">
        <v>113</v>
      </c>
      <c r="K39" s="43" t="n">
        <v>73.99</v>
      </c>
      <c r="L39" s="43" t="n">
        <v>0</v>
      </c>
      <c r="M39" s="43" t="n">
        <v>73.99</v>
      </c>
    </row>
    <row r="40" customFormat="false" ht="15" hidden="false" customHeight="false" outlineLevel="0" collapsed="false">
      <c r="A40" s="40" t="n">
        <v>46231</v>
      </c>
      <c r="B40" s="41" t="n">
        <v>61400</v>
      </c>
      <c r="C40" s="42" t="s">
        <v>35</v>
      </c>
      <c r="D40" s="42" t="s">
        <v>70</v>
      </c>
      <c r="E40" s="42" t="s">
        <v>230</v>
      </c>
      <c r="F40" s="44" t="s">
        <v>233</v>
      </c>
      <c r="G40" s="42" t="s">
        <v>232</v>
      </c>
      <c r="H40" s="42" t="s">
        <v>232</v>
      </c>
      <c r="I40" s="42" t="s">
        <v>112</v>
      </c>
      <c r="J40" s="42" t="s">
        <v>113</v>
      </c>
      <c r="K40" s="43" t="n">
        <v>100</v>
      </c>
      <c r="L40" s="43" t="n">
        <v>0</v>
      </c>
      <c r="M40" s="43" t="n">
        <v>100</v>
      </c>
    </row>
    <row r="41" customFormat="false" ht="15" hidden="false" customHeight="false" outlineLevel="0" collapsed="false">
      <c r="A41" s="40" t="n">
        <v>46231</v>
      </c>
      <c r="B41" s="41" t="n">
        <v>61400</v>
      </c>
      <c r="C41" s="42" t="s">
        <v>35</v>
      </c>
      <c r="D41" s="42" t="s">
        <v>70</v>
      </c>
      <c r="E41" s="42" t="s">
        <v>230</v>
      </c>
      <c r="F41" s="44" t="s">
        <v>234</v>
      </c>
      <c r="G41" s="42" t="s">
        <v>232</v>
      </c>
      <c r="H41" s="42" t="s">
        <v>232</v>
      </c>
      <c r="I41" s="42" t="s">
        <v>112</v>
      </c>
      <c r="J41" s="42" t="s">
        <v>113</v>
      </c>
      <c r="K41" s="43" t="n">
        <v>149.98</v>
      </c>
      <c r="L41" s="43" t="n">
        <v>0</v>
      </c>
      <c r="M41" s="43" t="n">
        <v>149.98</v>
      </c>
    </row>
    <row r="42" customFormat="false" ht="15" hidden="false" customHeight="false" outlineLevel="0" collapsed="false">
      <c r="A42" s="40" t="n">
        <v>46232</v>
      </c>
      <c r="B42" s="41" t="n">
        <v>61400</v>
      </c>
      <c r="C42" s="42" t="s">
        <v>35</v>
      </c>
      <c r="D42" s="42" t="s">
        <v>70</v>
      </c>
      <c r="E42" s="42" t="s">
        <v>278</v>
      </c>
      <c r="F42" s="42" t="s">
        <v>279</v>
      </c>
      <c r="G42" s="42" t="s">
        <v>284</v>
      </c>
      <c r="H42" s="42" t="s">
        <v>284</v>
      </c>
      <c r="I42" s="42" t="s">
        <v>109</v>
      </c>
      <c r="J42" s="42" t="s">
        <v>69</v>
      </c>
      <c r="K42" s="43" t="n">
        <v>87.26</v>
      </c>
      <c r="L42" s="43" t="n">
        <v>0</v>
      </c>
      <c r="M42" s="43" t="n">
        <v>87.26</v>
      </c>
    </row>
    <row r="43" customFormat="false" ht="15" hidden="false" customHeight="false" outlineLevel="0" collapsed="false">
      <c r="A43" s="40" t="n">
        <v>46232</v>
      </c>
      <c r="B43" s="41" t="n">
        <v>61400</v>
      </c>
      <c r="C43" s="42" t="s">
        <v>35</v>
      </c>
      <c r="D43" s="42" t="s">
        <v>70</v>
      </c>
      <c r="E43" s="42" t="s">
        <v>278</v>
      </c>
      <c r="F43" s="42" t="s">
        <v>285</v>
      </c>
      <c r="G43" s="42" t="s">
        <v>286</v>
      </c>
      <c r="H43" s="42" t="s">
        <v>286</v>
      </c>
      <c r="I43" s="42" t="s">
        <v>109</v>
      </c>
      <c r="J43" s="42" t="s">
        <v>69</v>
      </c>
      <c r="K43" s="43" t="n">
        <v>116.35</v>
      </c>
      <c r="L43" s="43" t="n">
        <v>0</v>
      </c>
      <c r="M43" s="43" t="n">
        <v>116.35</v>
      </c>
    </row>
    <row r="44" customFormat="false" ht="15" hidden="false" customHeight="false" outlineLevel="0" collapsed="false">
      <c r="A44" s="40" t="n">
        <v>46232</v>
      </c>
      <c r="B44" s="41" t="n">
        <v>61400</v>
      </c>
      <c r="C44" s="42" t="s">
        <v>35</v>
      </c>
      <c r="D44" s="42" t="s">
        <v>70</v>
      </c>
      <c r="E44" s="42" t="s">
        <v>320</v>
      </c>
      <c r="F44" s="44" t="s">
        <v>321</v>
      </c>
      <c r="G44" s="42" t="s">
        <v>322</v>
      </c>
      <c r="H44" s="42" t="s">
        <v>322</v>
      </c>
      <c r="I44" s="42" t="s">
        <v>109</v>
      </c>
      <c r="J44" s="42" t="s">
        <v>69</v>
      </c>
      <c r="K44" s="43" t="n">
        <v>8.68</v>
      </c>
      <c r="L44" s="43" t="n">
        <v>0</v>
      </c>
      <c r="M44" s="43" t="n">
        <v>8.68</v>
      </c>
    </row>
    <row r="45" customFormat="false" ht="15" hidden="false" customHeight="false" outlineLevel="0" collapsed="false">
      <c r="A45" s="40" t="n">
        <v>46232</v>
      </c>
      <c r="B45" s="41" t="n">
        <v>61400</v>
      </c>
      <c r="C45" s="42" t="s">
        <v>35</v>
      </c>
      <c r="D45" s="42" t="s">
        <v>70</v>
      </c>
      <c r="E45" s="42" t="s">
        <v>320</v>
      </c>
      <c r="F45" s="44" t="s">
        <v>323</v>
      </c>
      <c r="G45" s="42" t="s">
        <v>322</v>
      </c>
      <c r="H45" s="42" t="s">
        <v>322</v>
      </c>
      <c r="I45" s="42" t="s">
        <v>109</v>
      </c>
      <c r="J45" s="42" t="s">
        <v>69</v>
      </c>
      <c r="K45" s="43" t="n">
        <v>8.68</v>
      </c>
      <c r="L45" s="43" t="n">
        <v>0</v>
      </c>
      <c r="M45" s="43" t="n">
        <v>8.68</v>
      </c>
    </row>
    <row r="46" customFormat="false" ht="15" hidden="false" customHeight="false" outlineLevel="0" collapsed="false">
      <c r="A46" s="40" t="n">
        <v>46232</v>
      </c>
      <c r="B46" s="41" t="n">
        <v>61400</v>
      </c>
      <c r="C46" s="42" t="s">
        <v>35</v>
      </c>
      <c r="D46" s="42" t="s">
        <v>70</v>
      </c>
      <c r="E46" s="42" t="s">
        <v>320</v>
      </c>
      <c r="F46" s="44" t="s">
        <v>324</v>
      </c>
      <c r="G46" s="42" t="s">
        <v>322</v>
      </c>
      <c r="H46" s="42" t="s">
        <v>322</v>
      </c>
      <c r="I46" s="42" t="s">
        <v>109</v>
      </c>
      <c r="J46" s="42" t="s">
        <v>69</v>
      </c>
      <c r="K46" s="43" t="n">
        <v>8.68</v>
      </c>
      <c r="L46" s="43" t="n">
        <v>0</v>
      </c>
      <c r="M46" s="43" t="n">
        <v>8.68</v>
      </c>
    </row>
    <row r="47" customFormat="false" ht="15" hidden="false" customHeight="false" outlineLevel="0" collapsed="false">
      <c r="A47" s="40" t="n">
        <v>46232</v>
      </c>
      <c r="B47" s="41" t="n">
        <v>61400</v>
      </c>
      <c r="C47" s="42" t="s">
        <v>35</v>
      </c>
      <c r="D47" s="42" t="s">
        <v>70</v>
      </c>
      <c r="E47" s="42" t="s">
        <v>320</v>
      </c>
      <c r="F47" s="44" t="s">
        <v>325</v>
      </c>
      <c r="G47" s="42" t="s">
        <v>322</v>
      </c>
      <c r="H47" s="42" t="s">
        <v>322</v>
      </c>
      <c r="I47" s="42" t="s">
        <v>109</v>
      </c>
      <c r="J47" s="42" t="s">
        <v>69</v>
      </c>
      <c r="K47" s="43" t="n">
        <v>8.68</v>
      </c>
      <c r="L47" s="43" t="n">
        <v>0</v>
      </c>
      <c r="M47" s="43" t="n">
        <v>8.68</v>
      </c>
    </row>
    <row r="48" customFormat="false" ht="15" hidden="false" customHeight="false" outlineLevel="0" collapsed="false">
      <c r="A48" s="40" t="n">
        <v>46232</v>
      </c>
      <c r="B48" s="41" t="n">
        <v>61400</v>
      </c>
      <c r="C48" s="42" t="s">
        <v>35</v>
      </c>
      <c r="D48" s="42" t="s">
        <v>70</v>
      </c>
      <c r="E48" s="42" t="s">
        <v>320</v>
      </c>
      <c r="F48" s="44" t="s">
        <v>326</v>
      </c>
      <c r="G48" s="42" t="s">
        <v>322</v>
      </c>
      <c r="H48" s="42" t="s">
        <v>322</v>
      </c>
      <c r="I48" s="42" t="s">
        <v>109</v>
      </c>
      <c r="J48" s="42" t="s">
        <v>69</v>
      </c>
      <c r="K48" s="43" t="n">
        <v>8.68</v>
      </c>
      <c r="L48" s="43" t="n">
        <v>0</v>
      </c>
      <c r="M48" s="43" t="n">
        <v>8.68</v>
      </c>
    </row>
    <row r="49" customFormat="false" ht="15" hidden="false" customHeight="false" outlineLevel="0" collapsed="false">
      <c r="A49" s="40" t="n">
        <v>46232</v>
      </c>
      <c r="B49" s="41" t="n">
        <v>61400</v>
      </c>
      <c r="C49" s="42" t="s">
        <v>35</v>
      </c>
      <c r="D49" s="42" t="s">
        <v>70</v>
      </c>
      <c r="E49" s="42" t="s">
        <v>320</v>
      </c>
      <c r="F49" s="44" t="s">
        <v>327</v>
      </c>
      <c r="G49" s="42" t="s">
        <v>322</v>
      </c>
      <c r="H49" s="42" t="s">
        <v>322</v>
      </c>
      <c r="I49" s="42" t="s">
        <v>109</v>
      </c>
      <c r="J49" s="42" t="s">
        <v>69</v>
      </c>
      <c r="K49" s="43" t="n">
        <v>8.68</v>
      </c>
      <c r="L49" s="43" t="n">
        <v>0</v>
      </c>
      <c r="M49" s="43" t="n">
        <v>8.68</v>
      </c>
    </row>
    <row r="50" customFormat="false" ht="15" hidden="false" customHeight="false" outlineLevel="0" collapsed="false">
      <c r="A50" s="40" t="n">
        <v>46232</v>
      </c>
      <c r="B50" s="41" t="n">
        <v>61400</v>
      </c>
      <c r="C50" s="42" t="s">
        <v>35</v>
      </c>
      <c r="D50" s="42" t="s">
        <v>70</v>
      </c>
      <c r="E50" s="42" t="s">
        <v>320</v>
      </c>
      <c r="F50" s="44" t="s">
        <v>328</v>
      </c>
      <c r="G50" s="42" t="s">
        <v>322</v>
      </c>
      <c r="H50" s="42" t="s">
        <v>322</v>
      </c>
      <c r="I50" s="42" t="s">
        <v>109</v>
      </c>
      <c r="J50" s="42" t="s">
        <v>69</v>
      </c>
      <c r="K50" s="43" t="n">
        <v>8.68</v>
      </c>
      <c r="L50" s="43" t="n">
        <v>0</v>
      </c>
      <c r="M50" s="43" t="n">
        <v>8.68</v>
      </c>
    </row>
    <row r="51" customFormat="false" ht="15" hidden="false" customHeight="false" outlineLevel="0" collapsed="false">
      <c r="A51" s="40" t="n">
        <v>46232</v>
      </c>
      <c r="B51" s="41" t="n">
        <v>61400</v>
      </c>
      <c r="C51" s="42" t="s">
        <v>35</v>
      </c>
      <c r="D51" s="42" t="s">
        <v>70</v>
      </c>
      <c r="E51" s="42" t="s">
        <v>320</v>
      </c>
      <c r="F51" s="44" t="s">
        <v>329</v>
      </c>
      <c r="G51" s="42" t="s">
        <v>322</v>
      </c>
      <c r="H51" s="42" t="s">
        <v>322</v>
      </c>
      <c r="I51" s="42" t="s">
        <v>109</v>
      </c>
      <c r="J51" s="42" t="s">
        <v>69</v>
      </c>
      <c r="K51" s="43" t="n">
        <v>8.68</v>
      </c>
      <c r="L51" s="43" t="n">
        <v>0</v>
      </c>
      <c r="M51" s="43" t="n">
        <v>8.68</v>
      </c>
    </row>
    <row r="52" customFormat="false" ht="15" hidden="false" customHeight="false" outlineLevel="0" collapsed="false">
      <c r="A52" s="40" t="n">
        <v>46232</v>
      </c>
      <c r="B52" s="41" t="n">
        <v>61400</v>
      </c>
      <c r="C52" s="42" t="s">
        <v>35</v>
      </c>
      <c r="D52" s="42" t="s">
        <v>70</v>
      </c>
      <c r="E52" s="42" t="s">
        <v>320</v>
      </c>
      <c r="F52" s="44" t="s">
        <v>330</v>
      </c>
      <c r="G52" s="42" t="s">
        <v>322</v>
      </c>
      <c r="H52" s="42" t="s">
        <v>322</v>
      </c>
      <c r="I52" s="42" t="s">
        <v>109</v>
      </c>
      <c r="J52" s="42" t="s">
        <v>69</v>
      </c>
      <c r="K52" s="43" t="n">
        <v>8.68</v>
      </c>
      <c r="L52" s="43" t="n">
        <v>0</v>
      </c>
      <c r="M52" s="43" t="n">
        <v>8.68</v>
      </c>
    </row>
    <row r="53" customFormat="false" ht="15" hidden="false" customHeight="false" outlineLevel="0" collapsed="false">
      <c r="A53" s="40" t="n">
        <v>46232</v>
      </c>
      <c r="B53" s="41" t="n">
        <v>61400</v>
      </c>
      <c r="C53" s="42" t="s">
        <v>35</v>
      </c>
      <c r="D53" s="42" t="s">
        <v>70</v>
      </c>
      <c r="E53" s="42" t="s">
        <v>320</v>
      </c>
      <c r="F53" s="44" t="s">
        <v>331</v>
      </c>
      <c r="G53" s="42" t="s">
        <v>322</v>
      </c>
      <c r="H53" s="42" t="s">
        <v>322</v>
      </c>
      <c r="I53" s="42" t="s">
        <v>109</v>
      </c>
      <c r="J53" s="42" t="s">
        <v>69</v>
      </c>
      <c r="K53" s="43" t="n">
        <v>8.68</v>
      </c>
      <c r="L53" s="43" t="n">
        <v>0</v>
      </c>
      <c r="M53" s="43" t="n">
        <v>8.68</v>
      </c>
    </row>
    <row r="54" customFormat="false" ht="15" hidden="false" customHeight="false" outlineLevel="0" collapsed="false">
      <c r="A54" s="40" t="n">
        <v>46232</v>
      </c>
      <c r="B54" s="41" t="n">
        <v>61400</v>
      </c>
      <c r="C54" s="42" t="s">
        <v>35</v>
      </c>
      <c r="D54" s="42" t="s">
        <v>70</v>
      </c>
      <c r="E54" s="42" t="s">
        <v>320</v>
      </c>
      <c r="F54" s="44" t="s">
        <v>332</v>
      </c>
      <c r="G54" s="42" t="s">
        <v>322</v>
      </c>
      <c r="H54" s="42" t="s">
        <v>322</v>
      </c>
      <c r="I54" s="42" t="s">
        <v>109</v>
      </c>
      <c r="J54" s="42" t="s">
        <v>69</v>
      </c>
      <c r="K54" s="43" t="n">
        <v>8.68</v>
      </c>
      <c r="L54" s="43" t="n">
        <v>0</v>
      </c>
      <c r="M54" s="43" t="n">
        <v>8.68</v>
      </c>
    </row>
    <row r="55" customFormat="false" ht="15" hidden="false" customHeight="false" outlineLevel="0" collapsed="false">
      <c r="A55" s="40" t="n">
        <v>46232</v>
      </c>
      <c r="B55" s="41" t="n">
        <v>61400</v>
      </c>
      <c r="C55" s="42" t="s">
        <v>35</v>
      </c>
      <c r="D55" s="42" t="s">
        <v>70</v>
      </c>
      <c r="E55" s="42" t="s">
        <v>320</v>
      </c>
      <c r="F55" s="44" t="s">
        <v>333</v>
      </c>
      <c r="G55" s="42" t="s">
        <v>322</v>
      </c>
      <c r="H55" s="42" t="s">
        <v>322</v>
      </c>
      <c r="I55" s="42" t="s">
        <v>109</v>
      </c>
      <c r="J55" s="42" t="s">
        <v>69</v>
      </c>
      <c r="K55" s="43" t="n">
        <v>8.68</v>
      </c>
      <c r="L55" s="43" t="n">
        <v>0</v>
      </c>
      <c r="M55" s="43" t="n">
        <v>8.68</v>
      </c>
    </row>
    <row r="56" customFormat="false" ht="15" hidden="false" customHeight="false" outlineLevel="0" collapsed="false">
      <c r="A56" s="40" t="n">
        <v>46232</v>
      </c>
      <c r="B56" s="41" t="n">
        <v>61400</v>
      </c>
      <c r="C56" s="42" t="s">
        <v>35</v>
      </c>
      <c r="D56" s="42" t="s">
        <v>70</v>
      </c>
      <c r="E56" s="42" t="s">
        <v>320</v>
      </c>
      <c r="F56" s="44" t="s">
        <v>334</v>
      </c>
      <c r="G56" s="42" t="s">
        <v>322</v>
      </c>
      <c r="H56" s="42" t="s">
        <v>322</v>
      </c>
      <c r="I56" s="42" t="s">
        <v>109</v>
      </c>
      <c r="J56" s="42" t="s">
        <v>69</v>
      </c>
      <c r="K56" s="43" t="n">
        <v>8.68</v>
      </c>
      <c r="L56" s="43" t="n">
        <v>0</v>
      </c>
      <c r="M56" s="43" t="n">
        <v>8.68</v>
      </c>
    </row>
    <row r="57" customFormat="false" ht="15" hidden="false" customHeight="false" outlineLevel="0" collapsed="false">
      <c r="A57" s="40" t="n">
        <v>46232</v>
      </c>
      <c r="B57" s="41" t="n">
        <v>61400</v>
      </c>
      <c r="C57" s="42" t="s">
        <v>35</v>
      </c>
      <c r="D57" s="42" t="s">
        <v>70</v>
      </c>
      <c r="E57" s="42" t="s">
        <v>320</v>
      </c>
      <c r="F57" s="44" t="s">
        <v>335</v>
      </c>
      <c r="G57" s="42" t="s">
        <v>322</v>
      </c>
      <c r="H57" s="42" t="s">
        <v>322</v>
      </c>
      <c r="I57" s="42" t="s">
        <v>109</v>
      </c>
      <c r="J57" s="42" t="s">
        <v>69</v>
      </c>
      <c r="K57" s="43" t="n">
        <v>8.68</v>
      </c>
      <c r="L57" s="43" t="n">
        <v>0</v>
      </c>
      <c r="M57" s="43" t="n">
        <v>8.68</v>
      </c>
    </row>
    <row r="58" customFormat="false" ht="15" hidden="false" customHeight="false" outlineLevel="0" collapsed="false">
      <c r="A58" s="40" t="n">
        <v>46233</v>
      </c>
      <c r="B58" s="41" t="n">
        <v>61400</v>
      </c>
      <c r="C58" s="42" t="s">
        <v>35</v>
      </c>
      <c r="D58" s="42" t="s">
        <v>80</v>
      </c>
      <c r="E58" s="42" t="s">
        <v>278</v>
      </c>
      <c r="F58" s="42" t="s">
        <v>279</v>
      </c>
      <c r="G58" s="42" t="s">
        <v>287</v>
      </c>
      <c r="H58" s="42" t="s">
        <v>287</v>
      </c>
      <c r="I58" s="42" t="s">
        <v>68</v>
      </c>
      <c r="J58" s="42" t="s">
        <v>69</v>
      </c>
      <c r="K58" s="43" t="n">
        <v>0</v>
      </c>
      <c r="L58" s="43" t="n">
        <v>75.66</v>
      </c>
      <c r="M58" s="43" t="n">
        <v>-75.66</v>
      </c>
    </row>
    <row r="59" customFormat="false" ht="15" hidden="false" customHeight="false" outlineLevel="0" collapsed="false">
      <c r="A59" s="40" t="n">
        <v>46233</v>
      </c>
      <c r="B59" s="41" t="n">
        <v>61400</v>
      </c>
      <c r="C59" s="42" t="s">
        <v>35</v>
      </c>
      <c r="D59" s="42" t="s">
        <v>80</v>
      </c>
      <c r="E59" s="42" t="s">
        <v>278</v>
      </c>
      <c r="F59" s="42" t="s">
        <v>281</v>
      </c>
      <c r="G59" s="42" t="s">
        <v>288</v>
      </c>
      <c r="H59" s="42" t="s">
        <v>288</v>
      </c>
      <c r="I59" s="42" t="s">
        <v>68</v>
      </c>
      <c r="J59" s="42" t="s">
        <v>69</v>
      </c>
      <c r="K59" s="43" t="n">
        <v>0</v>
      </c>
      <c r="L59" s="43" t="n">
        <v>5.32</v>
      </c>
      <c r="M59" s="43" t="n">
        <v>-5.32</v>
      </c>
    </row>
    <row r="60" customFormat="false" ht="15" hidden="false" customHeight="false" outlineLevel="0" collapsed="false">
      <c r="A60" s="40" t="n">
        <v>46233</v>
      </c>
      <c r="B60" s="41" t="n">
        <v>61400</v>
      </c>
      <c r="C60" s="42" t="s">
        <v>35</v>
      </c>
      <c r="D60" s="42" t="s">
        <v>70</v>
      </c>
      <c r="E60" s="42" t="s">
        <v>309</v>
      </c>
      <c r="F60" s="44" t="s">
        <v>310</v>
      </c>
      <c r="G60" s="42" t="s">
        <v>311</v>
      </c>
      <c r="H60" s="42" t="s">
        <v>311</v>
      </c>
      <c r="I60" s="42" t="s">
        <v>121</v>
      </c>
      <c r="J60" s="42" t="s">
        <v>122</v>
      </c>
      <c r="K60" s="43" t="n">
        <v>90</v>
      </c>
      <c r="L60" s="43" t="n">
        <v>0</v>
      </c>
      <c r="M60" s="43" t="n">
        <v>90</v>
      </c>
    </row>
    <row r="61" customFormat="false" ht="15" hidden="false" customHeight="false" outlineLevel="0" collapsed="false">
      <c r="A61" s="40" t="n">
        <v>46233</v>
      </c>
      <c r="B61" s="41" t="n">
        <v>61400</v>
      </c>
      <c r="C61" s="42" t="s">
        <v>35</v>
      </c>
      <c r="D61" s="42" t="s">
        <v>70</v>
      </c>
      <c r="E61" s="42" t="s">
        <v>239</v>
      </c>
      <c r="F61" s="44" t="s">
        <v>244</v>
      </c>
      <c r="G61" s="42" t="s">
        <v>245</v>
      </c>
      <c r="H61" s="42" t="s">
        <v>245</v>
      </c>
      <c r="I61" s="42" t="s">
        <v>112</v>
      </c>
      <c r="J61" s="42" t="s">
        <v>113</v>
      </c>
      <c r="K61" s="43" t="n">
        <v>65.03</v>
      </c>
      <c r="L61" s="43" t="n">
        <v>0</v>
      </c>
      <c r="M61" s="43" t="n">
        <v>65.03</v>
      </c>
    </row>
    <row r="62" customFormat="false" ht="15" hidden="false" customHeight="false" outlineLevel="0" collapsed="false">
      <c r="A62" s="40" t="n">
        <v>46234</v>
      </c>
      <c r="B62" s="41" t="n">
        <v>61400</v>
      </c>
      <c r="C62" s="42" t="s">
        <v>35</v>
      </c>
      <c r="D62" s="42" t="s">
        <v>107</v>
      </c>
      <c r="E62" s="45" t="s">
        <v>394</v>
      </c>
      <c r="F62" s="42" t="s">
        <v>104</v>
      </c>
      <c r="G62" s="42"/>
      <c r="H62" s="42" t="s">
        <v>105</v>
      </c>
      <c r="I62" s="42" t="s">
        <v>106</v>
      </c>
      <c r="J62" s="42" t="s">
        <v>69</v>
      </c>
      <c r="K62" s="43" t="n">
        <v>38.75</v>
      </c>
      <c r="L62" s="43" t="n">
        <v>0</v>
      </c>
      <c r="M62" s="43" t="n">
        <v>38.75</v>
      </c>
    </row>
    <row r="63" customFormat="false" ht="15" hidden="false" customHeight="false" outlineLevel="0" collapsed="false">
      <c r="A63" s="40" t="n">
        <v>46234</v>
      </c>
      <c r="B63" s="41" t="n">
        <v>61400</v>
      </c>
      <c r="C63" s="42" t="s">
        <v>35</v>
      </c>
      <c r="D63" s="42" t="s">
        <v>107</v>
      </c>
      <c r="E63" s="45" t="s">
        <v>394</v>
      </c>
      <c r="F63" s="42" t="s">
        <v>108</v>
      </c>
      <c r="G63" s="42"/>
      <c r="H63" s="42" t="s">
        <v>105</v>
      </c>
      <c r="I63" s="42" t="s">
        <v>109</v>
      </c>
      <c r="J63" s="42" t="s">
        <v>69</v>
      </c>
      <c r="K63" s="43" t="n">
        <v>12.5</v>
      </c>
      <c r="L63" s="43" t="n">
        <v>0</v>
      </c>
      <c r="M63" s="43" t="n">
        <v>12.5</v>
      </c>
    </row>
    <row r="64" customFormat="false" ht="15" hidden="false" customHeight="false" outlineLevel="0" collapsed="false">
      <c r="A64" s="40" t="n">
        <v>46234</v>
      </c>
      <c r="B64" s="41" t="n">
        <v>61400</v>
      </c>
      <c r="C64" s="42" t="s">
        <v>35</v>
      </c>
      <c r="D64" s="42" t="s">
        <v>107</v>
      </c>
      <c r="E64" s="45" t="s">
        <v>394</v>
      </c>
      <c r="F64" s="42" t="s">
        <v>110</v>
      </c>
      <c r="G64" s="42"/>
      <c r="H64" s="42" t="s">
        <v>105</v>
      </c>
      <c r="I64" s="42" t="s">
        <v>109</v>
      </c>
      <c r="J64" s="42" t="s">
        <v>69</v>
      </c>
      <c r="K64" s="43" t="n">
        <v>35.36</v>
      </c>
      <c r="L64" s="43" t="n">
        <v>0</v>
      </c>
      <c r="M64" s="43" t="n">
        <v>35.36</v>
      </c>
    </row>
    <row r="65" customFormat="false" ht="15" hidden="false" customHeight="false" outlineLevel="0" collapsed="false">
      <c r="A65" s="40" t="n">
        <v>46234</v>
      </c>
      <c r="B65" s="41" t="n">
        <v>61400</v>
      </c>
      <c r="C65" s="42" t="s">
        <v>35</v>
      </c>
      <c r="D65" s="42" t="s">
        <v>107</v>
      </c>
      <c r="E65" s="45" t="s">
        <v>394</v>
      </c>
      <c r="F65" s="42" t="s">
        <v>111</v>
      </c>
      <c r="G65" s="42"/>
      <c r="H65" s="42" t="s">
        <v>105</v>
      </c>
      <c r="I65" s="42" t="s">
        <v>112</v>
      </c>
      <c r="J65" s="42" t="s">
        <v>113</v>
      </c>
      <c r="K65" s="43" t="n">
        <v>348.89</v>
      </c>
      <c r="L65" s="43" t="n">
        <v>0</v>
      </c>
      <c r="M65" s="43" t="n">
        <v>348.89</v>
      </c>
    </row>
    <row r="66" customFormat="false" ht="15" hidden="false" customHeight="false" outlineLevel="0" collapsed="false">
      <c r="A66" s="40" t="n">
        <v>46234</v>
      </c>
      <c r="B66" s="41" t="n">
        <v>61400</v>
      </c>
      <c r="C66" s="42" t="s">
        <v>35</v>
      </c>
      <c r="D66" s="42" t="s">
        <v>107</v>
      </c>
      <c r="E66" s="45" t="s">
        <v>394</v>
      </c>
      <c r="F66" s="42" t="s">
        <v>114</v>
      </c>
      <c r="G66" s="42"/>
      <c r="H66" s="42" t="s">
        <v>105</v>
      </c>
      <c r="I66" s="42" t="s">
        <v>112</v>
      </c>
      <c r="J66" s="42" t="s">
        <v>113</v>
      </c>
      <c r="K66" s="43" t="n">
        <v>38.59</v>
      </c>
      <c r="L66" s="43" t="n">
        <v>0</v>
      </c>
      <c r="M66" s="43" t="n">
        <v>38.59</v>
      </c>
    </row>
    <row r="67" customFormat="false" ht="15" hidden="false" customHeight="false" outlineLevel="0" collapsed="false">
      <c r="A67" s="40" t="n">
        <v>46234</v>
      </c>
      <c r="B67" s="41" t="n">
        <v>61400</v>
      </c>
      <c r="C67" s="42" t="s">
        <v>35</v>
      </c>
      <c r="D67" s="42" t="s">
        <v>107</v>
      </c>
      <c r="E67" s="45" t="s">
        <v>394</v>
      </c>
      <c r="F67" s="42" t="s">
        <v>115</v>
      </c>
      <c r="G67" s="42"/>
      <c r="H67" s="42" t="s">
        <v>105</v>
      </c>
      <c r="I67" s="42" t="s">
        <v>116</v>
      </c>
      <c r="J67" s="42" t="s">
        <v>69</v>
      </c>
      <c r="K67" s="43" t="n">
        <v>530</v>
      </c>
      <c r="L67" s="43" t="n">
        <v>0</v>
      </c>
      <c r="M67" s="43" t="n">
        <v>530</v>
      </c>
    </row>
    <row r="68" customFormat="false" ht="15" hidden="false" customHeight="false" outlineLevel="0" collapsed="false">
      <c r="A68" s="40" t="n">
        <v>46234</v>
      </c>
      <c r="B68" s="41" t="n">
        <v>61400</v>
      </c>
      <c r="C68" s="42" t="s">
        <v>35</v>
      </c>
      <c r="D68" s="42" t="s">
        <v>107</v>
      </c>
      <c r="E68" s="45" t="s">
        <v>394</v>
      </c>
      <c r="F68" s="42" t="s">
        <v>117</v>
      </c>
      <c r="G68" s="42"/>
      <c r="H68" s="42" t="s">
        <v>105</v>
      </c>
      <c r="I68" s="42" t="s">
        <v>118</v>
      </c>
      <c r="J68" s="42" t="s">
        <v>113</v>
      </c>
      <c r="K68" s="43" t="n">
        <v>44.28</v>
      </c>
      <c r="L68" s="43" t="n">
        <v>0</v>
      </c>
      <c r="M68" s="43" t="n">
        <v>44.28</v>
      </c>
    </row>
    <row r="69" customFormat="false" ht="15" hidden="false" customHeight="false" outlineLevel="0" collapsed="false">
      <c r="A69" s="40" t="n">
        <v>46234</v>
      </c>
      <c r="B69" s="41" t="n">
        <v>61400</v>
      </c>
      <c r="C69" s="42" t="s">
        <v>35</v>
      </c>
      <c r="D69" s="42" t="s">
        <v>107</v>
      </c>
      <c r="E69" s="45" t="s">
        <v>394</v>
      </c>
      <c r="F69" s="42" t="s">
        <v>119</v>
      </c>
      <c r="G69" s="42"/>
      <c r="H69" s="42" t="s">
        <v>105</v>
      </c>
      <c r="I69" s="42" t="s">
        <v>112</v>
      </c>
      <c r="J69" s="42" t="s">
        <v>113</v>
      </c>
      <c r="K69" s="43" t="n">
        <v>44.33</v>
      </c>
      <c r="L69" s="43" t="n">
        <v>0</v>
      </c>
      <c r="M69" s="43" t="n">
        <v>44.33</v>
      </c>
    </row>
    <row r="70" customFormat="false" ht="15" hidden="false" customHeight="false" outlineLevel="0" collapsed="false">
      <c r="A70" s="40" t="n">
        <v>46234</v>
      </c>
      <c r="B70" s="41" t="n">
        <v>61400</v>
      </c>
      <c r="C70" s="42" t="s">
        <v>35</v>
      </c>
      <c r="D70" s="42" t="s">
        <v>107</v>
      </c>
      <c r="E70" s="45" t="s">
        <v>394</v>
      </c>
      <c r="F70" s="42" t="s">
        <v>120</v>
      </c>
      <c r="G70" s="42"/>
      <c r="H70" s="42" t="s">
        <v>105</v>
      </c>
      <c r="I70" s="42" t="s">
        <v>121</v>
      </c>
      <c r="J70" s="42" t="s">
        <v>122</v>
      </c>
      <c r="K70" s="43" t="n">
        <v>79.75</v>
      </c>
      <c r="L70" s="43" t="n">
        <v>0</v>
      </c>
      <c r="M70" s="43" t="n">
        <v>79.75</v>
      </c>
    </row>
    <row r="71" customFormat="false" ht="15" hidden="false" customHeight="false" outlineLevel="0" collapsed="false">
      <c r="A71" s="40" t="n">
        <v>46234</v>
      </c>
      <c r="B71" s="41" t="n">
        <v>61400</v>
      </c>
      <c r="C71" s="42" t="s">
        <v>35</v>
      </c>
      <c r="D71" s="42" t="s">
        <v>107</v>
      </c>
      <c r="E71" s="45" t="s">
        <v>394</v>
      </c>
      <c r="F71" s="42" t="s">
        <v>120</v>
      </c>
      <c r="G71" s="42"/>
      <c r="H71" s="42" t="s">
        <v>105</v>
      </c>
      <c r="I71" s="42" t="s">
        <v>123</v>
      </c>
      <c r="J71" s="42" t="s">
        <v>124</v>
      </c>
      <c r="K71" s="43" t="n">
        <v>39.88</v>
      </c>
      <c r="L71" s="43" t="n">
        <v>0</v>
      </c>
      <c r="M71" s="43" t="n">
        <v>39.88</v>
      </c>
    </row>
    <row r="72" customFormat="false" ht="15" hidden="false" customHeight="false" outlineLevel="0" collapsed="false">
      <c r="A72" s="40" t="n">
        <v>46234</v>
      </c>
      <c r="B72" s="41" t="n">
        <v>61400</v>
      </c>
      <c r="C72" s="42" t="s">
        <v>35</v>
      </c>
      <c r="D72" s="42" t="s">
        <v>107</v>
      </c>
      <c r="E72" s="45" t="s">
        <v>394</v>
      </c>
      <c r="F72" s="42" t="s">
        <v>120</v>
      </c>
      <c r="G72" s="42"/>
      <c r="H72" s="42" t="s">
        <v>105</v>
      </c>
      <c r="I72" s="42" t="s">
        <v>125</v>
      </c>
      <c r="J72" s="42" t="s">
        <v>126</v>
      </c>
      <c r="K72" s="43" t="n">
        <v>39.88</v>
      </c>
      <c r="L72" s="43" t="n">
        <v>0</v>
      </c>
      <c r="M72" s="43" t="n">
        <v>39.88</v>
      </c>
    </row>
    <row r="73" customFormat="false" ht="15" hidden="false" customHeight="false" outlineLevel="0" collapsed="false">
      <c r="A73" s="40" t="n">
        <v>46234</v>
      </c>
      <c r="B73" s="41" t="n">
        <v>61400</v>
      </c>
      <c r="C73" s="42" t="s">
        <v>35</v>
      </c>
      <c r="D73" s="42" t="s">
        <v>107</v>
      </c>
      <c r="E73" s="45" t="s">
        <v>394</v>
      </c>
      <c r="F73" s="42" t="s">
        <v>127</v>
      </c>
      <c r="G73" s="42"/>
      <c r="H73" s="42" t="s">
        <v>105</v>
      </c>
      <c r="I73" s="42" t="s">
        <v>68</v>
      </c>
      <c r="J73" s="42" t="s">
        <v>69</v>
      </c>
      <c r="K73" s="43" t="n">
        <v>237.5</v>
      </c>
      <c r="L73" s="43" t="n">
        <v>0</v>
      </c>
      <c r="M73" s="43" t="n">
        <v>237.5</v>
      </c>
    </row>
    <row r="74" customFormat="false" ht="15" hidden="false" customHeight="false" outlineLevel="0" collapsed="false">
      <c r="A74" s="40" t="n">
        <v>46234</v>
      </c>
      <c r="B74" s="41" t="n">
        <v>61400</v>
      </c>
      <c r="C74" s="42" t="s">
        <v>35</v>
      </c>
      <c r="D74" s="42" t="s">
        <v>107</v>
      </c>
      <c r="E74" s="45" t="s">
        <v>394</v>
      </c>
      <c r="F74" s="42" t="s">
        <v>128</v>
      </c>
      <c r="G74" s="42"/>
      <c r="H74" s="42" t="s">
        <v>105</v>
      </c>
      <c r="I74" s="42" t="s">
        <v>68</v>
      </c>
      <c r="J74" s="42" t="s">
        <v>69</v>
      </c>
      <c r="K74" s="43" t="n">
        <v>49.99</v>
      </c>
      <c r="L74" s="43" t="n">
        <v>0</v>
      </c>
      <c r="M74" s="43" t="n">
        <v>49.99</v>
      </c>
    </row>
    <row r="75" customFormat="false" ht="15" hidden="false" customHeight="false" outlineLevel="0" collapsed="false">
      <c r="A75" s="40" t="n">
        <v>46234</v>
      </c>
      <c r="B75" s="41" t="n">
        <v>61400</v>
      </c>
      <c r="C75" s="42" t="s">
        <v>35</v>
      </c>
      <c r="D75" s="42" t="s">
        <v>107</v>
      </c>
      <c r="E75" s="45" t="s">
        <v>394</v>
      </c>
      <c r="F75" s="42" t="s">
        <v>129</v>
      </c>
      <c r="G75" s="42"/>
      <c r="H75" s="42" t="s">
        <v>105</v>
      </c>
      <c r="I75" s="42" t="s">
        <v>68</v>
      </c>
      <c r="J75" s="42" t="s">
        <v>69</v>
      </c>
      <c r="K75" s="43" t="n">
        <v>783.65</v>
      </c>
      <c r="L75" s="43" t="n">
        <v>0</v>
      </c>
      <c r="M75" s="43" t="n">
        <v>783.65</v>
      </c>
    </row>
    <row r="76" customFormat="false" ht="15" hidden="false" customHeight="false" outlineLevel="0" collapsed="false">
      <c r="A76" s="40" t="n">
        <v>46234</v>
      </c>
      <c r="B76" s="41" t="n">
        <v>61400</v>
      </c>
      <c r="C76" s="42" t="s">
        <v>35</v>
      </c>
      <c r="D76" s="42" t="s">
        <v>107</v>
      </c>
      <c r="E76" s="45" t="s">
        <v>394</v>
      </c>
      <c r="F76" s="42" t="s">
        <v>130</v>
      </c>
      <c r="G76" s="42"/>
      <c r="H76" s="42" t="s">
        <v>105</v>
      </c>
      <c r="I76" s="42" t="s">
        <v>68</v>
      </c>
      <c r="J76" s="42" t="s">
        <v>69</v>
      </c>
      <c r="K76" s="43" t="n">
        <v>700</v>
      </c>
      <c r="L76" s="43" t="n">
        <v>0</v>
      </c>
      <c r="M76" s="43" t="n">
        <v>700</v>
      </c>
    </row>
    <row r="77" customFormat="false" ht="15" hidden="false" customHeight="false" outlineLevel="0" collapsed="false">
      <c r="A77" s="40" t="n">
        <v>46234</v>
      </c>
      <c r="B77" s="41" t="n">
        <v>61400</v>
      </c>
      <c r="C77" s="42" t="s">
        <v>35</v>
      </c>
      <c r="D77" s="42" t="s">
        <v>107</v>
      </c>
      <c r="E77" s="45" t="s">
        <v>394</v>
      </c>
      <c r="F77" s="42" t="s">
        <v>131</v>
      </c>
      <c r="G77" s="42"/>
      <c r="H77" s="42" t="s">
        <v>105</v>
      </c>
      <c r="I77" s="42" t="s">
        <v>68</v>
      </c>
      <c r="J77" s="42" t="s">
        <v>69</v>
      </c>
      <c r="K77" s="43" t="n">
        <v>229.17</v>
      </c>
      <c r="L77" s="43" t="n">
        <v>0</v>
      </c>
      <c r="M77" s="43" t="n">
        <v>229.17</v>
      </c>
    </row>
    <row r="78" customFormat="false" ht="15" hidden="false" customHeight="false" outlineLevel="0" collapsed="false">
      <c r="A78" s="40" t="n">
        <v>46234</v>
      </c>
      <c r="B78" s="41" t="n">
        <v>61400</v>
      </c>
      <c r="C78" s="42" t="s">
        <v>35</v>
      </c>
      <c r="D78" s="42" t="s">
        <v>107</v>
      </c>
      <c r="E78" s="45" t="s">
        <v>394</v>
      </c>
      <c r="F78" s="42" t="s">
        <v>132</v>
      </c>
      <c r="G78" s="42"/>
      <c r="H78" s="42" t="s">
        <v>105</v>
      </c>
      <c r="I78" s="42" t="s">
        <v>125</v>
      </c>
      <c r="J78" s="42" t="s">
        <v>126</v>
      </c>
      <c r="K78" s="43" t="n">
        <v>115</v>
      </c>
      <c r="L78" s="43" t="n">
        <v>0</v>
      </c>
      <c r="M78" s="43" t="n">
        <v>115</v>
      </c>
    </row>
    <row r="79" customFormat="false" ht="15" hidden="false" customHeight="false" outlineLevel="0" collapsed="false">
      <c r="A79" s="40" t="n">
        <v>46234</v>
      </c>
      <c r="B79" s="41" t="n">
        <v>61400</v>
      </c>
      <c r="C79" s="42" t="s">
        <v>35</v>
      </c>
      <c r="D79" s="42" t="s">
        <v>107</v>
      </c>
      <c r="E79" s="45" t="s">
        <v>394</v>
      </c>
      <c r="F79" s="42" t="s">
        <v>133</v>
      </c>
      <c r="G79" s="42"/>
      <c r="H79" s="42" t="s">
        <v>105</v>
      </c>
      <c r="I79" s="42" t="s">
        <v>116</v>
      </c>
      <c r="J79" s="42" t="s">
        <v>69</v>
      </c>
      <c r="K79" s="43" t="n">
        <v>383.33</v>
      </c>
      <c r="L79" s="43" t="n">
        <v>0</v>
      </c>
      <c r="M79" s="43" t="n">
        <v>383.33</v>
      </c>
    </row>
    <row r="80" customFormat="false" ht="15" hidden="false" customHeight="false" outlineLevel="0" collapsed="false">
      <c r="A80" s="40" t="n">
        <v>46234</v>
      </c>
      <c r="B80" s="41" t="n">
        <v>61400</v>
      </c>
      <c r="C80" s="42" t="s">
        <v>35</v>
      </c>
      <c r="D80" s="42" t="s">
        <v>107</v>
      </c>
      <c r="E80" s="45" t="s">
        <v>394</v>
      </c>
      <c r="F80" s="42" t="s">
        <v>134</v>
      </c>
      <c r="G80" s="42"/>
      <c r="H80" s="42" t="s">
        <v>105</v>
      </c>
      <c r="I80" s="42" t="s">
        <v>135</v>
      </c>
      <c r="J80" s="42" t="s">
        <v>136</v>
      </c>
      <c r="K80" s="43" t="n">
        <v>95</v>
      </c>
      <c r="L80" s="43" t="n">
        <v>0</v>
      </c>
      <c r="M80" s="43" t="n">
        <v>95</v>
      </c>
    </row>
    <row r="81" customFormat="false" ht="15" hidden="false" customHeight="false" outlineLevel="0" collapsed="false">
      <c r="A81" s="40" t="n">
        <v>46234</v>
      </c>
      <c r="B81" s="41" t="n">
        <v>61400</v>
      </c>
      <c r="C81" s="42" t="s">
        <v>35</v>
      </c>
      <c r="D81" s="42" t="s">
        <v>107</v>
      </c>
      <c r="E81" s="45" t="s">
        <v>394</v>
      </c>
      <c r="F81" s="42" t="s">
        <v>137</v>
      </c>
      <c r="G81" s="42"/>
      <c r="H81" s="42" t="s">
        <v>105</v>
      </c>
      <c r="I81" s="42" t="s">
        <v>68</v>
      </c>
      <c r="J81" s="42" t="s">
        <v>69</v>
      </c>
      <c r="K81" s="43" t="n">
        <v>220</v>
      </c>
      <c r="L81" s="43" t="n">
        <v>0</v>
      </c>
      <c r="M81" s="43" t="n">
        <v>220</v>
      </c>
    </row>
    <row r="82" customFormat="false" ht="15" hidden="false" customHeight="false" outlineLevel="0" collapsed="false">
      <c r="A82" s="40" t="n">
        <v>46234</v>
      </c>
      <c r="B82" s="41" t="n">
        <v>61400</v>
      </c>
      <c r="C82" s="42" t="s">
        <v>35</v>
      </c>
      <c r="D82" s="42" t="s">
        <v>107</v>
      </c>
      <c r="E82" s="45" t="s">
        <v>394</v>
      </c>
      <c r="F82" s="42" t="s">
        <v>137</v>
      </c>
      <c r="G82" s="42"/>
      <c r="H82" s="42" t="s">
        <v>105</v>
      </c>
      <c r="I82" s="42" t="s">
        <v>112</v>
      </c>
      <c r="J82" s="42" t="s">
        <v>113</v>
      </c>
      <c r="K82" s="43" t="n">
        <v>363</v>
      </c>
      <c r="L82" s="43" t="n">
        <v>0</v>
      </c>
      <c r="M82" s="43" t="n">
        <v>363</v>
      </c>
    </row>
    <row r="83" customFormat="false" ht="15" hidden="false" customHeight="false" outlineLevel="0" collapsed="false">
      <c r="A83" s="40" t="n">
        <v>46234</v>
      </c>
      <c r="B83" s="41" t="n">
        <v>61400</v>
      </c>
      <c r="C83" s="42" t="s">
        <v>35</v>
      </c>
      <c r="D83" s="42" t="s">
        <v>107</v>
      </c>
      <c r="E83" s="45" t="s">
        <v>394</v>
      </c>
      <c r="F83" s="42" t="s">
        <v>137</v>
      </c>
      <c r="G83" s="42"/>
      <c r="H83" s="42" t="s">
        <v>105</v>
      </c>
      <c r="I83" s="42" t="s">
        <v>135</v>
      </c>
      <c r="J83" s="42" t="s">
        <v>136</v>
      </c>
      <c r="K83" s="43" t="n">
        <v>60.5</v>
      </c>
      <c r="L83" s="43" t="n">
        <v>0</v>
      </c>
      <c r="M83" s="43" t="n">
        <v>60.5</v>
      </c>
    </row>
    <row r="84" customFormat="false" ht="15" hidden="false" customHeight="false" outlineLevel="0" collapsed="false">
      <c r="A84" s="40" t="n">
        <v>46234</v>
      </c>
      <c r="B84" s="41" t="n">
        <v>61400</v>
      </c>
      <c r="C84" s="42" t="s">
        <v>35</v>
      </c>
      <c r="D84" s="42" t="s">
        <v>107</v>
      </c>
      <c r="E84" s="45" t="s">
        <v>394</v>
      </c>
      <c r="F84" s="42" t="s">
        <v>137</v>
      </c>
      <c r="G84" s="42"/>
      <c r="H84" s="42" t="s">
        <v>105</v>
      </c>
      <c r="I84" s="42" t="s">
        <v>121</v>
      </c>
      <c r="J84" s="42" t="s">
        <v>122</v>
      </c>
      <c r="K84" s="43" t="n">
        <v>60.5</v>
      </c>
      <c r="L84" s="43" t="n">
        <v>0</v>
      </c>
      <c r="M84" s="43" t="n">
        <v>60.5</v>
      </c>
    </row>
    <row r="85" customFormat="false" ht="15" hidden="false" customHeight="false" outlineLevel="0" collapsed="false">
      <c r="A85" s="40" t="n">
        <v>46234</v>
      </c>
      <c r="B85" s="41" t="n">
        <v>61400</v>
      </c>
      <c r="C85" s="42" t="s">
        <v>35</v>
      </c>
      <c r="D85" s="42" t="s">
        <v>107</v>
      </c>
      <c r="E85" s="45" t="s">
        <v>394</v>
      </c>
      <c r="F85" s="42" t="s">
        <v>137</v>
      </c>
      <c r="G85" s="42"/>
      <c r="H85" s="42" t="s">
        <v>105</v>
      </c>
      <c r="I85" s="42" t="s">
        <v>125</v>
      </c>
      <c r="J85" s="42" t="s">
        <v>126</v>
      </c>
      <c r="K85" s="43" t="n">
        <v>121</v>
      </c>
      <c r="L85" s="43" t="n">
        <v>0</v>
      </c>
      <c r="M85" s="43" t="n">
        <v>121</v>
      </c>
    </row>
    <row r="86" customFormat="false" ht="15" hidden="false" customHeight="false" outlineLevel="0" collapsed="false">
      <c r="A86" s="40" t="n">
        <v>46234</v>
      </c>
      <c r="B86" s="41" t="n">
        <v>61400</v>
      </c>
      <c r="C86" s="42" t="s">
        <v>35</v>
      </c>
      <c r="D86" s="42" t="s">
        <v>107</v>
      </c>
      <c r="E86" s="45" t="s">
        <v>394</v>
      </c>
      <c r="F86" s="42" t="s">
        <v>138</v>
      </c>
      <c r="G86" s="42"/>
      <c r="H86" s="42" t="s">
        <v>105</v>
      </c>
      <c r="I86" s="42" t="s">
        <v>135</v>
      </c>
      <c r="J86" s="42" t="s">
        <v>136</v>
      </c>
      <c r="K86" s="43" t="n">
        <v>61.78</v>
      </c>
      <c r="L86" s="43" t="n">
        <v>0</v>
      </c>
      <c r="M86" s="43" t="n">
        <v>61.78</v>
      </c>
    </row>
    <row r="87" customFormat="false" ht="15" hidden="false" customHeight="false" outlineLevel="0" collapsed="false">
      <c r="A87" s="40" t="n">
        <v>46234</v>
      </c>
      <c r="B87" s="41" t="n">
        <v>61400</v>
      </c>
      <c r="C87" s="42" t="s">
        <v>35</v>
      </c>
      <c r="D87" s="42" t="s">
        <v>107</v>
      </c>
      <c r="E87" s="45" t="s">
        <v>394</v>
      </c>
      <c r="F87" s="42" t="s">
        <v>139</v>
      </c>
      <c r="G87" s="42"/>
      <c r="H87" s="42" t="s">
        <v>105</v>
      </c>
      <c r="I87" s="42" t="s">
        <v>68</v>
      </c>
      <c r="J87" s="42" t="s">
        <v>69</v>
      </c>
      <c r="K87" s="43" t="n">
        <v>43.36</v>
      </c>
      <c r="L87" s="43" t="n">
        <v>0</v>
      </c>
      <c r="M87" s="43" t="n">
        <v>43.36</v>
      </c>
    </row>
    <row r="88" customFormat="false" ht="15" hidden="false" customHeight="false" outlineLevel="0" collapsed="false">
      <c r="A88" s="40" t="n">
        <v>46234</v>
      </c>
      <c r="B88" s="41" t="n">
        <v>61400</v>
      </c>
      <c r="C88" s="42" t="s">
        <v>35</v>
      </c>
      <c r="D88" s="42" t="s">
        <v>70</v>
      </c>
      <c r="E88" s="42" t="s">
        <v>239</v>
      </c>
      <c r="F88" s="44" t="s">
        <v>246</v>
      </c>
      <c r="G88" s="42" t="s">
        <v>247</v>
      </c>
      <c r="H88" s="42" t="s">
        <v>247</v>
      </c>
      <c r="I88" s="42" t="s">
        <v>112</v>
      </c>
      <c r="J88" s="42" t="s">
        <v>113</v>
      </c>
      <c r="K88" s="43" t="n">
        <v>64.39</v>
      </c>
      <c r="L88" s="43" t="n">
        <v>0</v>
      </c>
      <c r="M88" s="43" t="n">
        <v>64.39</v>
      </c>
    </row>
    <row r="89" customFormat="false" ht="15" hidden="false" customHeight="false" outlineLevel="0" collapsed="false">
      <c r="A89" s="40" t="n">
        <v>46235</v>
      </c>
      <c r="B89" s="41" t="n">
        <v>61400</v>
      </c>
      <c r="C89" s="42" t="s">
        <v>35</v>
      </c>
      <c r="D89" s="42" t="s">
        <v>70</v>
      </c>
      <c r="E89" s="42" t="s">
        <v>64</v>
      </c>
      <c r="F89" s="42" t="s">
        <v>89</v>
      </c>
      <c r="G89" s="42" t="s">
        <v>102</v>
      </c>
      <c r="H89" s="42" t="s">
        <v>102</v>
      </c>
      <c r="I89" s="42" t="s">
        <v>68</v>
      </c>
      <c r="J89" s="42" t="s">
        <v>69</v>
      </c>
      <c r="K89" s="43" t="n">
        <v>643.73</v>
      </c>
      <c r="L89" s="43" t="n">
        <v>0</v>
      </c>
      <c r="M89" s="43" t="n">
        <v>643.73</v>
      </c>
    </row>
    <row r="90" customFormat="false" ht="15" hidden="false" customHeight="false" outlineLevel="0" collapsed="false">
      <c r="A90" s="40" t="n">
        <v>46235</v>
      </c>
      <c r="B90" s="41" t="n">
        <v>61400</v>
      </c>
      <c r="C90" s="42" t="s">
        <v>35</v>
      </c>
      <c r="D90" s="42" t="s">
        <v>70</v>
      </c>
      <c r="E90" s="42" t="s">
        <v>64</v>
      </c>
      <c r="F90" s="44" t="s">
        <v>91</v>
      </c>
      <c r="G90" s="42" t="s">
        <v>85</v>
      </c>
      <c r="H90" s="42" t="s">
        <v>85</v>
      </c>
      <c r="I90" s="42" t="s">
        <v>68</v>
      </c>
      <c r="J90" s="42" t="s">
        <v>69</v>
      </c>
      <c r="K90" s="43" t="n">
        <v>79.92</v>
      </c>
      <c r="L90" s="43" t="n">
        <v>0</v>
      </c>
      <c r="M90" s="43" t="n">
        <v>79.92</v>
      </c>
    </row>
    <row r="91" customFormat="false" ht="15" hidden="false" customHeight="false" outlineLevel="0" collapsed="false">
      <c r="A91" s="40" t="n">
        <v>46235</v>
      </c>
      <c r="B91" s="41" t="n">
        <v>61400</v>
      </c>
      <c r="C91" s="42" t="s">
        <v>35</v>
      </c>
      <c r="D91" s="42" t="s">
        <v>70</v>
      </c>
      <c r="E91" s="42" t="s">
        <v>64</v>
      </c>
      <c r="F91" s="42" t="s">
        <v>92</v>
      </c>
      <c r="G91" s="42" t="s">
        <v>85</v>
      </c>
      <c r="H91" s="42" t="s">
        <v>85</v>
      </c>
      <c r="I91" s="42" t="s">
        <v>68</v>
      </c>
      <c r="J91" s="42" t="s">
        <v>69</v>
      </c>
      <c r="K91" s="43" t="n">
        <v>57.6</v>
      </c>
      <c r="L91" s="43" t="n">
        <v>0</v>
      </c>
      <c r="M91" s="43" t="n">
        <v>57.6</v>
      </c>
    </row>
    <row r="92" customFormat="false" ht="15" hidden="false" customHeight="false" outlineLevel="0" collapsed="false">
      <c r="A92" s="40" t="n">
        <v>46235</v>
      </c>
      <c r="B92" s="41" t="n">
        <v>61400</v>
      </c>
      <c r="C92" s="42" t="s">
        <v>35</v>
      </c>
      <c r="D92" s="42" t="s">
        <v>70</v>
      </c>
      <c r="E92" s="42" t="s">
        <v>64</v>
      </c>
      <c r="F92" s="42" t="s">
        <v>93</v>
      </c>
      <c r="G92" s="42" t="s">
        <v>85</v>
      </c>
      <c r="H92" s="42" t="s">
        <v>85</v>
      </c>
      <c r="I92" s="42" t="s">
        <v>68</v>
      </c>
      <c r="J92" s="42" t="s">
        <v>69</v>
      </c>
      <c r="K92" s="43" t="n">
        <v>9</v>
      </c>
      <c r="L92" s="43" t="n">
        <v>0</v>
      </c>
      <c r="M92" s="43" t="n">
        <v>9</v>
      </c>
    </row>
    <row r="93" customFormat="false" ht="15" hidden="false" customHeight="false" outlineLevel="0" collapsed="false">
      <c r="A93" s="40" t="n">
        <v>46235</v>
      </c>
      <c r="B93" s="41" t="n">
        <v>61400</v>
      </c>
      <c r="C93" s="42" t="s">
        <v>35</v>
      </c>
      <c r="D93" s="42" t="s">
        <v>70</v>
      </c>
      <c r="E93" s="42" t="s">
        <v>64</v>
      </c>
      <c r="F93" s="42" t="s">
        <v>94</v>
      </c>
      <c r="G93" s="42" t="s">
        <v>85</v>
      </c>
      <c r="H93" s="42" t="s">
        <v>85</v>
      </c>
      <c r="I93" s="42" t="s">
        <v>68</v>
      </c>
      <c r="J93" s="42" t="s">
        <v>69</v>
      </c>
      <c r="K93" s="43" t="n">
        <v>917.28</v>
      </c>
      <c r="L93" s="43" t="n">
        <v>0</v>
      </c>
      <c r="M93" s="43" t="n">
        <v>917.28</v>
      </c>
    </row>
    <row r="94" customFormat="false" ht="15" hidden="false" customHeight="false" outlineLevel="0" collapsed="false">
      <c r="A94" s="40" t="n">
        <v>46235</v>
      </c>
      <c r="B94" s="41" t="n">
        <v>61400</v>
      </c>
      <c r="C94" s="42" t="s">
        <v>35</v>
      </c>
      <c r="D94" s="42" t="s">
        <v>70</v>
      </c>
      <c r="E94" s="42" t="s">
        <v>64</v>
      </c>
      <c r="F94" s="44" t="s">
        <v>95</v>
      </c>
      <c r="G94" s="42" t="s">
        <v>85</v>
      </c>
      <c r="H94" s="42" t="s">
        <v>85</v>
      </c>
      <c r="I94" s="42" t="s">
        <v>68</v>
      </c>
      <c r="J94" s="42" t="s">
        <v>69</v>
      </c>
      <c r="K94" s="43" t="n">
        <v>107.76</v>
      </c>
      <c r="L94" s="43" t="n">
        <v>0</v>
      </c>
      <c r="M94" s="43" t="n">
        <v>107.76</v>
      </c>
    </row>
    <row r="95" customFormat="false" ht="15" hidden="false" customHeight="false" outlineLevel="0" collapsed="false">
      <c r="A95" s="40" t="n">
        <v>46235</v>
      </c>
      <c r="B95" s="41" t="n">
        <v>61400</v>
      </c>
      <c r="C95" s="42" t="s">
        <v>35</v>
      </c>
      <c r="D95" s="42" t="s">
        <v>70</v>
      </c>
      <c r="E95" s="42" t="s">
        <v>64</v>
      </c>
      <c r="F95" s="44" t="s">
        <v>96</v>
      </c>
      <c r="G95" s="42" t="s">
        <v>85</v>
      </c>
      <c r="H95" s="42" t="s">
        <v>85</v>
      </c>
      <c r="I95" s="42" t="s">
        <v>68</v>
      </c>
      <c r="J95" s="42" t="s">
        <v>69</v>
      </c>
      <c r="K95" s="43" t="n">
        <v>215.04</v>
      </c>
      <c r="L95" s="43" t="n">
        <v>0</v>
      </c>
      <c r="M95" s="43" t="n">
        <v>215.04</v>
      </c>
    </row>
    <row r="96" customFormat="false" ht="15" hidden="false" customHeight="false" outlineLevel="0" collapsed="false">
      <c r="A96" s="40" t="n">
        <v>46235</v>
      </c>
      <c r="B96" s="41" t="n">
        <v>61400</v>
      </c>
      <c r="C96" s="42" t="s">
        <v>35</v>
      </c>
      <c r="D96" s="42" t="s">
        <v>70</v>
      </c>
      <c r="E96" s="42" t="s">
        <v>64</v>
      </c>
      <c r="F96" s="44" t="s">
        <v>97</v>
      </c>
      <c r="G96" s="42" t="s">
        <v>85</v>
      </c>
      <c r="H96" s="42" t="s">
        <v>85</v>
      </c>
      <c r="I96" s="42" t="s">
        <v>68</v>
      </c>
      <c r="J96" s="42" t="s">
        <v>69</v>
      </c>
      <c r="K96" s="43" t="n">
        <v>157.12</v>
      </c>
      <c r="L96" s="43" t="n">
        <v>0</v>
      </c>
      <c r="M96" s="43" t="n">
        <v>157.12</v>
      </c>
    </row>
    <row r="97" customFormat="false" ht="15" hidden="false" customHeight="false" outlineLevel="0" collapsed="false">
      <c r="A97" s="40" t="n">
        <v>46235</v>
      </c>
      <c r="B97" s="41" t="n">
        <v>61400</v>
      </c>
      <c r="C97" s="42" t="s">
        <v>35</v>
      </c>
      <c r="D97" s="42" t="s">
        <v>70</v>
      </c>
      <c r="E97" s="42" t="s">
        <v>64</v>
      </c>
      <c r="F97" s="44" t="s">
        <v>98</v>
      </c>
      <c r="G97" s="42" t="s">
        <v>85</v>
      </c>
      <c r="H97" s="42" t="s">
        <v>85</v>
      </c>
      <c r="I97" s="42" t="s">
        <v>68</v>
      </c>
      <c r="J97" s="42" t="s">
        <v>69</v>
      </c>
      <c r="K97" s="43" t="n">
        <v>274.05</v>
      </c>
      <c r="L97" s="43" t="n">
        <v>0</v>
      </c>
      <c r="M97" s="43" t="n">
        <v>274.05</v>
      </c>
    </row>
    <row r="98" customFormat="false" ht="22.35" hidden="false" customHeight="false" outlineLevel="0" collapsed="false">
      <c r="A98" s="40" t="n">
        <v>46235</v>
      </c>
      <c r="B98" s="41" t="n">
        <v>61400</v>
      </c>
      <c r="C98" s="42" t="s">
        <v>35</v>
      </c>
      <c r="D98" s="42" t="s">
        <v>70</v>
      </c>
      <c r="E98" s="42" t="s">
        <v>64</v>
      </c>
      <c r="F98" s="44" t="s">
        <v>99</v>
      </c>
      <c r="G98" s="42" t="s">
        <v>85</v>
      </c>
      <c r="H98" s="42" t="s">
        <v>85</v>
      </c>
      <c r="I98" s="42" t="s">
        <v>68</v>
      </c>
      <c r="J98" s="42" t="s">
        <v>69</v>
      </c>
      <c r="K98" s="43" t="n">
        <v>1071.05</v>
      </c>
      <c r="L98" s="43" t="n">
        <v>0</v>
      </c>
      <c r="M98" s="43" t="n">
        <v>1071.05</v>
      </c>
    </row>
    <row r="99" customFormat="false" ht="15" hidden="false" customHeight="false" outlineLevel="0" collapsed="false">
      <c r="A99" s="40" t="n">
        <v>46235</v>
      </c>
      <c r="B99" s="41" t="n">
        <v>61400</v>
      </c>
      <c r="C99" s="42" t="s">
        <v>35</v>
      </c>
      <c r="D99" s="42" t="s">
        <v>70</v>
      </c>
      <c r="E99" s="42" t="s">
        <v>64</v>
      </c>
      <c r="F99" s="42" t="s">
        <v>101</v>
      </c>
      <c r="G99" s="42" t="s">
        <v>85</v>
      </c>
      <c r="H99" s="42" t="s">
        <v>85</v>
      </c>
      <c r="I99" s="42" t="s">
        <v>68</v>
      </c>
      <c r="J99" s="42" t="s">
        <v>69</v>
      </c>
      <c r="K99" s="43" t="n">
        <v>265.36</v>
      </c>
      <c r="L99" s="43" t="n">
        <v>0</v>
      </c>
      <c r="M99" s="43" t="n">
        <v>265.36</v>
      </c>
    </row>
    <row r="100" customFormat="false" ht="15" hidden="false" customHeight="false" outlineLevel="0" collapsed="false">
      <c r="A100" s="40" t="n">
        <v>46238</v>
      </c>
      <c r="B100" s="41" t="n">
        <v>61400</v>
      </c>
      <c r="C100" s="42" t="s">
        <v>35</v>
      </c>
      <c r="D100" s="42" t="s">
        <v>70</v>
      </c>
      <c r="E100" s="42" t="s">
        <v>297</v>
      </c>
      <c r="F100" s="44" t="s">
        <v>301</v>
      </c>
      <c r="G100" s="42" t="s">
        <v>302</v>
      </c>
      <c r="H100" s="42" t="s">
        <v>302</v>
      </c>
      <c r="I100" s="42" t="s">
        <v>112</v>
      </c>
      <c r="J100" s="42" t="s">
        <v>113</v>
      </c>
      <c r="K100" s="43" t="n">
        <v>42</v>
      </c>
      <c r="L100" s="43" t="n">
        <v>0</v>
      </c>
      <c r="M100" s="43" t="n">
        <v>42</v>
      </c>
    </row>
    <row r="101" customFormat="false" ht="22.35" hidden="false" customHeight="false" outlineLevel="0" collapsed="false">
      <c r="A101" s="40" t="n">
        <v>46238</v>
      </c>
      <c r="B101" s="41" t="n">
        <v>61400</v>
      </c>
      <c r="C101" s="42" t="s">
        <v>35</v>
      </c>
      <c r="D101" s="42" t="s">
        <v>70</v>
      </c>
      <c r="E101" s="42" t="s">
        <v>297</v>
      </c>
      <c r="F101" s="44" t="s">
        <v>303</v>
      </c>
      <c r="G101" s="42" t="s">
        <v>302</v>
      </c>
      <c r="H101" s="42" t="s">
        <v>302</v>
      </c>
      <c r="I101" s="42" t="s">
        <v>112</v>
      </c>
      <c r="J101" s="42" t="s">
        <v>113</v>
      </c>
      <c r="K101" s="43" t="n">
        <v>58</v>
      </c>
      <c r="L101" s="43" t="n">
        <v>0</v>
      </c>
      <c r="M101" s="43" t="n">
        <v>58</v>
      </c>
    </row>
    <row r="102" customFormat="false" ht="15" hidden="false" customHeight="false" outlineLevel="0" collapsed="false">
      <c r="A102" s="40" t="n">
        <v>46239</v>
      </c>
      <c r="B102" s="41" t="n">
        <v>61400</v>
      </c>
      <c r="C102" s="42" t="s">
        <v>35</v>
      </c>
      <c r="D102" s="42" t="s">
        <v>80</v>
      </c>
      <c r="E102" s="42" t="s">
        <v>278</v>
      </c>
      <c r="F102" s="42" t="s">
        <v>285</v>
      </c>
      <c r="G102" s="42" t="s">
        <v>289</v>
      </c>
      <c r="H102" s="42" t="s">
        <v>289</v>
      </c>
      <c r="I102" s="42" t="s">
        <v>68</v>
      </c>
      <c r="J102" s="42" t="s">
        <v>69</v>
      </c>
      <c r="K102" s="43" t="n">
        <v>0</v>
      </c>
      <c r="L102" s="43" t="n">
        <v>116.35</v>
      </c>
      <c r="M102" s="43" t="n">
        <v>-116.35</v>
      </c>
    </row>
    <row r="103" customFormat="false" ht="15" hidden="false" customHeight="false" outlineLevel="0" collapsed="false">
      <c r="A103" s="40" t="n">
        <v>46239</v>
      </c>
      <c r="B103" s="41" t="n">
        <v>61400</v>
      </c>
      <c r="C103" s="42" t="s">
        <v>35</v>
      </c>
      <c r="D103" s="42" t="s">
        <v>80</v>
      </c>
      <c r="E103" s="42" t="s">
        <v>278</v>
      </c>
      <c r="F103" s="42" t="s">
        <v>279</v>
      </c>
      <c r="G103" s="42" t="s">
        <v>290</v>
      </c>
      <c r="H103" s="42" t="s">
        <v>290</v>
      </c>
      <c r="I103" s="42" t="s">
        <v>68</v>
      </c>
      <c r="J103" s="42" t="s">
        <v>69</v>
      </c>
      <c r="K103" s="43" t="n">
        <v>0</v>
      </c>
      <c r="L103" s="43" t="n">
        <v>103.17</v>
      </c>
      <c r="M103" s="43" t="n">
        <v>-103.17</v>
      </c>
    </row>
    <row r="104" customFormat="false" ht="15" hidden="false" customHeight="false" outlineLevel="0" collapsed="false">
      <c r="A104" s="40" t="n">
        <v>46240</v>
      </c>
      <c r="B104" s="41" t="n">
        <v>61400</v>
      </c>
      <c r="C104" s="42" t="s">
        <v>35</v>
      </c>
      <c r="D104" s="42" t="s">
        <v>70</v>
      </c>
      <c r="E104" s="42" t="s">
        <v>239</v>
      </c>
      <c r="F104" s="44" t="s">
        <v>248</v>
      </c>
      <c r="G104" s="42" t="s">
        <v>249</v>
      </c>
      <c r="H104" s="42" t="s">
        <v>249</v>
      </c>
      <c r="I104" s="42" t="s">
        <v>112</v>
      </c>
      <c r="J104" s="42" t="s">
        <v>113</v>
      </c>
      <c r="K104" s="43" t="n">
        <v>64.06</v>
      </c>
      <c r="L104" s="43" t="n">
        <v>0</v>
      </c>
      <c r="M104" s="43" t="n">
        <v>64.06</v>
      </c>
    </row>
    <row r="105" customFormat="false" ht="15" hidden="false" customHeight="false" outlineLevel="0" collapsed="false">
      <c r="A105" s="40" t="n">
        <v>46241</v>
      </c>
      <c r="B105" s="41" t="n">
        <v>61400</v>
      </c>
      <c r="C105" s="42" t="s">
        <v>35</v>
      </c>
      <c r="D105" s="42" t="s">
        <v>70</v>
      </c>
      <c r="E105" s="42" t="s">
        <v>239</v>
      </c>
      <c r="F105" s="44" t="s">
        <v>250</v>
      </c>
      <c r="G105" s="42" t="s">
        <v>251</v>
      </c>
      <c r="H105" s="42" t="s">
        <v>251</v>
      </c>
      <c r="I105" s="42" t="s">
        <v>112</v>
      </c>
      <c r="J105" s="42" t="s">
        <v>113</v>
      </c>
      <c r="K105" s="43" t="n">
        <v>64.06</v>
      </c>
      <c r="L105" s="43" t="n">
        <v>0</v>
      </c>
      <c r="M105" s="43" t="n">
        <v>64.06</v>
      </c>
    </row>
    <row r="106" customFormat="false" ht="15" hidden="false" customHeight="false" outlineLevel="0" collapsed="false">
      <c r="A106" s="40" t="n">
        <v>46246</v>
      </c>
      <c r="B106" s="41" t="n">
        <v>61400</v>
      </c>
      <c r="C106" s="42" t="s">
        <v>35</v>
      </c>
      <c r="D106" s="42" t="s">
        <v>70</v>
      </c>
      <c r="E106" s="42" t="s">
        <v>367</v>
      </c>
      <c r="F106" s="44" t="s">
        <v>368</v>
      </c>
      <c r="G106" s="42" t="s">
        <v>369</v>
      </c>
      <c r="H106" s="42" t="s">
        <v>369</v>
      </c>
      <c r="I106" s="42" t="s">
        <v>68</v>
      </c>
      <c r="J106" s="42" t="s">
        <v>69</v>
      </c>
      <c r="K106" s="43" t="n">
        <v>25.38</v>
      </c>
      <c r="L106" s="43" t="n">
        <v>0</v>
      </c>
      <c r="M106" s="43" t="n">
        <v>25.38</v>
      </c>
    </row>
    <row r="107" customFormat="false" ht="15" hidden="false" customHeight="false" outlineLevel="0" collapsed="false">
      <c r="A107" s="40" t="n">
        <v>46248</v>
      </c>
      <c r="B107" s="41" t="n">
        <v>61400</v>
      </c>
      <c r="C107" s="42" t="s">
        <v>35</v>
      </c>
      <c r="D107" s="42" t="s">
        <v>70</v>
      </c>
      <c r="E107" s="42" t="s">
        <v>367</v>
      </c>
      <c r="F107" s="44" t="s">
        <v>368</v>
      </c>
      <c r="G107" s="42" t="s">
        <v>370</v>
      </c>
      <c r="H107" s="42" t="s">
        <v>370</v>
      </c>
      <c r="I107" s="42" t="s">
        <v>68</v>
      </c>
      <c r="J107" s="42" t="s">
        <v>69</v>
      </c>
      <c r="K107" s="43" t="n">
        <v>13.63</v>
      </c>
      <c r="L107" s="43" t="n">
        <v>0</v>
      </c>
      <c r="M107" s="43" t="n">
        <v>13.63</v>
      </c>
    </row>
    <row r="108" customFormat="false" ht="15" hidden="false" customHeight="false" outlineLevel="0" collapsed="false">
      <c r="A108" s="40" t="n">
        <v>46250</v>
      </c>
      <c r="B108" s="41" t="n">
        <v>61400</v>
      </c>
      <c r="C108" s="42" t="s">
        <v>35</v>
      </c>
      <c r="D108" s="42" t="s">
        <v>70</v>
      </c>
      <c r="E108" s="42" t="s">
        <v>222</v>
      </c>
      <c r="F108" s="42" t="s">
        <v>223</v>
      </c>
      <c r="G108" s="42" t="s">
        <v>226</v>
      </c>
      <c r="H108" s="42" t="s">
        <v>226</v>
      </c>
      <c r="I108" s="42" t="s">
        <v>112</v>
      </c>
      <c r="J108" s="42" t="s">
        <v>113</v>
      </c>
      <c r="K108" s="43" t="n">
        <v>110</v>
      </c>
      <c r="L108" s="43" t="n">
        <v>0</v>
      </c>
      <c r="M108" s="43" t="n">
        <v>110</v>
      </c>
    </row>
    <row r="109" customFormat="false" ht="15" hidden="false" customHeight="false" outlineLevel="0" collapsed="false">
      <c r="A109" s="40" t="n">
        <v>46250</v>
      </c>
      <c r="B109" s="41" t="n">
        <v>61400</v>
      </c>
      <c r="C109" s="42" t="s">
        <v>35</v>
      </c>
      <c r="D109" s="42" t="s">
        <v>70</v>
      </c>
      <c r="E109" s="42" t="s">
        <v>222</v>
      </c>
      <c r="F109" s="42" t="s">
        <v>225</v>
      </c>
      <c r="G109" s="42" t="s">
        <v>226</v>
      </c>
      <c r="H109" s="42" t="s">
        <v>226</v>
      </c>
      <c r="I109" s="42" t="s">
        <v>112</v>
      </c>
      <c r="J109" s="42" t="s">
        <v>113</v>
      </c>
      <c r="K109" s="43" t="n">
        <v>321</v>
      </c>
      <c r="L109" s="43" t="n">
        <v>0</v>
      </c>
      <c r="M109" s="43" t="n">
        <v>321</v>
      </c>
    </row>
    <row r="110" customFormat="false" ht="15" hidden="false" customHeight="false" outlineLevel="0" collapsed="false">
      <c r="A110" s="40" t="n">
        <v>46252</v>
      </c>
      <c r="B110" s="41" t="n">
        <v>61400</v>
      </c>
      <c r="C110" s="42" t="s">
        <v>35</v>
      </c>
      <c r="D110" s="42" t="s">
        <v>70</v>
      </c>
      <c r="E110" s="42" t="s">
        <v>353</v>
      </c>
      <c r="F110" s="44" t="s">
        <v>354</v>
      </c>
      <c r="G110" s="42" t="s">
        <v>356</v>
      </c>
      <c r="H110" s="42" t="s">
        <v>356</v>
      </c>
      <c r="I110" s="42" t="s">
        <v>109</v>
      </c>
      <c r="J110" s="42" t="s">
        <v>69</v>
      </c>
      <c r="K110" s="43" t="n">
        <v>37.64</v>
      </c>
      <c r="L110" s="43" t="n">
        <v>0</v>
      </c>
      <c r="M110" s="43" t="n">
        <v>37.64</v>
      </c>
    </row>
    <row r="111" customFormat="false" ht="15" hidden="false" customHeight="false" outlineLevel="0" collapsed="false">
      <c r="A111" s="40" t="n">
        <v>46255</v>
      </c>
      <c r="B111" s="41" t="n">
        <v>61400</v>
      </c>
      <c r="C111" s="42" t="s">
        <v>35</v>
      </c>
      <c r="D111" s="42" t="s">
        <v>70</v>
      </c>
      <c r="E111" s="42" t="s">
        <v>278</v>
      </c>
      <c r="F111" s="42" t="s">
        <v>283</v>
      </c>
      <c r="G111" s="42" t="s">
        <v>291</v>
      </c>
      <c r="H111" s="42" t="s">
        <v>291</v>
      </c>
      <c r="I111" s="42" t="s">
        <v>109</v>
      </c>
      <c r="J111" s="42" t="s">
        <v>69</v>
      </c>
      <c r="K111" s="43" t="n">
        <v>39.99</v>
      </c>
      <c r="L111" s="43" t="n">
        <v>0</v>
      </c>
      <c r="M111" s="43" t="n">
        <v>39.99</v>
      </c>
    </row>
    <row r="112" customFormat="false" ht="15" hidden="false" customHeight="false" outlineLevel="0" collapsed="false">
      <c r="A112" s="40" t="n">
        <v>46255</v>
      </c>
      <c r="B112" s="41" t="n">
        <v>61400</v>
      </c>
      <c r="C112" s="42" t="s">
        <v>35</v>
      </c>
      <c r="D112" s="42" t="s">
        <v>70</v>
      </c>
      <c r="E112" s="42" t="s">
        <v>278</v>
      </c>
      <c r="F112" s="42" t="s">
        <v>281</v>
      </c>
      <c r="G112" s="42" t="s">
        <v>292</v>
      </c>
      <c r="H112" s="42" t="s">
        <v>292</v>
      </c>
      <c r="I112" s="42" t="s">
        <v>109</v>
      </c>
      <c r="J112" s="42" t="s">
        <v>69</v>
      </c>
      <c r="K112" s="43" t="n">
        <v>7.26</v>
      </c>
      <c r="L112" s="43" t="n">
        <v>0</v>
      </c>
      <c r="M112" s="43" t="n">
        <v>7.26</v>
      </c>
    </row>
    <row r="113" customFormat="false" ht="15" hidden="false" customHeight="false" outlineLevel="0" collapsed="false">
      <c r="A113" s="40" t="n">
        <v>46258</v>
      </c>
      <c r="B113" s="41" t="n">
        <v>61400</v>
      </c>
      <c r="C113" s="42" t="s">
        <v>35</v>
      </c>
      <c r="D113" s="42" t="s">
        <v>70</v>
      </c>
      <c r="E113" s="42" t="s">
        <v>363</v>
      </c>
      <c r="F113" s="42" t="s">
        <v>364</v>
      </c>
      <c r="G113" s="42" t="s">
        <v>366</v>
      </c>
      <c r="H113" s="42" t="s">
        <v>366</v>
      </c>
      <c r="I113" s="42" t="s">
        <v>112</v>
      </c>
      <c r="J113" s="42" t="s">
        <v>113</v>
      </c>
      <c r="K113" s="43" t="n">
        <v>25.45</v>
      </c>
      <c r="L113" s="43" t="n">
        <v>0</v>
      </c>
      <c r="M113" s="43" t="n">
        <v>25.45</v>
      </c>
    </row>
    <row r="114" customFormat="false" ht="15" hidden="false" customHeight="false" outlineLevel="0" collapsed="false">
      <c r="A114" s="40" t="n">
        <v>46258</v>
      </c>
      <c r="B114" s="41" t="n">
        <v>61400</v>
      </c>
      <c r="C114" s="42" t="s">
        <v>35</v>
      </c>
      <c r="D114" s="42" t="s">
        <v>70</v>
      </c>
      <c r="E114" s="42" t="s">
        <v>304</v>
      </c>
      <c r="F114" s="44" t="s">
        <v>307</v>
      </c>
      <c r="G114" s="42" t="s">
        <v>308</v>
      </c>
      <c r="H114" s="42" t="s">
        <v>308</v>
      </c>
      <c r="I114" s="42" t="s">
        <v>68</v>
      </c>
      <c r="J114" s="42" t="s">
        <v>69</v>
      </c>
      <c r="K114" s="43" t="n">
        <v>97.27</v>
      </c>
      <c r="L114" s="43" t="n">
        <v>0</v>
      </c>
      <c r="M114" s="43" t="n">
        <v>97.27</v>
      </c>
    </row>
    <row r="115" customFormat="false" ht="15" hidden="false" customHeight="false" outlineLevel="0" collapsed="false">
      <c r="A115" s="40" t="n">
        <v>46261</v>
      </c>
      <c r="B115" s="41" t="n">
        <v>61400</v>
      </c>
      <c r="C115" s="42" t="s">
        <v>35</v>
      </c>
      <c r="D115" s="42" t="s">
        <v>70</v>
      </c>
      <c r="E115" s="42" t="s">
        <v>309</v>
      </c>
      <c r="F115" s="44" t="s">
        <v>312</v>
      </c>
      <c r="G115" s="42" t="s">
        <v>313</v>
      </c>
      <c r="H115" s="42" t="s">
        <v>313</v>
      </c>
      <c r="I115" s="42" t="s">
        <v>121</v>
      </c>
      <c r="J115" s="42" t="s">
        <v>122</v>
      </c>
      <c r="K115" s="43" t="n">
        <v>90</v>
      </c>
      <c r="L115" s="43" t="n">
        <v>0</v>
      </c>
      <c r="M115" s="43" t="n">
        <v>90</v>
      </c>
    </row>
    <row r="116" customFormat="false" ht="15" hidden="false" customHeight="false" outlineLevel="0" collapsed="false">
      <c r="A116" s="40" t="n">
        <v>46262</v>
      </c>
      <c r="B116" s="41" t="n">
        <v>61400</v>
      </c>
      <c r="C116" s="42" t="s">
        <v>35</v>
      </c>
      <c r="D116" s="42" t="s">
        <v>70</v>
      </c>
      <c r="E116" s="42" t="s">
        <v>374</v>
      </c>
      <c r="F116" s="42" t="s">
        <v>375</v>
      </c>
      <c r="G116" s="42" t="s">
        <v>377</v>
      </c>
      <c r="H116" s="42" t="s">
        <v>377</v>
      </c>
      <c r="I116" s="42" t="s">
        <v>68</v>
      </c>
      <c r="J116" s="42" t="s">
        <v>69</v>
      </c>
      <c r="K116" s="43" t="n">
        <v>15.45</v>
      </c>
      <c r="L116" s="43" t="n">
        <v>0</v>
      </c>
      <c r="M116" s="43" t="n">
        <v>15.45</v>
      </c>
    </row>
    <row r="117" customFormat="false" ht="15" hidden="false" customHeight="false" outlineLevel="0" collapsed="false">
      <c r="A117" s="40" t="n">
        <v>46262</v>
      </c>
      <c r="B117" s="41" t="n">
        <v>61400</v>
      </c>
      <c r="C117" s="42" t="s">
        <v>35</v>
      </c>
      <c r="D117" s="42" t="s">
        <v>70</v>
      </c>
      <c r="E117" s="42" t="s">
        <v>230</v>
      </c>
      <c r="F117" s="44" t="s">
        <v>235</v>
      </c>
      <c r="G117" s="42" t="s">
        <v>236</v>
      </c>
      <c r="H117" s="42" t="s">
        <v>236</v>
      </c>
      <c r="I117" s="42" t="s">
        <v>112</v>
      </c>
      <c r="J117" s="42" t="s">
        <v>113</v>
      </c>
      <c r="K117" s="43" t="n">
        <v>73.99</v>
      </c>
      <c r="L117" s="43" t="n">
        <v>0</v>
      </c>
      <c r="M117" s="43" t="n">
        <v>73.99</v>
      </c>
    </row>
    <row r="118" customFormat="false" ht="15" hidden="false" customHeight="false" outlineLevel="0" collapsed="false">
      <c r="A118" s="40" t="n">
        <v>46262</v>
      </c>
      <c r="B118" s="41" t="n">
        <v>61400</v>
      </c>
      <c r="C118" s="42" t="s">
        <v>35</v>
      </c>
      <c r="D118" s="42" t="s">
        <v>70</v>
      </c>
      <c r="E118" s="42" t="s">
        <v>230</v>
      </c>
      <c r="F118" s="44" t="s">
        <v>237</v>
      </c>
      <c r="G118" s="42" t="s">
        <v>236</v>
      </c>
      <c r="H118" s="42" t="s">
        <v>236</v>
      </c>
      <c r="I118" s="42" t="s">
        <v>112</v>
      </c>
      <c r="J118" s="42" t="s">
        <v>113</v>
      </c>
      <c r="K118" s="43" t="n">
        <v>100</v>
      </c>
      <c r="L118" s="43" t="n">
        <v>0</v>
      </c>
      <c r="M118" s="43" t="n">
        <v>100</v>
      </c>
    </row>
    <row r="119" customFormat="false" ht="15" hidden="false" customHeight="false" outlineLevel="0" collapsed="false">
      <c r="A119" s="40" t="n">
        <v>46262</v>
      </c>
      <c r="B119" s="41" t="n">
        <v>61400</v>
      </c>
      <c r="C119" s="42" t="s">
        <v>35</v>
      </c>
      <c r="D119" s="42" t="s">
        <v>70</v>
      </c>
      <c r="E119" s="42" t="s">
        <v>230</v>
      </c>
      <c r="F119" s="44" t="s">
        <v>238</v>
      </c>
      <c r="G119" s="42" t="s">
        <v>236</v>
      </c>
      <c r="H119" s="42" t="s">
        <v>236</v>
      </c>
      <c r="I119" s="42" t="s">
        <v>112</v>
      </c>
      <c r="J119" s="42" t="s">
        <v>113</v>
      </c>
      <c r="K119" s="43" t="n">
        <v>149.98</v>
      </c>
      <c r="L119" s="43" t="n">
        <v>0</v>
      </c>
      <c r="M119" s="43" t="n">
        <v>149.98</v>
      </c>
    </row>
    <row r="120" customFormat="false" ht="15" hidden="false" customHeight="false" outlineLevel="0" collapsed="false">
      <c r="A120" s="40" t="n">
        <v>46263</v>
      </c>
      <c r="B120" s="41" t="n">
        <v>61400</v>
      </c>
      <c r="C120" s="42" t="s">
        <v>35</v>
      </c>
      <c r="D120" s="42" t="s">
        <v>70</v>
      </c>
      <c r="E120" s="42" t="s">
        <v>278</v>
      </c>
      <c r="F120" s="42" t="s">
        <v>279</v>
      </c>
      <c r="G120" s="42" t="s">
        <v>293</v>
      </c>
      <c r="H120" s="42" t="s">
        <v>293</v>
      </c>
      <c r="I120" s="42" t="s">
        <v>109</v>
      </c>
      <c r="J120" s="42" t="s">
        <v>69</v>
      </c>
      <c r="K120" s="43" t="n">
        <v>87.26</v>
      </c>
      <c r="L120" s="43" t="n">
        <v>0</v>
      </c>
      <c r="M120" s="43" t="n">
        <v>87.26</v>
      </c>
    </row>
    <row r="121" customFormat="false" ht="15" hidden="false" customHeight="false" outlineLevel="0" collapsed="false">
      <c r="A121" s="40" t="n">
        <v>46264</v>
      </c>
      <c r="B121" s="41" t="n">
        <v>61400</v>
      </c>
      <c r="C121" s="42" t="s">
        <v>35</v>
      </c>
      <c r="D121" s="42" t="s">
        <v>70</v>
      </c>
      <c r="E121" s="42" t="s">
        <v>239</v>
      </c>
      <c r="F121" s="44" t="s">
        <v>252</v>
      </c>
      <c r="G121" s="42" t="s">
        <v>253</v>
      </c>
      <c r="H121" s="42" t="s">
        <v>253</v>
      </c>
      <c r="I121" s="42" t="s">
        <v>112</v>
      </c>
      <c r="J121" s="42" t="s">
        <v>113</v>
      </c>
      <c r="K121" s="43" t="n">
        <v>62.83</v>
      </c>
      <c r="L121" s="43" t="n">
        <v>0</v>
      </c>
      <c r="M121" s="43" t="n">
        <v>62.83</v>
      </c>
    </row>
    <row r="122" customFormat="false" ht="15" hidden="false" customHeight="false" outlineLevel="0" collapsed="false">
      <c r="A122" s="40" t="n">
        <v>46265</v>
      </c>
      <c r="B122" s="41" t="n">
        <v>61400</v>
      </c>
      <c r="C122" s="42" t="s">
        <v>35</v>
      </c>
      <c r="D122" s="42" t="s">
        <v>107</v>
      </c>
      <c r="E122" s="45" t="s">
        <v>394</v>
      </c>
      <c r="F122" s="42" t="s">
        <v>140</v>
      </c>
      <c r="G122" s="42"/>
      <c r="H122" s="42" t="s">
        <v>141</v>
      </c>
      <c r="I122" s="42" t="s">
        <v>68</v>
      </c>
      <c r="J122" s="42" t="s">
        <v>69</v>
      </c>
      <c r="K122" s="43" t="n">
        <v>208.09</v>
      </c>
      <c r="L122" s="43" t="n">
        <v>0</v>
      </c>
      <c r="M122" s="43" t="n">
        <v>208.09</v>
      </c>
    </row>
    <row r="123" customFormat="false" ht="15" hidden="false" customHeight="false" outlineLevel="0" collapsed="false">
      <c r="A123" s="40" t="n">
        <v>46265</v>
      </c>
      <c r="B123" s="41" t="n">
        <v>61400</v>
      </c>
      <c r="C123" s="42" t="s">
        <v>35</v>
      </c>
      <c r="D123" s="42" t="s">
        <v>107</v>
      </c>
      <c r="E123" s="45" t="s">
        <v>394</v>
      </c>
      <c r="F123" s="42" t="s">
        <v>142</v>
      </c>
      <c r="G123" s="42"/>
      <c r="H123" s="42" t="s">
        <v>143</v>
      </c>
      <c r="I123" s="42" t="s">
        <v>106</v>
      </c>
      <c r="J123" s="42" t="s">
        <v>69</v>
      </c>
      <c r="K123" s="43" t="n">
        <v>38.75</v>
      </c>
      <c r="L123" s="43" t="n">
        <v>0</v>
      </c>
      <c r="M123" s="43" t="n">
        <v>38.75</v>
      </c>
    </row>
    <row r="124" customFormat="false" ht="15" hidden="false" customHeight="false" outlineLevel="0" collapsed="false">
      <c r="A124" s="40" t="n">
        <v>46265</v>
      </c>
      <c r="B124" s="41" t="n">
        <v>61400</v>
      </c>
      <c r="C124" s="42" t="s">
        <v>35</v>
      </c>
      <c r="D124" s="42" t="s">
        <v>107</v>
      </c>
      <c r="E124" s="45" t="s">
        <v>394</v>
      </c>
      <c r="F124" s="42" t="s">
        <v>144</v>
      </c>
      <c r="G124" s="42"/>
      <c r="H124" s="42" t="s">
        <v>143</v>
      </c>
      <c r="I124" s="42" t="s">
        <v>109</v>
      </c>
      <c r="J124" s="42" t="s">
        <v>69</v>
      </c>
      <c r="K124" s="43" t="n">
        <v>12.5</v>
      </c>
      <c r="L124" s="43" t="n">
        <v>0</v>
      </c>
      <c r="M124" s="43" t="n">
        <v>12.5</v>
      </c>
    </row>
    <row r="125" customFormat="false" ht="15" hidden="false" customHeight="false" outlineLevel="0" collapsed="false">
      <c r="A125" s="40" t="n">
        <v>46265</v>
      </c>
      <c r="B125" s="41" t="n">
        <v>61400</v>
      </c>
      <c r="C125" s="42" t="s">
        <v>35</v>
      </c>
      <c r="D125" s="42" t="s">
        <v>107</v>
      </c>
      <c r="E125" s="45" t="s">
        <v>394</v>
      </c>
      <c r="F125" s="42" t="s">
        <v>145</v>
      </c>
      <c r="G125" s="42"/>
      <c r="H125" s="42" t="s">
        <v>143</v>
      </c>
      <c r="I125" s="42" t="s">
        <v>116</v>
      </c>
      <c r="J125" s="42" t="s">
        <v>69</v>
      </c>
      <c r="K125" s="43" t="n">
        <v>530</v>
      </c>
      <c r="L125" s="43" t="n">
        <v>0</v>
      </c>
      <c r="M125" s="43" t="n">
        <v>530</v>
      </c>
    </row>
    <row r="126" customFormat="false" ht="15" hidden="false" customHeight="false" outlineLevel="0" collapsed="false">
      <c r="A126" s="40" t="n">
        <v>46265</v>
      </c>
      <c r="B126" s="41" t="n">
        <v>61400</v>
      </c>
      <c r="C126" s="42" t="s">
        <v>35</v>
      </c>
      <c r="D126" s="42" t="s">
        <v>107</v>
      </c>
      <c r="E126" s="45" t="s">
        <v>394</v>
      </c>
      <c r="F126" s="42" t="s">
        <v>146</v>
      </c>
      <c r="G126" s="42"/>
      <c r="H126" s="42" t="s">
        <v>143</v>
      </c>
      <c r="I126" s="42" t="s">
        <v>118</v>
      </c>
      <c r="J126" s="42" t="s">
        <v>113</v>
      </c>
      <c r="K126" s="43" t="n">
        <v>44.28</v>
      </c>
      <c r="L126" s="43" t="n">
        <v>0</v>
      </c>
      <c r="M126" s="43" t="n">
        <v>44.28</v>
      </c>
    </row>
    <row r="127" customFormat="false" ht="15" hidden="false" customHeight="false" outlineLevel="0" collapsed="false">
      <c r="A127" s="40" t="n">
        <v>46265</v>
      </c>
      <c r="B127" s="41" t="n">
        <v>61400</v>
      </c>
      <c r="C127" s="42" t="s">
        <v>35</v>
      </c>
      <c r="D127" s="42" t="s">
        <v>107</v>
      </c>
      <c r="E127" s="45" t="s">
        <v>394</v>
      </c>
      <c r="F127" s="42" t="s">
        <v>147</v>
      </c>
      <c r="G127" s="42"/>
      <c r="H127" s="42" t="s">
        <v>143</v>
      </c>
      <c r="I127" s="42" t="s">
        <v>68</v>
      </c>
      <c r="J127" s="42" t="s">
        <v>69</v>
      </c>
      <c r="K127" s="43" t="n">
        <v>175.03</v>
      </c>
      <c r="L127" s="43" t="n">
        <v>0</v>
      </c>
      <c r="M127" s="43" t="n">
        <v>175.03</v>
      </c>
    </row>
    <row r="128" customFormat="false" ht="15" hidden="false" customHeight="false" outlineLevel="0" collapsed="false">
      <c r="A128" s="40" t="n">
        <v>46265</v>
      </c>
      <c r="B128" s="41" t="n">
        <v>61400</v>
      </c>
      <c r="C128" s="42" t="s">
        <v>35</v>
      </c>
      <c r="D128" s="42" t="s">
        <v>107</v>
      </c>
      <c r="E128" s="45" t="s">
        <v>394</v>
      </c>
      <c r="F128" s="42" t="s">
        <v>148</v>
      </c>
      <c r="G128" s="42"/>
      <c r="H128" s="42" t="s">
        <v>143</v>
      </c>
      <c r="I128" s="42" t="s">
        <v>123</v>
      </c>
      <c r="J128" s="42" t="s">
        <v>124</v>
      </c>
      <c r="K128" s="43" t="n">
        <v>343.27</v>
      </c>
      <c r="L128" s="43" t="n">
        <v>0</v>
      </c>
      <c r="M128" s="43" t="n">
        <v>343.27</v>
      </c>
    </row>
    <row r="129" customFormat="false" ht="15" hidden="false" customHeight="false" outlineLevel="0" collapsed="false">
      <c r="A129" s="40" t="n">
        <v>46265</v>
      </c>
      <c r="B129" s="41" t="n">
        <v>61400</v>
      </c>
      <c r="C129" s="42" t="s">
        <v>35</v>
      </c>
      <c r="D129" s="42" t="s">
        <v>107</v>
      </c>
      <c r="E129" s="45" t="s">
        <v>394</v>
      </c>
      <c r="F129" s="42" t="s">
        <v>149</v>
      </c>
      <c r="G129" s="42"/>
      <c r="H129" s="42" t="s">
        <v>143</v>
      </c>
      <c r="I129" s="42" t="s">
        <v>112</v>
      </c>
      <c r="J129" s="42" t="s">
        <v>113</v>
      </c>
      <c r="K129" s="43" t="n">
        <v>528.18</v>
      </c>
      <c r="L129" s="43" t="n">
        <v>0</v>
      </c>
      <c r="M129" s="43" t="n">
        <v>528.18</v>
      </c>
    </row>
    <row r="130" customFormat="false" ht="15" hidden="false" customHeight="false" outlineLevel="0" collapsed="false">
      <c r="A130" s="40" t="n">
        <v>46265</v>
      </c>
      <c r="B130" s="41" t="n">
        <v>61400</v>
      </c>
      <c r="C130" s="42" t="s">
        <v>35</v>
      </c>
      <c r="D130" s="42" t="s">
        <v>107</v>
      </c>
      <c r="E130" s="45" t="s">
        <v>394</v>
      </c>
      <c r="F130" s="42" t="s">
        <v>150</v>
      </c>
      <c r="G130" s="42"/>
      <c r="H130" s="42" t="s">
        <v>143</v>
      </c>
      <c r="I130" s="42" t="s">
        <v>68</v>
      </c>
      <c r="J130" s="42" t="s">
        <v>69</v>
      </c>
      <c r="K130" s="43" t="n">
        <v>237.5</v>
      </c>
      <c r="L130" s="43" t="n">
        <v>0</v>
      </c>
      <c r="M130" s="43" t="n">
        <v>237.5</v>
      </c>
    </row>
    <row r="131" customFormat="false" ht="15" hidden="false" customHeight="false" outlineLevel="0" collapsed="false">
      <c r="A131" s="40" t="n">
        <v>46265</v>
      </c>
      <c r="B131" s="41" t="n">
        <v>61400</v>
      </c>
      <c r="C131" s="42" t="s">
        <v>35</v>
      </c>
      <c r="D131" s="42" t="s">
        <v>107</v>
      </c>
      <c r="E131" s="45" t="s">
        <v>394</v>
      </c>
      <c r="F131" s="42" t="s">
        <v>151</v>
      </c>
      <c r="G131" s="42"/>
      <c r="H131" s="42" t="s">
        <v>143</v>
      </c>
      <c r="I131" s="42" t="s">
        <v>68</v>
      </c>
      <c r="J131" s="42" t="s">
        <v>69</v>
      </c>
      <c r="K131" s="43" t="n">
        <v>49.99</v>
      </c>
      <c r="L131" s="43" t="n">
        <v>0</v>
      </c>
      <c r="M131" s="43" t="n">
        <v>49.99</v>
      </c>
    </row>
    <row r="132" customFormat="false" ht="15" hidden="false" customHeight="false" outlineLevel="0" collapsed="false">
      <c r="A132" s="40" t="n">
        <v>46265</v>
      </c>
      <c r="B132" s="41" t="n">
        <v>61400</v>
      </c>
      <c r="C132" s="42" t="s">
        <v>35</v>
      </c>
      <c r="D132" s="42" t="s">
        <v>107</v>
      </c>
      <c r="E132" s="45" t="s">
        <v>394</v>
      </c>
      <c r="F132" s="42" t="s">
        <v>152</v>
      </c>
      <c r="G132" s="42"/>
      <c r="H132" s="42" t="s">
        <v>143</v>
      </c>
      <c r="I132" s="42" t="s">
        <v>121</v>
      </c>
      <c r="J132" s="42" t="s">
        <v>122</v>
      </c>
      <c r="K132" s="43" t="n">
        <v>280.17</v>
      </c>
      <c r="L132" s="43" t="n">
        <v>0</v>
      </c>
      <c r="M132" s="43" t="n">
        <v>280.17</v>
      </c>
    </row>
    <row r="133" customFormat="false" ht="15" hidden="false" customHeight="false" outlineLevel="0" collapsed="false">
      <c r="A133" s="40" t="n">
        <v>46265</v>
      </c>
      <c r="B133" s="41" t="n">
        <v>61400</v>
      </c>
      <c r="C133" s="42" t="s">
        <v>35</v>
      </c>
      <c r="D133" s="42" t="s">
        <v>107</v>
      </c>
      <c r="E133" s="45" t="s">
        <v>394</v>
      </c>
      <c r="F133" s="42" t="s">
        <v>153</v>
      </c>
      <c r="G133" s="42"/>
      <c r="H133" s="42" t="s">
        <v>143</v>
      </c>
      <c r="I133" s="42" t="s">
        <v>154</v>
      </c>
      <c r="J133" s="42" t="s">
        <v>122</v>
      </c>
      <c r="K133" s="43" t="n">
        <v>24.78</v>
      </c>
      <c r="L133" s="43" t="n">
        <v>0</v>
      </c>
      <c r="M133" s="43" t="n">
        <v>24.78</v>
      </c>
    </row>
    <row r="134" customFormat="false" ht="15" hidden="false" customHeight="false" outlineLevel="0" collapsed="false">
      <c r="A134" s="40" t="n">
        <v>46265</v>
      </c>
      <c r="B134" s="41" t="n">
        <v>61400</v>
      </c>
      <c r="C134" s="42" t="s">
        <v>35</v>
      </c>
      <c r="D134" s="42" t="s">
        <v>107</v>
      </c>
      <c r="E134" s="45" t="s">
        <v>394</v>
      </c>
      <c r="F134" s="42" t="s">
        <v>153</v>
      </c>
      <c r="G134" s="42"/>
      <c r="H134" s="42" t="s">
        <v>143</v>
      </c>
      <c r="I134" s="42" t="s">
        <v>155</v>
      </c>
      <c r="J134" s="42" t="s">
        <v>122</v>
      </c>
      <c r="K134" s="43" t="n">
        <v>24.78</v>
      </c>
      <c r="L134" s="43" t="n">
        <v>0</v>
      </c>
      <c r="M134" s="43" t="n">
        <v>24.78</v>
      </c>
    </row>
    <row r="135" customFormat="false" ht="15" hidden="false" customHeight="false" outlineLevel="0" collapsed="false">
      <c r="A135" s="40" t="n">
        <v>46265</v>
      </c>
      <c r="B135" s="41" t="n">
        <v>61400</v>
      </c>
      <c r="C135" s="42" t="s">
        <v>35</v>
      </c>
      <c r="D135" s="42" t="s">
        <v>107</v>
      </c>
      <c r="E135" s="45" t="s">
        <v>394</v>
      </c>
      <c r="F135" s="42" t="s">
        <v>153</v>
      </c>
      <c r="G135" s="42"/>
      <c r="H135" s="42" t="s">
        <v>143</v>
      </c>
      <c r="I135" s="42" t="s">
        <v>156</v>
      </c>
      <c r="J135" s="42" t="s">
        <v>122</v>
      </c>
      <c r="K135" s="43" t="n">
        <v>24.78</v>
      </c>
      <c r="L135" s="43" t="n">
        <v>0</v>
      </c>
      <c r="M135" s="43" t="n">
        <v>24.78</v>
      </c>
    </row>
    <row r="136" customFormat="false" ht="15" hidden="false" customHeight="false" outlineLevel="0" collapsed="false">
      <c r="A136" s="40" t="n">
        <v>46265</v>
      </c>
      <c r="B136" s="41" t="n">
        <v>61400</v>
      </c>
      <c r="C136" s="42" t="s">
        <v>35</v>
      </c>
      <c r="D136" s="42" t="s">
        <v>107</v>
      </c>
      <c r="E136" s="45" t="s">
        <v>394</v>
      </c>
      <c r="F136" s="42" t="s">
        <v>157</v>
      </c>
      <c r="G136" s="42"/>
      <c r="H136" s="42" t="s">
        <v>143</v>
      </c>
      <c r="I136" s="42" t="s">
        <v>68</v>
      </c>
      <c r="J136" s="42" t="s">
        <v>69</v>
      </c>
      <c r="K136" s="43" t="n">
        <v>229.17</v>
      </c>
      <c r="L136" s="43" t="n">
        <v>0</v>
      </c>
      <c r="M136" s="43" t="n">
        <v>229.17</v>
      </c>
    </row>
    <row r="137" customFormat="false" ht="15" hidden="false" customHeight="false" outlineLevel="0" collapsed="false">
      <c r="A137" s="40" t="n">
        <v>46265</v>
      </c>
      <c r="B137" s="41" t="n">
        <v>61400</v>
      </c>
      <c r="C137" s="42" t="s">
        <v>35</v>
      </c>
      <c r="D137" s="42" t="s">
        <v>107</v>
      </c>
      <c r="E137" s="45" t="s">
        <v>394</v>
      </c>
      <c r="F137" s="42" t="s">
        <v>158</v>
      </c>
      <c r="G137" s="42"/>
      <c r="H137" s="42" t="s">
        <v>143</v>
      </c>
      <c r="I137" s="42" t="s">
        <v>116</v>
      </c>
      <c r="J137" s="42" t="s">
        <v>69</v>
      </c>
      <c r="K137" s="43" t="n">
        <v>383.33</v>
      </c>
      <c r="L137" s="43" t="n">
        <v>0</v>
      </c>
      <c r="M137" s="43" t="n">
        <v>383.33</v>
      </c>
    </row>
    <row r="138" customFormat="false" ht="15" hidden="false" customHeight="false" outlineLevel="0" collapsed="false">
      <c r="A138" s="40" t="n">
        <v>46265</v>
      </c>
      <c r="B138" s="41" t="n">
        <v>61400</v>
      </c>
      <c r="C138" s="42" t="s">
        <v>35</v>
      </c>
      <c r="D138" s="42" t="s">
        <v>107</v>
      </c>
      <c r="E138" s="45" t="s">
        <v>394</v>
      </c>
      <c r="F138" s="42" t="s">
        <v>159</v>
      </c>
      <c r="G138" s="42"/>
      <c r="H138" s="42" t="s">
        <v>143</v>
      </c>
      <c r="I138" s="42" t="s">
        <v>112</v>
      </c>
      <c r="J138" s="42" t="s">
        <v>113</v>
      </c>
      <c r="K138" s="43" t="n">
        <v>363</v>
      </c>
      <c r="L138" s="43" t="n">
        <v>0</v>
      </c>
      <c r="M138" s="43" t="n">
        <v>363</v>
      </c>
    </row>
    <row r="139" customFormat="false" ht="15" hidden="false" customHeight="false" outlineLevel="0" collapsed="false">
      <c r="A139" s="40" t="n">
        <v>46265</v>
      </c>
      <c r="B139" s="41" t="n">
        <v>61400</v>
      </c>
      <c r="C139" s="42" t="s">
        <v>35</v>
      </c>
      <c r="D139" s="42" t="s">
        <v>107</v>
      </c>
      <c r="E139" s="45" t="s">
        <v>394</v>
      </c>
      <c r="F139" s="42" t="s">
        <v>159</v>
      </c>
      <c r="G139" s="42"/>
      <c r="H139" s="42" t="s">
        <v>143</v>
      </c>
      <c r="I139" s="42" t="s">
        <v>135</v>
      </c>
      <c r="J139" s="42" t="s">
        <v>136</v>
      </c>
      <c r="K139" s="43" t="n">
        <v>60.5</v>
      </c>
      <c r="L139" s="43" t="n">
        <v>0</v>
      </c>
      <c r="M139" s="43" t="n">
        <v>60.5</v>
      </c>
    </row>
    <row r="140" customFormat="false" ht="15" hidden="false" customHeight="false" outlineLevel="0" collapsed="false">
      <c r="A140" s="40" t="n">
        <v>46265</v>
      </c>
      <c r="B140" s="41" t="n">
        <v>61400</v>
      </c>
      <c r="C140" s="42" t="s">
        <v>35</v>
      </c>
      <c r="D140" s="42" t="s">
        <v>107</v>
      </c>
      <c r="E140" s="45" t="s">
        <v>394</v>
      </c>
      <c r="F140" s="42" t="s">
        <v>159</v>
      </c>
      <c r="G140" s="42"/>
      <c r="H140" s="42" t="s">
        <v>143</v>
      </c>
      <c r="I140" s="42" t="s">
        <v>121</v>
      </c>
      <c r="J140" s="42" t="s">
        <v>122</v>
      </c>
      <c r="K140" s="43" t="n">
        <v>60.5</v>
      </c>
      <c r="L140" s="43" t="n">
        <v>0</v>
      </c>
      <c r="M140" s="43" t="n">
        <v>60.5</v>
      </c>
    </row>
    <row r="141" customFormat="false" ht="15" hidden="false" customHeight="false" outlineLevel="0" collapsed="false">
      <c r="A141" s="40" t="n">
        <v>46265</v>
      </c>
      <c r="B141" s="41" t="n">
        <v>61400</v>
      </c>
      <c r="C141" s="42" t="s">
        <v>35</v>
      </c>
      <c r="D141" s="42" t="s">
        <v>107</v>
      </c>
      <c r="E141" s="45" t="s">
        <v>394</v>
      </c>
      <c r="F141" s="42" t="s">
        <v>159</v>
      </c>
      <c r="G141" s="42"/>
      <c r="H141" s="42" t="s">
        <v>143</v>
      </c>
      <c r="I141" s="42" t="s">
        <v>125</v>
      </c>
      <c r="J141" s="42" t="s">
        <v>126</v>
      </c>
      <c r="K141" s="43" t="n">
        <v>121</v>
      </c>
      <c r="L141" s="43" t="n">
        <v>0</v>
      </c>
      <c r="M141" s="43" t="n">
        <v>121</v>
      </c>
    </row>
    <row r="142" customFormat="false" ht="15" hidden="false" customHeight="false" outlineLevel="0" collapsed="false">
      <c r="A142" s="40" t="n">
        <v>46265</v>
      </c>
      <c r="B142" s="41" t="n">
        <v>61400</v>
      </c>
      <c r="C142" s="42" t="s">
        <v>35</v>
      </c>
      <c r="D142" s="42" t="s">
        <v>107</v>
      </c>
      <c r="E142" s="45" t="s">
        <v>394</v>
      </c>
      <c r="F142" s="42" t="s">
        <v>160</v>
      </c>
      <c r="G142" s="42"/>
      <c r="H142" s="42" t="s">
        <v>143</v>
      </c>
      <c r="I142" s="42" t="s">
        <v>135</v>
      </c>
      <c r="J142" s="42" t="s">
        <v>136</v>
      </c>
      <c r="K142" s="43" t="n">
        <v>61.78</v>
      </c>
      <c r="L142" s="43" t="n">
        <v>0</v>
      </c>
      <c r="M142" s="43" t="n">
        <v>61.78</v>
      </c>
    </row>
    <row r="143" customFormat="false" ht="15" hidden="false" customHeight="false" outlineLevel="0" collapsed="false">
      <c r="A143" s="40" t="n">
        <v>46265</v>
      </c>
      <c r="B143" s="41" t="n">
        <v>61400</v>
      </c>
      <c r="C143" s="42" t="s">
        <v>35</v>
      </c>
      <c r="D143" s="42" t="s">
        <v>107</v>
      </c>
      <c r="E143" s="45" t="s">
        <v>394</v>
      </c>
      <c r="F143" s="42" t="s">
        <v>161</v>
      </c>
      <c r="G143" s="42"/>
      <c r="H143" s="42" t="s">
        <v>143</v>
      </c>
      <c r="I143" s="42" t="s">
        <v>121</v>
      </c>
      <c r="J143" s="42" t="s">
        <v>122</v>
      </c>
      <c r="K143" s="43" t="n">
        <v>96.54</v>
      </c>
      <c r="L143" s="43" t="n">
        <v>0</v>
      </c>
      <c r="M143" s="43" t="n">
        <v>96.54</v>
      </c>
    </row>
    <row r="144" customFormat="false" ht="15" hidden="false" customHeight="false" outlineLevel="0" collapsed="false">
      <c r="A144" s="40" t="n">
        <v>46265</v>
      </c>
      <c r="B144" s="41" t="n">
        <v>61400</v>
      </c>
      <c r="C144" s="42" t="s">
        <v>35</v>
      </c>
      <c r="D144" s="42" t="s">
        <v>107</v>
      </c>
      <c r="E144" s="45" t="s">
        <v>394</v>
      </c>
      <c r="F144" s="42" t="s">
        <v>162</v>
      </c>
      <c r="G144" s="42"/>
      <c r="H144" s="42" t="s">
        <v>143</v>
      </c>
      <c r="I144" s="42" t="s">
        <v>121</v>
      </c>
      <c r="J144" s="42" t="s">
        <v>122</v>
      </c>
      <c r="K144" s="43" t="n">
        <v>31.84</v>
      </c>
      <c r="L144" s="43" t="n">
        <v>0</v>
      </c>
      <c r="M144" s="43" t="n">
        <v>31.84</v>
      </c>
    </row>
    <row r="145" customFormat="false" ht="15" hidden="false" customHeight="false" outlineLevel="0" collapsed="false">
      <c r="A145" s="40" t="n">
        <v>46265</v>
      </c>
      <c r="B145" s="41" t="n">
        <v>61400</v>
      </c>
      <c r="C145" s="42" t="s">
        <v>35</v>
      </c>
      <c r="D145" s="42" t="s">
        <v>107</v>
      </c>
      <c r="E145" s="45" t="s">
        <v>394</v>
      </c>
      <c r="F145" s="42" t="s">
        <v>163</v>
      </c>
      <c r="G145" s="42"/>
      <c r="H145" s="42" t="s">
        <v>143</v>
      </c>
      <c r="I145" s="42" t="s">
        <v>68</v>
      </c>
      <c r="J145" s="42" t="s">
        <v>69</v>
      </c>
      <c r="K145" s="43" t="n">
        <v>382.93</v>
      </c>
      <c r="L145" s="43" t="n">
        <v>0</v>
      </c>
      <c r="M145" s="43" t="n">
        <v>382.93</v>
      </c>
    </row>
    <row r="146" customFormat="false" ht="15" hidden="false" customHeight="false" outlineLevel="0" collapsed="false">
      <c r="A146" s="40" t="n">
        <v>46265</v>
      </c>
      <c r="B146" s="41" t="n">
        <v>61400</v>
      </c>
      <c r="C146" s="42" t="s">
        <v>35</v>
      </c>
      <c r="D146" s="42" t="s">
        <v>107</v>
      </c>
      <c r="E146" s="45" t="s">
        <v>394</v>
      </c>
      <c r="F146" s="42" t="s">
        <v>164</v>
      </c>
      <c r="G146" s="42"/>
      <c r="H146" s="42" t="s">
        <v>143</v>
      </c>
      <c r="I146" s="42" t="s">
        <v>156</v>
      </c>
      <c r="J146" s="42" t="s">
        <v>122</v>
      </c>
      <c r="K146" s="43" t="n">
        <v>61.44</v>
      </c>
      <c r="L146" s="43" t="n">
        <v>0</v>
      </c>
      <c r="M146" s="43" t="n">
        <v>61.44</v>
      </c>
    </row>
    <row r="147" customFormat="false" ht="15" hidden="false" customHeight="false" outlineLevel="0" collapsed="false">
      <c r="A147" s="40" t="n">
        <v>46265</v>
      </c>
      <c r="B147" s="41" t="n">
        <v>61400</v>
      </c>
      <c r="C147" s="42" t="s">
        <v>35</v>
      </c>
      <c r="D147" s="42" t="s">
        <v>107</v>
      </c>
      <c r="E147" s="45" t="s">
        <v>394</v>
      </c>
      <c r="F147" s="42" t="s">
        <v>165</v>
      </c>
      <c r="G147" s="42"/>
      <c r="H147" s="42" t="s">
        <v>143</v>
      </c>
      <c r="I147" s="42" t="s">
        <v>166</v>
      </c>
      <c r="J147" s="42" t="s">
        <v>122</v>
      </c>
      <c r="K147" s="43" t="n">
        <v>25.5</v>
      </c>
      <c r="L147" s="43" t="n">
        <v>0</v>
      </c>
      <c r="M147" s="43" t="n">
        <v>25.5</v>
      </c>
    </row>
    <row r="148" customFormat="false" ht="15" hidden="false" customHeight="false" outlineLevel="0" collapsed="false">
      <c r="A148" s="40" t="n">
        <v>46265</v>
      </c>
      <c r="B148" s="41" t="n">
        <v>61400</v>
      </c>
      <c r="C148" s="42" t="s">
        <v>35</v>
      </c>
      <c r="D148" s="42" t="s">
        <v>107</v>
      </c>
      <c r="E148" s="45" t="s">
        <v>394</v>
      </c>
      <c r="F148" s="42" t="s">
        <v>167</v>
      </c>
      <c r="G148" s="42"/>
      <c r="H148" s="42" t="s">
        <v>143</v>
      </c>
      <c r="I148" s="42" t="s">
        <v>68</v>
      </c>
      <c r="J148" s="42" t="s">
        <v>69</v>
      </c>
      <c r="K148" s="43" t="n">
        <v>700</v>
      </c>
      <c r="L148" s="43" t="n">
        <v>0</v>
      </c>
      <c r="M148" s="43" t="n">
        <v>700</v>
      </c>
    </row>
    <row r="149" customFormat="false" ht="15" hidden="false" customHeight="false" outlineLevel="0" collapsed="false">
      <c r="A149" s="40" t="n">
        <v>46265</v>
      </c>
      <c r="B149" s="41" t="n">
        <v>61400</v>
      </c>
      <c r="C149" s="42" t="s">
        <v>35</v>
      </c>
      <c r="D149" s="42" t="s">
        <v>107</v>
      </c>
      <c r="E149" s="45" t="s">
        <v>394</v>
      </c>
      <c r="F149" s="42" t="s">
        <v>168</v>
      </c>
      <c r="G149" s="42"/>
      <c r="H149" s="42" t="s">
        <v>169</v>
      </c>
      <c r="I149" s="42"/>
      <c r="J149" s="42" t="s">
        <v>113</v>
      </c>
      <c r="K149" s="43" t="n">
        <v>0.9</v>
      </c>
      <c r="L149" s="43" t="n">
        <v>0</v>
      </c>
      <c r="M149" s="43" t="n">
        <v>0.9</v>
      </c>
    </row>
    <row r="150" customFormat="false" ht="15" hidden="false" customHeight="false" outlineLevel="0" collapsed="false">
      <c r="A150" s="40" t="n">
        <v>46265</v>
      </c>
      <c r="B150" s="41" t="n">
        <v>61400</v>
      </c>
      <c r="C150" s="42" t="s">
        <v>35</v>
      </c>
      <c r="D150" s="42" t="s">
        <v>70</v>
      </c>
      <c r="E150" s="42" t="s">
        <v>239</v>
      </c>
      <c r="F150" s="44" t="s">
        <v>254</v>
      </c>
      <c r="G150" s="42" t="s">
        <v>255</v>
      </c>
      <c r="H150" s="42" t="s">
        <v>255</v>
      </c>
      <c r="I150" s="42" t="s">
        <v>112</v>
      </c>
      <c r="J150" s="42" t="s">
        <v>113</v>
      </c>
      <c r="K150" s="43" t="n">
        <v>62.95</v>
      </c>
      <c r="L150" s="43" t="n">
        <v>0</v>
      </c>
      <c r="M150" s="43" t="n">
        <v>62.95</v>
      </c>
    </row>
    <row r="151" customFormat="false" ht="15" hidden="false" customHeight="false" outlineLevel="0" collapsed="false">
      <c r="A151" s="40" t="n">
        <v>46204</v>
      </c>
      <c r="B151" s="41" t="n">
        <v>64700</v>
      </c>
      <c r="C151" s="42" t="s">
        <v>34</v>
      </c>
      <c r="D151" s="42" t="s">
        <v>70</v>
      </c>
      <c r="E151" s="42" t="s">
        <v>64</v>
      </c>
      <c r="F151" s="42" t="s">
        <v>66</v>
      </c>
      <c r="G151" s="42" t="s">
        <v>67</v>
      </c>
      <c r="H151" s="42" t="s">
        <v>67</v>
      </c>
      <c r="I151" s="42" t="s">
        <v>68</v>
      </c>
      <c r="J151" s="42" t="s">
        <v>69</v>
      </c>
      <c r="K151" s="43" t="n">
        <v>9953</v>
      </c>
      <c r="L151" s="43" t="n">
        <v>0</v>
      </c>
      <c r="M151" s="43" t="n">
        <v>9953</v>
      </c>
    </row>
    <row r="152" customFormat="false" ht="15" hidden="false" customHeight="false" outlineLevel="0" collapsed="false">
      <c r="A152" s="40" t="n">
        <v>46204</v>
      </c>
      <c r="B152" s="41" t="n">
        <v>64700</v>
      </c>
      <c r="C152" s="42" t="s">
        <v>34</v>
      </c>
      <c r="D152" s="42" t="s">
        <v>70</v>
      </c>
      <c r="E152" s="42" t="s">
        <v>64</v>
      </c>
      <c r="F152" s="44" t="s">
        <v>71</v>
      </c>
      <c r="G152" s="42" t="s">
        <v>67</v>
      </c>
      <c r="H152" s="42" t="s">
        <v>67</v>
      </c>
      <c r="I152" s="42" t="s">
        <v>68</v>
      </c>
      <c r="J152" s="42" t="s">
        <v>69</v>
      </c>
      <c r="K152" s="43" t="n">
        <v>403.5</v>
      </c>
      <c r="L152" s="43" t="n">
        <v>0</v>
      </c>
      <c r="M152" s="43" t="n">
        <v>403.5</v>
      </c>
    </row>
    <row r="153" customFormat="false" ht="15" hidden="false" customHeight="false" outlineLevel="0" collapsed="false">
      <c r="A153" s="40" t="n">
        <v>46204</v>
      </c>
      <c r="B153" s="41" t="n">
        <v>64700</v>
      </c>
      <c r="C153" s="42" t="s">
        <v>34</v>
      </c>
      <c r="D153" s="42" t="s">
        <v>70</v>
      </c>
      <c r="E153" s="42" t="s">
        <v>64</v>
      </c>
      <c r="F153" s="42" t="s">
        <v>72</v>
      </c>
      <c r="G153" s="42" t="s">
        <v>67</v>
      </c>
      <c r="H153" s="42" t="s">
        <v>67</v>
      </c>
      <c r="I153" s="42" t="s">
        <v>68</v>
      </c>
      <c r="J153" s="42" t="s">
        <v>69</v>
      </c>
      <c r="K153" s="43" t="n">
        <v>1247</v>
      </c>
      <c r="L153" s="43" t="n">
        <v>0</v>
      </c>
      <c r="M153" s="43" t="n">
        <v>1247</v>
      </c>
    </row>
    <row r="154" customFormat="false" ht="15" hidden="false" customHeight="false" outlineLevel="0" collapsed="false">
      <c r="A154" s="40" t="n">
        <v>46204</v>
      </c>
      <c r="B154" s="41" t="n">
        <v>64700</v>
      </c>
      <c r="C154" s="42" t="s">
        <v>34</v>
      </c>
      <c r="D154" s="42" t="s">
        <v>70</v>
      </c>
      <c r="E154" s="42" t="s">
        <v>64</v>
      </c>
      <c r="F154" s="42" t="s">
        <v>73</v>
      </c>
      <c r="G154" s="42" t="s">
        <v>67</v>
      </c>
      <c r="H154" s="42" t="s">
        <v>67</v>
      </c>
      <c r="I154" s="42" t="s">
        <v>68</v>
      </c>
      <c r="J154" s="42" t="s">
        <v>69</v>
      </c>
      <c r="K154" s="43" t="n">
        <v>0</v>
      </c>
      <c r="L154" s="43" t="n">
        <v>430</v>
      </c>
      <c r="M154" s="43" t="n">
        <v>-430</v>
      </c>
    </row>
    <row r="155" customFormat="false" ht="15" hidden="false" customHeight="false" outlineLevel="0" collapsed="false">
      <c r="A155" s="40" t="n">
        <v>46204</v>
      </c>
      <c r="B155" s="41" t="n">
        <v>64700</v>
      </c>
      <c r="C155" s="42" t="s">
        <v>34</v>
      </c>
      <c r="D155" s="42" t="s">
        <v>70</v>
      </c>
      <c r="E155" s="42" t="s">
        <v>64</v>
      </c>
      <c r="F155" s="42" t="s">
        <v>74</v>
      </c>
      <c r="G155" s="42" t="s">
        <v>67</v>
      </c>
      <c r="H155" s="42" t="s">
        <v>67</v>
      </c>
      <c r="I155" s="42" t="s">
        <v>68</v>
      </c>
      <c r="J155" s="42" t="s">
        <v>69</v>
      </c>
      <c r="K155" s="43" t="n">
        <v>100</v>
      </c>
      <c r="L155" s="43" t="n">
        <v>0</v>
      </c>
      <c r="M155" s="43" t="n">
        <v>100</v>
      </c>
    </row>
    <row r="156" customFormat="false" ht="15" hidden="false" customHeight="false" outlineLevel="0" collapsed="false">
      <c r="A156" s="40" t="n">
        <v>46204</v>
      </c>
      <c r="B156" s="41" t="n">
        <v>64700</v>
      </c>
      <c r="C156" s="42" t="s">
        <v>34</v>
      </c>
      <c r="D156" s="42" t="s">
        <v>70</v>
      </c>
      <c r="E156" s="42" t="s">
        <v>64</v>
      </c>
      <c r="F156" s="42" t="s">
        <v>75</v>
      </c>
      <c r="G156" s="42" t="s">
        <v>67</v>
      </c>
      <c r="H156" s="42" t="s">
        <v>67</v>
      </c>
      <c r="I156" s="42" t="s">
        <v>68</v>
      </c>
      <c r="J156" s="42" t="s">
        <v>69</v>
      </c>
      <c r="K156" s="43" t="n">
        <v>325</v>
      </c>
      <c r="L156" s="43" t="n">
        <v>0</v>
      </c>
      <c r="M156" s="43" t="n">
        <v>325</v>
      </c>
    </row>
    <row r="157" customFormat="false" ht="15" hidden="false" customHeight="false" outlineLevel="0" collapsed="false">
      <c r="A157" s="40" t="n">
        <v>46204</v>
      </c>
      <c r="B157" s="41" t="n">
        <v>64700</v>
      </c>
      <c r="C157" s="42" t="s">
        <v>34</v>
      </c>
      <c r="D157" s="42" t="s">
        <v>70</v>
      </c>
      <c r="E157" s="42" t="s">
        <v>64</v>
      </c>
      <c r="F157" s="44" t="s">
        <v>76</v>
      </c>
      <c r="G157" s="42" t="s">
        <v>67</v>
      </c>
      <c r="H157" s="42" t="s">
        <v>67</v>
      </c>
      <c r="I157" s="42" t="s">
        <v>68</v>
      </c>
      <c r="J157" s="42" t="s">
        <v>69</v>
      </c>
      <c r="K157" s="43" t="n">
        <v>28.8</v>
      </c>
      <c r="L157" s="43" t="n">
        <v>0</v>
      </c>
      <c r="M157" s="43" t="n">
        <v>28.8</v>
      </c>
    </row>
    <row r="158" customFormat="false" ht="15" hidden="false" customHeight="false" outlineLevel="0" collapsed="false">
      <c r="A158" s="40" t="n">
        <v>46204</v>
      </c>
      <c r="B158" s="41" t="n">
        <v>64700</v>
      </c>
      <c r="C158" s="42" t="s">
        <v>34</v>
      </c>
      <c r="D158" s="42" t="s">
        <v>70</v>
      </c>
      <c r="E158" s="42" t="s">
        <v>64</v>
      </c>
      <c r="F158" s="44" t="s">
        <v>77</v>
      </c>
      <c r="G158" s="42" t="s">
        <v>67</v>
      </c>
      <c r="H158" s="42" t="s">
        <v>67</v>
      </c>
      <c r="I158" s="42" t="s">
        <v>68</v>
      </c>
      <c r="J158" s="42" t="s">
        <v>69</v>
      </c>
      <c r="K158" s="43" t="n">
        <v>198.58</v>
      </c>
      <c r="L158" s="43" t="n">
        <v>0</v>
      </c>
      <c r="M158" s="43" t="n">
        <v>198.58</v>
      </c>
    </row>
    <row r="159" customFormat="false" ht="15" hidden="false" customHeight="false" outlineLevel="0" collapsed="false">
      <c r="A159" s="40" t="n">
        <v>46219</v>
      </c>
      <c r="B159" s="41" t="n">
        <v>64700</v>
      </c>
      <c r="C159" s="42" t="s">
        <v>34</v>
      </c>
      <c r="D159" s="42" t="s">
        <v>80</v>
      </c>
      <c r="E159" s="42" t="s">
        <v>64</v>
      </c>
      <c r="F159" s="44" t="s">
        <v>78</v>
      </c>
      <c r="G159" s="42" t="s">
        <v>79</v>
      </c>
      <c r="H159" s="42" t="s">
        <v>79</v>
      </c>
      <c r="I159" s="42" t="s">
        <v>68</v>
      </c>
      <c r="J159" s="42" t="s">
        <v>69</v>
      </c>
      <c r="K159" s="43" t="n">
        <v>0</v>
      </c>
      <c r="L159" s="43" t="n">
        <v>198.58</v>
      </c>
      <c r="M159" s="43" t="n">
        <v>-198.58</v>
      </c>
    </row>
    <row r="160" customFormat="false" ht="15" hidden="false" customHeight="false" outlineLevel="0" collapsed="false">
      <c r="A160" s="40" t="n">
        <v>46234</v>
      </c>
      <c r="B160" s="41" t="n">
        <v>64700</v>
      </c>
      <c r="C160" s="42" t="s">
        <v>34</v>
      </c>
      <c r="D160" s="42" t="s">
        <v>70</v>
      </c>
      <c r="E160" s="42" t="s">
        <v>64</v>
      </c>
      <c r="F160" s="42" t="s">
        <v>81</v>
      </c>
      <c r="G160" s="42" t="s">
        <v>82</v>
      </c>
      <c r="H160" s="42" t="s">
        <v>82</v>
      </c>
      <c r="I160" s="42" t="s">
        <v>68</v>
      </c>
      <c r="J160" s="42" t="s">
        <v>69</v>
      </c>
      <c r="K160" s="43" t="n">
        <v>18325.73</v>
      </c>
      <c r="L160" s="43" t="n">
        <v>0</v>
      </c>
      <c r="M160" s="43" t="n">
        <v>18325.73</v>
      </c>
    </row>
    <row r="161" customFormat="false" ht="15" hidden="false" customHeight="false" outlineLevel="0" collapsed="false">
      <c r="A161" s="40" t="n">
        <v>46234</v>
      </c>
      <c r="B161" s="41" t="n">
        <v>64700</v>
      </c>
      <c r="C161" s="42" t="s">
        <v>34</v>
      </c>
      <c r="D161" s="42" t="s">
        <v>70</v>
      </c>
      <c r="E161" s="42" t="s">
        <v>64</v>
      </c>
      <c r="F161" s="44" t="s">
        <v>83</v>
      </c>
      <c r="G161" s="42" t="s">
        <v>82</v>
      </c>
      <c r="H161" s="42" t="s">
        <v>82</v>
      </c>
      <c r="I161" s="42" t="s">
        <v>68</v>
      </c>
      <c r="J161" s="42" t="s">
        <v>69</v>
      </c>
      <c r="K161" s="43" t="n">
        <v>0</v>
      </c>
      <c r="L161" s="43" t="n">
        <v>7330.29</v>
      </c>
      <c r="M161" s="43" t="n">
        <v>-7330.29</v>
      </c>
    </row>
    <row r="162" customFormat="false" ht="15" hidden="false" customHeight="false" outlineLevel="0" collapsed="false">
      <c r="A162" s="40" t="n">
        <v>46234</v>
      </c>
      <c r="B162" s="41" t="n">
        <v>64700</v>
      </c>
      <c r="C162" s="42" t="s">
        <v>34</v>
      </c>
      <c r="D162" s="42" t="s">
        <v>70</v>
      </c>
      <c r="E162" s="42" t="s">
        <v>64</v>
      </c>
      <c r="F162" s="42" t="s">
        <v>84</v>
      </c>
      <c r="G162" s="42" t="s">
        <v>82</v>
      </c>
      <c r="H162" s="42" t="s">
        <v>82</v>
      </c>
      <c r="I162" s="42" t="s">
        <v>68</v>
      </c>
      <c r="J162" s="42" t="s">
        <v>69</v>
      </c>
      <c r="K162" s="43" t="n">
        <v>0</v>
      </c>
      <c r="L162" s="43" t="n">
        <v>2451</v>
      </c>
      <c r="M162" s="43" t="n">
        <v>-2451</v>
      </c>
    </row>
    <row r="163" customFormat="false" ht="15" hidden="false" customHeight="false" outlineLevel="0" collapsed="false">
      <c r="A163" s="40" t="n">
        <v>46235</v>
      </c>
      <c r="B163" s="41" t="n">
        <v>64700</v>
      </c>
      <c r="C163" s="42" t="s">
        <v>34</v>
      </c>
      <c r="D163" s="42" t="s">
        <v>70</v>
      </c>
      <c r="E163" s="42" t="s">
        <v>64</v>
      </c>
      <c r="F163" s="42" t="s">
        <v>66</v>
      </c>
      <c r="G163" s="42" t="s">
        <v>85</v>
      </c>
      <c r="H163" s="42" t="s">
        <v>85</v>
      </c>
      <c r="I163" s="42" t="s">
        <v>68</v>
      </c>
      <c r="J163" s="42" t="s">
        <v>69</v>
      </c>
      <c r="K163" s="43" t="n">
        <v>7263</v>
      </c>
      <c r="L163" s="43" t="n">
        <v>0</v>
      </c>
      <c r="M163" s="43" t="n">
        <v>7263</v>
      </c>
    </row>
    <row r="164" customFormat="false" ht="15" hidden="false" customHeight="false" outlineLevel="0" collapsed="false">
      <c r="A164" s="40" t="n">
        <v>46235</v>
      </c>
      <c r="B164" s="41" t="n">
        <v>64700</v>
      </c>
      <c r="C164" s="42" t="s">
        <v>34</v>
      </c>
      <c r="D164" s="42" t="s">
        <v>70</v>
      </c>
      <c r="E164" s="42" t="s">
        <v>64</v>
      </c>
      <c r="F164" s="44" t="s">
        <v>71</v>
      </c>
      <c r="G164" s="42" t="s">
        <v>85</v>
      </c>
      <c r="H164" s="42" t="s">
        <v>85</v>
      </c>
      <c r="I164" s="42" t="s">
        <v>68</v>
      </c>
      <c r="J164" s="42" t="s">
        <v>69</v>
      </c>
      <c r="K164" s="43" t="n">
        <v>941.5</v>
      </c>
      <c r="L164" s="43" t="n">
        <v>0</v>
      </c>
      <c r="M164" s="43" t="n">
        <v>941.5</v>
      </c>
    </row>
    <row r="165" customFormat="false" ht="15" hidden="false" customHeight="false" outlineLevel="0" collapsed="false">
      <c r="A165" s="40" t="n">
        <v>46235</v>
      </c>
      <c r="B165" s="41" t="n">
        <v>64700</v>
      </c>
      <c r="C165" s="42" t="s">
        <v>34</v>
      </c>
      <c r="D165" s="42" t="s">
        <v>70</v>
      </c>
      <c r="E165" s="42" t="s">
        <v>64</v>
      </c>
      <c r="F165" s="42" t="s">
        <v>72</v>
      </c>
      <c r="G165" s="42" t="s">
        <v>85</v>
      </c>
      <c r="H165" s="42" t="s">
        <v>85</v>
      </c>
      <c r="I165" s="42" t="s">
        <v>68</v>
      </c>
      <c r="J165" s="42" t="s">
        <v>69</v>
      </c>
      <c r="K165" s="43" t="n">
        <v>1189</v>
      </c>
      <c r="L165" s="43" t="n">
        <v>0</v>
      </c>
      <c r="M165" s="43" t="n">
        <v>1189</v>
      </c>
    </row>
    <row r="166" customFormat="false" ht="15" hidden="false" customHeight="false" outlineLevel="0" collapsed="false">
      <c r="A166" s="40" t="n">
        <v>46235</v>
      </c>
      <c r="B166" s="41" t="n">
        <v>64700</v>
      </c>
      <c r="C166" s="42" t="s">
        <v>34</v>
      </c>
      <c r="D166" s="42" t="s">
        <v>70</v>
      </c>
      <c r="E166" s="42" t="s">
        <v>64</v>
      </c>
      <c r="F166" s="42" t="s">
        <v>73</v>
      </c>
      <c r="G166" s="42" t="s">
        <v>85</v>
      </c>
      <c r="H166" s="42" t="s">
        <v>85</v>
      </c>
      <c r="I166" s="42" t="s">
        <v>68</v>
      </c>
      <c r="J166" s="42" t="s">
        <v>69</v>
      </c>
      <c r="K166" s="43" t="n">
        <v>0</v>
      </c>
      <c r="L166" s="43" t="n">
        <v>410</v>
      </c>
      <c r="M166" s="43" t="n">
        <v>-410</v>
      </c>
    </row>
    <row r="167" customFormat="false" ht="15" hidden="false" customHeight="false" outlineLevel="0" collapsed="false">
      <c r="A167" s="40" t="n">
        <v>46235</v>
      </c>
      <c r="B167" s="41" t="n">
        <v>64700</v>
      </c>
      <c r="C167" s="42" t="s">
        <v>34</v>
      </c>
      <c r="D167" s="42" t="s">
        <v>70</v>
      </c>
      <c r="E167" s="42" t="s">
        <v>64</v>
      </c>
      <c r="F167" s="42" t="s">
        <v>74</v>
      </c>
      <c r="G167" s="42" t="s">
        <v>85</v>
      </c>
      <c r="H167" s="42" t="s">
        <v>85</v>
      </c>
      <c r="I167" s="42" t="s">
        <v>68</v>
      </c>
      <c r="J167" s="42" t="s">
        <v>69</v>
      </c>
      <c r="K167" s="43" t="n">
        <v>100</v>
      </c>
      <c r="L167" s="43" t="n">
        <v>0</v>
      </c>
      <c r="M167" s="43" t="n">
        <v>100</v>
      </c>
    </row>
    <row r="168" customFormat="false" ht="15" hidden="false" customHeight="false" outlineLevel="0" collapsed="false">
      <c r="A168" s="40" t="n">
        <v>46235</v>
      </c>
      <c r="B168" s="41" t="n">
        <v>64700</v>
      </c>
      <c r="C168" s="42" t="s">
        <v>34</v>
      </c>
      <c r="D168" s="42" t="s">
        <v>70</v>
      </c>
      <c r="E168" s="42" t="s">
        <v>64</v>
      </c>
      <c r="F168" s="42" t="s">
        <v>75</v>
      </c>
      <c r="G168" s="42" t="s">
        <v>85</v>
      </c>
      <c r="H168" s="42" t="s">
        <v>85</v>
      </c>
      <c r="I168" s="42" t="s">
        <v>68</v>
      </c>
      <c r="J168" s="42" t="s">
        <v>69</v>
      </c>
      <c r="K168" s="43" t="n">
        <v>325</v>
      </c>
      <c r="L168" s="43" t="n">
        <v>0</v>
      </c>
      <c r="M168" s="43" t="n">
        <v>325</v>
      </c>
    </row>
    <row r="169" customFormat="false" ht="15" hidden="false" customHeight="false" outlineLevel="0" collapsed="false">
      <c r="A169" s="40" t="n">
        <v>46235</v>
      </c>
      <c r="B169" s="41" t="n">
        <v>64700</v>
      </c>
      <c r="C169" s="42" t="s">
        <v>34</v>
      </c>
      <c r="D169" s="42" t="s">
        <v>70</v>
      </c>
      <c r="E169" s="42" t="s">
        <v>64</v>
      </c>
      <c r="F169" s="44" t="s">
        <v>76</v>
      </c>
      <c r="G169" s="42" t="s">
        <v>85</v>
      </c>
      <c r="H169" s="42" t="s">
        <v>85</v>
      </c>
      <c r="I169" s="42" t="s">
        <v>68</v>
      </c>
      <c r="J169" s="42" t="s">
        <v>69</v>
      </c>
      <c r="K169" s="43" t="n">
        <v>28.8</v>
      </c>
      <c r="L169" s="43" t="n">
        <v>0</v>
      </c>
      <c r="M169" s="43" t="n">
        <v>28.8</v>
      </c>
    </row>
    <row r="170" customFormat="false" ht="15" hidden="false" customHeight="false" outlineLevel="0" collapsed="false">
      <c r="A170" s="40" t="n">
        <v>46237</v>
      </c>
      <c r="B170" s="41" t="n">
        <v>64700</v>
      </c>
      <c r="C170" s="42" t="s">
        <v>34</v>
      </c>
      <c r="D170" s="42" t="s">
        <v>70</v>
      </c>
      <c r="E170" s="42" t="s">
        <v>64</v>
      </c>
      <c r="F170" s="44" t="s">
        <v>86</v>
      </c>
      <c r="G170" s="42" t="s">
        <v>87</v>
      </c>
      <c r="H170" s="42" t="s">
        <v>87</v>
      </c>
      <c r="I170" s="42" t="s">
        <v>68</v>
      </c>
      <c r="J170" s="42" t="s">
        <v>69</v>
      </c>
      <c r="K170" s="43" t="n">
        <v>609.7</v>
      </c>
      <c r="L170" s="43" t="n">
        <v>0</v>
      </c>
      <c r="M170" s="43" t="n">
        <v>609.7</v>
      </c>
    </row>
    <row r="171" customFormat="false" ht="15" hidden="false" customHeight="false" outlineLevel="0" collapsed="false">
      <c r="A171" s="40" t="n">
        <v>46234</v>
      </c>
      <c r="B171" s="41" t="n">
        <v>61730</v>
      </c>
      <c r="C171" s="42" t="s">
        <v>36</v>
      </c>
      <c r="D171" s="42" t="s">
        <v>107</v>
      </c>
      <c r="E171" s="45" t="s">
        <v>394</v>
      </c>
      <c r="F171" s="42" t="s">
        <v>171</v>
      </c>
      <c r="G171" s="42"/>
      <c r="H171" s="42" t="s">
        <v>172</v>
      </c>
      <c r="I171" s="42" t="s">
        <v>68</v>
      </c>
      <c r="J171" s="42" t="s">
        <v>69</v>
      </c>
      <c r="K171" s="43" t="n">
        <v>3910.91</v>
      </c>
      <c r="L171" s="43" t="n">
        <v>0</v>
      </c>
      <c r="M171" s="43" t="n">
        <v>3910.91</v>
      </c>
    </row>
    <row r="172" customFormat="false" ht="15" hidden="false" customHeight="false" outlineLevel="0" collapsed="false">
      <c r="A172" s="40" t="n">
        <v>46234</v>
      </c>
      <c r="B172" s="41" t="n">
        <v>61730</v>
      </c>
      <c r="C172" s="42" t="s">
        <v>36</v>
      </c>
      <c r="D172" s="42" t="s">
        <v>70</v>
      </c>
      <c r="E172" s="42" t="s">
        <v>214</v>
      </c>
      <c r="F172" s="42" t="s">
        <v>215</v>
      </c>
      <c r="G172" s="42" t="s">
        <v>216</v>
      </c>
      <c r="H172" s="42" t="s">
        <v>216</v>
      </c>
      <c r="I172" s="42" t="s">
        <v>68</v>
      </c>
      <c r="J172" s="42" t="s">
        <v>69</v>
      </c>
      <c r="K172" s="43" t="n">
        <v>1089.09</v>
      </c>
      <c r="L172" s="43" t="n">
        <v>0</v>
      </c>
      <c r="M172" s="43" t="n">
        <v>1089.09</v>
      </c>
    </row>
    <row r="173" customFormat="false" ht="15" hidden="false" customHeight="false" outlineLevel="0" collapsed="false">
      <c r="A173" s="40" t="n">
        <v>46238</v>
      </c>
      <c r="B173" s="41" t="n">
        <v>61730</v>
      </c>
      <c r="C173" s="42" t="s">
        <v>36</v>
      </c>
      <c r="D173" s="42" t="s">
        <v>70</v>
      </c>
      <c r="E173" s="42" t="s">
        <v>345</v>
      </c>
      <c r="F173" s="42" t="s">
        <v>346</v>
      </c>
      <c r="G173" s="42" t="s">
        <v>347</v>
      </c>
      <c r="H173" s="42" t="s">
        <v>347</v>
      </c>
      <c r="I173" s="42" t="s">
        <v>112</v>
      </c>
      <c r="J173" s="42" t="s">
        <v>113</v>
      </c>
      <c r="K173" s="43" t="n">
        <v>34.58</v>
      </c>
      <c r="L173" s="43" t="n">
        <v>0</v>
      </c>
      <c r="M173" s="43" t="n">
        <v>34.58</v>
      </c>
    </row>
    <row r="174" customFormat="false" ht="15" hidden="false" customHeight="false" outlineLevel="0" collapsed="false">
      <c r="A174" s="40" t="n">
        <v>46238</v>
      </c>
      <c r="B174" s="41" t="n">
        <v>61730</v>
      </c>
      <c r="C174" s="42" t="s">
        <v>36</v>
      </c>
      <c r="D174" s="42" t="s">
        <v>70</v>
      </c>
      <c r="E174" s="42" t="s">
        <v>378</v>
      </c>
      <c r="F174" s="44" t="s">
        <v>379</v>
      </c>
      <c r="G174" s="42" t="s">
        <v>380</v>
      </c>
      <c r="H174" s="42" t="s">
        <v>380</v>
      </c>
      <c r="I174" s="42" t="s">
        <v>112</v>
      </c>
      <c r="J174" s="42" t="s">
        <v>113</v>
      </c>
      <c r="K174" s="43" t="n">
        <v>29.99</v>
      </c>
      <c r="L174" s="43" t="n">
        <v>0</v>
      </c>
      <c r="M174" s="43" t="n">
        <v>29.99</v>
      </c>
    </row>
    <row r="175" customFormat="false" ht="15" hidden="false" customHeight="false" outlineLevel="0" collapsed="false">
      <c r="A175" s="40" t="n">
        <v>46238</v>
      </c>
      <c r="B175" s="41" t="n">
        <v>61730</v>
      </c>
      <c r="C175" s="42" t="s">
        <v>36</v>
      </c>
      <c r="D175" s="42" t="s">
        <v>70</v>
      </c>
      <c r="E175" s="42" t="s">
        <v>339</v>
      </c>
      <c r="F175" s="44" t="s">
        <v>340</v>
      </c>
      <c r="G175" s="42" t="s">
        <v>341</v>
      </c>
      <c r="H175" s="42" t="s">
        <v>341</v>
      </c>
      <c r="I175" s="42" t="s">
        <v>112</v>
      </c>
      <c r="J175" s="42" t="s">
        <v>113</v>
      </c>
      <c r="K175" s="43" t="n">
        <v>113.64</v>
      </c>
      <c r="L175" s="43" t="n">
        <v>0</v>
      </c>
      <c r="M175" s="43" t="n">
        <v>113.64</v>
      </c>
    </row>
    <row r="176" customFormat="false" ht="15" hidden="false" customHeight="false" outlineLevel="0" collapsed="false">
      <c r="A176" s="40" t="n">
        <v>46239</v>
      </c>
      <c r="B176" s="41" t="n">
        <v>61730</v>
      </c>
      <c r="C176" s="42" t="s">
        <v>36</v>
      </c>
      <c r="D176" s="42" t="s">
        <v>70</v>
      </c>
      <c r="E176" s="42" t="s">
        <v>317</v>
      </c>
      <c r="F176" s="42" t="s">
        <v>318</v>
      </c>
      <c r="G176" s="42" t="s">
        <v>319</v>
      </c>
      <c r="H176" s="42" t="s">
        <v>319</v>
      </c>
      <c r="I176" s="42" t="s">
        <v>112</v>
      </c>
      <c r="J176" s="42" t="s">
        <v>113</v>
      </c>
      <c r="K176" s="43" t="n">
        <v>130.35</v>
      </c>
      <c r="L176" s="43" t="n">
        <v>0</v>
      </c>
      <c r="M176" s="43" t="n">
        <v>130.35</v>
      </c>
    </row>
    <row r="177" customFormat="false" ht="15" hidden="false" customHeight="false" outlineLevel="0" collapsed="false">
      <c r="A177" s="40" t="n">
        <v>46239</v>
      </c>
      <c r="B177" s="41" t="n">
        <v>61730</v>
      </c>
      <c r="C177" s="42" t="s">
        <v>36</v>
      </c>
      <c r="D177" s="42" t="s">
        <v>70</v>
      </c>
      <c r="E177" s="42" t="s">
        <v>227</v>
      </c>
      <c r="F177" s="44" t="s">
        <v>228</v>
      </c>
      <c r="G177" s="42" t="s">
        <v>229</v>
      </c>
      <c r="H177" s="42" t="s">
        <v>229</v>
      </c>
      <c r="I177" s="42" t="s">
        <v>68</v>
      </c>
      <c r="J177" s="42" t="s">
        <v>113</v>
      </c>
      <c r="K177" s="43" t="n">
        <v>780</v>
      </c>
      <c r="L177" s="43" t="n">
        <v>0</v>
      </c>
      <c r="M177" s="43" t="n">
        <v>780</v>
      </c>
    </row>
    <row r="178" customFormat="false" ht="15" hidden="false" customHeight="false" outlineLevel="0" collapsed="false">
      <c r="A178" s="40" t="n">
        <v>46239</v>
      </c>
      <c r="B178" s="41" t="n">
        <v>61730</v>
      </c>
      <c r="C178" s="42" t="s">
        <v>36</v>
      </c>
      <c r="D178" s="42" t="s">
        <v>70</v>
      </c>
      <c r="E178" s="42" t="s">
        <v>350</v>
      </c>
      <c r="F178" s="42" t="s">
        <v>351</v>
      </c>
      <c r="G178" s="42" t="s">
        <v>352</v>
      </c>
      <c r="H178" s="42" t="s">
        <v>352</v>
      </c>
      <c r="I178" s="42" t="s">
        <v>112</v>
      </c>
      <c r="J178" s="42" t="s">
        <v>113</v>
      </c>
      <c r="K178" s="43" t="n">
        <v>76.36</v>
      </c>
      <c r="L178" s="43" t="n">
        <v>0</v>
      </c>
      <c r="M178" s="43" t="n">
        <v>76.36</v>
      </c>
    </row>
    <row r="179" customFormat="false" ht="15" hidden="false" customHeight="false" outlineLevel="0" collapsed="false">
      <c r="A179" s="40" t="n">
        <v>46239</v>
      </c>
      <c r="B179" s="41" t="n">
        <v>61730</v>
      </c>
      <c r="C179" s="42" t="s">
        <v>36</v>
      </c>
      <c r="D179" s="42" t="s">
        <v>70</v>
      </c>
      <c r="E179" s="42" t="s">
        <v>360</v>
      </c>
      <c r="F179" s="44" t="s">
        <v>361</v>
      </c>
      <c r="G179" s="42" t="s">
        <v>362</v>
      </c>
      <c r="H179" s="42" t="s">
        <v>362</v>
      </c>
      <c r="I179" s="42" t="s">
        <v>112</v>
      </c>
      <c r="J179" s="42" t="s">
        <v>113</v>
      </c>
      <c r="K179" s="43" t="n">
        <v>66.23</v>
      </c>
      <c r="L179" s="43" t="n">
        <v>0</v>
      </c>
      <c r="M179" s="43" t="n">
        <v>66.23</v>
      </c>
    </row>
    <row r="180" customFormat="false" ht="15" hidden="false" customHeight="false" outlineLevel="0" collapsed="false">
      <c r="A180" s="40" t="n">
        <v>46239</v>
      </c>
      <c r="B180" s="41" t="n">
        <v>61730</v>
      </c>
      <c r="C180" s="42" t="s">
        <v>36</v>
      </c>
      <c r="D180" s="42" t="s">
        <v>70</v>
      </c>
      <c r="E180" s="42" t="s">
        <v>336</v>
      </c>
      <c r="F180" s="44" t="s">
        <v>337</v>
      </c>
      <c r="G180" s="42" t="s">
        <v>338</v>
      </c>
      <c r="H180" s="42" t="s">
        <v>338</v>
      </c>
      <c r="I180" s="42" t="s">
        <v>112</v>
      </c>
      <c r="J180" s="42" t="s">
        <v>113</v>
      </c>
      <c r="K180" s="43" t="n">
        <v>120.6</v>
      </c>
      <c r="L180" s="43" t="n">
        <v>0</v>
      </c>
      <c r="M180" s="43" t="n">
        <v>120.6</v>
      </c>
    </row>
    <row r="181" customFormat="false" ht="15" hidden="false" customHeight="false" outlineLevel="0" collapsed="false">
      <c r="A181" s="40" t="n">
        <v>46239</v>
      </c>
      <c r="B181" s="41" t="n">
        <v>61730</v>
      </c>
      <c r="C181" s="42" t="s">
        <v>36</v>
      </c>
      <c r="D181" s="42" t="s">
        <v>70</v>
      </c>
      <c r="E181" s="42" t="s">
        <v>214</v>
      </c>
      <c r="F181" s="42" t="s">
        <v>217</v>
      </c>
      <c r="G181" s="42" t="s">
        <v>218</v>
      </c>
      <c r="H181" s="42" t="s">
        <v>218</v>
      </c>
      <c r="I181" s="42" t="s">
        <v>112</v>
      </c>
      <c r="J181" s="42" t="s">
        <v>113</v>
      </c>
      <c r="K181" s="43" t="n">
        <v>167.27</v>
      </c>
      <c r="L181" s="43" t="n">
        <v>0</v>
      </c>
      <c r="M181" s="43" t="n">
        <v>167.27</v>
      </c>
    </row>
    <row r="182" customFormat="false" ht="15" hidden="false" customHeight="false" outlineLevel="0" collapsed="false">
      <c r="A182" s="40" t="n">
        <v>46239</v>
      </c>
      <c r="B182" s="41" t="n">
        <v>61730</v>
      </c>
      <c r="C182" s="42" t="s">
        <v>36</v>
      </c>
      <c r="D182" s="42" t="s">
        <v>70</v>
      </c>
      <c r="E182" s="42" t="s">
        <v>357</v>
      </c>
      <c r="F182" s="42" t="s">
        <v>358</v>
      </c>
      <c r="G182" s="42" t="s">
        <v>359</v>
      </c>
      <c r="H182" s="42" t="s">
        <v>359</v>
      </c>
      <c r="I182" s="42" t="s">
        <v>112</v>
      </c>
      <c r="J182" s="42" t="s">
        <v>113</v>
      </c>
      <c r="K182" s="43" t="n">
        <v>75.41</v>
      </c>
      <c r="L182" s="43" t="n">
        <v>0</v>
      </c>
      <c r="M182" s="43" t="n">
        <v>75.41</v>
      </c>
    </row>
    <row r="183" customFormat="false" ht="15" hidden="false" customHeight="false" outlineLevel="0" collapsed="false">
      <c r="A183" s="40" t="n">
        <v>46239</v>
      </c>
      <c r="B183" s="41" t="n">
        <v>61730</v>
      </c>
      <c r="C183" s="42" t="s">
        <v>36</v>
      </c>
      <c r="D183" s="42" t="s">
        <v>70</v>
      </c>
      <c r="E183" s="42" t="s">
        <v>219</v>
      </c>
      <c r="F183" s="44" t="s">
        <v>220</v>
      </c>
      <c r="G183" s="42" t="s">
        <v>221</v>
      </c>
      <c r="H183" s="42" t="s">
        <v>221</v>
      </c>
      <c r="I183" s="42" t="s">
        <v>112</v>
      </c>
      <c r="J183" s="42" t="s">
        <v>113</v>
      </c>
      <c r="K183" s="43" t="n">
        <v>889.08</v>
      </c>
      <c r="L183" s="43" t="n">
        <v>0</v>
      </c>
      <c r="M183" s="43" t="n">
        <v>889.08</v>
      </c>
    </row>
    <row r="184" customFormat="false" ht="15" hidden="false" customHeight="false" outlineLevel="0" collapsed="false">
      <c r="A184" s="40" t="n">
        <v>46239</v>
      </c>
      <c r="B184" s="41" t="n">
        <v>61730</v>
      </c>
      <c r="C184" s="42" t="s">
        <v>36</v>
      </c>
      <c r="D184" s="42" t="s">
        <v>70</v>
      </c>
      <c r="E184" s="42" t="s">
        <v>314</v>
      </c>
      <c r="F184" s="44" t="s">
        <v>315</v>
      </c>
      <c r="G184" s="42" t="s">
        <v>316</v>
      </c>
      <c r="H184" s="42" t="s">
        <v>316</v>
      </c>
      <c r="I184" s="42" t="s">
        <v>112</v>
      </c>
      <c r="J184" s="42" t="s">
        <v>113</v>
      </c>
      <c r="K184" s="43" t="n">
        <v>161.82</v>
      </c>
      <c r="L184" s="43" t="n">
        <v>0</v>
      </c>
      <c r="M184" s="43" t="n">
        <v>161.82</v>
      </c>
    </row>
    <row r="185" customFormat="false" ht="15" hidden="false" customHeight="false" outlineLevel="0" collapsed="false">
      <c r="A185" s="40" t="n">
        <v>46239</v>
      </c>
      <c r="B185" s="41" t="n">
        <v>61730</v>
      </c>
      <c r="C185" s="42" t="s">
        <v>36</v>
      </c>
      <c r="D185" s="42" t="s">
        <v>70</v>
      </c>
      <c r="E185" s="42" t="s">
        <v>275</v>
      </c>
      <c r="F185" s="42" t="s">
        <v>276</v>
      </c>
      <c r="G185" s="42" t="s">
        <v>277</v>
      </c>
      <c r="H185" s="42" t="s">
        <v>277</v>
      </c>
      <c r="I185" s="42" t="s">
        <v>112</v>
      </c>
      <c r="J185" s="42" t="s">
        <v>113</v>
      </c>
      <c r="K185" s="43" t="n">
        <v>319.09</v>
      </c>
      <c r="L185" s="43" t="n">
        <v>0</v>
      </c>
      <c r="M185" s="43" t="n">
        <v>319.09</v>
      </c>
    </row>
    <row r="186" customFormat="false" ht="15" hidden="false" customHeight="false" outlineLevel="0" collapsed="false">
      <c r="A186" s="40" t="n">
        <v>46239</v>
      </c>
      <c r="B186" s="41" t="n">
        <v>61730</v>
      </c>
      <c r="C186" s="42" t="s">
        <v>36</v>
      </c>
      <c r="D186" s="42" t="s">
        <v>70</v>
      </c>
      <c r="E186" s="42" t="s">
        <v>342</v>
      </c>
      <c r="F186" s="44" t="s">
        <v>343</v>
      </c>
      <c r="G186" s="42" t="s">
        <v>344</v>
      </c>
      <c r="H186" s="42" t="s">
        <v>344</v>
      </c>
      <c r="I186" s="42" t="s">
        <v>112</v>
      </c>
      <c r="J186" s="42" t="s">
        <v>113</v>
      </c>
      <c r="K186" s="43" t="n">
        <v>108.18</v>
      </c>
      <c r="L186" s="43" t="n">
        <v>0</v>
      </c>
      <c r="M186" s="43" t="n">
        <v>108.18</v>
      </c>
    </row>
    <row r="187" customFormat="false" ht="15" hidden="false" customHeight="false" outlineLevel="0" collapsed="false">
      <c r="A187" s="40" t="n">
        <v>46241</v>
      </c>
      <c r="B187" s="41" t="n">
        <v>61730</v>
      </c>
      <c r="C187" s="42" t="s">
        <v>36</v>
      </c>
      <c r="D187" s="42" t="s">
        <v>70</v>
      </c>
      <c r="E187" s="42" t="s">
        <v>294</v>
      </c>
      <c r="F187" s="42" t="s">
        <v>295</v>
      </c>
      <c r="G187" s="42" t="s">
        <v>296</v>
      </c>
      <c r="H187" s="42" t="s">
        <v>296</v>
      </c>
      <c r="I187" s="42" t="s">
        <v>112</v>
      </c>
      <c r="J187" s="42" t="s">
        <v>113</v>
      </c>
      <c r="K187" s="43" t="n">
        <v>294.54</v>
      </c>
      <c r="L187" s="43" t="n">
        <v>0</v>
      </c>
      <c r="M187" s="43" t="n">
        <v>294.54</v>
      </c>
    </row>
    <row r="188" customFormat="false" ht="15" hidden="false" customHeight="false" outlineLevel="0" collapsed="false">
      <c r="A188" s="40" t="n">
        <v>46248</v>
      </c>
      <c r="B188" s="41" t="n">
        <v>61730</v>
      </c>
      <c r="C188" s="42" t="s">
        <v>36</v>
      </c>
      <c r="D188" s="42" t="s">
        <v>70</v>
      </c>
      <c r="E188" s="42" t="s">
        <v>256</v>
      </c>
      <c r="F188" s="44" t="s">
        <v>257</v>
      </c>
      <c r="G188" s="42" t="s">
        <v>258</v>
      </c>
      <c r="H188" s="42" t="s">
        <v>258</v>
      </c>
      <c r="I188" s="42" t="s">
        <v>112</v>
      </c>
      <c r="J188" s="42" t="s">
        <v>113</v>
      </c>
      <c r="K188" s="43" t="n">
        <v>397.98</v>
      </c>
      <c r="L188" s="43" t="n">
        <v>0</v>
      </c>
      <c r="M188" s="43" t="n">
        <v>397.98</v>
      </c>
    </row>
    <row r="189" customFormat="false" ht="15" hidden="false" customHeight="false" outlineLevel="0" collapsed="false">
      <c r="A189" s="40" t="n">
        <v>46253</v>
      </c>
      <c r="B189" s="41" t="n">
        <v>61730</v>
      </c>
      <c r="C189" s="42" t="s">
        <v>36</v>
      </c>
      <c r="D189" s="42" t="s">
        <v>70</v>
      </c>
      <c r="E189" s="42" t="s">
        <v>345</v>
      </c>
      <c r="F189" s="42" t="s">
        <v>348</v>
      </c>
      <c r="G189" s="42" t="s">
        <v>349</v>
      </c>
      <c r="H189" s="42" t="s">
        <v>349</v>
      </c>
      <c r="I189" s="42" t="s">
        <v>112</v>
      </c>
      <c r="J189" s="42" t="s">
        <v>113</v>
      </c>
      <c r="K189" s="43" t="n">
        <v>65.44</v>
      </c>
      <c r="L189" s="43" t="n">
        <v>0</v>
      </c>
      <c r="M189" s="43" t="n">
        <v>65.44</v>
      </c>
    </row>
    <row r="190" customFormat="false" ht="15" hidden="false" customHeight="false" outlineLevel="0" collapsed="false">
      <c r="A190" s="40" t="n">
        <v>46253</v>
      </c>
      <c r="B190" s="41" t="n">
        <v>61730</v>
      </c>
      <c r="C190" s="42" t="s">
        <v>36</v>
      </c>
      <c r="D190" s="42" t="s">
        <v>70</v>
      </c>
      <c r="E190" s="42" t="s">
        <v>259</v>
      </c>
      <c r="F190" s="44" t="s">
        <v>260</v>
      </c>
      <c r="G190" s="42" t="s">
        <v>261</v>
      </c>
      <c r="H190" s="42" t="s">
        <v>261</v>
      </c>
      <c r="I190" s="42" t="s">
        <v>112</v>
      </c>
      <c r="J190" s="42" t="s">
        <v>113</v>
      </c>
      <c r="K190" s="43" t="n">
        <v>354.41</v>
      </c>
      <c r="L190" s="43" t="n">
        <v>0</v>
      </c>
      <c r="M190" s="43" t="n">
        <v>354.41</v>
      </c>
    </row>
    <row r="191" customFormat="false" ht="15" hidden="false" customHeight="false" outlineLevel="0" collapsed="false">
      <c r="A191" s="40" t="n">
        <v>46253</v>
      </c>
      <c r="B191" s="41" t="n">
        <v>61730</v>
      </c>
      <c r="C191" s="42" t="s">
        <v>36</v>
      </c>
      <c r="D191" s="42" t="s">
        <v>70</v>
      </c>
      <c r="E191" s="42" t="s">
        <v>371</v>
      </c>
      <c r="F191" s="42" t="s">
        <v>372</v>
      </c>
      <c r="G191" s="42" t="s">
        <v>373</v>
      </c>
      <c r="H191" s="42" t="s">
        <v>373</v>
      </c>
      <c r="I191" s="42" t="s">
        <v>112</v>
      </c>
      <c r="J191" s="42" t="s">
        <v>113</v>
      </c>
      <c r="K191" s="43" t="n">
        <v>33.68</v>
      </c>
      <c r="L191" s="43" t="n">
        <v>0</v>
      </c>
      <c r="M191" s="43" t="n">
        <v>33.68</v>
      </c>
    </row>
    <row r="192" customFormat="false" ht="15" hidden="false" customHeight="false" outlineLevel="0" collapsed="false">
      <c r="A192" s="40" t="n">
        <v>46265</v>
      </c>
      <c r="B192" s="41" t="n">
        <v>61730</v>
      </c>
      <c r="C192" s="42" t="s">
        <v>36</v>
      </c>
      <c r="D192" s="42" t="s">
        <v>107</v>
      </c>
      <c r="E192" s="45" t="s">
        <v>394</v>
      </c>
      <c r="F192" s="42" t="s">
        <v>173</v>
      </c>
      <c r="G192" s="42"/>
      <c r="H192" s="42" t="s">
        <v>141</v>
      </c>
      <c r="I192" s="42" t="s">
        <v>68</v>
      </c>
      <c r="J192" s="42" t="s">
        <v>69</v>
      </c>
      <c r="K192" s="43" t="n">
        <v>0</v>
      </c>
      <c r="L192" s="43" t="n">
        <v>4218.65</v>
      </c>
      <c r="M192" s="43" t="n">
        <v>-4218.65</v>
      </c>
    </row>
    <row r="193" customFormat="false" ht="15" hidden="false" customHeight="false" outlineLevel="0" collapsed="false">
      <c r="A193" s="40" t="n">
        <v>46209</v>
      </c>
      <c r="B193" s="41" t="n">
        <v>64560</v>
      </c>
      <c r="C193" s="42" t="s">
        <v>38</v>
      </c>
      <c r="D193" s="42" t="s">
        <v>70</v>
      </c>
      <c r="E193" s="42" t="s">
        <v>174</v>
      </c>
      <c r="F193" s="42" t="s">
        <v>202</v>
      </c>
      <c r="G193" s="42" t="s">
        <v>203</v>
      </c>
      <c r="H193" s="42" t="s">
        <v>203</v>
      </c>
      <c r="I193" s="42" t="s">
        <v>68</v>
      </c>
      <c r="J193" s="42" t="s">
        <v>69</v>
      </c>
      <c r="K193" s="43" t="n">
        <v>92</v>
      </c>
      <c r="L193" s="43" t="n">
        <v>0</v>
      </c>
      <c r="M193" s="43" t="n">
        <v>92</v>
      </c>
    </row>
    <row r="194" customFormat="false" ht="15" hidden="false" customHeight="false" outlineLevel="0" collapsed="false">
      <c r="A194" s="40" t="n">
        <v>46210</v>
      </c>
      <c r="B194" s="41" t="n">
        <v>64560</v>
      </c>
      <c r="C194" s="42" t="s">
        <v>38</v>
      </c>
      <c r="D194" s="42" t="s">
        <v>70</v>
      </c>
      <c r="E194" s="42" t="s">
        <v>174</v>
      </c>
      <c r="F194" s="42" t="s">
        <v>204</v>
      </c>
      <c r="G194" s="42" t="s">
        <v>177</v>
      </c>
      <c r="H194" s="42" t="s">
        <v>177</v>
      </c>
      <c r="I194" s="42" t="s">
        <v>68</v>
      </c>
      <c r="J194" s="42" t="s">
        <v>69</v>
      </c>
      <c r="K194" s="43" t="n">
        <v>271.82</v>
      </c>
      <c r="L194" s="43" t="n">
        <v>0</v>
      </c>
      <c r="M194" s="43" t="n">
        <v>271.82</v>
      </c>
    </row>
    <row r="195" customFormat="false" ht="15" hidden="false" customHeight="false" outlineLevel="0" collapsed="false">
      <c r="A195" s="40" t="n">
        <v>46240</v>
      </c>
      <c r="B195" s="41" t="n">
        <v>64560</v>
      </c>
      <c r="C195" s="42" t="s">
        <v>38</v>
      </c>
      <c r="D195" s="42" t="s">
        <v>70</v>
      </c>
      <c r="E195" s="42" t="s">
        <v>174</v>
      </c>
      <c r="F195" s="42" t="s">
        <v>202</v>
      </c>
      <c r="G195" s="42" t="s">
        <v>205</v>
      </c>
      <c r="H195" s="42" t="s">
        <v>205</v>
      </c>
      <c r="I195" s="42" t="s">
        <v>68</v>
      </c>
      <c r="J195" s="42" t="s">
        <v>69</v>
      </c>
      <c r="K195" s="43" t="n">
        <v>92</v>
      </c>
      <c r="L195" s="43" t="n">
        <v>0</v>
      </c>
      <c r="M195" s="43" t="n">
        <v>92</v>
      </c>
    </row>
    <row r="196" customFormat="false" ht="15" hidden="false" customHeight="false" outlineLevel="0" collapsed="false">
      <c r="A196" s="40" t="n">
        <v>46241</v>
      </c>
      <c r="B196" s="41" t="n">
        <v>64560</v>
      </c>
      <c r="C196" s="42" t="s">
        <v>38</v>
      </c>
      <c r="D196" s="42" t="s">
        <v>70</v>
      </c>
      <c r="E196" s="42" t="s">
        <v>174</v>
      </c>
      <c r="F196" s="42" t="s">
        <v>204</v>
      </c>
      <c r="G196" s="42" t="s">
        <v>194</v>
      </c>
      <c r="H196" s="42" t="s">
        <v>194</v>
      </c>
      <c r="I196" s="42" t="s">
        <v>68</v>
      </c>
      <c r="J196" s="42" t="s">
        <v>69</v>
      </c>
      <c r="K196" s="43" t="n">
        <v>271.82</v>
      </c>
      <c r="L196" s="43" t="n">
        <v>0</v>
      </c>
      <c r="M196" s="43" t="n">
        <v>271.82</v>
      </c>
    </row>
    <row r="197" customFormat="false" ht="15" hidden="false" customHeight="false" outlineLevel="0" collapsed="false">
      <c r="A197" s="40" t="n">
        <v>46210</v>
      </c>
      <c r="B197" s="41" t="n">
        <v>64530</v>
      </c>
      <c r="C197" s="42" t="s">
        <v>39</v>
      </c>
      <c r="D197" s="42" t="s">
        <v>70</v>
      </c>
      <c r="E197" s="42" t="s">
        <v>174</v>
      </c>
      <c r="F197" s="42" t="s">
        <v>176</v>
      </c>
      <c r="G197" s="42" t="s">
        <v>177</v>
      </c>
      <c r="H197" s="42" t="s">
        <v>177</v>
      </c>
      <c r="I197" s="42" t="s">
        <v>112</v>
      </c>
      <c r="J197" s="42" t="s">
        <v>113</v>
      </c>
      <c r="K197" s="43" t="n">
        <v>31.35</v>
      </c>
      <c r="L197" s="43" t="n">
        <v>0</v>
      </c>
      <c r="M197" s="43" t="n">
        <v>31.35</v>
      </c>
    </row>
    <row r="198" customFormat="false" ht="15" hidden="false" customHeight="false" outlineLevel="0" collapsed="false">
      <c r="A198" s="40" t="n">
        <v>46210</v>
      </c>
      <c r="B198" s="41" t="n">
        <v>64530</v>
      </c>
      <c r="C198" s="42" t="s">
        <v>39</v>
      </c>
      <c r="D198" s="42" t="s">
        <v>70</v>
      </c>
      <c r="E198" s="42" t="s">
        <v>174</v>
      </c>
      <c r="F198" s="42" t="s">
        <v>178</v>
      </c>
      <c r="G198" s="42" t="s">
        <v>177</v>
      </c>
      <c r="H198" s="42" t="s">
        <v>177</v>
      </c>
      <c r="I198" s="42" t="s">
        <v>68</v>
      </c>
      <c r="J198" s="42" t="s">
        <v>69</v>
      </c>
      <c r="K198" s="43" t="n">
        <v>31.35</v>
      </c>
      <c r="L198" s="43" t="n">
        <v>0</v>
      </c>
      <c r="M198" s="43" t="n">
        <v>31.35</v>
      </c>
    </row>
    <row r="199" customFormat="false" ht="15" hidden="false" customHeight="false" outlineLevel="0" collapsed="false">
      <c r="A199" s="40" t="n">
        <v>46210</v>
      </c>
      <c r="B199" s="41" t="n">
        <v>64530</v>
      </c>
      <c r="C199" s="42" t="s">
        <v>39</v>
      </c>
      <c r="D199" s="42" t="s">
        <v>70</v>
      </c>
      <c r="E199" s="42" t="s">
        <v>174</v>
      </c>
      <c r="F199" s="42" t="s">
        <v>179</v>
      </c>
      <c r="G199" s="42" t="s">
        <v>177</v>
      </c>
      <c r="H199" s="42" t="s">
        <v>177</v>
      </c>
      <c r="I199" s="42" t="s">
        <v>112</v>
      </c>
      <c r="J199" s="42" t="s">
        <v>113</v>
      </c>
      <c r="K199" s="43" t="n">
        <v>31.35</v>
      </c>
      <c r="L199" s="43" t="n">
        <v>0</v>
      </c>
      <c r="M199" s="43" t="n">
        <v>31.35</v>
      </c>
    </row>
    <row r="200" customFormat="false" ht="15" hidden="false" customHeight="false" outlineLevel="0" collapsed="false">
      <c r="A200" s="40" t="n">
        <v>46210</v>
      </c>
      <c r="B200" s="41" t="n">
        <v>64530</v>
      </c>
      <c r="C200" s="42" t="s">
        <v>39</v>
      </c>
      <c r="D200" s="42" t="s">
        <v>70</v>
      </c>
      <c r="E200" s="42" t="s">
        <v>174</v>
      </c>
      <c r="F200" s="42" t="s">
        <v>180</v>
      </c>
      <c r="G200" s="42" t="s">
        <v>177</v>
      </c>
      <c r="H200" s="42" t="s">
        <v>177</v>
      </c>
      <c r="I200" s="42" t="s">
        <v>68</v>
      </c>
      <c r="J200" s="42" t="s">
        <v>69</v>
      </c>
      <c r="K200" s="43" t="n">
        <v>31.35</v>
      </c>
      <c r="L200" s="43" t="n">
        <v>0</v>
      </c>
      <c r="M200" s="43" t="n">
        <v>31.35</v>
      </c>
    </row>
    <row r="201" customFormat="false" ht="15" hidden="false" customHeight="false" outlineLevel="0" collapsed="false">
      <c r="A201" s="40" t="n">
        <v>46210</v>
      </c>
      <c r="B201" s="41" t="n">
        <v>64530</v>
      </c>
      <c r="C201" s="42" t="s">
        <v>39</v>
      </c>
      <c r="D201" s="42" t="s">
        <v>70</v>
      </c>
      <c r="E201" s="42" t="s">
        <v>174</v>
      </c>
      <c r="F201" s="42" t="s">
        <v>181</v>
      </c>
      <c r="G201" s="42" t="s">
        <v>177</v>
      </c>
      <c r="H201" s="42" t="s">
        <v>177</v>
      </c>
      <c r="I201" s="42" t="s">
        <v>182</v>
      </c>
      <c r="J201" s="42" t="s">
        <v>122</v>
      </c>
      <c r="K201" s="43" t="n">
        <v>31.35</v>
      </c>
      <c r="L201" s="43" t="n">
        <v>0</v>
      </c>
      <c r="M201" s="43" t="n">
        <v>31.35</v>
      </c>
    </row>
    <row r="202" customFormat="false" ht="15" hidden="false" customHeight="false" outlineLevel="0" collapsed="false">
      <c r="A202" s="40" t="n">
        <v>46210</v>
      </c>
      <c r="B202" s="41" t="n">
        <v>64530</v>
      </c>
      <c r="C202" s="42" t="s">
        <v>39</v>
      </c>
      <c r="D202" s="42" t="s">
        <v>70</v>
      </c>
      <c r="E202" s="42" t="s">
        <v>174</v>
      </c>
      <c r="F202" s="42" t="s">
        <v>183</v>
      </c>
      <c r="G202" s="42" t="s">
        <v>177</v>
      </c>
      <c r="H202" s="42" t="s">
        <v>177</v>
      </c>
      <c r="I202" s="42" t="s">
        <v>116</v>
      </c>
      <c r="J202" s="42" t="s">
        <v>69</v>
      </c>
      <c r="K202" s="43" t="n">
        <v>31.35</v>
      </c>
      <c r="L202" s="43" t="n">
        <v>0</v>
      </c>
      <c r="M202" s="43" t="n">
        <v>31.35</v>
      </c>
    </row>
    <row r="203" customFormat="false" ht="15" hidden="false" customHeight="false" outlineLevel="0" collapsed="false">
      <c r="A203" s="40" t="n">
        <v>46210</v>
      </c>
      <c r="B203" s="41" t="n">
        <v>64530</v>
      </c>
      <c r="C203" s="42" t="s">
        <v>39</v>
      </c>
      <c r="D203" s="42" t="s">
        <v>70</v>
      </c>
      <c r="E203" s="42" t="s">
        <v>174</v>
      </c>
      <c r="F203" s="42" t="s">
        <v>184</v>
      </c>
      <c r="G203" s="42" t="s">
        <v>177</v>
      </c>
      <c r="H203" s="42" t="s">
        <v>177</v>
      </c>
      <c r="I203" s="42" t="s">
        <v>123</v>
      </c>
      <c r="J203" s="42" t="s">
        <v>124</v>
      </c>
      <c r="K203" s="43" t="n">
        <v>31.35</v>
      </c>
      <c r="L203" s="43" t="n">
        <v>0</v>
      </c>
      <c r="M203" s="43" t="n">
        <v>31.35</v>
      </c>
    </row>
    <row r="204" customFormat="false" ht="15" hidden="false" customHeight="false" outlineLevel="0" collapsed="false">
      <c r="A204" s="40" t="n">
        <v>46210</v>
      </c>
      <c r="B204" s="41" t="n">
        <v>64530</v>
      </c>
      <c r="C204" s="42" t="s">
        <v>39</v>
      </c>
      <c r="D204" s="42" t="s">
        <v>70</v>
      </c>
      <c r="E204" s="42" t="s">
        <v>174</v>
      </c>
      <c r="F204" s="42" t="s">
        <v>185</v>
      </c>
      <c r="G204" s="42" t="s">
        <v>177</v>
      </c>
      <c r="H204" s="42" t="s">
        <v>177</v>
      </c>
      <c r="I204" s="42" t="s">
        <v>112</v>
      </c>
      <c r="J204" s="42" t="s">
        <v>113</v>
      </c>
      <c r="K204" s="43" t="n">
        <v>31.35</v>
      </c>
      <c r="L204" s="43" t="n">
        <v>0</v>
      </c>
      <c r="M204" s="43" t="n">
        <v>31.35</v>
      </c>
    </row>
    <row r="205" customFormat="false" ht="15" hidden="false" customHeight="false" outlineLevel="0" collapsed="false">
      <c r="A205" s="40" t="n">
        <v>46210</v>
      </c>
      <c r="B205" s="41" t="n">
        <v>64530</v>
      </c>
      <c r="C205" s="42" t="s">
        <v>39</v>
      </c>
      <c r="D205" s="42" t="s">
        <v>70</v>
      </c>
      <c r="E205" s="42" t="s">
        <v>174</v>
      </c>
      <c r="F205" s="42" t="s">
        <v>186</v>
      </c>
      <c r="G205" s="42" t="s">
        <v>177</v>
      </c>
      <c r="H205" s="42" t="s">
        <v>177</v>
      </c>
      <c r="I205" s="42" t="s">
        <v>68</v>
      </c>
      <c r="J205" s="42" t="s">
        <v>69</v>
      </c>
      <c r="K205" s="43" t="n">
        <v>31.35</v>
      </c>
      <c r="L205" s="43" t="n">
        <v>0</v>
      </c>
      <c r="M205" s="43" t="n">
        <v>31.35</v>
      </c>
    </row>
    <row r="206" customFormat="false" ht="15" hidden="false" customHeight="false" outlineLevel="0" collapsed="false">
      <c r="A206" s="40" t="n">
        <v>46210</v>
      </c>
      <c r="B206" s="41" t="n">
        <v>64530</v>
      </c>
      <c r="C206" s="42" t="s">
        <v>39</v>
      </c>
      <c r="D206" s="42" t="s">
        <v>70</v>
      </c>
      <c r="E206" s="42" t="s">
        <v>174</v>
      </c>
      <c r="F206" s="42" t="s">
        <v>187</v>
      </c>
      <c r="G206" s="42" t="s">
        <v>177</v>
      </c>
      <c r="H206" s="42" t="s">
        <v>177</v>
      </c>
      <c r="I206" s="42" t="s">
        <v>125</v>
      </c>
      <c r="J206" s="42" t="s">
        <v>126</v>
      </c>
      <c r="K206" s="43" t="n">
        <v>31.35</v>
      </c>
      <c r="L206" s="43" t="n">
        <v>0</v>
      </c>
      <c r="M206" s="43" t="n">
        <v>31.35</v>
      </c>
    </row>
    <row r="207" customFormat="false" ht="15" hidden="false" customHeight="false" outlineLevel="0" collapsed="false">
      <c r="A207" s="40" t="n">
        <v>46210</v>
      </c>
      <c r="B207" s="41" t="n">
        <v>64530</v>
      </c>
      <c r="C207" s="42" t="s">
        <v>39</v>
      </c>
      <c r="D207" s="42" t="s">
        <v>70</v>
      </c>
      <c r="E207" s="42" t="s">
        <v>174</v>
      </c>
      <c r="F207" s="42" t="s">
        <v>188</v>
      </c>
      <c r="G207" s="42" t="s">
        <v>177</v>
      </c>
      <c r="H207" s="42" t="s">
        <v>177</v>
      </c>
      <c r="I207" s="42" t="s">
        <v>68</v>
      </c>
      <c r="J207" s="42" t="s">
        <v>69</v>
      </c>
      <c r="K207" s="43" t="n">
        <v>140.44</v>
      </c>
      <c r="L207" s="43" t="n">
        <v>0</v>
      </c>
      <c r="M207" s="43" t="n">
        <v>140.44</v>
      </c>
    </row>
    <row r="208" customFormat="false" ht="15" hidden="false" customHeight="false" outlineLevel="0" collapsed="false">
      <c r="A208" s="40" t="n">
        <v>46210</v>
      </c>
      <c r="B208" s="41" t="n">
        <v>64530</v>
      </c>
      <c r="C208" s="42" t="s">
        <v>39</v>
      </c>
      <c r="D208" s="42" t="s">
        <v>70</v>
      </c>
      <c r="E208" s="42" t="s">
        <v>174</v>
      </c>
      <c r="F208" s="42" t="s">
        <v>189</v>
      </c>
      <c r="G208" s="42" t="s">
        <v>177</v>
      </c>
      <c r="H208" s="42" t="s">
        <v>177</v>
      </c>
      <c r="I208" s="42" t="s">
        <v>68</v>
      </c>
      <c r="J208" s="42" t="s">
        <v>69</v>
      </c>
      <c r="K208" s="43" t="n">
        <v>31.35</v>
      </c>
      <c r="L208" s="43" t="n">
        <v>0</v>
      </c>
      <c r="M208" s="43" t="n">
        <v>31.35</v>
      </c>
    </row>
    <row r="209" customFormat="false" ht="15" hidden="false" customHeight="false" outlineLevel="0" collapsed="false">
      <c r="A209" s="40" t="n">
        <v>46210</v>
      </c>
      <c r="B209" s="41" t="n">
        <v>64530</v>
      </c>
      <c r="C209" s="42" t="s">
        <v>39</v>
      </c>
      <c r="D209" s="42" t="s">
        <v>70</v>
      </c>
      <c r="E209" s="42" t="s">
        <v>174</v>
      </c>
      <c r="F209" s="42" t="s">
        <v>190</v>
      </c>
      <c r="G209" s="42" t="s">
        <v>177</v>
      </c>
      <c r="H209" s="42" t="s">
        <v>177</v>
      </c>
      <c r="I209" s="42" t="s">
        <v>68</v>
      </c>
      <c r="J209" s="42" t="s">
        <v>69</v>
      </c>
      <c r="K209" s="43" t="n">
        <v>22.73</v>
      </c>
      <c r="L209" s="43" t="n">
        <v>0</v>
      </c>
      <c r="M209" s="43" t="n">
        <v>22.73</v>
      </c>
    </row>
    <row r="210" customFormat="false" ht="15" hidden="false" customHeight="false" outlineLevel="0" collapsed="false">
      <c r="A210" s="40" t="n">
        <v>46210</v>
      </c>
      <c r="B210" s="41" t="n">
        <v>64530</v>
      </c>
      <c r="C210" s="42" t="s">
        <v>39</v>
      </c>
      <c r="D210" s="42" t="s">
        <v>70</v>
      </c>
      <c r="E210" s="42" t="s">
        <v>174</v>
      </c>
      <c r="F210" s="42" t="s">
        <v>191</v>
      </c>
      <c r="G210" s="42" t="s">
        <v>177</v>
      </c>
      <c r="H210" s="42" t="s">
        <v>177</v>
      </c>
      <c r="I210" s="42" t="s">
        <v>68</v>
      </c>
      <c r="J210" s="42" t="s">
        <v>69</v>
      </c>
      <c r="K210" s="43" t="n">
        <v>9.09</v>
      </c>
      <c r="L210" s="43" t="n">
        <v>0</v>
      </c>
      <c r="M210" s="43" t="n">
        <v>9.09</v>
      </c>
    </row>
    <row r="211" customFormat="false" ht="15" hidden="false" customHeight="false" outlineLevel="0" collapsed="false">
      <c r="A211" s="40" t="n">
        <v>46210</v>
      </c>
      <c r="B211" s="41" t="n">
        <v>64530</v>
      </c>
      <c r="C211" s="42" t="s">
        <v>39</v>
      </c>
      <c r="D211" s="42" t="s">
        <v>70</v>
      </c>
      <c r="E211" s="42" t="s">
        <v>174</v>
      </c>
      <c r="F211" s="42" t="s">
        <v>192</v>
      </c>
      <c r="G211" s="42" t="s">
        <v>177</v>
      </c>
      <c r="H211" s="42" t="s">
        <v>177</v>
      </c>
      <c r="I211" s="42" t="s">
        <v>68</v>
      </c>
      <c r="J211" s="42" t="s">
        <v>69</v>
      </c>
      <c r="K211" s="43" t="n">
        <v>9.09</v>
      </c>
      <c r="L211" s="43" t="n">
        <v>0</v>
      </c>
      <c r="M211" s="43" t="n">
        <v>9.09</v>
      </c>
    </row>
    <row r="212" customFormat="false" ht="15" hidden="false" customHeight="false" outlineLevel="0" collapsed="false">
      <c r="A212" s="40" t="n">
        <v>46210</v>
      </c>
      <c r="B212" s="41" t="n">
        <v>64530</v>
      </c>
      <c r="C212" s="42" t="s">
        <v>39</v>
      </c>
      <c r="D212" s="42" t="s">
        <v>70</v>
      </c>
      <c r="E212" s="42" t="s">
        <v>174</v>
      </c>
      <c r="F212" s="42" t="s">
        <v>193</v>
      </c>
      <c r="G212" s="42" t="s">
        <v>177</v>
      </c>
      <c r="H212" s="42" t="s">
        <v>177</v>
      </c>
      <c r="I212" s="42" t="s">
        <v>68</v>
      </c>
      <c r="J212" s="42" t="s">
        <v>69</v>
      </c>
      <c r="K212" s="43" t="n">
        <v>9.09</v>
      </c>
      <c r="L212" s="43" t="n">
        <v>0</v>
      </c>
      <c r="M212" s="43" t="n">
        <v>9.09</v>
      </c>
    </row>
    <row r="213" customFormat="false" ht="15" hidden="false" customHeight="false" outlineLevel="0" collapsed="false">
      <c r="A213" s="40" t="n">
        <v>46217</v>
      </c>
      <c r="B213" s="41" t="n">
        <v>64530</v>
      </c>
      <c r="C213" s="42" t="s">
        <v>39</v>
      </c>
      <c r="D213" s="42" t="s">
        <v>70</v>
      </c>
      <c r="E213" s="42" t="s">
        <v>262</v>
      </c>
      <c r="F213" s="42" t="s">
        <v>263</v>
      </c>
      <c r="G213" s="42" t="s">
        <v>264</v>
      </c>
      <c r="H213" s="42" t="s">
        <v>264</v>
      </c>
      <c r="I213" s="42" t="s">
        <v>112</v>
      </c>
      <c r="J213" s="42" t="s">
        <v>113</v>
      </c>
      <c r="K213" s="43" t="n">
        <v>40</v>
      </c>
      <c r="L213" s="43" t="n">
        <v>0</v>
      </c>
      <c r="M213" s="43" t="n">
        <v>40</v>
      </c>
    </row>
    <row r="214" customFormat="false" ht="15" hidden="false" customHeight="false" outlineLevel="0" collapsed="false">
      <c r="A214" s="40" t="n">
        <v>46217</v>
      </c>
      <c r="B214" s="41" t="n">
        <v>64530</v>
      </c>
      <c r="C214" s="42" t="s">
        <v>39</v>
      </c>
      <c r="D214" s="42" t="s">
        <v>70</v>
      </c>
      <c r="E214" s="42" t="s">
        <v>262</v>
      </c>
      <c r="F214" s="42" t="s">
        <v>265</v>
      </c>
      <c r="G214" s="42" t="s">
        <v>266</v>
      </c>
      <c r="H214" s="42" t="s">
        <v>266</v>
      </c>
      <c r="I214" s="42" t="s">
        <v>112</v>
      </c>
      <c r="J214" s="42" t="s">
        <v>113</v>
      </c>
      <c r="K214" s="43" t="n">
        <v>40</v>
      </c>
      <c r="L214" s="43" t="n">
        <v>0</v>
      </c>
      <c r="M214" s="43" t="n">
        <v>40</v>
      </c>
    </row>
    <row r="215" customFormat="false" ht="15" hidden="false" customHeight="false" outlineLevel="0" collapsed="false">
      <c r="A215" s="40" t="n">
        <v>46217</v>
      </c>
      <c r="B215" s="41" t="n">
        <v>64530</v>
      </c>
      <c r="C215" s="42" t="s">
        <v>39</v>
      </c>
      <c r="D215" s="42" t="s">
        <v>70</v>
      </c>
      <c r="E215" s="42" t="s">
        <v>262</v>
      </c>
      <c r="F215" s="42" t="s">
        <v>267</v>
      </c>
      <c r="G215" s="42" t="s">
        <v>268</v>
      </c>
      <c r="H215" s="42" t="s">
        <v>268</v>
      </c>
      <c r="I215" s="42" t="s">
        <v>112</v>
      </c>
      <c r="J215" s="42" t="s">
        <v>113</v>
      </c>
      <c r="K215" s="43" t="n">
        <v>40</v>
      </c>
      <c r="L215" s="43" t="n">
        <v>0</v>
      </c>
      <c r="M215" s="43" t="n">
        <v>40</v>
      </c>
    </row>
    <row r="216" customFormat="false" ht="15" hidden="false" customHeight="false" outlineLevel="0" collapsed="false">
      <c r="A216" s="40" t="n">
        <v>46218</v>
      </c>
      <c r="B216" s="41" t="n">
        <v>64530</v>
      </c>
      <c r="C216" s="42" t="s">
        <v>39</v>
      </c>
      <c r="D216" s="42" t="s">
        <v>70</v>
      </c>
      <c r="E216" s="42" t="s">
        <v>262</v>
      </c>
      <c r="F216" s="42" t="s">
        <v>269</v>
      </c>
      <c r="G216" s="42" t="s">
        <v>270</v>
      </c>
      <c r="H216" s="42" t="s">
        <v>270</v>
      </c>
      <c r="I216" s="42" t="s">
        <v>112</v>
      </c>
      <c r="J216" s="42" t="s">
        <v>113</v>
      </c>
      <c r="K216" s="43" t="n">
        <v>40</v>
      </c>
      <c r="L216" s="43" t="n">
        <v>0</v>
      </c>
      <c r="M216" s="43" t="n">
        <v>40</v>
      </c>
    </row>
    <row r="217" customFormat="false" ht="15" hidden="false" customHeight="false" outlineLevel="0" collapsed="false">
      <c r="A217" s="40" t="n">
        <v>46241</v>
      </c>
      <c r="B217" s="41" t="n">
        <v>64530</v>
      </c>
      <c r="C217" s="42" t="s">
        <v>39</v>
      </c>
      <c r="D217" s="42" t="s">
        <v>70</v>
      </c>
      <c r="E217" s="42" t="s">
        <v>174</v>
      </c>
      <c r="F217" s="42" t="s">
        <v>176</v>
      </c>
      <c r="G217" s="42" t="s">
        <v>194</v>
      </c>
      <c r="H217" s="42" t="s">
        <v>194</v>
      </c>
      <c r="I217" s="42" t="s">
        <v>112</v>
      </c>
      <c r="J217" s="42" t="s">
        <v>113</v>
      </c>
      <c r="K217" s="43" t="n">
        <v>0</v>
      </c>
      <c r="L217" s="43" t="n">
        <v>10.11</v>
      </c>
      <c r="M217" s="43" t="n">
        <v>-10.11</v>
      </c>
    </row>
    <row r="218" customFormat="false" ht="15" hidden="false" customHeight="false" outlineLevel="0" collapsed="false">
      <c r="A218" s="40" t="n">
        <v>46241</v>
      </c>
      <c r="B218" s="41" t="n">
        <v>64530</v>
      </c>
      <c r="C218" s="42" t="s">
        <v>39</v>
      </c>
      <c r="D218" s="42" t="s">
        <v>70</v>
      </c>
      <c r="E218" s="42" t="s">
        <v>174</v>
      </c>
      <c r="F218" s="42" t="s">
        <v>178</v>
      </c>
      <c r="G218" s="42" t="s">
        <v>194</v>
      </c>
      <c r="H218" s="42" t="s">
        <v>194</v>
      </c>
      <c r="I218" s="42" t="s">
        <v>68</v>
      </c>
      <c r="J218" s="42" t="s">
        <v>69</v>
      </c>
      <c r="K218" s="43" t="n">
        <v>0</v>
      </c>
      <c r="L218" s="43" t="n">
        <v>10.11</v>
      </c>
      <c r="M218" s="43" t="n">
        <v>-10.11</v>
      </c>
    </row>
    <row r="219" customFormat="false" ht="15" hidden="false" customHeight="false" outlineLevel="0" collapsed="false">
      <c r="A219" s="40" t="n">
        <v>46241</v>
      </c>
      <c r="B219" s="41" t="n">
        <v>64530</v>
      </c>
      <c r="C219" s="42" t="s">
        <v>39</v>
      </c>
      <c r="D219" s="42" t="s">
        <v>70</v>
      </c>
      <c r="E219" s="42" t="s">
        <v>174</v>
      </c>
      <c r="F219" s="42" t="s">
        <v>179</v>
      </c>
      <c r="G219" s="42" t="s">
        <v>194</v>
      </c>
      <c r="H219" s="42" t="s">
        <v>194</v>
      </c>
      <c r="I219" s="42" t="s">
        <v>112</v>
      </c>
      <c r="J219" s="42" t="s">
        <v>113</v>
      </c>
      <c r="K219" s="43" t="n">
        <v>0</v>
      </c>
      <c r="L219" s="43" t="n">
        <v>10.11</v>
      </c>
      <c r="M219" s="43" t="n">
        <v>-10.11</v>
      </c>
    </row>
    <row r="220" customFormat="false" ht="15" hidden="false" customHeight="false" outlineLevel="0" collapsed="false">
      <c r="A220" s="40" t="n">
        <v>46241</v>
      </c>
      <c r="B220" s="41" t="n">
        <v>64530</v>
      </c>
      <c r="C220" s="42" t="s">
        <v>39</v>
      </c>
      <c r="D220" s="42" t="s">
        <v>70</v>
      </c>
      <c r="E220" s="42" t="s">
        <v>174</v>
      </c>
      <c r="F220" s="42" t="s">
        <v>180</v>
      </c>
      <c r="G220" s="42" t="s">
        <v>194</v>
      </c>
      <c r="H220" s="42" t="s">
        <v>194</v>
      </c>
      <c r="I220" s="42" t="s">
        <v>68</v>
      </c>
      <c r="J220" s="42" t="s">
        <v>69</v>
      </c>
      <c r="K220" s="43" t="n">
        <v>0</v>
      </c>
      <c r="L220" s="43" t="n">
        <v>10.11</v>
      </c>
      <c r="M220" s="43" t="n">
        <v>-10.11</v>
      </c>
    </row>
    <row r="221" customFormat="false" ht="15" hidden="false" customHeight="false" outlineLevel="0" collapsed="false">
      <c r="A221" s="40" t="n">
        <v>46241</v>
      </c>
      <c r="B221" s="41" t="n">
        <v>64530</v>
      </c>
      <c r="C221" s="42" t="s">
        <v>39</v>
      </c>
      <c r="D221" s="42" t="s">
        <v>70</v>
      </c>
      <c r="E221" s="42" t="s">
        <v>174</v>
      </c>
      <c r="F221" s="42" t="s">
        <v>195</v>
      </c>
      <c r="G221" s="42" t="s">
        <v>194</v>
      </c>
      <c r="H221" s="42" t="s">
        <v>194</v>
      </c>
      <c r="I221" s="42" t="s">
        <v>112</v>
      </c>
      <c r="J221" s="42" t="s">
        <v>113</v>
      </c>
      <c r="K221" s="43" t="n">
        <v>0</v>
      </c>
      <c r="L221" s="43" t="n">
        <v>10.11</v>
      </c>
      <c r="M221" s="43" t="n">
        <v>-10.11</v>
      </c>
    </row>
    <row r="222" customFormat="false" ht="15" hidden="false" customHeight="false" outlineLevel="0" collapsed="false">
      <c r="A222" s="40" t="n">
        <v>46241</v>
      </c>
      <c r="B222" s="41" t="n">
        <v>64530</v>
      </c>
      <c r="C222" s="42" t="s">
        <v>39</v>
      </c>
      <c r="D222" s="42" t="s">
        <v>70</v>
      </c>
      <c r="E222" s="42" t="s">
        <v>174</v>
      </c>
      <c r="F222" s="42" t="s">
        <v>196</v>
      </c>
      <c r="G222" s="42" t="s">
        <v>194</v>
      </c>
      <c r="H222" s="42" t="s">
        <v>194</v>
      </c>
      <c r="I222" s="42" t="s">
        <v>116</v>
      </c>
      <c r="J222" s="42" t="s">
        <v>69</v>
      </c>
      <c r="K222" s="43" t="n">
        <v>0</v>
      </c>
      <c r="L222" s="43" t="n">
        <v>10.11</v>
      </c>
      <c r="M222" s="43" t="n">
        <v>-10.11</v>
      </c>
    </row>
    <row r="223" customFormat="false" ht="15" hidden="false" customHeight="false" outlineLevel="0" collapsed="false">
      <c r="A223" s="40" t="n">
        <v>46241</v>
      </c>
      <c r="B223" s="41" t="n">
        <v>64530</v>
      </c>
      <c r="C223" s="42" t="s">
        <v>39</v>
      </c>
      <c r="D223" s="42" t="s">
        <v>70</v>
      </c>
      <c r="E223" s="42" t="s">
        <v>174</v>
      </c>
      <c r="F223" s="42" t="s">
        <v>184</v>
      </c>
      <c r="G223" s="42" t="s">
        <v>194</v>
      </c>
      <c r="H223" s="42" t="s">
        <v>194</v>
      </c>
      <c r="I223" s="42" t="s">
        <v>123</v>
      </c>
      <c r="J223" s="42" t="s">
        <v>124</v>
      </c>
      <c r="K223" s="43" t="n">
        <v>0</v>
      </c>
      <c r="L223" s="43" t="n">
        <v>10.11</v>
      </c>
      <c r="M223" s="43" t="n">
        <v>-10.11</v>
      </c>
    </row>
    <row r="224" customFormat="false" ht="15" hidden="false" customHeight="false" outlineLevel="0" collapsed="false">
      <c r="A224" s="40" t="n">
        <v>46241</v>
      </c>
      <c r="B224" s="41" t="n">
        <v>64530</v>
      </c>
      <c r="C224" s="42" t="s">
        <v>39</v>
      </c>
      <c r="D224" s="42" t="s">
        <v>70</v>
      </c>
      <c r="E224" s="42" t="s">
        <v>174</v>
      </c>
      <c r="F224" s="42" t="s">
        <v>185</v>
      </c>
      <c r="G224" s="42" t="s">
        <v>194</v>
      </c>
      <c r="H224" s="42" t="s">
        <v>194</v>
      </c>
      <c r="I224" s="42" t="s">
        <v>112</v>
      </c>
      <c r="J224" s="42" t="s">
        <v>113</v>
      </c>
      <c r="K224" s="43" t="n">
        <v>0</v>
      </c>
      <c r="L224" s="43" t="n">
        <v>10.11</v>
      </c>
      <c r="M224" s="43" t="n">
        <v>-10.11</v>
      </c>
    </row>
    <row r="225" customFormat="false" ht="15" hidden="false" customHeight="false" outlineLevel="0" collapsed="false">
      <c r="A225" s="40" t="n">
        <v>46241</v>
      </c>
      <c r="B225" s="41" t="n">
        <v>64530</v>
      </c>
      <c r="C225" s="42" t="s">
        <v>39</v>
      </c>
      <c r="D225" s="42" t="s">
        <v>70</v>
      </c>
      <c r="E225" s="42" t="s">
        <v>174</v>
      </c>
      <c r="F225" s="42" t="s">
        <v>186</v>
      </c>
      <c r="G225" s="42" t="s">
        <v>194</v>
      </c>
      <c r="H225" s="42" t="s">
        <v>194</v>
      </c>
      <c r="I225" s="42" t="s">
        <v>68</v>
      </c>
      <c r="J225" s="42" t="s">
        <v>69</v>
      </c>
      <c r="K225" s="43" t="n">
        <v>0</v>
      </c>
      <c r="L225" s="43" t="n">
        <v>10.11</v>
      </c>
      <c r="M225" s="43" t="n">
        <v>-10.11</v>
      </c>
    </row>
    <row r="226" customFormat="false" ht="15" hidden="false" customHeight="false" outlineLevel="0" collapsed="false">
      <c r="A226" s="40" t="n">
        <v>46241</v>
      </c>
      <c r="B226" s="41" t="n">
        <v>64530</v>
      </c>
      <c r="C226" s="42" t="s">
        <v>39</v>
      </c>
      <c r="D226" s="42" t="s">
        <v>70</v>
      </c>
      <c r="E226" s="42" t="s">
        <v>174</v>
      </c>
      <c r="F226" s="42" t="s">
        <v>197</v>
      </c>
      <c r="G226" s="42" t="s">
        <v>194</v>
      </c>
      <c r="H226" s="42" t="s">
        <v>194</v>
      </c>
      <c r="I226" s="42" t="s">
        <v>125</v>
      </c>
      <c r="J226" s="42" t="s">
        <v>126</v>
      </c>
      <c r="K226" s="43" t="n">
        <v>0</v>
      </c>
      <c r="L226" s="43" t="n">
        <v>10.11</v>
      </c>
      <c r="M226" s="43" t="n">
        <v>-10.11</v>
      </c>
    </row>
    <row r="227" customFormat="false" ht="15" hidden="false" customHeight="false" outlineLevel="0" collapsed="false">
      <c r="A227" s="40" t="n">
        <v>46241</v>
      </c>
      <c r="B227" s="41" t="n">
        <v>64530</v>
      </c>
      <c r="C227" s="42" t="s">
        <v>39</v>
      </c>
      <c r="D227" s="42" t="s">
        <v>70</v>
      </c>
      <c r="E227" s="42" t="s">
        <v>174</v>
      </c>
      <c r="F227" s="42" t="s">
        <v>188</v>
      </c>
      <c r="G227" s="42" t="s">
        <v>194</v>
      </c>
      <c r="H227" s="42" t="s">
        <v>194</v>
      </c>
      <c r="I227" s="42" t="s">
        <v>68</v>
      </c>
      <c r="J227" s="42" t="s">
        <v>69</v>
      </c>
      <c r="K227" s="43" t="n">
        <v>0</v>
      </c>
      <c r="L227" s="43" t="n">
        <v>13.05</v>
      </c>
      <c r="M227" s="43" t="n">
        <v>-13.05</v>
      </c>
    </row>
    <row r="228" customFormat="false" ht="15" hidden="false" customHeight="false" outlineLevel="0" collapsed="false">
      <c r="A228" s="40" t="n">
        <v>46241</v>
      </c>
      <c r="B228" s="41" t="n">
        <v>64530</v>
      </c>
      <c r="C228" s="42" t="s">
        <v>39</v>
      </c>
      <c r="D228" s="42" t="s">
        <v>70</v>
      </c>
      <c r="E228" s="42" t="s">
        <v>174</v>
      </c>
      <c r="F228" s="42" t="s">
        <v>189</v>
      </c>
      <c r="G228" s="42" t="s">
        <v>194</v>
      </c>
      <c r="H228" s="42" t="s">
        <v>194</v>
      </c>
      <c r="I228" s="42" t="s">
        <v>68</v>
      </c>
      <c r="J228" s="42" t="s">
        <v>69</v>
      </c>
      <c r="K228" s="43" t="n">
        <v>0</v>
      </c>
      <c r="L228" s="43" t="n">
        <v>10.11</v>
      </c>
      <c r="M228" s="43" t="n">
        <v>-10.11</v>
      </c>
    </row>
    <row r="229" customFormat="false" ht="15" hidden="false" customHeight="false" outlineLevel="0" collapsed="false">
      <c r="A229" s="40" t="n">
        <v>46241</v>
      </c>
      <c r="B229" s="41" t="n">
        <v>64530</v>
      </c>
      <c r="C229" s="42" t="s">
        <v>39</v>
      </c>
      <c r="D229" s="42" t="s">
        <v>70</v>
      </c>
      <c r="E229" s="42" t="s">
        <v>174</v>
      </c>
      <c r="F229" s="42" t="s">
        <v>190</v>
      </c>
      <c r="G229" s="42" t="s">
        <v>194</v>
      </c>
      <c r="H229" s="42" t="s">
        <v>194</v>
      </c>
      <c r="I229" s="42" t="s">
        <v>68</v>
      </c>
      <c r="J229" s="42" t="s">
        <v>69</v>
      </c>
      <c r="K229" s="43" t="n">
        <v>22.73</v>
      </c>
      <c r="L229" s="43" t="n">
        <v>0</v>
      </c>
      <c r="M229" s="43" t="n">
        <v>22.73</v>
      </c>
    </row>
    <row r="230" customFormat="false" ht="15" hidden="false" customHeight="false" outlineLevel="0" collapsed="false">
      <c r="A230" s="40" t="n">
        <v>46241</v>
      </c>
      <c r="B230" s="41" t="n">
        <v>64530</v>
      </c>
      <c r="C230" s="42" t="s">
        <v>39</v>
      </c>
      <c r="D230" s="42" t="s">
        <v>70</v>
      </c>
      <c r="E230" s="42" t="s">
        <v>174</v>
      </c>
      <c r="F230" s="42" t="s">
        <v>191</v>
      </c>
      <c r="G230" s="42" t="s">
        <v>194</v>
      </c>
      <c r="H230" s="42" t="s">
        <v>194</v>
      </c>
      <c r="I230" s="42" t="s">
        <v>68</v>
      </c>
      <c r="J230" s="42" t="s">
        <v>69</v>
      </c>
      <c r="K230" s="43" t="n">
        <v>9.09</v>
      </c>
      <c r="L230" s="43" t="n">
        <v>0</v>
      </c>
      <c r="M230" s="43" t="n">
        <v>9.09</v>
      </c>
    </row>
    <row r="231" customFormat="false" ht="15" hidden="false" customHeight="false" outlineLevel="0" collapsed="false">
      <c r="A231" s="40" t="n">
        <v>46241</v>
      </c>
      <c r="B231" s="41" t="n">
        <v>64530</v>
      </c>
      <c r="C231" s="42" t="s">
        <v>39</v>
      </c>
      <c r="D231" s="42" t="s">
        <v>70</v>
      </c>
      <c r="E231" s="42" t="s">
        <v>174</v>
      </c>
      <c r="F231" s="42" t="s">
        <v>192</v>
      </c>
      <c r="G231" s="42" t="s">
        <v>194</v>
      </c>
      <c r="H231" s="42" t="s">
        <v>194</v>
      </c>
      <c r="I231" s="42" t="s">
        <v>68</v>
      </c>
      <c r="J231" s="42" t="s">
        <v>69</v>
      </c>
      <c r="K231" s="43" t="n">
        <v>9.09</v>
      </c>
      <c r="L231" s="43" t="n">
        <v>0</v>
      </c>
      <c r="M231" s="43" t="n">
        <v>9.09</v>
      </c>
    </row>
    <row r="232" customFormat="false" ht="15" hidden="false" customHeight="false" outlineLevel="0" collapsed="false">
      <c r="A232" s="40" t="n">
        <v>46241</v>
      </c>
      <c r="B232" s="41" t="n">
        <v>64530</v>
      </c>
      <c r="C232" s="42" t="s">
        <v>39</v>
      </c>
      <c r="D232" s="42" t="s">
        <v>70</v>
      </c>
      <c r="E232" s="42" t="s">
        <v>174</v>
      </c>
      <c r="F232" s="42" t="s">
        <v>193</v>
      </c>
      <c r="G232" s="42" t="s">
        <v>194</v>
      </c>
      <c r="H232" s="42" t="s">
        <v>194</v>
      </c>
      <c r="I232" s="42" t="s">
        <v>68</v>
      </c>
      <c r="J232" s="42" t="s">
        <v>69</v>
      </c>
      <c r="K232" s="43" t="n">
        <v>9.09</v>
      </c>
      <c r="L232" s="43" t="n">
        <v>0</v>
      </c>
      <c r="M232" s="43" t="n">
        <v>9.09</v>
      </c>
    </row>
    <row r="233" customFormat="false" ht="15" hidden="false" customHeight="false" outlineLevel="0" collapsed="false">
      <c r="A233" s="40" t="n">
        <v>46245</v>
      </c>
      <c r="B233" s="41" t="n">
        <v>64530</v>
      </c>
      <c r="C233" s="42" t="s">
        <v>39</v>
      </c>
      <c r="D233" s="42" t="s">
        <v>70</v>
      </c>
      <c r="E233" s="42" t="s">
        <v>174</v>
      </c>
      <c r="F233" s="42" t="s">
        <v>176</v>
      </c>
      <c r="G233" s="42" t="s">
        <v>198</v>
      </c>
      <c r="H233" s="42" t="s">
        <v>198</v>
      </c>
      <c r="I233" s="42" t="s">
        <v>112</v>
      </c>
      <c r="J233" s="42" t="s">
        <v>113</v>
      </c>
      <c r="K233" s="43" t="n">
        <v>42.08</v>
      </c>
      <c r="L233" s="43" t="n">
        <v>0</v>
      </c>
      <c r="M233" s="43" t="n">
        <v>42.08</v>
      </c>
    </row>
    <row r="234" customFormat="false" ht="15" hidden="false" customHeight="false" outlineLevel="0" collapsed="false">
      <c r="A234" s="40" t="n">
        <v>46245</v>
      </c>
      <c r="B234" s="41" t="n">
        <v>64530</v>
      </c>
      <c r="C234" s="42" t="s">
        <v>39</v>
      </c>
      <c r="D234" s="42" t="s">
        <v>70</v>
      </c>
      <c r="E234" s="42" t="s">
        <v>174</v>
      </c>
      <c r="F234" s="42" t="s">
        <v>178</v>
      </c>
      <c r="G234" s="42" t="s">
        <v>198</v>
      </c>
      <c r="H234" s="42" t="s">
        <v>198</v>
      </c>
      <c r="I234" s="42" t="s">
        <v>68</v>
      </c>
      <c r="J234" s="42" t="s">
        <v>69</v>
      </c>
      <c r="K234" s="43" t="n">
        <v>42.08</v>
      </c>
      <c r="L234" s="43" t="n">
        <v>0</v>
      </c>
      <c r="M234" s="43" t="n">
        <v>42.08</v>
      </c>
    </row>
    <row r="235" customFormat="false" ht="15" hidden="false" customHeight="false" outlineLevel="0" collapsed="false">
      <c r="A235" s="40" t="n">
        <v>46245</v>
      </c>
      <c r="B235" s="41" t="n">
        <v>64530</v>
      </c>
      <c r="C235" s="42" t="s">
        <v>39</v>
      </c>
      <c r="D235" s="42" t="s">
        <v>70</v>
      </c>
      <c r="E235" s="42" t="s">
        <v>174</v>
      </c>
      <c r="F235" s="42" t="s">
        <v>179</v>
      </c>
      <c r="G235" s="42" t="s">
        <v>198</v>
      </c>
      <c r="H235" s="42" t="s">
        <v>198</v>
      </c>
      <c r="I235" s="42" t="s">
        <v>112</v>
      </c>
      <c r="J235" s="42" t="s">
        <v>113</v>
      </c>
      <c r="K235" s="43" t="n">
        <v>42.08</v>
      </c>
      <c r="L235" s="43" t="n">
        <v>0</v>
      </c>
      <c r="M235" s="43" t="n">
        <v>42.08</v>
      </c>
    </row>
    <row r="236" customFormat="false" ht="15" hidden="false" customHeight="false" outlineLevel="0" collapsed="false">
      <c r="A236" s="40" t="n">
        <v>46245</v>
      </c>
      <c r="B236" s="41" t="n">
        <v>64530</v>
      </c>
      <c r="C236" s="42" t="s">
        <v>39</v>
      </c>
      <c r="D236" s="42" t="s">
        <v>70</v>
      </c>
      <c r="E236" s="42" t="s">
        <v>174</v>
      </c>
      <c r="F236" s="42" t="s">
        <v>180</v>
      </c>
      <c r="G236" s="42" t="s">
        <v>198</v>
      </c>
      <c r="H236" s="42" t="s">
        <v>198</v>
      </c>
      <c r="I236" s="42" t="s">
        <v>68</v>
      </c>
      <c r="J236" s="42" t="s">
        <v>69</v>
      </c>
      <c r="K236" s="43" t="n">
        <v>42.08</v>
      </c>
      <c r="L236" s="43" t="n">
        <v>0</v>
      </c>
      <c r="M236" s="43" t="n">
        <v>42.08</v>
      </c>
    </row>
    <row r="237" customFormat="false" ht="15" hidden="false" customHeight="false" outlineLevel="0" collapsed="false">
      <c r="A237" s="40" t="n">
        <v>46245</v>
      </c>
      <c r="B237" s="41" t="n">
        <v>64530</v>
      </c>
      <c r="C237" s="42" t="s">
        <v>39</v>
      </c>
      <c r="D237" s="42" t="s">
        <v>70</v>
      </c>
      <c r="E237" s="42" t="s">
        <v>174</v>
      </c>
      <c r="F237" s="42" t="s">
        <v>181</v>
      </c>
      <c r="G237" s="42" t="s">
        <v>198</v>
      </c>
      <c r="H237" s="42" t="s">
        <v>198</v>
      </c>
      <c r="I237" s="42" t="s">
        <v>182</v>
      </c>
      <c r="J237" s="42" t="s">
        <v>122</v>
      </c>
      <c r="K237" s="43" t="n">
        <v>42.08</v>
      </c>
      <c r="L237" s="43" t="n">
        <v>0</v>
      </c>
      <c r="M237" s="43" t="n">
        <v>42.08</v>
      </c>
    </row>
    <row r="238" customFormat="false" ht="15" hidden="false" customHeight="false" outlineLevel="0" collapsed="false">
      <c r="A238" s="40" t="n">
        <v>46245</v>
      </c>
      <c r="B238" s="41" t="n">
        <v>64530</v>
      </c>
      <c r="C238" s="42" t="s">
        <v>39</v>
      </c>
      <c r="D238" s="42" t="s">
        <v>70</v>
      </c>
      <c r="E238" s="42" t="s">
        <v>174</v>
      </c>
      <c r="F238" s="42" t="s">
        <v>199</v>
      </c>
      <c r="G238" s="42" t="s">
        <v>198</v>
      </c>
      <c r="H238" s="42" t="s">
        <v>198</v>
      </c>
      <c r="I238" s="42" t="s">
        <v>116</v>
      </c>
      <c r="J238" s="42" t="s">
        <v>69</v>
      </c>
      <c r="K238" s="43" t="n">
        <v>42.08</v>
      </c>
      <c r="L238" s="43" t="n">
        <v>0</v>
      </c>
      <c r="M238" s="43" t="n">
        <v>42.08</v>
      </c>
    </row>
    <row r="239" customFormat="false" ht="15" hidden="false" customHeight="false" outlineLevel="0" collapsed="false">
      <c r="A239" s="40" t="n">
        <v>46245</v>
      </c>
      <c r="B239" s="41" t="n">
        <v>64530</v>
      </c>
      <c r="C239" s="42" t="s">
        <v>39</v>
      </c>
      <c r="D239" s="42" t="s">
        <v>70</v>
      </c>
      <c r="E239" s="42" t="s">
        <v>174</v>
      </c>
      <c r="F239" s="42" t="s">
        <v>184</v>
      </c>
      <c r="G239" s="42" t="s">
        <v>198</v>
      </c>
      <c r="H239" s="42" t="s">
        <v>198</v>
      </c>
      <c r="I239" s="42" t="s">
        <v>123</v>
      </c>
      <c r="J239" s="42" t="s">
        <v>124</v>
      </c>
      <c r="K239" s="43" t="n">
        <v>42.08</v>
      </c>
      <c r="L239" s="43" t="n">
        <v>0</v>
      </c>
      <c r="M239" s="43" t="n">
        <v>42.08</v>
      </c>
    </row>
    <row r="240" customFormat="false" ht="15" hidden="false" customHeight="false" outlineLevel="0" collapsed="false">
      <c r="A240" s="40" t="n">
        <v>46245</v>
      </c>
      <c r="B240" s="41" t="n">
        <v>64530</v>
      </c>
      <c r="C240" s="42" t="s">
        <v>39</v>
      </c>
      <c r="D240" s="42" t="s">
        <v>70</v>
      </c>
      <c r="E240" s="42" t="s">
        <v>174</v>
      </c>
      <c r="F240" s="42" t="s">
        <v>185</v>
      </c>
      <c r="G240" s="42" t="s">
        <v>198</v>
      </c>
      <c r="H240" s="42" t="s">
        <v>198</v>
      </c>
      <c r="I240" s="42" t="s">
        <v>112</v>
      </c>
      <c r="J240" s="42" t="s">
        <v>113</v>
      </c>
      <c r="K240" s="43" t="n">
        <v>42.08</v>
      </c>
      <c r="L240" s="43" t="n">
        <v>0</v>
      </c>
      <c r="M240" s="43" t="n">
        <v>42.08</v>
      </c>
    </row>
    <row r="241" customFormat="false" ht="15" hidden="false" customHeight="false" outlineLevel="0" collapsed="false">
      <c r="A241" s="40" t="n">
        <v>46245</v>
      </c>
      <c r="B241" s="41" t="n">
        <v>64530</v>
      </c>
      <c r="C241" s="42" t="s">
        <v>39</v>
      </c>
      <c r="D241" s="42" t="s">
        <v>70</v>
      </c>
      <c r="E241" s="42" t="s">
        <v>174</v>
      </c>
      <c r="F241" s="42" t="s">
        <v>186</v>
      </c>
      <c r="G241" s="42" t="s">
        <v>198</v>
      </c>
      <c r="H241" s="42" t="s">
        <v>198</v>
      </c>
      <c r="I241" s="42" t="s">
        <v>68</v>
      </c>
      <c r="J241" s="42" t="s">
        <v>69</v>
      </c>
      <c r="K241" s="43" t="n">
        <v>42.08</v>
      </c>
      <c r="L241" s="43" t="n">
        <v>0</v>
      </c>
      <c r="M241" s="43" t="n">
        <v>42.08</v>
      </c>
    </row>
    <row r="242" customFormat="false" ht="15" hidden="false" customHeight="false" outlineLevel="0" collapsed="false">
      <c r="A242" s="40" t="n">
        <v>46245</v>
      </c>
      <c r="B242" s="41" t="n">
        <v>64530</v>
      </c>
      <c r="C242" s="42" t="s">
        <v>39</v>
      </c>
      <c r="D242" s="42" t="s">
        <v>70</v>
      </c>
      <c r="E242" s="42" t="s">
        <v>174</v>
      </c>
      <c r="F242" s="42" t="s">
        <v>187</v>
      </c>
      <c r="G242" s="42" t="s">
        <v>198</v>
      </c>
      <c r="H242" s="42" t="s">
        <v>198</v>
      </c>
      <c r="I242" s="42" t="s">
        <v>125</v>
      </c>
      <c r="J242" s="42" t="s">
        <v>126</v>
      </c>
      <c r="K242" s="43" t="n">
        <v>42.08</v>
      </c>
      <c r="L242" s="43" t="n">
        <v>0</v>
      </c>
      <c r="M242" s="43" t="n">
        <v>42.08</v>
      </c>
    </row>
    <row r="243" customFormat="false" ht="15" hidden="false" customHeight="false" outlineLevel="0" collapsed="false">
      <c r="A243" s="40" t="n">
        <v>46245</v>
      </c>
      <c r="B243" s="41" t="n">
        <v>64530</v>
      </c>
      <c r="C243" s="42" t="s">
        <v>39</v>
      </c>
      <c r="D243" s="42" t="s">
        <v>70</v>
      </c>
      <c r="E243" s="42" t="s">
        <v>174</v>
      </c>
      <c r="F243" s="42" t="s">
        <v>188</v>
      </c>
      <c r="G243" s="42" t="s">
        <v>198</v>
      </c>
      <c r="H243" s="42" t="s">
        <v>198</v>
      </c>
      <c r="I243" s="42" t="s">
        <v>68</v>
      </c>
      <c r="J243" s="42" t="s">
        <v>69</v>
      </c>
      <c r="K243" s="43" t="n">
        <v>42.08</v>
      </c>
      <c r="L243" s="43" t="n">
        <v>0</v>
      </c>
      <c r="M243" s="43" t="n">
        <v>42.08</v>
      </c>
    </row>
    <row r="244" customFormat="false" ht="15" hidden="false" customHeight="false" outlineLevel="0" collapsed="false">
      <c r="A244" s="40" t="n">
        <v>46245</v>
      </c>
      <c r="B244" s="41" t="n">
        <v>64530</v>
      </c>
      <c r="C244" s="42" t="s">
        <v>39</v>
      </c>
      <c r="D244" s="42" t="s">
        <v>70</v>
      </c>
      <c r="E244" s="42" t="s">
        <v>174</v>
      </c>
      <c r="F244" s="42" t="s">
        <v>189</v>
      </c>
      <c r="G244" s="42" t="s">
        <v>198</v>
      </c>
      <c r="H244" s="42" t="s">
        <v>198</v>
      </c>
      <c r="I244" s="42" t="s">
        <v>68</v>
      </c>
      <c r="J244" s="42" t="s">
        <v>69</v>
      </c>
      <c r="K244" s="43" t="n">
        <v>42.08</v>
      </c>
      <c r="L244" s="43" t="n">
        <v>0</v>
      </c>
      <c r="M244" s="43" t="n">
        <v>42.08</v>
      </c>
    </row>
    <row r="245" customFormat="false" ht="15" hidden="false" customHeight="false" outlineLevel="0" collapsed="false">
      <c r="A245" s="40" t="n">
        <v>46245</v>
      </c>
      <c r="B245" s="41" t="n">
        <v>64530</v>
      </c>
      <c r="C245" s="42" t="s">
        <v>39</v>
      </c>
      <c r="D245" s="42" t="s">
        <v>70</v>
      </c>
      <c r="E245" s="42" t="s">
        <v>174</v>
      </c>
      <c r="F245" s="42" t="s">
        <v>200</v>
      </c>
      <c r="G245" s="42" t="s">
        <v>198</v>
      </c>
      <c r="H245" s="42" t="s">
        <v>198</v>
      </c>
      <c r="I245" s="42" t="s">
        <v>112</v>
      </c>
      <c r="J245" s="42" t="s">
        <v>113</v>
      </c>
      <c r="K245" s="43" t="n">
        <v>0.3</v>
      </c>
      <c r="L245" s="43" t="n">
        <v>0</v>
      </c>
      <c r="M245" s="43" t="n">
        <v>0.3</v>
      </c>
    </row>
    <row r="246" customFormat="false" ht="15" hidden="false" customHeight="false" outlineLevel="0" collapsed="false">
      <c r="A246" s="40" t="n">
        <v>46245</v>
      </c>
      <c r="B246" s="41" t="n">
        <v>64530</v>
      </c>
      <c r="C246" s="42" t="s">
        <v>39</v>
      </c>
      <c r="D246" s="42" t="s">
        <v>70</v>
      </c>
      <c r="E246" s="42" t="s">
        <v>262</v>
      </c>
      <c r="F246" s="42" t="s">
        <v>263</v>
      </c>
      <c r="G246" s="42" t="s">
        <v>271</v>
      </c>
      <c r="H246" s="42" t="s">
        <v>271</v>
      </c>
      <c r="I246" s="42" t="s">
        <v>112</v>
      </c>
      <c r="J246" s="42" t="s">
        <v>113</v>
      </c>
      <c r="K246" s="43" t="n">
        <v>40</v>
      </c>
      <c r="L246" s="43" t="n">
        <v>0</v>
      </c>
      <c r="M246" s="43" t="n">
        <v>40</v>
      </c>
    </row>
    <row r="247" customFormat="false" ht="15" hidden="false" customHeight="false" outlineLevel="0" collapsed="false">
      <c r="A247" s="40" t="n">
        <v>46245</v>
      </c>
      <c r="B247" s="41" t="n">
        <v>64530</v>
      </c>
      <c r="C247" s="42" t="s">
        <v>39</v>
      </c>
      <c r="D247" s="42" t="s">
        <v>70</v>
      </c>
      <c r="E247" s="42" t="s">
        <v>262</v>
      </c>
      <c r="F247" s="42" t="s">
        <v>265</v>
      </c>
      <c r="G247" s="42" t="s">
        <v>272</v>
      </c>
      <c r="H247" s="42" t="s">
        <v>272</v>
      </c>
      <c r="I247" s="42" t="s">
        <v>112</v>
      </c>
      <c r="J247" s="42" t="s">
        <v>113</v>
      </c>
      <c r="K247" s="43" t="n">
        <v>40</v>
      </c>
      <c r="L247" s="43" t="n">
        <v>0</v>
      </c>
      <c r="M247" s="43" t="n">
        <v>40</v>
      </c>
    </row>
    <row r="248" customFormat="false" ht="15" hidden="false" customHeight="false" outlineLevel="0" collapsed="false">
      <c r="A248" s="40" t="n">
        <v>46245</v>
      </c>
      <c r="B248" s="41" t="n">
        <v>64530</v>
      </c>
      <c r="C248" s="42" t="s">
        <v>39</v>
      </c>
      <c r="D248" s="42" t="s">
        <v>70</v>
      </c>
      <c r="E248" s="42" t="s">
        <v>262</v>
      </c>
      <c r="F248" s="42" t="s">
        <v>267</v>
      </c>
      <c r="G248" s="42" t="s">
        <v>273</v>
      </c>
      <c r="H248" s="42" t="s">
        <v>273</v>
      </c>
      <c r="I248" s="42" t="s">
        <v>112</v>
      </c>
      <c r="J248" s="42" t="s">
        <v>113</v>
      </c>
      <c r="K248" s="43" t="n">
        <v>40</v>
      </c>
      <c r="L248" s="43" t="n">
        <v>0</v>
      </c>
      <c r="M248" s="43" t="n">
        <v>40</v>
      </c>
    </row>
    <row r="249" customFormat="false" ht="15" hidden="false" customHeight="false" outlineLevel="0" collapsed="false">
      <c r="A249" s="40" t="n">
        <v>46246</v>
      </c>
      <c r="B249" s="41" t="n">
        <v>64530</v>
      </c>
      <c r="C249" s="42" t="s">
        <v>39</v>
      </c>
      <c r="D249" s="42" t="s">
        <v>70</v>
      </c>
      <c r="E249" s="42" t="s">
        <v>262</v>
      </c>
      <c r="F249" s="42" t="s">
        <v>269</v>
      </c>
      <c r="G249" s="42" t="s">
        <v>274</v>
      </c>
      <c r="H249" s="42" t="s">
        <v>274</v>
      </c>
      <c r="I249" s="42" t="s">
        <v>112</v>
      </c>
      <c r="J249" s="42" t="s">
        <v>113</v>
      </c>
      <c r="K249" s="43" t="n">
        <v>40</v>
      </c>
      <c r="L249" s="43" t="n">
        <v>0</v>
      </c>
      <c r="M249" s="43" t="n">
        <v>40</v>
      </c>
    </row>
    <row r="250" customFormat="false" ht="15" hidden="false" customHeight="false" outlineLevel="0" collapsed="false">
      <c r="A250" s="40" t="n">
        <v>46210</v>
      </c>
      <c r="B250" s="41" t="n">
        <v>64520</v>
      </c>
      <c r="C250" s="42" t="s">
        <v>40</v>
      </c>
      <c r="D250" s="42" t="s">
        <v>70</v>
      </c>
      <c r="E250" s="42" t="s">
        <v>174</v>
      </c>
      <c r="F250" s="42" t="s">
        <v>207</v>
      </c>
      <c r="G250" s="42" t="s">
        <v>177</v>
      </c>
      <c r="H250" s="42" t="s">
        <v>177</v>
      </c>
      <c r="I250" s="42" t="s">
        <v>68</v>
      </c>
      <c r="J250" s="42" t="s">
        <v>69</v>
      </c>
      <c r="K250" s="43" t="n">
        <v>1.31</v>
      </c>
      <c r="L250" s="43" t="n">
        <v>0</v>
      </c>
      <c r="M250" s="43" t="n">
        <v>1.31</v>
      </c>
    </row>
    <row r="251" customFormat="false" ht="15" hidden="false" customHeight="false" outlineLevel="0" collapsed="false">
      <c r="A251" s="40" t="n">
        <v>46210</v>
      </c>
      <c r="B251" s="41" t="n">
        <v>64520</v>
      </c>
      <c r="C251" s="42" t="s">
        <v>40</v>
      </c>
      <c r="D251" s="42" t="s">
        <v>70</v>
      </c>
      <c r="E251" s="42" t="s">
        <v>174</v>
      </c>
      <c r="F251" s="42" t="s">
        <v>208</v>
      </c>
      <c r="G251" s="42" t="s">
        <v>177</v>
      </c>
      <c r="H251" s="42" t="s">
        <v>177</v>
      </c>
      <c r="I251" s="42" t="s">
        <v>68</v>
      </c>
      <c r="J251" s="42" t="s">
        <v>69</v>
      </c>
      <c r="K251" s="43" t="n">
        <v>170.4</v>
      </c>
      <c r="L251" s="43" t="n">
        <v>0</v>
      </c>
      <c r="M251" s="43" t="n">
        <v>170.4</v>
      </c>
    </row>
    <row r="252" customFormat="false" ht="15" hidden="false" customHeight="false" outlineLevel="0" collapsed="false">
      <c r="A252" s="40" t="n">
        <v>46241</v>
      </c>
      <c r="B252" s="41" t="n">
        <v>64520</v>
      </c>
      <c r="C252" s="42" t="s">
        <v>40</v>
      </c>
      <c r="D252" s="42" t="s">
        <v>70</v>
      </c>
      <c r="E252" s="42" t="s">
        <v>174</v>
      </c>
      <c r="F252" s="42" t="s">
        <v>208</v>
      </c>
      <c r="G252" s="42" t="s">
        <v>194</v>
      </c>
      <c r="H252" s="42" t="s">
        <v>194</v>
      </c>
      <c r="I252" s="42" t="s">
        <v>68</v>
      </c>
      <c r="J252" s="42" t="s">
        <v>69</v>
      </c>
      <c r="K252" s="43" t="n">
        <v>171.71</v>
      </c>
      <c r="L252" s="43" t="n">
        <v>0</v>
      </c>
      <c r="M252" s="43" t="n">
        <v>171.71</v>
      </c>
    </row>
    <row r="253" customFormat="false" ht="15" hidden="false" customHeight="false" outlineLevel="0" collapsed="false">
      <c r="A253" s="46" t="s">
        <v>381</v>
      </c>
      <c r="K253" s="39" t="n">
        <f aca="false">SUM(K6:K252)</f>
        <v>73882.86</v>
      </c>
      <c r="L253" s="39" t="n">
        <f aca="false">SUM(L6:L252)</f>
        <v>15463.28</v>
      </c>
      <c r="M253" s="39" t="n">
        <f aca="false">SUM(M6:M252)</f>
        <v>58419.58</v>
      </c>
    </row>
  </sheetData>
  <autoFilter ref="A5:M252"/>
  <printOptions headings="false" gridLines="false" gridLinesSet="true" horizontalCentered="tru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Corporate Technology Services Pty Ltd  -  Discretionary technology spend  -  FY2027 year to date  -  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60"/>
    <col collapsed="false" customWidth="true" hidden="false" outlineLevel="0" max="3" min="3" style="0" width="18"/>
    <col collapsed="false" customWidth="true" hidden="false" outlineLevel="0" max="4" min="4" style="0" width="14"/>
    <col collapsed="false" customWidth="true" hidden="false" outlineLevel="0" max="5" min="5" style="0" width="52"/>
  </cols>
  <sheetData>
    <row r="1" customFormat="false" ht="15" hidden="false" customHeight="false" outlineLevel="0" collapsed="false">
      <c r="A1" s="1" t="s">
        <v>0</v>
      </c>
    </row>
    <row r="2" customFormat="false" ht="18.55" hidden="false" customHeight="false" outlineLevel="0" collapsed="false">
      <c r="A2" s="2" t="s">
        <v>395</v>
      </c>
    </row>
    <row r="3" customFormat="false" ht="15" hidden="false" customHeight="false" outlineLevel="0" collapsed="false">
      <c r="A3" s="3" t="s">
        <v>2</v>
      </c>
    </row>
    <row r="5" customFormat="false" ht="27.75" hidden="false" customHeight="true" outlineLevel="0" collapsed="false">
      <c r="A5" s="6" t="s">
        <v>396</v>
      </c>
      <c r="B5" s="6" t="s">
        <v>397</v>
      </c>
      <c r="C5" s="6" t="s">
        <v>56</v>
      </c>
      <c r="D5" s="6" t="s">
        <v>398</v>
      </c>
      <c r="E5" s="6" t="s">
        <v>399</v>
      </c>
    </row>
    <row r="6" customFormat="false" ht="25.5" hidden="false" customHeight="true" outlineLevel="0" collapsed="false">
      <c r="A6" s="47" t="s">
        <v>400</v>
      </c>
      <c r="B6" s="48" t="s">
        <v>401</v>
      </c>
      <c r="C6" s="49" t="n">
        <f aca="false">'Transaction Listing'!M253</f>
        <v>58419.58</v>
      </c>
      <c r="D6" s="50"/>
      <c r="E6" s="48" t="s">
        <v>402</v>
      </c>
    </row>
    <row r="7" customFormat="false" ht="25.5" hidden="false" customHeight="true" outlineLevel="0" collapsed="false">
      <c r="A7" s="47" t="s">
        <v>403</v>
      </c>
      <c r="B7" s="48" t="s">
        <v>404</v>
      </c>
      <c r="C7" s="49" t="n">
        <f aca="false">Summary!E15</f>
        <v>58419.58</v>
      </c>
      <c r="D7" s="50"/>
      <c r="E7" s="48" t="s">
        <v>405</v>
      </c>
    </row>
    <row r="8" customFormat="false" ht="25.5" hidden="false" customHeight="true" outlineLevel="0" collapsed="false">
      <c r="A8" s="47" t="s">
        <v>406</v>
      </c>
      <c r="B8" s="48" t="s">
        <v>407</v>
      </c>
      <c r="C8" s="49" t="n">
        <f aca="false">C6-C7</f>
        <v>0</v>
      </c>
      <c r="D8" s="51" t="str">
        <f aca="false">IF(ROUND(C8,2)=0,"Yes","NO")</f>
        <v>Yes</v>
      </c>
      <c r="E8" s="48" t="s">
        <v>408</v>
      </c>
    </row>
    <row r="9" customFormat="false" ht="25.5" hidden="false" customHeight="true" outlineLevel="0" collapsed="false">
      <c r="A9" s="47" t="s">
        <v>409</v>
      </c>
      <c r="B9" s="48" t="s">
        <v>410</v>
      </c>
      <c r="C9" s="49" t="n">
        <f aca="false">'Supplier Analysis'!B326</f>
        <v>58419.58</v>
      </c>
      <c r="D9" s="50"/>
      <c r="E9" s="48" t="s">
        <v>411</v>
      </c>
    </row>
    <row r="10" customFormat="false" ht="25.5" hidden="false" customHeight="true" outlineLevel="0" collapsed="false">
      <c r="A10" s="47" t="s">
        <v>412</v>
      </c>
      <c r="B10" s="48" t="s">
        <v>413</v>
      </c>
      <c r="C10" s="49" t="n">
        <f aca="false">C6-C9</f>
        <v>0</v>
      </c>
      <c r="D10" s="51" t="str">
        <f aca="false">IF(ROUND(C10,2)=0,"Yes","NO")</f>
        <v>Yes</v>
      </c>
      <c r="E10" s="48" t="s">
        <v>414</v>
      </c>
    </row>
    <row r="11" customFormat="false" ht="25.5" hidden="false" customHeight="true" outlineLevel="0" collapsed="false">
      <c r="A11" s="47" t="s">
        <v>415</v>
      </c>
      <c r="B11" s="48" t="s">
        <v>416</v>
      </c>
      <c r="C11" s="49" t="n">
        <f aca="false">'Monthly Analysis'!D13</f>
        <v>58419.58</v>
      </c>
      <c r="D11" s="50"/>
      <c r="E11" s="48" t="s">
        <v>417</v>
      </c>
    </row>
    <row r="12" customFormat="false" ht="25.5" hidden="false" customHeight="true" outlineLevel="0" collapsed="false">
      <c r="A12" s="47" t="s">
        <v>418</v>
      </c>
      <c r="B12" s="48" t="s">
        <v>419</v>
      </c>
      <c r="C12" s="49" t="n">
        <f aca="false">C6-C11</f>
        <v>0</v>
      </c>
      <c r="D12" s="51" t="str">
        <f aca="false">IF(ROUND(C12,2)=0,"Yes","NO")</f>
        <v>Yes</v>
      </c>
      <c r="E12" s="48" t="s">
        <v>414</v>
      </c>
    </row>
    <row r="13" customFormat="false" ht="25.5" hidden="false" customHeight="true" outlineLevel="0" collapsed="false">
      <c r="A13" s="47" t="s">
        <v>420</v>
      </c>
      <c r="B13" s="48" t="s">
        <v>421</v>
      </c>
      <c r="C13" s="52" t="n">
        <v>247</v>
      </c>
      <c r="D13" s="50"/>
      <c r="E13" s="48" t="s">
        <v>422</v>
      </c>
    </row>
    <row r="14" customFormat="false" ht="25.5" hidden="false" customHeight="true" outlineLevel="0" collapsed="false">
      <c r="A14" s="47" t="s">
        <v>423</v>
      </c>
      <c r="B14" s="48" t="s">
        <v>424</v>
      </c>
      <c r="C14" s="49" t="n">
        <f aca="false">'Transaction Listing'!K253-'Transaction Listing'!L253</f>
        <v>58419.58</v>
      </c>
      <c r="D14" s="50"/>
      <c r="E14" s="48" t="s">
        <v>425</v>
      </c>
    </row>
    <row r="15" customFormat="false" ht="25.5" hidden="false" customHeight="true" outlineLevel="0" collapsed="false">
      <c r="A15" s="47" t="s">
        <v>426</v>
      </c>
      <c r="B15" s="48" t="s">
        <v>427</v>
      </c>
      <c r="C15" s="49" t="n">
        <f aca="false">C14-C6</f>
        <v>0</v>
      </c>
      <c r="D15" s="51" t="str">
        <f aca="false">IF(ROUND(C15,2)=0,"Yes","NO")</f>
        <v>Yes</v>
      </c>
      <c r="E15" s="48" t="s">
        <v>414</v>
      </c>
    </row>
  </sheetData>
  <conditionalFormatting sqref="D6:D15">
    <cfRule type="expression" priority="2" aboveAverage="0" equalAverage="0" bottom="0" percent="0" rank="0" text="" dxfId="5">
      <formula>$D6="Yes"</formula>
    </cfRule>
    <cfRule type="expression" priority="3" aboveAverage="0" equalAverage="0" bottom="0" percent="0" rank="0" text="" dxfId="6">
      <formula>$D6="NO"</formula>
    </cfRule>
  </conditionalFormatting>
  <printOptions headings="false" gridLines="false" gridLinesSet="true" horizontalCentered="true" verticalCentered="false"/>
  <pageMargins left="0.75" right="0.75" top="1" bottom="1"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Corporate Technology Services Pty Ltd  -  Discretionary technology spend  -  FY2027 year to date  -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2026-09-17T04:44:28Z</dcterms:created>
  <dc:creator>openpyxl</dc:creator>
  <dc:description/>
  <dc:language>en-US</dc:language>
  <cp:lastModifiedBy/>
  <dcterms:modified xsi:type="dcterms:W3CDTF">2026-09-17T04:44:29Z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