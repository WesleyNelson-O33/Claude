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Revenue'!$A$5:$R$579</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1">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17" fillId="0" borderId="0" applyAlignment="1" pivotButton="0" quotePrefix="0" xfId="0">
      <alignment vertical="top" wrapText="1"/>
    </xf>
    <xf numFmtId="0" fontId="14" fillId="6" borderId="1" applyAlignment="1" pivotButton="0" quotePrefix="0" xfId="0">
      <alignment vertical="top" wrapText="1" indent="1"/>
    </xf>
    <xf numFmtId="0" fontId="17" fillId="0" borderId="1" applyAlignment="1" pivotButton="0" quotePrefix="0" xfId="0">
      <alignment vertical="top" wrapText="1" indent="1"/>
    </xf>
    <xf numFmtId="0" fontId="13" fillId="7" borderId="0" applyAlignment="1" pivotButton="0" quotePrefix="0" xfId="0">
      <alignment vertical="center" indent="1"/>
    </xf>
    <xf numFmtId="0" fontId="14"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167" fontId="6" fillId="5" borderId="1" pivotButton="0" quotePrefix="0" xfId="0"/>
    <xf numFmtId="0" fontId="3" fillId="5" borderId="1" pivotButton="0" quotePrefix="0" xfId="0"/>
    <xf numFmtId="0" fontId="0" fillId="0" borderId="4"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Finance" displayName="tbl_Finance" ref="A4:AG578" headerRowCount="1">
  <autoFilter ref="A4:AG578"/>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62" headerRowCount="1">
  <autoFilter ref="A4:AO462"/>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Q330" headerRowCount="1">
  <autoFilter ref="A4:Q330"/>
  <tableColumns count="17">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Debit Account"/>
    <tableColumn id="12" name="Credit Account"/>
    <tableColumn id="13" name="Journal Amount"/>
    <tableColumn id="14" name="Journal Narration"/>
    <tableColumn id="15" name="Journal Ref"/>
    <tableColumn id="16" name="Posted to Xero"/>
    <tableColumn id="17"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9"/>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10" customHeight="1"/>
    <row r="27" ht="22" customHeight="1">
      <c r="B27" s="3" t="inlineStr">
        <is>
          <t>VIDEO REVENUE</t>
        </is>
      </c>
    </row>
    <row r="28" ht="56" customHeight="1">
      <c r="C28"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9" ht="28" customHeight="1">
      <c r="C29" s="4" t="inlineStr">
        <is>
          <t>The 26 migrated invoices that carried a video amount were split into two lines each on the way across. Ex GST in total is unchanged.</t>
        </is>
      </c>
    </row>
    <row r="30" ht="42" customHeight="1">
      <c r="C30"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1" ht="10" customHeight="1"/>
    <row r="32" ht="22" customHeight="1">
      <c r="B32" s="3" t="inlineStr">
        <is>
          <t>WHY THIS VERSION IS NOT SLOW, AND WHY IT OPENS</t>
        </is>
      </c>
    </row>
    <row r="33" ht="42" customHeight="1">
      <c r="C33"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4" ht="42" customHeight="1">
      <c r="C34"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5" ht="10" customHeight="1"/>
    <row r="36" ht="22" customHeight="1">
      <c r="B36" s="3" t="inlineStr">
        <is>
          <t>MONTH-END, IN ORDER</t>
        </is>
      </c>
    </row>
    <row r="37" ht="28" customHeight="1">
      <c r="C37" s="4" t="inlineStr">
        <is>
          <t>1.  Chase the departments until every invoice for the month is on the Finance sheet and Posted to Xero is Y.</t>
        </is>
      </c>
    </row>
    <row r="38" ht="14" customHeight="1">
      <c r="C38" s="4" t="inlineStr">
        <is>
          <t>2.  Open Month-End and set the month.</t>
        </is>
      </c>
    </row>
    <row r="39" ht="28" customHeight="1">
      <c r="C39" s="4" t="inlineStr">
        <is>
          <t>3.  Work section 3 first. Every count must be zero. Fix on the Finance sheet, or filter the Issue column there, which lists the same problems row by row.</t>
        </is>
      </c>
    </row>
    <row r="40" ht="28" customHeight="1">
      <c r="C40" s="4" t="inlineStr">
        <is>
          <t>4.  Section 1: run the Xero P&amp;L for the month by Cost Centre and type the revenue into the yellow column. Each line should read Reconciled.</t>
        </is>
      </c>
    </row>
    <row r="41" ht="14" customHeight="1">
      <c r="C41" s="4" t="inlineStr">
        <is>
          <t>5.  Section 2: type the WIP Schedule closing balance and the Xero GL 11300 balance.</t>
        </is>
      </c>
    </row>
    <row r="42" ht="28" customHeight="1">
      <c r="C42" s="4" t="inlineStr">
        <is>
          <t>6.  Breaks in section 2 - open WIP Summary, paste the WIP Schedule balances into column G and the variance column shows which job is out.</t>
        </is>
      </c>
    </row>
    <row r="43" ht="42" customHeight="1">
      <c r="C43" s="4" t="inlineStr">
        <is>
          <t>7.  Section 4 is the journal. It names the account to debit, the account to credit and the amount, split by cost centre. Key it into Xero as one manual journal, then put the journal reference back on the WIP Movements rows.</t>
        </is>
      </c>
    </row>
    <row r="44" ht="14" customHeight="1">
      <c r="C44" s="4" t="inlineStr">
        <is>
          <t>8.  Sign off in section 5.</t>
        </is>
      </c>
    </row>
    <row r="45" ht="10" customHeight="1"/>
    <row r="46" ht="22" customHeight="1">
      <c r="B46" s="3" t="inlineStr">
        <is>
          <t>THE WIP SIGN RULE</t>
        </is>
      </c>
    </row>
    <row r="47" ht="56" customHeight="1">
      <c r="C47"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8" ht="56" customHeight="1">
      <c r="C48"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49" ht="42" customHeight="1">
      <c r="C49"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0" ht="28" customHeight="1">
      <c r="C50" s="4" t="inlineStr">
        <is>
          <t>The two accounts are set on the Lists sheet, column U rows 9 and 10. Change them there and every Debit / Credit follows.</t>
        </is>
      </c>
    </row>
    <row r="51" ht="10" customHeight="1"/>
    <row r="52" ht="22" customHeight="1">
      <c r="B52" s="3" t="inlineStr">
        <is>
          <t>LOCKED CELLS, LINKS AND TOTALS</t>
        </is>
      </c>
    </row>
    <row r="53" ht="42" customHeight="1">
      <c r="C53" s="4" t="inlineStr">
        <is>
          <t>Every sheet is protected with no password. Only the cells you are meant to fill are open; the grey calculated ones are locked so a stray keystroke cannot wipe a formula. To turn it off: Review, Unprotect Sheet. Sorting and filtering still work.</t>
        </is>
      </c>
    </row>
    <row r="54" ht="70" customHeight="1">
      <c r="C54"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55" ht="28" customHeight="1">
      <c r="C55" s="4" t="inlineStr">
        <is>
          <t>Each sheet shows its total ex-GST at the top, and it follows the filter - filter to one client or one month and the total follows. Finance shows Ex GST, GST and Inc GST.</t>
        </is>
      </c>
    </row>
    <row r="56" ht="28" customHeight="1">
      <c r="C56" s="4" t="inlineStr">
        <is>
          <t>The GST rate is no longer buried in the formula. It sits on the Lists sheet, column U row 8, and every GST cell reads it from there.</t>
        </is>
      </c>
    </row>
    <row r="57" ht="10" customHeight="1"/>
    <row r="58" ht="22" customHeight="1">
      <c r="B58" s="3" t="inlineStr">
        <is>
          <t>RULES THAT KEEP IT FAST</t>
        </is>
      </c>
    </row>
    <row r="59" ht="14" customHeight="1">
      <c r="C59" s="4" t="inlineStr">
        <is>
          <t xml:space="preserve">   Never insert or delete rows above the header row.</t>
        </is>
      </c>
    </row>
    <row r="60" ht="28" customHeight="1">
      <c r="C60" s="4" t="inlineStr">
        <is>
          <t xml:space="preserve">   Add rows by typing in the next blank row of the table, or press Tab at the end of the last row and the table grows with the formulas.</t>
        </is>
      </c>
    </row>
    <row r="61" ht="14" customHeight="1">
      <c r="C61" s="4" t="inlineStr">
        <is>
          <t xml:space="preserve">   Paste values only, never whole columns.</t>
        </is>
      </c>
    </row>
    <row r="62" ht="14" customHeight="1">
      <c r="C62" s="4" t="inlineStr">
        <is>
          <t xml:space="preserve">   Leave calculation on Automatic. Nothing here is volatile - no OFFSET, no INDIRECT, no TODAY in bulk.</t>
        </is>
      </c>
    </row>
    <row r="63" ht="28" customHeight="1">
      <c r="C63" s="4" t="inlineStr">
        <is>
          <t xml:space="preserve">   Keep it as .xlsx. The moment someone saves it as .xlsm and adds a macro you are back where you started.</t>
        </is>
      </c>
    </row>
    <row r="64" ht="10" customHeight="1"/>
    <row r="65" ht="22" customHeight="1">
      <c r="B65" s="3" t="inlineStr">
        <is>
          <t>WHAT CAME ACROSS FROM v2</t>
        </is>
      </c>
    </row>
    <row r="66" ht="28" customHeight="1">
      <c r="C66" s="4" t="inlineStr">
        <is>
          <t xml:space="preserve">   Finance: 175 invoice lines from the 149 v2 records, the difference being the 26 video splits now carried as their own line.</t>
        </is>
      </c>
    </row>
    <row r="67" ht="14" customHeight="1">
      <c r="C67" s="4" t="inlineStr">
        <is>
          <t xml:space="preserve">   Department sheets: one row per job - Onsite 27, Production 58, Consulting 28.</t>
        </is>
      </c>
    </row>
    <row r="68" ht="14" customHeight="1">
      <c r="C68" s="4" t="inlineStr">
        <is>
          <t xml:space="preserve">   WIP Movements: 126 rows.</t>
        </is>
      </c>
    </row>
    <row r="69" ht="28" customHeight="1">
      <c r="C69" s="4" t="inlineStr">
        <is>
          <t xml:space="preserve">   Totals tie to the cent: Onsite 512,023.81, Production 460,883.46, Consulting 857,950.27, WIP 17,537.91.</t>
        </is>
      </c>
    </row>
    <row r="70" ht="28" customHeight="1">
      <c r="C70" s="4" t="inlineStr">
        <is>
          <t xml:space="preserve">   Revenue GL codes were assigned by rule (Onsite 41100, Production 42100, Video 42150, Consulting 42800, Integration 42300). Spot-check them.</t>
        </is>
      </c>
    </row>
    <row r="71" ht="14" customHeight="1">
      <c r="C71" s="4" t="inlineStr">
        <is>
          <t xml:space="preserve">   The 126 WIP rows were given a Type from the sign of the amount. Confirm before relying on them.</t>
        </is>
      </c>
    </row>
    <row r="72" ht="56" customHeight="1">
      <c r="C72" s="4" t="inlineStr">
        <is>
          <t xml:space="preserve">   Production keeps its v2 columns. Client Email came across (57 of 58 jobs). Company, Event Grouping, Conf. Call Costs and Transcription Costs are there but empty - v2 showed them on screen and its macro never saved them, so there is nothing to bring. Conf. Call and Transcription now feed Total Expense, which v2 never did.</t>
        </is>
      </c>
    </row>
    <row r="73" ht="28" customHeight="1">
      <c r="C73" s="4" t="inlineStr">
        <is>
          <t xml:space="preserve">   Job Type is gone - Cost Centres says the same thing and fills itself. Net Total and Discount as % of Net Total are gone for the reason under STILL TO CONFIRM.</t>
        </is>
      </c>
    </row>
    <row r="74" ht="10" customHeight="1"/>
    <row r="75" ht="22" customHeight="1">
      <c r="B75" s="7" t="inlineStr">
        <is>
          <t>STILL TO CONFIRM</t>
        </is>
      </c>
    </row>
    <row r="76" ht="70" customHeight="1">
      <c r="C76"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77" ht="42" customHeight="1">
      <c r="C77" s="4" t="inlineStr">
        <is>
          <t>23 migrated records have no invoice number and 21 have no date - $93,346.99 of revenue that belongs to no month. They are on the Finance sheet with the Issue column filled in. Filter that column and work the list to nothing.</t>
        </is>
      </c>
    </row>
    <row r="79" ht="28" customHeight="1">
      <c r="B79" s="8" t="inlineStr">
        <is>
          <t>Bigger text, shorter lines, one sentence per line: open the Read Me (Easy Read) tab. Same words, easier on the eye.</t>
        </is>
      </c>
    </row>
  </sheetData>
  <mergeCells count="12">
    <mergeCell ref="B79:C79"/>
    <mergeCell ref="B6:C6"/>
    <mergeCell ref="B52:C52"/>
    <mergeCell ref="B11:C11"/>
    <mergeCell ref="B20:C20"/>
    <mergeCell ref="B46:C46"/>
    <mergeCell ref="B36:C36"/>
    <mergeCell ref="B32:C32"/>
    <mergeCell ref="B27:C27"/>
    <mergeCell ref="B65:C65"/>
    <mergeCell ref="B75:C75"/>
    <mergeCell ref="B58:C58"/>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80"/>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15.5" customHeight="1">
      <c r="A44" s="9" t="n"/>
      <c r="B44" s="9" t="n"/>
      <c r="C44" s="9" t="n"/>
      <c r="D44" s="9" t="n"/>
    </row>
    <row r="45" ht="28" customHeight="1">
      <c r="A45" s="9" t="n"/>
      <c r="B45" s="12" t="inlineStr">
        <is>
          <t>Video revenue</t>
        </is>
      </c>
      <c r="C45" s="9" t="n"/>
      <c r="D45" s="9" t="n"/>
    </row>
    <row r="46" ht="52.7" customHeight="1">
      <c r="A46" s="9" t="n"/>
      <c r="B46" s="9" t="n"/>
      <c r="C46" s="13" t="inlineStr">
        <is>
          <t>There is no video split column any more, and nothing to keep honest.</t>
        </is>
      </c>
      <c r="D46" s="9" t="n"/>
    </row>
    <row r="47" ht="79.05000000000001" customHeight="1">
      <c r="A47" s="9" t="n"/>
      <c r="B47" s="9" t="n"/>
      <c r="C47" s="13" t="inlineStr">
        <is>
          <t>In Xero a cost centre sits on the invoice line, so a job invoiced part production and part video is simply two lines on the Finance sheet - one coded PRODUCTION, one coded VIDEO.</t>
        </is>
      </c>
      <c r="D47" s="9" t="n"/>
    </row>
    <row r="48" ht="79.05000000000001" customHeight="1">
      <c r="A48" s="9" t="n"/>
      <c r="B48" s="9" t="n"/>
      <c r="C48" s="13" t="inlineStr">
        <is>
          <t>The VIDEO figure at month-end is then a plain sum of the lines coded VIDEO, and it ties to the Xero VIDEO cost centre without any adjustment.</t>
        </is>
      </c>
      <c r="D48" s="9" t="n"/>
    </row>
    <row r="49" ht="6" customHeight="1">
      <c r="A49" s="9" t="n"/>
      <c r="B49" s="9" t="n"/>
      <c r="C49" s="9" t="n"/>
      <c r="D49" s="9" t="n"/>
    </row>
    <row r="50" ht="52.7" customHeight="1">
      <c r="A50" s="9" t="n"/>
      <c r="B50" s="9" t="n"/>
      <c r="C50" s="13" t="inlineStr">
        <is>
          <t>The 26 migrated invoices that carried a video amount were split into two lines each on the way across.</t>
        </is>
      </c>
      <c r="D50" s="9" t="n"/>
    </row>
    <row r="51" ht="26.35" customHeight="1">
      <c r="A51" s="9" t="n"/>
      <c r="B51" s="9" t="n"/>
      <c r="C51" s="13" t="inlineStr">
        <is>
          <t>Ex GST in total is unchanged.</t>
        </is>
      </c>
      <c r="D51" s="9" t="n"/>
    </row>
    <row r="52" ht="6" customHeight="1">
      <c r="A52" s="9" t="n"/>
      <c r="B52" s="9" t="n"/>
      <c r="C52" s="9" t="n"/>
      <c r="D52" s="9" t="n"/>
    </row>
    <row r="53" ht="52.7" customHeight="1">
      <c r="A53" s="9" t="n"/>
      <c r="B53" s="9" t="n"/>
      <c r="C53" s="13" t="inlineStr">
        <is>
          <t>The Production sheet carries a Video Revenue column beside the expenses, and Video % of Revenue next to it.</t>
        </is>
      </c>
      <c r="D53" s="9" t="n"/>
    </row>
    <row r="54" ht="26.35" customHeight="1">
      <c r="A54" s="9" t="n"/>
      <c r="B54" s="9" t="n"/>
      <c r="C54" s="13" t="inlineStr">
        <is>
          <t>Both read the Finance lines coded VIDEO, so nothing is typed.</t>
        </is>
      </c>
      <c r="D54" s="9" t="n"/>
    </row>
    <row r="55" ht="52.7" customHeight="1">
      <c r="A55" s="9" t="n"/>
      <c r="B55" s="9" t="n"/>
      <c r="C55" s="13" t="inlineStr">
        <is>
          <t>Job by job they reproduce the old Video Total column to the cent - 38,484.75 in total across 28 jobs.</t>
        </is>
      </c>
      <c r="D55" s="9" t="n"/>
    </row>
    <row r="56" ht="6" customHeight="1">
      <c r="A56" s="9" t="n"/>
      <c r="B56" s="9" t="n"/>
      <c r="C56" s="9" t="n"/>
      <c r="D56" s="9" t="n"/>
    </row>
    <row r="57" ht="15.5" customHeight="1">
      <c r="A57" s="9" t="n"/>
      <c r="B57" s="9" t="n"/>
      <c r="C57" s="9" t="n"/>
      <c r="D57" s="9" t="n"/>
    </row>
    <row r="58" ht="28" customHeight="1">
      <c r="A58" s="9" t="n"/>
      <c r="B58" s="12" t="inlineStr">
        <is>
          <t>Why this version is not slow, and why it opens</t>
        </is>
      </c>
      <c r="C58" s="9" t="n"/>
      <c r="D58" s="9" t="n"/>
    </row>
    <row r="59" ht="79.05000000000001" customHeight="1">
      <c r="A59" s="9" t="n"/>
      <c r="B59" s="9" t="n"/>
      <c r="C59" s="13" t="inlineStr">
        <is>
          <t>The v2 file was slow because of its macro: every keystroke copied 26 columns by 200 rows into hidden storage, and it was capped at 200 rows per department.</t>
        </is>
      </c>
      <c r="D59" s="9" t="n"/>
    </row>
    <row r="60" ht="52.7" customHeight="1">
      <c r="A60" s="9" t="n"/>
      <c r="B60" s="9" t="n"/>
      <c r="C60" s="13" t="inlineStr">
        <is>
          <t>There are no macros here at all, and it is a .xlsx, so no macro warning and nothing blocked on SharePoint.</t>
        </is>
      </c>
      <c r="D60" s="9" t="n"/>
    </row>
    <row r="61" ht="6" customHeight="1">
      <c r="A61" s="9" t="n"/>
      <c r="B61" s="9" t="n"/>
      <c r="C61" s="9" t="n"/>
      <c r="D61" s="9" t="n"/>
    </row>
    <row r="62" ht="52.7" customHeight="1">
      <c r="A62" s="9" t="n"/>
      <c r="B62" s="9" t="n"/>
      <c r="C62" s="13" t="inlineStr">
        <is>
          <t>There are also no dynamic array formulas - no VSTACK, FILTER, SORT, UNIQUE or XLOOKUP.</t>
        </is>
      </c>
      <c r="D62" s="9" t="n"/>
    </row>
    <row r="63" ht="79.05000000000001" customHeight="1">
      <c r="A63" s="9" t="n"/>
      <c r="B63" s="9" t="n"/>
      <c r="C63" s="13" t="inlineStr">
        <is>
          <t>Every sheet is a real Excel Table or a plain SUMIFS grid, which means the filter buttons, sorting and PivotTables all work normally, and every formula runs in any version of Excel.</t>
        </is>
      </c>
      <c r="D63" s="9" t="n"/>
    </row>
    <row r="64" ht="6" customHeight="1">
      <c r="A64" s="9" t="n"/>
      <c r="B64" s="9" t="n"/>
      <c r="C64" s="9" t="n"/>
      <c r="D64" s="9" t="n"/>
    </row>
    <row r="65" ht="15.5" customHeight="1">
      <c r="A65" s="9" t="n"/>
      <c r="B65" s="9" t="n"/>
      <c r="C65" s="9" t="n"/>
      <c r="D65" s="9" t="n"/>
    </row>
    <row r="66" ht="28" customHeight="1">
      <c r="A66" s="9" t="n"/>
      <c r="B66" s="12" t="inlineStr">
        <is>
          <t>Month-end, in order</t>
        </is>
      </c>
      <c r="C66" s="9" t="n"/>
      <c r="D66" s="9" t="n"/>
    </row>
    <row r="67" ht="52.7" customHeight="1">
      <c r="A67" s="9" t="n"/>
      <c r="B67" s="9" t="n"/>
      <c r="C67" s="13" t="inlineStr">
        <is>
          <t>1.  Chase the departments until every invoice for the month is on the Finance sheet and Posted to Xero is Y.</t>
        </is>
      </c>
      <c r="D67" s="9" t="n"/>
    </row>
    <row r="68" ht="6" customHeight="1">
      <c r="A68" s="9" t="n"/>
      <c r="B68" s="9" t="n"/>
      <c r="C68" s="9" t="n"/>
      <c r="D68" s="9" t="n"/>
    </row>
    <row r="69" ht="26.35" customHeight="1">
      <c r="A69" s="9" t="n"/>
      <c r="B69" s="9" t="n"/>
      <c r="C69" s="13" t="inlineStr">
        <is>
          <t>2.  Open Month-End and set the month.</t>
        </is>
      </c>
      <c r="D69" s="9" t="n"/>
    </row>
    <row r="70" ht="6" customHeight="1">
      <c r="A70" s="9" t="n"/>
      <c r="B70" s="9" t="n"/>
      <c r="C70" s="9" t="n"/>
      <c r="D70" s="9" t="n"/>
    </row>
    <row r="71" ht="26.35" customHeight="1">
      <c r="A71" s="9" t="n"/>
      <c r="B71" s="9" t="n"/>
      <c r="C71" s="13" t="inlineStr">
        <is>
          <t>3.  Work section 3 first.</t>
        </is>
      </c>
      <c r="D71" s="9" t="n"/>
    </row>
    <row r="72" ht="26.35" customHeight="1">
      <c r="A72" s="9" t="n"/>
      <c r="B72" s="9" t="n"/>
      <c r="C72" s="13" t="inlineStr">
        <is>
          <t>Every count must be zero.</t>
        </is>
      </c>
      <c r="D72" s="9" t="n"/>
    </row>
    <row r="73" ht="52.7" customHeight="1">
      <c r="A73" s="9" t="n"/>
      <c r="B73" s="9" t="n"/>
      <c r="C73" s="13" t="inlineStr">
        <is>
          <t>Fix on the Finance sheet, or filter the Issue column there, which lists the same problems row by row.</t>
        </is>
      </c>
      <c r="D73" s="9" t="n"/>
    </row>
    <row r="74" ht="6" customHeight="1">
      <c r="A74" s="9" t="n"/>
      <c r="B74" s="9" t="n"/>
      <c r="C74" s="9" t="n"/>
      <c r="D74" s="9" t="n"/>
    </row>
    <row r="75" ht="52.7" customHeight="1">
      <c r="A75" s="9" t="n"/>
      <c r="B75" s="9" t="n"/>
      <c r="C75" s="13" t="inlineStr">
        <is>
          <t>4.  Section 1: run the Xero P&amp;L for the month by Cost Centre and type the revenue into the yellow column.</t>
        </is>
      </c>
      <c r="D75" s="9" t="n"/>
    </row>
    <row r="76" ht="26.35" customHeight="1">
      <c r="A76" s="9" t="n"/>
      <c r="B76" s="9" t="n"/>
      <c r="C76" s="13" t="inlineStr">
        <is>
          <t>Each line should read Reconciled.</t>
        </is>
      </c>
      <c r="D76" s="9" t="n"/>
    </row>
    <row r="77" ht="6" customHeight="1">
      <c r="A77" s="9" t="n"/>
      <c r="B77" s="9" t="n"/>
      <c r="C77" s="9" t="n"/>
      <c r="D77" s="9" t="n"/>
    </row>
    <row r="78" ht="52.7" customHeight="1">
      <c r="A78" s="9" t="n"/>
      <c r="B78" s="9" t="n"/>
      <c r="C78" s="13" t="inlineStr">
        <is>
          <t>5.  Section 2: type the WIP Schedule closing balance and the Xero GL 11300 balance.</t>
        </is>
      </c>
      <c r="D78" s="9" t="n"/>
    </row>
    <row r="79" ht="6" customHeight="1">
      <c r="A79" s="9" t="n"/>
      <c r="B79" s="9" t="n"/>
      <c r="C79" s="9" t="n"/>
      <c r="D79" s="9" t="n"/>
    </row>
    <row r="80" ht="79.05000000000001" customHeight="1">
      <c r="A80" s="9" t="n"/>
      <c r="B80" s="9" t="n"/>
      <c r="C80" s="13" t="inlineStr">
        <is>
          <t>6.  Breaks in section 2 - open WIP Summary, paste the WIP Schedule balances into column G and the variance column shows which job is out.</t>
        </is>
      </c>
      <c r="D80" s="9" t="n"/>
    </row>
    <row r="81" ht="6" customHeight="1">
      <c r="A81" s="9" t="n"/>
      <c r="B81" s="9" t="n"/>
      <c r="C81" s="9" t="n"/>
      <c r="D81" s="9" t="n"/>
    </row>
    <row r="82" ht="26.35" customHeight="1">
      <c r="A82" s="9" t="n"/>
      <c r="B82" s="9" t="n"/>
      <c r="C82" s="13" t="inlineStr">
        <is>
          <t>7.  Section 4 is the journal.</t>
        </is>
      </c>
      <c r="D82" s="9" t="n"/>
    </row>
    <row r="83" ht="52.7" customHeight="1">
      <c r="A83" s="9" t="n"/>
      <c r="B83" s="9" t="n"/>
      <c r="C83" s="13" t="inlineStr">
        <is>
          <t>It names the account to debit, the account to credit and the amount, split by cost centre.</t>
        </is>
      </c>
      <c r="D83" s="9" t="n"/>
    </row>
    <row r="84" ht="52.7" customHeight="1">
      <c r="A84" s="9" t="n"/>
      <c r="B84" s="9" t="n"/>
      <c r="C84" s="13" t="inlineStr">
        <is>
          <t>Key it into Xero as one manual journal, then put the journal reference back on the WIP Movements rows.</t>
        </is>
      </c>
      <c r="D84" s="9" t="n"/>
    </row>
    <row r="85" ht="6" customHeight="1">
      <c r="A85" s="9" t="n"/>
      <c r="B85" s="9" t="n"/>
      <c r="C85" s="9" t="n"/>
      <c r="D85" s="9" t="n"/>
    </row>
    <row r="86" ht="26.35" customHeight="1">
      <c r="A86" s="9" t="n"/>
      <c r="B86" s="9" t="n"/>
      <c r="C86" s="13" t="inlineStr">
        <is>
          <t>8.  Sign off in section 5.</t>
        </is>
      </c>
      <c r="D86" s="9" t="n"/>
    </row>
    <row r="87" ht="6" customHeight="1">
      <c r="A87" s="9" t="n"/>
      <c r="B87" s="9" t="n"/>
      <c r="C87" s="9" t="n"/>
      <c r="D87" s="9" t="n"/>
    </row>
    <row r="88" ht="15.5" customHeight="1">
      <c r="A88" s="9" t="n"/>
      <c r="B88" s="9" t="n"/>
      <c r="C88" s="9" t="n"/>
      <c r="D88" s="9" t="n"/>
    </row>
    <row r="89" ht="28" customHeight="1">
      <c r="A89" s="9" t="n"/>
      <c r="B89" s="12" t="inlineStr">
        <is>
          <t>The WIP sign rule</t>
        </is>
      </c>
      <c r="C89" s="9" t="n"/>
      <c r="D89" s="9" t="n"/>
    </row>
    <row r="90" ht="52.7" customHeight="1">
      <c r="A90" s="9" t="n"/>
      <c r="B90" s="9" t="n"/>
      <c r="C90" s="13" t="inlineStr">
        <is>
          <t>One signed Amount column does both jobs, because GL 11300 nets accrued and deferred revenue.</t>
        </is>
      </c>
      <c r="D90" s="9" t="n"/>
    </row>
    <row r="91" ht="52.7" customHeight="1">
      <c r="A91" s="9" t="n"/>
      <c r="B91" s="9" t="n"/>
      <c r="C91" s="13" t="inlineStr">
        <is>
          <t>Positive = revenue recognised this month (work done but not yet invoiced, or a deferral released).</t>
        </is>
      </c>
      <c r="D91" s="9" t="n"/>
    </row>
    <row r="92" ht="52.7" customHeight="1">
      <c r="A92" s="9" t="n"/>
      <c r="B92" s="9" t="n"/>
      <c r="C92" s="13" t="inlineStr">
        <is>
          <t>Negative = revenue pushed out of this month (invoiced in advance).</t>
        </is>
      </c>
      <c r="D92" s="9" t="n"/>
    </row>
    <row r="93" ht="52.7" customHeight="1">
      <c r="A93" s="9" t="n"/>
      <c r="B93" s="9" t="n"/>
      <c r="C93" s="13" t="inlineStr">
        <is>
          <t>So revenue recognised = invoiced Ex GST + WIP movement, and the running total of the Amount column is the GL 11300 balance.</t>
        </is>
      </c>
      <c r="D93" s="9" t="n"/>
    </row>
    <row r="94" ht="6" customHeight="1">
      <c r="A94" s="9" t="n"/>
      <c r="B94" s="9" t="n"/>
      <c r="C94" s="9" t="n"/>
      <c r="D94" s="9" t="n"/>
    </row>
    <row r="95" ht="79.05000000000001" customHeight="1">
      <c r="A95" s="9" t="n"/>
      <c r="B95" s="9" t="n"/>
      <c r="C95" s="13" t="inlineStr">
        <is>
          <t>Every row on WIP Movements now says which account to debit, which to credit and for how much, and gives you a narration to paste.</t>
        </is>
      </c>
      <c r="D95" s="9" t="n"/>
    </row>
    <row r="96" ht="79.05000000000001" customHeight="1">
      <c r="A96" s="9" t="n"/>
      <c r="B96" s="9" t="n"/>
      <c r="C96" s="13" t="inlineStr">
        <is>
          <t>A positive amount puts revenue back into the month, so WIP goes up: debit 11300 Work in Progress, credit 44200 Closing Work in Progress.</t>
        </is>
      </c>
      <c r="D96" s="9" t="n"/>
    </row>
    <row r="97" ht="26.35" customHeight="1">
      <c r="A97" s="9" t="n"/>
      <c r="B97" s="9" t="n"/>
      <c r="C97" s="13" t="inlineStr">
        <is>
          <t>A negative amount is the other way round.</t>
        </is>
      </c>
      <c r="D97" s="9" t="n"/>
    </row>
    <row r="98" ht="52.7" customHeight="1">
      <c r="A98" s="9" t="n"/>
      <c r="B98" s="9" t="n"/>
      <c r="C98" s="13" t="inlineStr">
        <is>
          <t>The old GL Code column is gone - it said 11300 on every row and these two columns replace it.</t>
        </is>
      </c>
      <c r="D98" s="9" t="n"/>
    </row>
    <row r="99" ht="6" customHeight="1">
      <c r="A99" s="9" t="n"/>
      <c r="B99" s="9" t="n"/>
      <c r="C99" s="9" t="n"/>
      <c r="D99" s="9" t="n"/>
    </row>
    <row r="100" ht="79.05000000000001" customHeight="1">
      <c r="A100" s="9" t="n"/>
      <c r="B100" s="9" t="n"/>
      <c r="C100" s="13" t="inlineStr">
        <is>
          <t>Month-End section 4 adds those rows up with the automatic deferrals and gives you the whole month as one journal, split by cost centre so it can carry tracking in Xero.</t>
        </is>
      </c>
      <c r="D100" s="9" t="n"/>
    </row>
    <row r="101" ht="52.7" customHeight="1">
      <c r="A101" s="9" t="n"/>
      <c r="B101" s="9" t="n"/>
      <c r="C101" s="13" t="inlineStr">
        <is>
          <t>Debit and credit must agree and the sheet says Balanced when they do.</t>
        </is>
      </c>
      <c r="D101" s="9" t="n"/>
    </row>
    <row r="102" ht="52.7" customHeight="1">
      <c r="A102" s="9" t="n"/>
      <c r="B102" s="9" t="n"/>
      <c r="C102" s="13" t="inlineStr">
        <is>
          <t>Nothing posts itself - you key it in and put the reference back on the rows.</t>
        </is>
      </c>
      <c r="D102" s="9" t="n"/>
    </row>
    <row r="103" ht="6" customHeight="1">
      <c r="A103" s="9" t="n"/>
      <c r="B103" s="9" t="n"/>
      <c r="C103" s="9" t="n"/>
      <c r="D103" s="9" t="n"/>
    </row>
    <row r="104" ht="52.7" customHeight="1">
      <c r="A104" s="9" t="n"/>
      <c r="B104" s="9" t="n"/>
      <c r="C104" s="13" t="inlineStr">
        <is>
          <t>The two accounts are set on the Lists sheet, column U rows 9 and 10.</t>
        </is>
      </c>
      <c r="D104" s="9" t="n"/>
    </row>
    <row r="105" ht="26.35" customHeight="1">
      <c r="A105" s="9" t="n"/>
      <c r="B105" s="9" t="n"/>
      <c r="C105" s="13" t="inlineStr">
        <is>
          <t>Change them there and every Debit / Credit follows.</t>
        </is>
      </c>
      <c r="D105" s="9" t="n"/>
    </row>
    <row r="106" ht="6" customHeight="1">
      <c r="A106" s="9" t="n"/>
      <c r="B106" s="9" t="n"/>
      <c r="C106" s="9" t="n"/>
      <c r="D106" s="9" t="n"/>
    </row>
    <row r="107" ht="15.5" customHeight="1">
      <c r="A107" s="9" t="n"/>
      <c r="B107" s="9" t="n"/>
      <c r="C107" s="9" t="n"/>
      <c r="D107" s="9" t="n"/>
    </row>
    <row r="108" ht="28" customHeight="1">
      <c r="A108" s="9" t="n"/>
      <c r="B108" s="12" t="inlineStr">
        <is>
          <t>Locked cells, links and totals</t>
        </is>
      </c>
      <c r="C108" s="9" t="n"/>
      <c r="D108" s="9" t="n"/>
    </row>
    <row r="109" ht="26.35" customHeight="1">
      <c r="A109" s="9" t="n"/>
      <c r="B109" s="9" t="n"/>
      <c r="C109" s="13" t="inlineStr">
        <is>
          <t>Every sheet is protected with no password.</t>
        </is>
      </c>
      <c r="D109" s="9" t="n"/>
    </row>
    <row r="110" ht="79.05000000000001" customHeight="1">
      <c r="A110" s="9" t="n"/>
      <c r="B110" s="9" t="n"/>
      <c r="C110" s="13" t="inlineStr">
        <is>
          <t>Only the cells you are meant to fill are open; the grey calculated ones are locked so a stray keystroke cannot wipe a formula.</t>
        </is>
      </c>
      <c r="D110" s="9" t="n"/>
    </row>
    <row r="111" ht="26.35" customHeight="1">
      <c r="A111" s="9" t="n"/>
      <c r="B111" s="9" t="n"/>
      <c r="C111" s="13" t="inlineStr">
        <is>
          <t>To turn it off: Review, Unprotect Sheet.</t>
        </is>
      </c>
      <c r="D111" s="9" t="n"/>
    </row>
    <row r="112" ht="26.35" customHeight="1">
      <c r="A112" s="9" t="n"/>
      <c r="B112" s="9" t="n"/>
      <c r="C112" s="13" t="inlineStr">
        <is>
          <t>Sorting and filtering still work.</t>
        </is>
      </c>
      <c r="D112" s="9" t="n"/>
    </row>
    <row r="113" ht="6" customHeight="1">
      <c r="A113" s="9" t="n"/>
      <c r="B113" s="9" t="n"/>
      <c r="C113" s="9" t="n"/>
      <c r="D113" s="9" t="n"/>
    </row>
    <row r="114" ht="26.35" customHeight="1">
      <c r="A114" s="9" t="n"/>
      <c r="B114" s="9" t="n"/>
      <c r="C114" s="13" t="inlineStr">
        <is>
          <t>Qwilr quotes and Current RMS numbers are clickable.</t>
        </is>
      </c>
      <c r="D114" s="9" t="n"/>
    </row>
    <row r="115" ht="79.05000000000001" customHeight="1">
      <c r="A115" s="9" t="n"/>
      <c r="B115" s="9" t="n"/>
      <c r="C115" s="13" t="inlineStr">
        <is>
          <t>Paste a full web address and it is used as it stands; type a bare number and it is added to the base address on the Lists sheet.</t>
        </is>
      </c>
      <c r="D115" s="9" t="n"/>
    </row>
    <row r="116" ht="105.4" customHeight="1">
      <c r="A116" s="9" t="n"/>
      <c r="B116" s="9" t="n"/>
      <c r="C116" s="13" t="inlineStr">
        <is>
          <t>The Qwilr base is already set, and Current RMS on the Production sheet now works exactly the same way - paste the whole Current RMS address into the Current RMS No cell and it links straight away.</t>
        </is>
      </c>
      <c r="D116" s="9" t="n"/>
    </row>
    <row r="117" ht="52.7" customHeight="1">
      <c r="A117" s="9" t="n"/>
      <c r="B117" s="9" t="n"/>
      <c r="C117" s="13" t="inlineStr">
        <is>
          <t>Only fill in Lists column U row 6 if you would rather type the bare opportunity number.</t>
        </is>
      </c>
      <c r="D117" s="9" t="n"/>
    </row>
    <row r="118" ht="6" customHeight="1">
      <c r="A118" s="9" t="n"/>
      <c r="B118" s="9" t="n"/>
      <c r="C118" s="9" t="n"/>
      <c r="D118" s="9" t="n"/>
    </row>
    <row r="119" ht="79.05000000000001" customHeight="1">
      <c r="A119" s="9" t="n"/>
      <c r="B119" s="9" t="n"/>
      <c r="C119" s="13" t="inlineStr">
        <is>
          <t>Each sheet shows its total ex-GST at the top, and it follows the filter - filter to one client or one month and the total follows.</t>
        </is>
      </c>
      <c r="D119" s="9" t="n"/>
    </row>
    <row r="120" ht="26.35" customHeight="1">
      <c r="A120" s="9" t="n"/>
      <c r="B120" s="9" t="n"/>
      <c r="C120" s="13" t="inlineStr">
        <is>
          <t>Finance shows Ex GST, GST and Inc GST.</t>
        </is>
      </c>
      <c r="D120" s="9" t="n"/>
    </row>
    <row r="121" ht="6" customHeight="1">
      <c r="A121" s="9" t="n"/>
      <c r="B121" s="9" t="n"/>
      <c r="C121" s="9" t="n"/>
      <c r="D121" s="9" t="n"/>
    </row>
    <row r="122" ht="26.35" customHeight="1">
      <c r="A122" s="9" t="n"/>
      <c r="B122" s="9" t="n"/>
      <c r="C122" s="13" t="inlineStr">
        <is>
          <t>The GST rate is no longer buried in the formula.</t>
        </is>
      </c>
      <c r="D122" s="9" t="n"/>
    </row>
    <row r="123" ht="52.7" customHeight="1">
      <c r="A123" s="9" t="n"/>
      <c r="B123" s="9" t="n"/>
      <c r="C123" s="13" t="inlineStr">
        <is>
          <t>It sits on the Lists sheet, column U row 8, and every GST cell reads it from there.</t>
        </is>
      </c>
      <c r="D123" s="9" t="n"/>
    </row>
    <row r="124" ht="6" customHeight="1">
      <c r="A124" s="9" t="n"/>
      <c r="B124" s="9" t="n"/>
      <c r="C124" s="9" t="n"/>
      <c r="D124" s="9" t="n"/>
    </row>
    <row r="125" ht="15.5" customHeight="1">
      <c r="A125" s="9" t="n"/>
      <c r="B125" s="9" t="n"/>
      <c r="C125" s="9" t="n"/>
      <c r="D125" s="9" t="n"/>
    </row>
    <row r="126" ht="28" customHeight="1">
      <c r="A126" s="9" t="n"/>
      <c r="B126" s="12" t="inlineStr">
        <is>
          <t>Rules that keep it fast</t>
        </is>
      </c>
      <c r="C126" s="9" t="n"/>
      <c r="D126" s="9" t="n"/>
    </row>
    <row r="127" ht="26.35" customHeight="1">
      <c r="A127" s="9" t="n"/>
      <c r="B127" s="9" t="n"/>
      <c r="C127" s="13" t="inlineStr">
        <is>
          <t>Never insert or delete rows above the header row.</t>
        </is>
      </c>
      <c r="D127" s="9" t="n"/>
    </row>
    <row r="128" ht="6" customHeight="1">
      <c r="A128" s="9" t="n"/>
      <c r="B128" s="9" t="n"/>
      <c r="C128" s="9" t="n"/>
      <c r="D128" s="9" t="n"/>
    </row>
    <row r="129" ht="79.05000000000001" customHeight="1">
      <c r="A129" s="9" t="n"/>
      <c r="B129" s="9" t="n"/>
      <c r="C129" s="13" t="inlineStr">
        <is>
          <t>Add rows by typing in the next blank row of the table, or press Tab at the end of the last row and the table grows with the formulas.</t>
        </is>
      </c>
      <c r="D129" s="9" t="n"/>
    </row>
    <row r="130" ht="6" customHeight="1">
      <c r="A130" s="9" t="n"/>
      <c r="B130" s="9" t="n"/>
      <c r="C130" s="9" t="n"/>
      <c r="D130" s="9" t="n"/>
    </row>
    <row r="131" ht="26.35" customHeight="1">
      <c r="A131" s="9" t="n"/>
      <c r="B131" s="9" t="n"/>
      <c r="C131" s="13" t="inlineStr">
        <is>
          <t>Paste values only, never whole columns.</t>
        </is>
      </c>
      <c r="D131" s="9" t="n"/>
    </row>
    <row r="132" ht="6" customHeight="1">
      <c r="A132" s="9" t="n"/>
      <c r="B132" s="9" t="n"/>
      <c r="C132" s="9" t="n"/>
      <c r="D132" s="9" t="n"/>
    </row>
    <row r="133" ht="26.35" customHeight="1">
      <c r="A133" s="9" t="n"/>
      <c r="B133" s="9" t="n"/>
      <c r="C133" s="13" t="inlineStr">
        <is>
          <t>Leave calculation on Automatic.</t>
        </is>
      </c>
      <c r="D133" s="9" t="n"/>
    </row>
    <row r="134" ht="52.7" customHeight="1">
      <c r="A134" s="9" t="n"/>
      <c r="B134" s="9" t="n"/>
      <c r="C134" s="13" t="inlineStr">
        <is>
          <t>Nothing here is volatile - no OFFSET, no INDIRECT, no TODAY in bulk.</t>
        </is>
      </c>
      <c r="D134" s="9" t="n"/>
    </row>
    <row r="135" ht="6" customHeight="1">
      <c r="A135" s="9" t="n"/>
      <c r="B135" s="9" t="n"/>
      <c r="C135" s="9" t="n"/>
      <c r="D135" s="9" t="n"/>
    </row>
    <row r="136" ht="26.35" customHeight="1">
      <c r="A136" s="9" t="n"/>
      <c r="B136" s="9" t="n"/>
      <c r="C136" s="13" t="inlineStr">
        <is>
          <t>Keep it as .xlsx.</t>
        </is>
      </c>
      <c r="D136" s="9" t="n"/>
    </row>
    <row r="137" ht="52.7" customHeight="1">
      <c r="A137" s="9" t="n"/>
      <c r="B137" s="9" t="n"/>
      <c r="C137" s="13" t="inlineStr">
        <is>
          <t>The moment someone saves it as .xlsm and adds a macro you are back where you started.</t>
        </is>
      </c>
      <c r="D137" s="9" t="n"/>
    </row>
    <row r="138" ht="6" customHeight="1">
      <c r="A138" s="9" t="n"/>
      <c r="B138" s="9" t="n"/>
      <c r="C138" s="9" t="n"/>
      <c r="D138" s="9" t="n"/>
    </row>
    <row r="139" ht="15.5" customHeight="1">
      <c r="A139" s="9" t="n"/>
      <c r="B139" s="9" t="n"/>
      <c r="C139" s="9" t="n"/>
      <c r="D139" s="9" t="n"/>
    </row>
    <row r="140" ht="28" customHeight="1">
      <c r="A140" s="9" t="n"/>
      <c r="B140" s="12" t="inlineStr">
        <is>
          <t>What came across from v2</t>
        </is>
      </c>
      <c r="C140" s="9" t="n"/>
      <c r="D140" s="9" t="n"/>
    </row>
    <row r="141" ht="52.7" customHeight="1">
      <c r="A141" s="9" t="n"/>
      <c r="B141" s="9" t="n"/>
      <c r="C141" s="13" t="inlineStr">
        <is>
          <t>Finance: 175 invoice lines from the 149 v2 records, the difference being the 26 video splits now carried as their own line.</t>
        </is>
      </c>
      <c r="D141" s="9" t="n"/>
    </row>
    <row r="142" ht="6" customHeight="1">
      <c r="A142" s="9" t="n"/>
      <c r="B142" s="9" t="n"/>
      <c r="C142" s="9" t="n"/>
      <c r="D142" s="9" t="n"/>
    </row>
    <row r="143" ht="52.7" customHeight="1">
      <c r="A143" s="9" t="n"/>
      <c r="B143" s="9" t="n"/>
      <c r="C143" s="13" t="inlineStr">
        <is>
          <t>Department sheets: one row per job - Onsite 27, Production 58, Consulting 28.</t>
        </is>
      </c>
      <c r="D143" s="9" t="n"/>
    </row>
    <row r="144" ht="6" customHeight="1">
      <c r="A144" s="9" t="n"/>
      <c r="B144" s="9" t="n"/>
      <c r="C144" s="9" t="n"/>
      <c r="D144" s="9" t="n"/>
    </row>
    <row r="145" ht="26.35" customHeight="1">
      <c r="A145" s="9" t="n"/>
      <c r="B145" s="9" t="n"/>
      <c r="C145" s="13" t="inlineStr">
        <is>
          <t>WIP Movements: 126 rows.</t>
        </is>
      </c>
      <c r="D145" s="9" t="n"/>
    </row>
    <row r="146" ht="6" customHeight="1">
      <c r="A146" s="9" t="n"/>
      <c r="B146" s="9" t="n"/>
      <c r="C146" s="9" t="n"/>
      <c r="D146" s="9" t="n"/>
    </row>
    <row r="147" ht="52.7" customHeight="1">
      <c r="A147" s="9" t="n"/>
      <c r="B147" s="9" t="n"/>
      <c r="C147" s="13" t="inlineStr">
        <is>
          <t>Totals tie to the cent: Onsite 512,023.81, Production 460,883.46, Consulting 857,950.27, WIP 17,537.91.</t>
        </is>
      </c>
      <c r="D147" s="9" t="n"/>
    </row>
    <row r="148" ht="6" customHeight="1">
      <c r="A148" s="9" t="n"/>
      <c r="B148" s="9" t="n"/>
      <c r="C148" s="9" t="n"/>
      <c r="D148" s="9" t="n"/>
    </row>
    <row r="149" ht="52.7" customHeight="1">
      <c r="A149" s="9" t="n"/>
      <c r="B149" s="9" t="n"/>
      <c r="C149" s="13" t="inlineStr">
        <is>
          <t>Revenue GL codes were assigned by rule (Onsite 41100, Production 42100, Video 42150, Consulting 42800, Integration 42300).</t>
        </is>
      </c>
      <c r="D149" s="9" t="n"/>
    </row>
    <row r="150" ht="26.35" customHeight="1">
      <c r="A150" s="9" t="n"/>
      <c r="B150" s="9" t="n"/>
      <c r="C150" s="13" t="inlineStr">
        <is>
          <t>Spot-check them.</t>
        </is>
      </c>
      <c r="D150" s="9" t="n"/>
    </row>
    <row r="151" ht="6" customHeight="1">
      <c r="A151" s="9" t="n"/>
      <c r="B151" s="9" t="n"/>
      <c r="C151" s="9" t="n"/>
      <c r="D151" s="9" t="n"/>
    </row>
    <row r="152" ht="52.7" customHeight="1">
      <c r="A152" s="9" t="n"/>
      <c r="B152" s="9" t="n"/>
      <c r="C152" s="13" t="inlineStr">
        <is>
          <t>The 126 WIP rows were given a Type from the sign of the amount.</t>
        </is>
      </c>
      <c r="D152" s="9" t="n"/>
    </row>
    <row r="153" ht="26.35" customHeight="1">
      <c r="A153" s="9" t="n"/>
      <c r="B153" s="9" t="n"/>
      <c r="C153" s="13" t="inlineStr">
        <is>
          <t>Confirm before relying on them.</t>
        </is>
      </c>
      <c r="D153" s="9" t="n"/>
    </row>
    <row r="154" ht="6" customHeight="1">
      <c r="A154" s="9" t="n"/>
      <c r="B154" s="9" t="n"/>
      <c r="C154" s="9" t="n"/>
      <c r="D154" s="9" t="n"/>
    </row>
    <row r="155" ht="26.35" customHeight="1">
      <c r="A155" s="9" t="n"/>
      <c r="B155" s="9" t="n"/>
      <c r="C155" s="13" t="inlineStr">
        <is>
          <t>Production keeps its v2 columns.</t>
        </is>
      </c>
      <c r="D155" s="9" t="n"/>
    </row>
    <row r="156" ht="26.35" customHeight="1">
      <c r="A156" s="9" t="n"/>
      <c r="B156" s="9" t="n"/>
      <c r="C156" s="13" t="inlineStr">
        <is>
          <t>Client Email came across (57 of 58 jobs).</t>
        </is>
      </c>
      <c r="D156" s="9" t="n"/>
    </row>
    <row r="157" ht="26.35" customHeight="1">
      <c r="A157" s="9" t="n"/>
      <c r="B157" s="9" t="n"/>
      <c r="C157" s="13" t="inlineStr">
        <is>
          <t>Company, Event Grouping, Conf.</t>
        </is>
      </c>
      <c r="D157" s="9" t="n"/>
    </row>
    <row r="158" ht="79.05000000000001" customHeight="1">
      <c r="A158" s="9" t="n"/>
      <c r="B158" s="9" t="n"/>
      <c r="C158" s="13" t="inlineStr">
        <is>
          <t>Call Costs and Transcription Costs are there but empty - v2 showed them on screen and its macro never saved them, so there is nothing to bring.</t>
        </is>
      </c>
      <c r="D158" s="9" t="n"/>
    </row>
    <row r="159" ht="26.35" customHeight="1">
      <c r="A159" s="9" t="n"/>
      <c r="B159" s="9" t="n"/>
      <c r="C159" s="13" t="inlineStr">
        <is>
          <t>Conf.</t>
        </is>
      </c>
      <c r="D159" s="9" t="n"/>
    </row>
    <row r="160" ht="52.7" customHeight="1">
      <c r="A160" s="9" t="n"/>
      <c r="B160" s="9" t="n"/>
      <c r="C160" s="13" t="inlineStr">
        <is>
          <t>Call and Transcription now feed Total Expense, which v2 never did.</t>
        </is>
      </c>
      <c r="D160" s="9" t="n"/>
    </row>
    <row r="161" ht="6" customHeight="1">
      <c r="A161" s="9" t="n"/>
      <c r="B161" s="9" t="n"/>
      <c r="C161" s="9" t="n"/>
      <c r="D161" s="9" t="n"/>
    </row>
    <row r="162" ht="52.7" customHeight="1">
      <c r="A162" s="9" t="n"/>
      <c r="B162" s="9" t="n"/>
      <c r="C162" s="13" t="inlineStr">
        <is>
          <t>Job Type is gone - Cost Centres says the same thing and fills itself.</t>
        </is>
      </c>
      <c r="D162" s="9" t="n"/>
    </row>
    <row r="163" ht="52.7" customHeight="1">
      <c r="A163" s="9" t="n"/>
      <c r="B163" s="9" t="n"/>
      <c r="C163" s="13" t="inlineStr">
        <is>
          <t>Net Total and Discount as % of Net Total are gone for the reason under STILL TO CONFIRM.</t>
        </is>
      </c>
      <c r="D163" s="9" t="n"/>
    </row>
    <row r="164" ht="6" customHeight="1">
      <c r="A164" s="9" t="n"/>
      <c r="B164" s="9" t="n"/>
      <c r="C164" s="9" t="n"/>
      <c r="D164" s="9" t="n"/>
    </row>
    <row r="165" ht="15.5" customHeight="1">
      <c r="A165" s="9" t="n"/>
      <c r="B165" s="9" t="n"/>
      <c r="C165" s="9" t="n"/>
      <c r="D165" s="9" t="n"/>
    </row>
    <row r="166" ht="28" customHeight="1">
      <c r="A166" s="9" t="n"/>
      <c r="B166" s="16" t="inlineStr">
        <is>
          <t>Still to confirm</t>
        </is>
      </c>
      <c r="C166" s="9" t="n"/>
      <c r="D166" s="9" t="n"/>
    </row>
    <row r="167" ht="26.35" customHeight="1">
      <c r="A167" s="9" t="n"/>
      <c r="B167" s="9" t="n"/>
      <c r="C167" s="13" t="inlineStr">
        <is>
          <t>Discounts.</t>
        </is>
      </c>
      <c r="D167" s="9" t="n"/>
    </row>
    <row r="168" ht="105.4" customHeight="1">
      <c r="A168" s="9" t="n"/>
      <c r="B168" s="9" t="n"/>
      <c r="C168" s="13" t="inlineStr">
        <is>
          <t>Checked against Xero: for all 17 August production invoices carrying a discount, the ex-GST total on the Xero invoice equals Ex GST here exactly, and not one matched Ex GST minus the discount.</t>
        </is>
      </c>
      <c r="D168" s="9" t="n"/>
    </row>
    <row r="169" ht="52.7" customHeight="1">
      <c r="A169" s="9" t="n"/>
      <c r="B169" s="9" t="n"/>
      <c r="C169" s="13" t="inlineStr">
        <is>
          <t>So the discount comes off before the invoice is raised and Ex GST is what reconciles.</t>
        </is>
      </c>
      <c r="D169" s="9" t="n"/>
    </row>
    <row r="170" ht="79.05000000000001" customHeight="1">
      <c r="A170" s="9" t="n"/>
      <c r="B170" s="9" t="n"/>
      <c r="C170" s="13" t="inlineStr">
        <is>
          <t>The old "Net Total" is gone; Discounts Given now sits on the Production sheet at job level with Value Before Discount beside it.</t>
        </is>
      </c>
      <c r="D170" s="9" t="n"/>
    </row>
    <row r="171" ht="52.7" customHeight="1">
      <c r="A171" s="9" t="n"/>
      <c r="B171" s="9" t="n"/>
      <c r="C171" s="13" t="inlineStr">
        <is>
          <t>Assumption: it records what was given away off standard rates.</t>
        </is>
      </c>
      <c r="D171" s="9" t="n"/>
    </row>
    <row r="172" ht="6" customHeight="1">
      <c r="A172" s="9" t="n"/>
      <c r="B172" s="9" t="n"/>
      <c r="C172" s="9" t="n"/>
      <c r="D172" s="9" t="n"/>
    </row>
    <row r="173" ht="52.7" customHeight="1">
      <c r="A173" s="9" t="n"/>
      <c r="B173" s="9" t="n"/>
      <c r="C173" s="13" t="inlineStr">
        <is>
          <t>23 migrated records have no invoice number and 21 have no date - $93,346.99 of revenue that belongs to no month.</t>
        </is>
      </c>
      <c r="D173" s="9" t="n"/>
    </row>
    <row r="174" ht="52.7" customHeight="1">
      <c r="A174" s="9" t="n"/>
      <c r="B174" s="9" t="n"/>
      <c r="C174" s="13" t="inlineStr">
        <is>
          <t>They are on the Finance sheet with the Issue column filled in.</t>
        </is>
      </c>
      <c r="D174" s="9" t="n"/>
    </row>
    <row r="175" ht="26.35" customHeight="1">
      <c r="A175" s="9" t="n"/>
      <c r="B175" s="9" t="n"/>
      <c r="C175" s="13" t="inlineStr">
        <is>
          <t>Filter that column and work the list to nothing.</t>
        </is>
      </c>
      <c r="D175" s="9" t="n"/>
    </row>
    <row r="176" ht="6" customHeight="1">
      <c r="A176" s="9" t="n"/>
      <c r="B176" s="9" t="n"/>
      <c r="C176" s="9" t="n"/>
      <c r="D176" s="9" t="n"/>
    </row>
    <row r="177">
      <c r="A177" s="9" t="n"/>
      <c r="B177" s="9" t="n"/>
      <c r="C177" s="9" t="n"/>
      <c r="D177" s="9" t="n"/>
    </row>
    <row r="178" ht="52.7" customHeight="1">
      <c r="A178" s="9" t="n"/>
      <c r="B178" s="17" t="inlineStr">
        <is>
          <t>This is the easy-read version. The standard, more compact version is on the Read Me tab.</t>
        </is>
      </c>
      <c r="C178" s="9" t="n"/>
      <c r="D178" s="9" t="n"/>
    </row>
    <row r="179">
      <c r="A179" s="9" t="n"/>
      <c r="B179" s="9" t="n"/>
      <c r="C179" s="9" t="n"/>
      <c r="D179" s="9" t="n"/>
    </row>
    <row r="180">
      <c r="A180" s="9" t="n"/>
      <c r="B180" s="9" t="n"/>
      <c r="C180" s="9" t="n"/>
      <c r="D180" s="9" t="n"/>
    </row>
  </sheetData>
  <mergeCells count="12">
    <mergeCell ref="B166:C166"/>
    <mergeCell ref="B5:C5"/>
    <mergeCell ref="B178:C178"/>
    <mergeCell ref="B27:C27"/>
    <mergeCell ref="B45:C45"/>
    <mergeCell ref="B89:C89"/>
    <mergeCell ref="B66:C66"/>
    <mergeCell ref="B108:C108"/>
    <mergeCell ref="B18:C18"/>
    <mergeCell ref="B126:C126"/>
    <mergeCell ref="B140:C140"/>
    <mergeCell ref="B58:C58"/>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578"/>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v>46234</v>
      </c>
      <c r="B5" s="23">
        <f>IF(A5="","",EOMONTH(A5,0))</f>
        <v/>
      </c>
      <c r="C5" s="24" t="inlineStr">
        <is>
          <t>INV-10525</t>
        </is>
      </c>
      <c r="D5" s="24" t="inlineStr">
        <is>
          <t>CBA</t>
        </is>
      </c>
      <c r="E5" s="24" t="inlineStr">
        <is>
          <t>1350</t>
        </is>
      </c>
      <c r="F5" s="25">
        <f>IF(E5="","",IF(COUNTIF(lst_Jobs,E5&amp;"")&gt;0,"OK","CHECK"))</f>
        <v/>
      </c>
      <c r="G5" s="24" t="inlineStr">
        <is>
          <t>CBA BNE July 2026</t>
        </is>
      </c>
      <c r="H5" s="24" t="inlineStr">
        <is>
          <t>Onsite</t>
        </is>
      </c>
      <c r="I5" s="24" t="inlineStr">
        <is>
          <t>ONSITE</t>
        </is>
      </c>
      <c r="J5" s="24" t="inlineStr">
        <is>
          <t>Contract</t>
        </is>
      </c>
      <c r="K5" s="24" t="inlineStr">
        <is>
          <t>GST 10%</t>
        </is>
      </c>
      <c r="L5" s="26" t="n">
        <v>8588.450000000001</v>
      </c>
      <c r="M5" s="27">
        <f>IF(L5="","",IF(K5="GST 10%",ROUND(L5*set_GSTRate,2),0))</f>
        <v/>
      </c>
      <c r="N5" s="27">
        <f>IF(L5="","",L5+M5)</f>
        <v/>
      </c>
      <c r="O5" s="24" t="inlineStr">
        <is>
          <t>41100</t>
        </is>
      </c>
      <c r="P5" s="24" t="inlineStr">
        <is>
          <t>Y</t>
        </is>
      </c>
      <c r="Q5" s="24" t="inlineStr">
        <is>
          <t>N</t>
        </is>
      </c>
      <c r="R5" s="22" t="n"/>
      <c r="S5" s="22" t="n"/>
      <c r="T5" s="24" t="inlineStr">
        <is>
          <t>Invoiced</t>
        </is>
      </c>
      <c r="U5" s="24" t="inlineStr">
        <is>
          <t>174.05 hours</t>
        </is>
      </c>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v>46234</v>
      </c>
      <c r="B6" s="23">
        <f>IF(A6="","",EOMONTH(A6,0))</f>
        <v/>
      </c>
      <c r="C6" s="24" t="inlineStr">
        <is>
          <t>INV-10526</t>
        </is>
      </c>
      <c r="D6" s="24" t="inlineStr">
        <is>
          <t>CBA</t>
        </is>
      </c>
      <c r="E6" s="24" t="inlineStr">
        <is>
          <t>585/586/1755</t>
        </is>
      </c>
      <c r="F6" s="25">
        <f>IF(E6="","",IF(COUNTIF(lst_Jobs,E6&amp;"")&gt;0,"OK","CHECK"))</f>
        <v/>
      </c>
      <c r="G6" s="24" t="inlineStr">
        <is>
          <t>CBP July 2026</t>
        </is>
      </c>
      <c r="H6" s="24" t="inlineStr">
        <is>
          <t>Onsite</t>
        </is>
      </c>
      <c r="I6" s="24" t="inlineStr">
        <is>
          <t>ONSITE</t>
        </is>
      </c>
      <c r="J6" s="24" t="inlineStr">
        <is>
          <t>Contract</t>
        </is>
      </c>
      <c r="K6" s="24" t="inlineStr">
        <is>
          <t>GST 10%</t>
        </is>
      </c>
      <c r="L6" s="26" t="n">
        <v>22120.57</v>
      </c>
      <c r="M6" s="27">
        <f>IF(L6="","",IF(K6="GST 10%",ROUND(L6*set_GSTRate,2),0))</f>
        <v/>
      </c>
      <c r="N6" s="27">
        <f>IF(L6="","",L6+M6)</f>
        <v/>
      </c>
      <c r="O6" s="24" t="inlineStr">
        <is>
          <t>41100</t>
        </is>
      </c>
      <c r="P6" s="24" t="inlineStr">
        <is>
          <t>Y</t>
        </is>
      </c>
      <c r="Q6" s="24" t="inlineStr">
        <is>
          <t>N</t>
        </is>
      </c>
      <c r="R6" s="22" t="n"/>
      <c r="S6" s="22" t="n"/>
      <c r="T6" s="24" t="inlineStr">
        <is>
          <t>Invoiced</t>
        </is>
      </c>
      <c r="U6" s="24" t="inlineStr">
        <is>
          <t>Deduct 3hrs for TN 01/07 &amp; 6hrs for NP 14/07</t>
        </is>
      </c>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v>46234</v>
      </c>
      <c r="B7" s="23">
        <f>IF(A7="","",EOMONTH(A7,0))</f>
        <v/>
      </c>
      <c r="C7" s="24" t="inlineStr">
        <is>
          <t>INV-10527</t>
        </is>
      </c>
      <c r="D7" s="24" t="inlineStr">
        <is>
          <t>CBA</t>
        </is>
      </c>
      <c r="E7" s="24" t="inlineStr">
        <is>
          <t>587</t>
        </is>
      </c>
      <c r="F7" s="25">
        <f>IF(E7="","",IF(COUNTIF(lst_Jobs,E7&amp;"")&gt;0,"OK","CHECK"))</f>
        <v/>
      </c>
      <c r="G7" s="24" t="inlineStr">
        <is>
          <t>CBS July 2026</t>
        </is>
      </c>
      <c r="H7" s="24" t="inlineStr">
        <is>
          <t>Onsite</t>
        </is>
      </c>
      <c r="I7" s="24" t="inlineStr">
        <is>
          <t>ONSITE</t>
        </is>
      </c>
      <c r="J7" s="24" t="inlineStr">
        <is>
          <t>Contract</t>
        </is>
      </c>
      <c r="K7" s="24" t="inlineStr">
        <is>
          <t>GST 10%</t>
        </is>
      </c>
      <c r="L7" s="26" t="n">
        <v>10720</v>
      </c>
      <c r="M7" s="27">
        <f>IF(L7="","",IF(K7="GST 10%",ROUND(L7*set_GSTRate,2),0))</f>
        <v/>
      </c>
      <c r="N7" s="27">
        <f>IF(L7="","",L7+M7)</f>
        <v/>
      </c>
      <c r="O7" s="24" t="inlineStr">
        <is>
          <t>41100</t>
        </is>
      </c>
      <c r="P7" s="24" t="inlineStr">
        <is>
          <t>Y</t>
        </is>
      </c>
      <c r="Q7" s="24" t="inlineStr">
        <is>
          <t>N</t>
        </is>
      </c>
      <c r="R7" s="22" t="n"/>
      <c r="S7" s="22" t="n"/>
      <c r="T7" s="24" t="inlineStr">
        <is>
          <t>Invoiced</t>
        </is>
      </c>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v>46234</v>
      </c>
      <c r="B8" s="23">
        <f>IF(A8="","",EOMONTH(A8,0))</f>
        <v/>
      </c>
      <c r="C8" s="24" t="inlineStr">
        <is>
          <t>INV-10528</t>
        </is>
      </c>
      <c r="D8" s="24" t="inlineStr">
        <is>
          <t>DTTL</t>
        </is>
      </c>
      <c r="E8" s="24" t="inlineStr">
        <is>
          <t>2846/1401/725/1400/1530/1862/2402/2849/974</t>
        </is>
      </c>
      <c r="F8" s="25">
        <f>IF(E8="","",IF(COUNTIF(lst_Jobs,E8&amp;"")&gt;0,"OK","CHECK"))</f>
        <v/>
      </c>
      <c r="G8" s="24" t="inlineStr">
        <is>
          <t>DTTL Contract July 2026</t>
        </is>
      </c>
      <c r="H8" s="24" t="inlineStr">
        <is>
          <t>Onsite</t>
        </is>
      </c>
      <c r="I8" s="24" t="inlineStr">
        <is>
          <t>ONSITE</t>
        </is>
      </c>
      <c r="J8" s="24" t="inlineStr">
        <is>
          <t>Contract</t>
        </is>
      </c>
      <c r="K8" s="24" t="inlineStr">
        <is>
          <t>GST 10%</t>
        </is>
      </c>
      <c r="L8" s="26" t="n">
        <v>103625.44</v>
      </c>
      <c r="M8" s="27">
        <f>IF(L8="","",IF(K8="GST 10%",ROUND(L8*set_GSTRate,2),0))</f>
        <v/>
      </c>
      <c r="N8" s="27">
        <f>IF(L8="","",L8+M8)</f>
        <v/>
      </c>
      <c r="O8" s="24" t="inlineStr">
        <is>
          <t>41100</t>
        </is>
      </c>
      <c r="P8" s="24" t="inlineStr">
        <is>
          <t>Y</t>
        </is>
      </c>
      <c r="Q8" s="24" t="inlineStr">
        <is>
          <t>N</t>
        </is>
      </c>
      <c r="R8" s="22" t="n"/>
      <c r="S8" s="22" t="n"/>
      <c r="T8" s="24" t="inlineStr">
        <is>
          <t>Invoiced</t>
        </is>
      </c>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v>46234</v>
      </c>
      <c r="B9" s="23">
        <f>IF(A9="","",EOMONTH(A9,0))</f>
        <v/>
      </c>
      <c r="C9" s="24" t="inlineStr">
        <is>
          <t>INV-10529</t>
        </is>
      </c>
      <c r="D9" s="24" t="inlineStr">
        <is>
          <t>BW</t>
        </is>
      </c>
      <c r="E9" s="24" t="inlineStr">
        <is>
          <t>732/1144</t>
        </is>
      </c>
      <c r="F9" s="25">
        <f>IF(E9="","",IF(COUNTIF(lst_Jobs,E9&amp;"")&gt;0,"OK","CHECK"))</f>
        <v/>
      </c>
      <c r="G9" s="24" t="inlineStr">
        <is>
          <t>BW Contract July 2026</t>
        </is>
      </c>
      <c r="H9" s="24" t="inlineStr">
        <is>
          <t>Onsite</t>
        </is>
      </c>
      <c r="I9" s="24" t="inlineStr">
        <is>
          <t>ONSITE</t>
        </is>
      </c>
      <c r="J9" s="24" t="inlineStr">
        <is>
          <t>Contract</t>
        </is>
      </c>
      <c r="K9" s="24" t="inlineStr">
        <is>
          <t>GST 10%</t>
        </is>
      </c>
      <c r="L9" s="26" t="n">
        <v>19427.5</v>
      </c>
      <c r="M9" s="27">
        <f>IF(L9="","",IF(K9="GST 10%",ROUND(L9*set_GSTRate,2),0))</f>
        <v/>
      </c>
      <c r="N9" s="27">
        <f>IF(L9="","",L9+M9)</f>
        <v/>
      </c>
      <c r="O9" s="24" t="inlineStr">
        <is>
          <t>41100</t>
        </is>
      </c>
      <c r="P9" s="24" t="inlineStr">
        <is>
          <t>Y</t>
        </is>
      </c>
      <c r="Q9" s="24" t="inlineStr">
        <is>
          <t>N</t>
        </is>
      </c>
      <c r="R9" s="22" t="n"/>
      <c r="S9" s="22" t="n"/>
      <c r="T9" s="24" t="inlineStr">
        <is>
          <t>Invoiced</t>
        </is>
      </c>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v>46234</v>
      </c>
      <c r="B10" s="23">
        <f>IF(A10="","",EOMONTH(A10,0))</f>
        <v/>
      </c>
      <c r="C10" s="24" t="inlineStr">
        <is>
          <t>INV-10530</t>
        </is>
      </c>
      <c r="D10" s="24" t="inlineStr">
        <is>
          <t>BW</t>
        </is>
      </c>
      <c r="E10" s="24" t="inlineStr">
        <is>
          <t>2192</t>
        </is>
      </c>
      <c r="F10" s="25">
        <f>IF(E10="","",IF(COUNTIF(lst_Jobs,E10&amp;"")&gt;0,"OK","CHECK"))</f>
        <v/>
      </c>
      <c r="G10" s="24" t="inlineStr">
        <is>
          <t>BW Additionals July 2026</t>
        </is>
      </c>
      <c r="H10" s="24" t="inlineStr">
        <is>
          <t>Onsite</t>
        </is>
      </c>
      <c r="I10" s="24" t="inlineStr">
        <is>
          <t>ONSITE</t>
        </is>
      </c>
      <c r="J10" s="24" t="inlineStr">
        <is>
          <t>Contract</t>
        </is>
      </c>
      <c r="K10" s="24" t="inlineStr">
        <is>
          <t>GST 10%</t>
        </is>
      </c>
      <c r="L10" s="26" t="n">
        <v>1120</v>
      </c>
      <c r="M10" s="27">
        <f>IF(L10="","",IF(K10="GST 10%",ROUND(L10*set_GSTRate,2),0))</f>
        <v/>
      </c>
      <c r="N10" s="27">
        <f>IF(L10="","",L10+M10)</f>
        <v/>
      </c>
      <c r="O10" s="24" t="inlineStr">
        <is>
          <t>41100</t>
        </is>
      </c>
      <c r="P10" s="24" t="inlineStr">
        <is>
          <t>Y</t>
        </is>
      </c>
      <c r="Q10" s="24" t="inlineStr">
        <is>
          <t>N</t>
        </is>
      </c>
      <c r="R10" s="22" t="n"/>
      <c r="S10" s="22" t="n"/>
      <c r="T10" s="24" t="inlineStr">
        <is>
          <t>Invoiced</t>
        </is>
      </c>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v>46234</v>
      </c>
      <c r="B11" s="23">
        <f>IF(A11="","",EOMONTH(A11,0))</f>
        <v/>
      </c>
      <c r="C11" s="24" t="inlineStr">
        <is>
          <t>INV-10531</t>
        </is>
      </c>
      <c r="D11" s="24" t="inlineStr">
        <is>
          <t>PWC</t>
        </is>
      </c>
      <c r="E11" s="24" t="inlineStr">
        <is>
          <t>2488</t>
        </is>
      </c>
      <c r="F11" s="25">
        <f>IF(E11="","",IF(COUNTIF(lst_Jobs,E11&amp;"")&gt;0,"OK","CHECK"))</f>
        <v/>
      </c>
      <c r="G11" s="24" t="inlineStr">
        <is>
          <t>PWC Brisbane July 2026</t>
        </is>
      </c>
      <c r="H11" s="24" t="inlineStr">
        <is>
          <t>Onsite</t>
        </is>
      </c>
      <c r="I11" s="24" t="inlineStr">
        <is>
          <t>ONSITE</t>
        </is>
      </c>
      <c r="J11" s="24" t="inlineStr">
        <is>
          <t>Contract</t>
        </is>
      </c>
      <c r="K11" s="24" t="inlineStr">
        <is>
          <t>GST 10%</t>
        </is>
      </c>
      <c r="L11" s="26" t="n">
        <v>7150</v>
      </c>
      <c r="M11" s="27">
        <f>IF(L11="","",IF(K11="GST 10%",ROUND(L11*set_GSTRate,2),0))</f>
        <v/>
      </c>
      <c r="N11" s="27">
        <f>IF(L11="","",L11+M11)</f>
        <v/>
      </c>
      <c r="O11" s="24" t="inlineStr">
        <is>
          <t>41100</t>
        </is>
      </c>
      <c r="P11" s="24" t="inlineStr">
        <is>
          <t>Y</t>
        </is>
      </c>
      <c r="Q11" s="24" t="inlineStr">
        <is>
          <t>N</t>
        </is>
      </c>
      <c r="R11" s="22" t="n"/>
      <c r="S11" s="22" t="n"/>
      <c r="T11" s="24" t="inlineStr">
        <is>
          <t>Invoiced</t>
        </is>
      </c>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v>46234</v>
      </c>
      <c r="B12" s="23">
        <f>IF(A12="","",EOMONTH(A12,0))</f>
        <v/>
      </c>
      <c r="C12" s="24" t="inlineStr">
        <is>
          <t>INV-10532</t>
        </is>
      </c>
      <c r="D12" s="24" t="inlineStr">
        <is>
          <t>Gen-E</t>
        </is>
      </c>
      <c r="E12" s="24" t="inlineStr">
        <is>
          <t>26021602</t>
        </is>
      </c>
      <c r="F12" s="25">
        <f>IF(E12="","",IF(COUNTIF(lst_Jobs,E12&amp;"")&gt;0,"OK","CHECK"))</f>
        <v/>
      </c>
      <c r="G12" s="24" t="inlineStr">
        <is>
          <t>Gen-E ABS July 2026</t>
        </is>
      </c>
      <c r="H12" s="24" t="inlineStr">
        <is>
          <t>Onsite</t>
        </is>
      </c>
      <c r="I12" s="24" t="inlineStr">
        <is>
          <t>ONSITE</t>
        </is>
      </c>
      <c r="J12" s="24" t="inlineStr">
        <is>
          <t>Contract</t>
        </is>
      </c>
      <c r="K12" s="24" t="inlineStr">
        <is>
          <t>GST 10%</t>
        </is>
      </c>
      <c r="L12" s="26" t="n">
        <v>12388.8</v>
      </c>
      <c r="M12" s="27">
        <f>IF(L12="","",IF(K12="GST 10%",ROUND(L12*set_GSTRate,2),0))</f>
        <v/>
      </c>
      <c r="N12" s="27">
        <f>IF(L12="","",L12+M12)</f>
        <v/>
      </c>
      <c r="O12" s="24" t="inlineStr">
        <is>
          <t>41100</t>
        </is>
      </c>
      <c r="P12" s="24" t="inlineStr">
        <is>
          <t>Y</t>
        </is>
      </c>
      <c r="Q12" s="24" t="inlineStr">
        <is>
          <t>N</t>
        </is>
      </c>
      <c r="R12" s="22" t="n"/>
      <c r="S12" s="22" t="n"/>
      <c r="T12" s="24" t="inlineStr">
        <is>
          <t>Invoiced</t>
        </is>
      </c>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v>46234</v>
      </c>
      <c r="B13" s="23">
        <f>IF(A13="","",EOMONTH(A13,0))</f>
        <v/>
      </c>
      <c r="C13" s="24" t="inlineStr">
        <is>
          <t>INV-10534</t>
        </is>
      </c>
      <c r="D13" s="24" t="inlineStr">
        <is>
          <t>CBA</t>
        </is>
      </c>
      <c r="E13" s="24" t="inlineStr">
        <is>
          <t>26043001</t>
        </is>
      </c>
      <c r="F13" s="25">
        <f>IF(E13="","",IF(COUNTIF(lst_Jobs,E13&amp;"")&gt;0,"OK","CHECK"))</f>
        <v/>
      </c>
      <c r="G13" s="24" t="inlineStr">
        <is>
          <t>CBA Mel July 2026</t>
        </is>
      </c>
      <c r="H13" s="24" t="inlineStr">
        <is>
          <t>Onsite</t>
        </is>
      </c>
      <c r="I13" s="24" t="inlineStr">
        <is>
          <t>ONSITE</t>
        </is>
      </c>
      <c r="J13" s="24" t="inlineStr">
        <is>
          <t>Contract</t>
        </is>
      </c>
      <c r="K13" s="24" t="inlineStr">
        <is>
          <t>GST 10%</t>
        </is>
      </c>
      <c r="L13" s="26" t="n">
        <v>11377.12</v>
      </c>
      <c r="M13" s="27">
        <f>IF(L13="","",IF(K13="GST 10%",ROUND(L13*set_GSTRate,2),0))</f>
        <v/>
      </c>
      <c r="N13" s="27">
        <f>IF(L13="","",L13+M13)</f>
        <v/>
      </c>
      <c r="O13" s="24" t="inlineStr">
        <is>
          <t>41100</t>
        </is>
      </c>
      <c r="P13" s="24" t="inlineStr">
        <is>
          <t>Y</t>
        </is>
      </c>
      <c r="Q13" s="24" t="inlineStr">
        <is>
          <t>N</t>
        </is>
      </c>
      <c r="R13" s="22" t="n"/>
      <c r="S13" s="22" t="n"/>
      <c r="T13" s="24" t="inlineStr">
        <is>
          <t>Invoiced</t>
        </is>
      </c>
      <c r="U13" s="24" t="inlineStr">
        <is>
          <t>Deduct 8hrs CN for 03/07</t>
        </is>
      </c>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v>46234</v>
      </c>
      <c r="B14" s="23">
        <f>IF(A14="","",EOMONTH(A14,0))</f>
        <v/>
      </c>
      <c r="C14" s="24" t="inlineStr">
        <is>
          <t>INV-10535</t>
        </is>
      </c>
      <c r="D14" s="24" t="inlineStr">
        <is>
          <t>PWC</t>
        </is>
      </c>
      <c r="E14" s="24" t="inlineStr">
        <is>
          <t>25101301B</t>
        </is>
      </c>
      <c r="F14" s="25">
        <f>IF(E14="","",IF(COUNTIF(lst_Jobs,E14&amp;"")&gt;0,"OK","CHECK"))</f>
        <v/>
      </c>
      <c r="G14" s="24" t="inlineStr">
        <is>
          <t>PWC Sydney IT July 2026</t>
        </is>
      </c>
      <c r="H14" s="24" t="inlineStr">
        <is>
          <t>Onsite</t>
        </is>
      </c>
      <c r="I14" s="24" t="inlineStr">
        <is>
          <t>ONSITE</t>
        </is>
      </c>
      <c r="J14" s="24" t="inlineStr">
        <is>
          <t>Contract</t>
        </is>
      </c>
      <c r="K14" s="24" t="inlineStr">
        <is>
          <t>GST 10%</t>
        </is>
      </c>
      <c r="L14" s="26" t="n">
        <v>11907</v>
      </c>
      <c r="M14" s="27">
        <f>IF(L14="","",IF(K14="GST 10%",ROUND(L14*set_GSTRate,2),0))</f>
        <v/>
      </c>
      <c r="N14" s="27">
        <f>IF(L14="","",L14+M14)</f>
        <v/>
      </c>
      <c r="O14" s="24" t="inlineStr">
        <is>
          <t>41100</t>
        </is>
      </c>
      <c r="P14" s="24" t="inlineStr">
        <is>
          <t>Y</t>
        </is>
      </c>
      <c r="Q14" s="24" t="inlineStr">
        <is>
          <t>N</t>
        </is>
      </c>
      <c r="R14" s="22" t="n"/>
      <c r="S14" s="22" t="n"/>
      <c r="T14" s="24" t="inlineStr">
        <is>
          <t>Invoiced</t>
        </is>
      </c>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v>46234</v>
      </c>
      <c r="B15" s="23">
        <f>IF(A15="","",EOMONTH(A15,0))</f>
        <v/>
      </c>
      <c r="C15" s="24" t="inlineStr">
        <is>
          <t>INV-10536</t>
        </is>
      </c>
      <c r="D15" s="24" t="inlineStr">
        <is>
          <t>RICOH</t>
        </is>
      </c>
      <c r="E15" s="24" t="inlineStr">
        <is>
          <t>2880</t>
        </is>
      </c>
      <c r="F15" s="25">
        <f>IF(E15="","",IF(COUNTIF(lst_Jobs,E15&amp;"")&gt;0,"OK","CHECK"))</f>
        <v/>
      </c>
      <c r="G15" s="24" t="inlineStr">
        <is>
          <t>Ricoh Contract July 2026</t>
        </is>
      </c>
      <c r="H15" s="24" t="inlineStr">
        <is>
          <t>Onsite</t>
        </is>
      </c>
      <c r="I15" s="24" t="inlineStr">
        <is>
          <t>ONSITE</t>
        </is>
      </c>
      <c r="J15" s="24" t="inlineStr">
        <is>
          <t>Contract</t>
        </is>
      </c>
      <c r="K15" s="24" t="inlineStr">
        <is>
          <t>GST 10%</t>
        </is>
      </c>
      <c r="L15" s="26" t="n">
        <v>11860.5</v>
      </c>
      <c r="M15" s="27">
        <f>IF(L15="","",IF(K15="GST 10%",ROUND(L15*set_GSTRate,2),0))</f>
        <v/>
      </c>
      <c r="N15" s="27">
        <f>IF(L15="","",L15+M15)</f>
        <v/>
      </c>
      <c r="O15" s="24" t="inlineStr">
        <is>
          <t>41100</t>
        </is>
      </c>
      <c r="P15" s="24" t="inlineStr">
        <is>
          <t>Y</t>
        </is>
      </c>
      <c r="Q15" s="24" t="inlineStr">
        <is>
          <t>N</t>
        </is>
      </c>
      <c r="R15" s="22" t="n"/>
      <c r="S15" s="22" t="n"/>
      <c r="T15" s="24" t="inlineStr">
        <is>
          <t>Invoiced</t>
        </is>
      </c>
      <c r="U15" s="24" t="inlineStr">
        <is>
          <t>2 months extension</t>
        </is>
      </c>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v>46234</v>
      </c>
      <c r="B16" s="23">
        <f>IF(A16="","",EOMONTH(A16,0))</f>
        <v/>
      </c>
      <c r="C16" s="24" t="inlineStr">
        <is>
          <t>INV-10537</t>
        </is>
      </c>
      <c r="D16" s="24" t="inlineStr">
        <is>
          <t>PWC</t>
        </is>
      </c>
      <c r="E16" s="24" t="n"/>
      <c r="F16" s="25">
        <f>IF(E16="","",IF(COUNTIF(lst_Jobs,E16&amp;"")&gt;0,"OK","CHECK"))</f>
        <v/>
      </c>
      <c r="G16" s="24" t="inlineStr">
        <is>
          <t>PWC Dedicated Tech 29/07/2026</t>
        </is>
      </c>
      <c r="H16" s="24" t="inlineStr">
        <is>
          <t>Onsite</t>
        </is>
      </c>
      <c r="I16" s="24" t="inlineStr">
        <is>
          <t>ONSITE</t>
        </is>
      </c>
      <c r="J16" s="24" t="inlineStr">
        <is>
          <t>Contract</t>
        </is>
      </c>
      <c r="K16" s="24" t="inlineStr">
        <is>
          <t>GST 10%</t>
        </is>
      </c>
      <c r="L16" s="26" t="n">
        <v>340</v>
      </c>
      <c r="M16" s="27">
        <f>IF(L16="","",IF(K16="GST 10%",ROUND(L16*set_GSTRate,2),0))</f>
        <v/>
      </c>
      <c r="N16" s="27">
        <f>IF(L16="","",L16+M16)</f>
        <v/>
      </c>
      <c r="O16" s="24" t="inlineStr">
        <is>
          <t>41100</t>
        </is>
      </c>
      <c r="P16" s="24" t="inlineStr">
        <is>
          <t>Y</t>
        </is>
      </c>
      <c r="Q16" s="24" t="inlineStr">
        <is>
          <t>N</t>
        </is>
      </c>
      <c r="R16" s="22" t="n"/>
      <c r="S16" s="22" t="n"/>
      <c r="T16" s="24" t="inlineStr">
        <is>
          <t>Invoiced</t>
        </is>
      </c>
      <c r="U16" s="24" t="inlineStr">
        <is>
          <t>29/07/2026 4hours</t>
        </is>
      </c>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v>46234</v>
      </c>
      <c r="B17" s="23">
        <f>IF(A17="","",EOMONTH(A17,0))</f>
        <v/>
      </c>
      <c r="C17" s="24" t="inlineStr">
        <is>
          <t>INV-10541</t>
        </is>
      </c>
      <c r="D17" s="24" t="inlineStr">
        <is>
          <t>APN</t>
        </is>
      </c>
      <c r="E17" s="24" t="inlineStr">
        <is>
          <t>3056</t>
        </is>
      </c>
      <c r="F17" s="25">
        <f>IF(E17="","",IF(COUNTIF(lst_Jobs,E17&amp;"")&gt;0,"OK","CHECK"))</f>
        <v/>
      </c>
      <c r="G17" s="24" t="inlineStr">
        <is>
          <t>APN Tech Support July 22 &amp; 24</t>
        </is>
      </c>
      <c r="H17" s="24" t="inlineStr">
        <is>
          <t>Onsite</t>
        </is>
      </c>
      <c r="I17" s="24" t="inlineStr">
        <is>
          <t>ONSITE</t>
        </is>
      </c>
      <c r="J17" s="24" t="inlineStr">
        <is>
          <t>Contract</t>
        </is>
      </c>
      <c r="K17" s="24" t="inlineStr">
        <is>
          <t>GST 10%</t>
        </is>
      </c>
      <c r="L17" s="26" t="n">
        <v>680</v>
      </c>
      <c r="M17" s="27">
        <f>IF(L17="","",IF(K17="GST 10%",ROUND(L17*set_GSTRate,2),0))</f>
        <v/>
      </c>
      <c r="N17" s="27">
        <f>IF(L17="","",L17+M17)</f>
        <v/>
      </c>
      <c r="O17" s="24" t="inlineStr">
        <is>
          <t>41100</t>
        </is>
      </c>
      <c r="P17" s="24" t="inlineStr">
        <is>
          <t>Y</t>
        </is>
      </c>
      <c r="Q17" s="24" t="inlineStr">
        <is>
          <t>N</t>
        </is>
      </c>
      <c r="R17" s="22" t="n"/>
      <c r="S17" s="22" t="n"/>
      <c r="T17" s="24" t="inlineStr">
        <is>
          <t>Invoiced</t>
        </is>
      </c>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v>46234</v>
      </c>
      <c r="B18" s="23">
        <f>IF(A18="","",EOMONTH(A18,0))</f>
        <v/>
      </c>
      <c r="C18" s="24" t="inlineStr">
        <is>
          <t>INV-10539</t>
        </is>
      </c>
      <c r="D18" s="24" t="inlineStr">
        <is>
          <t>PWC</t>
        </is>
      </c>
      <c r="E18" s="24" t="inlineStr">
        <is>
          <t>20250731</t>
        </is>
      </c>
      <c r="F18" s="25">
        <f>IF(E18="","",IF(COUNTIF(lst_Jobs,E18&amp;"")&gt;0,"OK","CHECK"))</f>
        <v/>
      </c>
      <c r="G18" s="24" t="inlineStr">
        <is>
          <t>PWC Pool of Hours (50 hours)</t>
        </is>
      </c>
      <c r="H18" s="24" t="inlineStr">
        <is>
          <t>Onsite</t>
        </is>
      </c>
      <c r="I18" s="24" t="inlineStr">
        <is>
          <t>ONSITE</t>
        </is>
      </c>
      <c r="J18" s="24" t="inlineStr">
        <is>
          <t>Contract</t>
        </is>
      </c>
      <c r="K18" s="24" t="inlineStr">
        <is>
          <t>GST 10%</t>
        </is>
      </c>
      <c r="L18" s="26" t="n">
        <v>4250</v>
      </c>
      <c r="M18" s="27">
        <f>IF(L18="","",IF(K18="GST 10%",ROUND(L18*set_GSTRate,2),0))</f>
        <v/>
      </c>
      <c r="N18" s="27">
        <f>IF(L18="","",L18+M18)</f>
        <v/>
      </c>
      <c r="O18" s="24" t="inlineStr">
        <is>
          <t>41100</t>
        </is>
      </c>
      <c r="P18" s="24" t="inlineStr">
        <is>
          <t>Y</t>
        </is>
      </c>
      <c r="Q18" s="24" t="inlineStr">
        <is>
          <t>N</t>
        </is>
      </c>
      <c r="R18" s="22" t="n"/>
      <c r="S18" s="22" t="n"/>
      <c r="T18" s="24" t="inlineStr">
        <is>
          <t>Invoiced</t>
        </is>
      </c>
      <c r="U18" s="24" t="inlineStr">
        <is>
          <t>PO2601703215</t>
        </is>
      </c>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v>46234</v>
      </c>
      <c r="B19" s="23">
        <f>IF(A19="","",EOMONTH(A19,0))</f>
        <v/>
      </c>
      <c r="C19" s="24" t="inlineStr">
        <is>
          <t>INV-10542</t>
        </is>
      </c>
      <c r="D19" s="24" t="inlineStr">
        <is>
          <t>CBA</t>
        </is>
      </c>
      <c r="E19" s="24" t="inlineStr">
        <is>
          <t>1668</t>
        </is>
      </c>
      <c r="F19" s="25">
        <f>IF(E19="","",IF(COUNTIF(lst_Jobs,E19&amp;"")&gt;0,"OK","CHECK"))</f>
        <v/>
      </c>
      <c r="G19" s="24" t="inlineStr">
        <is>
          <t>AH Support 02/07/2026</t>
        </is>
      </c>
      <c r="H19" s="24" t="inlineStr">
        <is>
          <t>Onsite</t>
        </is>
      </c>
      <c r="I19" s="24" t="inlineStr">
        <is>
          <t>ONSITE</t>
        </is>
      </c>
      <c r="J19" s="24" t="inlineStr">
        <is>
          <t>Contract</t>
        </is>
      </c>
      <c r="K19" s="24" t="inlineStr">
        <is>
          <t>GST 10%</t>
        </is>
      </c>
      <c r="L19" s="26" t="n">
        <v>180</v>
      </c>
      <c r="M19" s="27">
        <f>IF(L19="","",IF(K19="GST 10%",ROUND(L19*set_GSTRate,2),0))</f>
        <v/>
      </c>
      <c r="N19" s="27">
        <f>IF(L19="","",L19+M19)</f>
        <v/>
      </c>
      <c r="O19" s="24" t="inlineStr">
        <is>
          <t>41100</t>
        </is>
      </c>
      <c r="P19" s="24" t="inlineStr">
        <is>
          <t>Y</t>
        </is>
      </c>
      <c r="Q19" s="24" t="inlineStr">
        <is>
          <t>N</t>
        </is>
      </c>
      <c r="R19" s="22" t="n"/>
      <c r="S19" s="22" t="n"/>
      <c r="T19" s="24" t="inlineStr">
        <is>
          <t>Invoiced</t>
        </is>
      </c>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v>46234</v>
      </c>
      <c r="B20" s="23">
        <f>IF(A20="","",EOMONTH(A20,0))</f>
        <v/>
      </c>
      <c r="C20" s="24" t="inlineStr">
        <is>
          <t>INV-10543</t>
        </is>
      </c>
      <c r="D20" s="24" t="inlineStr">
        <is>
          <t>CBA</t>
        </is>
      </c>
      <c r="E20" s="24" t="inlineStr">
        <is>
          <t>1668</t>
        </is>
      </c>
      <c r="F20" s="25">
        <f>IF(E20="","",IF(COUNTIF(lst_Jobs,E20&amp;"")&gt;0,"OK","CHECK"))</f>
        <v/>
      </c>
      <c r="G20" s="24" t="inlineStr">
        <is>
          <t>DT Support 02/07/2026</t>
        </is>
      </c>
      <c r="H20" s="24" t="inlineStr">
        <is>
          <t>Onsite</t>
        </is>
      </c>
      <c r="I20" s="24" t="inlineStr">
        <is>
          <t>ONSITE</t>
        </is>
      </c>
      <c r="J20" s="24" t="inlineStr">
        <is>
          <t>Contract</t>
        </is>
      </c>
      <c r="K20" s="24" t="inlineStr">
        <is>
          <t>GST 10%</t>
        </is>
      </c>
      <c r="L20" s="26" t="n">
        <v>425</v>
      </c>
      <c r="M20" s="27">
        <f>IF(L20="","",IF(K20="GST 10%",ROUND(L20*set_GSTRate,2),0))</f>
        <v/>
      </c>
      <c r="N20" s="27">
        <f>IF(L20="","",L20+M20)</f>
        <v/>
      </c>
      <c r="O20" s="24" t="inlineStr">
        <is>
          <t>41100</t>
        </is>
      </c>
      <c r="P20" s="24" t="inlineStr">
        <is>
          <t>Y</t>
        </is>
      </c>
      <c r="Q20" s="24" t="inlineStr">
        <is>
          <t>N</t>
        </is>
      </c>
      <c r="R20" s="22" t="n"/>
      <c r="S20" s="22" t="n"/>
      <c r="T20" s="24" t="inlineStr">
        <is>
          <t>Invoiced</t>
        </is>
      </c>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v>46234</v>
      </c>
      <c r="B21" s="23">
        <f>IF(A21="","",EOMONTH(A21,0))</f>
        <v/>
      </c>
      <c r="C21" s="24" t="inlineStr">
        <is>
          <t>INV-10544</t>
        </is>
      </c>
      <c r="D21" s="24" t="inlineStr">
        <is>
          <t>CBA</t>
        </is>
      </c>
      <c r="E21" s="24" t="inlineStr">
        <is>
          <t>1668</t>
        </is>
      </c>
      <c r="F21" s="25">
        <f>IF(E21="","",IF(COUNTIF(lst_Jobs,E21&amp;"")&gt;0,"OK","CHECK"))</f>
        <v/>
      </c>
      <c r="G21" s="24" t="inlineStr">
        <is>
          <t>DT Support 23/07/2026</t>
        </is>
      </c>
      <c r="H21" s="24" t="inlineStr">
        <is>
          <t>Onsite</t>
        </is>
      </c>
      <c r="I21" s="24" t="inlineStr">
        <is>
          <t>ONSITE</t>
        </is>
      </c>
      <c r="J21" s="24" t="inlineStr">
        <is>
          <t>Contract</t>
        </is>
      </c>
      <c r="K21" s="24" t="inlineStr">
        <is>
          <t>GST 10%</t>
        </is>
      </c>
      <c r="L21" s="26" t="n">
        <v>510</v>
      </c>
      <c r="M21" s="27">
        <f>IF(L21="","",IF(K21="GST 10%",ROUND(L21*set_GSTRate,2),0))</f>
        <v/>
      </c>
      <c r="N21" s="27">
        <f>IF(L21="","",L21+M21)</f>
        <v/>
      </c>
      <c r="O21" s="24" t="inlineStr">
        <is>
          <t>41100</t>
        </is>
      </c>
      <c r="P21" s="24" t="inlineStr">
        <is>
          <t>Y</t>
        </is>
      </c>
      <c r="Q21" s="24" t="inlineStr">
        <is>
          <t>N</t>
        </is>
      </c>
      <c r="R21" s="22" t="n"/>
      <c r="S21" s="22" t="n"/>
      <c r="T21" s="24" t="inlineStr">
        <is>
          <t>Invoiced</t>
        </is>
      </c>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v>46233</v>
      </c>
      <c r="B22" s="23">
        <f>IF(A22="","",EOMONTH(A22,0))</f>
        <v/>
      </c>
      <c r="C22" s="24" t="inlineStr">
        <is>
          <t>INV-10545</t>
        </is>
      </c>
      <c r="D22" s="24" t="inlineStr">
        <is>
          <t>PWC</t>
        </is>
      </c>
      <c r="E22" s="24" t="inlineStr">
        <is>
          <t>2540</t>
        </is>
      </c>
      <c r="F22" s="25">
        <f>IF(E22="","",IF(COUNTIF(lst_Jobs,E22&amp;"")&gt;0,"OK","CHECK"))</f>
        <v/>
      </c>
      <c r="G22" s="24" t="inlineStr">
        <is>
          <t>PWC Dedicated Tech 30/07/2026</t>
        </is>
      </c>
      <c r="H22" s="24" t="inlineStr">
        <is>
          <t>Onsite</t>
        </is>
      </c>
      <c r="I22" s="24" t="inlineStr">
        <is>
          <t>ONSITE</t>
        </is>
      </c>
      <c r="J22" s="24" t="inlineStr">
        <is>
          <t>Contract</t>
        </is>
      </c>
      <c r="K22" s="24" t="inlineStr">
        <is>
          <t>GST 10%</t>
        </is>
      </c>
      <c r="L22" s="26" t="n">
        <v>340</v>
      </c>
      <c r="M22" s="27">
        <f>IF(L22="","",IF(K22="GST 10%",ROUND(L22*set_GSTRate,2),0))</f>
        <v/>
      </c>
      <c r="N22" s="27">
        <f>IF(L22="","",L22+M22)</f>
        <v/>
      </c>
      <c r="O22" s="24" t="inlineStr">
        <is>
          <t>41100</t>
        </is>
      </c>
      <c r="P22" s="24" t="inlineStr">
        <is>
          <t>Y</t>
        </is>
      </c>
      <c r="Q22" s="24" t="inlineStr">
        <is>
          <t>N</t>
        </is>
      </c>
      <c r="R22" s="22" t="n"/>
      <c r="S22" s="22" t="n"/>
      <c r="T22" s="24" t="inlineStr">
        <is>
          <t>Invoiced</t>
        </is>
      </c>
      <c r="U22" s="24" t="inlineStr">
        <is>
          <t>PO2601703274</t>
        </is>
      </c>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v>46233</v>
      </c>
      <c r="B23" s="23">
        <f>IF(A23="","",EOMONTH(A23,0))</f>
        <v/>
      </c>
      <c r="C23" s="24" t="inlineStr">
        <is>
          <t>INV-10546</t>
        </is>
      </c>
      <c r="D23" s="24" t="inlineStr">
        <is>
          <t>DTTL</t>
        </is>
      </c>
      <c r="E23" s="24" t="inlineStr">
        <is>
          <t>26062501/2347</t>
        </is>
      </c>
      <c r="F23" s="25">
        <f>IF(E23="","",IF(COUNTIF(lst_Jobs,E23&amp;"")&gt;0,"OK","CHECK"))</f>
        <v/>
      </c>
      <c r="G23" s="24" t="inlineStr">
        <is>
          <t>DH Travel 06-07/07 &amp; Ad-hoc Tech Support 30/07 &amp; Market Shapers</t>
        </is>
      </c>
      <c r="H23" s="24" t="inlineStr">
        <is>
          <t>Onsite</t>
        </is>
      </c>
      <c r="I23" s="24" t="inlineStr">
        <is>
          <t>ONSITE</t>
        </is>
      </c>
      <c r="J23" s="24" t="inlineStr">
        <is>
          <t>Contract</t>
        </is>
      </c>
      <c r="K23" s="24" t="inlineStr">
        <is>
          <t>GST 10%</t>
        </is>
      </c>
      <c r="L23" s="26" t="n">
        <v>1672.5</v>
      </c>
      <c r="M23" s="27">
        <f>IF(L23="","",IF(K23="GST 10%",ROUND(L23*set_GSTRate,2),0))</f>
        <v/>
      </c>
      <c r="N23" s="27">
        <f>IF(L23="","",L23+M23)</f>
        <v/>
      </c>
      <c r="O23" s="24" t="inlineStr">
        <is>
          <t>41100</t>
        </is>
      </c>
      <c r="P23" s="24" t="inlineStr">
        <is>
          <t>Y</t>
        </is>
      </c>
      <c r="Q23" s="24" t="inlineStr">
        <is>
          <t>N</t>
        </is>
      </c>
      <c r="R23" s="22" t="n"/>
      <c r="S23" s="22" t="n"/>
      <c r="T23" s="24" t="inlineStr">
        <is>
          <t>Invoiced</t>
        </is>
      </c>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v>46233</v>
      </c>
      <c r="B24" s="23">
        <f>IF(A24="","",EOMONTH(A24,0))</f>
        <v/>
      </c>
      <c r="C24" s="24" t="inlineStr">
        <is>
          <t>INV-10550</t>
        </is>
      </c>
      <c r="D24" s="24" t="inlineStr">
        <is>
          <t>APN</t>
        </is>
      </c>
      <c r="E24" s="24" t="inlineStr">
        <is>
          <t>2026021101</t>
        </is>
      </c>
      <c r="F24" s="25">
        <f>IF(E24="","",IF(COUNTIF(lst_Jobs,E24&amp;"")&gt;0,"OK","CHECK"))</f>
        <v/>
      </c>
      <c r="G24" s="24" t="inlineStr">
        <is>
          <t>APN Quarterly AV Support</t>
        </is>
      </c>
      <c r="H24" s="24" t="inlineStr">
        <is>
          <t>Onsite</t>
        </is>
      </c>
      <c r="I24" s="24" t="inlineStr">
        <is>
          <t>ONSITE</t>
        </is>
      </c>
      <c r="J24" s="24" t="inlineStr">
        <is>
          <t>Contract</t>
        </is>
      </c>
      <c r="K24" s="24" t="inlineStr">
        <is>
          <t>GST 10%</t>
        </is>
      </c>
      <c r="L24" s="26" t="n">
        <v>1670</v>
      </c>
      <c r="M24" s="27">
        <f>IF(L24="","",IF(K24="GST 10%",ROUND(L24*set_GSTRate,2),0))</f>
        <v/>
      </c>
      <c r="N24" s="27">
        <f>IF(L24="","",L24+M24)</f>
        <v/>
      </c>
      <c r="O24" s="24" t="inlineStr">
        <is>
          <t>41100</t>
        </is>
      </c>
      <c r="P24" s="24" t="inlineStr">
        <is>
          <t>Y</t>
        </is>
      </c>
      <c r="Q24" s="24" t="inlineStr">
        <is>
          <t>N</t>
        </is>
      </c>
      <c r="R24" s="22" t="n"/>
      <c r="S24" s="22" t="n"/>
      <c r="T24" s="24" t="inlineStr">
        <is>
          <t>Invoiced</t>
        </is>
      </c>
      <c r="U24" s="24" t="inlineStr">
        <is>
          <t>Invoice 1/2</t>
        </is>
      </c>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v>46234</v>
      </c>
      <c r="B25" s="23">
        <f>IF(A25="","",EOMONTH(A25,0))</f>
        <v/>
      </c>
      <c r="C25" s="24" t="inlineStr">
        <is>
          <t>INV-10551</t>
        </is>
      </c>
      <c r="D25" s="24" t="inlineStr">
        <is>
          <t>Aware Super</t>
        </is>
      </c>
      <c r="E25" s="24" t="inlineStr">
        <is>
          <t>26022301</t>
        </is>
      </c>
      <c r="F25" s="25">
        <f>IF(E25="","",IF(COUNTIF(lst_Jobs,E25&amp;"")&gt;0,"OK","CHECK"))</f>
        <v/>
      </c>
      <c r="G25" s="24" t="inlineStr">
        <is>
          <t>Aware Super Contract July 2026</t>
        </is>
      </c>
      <c r="H25" s="24" t="inlineStr">
        <is>
          <t>Onsite</t>
        </is>
      </c>
      <c r="I25" s="24" t="inlineStr">
        <is>
          <t>ONSITE</t>
        </is>
      </c>
      <c r="J25" s="24" t="inlineStr">
        <is>
          <t>Contract</t>
        </is>
      </c>
      <c r="K25" s="24" t="inlineStr">
        <is>
          <t>GST 10%</t>
        </is>
      </c>
      <c r="L25" s="26" t="n">
        <v>11000</v>
      </c>
      <c r="M25" s="27">
        <f>IF(L25="","",IF(K25="GST 10%",ROUND(L25*set_GSTRate,2),0))</f>
        <v/>
      </c>
      <c r="N25" s="27">
        <f>IF(L25="","",L25+M25)</f>
        <v/>
      </c>
      <c r="O25" s="24" t="inlineStr">
        <is>
          <t>41100</t>
        </is>
      </c>
      <c r="P25" s="24" t="inlineStr">
        <is>
          <t>Y</t>
        </is>
      </c>
      <c r="Q25" s="24" t="inlineStr">
        <is>
          <t>N</t>
        </is>
      </c>
      <c r="R25" s="22" t="n"/>
      <c r="S25" s="22" t="n"/>
      <c r="T25" s="24" t="inlineStr">
        <is>
          <t>Invoiced</t>
        </is>
      </c>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v>46265</v>
      </c>
      <c r="B26" s="23">
        <f>IF(A26="","",EOMONTH(A26,0))</f>
        <v/>
      </c>
      <c r="C26" s="24" t="inlineStr">
        <is>
          <t>INV-10597</t>
        </is>
      </c>
      <c r="D26" s="24" t="inlineStr">
        <is>
          <t>DTTL</t>
        </is>
      </c>
      <c r="E26" s="24" t="inlineStr">
        <is>
          <t>2608502</t>
        </is>
      </c>
      <c r="F26" s="25">
        <f>IF(E26="","",IF(COUNTIF(lst_Jobs,E26&amp;"")&gt;0,"OK","CHECK"))</f>
        <v/>
      </c>
      <c r="G26" s="24" t="inlineStr">
        <is>
          <t>DTTL Additionals August 2026</t>
        </is>
      </c>
      <c r="H26" s="24" t="inlineStr">
        <is>
          <t>Onsite</t>
        </is>
      </c>
      <c r="I26" s="24" t="inlineStr">
        <is>
          <t>ONSITE</t>
        </is>
      </c>
      <c r="J26" s="24" t="inlineStr">
        <is>
          <t>Contract</t>
        </is>
      </c>
      <c r="K26" s="24" t="inlineStr">
        <is>
          <t>GST 10%</t>
        </is>
      </c>
      <c r="L26" s="26" t="n">
        <v>1275</v>
      </c>
      <c r="M26" s="27">
        <f>IF(L26="","",IF(K26="GST 10%",ROUND(L26*set_GSTRate,2),0))</f>
        <v/>
      </c>
      <c r="N26" s="27">
        <f>IF(L26="","",L26+M26)</f>
        <v/>
      </c>
      <c r="O26" s="24" t="inlineStr">
        <is>
          <t>41100</t>
        </is>
      </c>
      <c r="P26" s="24" t="inlineStr">
        <is>
          <t>Y</t>
        </is>
      </c>
      <c r="Q26" s="24" t="inlineStr">
        <is>
          <t>N</t>
        </is>
      </c>
      <c r="R26" s="22" t="n"/>
      <c r="S26" s="22" t="n"/>
      <c r="T26" s="24" t="inlineStr">
        <is>
          <t>Invoiced</t>
        </is>
      </c>
      <c r="U26" s="24" t="inlineStr">
        <is>
          <t>8419.62 differe from invoice amount</t>
        </is>
      </c>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v>46265</v>
      </c>
      <c r="B27" s="23">
        <f>IF(A27="","",EOMONTH(A27,0))</f>
        <v/>
      </c>
      <c r="C27" s="24" t="inlineStr">
        <is>
          <t>INV-10598</t>
        </is>
      </c>
      <c r="D27" s="24" t="inlineStr">
        <is>
          <t>PWC</t>
        </is>
      </c>
      <c r="E27" s="24" t="inlineStr">
        <is>
          <t>26073102</t>
        </is>
      </c>
      <c r="F27" s="25">
        <f>IF(E27="","",IF(COUNTIF(lst_Jobs,E27&amp;"")&gt;0,"OK","CHECK"))</f>
        <v/>
      </c>
      <c r="G27" s="24" t="inlineStr">
        <is>
          <t>Pool of Hours - National AV/IT Support</t>
        </is>
      </c>
      <c r="H27" s="24" t="inlineStr">
        <is>
          <t>Onsite</t>
        </is>
      </c>
      <c r="I27" s="24" t="inlineStr">
        <is>
          <t>ONSITE</t>
        </is>
      </c>
      <c r="J27" s="24" t="inlineStr">
        <is>
          <t>Contract</t>
        </is>
      </c>
      <c r="K27" s="24" t="inlineStr">
        <is>
          <t>GST 10%</t>
        </is>
      </c>
      <c r="L27" s="26" t="n">
        <v>8500</v>
      </c>
      <c r="M27" s="27">
        <f>IF(L27="","",IF(K27="GST 10%",ROUND(L27*set_GSTRate,2),0))</f>
        <v/>
      </c>
      <c r="N27" s="27">
        <f>IF(L27="","",L27+M27)</f>
        <v/>
      </c>
      <c r="O27" s="24" t="inlineStr">
        <is>
          <t>41100</t>
        </is>
      </c>
      <c r="P27" s="24" t="inlineStr">
        <is>
          <t>Y</t>
        </is>
      </c>
      <c r="Q27" s="24" t="inlineStr">
        <is>
          <t>N</t>
        </is>
      </c>
      <c r="R27" s="22" t="n"/>
      <c r="S27" s="22" t="n"/>
      <c r="T27" s="24" t="inlineStr">
        <is>
          <t>Invoiced</t>
        </is>
      </c>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v>46265</v>
      </c>
      <c r="B28" s="23">
        <f>IF(A28="","",EOMONTH(A28,0))</f>
        <v/>
      </c>
      <c r="C28" s="24" t="inlineStr">
        <is>
          <t>INV-10565</t>
        </is>
      </c>
      <c r="D28" s="24" t="inlineStr">
        <is>
          <t>CBA</t>
        </is>
      </c>
      <c r="E28" s="24" t="inlineStr">
        <is>
          <t>1350</t>
        </is>
      </c>
      <c r="F28" s="25">
        <f>IF(E28="","",IF(COUNTIF(lst_Jobs,E28&amp;"")&gt;0,"OK","CHECK"))</f>
        <v/>
      </c>
      <c r="G28" s="24" t="inlineStr">
        <is>
          <t>CBA BNE August 2026</t>
        </is>
      </c>
      <c r="H28" s="24" t="inlineStr">
        <is>
          <t>Onsite</t>
        </is>
      </c>
      <c r="I28" s="24" t="inlineStr">
        <is>
          <t>ONSITE</t>
        </is>
      </c>
      <c r="J28" s="24" t="inlineStr">
        <is>
          <t>Contract</t>
        </is>
      </c>
      <c r="K28" s="24" t="inlineStr">
        <is>
          <t>GST 10%</t>
        </is>
      </c>
      <c r="L28" s="26" t="n">
        <v>8022.5</v>
      </c>
      <c r="M28" s="27">
        <f>IF(L28="","",IF(K28="GST 10%",ROUND(L28*set_GSTRate,2),0))</f>
        <v/>
      </c>
      <c r="N28" s="27">
        <f>IF(L28="","",L28+M28)</f>
        <v/>
      </c>
      <c r="O28" s="24" t="inlineStr">
        <is>
          <t>41100</t>
        </is>
      </c>
      <c r="P28" s="24" t="inlineStr">
        <is>
          <t>Y</t>
        </is>
      </c>
      <c r="Q28" s="24" t="inlineStr">
        <is>
          <t>N</t>
        </is>
      </c>
      <c r="R28" s="22" t="n"/>
      <c r="S28" s="22" t="n"/>
      <c r="T28" s="24" t="inlineStr">
        <is>
          <t>Invoiced</t>
        </is>
      </c>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inlineStr">
        <is>
          <t>CBA</t>
        </is>
      </c>
      <c r="E29" s="24" t="inlineStr">
        <is>
          <t>585/586/1755</t>
        </is>
      </c>
      <c r="F29" s="25">
        <f>IF(E29="","",IF(COUNTIF(lst_Jobs,E29&amp;"")&gt;0,"OK","CHECK"))</f>
        <v/>
      </c>
      <c r="G29" s="24" t="inlineStr">
        <is>
          <t>CBP August 2026</t>
        </is>
      </c>
      <c r="H29" s="24" t="inlineStr">
        <is>
          <t>Onsite</t>
        </is>
      </c>
      <c r="I29" s="24" t="inlineStr">
        <is>
          <t>ONSITE</t>
        </is>
      </c>
      <c r="J29" s="24" t="inlineStr">
        <is>
          <t>Contract</t>
        </is>
      </c>
      <c r="K29" s="24" t="inlineStr">
        <is>
          <t>GST 10%</t>
        </is>
      </c>
      <c r="L29" s="26" t="n"/>
      <c r="M29" s="27">
        <f>IF(L29="","",IF(K29="GST 10%",ROUND(L29*set_GSTRate,2),0))</f>
        <v/>
      </c>
      <c r="N29" s="27">
        <f>IF(L29="","",L29+M29)</f>
        <v/>
      </c>
      <c r="O29" s="24" t="inlineStr">
        <is>
          <t>41100</t>
        </is>
      </c>
      <c r="P29" s="24" t="inlineStr">
        <is>
          <t>N</t>
        </is>
      </c>
      <c r="Q29" s="24" t="inlineStr">
        <is>
          <t>N</t>
        </is>
      </c>
      <c r="R29" s="22" t="n"/>
      <c r="S29" s="22" t="n"/>
      <c r="T29" s="24" t="inlineStr">
        <is>
          <t>To Invoice</t>
        </is>
      </c>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inlineStr">
        <is>
          <t>CBA</t>
        </is>
      </c>
      <c r="E30" s="24" t="inlineStr">
        <is>
          <t>587</t>
        </is>
      </c>
      <c r="F30" s="25">
        <f>IF(E30="","",IF(COUNTIF(lst_Jobs,E30&amp;"")&gt;0,"OK","CHECK"))</f>
        <v/>
      </c>
      <c r="G30" s="24" t="inlineStr">
        <is>
          <t>CBS August 2026</t>
        </is>
      </c>
      <c r="H30" s="24" t="inlineStr">
        <is>
          <t>Onsite</t>
        </is>
      </c>
      <c r="I30" s="24" t="inlineStr">
        <is>
          <t>ONSITE</t>
        </is>
      </c>
      <c r="J30" s="24" t="inlineStr">
        <is>
          <t>Contract</t>
        </is>
      </c>
      <c r="K30" s="24" t="inlineStr">
        <is>
          <t>GST 10%</t>
        </is>
      </c>
      <c r="L30" s="26" t="n"/>
      <c r="M30" s="27">
        <f>IF(L30="","",IF(K30="GST 10%",ROUND(L30*set_GSTRate,2),0))</f>
        <v/>
      </c>
      <c r="N30" s="27">
        <f>IF(L30="","",L30+M30)</f>
        <v/>
      </c>
      <c r="O30" s="24" t="inlineStr">
        <is>
          <t>41100</t>
        </is>
      </c>
      <c r="P30" s="24" t="inlineStr">
        <is>
          <t>N</t>
        </is>
      </c>
      <c r="Q30" s="24" t="inlineStr">
        <is>
          <t>N</t>
        </is>
      </c>
      <c r="R30" s="22" t="n"/>
      <c r="S30" s="22" t="n"/>
      <c r="T30" s="24" t="inlineStr">
        <is>
          <t>To Invoice</t>
        </is>
      </c>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v>46265</v>
      </c>
      <c r="B31" s="23">
        <f>IF(A31="","",EOMONTH(A31,0))</f>
        <v/>
      </c>
      <c r="C31" s="24" t="inlineStr">
        <is>
          <t>INV-10569</t>
        </is>
      </c>
      <c r="D31" s="24" t="inlineStr">
        <is>
          <t>DTTL</t>
        </is>
      </c>
      <c r="E31" s="24" t="inlineStr">
        <is>
          <t>2846/1401/725/1400/1530/1862/2402/2849/974</t>
        </is>
      </c>
      <c r="F31" s="25">
        <f>IF(E31="","",IF(COUNTIF(lst_Jobs,E31&amp;"")&gt;0,"OK","CHECK"))</f>
        <v/>
      </c>
      <c r="G31" s="24" t="inlineStr">
        <is>
          <t>DTTL Contract August 2026</t>
        </is>
      </c>
      <c r="H31" s="24" t="inlineStr">
        <is>
          <t>Onsite</t>
        </is>
      </c>
      <c r="I31" s="24" t="inlineStr">
        <is>
          <t>ONSITE</t>
        </is>
      </c>
      <c r="J31" s="24" t="inlineStr">
        <is>
          <t>Contract</t>
        </is>
      </c>
      <c r="K31" s="24" t="inlineStr">
        <is>
          <t>GST 10%</t>
        </is>
      </c>
      <c r="L31" s="26" t="n">
        <v>103625.44</v>
      </c>
      <c r="M31" s="27">
        <f>IF(L31="","",IF(K31="GST 10%",ROUND(L31*set_GSTRate,2),0))</f>
        <v/>
      </c>
      <c r="N31" s="27">
        <f>IF(L31="","",L31+M31)</f>
        <v/>
      </c>
      <c r="O31" s="24" t="inlineStr">
        <is>
          <t>41100</t>
        </is>
      </c>
      <c r="P31" s="24" t="inlineStr">
        <is>
          <t>Y</t>
        </is>
      </c>
      <c r="Q31" s="24" t="inlineStr">
        <is>
          <t>N</t>
        </is>
      </c>
      <c r="R31" s="22" t="n"/>
      <c r="S31" s="22" t="n"/>
      <c r="T31" s="24" t="inlineStr">
        <is>
          <t>Invoiced</t>
        </is>
      </c>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v>46265</v>
      </c>
      <c r="B32" s="23">
        <f>IF(A32="","",EOMONTH(A32,0))</f>
        <v/>
      </c>
      <c r="C32" s="24" t="inlineStr">
        <is>
          <t>INV-10570</t>
        </is>
      </c>
      <c r="D32" s="24" t="inlineStr">
        <is>
          <t>BW</t>
        </is>
      </c>
      <c r="E32" s="24" t="inlineStr">
        <is>
          <t>732/1144</t>
        </is>
      </c>
      <c r="F32" s="25">
        <f>IF(E32="","",IF(COUNTIF(lst_Jobs,E32&amp;"")&gt;0,"OK","CHECK"))</f>
        <v/>
      </c>
      <c r="G32" s="24" t="inlineStr">
        <is>
          <t>BW Contract August 2026</t>
        </is>
      </c>
      <c r="H32" s="24" t="inlineStr">
        <is>
          <t>Onsite</t>
        </is>
      </c>
      <c r="I32" s="24" t="inlineStr">
        <is>
          <t>ONSITE</t>
        </is>
      </c>
      <c r="J32" s="24" t="inlineStr">
        <is>
          <t>Contract</t>
        </is>
      </c>
      <c r="K32" s="24" t="inlineStr">
        <is>
          <t>GST 10%</t>
        </is>
      </c>
      <c r="L32" s="26" t="n">
        <v>15113.75</v>
      </c>
      <c r="M32" s="27">
        <f>IF(L32="","",IF(K32="GST 10%",ROUND(L32*set_GSTRate,2),0))</f>
        <v/>
      </c>
      <c r="N32" s="27">
        <f>IF(L32="","",L32+M32)</f>
        <v/>
      </c>
      <c r="O32" s="24" t="inlineStr">
        <is>
          <t>41100</t>
        </is>
      </c>
      <c r="P32" s="24" t="inlineStr">
        <is>
          <t>Y</t>
        </is>
      </c>
      <c r="Q32" s="24" t="inlineStr">
        <is>
          <t>N</t>
        </is>
      </c>
      <c r="R32" s="22" t="n"/>
      <c r="S32" s="22" t="n"/>
      <c r="T32" s="24" t="inlineStr">
        <is>
          <t>Invoiced</t>
        </is>
      </c>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v>46265</v>
      </c>
      <c r="B33" s="23">
        <f>IF(A33="","",EOMONTH(A33,0))</f>
        <v/>
      </c>
      <c r="C33" s="24" t="inlineStr">
        <is>
          <t>INV-10571</t>
        </is>
      </c>
      <c r="D33" s="24" t="inlineStr">
        <is>
          <t>BW</t>
        </is>
      </c>
      <c r="E33" s="24" t="inlineStr">
        <is>
          <t>2192</t>
        </is>
      </c>
      <c r="F33" s="25">
        <f>IF(E33="","",IF(COUNTIF(lst_Jobs,E33&amp;"")&gt;0,"OK","CHECK"))</f>
        <v/>
      </c>
      <c r="G33" s="24" t="inlineStr">
        <is>
          <t>BW Additionals August 2026</t>
        </is>
      </c>
      <c r="H33" s="24" t="inlineStr">
        <is>
          <t>Onsite</t>
        </is>
      </c>
      <c r="I33" s="24" t="inlineStr">
        <is>
          <t>ONSITE</t>
        </is>
      </c>
      <c r="J33" s="24" t="inlineStr">
        <is>
          <t>Contract</t>
        </is>
      </c>
      <c r="K33" s="24" t="inlineStr">
        <is>
          <t>GST 10%</t>
        </is>
      </c>
      <c r="L33" s="26" t="n">
        <v>2080</v>
      </c>
      <c r="M33" s="27">
        <f>IF(L33="","",IF(K33="GST 10%",ROUND(L33*set_GSTRate,2),0))</f>
        <v/>
      </c>
      <c r="N33" s="27">
        <f>IF(L33="","",L33+M33)</f>
        <v/>
      </c>
      <c r="O33" s="24" t="inlineStr">
        <is>
          <t>41100</t>
        </is>
      </c>
      <c r="P33" s="24" t="inlineStr">
        <is>
          <t>Y</t>
        </is>
      </c>
      <c r="Q33" s="24" t="inlineStr">
        <is>
          <t>N</t>
        </is>
      </c>
      <c r="R33" s="22" t="n"/>
      <c r="S33" s="22" t="n"/>
      <c r="T33" s="24" t="inlineStr">
        <is>
          <t>Invoiced</t>
        </is>
      </c>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v>46265</v>
      </c>
      <c r="B34" s="23">
        <f>IF(A34="","",EOMONTH(A34,0))</f>
        <v/>
      </c>
      <c r="C34" s="24" t="inlineStr">
        <is>
          <t>INV-10572</t>
        </is>
      </c>
      <c r="D34" s="24" t="inlineStr">
        <is>
          <t>PWC</t>
        </is>
      </c>
      <c r="E34" s="24" t="inlineStr">
        <is>
          <t>2488</t>
        </is>
      </c>
      <c r="F34" s="25">
        <f>IF(E34="","",IF(COUNTIF(lst_Jobs,E34&amp;"")&gt;0,"OK","CHECK"))</f>
        <v/>
      </c>
      <c r="G34" s="24" t="inlineStr">
        <is>
          <t>PWC Brisbane August 2026</t>
        </is>
      </c>
      <c r="H34" s="24" t="inlineStr">
        <is>
          <t>Onsite</t>
        </is>
      </c>
      <c r="I34" s="24" t="inlineStr">
        <is>
          <t>ONSITE</t>
        </is>
      </c>
      <c r="J34" s="24" t="inlineStr">
        <is>
          <t>Contract</t>
        </is>
      </c>
      <c r="K34" s="24" t="inlineStr">
        <is>
          <t>GST 10%</t>
        </is>
      </c>
      <c r="L34" s="26" t="n">
        <v>7150</v>
      </c>
      <c r="M34" s="27">
        <f>IF(L34="","",IF(K34="GST 10%",ROUND(L34*set_GSTRate,2),0))</f>
        <v/>
      </c>
      <c r="N34" s="27">
        <f>IF(L34="","",L34+M34)</f>
        <v/>
      </c>
      <c r="O34" s="24" t="inlineStr">
        <is>
          <t>41100</t>
        </is>
      </c>
      <c r="P34" s="24" t="inlineStr">
        <is>
          <t>Y</t>
        </is>
      </c>
      <c r="Q34" s="24" t="inlineStr">
        <is>
          <t>N</t>
        </is>
      </c>
      <c r="R34" s="22" t="n"/>
      <c r="S34" s="22" t="n"/>
      <c r="T34" s="24" t="inlineStr">
        <is>
          <t>Invoiced</t>
        </is>
      </c>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v>46265</v>
      </c>
      <c r="B35" s="23">
        <f>IF(A35="","",EOMONTH(A35,0))</f>
        <v/>
      </c>
      <c r="C35" s="24" t="inlineStr">
        <is>
          <t>INV-10573</t>
        </is>
      </c>
      <c r="D35" s="24" t="inlineStr">
        <is>
          <t>Gen-E</t>
        </is>
      </c>
      <c r="E35" s="24" t="inlineStr">
        <is>
          <t>26021602</t>
        </is>
      </c>
      <c r="F35" s="25">
        <f>IF(E35="","",IF(COUNTIF(lst_Jobs,E35&amp;"")&gt;0,"OK","CHECK"))</f>
        <v/>
      </c>
      <c r="G35" s="24" t="inlineStr">
        <is>
          <t>Gen-E ABS August 2026</t>
        </is>
      </c>
      <c r="H35" s="24" t="inlineStr">
        <is>
          <t>Onsite</t>
        </is>
      </c>
      <c r="I35" s="24" t="inlineStr">
        <is>
          <t>ONSITE</t>
        </is>
      </c>
      <c r="J35" s="24" t="inlineStr">
        <is>
          <t>Contract</t>
        </is>
      </c>
      <c r="K35" s="24" t="inlineStr">
        <is>
          <t>GST 10%</t>
        </is>
      </c>
      <c r="L35" s="26" t="n">
        <v>12388.8</v>
      </c>
      <c r="M35" s="27">
        <f>IF(L35="","",IF(K35="GST 10%",ROUND(L35*set_GSTRate,2),0))</f>
        <v/>
      </c>
      <c r="N35" s="27">
        <f>IF(L35="","",L35+M35)</f>
        <v/>
      </c>
      <c r="O35" s="24" t="inlineStr">
        <is>
          <t>41100</t>
        </is>
      </c>
      <c r="P35" s="24" t="inlineStr">
        <is>
          <t>Y</t>
        </is>
      </c>
      <c r="Q35" s="24" t="inlineStr">
        <is>
          <t>N</t>
        </is>
      </c>
      <c r="R35" s="22" t="n"/>
      <c r="S35" s="22" t="n"/>
      <c r="T35" s="24" t="inlineStr">
        <is>
          <t>Invoiced</t>
        </is>
      </c>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v>46265</v>
      </c>
      <c r="B36" s="23">
        <f>IF(A36="","",EOMONTH(A36,0))</f>
        <v/>
      </c>
      <c r="C36" s="24" t="inlineStr">
        <is>
          <t>INV-10582</t>
        </is>
      </c>
      <c r="D36" s="24" t="inlineStr">
        <is>
          <t>CBA</t>
        </is>
      </c>
      <c r="E36" s="24" t="inlineStr">
        <is>
          <t>26043001</t>
        </is>
      </c>
      <c r="F36" s="25">
        <f>IF(E36="","",IF(COUNTIF(lst_Jobs,E36&amp;"")&gt;0,"OK","CHECK"))</f>
        <v/>
      </c>
      <c r="G36" s="24" t="inlineStr">
        <is>
          <t>CBA Mel August 2026</t>
        </is>
      </c>
      <c r="H36" s="24" t="inlineStr">
        <is>
          <t>Onsite</t>
        </is>
      </c>
      <c r="I36" s="24" t="inlineStr">
        <is>
          <t>ONSITE</t>
        </is>
      </c>
      <c r="J36" s="24" t="inlineStr">
        <is>
          <t>Contract</t>
        </is>
      </c>
      <c r="K36" s="24" t="inlineStr">
        <is>
          <t>GST 10%</t>
        </is>
      </c>
      <c r="L36" s="26" t="n">
        <v>11960</v>
      </c>
      <c r="M36" s="27">
        <f>IF(L36="","",IF(K36="GST 10%",ROUND(L36*set_GSTRate,2),0))</f>
        <v/>
      </c>
      <c r="N36" s="27">
        <f>IF(L36="","",L36+M36)</f>
        <v/>
      </c>
      <c r="O36" s="24" t="inlineStr">
        <is>
          <t>41100</t>
        </is>
      </c>
      <c r="P36" s="24" t="inlineStr">
        <is>
          <t>Y</t>
        </is>
      </c>
      <c r="Q36" s="24" t="inlineStr">
        <is>
          <t>N</t>
        </is>
      </c>
      <c r="R36" s="22" t="n"/>
      <c r="S36" s="22" t="n"/>
      <c r="T36" s="24" t="inlineStr">
        <is>
          <t>Invoiced</t>
        </is>
      </c>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v>46265</v>
      </c>
      <c r="B37" s="23">
        <f>IF(A37="","",EOMONTH(A37,0))</f>
        <v/>
      </c>
      <c r="C37" s="24" t="inlineStr">
        <is>
          <t>INV-10615</t>
        </is>
      </c>
      <c r="D37" s="24" t="inlineStr">
        <is>
          <t>Aware Super</t>
        </is>
      </c>
      <c r="E37" s="24" t="inlineStr">
        <is>
          <t>26022301</t>
        </is>
      </c>
      <c r="F37" s="25">
        <f>IF(E37="","",IF(COUNTIF(lst_Jobs,E37&amp;"")&gt;0,"OK","CHECK"))</f>
        <v/>
      </c>
      <c r="G37" s="24" t="inlineStr">
        <is>
          <t>Aware Super Contract August 2026</t>
        </is>
      </c>
      <c r="H37" s="24" t="inlineStr">
        <is>
          <t>Onsite</t>
        </is>
      </c>
      <c r="I37" s="24" t="inlineStr">
        <is>
          <t>ONSITE</t>
        </is>
      </c>
      <c r="J37" s="24" t="inlineStr">
        <is>
          <t>Contract</t>
        </is>
      </c>
      <c r="K37" s="24" t="inlineStr">
        <is>
          <t>GST 10%</t>
        </is>
      </c>
      <c r="L37" s="26" t="n">
        <v>11000</v>
      </c>
      <c r="M37" s="27">
        <f>IF(L37="","",IF(K37="GST 10%",ROUND(L37*set_GSTRate,2),0))</f>
        <v/>
      </c>
      <c r="N37" s="27">
        <f>IF(L37="","",L37+M37)</f>
        <v/>
      </c>
      <c r="O37" s="24" t="inlineStr">
        <is>
          <t>41100</t>
        </is>
      </c>
      <c r="P37" s="24" t="inlineStr">
        <is>
          <t>Y</t>
        </is>
      </c>
      <c r="Q37" s="24" t="inlineStr">
        <is>
          <t>N</t>
        </is>
      </c>
      <c r="R37" s="22" t="n"/>
      <c r="S37" s="22" t="n"/>
      <c r="T37" s="24" t="inlineStr">
        <is>
          <t>Invoiced</t>
        </is>
      </c>
      <c r="U37" s="24" t="inlineStr">
        <is>
          <t>Split TBC - Xero split this with production ($850)</t>
        </is>
      </c>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v>46265</v>
      </c>
      <c r="B38" s="23">
        <f>IF(A38="","",EOMONTH(A38,0))</f>
        <v/>
      </c>
      <c r="C38" s="24" t="inlineStr">
        <is>
          <t>INV-10585</t>
        </is>
      </c>
      <c r="D38" s="24" t="inlineStr">
        <is>
          <t>PWC</t>
        </is>
      </c>
      <c r="E38" s="24" t="inlineStr">
        <is>
          <t>25101301B</t>
        </is>
      </c>
      <c r="F38" s="25">
        <f>IF(E38="","",IF(COUNTIF(lst_Jobs,E38&amp;"")&gt;0,"OK","CHECK"))</f>
        <v/>
      </c>
      <c r="G38" s="24" t="inlineStr">
        <is>
          <t>PWC Sydney IT August 2026</t>
        </is>
      </c>
      <c r="H38" s="24" t="inlineStr">
        <is>
          <t>Onsite</t>
        </is>
      </c>
      <c r="I38" s="24" t="inlineStr">
        <is>
          <t>ONSITE</t>
        </is>
      </c>
      <c r="J38" s="24" t="inlineStr">
        <is>
          <t>Contract</t>
        </is>
      </c>
      <c r="K38" s="24" t="inlineStr">
        <is>
          <t>GST 10%</t>
        </is>
      </c>
      <c r="L38" s="26" t="n">
        <v>11907</v>
      </c>
      <c r="M38" s="27">
        <f>IF(L38="","",IF(K38="GST 10%",ROUND(L38*set_GSTRate,2),0))</f>
        <v/>
      </c>
      <c r="N38" s="27">
        <f>IF(L38="","",L38+M38)</f>
        <v/>
      </c>
      <c r="O38" s="24" t="inlineStr">
        <is>
          <t>41100</t>
        </is>
      </c>
      <c r="P38" s="24" t="inlineStr">
        <is>
          <t>Y</t>
        </is>
      </c>
      <c r="Q38" s="24" t="inlineStr">
        <is>
          <t>N</t>
        </is>
      </c>
      <c r="R38" s="22" t="n"/>
      <c r="S38" s="22" t="n"/>
      <c r="T38" s="24" t="inlineStr">
        <is>
          <t>Invoiced</t>
        </is>
      </c>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inlineStr">
        <is>
          <t>TWG</t>
        </is>
      </c>
      <c r="E39" s="24" t="inlineStr">
        <is>
          <t>26081301</t>
        </is>
      </c>
      <c r="F39" s="25">
        <f>IF(E39="","",IF(COUNTIF(lst_Jobs,E39&amp;"")&gt;0,"OK","CHECK"))</f>
        <v/>
      </c>
      <c r="G39" s="24" t="inlineStr">
        <is>
          <t>EY Support Technician BNE</t>
        </is>
      </c>
      <c r="H39" s="24" t="inlineStr">
        <is>
          <t>Onsite</t>
        </is>
      </c>
      <c r="I39" s="24" t="inlineStr">
        <is>
          <t>ONSITE</t>
        </is>
      </c>
      <c r="J39" s="24" t="inlineStr">
        <is>
          <t>Contract</t>
        </is>
      </c>
      <c r="K39" s="24" t="inlineStr">
        <is>
          <t>GST 10%</t>
        </is>
      </c>
      <c r="L39" s="26" t="n">
        <v>3740</v>
      </c>
      <c r="M39" s="27">
        <f>IF(L39="","",IF(K39="GST 10%",ROUND(L39*set_GSTRate,2),0))</f>
        <v/>
      </c>
      <c r="N39" s="27">
        <f>IF(L39="","",L39+M39)</f>
        <v/>
      </c>
      <c r="O39" s="24" t="inlineStr">
        <is>
          <t>41100</t>
        </is>
      </c>
      <c r="P39" s="24" t="inlineStr">
        <is>
          <t>N</t>
        </is>
      </c>
      <c r="Q39" s="24" t="inlineStr">
        <is>
          <t>N</t>
        </is>
      </c>
      <c r="R39" s="22" t="n"/>
      <c r="S39" s="22" t="n"/>
      <c r="T39" s="24" t="inlineStr">
        <is>
          <t>To Invoice</t>
        </is>
      </c>
      <c r="U39" s="24" t="inlineStr">
        <is>
          <t>November</t>
        </is>
      </c>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v>46265</v>
      </c>
      <c r="B40" s="23">
        <f>IF(A40="","",EOMONTH(A40,0))</f>
        <v/>
      </c>
      <c r="C40" s="24" t="inlineStr">
        <is>
          <t>INV-10603</t>
        </is>
      </c>
      <c r="D40" s="24" t="inlineStr">
        <is>
          <t>CBA</t>
        </is>
      </c>
      <c r="E40" s="24" t="inlineStr">
        <is>
          <t>1668</t>
        </is>
      </c>
      <c r="F40" s="25">
        <f>IF(E40="","",IF(COUNTIF(lst_Jobs,E40&amp;"")&gt;0,"OK","CHECK"))</f>
        <v/>
      </c>
      <c r="G40" s="24" t="inlineStr">
        <is>
          <t>85720001CBPSCSJUN27 AFTERHOUR</t>
        </is>
      </c>
      <c r="H40" s="24" t="inlineStr">
        <is>
          <t>Onsite</t>
        </is>
      </c>
      <c r="I40" s="24" t="inlineStr">
        <is>
          <t>ONSITE</t>
        </is>
      </c>
      <c r="J40" s="24" t="inlineStr">
        <is>
          <t>Contract</t>
        </is>
      </c>
      <c r="K40" s="24" t="inlineStr">
        <is>
          <t>GST 10%</t>
        </is>
      </c>
      <c r="L40" s="26" t="n">
        <v>775</v>
      </c>
      <c r="M40" s="27">
        <f>IF(L40="","",IF(K40="GST 10%",ROUND(L40*set_GSTRate,2),0))</f>
        <v/>
      </c>
      <c r="N40" s="27">
        <f>IF(L40="","",L40+M40)</f>
        <v/>
      </c>
      <c r="O40" s="24" t="inlineStr">
        <is>
          <t>41100</t>
        </is>
      </c>
      <c r="P40" s="24" t="inlineStr">
        <is>
          <t>Y</t>
        </is>
      </c>
      <c r="Q40" s="24" t="inlineStr">
        <is>
          <t>N</t>
        </is>
      </c>
      <c r="R40" s="22" t="n"/>
      <c r="S40" s="22" t="n"/>
      <c r="T40" s="24" t="inlineStr">
        <is>
          <t>Invoiced</t>
        </is>
      </c>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v>46265</v>
      </c>
      <c r="B41" s="23">
        <f>IF(A41="","",EOMONTH(A41,0))</f>
        <v/>
      </c>
      <c r="C41" s="24" t="inlineStr">
        <is>
          <t>INV-10604</t>
        </is>
      </c>
      <c r="D41" s="24" t="inlineStr">
        <is>
          <t>CBA</t>
        </is>
      </c>
      <c r="E41" s="24" t="inlineStr">
        <is>
          <t>1668</t>
        </is>
      </c>
      <c r="F41" s="25">
        <f>IF(E41="","",IF(COUNTIF(lst_Jobs,E41&amp;"")&gt;0,"OK","CHECK"))</f>
        <v/>
      </c>
      <c r="G41" s="24" t="inlineStr">
        <is>
          <t>85720001CBPSCSJUN27 DEDICATED TECH</t>
        </is>
      </c>
      <c r="H41" s="24" t="inlineStr">
        <is>
          <t>Onsite</t>
        </is>
      </c>
      <c r="I41" s="24" t="inlineStr">
        <is>
          <t>ONSITE</t>
        </is>
      </c>
      <c r="J41" s="24" t="inlineStr">
        <is>
          <t>Contract</t>
        </is>
      </c>
      <c r="K41" s="24" t="inlineStr">
        <is>
          <t>GST 10%</t>
        </is>
      </c>
      <c r="L41" s="26" t="n">
        <v>510</v>
      </c>
      <c r="M41" s="27">
        <f>IF(L41="","",IF(K41="GST 10%",ROUND(L41*set_GSTRate,2),0))</f>
        <v/>
      </c>
      <c r="N41" s="27">
        <f>IF(L41="","",L41+M41)</f>
        <v/>
      </c>
      <c r="O41" s="24" t="inlineStr">
        <is>
          <t>41100</t>
        </is>
      </c>
      <c r="P41" s="24" t="inlineStr">
        <is>
          <t>Y</t>
        </is>
      </c>
      <c r="Q41" s="24" t="inlineStr">
        <is>
          <t>N</t>
        </is>
      </c>
      <c r="R41" s="22" t="n"/>
      <c r="S41" s="22" t="n"/>
      <c r="T41" s="24" t="inlineStr">
        <is>
          <t>Invoiced</t>
        </is>
      </c>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v>46265</v>
      </c>
      <c r="B42" s="23">
        <f>IF(A42="","",EOMONTH(A42,0))</f>
        <v/>
      </c>
      <c r="C42" s="24" t="inlineStr">
        <is>
          <t>INV-10605</t>
        </is>
      </c>
      <c r="D42" s="24" t="inlineStr">
        <is>
          <t>CBA</t>
        </is>
      </c>
      <c r="E42" s="24" t="inlineStr">
        <is>
          <t>1668</t>
        </is>
      </c>
      <c r="F42" s="25">
        <f>IF(E42="","",IF(COUNTIF(lst_Jobs,E42&amp;"")&gt;0,"OK","CHECK"))</f>
        <v/>
      </c>
      <c r="G42" s="24" t="inlineStr">
        <is>
          <t>85720001CBPSCSJUN27 DEDICATED TECH</t>
        </is>
      </c>
      <c r="H42" s="24" t="inlineStr">
        <is>
          <t>Onsite</t>
        </is>
      </c>
      <c r="I42" s="24" t="inlineStr">
        <is>
          <t>ONSITE</t>
        </is>
      </c>
      <c r="J42" s="24" t="inlineStr">
        <is>
          <t>Contract</t>
        </is>
      </c>
      <c r="K42" s="24" t="inlineStr">
        <is>
          <t>GST 10%</t>
        </is>
      </c>
      <c r="L42" s="26" t="n">
        <v>340</v>
      </c>
      <c r="M42" s="27">
        <f>IF(L42="","",IF(K42="GST 10%",ROUND(L42*set_GSTRate,2),0))</f>
        <v/>
      </c>
      <c r="N42" s="27">
        <f>IF(L42="","",L42+M42)</f>
        <v/>
      </c>
      <c r="O42" s="24" t="inlineStr">
        <is>
          <t>41100</t>
        </is>
      </c>
      <c r="P42" s="24" t="inlineStr">
        <is>
          <t>Y</t>
        </is>
      </c>
      <c r="Q42" s="24" t="inlineStr">
        <is>
          <t>N</t>
        </is>
      </c>
      <c r="R42" s="22" t="n"/>
      <c r="S42" s="22" t="n"/>
      <c r="T42" s="24" t="inlineStr">
        <is>
          <t>Invoiced</t>
        </is>
      </c>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v>46265</v>
      </c>
      <c r="B43" s="23">
        <f>IF(A43="","",EOMONTH(A43,0))</f>
        <v/>
      </c>
      <c r="C43" s="24" t="inlineStr">
        <is>
          <t>INV-10606</t>
        </is>
      </c>
      <c r="D43" s="24" t="inlineStr">
        <is>
          <t>CBA</t>
        </is>
      </c>
      <c r="E43" s="24" t="inlineStr">
        <is>
          <t>1668</t>
        </is>
      </c>
      <c r="F43" s="25">
        <f>IF(E43="","",IF(COUNTIF(lst_Jobs,E43&amp;"")&gt;0,"OK","CHECK"))</f>
        <v/>
      </c>
      <c r="G43" s="24" t="inlineStr">
        <is>
          <t>85720001CBPSCSJUN27 DEDICATED TECH</t>
        </is>
      </c>
      <c r="H43" s="24" t="inlineStr">
        <is>
          <t>Onsite</t>
        </is>
      </c>
      <c r="I43" s="24" t="inlineStr">
        <is>
          <t>ONSITE</t>
        </is>
      </c>
      <c r="J43" s="24" t="inlineStr">
        <is>
          <t>Contract</t>
        </is>
      </c>
      <c r="K43" s="24" t="inlineStr">
        <is>
          <t>GST 10%</t>
        </is>
      </c>
      <c r="L43" s="26" t="n">
        <v>510</v>
      </c>
      <c r="M43" s="27">
        <f>IF(L43="","",IF(K43="GST 10%",ROUND(L43*set_GSTRate,2),0))</f>
        <v/>
      </c>
      <c r="N43" s="27">
        <f>IF(L43="","",L43+M43)</f>
        <v/>
      </c>
      <c r="O43" s="24" t="inlineStr">
        <is>
          <t>41100</t>
        </is>
      </c>
      <c r="P43" s="24" t="inlineStr">
        <is>
          <t>Y</t>
        </is>
      </c>
      <c r="Q43" s="24" t="inlineStr">
        <is>
          <t>N</t>
        </is>
      </c>
      <c r="R43" s="22" t="n"/>
      <c r="S43" s="22" t="n"/>
      <c r="T43" s="24" t="inlineStr">
        <is>
          <t>Invoiced</t>
        </is>
      </c>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v>46265</v>
      </c>
      <c r="B44" s="23">
        <f>IF(A44="","",EOMONTH(A44,0))</f>
        <v/>
      </c>
      <c r="C44" s="24" t="inlineStr">
        <is>
          <t>INV-10607</t>
        </is>
      </c>
      <c r="D44" s="24" t="inlineStr">
        <is>
          <t>CBA</t>
        </is>
      </c>
      <c r="E44" s="24" t="inlineStr">
        <is>
          <t>1668</t>
        </is>
      </c>
      <c r="F44" s="25">
        <f>IF(E44="","",IF(COUNTIF(lst_Jobs,E44&amp;"")&gt;0,"OK","CHECK"))</f>
        <v/>
      </c>
      <c r="G44" s="24" t="inlineStr">
        <is>
          <t>85720001CBPSCSJUN27 DEDICATED TECH</t>
        </is>
      </c>
      <c r="H44" s="24" t="inlineStr">
        <is>
          <t>Onsite</t>
        </is>
      </c>
      <c r="I44" s="24" t="inlineStr">
        <is>
          <t>ONSITE</t>
        </is>
      </c>
      <c r="J44" s="24" t="inlineStr">
        <is>
          <t>Contract</t>
        </is>
      </c>
      <c r="K44" s="24" t="inlineStr">
        <is>
          <t>GST 10%</t>
        </is>
      </c>
      <c r="L44" s="26" t="n">
        <v>510</v>
      </c>
      <c r="M44" s="27">
        <f>IF(L44="","",IF(K44="GST 10%",ROUND(L44*set_GSTRate,2),0))</f>
        <v/>
      </c>
      <c r="N44" s="27">
        <f>IF(L44="","",L44+M44)</f>
        <v/>
      </c>
      <c r="O44" s="24" t="inlineStr">
        <is>
          <t>41100</t>
        </is>
      </c>
      <c r="P44" s="24" t="inlineStr">
        <is>
          <t>Y</t>
        </is>
      </c>
      <c r="Q44" s="24" t="inlineStr">
        <is>
          <t>N</t>
        </is>
      </c>
      <c r="R44" s="22" t="n"/>
      <c r="S44" s="22" t="n"/>
      <c r="T44" s="24" t="inlineStr">
        <is>
          <t>Invoiced</t>
        </is>
      </c>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v>46265</v>
      </c>
      <c r="B45" s="23">
        <f>IF(A45="","",EOMONTH(A45,0))</f>
        <v/>
      </c>
      <c r="C45" s="24" t="inlineStr">
        <is>
          <t>INV-10608</t>
        </is>
      </c>
      <c r="D45" s="24" t="inlineStr">
        <is>
          <t>CBA</t>
        </is>
      </c>
      <c r="E45" s="24" t="inlineStr">
        <is>
          <t>1668</t>
        </is>
      </c>
      <c r="F45" s="25">
        <f>IF(E45="","",IF(COUNTIF(lst_Jobs,E45&amp;"")&gt;0,"OK","CHECK"))</f>
        <v/>
      </c>
      <c r="G45" s="24" t="inlineStr">
        <is>
          <t>85720001CBPSCSJUN27 DEDICATED TECH</t>
        </is>
      </c>
      <c r="H45" s="24" t="inlineStr">
        <is>
          <t>Onsite</t>
        </is>
      </c>
      <c r="I45" s="24" t="inlineStr">
        <is>
          <t>ONSITE</t>
        </is>
      </c>
      <c r="J45" s="24" t="inlineStr">
        <is>
          <t>Contract</t>
        </is>
      </c>
      <c r="K45" s="24" t="inlineStr">
        <is>
          <t>GST 10%</t>
        </is>
      </c>
      <c r="L45" s="26" t="n">
        <v>340</v>
      </c>
      <c r="M45" s="27">
        <f>IF(L45="","",IF(K45="GST 10%",ROUND(L45*set_GSTRate,2),0))</f>
        <v/>
      </c>
      <c r="N45" s="27">
        <f>IF(L45="","",L45+M45)</f>
        <v/>
      </c>
      <c r="O45" s="24" t="inlineStr">
        <is>
          <t>41100</t>
        </is>
      </c>
      <c r="P45" s="24" t="inlineStr">
        <is>
          <t>Y</t>
        </is>
      </c>
      <c r="Q45" s="24" t="inlineStr">
        <is>
          <t>N</t>
        </is>
      </c>
      <c r="R45" s="22" t="n"/>
      <c r="S45" s="22" t="n"/>
      <c r="T45" s="24" t="inlineStr">
        <is>
          <t>Invoiced</t>
        </is>
      </c>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v>46265</v>
      </c>
      <c r="B46" s="23">
        <f>IF(A46="","",EOMONTH(A46,0))</f>
        <v/>
      </c>
      <c r="C46" s="24" t="inlineStr">
        <is>
          <t>INV-10609</t>
        </is>
      </c>
      <c r="D46" s="24" t="inlineStr">
        <is>
          <t>CBA</t>
        </is>
      </c>
      <c r="E46" s="24" t="inlineStr">
        <is>
          <t>1668</t>
        </is>
      </c>
      <c r="F46" s="25">
        <f>IF(E46="","",IF(COUNTIF(lst_Jobs,E46&amp;"")&gt;0,"OK","CHECK"))</f>
        <v/>
      </c>
      <c r="G46" s="24" t="inlineStr">
        <is>
          <t>85720001CBPSCSJUN27 DEDICATED TECH</t>
        </is>
      </c>
      <c r="H46" s="24" t="inlineStr">
        <is>
          <t>Onsite</t>
        </is>
      </c>
      <c r="I46" s="24" t="inlineStr">
        <is>
          <t>ONSITE</t>
        </is>
      </c>
      <c r="J46" s="24" t="inlineStr">
        <is>
          <t>Contract</t>
        </is>
      </c>
      <c r="K46" s="24" t="inlineStr">
        <is>
          <t>GST 10%</t>
        </is>
      </c>
      <c r="L46" s="26" t="n">
        <v>425</v>
      </c>
      <c r="M46" s="27">
        <f>IF(L46="","",IF(K46="GST 10%",ROUND(L46*set_GSTRate,2),0))</f>
        <v/>
      </c>
      <c r="N46" s="27">
        <f>IF(L46="","",L46+M46)</f>
        <v/>
      </c>
      <c r="O46" s="24" t="inlineStr">
        <is>
          <t>41100</t>
        </is>
      </c>
      <c r="P46" s="24" t="inlineStr">
        <is>
          <t>Y</t>
        </is>
      </c>
      <c r="Q46" s="24" t="inlineStr">
        <is>
          <t>N</t>
        </is>
      </c>
      <c r="R46" s="22" t="n"/>
      <c r="S46" s="22" t="n"/>
      <c r="T46" s="24" t="inlineStr">
        <is>
          <t>Invoiced</t>
        </is>
      </c>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v>46265</v>
      </c>
      <c r="B47" s="23">
        <f>IF(A47="","",EOMONTH(A47,0))</f>
        <v/>
      </c>
      <c r="C47" s="24" t="inlineStr">
        <is>
          <t>INV-10610</t>
        </is>
      </c>
      <c r="D47" s="24" t="inlineStr">
        <is>
          <t>CBA</t>
        </is>
      </c>
      <c r="E47" s="24" t="inlineStr">
        <is>
          <t>1668</t>
        </is>
      </c>
      <c r="F47" s="25">
        <f>IF(E47="","",IF(COUNTIF(lst_Jobs,E47&amp;"")&gt;0,"OK","CHECK"))</f>
        <v/>
      </c>
      <c r="G47" s="24" t="inlineStr">
        <is>
          <t>85720001CBPSCSJUN27 DEDICATED TECH</t>
        </is>
      </c>
      <c r="H47" s="24" t="inlineStr">
        <is>
          <t>Onsite</t>
        </is>
      </c>
      <c r="I47" s="24" t="inlineStr">
        <is>
          <t>ONSITE</t>
        </is>
      </c>
      <c r="J47" s="24" t="inlineStr">
        <is>
          <t>Contract</t>
        </is>
      </c>
      <c r="K47" s="24" t="inlineStr">
        <is>
          <t>GST 10%</t>
        </is>
      </c>
      <c r="L47" s="26" t="n">
        <v>595</v>
      </c>
      <c r="M47" s="27">
        <f>IF(L47="","",IF(K47="GST 10%",ROUND(L47*set_GSTRate,2),0))</f>
        <v/>
      </c>
      <c r="N47" s="27">
        <f>IF(L47="","",L47+M47)</f>
        <v/>
      </c>
      <c r="O47" s="24" t="inlineStr">
        <is>
          <t>41100</t>
        </is>
      </c>
      <c r="P47" s="24" t="inlineStr">
        <is>
          <t>Y</t>
        </is>
      </c>
      <c r="Q47" s="24" t="inlineStr">
        <is>
          <t>N</t>
        </is>
      </c>
      <c r="R47" s="22" t="n"/>
      <c r="S47" s="22" t="n"/>
      <c r="T47" s="24" t="inlineStr">
        <is>
          <t>Invoiced</t>
        </is>
      </c>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v>46265</v>
      </c>
      <c r="B48" s="23">
        <f>IF(A48="","",EOMONTH(A48,0))</f>
        <v/>
      </c>
      <c r="C48" s="24" t="inlineStr">
        <is>
          <t>INV-10614</t>
        </is>
      </c>
      <c r="D48" s="24" t="inlineStr">
        <is>
          <t>CBA</t>
        </is>
      </c>
      <c r="E48" s="24" t="inlineStr">
        <is>
          <t>585, 586</t>
        </is>
      </c>
      <c r="F48" s="25">
        <f>IF(E48="","",IF(COUNTIF(lst_Jobs,E48&amp;"")&gt;0,"OK","CHECK"))</f>
        <v/>
      </c>
      <c r="G48" s="24" t="inlineStr">
        <is>
          <t>85720001CBPSCSJUN27</t>
        </is>
      </c>
      <c r="H48" s="24" t="inlineStr">
        <is>
          <t>Onsite</t>
        </is>
      </c>
      <c r="I48" s="24" t="inlineStr">
        <is>
          <t>ONSITE</t>
        </is>
      </c>
      <c r="J48" s="24" t="inlineStr">
        <is>
          <t>Contract</t>
        </is>
      </c>
      <c r="K48" s="24" t="inlineStr">
        <is>
          <t>GST 10%</t>
        </is>
      </c>
      <c r="L48" s="26" t="n">
        <v>22680</v>
      </c>
      <c r="M48" s="27">
        <f>IF(L48="","",IF(K48="GST 10%",ROUND(L48*set_GSTRate,2),0))</f>
        <v/>
      </c>
      <c r="N48" s="27">
        <f>IF(L48="","",L48+M48)</f>
        <v/>
      </c>
      <c r="O48" s="24" t="inlineStr">
        <is>
          <t>41100</t>
        </is>
      </c>
      <c r="P48" s="24" t="inlineStr">
        <is>
          <t>Y</t>
        </is>
      </c>
      <c r="Q48" s="24" t="inlineStr">
        <is>
          <t>N</t>
        </is>
      </c>
      <c r="R48" s="22" t="n"/>
      <c r="S48" s="22" t="n"/>
      <c r="T48" s="24" t="inlineStr">
        <is>
          <t>Invoiced</t>
        </is>
      </c>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v>46265</v>
      </c>
      <c r="B49" s="23">
        <f>IF(A49="","",EOMONTH(A49,0))</f>
        <v/>
      </c>
      <c r="C49" s="24" t="inlineStr">
        <is>
          <t>INV-10613</t>
        </is>
      </c>
      <c r="D49" s="24" t="inlineStr">
        <is>
          <t>CBA</t>
        </is>
      </c>
      <c r="E49" s="24" t="inlineStr">
        <is>
          <t>587</t>
        </is>
      </c>
      <c r="F49" s="25">
        <f>IF(E49="","",IF(COUNTIF(lst_Jobs,E49&amp;"")&gt;0,"OK","CHECK"))</f>
        <v/>
      </c>
      <c r="G49" s="24" t="inlineStr">
        <is>
          <t>85720001CBSCSJUN27</t>
        </is>
      </c>
      <c r="H49" s="24" t="inlineStr">
        <is>
          <t>Onsite</t>
        </is>
      </c>
      <c r="I49" s="24" t="inlineStr">
        <is>
          <t>ONSITE</t>
        </is>
      </c>
      <c r="J49" s="24" t="inlineStr">
        <is>
          <t>Contract</t>
        </is>
      </c>
      <c r="K49" s="24" t="inlineStr">
        <is>
          <t>GST 10%</t>
        </is>
      </c>
      <c r="L49" s="26" t="n">
        <v>10197.88</v>
      </c>
      <c r="M49" s="27">
        <f>IF(L49="","",IF(K49="GST 10%",ROUND(L49*set_GSTRate,2),0))</f>
        <v/>
      </c>
      <c r="N49" s="27">
        <f>IF(L49="","",L49+M49)</f>
        <v/>
      </c>
      <c r="O49" s="24" t="inlineStr">
        <is>
          <t>41100</t>
        </is>
      </c>
      <c r="P49" s="24" t="inlineStr">
        <is>
          <t>Y</t>
        </is>
      </c>
      <c r="Q49" s="24" t="inlineStr">
        <is>
          <t>N</t>
        </is>
      </c>
      <c r="R49" s="22" t="n"/>
      <c r="S49" s="22" t="n"/>
      <c r="T49" s="24" t="inlineStr">
        <is>
          <t>Invoiced</t>
        </is>
      </c>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v>46265</v>
      </c>
      <c r="B50" s="23">
        <f>IF(A50="","",EOMONTH(A50,0))</f>
        <v/>
      </c>
      <c r="C50" s="24" t="inlineStr">
        <is>
          <t>INV-10602</t>
        </is>
      </c>
      <c r="D50" s="24" t="inlineStr">
        <is>
          <t>CBA</t>
        </is>
      </c>
      <c r="E50" s="24" t="inlineStr">
        <is>
          <t>1668</t>
        </is>
      </c>
      <c r="F50" s="25">
        <f>IF(E50="","",IF(COUNTIF(lst_Jobs,E50&amp;"")&gt;0,"OK","CHECK"))</f>
        <v/>
      </c>
      <c r="G50" s="24" t="inlineStr">
        <is>
          <t>85720001CBPSCSJUN27 DEDICATED TECH</t>
        </is>
      </c>
      <c r="H50" s="24" t="inlineStr">
        <is>
          <t>Onsite</t>
        </is>
      </c>
      <c r="I50" s="24" t="inlineStr">
        <is>
          <t>ONSITE</t>
        </is>
      </c>
      <c r="J50" s="24" t="inlineStr">
        <is>
          <t>Contract</t>
        </is>
      </c>
      <c r="K50" s="24" t="inlineStr">
        <is>
          <t>GST 10%</t>
        </is>
      </c>
      <c r="L50" s="26" t="n">
        <v>170</v>
      </c>
      <c r="M50" s="27">
        <f>IF(L50="","",IF(K50="GST 10%",ROUND(L50*set_GSTRate,2),0))</f>
        <v/>
      </c>
      <c r="N50" s="27">
        <f>IF(L50="","",L50+M50)</f>
        <v/>
      </c>
      <c r="O50" s="24" t="inlineStr">
        <is>
          <t>41100</t>
        </is>
      </c>
      <c r="P50" s="24" t="inlineStr">
        <is>
          <t>Y</t>
        </is>
      </c>
      <c r="Q50" s="24" t="inlineStr">
        <is>
          <t>N</t>
        </is>
      </c>
      <c r="R50" s="22" t="n"/>
      <c r="S50" s="22" t="n"/>
      <c r="T50" s="24" t="inlineStr">
        <is>
          <t>Invoiced</t>
        </is>
      </c>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v>46265</v>
      </c>
      <c r="B51" s="23">
        <f>IF(A51="","",EOMONTH(A51,0))</f>
        <v/>
      </c>
      <c r="C51" s="24" t="inlineStr">
        <is>
          <t>INV-10618</t>
        </is>
      </c>
      <c r="D51" s="24" t="inlineStr">
        <is>
          <t>Ricoh Australia Pty Ltd</t>
        </is>
      </c>
      <c r="E51" s="24" t="inlineStr">
        <is>
          <t>2880</t>
        </is>
      </c>
      <c r="F51" s="25">
        <f>IF(E51="","",IF(COUNTIF(lst_Jobs,E51&amp;"")&gt;0,"OK","CHECK"))</f>
        <v/>
      </c>
      <c r="G51" s="24" t="inlineStr">
        <is>
          <t>CONTRACT</t>
        </is>
      </c>
      <c r="H51" s="24" t="inlineStr">
        <is>
          <t>Onsite</t>
        </is>
      </c>
      <c r="I51" s="24" t="inlineStr">
        <is>
          <t>ONSITE</t>
        </is>
      </c>
      <c r="J51" s="24" t="inlineStr">
        <is>
          <t>Contract</t>
        </is>
      </c>
      <c r="K51" s="24" t="inlineStr">
        <is>
          <t>GST 10%</t>
        </is>
      </c>
      <c r="L51" s="26" t="n">
        <v>11860.56</v>
      </c>
      <c r="M51" s="27">
        <f>IF(L51="","",IF(K51="GST 10%",ROUND(L51*set_GSTRate,2),0))</f>
        <v/>
      </c>
      <c r="N51" s="27">
        <f>IF(L51="","",L51+M51)</f>
        <v/>
      </c>
      <c r="O51" s="24" t="inlineStr">
        <is>
          <t>41100</t>
        </is>
      </c>
      <c r="P51" s="24" t="inlineStr">
        <is>
          <t>Y</t>
        </is>
      </c>
      <c r="Q51" s="24" t="inlineStr">
        <is>
          <t>N</t>
        </is>
      </c>
      <c r="R51" s="22" t="n"/>
      <c r="S51" s="22" t="n"/>
      <c r="T51" s="24" t="inlineStr">
        <is>
          <t>Invoiced</t>
        </is>
      </c>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inlineStr">
        <is>
          <t>DTTL</t>
        </is>
      </c>
      <c r="E52" s="24" t="inlineStr">
        <is>
          <t>26073103</t>
        </is>
      </c>
      <c r="F52" s="25">
        <f>IF(E52="","",IF(COUNTIF(lst_Jobs,E52&amp;"")&gt;0,"OK","CHECK"))</f>
        <v/>
      </c>
      <c r="G52" s="24" t="inlineStr">
        <is>
          <t>Perth AV &amp; Hospitality Technician (SEP26-FEB27)</t>
        </is>
      </c>
      <c r="H52" s="24" t="inlineStr">
        <is>
          <t>Onsite</t>
        </is>
      </c>
      <c r="I52" s="24" t="inlineStr">
        <is>
          <t>ONSITE</t>
        </is>
      </c>
      <c r="J52" s="24" t="inlineStr">
        <is>
          <t>Contract</t>
        </is>
      </c>
      <c r="K52" s="24" t="inlineStr">
        <is>
          <t>GST 10%</t>
        </is>
      </c>
      <c r="L52" s="26" t="n"/>
      <c r="M52" s="27">
        <f>IF(L52="","",IF(K52="GST 10%",ROUND(L52*set_GSTRate,2),0))</f>
        <v/>
      </c>
      <c r="N52" s="27">
        <f>IF(L52="","",L52+M52)</f>
        <v/>
      </c>
      <c r="O52" s="24" t="inlineStr">
        <is>
          <t>41100</t>
        </is>
      </c>
      <c r="P52" s="24" t="inlineStr">
        <is>
          <t>N</t>
        </is>
      </c>
      <c r="Q52" s="24" t="inlineStr">
        <is>
          <t>N</t>
        </is>
      </c>
      <c r="R52" s="22" t="n"/>
      <c r="S52" s="22" t="n"/>
      <c r="T52" s="24" t="inlineStr">
        <is>
          <t>To Invoice</t>
        </is>
      </c>
      <c r="U52"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v>46268</v>
      </c>
      <c r="B53" s="23">
        <f>IF(A53="","",EOMONTH(A53,0))</f>
        <v/>
      </c>
      <c r="C53" s="24" t="inlineStr">
        <is>
          <t>INV-10620</t>
        </is>
      </c>
      <c r="D53" s="24" t="inlineStr">
        <is>
          <t>Ricoh Australia Pty Ltd</t>
        </is>
      </c>
      <c r="E53" s="24" t="inlineStr">
        <is>
          <t>26082801</t>
        </is>
      </c>
      <c r="F53" s="25">
        <f>IF(E53="","",IF(COUNTIF(lst_Jobs,E53&amp;"")&gt;0,"OK","CHECK"))</f>
        <v/>
      </c>
      <c r="G53" s="24" t="inlineStr">
        <is>
          <t>Ricoh Australia - SHELL AV Support</t>
        </is>
      </c>
      <c r="H53" s="24" t="inlineStr">
        <is>
          <t>Onsite</t>
        </is>
      </c>
      <c r="I53" s="24" t="inlineStr">
        <is>
          <t>ONSITE</t>
        </is>
      </c>
      <c r="J53" s="24" t="inlineStr">
        <is>
          <t>Contract</t>
        </is>
      </c>
      <c r="K53" s="24" t="inlineStr">
        <is>
          <t>GST 10%</t>
        </is>
      </c>
      <c r="L53" s="26" t="n">
        <v>340</v>
      </c>
      <c r="M53" s="27">
        <f>IF(L53="","",IF(K53="GST 10%",ROUND(L53*set_GSTRate,2),0))</f>
        <v/>
      </c>
      <c r="N53" s="27">
        <f>IF(L53="","",L53+M53)</f>
        <v/>
      </c>
      <c r="O53" s="24" t="inlineStr">
        <is>
          <t>41100</t>
        </is>
      </c>
      <c r="P53" s="24" t="inlineStr">
        <is>
          <t>Y</t>
        </is>
      </c>
      <c r="Q53" s="24" t="inlineStr">
        <is>
          <t>N</t>
        </is>
      </c>
      <c r="R53" s="22" t="n"/>
      <c r="S53" s="22" t="n"/>
      <c r="T53" s="24" t="inlineStr">
        <is>
          <t>Invoiced</t>
        </is>
      </c>
      <c r="U53" s="24" t="inlineStr">
        <is>
          <t>This was not actually for Shell - error in quote. End client was Wotton Kearney.</t>
        </is>
      </c>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inlineStr">
        <is>
          <t>PWC</t>
        </is>
      </c>
      <c r="E54" s="24" t="inlineStr">
        <is>
          <t>2608603</t>
        </is>
      </c>
      <c r="F54" s="25">
        <f>IF(E54="","",IF(COUNTIF(lst_Jobs,E54&amp;"")&gt;0,"OK","CHECK"))</f>
        <v/>
      </c>
      <c r="G54" s="24" t="inlineStr">
        <is>
          <t>Pool of Hours - National AV / IT Support</t>
        </is>
      </c>
      <c r="H54" s="24" t="inlineStr">
        <is>
          <t>Onsite</t>
        </is>
      </c>
      <c r="I54" s="24" t="inlineStr">
        <is>
          <t>ONSITE</t>
        </is>
      </c>
      <c r="J54" s="24" t="inlineStr">
        <is>
          <t>Contract</t>
        </is>
      </c>
      <c r="K54" s="24" t="inlineStr">
        <is>
          <t>GST 10%</t>
        </is>
      </c>
      <c r="L54" s="26" t="n">
        <v>8500</v>
      </c>
      <c r="M54" s="27">
        <f>IF(L54="","",IF(K54="GST 10%",ROUND(L54*set_GSTRate,2),0))</f>
        <v/>
      </c>
      <c r="N54" s="27">
        <f>IF(L54="","",L54+M54)</f>
        <v/>
      </c>
      <c r="O54" s="24" t="inlineStr">
        <is>
          <t>41100</t>
        </is>
      </c>
      <c r="P54" s="24" t="inlineStr">
        <is>
          <t>N</t>
        </is>
      </c>
      <c r="Q54" s="24" t="inlineStr">
        <is>
          <t>N</t>
        </is>
      </c>
      <c r="R54" s="22" t="n"/>
      <c r="S54" s="22" t="n"/>
      <c r="T54" s="24" t="inlineStr">
        <is>
          <t>To Invoice</t>
        </is>
      </c>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inlineStr">
        <is>
          <t>DTTL</t>
        </is>
      </c>
      <c r="E55" s="24" t="inlineStr">
        <is>
          <t>26073107</t>
        </is>
      </c>
      <c r="F55" s="25">
        <f>IF(E55="","",IF(COUNTIF(lst_Jobs,E55&amp;"")&gt;0,"OK","CHECK"))</f>
        <v/>
      </c>
      <c r="G55" s="24" t="inlineStr">
        <is>
          <t>Technician Travel (ADL-HOB Return)</t>
        </is>
      </c>
      <c r="H55" s="24" t="inlineStr">
        <is>
          <t>Onsite</t>
        </is>
      </c>
      <c r="I55" s="24" t="inlineStr">
        <is>
          <t>ONSITE</t>
        </is>
      </c>
      <c r="J55" s="24" t="inlineStr">
        <is>
          <t>Contract</t>
        </is>
      </c>
      <c r="K55" s="24" t="inlineStr">
        <is>
          <t>GST 10%</t>
        </is>
      </c>
      <c r="L55" s="26" t="n">
        <v>7145</v>
      </c>
      <c r="M55" s="27">
        <f>IF(L55="","",IF(K55="GST 10%",ROUND(L55*set_GSTRate,2),0))</f>
        <v/>
      </c>
      <c r="N55" s="27">
        <f>IF(L55="","",L55+M55)</f>
        <v/>
      </c>
      <c r="O55" s="24" t="inlineStr">
        <is>
          <t>41100</t>
        </is>
      </c>
      <c r="P55" s="24" t="inlineStr">
        <is>
          <t>N</t>
        </is>
      </c>
      <c r="Q55" s="24" t="inlineStr">
        <is>
          <t>N</t>
        </is>
      </c>
      <c r="R55" s="22" t="n"/>
      <c r="S55" s="22" t="n"/>
      <c r="T55" s="24" t="inlineStr">
        <is>
          <t>To Invoice</t>
        </is>
      </c>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inlineStr">
        <is>
          <t>DTTL</t>
        </is>
      </c>
      <c r="E56" s="24" t="inlineStr">
        <is>
          <t>2608502</t>
        </is>
      </c>
      <c r="F56" s="25">
        <f>IF(E56="","",IF(COUNTIF(lst_Jobs,E56&amp;"")&gt;0,"OK","CHECK"))</f>
        <v/>
      </c>
      <c r="G56" s="24" t="inlineStr">
        <is>
          <t>Change Maker</t>
        </is>
      </c>
      <c r="H56" s="24" t="inlineStr">
        <is>
          <t>Onsite</t>
        </is>
      </c>
      <c r="I56" s="24" t="inlineStr">
        <is>
          <t>ONSITE</t>
        </is>
      </c>
      <c r="J56" s="24" t="inlineStr">
        <is>
          <t>Contract</t>
        </is>
      </c>
      <c r="K56" s="24" t="inlineStr">
        <is>
          <t>GST 10%</t>
        </is>
      </c>
      <c r="L56" s="26" t="n">
        <v>1275</v>
      </c>
      <c r="M56" s="27">
        <f>IF(L56="","",IF(K56="GST 10%",ROUND(L56*set_GSTRate,2),0))</f>
        <v/>
      </c>
      <c r="N56" s="27">
        <f>IF(L56="","",L56+M56)</f>
        <v/>
      </c>
      <c r="O56" s="24" t="inlineStr">
        <is>
          <t>41100</t>
        </is>
      </c>
      <c r="P56" s="24" t="inlineStr">
        <is>
          <t>N</t>
        </is>
      </c>
      <c r="Q56" s="24" t="inlineStr">
        <is>
          <t>N</t>
        </is>
      </c>
      <c r="R56" s="22" t="n"/>
      <c r="S56" s="22" t="n"/>
      <c r="T56" s="24" t="inlineStr">
        <is>
          <t>To Invoice</t>
        </is>
      </c>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inlineStr">
        <is>
          <t>DTTL</t>
        </is>
      </c>
      <c r="E57" s="24" t="inlineStr">
        <is>
          <t>26082704</t>
        </is>
      </c>
      <c r="F57" s="25">
        <f>IF(E57="","",IF(COUNTIF(lst_Jobs,E57&amp;"")&gt;0,"OK","CHECK"))</f>
        <v/>
      </c>
      <c r="G57" s="24" t="inlineStr">
        <is>
          <t>STL Travel (SYD-PER)</t>
        </is>
      </c>
      <c r="H57" s="24" t="inlineStr">
        <is>
          <t>Onsite</t>
        </is>
      </c>
      <c r="I57" s="24" t="inlineStr">
        <is>
          <t>ONSITE</t>
        </is>
      </c>
      <c r="J57" s="24" t="inlineStr">
        <is>
          <t>Contract</t>
        </is>
      </c>
      <c r="K57" s="24" t="inlineStr">
        <is>
          <t>GST 10%</t>
        </is>
      </c>
      <c r="L57" s="26" t="n">
        <v>7735</v>
      </c>
      <c r="M57" s="27">
        <f>IF(L57="","",IF(K57="GST 10%",ROUND(L57*set_GSTRate,2),0))</f>
        <v/>
      </c>
      <c r="N57" s="27">
        <f>IF(L57="","",L57+M57)</f>
        <v/>
      </c>
      <c r="O57" s="24" t="inlineStr">
        <is>
          <t>41100</t>
        </is>
      </c>
      <c r="P57" s="24" t="inlineStr">
        <is>
          <t>N</t>
        </is>
      </c>
      <c r="Q57" s="24" t="inlineStr">
        <is>
          <t>N</t>
        </is>
      </c>
      <c r="R57" s="22" t="n"/>
      <c r="S57" s="22" t="n"/>
      <c r="T57" s="24" t="inlineStr">
        <is>
          <t>To Invoice</t>
        </is>
      </c>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inlineStr">
        <is>
          <t>CBA</t>
        </is>
      </c>
      <c r="E58" s="24" t="inlineStr">
        <is>
          <t>26043001</t>
        </is>
      </c>
      <c r="F58" s="25">
        <f>IF(E58="","",IF(COUNTIF(lst_Jobs,E58&amp;"")&gt;0,"OK","CHECK"))</f>
        <v/>
      </c>
      <c r="G58" s="24" t="n"/>
      <c r="H58" s="24" t="inlineStr">
        <is>
          <t>Onsite</t>
        </is>
      </c>
      <c r="I58" s="24" t="inlineStr">
        <is>
          <t>ONSITE</t>
        </is>
      </c>
      <c r="J58" s="24" t="inlineStr">
        <is>
          <t>Contract</t>
        </is>
      </c>
      <c r="K58" s="24" t="inlineStr">
        <is>
          <t>GST 10%</t>
        </is>
      </c>
      <c r="L58" s="26" t="n"/>
      <c r="M58" s="27">
        <f>IF(L58="","",IF(K58="GST 10%",ROUND(L58*set_GSTRate,2),0))</f>
        <v/>
      </c>
      <c r="N58" s="27">
        <f>IF(L58="","",L58+M58)</f>
        <v/>
      </c>
      <c r="O58" s="24" t="inlineStr">
        <is>
          <t>41100</t>
        </is>
      </c>
      <c r="P58" s="24" t="inlineStr">
        <is>
          <t>N</t>
        </is>
      </c>
      <c r="Q58" s="24" t="inlineStr">
        <is>
          <t>N</t>
        </is>
      </c>
      <c r="R58" s="22" t="n"/>
      <c r="S58" s="22" t="n"/>
      <c r="T58" s="24" t="inlineStr">
        <is>
          <t>To Invoice</t>
        </is>
      </c>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v>46205</v>
      </c>
      <c r="B59" s="23">
        <f>IF(A59="","",EOMONTH(A59,0))</f>
        <v/>
      </c>
      <c r="C59" s="24" t="inlineStr">
        <is>
          <t>INV-10513</t>
        </is>
      </c>
      <c r="D59" s="24" t="inlineStr">
        <is>
          <t>Elkiem</t>
        </is>
      </c>
      <c r="E59" s="24" t="inlineStr">
        <is>
          <t>2602309</t>
        </is>
      </c>
      <c r="F59" s="25">
        <f>IF(E59="","",IF(COUNTIF(lst_Jobs,E59&amp;"")&gt;0,"OK","CHECK"))</f>
        <v/>
      </c>
      <c r="G59" s="24" t="inlineStr">
        <is>
          <t>Studio Support | 1.7.26</t>
        </is>
      </c>
      <c r="H59" s="24" t="inlineStr">
        <is>
          <t>Production</t>
        </is>
      </c>
      <c r="I59" s="24" t="inlineStr">
        <is>
          <t>PRODUCTION</t>
        </is>
      </c>
      <c r="J59" s="24" t="inlineStr">
        <is>
          <t>Project</t>
        </is>
      </c>
      <c r="K59" s="24" t="inlineStr">
        <is>
          <t>GST 10%</t>
        </is>
      </c>
      <c r="L59" s="26" t="n">
        <v>380</v>
      </c>
      <c r="M59" s="27">
        <f>IF(L59="","",IF(K59="GST 10%",ROUND(L59*set_GSTRate,2),0))</f>
        <v/>
      </c>
      <c r="N59" s="27">
        <f>IF(L59="","",L59+M59)</f>
        <v/>
      </c>
      <c r="O59" s="24" t="inlineStr">
        <is>
          <t>42100</t>
        </is>
      </c>
      <c r="P59" s="24" t="inlineStr">
        <is>
          <t>Y</t>
        </is>
      </c>
      <c r="Q59" s="24" t="inlineStr">
        <is>
          <t>N</t>
        </is>
      </c>
      <c r="R59" s="22" t="n"/>
      <c r="S59" s="22" t="n"/>
      <c r="T59" s="24" t="inlineStr">
        <is>
          <t>Invoiced</t>
        </is>
      </c>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v>46210</v>
      </c>
      <c r="B60" s="23">
        <f>IF(A60="","",EOMONTH(A60,0))</f>
        <v/>
      </c>
      <c r="C60" s="24" t="inlineStr">
        <is>
          <t>INV-10519</t>
        </is>
      </c>
      <c r="D60" s="24" t="inlineStr">
        <is>
          <t>RSNSW</t>
        </is>
      </c>
      <c r="E60" s="24" t="inlineStr">
        <is>
          <t>26032301</t>
        </is>
      </c>
      <c r="F60" s="25">
        <f>IF(E60="","",IF(COUNTIF(lst_Jobs,E60&amp;"")&gt;0,"OK","CHECK"))</f>
        <v/>
      </c>
      <c r="G60" s="24" t="inlineStr">
        <is>
          <t>Ordinary General Meeting | 1.7.26</t>
        </is>
      </c>
      <c r="H60" s="24" t="inlineStr">
        <is>
          <t>Production</t>
        </is>
      </c>
      <c r="I60" s="24" t="inlineStr">
        <is>
          <t>PRODUCTION</t>
        </is>
      </c>
      <c r="J60" s="24" t="inlineStr">
        <is>
          <t>Project</t>
        </is>
      </c>
      <c r="K60" s="24" t="inlineStr">
        <is>
          <t>GST 10%</t>
        </is>
      </c>
      <c r="L60" s="26" t="n">
        <v>2042</v>
      </c>
      <c r="M60" s="27">
        <f>IF(L60="","",IF(K60="GST 10%",ROUND(L60*set_GSTRate,2),0))</f>
        <v/>
      </c>
      <c r="N60" s="27">
        <f>IF(L60="","",L60+M60)</f>
        <v/>
      </c>
      <c r="O60" s="24" t="inlineStr">
        <is>
          <t>42100</t>
        </is>
      </c>
      <c r="P60" s="24" t="inlineStr">
        <is>
          <t>Y</t>
        </is>
      </c>
      <c r="Q60" s="24" t="inlineStr">
        <is>
          <t>N</t>
        </is>
      </c>
      <c r="R60" s="22" t="n"/>
      <c r="S60" s="22" t="n"/>
      <c r="T60" s="24" t="inlineStr">
        <is>
          <t>Invoiced</t>
        </is>
      </c>
      <c r="U60" s="24" t="inlineStr">
        <is>
          <t>Production portion of this invoice</t>
        </is>
      </c>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v>46210</v>
      </c>
      <c r="B61" s="23">
        <f>IF(A61="","",EOMONTH(A61,0))</f>
        <v/>
      </c>
      <c r="C61" s="24" t="inlineStr">
        <is>
          <t>INV-10519</t>
        </is>
      </c>
      <c r="D61" s="24" t="inlineStr">
        <is>
          <t>RSNSW</t>
        </is>
      </c>
      <c r="E61" s="24" t="inlineStr">
        <is>
          <t>26032301</t>
        </is>
      </c>
      <c r="F61" s="25">
        <f>IF(E61="","",IF(COUNTIF(lst_Jobs,E61&amp;"")&gt;0,"OK","CHECK"))</f>
        <v/>
      </c>
      <c r="G61" s="24" t="inlineStr">
        <is>
          <t>Ordinary General Meeting | 1.7.26</t>
        </is>
      </c>
      <c r="H61" s="24" t="inlineStr">
        <is>
          <t>Production</t>
        </is>
      </c>
      <c r="I61" s="24" t="inlineStr">
        <is>
          <t>VIDEO</t>
        </is>
      </c>
      <c r="J61" s="24" t="inlineStr">
        <is>
          <t>Project</t>
        </is>
      </c>
      <c r="K61" s="24" t="inlineStr">
        <is>
          <t>GST 10%</t>
        </is>
      </c>
      <c r="L61" s="26" t="n">
        <v>1029</v>
      </c>
      <c r="M61" s="27">
        <f>IF(L61="","",IF(K61="GST 10%",ROUND(L61*set_GSTRate,2),0))</f>
        <v/>
      </c>
      <c r="N61" s="27">
        <f>IF(L61="","",L61+M61)</f>
        <v/>
      </c>
      <c r="O61" s="24" t="inlineStr">
        <is>
          <t>42150</t>
        </is>
      </c>
      <c r="P61" s="24" t="inlineStr">
        <is>
          <t>Y</t>
        </is>
      </c>
      <c r="Q61" s="24" t="inlineStr">
        <is>
          <t>N</t>
        </is>
      </c>
      <c r="R61" s="22" t="n"/>
      <c r="S61" s="22" t="n"/>
      <c r="T61" s="24" t="inlineStr">
        <is>
          <t>Invoiced</t>
        </is>
      </c>
      <c r="U61" s="24" t="inlineStr">
        <is>
          <t>Video portion of this invoice</t>
        </is>
      </c>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v>46210</v>
      </c>
      <c r="B62" s="23">
        <f>IF(A62="","",EOMONTH(A62,0))</f>
        <v/>
      </c>
      <c r="C62" s="24" t="inlineStr">
        <is>
          <t>INV-10515</t>
        </is>
      </c>
      <c r="D62" s="24" t="inlineStr">
        <is>
          <t>PWC</t>
        </is>
      </c>
      <c r="E62" s="24" t="inlineStr">
        <is>
          <t>26062201</t>
        </is>
      </c>
      <c r="F62" s="25">
        <f>IF(E62="","",IF(COUNTIF(lst_Jobs,E62&amp;"")&gt;0,"OK","CHECK"))</f>
        <v/>
      </c>
      <c r="G62" s="24" t="inlineStr">
        <is>
          <t>Tax and Legal Webcast 2.7.26</t>
        </is>
      </c>
      <c r="H62" s="24" t="inlineStr">
        <is>
          <t>Production</t>
        </is>
      </c>
      <c r="I62" s="24" t="inlineStr">
        <is>
          <t>PRODUCTION</t>
        </is>
      </c>
      <c r="J62" s="24" t="inlineStr">
        <is>
          <t>Project</t>
        </is>
      </c>
      <c r="K62" s="24" t="inlineStr">
        <is>
          <t>GST 10%</t>
        </is>
      </c>
      <c r="L62" s="26" t="n">
        <v>955</v>
      </c>
      <c r="M62" s="27">
        <f>IF(L62="","",IF(K62="GST 10%",ROUND(L62*set_GSTRate,2),0))</f>
        <v/>
      </c>
      <c r="N62" s="27">
        <f>IF(L62="","",L62+M62)</f>
        <v/>
      </c>
      <c r="O62" s="24" t="inlineStr">
        <is>
          <t>42100</t>
        </is>
      </c>
      <c r="P62" s="24" t="inlineStr">
        <is>
          <t>Y</t>
        </is>
      </c>
      <c r="Q62" s="24" t="inlineStr">
        <is>
          <t>N</t>
        </is>
      </c>
      <c r="R62" s="22" t="n"/>
      <c r="S62" s="22" t="n"/>
      <c r="T62" s="24" t="inlineStr">
        <is>
          <t>Invoiced</t>
        </is>
      </c>
      <c r="U62" s="24" t="inlineStr">
        <is>
          <t>Production portion of this invoice</t>
        </is>
      </c>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v>46210</v>
      </c>
      <c r="B63" s="23">
        <f>IF(A63="","",EOMONTH(A63,0))</f>
        <v/>
      </c>
      <c r="C63" s="24" t="inlineStr">
        <is>
          <t>INV-10515</t>
        </is>
      </c>
      <c r="D63" s="24" t="inlineStr">
        <is>
          <t>PWC</t>
        </is>
      </c>
      <c r="E63" s="24" t="inlineStr">
        <is>
          <t>26062201</t>
        </is>
      </c>
      <c r="F63" s="25">
        <f>IF(E63="","",IF(COUNTIF(lst_Jobs,E63&amp;"")&gt;0,"OK","CHECK"))</f>
        <v/>
      </c>
      <c r="G63" s="24" t="inlineStr">
        <is>
          <t>Tax and Legal Webcast 2.7.26</t>
        </is>
      </c>
      <c r="H63" s="24" t="inlineStr">
        <is>
          <t>Production</t>
        </is>
      </c>
      <c r="I63" s="24" t="inlineStr">
        <is>
          <t>VIDEO</t>
        </is>
      </c>
      <c r="J63" s="24" t="inlineStr">
        <is>
          <t>Project</t>
        </is>
      </c>
      <c r="K63" s="24" t="inlineStr">
        <is>
          <t>GST 10%</t>
        </is>
      </c>
      <c r="L63" s="26" t="n">
        <v>970</v>
      </c>
      <c r="M63" s="27">
        <f>IF(L63="","",IF(K63="GST 10%",ROUND(L63*set_GSTRate,2),0))</f>
        <v/>
      </c>
      <c r="N63" s="27">
        <f>IF(L63="","",L63+M63)</f>
        <v/>
      </c>
      <c r="O63" s="24" t="inlineStr">
        <is>
          <t>42150</t>
        </is>
      </c>
      <c r="P63" s="24" t="inlineStr">
        <is>
          <t>Y</t>
        </is>
      </c>
      <c r="Q63" s="24" t="inlineStr">
        <is>
          <t>N</t>
        </is>
      </c>
      <c r="R63" s="22" t="n"/>
      <c r="S63" s="22" t="n"/>
      <c r="T63" s="24" t="inlineStr">
        <is>
          <t>Invoiced</t>
        </is>
      </c>
      <c r="U63" s="24" t="inlineStr">
        <is>
          <t>Video portion of this invoice</t>
        </is>
      </c>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v>46219</v>
      </c>
      <c r="B64" s="23">
        <f>IF(A64="","",EOMONTH(A64,0))</f>
        <v/>
      </c>
      <c r="C64" s="24" t="inlineStr">
        <is>
          <t>INV-10524</t>
        </is>
      </c>
      <c r="D64" s="24" t="inlineStr">
        <is>
          <t>Elkiem - PM** Cancelled</t>
        </is>
      </c>
      <c r="E64" s="24" t="inlineStr">
        <is>
          <t>2605802</t>
        </is>
      </c>
      <c r="F64" s="25">
        <f>IF(E64="","",IF(COUNTIF(lst_Jobs,E64&amp;"")&gt;0,"OK","CHECK"))</f>
        <v/>
      </c>
      <c r="G64" s="24" t="inlineStr">
        <is>
          <t>Elkiem Studio Support | 15.7.26</t>
        </is>
      </c>
      <c r="H64" s="24" t="inlineStr">
        <is>
          <t>Production</t>
        </is>
      </c>
      <c r="I64" s="24" t="inlineStr">
        <is>
          <t>PRODUCTION</t>
        </is>
      </c>
      <c r="J64" s="24" t="inlineStr">
        <is>
          <t>Project</t>
        </is>
      </c>
      <c r="K64" s="24" t="inlineStr">
        <is>
          <t>GST 10%</t>
        </is>
      </c>
      <c r="L64" s="26" t="n">
        <v>261.25</v>
      </c>
      <c r="M64" s="27">
        <f>IF(L64="","",IF(K64="GST 10%",ROUND(L64*set_GSTRate,2),0))</f>
        <v/>
      </c>
      <c r="N64" s="27">
        <f>IF(L64="","",L64+M64)</f>
        <v/>
      </c>
      <c r="O64" s="24" t="inlineStr">
        <is>
          <t>42100</t>
        </is>
      </c>
      <c r="P64" s="24" t="inlineStr">
        <is>
          <t>Y</t>
        </is>
      </c>
      <c r="Q64" s="24" t="inlineStr">
        <is>
          <t>N</t>
        </is>
      </c>
      <c r="R64" s="22" t="n"/>
      <c r="S64" s="22" t="n"/>
      <c r="T64" s="24" t="inlineStr">
        <is>
          <t>Invoiced</t>
        </is>
      </c>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v>46210</v>
      </c>
      <c r="B65" s="23">
        <f>IF(A65="","",EOMONTH(A65,0))</f>
        <v/>
      </c>
      <c r="C65" s="24" t="inlineStr">
        <is>
          <t>INV-10518</t>
        </is>
      </c>
      <c r="D65" s="24" t="inlineStr">
        <is>
          <t>Litecard</t>
        </is>
      </c>
      <c r="E65" s="24" t="inlineStr">
        <is>
          <t>2607701</t>
        </is>
      </c>
      <c r="F65" s="25">
        <f>IF(E65="","",IF(COUNTIF(lst_Jobs,E65&amp;"")&gt;0,"OK","CHECK"))</f>
        <v/>
      </c>
      <c r="G65" s="24" t="inlineStr">
        <is>
          <t>Screen &amp; Mic Hire 16.7.26</t>
        </is>
      </c>
      <c r="H65" s="24" t="inlineStr">
        <is>
          <t>Production</t>
        </is>
      </c>
      <c r="I65" s="24" t="inlineStr">
        <is>
          <t>PRODUCTION</t>
        </is>
      </c>
      <c r="J65" s="24" t="inlineStr">
        <is>
          <t>Project</t>
        </is>
      </c>
      <c r="K65" s="24" t="inlineStr">
        <is>
          <t>GST 10%</t>
        </is>
      </c>
      <c r="L65" s="26" t="n">
        <v>500</v>
      </c>
      <c r="M65" s="27">
        <f>IF(L65="","",IF(K65="GST 10%",ROUND(L65*set_GSTRate,2),0))</f>
        <v/>
      </c>
      <c r="N65" s="27">
        <f>IF(L65="","",L65+M65)</f>
        <v/>
      </c>
      <c r="O65" s="24" t="inlineStr">
        <is>
          <t>42100</t>
        </is>
      </c>
      <c r="P65" s="24" t="inlineStr">
        <is>
          <t>Y</t>
        </is>
      </c>
      <c r="Q65" s="24" t="inlineStr">
        <is>
          <t>N</t>
        </is>
      </c>
      <c r="R65" s="22" t="n"/>
      <c r="S65" s="22" t="n"/>
      <c r="T65" s="24" t="inlineStr">
        <is>
          <t>Invoiced</t>
        </is>
      </c>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v>46216</v>
      </c>
      <c r="B66" s="23">
        <f>IF(A66="","",EOMONTH(A66,0))</f>
        <v/>
      </c>
      <c r="C66" s="24" t="inlineStr">
        <is>
          <t>INV-10522</t>
        </is>
      </c>
      <c r="D66" s="24" t="inlineStr">
        <is>
          <t>Litecard</t>
        </is>
      </c>
      <c r="E66" s="24" t="inlineStr">
        <is>
          <t>2607701</t>
        </is>
      </c>
      <c r="F66" s="25">
        <f>IF(E66="","",IF(COUNTIF(lst_Jobs,E66&amp;"")&gt;0,"OK","CHECK"))</f>
        <v/>
      </c>
      <c r="G66" s="24" t="inlineStr">
        <is>
          <t>Litecard - Event Photographer - 16.7.26</t>
        </is>
      </c>
      <c r="H66" s="24" t="inlineStr">
        <is>
          <t>Production</t>
        </is>
      </c>
      <c r="I66" s="24" t="inlineStr">
        <is>
          <t>VIDEO</t>
        </is>
      </c>
      <c r="J66" s="24" t="inlineStr">
        <is>
          <t>Project</t>
        </is>
      </c>
      <c r="K66" s="24" t="inlineStr">
        <is>
          <t>GST 10%</t>
        </is>
      </c>
      <c r="L66" s="26" t="n">
        <v>550</v>
      </c>
      <c r="M66" s="27">
        <f>IF(L66="","",IF(K66="GST 10%",ROUND(L66*set_GSTRate,2),0))</f>
        <v/>
      </c>
      <c r="N66" s="27">
        <f>IF(L66="","",L66+M66)</f>
        <v/>
      </c>
      <c r="O66" s="24" t="inlineStr">
        <is>
          <t>42150</t>
        </is>
      </c>
      <c r="P66" s="24" t="inlineStr">
        <is>
          <t>Y</t>
        </is>
      </c>
      <c r="Q66" s="24" t="inlineStr">
        <is>
          <t>N</t>
        </is>
      </c>
      <c r="R66" s="22" t="n"/>
      <c r="S66" s="22" t="n"/>
      <c r="T66" s="24" t="inlineStr">
        <is>
          <t>Invoiced</t>
        </is>
      </c>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v>46234</v>
      </c>
      <c r="B67" s="23">
        <f>IF(A67="","",EOMONTH(A67,0))</f>
        <v/>
      </c>
      <c r="C67" s="24" t="inlineStr">
        <is>
          <t>INV-10554</t>
        </is>
      </c>
      <c r="D67" s="24" t="inlineStr">
        <is>
          <t>Microsoft</t>
        </is>
      </c>
      <c r="E67" s="24" t="inlineStr">
        <is>
          <t>26052703</t>
        </is>
      </c>
      <c r="F67" s="25">
        <f>IF(E67="","",IF(COUNTIF(lst_Jobs,E67&amp;"")&gt;0,"OK","CHECK"))</f>
        <v/>
      </c>
      <c r="G67" s="24" t="inlineStr">
        <is>
          <t>Microsoft Town Hall 21.7.26</t>
        </is>
      </c>
      <c r="H67" s="24" t="inlineStr">
        <is>
          <t>Production</t>
        </is>
      </c>
      <c r="I67" s="24" t="inlineStr">
        <is>
          <t>PRODUCTION</t>
        </is>
      </c>
      <c r="J67" s="24" t="inlineStr">
        <is>
          <t>Project</t>
        </is>
      </c>
      <c r="K67" s="24" t="inlineStr">
        <is>
          <t>GST 10%</t>
        </is>
      </c>
      <c r="L67" s="26" t="n">
        <v>10885</v>
      </c>
      <c r="M67" s="27">
        <f>IF(L67="","",IF(K67="GST 10%",ROUND(L67*set_GSTRate,2),0))</f>
        <v/>
      </c>
      <c r="N67" s="27">
        <f>IF(L67="","",L67+M67)</f>
        <v/>
      </c>
      <c r="O67" s="24" t="inlineStr">
        <is>
          <t>42100</t>
        </is>
      </c>
      <c r="P67" s="24" t="inlineStr">
        <is>
          <t>Y</t>
        </is>
      </c>
      <c r="Q67" s="24" t="inlineStr">
        <is>
          <t>N</t>
        </is>
      </c>
      <c r="R67" s="22" t="n"/>
      <c r="S67" s="22" t="n"/>
      <c r="T67" s="24" t="inlineStr">
        <is>
          <t>Invoiced</t>
        </is>
      </c>
      <c r="U67" s="24" t="inlineStr">
        <is>
          <t>Production portion of this invoice</t>
        </is>
      </c>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v>46234</v>
      </c>
      <c r="B68" s="23">
        <f>IF(A68="","",EOMONTH(A68,0))</f>
        <v/>
      </c>
      <c r="C68" s="24" t="inlineStr">
        <is>
          <t>INV-10554</t>
        </is>
      </c>
      <c r="D68" s="24" t="inlineStr">
        <is>
          <t>Microsoft</t>
        </is>
      </c>
      <c r="E68" s="24" t="inlineStr">
        <is>
          <t>26052703</t>
        </is>
      </c>
      <c r="F68" s="25">
        <f>IF(E68="","",IF(COUNTIF(lst_Jobs,E68&amp;"")&gt;0,"OK","CHECK"))</f>
        <v/>
      </c>
      <c r="G68" s="24" t="inlineStr">
        <is>
          <t>Microsoft Town Hall 21.7.26</t>
        </is>
      </c>
      <c r="H68" s="24" t="inlineStr">
        <is>
          <t>Production</t>
        </is>
      </c>
      <c r="I68" s="24" t="inlineStr">
        <is>
          <t>VIDEO</t>
        </is>
      </c>
      <c r="J68" s="24" t="inlineStr">
        <is>
          <t>Project</t>
        </is>
      </c>
      <c r="K68" s="24" t="inlineStr">
        <is>
          <t>GST 10%</t>
        </is>
      </c>
      <c r="L68" s="26" t="n">
        <v>1702</v>
      </c>
      <c r="M68" s="27">
        <f>IF(L68="","",IF(K68="GST 10%",ROUND(L68*set_GSTRate,2),0))</f>
        <v/>
      </c>
      <c r="N68" s="27">
        <f>IF(L68="","",L68+M68)</f>
        <v/>
      </c>
      <c r="O68" s="24" t="inlineStr">
        <is>
          <t>42150</t>
        </is>
      </c>
      <c r="P68" s="24" t="inlineStr">
        <is>
          <t>Y</t>
        </is>
      </c>
      <c r="Q68" s="24" t="inlineStr">
        <is>
          <t>N</t>
        </is>
      </c>
      <c r="R68" s="22" t="n"/>
      <c r="S68" s="22" t="n"/>
      <c r="T68" s="24" t="inlineStr">
        <is>
          <t>Invoiced</t>
        </is>
      </c>
      <c r="U68" s="24" t="inlineStr">
        <is>
          <t>Video portion of this invoice</t>
        </is>
      </c>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v>46232</v>
      </c>
      <c r="B69" s="23">
        <f>IF(A69="","",EOMONTH(A69,0))</f>
        <v/>
      </c>
      <c r="C69" s="24" t="inlineStr">
        <is>
          <t>INV-10538</t>
        </is>
      </c>
      <c r="D69" s="24" t="inlineStr">
        <is>
          <t>Optiver</t>
        </is>
      </c>
      <c r="E69" s="24" t="inlineStr">
        <is>
          <t>26041603</t>
        </is>
      </c>
      <c r="F69" s="25">
        <f>IF(E69="","",IF(COUNTIF(lst_Jobs,E69&amp;"")&gt;0,"OK","CHECK"))</f>
        <v/>
      </c>
      <c r="G69" s="24" t="inlineStr">
        <is>
          <t>Mid-Year Town Hall 23.7.26</t>
        </is>
      </c>
      <c r="H69" s="24" t="inlineStr">
        <is>
          <t>Production</t>
        </is>
      </c>
      <c r="I69" s="24" t="inlineStr">
        <is>
          <t>PRODUCTION</t>
        </is>
      </c>
      <c r="J69" s="24" t="inlineStr">
        <is>
          <t>Project</t>
        </is>
      </c>
      <c r="K69" s="24" t="inlineStr">
        <is>
          <t>GST 10%</t>
        </is>
      </c>
      <c r="L69" s="26" t="n">
        <v>745</v>
      </c>
      <c r="M69" s="27">
        <f>IF(L69="","",IF(K69="GST 10%",ROUND(L69*set_GSTRate,2),0))</f>
        <v/>
      </c>
      <c r="N69" s="27">
        <f>IF(L69="","",L69+M69)</f>
        <v/>
      </c>
      <c r="O69" s="24" t="inlineStr">
        <is>
          <t>42100</t>
        </is>
      </c>
      <c r="P69" s="24" t="inlineStr">
        <is>
          <t>Y</t>
        </is>
      </c>
      <c r="Q69" s="24" t="inlineStr">
        <is>
          <t>N</t>
        </is>
      </c>
      <c r="R69" s="22" t="n"/>
      <c r="S69" s="22" t="n"/>
      <c r="T69" s="24" t="inlineStr">
        <is>
          <t>Invoiced</t>
        </is>
      </c>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v>46234</v>
      </c>
      <c r="B70" s="23">
        <f>IF(A70="","",EOMONTH(A70,0))</f>
        <v/>
      </c>
      <c r="C70" s="24" t="inlineStr">
        <is>
          <t>INV-10540</t>
        </is>
      </c>
      <c r="D70" s="24" t="inlineStr">
        <is>
          <t>Arup</t>
        </is>
      </c>
      <c r="E70" s="24" t="inlineStr">
        <is>
          <t>2605403</t>
        </is>
      </c>
      <c r="F70" s="25">
        <f>IF(E70="","",IF(COUNTIF(lst_Jobs,E70&amp;"")&gt;0,"OK","CHECK"))</f>
        <v/>
      </c>
      <c r="G70" s="24" t="inlineStr">
        <is>
          <t>Oves Awards Night 23.7.26</t>
        </is>
      </c>
      <c r="H70" s="24" t="inlineStr">
        <is>
          <t>Production</t>
        </is>
      </c>
      <c r="I70" s="24" t="inlineStr">
        <is>
          <t>PRODUCTION</t>
        </is>
      </c>
      <c r="J70" s="24" t="inlineStr">
        <is>
          <t>Project</t>
        </is>
      </c>
      <c r="K70" s="24" t="inlineStr">
        <is>
          <t>GST 10%</t>
        </is>
      </c>
      <c r="L70" s="26" t="n">
        <v>5460</v>
      </c>
      <c r="M70" s="27">
        <f>IF(L70="","",IF(K70="GST 10%",ROUND(L70*set_GSTRate,2),0))</f>
        <v/>
      </c>
      <c r="N70" s="27">
        <f>IF(L70="","",L70+M70)</f>
        <v/>
      </c>
      <c r="O70" s="24" t="inlineStr">
        <is>
          <t>42100</t>
        </is>
      </c>
      <c r="P70" s="24" t="inlineStr">
        <is>
          <t>Y</t>
        </is>
      </c>
      <c r="Q70" s="24" t="inlineStr">
        <is>
          <t>N</t>
        </is>
      </c>
      <c r="R70" s="22" t="n"/>
      <c r="S70" s="22" t="n"/>
      <c r="T70" s="24" t="inlineStr">
        <is>
          <t>Invoiced</t>
        </is>
      </c>
      <c r="U70" s="24" t="inlineStr">
        <is>
          <t>Production portion of this invoice</t>
        </is>
      </c>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v>46234</v>
      </c>
      <c r="B71" s="23">
        <f>IF(A71="","",EOMONTH(A71,0))</f>
        <v/>
      </c>
      <c r="C71" s="24" t="inlineStr">
        <is>
          <t>INV-10540</t>
        </is>
      </c>
      <c r="D71" s="24" t="inlineStr">
        <is>
          <t>Arup</t>
        </is>
      </c>
      <c r="E71" s="24" t="inlineStr">
        <is>
          <t>2605403</t>
        </is>
      </c>
      <c r="F71" s="25">
        <f>IF(E71="","",IF(COUNTIF(lst_Jobs,E71&amp;"")&gt;0,"OK","CHECK"))</f>
        <v/>
      </c>
      <c r="G71" s="24" t="inlineStr">
        <is>
          <t>Oves Awards Night 23.7.26</t>
        </is>
      </c>
      <c r="H71" s="24" t="inlineStr">
        <is>
          <t>Production</t>
        </is>
      </c>
      <c r="I71" s="24" t="inlineStr">
        <is>
          <t>VIDEO</t>
        </is>
      </c>
      <c r="J71" s="24" t="inlineStr">
        <is>
          <t>Project</t>
        </is>
      </c>
      <c r="K71" s="24" t="inlineStr">
        <is>
          <t>GST 10%</t>
        </is>
      </c>
      <c r="L71" s="26" t="n">
        <v>176</v>
      </c>
      <c r="M71" s="27">
        <f>IF(L71="","",IF(K71="GST 10%",ROUND(L71*set_GSTRate,2),0))</f>
        <v/>
      </c>
      <c r="N71" s="27">
        <f>IF(L71="","",L71+M71)</f>
        <v/>
      </c>
      <c r="O71" s="24" t="inlineStr">
        <is>
          <t>42150</t>
        </is>
      </c>
      <c r="P71" s="24" t="inlineStr">
        <is>
          <t>Y</t>
        </is>
      </c>
      <c r="Q71" s="24" t="inlineStr">
        <is>
          <t>N</t>
        </is>
      </c>
      <c r="R71" s="22" t="n"/>
      <c r="S71" s="22" t="n"/>
      <c r="T71" s="24" t="inlineStr">
        <is>
          <t>Invoiced</t>
        </is>
      </c>
      <c r="U71" s="24" t="inlineStr">
        <is>
          <t>Video portion of this invoice</t>
        </is>
      </c>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v>46234</v>
      </c>
      <c r="B72" s="23">
        <f>IF(A72="","",EOMONTH(A72,0))</f>
        <v/>
      </c>
      <c r="C72" s="24" t="inlineStr">
        <is>
          <t>INV-10552</t>
        </is>
      </c>
      <c r="D72" s="24" t="inlineStr">
        <is>
          <t>On24</t>
        </is>
      </c>
      <c r="E72" s="24" t="inlineStr">
        <is>
          <t>2607901</t>
        </is>
      </c>
      <c r="F72" s="25">
        <f>IF(E72="","",IF(COUNTIF(lst_Jobs,E72&amp;"")&gt;0,"OK","CHECK"))</f>
        <v/>
      </c>
      <c r="G72" s="24" t="inlineStr">
        <is>
          <t>KWM Event 23.7.26 (PO #25962)</t>
        </is>
      </c>
      <c r="H72" s="24" t="inlineStr">
        <is>
          <t>Production</t>
        </is>
      </c>
      <c r="I72" s="24" t="inlineStr">
        <is>
          <t>PRODUCTION</t>
        </is>
      </c>
      <c r="J72" s="24" t="inlineStr">
        <is>
          <t>Project</t>
        </is>
      </c>
      <c r="K72" s="24" t="inlineStr">
        <is>
          <t>GST 10%</t>
        </is>
      </c>
      <c r="L72" s="26" t="n">
        <v>2575</v>
      </c>
      <c r="M72" s="27">
        <f>IF(L72="","",IF(K72="GST 10%",ROUND(L72*set_GSTRate,2),0))</f>
        <v/>
      </c>
      <c r="N72" s="27">
        <f>IF(L72="","",L72+M72)</f>
        <v/>
      </c>
      <c r="O72" s="24" t="inlineStr">
        <is>
          <t>42100</t>
        </is>
      </c>
      <c r="P72" s="24" t="inlineStr">
        <is>
          <t>Y</t>
        </is>
      </c>
      <c r="Q72" s="24" t="inlineStr">
        <is>
          <t>N</t>
        </is>
      </c>
      <c r="R72" s="22" t="n"/>
      <c r="S72" s="22" t="n"/>
      <c r="T72" s="24" t="inlineStr">
        <is>
          <t>Invoiced</t>
        </is>
      </c>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v>46223</v>
      </c>
      <c r="B73" s="23">
        <f>IF(A73="","",EOMONTH(A73,0))</f>
        <v/>
      </c>
      <c r="C73" s="24" t="inlineStr">
        <is>
          <t>INV-10533</t>
        </is>
      </c>
      <c r="D73" s="24" t="inlineStr">
        <is>
          <t>Skykick Ranger</t>
        </is>
      </c>
      <c r="E73" s="24" t="inlineStr">
        <is>
          <t>26063001</t>
        </is>
      </c>
      <c r="F73" s="25">
        <f>IF(E73="","",IF(COUNTIF(lst_Jobs,E73&amp;"")&gt;0,"OK","CHECK"))</f>
        <v/>
      </c>
      <c r="G73" s="24" t="inlineStr">
        <is>
          <t>Sydney Performance Dry Hire 26.7.26</t>
        </is>
      </c>
      <c r="H73" s="24" t="inlineStr">
        <is>
          <t>Production</t>
        </is>
      </c>
      <c r="I73" s="24" t="inlineStr">
        <is>
          <t>PRODUCTION</t>
        </is>
      </c>
      <c r="J73" s="24" t="inlineStr">
        <is>
          <t>Project</t>
        </is>
      </c>
      <c r="K73" s="24" t="inlineStr">
        <is>
          <t>GST 10%</t>
        </is>
      </c>
      <c r="L73" s="26" t="n">
        <v>975</v>
      </c>
      <c r="M73" s="27">
        <f>IF(L73="","",IF(K73="GST 10%",ROUND(L73*set_GSTRate,2),0))</f>
        <v/>
      </c>
      <c r="N73" s="27">
        <f>IF(L73="","",L73+M73)</f>
        <v/>
      </c>
      <c r="O73" s="24" t="inlineStr">
        <is>
          <t>42100</t>
        </is>
      </c>
      <c r="P73" s="24" t="inlineStr">
        <is>
          <t>Y</t>
        </is>
      </c>
      <c r="Q73" s="24" t="inlineStr">
        <is>
          <t>N</t>
        </is>
      </c>
      <c r="R73" s="22" t="n"/>
      <c r="S73" s="22" t="n"/>
      <c r="T73" s="24" t="inlineStr">
        <is>
          <t>Invoiced</t>
        </is>
      </c>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v>46234</v>
      </c>
      <c r="B74" s="23">
        <f>IF(A74="","",EOMONTH(A74,0))</f>
        <v/>
      </c>
      <c r="C74" s="24" t="inlineStr">
        <is>
          <t>INV-10557</t>
        </is>
      </c>
      <c r="D74" s="24" t="inlineStr">
        <is>
          <t>Ventia</t>
        </is>
      </c>
      <c r="E74" s="24" t="inlineStr">
        <is>
          <t>2604202</t>
        </is>
      </c>
      <c r="F74" s="25">
        <f>IF(E74="","",IF(COUNTIF(lst_Jobs,E74&amp;"")&gt;0,"OK","CHECK"))</f>
        <v/>
      </c>
      <c r="G74" s="24" t="inlineStr">
        <is>
          <t>Ventia Awards 28 &amp; 30.7.26 (PO 4701355678)</t>
        </is>
      </c>
      <c r="H74" s="24" t="inlineStr">
        <is>
          <t>Production</t>
        </is>
      </c>
      <c r="I74" s="24" t="inlineStr">
        <is>
          <t>PRODUCTION</t>
        </is>
      </c>
      <c r="J74" s="24" t="inlineStr">
        <is>
          <t>Project</t>
        </is>
      </c>
      <c r="K74" s="24" t="inlineStr">
        <is>
          <t>GST 10%</t>
        </is>
      </c>
      <c r="L74" s="26" t="n">
        <v>52749.78</v>
      </c>
      <c r="M74" s="27">
        <f>IF(L74="","",IF(K74="GST 10%",ROUND(L74*set_GSTRate,2),0))</f>
        <v/>
      </c>
      <c r="N74" s="27">
        <f>IF(L74="","",L74+M74)</f>
        <v/>
      </c>
      <c r="O74" s="24" t="inlineStr">
        <is>
          <t>42100</t>
        </is>
      </c>
      <c r="P74" s="24" t="inlineStr">
        <is>
          <t>Y</t>
        </is>
      </c>
      <c r="Q74" s="24" t="inlineStr">
        <is>
          <t>N</t>
        </is>
      </c>
      <c r="R74" s="22" t="n"/>
      <c r="S74" s="22" t="n"/>
      <c r="T74" s="24" t="inlineStr">
        <is>
          <t>Invoiced</t>
        </is>
      </c>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v>46234</v>
      </c>
      <c r="B75" s="23">
        <f>IF(A75="","",EOMONTH(A75,0))</f>
        <v/>
      </c>
      <c r="C75" s="24" t="inlineStr">
        <is>
          <t>INV-10555</t>
        </is>
      </c>
      <c r="D75" s="24" t="inlineStr">
        <is>
          <t>PWC</t>
        </is>
      </c>
      <c r="E75" s="24" t="inlineStr">
        <is>
          <t>26062202</t>
        </is>
      </c>
      <c r="F75" s="25">
        <f>IF(E75="","",IF(COUNTIF(lst_Jobs,E75&amp;"")&gt;0,"OK","CHECK"))</f>
        <v/>
      </c>
      <c r="G75" s="24" t="inlineStr">
        <is>
          <t>Early Careers Webcast 29.7.26</t>
        </is>
      </c>
      <c r="H75" s="24" t="inlineStr">
        <is>
          <t>Production</t>
        </is>
      </c>
      <c r="I75" s="24" t="inlineStr">
        <is>
          <t>PRODUCTION</t>
        </is>
      </c>
      <c r="J75" s="24" t="inlineStr">
        <is>
          <t>Project</t>
        </is>
      </c>
      <c r="K75" s="24" t="inlineStr">
        <is>
          <t>GST 10%</t>
        </is>
      </c>
      <c r="L75" s="26" t="n">
        <v>1925</v>
      </c>
      <c r="M75" s="27">
        <f>IF(L75="","",IF(K75="GST 10%",ROUND(L75*set_GSTRate,2),0))</f>
        <v/>
      </c>
      <c r="N75" s="27">
        <f>IF(L75="","",L75+M75)</f>
        <v/>
      </c>
      <c r="O75" s="24" t="inlineStr">
        <is>
          <t>42100</t>
        </is>
      </c>
      <c r="P75" s="24" t="inlineStr">
        <is>
          <t>Y</t>
        </is>
      </c>
      <c r="Q75" s="24" t="inlineStr">
        <is>
          <t>N</t>
        </is>
      </c>
      <c r="R75" s="22" t="n"/>
      <c r="S75" s="22" t="n"/>
      <c r="T75" s="24" t="inlineStr">
        <is>
          <t>Invoiced</t>
        </is>
      </c>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v>46234</v>
      </c>
      <c r="B76" s="23">
        <f>IF(A76="","",EOMONTH(A76,0))</f>
        <v/>
      </c>
      <c r="C76" s="24" t="inlineStr">
        <is>
          <t>INV-10558</t>
        </is>
      </c>
      <c r="D76" s="24" t="inlineStr">
        <is>
          <t>Ventia (Melbourne)</t>
        </is>
      </c>
      <c r="E76" s="24" t="inlineStr">
        <is>
          <t>26071303</t>
        </is>
      </c>
      <c r="F76" s="25">
        <f>IF(E76="","",IF(COUNTIF(lst_Jobs,E76&amp;"")&gt;0,"OK","CHECK"))</f>
        <v/>
      </c>
      <c r="G76" s="24" t="inlineStr">
        <is>
          <t>Melbourne Office Event 30&amp;31.7.26</t>
        </is>
      </c>
      <c r="H76" s="24" t="inlineStr">
        <is>
          <t>Production</t>
        </is>
      </c>
      <c r="I76" s="24" t="inlineStr">
        <is>
          <t>PRODUCTION</t>
        </is>
      </c>
      <c r="J76" s="24" t="inlineStr">
        <is>
          <t>Project</t>
        </is>
      </c>
      <c r="K76" s="24" t="inlineStr">
        <is>
          <t>GST 10%</t>
        </is>
      </c>
      <c r="L76" s="26" t="n">
        <v>11570</v>
      </c>
      <c r="M76" s="27">
        <f>IF(L76="","",IF(K76="GST 10%",ROUND(L76*set_GSTRate,2),0))</f>
        <v/>
      </c>
      <c r="N76" s="27">
        <f>IF(L76="","",L76+M76)</f>
        <v/>
      </c>
      <c r="O76" s="24" t="inlineStr">
        <is>
          <t>42100</t>
        </is>
      </c>
      <c r="P76" s="24" t="inlineStr">
        <is>
          <t>Y</t>
        </is>
      </c>
      <c r="Q76" s="24" t="inlineStr">
        <is>
          <t>N</t>
        </is>
      </c>
      <c r="R76" s="22" t="n"/>
      <c r="S76" s="22" t="n"/>
      <c r="T76" s="24" t="inlineStr">
        <is>
          <t>Invoiced</t>
        </is>
      </c>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v>46234</v>
      </c>
      <c r="B77" s="23">
        <f>IF(A77="","",EOMONTH(A77,0))</f>
        <v/>
      </c>
      <c r="C77" s="24" t="inlineStr">
        <is>
          <t>INV-10556</t>
        </is>
      </c>
      <c r="D77" s="24" t="inlineStr">
        <is>
          <t>Garvan</t>
        </is>
      </c>
      <c r="E77" s="24" t="inlineStr">
        <is>
          <t>26061702</t>
        </is>
      </c>
      <c r="F77" s="25">
        <f>IF(E77="","",IF(COUNTIF(lst_Jobs,E77&amp;"")&gt;0,"OK","CHECK"))</f>
        <v/>
      </c>
      <c r="G77" s="24" t="inlineStr">
        <is>
          <t>Morning Tea Event 31.7.26 (PO-58817)</t>
        </is>
      </c>
      <c r="H77" s="24" t="inlineStr">
        <is>
          <t>Production</t>
        </is>
      </c>
      <c r="I77" s="24" t="inlineStr">
        <is>
          <t>PRODUCTION</t>
        </is>
      </c>
      <c r="J77" s="24" t="inlineStr">
        <is>
          <t>Project</t>
        </is>
      </c>
      <c r="K77" s="24" t="inlineStr">
        <is>
          <t>GST 10%</t>
        </is>
      </c>
      <c r="L77" s="26" t="n">
        <v>1120</v>
      </c>
      <c r="M77" s="27">
        <f>IF(L77="","",IF(K77="GST 10%",ROUND(L77*set_GSTRate,2),0))</f>
        <v/>
      </c>
      <c r="N77" s="27">
        <f>IF(L77="","",L77+M77)</f>
        <v/>
      </c>
      <c r="O77" s="24" t="inlineStr">
        <is>
          <t>42100</t>
        </is>
      </c>
      <c r="P77" s="24" t="inlineStr">
        <is>
          <t>Y</t>
        </is>
      </c>
      <c r="Q77" s="24" t="inlineStr">
        <is>
          <t>N</t>
        </is>
      </c>
      <c r="R77" s="22" t="n"/>
      <c r="S77" s="22" t="n"/>
      <c r="T77" s="24" t="inlineStr">
        <is>
          <t>Invoiced</t>
        </is>
      </c>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v>46234</v>
      </c>
      <c r="B78" s="23">
        <f>IF(A78="","",EOMONTH(A78,0))</f>
        <v/>
      </c>
      <c r="C78" s="24" t="inlineStr">
        <is>
          <t>INV-10559</t>
        </is>
      </c>
      <c r="D78" s="24" t="inlineStr">
        <is>
          <t>CBA</t>
        </is>
      </c>
      <c r="E78" s="24" t="inlineStr">
        <is>
          <t>26061701</t>
        </is>
      </c>
      <c r="F78" s="25">
        <f>IF(E78="","",IF(COUNTIF(lst_Jobs,E78&amp;"")&gt;0,"OK","CHECK"))</f>
        <v/>
      </c>
      <c r="G78" s="24" t="inlineStr">
        <is>
          <t>CBA LES July 2026</t>
        </is>
      </c>
      <c r="H78" s="24" t="inlineStr">
        <is>
          <t>Production</t>
        </is>
      </c>
      <c r="I78" s="24" t="inlineStr">
        <is>
          <t>PRODUCTION</t>
        </is>
      </c>
      <c r="J78" s="24" t="inlineStr">
        <is>
          <t>Project</t>
        </is>
      </c>
      <c r="K78" s="24" t="inlineStr">
        <is>
          <t>GST 10%</t>
        </is>
      </c>
      <c r="L78" s="26" t="n">
        <v>8550</v>
      </c>
      <c r="M78" s="27">
        <f>IF(L78="","",IF(K78="GST 10%",ROUND(L78*set_GSTRate,2),0))</f>
        <v/>
      </c>
      <c r="N78" s="27">
        <f>IF(L78="","",L78+M78)</f>
        <v/>
      </c>
      <c r="O78" s="24" t="inlineStr">
        <is>
          <t>42100</t>
        </is>
      </c>
      <c r="P78" s="24" t="inlineStr">
        <is>
          <t>Y</t>
        </is>
      </c>
      <c r="Q78" s="24" t="inlineStr">
        <is>
          <t>N</t>
        </is>
      </c>
      <c r="R78" s="22" t="n"/>
      <c r="S78" s="22" t="n"/>
      <c r="T78" s="24" t="inlineStr">
        <is>
          <t>Invoiced</t>
        </is>
      </c>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v>46247</v>
      </c>
      <c r="B79" s="23">
        <f>IF(A79="","",EOMONTH(A79,0))</f>
        <v/>
      </c>
      <c r="C79" s="24" t="inlineStr">
        <is>
          <t>CN-10563</t>
        </is>
      </c>
      <c r="D79" s="24" t="inlineStr">
        <is>
          <t>CBA</t>
        </is>
      </c>
      <c r="E79" s="24" t="inlineStr">
        <is>
          <t>26061701</t>
        </is>
      </c>
      <c r="F79" s="25">
        <f>IF(E79="","",IF(COUNTIF(lst_Jobs,E79&amp;"")&gt;0,"OK","CHECK"))</f>
        <v/>
      </c>
      <c r="G79" s="24" t="inlineStr">
        <is>
          <t>CBA LES July 2026 Loading Reversal</t>
        </is>
      </c>
      <c r="H79" s="24" t="inlineStr">
        <is>
          <t>Production</t>
        </is>
      </c>
      <c r="I79" s="24" t="inlineStr">
        <is>
          <t>PRODUCTION</t>
        </is>
      </c>
      <c r="J79" s="24" t="inlineStr">
        <is>
          <t>Project</t>
        </is>
      </c>
      <c r="K79" s="24" t="inlineStr">
        <is>
          <t>GST 10%</t>
        </is>
      </c>
      <c r="L79" s="26" t="n">
        <v>-332.5</v>
      </c>
      <c r="M79" s="27">
        <f>IF(L79="","",IF(K79="GST 10%",ROUND(L79*set_GSTRate,2),0))</f>
        <v/>
      </c>
      <c r="N79" s="27">
        <f>IF(L79="","",L79+M79)</f>
        <v/>
      </c>
      <c r="O79" s="24" t="inlineStr">
        <is>
          <t>42100</t>
        </is>
      </c>
      <c r="P79" s="24" t="inlineStr">
        <is>
          <t>Y</t>
        </is>
      </c>
      <c r="Q79" s="24" t="inlineStr">
        <is>
          <t>N</t>
        </is>
      </c>
      <c r="R79" s="22" t="n"/>
      <c r="S79" s="22" t="n"/>
      <c r="T79" s="24" t="inlineStr">
        <is>
          <t>Invoiced</t>
        </is>
      </c>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v>46247</v>
      </c>
      <c r="B80" s="23">
        <f>IF(A80="","",EOMONTH(A80,0))</f>
        <v/>
      </c>
      <c r="C80" s="24" t="inlineStr">
        <is>
          <t>INV-10561</t>
        </is>
      </c>
      <c r="D80" s="24" t="inlineStr">
        <is>
          <t>RSNSW</t>
        </is>
      </c>
      <c r="E80" s="24" t="inlineStr">
        <is>
          <t>2512804</t>
        </is>
      </c>
      <c r="F80" s="25">
        <f>IF(E80="","",IF(COUNTIF(lst_Jobs,E80&amp;"")&gt;0,"OK","CHECK"))</f>
        <v/>
      </c>
      <c r="G80" s="24" t="inlineStr">
        <is>
          <t>Ordinary General Meeting 5.8.26</t>
        </is>
      </c>
      <c r="H80" s="24" t="inlineStr">
        <is>
          <t>Production</t>
        </is>
      </c>
      <c r="I80" s="24" t="inlineStr">
        <is>
          <t>PRODUCTION</t>
        </is>
      </c>
      <c r="J80" s="24" t="inlineStr">
        <is>
          <t>Project</t>
        </is>
      </c>
      <c r="K80" s="24" t="inlineStr">
        <is>
          <t>GST 10%</t>
        </is>
      </c>
      <c r="L80" s="26" t="n">
        <v>2232</v>
      </c>
      <c r="M80" s="27">
        <f>IF(L80="","",IF(K80="GST 10%",ROUND(L80*set_GSTRate,2),0))</f>
        <v/>
      </c>
      <c r="N80" s="27">
        <f>IF(L80="","",L80+M80)</f>
        <v/>
      </c>
      <c r="O80" s="24" t="inlineStr">
        <is>
          <t>42100</t>
        </is>
      </c>
      <c r="P80" s="24" t="inlineStr">
        <is>
          <t>Y</t>
        </is>
      </c>
      <c r="Q80" s="24" t="inlineStr">
        <is>
          <t>N</t>
        </is>
      </c>
      <c r="R80" s="22" t="n"/>
      <c r="S80" s="22" t="n"/>
      <c r="T80" s="24" t="inlineStr">
        <is>
          <t>Invoiced</t>
        </is>
      </c>
      <c r="U80" s="24" t="inlineStr">
        <is>
          <t>Production portion of this invoice</t>
        </is>
      </c>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v>46247</v>
      </c>
      <c r="B81" s="23">
        <f>IF(A81="","",EOMONTH(A81,0))</f>
        <v/>
      </c>
      <c r="C81" s="24" t="inlineStr">
        <is>
          <t>INV-10561</t>
        </is>
      </c>
      <c r="D81" s="24" t="inlineStr">
        <is>
          <t>RSNSW</t>
        </is>
      </c>
      <c r="E81" s="24" t="inlineStr">
        <is>
          <t>2512804</t>
        </is>
      </c>
      <c r="F81" s="25">
        <f>IF(E81="","",IF(COUNTIF(lst_Jobs,E81&amp;"")&gt;0,"OK","CHECK"))</f>
        <v/>
      </c>
      <c r="G81" s="24" t="inlineStr">
        <is>
          <t>Ordinary General Meeting 5.8.26</t>
        </is>
      </c>
      <c r="H81" s="24" t="inlineStr">
        <is>
          <t>Production</t>
        </is>
      </c>
      <c r="I81" s="24" t="inlineStr">
        <is>
          <t>VIDEO</t>
        </is>
      </c>
      <c r="J81" s="24" t="inlineStr">
        <is>
          <t>Project</t>
        </is>
      </c>
      <c r="K81" s="24" t="inlineStr">
        <is>
          <t>GST 10%</t>
        </is>
      </c>
      <c r="L81" s="26" t="n">
        <v>1029</v>
      </c>
      <c r="M81" s="27">
        <f>IF(L81="","",IF(K81="GST 10%",ROUND(L81*set_GSTRate,2),0))</f>
        <v/>
      </c>
      <c r="N81" s="27">
        <f>IF(L81="","",L81+M81)</f>
        <v/>
      </c>
      <c r="O81" s="24" t="inlineStr">
        <is>
          <t>42150</t>
        </is>
      </c>
      <c r="P81" s="24" t="inlineStr">
        <is>
          <t>Y</t>
        </is>
      </c>
      <c r="Q81" s="24" t="inlineStr">
        <is>
          <t>N</t>
        </is>
      </c>
      <c r="R81" s="22" t="n"/>
      <c r="S81" s="22" t="n"/>
      <c r="T81" s="24" t="inlineStr">
        <is>
          <t>Invoiced</t>
        </is>
      </c>
      <c r="U81" s="24" t="inlineStr">
        <is>
          <t>Video portion of this invoice</t>
        </is>
      </c>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v>46247</v>
      </c>
      <c r="B82" s="23">
        <f>IF(A82="","",EOMONTH(A82,0))</f>
        <v/>
      </c>
      <c r="C82" s="24" t="inlineStr">
        <is>
          <t>INV-10560</t>
        </is>
      </c>
      <c r="D82" s="24" t="inlineStr">
        <is>
          <t>Garvan</t>
        </is>
      </c>
      <c r="E82" s="24" t="inlineStr">
        <is>
          <t>2607703</t>
        </is>
      </c>
      <c r="F82" s="25">
        <f>IF(E82="","",IF(COUNTIF(lst_Jobs,E82&amp;"")&gt;0,"OK","CHECK"))</f>
        <v/>
      </c>
      <c r="G82" s="24" t="inlineStr">
        <is>
          <t>YPO Event 6.8.26 (PO-58493)</t>
        </is>
      </c>
      <c r="H82" s="24" t="inlineStr">
        <is>
          <t>Production</t>
        </is>
      </c>
      <c r="I82" s="24" t="inlineStr">
        <is>
          <t>PRODUCTION</t>
        </is>
      </c>
      <c r="J82" s="24" t="inlineStr">
        <is>
          <t>Project</t>
        </is>
      </c>
      <c r="K82" s="24" t="inlineStr">
        <is>
          <t>GST 10%</t>
        </is>
      </c>
      <c r="L82" s="26" t="n">
        <v>2152.5</v>
      </c>
      <c r="M82" s="27">
        <f>IF(L82="","",IF(K82="GST 10%",ROUND(L82*set_GSTRate,2),0))</f>
        <v/>
      </c>
      <c r="N82" s="27">
        <f>IF(L82="","",L82+M82)</f>
        <v/>
      </c>
      <c r="O82" s="24" t="inlineStr">
        <is>
          <t>42100</t>
        </is>
      </c>
      <c r="P82" s="24" t="inlineStr">
        <is>
          <t>Y</t>
        </is>
      </c>
      <c r="Q82" s="24" t="inlineStr">
        <is>
          <t>N</t>
        </is>
      </c>
      <c r="R82" s="22" t="n"/>
      <c r="S82" s="22" t="n"/>
      <c r="T82" s="24" t="inlineStr">
        <is>
          <t>Invoiced</t>
        </is>
      </c>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v>46247</v>
      </c>
      <c r="B83" s="23">
        <f>IF(A83="","",EOMONTH(A83,0))</f>
        <v/>
      </c>
      <c r="C83" s="24" t="inlineStr">
        <is>
          <t>INV-10562</t>
        </is>
      </c>
      <c r="D83" s="24" t="inlineStr">
        <is>
          <t>PwC</t>
        </is>
      </c>
      <c r="E83" s="24" t="inlineStr">
        <is>
          <t>26072902</t>
        </is>
      </c>
      <c r="F83" s="25">
        <f>IF(E83="","",IF(COUNTIF(lst_Jobs,E83&amp;"")&gt;0,"OK","CHECK"))</f>
        <v/>
      </c>
      <c r="G83" s="24" t="inlineStr">
        <is>
          <t>AI Townhall 6.8.26 (PO2601703328)</t>
        </is>
      </c>
      <c r="H83" s="24" t="inlineStr">
        <is>
          <t>Production</t>
        </is>
      </c>
      <c r="I83" s="24" t="inlineStr">
        <is>
          <t>PRODUCTION</t>
        </is>
      </c>
      <c r="J83" s="24" t="inlineStr">
        <is>
          <t>Project</t>
        </is>
      </c>
      <c r="K83" s="24" t="inlineStr">
        <is>
          <t>GST 10%</t>
        </is>
      </c>
      <c r="L83" s="26" t="n">
        <v>1165</v>
      </c>
      <c r="M83" s="27">
        <f>IF(L83="","",IF(K83="GST 10%",ROUND(L83*set_GSTRate,2),0))</f>
        <v/>
      </c>
      <c r="N83" s="27">
        <f>IF(L83="","",L83+M83)</f>
        <v/>
      </c>
      <c r="O83" s="24" t="inlineStr">
        <is>
          <t>42100</t>
        </is>
      </c>
      <c r="P83" s="24" t="inlineStr">
        <is>
          <t>Y</t>
        </is>
      </c>
      <c r="Q83" s="24" t="inlineStr">
        <is>
          <t>N</t>
        </is>
      </c>
      <c r="R83" s="22" t="n"/>
      <c r="S83" s="22" t="n"/>
      <c r="T83" s="24" t="inlineStr">
        <is>
          <t>Invoiced</t>
        </is>
      </c>
      <c r="U83" s="24" t="inlineStr">
        <is>
          <t>Production portion of this invoice</t>
        </is>
      </c>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v>46247</v>
      </c>
      <c r="B84" s="23">
        <f>IF(A84="","",EOMONTH(A84,0))</f>
        <v/>
      </c>
      <c r="C84" s="24" t="inlineStr">
        <is>
          <t>INV-10562</t>
        </is>
      </c>
      <c r="D84" s="24" t="inlineStr">
        <is>
          <t>PwC</t>
        </is>
      </c>
      <c r="E84" s="24" t="inlineStr">
        <is>
          <t>26072902</t>
        </is>
      </c>
      <c r="F84" s="25">
        <f>IF(E84="","",IF(COUNTIF(lst_Jobs,E84&amp;"")&gt;0,"OK","CHECK"))</f>
        <v/>
      </c>
      <c r="G84" s="24" t="inlineStr">
        <is>
          <t>AI Townhall 6.8.26 (PO2601703328)</t>
        </is>
      </c>
      <c r="H84" s="24" t="inlineStr">
        <is>
          <t>Production</t>
        </is>
      </c>
      <c r="I84" s="24" t="inlineStr">
        <is>
          <t>VIDEO</t>
        </is>
      </c>
      <c r="J84" s="24" t="inlineStr">
        <is>
          <t>Project</t>
        </is>
      </c>
      <c r="K84" s="24" t="inlineStr">
        <is>
          <t>GST 10%</t>
        </is>
      </c>
      <c r="L84" s="26" t="n">
        <v>485</v>
      </c>
      <c r="M84" s="27">
        <f>IF(L84="","",IF(K84="GST 10%",ROUND(L84*set_GSTRate,2),0))</f>
        <v/>
      </c>
      <c r="N84" s="27">
        <f>IF(L84="","",L84+M84)</f>
        <v/>
      </c>
      <c r="O84" s="24" t="inlineStr">
        <is>
          <t>42150</t>
        </is>
      </c>
      <c r="P84" s="24" t="inlineStr">
        <is>
          <t>Y</t>
        </is>
      </c>
      <c r="Q84" s="24" t="inlineStr">
        <is>
          <t>N</t>
        </is>
      </c>
      <c r="R84" s="22" t="n"/>
      <c r="S84" s="22" t="n"/>
      <c r="T84" s="24" t="inlineStr">
        <is>
          <t>Invoiced</t>
        </is>
      </c>
      <c r="U84" s="24" t="inlineStr">
        <is>
          <t>Video portion of this invoice</t>
        </is>
      </c>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v>46255</v>
      </c>
      <c r="B85" s="23">
        <f>IF(A85="","",EOMONTH(A85,0))</f>
        <v/>
      </c>
      <c r="C85" s="24" t="inlineStr">
        <is>
          <t>INV-10580</t>
        </is>
      </c>
      <c r="D85" s="24" t="inlineStr">
        <is>
          <t>Elkiem</t>
        </is>
      </c>
      <c r="E85" s="24" t="inlineStr">
        <is>
          <t>26071901</t>
        </is>
      </c>
      <c r="F85" s="25">
        <f>IF(E85="","",IF(COUNTIF(lst_Jobs,E85&amp;"")&gt;0,"OK","CHECK"))</f>
        <v/>
      </c>
      <c r="G85" s="24" t="inlineStr">
        <is>
          <t>Studio Support 11.8.26</t>
        </is>
      </c>
      <c r="H85" s="24" t="inlineStr">
        <is>
          <t>Production</t>
        </is>
      </c>
      <c r="I85" s="24" t="inlineStr">
        <is>
          <t>PRODUCTION</t>
        </is>
      </c>
      <c r="J85" s="24" t="inlineStr">
        <is>
          <t>Project</t>
        </is>
      </c>
      <c r="K85" s="24" t="inlineStr">
        <is>
          <t>GST 10%</t>
        </is>
      </c>
      <c r="L85" s="26" t="n">
        <v>380</v>
      </c>
      <c r="M85" s="27">
        <f>IF(L85="","",IF(K85="GST 10%",ROUND(L85*set_GSTRate,2),0))</f>
        <v/>
      </c>
      <c r="N85" s="27">
        <f>IF(L85="","",L85+M85)</f>
        <v/>
      </c>
      <c r="O85" s="24" t="inlineStr">
        <is>
          <t>42100</t>
        </is>
      </c>
      <c r="P85" s="24" t="inlineStr">
        <is>
          <t>Y</t>
        </is>
      </c>
      <c r="Q85" s="24" t="inlineStr">
        <is>
          <t>N</t>
        </is>
      </c>
      <c r="R85" s="22" t="n"/>
      <c r="S85" s="22" t="n"/>
      <c r="T85" s="24" t="inlineStr">
        <is>
          <t>Invoiced</t>
        </is>
      </c>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v>46255</v>
      </c>
      <c r="B86" s="23">
        <f>IF(A86="","",EOMONTH(A86,0))</f>
        <v/>
      </c>
      <c r="C86" s="24" t="inlineStr">
        <is>
          <t>INV-10581</t>
        </is>
      </c>
      <c r="D86" s="24" t="inlineStr">
        <is>
          <t>CEO Institute</t>
        </is>
      </c>
      <c r="E86" s="24" t="inlineStr">
        <is>
          <t>26063002</t>
        </is>
      </c>
      <c r="F86" s="25">
        <f>IF(E86="","",IF(COUNTIF(lst_Jobs,E86&amp;"")&gt;0,"OK","CHECK"))</f>
        <v/>
      </c>
      <c r="G86" s="24" t="inlineStr">
        <is>
          <t>CEO Connect 11.8.26</t>
        </is>
      </c>
      <c r="H86" s="24" t="inlineStr">
        <is>
          <t>Production</t>
        </is>
      </c>
      <c r="I86" s="24" t="inlineStr">
        <is>
          <t>PRODUCTION</t>
        </is>
      </c>
      <c r="J86" s="24" t="inlineStr">
        <is>
          <t>Project</t>
        </is>
      </c>
      <c r="K86" s="24" t="inlineStr">
        <is>
          <t>GST 10%</t>
        </is>
      </c>
      <c r="L86" s="26" t="n">
        <v>6283</v>
      </c>
      <c r="M86" s="27">
        <f>IF(L86="","",IF(K86="GST 10%",ROUND(L86*set_GSTRate,2),0))</f>
        <v/>
      </c>
      <c r="N86" s="27">
        <f>IF(L86="","",L86+M86)</f>
        <v/>
      </c>
      <c r="O86" s="24" t="inlineStr">
        <is>
          <t>42100</t>
        </is>
      </c>
      <c r="P86" s="24" t="inlineStr">
        <is>
          <t>Y</t>
        </is>
      </c>
      <c r="Q86" s="24" t="inlineStr">
        <is>
          <t>N</t>
        </is>
      </c>
      <c r="R86" s="22" t="n"/>
      <c r="S86" s="22" t="n"/>
      <c r="T86" s="24" t="inlineStr">
        <is>
          <t>Invoiced</t>
        </is>
      </c>
      <c r="U86" s="24" t="inlineStr">
        <is>
          <t>Production portion of this invoice</t>
        </is>
      </c>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v>46255</v>
      </c>
      <c r="B87" s="23">
        <f>IF(A87="","",EOMONTH(A87,0))</f>
        <v/>
      </c>
      <c r="C87" s="24" t="inlineStr">
        <is>
          <t>INV-10581</t>
        </is>
      </c>
      <c r="D87" s="24" t="inlineStr">
        <is>
          <t>CEO Institute</t>
        </is>
      </c>
      <c r="E87" s="24" t="inlineStr">
        <is>
          <t>26063002</t>
        </is>
      </c>
      <c r="F87" s="25">
        <f>IF(E87="","",IF(COUNTIF(lst_Jobs,E87&amp;"")&gt;0,"OK","CHECK"))</f>
        <v/>
      </c>
      <c r="G87" s="24" t="inlineStr">
        <is>
          <t>CEO Connect 11.8.26</t>
        </is>
      </c>
      <c r="H87" s="24" t="inlineStr">
        <is>
          <t>Production</t>
        </is>
      </c>
      <c r="I87" s="24" t="inlineStr">
        <is>
          <t>VIDEO</t>
        </is>
      </c>
      <c r="J87" s="24" t="inlineStr">
        <is>
          <t>Project</t>
        </is>
      </c>
      <c r="K87" s="24" t="inlineStr">
        <is>
          <t>GST 10%</t>
        </is>
      </c>
      <c r="L87" s="26" t="n">
        <v>1977.35</v>
      </c>
      <c r="M87" s="27">
        <f>IF(L87="","",IF(K87="GST 10%",ROUND(L87*set_GSTRate,2),0))</f>
        <v/>
      </c>
      <c r="N87" s="27">
        <f>IF(L87="","",L87+M87)</f>
        <v/>
      </c>
      <c r="O87" s="24" t="inlineStr">
        <is>
          <t>42150</t>
        </is>
      </c>
      <c r="P87" s="24" t="inlineStr">
        <is>
          <t>Y</t>
        </is>
      </c>
      <c r="Q87" s="24" t="inlineStr">
        <is>
          <t>N</t>
        </is>
      </c>
      <c r="R87" s="22" t="n"/>
      <c r="S87" s="22" t="n"/>
      <c r="T87" s="24" t="inlineStr">
        <is>
          <t>Invoiced</t>
        </is>
      </c>
      <c r="U87" s="24" t="inlineStr">
        <is>
          <t>Video portion of this invoice</t>
        </is>
      </c>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v>46259</v>
      </c>
      <c r="B88" s="23">
        <f>IF(A88="","",EOMONTH(A88,0))</f>
        <v/>
      </c>
      <c r="C88" s="24" t="inlineStr">
        <is>
          <t>INV-10577</t>
        </is>
      </c>
      <c r="D88" s="24" t="inlineStr">
        <is>
          <t>PwC</t>
        </is>
      </c>
      <c r="E88" s="24" t="inlineStr">
        <is>
          <t>26072903</t>
        </is>
      </c>
      <c r="F88" s="25">
        <f>IF(E88="","",IF(COUNTIF(lst_Jobs,E88&amp;"")&gt;0,"OK","CHECK"))</f>
        <v/>
      </c>
      <c r="G88" s="24" t="inlineStr">
        <is>
          <t>GB Webcast 11.8.26</t>
        </is>
      </c>
      <c r="H88" s="24" t="inlineStr">
        <is>
          <t>Production</t>
        </is>
      </c>
      <c r="I88" s="24" t="inlineStr">
        <is>
          <t>PRODUCTION</t>
        </is>
      </c>
      <c r="J88" s="24" t="inlineStr">
        <is>
          <t>Project</t>
        </is>
      </c>
      <c r="K88" s="24" t="inlineStr">
        <is>
          <t>GST 10%</t>
        </is>
      </c>
      <c r="L88" s="26" t="n">
        <v>3235</v>
      </c>
      <c r="M88" s="27">
        <f>IF(L88="","",IF(K88="GST 10%",ROUND(L88*set_GSTRate,2),0))</f>
        <v/>
      </c>
      <c r="N88" s="27">
        <f>IF(L88="","",L88+M88)</f>
        <v/>
      </c>
      <c r="O88" s="24" t="inlineStr">
        <is>
          <t>42100</t>
        </is>
      </c>
      <c r="P88" s="24" t="inlineStr">
        <is>
          <t>Y</t>
        </is>
      </c>
      <c r="Q88" s="24" t="inlineStr">
        <is>
          <t>N</t>
        </is>
      </c>
      <c r="R88" s="22" t="n"/>
      <c r="S88" s="22" t="n"/>
      <c r="T88" s="24" t="inlineStr">
        <is>
          <t>Invoiced</t>
        </is>
      </c>
      <c r="U88" s="24" t="inlineStr">
        <is>
          <t>Production portion of this invoice</t>
        </is>
      </c>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v>46259</v>
      </c>
      <c r="B89" s="23">
        <f>IF(A89="","",EOMONTH(A89,0))</f>
        <v/>
      </c>
      <c r="C89" s="24" t="inlineStr">
        <is>
          <t>INV-10577</t>
        </is>
      </c>
      <c r="D89" s="24" t="inlineStr">
        <is>
          <t>PwC</t>
        </is>
      </c>
      <c r="E89" s="24" t="inlineStr">
        <is>
          <t>26072903</t>
        </is>
      </c>
      <c r="F89" s="25">
        <f>IF(E89="","",IF(COUNTIF(lst_Jobs,E89&amp;"")&gt;0,"OK","CHECK"))</f>
        <v/>
      </c>
      <c r="G89" s="24" t="inlineStr">
        <is>
          <t>GB Webcast 11.8.26</t>
        </is>
      </c>
      <c r="H89" s="24" t="inlineStr">
        <is>
          <t>Production</t>
        </is>
      </c>
      <c r="I89" s="24" t="inlineStr">
        <is>
          <t>VIDEO</t>
        </is>
      </c>
      <c r="J89" s="24" t="inlineStr">
        <is>
          <t>Project</t>
        </is>
      </c>
      <c r="K89" s="24" t="inlineStr">
        <is>
          <t>GST 10%</t>
        </is>
      </c>
      <c r="L89" s="26" t="n">
        <v>1065</v>
      </c>
      <c r="M89" s="27">
        <f>IF(L89="","",IF(K89="GST 10%",ROUND(L89*set_GSTRate,2),0))</f>
        <v/>
      </c>
      <c r="N89" s="27">
        <f>IF(L89="","",L89+M89)</f>
        <v/>
      </c>
      <c r="O89" s="24" t="inlineStr">
        <is>
          <t>42150</t>
        </is>
      </c>
      <c r="P89" s="24" t="inlineStr">
        <is>
          <t>Y</t>
        </is>
      </c>
      <c r="Q89" s="24" t="inlineStr">
        <is>
          <t>N</t>
        </is>
      </c>
      <c r="R89" s="22" t="n"/>
      <c r="S89" s="22" t="n"/>
      <c r="T89" s="24" t="inlineStr">
        <is>
          <t>Invoiced</t>
        </is>
      </c>
      <c r="U89" s="24" t="inlineStr">
        <is>
          <t>Video portion of this invoice</t>
        </is>
      </c>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v>46259</v>
      </c>
      <c r="B90" s="23">
        <f>IF(A90="","",EOMONTH(A90,0))</f>
        <v/>
      </c>
      <c r="C90" s="24" t="inlineStr">
        <is>
          <t>INV - 10584
INV - 10585</t>
        </is>
      </c>
      <c r="D90" s="24" t="inlineStr">
        <is>
          <t>MUFG</t>
        </is>
      </c>
      <c r="E90" s="24" t="inlineStr">
        <is>
          <t>26061104</t>
        </is>
      </c>
      <c r="F90" s="25">
        <f>IF(E90="","",IF(COUNTIF(lst_Jobs,E90&amp;"")&gt;0,"OK","CHECK"))</f>
        <v/>
      </c>
      <c r="G90" s="24" t="inlineStr">
        <is>
          <t>MUFG - Suncorp FYR</t>
        </is>
      </c>
      <c r="H90" s="24" t="inlineStr">
        <is>
          <t>Production</t>
        </is>
      </c>
      <c r="I90" s="24" t="inlineStr">
        <is>
          <t>PRODUCTION</t>
        </is>
      </c>
      <c r="J90" s="24" t="inlineStr">
        <is>
          <t>Project</t>
        </is>
      </c>
      <c r="K90" s="24" t="inlineStr">
        <is>
          <t>GST 10%</t>
        </is>
      </c>
      <c r="L90" s="26" t="n">
        <v>25635.25</v>
      </c>
      <c r="M90" s="27">
        <f>IF(L90="","",IF(K90="GST 10%",ROUND(L90*set_GSTRate,2),0))</f>
        <v/>
      </c>
      <c r="N90" s="27">
        <f>IF(L90="","",L90+M90)</f>
        <v/>
      </c>
      <c r="O90" s="24" t="inlineStr">
        <is>
          <t>42100</t>
        </is>
      </c>
      <c r="P90" s="24" t="inlineStr">
        <is>
          <t>Y</t>
        </is>
      </c>
      <c r="Q90" s="24" t="inlineStr">
        <is>
          <t>N</t>
        </is>
      </c>
      <c r="R90" s="22" t="n"/>
      <c r="S90" s="22" t="n"/>
      <c r="T90" s="24" t="inlineStr">
        <is>
          <t>Invoiced</t>
        </is>
      </c>
      <c r="U90" s="24" t="inlineStr">
        <is>
          <t>Production portion of this invoice</t>
        </is>
      </c>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v>46259</v>
      </c>
      <c r="B91" s="23">
        <f>IF(A91="","",EOMONTH(A91,0))</f>
        <v/>
      </c>
      <c r="C91" s="24" t="inlineStr">
        <is>
          <t>INV - 10584
INV - 10585</t>
        </is>
      </c>
      <c r="D91" s="24" t="inlineStr">
        <is>
          <t>MUFG</t>
        </is>
      </c>
      <c r="E91" s="24" t="inlineStr">
        <is>
          <t>26061104</t>
        </is>
      </c>
      <c r="F91" s="25">
        <f>IF(E91="","",IF(COUNTIF(lst_Jobs,E91&amp;"")&gt;0,"OK","CHECK"))</f>
        <v/>
      </c>
      <c r="G91" s="24" t="inlineStr">
        <is>
          <t>MUFG - Suncorp FYR</t>
        </is>
      </c>
      <c r="H91" s="24" t="inlineStr">
        <is>
          <t>Production</t>
        </is>
      </c>
      <c r="I91" s="24" t="inlineStr">
        <is>
          <t>VIDEO</t>
        </is>
      </c>
      <c r="J91" s="24" t="inlineStr">
        <is>
          <t>Project</t>
        </is>
      </c>
      <c r="K91" s="24" t="inlineStr">
        <is>
          <t>GST 10%</t>
        </is>
      </c>
      <c r="L91" s="26" t="n">
        <v>3017</v>
      </c>
      <c r="M91" s="27">
        <f>IF(L91="","",IF(K91="GST 10%",ROUND(L91*set_GSTRate,2),0))</f>
        <v/>
      </c>
      <c r="N91" s="27">
        <f>IF(L91="","",L91+M91)</f>
        <v/>
      </c>
      <c r="O91" s="24" t="inlineStr">
        <is>
          <t>42150</t>
        </is>
      </c>
      <c r="P91" s="24" t="inlineStr">
        <is>
          <t>Y</t>
        </is>
      </c>
      <c r="Q91" s="24" t="inlineStr">
        <is>
          <t>N</t>
        </is>
      </c>
      <c r="R91" s="22" t="n"/>
      <c r="S91" s="22" t="n"/>
      <c r="T91" s="24" t="inlineStr">
        <is>
          <t>Invoiced</t>
        </is>
      </c>
      <c r="U91" s="24" t="inlineStr">
        <is>
          <t>Video portion of this invoice</t>
        </is>
      </c>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v>46247</v>
      </c>
      <c r="B92" s="23">
        <f>IF(A92="","",EOMONTH(A92,0))</f>
        <v/>
      </c>
      <c r="C92" s="24" t="inlineStr">
        <is>
          <t>INV-10563</t>
        </is>
      </c>
      <c r="D92" s="24" t="inlineStr">
        <is>
          <t>CBA</t>
        </is>
      </c>
      <c r="E92" s="24" t="inlineStr">
        <is>
          <t>26061105</t>
        </is>
      </c>
      <c r="F92" s="25">
        <f>IF(E92="","",IF(COUNTIF(lst_Jobs,E92&amp;"")&gt;0,"OK","CHECK"))</f>
        <v/>
      </c>
      <c r="G92" s="24" t="inlineStr">
        <is>
          <t>CBA FYR 2026 (Order PO3308779)</t>
        </is>
      </c>
      <c r="H92" s="24" t="inlineStr">
        <is>
          <t>Production</t>
        </is>
      </c>
      <c r="I92" s="24" t="inlineStr">
        <is>
          <t>PRODUCTION</t>
        </is>
      </c>
      <c r="J92" s="24" t="inlineStr">
        <is>
          <t>Project</t>
        </is>
      </c>
      <c r="K92" s="24" t="inlineStr">
        <is>
          <t>GST 10%</t>
        </is>
      </c>
      <c r="L92" s="26" t="n">
        <v>11320</v>
      </c>
      <c r="M92" s="27">
        <f>IF(L92="","",IF(K92="GST 10%",ROUND(L92*set_GSTRate,2),0))</f>
        <v/>
      </c>
      <c r="N92" s="27">
        <f>IF(L92="","",L92+M92)</f>
        <v/>
      </c>
      <c r="O92" s="24" t="inlineStr">
        <is>
          <t>42100</t>
        </is>
      </c>
      <c r="P92" s="24" t="inlineStr">
        <is>
          <t>Y</t>
        </is>
      </c>
      <c r="Q92" s="24" t="inlineStr">
        <is>
          <t>N</t>
        </is>
      </c>
      <c r="R92" s="22" t="n"/>
      <c r="S92" s="22" t="n"/>
      <c r="T92" s="24" t="inlineStr">
        <is>
          <t>Invoiced</t>
        </is>
      </c>
      <c r="U92" s="24" t="inlineStr">
        <is>
          <t>Production portion of this invoice</t>
        </is>
      </c>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v>46247</v>
      </c>
      <c r="B93" s="23">
        <f>IF(A93="","",EOMONTH(A93,0))</f>
        <v/>
      </c>
      <c r="C93" s="24" t="inlineStr">
        <is>
          <t>INV-10563</t>
        </is>
      </c>
      <c r="D93" s="24" t="inlineStr">
        <is>
          <t>CBA</t>
        </is>
      </c>
      <c r="E93" s="24" t="inlineStr">
        <is>
          <t>26061105</t>
        </is>
      </c>
      <c r="F93" s="25">
        <f>IF(E93="","",IF(COUNTIF(lst_Jobs,E93&amp;"")&gt;0,"OK","CHECK"))</f>
        <v/>
      </c>
      <c r="G93" s="24" t="inlineStr">
        <is>
          <t>CBA FYR 2026 (Order PO3308779)</t>
        </is>
      </c>
      <c r="H93" s="24" t="inlineStr">
        <is>
          <t>Production</t>
        </is>
      </c>
      <c r="I93" s="24" t="inlineStr">
        <is>
          <t>VIDEO</t>
        </is>
      </c>
      <c r="J93" s="24" t="inlineStr">
        <is>
          <t>Project</t>
        </is>
      </c>
      <c r="K93" s="24" t="inlineStr">
        <is>
          <t>GST 10%</t>
        </is>
      </c>
      <c r="L93" s="26" t="n">
        <v>850</v>
      </c>
      <c r="M93" s="27">
        <f>IF(L93="","",IF(K93="GST 10%",ROUND(L93*set_GSTRate,2),0))</f>
        <v/>
      </c>
      <c r="N93" s="27">
        <f>IF(L93="","",L93+M93)</f>
        <v/>
      </c>
      <c r="O93" s="24" t="inlineStr">
        <is>
          <t>42150</t>
        </is>
      </c>
      <c r="P93" s="24" t="inlineStr">
        <is>
          <t>Y</t>
        </is>
      </c>
      <c r="Q93" s="24" t="inlineStr">
        <is>
          <t>N</t>
        </is>
      </c>
      <c r="R93" s="22" t="n"/>
      <c r="S93" s="22" t="n"/>
      <c r="T93" s="24" t="inlineStr">
        <is>
          <t>Invoiced</t>
        </is>
      </c>
      <c r="U93" s="24" t="inlineStr">
        <is>
          <t>Video portion of this invoice</t>
        </is>
      </c>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v>46255</v>
      </c>
      <c r="B94" s="23">
        <f>IF(A94="","",EOMONTH(A94,0))</f>
        <v/>
      </c>
      <c r="C94" s="24" t="inlineStr">
        <is>
          <t>INV-10579</t>
        </is>
      </c>
      <c r="D94" s="24" t="inlineStr">
        <is>
          <t>AGL</t>
        </is>
      </c>
      <c r="E94" s="24" t="inlineStr">
        <is>
          <t>2605401</t>
        </is>
      </c>
      <c r="F94" s="25">
        <f>IF(E94="","",IF(COUNTIF(lst_Jobs,E94&amp;"")&gt;0,"OK","CHECK"))</f>
        <v/>
      </c>
      <c r="G94" s="24" t="inlineStr">
        <is>
          <t>AGL FYR - Investor Briefing</t>
        </is>
      </c>
      <c r="H94" s="24" t="inlineStr">
        <is>
          <t>Production</t>
        </is>
      </c>
      <c r="I94" s="24" t="inlineStr">
        <is>
          <t>PRODUCTION</t>
        </is>
      </c>
      <c r="J94" s="24" t="inlineStr">
        <is>
          <t>Project</t>
        </is>
      </c>
      <c r="K94" s="24" t="inlineStr">
        <is>
          <t>GST 10%</t>
        </is>
      </c>
      <c r="L94" s="26" t="n">
        <v>12465.5</v>
      </c>
      <c r="M94" s="27">
        <f>IF(L94="","",IF(K94="GST 10%",ROUND(L94*set_GSTRate,2),0))</f>
        <v/>
      </c>
      <c r="N94" s="27">
        <f>IF(L94="","",L94+M94)</f>
        <v/>
      </c>
      <c r="O94" s="24" t="inlineStr">
        <is>
          <t>42100</t>
        </is>
      </c>
      <c r="P94" s="24" t="inlineStr">
        <is>
          <t>Y</t>
        </is>
      </c>
      <c r="Q94" s="24" t="inlineStr">
        <is>
          <t>N</t>
        </is>
      </c>
      <c r="R94" s="22" t="n"/>
      <c r="S94" s="22" t="n"/>
      <c r="T94" s="24" t="inlineStr">
        <is>
          <t>Invoiced</t>
        </is>
      </c>
      <c r="U94" s="24" t="inlineStr">
        <is>
          <t>Production portion of this invoice</t>
        </is>
      </c>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v>46255</v>
      </c>
      <c r="B95" s="23">
        <f>IF(A95="","",EOMONTH(A95,0))</f>
        <v/>
      </c>
      <c r="C95" s="24" t="inlineStr">
        <is>
          <t>INV-10579</t>
        </is>
      </c>
      <c r="D95" s="24" t="inlineStr">
        <is>
          <t>AGL</t>
        </is>
      </c>
      <c r="E95" s="24" t="inlineStr">
        <is>
          <t>2605401</t>
        </is>
      </c>
      <c r="F95" s="25">
        <f>IF(E95="","",IF(COUNTIF(lst_Jobs,E95&amp;"")&gt;0,"OK","CHECK"))</f>
        <v/>
      </c>
      <c r="G95" s="24" t="inlineStr">
        <is>
          <t>AGL FYR - Investor Briefing</t>
        </is>
      </c>
      <c r="H95" s="24" t="inlineStr">
        <is>
          <t>Production</t>
        </is>
      </c>
      <c r="I95" s="24" t="inlineStr">
        <is>
          <t>VIDEO</t>
        </is>
      </c>
      <c r="J95" s="24" t="inlineStr">
        <is>
          <t>Project</t>
        </is>
      </c>
      <c r="K95" s="24" t="inlineStr">
        <is>
          <t>GST 10%</t>
        </is>
      </c>
      <c r="L95" s="26" t="n">
        <v>1806</v>
      </c>
      <c r="M95" s="27">
        <f>IF(L95="","",IF(K95="GST 10%",ROUND(L95*set_GSTRate,2),0))</f>
        <v/>
      </c>
      <c r="N95" s="27">
        <f>IF(L95="","",L95+M95)</f>
        <v/>
      </c>
      <c r="O95" s="24" t="inlineStr">
        <is>
          <t>42150</t>
        </is>
      </c>
      <c r="P95" s="24" t="inlineStr">
        <is>
          <t>Y</t>
        </is>
      </c>
      <c r="Q95" s="24" t="inlineStr">
        <is>
          <t>N</t>
        </is>
      </c>
      <c r="R95" s="22" t="n"/>
      <c r="S95" s="22" t="n"/>
      <c r="T95" s="24" t="inlineStr">
        <is>
          <t>Invoiced</t>
        </is>
      </c>
      <c r="U95" s="24" t="inlineStr">
        <is>
          <t>Video portion of this invoice</t>
        </is>
      </c>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v>46255</v>
      </c>
      <c r="B96" s="23">
        <f>IF(A96="","",EOMONTH(A96,0))</f>
        <v/>
      </c>
      <c r="C96" s="24" t="inlineStr">
        <is>
          <t>INV-10578</t>
        </is>
      </c>
      <c r="D96" s="24" t="inlineStr">
        <is>
          <t>AGL</t>
        </is>
      </c>
      <c r="E96" s="24" t="inlineStr">
        <is>
          <t>2605402</t>
        </is>
      </c>
      <c r="F96" s="25">
        <f>IF(E96="","",IF(COUNTIF(lst_Jobs,E96&amp;"")&gt;0,"OK","CHECK"))</f>
        <v/>
      </c>
      <c r="G96" s="24" t="inlineStr">
        <is>
          <t>AGL FYR - Employee Town Hall</t>
        </is>
      </c>
      <c r="H96" s="24" t="inlineStr">
        <is>
          <t>Production</t>
        </is>
      </c>
      <c r="I96" s="24" t="inlineStr">
        <is>
          <t>PRODUCTION</t>
        </is>
      </c>
      <c r="J96" s="24" t="inlineStr">
        <is>
          <t>Project</t>
        </is>
      </c>
      <c r="K96" s="24" t="inlineStr">
        <is>
          <t>GST 10%</t>
        </is>
      </c>
      <c r="L96" s="26" t="n">
        <v>7148.75</v>
      </c>
      <c r="M96" s="27">
        <f>IF(L96="","",IF(K96="GST 10%",ROUND(L96*set_GSTRate,2),0))</f>
        <v/>
      </c>
      <c r="N96" s="27">
        <f>IF(L96="","",L96+M96)</f>
        <v/>
      </c>
      <c r="O96" s="24" t="inlineStr">
        <is>
          <t>42100</t>
        </is>
      </c>
      <c r="P96" s="24" t="inlineStr">
        <is>
          <t>Y</t>
        </is>
      </c>
      <c r="Q96" s="24" t="inlineStr">
        <is>
          <t>N</t>
        </is>
      </c>
      <c r="R96" s="22" t="n"/>
      <c r="S96" s="22" t="n"/>
      <c r="T96" s="24" t="inlineStr">
        <is>
          <t>Invoiced</t>
        </is>
      </c>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v>46255</v>
      </c>
      <c r="B97" s="23">
        <f>IF(A97="","",EOMONTH(A97,0))</f>
        <v/>
      </c>
      <c r="C97" s="24" t="inlineStr">
        <is>
          <t>INV-10599</t>
        </is>
      </c>
      <c r="D97" s="24" t="inlineStr">
        <is>
          <t>ASX</t>
        </is>
      </c>
      <c r="E97" s="24" t="inlineStr">
        <is>
          <t>2608604</t>
        </is>
      </c>
      <c r="F97" s="25">
        <f>IF(E97="","",IF(COUNTIF(lst_Jobs,E97&amp;"")&gt;0,"OK","CHECK"))</f>
        <v/>
      </c>
      <c r="G97" s="24" t="inlineStr">
        <is>
          <t>ASX Employee Townhall 13.8.26</t>
        </is>
      </c>
      <c r="H97" s="24" t="inlineStr">
        <is>
          <t>Production</t>
        </is>
      </c>
      <c r="I97" s="24" t="inlineStr">
        <is>
          <t>PRODUCTION</t>
        </is>
      </c>
      <c r="J97" s="24" t="inlineStr">
        <is>
          <t>Project</t>
        </is>
      </c>
      <c r="K97" s="24" t="inlineStr">
        <is>
          <t>GST 10%</t>
        </is>
      </c>
      <c r="L97" s="26" t="n">
        <v>1025</v>
      </c>
      <c r="M97" s="27">
        <f>IF(L97="","",IF(K97="GST 10%",ROUND(L97*set_GSTRate,2),0))</f>
        <v/>
      </c>
      <c r="N97" s="27">
        <f>IF(L97="","",L97+M97)</f>
        <v/>
      </c>
      <c r="O97" s="24" t="inlineStr">
        <is>
          <t>42100</t>
        </is>
      </c>
      <c r="P97" s="24" t="inlineStr">
        <is>
          <t>Y</t>
        </is>
      </c>
      <c r="Q97" s="24" t="inlineStr">
        <is>
          <t>N</t>
        </is>
      </c>
      <c r="R97" s="22" t="n"/>
      <c r="S97" s="22" t="n"/>
      <c r="T97" s="24" t="inlineStr">
        <is>
          <t>Invoiced</t>
        </is>
      </c>
      <c r="U97" s="24" t="inlineStr">
        <is>
          <t>Production portion of this invoice</t>
        </is>
      </c>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v>46255</v>
      </c>
      <c r="B98" s="23">
        <f>IF(A98="","",EOMONTH(A98,0))</f>
        <v/>
      </c>
      <c r="C98" s="24" t="inlineStr">
        <is>
          <t>INV-10599</t>
        </is>
      </c>
      <c r="D98" s="24" t="inlineStr">
        <is>
          <t>ASX</t>
        </is>
      </c>
      <c r="E98" s="24" t="inlineStr">
        <is>
          <t>2608604</t>
        </is>
      </c>
      <c r="F98" s="25">
        <f>IF(E98="","",IF(COUNTIF(lst_Jobs,E98&amp;"")&gt;0,"OK","CHECK"))</f>
        <v/>
      </c>
      <c r="G98" s="24" t="inlineStr">
        <is>
          <t>ASX Employee Townhall 13.8.26</t>
        </is>
      </c>
      <c r="H98" s="24" t="inlineStr">
        <is>
          <t>Production</t>
        </is>
      </c>
      <c r="I98" s="24" t="inlineStr">
        <is>
          <t>VIDEO</t>
        </is>
      </c>
      <c r="J98" s="24" t="inlineStr">
        <is>
          <t>Project</t>
        </is>
      </c>
      <c r="K98" s="24" t="inlineStr">
        <is>
          <t>GST 10%</t>
        </is>
      </c>
      <c r="L98" s="26" t="n">
        <v>485</v>
      </c>
      <c r="M98" s="27">
        <f>IF(L98="","",IF(K98="GST 10%",ROUND(L98*set_GSTRate,2),0))</f>
        <v/>
      </c>
      <c r="N98" s="27">
        <f>IF(L98="","",L98+M98)</f>
        <v/>
      </c>
      <c r="O98" s="24" t="inlineStr">
        <is>
          <t>42150</t>
        </is>
      </c>
      <c r="P98" s="24" t="inlineStr">
        <is>
          <t>Y</t>
        </is>
      </c>
      <c r="Q98" s="24" t="inlineStr">
        <is>
          <t>N</t>
        </is>
      </c>
      <c r="R98" s="22" t="n"/>
      <c r="S98" s="22" t="n"/>
      <c r="T98" s="24" t="inlineStr">
        <is>
          <t>Invoiced</t>
        </is>
      </c>
      <c r="U98" s="24" t="inlineStr">
        <is>
          <t>Video portion of this invoice</t>
        </is>
      </c>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v>46255</v>
      </c>
      <c r="B99" s="23">
        <f>IF(A99="","",EOMONTH(A99,0))</f>
        <v/>
      </c>
      <c r="C99" s="24" t="inlineStr">
        <is>
          <t>INV-10576</t>
        </is>
      </c>
      <c r="D99" s="24" t="inlineStr">
        <is>
          <t>ASX</t>
        </is>
      </c>
      <c r="E99" s="24" t="inlineStr">
        <is>
          <t>26052702</t>
        </is>
      </c>
      <c r="F99" s="25">
        <f>IF(E99="","",IF(COUNTIF(lst_Jobs,E99&amp;"")&gt;0,"OK","CHECK"))</f>
        <v/>
      </c>
      <c r="G99" s="24" t="inlineStr">
        <is>
          <t>ASX FYR Briefing 13.8.26</t>
        </is>
      </c>
      <c r="H99" s="24" t="inlineStr">
        <is>
          <t>Production</t>
        </is>
      </c>
      <c r="I99" s="24" t="inlineStr">
        <is>
          <t>PRODUCTION</t>
        </is>
      </c>
      <c r="J99" s="24" t="inlineStr">
        <is>
          <t>Project</t>
        </is>
      </c>
      <c r="K99" s="24" t="inlineStr">
        <is>
          <t>GST 10%</t>
        </is>
      </c>
      <c r="L99" s="26" t="n">
        <v>34222</v>
      </c>
      <c r="M99" s="27">
        <f>IF(L99="","",IF(K99="GST 10%",ROUND(L99*set_GSTRate,2),0))</f>
        <v/>
      </c>
      <c r="N99" s="27">
        <f>IF(L99="","",L99+M99)</f>
        <v/>
      </c>
      <c r="O99" s="24" t="inlineStr">
        <is>
          <t>42100</t>
        </is>
      </c>
      <c r="P99" s="24" t="inlineStr">
        <is>
          <t>Y</t>
        </is>
      </c>
      <c r="Q99" s="24" t="inlineStr">
        <is>
          <t>N</t>
        </is>
      </c>
      <c r="R99" s="22" t="n"/>
      <c r="S99" s="22" t="n"/>
      <c r="T99" s="24" t="inlineStr">
        <is>
          <t>Invoiced</t>
        </is>
      </c>
      <c r="U99" s="24" t="inlineStr">
        <is>
          <t>Production portion of this invoice</t>
        </is>
      </c>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v>46255</v>
      </c>
      <c r="B100" s="23">
        <f>IF(A100="","",EOMONTH(A100,0))</f>
        <v/>
      </c>
      <c r="C100" s="24" t="inlineStr">
        <is>
          <t>INV-10576</t>
        </is>
      </c>
      <c r="D100" s="24" t="inlineStr">
        <is>
          <t>ASX</t>
        </is>
      </c>
      <c r="E100" s="24" t="inlineStr">
        <is>
          <t>26052702</t>
        </is>
      </c>
      <c r="F100" s="25">
        <f>IF(E100="","",IF(COUNTIF(lst_Jobs,E100&amp;"")&gt;0,"OK","CHECK"))</f>
        <v/>
      </c>
      <c r="G100" s="24" t="inlineStr">
        <is>
          <t>ASX FYR Briefing 13.8.26</t>
        </is>
      </c>
      <c r="H100" s="24" t="inlineStr">
        <is>
          <t>Production</t>
        </is>
      </c>
      <c r="I100" s="24" t="inlineStr">
        <is>
          <t>VIDEO</t>
        </is>
      </c>
      <c r="J100" s="24" t="inlineStr">
        <is>
          <t>Project</t>
        </is>
      </c>
      <c r="K100" s="24" t="inlineStr">
        <is>
          <t>GST 10%</t>
        </is>
      </c>
      <c r="L100" s="26" t="n">
        <v>3357</v>
      </c>
      <c r="M100" s="27">
        <f>IF(L100="","",IF(K100="GST 10%",ROUND(L100*set_GSTRate,2),0))</f>
        <v/>
      </c>
      <c r="N100" s="27">
        <f>IF(L100="","",L100+M100)</f>
        <v/>
      </c>
      <c r="O100" s="24" t="inlineStr">
        <is>
          <t>42150</t>
        </is>
      </c>
      <c r="P100" s="24" t="inlineStr">
        <is>
          <t>Y</t>
        </is>
      </c>
      <c r="Q100" s="24" t="inlineStr">
        <is>
          <t>N</t>
        </is>
      </c>
      <c r="R100" s="22" t="n"/>
      <c r="S100" s="22" t="n"/>
      <c r="T100" s="24" t="inlineStr">
        <is>
          <t>Invoiced</t>
        </is>
      </c>
      <c r="U100" s="24" t="inlineStr">
        <is>
          <t>Video portion of this invoice</t>
        </is>
      </c>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v>46261</v>
      </c>
      <c r="B101" s="23">
        <f>IF(A101="","",EOMONTH(A101,0))</f>
        <v/>
      </c>
      <c r="C101" s="24" t="inlineStr">
        <is>
          <t>INV-10600</t>
        </is>
      </c>
      <c r="D101" s="24" t="inlineStr">
        <is>
          <t>ASX</t>
        </is>
      </c>
      <c r="E101" s="24" t="inlineStr">
        <is>
          <t>26072906</t>
        </is>
      </c>
      <c r="F101" s="25">
        <f>IF(E101="","",IF(COUNTIF(lst_Jobs,E101&amp;"")&gt;0,"OK","CHECK"))</f>
        <v/>
      </c>
      <c r="G101" s="24" t="inlineStr">
        <is>
          <t>ASX Advisory Group on Corporate Governance</t>
        </is>
      </c>
      <c r="H101" s="24" t="inlineStr">
        <is>
          <t>Production</t>
        </is>
      </c>
      <c r="I101" s="24" t="inlineStr">
        <is>
          <t>PRODUCTION</t>
        </is>
      </c>
      <c r="J101" s="24" t="inlineStr">
        <is>
          <t>Project</t>
        </is>
      </c>
      <c r="K101" s="24" t="inlineStr">
        <is>
          <t>GST 10%</t>
        </is>
      </c>
      <c r="L101" s="26" t="n">
        <v>380</v>
      </c>
      <c r="M101" s="27">
        <f>IF(L101="","",IF(K101="GST 10%",ROUND(L101*set_GSTRate,2),0))</f>
        <v/>
      </c>
      <c r="N101" s="27">
        <f>IF(L101="","",L101+M101)</f>
        <v/>
      </c>
      <c r="O101" s="24" t="inlineStr">
        <is>
          <t>42100</t>
        </is>
      </c>
      <c r="P101" s="24" t="inlineStr">
        <is>
          <t>Y</t>
        </is>
      </c>
      <c r="Q101" s="24" t="inlineStr">
        <is>
          <t>N</t>
        </is>
      </c>
      <c r="R101" s="22" t="n"/>
      <c r="S101" s="22" t="n"/>
      <c r="T101" s="24" t="inlineStr">
        <is>
          <t>Invoiced</t>
        </is>
      </c>
      <c r="U101" s="24" t="inlineStr">
        <is>
          <t>Production portion of this invoice</t>
        </is>
      </c>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v>46261</v>
      </c>
      <c r="B102" s="23">
        <f>IF(A102="","",EOMONTH(A102,0))</f>
        <v/>
      </c>
      <c r="C102" s="24" t="inlineStr">
        <is>
          <t>INV-10600</t>
        </is>
      </c>
      <c r="D102" s="24" t="inlineStr">
        <is>
          <t>ASX</t>
        </is>
      </c>
      <c r="E102" s="24" t="inlineStr">
        <is>
          <t>26072906</t>
        </is>
      </c>
      <c r="F102" s="25">
        <f>IF(E102="","",IF(COUNTIF(lst_Jobs,E102&amp;"")&gt;0,"OK","CHECK"))</f>
        <v/>
      </c>
      <c r="G102" s="24" t="inlineStr">
        <is>
          <t>ASX Advisory Group on Corporate Governance</t>
        </is>
      </c>
      <c r="H102" s="24" t="inlineStr">
        <is>
          <t>Production</t>
        </is>
      </c>
      <c r="I102" s="24" t="inlineStr">
        <is>
          <t>VIDEO</t>
        </is>
      </c>
      <c r="J102" s="24" t="inlineStr">
        <is>
          <t>Project</t>
        </is>
      </c>
      <c r="K102" s="24" t="inlineStr">
        <is>
          <t>GST 10%</t>
        </is>
      </c>
      <c r="L102" s="26" t="n">
        <v>4221.7</v>
      </c>
      <c r="M102" s="27">
        <f>IF(L102="","",IF(K102="GST 10%",ROUND(L102*set_GSTRate,2),0))</f>
        <v/>
      </c>
      <c r="N102" s="27">
        <f>IF(L102="","",L102+M102)</f>
        <v/>
      </c>
      <c r="O102" s="24" t="inlineStr">
        <is>
          <t>42150</t>
        </is>
      </c>
      <c r="P102" s="24" t="inlineStr">
        <is>
          <t>Y</t>
        </is>
      </c>
      <c r="Q102" s="24" t="inlineStr">
        <is>
          <t>N</t>
        </is>
      </c>
      <c r="R102" s="22" t="n"/>
      <c r="S102" s="22" t="n"/>
      <c r="T102" s="24" t="inlineStr">
        <is>
          <t>Invoiced</t>
        </is>
      </c>
      <c r="U102" s="24" t="inlineStr">
        <is>
          <t>Video portion of this invoice</t>
        </is>
      </c>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v>46265</v>
      </c>
      <c r="B103" s="23">
        <f>IF(A103="","",EOMONTH(A103,0))</f>
        <v/>
      </c>
      <c r="C103" s="24" t="inlineStr">
        <is>
          <t>INV-10590</t>
        </is>
      </c>
      <c r="D103" s="24" t="inlineStr">
        <is>
          <t>Cochlear</t>
        </is>
      </c>
      <c r="E103" s="24" t="inlineStr">
        <is>
          <t>2603104</t>
        </is>
      </c>
      <c r="F103" s="25">
        <f>IF(E103="","",IF(COUNTIF(lst_Jobs,E103&amp;"")&gt;0,"OK","CHECK"))</f>
        <v/>
      </c>
      <c r="G103" s="24" t="inlineStr">
        <is>
          <t>Cochlear FY26 Results 18.8.26</t>
        </is>
      </c>
      <c r="H103" s="24" t="inlineStr">
        <is>
          <t>Production</t>
        </is>
      </c>
      <c r="I103" s="24" t="inlineStr">
        <is>
          <t>PRODUCTION</t>
        </is>
      </c>
      <c r="J103" s="24" t="inlineStr">
        <is>
          <t>Project</t>
        </is>
      </c>
      <c r="K103" s="24" t="inlineStr">
        <is>
          <t>GST 10%</t>
        </is>
      </c>
      <c r="L103" s="26" t="n">
        <v>10540.5</v>
      </c>
      <c r="M103" s="27">
        <f>IF(L103="","",IF(K103="GST 10%",ROUND(L103*set_GSTRate,2),0))</f>
        <v/>
      </c>
      <c r="N103" s="27">
        <f>IF(L103="","",L103+M103)</f>
        <v/>
      </c>
      <c r="O103" s="24" t="inlineStr">
        <is>
          <t>42100</t>
        </is>
      </c>
      <c r="P103" s="24" t="inlineStr">
        <is>
          <t>Y</t>
        </is>
      </c>
      <c r="Q103" s="24" t="inlineStr">
        <is>
          <t>N</t>
        </is>
      </c>
      <c r="R103" s="22" t="n"/>
      <c r="S103" s="22" t="n"/>
      <c r="T103" s="24" t="inlineStr">
        <is>
          <t>Invoiced</t>
        </is>
      </c>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v>46260</v>
      </c>
      <c r="B104" s="23">
        <f>IF(A104="","",EOMONTH(A104,0))</f>
        <v/>
      </c>
      <c r="C104" s="24" t="inlineStr">
        <is>
          <t>INV-10589</t>
        </is>
      </c>
      <c r="D104" s="24" t="inlineStr">
        <is>
          <t>ON24</t>
        </is>
      </c>
      <c r="E104" s="24" t="inlineStr">
        <is>
          <t>26072802</t>
        </is>
      </c>
      <c r="F104" s="25">
        <f>IF(E104="","",IF(COUNTIF(lst_Jobs,E104&amp;"")&gt;0,"OK","CHECK"))</f>
        <v/>
      </c>
      <c r="G104" s="24" t="inlineStr">
        <is>
          <t>KWM Sydney Event 18.8.26 (PO25962)</t>
        </is>
      </c>
      <c r="H104" s="24" t="inlineStr">
        <is>
          <t>Production</t>
        </is>
      </c>
      <c r="I104" s="24" t="inlineStr">
        <is>
          <t>PRODUCTION</t>
        </is>
      </c>
      <c r="J104" s="24" t="inlineStr">
        <is>
          <t>Project</t>
        </is>
      </c>
      <c r="K104" s="24" t="inlineStr">
        <is>
          <t>GST 10%</t>
        </is>
      </c>
      <c r="L104" s="26" t="n">
        <v>2732.5</v>
      </c>
      <c r="M104" s="27">
        <f>IF(L104="","",IF(K104="GST 10%",ROUND(L104*set_GSTRate,2),0))</f>
        <v/>
      </c>
      <c r="N104" s="27">
        <f>IF(L104="","",L104+M104)</f>
        <v/>
      </c>
      <c r="O104" s="24" t="inlineStr">
        <is>
          <t>42100</t>
        </is>
      </c>
      <c r="P104" s="24" t="inlineStr">
        <is>
          <t>Y</t>
        </is>
      </c>
      <c r="Q104" s="24" t="inlineStr">
        <is>
          <t>N</t>
        </is>
      </c>
      <c r="R104" s="22" t="n"/>
      <c r="S104" s="22" t="n"/>
      <c r="T104" s="24" t="inlineStr">
        <is>
          <t>Invoiced</t>
        </is>
      </c>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v>46260</v>
      </c>
      <c r="B105" s="23">
        <f>IF(A105="","",EOMONTH(A105,0))</f>
        <v/>
      </c>
      <c r="C105" s="24" t="inlineStr">
        <is>
          <t>INV-10588</t>
        </is>
      </c>
      <c r="D105" s="24" t="inlineStr">
        <is>
          <t>Dimensional</t>
        </is>
      </c>
      <c r="E105" s="24" t="inlineStr">
        <is>
          <t>26081402</t>
        </is>
      </c>
      <c r="F105" s="25">
        <f>IF(E105="","",IF(COUNTIF(lst_Jobs,E105&amp;"")&gt;0,"OK","CHECK"))</f>
        <v/>
      </c>
      <c r="G105" s="24" t="inlineStr">
        <is>
          <t>AV Support 19.8.26</t>
        </is>
      </c>
      <c r="H105" s="24" t="inlineStr">
        <is>
          <t>Production</t>
        </is>
      </c>
      <c r="I105" s="24" t="inlineStr">
        <is>
          <t>PRODUCTION</t>
        </is>
      </c>
      <c r="J105" s="24" t="inlineStr">
        <is>
          <t>Project</t>
        </is>
      </c>
      <c r="K105" s="24" t="inlineStr">
        <is>
          <t>GST 10%</t>
        </is>
      </c>
      <c r="L105" s="26" t="n">
        <v>460</v>
      </c>
      <c r="M105" s="27">
        <f>IF(L105="","",IF(K105="GST 10%",ROUND(L105*set_GSTRate,2),0))</f>
        <v/>
      </c>
      <c r="N105" s="27">
        <f>IF(L105="","",L105+M105)</f>
        <v/>
      </c>
      <c r="O105" s="24" t="inlineStr">
        <is>
          <t>42100</t>
        </is>
      </c>
      <c r="P105" s="24" t="inlineStr">
        <is>
          <t>Y</t>
        </is>
      </c>
      <c r="Q105" s="24" t="inlineStr">
        <is>
          <t>N</t>
        </is>
      </c>
      <c r="R105" s="22" t="n"/>
      <c r="S105" s="22" t="n"/>
      <c r="T105" s="24" t="inlineStr">
        <is>
          <t>Invoiced</t>
        </is>
      </c>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v>46259</v>
      </c>
      <c r="B106" s="23">
        <f>IF(A106="","",EOMONTH(A106,0))</f>
        <v/>
      </c>
      <c r="C106" s="24" t="inlineStr">
        <is>
          <t>INV-10591</t>
        </is>
      </c>
      <c r="D106" s="24" t="inlineStr">
        <is>
          <t>TLC -  Melbourne</t>
        </is>
      </c>
      <c r="E106" s="24" t="inlineStr">
        <is>
          <t>26061106</t>
        </is>
      </c>
      <c r="F106" s="25">
        <f>IF(E106="","",IF(COUNTIF(lst_Jobs,E106&amp;"")&gt;0,"OK","CHECK"))</f>
        <v/>
      </c>
      <c r="G106" s="24" t="inlineStr">
        <is>
          <t>TLC Full Year Results</t>
        </is>
      </c>
      <c r="H106" s="24" t="inlineStr">
        <is>
          <t>Production</t>
        </is>
      </c>
      <c r="I106" s="24" t="inlineStr">
        <is>
          <t>PRODUCTION</t>
        </is>
      </c>
      <c r="J106" s="24" t="inlineStr">
        <is>
          <t>Project</t>
        </is>
      </c>
      <c r="K106" s="24" t="inlineStr">
        <is>
          <t>GST 10%</t>
        </is>
      </c>
      <c r="L106" s="26" t="n">
        <v>12987</v>
      </c>
      <c r="M106" s="27">
        <f>IF(L106="","",IF(K106="GST 10%",ROUND(L106*set_GSTRate,2),0))</f>
        <v/>
      </c>
      <c r="N106" s="27">
        <f>IF(L106="","",L106+M106)</f>
        <v/>
      </c>
      <c r="O106" s="24" t="inlineStr">
        <is>
          <t>42100</t>
        </is>
      </c>
      <c r="P106" s="24" t="inlineStr">
        <is>
          <t>Y</t>
        </is>
      </c>
      <c r="Q106" s="24" t="inlineStr">
        <is>
          <t>N</t>
        </is>
      </c>
      <c r="R106" s="22" t="n"/>
      <c r="S106" s="22" t="n"/>
      <c r="T106" s="24" t="inlineStr">
        <is>
          <t>Invoiced</t>
        </is>
      </c>
      <c r="U106" s="24" t="inlineStr">
        <is>
          <t>Production portion of this invoice</t>
        </is>
      </c>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v>46259</v>
      </c>
      <c r="B107" s="23">
        <f>IF(A107="","",EOMONTH(A107,0))</f>
        <v/>
      </c>
      <c r="C107" s="24" t="inlineStr">
        <is>
          <t>INV-10591</t>
        </is>
      </c>
      <c r="D107" s="24" t="inlineStr">
        <is>
          <t>TLC -  Melbourne</t>
        </is>
      </c>
      <c r="E107" s="24" t="inlineStr">
        <is>
          <t>26061106</t>
        </is>
      </c>
      <c r="F107" s="25">
        <f>IF(E107="","",IF(COUNTIF(lst_Jobs,E107&amp;"")&gt;0,"OK","CHECK"))</f>
        <v/>
      </c>
      <c r="G107" s="24" t="inlineStr">
        <is>
          <t>TLC Full Year Results</t>
        </is>
      </c>
      <c r="H107" s="24" t="inlineStr">
        <is>
          <t>Production</t>
        </is>
      </c>
      <c r="I107" s="24" t="inlineStr">
        <is>
          <t>VIDEO</t>
        </is>
      </c>
      <c r="J107" s="24" t="inlineStr">
        <is>
          <t>Project</t>
        </is>
      </c>
      <c r="K107" s="24" t="inlineStr">
        <is>
          <t>GST 10%</t>
        </is>
      </c>
      <c r="L107" s="26" t="n">
        <v>674</v>
      </c>
      <c r="M107" s="27">
        <f>IF(L107="","",IF(K107="GST 10%",ROUND(L107*set_GSTRate,2),0))</f>
        <v/>
      </c>
      <c r="N107" s="27">
        <f>IF(L107="","",L107+M107)</f>
        <v/>
      </c>
      <c r="O107" s="24" t="inlineStr">
        <is>
          <t>42150</t>
        </is>
      </c>
      <c r="P107" s="24" t="inlineStr">
        <is>
          <t>Y</t>
        </is>
      </c>
      <c r="Q107" s="24" t="inlineStr">
        <is>
          <t>N</t>
        </is>
      </c>
      <c r="R107" s="22" t="n"/>
      <c r="S107" s="22" t="n"/>
      <c r="T107" s="24" t="inlineStr">
        <is>
          <t>Invoiced</t>
        </is>
      </c>
      <c r="U107" s="24" t="inlineStr">
        <is>
          <t>Video portion of this invoice</t>
        </is>
      </c>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v>46259</v>
      </c>
      <c r="B108" s="23">
        <f>IF(A108="","",EOMONTH(A108,0))</f>
        <v/>
      </c>
      <c r="C108" s="24" t="inlineStr">
        <is>
          <t>INV-10587</t>
        </is>
      </c>
      <c r="D108" s="24" t="inlineStr">
        <is>
          <t>Downer</t>
        </is>
      </c>
      <c r="E108" s="24" t="inlineStr">
        <is>
          <t>26061107</t>
        </is>
      </c>
      <c r="F108" s="25">
        <f>IF(E108="","",IF(COUNTIF(lst_Jobs,E108&amp;"")&gt;0,"OK","CHECK"))</f>
        <v/>
      </c>
      <c r="G108" s="24" t="inlineStr">
        <is>
          <t>Downer FYR26 20.8.26</t>
        </is>
      </c>
      <c r="H108" s="24" t="inlineStr">
        <is>
          <t>Production</t>
        </is>
      </c>
      <c r="I108" s="24" t="inlineStr">
        <is>
          <t>PRODUCTION</t>
        </is>
      </c>
      <c r="J108" s="24" t="inlineStr">
        <is>
          <t>Project</t>
        </is>
      </c>
      <c r="K108" s="24" t="inlineStr">
        <is>
          <t>GST 10%</t>
        </is>
      </c>
      <c r="L108" s="26" t="n">
        <v>11380.75</v>
      </c>
      <c r="M108" s="27">
        <f>IF(L108="","",IF(K108="GST 10%",ROUND(L108*set_GSTRate,2),0))</f>
        <v/>
      </c>
      <c r="N108" s="27">
        <f>IF(L108="","",L108+M108)</f>
        <v/>
      </c>
      <c r="O108" s="24" t="inlineStr">
        <is>
          <t>42100</t>
        </is>
      </c>
      <c r="P108" s="24" t="inlineStr">
        <is>
          <t>Y</t>
        </is>
      </c>
      <c r="Q108" s="24" t="inlineStr">
        <is>
          <t>N</t>
        </is>
      </c>
      <c r="R108" s="22" t="n"/>
      <c r="S108" s="22" t="n"/>
      <c r="T108" s="24" t="inlineStr">
        <is>
          <t>Invoiced</t>
        </is>
      </c>
      <c r="U108" s="24" t="inlineStr">
        <is>
          <t>Production portion of this invoice</t>
        </is>
      </c>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v>46259</v>
      </c>
      <c r="B109" s="23">
        <f>IF(A109="","",EOMONTH(A109,0))</f>
        <v/>
      </c>
      <c r="C109" s="24" t="inlineStr">
        <is>
          <t>INV-10587</t>
        </is>
      </c>
      <c r="D109" s="24" t="inlineStr">
        <is>
          <t>Downer</t>
        </is>
      </c>
      <c r="E109" s="24" t="inlineStr">
        <is>
          <t>26061107</t>
        </is>
      </c>
      <c r="F109" s="25">
        <f>IF(E109="","",IF(COUNTIF(lst_Jobs,E109&amp;"")&gt;0,"OK","CHECK"))</f>
        <v/>
      </c>
      <c r="G109" s="24" t="inlineStr">
        <is>
          <t>Downer FYR26 20.8.26</t>
        </is>
      </c>
      <c r="H109" s="24" t="inlineStr">
        <is>
          <t>Production</t>
        </is>
      </c>
      <c r="I109" s="24" t="inlineStr">
        <is>
          <t>VIDEO</t>
        </is>
      </c>
      <c r="J109" s="24" t="inlineStr">
        <is>
          <t>Project</t>
        </is>
      </c>
      <c r="K109" s="24" t="inlineStr">
        <is>
          <t>GST 10%</t>
        </is>
      </c>
      <c r="L109" s="26" t="n">
        <v>263.5</v>
      </c>
      <c r="M109" s="27">
        <f>IF(L109="","",IF(K109="GST 10%",ROUND(L109*set_GSTRate,2),0))</f>
        <v/>
      </c>
      <c r="N109" s="27">
        <f>IF(L109="","",L109+M109)</f>
        <v/>
      </c>
      <c r="O109" s="24" t="inlineStr">
        <is>
          <t>42150</t>
        </is>
      </c>
      <c r="P109" s="24" t="inlineStr">
        <is>
          <t>Y</t>
        </is>
      </c>
      <c r="Q109" s="24" t="inlineStr">
        <is>
          <t>N</t>
        </is>
      </c>
      <c r="R109" s="22" t="n"/>
      <c r="S109" s="22" t="n"/>
      <c r="T109" s="24" t="inlineStr">
        <is>
          <t>Invoiced</t>
        </is>
      </c>
      <c r="U109" s="24" t="inlineStr">
        <is>
          <t>Video portion of this invoice</t>
        </is>
      </c>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v>46260</v>
      </c>
      <c r="B110" s="23">
        <f>IF(A110="","",EOMONTH(A110,0))</f>
        <v/>
      </c>
      <c r="C110" s="24" t="inlineStr">
        <is>
          <t>INV-10586</t>
        </is>
      </c>
      <c r="D110" s="24" t="inlineStr">
        <is>
          <t>Garvan</t>
        </is>
      </c>
      <c r="E110" s="24" t="inlineStr">
        <is>
          <t>26073110</t>
        </is>
      </c>
      <c r="F110" s="25">
        <f>IF(E110="","",IF(COUNTIF(lst_Jobs,E110&amp;"")&gt;0,"OK","CHECK"))</f>
        <v/>
      </c>
      <c r="G110" s="24" t="inlineStr">
        <is>
          <t>Garvan - Weizmann Dinner Event</t>
        </is>
      </c>
      <c r="H110" s="24" t="inlineStr">
        <is>
          <t>Production</t>
        </is>
      </c>
      <c r="I110" s="24" t="inlineStr">
        <is>
          <t>PRODUCTION</t>
        </is>
      </c>
      <c r="J110" s="24" t="inlineStr">
        <is>
          <t>Project</t>
        </is>
      </c>
      <c r="K110" s="24" t="inlineStr">
        <is>
          <t>GST 10%</t>
        </is>
      </c>
      <c r="L110" s="26" t="n">
        <v>1055</v>
      </c>
      <c r="M110" s="27">
        <f>IF(L110="","",IF(K110="GST 10%",ROUND(L110*set_GSTRate,2),0))</f>
        <v/>
      </c>
      <c r="N110" s="27">
        <f>IF(L110="","",L110+M110)</f>
        <v/>
      </c>
      <c r="O110" s="24" t="inlineStr">
        <is>
          <t>42100</t>
        </is>
      </c>
      <c r="P110" s="24" t="inlineStr">
        <is>
          <t>Y</t>
        </is>
      </c>
      <c r="Q110" s="24" t="inlineStr">
        <is>
          <t>N</t>
        </is>
      </c>
      <c r="R110" s="22" t="n"/>
      <c r="S110" s="22" t="n"/>
      <c r="T110" s="24" t="inlineStr">
        <is>
          <t>Invoiced</t>
        </is>
      </c>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inlineStr">
        <is>
          <t>Package</t>
        </is>
      </c>
      <c r="D111" s="24" t="inlineStr">
        <is>
          <t>APA</t>
        </is>
      </c>
      <c r="E111" s="24" t="inlineStr">
        <is>
          <t>25121208</t>
        </is>
      </c>
      <c r="F111" s="25">
        <f>IF(E111="","",IF(COUNTIF(lst_Jobs,E111&amp;"")&gt;0,"OK","CHECK"))</f>
        <v/>
      </c>
      <c r="G111" s="24" t="inlineStr">
        <is>
          <t>APA FYR Investor Briefing 20.8.26</t>
        </is>
      </c>
      <c r="H111" s="24" t="inlineStr">
        <is>
          <t>Production</t>
        </is>
      </c>
      <c r="I111" s="24" t="inlineStr">
        <is>
          <t>PRODUCTION</t>
        </is>
      </c>
      <c r="J111" s="24" t="inlineStr">
        <is>
          <t>Project</t>
        </is>
      </c>
      <c r="K111" s="24" t="inlineStr">
        <is>
          <t>GST 10%</t>
        </is>
      </c>
      <c r="L111" s="26" t="n">
        <v>8472.5</v>
      </c>
      <c r="M111" s="27">
        <f>IF(L111="","",IF(K111="GST 10%",ROUND(L111*set_GSTRate,2),0))</f>
        <v/>
      </c>
      <c r="N111" s="27">
        <f>IF(L111="","",L111+M111)</f>
        <v/>
      </c>
      <c r="O111" s="24" t="inlineStr">
        <is>
          <t>42100</t>
        </is>
      </c>
      <c r="P111" s="24" t="inlineStr">
        <is>
          <t>Y</t>
        </is>
      </c>
      <c r="Q111" s="24" t="inlineStr">
        <is>
          <t>N</t>
        </is>
      </c>
      <c r="R111" s="22" t="n"/>
      <c r="S111" s="22" t="n"/>
      <c r="T111" s="24" t="inlineStr">
        <is>
          <t>Invoiced</t>
        </is>
      </c>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inlineStr">
        <is>
          <t>Package</t>
        </is>
      </c>
      <c r="D112" s="24" t="inlineStr">
        <is>
          <t>APA</t>
        </is>
      </c>
      <c r="E112" s="24" t="inlineStr">
        <is>
          <t>26061108</t>
        </is>
      </c>
      <c r="F112" s="25">
        <f>IF(E112="","",IF(COUNTIF(lst_Jobs,E112&amp;"")&gt;0,"OK","CHECK"))</f>
        <v/>
      </c>
      <c r="G112" s="24" t="inlineStr">
        <is>
          <t>APA FYR Town Hall 20.8.26</t>
        </is>
      </c>
      <c r="H112" s="24" t="inlineStr">
        <is>
          <t>Production</t>
        </is>
      </c>
      <c r="I112" s="24" t="inlineStr">
        <is>
          <t>PRODUCTION</t>
        </is>
      </c>
      <c r="J112" s="24" t="inlineStr">
        <is>
          <t>Project</t>
        </is>
      </c>
      <c r="K112" s="24" t="inlineStr">
        <is>
          <t>GST 10%</t>
        </is>
      </c>
      <c r="L112" s="26" t="n">
        <v>11339</v>
      </c>
      <c r="M112" s="27">
        <f>IF(L112="","",IF(K112="GST 10%",ROUND(L112*set_GSTRate,2),0))</f>
        <v/>
      </c>
      <c r="N112" s="27">
        <f>IF(L112="","",L112+M112)</f>
        <v/>
      </c>
      <c r="O112" s="24" t="inlineStr">
        <is>
          <t>42100</t>
        </is>
      </c>
      <c r="P112" s="24" t="inlineStr">
        <is>
          <t>Y</t>
        </is>
      </c>
      <c r="Q112" s="24" t="inlineStr">
        <is>
          <t>N</t>
        </is>
      </c>
      <c r="R112" s="22" t="n"/>
      <c r="S112" s="22" t="n"/>
      <c r="T112" s="24" t="inlineStr">
        <is>
          <t>Invoiced</t>
        </is>
      </c>
      <c r="U112" s="24" t="inlineStr">
        <is>
          <t>Production portion of this invoice</t>
        </is>
      </c>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inlineStr">
        <is>
          <t>Package</t>
        </is>
      </c>
      <c r="D113" s="24" t="inlineStr">
        <is>
          <t>APA</t>
        </is>
      </c>
      <c r="E113" s="24" t="inlineStr">
        <is>
          <t>26061108</t>
        </is>
      </c>
      <c r="F113" s="25">
        <f>IF(E113="","",IF(COUNTIF(lst_Jobs,E113&amp;"")&gt;0,"OK","CHECK"))</f>
        <v/>
      </c>
      <c r="G113" s="24" t="inlineStr">
        <is>
          <t>APA FYR Town Hall 20.8.26</t>
        </is>
      </c>
      <c r="H113" s="24" t="inlineStr">
        <is>
          <t>Production</t>
        </is>
      </c>
      <c r="I113" s="24" t="inlineStr">
        <is>
          <t>VIDEO</t>
        </is>
      </c>
      <c r="J113" s="24" t="inlineStr">
        <is>
          <t>Project</t>
        </is>
      </c>
      <c r="K113" s="24" t="inlineStr">
        <is>
          <t>GST 10%</t>
        </is>
      </c>
      <c r="L113" s="26" t="n">
        <v>1261.6</v>
      </c>
      <c r="M113" s="27">
        <f>IF(L113="","",IF(K113="GST 10%",ROUND(L113*set_GSTRate,2),0))</f>
        <v/>
      </c>
      <c r="N113" s="27">
        <f>IF(L113="","",L113+M113)</f>
        <v/>
      </c>
      <c r="O113" s="24" t="inlineStr">
        <is>
          <t>42150</t>
        </is>
      </c>
      <c r="P113" s="24" t="inlineStr">
        <is>
          <t>Y</t>
        </is>
      </c>
      <c r="Q113" s="24" t="inlineStr">
        <is>
          <t>N</t>
        </is>
      </c>
      <c r="R113" s="22" t="n"/>
      <c r="S113" s="22" t="n"/>
      <c r="T113" s="24" t="inlineStr">
        <is>
          <t>Invoiced</t>
        </is>
      </c>
      <c r="U113" s="24" t="inlineStr">
        <is>
          <t>Video portion of this invoice</t>
        </is>
      </c>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v>46265</v>
      </c>
      <c r="B114" s="23">
        <f>IF(A114="","",EOMONTH(A114,0))</f>
        <v/>
      </c>
      <c r="C114" s="24" t="inlineStr">
        <is>
          <t>INV-10593</t>
        </is>
      </c>
      <c r="D114" s="24" t="inlineStr">
        <is>
          <t>Ventia</t>
        </is>
      </c>
      <c r="E114" s="24" t="inlineStr">
        <is>
          <t>26061109</t>
        </is>
      </c>
      <c r="F114" s="25">
        <f>IF(E114="","",IF(COUNTIF(lst_Jobs,E114&amp;"")&gt;0,"OK","CHECK"))</f>
        <v/>
      </c>
      <c r="G114" s="24" t="inlineStr">
        <is>
          <t>Ventia HYR Employee Town Hall 24.8.26 (PO 4701366307)</t>
        </is>
      </c>
      <c r="H114" s="24" t="inlineStr">
        <is>
          <t>Production</t>
        </is>
      </c>
      <c r="I114" s="24" t="inlineStr">
        <is>
          <t>PRODUCTION</t>
        </is>
      </c>
      <c r="J114" s="24" t="inlineStr">
        <is>
          <t>Project</t>
        </is>
      </c>
      <c r="K114" s="24" t="inlineStr">
        <is>
          <t>GST 10%</t>
        </is>
      </c>
      <c r="L114" s="26" t="n">
        <v>11630.5</v>
      </c>
      <c r="M114" s="27">
        <f>IF(L114="","",IF(K114="GST 10%",ROUND(L114*set_GSTRate,2),0))</f>
        <v/>
      </c>
      <c r="N114" s="27">
        <f>IF(L114="","",L114+M114)</f>
        <v/>
      </c>
      <c r="O114" s="24" t="inlineStr">
        <is>
          <t>42100</t>
        </is>
      </c>
      <c r="P114" s="24" t="inlineStr">
        <is>
          <t>Y</t>
        </is>
      </c>
      <c r="Q114" s="24" t="inlineStr">
        <is>
          <t>N</t>
        </is>
      </c>
      <c r="R114" s="22" t="n"/>
      <c r="S114" s="22" t="n"/>
      <c r="T114" s="24" t="inlineStr">
        <is>
          <t>Invoiced</t>
        </is>
      </c>
      <c r="U114" s="24" t="inlineStr">
        <is>
          <t>Production portion of this invoice</t>
        </is>
      </c>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v>46265</v>
      </c>
      <c r="B115" s="23">
        <f>IF(A115="","",EOMONTH(A115,0))</f>
        <v/>
      </c>
      <c r="C115" s="24" t="inlineStr">
        <is>
          <t>INV-10593</t>
        </is>
      </c>
      <c r="D115" s="24" t="inlineStr">
        <is>
          <t>Ventia</t>
        </is>
      </c>
      <c r="E115" s="24" t="inlineStr">
        <is>
          <t>26061109</t>
        </is>
      </c>
      <c r="F115" s="25">
        <f>IF(E115="","",IF(COUNTIF(lst_Jobs,E115&amp;"")&gt;0,"OK","CHECK"))</f>
        <v/>
      </c>
      <c r="G115" s="24" t="inlineStr">
        <is>
          <t>Ventia HYR Employee Town Hall 24.8.26 (PO 4701366307)</t>
        </is>
      </c>
      <c r="H115" s="24" t="inlineStr">
        <is>
          <t>Production</t>
        </is>
      </c>
      <c r="I115" s="24" t="inlineStr">
        <is>
          <t>VIDEO</t>
        </is>
      </c>
      <c r="J115" s="24" t="inlineStr">
        <is>
          <t>Project</t>
        </is>
      </c>
      <c r="K115" s="24" t="inlineStr">
        <is>
          <t>GST 10%</t>
        </is>
      </c>
      <c r="L115" s="26" t="n">
        <v>1771</v>
      </c>
      <c r="M115" s="27">
        <f>IF(L115="","",IF(K115="GST 10%",ROUND(L115*set_GSTRate,2),0))</f>
        <v/>
      </c>
      <c r="N115" s="27">
        <f>IF(L115="","",L115+M115)</f>
        <v/>
      </c>
      <c r="O115" s="24" t="inlineStr">
        <is>
          <t>42150</t>
        </is>
      </c>
      <c r="P115" s="24" t="inlineStr">
        <is>
          <t>Y</t>
        </is>
      </c>
      <c r="Q115" s="24" t="inlineStr">
        <is>
          <t>N</t>
        </is>
      </c>
      <c r="R115" s="22" t="n"/>
      <c r="S115" s="22" t="n"/>
      <c r="T115" s="24" t="inlineStr">
        <is>
          <t>Invoiced</t>
        </is>
      </c>
      <c r="U115" s="24" t="inlineStr">
        <is>
          <t>Video portion of this invoice</t>
        </is>
      </c>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v>46265</v>
      </c>
      <c r="B116" s="23">
        <f>IF(A116="","",EOMONTH(A116,0))</f>
        <v/>
      </c>
      <c r="C116" s="24" t="inlineStr">
        <is>
          <t>INV-10612</t>
        </is>
      </c>
      <c r="D116" s="24" t="inlineStr">
        <is>
          <t>Ventia</t>
        </is>
      </c>
      <c r="E116" s="24" t="inlineStr">
        <is>
          <t>26071501</t>
        </is>
      </c>
      <c r="F116" s="25">
        <f>IF(E116="","",IF(COUNTIF(lst_Jobs,E116&amp;"")&gt;0,"OK","CHECK"))</f>
        <v/>
      </c>
      <c r="G116" s="24" t="inlineStr">
        <is>
          <t>Ventia Half Year Results Briefing</t>
        </is>
      </c>
      <c r="H116" s="24" t="inlineStr">
        <is>
          <t>Production</t>
        </is>
      </c>
      <c r="I116" s="24" t="inlineStr">
        <is>
          <t>PRODUCTION</t>
        </is>
      </c>
      <c r="J116" s="24" t="inlineStr">
        <is>
          <t>Project</t>
        </is>
      </c>
      <c r="K116" s="24" t="inlineStr">
        <is>
          <t>GST 10%</t>
        </is>
      </c>
      <c r="L116" s="26" t="n">
        <v>10835.49</v>
      </c>
      <c r="M116" s="27">
        <f>IF(L116="","",IF(K116="GST 10%",ROUND(L116*set_GSTRate,2),0))</f>
        <v/>
      </c>
      <c r="N116" s="27">
        <f>IF(L116="","",L116+M116)</f>
        <v/>
      </c>
      <c r="O116" s="24" t="inlineStr">
        <is>
          <t>42100</t>
        </is>
      </c>
      <c r="P116" s="24" t="inlineStr">
        <is>
          <t>Y</t>
        </is>
      </c>
      <c r="Q116" s="24" t="inlineStr">
        <is>
          <t>N</t>
        </is>
      </c>
      <c r="R116" s="22" t="n"/>
      <c r="S116" s="22" t="n"/>
      <c r="T116" s="24" t="inlineStr">
        <is>
          <t>Invoiced</t>
        </is>
      </c>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v>46265</v>
      </c>
      <c r="B117" s="23">
        <f>IF(A117="","",EOMONTH(A117,0))</f>
        <v/>
      </c>
      <c r="C117" s="24" t="inlineStr">
        <is>
          <t>INV-10611</t>
        </is>
      </c>
      <c r="D117" s="24" t="inlineStr">
        <is>
          <t>Downer - Melbourne</t>
        </is>
      </c>
      <c r="E117" s="24" t="inlineStr">
        <is>
          <t>26073111</t>
        </is>
      </c>
      <c r="F117" s="25">
        <f>IF(E117="","",IF(COUNTIF(lst_Jobs,E117&amp;"")&gt;0,"OK","CHECK"))</f>
        <v/>
      </c>
      <c r="G117" s="24" t="inlineStr">
        <is>
          <t>Employee Results Briefing</t>
        </is>
      </c>
      <c r="H117" s="24" t="inlineStr">
        <is>
          <t>Production</t>
        </is>
      </c>
      <c r="I117" s="24" t="inlineStr">
        <is>
          <t>PRODUCTION</t>
        </is>
      </c>
      <c r="J117" s="24" t="inlineStr">
        <is>
          <t>Project</t>
        </is>
      </c>
      <c r="K117" s="24" t="inlineStr">
        <is>
          <t>GST 10%</t>
        </is>
      </c>
      <c r="L117" s="26" t="n">
        <v>22628.75</v>
      </c>
      <c r="M117" s="27">
        <f>IF(L117="","",IF(K117="GST 10%",ROUND(L117*set_GSTRate,2),0))</f>
        <v/>
      </c>
      <c r="N117" s="27">
        <f>IF(L117="","",L117+M117)</f>
        <v/>
      </c>
      <c r="O117" s="24" t="inlineStr">
        <is>
          <t>42100</t>
        </is>
      </c>
      <c r="P117" s="24" t="inlineStr">
        <is>
          <t>Y</t>
        </is>
      </c>
      <c r="Q117" s="24" t="inlineStr">
        <is>
          <t>N</t>
        </is>
      </c>
      <c r="R117" s="22" t="n"/>
      <c r="S117" s="22" t="n"/>
      <c r="T117" s="24" t="inlineStr">
        <is>
          <t>Invoiced</t>
        </is>
      </c>
      <c r="U117" s="24" t="inlineStr">
        <is>
          <t>Production portion of this invoice</t>
        </is>
      </c>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v>46265</v>
      </c>
      <c r="B118" s="23">
        <f>IF(A118="","",EOMONTH(A118,0))</f>
        <v/>
      </c>
      <c r="C118" s="24" t="inlineStr">
        <is>
          <t>INV-10611</t>
        </is>
      </c>
      <c r="D118" s="24" t="inlineStr">
        <is>
          <t>Downer - Melbourne</t>
        </is>
      </c>
      <c r="E118" s="24" t="inlineStr">
        <is>
          <t>26073111</t>
        </is>
      </c>
      <c r="F118" s="25">
        <f>IF(E118="","",IF(COUNTIF(lst_Jobs,E118&amp;"")&gt;0,"OK","CHECK"))</f>
        <v/>
      </c>
      <c r="G118" s="24" t="inlineStr">
        <is>
          <t>Employee Results Briefing</t>
        </is>
      </c>
      <c r="H118" s="24" t="inlineStr">
        <is>
          <t>Production</t>
        </is>
      </c>
      <c r="I118" s="24" t="inlineStr">
        <is>
          <t>VIDEO</t>
        </is>
      </c>
      <c r="J118" s="24" t="inlineStr">
        <is>
          <t>Project</t>
        </is>
      </c>
      <c r="K118" s="24" t="inlineStr">
        <is>
          <t>GST 10%</t>
        </is>
      </c>
      <c r="L118" s="26" t="n">
        <v>1785</v>
      </c>
      <c r="M118" s="27">
        <f>IF(L118="","",IF(K118="GST 10%",ROUND(L118*set_GSTRate,2),0))</f>
        <v/>
      </c>
      <c r="N118" s="27">
        <f>IF(L118="","",L118+M118)</f>
        <v/>
      </c>
      <c r="O118" s="24" t="inlineStr">
        <is>
          <t>42150</t>
        </is>
      </c>
      <c r="P118" s="24" t="inlineStr">
        <is>
          <t>Y</t>
        </is>
      </c>
      <c r="Q118" s="24" t="inlineStr">
        <is>
          <t>N</t>
        </is>
      </c>
      <c r="R118" s="22" t="n"/>
      <c r="S118" s="22" t="n"/>
      <c r="T118" s="24" t="inlineStr">
        <is>
          <t>Invoiced</t>
        </is>
      </c>
      <c r="U118" s="24" t="inlineStr">
        <is>
          <t>Video portion of this invoice</t>
        </is>
      </c>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v>46253</v>
      </c>
      <c r="B119" s="23">
        <f>IF(A119="","",EOMONTH(A119,0))</f>
        <v/>
      </c>
      <c r="C119" s="24" t="inlineStr">
        <is>
          <t>INV10567</t>
        </is>
      </c>
      <c r="D119" s="24" t="inlineStr">
        <is>
          <t>Symal - Melbourne</t>
        </is>
      </c>
      <c r="E119" s="24" t="inlineStr">
        <is>
          <t>2606904</t>
        </is>
      </c>
      <c r="F119" s="25">
        <f>IF(E119="","",IF(COUNTIF(lst_Jobs,E119&amp;"")&gt;0,"OK","CHECK"))</f>
        <v/>
      </c>
      <c r="G119" s="24" t="inlineStr">
        <is>
          <t>Symal FYR 2026</t>
        </is>
      </c>
      <c r="H119" s="24" t="inlineStr">
        <is>
          <t>Production</t>
        </is>
      </c>
      <c r="I119" s="24" t="inlineStr">
        <is>
          <t>PRODUCTION</t>
        </is>
      </c>
      <c r="J119" s="24" t="inlineStr">
        <is>
          <t>Project</t>
        </is>
      </c>
      <c r="K119" s="24" t="inlineStr">
        <is>
          <t>GST 10%</t>
        </is>
      </c>
      <c r="L119" s="26" t="n">
        <v>13260.5</v>
      </c>
      <c r="M119" s="27">
        <f>IF(L119="","",IF(K119="GST 10%",ROUND(L119*set_GSTRate,2),0))</f>
        <v/>
      </c>
      <c r="N119" s="27">
        <f>IF(L119="","",L119+M119)</f>
        <v/>
      </c>
      <c r="O119" s="24" t="inlineStr">
        <is>
          <t>42100</t>
        </is>
      </c>
      <c r="P119" s="24" t="inlineStr">
        <is>
          <t>Y</t>
        </is>
      </c>
      <c r="Q119" s="24" t="inlineStr">
        <is>
          <t>N</t>
        </is>
      </c>
      <c r="R119" s="22" t="n"/>
      <c r="S119" s="22" t="n"/>
      <c r="T119" s="24" t="inlineStr">
        <is>
          <t>Invoiced</t>
        </is>
      </c>
      <c r="U119" s="24" t="inlineStr">
        <is>
          <t>Production portion of this invoice</t>
        </is>
      </c>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v>46253</v>
      </c>
      <c r="B120" s="23">
        <f>IF(A120="","",EOMONTH(A120,0))</f>
        <v/>
      </c>
      <c r="C120" s="24" t="inlineStr">
        <is>
          <t>INV10567</t>
        </is>
      </c>
      <c r="D120" s="24" t="inlineStr">
        <is>
          <t>Symal - Melbourne</t>
        </is>
      </c>
      <c r="E120" s="24" t="inlineStr">
        <is>
          <t>2606904</t>
        </is>
      </c>
      <c r="F120" s="25">
        <f>IF(E120="","",IF(COUNTIF(lst_Jobs,E120&amp;"")&gt;0,"OK","CHECK"))</f>
        <v/>
      </c>
      <c r="G120" s="24" t="inlineStr">
        <is>
          <t>Symal FYR 2026</t>
        </is>
      </c>
      <c r="H120" s="24" t="inlineStr">
        <is>
          <t>Production</t>
        </is>
      </c>
      <c r="I120" s="24" t="inlineStr">
        <is>
          <t>VIDEO</t>
        </is>
      </c>
      <c r="J120" s="24" t="inlineStr">
        <is>
          <t>Project</t>
        </is>
      </c>
      <c r="K120" s="24" t="inlineStr">
        <is>
          <t>GST 10%</t>
        </is>
      </c>
      <c r="L120" s="26" t="n">
        <v>86.5</v>
      </c>
      <c r="M120" s="27">
        <f>IF(L120="","",IF(K120="GST 10%",ROUND(L120*set_GSTRate,2),0))</f>
        <v/>
      </c>
      <c r="N120" s="27">
        <f>IF(L120="","",L120+M120)</f>
        <v/>
      </c>
      <c r="O120" s="24" t="inlineStr">
        <is>
          <t>42150</t>
        </is>
      </c>
      <c r="P120" s="24" t="inlineStr">
        <is>
          <t>Y</t>
        </is>
      </c>
      <c r="Q120" s="24" t="inlineStr">
        <is>
          <t>N</t>
        </is>
      </c>
      <c r="R120" s="22" t="n"/>
      <c r="S120" s="22" t="n"/>
      <c r="T120" s="24" t="inlineStr">
        <is>
          <t>Invoiced</t>
        </is>
      </c>
      <c r="U120" s="24" t="inlineStr">
        <is>
          <t>Video portion of this invoice</t>
        </is>
      </c>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v>46261</v>
      </c>
      <c r="B121" s="23">
        <f>IF(A121="","",EOMONTH(A121,0))</f>
        <v/>
      </c>
      <c r="C121" s="24" t="inlineStr">
        <is>
          <t>INV-10595</t>
        </is>
      </c>
      <c r="D121" s="24" t="inlineStr">
        <is>
          <t>Garvan</t>
        </is>
      </c>
      <c r="E121" s="24" t="inlineStr">
        <is>
          <t>26061001</t>
        </is>
      </c>
      <c r="F121" s="25">
        <f>IF(E121="","",IF(COUNTIF(lst_Jobs,E121&amp;"")&gt;0,"OK","CHECK"))</f>
        <v/>
      </c>
      <c r="G121" s="24" t="inlineStr">
        <is>
          <t>Garvan August All Clear Event 25.8.26</t>
        </is>
      </c>
      <c r="H121" s="24" t="inlineStr">
        <is>
          <t>Production</t>
        </is>
      </c>
      <c r="I121" s="24" t="inlineStr">
        <is>
          <t>PRODUCTION</t>
        </is>
      </c>
      <c r="J121" s="24" t="inlineStr">
        <is>
          <t>Project</t>
        </is>
      </c>
      <c r="K121" s="24" t="inlineStr">
        <is>
          <t>GST 10%</t>
        </is>
      </c>
      <c r="L121" s="26" t="n">
        <v>770</v>
      </c>
      <c r="M121" s="27">
        <f>IF(L121="","",IF(K121="GST 10%",ROUND(L121*set_GSTRate,2),0))</f>
        <v/>
      </c>
      <c r="N121" s="27">
        <f>IF(L121="","",L121+M121)</f>
        <v/>
      </c>
      <c r="O121" s="24" t="inlineStr">
        <is>
          <t>42100</t>
        </is>
      </c>
      <c r="P121" s="24" t="inlineStr">
        <is>
          <t>Y</t>
        </is>
      </c>
      <c r="Q121" s="24" t="inlineStr">
        <is>
          <t>N</t>
        </is>
      </c>
      <c r="R121" s="22" t="n"/>
      <c r="S121" s="22" t="n"/>
      <c r="T121" s="24" t="inlineStr">
        <is>
          <t>Invoiced</t>
        </is>
      </c>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v>46260</v>
      </c>
      <c r="B122" s="23">
        <f>IF(A122="","",EOMONTH(A122,0))</f>
        <v/>
      </c>
      <c r="C122" s="24" t="inlineStr">
        <is>
          <t>INV-10594</t>
        </is>
      </c>
      <c r="D122" s="24" t="inlineStr">
        <is>
          <t>Elkiem</t>
        </is>
      </c>
      <c r="E122" s="24" t="inlineStr">
        <is>
          <t>26073105</t>
        </is>
      </c>
      <c r="F122" s="25">
        <f>IF(E122="","",IF(COUNTIF(lst_Jobs,E122&amp;"")&gt;0,"OK","CHECK"))</f>
        <v/>
      </c>
      <c r="G122" s="24" t="inlineStr">
        <is>
          <t>Studio Support 25.8.26</t>
        </is>
      </c>
      <c r="H122" s="24" t="inlineStr">
        <is>
          <t>Production</t>
        </is>
      </c>
      <c r="I122" s="24" t="inlineStr">
        <is>
          <t>PRODUCTION</t>
        </is>
      </c>
      <c r="J122" s="24" t="inlineStr">
        <is>
          <t>Project</t>
        </is>
      </c>
      <c r="K122" s="24" t="inlineStr">
        <is>
          <t>GST 10%</t>
        </is>
      </c>
      <c r="L122" s="26" t="n">
        <v>380</v>
      </c>
      <c r="M122" s="27">
        <f>IF(L122="","",IF(K122="GST 10%",ROUND(L122*set_GSTRate,2),0))</f>
        <v/>
      </c>
      <c r="N122" s="27">
        <f>IF(L122="","",L122+M122)</f>
        <v/>
      </c>
      <c r="O122" s="24" t="inlineStr">
        <is>
          <t>42100</t>
        </is>
      </c>
      <c r="P122" s="24" t="inlineStr">
        <is>
          <t>Y</t>
        </is>
      </c>
      <c r="Q122" s="24" t="inlineStr">
        <is>
          <t>N</t>
        </is>
      </c>
      <c r="R122" s="22" t="n"/>
      <c r="S122" s="22" t="n"/>
      <c r="T122" s="24" t="inlineStr">
        <is>
          <t>Invoiced</t>
        </is>
      </c>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v>46265</v>
      </c>
      <c r="B123" s="23">
        <f>IF(A123="","",EOMONTH(A123,0))</f>
        <v/>
      </c>
      <c r="C123" s="24" t="inlineStr">
        <is>
          <t>INV-10592</t>
        </is>
      </c>
      <c r="D123" s="24" t="inlineStr">
        <is>
          <t>APA</t>
        </is>
      </c>
      <c r="E123" s="24" t="inlineStr">
        <is>
          <t>2608702</t>
        </is>
      </c>
      <c r="F123" s="25">
        <f>IF(E123="","",IF(COUNTIF(lst_Jobs,E123&amp;"")&gt;0,"OK","CHECK"))</f>
        <v/>
      </c>
      <c r="G123" s="24" t="inlineStr">
        <is>
          <t>APA FYR Town Hall Screen Hire 20.8.26</t>
        </is>
      </c>
      <c r="H123" s="24" t="inlineStr">
        <is>
          <t>Production</t>
        </is>
      </c>
      <c r="I123" s="24" t="inlineStr">
        <is>
          <t>PRODUCTION</t>
        </is>
      </c>
      <c r="J123" s="24" t="inlineStr">
        <is>
          <t>Project</t>
        </is>
      </c>
      <c r="K123" s="24" t="inlineStr">
        <is>
          <t>GST 10%</t>
        </is>
      </c>
      <c r="L123" s="26" t="n">
        <v>830</v>
      </c>
      <c r="M123" s="27">
        <f>IF(L123="","",IF(K123="GST 10%",ROUND(L123*set_GSTRate,2),0))</f>
        <v/>
      </c>
      <c r="N123" s="27">
        <f>IF(L123="","",L123+M123)</f>
        <v/>
      </c>
      <c r="O123" s="24" t="inlineStr">
        <is>
          <t>42100</t>
        </is>
      </c>
      <c r="P123" s="24" t="inlineStr">
        <is>
          <t>Y</t>
        </is>
      </c>
      <c r="Q123" s="24" t="inlineStr">
        <is>
          <t>N</t>
        </is>
      </c>
      <c r="R123" s="22" t="n"/>
      <c r="S123" s="22" t="n"/>
      <c r="T123" s="24" t="inlineStr">
        <is>
          <t>Invoiced</t>
        </is>
      </c>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v>46265</v>
      </c>
      <c r="B124" s="23">
        <f>IF(A124="","",EOMONTH(A124,0))</f>
        <v/>
      </c>
      <c r="C124" s="24" t="inlineStr">
        <is>
          <t>INV-10617</t>
        </is>
      </c>
      <c r="D124" s="24" t="inlineStr">
        <is>
          <t>Virgin - BNE</t>
        </is>
      </c>
      <c r="E124" s="24" t="inlineStr">
        <is>
          <t>2606903</t>
        </is>
      </c>
      <c r="F124" s="25">
        <f>IF(E124="","",IF(COUNTIF(lst_Jobs,E124&amp;"")&gt;0,"OK","CHECK"))</f>
        <v/>
      </c>
      <c r="G124" s="24" t="inlineStr">
        <is>
          <t>FY26 Results - 28.8.26</t>
        </is>
      </c>
      <c r="H124" s="24" t="inlineStr">
        <is>
          <t>Production</t>
        </is>
      </c>
      <c r="I124" s="24" t="inlineStr">
        <is>
          <t>PRODUCTION</t>
        </is>
      </c>
      <c r="J124" s="24" t="inlineStr">
        <is>
          <t>Project</t>
        </is>
      </c>
      <c r="K124" s="24" t="inlineStr">
        <is>
          <t>GST 10%</t>
        </is>
      </c>
      <c r="L124" s="26" t="n">
        <v>13389.5</v>
      </c>
      <c r="M124" s="27">
        <f>IF(L124="","",IF(K124="GST 10%",ROUND(L124*set_GSTRate,2),0))</f>
        <v/>
      </c>
      <c r="N124" s="27">
        <f>IF(L124="","",L124+M124)</f>
        <v/>
      </c>
      <c r="O124" s="24" t="inlineStr">
        <is>
          <t>42100</t>
        </is>
      </c>
      <c r="P124" s="24" t="inlineStr">
        <is>
          <t>Y</t>
        </is>
      </c>
      <c r="Q124" s="24" t="inlineStr">
        <is>
          <t>N</t>
        </is>
      </c>
      <c r="R124" s="22" t="n"/>
      <c r="S124" s="22" t="n"/>
      <c r="T124" s="24" t="inlineStr">
        <is>
          <t>Invoiced</t>
        </is>
      </c>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v>46265</v>
      </c>
      <c r="B125" s="23">
        <f>IF(A125="","",EOMONTH(A125,0))</f>
        <v/>
      </c>
      <c r="C125" s="24" t="inlineStr">
        <is>
          <t>INV-10616</t>
        </is>
      </c>
      <c r="D125" s="24" t="inlineStr">
        <is>
          <t>CBA</t>
        </is>
      </c>
      <c r="E125" s="24" t="inlineStr">
        <is>
          <t>26072003</t>
        </is>
      </c>
      <c r="F125" s="25">
        <f>IF(E125="","",IF(COUNTIF(lst_Jobs,E125&amp;"")&gt;0,"OK","CHECK"))</f>
        <v/>
      </c>
      <c r="G125" s="24" t="inlineStr">
        <is>
          <t>CBA - Live Event Support - August</t>
        </is>
      </c>
      <c r="H125" s="24" t="inlineStr">
        <is>
          <t>Production</t>
        </is>
      </c>
      <c r="I125" s="24" t="inlineStr">
        <is>
          <t>PRODUCTION</t>
        </is>
      </c>
      <c r="J125" s="24" t="inlineStr">
        <is>
          <t>Project</t>
        </is>
      </c>
      <c r="K125" s="24" t="inlineStr">
        <is>
          <t>GST 10%</t>
        </is>
      </c>
      <c r="L125" s="26" t="n">
        <v>3990</v>
      </c>
      <c r="M125" s="27">
        <f>IF(L125="","",IF(K125="GST 10%",ROUND(L125*set_GSTRate,2),0))</f>
        <v/>
      </c>
      <c r="N125" s="27">
        <f>IF(L125="","",L125+M125)</f>
        <v/>
      </c>
      <c r="O125" s="24" t="inlineStr">
        <is>
          <t>42100</t>
        </is>
      </c>
      <c r="P125" s="24" t="inlineStr">
        <is>
          <t>Y</t>
        </is>
      </c>
      <c r="Q125" s="24" t="inlineStr">
        <is>
          <t>N</t>
        </is>
      </c>
      <c r="R125" s="22" t="n"/>
      <c r="S125" s="22" t="n"/>
      <c r="T125" s="24" t="inlineStr">
        <is>
          <t>Invoiced</t>
        </is>
      </c>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v>46218</v>
      </c>
      <c r="B126" s="23">
        <f>IF(A126="","",EOMONTH(A126,0))</f>
        <v/>
      </c>
      <c r="C126" s="24" t="inlineStr">
        <is>
          <t>INV-10521</t>
        </is>
      </c>
      <c r="D126" s="24" t="inlineStr">
        <is>
          <t>APA</t>
        </is>
      </c>
      <c r="E126" s="24" t="inlineStr">
        <is>
          <t>26061609/26061608/26061607/26061108</t>
        </is>
      </c>
      <c r="F126" s="25">
        <f>IF(E126="","",IF(COUNTIF(lst_Jobs,E126&amp;"")&gt;0,"OK","CHECK"))</f>
        <v/>
      </c>
      <c r="G126" s="24" t="inlineStr">
        <is>
          <t>APA - All Hands Package FY27 (PO-00030766)</t>
        </is>
      </c>
      <c r="H126" s="24" t="inlineStr">
        <is>
          <t>Production</t>
        </is>
      </c>
      <c r="I126" s="24" t="inlineStr">
        <is>
          <t>PRODUCTION</t>
        </is>
      </c>
      <c r="J126" s="24" t="inlineStr">
        <is>
          <t>Project</t>
        </is>
      </c>
      <c r="K126" s="24" t="inlineStr">
        <is>
          <t>GST 10%</t>
        </is>
      </c>
      <c r="L126" s="26" t="n">
        <v>49743.4</v>
      </c>
      <c r="M126" s="27">
        <f>IF(L126="","",IF(K126="GST 10%",ROUND(L126*set_GSTRate,2),0))</f>
        <v/>
      </c>
      <c r="N126" s="27">
        <f>IF(L126="","",L126+M126)</f>
        <v/>
      </c>
      <c r="O126" s="24" t="inlineStr">
        <is>
          <t>42100</t>
        </is>
      </c>
      <c r="P126" s="24" t="inlineStr">
        <is>
          <t>Y</t>
        </is>
      </c>
      <c r="Q126" s="24" t="inlineStr">
        <is>
          <t>N</t>
        </is>
      </c>
      <c r="R126" s="22" t="n"/>
      <c r="S126" s="22" t="n"/>
      <c r="T126" s="24" t="inlineStr">
        <is>
          <t>Invoiced</t>
        </is>
      </c>
      <c r="U126" s="24" t="inlineStr">
        <is>
          <t>Production portion of this invoice</t>
        </is>
      </c>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v>46218</v>
      </c>
      <c r="B127" s="23">
        <f>IF(A127="","",EOMONTH(A127,0))</f>
        <v/>
      </c>
      <c r="C127" s="24" t="inlineStr">
        <is>
          <t>INV-10521</t>
        </is>
      </c>
      <c r="D127" s="24" t="inlineStr">
        <is>
          <t>APA</t>
        </is>
      </c>
      <c r="E127" s="24" t="inlineStr">
        <is>
          <t>26061609/26061608/26061607/26061108</t>
        </is>
      </c>
      <c r="F127" s="25">
        <f>IF(E127="","",IF(COUNTIF(lst_Jobs,E127&amp;"")&gt;0,"OK","CHECK"))</f>
        <v/>
      </c>
      <c r="G127" s="24" t="inlineStr">
        <is>
          <t>APA - All Hands Package FY27 (PO-00030766)</t>
        </is>
      </c>
      <c r="H127" s="24" t="inlineStr">
        <is>
          <t>Production</t>
        </is>
      </c>
      <c r="I127" s="24" t="inlineStr">
        <is>
          <t>VIDEO</t>
        </is>
      </c>
      <c r="J127" s="24" t="inlineStr">
        <is>
          <t>Project</t>
        </is>
      </c>
      <c r="K127" s="24" t="inlineStr">
        <is>
          <t>GST 10%</t>
        </is>
      </c>
      <c r="L127" s="26" t="n">
        <v>4308</v>
      </c>
      <c r="M127" s="27">
        <f>IF(L127="","",IF(K127="GST 10%",ROUND(L127*set_GSTRate,2),0))</f>
        <v/>
      </c>
      <c r="N127" s="27">
        <f>IF(L127="","",L127+M127)</f>
        <v/>
      </c>
      <c r="O127" s="24" t="inlineStr">
        <is>
          <t>42150</t>
        </is>
      </c>
      <c r="P127" s="24" t="inlineStr">
        <is>
          <t>Y</t>
        </is>
      </c>
      <c r="Q127" s="24" t="inlineStr">
        <is>
          <t>N</t>
        </is>
      </c>
      <c r="R127" s="22" t="n"/>
      <c r="S127" s="22" t="n"/>
      <c r="T127" s="24" t="inlineStr">
        <is>
          <t>Invoiced</t>
        </is>
      </c>
      <c r="U127" s="24" t="inlineStr">
        <is>
          <t>Video portion of this invoice</t>
        </is>
      </c>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v>46216</v>
      </c>
      <c r="B128" s="23">
        <f>IF(A128="","",EOMONTH(A128,0))</f>
        <v/>
      </c>
      <c r="C128" s="24" t="inlineStr">
        <is>
          <t>INV-10523</t>
        </is>
      </c>
      <c r="D128" s="24" t="inlineStr">
        <is>
          <t>Jaaz Salanoa</t>
        </is>
      </c>
      <c r="E128" s="24" t="inlineStr">
        <is>
          <t>9100</t>
        </is>
      </c>
      <c r="F128" s="25">
        <f>IF(E128="","",IF(COUNTIF(lst_Jobs,E128&amp;"")&gt;0,"OK","CHECK"))</f>
        <v/>
      </c>
      <c r="G128" s="24" t="inlineStr">
        <is>
          <t>Jaaz - Goget Hire</t>
        </is>
      </c>
      <c r="H128" s="24" t="inlineStr">
        <is>
          <t>Production</t>
        </is>
      </c>
      <c r="I128" s="24" t="inlineStr">
        <is>
          <t>CTS</t>
        </is>
      </c>
      <c r="J128" s="24" t="inlineStr">
        <is>
          <t>Project</t>
        </is>
      </c>
      <c r="K128" s="24" t="inlineStr">
        <is>
          <t>GST 10%</t>
        </is>
      </c>
      <c r="L128" s="26" t="n"/>
      <c r="M128" s="27">
        <f>IF(L128="","",IF(K128="GST 10%",ROUND(L128*set_GSTRate,2),0))</f>
        <v/>
      </c>
      <c r="N128" s="27">
        <f>IF(L128="","",L128+M128)</f>
        <v/>
      </c>
      <c r="O128" s="24" t="inlineStr">
        <is>
          <t>42100</t>
        </is>
      </c>
      <c r="P128" s="24" t="inlineStr">
        <is>
          <t>Y</t>
        </is>
      </c>
      <c r="Q128" s="24" t="inlineStr">
        <is>
          <t>N</t>
        </is>
      </c>
      <c r="R128" s="22" t="n"/>
      <c r="S128" s="22" t="n"/>
      <c r="T128" s="24" t="inlineStr">
        <is>
          <t>Invoiced</t>
        </is>
      </c>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v>46265</v>
      </c>
      <c r="B129" s="23">
        <f>IF(A129="","",EOMONTH(A129,0))</f>
        <v/>
      </c>
      <c r="C129" s="24" t="inlineStr">
        <is>
          <t>INV-10621</t>
        </is>
      </c>
      <c r="D129" s="24" t="inlineStr">
        <is>
          <t>Jaaz Salanoa</t>
        </is>
      </c>
      <c r="E129" s="24" t="inlineStr">
        <is>
          <t>9100</t>
        </is>
      </c>
      <c r="F129" s="25">
        <f>IF(E129="","",IF(COUNTIF(lst_Jobs,E129&amp;"")&gt;0,"OK","CHECK"))</f>
        <v/>
      </c>
      <c r="G129" s="24" t="inlineStr">
        <is>
          <t>Jaaz - Goget Hire</t>
        </is>
      </c>
      <c r="H129" s="24" t="inlineStr">
        <is>
          <t>Production</t>
        </is>
      </c>
      <c r="I129" s="24" t="inlineStr">
        <is>
          <t>CTS</t>
        </is>
      </c>
      <c r="J129" s="24" t="inlineStr">
        <is>
          <t>Project</t>
        </is>
      </c>
      <c r="K129" s="24" t="inlineStr">
        <is>
          <t>GST 10%</t>
        </is>
      </c>
      <c r="L129" s="26" t="n"/>
      <c r="M129" s="27">
        <f>IF(L129="","",IF(K129="GST 10%",ROUND(L129*set_GSTRate,2),0))</f>
        <v/>
      </c>
      <c r="N129" s="27">
        <f>IF(L129="","",L129+M129)</f>
        <v/>
      </c>
      <c r="O129" s="24" t="inlineStr">
        <is>
          <t>42100</t>
        </is>
      </c>
      <c r="P129" s="24" t="inlineStr">
        <is>
          <t>Y</t>
        </is>
      </c>
      <c r="Q129" s="24" t="inlineStr">
        <is>
          <t>N</t>
        </is>
      </c>
      <c r="R129" s="22" t="n"/>
      <c r="S129" s="22" t="n"/>
      <c r="T129" s="24" t="inlineStr">
        <is>
          <t>Invoiced</t>
        </is>
      </c>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inlineStr">
        <is>
          <t>ASX</t>
        </is>
      </c>
      <c r="E130" s="24" t="inlineStr">
        <is>
          <t>26061602</t>
        </is>
      </c>
      <c r="F130" s="25">
        <f>IF(E130="","",IF(COUNTIF(lst_Jobs,E130&amp;"")&gt;0,"OK","CHECK"))</f>
        <v/>
      </c>
      <c r="G130" s="24" t="inlineStr">
        <is>
          <t>CEO Connect (Extended Results)</t>
        </is>
      </c>
      <c r="H130" s="24" t="inlineStr">
        <is>
          <t>Production</t>
        </is>
      </c>
      <c r="I130" s="24" t="inlineStr">
        <is>
          <t>PRODUCTION</t>
        </is>
      </c>
      <c r="J130" s="24" t="inlineStr">
        <is>
          <t>Project</t>
        </is>
      </c>
      <c r="K130" s="24" t="inlineStr">
        <is>
          <t>GST 10%</t>
        </is>
      </c>
      <c r="L130" s="26" t="n">
        <v>2674</v>
      </c>
      <c r="M130" s="27">
        <f>IF(L130="","",IF(K130="GST 10%",ROUND(L130*set_GSTRate,2),0))</f>
        <v/>
      </c>
      <c r="N130" s="27">
        <f>IF(L130="","",L130+M130)</f>
        <v/>
      </c>
      <c r="O130" s="24" t="inlineStr">
        <is>
          <t>42100</t>
        </is>
      </c>
      <c r="P130" s="24" t="inlineStr">
        <is>
          <t>Y</t>
        </is>
      </c>
      <c r="Q130" s="24" t="inlineStr">
        <is>
          <t>N</t>
        </is>
      </c>
      <c r="R130" s="22" t="n"/>
      <c r="S130" s="22" t="n"/>
      <c r="T130" s="24" t="inlineStr">
        <is>
          <t>To Invoice</t>
        </is>
      </c>
      <c r="U130" s="24" t="inlineStr">
        <is>
          <t>Production portion of this invoice</t>
        </is>
      </c>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inlineStr">
        <is>
          <t>ASX</t>
        </is>
      </c>
      <c r="E131" s="24" t="inlineStr">
        <is>
          <t>26061602</t>
        </is>
      </c>
      <c r="F131" s="25">
        <f>IF(E131="","",IF(COUNTIF(lst_Jobs,E131&amp;"")&gt;0,"OK","CHECK"))</f>
        <v/>
      </c>
      <c r="G131" s="24" t="inlineStr">
        <is>
          <t>CEO Connect (Extended Results)</t>
        </is>
      </c>
      <c r="H131" s="24" t="inlineStr">
        <is>
          <t>Production</t>
        </is>
      </c>
      <c r="I131" s="24" t="inlineStr">
        <is>
          <t>VIDEO</t>
        </is>
      </c>
      <c r="J131" s="24" t="inlineStr">
        <is>
          <t>Project</t>
        </is>
      </c>
      <c r="K131" s="24" t="inlineStr">
        <is>
          <t>GST 10%</t>
        </is>
      </c>
      <c r="L131" s="26" t="n">
        <v>1500</v>
      </c>
      <c r="M131" s="27">
        <f>IF(L131="","",IF(K131="GST 10%",ROUND(L131*set_GSTRate,2),0))</f>
        <v/>
      </c>
      <c r="N131" s="27">
        <f>IF(L131="","",L131+M131)</f>
        <v/>
      </c>
      <c r="O131" s="24" t="inlineStr">
        <is>
          <t>42150</t>
        </is>
      </c>
      <c r="P131" s="24" t="inlineStr">
        <is>
          <t>Y</t>
        </is>
      </c>
      <c r="Q131" s="24" t="inlineStr">
        <is>
          <t>N</t>
        </is>
      </c>
      <c r="R131" s="22" t="n"/>
      <c r="S131" s="22" t="n"/>
      <c r="T131" s="24" t="inlineStr">
        <is>
          <t>To Invoice</t>
        </is>
      </c>
      <c r="U131" s="24" t="inlineStr">
        <is>
          <t>Video portion of this invoice</t>
        </is>
      </c>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inlineStr">
        <is>
          <t>ASX</t>
        </is>
      </c>
      <c r="E132" s="24" t="inlineStr">
        <is>
          <t>26071701</t>
        </is>
      </c>
      <c r="F132" s="25">
        <f>IF(E132="","",IF(COUNTIF(lst_Jobs,E132&amp;"")&gt;0,"OK","CHECK"))</f>
        <v/>
      </c>
      <c r="G132" s="24" t="inlineStr">
        <is>
          <t>ASX Live 1.9.26</t>
        </is>
      </c>
      <c r="H132" s="24" t="inlineStr">
        <is>
          <t>Production</t>
        </is>
      </c>
      <c r="I132" s="24" t="inlineStr">
        <is>
          <t>PRODUCTION</t>
        </is>
      </c>
      <c r="J132" s="24" t="inlineStr">
        <is>
          <t>Project</t>
        </is>
      </c>
      <c r="K132" s="24" t="inlineStr">
        <is>
          <t>GST 10%</t>
        </is>
      </c>
      <c r="L132" s="26" t="n">
        <v>6260</v>
      </c>
      <c r="M132" s="27">
        <f>IF(L132="","",IF(K132="GST 10%",ROUND(L132*set_GSTRate,2),0))</f>
        <v/>
      </c>
      <c r="N132" s="27">
        <f>IF(L132="","",L132+M132)</f>
        <v/>
      </c>
      <c r="O132" s="24" t="inlineStr">
        <is>
          <t>42100</t>
        </is>
      </c>
      <c r="P132" s="24" t="inlineStr">
        <is>
          <t>Y</t>
        </is>
      </c>
      <c r="Q132" s="24" t="inlineStr">
        <is>
          <t>N</t>
        </is>
      </c>
      <c r="R132" s="22" t="n"/>
      <c r="S132" s="22" t="n"/>
      <c r="T132" s="24" t="inlineStr">
        <is>
          <t>To Invoice</t>
        </is>
      </c>
      <c r="U132" s="24" t="inlineStr">
        <is>
          <t>Production portion of this invoice</t>
        </is>
      </c>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inlineStr">
        <is>
          <t>ASX</t>
        </is>
      </c>
      <c r="E133" s="24" t="inlineStr">
        <is>
          <t>26071701</t>
        </is>
      </c>
      <c r="F133" s="25">
        <f>IF(E133="","",IF(COUNTIF(lst_Jobs,E133&amp;"")&gt;0,"OK","CHECK"))</f>
        <v/>
      </c>
      <c r="G133" s="24" t="inlineStr">
        <is>
          <t>ASX Live 1.9.26</t>
        </is>
      </c>
      <c r="H133" s="24" t="inlineStr">
        <is>
          <t>Production</t>
        </is>
      </c>
      <c r="I133" s="24" t="inlineStr">
        <is>
          <t>VIDEO</t>
        </is>
      </c>
      <c r="J133" s="24" t="inlineStr">
        <is>
          <t>Project</t>
        </is>
      </c>
      <c r="K133" s="24" t="inlineStr">
        <is>
          <t>GST 10%</t>
        </is>
      </c>
      <c r="L133" s="26" t="n">
        <v>1508</v>
      </c>
      <c r="M133" s="27">
        <f>IF(L133="","",IF(K133="GST 10%",ROUND(L133*set_GSTRate,2),0))</f>
        <v/>
      </c>
      <c r="N133" s="27">
        <f>IF(L133="","",L133+M133)</f>
        <v/>
      </c>
      <c r="O133" s="24" t="inlineStr">
        <is>
          <t>42150</t>
        </is>
      </c>
      <c r="P133" s="24" t="inlineStr">
        <is>
          <t>Y</t>
        </is>
      </c>
      <c r="Q133" s="24" t="inlineStr">
        <is>
          <t>N</t>
        </is>
      </c>
      <c r="R133" s="22" t="n"/>
      <c r="S133" s="22" t="n"/>
      <c r="T133" s="24" t="inlineStr">
        <is>
          <t>To Invoice</t>
        </is>
      </c>
      <c r="U133" s="24" t="inlineStr">
        <is>
          <t>Video portion of this invoice</t>
        </is>
      </c>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inlineStr">
        <is>
          <t>SVHS</t>
        </is>
      </c>
      <c r="E134" s="24" t="inlineStr">
        <is>
          <t>2608404</t>
        </is>
      </c>
      <c r="F134" s="25">
        <f>IF(E134="","",IF(COUNTIF(lst_Jobs,E134&amp;"")&gt;0,"OK","CHECK"))</f>
        <v/>
      </c>
      <c r="G134" s="24" t="inlineStr">
        <is>
          <t>St Vincent's Hospital - Award Ceremony 2.9.26</t>
        </is>
      </c>
      <c r="H134" s="24" t="inlineStr">
        <is>
          <t>Production</t>
        </is>
      </c>
      <c r="I134" s="24" t="inlineStr">
        <is>
          <t>PRODUCTION</t>
        </is>
      </c>
      <c r="J134" s="24" t="inlineStr">
        <is>
          <t>Project</t>
        </is>
      </c>
      <c r="K134" s="24" t="inlineStr">
        <is>
          <t>GST 10%</t>
        </is>
      </c>
      <c r="L134" s="26" t="n">
        <v>495</v>
      </c>
      <c r="M134" s="27">
        <f>IF(L134="","",IF(K134="GST 10%",ROUND(L134*set_GSTRate,2),0))</f>
        <v/>
      </c>
      <c r="N134" s="27">
        <f>IF(L134="","",L134+M134)</f>
        <v/>
      </c>
      <c r="O134" s="24" t="inlineStr">
        <is>
          <t>42100</t>
        </is>
      </c>
      <c r="P134" s="24" t="inlineStr">
        <is>
          <t>Y</t>
        </is>
      </c>
      <c r="Q134" s="24" t="inlineStr">
        <is>
          <t>N</t>
        </is>
      </c>
      <c r="R134" s="22" t="n"/>
      <c r="S134" s="22" t="n"/>
      <c r="T134" s="24" t="inlineStr">
        <is>
          <t>To Invoice</t>
        </is>
      </c>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inlineStr">
        <is>
          <t>Garvan</t>
        </is>
      </c>
      <c r="E135" s="24" t="inlineStr">
        <is>
          <t>26081904</t>
        </is>
      </c>
      <c r="F135" s="25">
        <f>IF(E135="","",IF(COUNTIF(lst_Jobs,E135&amp;"")&gt;0,"OK","CHECK"))</f>
        <v/>
      </c>
      <c r="G135" s="24" t="inlineStr">
        <is>
          <t>AllClear Program Meeting - 2.9.26</t>
        </is>
      </c>
      <c r="H135" s="24" t="inlineStr">
        <is>
          <t>Production</t>
        </is>
      </c>
      <c r="I135" s="24" t="inlineStr">
        <is>
          <t>PRODUCTION</t>
        </is>
      </c>
      <c r="J135" s="24" t="inlineStr">
        <is>
          <t>Project</t>
        </is>
      </c>
      <c r="K135" s="24" t="inlineStr">
        <is>
          <t>GST 10%</t>
        </is>
      </c>
      <c r="L135" s="26" t="n">
        <v>865</v>
      </c>
      <c r="M135" s="27">
        <f>IF(L135="","",IF(K135="GST 10%",ROUND(L135*set_GSTRate,2),0))</f>
        <v/>
      </c>
      <c r="N135" s="27">
        <f>IF(L135="","",L135+M135)</f>
        <v/>
      </c>
      <c r="O135" s="24" t="inlineStr">
        <is>
          <t>42100</t>
        </is>
      </c>
      <c r="P135" s="24" t="inlineStr">
        <is>
          <t>Y</t>
        </is>
      </c>
      <c r="Q135" s="24" t="inlineStr">
        <is>
          <t>N</t>
        </is>
      </c>
      <c r="R135" s="22" t="n"/>
      <c r="S135" s="22" t="n"/>
      <c r="T135" s="24" t="inlineStr">
        <is>
          <t>To Invoice</t>
        </is>
      </c>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inlineStr">
        <is>
          <t>RSNSW</t>
        </is>
      </c>
      <c r="E136" s="24" t="inlineStr">
        <is>
          <t>26032302</t>
        </is>
      </c>
      <c r="F136" s="25">
        <f>IF(E136="","",IF(COUNTIF(lst_Jobs,E136&amp;"")&gt;0,"OK","CHECK"))</f>
        <v/>
      </c>
      <c r="G136" s="24" t="inlineStr">
        <is>
          <t>Ordinary General Meeting 2.9.26</t>
        </is>
      </c>
      <c r="H136" s="24" t="inlineStr">
        <is>
          <t>Production</t>
        </is>
      </c>
      <c r="I136" s="24" t="inlineStr">
        <is>
          <t>PRODUCTION</t>
        </is>
      </c>
      <c r="J136" s="24" t="inlineStr">
        <is>
          <t>Project</t>
        </is>
      </c>
      <c r="K136" s="24" t="inlineStr">
        <is>
          <t>GST 10%</t>
        </is>
      </c>
      <c r="L136" s="26" t="n">
        <v>2232</v>
      </c>
      <c r="M136" s="27">
        <f>IF(L136="","",IF(K136="GST 10%",ROUND(L136*set_GSTRate,2),0))</f>
        <v/>
      </c>
      <c r="N136" s="27">
        <f>IF(L136="","",L136+M136)</f>
        <v/>
      </c>
      <c r="O136" s="24" t="inlineStr">
        <is>
          <t>42100</t>
        </is>
      </c>
      <c r="P136" s="24" t="inlineStr">
        <is>
          <t>Y</t>
        </is>
      </c>
      <c r="Q136" s="24" t="inlineStr">
        <is>
          <t>N</t>
        </is>
      </c>
      <c r="R136" s="22" t="n"/>
      <c r="S136" s="22" t="n"/>
      <c r="T136" s="24" t="inlineStr">
        <is>
          <t>To Invoice</t>
        </is>
      </c>
      <c r="U136" s="24" t="inlineStr">
        <is>
          <t>Production portion of this invoice</t>
        </is>
      </c>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inlineStr">
        <is>
          <t>RSNSW</t>
        </is>
      </c>
      <c r="E137" s="24" t="inlineStr">
        <is>
          <t>26032302</t>
        </is>
      </c>
      <c r="F137" s="25">
        <f>IF(E137="","",IF(COUNTIF(lst_Jobs,E137&amp;"")&gt;0,"OK","CHECK"))</f>
        <v/>
      </c>
      <c r="G137" s="24" t="inlineStr">
        <is>
          <t>Ordinary General Meeting 2.9.26</t>
        </is>
      </c>
      <c r="H137" s="24" t="inlineStr">
        <is>
          <t>Production</t>
        </is>
      </c>
      <c r="I137" s="24" t="inlineStr">
        <is>
          <t>VIDEO</t>
        </is>
      </c>
      <c r="J137" s="24" t="inlineStr">
        <is>
          <t>Project</t>
        </is>
      </c>
      <c r="K137" s="24" t="inlineStr">
        <is>
          <t>GST 10%</t>
        </is>
      </c>
      <c r="L137" s="26" t="n">
        <v>1029</v>
      </c>
      <c r="M137" s="27">
        <f>IF(L137="","",IF(K137="GST 10%",ROUND(L137*set_GSTRate,2),0))</f>
        <v/>
      </c>
      <c r="N137" s="27">
        <f>IF(L137="","",L137+M137)</f>
        <v/>
      </c>
      <c r="O137" s="24" t="inlineStr">
        <is>
          <t>42150</t>
        </is>
      </c>
      <c r="P137" s="24" t="inlineStr">
        <is>
          <t>Y</t>
        </is>
      </c>
      <c r="Q137" s="24" t="inlineStr">
        <is>
          <t>N</t>
        </is>
      </c>
      <c r="R137" s="22" t="n"/>
      <c r="S137" s="22" t="n"/>
      <c r="T137" s="24" t="inlineStr">
        <is>
          <t>To Invoice</t>
        </is>
      </c>
      <c r="U137" s="24" t="inlineStr">
        <is>
          <t>Video portion of this invoice</t>
        </is>
      </c>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inlineStr">
        <is>
          <t>Ventia</t>
        </is>
      </c>
      <c r="E138" s="24" t="inlineStr">
        <is>
          <t>26072102</t>
        </is>
      </c>
      <c r="F138" s="25">
        <f>IF(E138="","",IF(COUNTIF(lst_Jobs,E138&amp;"")&gt;0,"OK","CHECK"))</f>
        <v/>
      </c>
      <c r="G138" s="24" t="inlineStr">
        <is>
          <t>RUOK? Day 10.9.26</t>
        </is>
      </c>
      <c r="H138" s="24" t="inlineStr">
        <is>
          <t>Production</t>
        </is>
      </c>
      <c r="I138" s="24" t="inlineStr">
        <is>
          <t>PRODUCTION</t>
        </is>
      </c>
      <c r="J138" s="24" t="inlineStr">
        <is>
          <t>Project</t>
        </is>
      </c>
      <c r="K138" s="24" t="inlineStr">
        <is>
          <t>GST 10%</t>
        </is>
      </c>
      <c r="L138" s="26" t="n">
        <v>8437.790000000001</v>
      </c>
      <c r="M138" s="27">
        <f>IF(L138="","",IF(K138="GST 10%",ROUND(L138*set_GSTRate,2),0))</f>
        <v/>
      </c>
      <c r="N138" s="27">
        <f>IF(L138="","",L138+M138)</f>
        <v/>
      </c>
      <c r="O138" s="24" t="inlineStr">
        <is>
          <t>42100</t>
        </is>
      </c>
      <c r="P138" s="24" t="inlineStr">
        <is>
          <t>Y</t>
        </is>
      </c>
      <c r="Q138" s="24" t="inlineStr">
        <is>
          <t>N</t>
        </is>
      </c>
      <c r="R138" s="22" t="n"/>
      <c r="S138" s="22" t="n"/>
      <c r="T138" s="24" t="inlineStr">
        <is>
          <t>To Invoice</t>
        </is>
      </c>
      <c r="U138" s="24" t="inlineStr">
        <is>
          <t>Production portion of this invoice</t>
        </is>
      </c>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inlineStr">
        <is>
          <t>Ventia</t>
        </is>
      </c>
      <c r="E139" s="24" t="inlineStr">
        <is>
          <t>26072102</t>
        </is>
      </c>
      <c r="F139" s="25">
        <f>IF(E139="","",IF(COUNTIF(lst_Jobs,E139&amp;"")&gt;0,"OK","CHECK"))</f>
        <v/>
      </c>
      <c r="G139" s="24" t="inlineStr">
        <is>
          <t>RUOK? Day 10.9.26</t>
        </is>
      </c>
      <c r="H139" s="24" t="inlineStr">
        <is>
          <t>Production</t>
        </is>
      </c>
      <c r="I139" s="24" t="inlineStr">
        <is>
          <t>VIDEO</t>
        </is>
      </c>
      <c r="J139" s="24" t="inlineStr">
        <is>
          <t>Project</t>
        </is>
      </c>
      <c r="K139" s="24" t="inlineStr">
        <is>
          <t>GST 10%</t>
        </is>
      </c>
      <c r="L139" s="26" t="n">
        <v>1578.1</v>
      </c>
      <c r="M139" s="27">
        <f>IF(L139="","",IF(K139="GST 10%",ROUND(L139*set_GSTRate,2),0))</f>
        <v/>
      </c>
      <c r="N139" s="27">
        <f>IF(L139="","",L139+M139)</f>
        <v/>
      </c>
      <c r="O139" s="24" t="inlineStr">
        <is>
          <t>42150</t>
        </is>
      </c>
      <c r="P139" s="24" t="inlineStr">
        <is>
          <t>Y</t>
        </is>
      </c>
      <c r="Q139" s="24" t="inlineStr">
        <is>
          <t>N</t>
        </is>
      </c>
      <c r="R139" s="22" t="n"/>
      <c r="S139" s="22" t="n"/>
      <c r="T139" s="24" t="inlineStr">
        <is>
          <t>To Invoice</t>
        </is>
      </c>
      <c r="U139" s="24" t="inlineStr">
        <is>
          <t>Video portion of this invoice</t>
        </is>
      </c>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inlineStr">
        <is>
          <t>APA</t>
        </is>
      </c>
      <c r="E140" s="24" t="inlineStr">
        <is>
          <t>26082703</t>
        </is>
      </c>
      <c r="F140" s="25">
        <f>IF(E140="","",IF(COUNTIF(lst_Jobs,E140&amp;"")&gt;0,"OK","CHECK"))</f>
        <v/>
      </c>
      <c r="G140" s="24" t="inlineStr">
        <is>
          <t>RUOK? Day 10.9.26</t>
        </is>
      </c>
      <c r="H140" s="24" t="inlineStr">
        <is>
          <t>Production</t>
        </is>
      </c>
      <c r="I140" s="24" t="inlineStr">
        <is>
          <t>PRODUCTION</t>
        </is>
      </c>
      <c r="J140" s="24" t="inlineStr">
        <is>
          <t>Project</t>
        </is>
      </c>
      <c r="K140" s="24" t="inlineStr">
        <is>
          <t>GST 10%</t>
        </is>
      </c>
      <c r="L140" s="26" t="n">
        <v>570</v>
      </c>
      <c r="M140" s="27">
        <f>IF(L140="","",IF(K140="GST 10%",ROUND(L140*set_GSTRate,2),0))</f>
        <v/>
      </c>
      <c r="N140" s="27">
        <f>IF(L140="","",L140+M140)</f>
        <v/>
      </c>
      <c r="O140" s="24" t="inlineStr">
        <is>
          <t>42100</t>
        </is>
      </c>
      <c r="P140" s="24" t="inlineStr">
        <is>
          <t>Y</t>
        </is>
      </c>
      <c r="Q140" s="24" t="inlineStr">
        <is>
          <t>N</t>
        </is>
      </c>
      <c r="R140" s="22" t="n"/>
      <c r="S140" s="22" t="n"/>
      <c r="T140" s="24" t="inlineStr">
        <is>
          <t>To Invoice</t>
        </is>
      </c>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inlineStr">
        <is>
          <t>Ventia</t>
        </is>
      </c>
      <c r="E141" s="24" t="inlineStr">
        <is>
          <t>2608701</t>
        </is>
      </c>
      <c r="F141" s="25">
        <f>IF(E141="","",IF(COUNTIF(lst_Jobs,E141&amp;"")&gt;0,"OK","CHECK"))</f>
        <v/>
      </c>
      <c r="G141" s="24" t="inlineStr">
        <is>
          <t>Elkiem Studio Support 10.9.26</t>
        </is>
      </c>
      <c r="H141" s="24" t="inlineStr">
        <is>
          <t>Production</t>
        </is>
      </c>
      <c r="I141" s="24" t="inlineStr">
        <is>
          <t>PRODUCTION</t>
        </is>
      </c>
      <c r="J141" s="24" t="inlineStr">
        <is>
          <t>Project</t>
        </is>
      </c>
      <c r="K141" s="24" t="inlineStr">
        <is>
          <t>GST 10%</t>
        </is>
      </c>
      <c r="L141" s="26" t="n">
        <v>380</v>
      </c>
      <c r="M141" s="27">
        <f>IF(L141="","",IF(K141="GST 10%",ROUND(L141*set_GSTRate,2),0))</f>
        <v/>
      </c>
      <c r="N141" s="27">
        <f>IF(L141="","",L141+M141)</f>
        <v/>
      </c>
      <c r="O141" s="24" t="inlineStr">
        <is>
          <t>42100</t>
        </is>
      </c>
      <c r="P141" s="24" t="inlineStr">
        <is>
          <t>Y</t>
        </is>
      </c>
      <c r="Q141" s="24" t="inlineStr">
        <is>
          <t>N</t>
        </is>
      </c>
      <c r="R141" s="22" t="n"/>
      <c r="S141" s="22" t="n"/>
      <c r="T141" s="24" t="inlineStr">
        <is>
          <t>To Invoice</t>
        </is>
      </c>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inlineStr">
        <is>
          <t>Elkeim</t>
        </is>
      </c>
      <c r="E142" s="24" t="inlineStr">
        <is>
          <t>2609801</t>
        </is>
      </c>
      <c r="F142" s="25">
        <f>IF(E142="","",IF(COUNTIF(lst_Jobs,E142&amp;"")&gt;0,"OK","CHECK"))</f>
        <v/>
      </c>
      <c r="G142" s="24" t="inlineStr">
        <is>
          <t>Elkiem Studio Support 16.9.26</t>
        </is>
      </c>
      <c r="H142" s="24" t="inlineStr">
        <is>
          <t>Production</t>
        </is>
      </c>
      <c r="I142" s="24" t="inlineStr">
        <is>
          <t>PRODUCTION</t>
        </is>
      </c>
      <c r="J142" s="24" t="inlineStr">
        <is>
          <t>Project</t>
        </is>
      </c>
      <c r="K142" s="24" t="inlineStr">
        <is>
          <t>GST 10%</t>
        </is>
      </c>
      <c r="L142" s="26" t="n">
        <v>380</v>
      </c>
      <c r="M142" s="27">
        <f>IF(L142="","",IF(K142="GST 10%",ROUND(L142*set_GSTRate,2),0))</f>
        <v/>
      </c>
      <c r="N142" s="27">
        <f>IF(L142="","",L142+M142)</f>
        <v/>
      </c>
      <c r="O142" s="24" t="inlineStr">
        <is>
          <t>42100</t>
        </is>
      </c>
      <c r="P142" s="24" t="inlineStr">
        <is>
          <t>Y</t>
        </is>
      </c>
      <c r="Q142" s="24" t="inlineStr">
        <is>
          <t>N</t>
        </is>
      </c>
      <c r="R142" s="22" t="n"/>
      <c r="S142" s="22" t="n"/>
      <c r="T142" s="24" t="inlineStr">
        <is>
          <t>To Invoice</t>
        </is>
      </c>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inlineStr">
        <is>
          <t>ICC</t>
        </is>
      </c>
      <c r="E143" s="24" t="inlineStr">
        <is>
          <t>26082502</t>
        </is>
      </c>
      <c r="F143" s="25">
        <f>IF(E143="","",IF(COUNTIF(lst_Jobs,E143&amp;"")&gt;0,"OK","CHECK"))</f>
        <v/>
      </c>
      <c r="G143" s="24" t="inlineStr">
        <is>
          <t>ICC - September Presenter Support Presentations - ISE</t>
        </is>
      </c>
      <c r="H143" s="24" t="inlineStr">
        <is>
          <t>Production</t>
        </is>
      </c>
      <c r="I143" s="24" t="inlineStr">
        <is>
          <t>PRODUCTION</t>
        </is>
      </c>
      <c r="J143" s="24" t="inlineStr">
        <is>
          <t>Project</t>
        </is>
      </c>
      <c r="K143" s="24" t="inlineStr">
        <is>
          <t>GST 10%</t>
        </is>
      </c>
      <c r="L143" s="26" t="n">
        <v>4729</v>
      </c>
      <c r="M143" s="27">
        <f>IF(L143="","",IF(K143="GST 10%",ROUND(L143*set_GSTRate,2),0))</f>
        <v/>
      </c>
      <c r="N143" s="27">
        <f>IF(L143="","",L143+M143)</f>
        <v/>
      </c>
      <c r="O143" s="24" t="inlineStr">
        <is>
          <t>42100</t>
        </is>
      </c>
      <c r="P143" s="24" t="inlineStr">
        <is>
          <t>Y</t>
        </is>
      </c>
      <c r="Q143" s="24" t="inlineStr">
        <is>
          <t>N</t>
        </is>
      </c>
      <c r="R143" s="22" t="n"/>
      <c r="S143" s="22" t="n"/>
      <c r="T143" s="24" t="inlineStr">
        <is>
          <t>To Invoice</t>
        </is>
      </c>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inlineStr">
        <is>
          <t>ICC</t>
        </is>
      </c>
      <c r="E144" s="24" t="inlineStr">
        <is>
          <t>26082503</t>
        </is>
      </c>
      <c r="F144" s="25">
        <f>IF(E144="","",IF(COUNTIF(lst_Jobs,E144&amp;"")&gt;0,"OK","CHECK"))</f>
        <v/>
      </c>
      <c r="G144" s="24" t="inlineStr">
        <is>
          <t>ICC - September Presenter Support Presentations - ICAS</t>
        </is>
      </c>
      <c r="H144" s="24" t="inlineStr">
        <is>
          <t>Production</t>
        </is>
      </c>
      <c r="I144" s="24" t="inlineStr">
        <is>
          <t>PRODUCTION</t>
        </is>
      </c>
      <c r="J144" s="24" t="inlineStr">
        <is>
          <t>Project</t>
        </is>
      </c>
      <c r="K144" s="24" t="inlineStr">
        <is>
          <t>GST 10%</t>
        </is>
      </c>
      <c r="L144" s="26" t="n">
        <v>946</v>
      </c>
      <c r="M144" s="27">
        <f>IF(L144="","",IF(K144="GST 10%",ROUND(L144*set_GSTRate,2),0))</f>
        <v/>
      </c>
      <c r="N144" s="27">
        <f>IF(L144="","",L144+M144)</f>
        <v/>
      </c>
      <c r="O144" s="24" t="inlineStr">
        <is>
          <t>42100</t>
        </is>
      </c>
      <c r="P144" s="24" t="inlineStr">
        <is>
          <t>Y</t>
        </is>
      </c>
      <c r="Q144" s="24" t="inlineStr">
        <is>
          <t>N</t>
        </is>
      </c>
      <c r="R144" s="22" t="n"/>
      <c r="S144" s="22" t="n"/>
      <c r="T144" s="24" t="inlineStr">
        <is>
          <t>To Invoice</t>
        </is>
      </c>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v>45805</v>
      </c>
      <c r="B145" s="23">
        <f>IF(A145="","",EOMONTH(A145,0))</f>
        <v/>
      </c>
      <c r="C145" s="24" t="inlineStr">
        <is>
          <t>INV-9860</t>
        </is>
      </c>
      <c r="D145" s="24" t="inlineStr">
        <is>
          <t>DAFF</t>
        </is>
      </c>
      <c r="E145" s="24" t="inlineStr">
        <is>
          <t>25021901</t>
        </is>
      </c>
      <c r="F145" s="25">
        <f>IF(E145="","",IF(COUNTIF(lst_Jobs,E145&amp;"")&gt;0,"OK","CHECK"))</f>
        <v/>
      </c>
      <c r="G145" s="24" t="inlineStr">
        <is>
          <t>Technology Standards Evaluation</t>
        </is>
      </c>
      <c r="H145" s="24" t="inlineStr">
        <is>
          <t>Consulting</t>
        </is>
      </c>
      <c r="I145" s="24" t="inlineStr">
        <is>
          <t>CONSULTING</t>
        </is>
      </c>
      <c r="J145" s="24" t="inlineStr">
        <is>
          <t>Project</t>
        </is>
      </c>
      <c r="K145" s="24" t="inlineStr">
        <is>
          <t>GST 10%</t>
        </is>
      </c>
      <c r="L145" s="26" t="n">
        <v>9875</v>
      </c>
      <c r="M145" s="27">
        <f>IF(L145="","",IF(K145="GST 10%",ROUND(L145*set_GSTRate,2),0))</f>
        <v/>
      </c>
      <c r="N145" s="27">
        <f>IF(L145="","",L145+M145)</f>
        <v/>
      </c>
      <c r="O145" s="24" t="inlineStr">
        <is>
          <t>42800</t>
        </is>
      </c>
      <c r="P145" s="24" t="inlineStr">
        <is>
          <t>Y</t>
        </is>
      </c>
      <c r="Q145" s="24" t="inlineStr">
        <is>
          <t>N</t>
        </is>
      </c>
      <c r="R145" s="22" t="n"/>
      <c r="S145" s="22" t="n"/>
      <c r="T145" s="24" t="inlineStr">
        <is>
          <t>Invoiced</t>
        </is>
      </c>
      <c r="U145" s="24" t="inlineStr">
        <is>
          <t>Revenue still in WIP</t>
        </is>
      </c>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v>46101</v>
      </c>
      <c r="B146" s="23">
        <f>IF(A146="","",EOMONTH(A146,0))</f>
        <v/>
      </c>
      <c r="C146" s="24" t="inlineStr">
        <is>
          <t>INV-10319</t>
        </is>
      </c>
      <c r="D146" s="24" t="inlineStr">
        <is>
          <t>DEWR</t>
        </is>
      </c>
      <c r="E146" s="24" t="inlineStr">
        <is>
          <t>25102701</t>
        </is>
      </c>
      <c r="F146" s="25">
        <f>IF(E146="","",IF(COUNTIF(lst_Jobs,E146&amp;"")&gt;0,"OK","CHECK"))</f>
        <v/>
      </c>
      <c r="G146" s="24" t="inlineStr">
        <is>
          <t>DEWR Studio Upgrade</t>
        </is>
      </c>
      <c r="H146" s="24" t="inlineStr">
        <is>
          <t>Consulting</t>
        </is>
      </c>
      <c r="I146" s="24" t="inlineStr">
        <is>
          <t>CONSULTING</t>
        </is>
      </c>
      <c r="J146" s="24" t="inlineStr">
        <is>
          <t>Project</t>
        </is>
      </c>
      <c r="K146" s="24" t="inlineStr">
        <is>
          <t>GST 10%</t>
        </is>
      </c>
      <c r="L146" s="26" t="n">
        <v>23050</v>
      </c>
      <c r="M146" s="27">
        <f>IF(L146="","",IF(K146="GST 10%",ROUND(L146*set_GSTRate,2),0))</f>
        <v/>
      </c>
      <c r="N146" s="27">
        <f>IF(L146="","",L146+M146)</f>
        <v/>
      </c>
      <c r="O146" s="24" t="inlineStr">
        <is>
          <t>42800</t>
        </is>
      </c>
      <c r="P146" s="24" t="inlineStr">
        <is>
          <t>Y</t>
        </is>
      </c>
      <c r="Q146" s="24" t="inlineStr">
        <is>
          <t>N</t>
        </is>
      </c>
      <c r="R146" s="22" t="n"/>
      <c r="S146" s="22" t="n"/>
      <c r="T146" s="24" t="inlineStr">
        <is>
          <t>To Invoice</t>
        </is>
      </c>
      <c r="U146" s="24" t="inlineStr">
        <is>
          <t>Progress Claim 01</t>
        </is>
      </c>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v>46104</v>
      </c>
      <c r="B147" s="23">
        <f>IF(A147="","",EOMONTH(A147,0))</f>
        <v/>
      </c>
      <c r="C147" s="24" t="inlineStr">
        <is>
          <t>INV-10320</t>
        </is>
      </c>
      <c r="D147" s="24" t="inlineStr">
        <is>
          <t>DEWR</t>
        </is>
      </c>
      <c r="E147" s="24" t="inlineStr">
        <is>
          <t>25102701</t>
        </is>
      </c>
      <c r="F147" s="25">
        <f>IF(E147="","",IF(COUNTIF(lst_Jobs,E147&amp;"")&gt;0,"OK","CHECK"))</f>
        <v/>
      </c>
      <c r="G147" s="24" t="inlineStr">
        <is>
          <t>DEWR Studio Upgrade</t>
        </is>
      </c>
      <c r="H147" s="24" t="inlineStr">
        <is>
          <t>Consulting</t>
        </is>
      </c>
      <c r="I147" s="24" t="inlineStr">
        <is>
          <t>CONSULTING</t>
        </is>
      </c>
      <c r="J147" s="24" t="inlineStr">
        <is>
          <t>Project</t>
        </is>
      </c>
      <c r="K147" s="24" t="inlineStr">
        <is>
          <t>GST 10%</t>
        </is>
      </c>
      <c r="L147" s="26" t="n">
        <v>13250</v>
      </c>
      <c r="M147" s="27">
        <f>IF(L147="","",IF(K147="GST 10%",ROUND(L147*set_GSTRate,2),0))</f>
        <v/>
      </c>
      <c r="N147" s="27">
        <f>IF(L147="","",L147+M147)</f>
        <v/>
      </c>
      <c r="O147" s="24" t="inlineStr">
        <is>
          <t>42800</t>
        </is>
      </c>
      <c r="P147" s="24" t="inlineStr">
        <is>
          <t>Y</t>
        </is>
      </c>
      <c r="Q147" s="24" t="inlineStr">
        <is>
          <t>N</t>
        </is>
      </c>
      <c r="R147" s="22" t="n"/>
      <c r="S147" s="22" t="n"/>
      <c r="T147" s="24" t="inlineStr">
        <is>
          <t>To Invoice</t>
        </is>
      </c>
      <c r="U147" s="24" t="inlineStr">
        <is>
          <t>Progress Claim 02</t>
        </is>
      </c>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v>46128</v>
      </c>
      <c r="B148" s="23">
        <f>IF(A148="","",EOMONTH(A148,0))</f>
        <v/>
      </c>
      <c r="C148" s="24" t="inlineStr">
        <is>
          <t>INV-10353</t>
        </is>
      </c>
      <c r="D148" s="24" t="inlineStr">
        <is>
          <t>DEWR</t>
        </is>
      </c>
      <c r="E148" s="24" t="inlineStr">
        <is>
          <t>25102701</t>
        </is>
      </c>
      <c r="F148" s="25">
        <f>IF(E148="","",IF(COUNTIF(lst_Jobs,E148&amp;"")&gt;0,"OK","CHECK"))</f>
        <v/>
      </c>
      <c r="G148" s="24" t="inlineStr">
        <is>
          <t>DEWR Studio Upgrade</t>
        </is>
      </c>
      <c r="H148" s="24" t="inlineStr">
        <is>
          <t>Consulting</t>
        </is>
      </c>
      <c r="I148" s="24" t="inlineStr">
        <is>
          <t>CONSULTING</t>
        </is>
      </c>
      <c r="J148" s="24" t="inlineStr">
        <is>
          <t>Project</t>
        </is>
      </c>
      <c r="K148" s="24" t="inlineStr">
        <is>
          <t>GST 10%</t>
        </is>
      </c>
      <c r="L148" s="26" t="n">
        <v>24410</v>
      </c>
      <c r="M148" s="27">
        <f>IF(L148="","",IF(K148="GST 10%",ROUND(L148*set_GSTRate,2),0))</f>
        <v/>
      </c>
      <c r="N148" s="27">
        <f>IF(L148="","",L148+M148)</f>
        <v/>
      </c>
      <c r="O148" s="24" t="inlineStr">
        <is>
          <t>42800</t>
        </is>
      </c>
      <c r="P148" s="24" t="inlineStr">
        <is>
          <t>Y</t>
        </is>
      </c>
      <c r="Q148" s="24" t="inlineStr">
        <is>
          <t>N</t>
        </is>
      </c>
      <c r="R148" s="22" t="n"/>
      <c r="S148" s="22" t="n"/>
      <c r="T148" s="24" t="inlineStr">
        <is>
          <t>To Invoice</t>
        </is>
      </c>
      <c r="U148" s="24" t="inlineStr">
        <is>
          <t>Progress Claim 03</t>
        </is>
      </c>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v>46162</v>
      </c>
      <c r="B149" s="23">
        <f>IF(A149="","",EOMONTH(A149,0))</f>
        <v/>
      </c>
      <c r="C149" s="24" t="inlineStr">
        <is>
          <t>INV-10425</t>
        </is>
      </c>
      <c r="D149" s="24" t="inlineStr">
        <is>
          <t>DTTL</t>
        </is>
      </c>
      <c r="E149" s="24" t="inlineStr">
        <is>
          <t>26052002</t>
        </is>
      </c>
      <c r="F149" s="25">
        <f>IF(E149="","",IF(COUNTIF(lst_Jobs,E149&amp;"")&gt;0,"OK","CHECK"))</f>
        <v/>
      </c>
      <c r="G149" s="24" t="inlineStr">
        <is>
          <t>BNE ​L23 Training Rooms Upgrade</t>
        </is>
      </c>
      <c r="H149" s="24" t="inlineStr">
        <is>
          <t>Consulting</t>
        </is>
      </c>
      <c r="I149" s="24" t="inlineStr">
        <is>
          <t>INTEGRATION</t>
        </is>
      </c>
      <c r="J149" s="24" t="inlineStr">
        <is>
          <t>Project</t>
        </is>
      </c>
      <c r="K149" s="24" t="inlineStr">
        <is>
          <t>GST 10%</t>
        </is>
      </c>
      <c r="L149" s="26" t="n">
        <v>57706</v>
      </c>
      <c r="M149" s="27">
        <f>IF(L149="","",IF(K149="GST 10%",ROUND(L149*set_GSTRate,2),0))</f>
        <v/>
      </c>
      <c r="N149" s="27">
        <f>IF(L149="","",L149+M149)</f>
        <v/>
      </c>
      <c r="O149" s="24" t="inlineStr">
        <is>
          <t>42300</t>
        </is>
      </c>
      <c r="P149" s="24" t="inlineStr">
        <is>
          <t>Y</t>
        </is>
      </c>
      <c r="Q149" s="24" t="inlineStr">
        <is>
          <t>N</t>
        </is>
      </c>
      <c r="R149" s="22" t="n"/>
      <c r="S149" s="22" t="n"/>
      <c r="T149" s="24" t="inlineStr">
        <is>
          <t>To Invoice</t>
        </is>
      </c>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v>46163</v>
      </c>
      <c r="B150" s="23">
        <f>IF(A150="","",EOMONTH(A150,0))</f>
        <v/>
      </c>
      <c r="C150" s="24" t="inlineStr">
        <is>
          <t>INV-10426</t>
        </is>
      </c>
      <c r="D150" s="24" t="inlineStr">
        <is>
          <t>DTTL</t>
        </is>
      </c>
      <c r="E150" s="24" t="inlineStr">
        <is>
          <t>26052003</t>
        </is>
      </c>
      <c r="F150" s="25">
        <f>IF(E150="","",IF(COUNTIF(lst_Jobs,E150&amp;"")&gt;0,"OK","CHECK"))</f>
        <v/>
      </c>
      <c r="G150" s="24" t="inlineStr">
        <is>
          <t>SYD Mobile Display Supply</t>
        </is>
      </c>
      <c r="H150" s="24" t="inlineStr">
        <is>
          <t>Consulting</t>
        </is>
      </c>
      <c r="I150" s="24" t="inlineStr">
        <is>
          <t>INTEGRATION</t>
        </is>
      </c>
      <c r="J150" s="24" t="inlineStr">
        <is>
          <t>Project</t>
        </is>
      </c>
      <c r="K150" s="24" t="inlineStr">
        <is>
          <t>GST 10%</t>
        </is>
      </c>
      <c r="L150" s="26" t="n">
        <v>26234</v>
      </c>
      <c r="M150" s="27">
        <f>IF(L150="","",IF(K150="GST 10%",ROUND(L150*set_GSTRate,2),0))</f>
        <v/>
      </c>
      <c r="N150" s="27">
        <f>IF(L150="","",L150+M150)</f>
        <v/>
      </c>
      <c r="O150" s="24" t="inlineStr">
        <is>
          <t>42300</t>
        </is>
      </c>
      <c r="P150" s="24" t="inlineStr">
        <is>
          <t>Y</t>
        </is>
      </c>
      <c r="Q150" s="24" t="inlineStr">
        <is>
          <t>N</t>
        </is>
      </c>
      <c r="R150" s="22" t="n"/>
      <c r="S150" s="22" t="n"/>
      <c r="T150" s="24" t="inlineStr">
        <is>
          <t>Paid</t>
        </is>
      </c>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v>46171</v>
      </c>
      <c r="B151" s="23">
        <f>IF(A151="","",EOMONTH(A151,0))</f>
        <v/>
      </c>
      <c r="C151" s="24" t="inlineStr">
        <is>
          <t>INV-10442</t>
        </is>
      </c>
      <c r="D151" s="24" t="inlineStr">
        <is>
          <t>DEWR</t>
        </is>
      </c>
      <c r="E151" s="24" t="inlineStr">
        <is>
          <t>25102701</t>
        </is>
      </c>
      <c r="F151" s="25">
        <f>IF(E151="","",IF(COUNTIF(lst_Jobs,E151&amp;"")&gt;0,"OK","CHECK"))</f>
        <v/>
      </c>
      <c r="G151" s="24" t="inlineStr">
        <is>
          <t>DEWR Studio Upgrade</t>
        </is>
      </c>
      <c r="H151" s="24" t="inlineStr">
        <is>
          <t>Consulting</t>
        </is>
      </c>
      <c r="I151" s="24" t="inlineStr">
        <is>
          <t>CONSULTING</t>
        </is>
      </c>
      <c r="J151" s="24" t="inlineStr">
        <is>
          <t>Project</t>
        </is>
      </c>
      <c r="K151" s="24" t="inlineStr">
        <is>
          <t>GST 10%</t>
        </is>
      </c>
      <c r="L151" s="26" t="n">
        <v>7563</v>
      </c>
      <c r="M151" s="27">
        <f>IF(L151="","",IF(K151="GST 10%",ROUND(L151*set_GSTRate,2),0))</f>
        <v/>
      </c>
      <c r="N151" s="27">
        <f>IF(L151="","",L151+M151)</f>
        <v/>
      </c>
      <c r="O151" s="24" t="inlineStr">
        <is>
          <t>42800</t>
        </is>
      </c>
      <c r="P151" s="24" t="inlineStr">
        <is>
          <t>Y</t>
        </is>
      </c>
      <c r="Q151" s="24" t="inlineStr">
        <is>
          <t>N</t>
        </is>
      </c>
      <c r="R151" s="22" t="n"/>
      <c r="S151" s="22" t="n"/>
      <c r="T151" s="24" t="inlineStr">
        <is>
          <t>To Invoice</t>
        </is>
      </c>
      <c r="U151" s="24" t="inlineStr">
        <is>
          <t>Progress Claim 04</t>
        </is>
      </c>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v>46190</v>
      </c>
      <c r="B152" s="23">
        <f>IF(A152="","",EOMONTH(A152,0))</f>
        <v/>
      </c>
      <c r="C152" s="24" t="inlineStr">
        <is>
          <t>INV-10462</t>
        </is>
      </c>
      <c r="D152" s="24" t="inlineStr">
        <is>
          <t>PwC</t>
        </is>
      </c>
      <c r="E152" s="24" t="inlineStr">
        <is>
          <t>26051801</t>
        </is>
      </c>
      <c r="F152" s="25">
        <f>IF(E152="","",IF(COUNTIF(lst_Jobs,E152&amp;"")&gt;0,"OK","CHECK"))</f>
        <v/>
      </c>
      <c r="G152" s="24" t="inlineStr">
        <is>
          <t>Mel Studio Equipment</t>
        </is>
      </c>
      <c r="H152" s="24" t="inlineStr">
        <is>
          <t>Consulting</t>
        </is>
      </c>
      <c r="I152" s="24" t="inlineStr">
        <is>
          <t>INTEGRATION</t>
        </is>
      </c>
      <c r="J152" s="24" t="inlineStr">
        <is>
          <t>Project</t>
        </is>
      </c>
      <c r="K152" s="24" t="inlineStr">
        <is>
          <t>GST 10%</t>
        </is>
      </c>
      <c r="L152" s="26" t="n">
        <v>12039</v>
      </c>
      <c r="M152" s="27">
        <f>IF(L152="","",IF(K152="GST 10%",ROUND(L152*set_GSTRate,2),0))</f>
        <v/>
      </c>
      <c r="N152" s="27">
        <f>IF(L152="","",L152+M152)</f>
        <v/>
      </c>
      <c r="O152" s="24" t="inlineStr">
        <is>
          <t>42300</t>
        </is>
      </c>
      <c r="P152" s="24" t="inlineStr">
        <is>
          <t>Y</t>
        </is>
      </c>
      <c r="Q152" s="24" t="inlineStr">
        <is>
          <t>N</t>
        </is>
      </c>
      <c r="R152" s="22" t="n"/>
      <c r="S152" s="22" t="n"/>
      <c r="T152" s="24" t="inlineStr">
        <is>
          <t>Invoiced</t>
        </is>
      </c>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v>46190</v>
      </c>
      <c r="B153" s="23">
        <f>IF(A153="","",EOMONTH(A153,0))</f>
        <v/>
      </c>
      <c r="C153" s="24" t="inlineStr">
        <is>
          <t>INV-10461</t>
        </is>
      </c>
      <c r="D153" s="24" t="inlineStr">
        <is>
          <t>PwC</t>
        </is>
      </c>
      <c r="E153" s="24" t="inlineStr">
        <is>
          <t>26043003</t>
        </is>
      </c>
      <c r="F153" s="25">
        <f>IF(E153="","",IF(COUNTIF(lst_Jobs,E153&amp;"")&gt;0,"OK","CHECK"))</f>
        <v/>
      </c>
      <c r="G153" s="24" t="inlineStr">
        <is>
          <t>Screen Replacements (SYD/MEL)</t>
        </is>
      </c>
      <c r="H153" s="24" t="inlineStr">
        <is>
          <t>Consulting</t>
        </is>
      </c>
      <c r="I153" s="24" t="inlineStr">
        <is>
          <t>INTEGRATION</t>
        </is>
      </c>
      <c r="J153" s="24" t="inlineStr">
        <is>
          <t>Project</t>
        </is>
      </c>
      <c r="K153" s="24" t="inlineStr">
        <is>
          <t>GST 10%</t>
        </is>
      </c>
      <c r="L153" s="26" t="n">
        <v>96068</v>
      </c>
      <c r="M153" s="27">
        <f>IF(L153="","",IF(K153="GST 10%",ROUND(L153*set_GSTRate,2),0))</f>
        <v/>
      </c>
      <c r="N153" s="27">
        <f>IF(L153="","",L153+M153)</f>
        <v/>
      </c>
      <c r="O153" s="24" t="inlineStr">
        <is>
          <t>42300</t>
        </is>
      </c>
      <c r="P153" s="24" t="inlineStr">
        <is>
          <t>Y</t>
        </is>
      </c>
      <c r="Q153" s="24" t="inlineStr">
        <is>
          <t>N</t>
        </is>
      </c>
      <c r="R153" s="22" t="n"/>
      <c r="S153" s="22" t="n"/>
      <c r="T153" s="24" t="inlineStr">
        <is>
          <t>Paid</t>
        </is>
      </c>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v>46198</v>
      </c>
      <c r="B154" s="23">
        <f>IF(A154="","",EOMONTH(A154,0))</f>
        <v/>
      </c>
      <c r="C154" s="24" t="inlineStr">
        <is>
          <t>INV-10500</t>
        </is>
      </c>
      <c r="D154" s="24" t="inlineStr">
        <is>
          <t>PwC</t>
        </is>
      </c>
      <c r="E154" s="24" t="inlineStr">
        <is>
          <t>2606901</t>
        </is>
      </c>
      <c r="F154" s="25">
        <f>IF(E154="","",IF(COUNTIF(lst_Jobs,E154&amp;"")&gt;0,"OK","CHECK"))</f>
        <v/>
      </c>
      <c r="G154" s="24" t="inlineStr">
        <is>
          <t>Sydney Office box drop</t>
        </is>
      </c>
      <c r="H154" s="24" t="inlineStr">
        <is>
          <t>Consulting</t>
        </is>
      </c>
      <c r="I154" s="24" t="inlineStr">
        <is>
          <t>INTEGRATION</t>
        </is>
      </c>
      <c r="J154" s="24" t="inlineStr">
        <is>
          <t>Project</t>
        </is>
      </c>
      <c r="K154" s="24" t="inlineStr">
        <is>
          <t>GST 10%</t>
        </is>
      </c>
      <c r="L154" s="26" t="n">
        <v>561</v>
      </c>
      <c r="M154" s="27">
        <f>IF(L154="","",IF(K154="GST 10%",ROUND(L154*set_GSTRate,2),0))</f>
        <v/>
      </c>
      <c r="N154" s="27">
        <f>IF(L154="","",L154+M154)</f>
        <v/>
      </c>
      <c r="O154" s="24" t="inlineStr">
        <is>
          <t>42300</t>
        </is>
      </c>
      <c r="P154" s="24" t="inlineStr">
        <is>
          <t>Y</t>
        </is>
      </c>
      <c r="Q154" s="24" t="inlineStr">
        <is>
          <t>N</t>
        </is>
      </c>
      <c r="R154" s="22" t="n"/>
      <c r="S154" s="22" t="n"/>
      <c r="T154" s="24" t="inlineStr">
        <is>
          <t>Paid</t>
        </is>
      </c>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v>46198</v>
      </c>
      <c r="B155" s="23">
        <f>IF(A155="","",EOMONTH(A155,0))</f>
        <v/>
      </c>
      <c r="C155" s="24" t="inlineStr">
        <is>
          <t>INV-10499</t>
        </is>
      </c>
      <c r="D155" s="24" t="inlineStr">
        <is>
          <t>YSG Studio</t>
        </is>
      </c>
      <c r="E155" s="24" t="inlineStr">
        <is>
          <t>2602203</t>
        </is>
      </c>
      <c r="F155" s="25">
        <f>IF(E155="","",IF(COUNTIF(lst_Jobs,E155&amp;"")&gt;0,"OK","CHECK"))</f>
        <v/>
      </c>
      <c r="G155" s="24" t="inlineStr">
        <is>
          <t>Orange Room Upgrade CONS</t>
        </is>
      </c>
      <c r="H155" s="24" t="inlineStr">
        <is>
          <t>Consulting</t>
        </is>
      </c>
      <c r="I155" s="24" t="inlineStr">
        <is>
          <t>CONSULTING</t>
        </is>
      </c>
      <c r="J155" s="24" t="inlineStr">
        <is>
          <t>Project</t>
        </is>
      </c>
      <c r="K155" s="24" t="inlineStr">
        <is>
          <t>GST 10%</t>
        </is>
      </c>
      <c r="L155" s="26" t="n">
        <v>2247.5</v>
      </c>
      <c r="M155" s="27">
        <f>IF(L155="","",IF(K155="GST 10%",ROUND(L155*set_GSTRate,2),0))</f>
        <v/>
      </c>
      <c r="N155" s="27">
        <f>IF(L155="","",L155+M155)</f>
        <v/>
      </c>
      <c r="O155" s="24" t="inlineStr">
        <is>
          <t>42800</t>
        </is>
      </c>
      <c r="P155" s="24" t="inlineStr">
        <is>
          <t>Y</t>
        </is>
      </c>
      <c r="Q155" s="24" t="inlineStr">
        <is>
          <t>N</t>
        </is>
      </c>
      <c r="R155" s="22" t="n"/>
      <c r="S155" s="22" t="n"/>
      <c r="T155" s="24" t="inlineStr">
        <is>
          <t>To Invoice</t>
        </is>
      </c>
      <c r="U155" s="24" t="inlineStr">
        <is>
          <t>Progress Claim 03</t>
        </is>
      </c>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v>46203</v>
      </c>
      <c r="B156" s="23">
        <f>IF(A156="","",EOMONTH(A156,0))</f>
        <v/>
      </c>
      <c r="C156" s="24" t="inlineStr">
        <is>
          <t>INV-10510</t>
        </is>
      </c>
      <c r="D156" s="24" t="inlineStr">
        <is>
          <t>CoS</t>
        </is>
      </c>
      <c r="E156" s="24" t="inlineStr">
        <is>
          <t>25111203</t>
        </is>
      </c>
      <c r="F156" s="25">
        <f>IF(E156="","",IF(COUNTIF(lst_Jobs,E156&amp;"")&gt;0,"OK","CHECK"))</f>
        <v/>
      </c>
      <c r="G156" s="24" t="inlineStr">
        <is>
          <t>Barco E3 Sale</t>
        </is>
      </c>
      <c r="H156" s="24" t="inlineStr">
        <is>
          <t>Consulting</t>
        </is>
      </c>
      <c r="I156" s="24" t="inlineStr">
        <is>
          <t>INTEGRATION</t>
        </is>
      </c>
      <c r="J156" s="24" t="inlineStr">
        <is>
          <t>Project</t>
        </is>
      </c>
      <c r="K156" s="24" t="inlineStr">
        <is>
          <t>GST 10%</t>
        </is>
      </c>
      <c r="L156" s="26" t="n">
        <v>159150</v>
      </c>
      <c r="M156" s="27">
        <f>IF(L156="","",IF(K156="GST 10%",ROUND(L156*set_GSTRate,2),0))</f>
        <v/>
      </c>
      <c r="N156" s="27">
        <f>IF(L156="","",L156+M156)</f>
        <v/>
      </c>
      <c r="O156" s="24" t="inlineStr">
        <is>
          <t>42300</t>
        </is>
      </c>
      <c r="P156" s="24" t="inlineStr">
        <is>
          <t>Y</t>
        </is>
      </c>
      <c r="Q156" s="24" t="inlineStr">
        <is>
          <t>N</t>
        </is>
      </c>
      <c r="R156" s="22" t="n"/>
      <c r="S156" s="22" t="n"/>
      <c r="T156" s="24" t="inlineStr">
        <is>
          <t>Paid</t>
        </is>
      </c>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v>46203</v>
      </c>
      <c r="B157" s="23">
        <f>IF(A157="","",EOMONTH(A157,0))</f>
        <v/>
      </c>
      <c r="C157" s="24" t="inlineStr">
        <is>
          <t>INV-10355</t>
        </is>
      </c>
      <c r="D157" s="24" t="inlineStr">
        <is>
          <t>DTTL</t>
        </is>
      </c>
      <c r="E157" s="24" t="inlineStr">
        <is>
          <t>26033003</t>
        </is>
      </c>
      <c r="F157" s="25">
        <f>IF(E157="","",IF(COUNTIF(lst_Jobs,E157&amp;"")&gt;0,"OK","CHECK"))</f>
        <v/>
      </c>
      <c r="G157" s="24" t="inlineStr">
        <is>
          <t>8PSQ-Dream-Big-Microphones</t>
        </is>
      </c>
      <c r="H157" s="24" t="inlineStr">
        <is>
          <t>Consulting</t>
        </is>
      </c>
      <c r="I157" s="24" t="inlineStr">
        <is>
          <t>INTEGRATION</t>
        </is>
      </c>
      <c r="J157" s="24" t="inlineStr">
        <is>
          <t>Project</t>
        </is>
      </c>
      <c r="K157" s="24" t="inlineStr">
        <is>
          <t>GST 10%</t>
        </is>
      </c>
      <c r="L157" s="26" t="n">
        <v>27408</v>
      </c>
      <c r="M157" s="27">
        <f>IF(L157="","",IF(K157="GST 10%",ROUND(L157*set_GSTRate,2),0))</f>
        <v/>
      </c>
      <c r="N157" s="27">
        <f>IF(L157="","",L157+M157)</f>
        <v/>
      </c>
      <c r="O157" s="24" t="inlineStr">
        <is>
          <t>42300</t>
        </is>
      </c>
      <c r="P157" s="24" t="inlineStr">
        <is>
          <t>Y</t>
        </is>
      </c>
      <c r="Q157" s="24" t="inlineStr">
        <is>
          <t>N</t>
        </is>
      </c>
      <c r="R157" s="22" t="n"/>
      <c r="S157" s="22" t="n"/>
      <c r="T157" s="24" t="inlineStr">
        <is>
          <t>Paid</t>
        </is>
      </c>
      <c r="U157" s="24" t="inlineStr">
        <is>
          <t>Invoiced in DTTL Additionals</t>
        </is>
      </c>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v>46203</v>
      </c>
      <c r="B158" s="23">
        <f>IF(A158="","",EOMONTH(A158,0))</f>
        <v/>
      </c>
      <c r="C158" s="24" t="inlineStr">
        <is>
          <t>INV-10355</t>
        </is>
      </c>
      <c r="D158" s="24" t="inlineStr">
        <is>
          <t>DTTL</t>
        </is>
      </c>
      <c r="E158" s="24" t="inlineStr">
        <is>
          <t>26033005</t>
        </is>
      </c>
      <c r="F158" s="25">
        <f>IF(E158="","",IF(COUNTIF(lst_Jobs,E158&amp;"")&gt;0,"OK","CHECK"))</f>
        <v/>
      </c>
      <c r="G158" s="24" t="inlineStr">
        <is>
          <t>QQT &amp; 8PSQ_Crestron Connect Adaptor</t>
        </is>
      </c>
      <c r="H158" s="24" t="inlineStr">
        <is>
          <t>Consulting</t>
        </is>
      </c>
      <c r="I158" s="24" t="inlineStr">
        <is>
          <t>INTEGRATION</t>
        </is>
      </c>
      <c r="J158" s="24" t="inlineStr">
        <is>
          <t>Project</t>
        </is>
      </c>
      <c r="K158" s="24" t="inlineStr">
        <is>
          <t>GST 10%</t>
        </is>
      </c>
      <c r="L158" s="26" t="n">
        <v>20128</v>
      </c>
      <c r="M158" s="27">
        <f>IF(L158="","",IF(K158="GST 10%",ROUND(L158*set_GSTRate,2),0))</f>
        <v/>
      </c>
      <c r="N158" s="27">
        <f>IF(L158="","",L158+M158)</f>
        <v/>
      </c>
      <c r="O158" s="24" t="inlineStr">
        <is>
          <t>42300</t>
        </is>
      </c>
      <c r="P158" s="24" t="inlineStr">
        <is>
          <t>Y</t>
        </is>
      </c>
      <c r="Q158" s="24" t="inlineStr">
        <is>
          <t>N</t>
        </is>
      </c>
      <c r="R158" s="22" t="n"/>
      <c r="S158" s="22" t="n"/>
      <c r="T158" s="24" t="inlineStr">
        <is>
          <t>To Invoice</t>
        </is>
      </c>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v>46203</v>
      </c>
      <c r="B159" s="23">
        <f>IF(A159="","",EOMONTH(A159,0))</f>
        <v/>
      </c>
      <c r="C159" s="24" t="inlineStr">
        <is>
          <t>INV-10355</t>
        </is>
      </c>
      <c r="D159" s="24" t="inlineStr">
        <is>
          <t>DTTL</t>
        </is>
      </c>
      <c r="E159" s="24" t="inlineStr">
        <is>
          <t>26033006</t>
        </is>
      </c>
      <c r="F159" s="25">
        <f>IF(E159="","",IF(COUNTIF(lst_Jobs,E159&amp;"")&gt;0,"OK","CHECK"))</f>
        <v/>
      </c>
      <c r="G159" s="24" t="inlineStr">
        <is>
          <t>8PSQ_Bluetooth Audio</t>
        </is>
      </c>
      <c r="H159" s="24" t="inlineStr">
        <is>
          <t>Consulting</t>
        </is>
      </c>
      <c r="I159" s="24" t="inlineStr">
        <is>
          <t>INTEGRATION</t>
        </is>
      </c>
      <c r="J159" s="24" t="inlineStr">
        <is>
          <t>Project</t>
        </is>
      </c>
      <c r="K159" s="24" t="inlineStr">
        <is>
          <t>GST 10%</t>
        </is>
      </c>
      <c r="L159" s="26" t="n">
        <v>5065</v>
      </c>
      <c r="M159" s="27">
        <f>IF(L159="","",IF(K159="GST 10%",ROUND(L159*set_GSTRate,2),0))</f>
        <v/>
      </c>
      <c r="N159" s="27">
        <f>IF(L159="","",L159+M159)</f>
        <v/>
      </c>
      <c r="O159" s="24" t="inlineStr">
        <is>
          <t>42300</t>
        </is>
      </c>
      <c r="P159" s="24" t="inlineStr">
        <is>
          <t>Y</t>
        </is>
      </c>
      <c r="Q159" s="24" t="inlineStr">
        <is>
          <t>N</t>
        </is>
      </c>
      <c r="R159" s="22" t="n"/>
      <c r="S159" s="22" t="n"/>
      <c r="T159" s="24" t="inlineStr">
        <is>
          <t>To Invoice</t>
        </is>
      </c>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v>46203</v>
      </c>
      <c r="B160" s="23">
        <f>IF(A160="","",EOMONTH(A160,0))</f>
        <v/>
      </c>
      <c r="C160" s="24" t="inlineStr">
        <is>
          <t>INV-10355</t>
        </is>
      </c>
      <c r="D160" s="24" t="inlineStr">
        <is>
          <t>DTTL</t>
        </is>
      </c>
      <c r="E160" s="24" t="inlineStr">
        <is>
          <t>26033007</t>
        </is>
      </c>
      <c r="F160" s="25">
        <f>IF(E160="","",IF(COUNTIF(lst_Jobs,E160&amp;"")&gt;0,"OK","CHECK"))</f>
        <v/>
      </c>
      <c r="G160" s="24" t="inlineStr">
        <is>
          <t>QQT_Lv45 Seminar-Wheels repair</t>
        </is>
      </c>
      <c r="H160" s="24" t="inlineStr">
        <is>
          <t>Consulting</t>
        </is>
      </c>
      <c r="I160" s="24" t="inlineStr">
        <is>
          <t>INTEGRATION</t>
        </is>
      </c>
      <c r="J160" s="24" t="inlineStr">
        <is>
          <t>Project</t>
        </is>
      </c>
      <c r="K160" s="24" t="inlineStr">
        <is>
          <t>GST 10%</t>
        </is>
      </c>
      <c r="L160" s="26" t="n">
        <v>354</v>
      </c>
      <c r="M160" s="27">
        <f>IF(L160="","",IF(K160="GST 10%",ROUND(L160*set_GSTRate,2),0))</f>
        <v/>
      </c>
      <c r="N160" s="27">
        <f>IF(L160="","",L160+M160)</f>
        <v/>
      </c>
      <c r="O160" s="24" t="inlineStr">
        <is>
          <t>42300</t>
        </is>
      </c>
      <c r="P160" s="24" t="inlineStr">
        <is>
          <t>Y</t>
        </is>
      </c>
      <c r="Q160" s="24" t="inlineStr">
        <is>
          <t>N</t>
        </is>
      </c>
      <c r="R160" s="22" t="n"/>
      <c r="S160" s="22" t="n"/>
      <c r="T160" s="24" t="inlineStr">
        <is>
          <t>To Invoice</t>
        </is>
      </c>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v>46209</v>
      </c>
      <c r="B161" s="23">
        <f>IF(A161="","",EOMONTH(A161,0))</f>
        <v/>
      </c>
      <c r="C161" s="24" t="inlineStr">
        <is>
          <t>INV-10516</t>
        </is>
      </c>
      <c r="D161" s="24" t="inlineStr">
        <is>
          <t>HP Poly - BAE</t>
        </is>
      </c>
      <c r="E161" s="24" t="inlineStr">
        <is>
          <t>26051301</t>
        </is>
      </c>
      <c r="F161" s="25">
        <f>IF(E161="","",IF(COUNTIF(lst_Jobs,E161&amp;"")&gt;0,"OK","CHECK"))</f>
        <v/>
      </c>
      <c r="G161" s="24" t="inlineStr">
        <is>
          <t>Phone Mod</t>
        </is>
      </c>
      <c r="H161" s="24" t="inlineStr">
        <is>
          <t>Consulting</t>
        </is>
      </c>
      <c r="I161" s="24" t="inlineStr">
        <is>
          <t>INTEGRATION</t>
        </is>
      </c>
      <c r="J161" s="24" t="inlineStr">
        <is>
          <t>Project</t>
        </is>
      </c>
      <c r="K161" s="24" t="inlineStr">
        <is>
          <t>GST 10%</t>
        </is>
      </c>
      <c r="L161" s="26" t="n">
        <v>1161</v>
      </c>
      <c r="M161" s="27">
        <f>IF(L161="","",IF(K161="GST 10%",ROUND(L161*set_GSTRate,2),0))</f>
        <v/>
      </c>
      <c r="N161" s="27">
        <f>IF(L161="","",L161+M161)</f>
        <v/>
      </c>
      <c r="O161" s="24" t="inlineStr">
        <is>
          <t>42300</t>
        </is>
      </c>
      <c r="P161" s="24" t="inlineStr">
        <is>
          <t>Y</t>
        </is>
      </c>
      <c r="Q161" s="24" t="inlineStr">
        <is>
          <t>N</t>
        </is>
      </c>
      <c r="R161" s="22" t="n"/>
      <c r="S161" s="22" t="n"/>
      <c r="T161" s="24" t="inlineStr">
        <is>
          <t>Paid</t>
        </is>
      </c>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v>46233</v>
      </c>
      <c r="B162" s="23">
        <f>IF(A162="","",EOMONTH(A162,0))</f>
        <v/>
      </c>
      <c r="C162" s="24" t="inlineStr">
        <is>
          <t>INV-10546</t>
        </is>
      </c>
      <c r="D162" s="24" t="inlineStr">
        <is>
          <t>DTTL</t>
        </is>
      </c>
      <c r="E162" s="24" t="inlineStr">
        <is>
          <t>26061501</t>
        </is>
      </c>
      <c r="F162" s="25">
        <f>IF(E162="","",IF(COUNTIF(lst_Jobs,E162&amp;"")&gt;0,"OK","CHECK"))</f>
        <v/>
      </c>
      <c r="G162" s="24" t="inlineStr">
        <is>
          <t>MEL Lv29 Display Supply</t>
        </is>
      </c>
      <c r="H162" s="24" t="inlineStr">
        <is>
          <t>Consulting</t>
        </is>
      </c>
      <c r="I162" s="24" t="inlineStr">
        <is>
          <t>INTEGRATION</t>
        </is>
      </c>
      <c r="J162" s="24" t="inlineStr">
        <is>
          <t>Project</t>
        </is>
      </c>
      <c r="K162" s="24" t="inlineStr">
        <is>
          <t>GST 10%</t>
        </is>
      </c>
      <c r="L162" s="26" t="n">
        <v>3890</v>
      </c>
      <c r="M162" s="27">
        <f>IF(L162="","",IF(K162="GST 10%",ROUND(L162*set_GSTRate,2),0))</f>
        <v/>
      </c>
      <c r="N162" s="27">
        <f>IF(L162="","",L162+M162)</f>
        <v/>
      </c>
      <c r="O162" s="24" t="inlineStr">
        <is>
          <t>42300</t>
        </is>
      </c>
      <c r="P162" s="24" t="inlineStr">
        <is>
          <t>Y</t>
        </is>
      </c>
      <c r="Q162" s="24" t="inlineStr">
        <is>
          <t>N</t>
        </is>
      </c>
      <c r="R162" s="22" t="n"/>
      <c r="S162" s="22" t="n"/>
      <c r="T162" s="24" t="inlineStr">
        <is>
          <t>Paid</t>
        </is>
      </c>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v>46233</v>
      </c>
      <c r="B163" s="23">
        <f>IF(A163="","",EOMONTH(A163,0))</f>
        <v/>
      </c>
      <c r="C163" s="24" t="inlineStr">
        <is>
          <t>INV-10546</t>
        </is>
      </c>
      <c r="D163" s="24" t="inlineStr">
        <is>
          <t>DTTL</t>
        </is>
      </c>
      <c r="E163" s="24" t="inlineStr">
        <is>
          <t>2605605</t>
        </is>
      </c>
      <c r="F163" s="25">
        <f>IF(E163="","",IF(COUNTIF(lst_Jobs,E163&amp;"")&gt;0,"OK","CHECK"))</f>
        <v/>
      </c>
      <c r="G163" s="24" t="inlineStr">
        <is>
          <t>HBA AV Fitout</t>
        </is>
      </c>
      <c r="H163" s="24" t="inlineStr">
        <is>
          <t>Consulting</t>
        </is>
      </c>
      <c r="I163" s="24" t="inlineStr">
        <is>
          <t>INTEGRATION</t>
        </is>
      </c>
      <c r="J163" s="24" t="inlineStr">
        <is>
          <t>Project</t>
        </is>
      </c>
      <c r="K163" s="24" t="inlineStr">
        <is>
          <t>GST 10%</t>
        </is>
      </c>
      <c r="L163" s="26" t="n">
        <v>60348</v>
      </c>
      <c r="M163" s="27">
        <f>IF(L163="","",IF(K163="GST 10%",ROUND(L163*set_GSTRate,2),0))</f>
        <v/>
      </c>
      <c r="N163" s="27">
        <f>IF(L163="","",L163+M163)</f>
        <v/>
      </c>
      <c r="O163" s="24" t="inlineStr">
        <is>
          <t>42300</t>
        </is>
      </c>
      <c r="P163" s="24" t="inlineStr">
        <is>
          <t>Y</t>
        </is>
      </c>
      <c r="Q163" s="24" t="inlineStr">
        <is>
          <t>N</t>
        </is>
      </c>
      <c r="R163" s="22" t="n"/>
      <c r="S163" s="22" t="n"/>
      <c r="T163" s="24" t="inlineStr">
        <is>
          <t>To Invoice</t>
        </is>
      </c>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v>46233</v>
      </c>
      <c r="B164" s="23">
        <f>IF(A164="","",EOMONTH(A164,0))</f>
        <v/>
      </c>
      <c r="C164" s="24" t="inlineStr">
        <is>
          <t>INV-10546</t>
        </is>
      </c>
      <c r="D164" s="24" t="inlineStr">
        <is>
          <t>DTTL</t>
        </is>
      </c>
      <c r="E164" s="24" t="inlineStr">
        <is>
          <t>26052003</t>
        </is>
      </c>
      <c r="F164" s="25">
        <f>IF(E164="","",IF(COUNTIF(lst_Jobs,E164&amp;"")&gt;0,"OK","CHECK"))</f>
        <v/>
      </c>
      <c r="G164" s="24" t="inlineStr">
        <is>
          <t>SYD Mobile Display Supply</t>
        </is>
      </c>
      <c r="H164" s="24" t="inlineStr">
        <is>
          <t>Consulting</t>
        </is>
      </c>
      <c r="I164" s="24" t="inlineStr">
        <is>
          <t>INTEGRATION</t>
        </is>
      </c>
      <c r="J164" s="24" t="inlineStr">
        <is>
          <t>Project</t>
        </is>
      </c>
      <c r="K164" s="24" t="inlineStr">
        <is>
          <t>GST 10%</t>
        </is>
      </c>
      <c r="L164" s="26" t="n">
        <v>7705</v>
      </c>
      <c r="M164" s="27">
        <f>IF(L164="","",IF(K164="GST 10%",ROUND(L164*set_GSTRate,2),0))</f>
        <v/>
      </c>
      <c r="N164" s="27">
        <f>IF(L164="","",L164+M164)</f>
        <v/>
      </c>
      <c r="O164" s="24" t="inlineStr">
        <is>
          <t>42300</t>
        </is>
      </c>
      <c r="P164" s="24" t="inlineStr">
        <is>
          <t>Y</t>
        </is>
      </c>
      <c r="Q164" s="24" t="inlineStr">
        <is>
          <t>N</t>
        </is>
      </c>
      <c r="R164" s="22" t="n"/>
      <c r="S164" s="22" t="n"/>
      <c r="T164" s="24" t="inlineStr">
        <is>
          <t>Paid</t>
        </is>
      </c>
      <c r="U164" s="24" t="inlineStr">
        <is>
          <t>Variation for slot in PC's</t>
        </is>
      </c>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v>46234</v>
      </c>
      <c r="B165" s="23">
        <f>IF(A165="","",EOMONTH(A165,0))</f>
        <v/>
      </c>
      <c r="C165" s="24" t="inlineStr">
        <is>
          <t>INV-10549</t>
        </is>
      </c>
      <c r="D165" s="24" t="inlineStr">
        <is>
          <t>Aware Super</t>
        </is>
      </c>
      <c r="E165" s="24" t="inlineStr">
        <is>
          <t>26072101</t>
        </is>
      </c>
      <c r="F165" s="25">
        <f>IF(E165="","",IF(COUNTIF(lst_Jobs,E165&amp;"")&gt;0,"OK","CHECK"))</f>
        <v/>
      </c>
      <c r="G165" s="24" t="inlineStr">
        <is>
          <t>MEL 17.02 Amp Replacement</t>
        </is>
      </c>
      <c r="H165" s="24" t="inlineStr">
        <is>
          <t>Consulting</t>
        </is>
      </c>
      <c r="I165" s="24" t="inlineStr">
        <is>
          <t>INTEGRATION</t>
        </is>
      </c>
      <c r="J165" s="24" t="inlineStr">
        <is>
          <t>Project</t>
        </is>
      </c>
      <c r="K165" s="24" t="inlineStr">
        <is>
          <t>GST 10%</t>
        </is>
      </c>
      <c r="L165" s="26" t="n">
        <v>6137</v>
      </c>
      <c r="M165" s="27">
        <f>IF(L165="","",IF(K165="GST 10%",ROUND(L165*set_GSTRate,2),0))</f>
        <v/>
      </c>
      <c r="N165" s="27">
        <f>IF(L165="","",L165+M165)</f>
        <v/>
      </c>
      <c r="O165" s="24" t="inlineStr">
        <is>
          <t>42300</t>
        </is>
      </c>
      <c r="P165" s="24" t="inlineStr">
        <is>
          <t>Y</t>
        </is>
      </c>
      <c r="Q165" s="24" t="inlineStr">
        <is>
          <t>N</t>
        </is>
      </c>
      <c r="R165" s="22" t="n"/>
      <c r="S165" s="22" t="n"/>
      <c r="T165" s="24" t="inlineStr">
        <is>
          <t>Paid</t>
        </is>
      </c>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v>46234</v>
      </c>
      <c r="B166" s="23">
        <f>IF(A166="","",EOMONTH(A166,0))</f>
        <v/>
      </c>
      <c r="C166" s="24" t="inlineStr">
        <is>
          <t>INV-10548</t>
        </is>
      </c>
      <c r="D166" s="24" t="inlineStr">
        <is>
          <t>APA</t>
        </is>
      </c>
      <c r="E166" s="24" t="inlineStr">
        <is>
          <t>2606101</t>
        </is>
      </c>
      <c r="F166" s="25">
        <f>IF(E166="","",IF(COUNTIF(lst_Jobs,E166&amp;"")&gt;0,"OK","CHECK"))</f>
        <v/>
      </c>
      <c r="G166" s="24" t="inlineStr">
        <is>
          <t>Young Eptura Proxyclick Licence Renewal</t>
        </is>
      </c>
      <c r="H166" s="24" t="inlineStr">
        <is>
          <t>Consulting</t>
        </is>
      </c>
      <c r="I166" s="24" t="inlineStr">
        <is>
          <t>INTEGRATION</t>
        </is>
      </c>
      <c r="J166" s="24" t="inlineStr">
        <is>
          <t>Project</t>
        </is>
      </c>
      <c r="K166" s="24" t="inlineStr">
        <is>
          <t>GST 10%</t>
        </is>
      </c>
      <c r="L166" s="26" t="n">
        <v>4205</v>
      </c>
      <c r="M166" s="27">
        <f>IF(L166="","",IF(K166="GST 10%",ROUND(L166*set_GSTRate,2),0))</f>
        <v/>
      </c>
      <c r="N166" s="27">
        <f>IF(L166="","",L166+M166)</f>
        <v/>
      </c>
      <c r="O166" s="24" t="inlineStr">
        <is>
          <t>42300</t>
        </is>
      </c>
      <c r="P166" s="24" t="inlineStr">
        <is>
          <t>Y</t>
        </is>
      </c>
      <c r="Q166" s="24" t="inlineStr">
        <is>
          <t>N</t>
        </is>
      </c>
      <c r="R166" s="22" t="n"/>
      <c r="S166" s="22" t="n"/>
      <c r="T166" s="24" t="inlineStr">
        <is>
          <t>Paid</t>
        </is>
      </c>
      <c r="U166" s="24" t="inlineStr">
        <is>
          <t>01/03/2027 to 29/02/2028</t>
        </is>
      </c>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v>46234</v>
      </c>
      <c r="B167" s="23">
        <f>IF(A167="","",EOMONTH(A167,0))</f>
        <v/>
      </c>
      <c r="C167" s="24" t="inlineStr">
        <is>
          <t>INV-10547</t>
        </is>
      </c>
      <c r="D167" s="24" t="inlineStr">
        <is>
          <t>YSG Studio</t>
        </is>
      </c>
      <c r="E167" s="24" t="inlineStr">
        <is>
          <t>26071304</t>
        </is>
      </c>
      <c r="F167" s="25">
        <f>IF(E167="","",IF(COUNTIF(lst_Jobs,E167&amp;"")&gt;0,"OK","CHECK"))</f>
        <v/>
      </c>
      <c r="G167" s="24" t="inlineStr">
        <is>
          <t>Orange Room Upgrade INT</t>
        </is>
      </c>
      <c r="H167" s="24" t="inlineStr">
        <is>
          <t>Consulting</t>
        </is>
      </c>
      <c r="I167" s="24" t="inlineStr">
        <is>
          <t>INTEGRATION</t>
        </is>
      </c>
      <c r="J167" s="24" t="inlineStr">
        <is>
          <t>Project</t>
        </is>
      </c>
      <c r="K167" s="24" t="inlineStr">
        <is>
          <t>GST 10%</t>
        </is>
      </c>
      <c r="L167" s="26" t="n">
        <v>4702</v>
      </c>
      <c r="M167" s="27">
        <f>IF(L167="","",IF(K167="GST 10%",ROUND(L167*set_GSTRate,2),0))</f>
        <v/>
      </c>
      <c r="N167" s="27">
        <f>IF(L167="","",L167+M167)</f>
        <v/>
      </c>
      <c r="O167" s="24" t="inlineStr">
        <is>
          <t>42300</t>
        </is>
      </c>
      <c r="P167" s="24" t="inlineStr">
        <is>
          <t>Y</t>
        </is>
      </c>
      <c r="Q167" s="24" t="inlineStr">
        <is>
          <t>N</t>
        </is>
      </c>
      <c r="R167" s="22" t="n"/>
      <c r="S167" s="22" t="n"/>
      <c r="T167" s="24" t="inlineStr">
        <is>
          <t>Paid</t>
        </is>
      </c>
      <c r="U167" s="24" t="inlineStr">
        <is>
          <t>Invoice 1/2 Equipment only</t>
        </is>
      </c>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v>46274</v>
      </c>
      <c r="B168" s="23">
        <f>IF(A168="","",EOMONTH(A168,0))</f>
        <v/>
      </c>
      <c r="C168" s="24" t="inlineStr">
        <is>
          <t>To be invoiced 9th Sept 26</t>
        </is>
      </c>
      <c r="D168" s="24" t="inlineStr">
        <is>
          <t>Aware Super</t>
        </is>
      </c>
      <c r="E168" s="24" t="inlineStr">
        <is>
          <t>2604704</t>
        </is>
      </c>
      <c r="F168" s="25">
        <f>IF(E168="","",IF(COUNTIF(lst_Jobs,E168&amp;"")&gt;0,"OK","CHECK"))</f>
        <v/>
      </c>
      <c r="G168" s="24" t="inlineStr">
        <is>
          <t>SYD Seminar Room Audio Upgrade</t>
        </is>
      </c>
      <c r="H168" s="24" t="inlineStr">
        <is>
          <t>Consulting</t>
        </is>
      </c>
      <c r="I168" s="24" t="inlineStr">
        <is>
          <t>INTEGRATION</t>
        </is>
      </c>
      <c r="J168" s="24" t="inlineStr">
        <is>
          <t>Project</t>
        </is>
      </c>
      <c r="K168" s="24" t="inlineStr">
        <is>
          <t>GST 10%</t>
        </is>
      </c>
      <c r="L168" s="26" t="n">
        <v>202647</v>
      </c>
      <c r="M168" s="27">
        <f>IF(L168="","",IF(K168="GST 10%",ROUND(L168*set_GSTRate,2),0))</f>
        <v/>
      </c>
      <c r="N168" s="27">
        <f>IF(L168="","",L168+M168)</f>
        <v/>
      </c>
      <c r="O168" s="24" t="inlineStr">
        <is>
          <t>42300</t>
        </is>
      </c>
      <c r="P168" s="24" t="inlineStr">
        <is>
          <t>Y</t>
        </is>
      </c>
      <c r="Q168" s="24" t="inlineStr">
        <is>
          <t>N</t>
        </is>
      </c>
      <c r="R168" s="22" t="n"/>
      <c r="S168" s="22" t="n"/>
      <c r="T168" s="24" t="inlineStr">
        <is>
          <t>Invoiced</t>
        </is>
      </c>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v>46254</v>
      </c>
      <c r="B169" s="23">
        <f>IF(A169="","",EOMONTH(A169,0))</f>
        <v/>
      </c>
      <c r="C169" s="24" t="inlineStr">
        <is>
          <t>INV-10575</t>
        </is>
      </c>
      <c r="D169" s="24" t="inlineStr">
        <is>
          <t>HP Poly - Data#3</t>
        </is>
      </c>
      <c r="E169" s="24" t="inlineStr">
        <is>
          <t>26052102</t>
        </is>
      </c>
      <c r="F169" s="25">
        <f>IF(E169="","",IF(COUNTIF(lst_Jobs,E169&amp;"")&gt;0,"OK","CHECK"))</f>
        <v/>
      </c>
      <c r="G169" s="24" t="inlineStr">
        <is>
          <t>AUSTRAC Phone Mods</t>
        </is>
      </c>
      <c r="H169" s="24" t="inlineStr">
        <is>
          <t>Consulting</t>
        </is>
      </c>
      <c r="I169" s="24" t="inlineStr">
        <is>
          <t>INTEGRATION</t>
        </is>
      </c>
      <c r="J169" s="24" t="inlineStr">
        <is>
          <t>Project</t>
        </is>
      </c>
      <c r="K169" s="24" t="inlineStr">
        <is>
          <t>GST 10%</t>
        </is>
      </c>
      <c r="L169" s="26" t="n">
        <v>45909</v>
      </c>
      <c r="M169" s="27">
        <f>IF(L169="","",IF(K169="GST 10%",ROUND(L169*set_GSTRate,2),0))</f>
        <v/>
      </c>
      <c r="N169" s="27">
        <f>IF(L169="","",L169+M169)</f>
        <v/>
      </c>
      <c r="O169" s="24" t="inlineStr">
        <is>
          <t>42300</t>
        </is>
      </c>
      <c r="P169" s="24" t="inlineStr">
        <is>
          <t>Y</t>
        </is>
      </c>
      <c r="Q169" s="24" t="inlineStr">
        <is>
          <t>N</t>
        </is>
      </c>
      <c r="R169" s="22" t="n"/>
      <c r="S169" s="22" t="n"/>
      <c r="T169" s="24" t="inlineStr">
        <is>
          <t>Paid</t>
        </is>
      </c>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v>46237</v>
      </c>
      <c r="B170" s="23">
        <f>IF(A170="","",EOMONTH(A170,0))</f>
        <v/>
      </c>
      <c r="C170" s="24" t="inlineStr">
        <is>
          <t>INV-10553</t>
        </is>
      </c>
      <c r="D170" s="24" t="inlineStr">
        <is>
          <t>Aware Super</t>
        </is>
      </c>
      <c r="E170" s="24" t="inlineStr">
        <is>
          <t>26052701</t>
        </is>
      </c>
      <c r="F170" s="25">
        <f>IF(E170="","",IF(COUNTIF(lst_Jobs,E170&amp;"")&gt;0,"OK","CHECK"))</f>
        <v/>
      </c>
      <c r="G170" s="24" t="inlineStr">
        <is>
          <t>SYD 28.06 Equipment</t>
        </is>
      </c>
      <c r="H170" s="24" t="inlineStr">
        <is>
          <t>Consulting</t>
        </is>
      </c>
      <c r="I170" s="24" t="inlineStr">
        <is>
          <t>INTEGRATION</t>
        </is>
      </c>
      <c r="J170" s="24" t="inlineStr">
        <is>
          <t>Project</t>
        </is>
      </c>
      <c r="K170" s="24" t="inlineStr">
        <is>
          <t>GST 10%</t>
        </is>
      </c>
      <c r="L170" s="26" t="n">
        <v>12271</v>
      </c>
      <c r="M170" s="27">
        <f>IF(L170="","",IF(K170="GST 10%",ROUND(L170*set_GSTRate,2),0))</f>
        <v/>
      </c>
      <c r="N170" s="27">
        <f>IF(L170="","",L170+M170)</f>
        <v/>
      </c>
      <c r="O170" s="24" t="inlineStr">
        <is>
          <t>42300</t>
        </is>
      </c>
      <c r="P170" s="24" t="inlineStr">
        <is>
          <t>Y</t>
        </is>
      </c>
      <c r="Q170" s="24" t="inlineStr">
        <is>
          <t>N</t>
        </is>
      </c>
      <c r="R170" s="22" t="n"/>
      <c r="S170" s="22" t="n"/>
      <c r="T170" s="24" t="inlineStr">
        <is>
          <t>Invoiced</t>
        </is>
      </c>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v>46261</v>
      </c>
      <c r="B171" s="23">
        <f>IF(A171="","",EOMONTH(A171,0))</f>
        <v/>
      </c>
      <c r="C171" s="24" t="inlineStr">
        <is>
          <t>INV-10601</t>
        </is>
      </c>
      <c r="D171" s="24" t="inlineStr">
        <is>
          <t>YSG Studio</t>
        </is>
      </c>
      <c r="E171" s="24" t="inlineStr">
        <is>
          <t>26071304</t>
        </is>
      </c>
      <c r="F171" s="25">
        <f>IF(E171="","",IF(COUNTIF(lst_Jobs,E171&amp;"")&gt;0,"OK","CHECK"))</f>
        <v/>
      </c>
      <c r="G171" s="24" t="inlineStr">
        <is>
          <t>Orange Room Upgrade INT</t>
        </is>
      </c>
      <c r="H171" s="24" t="inlineStr">
        <is>
          <t>Consulting</t>
        </is>
      </c>
      <c r="I171" s="24" t="inlineStr">
        <is>
          <t>INTEGRATION</t>
        </is>
      </c>
      <c r="J171" s="24" t="inlineStr">
        <is>
          <t>Project</t>
        </is>
      </c>
      <c r="K171" s="24" t="inlineStr">
        <is>
          <t>GST 10%</t>
        </is>
      </c>
      <c r="L171" s="26" t="n">
        <v>4462</v>
      </c>
      <c r="M171" s="27">
        <f>IF(L171="","",IF(K171="GST 10%",ROUND(L171*set_GSTRate,2),0))</f>
        <v/>
      </c>
      <c r="N171" s="27">
        <f>IF(L171="","",L171+M171)</f>
        <v/>
      </c>
      <c r="O171" s="24" t="inlineStr">
        <is>
          <t>42300</t>
        </is>
      </c>
      <c r="P171" s="24" t="inlineStr">
        <is>
          <t>Y</t>
        </is>
      </c>
      <c r="Q171" s="24" t="inlineStr">
        <is>
          <t>N</t>
        </is>
      </c>
      <c r="R171" s="22" t="n"/>
      <c r="S171" s="22" t="n"/>
      <c r="T171" s="24" t="inlineStr">
        <is>
          <t>Paid</t>
        </is>
      </c>
      <c r="U171" s="24" t="inlineStr">
        <is>
          <t>2/2 Labour only</t>
        </is>
      </c>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v>46253</v>
      </c>
      <c r="B172" s="23">
        <f>IF(A172="","",EOMONTH(A172,0))</f>
        <v/>
      </c>
      <c r="C172" s="24" t="inlineStr">
        <is>
          <t>INV-10564</t>
        </is>
      </c>
      <c r="D172" s="24" t="inlineStr">
        <is>
          <t>Aware Super</t>
        </is>
      </c>
      <c r="E172" s="24" t="inlineStr">
        <is>
          <t>26062902</t>
        </is>
      </c>
      <c r="F172" s="25">
        <f>IF(E172="","",IF(COUNTIF(lst_Jobs,E172&amp;"")&gt;0,"OK","CHECK"))</f>
        <v/>
      </c>
      <c r="G172" s="24" t="inlineStr">
        <is>
          <t>SYD Occupancy Sensors</t>
        </is>
      </c>
      <c r="H172" s="24" t="inlineStr">
        <is>
          <t>Consulting</t>
        </is>
      </c>
      <c r="I172" s="24" t="inlineStr">
        <is>
          <t>INTEGRATION</t>
        </is>
      </c>
      <c r="J172" s="24" t="inlineStr">
        <is>
          <t>Project</t>
        </is>
      </c>
      <c r="K172" s="24" t="inlineStr">
        <is>
          <t>GST 10%</t>
        </is>
      </c>
      <c r="L172" s="26" t="n">
        <v>3489</v>
      </c>
      <c r="M172" s="27">
        <f>IF(L172="","",IF(K172="GST 10%",ROUND(L172*set_GSTRate,2),0))</f>
        <v/>
      </c>
      <c r="N172" s="27">
        <f>IF(L172="","",L172+M172)</f>
        <v/>
      </c>
      <c r="O172" s="24" t="inlineStr">
        <is>
          <t>42300</t>
        </is>
      </c>
      <c r="P172" s="24" t="inlineStr">
        <is>
          <t>Y</t>
        </is>
      </c>
      <c r="Q172" s="24" t="inlineStr">
        <is>
          <t>N</t>
        </is>
      </c>
      <c r="R172" s="22" t="n"/>
      <c r="S172" s="22" t="n"/>
      <c r="T172" s="24" t="inlineStr">
        <is>
          <t>Paid</t>
        </is>
      </c>
      <c r="U172" s="24" t="inlineStr">
        <is>
          <t>Invoice 1/2 Equipment only</t>
        </is>
      </c>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inlineStr">
        <is>
          <t>Aware Super</t>
        </is>
      </c>
      <c r="E173" s="24" t="inlineStr">
        <is>
          <t>26062902</t>
        </is>
      </c>
      <c r="F173" s="25">
        <f>IF(E173="","",IF(COUNTIF(lst_Jobs,E173&amp;"")&gt;0,"OK","CHECK"))</f>
        <v/>
      </c>
      <c r="G173" s="24" t="inlineStr">
        <is>
          <t>SYD Occupancy Sensors</t>
        </is>
      </c>
      <c r="H173" s="24" t="inlineStr">
        <is>
          <t>Consulting</t>
        </is>
      </c>
      <c r="I173" s="24" t="inlineStr">
        <is>
          <t>INTEGRATION</t>
        </is>
      </c>
      <c r="J173" s="24" t="inlineStr">
        <is>
          <t>Project</t>
        </is>
      </c>
      <c r="K173" s="24" t="inlineStr">
        <is>
          <t>GST 10%</t>
        </is>
      </c>
      <c r="L173" s="26" t="n">
        <v>2707</v>
      </c>
      <c r="M173" s="27">
        <f>IF(L173="","",IF(K173="GST 10%",ROUND(L173*set_GSTRate,2),0))</f>
        <v/>
      </c>
      <c r="N173" s="27">
        <f>IF(L173="","",L173+M173)</f>
        <v/>
      </c>
      <c r="O173" s="24" t="inlineStr">
        <is>
          <t>42300</t>
        </is>
      </c>
      <c r="P173" s="24" t="inlineStr">
        <is>
          <t>N</t>
        </is>
      </c>
      <c r="Q173" s="24" t="inlineStr">
        <is>
          <t>N</t>
        </is>
      </c>
      <c r="R173" s="22" t="n"/>
      <c r="S173" s="22" t="n"/>
      <c r="T173" s="24" t="inlineStr">
        <is>
          <t>To Invoice</t>
        </is>
      </c>
      <c r="U173" s="24" t="inlineStr">
        <is>
          <t>2/2 Labour only; Not invoiced yet</t>
        </is>
      </c>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inlineStr">
        <is>
          <t>Aware Super</t>
        </is>
      </c>
      <c r="E174" s="24" t="inlineStr">
        <is>
          <t>26062901</t>
        </is>
      </c>
      <c r="F174" s="25">
        <f>IF(E174="","",IF(COUNTIF(lst_Jobs,E174&amp;"")&gt;0,"OK","CHECK"))</f>
        <v/>
      </c>
      <c r="G174" s="24" t="inlineStr">
        <is>
          <t>Aware | SYD 28.06 Services</t>
        </is>
      </c>
      <c r="H174" s="24" t="inlineStr">
        <is>
          <t>Consulting</t>
        </is>
      </c>
      <c r="I174" s="24" t="inlineStr">
        <is>
          <t>INTEGRATION</t>
        </is>
      </c>
      <c r="J174" s="24" t="inlineStr">
        <is>
          <t>Project</t>
        </is>
      </c>
      <c r="K174" s="24" t="inlineStr">
        <is>
          <t>GST 10%</t>
        </is>
      </c>
      <c r="L174" s="26" t="n">
        <v>4631</v>
      </c>
      <c r="M174" s="27">
        <f>IF(L174="","",IF(K174="GST 10%",ROUND(L174*set_GSTRate,2),0))</f>
        <v/>
      </c>
      <c r="N174" s="27">
        <f>IF(L174="","",L174+M174)</f>
        <v/>
      </c>
      <c r="O174" s="24" t="inlineStr">
        <is>
          <t>42300</t>
        </is>
      </c>
      <c r="P174" s="24" t="inlineStr">
        <is>
          <t>N</t>
        </is>
      </c>
      <c r="Q174" s="24" t="inlineStr">
        <is>
          <t>N</t>
        </is>
      </c>
      <c r="R174" s="22" t="n"/>
      <c r="S174" s="22" t="n"/>
      <c r="T174" s="24" t="inlineStr">
        <is>
          <t>To Invoice</t>
        </is>
      </c>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v>46254</v>
      </c>
      <c r="B175" s="23">
        <f>IF(A175="","",EOMONTH(A175,0))</f>
        <v/>
      </c>
      <c r="C175" s="24" t="inlineStr">
        <is>
          <t>INV-10574</t>
        </is>
      </c>
      <c r="D175" s="24" t="inlineStr">
        <is>
          <t>AusPayNet</t>
        </is>
      </c>
      <c r="E175" s="24" t="inlineStr">
        <is>
          <t>26081901</t>
        </is>
      </c>
      <c r="F175" s="25">
        <f>IF(E175="","",IF(COUNTIF(lst_Jobs,E175&amp;"")&gt;0,"OK","CHECK"))</f>
        <v/>
      </c>
      <c r="G175" s="24" t="inlineStr">
        <is>
          <t>Logi Subscription</t>
        </is>
      </c>
      <c r="H175" s="24" t="inlineStr">
        <is>
          <t>Consulting</t>
        </is>
      </c>
      <c r="I175" s="24" t="inlineStr">
        <is>
          <t>INTEGRATION</t>
        </is>
      </c>
      <c r="J175" s="24" t="inlineStr">
        <is>
          <t>Project</t>
        </is>
      </c>
      <c r="K175" s="24" t="inlineStr">
        <is>
          <t>GST 10%</t>
        </is>
      </c>
      <c r="L175" s="26" t="n">
        <v>993</v>
      </c>
      <c r="M175" s="27">
        <f>IF(L175="","",IF(K175="GST 10%",ROUND(L175*set_GSTRate,2),0))</f>
        <v/>
      </c>
      <c r="N175" s="27">
        <f>IF(L175="","",L175+M175)</f>
        <v/>
      </c>
      <c r="O175" s="24" t="inlineStr">
        <is>
          <t>42300</t>
        </is>
      </c>
      <c r="P175" s="24" t="inlineStr">
        <is>
          <t>Y</t>
        </is>
      </c>
      <c r="Q175" s="24" t="inlineStr">
        <is>
          <t>N</t>
        </is>
      </c>
      <c r="R175" s="22" t="n"/>
      <c r="S175" s="22" t="n"/>
      <c r="T175" s="24" t="inlineStr">
        <is>
          <t>Paid</t>
        </is>
      </c>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inlineStr">
        <is>
          <t>Aware Super</t>
        </is>
      </c>
      <c r="E176" s="24" t="inlineStr">
        <is>
          <t>26071601</t>
        </is>
      </c>
      <c r="F176" s="25">
        <f>IF(E176="","",IF(COUNTIF(lst_Jobs,E176&amp;"")&gt;0,"OK","CHECK"))</f>
        <v/>
      </c>
      <c r="G176" s="24" t="inlineStr">
        <is>
          <t>PER USB-C Cable Replacement</t>
        </is>
      </c>
      <c r="H176" s="24" t="inlineStr">
        <is>
          <t>Consulting</t>
        </is>
      </c>
      <c r="I176" s="24" t="inlineStr">
        <is>
          <t>INTEGRATION</t>
        </is>
      </c>
      <c r="J176" s="24" t="inlineStr">
        <is>
          <t>Project</t>
        </is>
      </c>
      <c r="K176" s="24" t="inlineStr">
        <is>
          <t>GST 10%</t>
        </is>
      </c>
      <c r="L176" s="26" t="n">
        <v>2957</v>
      </c>
      <c r="M176" s="27">
        <f>IF(L176="","",IF(K176="GST 10%",ROUND(L176*set_GSTRate,2),0))</f>
        <v/>
      </c>
      <c r="N176" s="27">
        <f>IF(L176="","",L176+M176)</f>
        <v/>
      </c>
      <c r="O176" s="24" t="inlineStr">
        <is>
          <t>42300</t>
        </is>
      </c>
      <c r="P176" s="24" t="inlineStr">
        <is>
          <t>N</t>
        </is>
      </c>
      <c r="Q176" s="24" t="inlineStr">
        <is>
          <t>N</t>
        </is>
      </c>
      <c r="R176" s="22" t="n"/>
      <c r="S176" s="22" t="n"/>
      <c r="T176" s="24" t="inlineStr">
        <is>
          <t>To Invoice</t>
        </is>
      </c>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v>46267</v>
      </c>
      <c r="B177" s="23">
        <f>IF(A177="","",EOMONTH(A177,0))</f>
        <v/>
      </c>
      <c r="C177" s="24" t="inlineStr">
        <is>
          <t>INV-10619</t>
        </is>
      </c>
      <c r="D177" s="24" t="inlineStr">
        <is>
          <t>Aware Super</t>
        </is>
      </c>
      <c r="E177" s="24" t="inlineStr">
        <is>
          <t>26062503</t>
        </is>
      </c>
      <c r="F177" s="25">
        <f>IF(E177="","",IF(COUNTIF(lst_Jobs,E177&amp;"")&gt;0,"OK","CHECK"))</f>
        <v/>
      </c>
      <c r="G177" s="24" t="inlineStr">
        <is>
          <t>24.16 UC Engine Reimaging</t>
        </is>
      </c>
      <c r="H177" s="24" t="inlineStr">
        <is>
          <t>Consulting</t>
        </is>
      </c>
      <c r="I177" s="24" t="inlineStr">
        <is>
          <t>INTEGRATION</t>
        </is>
      </c>
      <c r="J177" s="24" t="inlineStr">
        <is>
          <t>Project</t>
        </is>
      </c>
      <c r="K177" s="24" t="inlineStr">
        <is>
          <t>GST 10%</t>
        </is>
      </c>
      <c r="L177" s="26" t="n">
        <v>671</v>
      </c>
      <c r="M177" s="27">
        <f>IF(L177="","",IF(K177="GST 10%",ROUND(L177*set_GSTRate,2),0))</f>
        <v/>
      </c>
      <c r="N177" s="27">
        <f>IF(L177="","",L177+M177)</f>
        <v/>
      </c>
      <c r="O177" s="24" t="inlineStr">
        <is>
          <t>42300</t>
        </is>
      </c>
      <c r="P177" s="24" t="inlineStr">
        <is>
          <t>Y</t>
        </is>
      </c>
      <c r="Q177" s="24" t="inlineStr">
        <is>
          <t>N</t>
        </is>
      </c>
      <c r="R177" s="22" t="n"/>
      <c r="S177" s="22" t="n"/>
      <c r="T177" s="24" t="inlineStr">
        <is>
          <t>To Invoice</t>
        </is>
      </c>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v>46275</v>
      </c>
      <c r="B178" s="23">
        <f>IF(A178="","",EOMONTH(A178,0))</f>
        <v/>
      </c>
      <c r="C178" s="24" t="inlineStr">
        <is>
          <t>INV-10622</t>
        </is>
      </c>
      <c r="D178" s="24" t="inlineStr">
        <is>
          <t>APA</t>
        </is>
      </c>
      <c r="E178" s="24" t="inlineStr">
        <is>
          <t>25070702</t>
        </is>
      </c>
      <c r="F178" s="25">
        <f>IF(E178="","",IF(COUNTIF(lst_Jobs,E178&amp;"")&gt;0,"OK","CHECK"))</f>
        <v/>
      </c>
      <c r="G178" s="24" t="inlineStr">
        <is>
          <t>APA BNE &amp; NT Year 2 license</t>
        </is>
      </c>
      <c r="H178" s="24" t="inlineStr">
        <is>
          <t>Consulting</t>
        </is>
      </c>
      <c r="I178" s="24" t="inlineStr">
        <is>
          <t>INTEGRATION</t>
        </is>
      </c>
      <c r="J178" s="24" t="inlineStr">
        <is>
          <t>Project</t>
        </is>
      </c>
      <c r="K178" s="24" t="inlineStr">
        <is>
          <t>GST 10%</t>
        </is>
      </c>
      <c r="L178" s="26" t="n">
        <v>3956.77</v>
      </c>
      <c r="M178" s="27">
        <f>IF(L178="","",IF(K178="GST 10%",ROUND(L178*set_GSTRate,2),0))</f>
        <v/>
      </c>
      <c r="N178" s="27">
        <f>IF(L178="","",L178+M178)</f>
        <v/>
      </c>
      <c r="O178" s="24" t="inlineStr">
        <is>
          <t>42300</t>
        </is>
      </c>
      <c r="P178" s="24" t="inlineStr">
        <is>
          <t>Y</t>
        </is>
      </c>
      <c r="Q178" s="24" t="inlineStr">
        <is>
          <t>N</t>
        </is>
      </c>
      <c r="R178" s="22" t="n"/>
      <c r="S178" s="22" t="n"/>
      <c r="T178" s="24" t="inlineStr">
        <is>
          <t>Paid</t>
        </is>
      </c>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22" t="n"/>
      <c r="B405" s="23">
        <f>IF(A405="","",EOMONTH(A405,0))</f>
        <v/>
      </c>
      <c r="C405" s="24" t="n"/>
      <c r="D405" s="24" t="n"/>
      <c r="E405" s="24" t="n"/>
      <c r="F405" s="25">
        <f>IF(E405="","",IF(COUNTIF(lst_Jobs,E405&amp;"")&gt;0,"OK","CHECK"))</f>
        <v/>
      </c>
      <c r="G405" s="24" t="n"/>
      <c r="H405" s="24" t="n"/>
      <c r="I405" s="24" t="n"/>
      <c r="J405" s="24" t="n"/>
      <c r="K405" s="24" t="n"/>
      <c r="L405" s="26" t="n"/>
      <c r="M405" s="27">
        <f>IF(L405="","",IF(K405="GST 10%",ROUND(L405*set_GSTRate,2),0))</f>
        <v/>
      </c>
      <c r="N405" s="27">
        <f>IF(L405="","",L405+M405)</f>
        <v/>
      </c>
      <c r="O405" s="24" t="n"/>
      <c r="P405" s="24" t="n"/>
      <c r="Q405" s="24" t="n"/>
      <c r="R405" s="22" t="n"/>
      <c r="S405" s="22" t="n"/>
      <c r="T405" s="24" t="n"/>
      <c r="U405" s="24" t="n"/>
      <c r="V405" s="2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25">
        <f>IF(E405="","",IFERROR(INDEX(lst_JobName,MATCH(E405&amp;"",lst_Jobs,0)),""))</f>
        <v/>
      </c>
      <c r="X405" s="28">
        <f>IF(E405="","",COUNTIFS(tbl_Finance[Job Number],E405&amp;"",tbl_Finance[Ex GST],"&lt;&gt;"))</f>
        <v/>
      </c>
      <c r="Y405" s="27">
        <f>IF(E405="","",SUMIFS(tbl_Finance[Ex GST],tbl_Finance[Job Number],E405&amp;""))</f>
        <v/>
      </c>
      <c r="Z405" s="27">
        <f>IF(E405="","",SUMIFS(tbl_Finance[Ex GST],tbl_Finance[Job Number],E405&amp;"",tbl_Finance[Xero Invoice No],"&lt;&gt;"))</f>
        <v/>
      </c>
      <c r="AA405" s="27">
        <f>IF(E405="","",Y405-Z405)</f>
        <v/>
      </c>
      <c r="AB405" s="25">
        <f>IF(E405="","",IF(H405="Onsite",IFERROR(INDEX(tbl_Onsite[Qwilr Quote],MATCH(E405&amp;"",tbl_Onsite[Job Number],0)),""),IF(H405="Production",IFERROR(IF(INDEX(tbl_Production[Current RMS No],MATCH(E405&amp;"",tbl_Production[Job Number],0))="",INDEX(tbl_Production[Qwilr Quote],MATCH(E405&amp;"",tbl_Production[Job Number],0)),INDEX(tbl_Production[Current RMS No],MATCH(E405&amp;"",tbl_Production[Job Number],0))),""),IF(H405="Consulting",IFERROR(INDEX(tbl_Consulting[Qwilr Quote],MATCH(E405&amp;"",tbl_Consulting[Job Number],0)),""),""))))</f>
        <v/>
      </c>
      <c r="AC405" s="25">
        <f>IF(AB405="","",IF(AND(LEFT(AB405,4)&lt;&gt;"http",IF(H405="Production",set_RMSBase,set_QwilrBase)=""),"",HYPERLINK(IF(LEFT(AB405,4)="http",AB405,IF(H405="Production",set_RMSBase,set_QwilrBase)&amp;AB405),"Open")))</f>
        <v/>
      </c>
      <c r="AD405" s="27">
        <f>IF(E405="","",IF(H405="Production",IFERROR(INDEX(tbl_Production[Total Expense],MATCH(E405&amp;"",tbl_Production[Job Number],0)),0),IF(H405="Consulting",IFERROR(INDEX(tbl_Consulting[Total Expense],MATCH(E405&amp;"",tbl_Consulting[Job Number],0)),0),0)))</f>
        <v/>
      </c>
      <c r="AE405" s="27">
        <f>IF(E405="","",Y405-N(AD405))</f>
        <v/>
      </c>
      <c r="AF405" s="29">
        <f>IFERROR(AE405/Y405,"")</f>
        <v/>
      </c>
      <c r="AG405" s="2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22" t="n"/>
      <c r="B406" s="23">
        <f>IF(A406="","",EOMONTH(A406,0))</f>
        <v/>
      </c>
      <c r="C406" s="24" t="n"/>
      <c r="D406" s="24" t="n"/>
      <c r="E406" s="24" t="n"/>
      <c r="F406" s="25">
        <f>IF(E406="","",IF(COUNTIF(lst_Jobs,E406&amp;"")&gt;0,"OK","CHECK"))</f>
        <v/>
      </c>
      <c r="G406" s="24" t="n"/>
      <c r="H406" s="24" t="n"/>
      <c r="I406" s="24" t="n"/>
      <c r="J406" s="24" t="n"/>
      <c r="K406" s="24" t="n"/>
      <c r="L406" s="26" t="n"/>
      <c r="M406" s="27">
        <f>IF(L406="","",IF(K406="GST 10%",ROUND(L406*set_GSTRate,2),0))</f>
        <v/>
      </c>
      <c r="N406" s="27">
        <f>IF(L406="","",L406+M406)</f>
        <v/>
      </c>
      <c r="O406" s="24" t="n"/>
      <c r="P406" s="24" t="n"/>
      <c r="Q406" s="24" t="n"/>
      <c r="R406" s="22" t="n"/>
      <c r="S406" s="22" t="n"/>
      <c r="T406" s="24" t="n"/>
      <c r="U406" s="24" t="n"/>
      <c r="V406" s="2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25">
        <f>IF(E406="","",IFERROR(INDEX(lst_JobName,MATCH(E406&amp;"",lst_Jobs,0)),""))</f>
        <v/>
      </c>
      <c r="X406" s="28">
        <f>IF(E406="","",COUNTIFS(tbl_Finance[Job Number],E406&amp;"",tbl_Finance[Ex GST],"&lt;&gt;"))</f>
        <v/>
      </c>
      <c r="Y406" s="27">
        <f>IF(E406="","",SUMIFS(tbl_Finance[Ex GST],tbl_Finance[Job Number],E406&amp;""))</f>
        <v/>
      </c>
      <c r="Z406" s="27">
        <f>IF(E406="","",SUMIFS(tbl_Finance[Ex GST],tbl_Finance[Job Number],E406&amp;"",tbl_Finance[Xero Invoice No],"&lt;&gt;"))</f>
        <v/>
      </c>
      <c r="AA406" s="27">
        <f>IF(E406="","",Y406-Z406)</f>
        <v/>
      </c>
      <c r="AB406" s="25">
        <f>IF(E406="","",IF(H406="Onsite",IFERROR(INDEX(tbl_Onsite[Qwilr Quote],MATCH(E406&amp;"",tbl_Onsite[Job Number],0)),""),IF(H406="Production",IFERROR(IF(INDEX(tbl_Production[Current RMS No],MATCH(E406&amp;"",tbl_Production[Job Number],0))="",INDEX(tbl_Production[Qwilr Quote],MATCH(E406&amp;"",tbl_Production[Job Number],0)),INDEX(tbl_Production[Current RMS No],MATCH(E406&amp;"",tbl_Production[Job Number],0))),""),IF(H406="Consulting",IFERROR(INDEX(tbl_Consulting[Qwilr Quote],MATCH(E406&amp;"",tbl_Consulting[Job Number],0)),""),""))))</f>
        <v/>
      </c>
      <c r="AC406" s="25">
        <f>IF(AB406="","",IF(AND(LEFT(AB406,4)&lt;&gt;"http",IF(H406="Production",set_RMSBase,set_QwilrBase)=""),"",HYPERLINK(IF(LEFT(AB406,4)="http",AB406,IF(H406="Production",set_RMSBase,set_QwilrBase)&amp;AB406),"Open")))</f>
        <v/>
      </c>
      <c r="AD406" s="27">
        <f>IF(E406="","",IF(H406="Production",IFERROR(INDEX(tbl_Production[Total Expense],MATCH(E406&amp;"",tbl_Production[Job Number],0)),0),IF(H406="Consulting",IFERROR(INDEX(tbl_Consulting[Total Expense],MATCH(E406&amp;"",tbl_Consulting[Job Number],0)),0),0)))</f>
        <v/>
      </c>
      <c r="AE406" s="27">
        <f>IF(E406="","",Y406-N(AD406))</f>
        <v/>
      </c>
      <c r="AF406" s="29">
        <f>IFERROR(AE406/Y406,"")</f>
        <v/>
      </c>
      <c r="AG406" s="2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22" t="n"/>
      <c r="B407" s="23">
        <f>IF(A407="","",EOMONTH(A407,0))</f>
        <v/>
      </c>
      <c r="C407" s="24" t="n"/>
      <c r="D407" s="24" t="n"/>
      <c r="E407" s="24" t="n"/>
      <c r="F407" s="25">
        <f>IF(E407="","",IF(COUNTIF(lst_Jobs,E407&amp;"")&gt;0,"OK","CHECK"))</f>
        <v/>
      </c>
      <c r="G407" s="24" t="n"/>
      <c r="H407" s="24" t="n"/>
      <c r="I407" s="24" t="n"/>
      <c r="J407" s="24" t="n"/>
      <c r="K407" s="24" t="n"/>
      <c r="L407" s="26" t="n"/>
      <c r="M407" s="27">
        <f>IF(L407="","",IF(K407="GST 10%",ROUND(L407*set_GSTRate,2),0))</f>
        <v/>
      </c>
      <c r="N407" s="27">
        <f>IF(L407="","",L407+M407)</f>
        <v/>
      </c>
      <c r="O407" s="24" t="n"/>
      <c r="P407" s="24" t="n"/>
      <c r="Q407" s="24" t="n"/>
      <c r="R407" s="22" t="n"/>
      <c r="S407" s="22" t="n"/>
      <c r="T407" s="24" t="n"/>
      <c r="U407" s="24" t="n"/>
      <c r="V407" s="2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25">
        <f>IF(E407="","",IFERROR(INDEX(lst_JobName,MATCH(E407&amp;"",lst_Jobs,0)),""))</f>
        <v/>
      </c>
      <c r="X407" s="28">
        <f>IF(E407="","",COUNTIFS(tbl_Finance[Job Number],E407&amp;"",tbl_Finance[Ex GST],"&lt;&gt;"))</f>
        <v/>
      </c>
      <c r="Y407" s="27">
        <f>IF(E407="","",SUMIFS(tbl_Finance[Ex GST],tbl_Finance[Job Number],E407&amp;""))</f>
        <v/>
      </c>
      <c r="Z407" s="27">
        <f>IF(E407="","",SUMIFS(tbl_Finance[Ex GST],tbl_Finance[Job Number],E407&amp;"",tbl_Finance[Xero Invoice No],"&lt;&gt;"))</f>
        <v/>
      </c>
      <c r="AA407" s="27">
        <f>IF(E407="","",Y407-Z407)</f>
        <v/>
      </c>
      <c r="AB407" s="25">
        <f>IF(E407="","",IF(H407="Onsite",IFERROR(INDEX(tbl_Onsite[Qwilr Quote],MATCH(E407&amp;"",tbl_Onsite[Job Number],0)),""),IF(H407="Production",IFERROR(IF(INDEX(tbl_Production[Current RMS No],MATCH(E407&amp;"",tbl_Production[Job Number],0))="",INDEX(tbl_Production[Qwilr Quote],MATCH(E407&amp;"",tbl_Production[Job Number],0)),INDEX(tbl_Production[Current RMS No],MATCH(E407&amp;"",tbl_Production[Job Number],0))),""),IF(H407="Consulting",IFERROR(INDEX(tbl_Consulting[Qwilr Quote],MATCH(E407&amp;"",tbl_Consulting[Job Number],0)),""),""))))</f>
        <v/>
      </c>
      <c r="AC407" s="25">
        <f>IF(AB407="","",IF(AND(LEFT(AB407,4)&lt;&gt;"http",IF(H407="Production",set_RMSBase,set_QwilrBase)=""),"",HYPERLINK(IF(LEFT(AB407,4)="http",AB407,IF(H407="Production",set_RMSBase,set_QwilrBase)&amp;AB407),"Open")))</f>
        <v/>
      </c>
      <c r="AD407" s="27">
        <f>IF(E407="","",IF(H407="Production",IFERROR(INDEX(tbl_Production[Total Expense],MATCH(E407&amp;"",tbl_Production[Job Number],0)),0),IF(H407="Consulting",IFERROR(INDEX(tbl_Consulting[Total Expense],MATCH(E407&amp;"",tbl_Consulting[Job Number],0)),0),0)))</f>
        <v/>
      </c>
      <c r="AE407" s="27">
        <f>IF(E407="","",Y407-N(AD407))</f>
        <v/>
      </c>
      <c r="AF407" s="29">
        <f>IFERROR(AE407/Y407,"")</f>
        <v/>
      </c>
      <c r="AG407" s="2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22" t="n"/>
      <c r="B408" s="23">
        <f>IF(A408="","",EOMONTH(A408,0))</f>
        <v/>
      </c>
      <c r="C408" s="24" t="n"/>
      <c r="D408" s="24" t="n"/>
      <c r="E408" s="24" t="n"/>
      <c r="F408" s="25">
        <f>IF(E408="","",IF(COUNTIF(lst_Jobs,E408&amp;"")&gt;0,"OK","CHECK"))</f>
        <v/>
      </c>
      <c r="G408" s="24" t="n"/>
      <c r="H408" s="24" t="n"/>
      <c r="I408" s="24" t="n"/>
      <c r="J408" s="24" t="n"/>
      <c r="K408" s="24" t="n"/>
      <c r="L408" s="26" t="n"/>
      <c r="M408" s="27">
        <f>IF(L408="","",IF(K408="GST 10%",ROUND(L408*set_GSTRate,2),0))</f>
        <v/>
      </c>
      <c r="N408" s="27">
        <f>IF(L408="","",L408+M408)</f>
        <v/>
      </c>
      <c r="O408" s="24" t="n"/>
      <c r="P408" s="24" t="n"/>
      <c r="Q408" s="24" t="n"/>
      <c r="R408" s="22" t="n"/>
      <c r="S408" s="22" t="n"/>
      <c r="T408" s="24" t="n"/>
      <c r="U408" s="24" t="n"/>
      <c r="V408" s="2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25">
        <f>IF(E408="","",IFERROR(INDEX(lst_JobName,MATCH(E408&amp;"",lst_Jobs,0)),""))</f>
        <v/>
      </c>
      <c r="X408" s="28">
        <f>IF(E408="","",COUNTIFS(tbl_Finance[Job Number],E408&amp;"",tbl_Finance[Ex GST],"&lt;&gt;"))</f>
        <v/>
      </c>
      <c r="Y408" s="27">
        <f>IF(E408="","",SUMIFS(tbl_Finance[Ex GST],tbl_Finance[Job Number],E408&amp;""))</f>
        <v/>
      </c>
      <c r="Z408" s="27">
        <f>IF(E408="","",SUMIFS(tbl_Finance[Ex GST],tbl_Finance[Job Number],E408&amp;"",tbl_Finance[Xero Invoice No],"&lt;&gt;"))</f>
        <v/>
      </c>
      <c r="AA408" s="27">
        <f>IF(E408="","",Y408-Z408)</f>
        <v/>
      </c>
      <c r="AB408" s="25">
        <f>IF(E408="","",IF(H408="Onsite",IFERROR(INDEX(tbl_Onsite[Qwilr Quote],MATCH(E408&amp;"",tbl_Onsite[Job Number],0)),""),IF(H408="Production",IFERROR(IF(INDEX(tbl_Production[Current RMS No],MATCH(E408&amp;"",tbl_Production[Job Number],0))="",INDEX(tbl_Production[Qwilr Quote],MATCH(E408&amp;"",tbl_Production[Job Number],0)),INDEX(tbl_Production[Current RMS No],MATCH(E408&amp;"",tbl_Production[Job Number],0))),""),IF(H408="Consulting",IFERROR(INDEX(tbl_Consulting[Qwilr Quote],MATCH(E408&amp;"",tbl_Consulting[Job Number],0)),""),""))))</f>
        <v/>
      </c>
      <c r="AC408" s="25">
        <f>IF(AB408="","",IF(AND(LEFT(AB408,4)&lt;&gt;"http",IF(H408="Production",set_RMSBase,set_QwilrBase)=""),"",HYPERLINK(IF(LEFT(AB408,4)="http",AB408,IF(H408="Production",set_RMSBase,set_QwilrBase)&amp;AB408),"Open")))</f>
        <v/>
      </c>
      <c r="AD408" s="27">
        <f>IF(E408="","",IF(H408="Production",IFERROR(INDEX(tbl_Production[Total Expense],MATCH(E408&amp;"",tbl_Production[Job Number],0)),0),IF(H408="Consulting",IFERROR(INDEX(tbl_Consulting[Total Expense],MATCH(E408&amp;"",tbl_Consulting[Job Number],0)),0),0)))</f>
        <v/>
      </c>
      <c r="AE408" s="27">
        <f>IF(E408="","",Y408-N(AD408))</f>
        <v/>
      </c>
      <c r="AF408" s="29">
        <f>IFERROR(AE408/Y408,"")</f>
        <v/>
      </c>
      <c r="AG408" s="2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22" t="n"/>
      <c r="B409" s="23">
        <f>IF(A409="","",EOMONTH(A409,0))</f>
        <v/>
      </c>
      <c r="C409" s="24" t="n"/>
      <c r="D409" s="24" t="n"/>
      <c r="E409" s="24" t="n"/>
      <c r="F409" s="25">
        <f>IF(E409="","",IF(COUNTIF(lst_Jobs,E409&amp;"")&gt;0,"OK","CHECK"))</f>
        <v/>
      </c>
      <c r="G409" s="24" t="n"/>
      <c r="H409" s="24" t="n"/>
      <c r="I409" s="24" t="n"/>
      <c r="J409" s="24" t="n"/>
      <c r="K409" s="24" t="n"/>
      <c r="L409" s="26" t="n"/>
      <c r="M409" s="27">
        <f>IF(L409="","",IF(K409="GST 10%",ROUND(L409*set_GSTRate,2),0))</f>
        <v/>
      </c>
      <c r="N409" s="27">
        <f>IF(L409="","",L409+M409)</f>
        <v/>
      </c>
      <c r="O409" s="24" t="n"/>
      <c r="P409" s="24" t="n"/>
      <c r="Q409" s="24" t="n"/>
      <c r="R409" s="22" t="n"/>
      <c r="S409" s="22" t="n"/>
      <c r="T409" s="24" t="n"/>
      <c r="U409" s="24" t="n"/>
      <c r="V409" s="2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25">
        <f>IF(E409="","",IFERROR(INDEX(lst_JobName,MATCH(E409&amp;"",lst_Jobs,0)),""))</f>
        <v/>
      </c>
      <c r="X409" s="28">
        <f>IF(E409="","",COUNTIFS(tbl_Finance[Job Number],E409&amp;"",tbl_Finance[Ex GST],"&lt;&gt;"))</f>
        <v/>
      </c>
      <c r="Y409" s="27">
        <f>IF(E409="","",SUMIFS(tbl_Finance[Ex GST],tbl_Finance[Job Number],E409&amp;""))</f>
        <v/>
      </c>
      <c r="Z409" s="27">
        <f>IF(E409="","",SUMIFS(tbl_Finance[Ex GST],tbl_Finance[Job Number],E409&amp;"",tbl_Finance[Xero Invoice No],"&lt;&gt;"))</f>
        <v/>
      </c>
      <c r="AA409" s="27">
        <f>IF(E409="","",Y409-Z409)</f>
        <v/>
      </c>
      <c r="AB409" s="25">
        <f>IF(E409="","",IF(H409="Onsite",IFERROR(INDEX(tbl_Onsite[Qwilr Quote],MATCH(E409&amp;"",tbl_Onsite[Job Number],0)),""),IF(H409="Production",IFERROR(IF(INDEX(tbl_Production[Current RMS No],MATCH(E409&amp;"",tbl_Production[Job Number],0))="",INDEX(tbl_Production[Qwilr Quote],MATCH(E409&amp;"",tbl_Production[Job Number],0)),INDEX(tbl_Production[Current RMS No],MATCH(E409&amp;"",tbl_Production[Job Number],0))),""),IF(H409="Consulting",IFERROR(INDEX(tbl_Consulting[Qwilr Quote],MATCH(E409&amp;"",tbl_Consulting[Job Number],0)),""),""))))</f>
        <v/>
      </c>
      <c r="AC409" s="25">
        <f>IF(AB409="","",IF(AND(LEFT(AB409,4)&lt;&gt;"http",IF(H409="Production",set_RMSBase,set_QwilrBase)=""),"",HYPERLINK(IF(LEFT(AB409,4)="http",AB409,IF(H409="Production",set_RMSBase,set_QwilrBase)&amp;AB409),"Open")))</f>
        <v/>
      </c>
      <c r="AD409" s="27">
        <f>IF(E409="","",IF(H409="Production",IFERROR(INDEX(tbl_Production[Total Expense],MATCH(E409&amp;"",tbl_Production[Job Number],0)),0),IF(H409="Consulting",IFERROR(INDEX(tbl_Consulting[Total Expense],MATCH(E409&amp;"",tbl_Consulting[Job Number],0)),0),0)))</f>
        <v/>
      </c>
      <c r="AE409" s="27">
        <f>IF(E409="","",Y409-N(AD409))</f>
        <v/>
      </c>
      <c r="AF409" s="29">
        <f>IFERROR(AE409/Y409,"")</f>
        <v/>
      </c>
      <c r="AG409" s="2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22" t="n"/>
      <c r="B410" s="23">
        <f>IF(A410="","",EOMONTH(A410,0))</f>
        <v/>
      </c>
      <c r="C410" s="24" t="n"/>
      <c r="D410" s="24" t="n"/>
      <c r="E410" s="24" t="n"/>
      <c r="F410" s="25">
        <f>IF(E410="","",IF(COUNTIF(lst_Jobs,E410&amp;"")&gt;0,"OK","CHECK"))</f>
        <v/>
      </c>
      <c r="G410" s="24" t="n"/>
      <c r="H410" s="24" t="n"/>
      <c r="I410" s="24" t="n"/>
      <c r="J410" s="24" t="n"/>
      <c r="K410" s="24" t="n"/>
      <c r="L410" s="26" t="n"/>
      <c r="M410" s="27">
        <f>IF(L410="","",IF(K410="GST 10%",ROUND(L410*set_GSTRate,2),0))</f>
        <v/>
      </c>
      <c r="N410" s="27">
        <f>IF(L410="","",L410+M410)</f>
        <v/>
      </c>
      <c r="O410" s="24" t="n"/>
      <c r="P410" s="24" t="n"/>
      <c r="Q410" s="24" t="n"/>
      <c r="R410" s="22" t="n"/>
      <c r="S410" s="22" t="n"/>
      <c r="T410" s="24" t="n"/>
      <c r="U410" s="24" t="n"/>
      <c r="V410" s="2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25">
        <f>IF(E410="","",IFERROR(INDEX(lst_JobName,MATCH(E410&amp;"",lst_Jobs,0)),""))</f>
        <v/>
      </c>
      <c r="X410" s="28">
        <f>IF(E410="","",COUNTIFS(tbl_Finance[Job Number],E410&amp;"",tbl_Finance[Ex GST],"&lt;&gt;"))</f>
        <v/>
      </c>
      <c r="Y410" s="27">
        <f>IF(E410="","",SUMIFS(tbl_Finance[Ex GST],tbl_Finance[Job Number],E410&amp;""))</f>
        <v/>
      </c>
      <c r="Z410" s="27">
        <f>IF(E410="","",SUMIFS(tbl_Finance[Ex GST],tbl_Finance[Job Number],E410&amp;"",tbl_Finance[Xero Invoice No],"&lt;&gt;"))</f>
        <v/>
      </c>
      <c r="AA410" s="27">
        <f>IF(E410="","",Y410-Z410)</f>
        <v/>
      </c>
      <c r="AB410" s="25">
        <f>IF(E410="","",IF(H410="Onsite",IFERROR(INDEX(tbl_Onsite[Qwilr Quote],MATCH(E410&amp;"",tbl_Onsite[Job Number],0)),""),IF(H410="Production",IFERROR(IF(INDEX(tbl_Production[Current RMS No],MATCH(E410&amp;"",tbl_Production[Job Number],0))="",INDEX(tbl_Production[Qwilr Quote],MATCH(E410&amp;"",tbl_Production[Job Number],0)),INDEX(tbl_Production[Current RMS No],MATCH(E410&amp;"",tbl_Production[Job Number],0))),""),IF(H410="Consulting",IFERROR(INDEX(tbl_Consulting[Qwilr Quote],MATCH(E410&amp;"",tbl_Consulting[Job Number],0)),""),""))))</f>
        <v/>
      </c>
      <c r="AC410" s="25">
        <f>IF(AB410="","",IF(AND(LEFT(AB410,4)&lt;&gt;"http",IF(H410="Production",set_RMSBase,set_QwilrBase)=""),"",HYPERLINK(IF(LEFT(AB410,4)="http",AB410,IF(H410="Production",set_RMSBase,set_QwilrBase)&amp;AB410),"Open")))</f>
        <v/>
      </c>
      <c r="AD410" s="27">
        <f>IF(E410="","",IF(H410="Production",IFERROR(INDEX(tbl_Production[Total Expense],MATCH(E410&amp;"",tbl_Production[Job Number],0)),0),IF(H410="Consulting",IFERROR(INDEX(tbl_Consulting[Total Expense],MATCH(E410&amp;"",tbl_Consulting[Job Number],0)),0),0)))</f>
        <v/>
      </c>
      <c r="AE410" s="27">
        <f>IF(E410="","",Y410-N(AD410))</f>
        <v/>
      </c>
      <c r="AF410" s="29">
        <f>IFERROR(AE410/Y410,"")</f>
        <v/>
      </c>
      <c r="AG410" s="2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22" t="n"/>
      <c r="B411" s="23">
        <f>IF(A411="","",EOMONTH(A411,0))</f>
        <v/>
      </c>
      <c r="C411" s="24" t="n"/>
      <c r="D411" s="24" t="n"/>
      <c r="E411" s="24" t="n"/>
      <c r="F411" s="25">
        <f>IF(E411="","",IF(COUNTIF(lst_Jobs,E411&amp;"")&gt;0,"OK","CHECK"))</f>
        <v/>
      </c>
      <c r="G411" s="24" t="n"/>
      <c r="H411" s="24" t="n"/>
      <c r="I411" s="24" t="n"/>
      <c r="J411" s="24" t="n"/>
      <c r="K411" s="24" t="n"/>
      <c r="L411" s="26" t="n"/>
      <c r="M411" s="27">
        <f>IF(L411="","",IF(K411="GST 10%",ROUND(L411*set_GSTRate,2),0))</f>
        <v/>
      </c>
      <c r="N411" s="27">
        <f>IF(L411="","",L411+M411)</f>
        <v/>
      </c>
      <c r="O411" s="24" t="n"/>
      <c r="P411" s="24" t="n"/>
      <c r="Q411" s="24" t="n"/>
      <c r="R411" s="22" t="n"/>
      <c r="S411" s="22" t="n"/>
      <c r="T411" s="24" t="n"/>
      <c r="U411" s="24" t="n"/>
      <c r="V411" s="2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25">
        <f>IF(E411="","",IFERROR(INDEX(lst_JobName,MATCH(E411&amp;"",lst_Jobs,0)),""))</f>
        <v/>
      </c>
      <c r="X411" s="28">
        <f>IF(E411="","",COUNTIFS(tbl_Finance[Job Number],E411&amp;"",tbl_Finance[Ex GST],"&lt;&gt;"))</f>
        <v/>
      </c>
      <c r="Y411" s="27">
        <f>IF(E411="","",SUMIFS(tbl_Finance[Ex GST],tbl_Finance[Job Number],E411&amp;""))</f>
        <v/>
      </c>
      <c r="Z411" s="27">
        <f>IF(E411="","",SUMIFS(tbl_Finance[Ex GST],tbl_Finance[Job Number],E411&amp;"",tbl_Finance[Xero Invoice No],"&lt;&gt;"))</f>
        <v/>
      </c>
      <c r="AA411" s="27">
        <f>IF(E411="","",Y411-Z411)</f>
        <v/>
      </c>
      <c r="AB411" s="25">
        <f>IF(E411="","",IF(H411="Onsite",IFERROR(INDEX(tbl_Onsite[Qwilr Quote],MATCH(E411&amp;"",tbl_Onsite[Job Number],0)),""),IF(H411="Production",IFERROR(IF(INDEX(tbl_Production[Current RMS No],MATCH(E411&amp;"",tbl_Production[Job Number],0))="",INDEX(tbl_Production[Qwilr Quote],MATCH(E411&amp;"",tbl_Production[Job Number],0)),INDEX(tbl_Production[Current RMS No],MATCH(E411&amp;"",tbl_Production[Job Number],0))),""),IF(H411="Consulting",IFERROR(INDEX(tbl_Consulting[Qwilr Quote],MATCH(E411&amp;"",tbl_Consulting[Job Number],0)),""),""))))</f>
        <v/>
      </c>
      <c r="AC411" s="25">
        <f>IF(AB411="","",IF(AND(LEFT(AB411,4)&lt;&gt;"http",IF(H411="Production",set_RMSBase,set_QwilrBase)=""),"",HYPERLINK(IF(LEFT(AB411,4)="http",AB411,IF(H411="Production",set_RMSBase,set_QwilrBase)&amp;AB411),"Open")))</f>
        <v/>
      </c>
      <c r="AD411" s="27">
        <f>IF(E411="","",IF(H411="Production",IFERROR(INDEX(tbl_Production[Total Expense],MATCH(E411&amp;"",tbl_Production[Job Number],0)),0),IF(H411="Consulting",IFERROR(INDEX(tbl_Consulting[Total Expense],MATCH(E411&amp;"",tbl_Consulting[Job Number],0)),0),0)))</f>
        <v/>
      </c>
      <c r="AE411" s="27">
        <f>IF(E411="","",Y411-N(AD411))</f>
        <v/>
      </c>
      <c r="AF411" s="29">
        <f>IFERROR(AE411/Y411,"")</f>
        <v/>
      </c>
      <c r="AG411" s="2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22" t="n"/>
      <c r="B412" s="23">
        <f>IF(A412="","",EOMONTH(A412,0))</f>
        <v/>
      </c>
      <c r="C412" s="24" t="n"/>
      <c r="D412" s="24" t="n"/>
      <c r="E412" s="24" t="n"/>
      <c r="F412" s="25">
        <f>IF(E412="","",IF(COUNTIF(lst_Jobs,E412&amp;"")&gt;0,"OK","CHECK"))</f>
        <v/>
      </c>
      <c r="G412" s="24" t="n"/>
      <c r="H412" s="24" t="n"/>
      <c r="I412" s="24" t="n"/>
      <c r="J412" s="24" t="n"/>
      <c r="K412" s="24" t="n"/>
      <c r="L412" s="26" t="n"/>
      <c r="M412" s="27">
        <f>IF(L412="","",IF(K412="GST 10%",ROUND(L412*set_GSTRate,2),0))</f>
        <v/>
      </c>
      <c r="N412" s="27">
        <f>IF(L412="","",L412+M412)</f>
        <v/>
      </c>
      <c r="O412" s="24" t="n"/>
      <c r="P412" s="24" t="n"/>
      <c r="Q412" s="24" t="n"/>
      <c r="R412" s="22" t="n"/>
      <c r="S412" s="22" t="n"/>
      <c r="T412" s="24" t="n"/>
      <c r="U412" s="24" t="n"/>
      <c r="V412" s="2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25">
        <f>IF(E412="","",IFERROR(INDEX(lst_JobName,MATCH(E412&amp;"",lst_Jobs,0)),""))</f>
        <v/>
      </c>
      <c r="X412" s="28">
        <f>IF(E412="","",COUNTIFS(tbl_Finance[Job Number],E412&amp;"",tbl_Finance[Ex GST],"&lt;&gt;"))</f>
        <v/>
      </c>
      <c r="Y412" s="27">
        <f>IF(E412="","",SUMIFS(tbl_Finance[Ex GST],tbl_Finance[Job Number],E412&amp;""))</f>
        <v/>
      </c>
      <c r="Z412" s="27">
        <f>IF(E412="","",SUMIFS(tbl_Finance[Ex GST],tbl_Finance[Job Number],E412&amp;"",tbl_Finance[Xero Invoice No],"&lt;&gt;"))</f>
        <v/>
      </c>
      <c r="AA412" s="27">
        <f>IF(E412="","",Y412-Z412)</f>
        <v/>
      </c>
      <c r="AB412" s="25">
        <f>IF(E412="","",IF(H412="Onsite",IFERROR(INDEX(tbl_Onsite[Qwilr Quote],MATCH(E412&amp;"",tbl_Onsite[Job Number],0)),""),IF(H412="Production",IFERROR(IF(INDEX(tbl_Production[Current RMS No],MATCH(E412&amp;"",tbl_Production[Job Number],0))="",INDEX(tbl_Production[Qwilr Quote],MATCH(E412&amp;"",tbl_Production[Job Number],0)),INDEX(tbl_Production[Current RMS No],MATCH(E412&amp;"",tbl_Production[Job Number],0))),""),IF(H412="Consulting",IFERROR(INDEX(tbl_Consulting[Qwilr Quote],MATCH(E412&amp;"",tbl_Consulting[Job Number],0)),""),""))))</f>
        <v/>
      </c>
      <c r="AC412" s="25">
        <f>IF(AB412="","",IF(AND(LEFT(AB412,4)&lt;&gt;"http",IF(H412="Production",set_RMSBase,set_QwilrBase)=""),"",HYPERLINK(IF(LEFT(AB412,4)="http",AB412,IF(H412="Production",set_RMSBase,set_QwilrBase)&amp;AB412),"Open")))</f>
        <v/>
      </c>
      <c r="AD412" s="27">
        <f>IF(E412="","",IF(H412="Production",IFERROR(INDEX(tbl_Production[Total Expense],MATCH(E412&amp;"",tbl_Production[Job Number],0)),0),IF(H412="Consulting",IFERROR(INDEX(tbl_Consulting[Total Expense],MATCH(E412&amp;"",tbl_Consulting[Job Number],0)),0),0)))</f>
        <v/>
      </c>
      <c r="AE412" s="27">
        <f>IF(E412="","",Y412-N(AD412))</f>
        <v/>
      </c>
      <c r="AF412" s="29">
        <f>IFERROR(AE412/Y412,"")</f>
        <v/>
      </c>
      <c r="AG412" s="2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22" t="n"/>
      <c r="B413" s="23">
        <f>IF(A413="","",EOMONTH(A413,0))</f>
        <v/>
      </c>
      <c r="C413" s="24" t="n"/>
      <c r="D413" s="24" t="n"/>
      <c r="E413" s="24" t="n"/>
      <c r="F413" s="25">
        <f>IF(E413="","",IF(COUNTIF(lst_Jobs,E413&amp;"")&gt;0,"OK","CHECK"))</f>
        <v/>
      </c>
      <c r="G413" s="24" t="n"/>
      <c r="H413" s="24" t="n"/>
      <c r="I413" s="24" t="n"/>
      <c r="J413" s="24" t="n"/>
      <c r="K413" s="24" t="n"/>
      <c r="L413" s="26" t="n"/>
      <c r="M413" s="27">
        <f>IF(L413="","",IF(K413="GST 10%",ROUND(L413*set_GSTRate,2),0))</f>
        <v/>
      </c>
      <c r="N413" s="27">
        <f>IF(L413="","",L413+M413)</f>
        <v/>
      </c>
      <c r="O413" s="24" t="n"/>
      <c r="P413" s="24" t="n"/>
      <c r="Q413" s="24" t="n"/>
      <c r="R413" s="22" t="n"/>
      <c r="S413" s="22" t="n"/>
      <c r="T413" s="24" t="n"/>
      <c r="U413" s="24" t="n"/>
      <c r="V413" s="2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25">
        <f>IF(E413="","",IFERROR(INDEX(lst_JobName,MATCH(E413&amp;"",lst_Jobs,0)),""))</f>
        <v/>
      </c>
      <c r="X413" s="28">
        <f>IF(E413="","",COUNTIFS(tbl_Finance[Job Number],E413&amp;"",tbl_Finance[Ex GST],"&lt;&gt;"))</f>
        <v/>
      </c>
      <c r="Y413" s="27">
        <f>IF(E413="","",SUMIFS(tbl_Finance[Ex GST],tbl_Finance[Job Number],E413&amp;""))</f>
        <v/>
      </c>
      <c r="Z413" s="27">
        <f>IF(E413="","",SUMIFS(tbl_Finance[Ex GST],tbl_Finance[Job Number],E413&amp;"",tbl_Finance[Xero Invoice No],"&lt;&gt;"))</f>
        <v/>
      </c>
      <c r="AA413" s="27">
        <f>IF(E413="","",Y413-Z413)</f>
        <v/>
      </c>
      <c r="AB413" s="25">
        <f>IF(E413="","",IF(H413="Onsite",IFERROR(INDEX(tbl_Onsite[Qwilr Quote],MATCH(E413&amp;"",tbl_Onsite[Job Number],0)),""),IF(H413="Production",IFERROR(IF(INDEX(tbl_Production[Current RMS No],MATCH(E413&amp;"",tbl_Production[Job Number],0))="",INDEX(tbl_Production[Qwilr Quote],MATCH(E413&amp;"",tbl_Production[Job Number],0)),INDEX(tbl_Production[Current RMS No],MATCH(E413&amp;"",tbl_Production[Job Number],0))),""),IF(H413="Consulting",IFERROR(INDEX(tbl_Consulting[Qwilr Quote],MATCH(E413&amp;"",tbl_Consulting[Job Number],0)),""),""))))</f>
        <v/>
      </c>
      <c r="AC413" s="25">
        <f>IF(AB413="","",IF(AND(LEFT(AB413,4)&lt;&gt;"http",IF(H413="Production",set_RMSBase,set_QwilrBase)=""),"",HYPERLINK(IF(LEFT(AB413,4)="http",AB413,IF(H413="Production",set_RMSBase,set_QwilrBase)&amp;AB413),"Open")))</f>
        <v/>
      </c>
      <c r="AD413" s="27">
        <f>IF(E413="","",IF(H413="Production",IFERROR(INDEX(tbl_Production[Total Expense],MATCH(E413&amp;"",tbl_Production[Job Number],0)),0),IF(H413="Consulting",IFERROR(INDEX(tbl_Consulting[Total Expense],MATCH(E413&amp;"",tbl_Consulting[Job Number],0)),0),0)))</f>
        <v/>
      </c>
      <c r="AE413" s="27">
        <f>IF(E413="","",Y413-N(AD413))</f>
        <v/>
      </c>
      <c r="AF413" s="29">
        <f>IFERROR(AE413/Y413,"")</f>
        <v/>
      </c>
      <c r="AG413" s="2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22" t="n"/>
      <c r="B414" s="23">
        <f>IF(A414="","",EOMONTH(A414,0))</f>
        <v/>
      </c>
      <c r="C414" s="24" t="n"/>
      <c r="D414" s="24" t="n"/>
      <c r="E414" s="24" t="n"/>
      <c r="F414" s="25">
        <f>IF(E414="","",IF(COUNTIF(lst_Jobs,E414&amp;"")&gt;0,"OK","CHECK"))</f>
        <v/>
      </c>
      <c r="G414" s="24" t="n"/>
      <c r="H414" s="24" t="n"/>
      <c r="I414" s="24" t="n"/>
      <c r="J414" s="24" t="n"/>
      <c r="K414" s="24" t="n"/>
      <c r="L414" s="26" t="n"/>
      <c r="M414" s="27">
        <f>IF(L414="","",IF(K414="GST 10%",ROUND(L414*set_GSTRate,2),0))</f>
        <v/>
      </c>
      <c r="N414" s="27">
        <f>IF(L414="","",L414+M414)</f>
        <v/>
      </c>
      <c r="O414" s="24" t="n"/>
      <c r="P414" s="24" t="n"/>
      <c r="Q414" s="24" t="n"/>
      <c r="R414" s="22" t="n"/>
      <c r="S414" s="22" t="n"/>
      <c r="T414" s="24" t="n"/>
      <c r="U414" s="24" t="n"/>
      <c r="V414" s="2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25">
        <f>IF(E414="","",IFERROR(INDEX(lst_JobName,MATCH(E414&amp;"",lst_Jobs,0)),""))</f>
        <v/>
      </c>
      <c r="X414" s="28">
        <f>IF(E414="","",COUNTIFS(tbl_Finance[Job Number],E414&amp;"",tbl_Finance[Ex GST],"&lt;&gt;"))</f>
        <v/>
      </c>
      <c r="Y414" s="27">
        <f>IF(E414="","",SUMIFS(tbl_Finance[Ex GST],tbl_Finance[Job Number],E414&amp;""))</f>
        <v/>
      </c>
      <c r="Z414" s="27">
        <f>IF(E414="","",SUMIFS(tbl_Finance[Ex GST],tbl_Finance[Job Number],E414&amp;"",tbl_Finance[Xero Invoice No],"&lt;&gt;"))</f>
        <v/>
      </c>
      <c r="AA414" s="27">
        <f>IF(E414="","",Y414-Z414)</f>
        <v/>
      </c>
      <c r="AB414" s="25">
        <f>IF(E414="","",IF(H414="Onsite",IFERROR(INDEX(tbl_Onsite[Qwilr Quote],MATCH(E414&amp;"",tbl_Onsite[Job Number],0)),""),IF(H414="Production",IFERROR(IF(INDEX(tbl_Production[Current RMS No],MATCH(E414&amp;"",tbl_Production[Job Number],0))="",INDEX(tbl_Production[Qwilr Quote],MATCH(E414&amp;"",tbl_Production[Job Number],0)),INDEX(tbl_Production[Current RMS No],MATCH(E414&amp;"",tbl_Production[Job Number],0))),""),IF(H414="Consulting",IFERROR(INDEX(tbl_Consulting[Qwilr Quote],MATCH(E414&amp;"",tbl_Consulting[Job Number],0)),""),""))))</f>
        <v/>
      </c>
      <c r="AC414" s="25">
        <f>IF(AB414="","",IF(AND(LEFT(AB414,4)&lt;&gt;"http",IF(H414="Production",set_RMSBase,set_QwilrBase)=""),"",HYPERLINK(IF(LEFT(AB414,4)="http",AB414,IF(H414="Production",set_RMSBase,set_QwilrBase)&amp;AB414),"Open")))</f>
        <v/>
      </c>
      <c r="AD414" s="27">
        <f>IF(E414="","",IF(H414="Production",IFERROR(INDEX(tbl_Production[Total Expense],MATCH(E414&amp;"",tbl_Production[Job Number],0)),0),IF(H414="Consulting",IFERROR(INDEX(tbl_Consulting[Total Expense],MATCH(E414&amp;"",tbl_Consulting[Job Number],0)),0),0)))</f>
        <v/>
      </c>
      <c r="AE414" s="27">
        <f>IF(E414="","",Y414-N(AD414))</f>
        <v/>
      </c>
      <c r="AF414" s="29">
        <f>IFERROR(AE414/Y414,"")</f>
        <v/>
      </c>
      <c r="AG414" s="2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22" t="n"/>
      <c r="B415" s="23">
        <f>IF(A415="","",EOMONTH(A415,0))</f>
        <v/>
      </c>
      <c r="C415" s="24" t="n"/>
      <c r="D415" s="24" t="n"/>
      <c r="E415" s="24" t="n"/>
      <c r="F415" s="25">
        <f>IF(E415="","",IF(COUNTIF(lst_Jobs,E415&amp;"")&gt;0,"OK","CHECK"))</f>
        <v/>
      </c>
      <c r="G415" s="24" t="n"/>
      <c r="H415" s="24" t="n"/>
      <c r="I415" s="24" t="n"/>
      <c r="J415" s="24" t="n"/>
      <c r="K415" s="24" t="n"/>
      <c r="L415" s="26" t="n"/>
      <c r="M415" s="27">
        <f>IF(L415="","",IF(K415="GST 10%",ROUND(L415*set_GSTRate,2),0))</f>
        <v/>
      </c>
      <c r="N415" s="27">
        <f>IF(L415="","",L415+M415)</f>
        <v/>
      </c>
      <c r="O415" s="24" t="n"/>
      <c r="P415" s="24" t="n"/>
      <c r="Q415" s="24" t="n"/>
      <c r="R415" s="22" t="n"/>
      <c r="S415" s="22" t="n"/>
      <c r="T415" s="24" t="n"/>
      <c r="U415" s="24" t="n"/>
      <c r="V415" s="2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25">
        <f>IF(E415="","",IFERROR(INDEX(lst_JobName,MATCH(E415&amp;"",lst_Jobs,0)),""))</f>
        <v/>
      </c>
      <c r="X415" s="28">
        <f>IF(E415="","",COUNTIFS(tbl_Finance[Job Number],E415&amp;"",tbl_Finance[Ex GST],"&lt;&gt;"))</f>
        <v/>
      </c>
      <c r="Y415" s="27">
        <f>IF(E415="","",SUMIFS(tbl_Finance[Ex GST],tbl_Finance[Job Number],E415&amp;""))</f>
        <v/>
      </c>
      <c r="Z415" s="27">
        <f>IF(E415="","",SUMIFS(tbl_Finance[Ex GST],tbl_Finance[Job Number],E415&amp;"",tbl_Finance[Xero Invoice No],"&lt;&gt;"))</f>
        <v/>
      </c>
      <c r="AA415" s="27">
        <f>IF(E415="","",Y415-Z415)</f>
        <v/>
      </c>
      <c r="AB415" s="25">
        <f>IF(E415="","",IF(H415="Onsite",IFERROR(INDEX(tbl_Onsite[Qwilr Quote],MATCH(E415&amp;"",tbl_Onsite[Job Number],0)),""),IF(H415="Production",IFERROR(IF(INDEX(tbl_Production[Current RMS No],MATCH(E415&amp;"",tbl_Production[Job Number],0))="",INDEX(tbl_Production[Qwilr Quote],MATCH(E415&amp;"",tbl_Production[Job Number],0)),INDEX(tbl_Production[Current RMS No],MATCH(E415&amp;"",tbl_Production[Job Number],0))),""),IF(H415="Consulting",IFERROR(INDEX(tbl_Consulting[Qwilr Quote],MATCH(E415&amp;"",tbl_Consulting[Job Number],0)),""),""))))</f>
        <v/>
      </c>
      <c r="AC415" s="25">
        <f>IF(AB415="","",IF(AND(LEFT(AB415,4)&lt;&gt;"http",IF(H415="Production",set_RMSBase,set_QwilrBase)=""),"",HYPERLINK(IF(LEFT(AB415,4)="http",AB415,IF(H415="Production",set_RMSBase,set_QwilrBase)&amp;AB415),"Open")))</f>
        <v/>
      </c>
      <c r="AD415" s="27">
        <f>IF(E415="","",IF(H415="Production",IFERROR(INDEX(tbl_Production[Total Expense],MATCH(E415&amp;"",tbl_Production[Job Number],0)),0),IF(H415="Consulting",IFERROR(INDEX(tbl_Consulting[Total Expense],MATCH(E415&amp;"",tbl_Consulting[Job Number],0)),0),0)))</f>
        <v/>
      </c>
      <c r="AE415" s="27">
        <f>IF(E415="","",Y415-N(AD415))</f>
        <v/>
      </c>
      <c r="AF415" s="29">
        <f>IFERROR(AE415/Y415,"")</f>
        <v/>
      </c>
      <c r="AG415" s="2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22" t="n"/>
      <c r="B416" s="23">
        <f>IF(A416="","",EOMONTH(A416,0))</f>
        <v/>
      </c>
      <c r="C416" s="24" t="n"/>
      <c r="D416" s="24" t="n"/>
      <c r="E416" s="24" t="n"/>
      <c r="F416" s="25">
        <f>IF(E416="","",IF(COUNTIF(lst_Jobs,E416&amp;"")&gt;0,"OK","CHECK"))</f>
        <v/>
      </c>
      <c r="G416" s="24" t="n"/>
      <c r="H416" s="24" t="n"/>
      <c r="I416" s="24" t="n"/>
      <c r="J416" s="24" t="n"/>
      <c r="K416" s="24" t="n"/>
      <c r="L416" s="26" t="n"/>
      <c r="M416" s="27">
        <f>IF(L416="","",IF(K416="GST 10%",ROUND(L416*set_GSTRate,2),0))</f>
        <v/>
      </c>
      <c r="N416" s="27">
        <f>IF(L416="","",L416+M416)</f>
        <v/>
      </c>
      <c r="O416" s="24" t="n"/>
      <c r="P416" s="24" t="n"/>
      <c r="Q416" s="24" t="n"/>
      <c r="R416" s="22" t="n"/>
      <c r="S416" s="22" t="n"/>
      <c r="T416" s="24" t="n"/>
      <c r="U416" s="24" t="n"/>
      <c r="V416" s="2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25">
        <f>IF(E416="","",IFERROR(INDEX(lst_JobName,MATCH(E416&amp;"",lst_Jobs,0)),""))</f>
        <v/>
      </c>
      <c r="X416" s="28">
        <f>IF(E416="","",COUNTIFS(tbl_Finance[Job Number],E416&amp;"",tbl_Finance[Ex GST],"&lt;&gt;"))</f>
        <v/>
      </c>
      <c r="Y416" s="27">
        <f>IF(E416="","",SUMIFS(tbl_Finance[Ex GST],tbl_Finance[Job Number],E416&amp;""))</f>
        <v/>
      </c>
      <c r="Z416" s="27">
        <f>IF(E416="","",SUMIFS(tbl_Finance[Ex GST],tbl_Finance[Job Number],E416&amp;"",tbl_Finance[Xero Invoice No],"&lt;&gt;"))</f>
        <v/>
      </c>
      <c r="AA416" s="27">
        <f>IF(E416="","",Y416-Z416)</f>
        <v/>
      </c>
      <c r="AB416" s="25">
        <f>IF(E416="","",IF(H416="Onsite",IFERROR(INDEX(tbl_Onsite[Qwilr Quote],MATCH(E416&amp;"",tbl_Onsite[Job Number],0)),""),IF(H416="Production",IFERROR(IF(INDEX(tbl_Production[Current RMS No],MATCH(E416&amp;"",tbl_Production[Job Number],0))="",INDEX(tbl_Production[Qwilr Quote],MATCH(E416&amp;"",tbl_Production[Job Number],0)),INDEX(tbl_Production[Current RMS No],MATCH(E416&amp;"",tbl_Production[Job Number],0))),""),IF(H416="Consulting",IFERROR(INDEX(tbl_Consulting[Qwilr Quote],MATCH(E416&amp;"",tbl_Consulting[Job Number],0)),""),""))))</f>
        <v/>
      </c>
      <c r="AC416" s="25">
        <f>IF(AB416="","",IF(AND(LEFT(AB416,4)&lt;&gt;"http",IF(H416="Production",set_RMSBase,set_QwilrBase)=""),"",HYPERLINK(IF(LEFT(AB416,4)="http",AB416,IF(H416="Production",set_RMSBase,set_QwilrBase)&amp;AB416),"Open")))</f>
        <v/>
      </c>
      <c r="AD416" s="27">
        <f>IF(E416="","",IF(H416="Production",IFERROR(INDEX(tbl_Production[Total Expense],MATCH(E416&amp;"",tbl_Production[Job Number],0)),0),IF(H416="Consulting",IFERROR(INDEX(tbl_Consulting[Total Expense],MATCH(E416&amp;"",tbl_Consulting[Job Number],0)),0),0)))</f>
        <v/>
      </c>
      <c r="AE416" s="27">
        <f>IF(E416="","",Y416-N(AD416))</f>
        <v/>
      </c>
      <c r="AF416" s="29">
        <f>IFERROR(AE416/Y416,"")</f>
        <v/>
      </c>
      <c r="AG416" s="2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22" t="n"/>
      <c r="B417" s="23">
        <f>IF(A417="","",EOMONTH(A417,0))</f>
        <v/>
      </c>
      <c r="C417" s="24" t="n"/>
      <c r="D417" s="24" t="n"/>
      <c r="E417" s="24" t="n"/>
      <c r="F417" s="25">
        <f>IF(E417="","",IF(COUNTIF(lst_Jobs,E417&amp;"")&gt;0,"OK","CHECK"))</f>
        <v/>
      </c>
      <c r="G417" s="24" t="n"/>
      <c r="H417" s="24" t="n"/>
      <c r="I417" s="24" t="n"/>
      <c r="J417" s="24" t="n"/>
      <c r="K417" s="24" t="n"/>
      <c r="L417" s="26" t="n"/>
      <c r="M417" s="27">
        <f>IF(L417="","",IF(K417="GST 10%",ROUND(L417*set_GSTRate,2),0))</f>
        <v/>
      </c>
      <c r="N417" s="27">
        <f>IF(L417="","",L417+M417)</f>
        <v/>
      </c>
      <c r="O417" s="24" t="n"/>
      <c r="P417" s="24" t="n"/>
      <c r="Q417" s="24" t="n"/>
      <c r="R417" s="22" t="n"/>
      <c r="S417" s="22" t="n"/>
      <c r="T417" s="24" t="n"/>
      <c r="U417" s="24" t="n"/>
      <c r="V417" s="2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25">
        <f>IF(E417="","",IFERROR(INDEX(lst_JobName,MATCH(E417&amp;"",lst_Jobs,0)),""))</f>
        <v/>
      </c>
      <c r="X417" s="28">
        <f>IF(E417="","",COUNTIFS(tbl_Finance[Job Number],E417&amp;"",tbl_Finance[Ex GST],"&lt;&gt;"))</f>
        <v/>
      </c>
      <c r="Y417" s="27">
        <f>IF(E417="","",SUMIFS(tbl_Finance[Ex GST],tbl_Finance[Job Number],E417&amp;""))</f>
        <v/>
      </c>
      <c r="Z417" s="27">
        <f>IF(E417="","",SUMIFS(tbl_Finance[Ex GST],tbl_Finance[Job Number],E417&amp;"",tbl_Finance[Xero Invoice No],"&lt;&gt;"))</f>
        <v/>
      </c>
      <c r="AA417" s="27">
        <f>IF(E417="","",Y417-Z417)</f>
        <v/>
      </c>
      <c r="AB417" s="25">
        <f>IF(E417="","",IF(H417="Onsite",IFERROR(INDEX(tbl_Onsite[Qwilr Quote],MATCH(E417&amp;"",tbl_Onsite[Job Number],0)),""),IF(H417="Production",IFERROR(IF(INDEX(tbl_Production[Current RMS No],MATCH(E417&amp;"",tbl_Production[Job Number],0))="",INDEX(tbl_Production[Qwilr Quote],MATCH(E417&amp;"",tbl_Production[Job Number],0)),INDEX(tbl_Production[Current RMS No],MATCH(E417&amp;"",tbl_Production[Job Number],0))),""),IF(H417="Consulting",IFERROR(INDEX(tbl_Consulting[Qwilr Quote],MATCH(E417&amp;"",tbl_Consulting[Job Number],0)),""),""))))</f>
        <v/>
      </c>
      <c r="AC417" s="25">
        <f>IF(AB417="","",IF(AND(LEFT(AB417,4)&lt;&gt;"http",IF(H417="Production",set_RMSBase,set_QwilrBase)=""),"",HYPERLINK(IF(LEFT(AB417,4)="http",AB417,IF(H417="Production",set_RMSBase,set_QwilrBase)&amp;AB417),"Open")))</f>
        <v/>
      </c>
      <c r="AD417" s="27">
        <f>IF(E417="","",IF(H417="Production",IFERROR(INDEX(tbl_Production[Total Expense],MATCH(E417&amp;"",tbl_Production[Job Number],0)),0),IF(H417="Consulting",IFERROR(INDEX(tbl_Consulting[Total Expense],MATCH(E417&amp;"",tbl_Consulting[Job Number],0)),0),0)))</f>
        <v/>
      </c>
      <c r="AE417" s="27">
        <f>IF(E417="","",Y417-N(AD417))</f>
        <v/>
      </c>
      <c r="AF417" s="29">
        <f>IFERROR(AE417/Y417,"")</f>
        <v/>
      </c>
      <c r="AG417" s="2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22" t="n"/>
      <c r="B418" s="23">
        <f>IF(A418="","",EOMONTH(A418,0))</f>
        <v/>
      </c>
      <c r="C418" s="24" t="n"/>
      <c r="D418" s="24" t="n"/>
      <c r="E418" s="24" t="n"/>
      <c r="F418" s="25">
        <f>IF(E418="","",IF(COUNTIF(lst_Jobs,E418&amp;"")&gt;0,"OK","CHECK"))</f>
        <v/>
      </c>
      <c r="G418" s="24" t="n"/>
      <c r="H418" s="24" t="n"/>
      <c r="I418" s="24" t="n"/>
      <c r="J418" s="24" t="n"/>
      <c r="K418" s="24" t="n"/>
      <c r="L418" s="26" t="n"/>
      <c r="M418" s="27">
        <f>IF(L418="","",IF(K418="GST 10%",ROUND(L418*set_GSTRate,2),0))</f>
        <v/>
      </c>
      <c r="N418" s="27">
        <f>IF(L418="","",L418+M418)</f>
        <v/>
      </c>
      <c r="O418" s="24" t="n"/>
      <c r="P418" s="24" t="n"/>
      <c r="Q418" s="24" t="n"/>
      <c r="R418" s="22" t="n"/>
      <c r="S418" s="22" t="n"/>
      <c r="T418" s="24" t="n"/>
      <c r="U418" s="24" t="n"/>
      <c r="V418" s="2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25">
        <f>IF(E418="","",IFERROR(INDEX(lst_JobName,MATCH(E418&amp;"",lst_Jobs,0)),""))</f>
        <v/>
      </c>
      <c r="X418" s="28">
        <f>IF(E418="","",COUNTIFS(tbl_Finance[Job Number],E418&amp;"",tbl_Finance[Ex GST],"&lt;&gt;"))</f>
        <v/>
      </c>
      <c r="Y418" s="27">
        <f>IF(E418="","",SUMIFS(tbl_Finance[Ex GST],tbl_Finance[Job Number],E418&amp;""))</f>
        <v/>
      </c>
      <c r="Z418" s="27">
        <f>IF(E418="","",SUMIFS(tbl_Finance[Ex GST],tbl_Finance[Job Number],E418&amp;"",tbl_Finance[Xero Invoice No],"&lt;&gt;"))</f>
        <v/>
      </c>
      <c r="AA418" s="27">
        <f>IF(E418="","",Y418-Z418)</f>
        <v/>
      </c>
      <c r="AB418" s="25">
        <f>IF(E418="","",IF(H418="Onsite",IFERROR(INDEX(tbl_Onsite[Qwilr Quote],MATCH(E418&amp;"",tbl_Onsite[Job Number],0)),""),IF(H418="Production",IFERROR(IF(INDEX(tbl_Production[Current RMS No],MATCH(E418&amp;"",tbl_Production[Job Number],0))="",INDEX(tbl_Production[Qwilr Quote],MATCH(E418&amp;"",tbl_Production[Job Number],0)),INDEX(tbl_Production[Current RMS No],MATCH(E418&amp;"",tbl_Production[Job Number],0))),""),IF(H418="Consulting",IFERROR(INDEX(tbl_Consulting[Qwilr Quote],MATCH(E418&amp;"",tbl_Consulting[Job Number],0)),""),""))))</f>
        <v/>
      </c>
      <c r="AC418" s="25">
        <f>IF(AB418="","",IF(AND(LEFT(AB418,4)&lt;&gt;"http",IF(H418="Production",set_RMSBase,set_QwilrBase)=""),"",HYPERLINK(IF(LEFT(AB418,4)="http",AB418,IF(H418="Production",set_RMSBase,set_QwilrBase)&amp;AB418),"Open")))</f>
        <v/>
      </c>
      <c r="AD418" s="27">
        <f>IF(E418="","",IF(H418="Production",IFERROR(INDEX(tbl_Production[Total Expense],MATCH(E418&amp;"",tbl_Production[Job Number],0)),0),IF(H418="Consulting",IFERROR(INDEX(tbl_Consulting[Total Expense],MATCH(E418&amp;"",tbl_Consulting[Job Number],0)),0),0)))</f>
        <v/>
      </c>
      <c r="AE418" s="27">
        <f>IF(E418="","",Y418-N(AD418))</f>
        <v/>
      </c>
      <c r="AF418" s="29">
        <f>IFERROR(AE418/Y418,"")</f>
        <v/>
      </c>
      <c r="AG418" s="2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22" t="n"/>
      <c r="B419" s="23">
        <f>IF(A419="","",EOMONTH(A419,0))</f>
        <v/>
      </c>
      <c r="C419" s="24" t="n"/>
      <c r="D419" s="24" t="n"/>
      <c r="E419" s="24" t="n"/>
      <c r="F419" s="25">
        <f>IF(E419="","",IF(COUNTIF(lst_Jobs,E419&amp;"")&gt;0,"OK","CHECK"))</f>
        <v/>
      </c>
      <c r="G419" s="24" t="n"/>
      <c r="H419" s="24" t="n"/>
      <c r="I419" s="24" t="n"/>
      <c r="J419" s="24" t="n"/>
      <c r="K419" s="24" t="n"/>
      <c r="L419" s="26" t="n"/>
      <c r="M419" s="27">
        <f>IF(L419="","",IF(K419="GST 10%",ROUND(L419*set_GSTRate,2),0))</f>
        <v/>
      </c>
      <c r="N419" s="27">
        <f>IF(L419="","",L419+M419)</f>
        <v/>
      </c>
      <c r="O419" s="24" t="n"/>
      <c r="P419" s="24" t="n"/>
      <c r="Q419" s="24" t="n"/>
      <c r="R419" s="22" t="n"/>
      <c r="S419" s="22" t="n"/>
      <c r="T419" s="24" t="n"/>
      <c r="U419" s="24" t="n"/>
      <c r="V419" s="2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25">
        <f>IF(E419="","",IFERROR(INDEX(lst_JobName,MATCH(E419&amp;"",lst_Jobs,0)),""))</f>
        <v/>
      </c>
      <c r="X419" s="28">
        <f>IF(E419="","",COUNTIFS(tbl_Finance[Job Number],E419&amp;"",tbl_Finance[Ex GST],"&lt;&gt;"))</f>
        <v/>
      </c>
      <c r="Y419" s="27">
        <f>IF(E419="","",SUMIFS(tbl_Finance[Ex GST],tbl_Finance[Job Number],E419&amp;""))</f>
        <v/>
      </c>
      <c r="Z419" s="27">
        <f>IF(E419="","",SUMIFS(tbl_Finance[Ex GST],tbl_Finance[Job Number],E419&amp;"",tbl_Finance[Xero Invoice No],"&lt;&gt;"))</f>
        <v/>
      </c>
      <c r="AA419" s="27">
        <f>IF(E419="","",Y419-Z419)</f>
        <v/>
      </c>
      <c r="AB419" s="25">
        <f>IF(E419="","",IF(H419="Onsite",IFERROR(INDEX(tbl_Onsite[Qwilr Quote],MATCH(E419&amp;"",tbl_Onsite[Job Number],0)),""),IF(H419="Production",IFERROR(IF(INDEX(tbl_Production[Current RMS No],MATCH(E419&amp;"",tbl_Production[Job Number],0))="",INDEX(tbl_Production[Qwilr Quote],MATCH(E419&amp;"",tbl_Production[Job Number],0)),INDEX(tbl_Production[Current RMS No],MATCH(E419&amp;"",tbl_Production[Job Number],0))),""),IF(H419="Consulting",IFERROR(INDEX(tbl_Consulting[Qwilr Quote],MATCH(E419&amp;"",tbl_Consulting[Job Number],0)),""),""))))</f>
        <v/>
      </c>
      <c r="AC419" s="25">
        <f>IF(AB419="","",IF(AND(LEFT(AB419,4)&lt;&gt;"http",IF(H419="Production",set_RMSBase,set_QwilrBase)=""),"",HYPERLINK(IF(LEFT(AB419,4)="http",AB419,IF(H419="Production",set_RMSBase,set_QwilrBase)&amp;AB419),"Open")))</f>
        <v/>
      </c>
      <c r="AD419" s="27">
        <f>IF(E419="","",IF(H419="Production",IFERROR(INDEX(tbl_Production[Total Expense],MATCH(E419&amp;"",tbl_Production[Job Number],0)),0),IF(H419="Consulting",IFERROR(INDEX(tbl_Consulting[Total Expense],MATCH(E419&amp;"",tbl_Consulting[Job Number],0)),0),0)))</f>
        <v/>
      </c>
      <c r="AE419" s="27">
        <f>IF(E419="","",Y419-N(AD419))</f>
        <v/>
      </c>
      <c r="AF419" s="29">
        <f>IFERROR(AE419/Y419,"")</f>
        <v/>
      </c>
      <c r="AG419" s="2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22" t="n"/>
      <c r="B420" s="23">
        <f>IF(A420="","",EOMONTH(A420,0))</f>
        <v/>
      </c>
      <c r="C420" s="24" t="n"/>
      <c r="D420" s="24" t="n"/>
      <c r="E420" s="24" t="n"/>
      <c r="F420" s="25">
        <f>IF(E420="","",IF(COUNTIF(lst_Jobs,E420&amp;"")&gt;0,"OK","CHECK"))</f>
        <v/>
      </c>
      <c r="G420" s="24" t="n"/>
      <c r="H420" s="24" t="n"/>
      <c r="I420" s="24" t="n"/>
      <c r="J420" s="24" t="n"/>
      <c r="K420" s="24" t="n"/>
      <c r="L420" s="26" t="n"/>
      <c r="M420" s="27">
        <f>IF(L420="","",IF(K420="GST 10%",ROUND(L420*set_GSTRate,2),0))</f>
        <v/>
      </c>
      <c r="N420" s="27">
        <f>IF(L420="","",L420+M420)</f>
        <v/>
      </c>
      <c r="O420" s="24" t="n"/>
      <c r="P420" s="24" t="n"/>
      <c r="Q420" s="24" t="n"/>
      <c r="R420" s="22" t="n"/>
      <c r="S420" s="22" t="n"/>
      <c r="T420" s="24" t="n"/>
      <c r="U420" s="24" t="n"/>
      <c r="V420" s="2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25">
        <f>IF(E420="","",IFERROR(INDEX(lst_JobName,MATCH(E420&amp;"",lst_Jobs,0)),""))</f>
        <v/>
      </c>
      <c r="X420" s="28">
        <f>IF(E420="","",COUNTIFS(tbl_Finance[Job Number],E420&amp;"",tbl_Finance[Ex GST],"&lt;&gt;"))</f>
        <v/>
      </c>
      <c r="Y420" s="27">
        <f>IF(E420="","",SUMIFS(tbl_Finance[Ex GST],tbl_Finance[Job Number],E420&amp;""))</f>
        <v/>
      </c>
      <c r="Z420" s="27">
        <f>IF(E420="","",SUMIFS(tbl_Finance[Ex GST],tbl_Finance[Job Number],E420&amp;"",tbl_Finance[Xero Invoice No],"&lt;&gt;"))</f>
        <v/>
      </c>
      <c r="AA420" s="27">
        <f>IF(E420="","",Y420-Z420)</f>
        <v/>
      </c>
      <c r="AB420" s="25">
        <f>IF(E420="","",IF(H420="Onsite",IFERROR(INDEX(tbl_Onsite[Qwilr Quote],MATCH(E420&amp;"",tbl_Onsite[Job Number],0)),""),IF(H420="Production",IFERROR(IF(INDEX(tbl_Production[Current RMS No],MATCH(E420&amp;"",tbl_Production[Job Number],0))="",INDEX(tbl_Production[Qwilr Quote],MATCH(E420&amp;"",tbl_Production[Job Number],0)),INDEX(tbl_Production[Current RMS No],MATCH(E420&amp;"",tbl_Production[Job Number],0))),""),IF(H420="Consulting",IFERROR(INDEX(tbl_Consulting[Qwilr Quote],MATCH(E420&amp;"",tbl_Consulting[Job Number],0)),""),""))))</f>
        <v/>
      </c>
      <c r="AC420" s="25">
        <f>IF(AB420="","",IF(AND(LEFT(AB420,4)&lt;&gt;"http",IF(H420="Production",set_RMSBase,set_QwilrBase)=""),"",HYPERLINK(IF(LEFT(AB420,4)="http",AB420,IF(H420="Production",set_RMSBase,set_QwilrBase)&amp;AB420),"Open")))</f>
        <v/>
      </c>
      <c r="AD420" s="27">
        <f>IF(E420="","",IF(H420="Production",IFERROR(INDEX(tbl_Production[Total Expense],MATCH(E420&amp;"",tbl_Production[Job Number],0)),0),IF(H420="Consulting",IFERROR(INDEX(tbl_Consulting[Total Expense],MATCH(E420&amp;"",tbl_Consulting[Job Number],0)),0),0)))</f>
        <v/>
      </c>
      <c r="AE420" s="27">
        <f>IF(E420="","",Y420-N(AD420))</f>
        <v/>
      </c>
      <c r="AF420" s="29">
        <f>IFERROR(AE420/Y420,"")</f>
        <v/>
      </c>
      <c r="AG420" s="2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22" t="n"/>
      <c r="B421" s="23">
        <f>IF(A421="","",EOMONTH(A421,0))</f>
        <v/>
      </c>
      <c r="C421" s="24" t="n"/>
      <c r="D421" s="24" t="n"/>
      <c r="E421" s="24" t="n"/>
      <c r="F421" s="25">
        <f>IF(E421="","",IF(COUNTIF(lst_Jobs,E421&amp;"")&gt;0,"OK","CHECK"))</f>
        <v/>
      </c>
      <c r="G421" s="24" t="n"/>
      <c r="H421" s="24" t="n"/>
      <c r="I421" s="24" t="n"/>
      <c r="J421" s="24" t="n"/>
      <c r="K421" s="24" t="n"/>
      <c r="L421" s="26" t="n"/>
      <c r="M421" s="27">
        <f>IF(L421="","",IF(K421="GST 10%",ROUND(L421*set_GSTRate,2),0))</f>
        <v/>
      </c>
      <c r="N421" s="27">
        <f>IF(L421="","",L421+M421)</f>
        <v/>
      </c>
      <c r="O421" s="24" t="n"/>
      <c r="P421" s="24" t="n"/>
      <c r="Q421" s="24" t="n"/>
      <c r="R421" s="22" t="n"/>
      <c r="S421" s="22" t="n"/>
      <c r="T421" s="24" t="n"/>
      <c r="U421" s="24" t="n"/>
      <c r="V421" s="2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25">
        <f>IF(E421="","",IFERROR(INDEX(lst_JobName,MATCH(E421&amp;"",lst_Jobs,0)),""))</f>
        <v/>
      </c>
      <c r="X421" s="28">
        <f>IF(E421="","",COUNTIFS(tbl_Finance[Job Number],E421&amp;"",tbl_Finance[Ex GST],"&lt;&gt;"))</f>
        <v/>
      </c>
      <c r="Y421" s="27">
        <f>IF(E421="","",SUMIFS(tbl_Finance[Ex GST],tbl_Finance[Job Number],E421&amp;""))</f>
        <v/>
      </c>
      <c r="Z421" s="27">
        <f>IF(E421="","",SUMIFS(tbl_Finance[Ex GST],tbl_Finance[Job Number],E421&amp;"",tbl_Finance[Xero Invoice No],"&lt;&gt;"))</f>
        <v/>
      </c>
      <c r="AA421" s="27">
        <f>IF(E421="","",Y421-Z421)</f>
        <v/>
      </c>
      <c r="AB421" s="25">
        <f>IF(E421="","",IF(H421="Onsite",IFERROR(INDEX(tbl_Onsite[Qwilr Quote],MATCH(E421&amp;"",tbl_Onsite[Job Number],0)),""),IF(H421="Production",IFERROR(IF(INDEX(tbl_Production[Current RMS No],MATCH(E421&amp;"",tbl_Production[Job Number],0))="",INDEX(tbl_Production[Qwilr Quote],MATCH(E421&amp;"",tbl_Production[Job Number],0)),INDEX(tbl_Production[Current RMS No],MATCH(E421&amp;"",tbl_Production[Job Number],0))),""),IF(H421="Consulting",IFERROR(INDEX(tbl_Consulting[Qwilr Quote],MATCH(E421&amp;"",tbl_Consulting[Job Number],0)),""),""))))</f>
        <v/>
      </c>
      <c r="AC421" s="25">
        <f>IF(AB421="","",IF(AND(LEFT(AB421,4)&lt;&gt;"http",IF(H421="Production",set_RMSBase,set_QwilrBase)=""),"",HYPERLINK(IF(LEFT(AB421,4)="http",AB421,IF(H421="Production",set_RMSBase,set_QwilrBase)&amp;AB421),"Open")))</f>
        <v/>
      </c>
      <c r="AD421" s="27">
        <f>IF(E421="","",IF(H421="Production",IFERROR(INDEX(tbl_Production[Total Expense],MATCH(E421&amp;"",tbl_Production[Job Number],0)),0),IF(H421="Consulting",IFERROR(INDEX(tbl_Consulting[Total Expense],MATCH(E421&amp;"",tbl_Consulting[Job Number],0)),0),0)))</f>
        <v/>
      </c>
      <c r="AE421" s="27">
        <f>IF(E421="","",Y421-N(AD421))</f>
        <v/>
      </c>
      <c r="AF421" s="29">
        <f>IFERROR(AE421/Y421,"")</f>
        <v/>
      </c>
      <c r="AG421" s="2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22" t="n"/>
      <c r="B422" s="23">
        <f>IF(A422="","",EOMONTH(A422,0))</f>
        <v/>
      </c>
      <c r="C422" s="24" t="n"/>
      <c r="D422" s="24" t="n"/>
      <c r="E422" s="24" t="n"/>
      <c r="F422" s="25">
        <f>IF(E422="","",IF(COUNTIF(lst_Jobs,E422&amp;"")&gt;0,"OK","CHECK"))</f>
        <v/>
      </c>
      <c r="G422" s="24" t="n"/>
      <c r="H422" s="24" t="n"/>
      <c r="I422" s="24" t="n"/>
      <c r="J422" s="24" t="n"/>
      <c r="K422" s="24" t="n"/>
      <c r="L422" s="26" t="n"/>
      <c r="M422" s="27">
        <f>IF(L422="","",IF(K422="GST 10%",ROUND(L422*set_GSTRate,2),0))</f>
        <v/>
      </c>
      <c r="N422" s="27">
        <f>IF(L422="","",L422+M422)</f>
        <v/>
      </c>
      <c r="O422" s="24" t="n"/>
      <c r="P422" s="24" t="n"/>
      <c r="Q422" s="24" t="n"/>
      <c r="R422" s="22" t="n"/>
      <c r="S422" s="22" t="n"/>
      <c r="T422" s="24" t="n"/>
      <c r="U422" s="24" t="n"/>
      <c r="V422" s="2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25">
        <f>IF(E422="","",IFERROR(INDEX(lst_JobName,MATCH(E422&amp;"",lst_Jobs,0)),""))</f>
        <v/>
      </c>
      <c r="X422" s="28">
        <f>IF(E422="","",COUNTIFS(tbl_Finance[Job Number],E422&amp;"",tbl_Finance[Ex GST],"&lt;&gt;"))</f>
        <v/>
      </c>
      <c r="Y422" s="27">
        <f>IF(E422="","",SUMIFS(tbl_Finance[Ex GST],tbl_Finance[Job Number],E422&amp;""))</f>
        <v/>
      </c>
      <c r="Z422" s="27">
        <f>IF(E422="","",SUMIFS(tbl_Finance[Ex GST],tbl_Finance[Job Number],E422&amp;"",tbl_Finance[Xero Invoice No],"&lt;&gt;"))</f>
        <v/>
      </c>
      <c r="AA422" s="27">
        <f>IF(E422="","",Y422-Z422)</f>
        <v/>
      </c>
      <c r="AB422" s="25">
        <f>IF(E422="","",IF(H422="Onsite",IFERROR(INDEX(tbl_Onsite[Qwilr Quote],MATCH(E422&amp;"",tbl_Onsite[Job Number],0)),""),IF(H422="Production",IFERROR(IF(INDEX(tbl_Production[Current RMS No],MATCH(E422&amp;"",tbl_Production[Job Number],0))="",INDEX(tbl_Production[Qwilr Quote],MATCH(E422&amp;"",tbl_Production[Job Number],0)),INDEX(tbl_Production[Current RMS No],MATCH(E422&amp;"",tbl_Production[Job Number],0))),""),IF(H422="Consulting",IFERROR(INDEX(tbl_Consulting[Qwilr Quote],MATCH(E422&amp;"",tbl_Consulting[Job Number],0)),""),""))))</f>
        <v/>
      </c>
      <c r="AC422" s="25">
        <f>IF(AB422="","",IF(AND(LEFT(AB422,4)&lt;&gt;"http",IF(H422="Production",set_RMSBase,set_QwilrBase)=""),"",HYPERLINK(IF(LEFT(AB422,4)="http",AB422,IF(H422="Production",set_RMSBase,set_QwilrBase)&amp;AB422),"Open")))</f>
        <v/>
      </c>
      <c r="AD422" s="27">
        <f>IF(E422="","",IF(H422="Production",IFERROR(INDEX(tbl_Production[Total Expense],MATCH(E422&amp;"",tbl_Production[Job Number],0)),0),IF(H422="Consulting",IFERROR(INDEX(tbl_Consulting[Total Expense],MATCH(E422&amp;"",tbl_Consulting[Job Number],0)),0),0)))</f>
        <v/>
      </c>
      <c r="AE422" s="27">
        <f>IF(E422="","",Y422-N(AD422))</f>
        <v/>
      </c>
      <c r="AF422" s="29">
        <f>IFERROR(AE422/Y422,"")</f>
        <v/>
      </c>
      <c r="AG422" s="2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22" t="n"/>
      <c r="B423" s="23">
        <f>IF(A423="","",EOMONTH(A423,0))</f>
        <v/>
      </c>
      <c r="C423" s="24" t="n"/>
      <c r="D423" s="24" t="n"/>
      <c r="E423" s="24" t="n"/>
      <c r="F423" s="25">
        <f>IF(E423="","",IF(COUNTIF(lst_Jobs,E423&amp;"")&gt;0,"OK","CHECK"))</f>
        <v/>
      </c>
      <c r="G423" s="24" t="n"/>
      <c r="H423" s="24" t="n"/>
      <c r="I423" s="24" t="n"/>
      <c r="J423" s="24" t="n"/>
      <c r="K423" s="24" t="n"/>
      <c r="L423" s="26" t="n"/>
      <c r="M423" s="27">
        <f>IF(L423="","",IF(K423="GST 10%",ROUND(L423*set_GSTRate,2),0))</f>
        <v/>
      </c>
      <c r="N423" s="27">
        <f>IF(L423="","",L423+M423)</f>
        <v/>
      </c>
      <c r="O423" s="24" t="n"/>
      <c r="P423" s="24" t="n"/>
      <c r="Q423" s="24" t="n"/>
      <c r="R423" s="22" t="n"/>
      <c r="S423" s="22" t="n"/>
      <c r="T423" s="24" t="n"/>
      <c r="U423" s="24" t="n"/>
      <c r="V423" s="2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25">
        <f>IF(E423="","",IFERROR(INDEX(lst_JobName,MATCH(E423&amp;"",lst_Jobs,0)),""))</f>
        <v/>
      </c>
      <c r="X423" s="28">
        <f>IF(E423="","",COUNTIFS(tbl_Finance[Job Number],E423&amp;"",tbl_Finance[Ex GST],"&lt;&gt;"))</f>
        <v/>
      </c>
      <c r="Y423" s="27">
        <f>IF(E423="","",SUMIFS(tbl_Finance[Ex GST],tbl_Finance[Job Number],E423&amp;""))</f>
        <v/>
      </c>
      <c r="Z423" s="27">
        <f>IF(E423="","",SUMIFS(tbl_Finance[Ex GST],tbl_Finance[Job Number],E423&amp;"",tbl_Finance[Xero Invoice No],"&lt;&gt;"))</f>
        <v/>
      </c>
      <c r="AA423" s="27">
        <f>IF(E423="","",Y423-Z423)</f>
        <v/>
      </c>
      <c r="AB423" s="25">
        <f>IF(E423="","",IF(H423="Onsite",IFERROR(INDEX(tbl_Onsite[Qwilr Quote],MATCH(E423&amp;"",tbl_Onsite[Job Number],0)),""),IF(H423="Production",IFERROR(IF(INDEX(tbl_Production[Current RMS No],MATCH(E423&amp;"",tbl_Production[Job Number],0))="",INDEX(tbl_Production[Qwilr Quote],MATCH(E423&amp;"",tbl_Production[Job Number],0)),INDEX(tbl_Production[Current RMS No],MATCH(E423&amp;"",tbl_Production[Job Number],0))),""),IF(H423="Consulting",IFERROR(INDEX(tbl_Consulting[Qwilr Quote],MATCH(E423&amp;"",tbl_Consulting[Job Number],0)),""),""))))</f>
        <v/>
      </c>
      <c r="AC423" s="25">
        <f>IF(AB423="","",IF(AND(LEFT(AB423,4)&lt;&gt;"http",IF(H423="Production",set_RMSBase,set_QwilrBase)=""),"",HYPERLINK(IF(LEFT(AB423,4)="http",AB423,IF(H423="Production",set_RMSBase,set_QwilrBase)&amp;AB423),"Open")))</f>
        <v/>
      </c>
      <c r="AD423" s="27">
        <f>IF(E423="","",IF(H423="Production",IFERROR(INDEX(tbl_Production[Total Expense],MATCH(E423&amp;"",tbl_Production[Job Number],0)),0),IF(H423="Consulting",IFERROR(INDEX(tbl_Consulting[Total Expense],MATCH(E423&amp;"",tbl_Consulting[Job Number],0)),0),0)))</f>
        <v/>
      </c>
      <c r="AE423" s="27">
        <f>IF(E423="","",Y423-N(AD423))</f>
        <v/>
      </c>
      <c r="AF423" s="29">
        <f>IFERROR(AE423/Y423,"")</f>
        <v/>
      </c>
      <c r="AG423" s="2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22" t="n"/>
      <c r="B424" s="23">
        <f>IF(A424="","",EOMONTH(A424,0))</f>
        <v/>
      </c>
      <c r="C424" s="24" t="n"/>
      <c r="D424" s="24" t="n"/>
      <c r="E424" s="24" t="n"/>
      <c r="F424" s="25">
        <f>IF(E424="","",IF(COUNTIF(lst_Jobs,E424&amp;"")&gt;0,"OK","CHECK"))</f>
        <v/>
      </c>
      <c r="G424" s="24" t="n"/>
      <c r="H424" s="24" t="n"/>
      <c r="I424" s="24" t="n"/>
      <c r="J424" s="24" t="n"/>
      <c r="K424" s="24" t="n"/>
      <c r="L424" s="26" t="n"/>
      <c r="M424" s="27">
        <f>IF(L424="","",IF(K424="GST 10%",ROUND(L424*set_GSTRate,2),0))</f>
        <v/>
      </c>
      <c r="N424" s="27">
        <f>IF(L424="","",L424+M424)</f>
        <v/>
      </c>
      <c r="O424" s="24" t="n"/>
      <c r="P424" s="24" t="n"/>
      <c r="Q424" s="24" t="n"/>
      <c r="R424" s="22" t="n"/>
      <c r="S424" s="22" t="n"/>
      <c r="T424" s="24" t="n"/>
      <c r="U424" s="24" t="n"/>
      <c r="V424" s="2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25">
        <f>IF(E424="","",IFERROR(INDEX(lst_JobName,MATCH(E424&amp;"",lst_Jobs,0)),""))</f>
        <v/>
      </c>
      <c r="X424" s="28">
        <f>IF(E424="","",COUNTIFS(tbl_Finance[Job Number],E424&amp;"",tbl_Finance[Ex GST],"&lt;&gt;"))</f>
        <v/>
      </c>
      <c r="Y424" s="27">
        <f>IF(E424="","",SUMIFS(tbl_Finance[Ex GST],tbl_Finance[Job Number],E424&amp;""))</f>
        <v/>
      </c>
      <c r="Z424" s="27">
        <f>IF(E424="","",SUMIFS(tbl_Finance[Ex GST],tbl_Finance[Job Number],E424&amp;"",tbl_Finance[Xero Invoice No],"&lt;&gt;"))</f>
        <v/>
      </c>
      <c r="AA424" s="27">
        <f>IF(E424="","",Y424-Z424)</f>
        <v/>
      </c>
      <c r="AB424" s="25">
        <f>IF(E424="","",IF(H424="Onsite",IFERROR(INDEX(tbl_Onsite[Qwilr Quote],MATCH(E424&amp;"",tbl_Onsite[Job Number],0)),""),IF(H424="Production",IFERROR(IF(INDEX(tbl_Production[Current RMS No],MATCH(E424&amp;"",tbl_Production[Job Number],0))="",INDEX(tbl_Production[Qwilr Quote],MATCH(E424&amp;"",tbl_Production[Job Number],0)),INDEX(tbl_Production[Current RMS No],MATCH(E424&amp;"",tbl_Production[Job Number],0))),""),IF(H424="Consulting",IFERROR(INDEX(tbl_Consulting[Qwilr Quote],MATCH(E424&amp;"",tbl_Consulting[Job Number],0)),""),""))))</f>
        <v/>
      </c>
      <c r="AC424" s="25">
        <f>IF(AB424="","",IF(AND(LEFT(AB424,4)&lt;&gt;"http",IF(H424="Production",set_RMSBase,set_QwilrBase)=""),"",HYPERLINK(IF(LEFT(AB424,4)="http",AB424,IF(H424="Production",set_RMSBase,set_QwilrBase)&amp;AB424),"Open")))</f>
        <v/>
      </c>
      <c r="AD424" s="27">
        <f>IF(E424="","",IF(H424="Production",IFERROR(INDEX(tbl_Production[Total Expense],MATCH(E424&amp;"",tbl_Production[Job Number],0)),0),IF(H424="Consulting",IFERROR(INDEX(tbl_Consulting[Total Expense],MATCH(E424&amp;"",tbl_Consulting[Job Number],0)),0),0)))</f>
        <v/>
      </c>
      <c r="AE424" s="27">
        <f>IF(E424="","",Y424-N(AD424))</f>
        <v/>
      </c>
      <c r="AF424" s="29">
        <f>IFERROR(AE424/Y424,"")</f>
        <v/>
      </c>
      <c r="AG424" s="2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22" t="n"/>
      <c r="B425" s="23">
        <f>IF(A425="","",EOMONTH(A425,0))</f>
        <v/>
      </c>
      <c r="C425" s="24" t="n"/>
      <c r="D425" s="24" t="n"/>
      <c r="E425" s="24" t="n"/>
      <c r="F425" s="25">
        <f>IF(E425="","",IF(COUNTIF(lst_Jobs,E425&amp;"")&gt;0,"OK","CHECK"))</f>
        <v/>
      </c>
      <c r="G425" s="24" t="n"/>
      <c r="H425" s="24" t="n"/>
      <c r="I425" s="24" t="n"/>
      <c r="J425" s="24" t="n"/>
      <c r="K425" s="24" t="n"/>
      <c r="L425" s="26" t="n"/>
      <c r="M425" s="27">
        <f>IF(L425="","",IF(K425="GST 10%",ROUND(L425*set_GSTRate,2),0))</f>
        <v/>
      </c>
      <c r="N425" s="27">
        <f>IF(L425="","",L425+M425)</f>
        <v/>
      </c>
      <c r="O425" s="24" t="n"/>
      <c r="P425" s="24" t="n"/>
      <c r="Q425" s="24" t="n"/>
      <c r="R425" s="22" t="n"/>
      <c r="S425" s="22" t="n"/>
      <c r="T425" s="24" t="n"/>
      <c r="U425" s="24" t="n"/>
      <c r="V425" s="2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25">
        <f>IF(E425="","",IFERROR(INDEX(lst_JobName,MATCH(E425&amp;"",lst_Jobs,0)),""))</f>
        <v/>
      </c>
      <c r="X425" s="28">
        <f>IF(E425="","",COUNTIFS(tbl_Finance[Job Number],E425&amp;"",tbl_Finance[Ex GST],"&lt;&gt;"))</f>
        <v/>
      </c>
      <c r="Y425" s="27">
        <f>IF(E425="","",SUMIFS(tbl_Finance[Ex GST],tbl_Finance[Job Number],E425&amp;""))</f>
        <v/>
      </c>
      <c r="Z425" s="27">
        <f>IF(E425="","",SUMIFS(tbl_Finance[Ex GST],tbl_Finance[Job Number],E425&amp;"",tbl_Finance[Xero Invoice No],"&lt;&gt;"))</f>
        <v/>
      </c>
      <c r="AA425" s="27">
        <f>IF(E425="","",Y425-Z425)</f>
        <v/>
      </c>
      <c r="AB425" s="25">
        <f>IF(E425="","",IF(H425="Onsite",IFERROR(INDEX(tbl_Onsite[Qwilr Quote],MATCH(E425&amp;"",tbl_Onsite[Job Number],0)),""),IF(H425="Production",IFERROR(IF(INDEX(tbl_Production[Current RMS No],MATCH(E425&amp;"",tbl_Production[Job Number],0))="",INDEX(tbl_Production[Qwilr Quote],MATCH(E425&amp;"",tbl_Production[Job Number],0)),INDEX(tbl_Production[Current RMS No],MATCH(E425&amp;"",tbl_Production[Job Number],0))),""),IF(H425="Consulting",IFERROR(INDEX(tbl_Consulting[Qwilr Quote],MATCH(E425&amp;"",tbl_Consulting[Job Number],0)),""),""))))</f>
        <v/>
      </c>
      <c r="AC425" s="25">
        <f>IF(AB425="","",IF(AND(LEFT(AB425,4)&lt;&gt;"http",IF(H425="Production",set_RMSBase,set_QwilrBase)=""),"",HYPERLINK(IF(LEFT(AB425,4)="http",AB425,IF(H425="Production",set_RMSBase,set_QwilrBase)&amp;AB425),"Open")))</f>
        <v/>
      </c>
      <c r="AD425" s="27">
        <f>IF(E425="","",IF(H425="Production",IFERROR(INDEX(tbl_Production[Total Expense],MATCH(E425&amp;"",tbl_Production[Job Number],0)),0),IF(H425="Consulting",IFERROR(INDEX(tbl_Consulting[Total Expense],MATCH(E425&amp;"",tbl_Consulting[Job Number],0)),0),0)))</f>
        <v/>
      </c>
      <c r="AE425" s="27">
        <f>IF(E425="","",Y425-N(AD425))</f>
        <v/>
      </c>
      <c r="AF425" s="29">
        <f>IFERROR(AE425/Y425,"")</f>
        <v/>
      </c>
      <c r="AG425" s="2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22" t="n"/>
      <c r="B426" s="23">
        <f>IF(A426="","",EOMONTH(A426,0))</f>
        <v/>
      </c>
      <c r="C426" s="24" t="n"/>
      <c r="D426" s="24" t="n"/>
      <c r="E426" s="24" t="n"/>
      <c r="F426" s="25">
        <f>IF(E426="","",IF(COUNTIF(lst_Jobs,E426&amp;"")&gt;0,"OK","CHECK"))</f>
        <v/>
      </c>
      <c r="G426" s="24" t="n"/>
      <c r="H426" s="24" t="n"/>
      <c r="I426" s="24" t="n"/>
      <c r="J426" s="24" t="n"/>
      <c r="K426" s="24" t="n"/>
      <c r="L426" s="26" t="n"/>
      <c r="M426" s="27">
        <f>IF(L426="","",IF(K426="GST 10%",ROUND(L426*set_GSTRate,2),0))</f>
        <v/>
      </c>
      <c r="N426" s="27">
        <f>IF(L426="","",L426+M426)</f>
        <v/>
      </c>
      <c r="O426" s="24" t="n"/>
      <c r="P426" s="24" t="n"/>
      <c r="Q426" s="24" t="n"/>
      <c r="R426" s="22" t="n"/>
      <c r="S426" s="22" t="n"/>
      <c r="T426" s="24" t="n"/>
      <c r="U426" s="24" t="n"/>
      <c r="V426" s="2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25">
        <f>IF(E426="","",IFERROR(INDEX(lst_JobName,MATCH(E426&amp;"",lst_Jobs,0)),""))</f>
        <v/>
      </c>
      <c r="X426" s="28">
        <f>IF(E426="","",COUNTIFS(tbl_Finance[Job Number],E426&amp;"",tbl_Finance[Ex GST],"&lt;&gt;"))</f>
        <v/>
      </c>
      <c r="Y426" s="27">
        <f>IF(E426="","",SUMIFS(tbl_Finance[Ex GST],tbl_Finance[Job Number],E426&amp;""))</f>
        <v/>
      </c>
      <c r="Z426" s="27">
        <f>IF(E426="","",SUMIFS(tbl_Finance[Ex GST],tbl_Finance[Job Number],E426&amp;"",tbl_Finance[Xero Invoice No],"&lt;&gt;"))</f>
        <v/>
      </c>
      <c r="AA426" s="27">
        <f>IF(E426="","",Y426-Z426)</f>
        <v/>
      </c>
      <c r="AB426" s="25">
        <f>IF(E426="","",IF(H426="Onsite",IFERROR(INDEX(tbl_Onsite[Qwilr Quote],MATCH(E426&amp;"",tbl_Onsite[Job Number],0)),""),IF(H426="Production",IFERROR(IF(INDEX(tbl_Production[Current RMS No],MATCH(E426&amp;"",tbl_Production[Job Number],0))="",INDEX(tbl_Production[Qwilr Quote],MATCH(E426&amp;"",tbl_Production[Job Number],0)),INDEX(tbl_Production[Current RMS No],MATCH(E426&amp;"",tbl_Production[Job Number],0))),""),IF(H426="Consulting",IFERROR(INDEX(tbl_Consulting[Qwilr Quote],MATCH(E426&amp;"",tbl_Consulting[Job Number],0)),""),""))))</f>
        <v/>
      </c>
      <c r="AC426" s="25">
        <f>IF(AB426="","",IF(AND(LEFT(AB426,4)&lt;&gt;"http",IF(H426="Production",set_RMSBase,set_QwilrBase)=""),"",HYPERLINK(IF(LEFT(AB426,4)="http",AB426,IF(H426="Production",set_RMSBase,set_QwilrBase)&amp;AB426),"Open")))</f>
        <v/>
      </c>
      <c r="AD426" s="27">
        <f>IF(E426="","",IF(H426="Production",IFERROR(INDEX(tbl_Production[Total Expense],MATCH(E426&amp;"",tbl_Production[Job Number],0)),0),IF(H426="Consulting",IFERROR(INDEX(tbl_Consulting[Total Expense],MATCH(E426&amp;"",tbl_Consulting[Job Number],0)),0),0)))</f>
        <v/>
      </c>
      <c r="AE426" s="27">
        <f>IF(E426="","",Y426-N(AD426))</f>
        <v/>
      </c>
      <c r="AF426" s="29">
        <f>IFERROR(AE426/Y426,"")</f>
        <v/>
      </c>
      <c r="AG426" s="2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22" t="n"/>
      <c r="B427" s="23">
        <f>IF(A427="","",EOMONTH(A427,0))</f>
        <v/>
      </c>
      <c r="C427" s="24" t="n"/>
      <c r="D427" s="24" t="n"/>
      <c r="E427" s="24" t="n"/>
      <c r="F427" s="25">
        <f>IF(E427="","",IF(COUNTIF(lst_Jobs,E427&amp;"")&gt;0,"OK","CHECK"))</f>
        <v/>
      </c>
      <c r="G427" s="24" t="n"/>
      <c r="H427" s="24" t="n"/>
      <c r="I427" s="24" t="n"/>
      <c r="J427" s="24" t="n"/>
      <c r="K427" s="24" t="n"/>
      <c r="L427" s="26" t="n"/>
      <c r="M427" s="27">
        <f>IF(L427="","",IF(K427="GST 10%",ROUND(L427*set_GSTRate,2),0))</f>
        <v/>
      </c>
      <c r="N427" s="27">
        <f>IF(L427="","",L427+M427)</f>
        <v/>
      </c>
      <c r="O427" s="24" t="n"/>
      <c r="P427" s="24" t="n"/>
      <c r="Q427" s="24" t="n"/>
      <c r="R427" s="22" t="n"/>
      <c r="S427" s="22" t="n"/>
      <c r="T427" s="24" t="n"/>
      <c r="U427" s="24" t="n"/>
      <c r="V427" s="2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25">
        <f>IF(E427="","",IFERROR(INDEX(lst_JobName,MATCH(E427&amp;"",lst_Jobs,0)),""))</f>
        <v/>
      </c>
      <c r="X427" s="28">
        <f>IF(E427="","",COUNTIFS(tbl_Finance[Job Number],E427&amp;"",tbl_Finance[Ex GST],"&lt;&gt;"))</f>
        <v/>
      </c>
      <c r="Y427" s="27">
        <f>IF(E427="","",SUMIFS(tbl_Finance[Ex GST],tbl_Finance[Job Number],E427&amp;""))</f>
        <v/>
      </c>
      <c r="Z427" s="27">
        <f>IF(E427="","",SUMIFS(tbl_Finance[Ex GST],tbl_Finance[Job Number],E427&amp;"",tbl_Finance[Xero Invoice No],"&lt;&gt;"))</f>
        <v/>
      </c>
      <c r="AA427" s="27">
        <f>IF(E427="","",Y427-Z427)</f>
        <v/>
      </c>
      <c r="AB427" s="25">
        <f>IF(E427="","",IF(H427="Onsite",IFERROR(INDEX(tbl_Onsite[Qwilr Quote],MATCH(E427&amp;"",tbl_Onsite[Job Number],0)),""),IF(H427="Production",IFERROR(IF(INDEX(tbl_Production[Current RMS No],MATCH(E427&amp;"",tbl_Production[Job Number],0))="",INDEX(tbl_Production[Qwilr Quote],MATCH(E427&amp;"",tbl_Production[Job Number],0)),INDEX(tbl_Production[Current RMS No],MATCH(E427&amp;"",tbl_Production[Job Number],0))),""),IF(H427="Consulting",IFERROR(INDEX(tbl_Consulting[Qwilr Quote],MATCH(E427&amp;"",tbl_Consulting[Job Number],0)),""),""))))</f>
        <v/>
      </c>
      <c r="AC427" s="25">
        <f>IF(AB427="","",IF(AND(LEFT(AB427,4)&lt;&gt;"http",IF(H427="Production",set_RMSBase,set_QwilrBase)=""),"",HYPERLINK(IF(LEFT(AB427,4)="http",AB427,IF(H427="Production",set_RMSBase,set_QwilrBase)&amp;AB427),"Open")))</f>
        <v/>
      </c>
      <c r="AD427" s="27">
        <f>IF(E427="","",IF(H427="Production",IFERROR(INDEX(tbl_Production[Total Expense],MATCH(E427&amp;"",tbl_Production[Job Number],0)),0),IF(H427="Consulting",IFERROR(INDEX(tbl_Consulting[Total Expense],MATCH(E427&amp;"",tbl_Consulting[Job Number],0)),0),0)))</f>
        <v/>
      </c>
      <c r="AE427" s="27">
        <f>IF(E427="","",Y427-N(AD427))</f>
        <v/>
      </c>
      <c r="AF427" s="29">
        <f>IFERROR(AE427/Y427,"")</f>
        <v/>
      </c>
      <c r="AG427" s="2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22" t="n"/>
      <c r="B428" s="23">
        <f>IF(A428="","",EOMONTH(A428,0))</f>
        <v/>
      </c>
      <c r="C428" s="24" t="n"/>
      <c r="D428" s="24" t="n"/>
      <c r="E428" s="24" t="n"/>
      <c r="F428" s="25">
        <f>IF(E428="","",IF(COUNTIF(lst_Jobs,E428&amp;"")&gt;0,"OK","CHECK"))</f>
        <v/>
      </c>
      <c r="G428" s="24" t="n"/>
      <c r="H428" s="24" t="n"/>
      <c r="I428" s="24" t="n"/>
      <c r="J428" s="24" t="n"/>
      <c r="K428" s="24" t="n"/>
      <c r="L428" s="26" t="n"/>
      <c r="M428" s="27">
        <f>IF(L428="","",IF(K428="GST 10%",ROUND(L428*set_GSTRate,2),0))</f>
        <v/>
      </c>
      <c r="N428" s="27">
        <f>IF(L428="","",L428+M428)</f>
        <v/>
      </c>
      <c r="O428" s="24" t="n"/>
      <c r="P428" s="24" t="n"/>
      <c r="Q428" s="24" t="n"/>
      <c r="R428" s="22" t="n"/>
      <c r="S428" s="22" t="n"/>
      <c r="T428" s="24" t="n"/>
      <c r="U428" s="24" t="n"/>
      <c r="V428" s="2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25">
        <f>IF(E428="","",IFERROR(INDEX(lst_JobName,MATCH(E428&amp;"",lst_Jobs,0)),""))</f>
        <v/>
      </c>
      <c r="X428" s="28">
        <f>IF(E428="","",COUNTIFS(tbl_Finance[Job Number],E428&amp;"",tbl_Finance[Ex GST],"&lt;&gt;"))</f>
        <v/>
      </c>
      <c r="Y428" s="27">
        <f>IF(E428="","",SUMIFS(tbl_Finance[Ex GST],tbl_Finance[Job Number],E428&amp;""))</f>
        <v/>
      </c>
      <c r="Z428" s="27">
        <f>IF(E428="","",SUMIFS(tbl_Finance[Ex GST],tbl_Finance[Job Number],E428&amp;"",tbl_Finance[Xero Invoice No],"&lt;&gt;"))</f>
        <v/>
      </c>
      <c r="AA428" s="27">
        <f>IF(E428="","",Y428-Z428)</f>
        <v/>
      </c>
      <c r="AB428" s="25">
        <f>IF(E428="","",IF(H428="Onsite",IFERROR(INDEX(tbl_Onsite[Qwilr Quote],MATCH(E428&amp;"",tbl_Onsite[Job Number],0)),""),IF(H428="Production",IFERROR(IF(INDEX(tbl_Production[Current RMS No],MATCH(E428&amp;"",tbl_Production[Job Number],0))="",INDEX(tbl_Production[Qwilr Quote],MATCH(E428&amp;"",tbl_Production[Job Number],0)),INDEX(tbl_Production[Current RMS No],MATCH(E428&amp;"",tbl_Production[Job Number],0))),""),IF(H428="Consulting",IFERROR(INDEX(tbl_Consulting[Qwilr Quote],MATCH(E428&amp;"",tbl_Consulting[Job Number],0)),""),""))))</f>
        <v/>
      </c>
      <c r="AC428" s="25">
        <f>IF(AB428="","",IF(AND(LEFT(AB428,4)&lt;&gt;"http",IF(H428="Production",set_RMSBase,set_QwilrBase)=""),"",HYPERLINK(IF(LEFT(AB428,4)="http",AB428,IF(H428="Production",set_RMSBase,set_QwilrBase)&amp;AB428),"Open")))</f>
        <v/>
      </c>
      <c r="AD428" s="27">
        <f>IF(E428="","",IF(H428="Production",IFERROR(INDEX(tbl_Production[Total Expense],MATCH(E428&amp;"",tbl_Production[Job Number],0)),0),IF(H428="Consulting",IFERROR(INDEX(tbl_Consulting[Total Expense],MATCH(E428&amp;"",tbl_Consulting[Job Number],0)),0),0)))</f>
        <v/>
      </c>
      <c r="AE428" s="27">
        <f>IF(E428="","",Y428-N(AD428))</f>
        <v/>
      </c>
      <c r="AF428" s="29">
        <f>IFERROR(AE428/Y428,"")</f>
        <v/>
      </c>
      <c r="AG428" s="2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22" t="n"/>
      <c r="B429" s="23">
        <f>IF(A429="","",EOMONTH(A429,0))</f>
        <v/>
      </c>
      <c r="C429" s="24" t="n"/>
      <c r="D429" s="24" t="n"/>
      <c r="E429" s="24" t="n"/>
      <c r="F429" s="25">
        <f>IF(E429="","",IF(COUNTIF(lst_Jobs,E429&amp;"")&gt;0,"OK","CHECK"))</f>
        <v/>
      </c>
      <c r="G429" s="24" t="n"/>
      <c r="H429" s="24" t="n"/>
      <c r="I429" s="24" t="n"/>
      <c r="J429" s="24" t="n"/>
      <c r="K429" s="24" t="n"/>
      <c r="L429" s="26" t="n"/>
      <c r="M429" s="27">
        <f>IF(L429="","",IF(K429="GST 10%",ROUND(L429*set_GSTRate,2),0))</f>
        <v/>
      </c>
      <c r="N429" s="27">
        <f>IF(L429="","",L429+M429)</f>
        <v/>
      </c>
      <c r="O429" s="24" t="n"/>
      <c r="P429" s="24" t="n"/>
      <c r="Q429" s="24" t="n"/>
      <c r="R429" s="22" t="n"/>
      <c r="S429" s="22" t="n"/>
      <c r="T429" s="24" t="n"/>
      <c r="U429" s="24" t="n"/>
      <c r="V429" s="2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25">
        <f>IF(E429="","",IFERROR(INDEX(lst_JobName,MATCH(E429&amp;"",lst_Jobs,0)),""))</f>
        <v/>
      </c>
      <c r="X429" s="28">
        <f>IF(E429="","",COUNTIFS(tbl_Finance[Job Number],E429&amp;"",tbl_Finance[Ex GST],"&lt;&gt;"))</f>
        <v/>
      </c>
      <c r="Y429" s="27">
        <f>IF(E429="","",SUMIFS(tbl_Finance[Ex GST],tbl_Finance[Job Number],E429&amp;""))</f>
        <v/>
      </c>
      <c r="Z429" s="27">
        <f>IF(E429="","",SUMIFS(tbl_Finance[Ex GST],tbl_Finance[Job Number],E429&amp;"",tbl_Finance[Xero Invoice No],"&lt;&gt;"))</f>
        <v/>
      </c>
      <c r="AA429" s="27">
        <f>IF(E429="","",Y429-Z429)</f>
        <v/>
      </c>
      <c r="AB429" s="25">
        <f>IF(E429="","",IF(H429="Onsite",IFERROR(INDEX(tbl_Onsite[Qwilr Quote],MATCH(E429&amp;"",tbl_Onsite[Job Number],0)),""),IF(H429="Production",IFERROR(IF(INDEX(tbl_Production[Current RMS No],MATCH(E429&amp;"",tbl_Production[Job Number],0))="",INDEX(tbl_Production[Qwilr Quote],MATCH(E429&amp;"",tbl_Production[Job Number],0)),INDEX(tbl_Production[Current RMS No],MATCH(E429&amp;"",tbl_Production[Job Number],0))),""),IF(H429="Consulting",IFERROR(INDEX(tbl_Consulting[Qwilr Quote],MATCH(E429&amp;"",tbl_Consulting[Job Number],0)),""),""))))</f>
        <v/>
      </c>
      <c r="AC429" s="25">
        <f>IF(AB429="","",IF(AND(LEFT(AB429,4)&lt;&gt;"http",IF(H429="Production",set_RMSBase,set_QwilrBase)=""),"",HYPERLINK(IF(LEFT(AB429,4)="http",AB429,IF(H429="Production",set_RMSBase,set_QwilrBase)&amp;AB429),"Open")))</f>
        <v/>
      </c>
      <c r="AD429" s="27">
        <f>IF(E429="","",IF(H429="Production",IFERROR(INDEX(tbl_Production[Total Expense],MATCH(E429&amp;"",tbl_Production[Job Number],0)),0),IF(H429="Consulting",IFERROR(INDEX(tbl_Consulting[Total Expense],MATCH(E429&amp;"",tbl_Consulting[Job Number],0)),0),0)))</f>
        <v/>
      </c>
      <c r="AE429" s="27">
        <f>IF(E429="","",Y429-N(AD429))</f>
        <v/>
      </c>
      <c r="AF429" s="29">
        <f>IFERROR(AE429/Y429,"")</f>
        <v/>
      </c>
      <c r="AG429" s="2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22" t="n"/>
      <c r="B430" s="23">
        <f>IF(A430="","",EOMONTH(A430,0))</f>
        <v/>
      </c>
      <c r="C430" s="24" t="n"/>
      <c r="D430" s="24" t="n"/>
      <c r="E430" s="24" t="n"/>
      <c r="F430" s="25">
        <f>IF(E430="","",IF(COUNTIF(lst_Jobs,E430&amp;"")&gt;0,"OK","CHECK"))</f>
        <v/>
      </c>
      <c r="G430" s="24" t="n"/>
      <c r="H430" s="24" t="n"/>
      <c r="I430" s="24" t="n"/>
      <c r="J430" s="24" t="n"/>
      <c r="K430" s="24" t="n"/>
      <c r="L430" s="26" t="n"/>
      <c r="M430" s="27">
        <f>IF(L430="","",IF(K430="GST 10%",ROUND(L430*set_GSTRate,2),0))</f>
        <v/>
      </c>
      <c r="N430" s="27">
        <f>IF(L430="","",L430+M430)</f>
        <v/>
      </c>
      <c r="O430" s="24" t="n"/>
      <c r="P430" s="24" t="n"/>
      <c r="Q430" s="24" t="n"/>
      <c r="R430" s="22" t="n"/>
      <c r="S430" s="22" t="n"/>
      <c r="T430" s="24" t="n"/>
      <c r="U430" s="24" t="n"/>
      <c r="V430" s="2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25">
        <f>IF(E430="","",IFERROR(INDEX(lst_JobName,MATCH(E430&amp;"",lst_Jobs,0)),""))</f>
        <v/>
      </c>
      <c r="X430" s="28">
        <f>IF(E430="","",COUNTIFS(tbl_Finance[Job Number],E430&amp;"",tbl_Finance[Ex GST],"&lt;&gt;"))</f>
        <v/>
      </c>
      <c r="Y430" s="27">
        <f>IF(E430="","",SUMIFS(tbl_Finance[Ex GST],tbl_Finance[Job Number],E430&amp;""))</f>
        <v/>
      </c>
      <c r="Z430" s="27">
        <f>IF(E430="","",SUMIFS(tbl_Finance[Ex GST],tbl_Finance[Job Number],E430&amp;"",tbl_Finance[Xero Invoice No],"&lt;&gt;"))</f>
        <v/>
      </c>
      <c r="AA430" s="27">
        <f>IF(E430="","",Y430-Z430)</f>
        <v/>
      </c>
      <c r="AB430" s="25">
        <f>IF(E430="","",IF(H430="Onsite",IFERROR(INDEX(tbl_Onsite[Qwilr Quote],MATCH(E430&amp;"",tbl_Onsite[Job Number],0)),""),IF(H430="Production",IFERROR(IF(INDEX(tbl_Production[Current RMS No],MATCH(E430&amp;"",tbl_Production[Job Number],0))="",INDEX(tbl_Production[Qwilr Quote],MATCH(E430&amp;"",tbl_Production[Job Number],0)),INDEX(tbl_Production[Current RMS No],MATCH(E430&amp;"",tbl_Production[Job Number],0))),""),IF(H430="Consulting",IFERROR(INDEX(tbl_Consulting[Qwilr Quote],MATCH(E430&amp;"",tbl_Consulting[Job Number],0)),""),""))))</f>
        <v/>
      </c>
      <c r="AC430" s="25">
        <f>IF(AB430="","",IF(AND(LEFT(AB430,4)&lt;&gt;"http",IF(H430="Production",set_RMSBase,set_QwilrBase)=""),"",HYPERLINK(IF(LEFT(AB430,4)="http",AB430,IF(H430="Production",set_RMSBase,set_QwilrBase)&amp;AB430),"Open")))</f>
        <v/>
      </c>
      <c r="AD430" s="27">
        <f>IF(E430="","",IF(H430="Production",IFERROR(INDEX(tbl_Production[Total Expense],MATCH(E430&amp;"",tbl_Production[Job Number],0)),0),IF(H430="Consulting",IFERROR(INDEX(tbl_Consulting[Total Expense],MATCH(E430&amp;"",tbl_Consulting[Job Number],0)),0),0)))</f>
        <v/>
      </c>
      <c r="AE430" s="27">
        <f>IF(E430="","",Y430-N(AD430))</f>
        <v/>
      </c>
      <c r="AF430" s="29">
        <f>IFERROR(AE430/Y430,"")</f>
        <v/>
      </c>
      <c r="AG430" s="2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22" t="n"/>
      <c r="B431" s="23">
        <f>IF(A431="","",EOMONTH(A431,0))</f>
        <v/>
      </c>
      <c r="C431" s="24" t="n"/>
      <c r="D431" s="24" t="n"/>
      <c r="E431" s="24" t="n"/>
      <c r="F431" s="25">
        <f>IF(E431="","",IF(COUNTIF(lst_Jobs,E431&amp;"")&gt;0,"OK","CHECK"))</f>
        <v/>
      </c>
      <c r="G431" s="24" t="n"/>
      <c r="H431" s="24" t="n"/>
      <c r="I431" s="24" t="n"/>
      <c r="J431" s="24" t="n"/>
      <c r="K431" s="24" t="n"/>
      <c r="L431" s="26" t="n"/>
      <c r="M431" s="27">
        <f>IF(L431="","",IF(K431="GST 10%",ROUND(L431*set_GSTRate,2),0))</f>
        <v/>
      </c>
      <c r="N431" s="27">
        <f>IF(L431="","",L431+M431)</f>
        <v/>
      </c>
      <c r="O431" s="24" t="n"/>
      <c r="P431" s="24" t="n"/>
      <c r="Q431" s="24" t="n"/>
      <c r="R431" s="22" t="n"/>
      <c r="S431" s="22" t="n"/>
      <c r="T431" s="24" t="n"/>
      <c r="U431" s="24" t="n"/>
      <c r="V431" s="2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25">
        <f>IF(E431="","",IFERROR(INDEX(lst_JobName,MATCH(E431&amp;"",lst_Jobs,0)),""))</f>
        <v/>
      </c>
      <c r="X431" s="28">
        <f>IF(E431="","",COUNTIFS(tbl_Finance[Job Number],E431&amp;"",tbl_Finance[Ex GST],"&lt;&gt;"))</f>
        <v/>
      </c>
      <c r="Y431" s="27">
        <f>IF(E431="","",SUMIFS(tbl_Finance[Ex GST],tbl_Finance[Job Number],E431&amp;""))</f>
        <v/>
      </c>
      <c r="Z431" s="27">
        <f>IF(E431="","",SUMIFS(tbl_Finance[Ex GST],tbl_Finance[Job Number],E431&amp;"",tbl_Finance[Xero Invoice No],"&lt;&gt;"))</f>
        <v/>
      </c>
      <c r="AA431" s="27">
        <f>IF(E431="","",Y431-Z431)</f>
        <v/>
      </c>
      <c r="AB431" s="25">
        <f>IF(E431="","",IF(H431="Onsite",IFERROR(INDEX(tbl_Onsite[Qwilr Quote],MATCH(E431&amp;"",tbl_Onsite[Job Number],0)),""),IF(H431="Production",IFERROR(IF(INDEX(tbl_Production[Current RMS No],MATCH(E431&amp;"",tbl_Production[Job Number],0))="",INDEX(tbl_Production[Qwilr Quote],MATCH(E431&amp;"",tbl_Production[Job Number],0)),INDEX(tbl_Production[Current RMS No],MATCH(E431&amp;"",tbl_Production[Job Number],0))),""),IF(H431="Consulting",IFERROR(INDEX(tbl_Consulting[Qwilr Quote],MATCH(E431&amp;"",tbl_Consulting[Job Number],0)),""),""))))</f>
        <v/>
      </c>
      <c r="AC431" s="25">
        <f>IF(AB431="","",IF(AND(LEFT(AB431,4)&lt;&gt;"http",IF(H431="Production",set_RMSBase,set_QwilrBase)=""),"",HYPERLINK(IF(LEFT(AB431,4)="http",AB431,IF(H431="Production",set_RMSBase,set_QwilrBase)&amp;AB431),"Open")))</f>
        <v/>
      </c>
      <c r="AD431" s="27">
        <f>IF(E431="","",IF(H431="Production",IFERROR(INDEX(tbl_Production[Total Expense],MATCH(E431&amp;"",tbl_Production[Job Number],0)),0),IF(H431="Consulting",IFERROR(INDEX(tbl_Consulting[Total Expense],MATCH(E431&amp;"",tbl_Consulting[Job Number],0)),0),0)))</f>
        <v/>
      </c>
      <c r="AE431" s="27">
        <f>IF(E431="","",Y431-N(AD431))</f>
        <v/>
      </c>
      <c r="AF431" s="29">
        <f>IFERROR(AE431/Y431,"")</f>
        <v/>
      </c>
      <c r="AG431" s="2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22" t="n"/>
      <c r="B432" s="23">
        <f>IF(A432="","",EOMONTH(A432,0))</f>
        <v/>
      </c>
      <c r="C432" s="24" t="n"/>
      <c r="D432" s="24" t="n"/>
      <c r="E432" s="24" t="n"/>
      <c r="F432" s="25">
        <f>IF(E432="","",IF(COUNTIF(lst_Jobs,E432&amp;"")&gt;0,"OK","CHECK"))</f>
        <v/>
      </c>
      <c r="G432" s="24" t="n"/>
      <c r="H432" s="24" t="n"/>
      <c r="I432" s="24" t="n"/>
      <c r="J432" s="24" t="n"/>
      <c r="K432" s="24" t="n"/>
      <c r="L432" s="26" t="n"/>
      <c r="M432" s="27">
        <f>IF(L432="","",IF(K432="GST 10%",ROUND(L432*set_GSTRate,2),0))</f>
        <v/>
      </c>
      <c r="N432" s="27">
        <f>IF(L432="","",L432+M432)</f>
        <v/>
      </c>
      <c r="O432" s="24" t="n"/>
      <c r="P432" s="24" t="n"/>
      <c r="Q432" s="24" t="n"/>
      <c r="R432" s="22" t="n"/>
      <c r="S432" s="22" t="n"/>
      <c r="T432" s="24" t="n"/>
      <c r="U432" s="24" t="n"/>
      <c r="V432" s="2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25">
        <f>IF(E432="","",IFERROR(INDEX(lst_JobName,MATCH(E432&amp;"",lst_Jobs,0)),""))</f>
        <v/>
      </c>
      <c r="X432" s="28">
        <f>IF(E432="","",COUNTIFS(tbl_Finance[Job Number],E432&amp;"",tbl_Finance[Ex GST],"&lt;&gt;"))</f>
        <v/>
      </c>
      <c r="Y432" s="27">
        <f>IF(E432="","",SUMIFS(tbl_Finance[Ex GST],tbl_Finance[Job Number],E432&amp;""))</f>
        <v/>
      </c>
      <c r="Z432" s="27">
        <f>IF(E432="","",SUMIFS(tbl_Finance[Ex GST],tbl_Finance[Job Number],E432&amp;"",tbl_Finance[Xero Invoice No],"&lt;&gt;"))</f>
        <v/>
      </c>
      <c r="AA432" s="27">
        <f>IF(E432="","",Y432-Z432)</f>
        <v/>
      </c>
      <c r="AB432" s="25">
        <f>IF(E432="","",IF(H432="Onsite",IFERROR(INDEX(tbl_Onsite[Qwilr Quote],MATCH(E432&amp;"",tbl_Onsite[Job Number],0)),""),IF(H432="Production",IFERROR(IF(INDEX(tbl_Production[Current RMS No],MATCH(E432&amp;"",tbl_Production[Job Number],0))="",INDEX(tbl_Production[Qwilr Quote],MATCH(E432&amp;"",tbl_Production[Job Number],0)),INDEX(tbl_Production[Current RMS No],MATCH(E432&amp;"",tbl_Production[Job Number],0))),""),IF(H432="Consulting",IFERROR(INDEX(tbl_Consulting[Qwilr Quote],MATCH(E432&amp;"",tbl_Consulting[Job Number],0)),""),""))))</f>
        <v/>
      </c>
      <c r="AC432" s="25">
        <f>IF(AB432="","",IF(AND(LEFT(AB432,4)&lt;&gt;"http",IF(H432="Production",set_RMSBase,set_QwilrBase)=""),"",HYPERLINK(IF(LEFT(AB432,4)="http",AB432,IF(H432="Production",set_RMSBase,set_QwilrBase)&amp;AB432),"Open")))</f>
        <v/>
      </c>
      <c r="AD432" s="27">
        <f>IF(E432="","",IF(H432="Production",IFERROR(INDEX(tbl_Production[Total Expense],MATCH(E432&amp;"",tbl_Production[Job Number],0)),0),IF(H432="Consulting",IFERROR(INDEX(tbl_Consulting[Total Expense],MATCH(E432&amp;"",tbl_Consulting[Job Number],0)),0),0)))</f>
        <v/>
      </c>
      <c r="AE432" s="27">
        <f>IF(E432="","",Y432-N(AD432))</f>
        <v/>
      </c>
      <c r="AF432" s="29">
        <f>IFERROR(AE432/Y432,"")</f>
        <v/>
      </c>
      <c r="AG432" s="2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22" t="n"/>
      <c r="B433" s="23">
        <f>IF(A433="","",EOMONTH(A433,0))</f>
        <v/>
      </c>
      <c r="C433" s="24" t="n"/>
      <c r="D433" s="24" t="n"/>
      <c r="E433" s="24" t="n"/>
      <c r="F433" s="25">
        <f>IF(E433="","",IF(COUNTIF(lst_Jobs,E433&amp;"")&gt;0,"OK","CHECK"))</f>
        <v/>
      </c>
      <c r="G433" s="24" t="n"/>
      <c r="H433" s="24" t="n"/>
      <c r="I433" s="24" t="n"/>
      <c r="J433" s="24" t="n"/>
      <c r="K433" s="24" t="n"/>
      <c r="L433" s="26" t="n"/>
      <c r="M433" s="27">
        <f>IF(L433="","",IF(K433="GST 10%",ROUND(L433*set_GSTRate,2),0))</f>
        <v/>
      </c>
      <c r="N433" s="27">
        <f>IF(L433="","",L433+M433)</f>
        <v/>
      </c>
      <c r="O433" s="24" t="n"/>
      <c r="P433" s="24" t="n"/>
      <c r="Q433" s="24" t="n"/>
      <c r="R433" s="22" t="n"/>
      <c r="S433" s="22" t="n"/>
      <c r="T433" s="24" t="n"/>
      <c r="U433" s="24" t="n"/>
      <c r="V433" s="2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25">
        <f>IF(E433="","",IFERROR(INDEX(lst_JobName,MATCH(E433&amp;"",lst_Jobs,0)),""))</f>
        <v/>
      </c>
      <c r="X433" s="28">
        <f>IF(E433="","",COUNTIFS(tbl_Finance[Job Number],E433&amp;"",tbl_Finance[Ex GST],"&lt;&gt;"))</f>
        <v/>
      </c>
      <c r="Y433" s="27">
        <f>IF(E433="","",SUMIFS(tbl_Finance[Ex GST],tbl_Finance[Job Number],E433&amp;""))</f>
        <v/>
      </c>
      <c r="Z433" s="27">
        <f>IF(E433="","",SUMIFS(tbl_Finance[Ex GST],tbl_Finance[Job Number],E433&amp;"",tbl_Finance[Xero Invoice No],"&lt;&gt;"))</f>
        <v/>
      </c>
      <c r="AA433" s="27">
        <f>IF(E433="","",Y433-Z433)</f>
        <v/>
      </c>
      <c r="AB433" s="25">
        <f>IF(E433="","",IF(H433="Onsite",IFERROR(INDEX(tbl_Onsite[Qwilr Quote],MATCH(E433&amp;"",tbl_Onsite[Job Number],0)),""),IF(H433="Production",IFERROR(IF(INDEX(tbl_Production[Current RMS No],MATCH(E433&amp;"",tbl_Production[Job Number],0))="",INDEX(tbl_Production[Qwilr Quote],MATCH(E433&amp;"",tbl_Production[Job Number],0)),INDEX(tbl_Production[Current RMS No],MATCH(E433&amp;"",tbl_Production[Job Number],0))),""),IF(H433="Consulting",IFERROR(INDEX(tbl_Consulting[Qwilr Quote],MATCH(E433&amp;"",tbl_Consulting[Job Number],0)),""),""))))</f>
        <v/>
      </c>
      <c r="AC433" s="25">
        <f>IF(AB433="","",IF(AND(LEFT(AB433,4)&lt;&gt;"http",IF(H433="Production",set_RMSBase,set_QwilrBase)=""),"",HYPERLINK(IF(LEFT(AB433,4)="http",AB433,IF(H433="Production",set_RMSBase,set_QwilrBase)&amp;AB433),"Open")))</f>
        <v/>
      </c>
      <c r="AD433" s="27">
        <f>IF(E433="","",IF(H433="Production",IFERROR(INDEX(tbl_Production[Total Expense],MATCH(E433&amp;"",tbl_Production[Job Number],0)),0),IF(H433="Consulting",IFERROR(INDEX(tbl_Consulting[Total Expense],MATCH(E433&amp;"",tbl_Consulting[Job Number],0)),0),0)))</f>
        <v/>
      </c>
      <c r="AE433" s="27">
        <f>IF(E433="","",Y433-N(AD433))</f>
        <v/>
      </c>
      <c r="AF433" s="29">
        <f>IFERROR(AE433/Y433,"")</f>
        <v/>
      </c>
      <c r="AG433" s="2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22" t="n"/>
      <c r="B434" s="23">
        <f>IF(A434="","",EOMONTH(A434,0))</f>
        <v/>
      </c>
      <c r="C434" s="24" t="n"/>
      <c r="D434" s="24" t="n"/>
      <c r="E434" s="24" t="n"/>
      <c r="F434" s="25">
        <f>IF(E434="","",IF(COUNTIF(lst_Jobs,E434&amp;"")&gt;0,"OK","CHECK"))</f>
        <v/>
      </c>
      <c r="G434" s="24" t="n"/>
      <c r="H434" s="24" t="n"/>
      <c r="I434" s="24" t="n"/>
      <c r="J434" s="24" t="n"/>
      <c r="K434" s="24" t="n"/>
      <c r="L434" s="26" t="n"/>
      <c r="M434" s="27">
        <f>IF(L434="","",IF(K434="GST 10%",ROUND(L434*set_GSTRate,2),0))</f>
        <v/>
      </c>
      <c r="N434" s="27">
        <f>IF(L434="","",L434+M434)</f>
        <v/>
      </c>
      <c r="O434" s="24" t="n"/>
      <c r="P434" s="24" t="n"/>
      <c r="Q434" s="24" t="n"/>
      <c r="R434" s="22" t="n"/>
      <c r="S434" s="22" t="n"/>
      <c r="T434" s="24" t="n"/>
      <c r="U434" s="24" t="n"/>
      <c r="V434" s="2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25">
        <f>IF(E434="","",IFERROR(INDEX(lst_JobName,MATCH(E434&amp;"",lst_Jobs,0)),""))</f>
        <v/>
      </c>
      <c r="X434" s="28">
        <f>IF(E434="","",COUNTIFS(tbl_Finance[Job Number],E434&amp;"",tbl_Finance[Ex GST],"&lt;&gt;"))</f>
        <v/>
      </c>
      <c r="Y434" s="27">
        <f>IF(E434="","",SUMIFS(tbl_Finance[Ex GST],tbl_Finance[Job Number],E434&amp;""))</f>
        <v/>
      </c>
      <c r="Z434" s="27">
        <f>IF(E434="","",SUMIFS(tbl_Finance[Ex GST],tbl_Finance[Job Number],E434&amp;"",tbl_Finance[Xero Invoice No],"&lt;&gt;"))</f>
        <v/>
      </c>
      <c r="AA434" s="27">
        <f>IF(E434="","",Y434-Z434)</f>
        <v/>
      </c>
      <c r="AB434" s="25">
        <f>IF(E434="","",IF(H434="Onsite",IFERROR(INDEX(tbl_Onsite[Qwilr Quote],MATCH(E434&amp;"",tbl_Onsite[Job Number],0)),""),IF(H434="Production",IFERROR(IF(INDEX(tbl_Production[Current RMS No],MATCH(E434&amp;"",tbl_Production[Job Number],0))="",INDEX(tbl_Production[Qwilr Quote],MATCH(E434&amp;"",tbl_Production[Job Number],0)),INDEX(tbl_Production[Current RMS No],MATCH(E434&amp;"",tbl_Production[Job Number],0))),""),IF(H434="Consulting",IFERROR(INDEX(tbl_Consulting[Qwilr Quote],MATCH(E434&amp;"",tbl_Consulting[Job Number],0)),""),""))))</f>
        <v/>
      </c>
      <c r="AC434" s="25">
        <f>IF(AB434="","",IF(AND(LEFT(AB434,4)&lt;&gt;"http",IF(H434="Production",set_RMSBase,set_QwilrBase)=""),"",HYPERLINK(IF(LEFT(AB434,4)="http",AB434,IF(H434="Production",set_RMSBase,set_QwilrBase)&amp;AB434),"Open")))</f>
        <v/>
      </c>
      <c r="AD434" s="27">
        <f>IF(E434="","",IF(H434="Production",IFERROR(INDEX(tbl_Production[Total Expense],MATCH(E434&amp;"",tbl_Production[Job Number],0)),0),IF(H434="Consulting",IFERROR(INDEX(tbl_Consulting[Total Expense],MATCH(E434&amp;"",tbl_Consulting[Job Number],0)),0),0)))</f>
        <v/>
      </c>
      <c r="AE434" s="27">
        <f>IF(E434="","",Y434-N(AD434))</f>
        <v/>
      </c>
      <c r="AF434" s="29">
        <f>IFERROR(AE434/Y434,"")</f>
        <v/>
      </c>
      <c r="AG434" s="2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22" t="n"/>
      <c r="B435" s="23">
        <f>IF(A435="","",EOMONTH(A435,0))</f>
        <v/>
      </c>
      <c r="C435" s="24" t="n"/>
      <c r="D435" s="24" t="n"/>
      <c r="E435" s="24" t="n"/>
      <c r="F435" s="25">
        <f>IF(E435="","",IF(COUNTIF(lst_Jobs,E435&amp;"")&gt;0,"OK","CHECK"))</f>
        <v/>
      </c>
      <c r="G435" s="24" t="n"/>
      <c r="H435" s="24" t="n"/>
      <c r="I435" s="24" t="n"/>
      <c r="J435" s="24" t="n"/>
      <c r="K435" s="24" t="n"/>
      <c r="L435" s="26" t="n"/>
      <c r="M435" s="27">
        <f>IF(L435="","",IF(K435="GST 10%",ROUND(L435*set_GSTRate,2),0))</f>
        <v/>
      </c>
      <c r="N435" s="27">
        <f>IF(L435="","",L435+M435)</f>
        <v/>
      </c>
      <c r="O435" s="24" t="n"/>
      <c r="P435" s="24" t="n"/>
      <c r="Q435" s="24" t="n"/>
      <c r="R435" s="22" t="n"/>
      <c r="S435" s="22" t="n"/>
      <c r="T435" s="24" t="n"/>
      <c r="U435" s="24" t="n"/>
      <c r="V435" s="2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25">
        <f>IF(E435="","",IFERROR(INDEX(lst_JobName,MATCH(E435&amp;"",lst_Jobs,0)),""))</f>
        <v/>
      </c>
      <c r="X435" s="28">
        <f>IF(E435="","",COUNTIFS(tbl_Finance[Job Number],E435&amp;"",tbl_Finance[Ex GST],"&lt;&gt;"))</f>
        <v/>
      </c>
      <c r="Y435" s="27">
        <f>IF(E435="","",SUMIFS(tbl_Finance[Ex GST],tbl_Finance[Job Number],E435&amp;""))</f>
        <v/>
      </c>
      <c r="Z435" s="27">
        <f>IF(E435="","",SUMIFS(tbl_Finance[Ex GST],tbl_Finance[Job Number],E435&amp;"",tbl_Finance[Xero Invoice No],"&lt;&gt;"))</f>
        <v/>
      </c>
      <c r="AA435" s="27">
        <f>IF(E435="","",Y435-Z435)</f>
        <v/>
      </c>
      <c r="AB435" s="25">
        <f>IF(E435="","",IF(H435="Onsite",IFERROR(INDEX(tbl_Onsite[Qwilr Quote],MATCH(E435&amp;"",tbl_Onsite[Job Number],0)),""),IF(H435="Production",IFERROR(IF(INDEX(tbl_Production[Current RMS No],MATCH(E435&amp;"",tbl_Production[Job Number],0))="",INDEX(tbl_Production[Qwilr Quote],MATCH(E435&amp;"",tbl_Production[Job Number],0)),INDEX(tbl_Production[Current RMS No],MATCH(E435&amp;"",tbl_Production[Job Number],0))),""),IF(H435="Consulting",IFERROR(INDEX(tbl_Consulting[Qwilr Quote],MATCH(E435&amp;"",tbl_Consulting[Job Number],0)),""),""))))</f>
        <v/>
      </c>
      <c r="AC435" s="25">
        <f>IF(AB435="","",IF(AND(LEFT(AB435,4)&lt;&gt;"http",IF(H435="Production",set_RMSBase,set_QwilrBase)=""),"",HYPERLINK(IF(LEFT(AB435,4)="http",AB435,IF(H435="Production",set_RMSBase,set_QwilrBase)&amp;AB435),"Open")))</f>
        <v/>
      </c>
      <c r="AD435" s="27">
        <f>IF(E435="","",IF(H435="Production",IFERROR(INDEX(tbl_Production[Total Expense],MATCH(E435&amp;"",tbl_Production[Job Number],0)),0),IF(H435="Consulting",IFERROR(INDEX(tbl_Consulting[Total Expense],MATCH(E435&amp;"",tbl_Consulting[Job Number],0)),0),0)))</f>
        <v/>
      </c>
      <c r="AE435" s="27">
        <f>IF(E435="","",Y435-N(AD435))</f>
        <v/>
      </c>
      <c r="AF435" s="29">
        <f>IFERROR(AE435/Y435,"")</f>
        <v/>
      </c>
      <c r="AG435" s="2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22" t="n"/>
      <c r="B436" s="23">
        <f>IF(A436="","",EOMONTH(A436,0))</f>
        <v/>
      </c>
      <c r="C436" s="24" t="n"/>
      <c r="D436" s="24" t="n"/>
      <c r="E436" s="24" t="n"/>
      <c r="F436" s="25">
        <f>IF(E436="","",IF(COUNTIF(lst_Jobs,E436&amp;"")&gt;0,"OK","CHECK"))</f>
        <v/>
      </c>
      <c r="G436" s="24" t="n"/>
      <c r="H436" s="24" t="n"/>
      <c r="I436" s="24" t="n"/>
      <c r="J436" s="24" t="n"/>
      <c r="K436" s="24" t="n"/>
      <c r="L436" s="26" t="n"/>
      <c r="M436" s="27">
        <f>IF(L436="","",IF(K436="GST 10%",ROUND(L436*set_GSTRate,2),0))</f>
        <v/>
      </c>
      <c r="N436" s="27">
        <f>IF(L436="","",L436+M436)</f>
        <v/>
      </c>
      <c r="O436" s="24" t="n"/>
      <c r="P436" s="24" t="n"/>
      <c r="Q436" s="24" t="n"/>
      <c r="R436" s="22" t="n"/>
      <c r="S436" s="22" t="n"/>
      <c r="T436" s="24" t="n"/>
      <c r="U436" s="24" t="n"/>
      <c r="V436" s="2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25">
        <f>IF(E436="","",IFERROR(INDEX(lst_JobName,MATCH(E436&amp;"",lst_Jobs,0)),""))</f>
        <v/>
      </c>
      <c r="X436" s="28">
        <f>IF(E436="","",COUNTIFS(tbl_Finance[Job Number],E436&amp;"",tbl_Finance[Ex GST],"&lt;&gt;"))</f>
        <v/>
      </c>
      <c r="Y436" s="27">
        <f>IF(E436="","",SUMIFS(tbl_Finance[Ex GST],tbl_Finance[Job Number],E436&amp;""))</f>
        <v/>
      </c>
      <c r="Z436" s="27">
        <f>IF(E436="","",SUMIFS(tbl_Finance[Ex GST],tbl_Finance[Job Number],E436&amp;"",tbl_Finance[Xero Invoice No],"&lt;&gt;"))</f>
        <v/>
      </c>
      <c r="AA436" s="27">
        <f>IF(E436="","",Y436-Z436)</f>
        <v/>
      </c>
      <c r="AB436" s="25">
        <f>IF(E436="","",IF(H436="Onsite",IFERROR(INDEX(tbl_Onsite[Qwilr Quote],MATCH(E436&amp;"",tbl_Onsite[Job Number],0)),""),IF(H436="Production",IFERROR(IF(INDEX(tbl_Production[Current RMS No],MATCH(E436&amp;"",tbl_Production[Job Number],0))="",INDEX(tbl_Production[Qwilr Quote],MATCH(E436&amp;"",tbl_Production[Job Number],0)),INDEX(tbl_Production[Current RMS No],MATCH(E436&amp;"",tbl_Production[Job Number],0))),""),IF(H436="Consulting",IFERROR(INDEX(tbl_Consulting[Qwilr Quote],MATCH(E436&amp;"",tbl_Consulting[Job Number],0)),""),""))))</f>
        <v/>
      </c>
      <c r="AC436" s="25">
        <f>IF(AB436="","",IF(AND(LEFT(AB436,4)&lt;&gt;"http",IF(H436="Production",set_RMSBase,set_QwilrBase)=""),"",HYPERLINK(IF(LEFT(AB436,4)="http",AB436,IF(H436="Production",set_RMSBase,set_QwilrBase)&amp;AB436),"Open")))</f>
        <v/>
      </c>
      <c r="AD436" s="27">
        <f>IF(E436="","",IF(H436="Production",IFERROR(INDEX(tbl_Production[Total Expense],MATCH(E436&amp;"",tbl_Production[Job Number],0)),0),IF(H436="Consulting",IFERROR(INDEX(tbl_Consulting[Total Expense],MATCH(E436&amp;"",tbl_Consulting[Job Number],0)),0),0)))</f>
        <v/>
      </c>
      <c r="AE436" s="27">
        <f>IF(E436="","",Y436-N(AD436))</f>
        <v/>
      </c>
      <c r="AF436" s="29">
        <f>IFERROR(AE436/Y436,"")</f>
        <v/>
      </c>
      <c r="AG436" s="2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22" t="n"/>
      <c r="B437" s="23">
        <f>IF(A437="","",EOMONTH(A437,0))</f>
        <v/>
      </c>
      <c r="C437" s="24" t="n"/>
      <c r="D437" s="24" t="n"/>
      <c r="E437" s="24" t="n"/>
      <c r="F437" s="25">
        <f>IF(E437="","",IF(COUNTIF(lst_Jobs,E437&amp;"")&gt;0,"OK","CHECK"))</f>
        <v/>
      </c>
      <c r="G437" s="24" t="n"/>
      <c r="H437" s="24" t="n"/>
      <c r="I437" s="24" t="n"/>
      <c r="J437" s="24" t="n"/>
      <c r="K437" s="24" t="n"/>
      <c r="L437" s="26" t="n"/>
      <c r="M437" s="27">
        <f>IF(L437="","",IF(K437="GST 10%",ROUND(L437*set_GSTRate,2),0))</f>
        <v/>
      </c>
      <c r="N437" s="27">
        <f>IF(L437="","",L437+M437)</f>
        <v/>
      </c>
      <c r="O437" s="24" t="n"/>
      <c r="P437" s="24" t="n"/>
      <c r="Q437" s="24" t="n"/>
      <c r="R437" s="22" t="n"/>
      <c r="S437" s="22" t="n"/>
      <c r="T437" s="24" t="n"/>
      <c r="U437" s="24" t="n"/>
      <c r="V437" s="2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25">
        <f>IF(E437="","",IFERROR(INDEX(lst_JobName,MATCH(E437&amp;"",lst_Jobs,0)),""))</f>
        <v/>
      </c>
      <c r="X437" s="28">
        <f>IF(E437="","",COUNTIFS(tbl_Finance[Job Number],E437&amp;"",tbl_Finance[Ex GST],"&lt;&gt;"))</f>
        <v/>
      </c>
      <c r="Y437" s="27">
        <f>IF(E437="","",SUMIFS(tbl_Finance[Ex GST],tbl_Finance[Job Number],E437&amp;""))</f>
        <v/>
      </c>
      <c r="Z437" s="27">
        <f>IF(E437="","",SUMIFS(tbl_Finance[Ex GST],tbl_Finance[Job Number],E437&amp;"",tbl_Finance[Xero Invoice No],"&lt;&gt;"))</f>
        <v/>
      </c>
      <c r="AA437" s="27">
        <f>IF(E437="","",Y437-Z437)</f>
        <v/>
      </c>
      <c r="AB437" s="25">
        <f>IF(E437="","",IF(H437="Onsite",IFERROR(INDEX(tbl_Onsite[Qwilr Quote],MATCH(E437&amp;"",tbl_Onsite[Job Number],0)),""),IF(H437="Production",IFERROR(IF(INDEX(tbl_Production[Current RMS No],MATCH(E437&amp;"",tbl_Production[Job Number],0))="",INDEX(tbl_Production[Qwilr Quote],MATCH(E437&amp;"",tbl_Production[Job Number],0)),INDEX(tbl_Production[Current RMS No],MATCH(E437&amp;"",tbl_Production[Job Number],0))),""),IF(H437="Consulting",IFERROR(INDEX(tbl_Consulting[Qwilr Quote],MATCH(E437&amp;"",tbl_Consulting[Job Number],0)),""),""))))</f>
        <v/>
      </c>
      <c r="AC437" s="25">
        <f>IF(AB437="","",IF(AND(LEFT(AB437,4)&lt;&gt;"http",IF(H437="Production",set_RMSBase,set_QwilrBase)=""),"",HYPERLINK(IF(LEFT(AB437,4)="http",AB437,IF(H437="Production",set_RMSBase,set_QwilrBase)&amp;AB437),"Open")))</f>
        <v/>
      </c>
      <c r="AD437" s="27">
        <f>IF(E437="","",IF(H437="Production",IFERROR(INDEX(tbl_Production[Total Expense],MATCH(E437&amp;"",tbl_Production[Job Number],0)),0),IF(H437="Consulting",IFERROR(INDEX(tbl_Consulting[Total Expense],MATCH(E437&amp;"",tbl_Consulting[Job Number],0)),0),0)))</f>
        <v/>
      </c>
      <c r="AE437" s="27">
        <f>IF(E437="","",Y437-N(AD437))</f>
        <v/>
      </c>
      <c r="AF437" s="29">
        <f>IFERROR(AE437/Y437,"")</f>
        <v/>
      </c>
      <c r="AG437" s="2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22" t="n"/>
      <c r="B438" s="23">
        <f>IF(A438="","",EOMONTH(A438,0))</f>
        <v/>
      </c>
      <c r="C438" s="24" t="n"/>
      <c r="D438" s="24" t="n"/>
      <c r="E438" s="24" t="n"/>
      <c r="F438" s="25">
        <f>IF(E438="","",IF(COUNTIF(lst_Jobs,E438&amp;"")&gt;0,"OK","CHECK"))</f>
        <v/>
      </c>
      <c r="G438" s="24" t="n"/>
      <c r="H438" s="24" t="n"/>
      <c r="I438" s="24" t="n"/>
      <c r="J438" s="24" t="n"/>
      <c r="K438" s="24" t="n"/>
      <c r="L438" s="26" t="n"/>
      <c r="M438" s="27">
        <f>IF(L438="","",IF(K438="GST 10%",ROUND(L438*set_GSTRate,2),0))</f>
        <v/>
      </c>
      <c r="N438" s="27">
        <f>IF(L438="","",L438+M438)</f>
        <v/>
      </c>
      <c r="O438" s="24" t="n"/>
      <c r="P438" s="24" t="n"/>
      <c r="Q438" s="24" t="n"/>
      <c r="R438" s="22" t="n"/>
      <c r="S438" s="22" t="n"/>
      <c r="T438" s="24" t="n"/>
      <c r="U438" s="24" t="n"/>
      <c r="V438" s="2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25">
        <f>IF(E438="","",IFERROR(INDEX(lst_JobName,MATCH(E438&amp;"",lst_Jobs,0)),""))</f>
        <v/>
      </c>
      <c r="X438" s="28">
        <f>IF(E438="","",COUNTIFS(tbl_Finance[Job Number],E438&amp;"",tbl_Finance[Ex GST],"&lt;&gt;"))</f>
        <v/>
      </c>
      <c r="Y438" s="27">
        <f>IF(E438="","",SUMIFS(tbl_Finance[Ex GST],tbl_Finance[Job Number],E438&amp;""))</f>
        <v/>
      </c>
      <c r="Z438" s="27">
        <f>IF(E438="","",SUMIFS(tbl_Finance[Ex GST],tbl_Finance[Job Number],E438&amp;"",tbl_Finance[Xero Invoice No],"&lt;&gt;"))</f>
        <v/>
      </c>
      <c r="AA438" s="27">
        <f>IF(E438="","",Y438-Z438)</f>
        <v/>
      </c>
      <c r="AB438" s="25">
        <f>IF(E438="","",IF(H438="Onsite",IFERROR(INDEX(tbl_Onsite[Qwilr Quote],MATCH(E438&amp;"",tbl_Onsite[Job Number],0)),""),IF(H438="Production",IFERROR(IF(INDEX(tbl_Production[Current RMS No],MATCH(E438&amp;"",tbl_Production[Job Number],0))="",INDEX(tbl_Production[Qwilr Quote],MATCH(E438&amp;"",tbl_Production[Job Number],0)),INDEX(tbl_Production[Current RMS No],MATCH(E438&amp;"",tbl_Production[Job Number],0))),""),IF(H438="Consulting",IFERROR(INDEX(tbl_Consulting[Qwilr Quote],MATCH(E438&amp;"",tbl_Consulting[Job Number],0)),""),""))))</f>
        <v/>
      </c>
      <c r="AC438" s="25">
        <f>IF(AB438="","",IF(AND(LEFT(AB438,4)&lt;&gt;"http",IF(H438="Production",set_RMSBase,set_QwilrBase)=""),"",HYPERLINK(IF(LEFT(AB438,4)="http",AB438,IF(H438="Production",set_RMSBase,set_QwilrBase)&amp;AB438),"Open")))</f>
        <v/>
      </c>
      <c r="AD438" s="27">
        <f>IF(E438="","",IF(H438="Production",IFERROR(INDEX(tbl_Production[Total Expense],MATCH(E438&amp;"",tbl_Production[Job Number],0)),0),IF(H438="Consulting",IFERROR(INDEX(tbl_Consulting[Total Expense],MATCH(E438&amp;"",tbl_Consulting[Job Number],0)),0),0)))</f>
        <v/>
      </c>
      <c r="AE438" s="27">
        <f>IF(E438="","",Y438-N(AD438))</f>
        <v/>
      </c>
      <c r="AF438" s="29">
        <f>IFERROR(AE438/Y438,"")</f>
        <v/>
      </c>
      <c r="AG438" s="2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22" t="n"/>
      <c r="B439" s="23">
        <f>IF(A439="","",EOMONTH(A439,0))</f>
        <v/>
      </c>
      <c r="C439" s="24" t="n"/>
      <c r="D439" s="24" t="n"/>
      <c r="E439" s="24" t="n"/>
      <c r="F439" s="25">
        <f>IF(E439="","",IF(COUNTIF(lst_Jobs,E439&amp;"")&gt;0,"OK","CHECK"))</f>
        <v/>
      </c>
      <c r="G439" s="24" t="n"/>
      <c r="H439" s="24" t="n"/>
      <c r="I439" s="24" t="n"/>
      <c r="J439" s="24" t="n"/>
      <c r="K439" s="24" t="n"/>
      <c r="L439" s="26" t="n"/>
      <c r="M439" s="27">
        <f>IF(L439="","",IF(K439="GST 10%",ROUND(L439*set_GSTRate,2),0))</f>
        <v/>
      </c>
      <c r="N439" s="27">
        <f>IF(L439="","",L439+M439)</f>
        <v/>
      </c>
      <c r="O439" s="24" t="n"/>
      <c r="P439" s="24" t="n"/>
      <c r="Q439" s="24" t="n"/>
      <c r="R439" s="22" t="n"/>
      <c r="S439" s="22" t="n"/>
      <c r="T439" s="24" t="n"/>
      <c r="U439" s="24" t="n"/>
      <c r="V439" s="2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25">
        <f>IF(E439="","",IFERROR(INDEX(lst_JobName,MATCH(E439&amp;"",lst_Jobs,0)),""))</f>
        <v/>
      </c>
      <c r="X439" s="28">
        <f>IF(E439="","",COUNTIFS(tbl_Finance[Job Number],E439&amp;"",tbl_Finance[Ex GST],"&lt;&gt;"))</f>
        <v/>
      </c>
      <c r="Y439" s="27">
        <f>IF(E439="","",SUMIFS(tbl_Finance[Ex GST],tbl_Finance[Job Number],E439&amp;""))</f>
        <v/>
      </c>
      <c r="Z439" s="27">
        <f>IF(E439="","",SUMIFS(tbl_Finance[Ex GST],tbl_Finance[Job Number],E439&amp;"",tbl_Finance[Xero Invoice No],"&lt;&gt;"))</f>
        <v/>
      </c>
      <c r="AA439" s="27">
        <f>IF(E439="","",Y439-Z439)</f>
        <v/>
      </c>
      <c r="AB439" s="25">
        <f>IF(E439="","",IF(H439="Onsite",IFERROR(INDEX(tbl_Onsite[Qwilr Quote],MATCH(E439&amp;"",tbl_Onsite[Job Number],0)),""),IF(H439="Production",IFERROR(IF(INDEX(tbl_Production[Current RMS No],MATCH(E439&amp;"",tbl_Production[Job Number],0))="",INDEX(tbl_Production[Qwilr Quote],MATCH(E439&amp;"",tbl_Production[Job Number],0)),INDEX(tbl_Production[Current RMS No],MATCH(E439&amp;"",tbl_Production[Job Number],0))),""),IF(H439="Consulting",IFERROR(INDEX(tbl_Consulting[Qwilr Quote],MATCH(E439&amp;"",tbl_Consulting[Job Number],0)),""),""))))</f>
        <v/>
      </c>
      <c r="AC439" s="25">
        <f>IF(AB439="","",IF(AND(LEFT(AB439,4)&lt;&gt;"http",IF(H439="Production",set_RMSBase,set_QwilrBase)=""),"",HYPERLINK(IF(LEFT(AB439,4)="http",AB439,IF(H439="Production",set_RMSBase,set_QwilrBase)&amp;AB439),"Open")))</f>
        <v/>
      </c>
      <c r="AD439" s="27">
        <f>IF(E439="","",IF(H439="Production",IFERROR(INDEX(tbl_Production[Total Expense],MATCH(E439&amp;"",tbl_Production[Job Number],0)),0),IF(H439="Consulting",IFERROR(INDEX(tbl_Consulting[Total Expense],MATCH(E439&amp;"",tbl_Consulting[Job Number],0)),0),0)))</f>
        <v/>
      </c>
      <c r="AE439" s="27">
        <f>IF(E439="","",Y439-N(AD439))</f>
        <v/>
      </c>
      <c r="AF439" s="29">
        <f>IFERROR(AE439/Y439,"")</f>
        <v/>
      </c>
      <c r="AG439" s="2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22" t="n"/>
      <c r="B440" s="23">
        <f>IF(A440="","",EOMONTH(A440,0))</f>
        <v/>
      </c>
      <c r="C440" s="24" t="n"/>
      <c r="D440" s="24" t="n"/>
      <c r="E440" s="24" t="n"/>
      <c r="F440" s="25">
        <f>IF(E440="","",IF(COUNTIF(lst_Jobs,E440&amp;"")&gt;0,"OK","CHECK"))</f>
        <v/>
      </c>
      <c r="G440" s="24" t="n"/>
      <c r="H440" s="24" t="n"/>
      <c r="I440" s="24" t="n"/>
      <c r="J440" s="24" t="n"/>
      <c r="K440" s="24" t="n"/>
      <c r="L440" s="26" t="n"/>
      <c r="M440" s="27">
        <f>IF(L440="","",IF(K440="GST 10%",ROUND(L440*set_GSTRate,2),0))</f>
        <v/>
      </c>
      <c r="N440" s="27">
        <f>IF(L440="","",L440+M440)</f>
        <v/>
      </c>
      <c r="O440" s="24" t="n"/>
      <c r="P440" s="24" t="n"/>
      <c r="Q440" s="24" t="n"/>
      <c r="R440" s="22" t="n"/>
      <c r="S440" s="22" t="n"/>
      <c r="T440" s="24" t="n"/>
      <c r="U440" s="24" t="n"/>
      <c r="V440" s="2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25">
        <f>IF(E440="","",IFERROR(INDEX(lst_JobName,MATCH(E440&amp;"",lst_Jobs,0)),""))</f>
        <v/>
      </c>
      <c r="X440" s="28">
        <f>IF(E440="","",COUNTIFS(tbl_Finance[Job Number],E440&amp;"",tbl_Finance[Ex GST],"&lt;&gt;"))</f>
        <v/>
      </c>
      <c r="Y440" s="27">
        <f>IF(E440="","",SUMIFS(tbl_Finance[Ex GST],tbl_Finance[Job Number],E440&amp;""))</f>
        <v/>
      </c>
      <c r="Z440" s="27">
        <f>IF(E440="","",SUMIFS(tbl_Finance[Ex GST],tbl_Finance[Job Number],E440&amp;"",tbl_Finance[Xero Invoice No],"&lt;&gt;"))</f>
        <v/>
      </c>
      <c r="AA440" s="27">
        <f>IF(E440="","",Y440-Z440)</f>
        <v/>
      </c>
      <c r="AB440" s="25">
        <f>IF(E440="","",IF(H440="Onsite",IFERROR(INDEX(tbl_Onsite[Qwilr Quote],MATCH(E440&amp;"",tbl_Onsite[Job Number],0)),""),IF(H440="Production",IFERROR(IF(INDEX(tbl_Production[Current RMS No],MATCH(E440&amp;"",tbl_Production[Job Number],0))="",INDEX(tbl_Production[Qwilr Quote],MATCH(E440&amp;"",tbl_Production[Job Number],0)),INDEX(tbl_Production[Current RMS No],MATCH(E440&amp;"",tbl_Production[Job Number],0))),""),IF(H440="Consulting",IFERROR(INDEX(tbl_Consulting[Qwilr Quote],MATCH(E440&amp;"",tbl_Consulting[Job Number],0)),""),""))))</f>
        <v/>
      </c>
      <c r="AC440" s="25">
        <f>IF(AB440="","",IF(AND(LEFT(AB440,4)&lt;&gt;"http",IF(H440="Production",set_RMSBase,set_QwilrBase)=""),"",HYPERLINK(IF(LEFT(AB440,4)="http",AB440,IF(H440="Production",set_RMSBase,set_QwilrBase)&amp;AB440),"Open")))</f>
        <v/>
      </c>
      <c r="AD440" s="27">
        <f>IF(E440="","",IF(H440="Production",IFERROR(INDEX(tbl_Production[Total Expense],MATCH(E440&amp;"",tbl_Production[Job Number],0)),0),IF(H440="Consulting",IFERROR(INDEX(tbl_Consulting[Total Expense],MATCH(E440&amp;"",tbl_Consulting[Job Number],0)),0),0)))</f>
        <v/>
      </c>
      <c r="AE440" s="27">
        <f>IF(E440="","",Y440-N(AD440))</f>
        <v/>
      </c>
      <c r="AF440" s="29">
        <f>IFERROR(AE440/Y440,"")</f>
        <v/>
      </c>
      <c r="AG440" s="2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22" t="n"/>
      <c r="B441" s="23">
        <f>IF(A441="","",EOMONTH(A441,0))</f>
        <v/>
      </c>
      <c r="C441" s="24" t="n"/>
      <c r="D441" s="24" t="n"/>
      <c r="E441" s="24" t="n"/>
      <c r="F441" s="25">
        <f>IF(E441="","",IF(COUNTIF(lst_Jobs,E441&amp;"")&gt;0,"OK","CHECK"))</f>
        <v/>
      </c>
      <c r="G441" s="24" t="n"/>
      <c r="H441" s="24" t="n"/>
      <c r="I441" s="24" t="n"/>
      <c r="J441" s="24" t="n"/>
      <c r="K441" s="24" t="n"/>
      <c r="L441" s="26" t="n"/>
      <c r="M441" s="27">
        <f>IF(L441="","",IF(K441="GST 10%",ROUND(L441*set_GSTRate,2),0))</f>
        <v/>
      </c>
      <c r="N441" s="27">
        <f>IF(L441="","",L441+M441)</f>
        <v/>
      </c>
      <c r="O441" s="24" t="n"/>
      <c r="P441" s="24" t="n"/>
      <c r="Q441" s="24" t="n"/>
      <c r="R441" s="22" t="n"/>
      <c r="S441" s="22" t="n"/>
      <c r="T441" s="24" t="n"/>
      <c r="U441" s="24" t="n"/>
      <c r="V441" s="2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25">
        <f>IF(E441="","",IFERROR(INDEX(lst_JobName,MATCH(E441&amp;"",lst_Jobs,0)),""))</f>
        <v/>
      </c>
      <c r="X441" s="28">
        <f>IF(E441="","",COUNTIFS(tbl_Finance[Job Number],E441&amp;"",tbl_Finance[Ex GST],"&lt;&gt;"))</f>
        <v/>
      </c>
      <c r="Y441" s="27">
        <f>IF(E441="","",SUMIFS(tbl_Finance[Ex GST],tbl_Finance[Job Number],E441&amp;""))</f>
        <v/>
      </c>
      <c r="Z441" s="27">
        <f>IF(E441="","",SUMIFS(tbl_Finance[Ex GST],tbl_Finance[Job Number],E441&amp;"",tbl_Finance[Xero Invoice No],"&lt;&gt;"))</f>
        <v/>
      </c>
      <c r="AA441" s="27">
        <f>IF(E441="","",Y441-Z441)</f>
        <v/>
      </c>
      <c r="AB441" s="25">
        <f>IF(E441="","",IF(H441="Onsite",IFERROR(INDEX(tbl_Onsite[Qwilr Quote],MATCH(E441&amp;"",tbl_Onsite[Job Number],0)),""),IF(H441="Production",IFERROR(IF(INDEX(tbl_Production[Current RMS No],MATCH(E441&amp;"",tbl_Production[Job Number],0))="",INDEX(tbl_Production[Qwilr Quote],MATCH(E441&amp;"",tbl_Production[Job Number],0)),INDEX(tbl_Production[Current RMS No],MATCH(E441&amp;"",tbl_Production[Job Number],0))),""),IF(H441="Consulting",IFERROR(INDEX(tbl_Consulting[Qwilr Quote],MATCH(E441&amp;"",tbl_Consulting[Job Number],0)),""),""))))</f>
        <v/>
      </c>
      <c r="AC441" s="25">
        <f>IF(AB441="","",IF(AND(LEFT(AB441,4)&lt;&gt;"http",IF(H441="Production",set_RMSBase,set_QwilrBase)=""),"",HYPERLINK(IF(LEFT(AB441,4)="http",AB441,IF(H441="Production",set_RMSBase,set_QwilrBase)&amp;AB441),"Open")))</f>
        <v/>
      </c>
      <c r="AD441" s="27">
        <f>IF(E441="","",IF(H441="Production",IFERROR(INDEX(tbl_Production[Total Expense],MATCH(E441&amp;"",tbl_Production[Job Number],0)),0),IF(H441="Consulting",IFERROR(INDEX(tbl_Consulting[Total Expense],MATCH(E441&amp;"",tbl_Consulting[Job Number],0)),0),0)))</f>
        <v/>
      </c>
      <c r="AE441" s="27">
        <f>IF(E441="","",Y441-N(AD441))</f>
        <v/>
      </c>
      <c r="AF441" s="29">
        <f>IFERROR(AE441/Y441,"")</f>
        <v/>
      </c>
      <c r="AG441" s="2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22" t="n"/>
      <c r="B442" s="23">
        <f>IF(A442="","",EOMONTH(A442,0))</f>
        <v/>
      </c>
      <c r="C442" s="24" t="n"/>
      <c r="D442" s="24" t="n"/>
      <c r="E442" s="24" t="n"/>
      <c r="F442" s="25">
        <f>IF(E442="","",IF(COUNTIF(lst_Jobs,E442&amp;"")&gt;0,"OK","CHECK"))</f>
        <v/>
      </c>
      <c r="G442" s="24" t="n"/>
      <c r="H442" s="24" t="n"/>
      <c r="I442" s="24" t="n"/>
      <c r="J442" s="24" t="n"/>
      <c r="K442" s="24" t="n"/>
      <c r="L442" s="26" t="n"/>
      <c r="M442" s="27">
        <f>IF(L442="","",IF(K442="GST 10%",ROUND(L442*set_GSTRate,2),0))</f>
        <v/>
      </c>
      <c r="N442" s="27">
        <f>IF(L442="","",L442+M442)</f>
        <v/>
      </c>
      <c r="O442" s="24" t="n"/>
      <c r="P442" s="24" t="n"/>
      <c r="Q442" s="24" t="n"/>
      <c r="R442" s="22" t="n"/>
      <c r="S442" s="22" t="n"/>
      <c r="T442" s="24" t="n"/>
      <c r="U442" s="24" t="n"/>
      <c r="V442" s="2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25">
        <f>IF(E442="","",IFERROR(INDEX(lst_JobName,MATCH(E442&amp;"",lst_Jobs,0)),""))</f>
        <v/>
      </c>
      <c r="X442" s="28">
        <f>IF(E442="","",COUNTIFS(tbl_Finance[Job Number],E442&amp;"",tbl_Finance[Ex GST],"&lt;&gt;"))</f>
        <v/>
      </c>
      <c r="Y442" s="27">
        <f>IF(E442="","",SUMIFS(tbl_Finance[Ex GST],tbl_Finance[Job Number],E442&amp;""))</f>
        <v/>
      </c>
      <c r="Z442" s="27">
        <f>IF(E442="","",SUMIFS(tbl_Finance[Ex GST],tbl_Finance[Job Number],E442&amp;"",tbl_Finance[Xero Invoice No],"&lt;&gt;"))</f>
        <v/>
      </c>
      <c r="AA442" s="27">
        <f>IF(E442="","",Y442-Z442)</f>
        <v/>
      </c>
      <c r="AB442" s="25">
        <f>IF(E442="","",IF(H442="Onsite",IFERROR(INDEX(tbl_Onsite[Qwilr Quote],MATCH(E442&amp;"",tbl_Onsite[Job Number],0)),""),IF(H442="Production",IFERROR(IF(INDEX(tbl_Production[Current RMS No],MATCH(E442&amp;"",tbl_Production[Job Number],0))="",INDEX(tbl_Production[Qwilr Quote],MATCH(E442&amp;"",tbl_Production[Job Number],0)),INDEX(tbl_Production[Current RMS No],MATCH(E442&amp;"",tbl_Production[Job Number],0))),""),IF(H442="Consulting",IFERROR(INDEX(tbl_Consulting[Qwilr Quote],MATCH(E442&amp;"",tbl_Consulting[Job Number],0)),""),""))))</f>
        <v/>
      </c>
      <c r="AC442" s="25">
        <f>IF(AB442="","",IF(AND(LEFT(AB442,4)&lt;&gt;"http",IF(H442="Production",set_RMSBase,set_QwilrBase)=""),"",HYPERLINK(IF(LEFT(AB442,4)="http",AB442,IF(H442="Production",set_RMSBase,set_QwilrBase)&amp;AB442),"Open")))</f>
        <v/>
      </c>
      <c r="AD442" s="27">
        <f>IF(E442="","",IF(H442="Production",IFERROR(INDEX(tbl_Production[Total Expense],MATCH(E442&amp;"",tbl_Production[Job Number],0)),0),IF(H442="Consulting",IFERROR(INDEX(tbl_Consulting[Total Expense],MATCH(E442&amp;"",tbl_Consulting[Job Number],0)),0),0)))</f>
        <v/>
      </c>
      <c r="AE442" s="27">
        <f>IF(E442="","",Y442-N(AD442))</f>
        <v/>
      </c>
      <c r="AF442" s="29">
        <f>IFERROR(AE442/Y442,"")</f>
        <v/>
      </c>
      <c r="AG442" s="2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22" t="n"/>
      <c r="B443" s="23">
        <f>IF(A443="","",EOMONTH(A443,0))</f>
        <v/>
      </c>
      <c r="C443" s="24" t="n"/>
      <c r="D443" s="24" t="n"/>
      <c r="E443" s="24" t="n"/>
      <c r="F443" s="25">
        <f>IF(E443="","",IF(COUNTIF(lst_Jobs,E443&amp;"")&gt;0,"OK","CHECK"))</f>
        <v/>
      </c>
      <c r="G443" s="24" t="n"/>
      <c r="H443" s="24" t="n"/>
      <c r="I443" s="24" t="n"/>
      <c r="J443" s="24" t="n"/>
      <c r="K443" s="24" t="n"/>
      <c r="L443" s="26" t="n"/>
      <c r="M443" s="27">
        <f>IF(L443="","",IF(K443="GST 10%",ROUND(L443*set_GSTRate,2),0))</f>
        <v/>
      </c>
      <c r="N443" s="27">
        <f>IF(L443="","",L443+M443)</f>
        <v/>
      </c>
      <c r="O443" s="24" t="n"/>
      <c r="P443" s="24" t="n"/>
      <c r="Q443" s="24" t="n"/>
      <c r="R443" s="22" t="n"/>
      <c r="S443" s="22" t="n"/>
      <c r="T443" s="24" t="n"/>
      <c r="U443" s="24" t="n"/>
      <c r="V443" s="2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25">
        <f>IF(E443="","",IFERROR(INDEX(lst_JobName,MATCH(E443&amp;"",lst_Jobs,0)),""))</f>
        <v/>
      </c>
      <c r="X443" s="28">
        <f>IF(E443="","",COUNTIFS(tbl_Finance[Job Number],E443&amp;"",tbl_Finance[Ex GST],"&lt;&gt;"))</f>
        <v/>
      </c>
      <c r="Y443" s="27">
        <f>IF(E443="","",SUMIFS(tbl_Finance[Ex GST],tbl_Finance[Job Number],E443&amp;""))</f>
        <v/>
      </c>
      <c r="Z443" s="27">
        <f>IF(E443="","",SUMIFS(tbl_Finance[Ex GST],tbl_Finance[Job Number],E443&amp;"",tbl_Finance[Xero Invoice No],"&lt;&gt;"))</f>
        <v/>
      </c>
      <c r="AA443" s="27">
        <f>IF(E443="","",Y443-Z443)</f>
        <v/>
      </c>
      <c r="AB443" s="25">
        <f>IF(E443="","",IF(H443="Onsite",IFERROR(INDEX(tbl_Onsite[Qwilr Quote],MATCH(E443&amp;"",tbl_Onsite[Job Number],0)),""),IF(H443="Production",IFERROR(IF(INDEX(tbl_Production[Current RMS No],MATCH(E443&amp;"",tbl_Production[Job Number],0))="",INDEX(tbl_Production[Qwilr Quote],MATCH(E443&amp;"",tbl_Production[Job Number],0)),INDEX(tbl_Production[Current RMS No],MATCH(E443&amp;"",tbl_Production[Job Number],0))),""),IF(H443="Consulting",IFERROR(INDEX(tbl_Consulting[Qwilr Quote],MATCH(E443&amp;"",tbl_Consulting[Job Number],0)),""),""))))</f>
        <v/>
      </c>
      <c r="AC443" s="25">
        <f>IF(AB443="","",IF(AND(LEFT(AB443,4)&lt;&gt;"http",IF(H443="Production",set_RMSBase,set_QwilrBase)=""),"",HYPERLINK(IF(LEFT(AB443,4)="http",AB443,IF(H443="Production",set_RMSBase,set_QwilrBase)&amp;AB443),"Open")))</f>
        <v/>
      </c>
      <c r="AD443" s="27">
        <f>IF(E443="","",IF(H443="Production",IFERROR(INDEX(tbl_Production[Total Expense],MATCH(E443&amp;"",tbl_Production[Job Number],0)),0),IF(H443="Consulting",IFERROR(INDEX(tbl_Consulting[Total Expense],MATCH(E443&amp;"",tbl_Consulting[Job Number],0)),0),0)))</f>
        <v/>
      </c>
      <c r="AE443" s="27">
        <f>IF(E443="","",Y443-N(AD443))</f>
        <v/>
      </c>
      <c r="AF443" s="29">
        <f>IFERROR(AE443/Y443,"")</f>
        <v/>
      </c>
      <c r="AG443" s="2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22" t="n"/>
      <c r="B444" s="23">
        <f>IF(A444="","",EOMONTH(A444,0))</f>
        <v/>
      </c>
      <c r="C444" s="24" t="n"/>
      <c r="D444" s="24" t="n"/>
      <c r="E444" s="24" t="n"/>
      <c r="F444" s="25">
        <f>IF(E444="","",IF(COUNTIF(lst_Jobs,E444&amp;"")&gt;0,"OK","CHECK"))</f>
        <v/>
      </c>
      <c r="G444" s="24" t="n"/>
      <c r="H444" s="24" t="n"/>
      <c r="I444" s="24" t="n"/>
      <c r="J444" s="24" t="n"/>
      <c r="K444" s="24" t="n"/>
      <c r="L444" s="26" t="n"/>
      <c r="M444" s="27">
        <f>IF(L444="","",IF(K444="GST 10%",ROUND(L444*set_GSTRate,2),0))</f>
        <v/>
      </c>
      <c r="N444" s="27">
        <f>IF(L444="","",L444+M444)</f>
        <v/>
      </c>
      <c r="O444" s="24" t="n"/>
      <c r="P444" s="24" t="n"/>
      <c r="Q444" s="24" t="n"/>
      <c r="R444" s="22" t="n"/>
      <c r="S444" s="22" t="n"/>
      <c r="T444" s="24" t="n"/>
      <c r="U444" s="24" t="n"/>
      <c r="V444" s="2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25">
        <f>IF(E444="","",IFERROR(INDEX(lst_JobName,MATCH(E444&amp;"",lst_Jobs,0)),""))</f>
        <v/>
      </c>
      <c r="X444" s="28">
        <f>IF(E444="","",COUNTIFS(tbl_Finance[Job Number],E444&amp;"",tbl_Finance[Ex GST],"&lt;&gt;"))</f>
        <v/>
      </c>
      <c r="Y444" s="27">
        <f>IF(E444="","",SUMIFS(tbl_Finance[Ex GST],tbl_Finance[Job Number],E444&amp;""))</f>
        <v/>
      </c>
      <c r="Z444" s="27">
        <f>IF(E444="","",SUMIFS(tbl_Finance[Ex GST],tbl_Finance[Job Number],E444&amp;"",tbl_Finance[Xero Invoice No],"&lt;&gt;"))</f>
        <v/>
      </c>
      <c r="AA444" s="27">
        <f>IF(E444="","",Y444-Z444)</f>
        <v/>
      </c>
      <c r="AB444" s="25">
        <f>IF(E444="","",IF(H444="Onsite",IFERROR(INDEX(tbl_Onsite[Qwilr Quote],MATCH(E444&amp;"",tbl_Onsite[Job Number],0)),""),IF(H444="Production",IFERROR(IF(INDEX(tbl_Production[Current RMS No],MATCH(E444&amp;"",tbl_Production[Job Number],0))="",INDEX(tbl_Production[Qwilr Quote],MATCH(E444&amp;"",tbl_Production[Job Number],0)),INDEX(tbl_Production[Current RMS No],MATCH(E444&amp;"",tbl_Production[Job Number],0))),""),IF(H444="Consulting",IFERROR(INDEX(tbl_Consulting[Qwilr Quote],MATCH(E444&amp;"",tbl_Consulting[Job Number],0)),""),""))))</f>
        <v/>
      </c>
      <c r="AC444" s="25">
        <f>IF(AB444="","",IF(AND(LEFT(AB444,4)&lt;&gt;"http",IF(H444="Production",set_RMSBase,set_QwilrBase)=""),"",HYPERLINK(IF(LEFT(AB444,4)="http",AB444,IF(H444="Production",set_RMSBase,set_QwilrBase)&amp;AB444),"Open")))</f>
        <v/>
      </c>
      <c r="AD444" s="27">
        <f>IF(E444="","",IF(H444="Production",IFERROR(INDEX(tbl_Production[Total Expense],MATCH(E444&amp;"",tbl_Production[Job Number],0)),0),IF(H444="Consulting",IFERROR(INDEX(tbl_Consulting[Total Expense],MATCH(E444&amp;"",tbl_Consulting[Job Number],0)),0),0)))</f>
        <v/>
      </c>
      <c r="AE444" s="27">
        <f>IF(E444="","",Y444-N(AD444))</f>
        <v/>
      </c>
      <c r="AF444" s="29">
        <f>IFERROR(AE444/Y444,"")</f>
        <v/>
      </c>
      <c r="AG444" s="2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22" t="n"/>
      <c r="B445" s="23">
        <f>IF(A445="","",EOMONTH(A445,0))</f>
        <v/>
      </c>
      <c r="C445" s="24" t="n"/>
      <c r="D445" s="24" t="n"/>
      <c r="E445" s="24" t="n"/>
      <c r="F445" s="25">
        <f>IF(E445="","",IF(COUNTIF(lst_Jobs,E445&amp;"")&gt;0,"OK","CHECK"))</f>
        <v/>
      </c>
      <c r="G445" s="24" t="n"/>
      <c r="H445" s="24" t="n"/>
      <c r="I445" s="24" t="n"/>
      <c r="J445" s="24" t="n"/>
      <c r="K445" s="24" t="n"/>
      <c r="L445" s="26" t="n"/>
      <c r="M445" s="27">
        <f>IF(L445="","",IF(K445="GST 10%",ROUND(L445*set_GSTRate,2),0))</f>
        <v/>
      </c>
      <c r="N445" s="27">
        <f>IF(L445="","",L445+M445)</f>
        <v/>
      </c>
      <c r="O445" s="24" t="n"/>
      <c r="P445" s="24" t="n"/>
      <c r="Q445" s="24" t="n"/>
      <c r="R445" s="22" t="n"/>
      <c r="S445" s="22" t="n"/>
      <c r="T445" s="24" t="n"/>
      <c r="U445" s="24" t="n"/>
      <c r="V445" s="2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25">
        <f>IF(E445="","",IFERROR(INDEX(lst_JobName,MATCH(E445&amp;"",lst_Jobs,0)),""))</f>
        <v/>
      </c>
      <c r="X445" s="28">
        <f>IF(E445="","",COUNTIFS(tbl_Finance[Job Number],E445&amp;"",tbl_Finance[Ex GST],"&lt;&gt;"))</f>
        <v/>
      </c>
      <c r="Y445" s="27">
        <f>IF(E445="","",SUMIFS(tbl_Finance[Ex GST],tbl_Finance[Job Number],E445&amp;""))</f>
        <v/>
      </c>
      <c r="Z445" s="27">
        <f>IF(E445="","",SUMIFS(tbl_Finance[Ex GST],tbl_Finance[Job Number],E445&amp;"",tbl_Finance[Xero Invoice No],"&lt;&gt;"))</f>
        <v/>
      </c>
      <c r="AA445" s="27">
        <f>IF(E445="","",Y445-Z445)</f>
        <v/>
      </c>
      <c r="AB445" s="25">
        <f>IF(E445="","",IF(H445="Onsite",IFERROR(INDEX(tbl_Onsite[Qwilr Quote],MATCH(E445&amp;"",tbl_Onsite[Job Number],0)),""),IF(H445="Production",IFERROR(IF(INDEX(tbl_Production[Current RMS No],MATCH(E445&amp;"",tbl_Production[Job Number],0))="",INDEX(tbl_Production[Qwilr Quote],MATCH(E445&amp;"",tbl_Production[Job Number],0)),INDEX(tbl_Production[Current RMS No],MATCH(E445&amp;"",tbl_Production[Job Number],0))),""),IF(H445="Consulting",IFERROR(INDEX(tbl_Consulting[Qwilr Quote],MATCH(E445&amp;"",tbl_Consulting[Job Number],0)),""),""))))</f>
        <v/>
      </c>
      <c r="AC445" s="25">
        <f>IF(AB445="","",IF(AND(LEFT(AB445,4)&lt;&gt;"http",IF(H445="Production",set_RMSBase,set_QwilrBase)=""),"",HYPERLINK(IF(LEFT(AB445,4)="http",AB445,IF(H445="Production",set_RMSBase,set_QwilrBase)&amp;AB445),"Open")))</f>
        <v/>
      </c>
      <c r="AD445" s="27">
        <f>IF(E445="","",IF(H445="Production",IFERROR(INDEX(tbl_Production[Total Expense],MATCH(E445&amp;"",tbl_Production[Job Number],0)),0),IF(H445="Consulting",IFERROR(INDEX(tbl_Consulting[Total Expense],MATCH(E445&amp;"",tbl_Consulting[Job Number],0)),0),0)))</f>
        <v/>
      </c>
      <c r="AE445" s="27">
        <f>IF(E445="","",Y445-N(AD445))</f>
        <v/>
      </c>
      <c r="AF445" s="29">
        <f>IFERROR(AE445/Y445,"")</f>
        <v/>
      </c>
      <c r="AG445" s="2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22" t="n"/>
      <c r="B446" s="23">
        <f>IF(A446="","",EOMONTH(A446,0))</f>
        <v/>
      </c>
      <c r="C446" s="24" t="n"/>
      <c r="D446" s="24" t="n"/>
      <c r="E446" s="24" t="n"/>
      <c r="F446" s="25">
        <f>IF(E446="","",IF(COUNTIF(lst_Jobs,E446&amp;"")&gt;0,"OK","CHECK"))</f>
        <v/>
      </c>
      <c r="G446" s="24" t="n"/>
      <c r="H446" s="24" t="n"/>
      <c r="I446" s="24" t="n"/>
      <c r="J446" s="24" t="n"/>
      <c r="K446" s="24" t="n"/>
      <c r="L446" s="26" t="n"/>
      <c r="M446" s="27">
        <f>IF(L446="","",IF(K446="GST 10%",ROUND(L446*set_GSTRate,2),0))</f>
        <v/>
      </c>
      <c r="N446" s="27">
        <f>IF(L446="","",L446+M446)</f>
        <v/>
      </c>
      <c r="O446" s="24" t="n"/>
      <c r="P446" s="24" t="n"/>
      <c r="Q446" s="24" t="n"/>
      <c r="R446" s="22" t="n"/>
      <c r="S446" s="22" t="n"/>
      <c r="T446" s="24" t="n"/>
      <c r="U446" s="24" t="n"/>
      <c r="V446" s="2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25">
        <f>IF(E446="","",IFERROR(INDEX(lst_JobName,MATCH(E446&amp;"",lst_Jobs,0)),""))</f>
        <v/>
      </c>
      <c r="X446" s="28">
        <f>IF(E446="","",COUNTIFS(tbl_Finance[Job Number],E446&amp;"",tbl_Finance[Ex GST],"&lt;&gt;"))</f>
        <v/>
      </c>
      <c r="Y446" s="27">
        <f>IF(E446="","",SUMIFS(tbl_Finance[Ex GST],tbl_Finance[Job Number],E446&amp;""))</f>
        <v/>
      </c>
      <c r="Z446" s="27">
        <f>IF(E446="","",SUMIFS(tbl_Finance[Ex GST],tbl_Finance[Job Number],E446&amp;"",tbl_Finance[Xero Invoice No],"&lt;&gt;"))</f>
        <v/>
      </c>
      <c r="AA446" s="27">
        <f>IF(E446="","",Y446-Z446)</f>
        <v/>
      </c>
      <c r="AB446" s="25">
        <f>IF(E446="","",IF(H446="Onsite",IFERROR(INDEX(tbl_Onsite[Qwilr Quote],MATCH(E446&amp;"",tbl_Onsite[Job Number],0)),""),IF(H446="Production",IFERROR(IF(INDEX(tbl_Production[Current RMS No],MATCH(E446&amp;"",tbl_Production[Job Number],0))="",INDEX(tbl_Production[Qwilr Quote],MATCH(E446&amp;"",tbl_Production[Job Number],0)),INDEX(tbl_Production[Current RMS No],MATCH(E446&amp;"",tbl_Production[Job Number],0))),""),IF(H446="Consulting",IFERROR(INDEX(tbl_Consulting[Qwilr Quote],MATCH(E446&amp;"",tbl_Consulting[Job Number],0)),""),""))))</f>
        <v/>
      </c>
      <c r="AC446" s="25">
        <f>IF(AB446="","",IF(AND(LEFT(AB446,4)&lt;&gt;"http",IF(H446="Production",set_RMSBase,set_QwilrBase)=""),"",HYPERLINK(IF(LEFT(AB446,4)="http",AB446,IF(H446="Production",set_RMSBase,set_QwilrBase)&amp;AB446),"Open")))</f>
        <v/>
      </c>
      <c r="AD446" s="27">
        <f>IF(E446="","",IF(H446="Production",IFERROR(INDEX(tbl_Production[Total Expense],MATCH(E446&amp;"",tbl_Production[Job Number],0)),0),IF(H446="Consulting",IFERROR(INDEX(tbl_Consulting[Total Expense],MATCH(E446&amp;"",tbl_Consulting[Job Number],0)),0),0)))</f>
        <v/>
      </c>
      <c r="AE446" s="27">
        <f>IF(E446="","",Y446-N(AD446))</f>
        <v/>
      </c>
      <c r="AF446" s="29">
        <f>IFERROR(AE446/Y446,"")</f>
        <v/>
      </c>
      <c r="AG446" s="2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22" t="n"/>
      <c r="B447" s="23">
        <f>IF(A447="","",EOMONTH(A447,0))</f>
        <v/>
      </c>
      <c r="C447" s="24" t="n"/>
      <c r="D447" s="24" t="n"/>
      <c r="E447" s="24" t="n"/>
      <c r="F447" s="25">
        <f>IF(E447="","",IF(COUNTIF(lst_Jobs,E447&amp;"")&gt;0,"OK","CHECK"))</f>
        <v/>
      </c>
      <c r="G447" s="24" t="n"/>
      <c r="H447" s="24" t="n"/>
      <c r="I447" s="24" t="n"/>
      <c r="J447" s="24" t="n"/>
      <c r="K447" s="24" t="n"/>
      <c r="L447" s="26" t="n"/>
      <c r="M447" s="27">
        <f>IF(L447="","",IF(K447="GST 10%",ROUND(L447*set_GSTRate,2),0))</f>
        <v/>
      </c>
      <c r="N447" s="27">
        <f>IF(L447="","",L447+M447)</f>
        <v/>
      </c>
      <c r="O447" s="24" t="n"/>
      <c r="P447" s="24" t="n"/>
      <c r="Q447" s="24" t="n"/>
      <c r="R447" s="22" t="n"/>
      <c r="S447" s="22" t="n"/>
      <c r="T447" s="24" t="n"/>
      <c r="U447" s="24" t="n"/>
      <c r="V447" s="2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25">
        <f>IF(E447="","",IFERROR(INDEX(lst_JobName,MATCH(E447&amp;"",lst_Jobs,0)),""))</f>
        <v/>
      </c>
      <c r="X447" s="28">
        <f>IF(E447="","",COUNTIFS(tbl_Finance[Job Number],E447&amp;"",tbl_Finance[Ex GST],"&lt;&gt;"))</f>
        <v/>
      </c>
      <c r="Y447" s="27">
        <f>IF(E447="","",SUMIFS(tbl_Finance[Ex GST],tbl_Finance[Job Number],E447&amp;""))</f>
        <v/>
      </c>
      <c r="Z447" s="27">
        <f>IF(E447="","",SUMIFS(tbl_Finance[Ex GST],tbl_Finance[Job Number],E447&amp;"",tbl_Finance[Xero Invoice No],"&lt;&gt;"))</f>
        <v/>
      </c>
      <c r="AA447" s="27">
        <f>IF(E447="","",Y447-Z447)</f>
        <v/>
      </c>
      <c r="AB447" s="25">
        <f>IF(E447="","",IF(H447="Onsite",IFERROR(INDEX(tbl_Onsite[Qwilr Quote],MATCH(E447&amp;"",tbl_Onsite[Job Number],0)),""),IF(H447="Production",IFERROR(IF(INDEX(tbl_Production[Current RMS No],MATCH(E447&amp;"",tbl_Production[Job Number],0))="",INDEX(tbl_Production[Qwilr Quote],MATCH(E447&amp;"",tbl_Production[Job Number],0)),INDEX(tbl_Production[Current RMS No],MATCH(E447&amp;"",tbl_Production[Job Number],0))),""),IF(H447="Consulting",IFERROR(INDEX(tbl_Consulting[Qwilr Quote],MATCH(E447&amp;"",tbl_Consulting[Job Number],0)),""),""))))</f>
        <v/>
      </c>
      <c r="AC447" s="25">
        <f>IF(AB447="","",IF(AND(LEFT(AB447,4)&lt;&gt;"http",IF(H447="Production",set_RMSBase,set_QwilrBase)=""),"",HYPERLINK(IF(LEFT(AB447,4)="http",AB447,IF(H447="Production",set_RMSBase,set_QwilrBase)&amp;AB447),"Open")))</f>
        <v/>
      </c>
      <c r="AD447" s="27">
        <f>IF(E447="","",IF(H447="Production",IFERROR(INDEX(tbl_Production[Total Expense],MATCH(E447&amp;"",tbl_Production[Job Number],0)),0),IF(H447="Consulting",IFERROR(INDEX(tbl_Consulting[Total Expense],MATCH(E447&amp;"",tbl_Consulting[Job Number],0)),0),0)))</f>
        <v/>
      </c>
      <c r="AE447" s="27">
        <f>IF(E447="","",Y447-N(AD447))</f>
        <v/>
      </c>
      <c r="AF447" s="29">
        <f>IFERROR(AE447/Y447,"")</f>
        <v/>
      </c>
      <c r="AG447" s="2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22" t="n"/>
      <c r="B448" s="23">
        <f>IF(A448="","",EOMONTH(A448,0))</f>
        <v/>
      </c>
      <c r="C448" s="24" t="n"/>
      <c r="D448" s="24" t="n"/>
      <c r="E448" s="24" t="n"/>
      <c r="F448" s="25">
        <f>IF(E448="","",IF(COUNTIF(lst_Jobs,E448&amp;"")&gt;0,"OK","CHECK"))</f>
        <v/>
      </c>
      <c r="G448" s="24" t="n"/>
      <c r="H448" s="24" t="n"/>
      <c r="I448" s="24" t="n"/>
      <c r="J448" s="24" t="n"/>
      <c r="K448" s="24" t="n"/>
      <c r="L448" s="26" t="n"/>
      <c r="M448" s="27">
        <f>IF(L448="","",IF(K448="GST 10%",ROUND(L448*set_GSTRate,2),0))</f>
        <v/>
      </c>
      <c r="N448" s="27">
        <f>IF(L448="","",L448+M448)</f>
        <v/>
      </c>
      <c r="O448" s="24" t="n"/>
      <c r="P448" s="24" t="n"/>
      <c r="Q448" s="24" t="n"/>
      <c r="R448" s="22" t="n"/>
      <c r="S448" s="22" t="n"/>
      <c r="T448" s="24" t="n"/>
      <c r="U448" s="24" t="n"/>
      <c r="V448" s="2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25">
        <f>IF(E448="","",IFERROR(INDEX(lst_JobName,MATCH(E448&amp;"",lst_Jobs,0)),""))</f>
        <v/>
      </c>
      <c r="X448" s="28">
        <f>IF(E448="","",COUNTIFS(tbl_Finance[Job Number],E448&amp;"",tbl_Finance[Ex GST],"&lt;&gt;"))</f>
        <v/>
      </c>
      <c r="Y448" s="27">
        <f>IF(E448="","",SUMIFS(tbl_Finance[Ex GST],tbl_Finance[Job Number],E448&amp;""))</f>
        <v/>
      </c>
      <c r="Z448" s="27">
        <f>IF(E448="","",SUMIFS(tbl_Finance[Ex GST],tbl_Finance[Job Number],E448&amp;"",tbl_Finance[Xero Invoice No],"&lt;&gt;"))</f>
        <v/>
      </c>
      <c r="AA448" s="27">
        <f>IF(E448="","",Y448-Z448)</f>
        <v/>
      </c>
      <c r="AB448" s="25">
        <f>IF(E448="","",IF(H448="Onsite",IFERROR(INDEX(tbl_Onsite[Qwilr Quote],MATCH(E448&amp;"",tbl_Onsite[Job Number],0)),""),IF(H448="Production",IFERROR(IF(INDEX(tbl_Production[Current RMS No],MATCH(E448&amp;"",tbl_Production[Job Number],0))="",INDEX(tbl_Production[Qwilr Quote],MATCH(E448&amp;"",tbl_Production[Job Number],0)),INDEX(tbl_Production[Current RMS No],MATCH(E448&amp;"",tbl_Production[Job Number],0))),""),IF(H448="Consulting",IFERROR(INDEX(tbl_Consulting[Qwilr Quote],MATCH(E448&amp;"",tbl_Consulting[Job Number],0)),""),""))))</f>
        <v/>
      </c>
      <c r="AC448" s="25">
        <f>IF(AB448="","",IF(AND(LEFT(AB448,4)&lt;&gt;"http",IF(H448="Production",set_RMSBase,set_QwilrBase)=""),"",HYPERLINK(IF(LEFT(AB448,4)="http",AB448,IF(H448="Production",set_RMSBase,set_QwilrBase)&amp;AB448),"Open")))</f>
        <v/>
      </c>
      <c r="AD448" s="27">
        <f>IF(E448="","",IF(H448="Production",IFERROR(INDEX(tbl_Production[Total Expense],MATCH(E448&amp;"",tbl_Production[Job Number],0)),0),IF(H448="Consulting",IFERROR(INDEX(tbl_Consulting[Total Expense],MATCH(E448&amp;"",tbl_Consulting[Job Number],0)),0),0)))</f>
        <v/>
      </c>
      <c r="AE448" s="27">
        <f>IF(E448="","",Y448-N(AD448))</f>
        <v/>
      </c>
      <c r="AF448" s="29">
        <f>IFERROR(AE448/Y448,"")</f>
        <v/>
      </c>
      <c r="AG448" s="2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22" t="n"/>
      <c r="B449" s="23">
        <f>IF(A449="","",EOMONTH(A449,0))</f>
        <v/>
      </c>
      <c r="C449" s="24" t="n"/>
      <c r="D449" s="24" t="n"/>
      <c r="E449" s="24" t="n"/>
      <c r="F449" s="25">
        <f>IF(E449="","",IF(COUNTIF(lst_Jobs,E449&amp;"")&gt;0,"OK","CHECK"))</f>
        <v/>
      </c>
      <c r="G449" s="24" t="n"/>
      <c r="H449" s="24" t="n"/>
      <c r="I449" s="24" t="n"/>
      <c r="J449" s="24" t="n"/>
      <c r="K449" s="24" t="n"/>
      <c r="L449" s="26" t="n"/>
      <c r="M449" s="27">
        <f>IF(L449="","",IF(K449="GST 10%",ROUND(L449*set_GSTRate,2),0))</f>
        <v/>
      </c>
      <c r="N449" s="27">
        <f>IF(L449="","",L449+M449)</f>
        <v/>
      </c>
      <c r="O449" s="24" t="n"/>
      <c r="P449" s="24" t="n"/>
      <c r="Q449" s="24" t="n"/>
      <c r="R449" s="22" t="n"/>
      <c r="S449" s="22" t="n"/>
      <c r="T449" s="24" t="n"/>
      <c r="U449" s="24" t="n"/>
      <c r="V449" s="2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25">
        <f>IF(E449="","",IFERROR(INDEX(lst_JobName,MATCH(E449&amp;"",lst_Jobs,0)),""))</f>
        <v/>
      </c>
      <c r="X449" s="28">
        <f>IF(E449="","",COUNTIFS(tbl_Finance[Job Number],E449&amp;"",tbl_Finance[Ex GST],"&lt;&gt;"))</f>
        <v/>
      </c>
      <c r="Y449" s="27">
        <f>IF(E449="","",SUMIFS(tbl_Finance[Ex GST],tbl_Finance[Job Number],E449&amp;""))</f>
        <v/>
      </c>
      <c r="Z449" s="27">
        <f>IF(E449="","",SUMIFS(tbl_Finance[Ex GST],tbl_Finance[Job Number],E449&amp;"",tbl_Finance[Xero Invoice No],"&lt;&gt;"))</f>
        <v/>
      </c>
      <c r="AA449" s="27">
        <f>IF(E449="","",Y449-Z449)</f>
        <v/>
      </c>
      <c r="AB449" s="25">
        <f>IF(E449="","",IF(H449="Onsite",IFERROR(INDEX(tbl_Onsite[Qwilr Quote],MATCH(E449&amp;"",tbl_Onsite[Job Number],0)),""),IF(H449="Production",IFERROR(IF(INDEX(tbl_Production[Current RMS No],MATCH(E449&amp;"",tbl_Production[Job Number],0))="",INDEX(tbl_Production[Qwilr Quote],MATCH(E449&amp;"",tbl_Production[Job Number],0)),INDEX(tbl_Production[Current RMS No],MATCH(E449&amp;"",tbl_Production[Job Number],0))),""),IF(H449="Consulting",IFERROR(INDEX(tbl_Consulting[Qwilr Quote],MATCH(E449&amp;"",tbl_Consulting[Job Number],0)),""),""))))</f>
        <v/>
      </c>
      <c r="AC449" s="25">
        <f>IF(AB449="","",IF(AND(LEFT(AB449,4)&lt;&gt;"http",IF(H449="Production",set_RMSBase,set_QwilrBase)=""),"",HYPERLINK(IF(LEFT(AB449,4)="http",AB449,IF(H449="Production",set_RMSBase,set_QwilrBase)&amp;AB449),"Open")))</f>
        <v/>
      </c>
      <c r="AD449" s="27">
        <f>IF(E449="","",IF(H449="Production",IFERROR(INDEX(tbl_Production[Total Expense],MATCH(E449&amp;"",tbl_Production[Job Number],0)),0),IF(H449="Consulting",IFERROR(INDEX(tbl_Consulting[Total Expense],MATCH(E449&amp;"",tbl_Consulting[Job Number],0)),0),0)))</f>
        <v/>
      </c>
      <c r="AE449" s="27">
        <f>IF(E449="","",Y449-N(AD449))</f>
        <v/>
      </c>
      <c r="AF449" s="29">
        <f>IFERROR(AE449/Y449,"")</f>
        <v/>
      </c>
      <c r="AG449" s="2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22" t="n"/>
      <c r="B450" s="23">
        <f>IF(A450="","",EOMONTH(A450,0))</f>
        <v/>
      </c>
      <c r="C450" s="24" t="n"/>
      <c r="D450" s="24" t="n"/>
      <c r="E450" s="24" t="n"/>
      <c r="F450" s="25">
        <f>IF(E450="","",IF(COUNTIF(lst_Jobs,E450&amp;"")&gt;0,"OK","CHECK"))</f>
        <v/>
      </c>
      <c r="G450" s="24" t="n"/>
      <c r="H450" s="24" t="n"/>
      <c r="I450" s="24" t="n"/>
      <c r="J450" s="24" t="n"/>
      <c r="K450" s="24" t="n"/>
      <c r="L450" s="26" t="n"/>
      <c r="M450" s="27">
        <f>IF(L450="","",IF(K450="GST 10%",ROUND(L450*set_GSTRate,2),0))</f>
        <v/>
      </c>
      <c r="N450" s="27">
        <f>IF(L450="","",L450+M450)</f>
        <v/>
      </c>
      <c r="O450" s="24" t="n"/>
      <c r="P450" s="24" t="n"/>
      <c r="Q450" s="24" t="n"/>
      <c r="R450" s="22" t="n"/>
      <c r="S450" s="22" t="n"/>
      <c r="T450" s="24" t="n"/>
      <c r="U450" s="24" t="n"/>
      <c r="V450" s="2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25">
        <f>IF(E450="","",IFERROR(INDEX(lst_JobName,MATCH(E450&amp;"",lst_Jobs,0)),""))</f>
        <v/>
      </c>
      <c r="X450" s="28">
        <f>IF(E450="","",COUNTIFS(tbl_Finance[Job Number],E450&amp;"",tbl_Finance[Ex GST],"&lt;&gt;"))</f>
        <v/>
      </c>
      <c r="Y450" s="27">
        <f>IF(E450="","",SUMIFS(tbl_Finance[Ex GST],tbl_Finance[Job Number],E450&amp;""))</f>
        <v/>
      </c>
      <c r="Z450" s="27">
        <f>IF(E450="","",SUMIFS(tbl_Finance[Ex GST],tbl_Finance[Job Number],E450&amp;"",tbl_Finance[Xero Invoice No],"&lt;&gt;"))</f>
        <v/>
      </c>
      <c r="AA450" s="27">
        <f>IF(E450="","",Y450-Z450)</f>
        <v/>
      </c>
      <c r="AB450" s="25">
        <f>IF(E450="","",IF(H450="Onsite",IFERROR(INDEX(tbl_Onsite[Qwilr Quote],MATCH(E450&amp;"",tbl_Onsite[Job Number],0)),""),IF(H450="Production",IFERROR(IF(INDEX(tbl_Production[Current RMS No],MATCH(E450&amp;"",tbl_Production[Job Number],0))="",INDEX(tbl_Production[Qwilr Quote],MATCH(E450&amp;"",tbl_Production[Job Number],0)),INDEX(tbl_Production[Current RMS No],MATCH(E450&amp;"",tbl_Production[Job Number],0))),""),IF(H450="Consulting",IFERROR(INDEX(tbl_Consulting[Qwilr Quote],MATCH(E450&amp;"",tbl_Consulting[Job Number],0)),""),""))))</f>
        <v/>
      </c>
      <c r="AC450" s="25">
        <f>IF(AB450="","",IF(AND(LEFT(AB450,4)&lt;&gt;"http",IF(H450="Production",set_RMSBase,set_QwilrBase)=""),"",HYPERLINK(IF(LEFT(AB450,4)="http",AB450,IF(H450="Production",set_RMSBase,set_QwilrBase)&amp;AB450),"Open")))</f>
        <v/>
      </c>
      <c r="AD450" s="27">
        <f>IF(E450="","",IF(H450="Production",IFERROR(INDEX(tbl_Production[Total Expense],MATCH(E450&amp;"",tbl_Production[Job Number],0)),0),IF(H450="Consulting",IFERROR(INDEX(tbl_Consulting[Total Expense],MATCH(E450&amp;"",tbl_Consulting[Job Number],0)),0),0)))</f>
        <v/>
      </c>
      <c r="AE450" s="27">
        <f>IF(E450="","",Y450-N(AD450))</f>
        <v/>
      </c>
      <c r="AF450" s="29">
        <f>IFERROR(AE450/Y450,"")</f>
        <v/>
      </c>
      <c r="AG450" s="2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22" t="n"/>
      <c r="B451" s="23">
        <f>IF(A451="","",EOMONTH(A451,0))</f>
        <v/>
      </c>
      <c r="C451" s="24" t="n"/>
      <c r="D451" s="24" t="n"/>
      <c r="E451" s="24" t="n"/>
      <c r="F451" s="25">
        <f>IF(E451="","",IF(COUNTIF(lst_Jobs,E451&amp;"")&gt;0,"OK","CHECK"))</f>
        <v/>
      </c>
      <c r="G451" s="24" t="n"/>
      <c r="H451" s="24" t="n"/>
      <c r="I451" s="24" t="n"/>
      <c r="J451" s="24" t="n"/>
      <c r="K451" s="24" t="n"/>
      <c r="L451" s="26" t="n"/>
      <c r="M451" s="27">
        <f>IF(L451="","",IF(K451="GST 10%",ROUND(L451*set_GSTRate,2),0))</f>
        <v/>
      </c>
      <c r="N451" s="27">
        <f>IF(L451="","",L451+M451)</f>
        <v/>
      </c>
      <c r="O451" s="24" t="n"/>
      <c r="P451" s="24" t="n"/>
      <c r="Q451" s="24" t="n"/>
      <c r="R451" s="22" t="n"/>
      <c r="S451" s="22" t="n"/>
      <c r="T451" s="24" t="n"/>
      <c r="U451" s="24" t="n"/>
      <c r="V451" s="2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25">
        <f>IF(E451="","",IFERROR(INDEX(lst_JobName,MATCH(E451&amp;"",lst_Jobs,0)),""))</f>
        <v/>
      </c>
      <c r="X451" s="28">
        <f>IF(E451="","",COUNTIFS(tbl_Finance[Job Number],E451&amp;"",tbl_Finance[Ex GST],"&lt;&gt;"))</f>
        <v/>
      </c>
      <c r="Y451" s="27">
        <f>IF(E451="","",SUMIFS(tbl_Finance[Ex GST],tbl_Finance[Job Number],E451&amp;""))</f>
        <v/>
      </c>
      <c r="Z451" s="27">
        <f>IF(E451="","",SUMIFS(tbl_Finance[Ex GST],tbl_Finance[Job Number],E451&amp;"",tbl_Finance[Xero Invoice No],"&lt;&gt;"))</f>
        <v/>
      </c>
      <c r="AA451" s="27">
        <f>IF(E451="","",Y451-Z451)</f>
        <v/>
      </c>
      <c r="AB451" s="25">
        <f>IF(E451="","",IF(H451="Onsite",IFERROR(INDEX(tbl_Onsite[Qwilr Quote],MATCH(E451&amp;"",tbl_Onsite[Job Number],0)),""),IF(H451="Production",IFERROR(IF(INDEX(tbl_Production[Current RMS No],MATCH(E451&amp;"",tbl_Production[Job Number],0))="",INDEX(tbl_Production[Qwilr Quote],MATCH(E451&amp;"",tbl_Production[Job Number],0)),INDEX(tbl_Production[Current RMS No],MATCH(E451&amp;"",tbl_Production[Job Number],0))),""),IF(H451="Consulting",IFERROR(INDEX(tbl_Consulting[Qwilr Quote],MATCH(E451&amp;"",tbl_Consulting[Job Number],0)),""),""))))</f>
        <v/>
      </c>
      <c r="AC451" s="25">
        <f>IF(AB451="","",IF(AND(LEFT(AB451,4)&lt;&gt;"http",IF(H451="Production",set_RMSBase,set_QwilrBase)=""),"",HYPERLINK(IF(LEFT(AB451,4)="http",AB451,IF(H451="Production",set_RMSBase,set_QwilrBase)&amp;AB451),"Open")))</f>
        <v/>
      </c>
      <c r="AD451" s="27">
        <f>IF(E451="","",IF(H451="Production",IFERROR(INDEX(tbl_Production[Total Expense],MATCH(E451&amp;"",tbl_Production[Job Number],0)),0),IF(H451="Consulting",IFERROR(INDEX(tbl_Consulting[Total Expense],MATCH(E451&amp;"",tbl_Consulting[Job Number],0)),0),0)))</f>
        <v/>
      </c>
      <c r="AE451" s="27">
        <f>IF(E451="","",Y451-N(AD451))</f>
        <v/>
      </c>
      <c r="AF451" s="29">
        <f>IFERROR(AE451/Y451,"")</f>
        <v/>
      </c>
      <c r="AG451" s="2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22" t="n"/>
      <c r="B452" s="23">
        <f>IF(A452="","",EOMONTH(A452,0))</f>
        <v/>
      </c>
      <c r="C452" s="24" t="n"/>
      <c r="D452" s="24" t="n"/>
      <c r="E452" s="24" t="n"/>
      <c r="F452" s="25">
        <f>IF(E452="","",IF(COUNTIF(lst_Jobs,E452&amp;"")&gt;0,"OK","CHECK"))</f>
        <v/>
      </c>
      <c r="G452" s="24" t="n"/>
      <c r="H452" s="24" t="n"/>
      <c r="I452" s="24" t="n"/>
      <c r="J452" s="24" t="n"/>
      <c r="K452" s="24" t="n"/>
      <c r="L452" s="26" t="n"/>
      <c r="M452" s="27">
        <f>IF(L452="","",IF(K452="GST 10%",ROUND(L452*set_GSTRate,2),0))</f>
        <v/>
      </c>
      <c r="N452" s="27">
        <f>IF(L452="","",L452+M452)</f>
        <v/>
      </c>
      <c r="O452" s="24" t="n"/>
      <c r="P452" s="24" t="n"/>
      <c r="Q452" s="24" t="n"/>
      <c r="R452" s="22" t="n"/>
      <c r="S452" s="22" t="n"/>
      <c r="T452" s="24" t="n"/>
      <c r="U452" s="24" t="n"/>
      <c r="V452" s="2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25">
        <f>IF(E452="","",IFERROR(INDEX(lst_JobName,MATCH(E452&amp;"",lst_Jobs,0)),""))</f>
        <v/>
      </c>
      <c r="X452" s="28">
        <f>IF(E452="","",COUNTIFS(tbl_Finance[Job Number],E452&amp;"",tbl_Finance[Ex GST],"&lt;&gt;"))</f>
        <v/>
      </c>
      <c r="Y452" s="27">
        <f>IF(E452="","",SUMIFS(tbl_Finance[Ex GST],tbl_Finance[Job Number],E452&amp;""))</f>
        <v/>
      </c>
      <c r="Z452" s="27">
        <f>IF(E452="","",SUMIFS(tbl_Finance[Ex GST],tbl_Finance[Job Number],E452&amp;"",tbl_Finance[Xero Invoice No],"&lt;&gt;"))</f>
        <v/>
      </c>
      <c r="AA452" s="27">
        <f>IF(E452="","",Y452-Z452)</f>
        <v/>
      </c>
      <c r="AB452" s="25">
        <f>IF(E452="","",IF(H452="Onsite",IFERROR(INDEX(tbl_Onsite[Qwilr Quote],MATCH(E452&amp;"",tbl_Onsite[Job Number],0)),""),IF(H452="Production",IFERROR(IF(INDEX(tbl_Production[Current RMS No],MATCH(E452&amp;"",tbl_Production[Job Number],0))="",INDEX(tbl_Production[Qwilr Quote],MATCH(E452&amp;"",tbl_Production[Job Number],0)),INDEX(tbl_Production[Current RMS No],MATCH(E452&amp;"",tbl_Production[Job Number],0))),""),IF(H452="Consulting",IFERROR(INDEX(tbl_Consulting[Qwilr Quote],MATCH(E452&amp;"",tbl_Consulting[Job Number],0)),""),""))))</f>
        <v/>
      </c>
      <c r="AC452" s="25">
        <f>IF(AB452="","",IF(AND(LEFT(AB452,4)&lt;&gt;"http",IF(H452="Production",set_RMSBase,set_QwilrBase)=""),"",HYPERLINK(IF(LEFT(AB452,4)="http",AB452,IF(H452="Production",set_RMSBase,set_QwilrBase)&amp;AB452),"Open")))</f>
        <v/>
      </c>
      <c r="AD452" s="27">
        <f>IF(E452="","",IF(H452="Production",IFERROR(INDEX(tbl_Production[Total Expense],MATCH(E452&amp;"",tbl_Production[Job Number],0)),0),IF(H452="Consulting",IFERROR(INDEX(tbl_Consulting[Total Expense],MATCH(E452&amp;"",tbl_Consulting[Job Number],0)),0),0)))</f>
        <v/>
      </c>
      <c r="AE452" s="27">
        <f>IF(E452="","",Y452-N(AD452))</f>
        <v/>
      </c>
      <c r="AF452" s="29">
        <f>IFERROR(AE452/Y452,"")</f>
        <v/>
      </c>
      <c r="AG452" s="2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22" t="n"/>
      <c r="B453" s="23">
        <f>IF(A453="","",EOMONTH(A453,0))</f>
        <v/>
      </c>
      <c r="C453" s="24" t="n"/>
      <c r="D453" s="24" t="n"/>
      <c r="E453" s="24" t="n"/>
      <c r="F453" s="25">
        <f>IF(E453="","",IF(COUNTIF(lst_Jobs,E453&amp;"")&gt;0,"OK","CHECK"))</f>
        <v/>
      </c>
      <c r="G453" s="24" t="n"/>
      <c r="H453" s="24" t="n"/>
      <c r="I453" s="24" t="n"/>
      <c r="J453" s="24" t="n"/>
      <c r="K453" s="24" t="n"/>
      <c r="L453" s="26" t="n"/>
      <c r="M453" s="27">
        <f>IF(L453="","",IF(K453="GST 10%",ROUND(L453*set_GSTRate,2),0))</f>
        <v/>
      </c>
      <c r="N453" s="27">
        <f>IF(L453="","",L453+M453)</f>
        <v/>
      </c>
      <c r="O453" s="24" t="n"/>
      <c r="P453" s="24" t="n"/>
      <c r="Q453" s="24" t="n"/>
      <c r="R453" s="22" t="n"/>
      <c r="S453" s="22" t="n"/>
      <c r="T453" s="24" t="n"/>
      <c r="U453" s="24" t="n"/>
      <c r="V453" s="2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25">
        <f>IF(E453="","",IFERROR(INDEX(lst_JobName,MATCH(E453&amp;"",lst_Jobs,0)),""))</f>
        <v/>
      </c>
      <c r="X453" s="28">
        <f>IF(E453="","",COUNTIFS(tbl_Finance[Job Number],E453&amp;"",tbl_Finance[Ex GST],"&lt;&gt;"))</f>
        <v/>
      </c>
      <c r="Y453" s="27">
        <f>IF(E453="","",SUMIFS(tbl_Finance[Ex GST],tbl_Finance[Job Number],E453&amp;""))</f>
        <v/>
      </c>
      <c r="Z453" s="27">
        <f>IF(E453="","",SUMIFS(tbl_Finance[Ex GST],tbl_Finance[Job Number],E453&amp;"",tbl_Finance[Xero Invoice No],"&lt;&gt;"))</f>
        <v/>
      </c>
      <c r="AA453" s="27">
        <f>IF(E453="","",Y453-Z453)</f>
        <v/>
      </c>
      <c r="AB453" s="25">
        <f>IF(E453="","",IF(H453="Onsite",IFERROR(INDEX(tbl_Onsite[Qwilr Quote],MATCH(E453&amp;"",tbl_Onsite[Job Number],0)),""),IF(H453="Production",IFERROR(IF(INDEX(tbl_Production[Current RMS No],MATCH(E453&amp;"",tbl_Production[Job Number],0))="",INDEX(tbl_Production[Qwilr Quote],MATCH(E453&amp;"",tbl_Production[Job Number],0)),INDEX(tbl_Production[Current RMS No],MATCH(E453&amp;"",tbl_Production[Job Number],0))),""),IF(H453="Consulting",IFERROR(INDEX(tbl_Consulting[Qwilr Quote],MATCH(E453&amp;"",tbl_Consulting[Job Number],0)),""),""))))</f>
        <v/>
      </c>
      <c r="AC453" s="25">
        <f>IF(AB453="","",IF(AND(LEFT(AB453,4)&lt;&gt;"http",IF(H453="Production",set_RMSBase,set_QwilrBase)=""),"",HYPERLINK(IF(LEFT(AB453,4)="http",AB453,IF(H453="Production",set_RMSBase,set_QwilrBase)&amp;AB453),"Open")))</f>
        <v/>
      </c>
      <c r="AD453" s="27">
        <f>IF(E453="","",IF(H453="Production",IFERROR(INDEX(tbl_Production[Total Expense],MATCH(E453&amp;"",tbl_Production[Job Number],0)),0),IF(H453="Consulting",IFERROR(INDEX(tbl_Consulting[Total Expense],MATCH(E453&amp;"",tbl_Consulting[Job Number],0)),0),0)))</f>
        <v/>
      </c>
      <c r="AE453" s="27">
        <f>IF(E453="","",Y453-N(AD453))</f>
        <v/>
      </c>
      <c r="AF453" s="29">
        <f>IFERROR(AE453/Y453,"")</f>
        <v/>
      </c>
      <c r="AG453" s="2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22" t="n"/>
      <c r="B454" s="23">
        <f>IF(A454="","",EOMONTH(A454,0))</f>
        <v/>
      </c>
      <c r="C454" s="24" t="n"/>
      <c r="D454" s="24" t="n"/>
      <c r="E454" s="24" t="n"/>
      <c r="F454" s="25">
        <f>IF(E454="","",IF(COUNTIF(lst_Jobs,E454&amp;"")&gt;0,"OK","CHECK"))</f>
        <v/>
      </c>
      <c r="G454" s="24" t="n"/>
      <c r="H454" s="24" t="n"/>
      <c r="I454" s="24" t="n"/>
      <c r="J454" s="24" t="n"/>
      <c r="K454" s="24" t="n"/>
      <c r="L454" s="26" t="n"/>
      <c r="M454" s="27">
        <f>IF(L454="","",IF(K454="GST 10%",ROUND(L454*set_GSTRate,2),0))</f>
        <v/>
      </c>
      <c r="N454" s="27">
        <f>IF(L454="","",L454+M454)</f>
        <v/>
      </c>
      <c r="O454" s="24" t="n"/>
      <c r="P454" s="24" t="n"/>
      <c r="Q454" s="24" t="n"/>
      <c r="R454" s="22" t="n"/>
      <c r="S454" s="22" t="n"/>
      <c r="T454" s="24" t="n"/>
      <c r="U454" s="24" t="n"/>
      <c r="V454" s="2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25">
        <f>IF(E454="","",IFERROR(INDEX(lst_JobName,MATCH(E454&amp;"",lst_Jobs,0)),""))</f>
        <v/>
      </c>
      <c r="X454" s="28">
        <f>IF(E454="","",COUNTIFS(tbl_Finance[Job Number],E454&amp;"",tbl_Finance[Ex GST],"&lt;&gt;"))</f>
        <v/>
      </c>
      <c r="Y454" s="27">
        <f>IF(E454="","",SUMIFS(tbl_Finance[Ex GST],tbl_Finance[Job Number],E454&amp;""))</f>
        <v/>
      </c>
      <c r="Z454" s="27">
        <f>IF(E454="","",SUMIFS(tbl_Finance[Ex GST],tbl_Finance[Job Number],E454&amp;"",tbl_Finance[Xero Invoice No],"&lt;&gt;"))</f>
        <v/>
      </c>
      <c r="AA454" s="27">
        <f>IF(E454="","",Y454-Z454)</f>
        <v/>
      </c>
      <c r="AB454" s="25">
        <f>IF(E454="","",IF(H454="Onsite",IFERROR(INDEX(tbl_Onsite[Qwilr Quote],MATCH(E454&amp;"",tbl_Onsite[Job Number],0)),""),IF(H454="Production",IFERROR(IF(INDEX(tbl_Production[Current RMS No],MATCH(E454&amp;"",tbl_Production[Job Number],0))="",INDEX(tbl_Production[Qwilr Quote],MATCH(E454&amp;"",tbl_Production[Job Number],0)),INDEX(tbl_Production[Current RMS No],MATCH(E454&amp;"",tbl_Production[Job Number],0))),""),IF(H454="Consulting",IFERROR(INDEX(tbl_Consulting[Qwilr Quote],MATCH(E454&amp;"",tbl_Consulting[Job Number],0)),""),""))))</f>
        <v/>
      </c>
      <c r="AC454" s="25">
        <f>IF(AB454="","",IF(AND(LEFT(AB454,4)&lt;&gt;"http",IF(H454="Production",set_RMSBase,set_QwilrBase)=""),"",HYPERLINK(IF(LEFT(AB454,4)="http",AB454,IF(H454="Production",set_RMSBase,set_QwilrBase)&amp;AB454),"Open")))</f>
        <v/>
      </c>
      <c r="AD454" s="27">
        <f>IF(E454="","",IF(H454="Production",IFERROR(INDEX(tbl_Production[Total Expense],MATCH(E454&amp;"",tbl_Production[Job Number],0)),0),IF(H454="Consulting",IFERROR(INDEX(tbl_Consulting[Total Expense],MATCH(E454&amp;"",tbl_Consulting[Job Number],0)),0),0)))</f>
        <v/>
      </c>
      <c r="AE454" s="27">
        <f>IF(E454="","",Y454-N(AD454))</f>
        <v/>
      </c>
      <c r="AF454" s="29">
        <f>IFERROR(AE454/Y454,"")</f>
        <v/>
      </c>
      <c r="AG454" s="2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22" t="n"/>
      <c r="B455" s="23">
        <f>IF(A455="","",EOMONTH(A455,0))</f>
        <v/>
      </c>
      <c r="C455" s="24" t="n"/>
      <c r="D455" s="24" t="n"/>
      <c r="E455" s="24" t="n"/>
      <c r="F455" s="25">
        <f>IF(E455="","",IF(COUNTIF(lst_Jobs,E455&amp;"")&gt;0,"OK","CHECK"))</f>
        <v/>
      </c>
      <c r="G455" s="24" t="n"/>
      <c r="H455" s="24" t="n"/>
      <c r="I455" s="24" t="n"/>
      <c r="J455" s="24" t="n"/>
      <c r="K455" s="24" t="n"/>
      <c r="L455" s="26" t="n"/>
      <c r="M455" s="27">
        <f>IF(L455="","",IF(K455="GST 10%",ROUND(L455*set_GSTRate,2),0))</f>
        <v/>
      </c>
      <c r="N455" s="27">
        <f>IF(L455="","",L455+M455)</f>
        <v/>
      </c>
      <c r="O455" s="24" t="n"/>
      <c r="P455" s="24" t="n"/>
      <c r="Q455" s="24" t="n"/>
      <c r="R455" s="22" t="n"/>
      <c r="S455" s="22" t="n"/>
      <c r="T455" s="24" t="n"/>
      <c r="U455" s="24" t="n"/>
      <c r="V455" s="2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25">
        <f>IF(E455="","",IFERROR(INDEX(lst_JobName,MATCH(E455&amp;"",lst_Jobs,0)),""))</f>
        <v/>
      </c>
      <c r="X455" s="28">
        <f>IF(E455="","",COUNTIFS(tbl_Finance[Job Number],E455&amp;"",tbl_Finance[Ex GST],"&lt;&gt;"))</f>
        <v/>
      </c>
      <c r="Y455" s="27">
        <f>IF(E455="","",SUMIFS(tbl_Finance[Ex GST],tbl_Finance[Job Number],E455&amp;""))</f>
        <v/>
      </c>
      <c r="Z455" s="27">
        <f>IF(E455="","",SUMIFS(tbl_Finance[Ex GST],tbl_Finance[Job Number],E455&amp;"",tbl_Finance[Xero Invoice No],"&lt;&gt;"))</f>
        <v/>
      </c>
      <c r="AA455" s="27">
        <f>IF(E455="","",Y455-Z455)</f>
        <v/>
      </c>
      <c r="AB455" s="25">
        <f>IF(E455="","",IF(H455="Onsite",IFERROR(INDEX(tbl_Onsite[Qwilr Quote],MATCH(E455&amp;"",tbl_Onsite[Job Number],0)),""),IF(H455="Production",IFERROR(IF(INDEX(tbl_Production[Current RMS No],MATCH(E455&amp;"",tbl_Production[Job Number],0))="",INDEX(tbl_Production[Qwilr Quote],MATCH(E455&amp;"",tbl_Production[Job Number],0)),INDEX(tbl_Production[Current RMS No],MATCH(E455&amp;"",tbl_Production[Job Number],0))),""),IF(H455="Consulting",IFERROR(INDEX(tbl_Consulting[Qwilr Quote],MATCH(E455&amp;"",tbl_Consulting[Job Number],0)),""),""))))</f>
        <v/>
      </c>
      <c r="AC455" s="25">
        <f>IF(AB455="","",IF(AND(LEFT(AB455,4)&lt;&gt;"http",IF(H455="Production",set_RMSBase,set_QwilrBase)=""),"",HYPERLINK(IF(LEFT(AB455,4)="http",AB455,IF(H455="Production",set_RMSBase,set_QwilrBase)&amp;AB455),"Open")))</f>
        <v/>
      </c>
      <c r="AD455" s="27">
        <f>IF(E455="","",IF(H455="Production",IFERROR(INDEX(tbl_Production[Total Expense],MATCH(E455&amp;"",tbl_Production[Job Number],0)),0),IF(H455="Consulting",IFERROR(INDEX(tbl_Consulting[Total Expense],MATCH(E455&amp;"",tbl_Consulting[Job Number],0)),0),0)))</f>
        <v/>
      </c>
      <c r="AE455" s="27">
        <f>IF(E455="","",Y455-N(AD455))</f>
        <v/>
      </c>
      <c r="AF455" s="29">
        <f>IFERROR(AE455/Y455,"")</f>
        <v/>
      </c>
      <c r="AG455" s="2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22" t="n"/>
      <c r="B456" s="23">
        <f>IF(A456="","",EOMONTH(A456,0))</f>
        <v/>
      </c>
      <c r="C456" s="24" t="n"/>
      <c r="D456" s="24" t="n"/>
      <c r="E456" s="24" t="n"/>
      <c r="F456" s="25">
        <f>IF(E456="","",IF(COUNTIF(lst_Jobs,E456&amp;"")&gt;0,"OK","CHECK"))</f>
        <v/>
      </c>
      <c r="G456" s="24" t="n"/>
      <c r="H456" s="24" t="n"/>
      <c r="I456" s="24" t="n"/>
      <c r="J456" s="24" t="n"/>
      <c r="K456" s="24" t="n"/>
      <c r="L456" s="26" t="n"/>
      <c r="M456" s="27">
        <f>IF(L456="","",IF(K456="GST 10%",ROUND(L456*set_GSTRate,2),0))</f>
        <v/>
      </c>
      <c r="N456" s="27">
        <f>IF(L456="","",L456+M456)</f>
        <v/>
      </c>
      <c r="O456" s="24" t="n"/>
      <c r="P456" s="24" t="n"/>
      <c r="Q456" s="24" t="n"/>
      <c r="R456" s="22" t="n"/>
      <c r="S456" s="22" t="n"/>
      <c r="T456" s="24" t="n"/>
      <c r="U456" s="24" t="n"/>
      <c r="V456" s="2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25">
        <f>IF(E456="","",IFERROR(INDEX(lst_JobName,MATCH(E456&amp;"",lst_Jobs,0)),""))</f>
        <v/>
      </c>
      <c r="X456" s="28">
        <f>IF(E456="","",COUNTIFS(tbl_Finance[Job Number],E456&amp;"",tbl_Finance[Ex GST],"&lt;&gt;"))</f>
        <v/>
      </c>
      <c r="Y456" s="27">
        <f>IF(E456="","",SUMIFS(tbl_Finance[Ex GST],tbl_Finance[Job Number],E456&amp;""))</f>
        <v/>
      </c>
      <c r="Z456" s="27">
        <f>IF(E456="","",SUMIFS(tbl_Finance[Ex GST],tbl_Finance[Job Number],E456&amp;"",tbl_Finance[Xero Invoice No],"&lt;&gt;"))</f>
        <v/>
      </c>
      <c r="AA456" s="27">
        <f>IF(E456="","",Y456-Z456)</f>
        <v/>
      </c>
      <c r="AB456" s="25">
        <f>IF(E456="","",IF(H456="Onsite",IFERROR(INDEX(tbl_Onsite[Qwilr Quote],MATCH(E456&amp;"",tbl_Onsite[Job Number],0)),""),IF(H456="Production",IFERROR(IF(INDEX(tbl_Production[Current RMS No],MATCH(E456&amp;"",tbl_Production[Job Number],0))="",INDEX(tbl_Production[Qwilr Quote],MATCH(E456&amp;"",tbl_Production[Job Number],0)),INDEX(tbl_Production[Current RMS No],MATCH(E456&amp;"",tbl_Production[Job Number],0))),""),IF(H456="Consulting",IFERROR(INDEX(tbl_Consulting[Qwilr Quote],MATCH(E456&amp;"",tbl_Consulting[Job Number],0)),""),""))))</f>
        <v/>
      </c>
      <c r="AC456" s="25">
        <f>IF(AB456="","",IF(AND(LEFT(AB456,4)&lt;&gt;"http",IF(H456="Production",set_RMSBase,set_QwilrBase)=""),"",HYPERLINK(IF(LEFT(AB456,4)="http",AB456,IF(H456="Production",set_RMSBase,set_QwilrBase)&amp;AB456),"Open")))</f>
        <v/>
      </c>
      <c r="AD456" s="27">
        <f>IF(E456="","",IF(H456="Production",IFERROR(INDEX(tbl_Production[Total Expense],MATCH(E456&amp;"",tbl_Production[Job Number],0)),0),IF(H456="Consulting",IFERROR(INDEX(tbl_Consulting[Total Expense],MATCH(E456&amp;"",tbl_Consulting[Job Number],0)),0),0)))</f>
        <v/>
      </c>
      <c r="AE456" s="27">
        <f>IF(E456="","",Y456-N(AD456))</f>
        <v/>
      </c>
      <c r="AF456" s="29">
        <f>IFERROR(AE456/Y456,"")</f>
        <v/>
      </c>
      <c r="AG456" s="2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22" t="n"/>
      <c r="B457" s="23">
        <f>IF(A457="","",EOMONTH(A457,0))</f>
        <v/>
      </c>
      <c r="C457" s="24" t="n"/>
      <c r="D457" s="24" t="n"/>
      <c r="E457" s="24" t="n"/>
      <c r="F457" s="25">
        <f>IF(E457="","",IF(COUNTIF(lst_Jobs,E457&amp;"")&gt;0,"OK","CHECK"))</f>
        <v/>
      </c>
      <c r="G457" s="24" t="n"/>
      <c r="H457" s="24" t="n"/>
      <c r="I457" s="24" t="n"/>
      <c r="J457" s="24" t="n"/>
      <c r="K457" s="24" t="n"/>
      <c r="L457" s="26" t="n"/>
      <c r="M457" s="27">
        <f>IF(L457="","",IF(K457="GST 10%",ROUND(L457*set_GSTRate,2),0))</f>
        <v/>
      </c>
      <c r="N457" s="27">
        <f>IF(L457="","",L457+M457)</f>
        <v/>
      </c>
      <c r="O457" s="24" t="n"/>
      <c r="P457" s="24" t="n"/>
      <c r="Q457" s="24" t="n"/>
      <c r="R457" s="22" t="n"/>
      <c r="S457" s="22" t="n"/>
      <c r="T457" s="24" t="n"/>
      <c r="U457" s="24" t="n"/>
      <c r="V457" s="2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25">
        <f>IF(E457="","",IFERROR(INDEX(lst_JobName,MATCH(E457&amp;"",lst_Jobs,0)),""))</f>
        <v/>
      </c>
      <c r="X457" s="28">
        <f>IF(E457="","",COUNTIFS(tbl_Finance[Job Number],E457&amp;"",tbl_Finance[Ex GST],"&lt;&gt;"))</f>
        <v/>
      </c>
      <c r="Y457" s="27">
        <f>IF(E457="","",SUMIFS(tbl_Finance[Ex GST],tbl_Finance[Job Number],E457&amp;""))</f>
        <v/>
      </c>
      <c r="Z457" s="27">
        <f>IF(E457="","",SUMIFS(tbl_Finance[Ex GST],tbl_Finance[Job Number],E457&amp;"",tbl_Finance[Xero Invoice No],"&lt;&gt;"))</f>
        <v/>
      </c>
      <c r="AA457" s="27">
        <f>IF(E457="","",Y457-Z457)</f>
        <v/>
      </c>
      <c r="AB457" s="25">
        <f>IF(E457="","",IF(H457="Onsite",IFERROR(INDEX(tbl_Onsite[Qwilr Quote],MATCH(E457&amp;"",tbl_Onsite[Job Number],0)),""),IF(H457="Production",IFERROR(IF(INDEX(tbl_Production[Current RMS No],MATCH(E457&amp;"",tbl_Production[Job Number],0))="",INDEX(tbl_Production[Qwilr Quote],MATCH(E457&amp;"",tbl_Production[Job Number],0)),INDEX(tbl_Production[Current RMS No],MATCH(E457&amp;"",tbl_Production[Job Number],0))),""),IF(H457="Consulting",IFERROR(INDEX(tbl_Consulting[Qwilr Quote],MATCH(E457&amp;"",tbl_Consulting[Job Number],0)),""),""))))</f>
        <v/>
      </c>
      <c r="AC457" s="25">
        <f>IF(AB457="","",IF(AND(LEFT(AB457,4)&lt;&gt;"http",IF(H457="Production",set_RMSBase,set_QwilrBase)=""),"",HYPERLINK(IF(LEFT(AB457,4)="http",AB457,IF(H457="Production",set_RMSBase,set_QwilrBase)&amp;AB457),"Open")))</f>
        <v/>
      </c>
      <c r="AD457" s="27">
        <f>IF(E457="","",IF(H457="Production",IFERROR(INDEX(tbl_Production[Total Expense],MATCH(E457&amp;"",tbl_Production[Job Number],0)),0),IF(H457="Consulting",IFERROR(INDEX(tbl_Consulting[Total Expense],MATCH(E457&amp;"",tbl_Consulting[Job Number],0)),0),0)))</f>
        <v/>
      </c>
      <c r="AE457" s="27">
        <f>IF(E457="","",Y457-N(AD457))</f>
        <v/>
      </c>
      <c r="AF457" s="29">
        <f>IFERROR(AE457/Y457,"")</f>
        <v/>
      </c>
      <c r="AG457" s="2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22" t="n"/>
      <c r="B458" s="23">
        <f>IF(A458="","",EOMONTH(A458,0))</f>
        <v/>
      </c>
      <c r="C458" s="24" t="n"/>
      <c r="D458" s="24" t="n"/>
      <c r="E458" s="24" t="n"/>
      <c r="F458" s="25">
        <f>IF(E458="","",IF(COUNTIF(lst_Jobs,E458&amp;"")&gt;0,"OK","CHECK"))</f>
        <v/>
      </c>
      <c r="G458" s="24" t="n"/>
      <c r="H458" s="24" t="n"/>
      <c r="I458" s="24" t="n"/>
      <c r="J458" s="24" t="n"/>
      <c r="K458" s="24" t="n"/>
      <c r="L458" s="26" t="n"/>
      <c r="M458" s="27">
        <f>IF(L458="","",IF(K458="GST 10%",ROUND(L458*set_GSTRate,2),0))</f>
        <v/>
      </c>
      <c r="N458" s="27">
        <f>IF(L458="","",L458+M458)</f>
        <v/>
      </c>
      <c r="O458" s="24" t="n"/>
      <c r="P458" s="24" t="n"/>
      <c r="Q458" s="24" t="n"/>
      <c r="R458" s="22" t="n"/>
      <c r="S458" s="22" t="n"/>
      <c r="T458" s="24" t="n"/>
      <c r="U458" s="24" t="n"/>
      <c r="V458" s="2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25">
        <f>IF(E458="","",IFERROR(INDEX(lst_JobName,MATCH(E458&amp;"",lst_Jobs,0)),""))</f>
        <v/>
      </c>
      <c r="X458" s="28">
        <f>IF(E458="","",COUNTIFS(tbl_Finance[Job Number],E458&amp;"",tbl_Finance[Ex GST],"&lt;&gt;"))</f>
        <v/>
      </c>
      <c r="Y458" s="27">
        <f>IF(E458="","",SUMIFS(tbl_Finance[Ex GST],tbl_Finance[Job Number],E458&amp;""))</f>
        <v/>
      </c>
      <c r="Z458" s="27">
        <f>IF(E458="","",SUMIFS(tbl_Finance[Ex GST],tbl_Finance[Job Number],E458&amp;"",tbl_Finance[Xero Invoice No],"&lt;&gt;"))</f>
        <v/>
      </c>
      <c r="AA458" s="27">
        <f>IF(E458="","",Y458-Z458)</f>
        <v/>
      </c>
      <c r="AB458" s="25">
        <f>IF(E458="","",IF(H458="Onsite",IFERROR(INDEX(tbl_Onsite[Qwilr Quote],MATCH(E458&amp;"",tbl_Onsite[Job Number],0)),""),IF(H458="Production",IFERROR(IF(INDEX(tbl_Production[Current RMS No],MATCH(E458&amp;"",tbl_Production[Job Number],0))="",INDEX(tbl_Production[Qwilr Quote],MATCH(E458&amp;"",tbl_Production[Job Number],0)),INDEX(tbl_Production[Current RMS No],MATCH(E458&amp;"",tbl_Production[Job Number],0))),""),IF(H458="Consulting",IFERROR(INDEX(tbl_Consulting[Qwilr Quote],MATCH(E458&amp;"",tbl_Consulting[Job Number],0)),""),""))))</f>
        <v/>
      </c>
      <c r="AC458" s="25">
        <f>IF(AB458="","",IF(AND(LEFT(AB458,4)&lt;&gt;"http",IF(H458="Production",set_RMSBase,set_QwilrBase)=""),"",HYPERLINK(IF(LEFT(AB458,4)="http",AB458,IF(H458="Production",set_RMSBase,set_QwilrBase)&amp;AB458),"Open")))</f>
        <v/>
      </c>
      <c r="AD458" s="27">
        <f>IF(E458="","",IF(H458="Production",IFERROR(INDEX(tbl_Production[Total Expense],MATCH(E458&amp;"",tbl_Production[Job Number],0)),0),IF(H458="Consulting",IFERROR(INDEX(tbl_Consulting[Total Expense],MATCH(E458&amp;"",tbl_Consulting[Job Number],0)),0),0)))</f>
        <v/>
      </c>
      <c r="AE458" s="27">
        <f>IF(E458="","",Y458-N(AD458))</f>
        <v/>
      </c>
      <c r="AF458" s="29">
        <f>IFERROR(AE458/Y458,"")</f>
        <v/>
      </c>
      <c r="AG458" s="2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22" t="n"/>
      <c r="B459" s="23">
        <f>IF(A459="","",EOMONTH(A459,0))</f>
        <v/>
      </c>
      <c r="C459" s="24" t="n"/>
      <c r="D459" s="24" t="n"/>
      <c r="E459" s="24" t="n"/>
      <c r="F459" s="25">
        <f>IF(E459="","",IF(COUNTIF(lst_Jobs,E459&amp;"")&gt;0,"OK","CHECK"))</f>
        <v/>
      </c>
      <c r="G459" s="24" t="n"/>
      <c r="H459" s="24" t="n"/>
      <c r="I459" s="24" t="n"/>
      <c r="J459" s="24" t="n"/>
      <c r="K459" s="24" t="n"/>
      <c r="L459" s="26" t="n"/>
      <c r="M459" s="27">
        <f>IF(L459="","",IF(K459="GST 10%",ROUND(L459*set_GSTRate,2),0))</f>
        <v/>
      </c>
      <c r="N459" s="27">
        <f>IF(L459="","",L459+M459)</f>
        <v/>
      </c>
      <c r="O459" s="24" t="n"/>
      <c r="P459" s="24" t="n"/>
      <c r="Q459" s="24" t="n"/>
      <c r="R459" s="22" t="n"/>
      <c r="S459" s="22" t="n"/>
      <c r="T459" s="24" t="n"/>
      <c r="U459" s="24" t="n"/>
      <c r="V459" s="2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25">
        <f>IF(E459="","",IFERROR(INDEX(lst_JobName,MATCH(E459&amp;"",lst_Jobs,0)),""))</f>
        <v/>
      </c>
      <c r="X459" s="28">
        <f>IF(E459="","",COUNTIFS(tbl_Finance[Job Number],E459&amp;"",tbl_Finance[Ex GST],"&lt;&gt;"))</f>
        <v/>
      </c>
      <c r="Y459" s="27">
        <f>IF(E459="","",SUMIFS(tbl_Finance[Ex GST],tbl_Finance[Job Number],E459&amp;""))</f>
        <v/>
      </c>
      <c r="Z459" s="27">
        <f>IF(E459="","",SUMIFS(tbl_Finance[Ex GST],tbl_Finance[Job Number],E459&amp;"",tbl_Finance[Xero Invoice No],"&lt;&gt;"))</f>
        <v/>
      </c>
      <c r="AA459" s="27">
        <f>IF(E459="","",Y459-Z459)</f>
        <v/>
      </c>
      <c r="AB459" s="25">
        <f>IF(E459="","",IF(H459="Onsite",IFERROR(INDEX(tbl_Onsite[Qwilr Quote],MATCH(E459&amp;"",tbl_Onsite[Job Number],0)),""),IF(H459="Production",IFERROR(IF(INDEX(tbl_Production[Current RMS No],MATCH(E459&amp;"",tbl_Production[Job Number],0))="",INDEX(tbl_Production[Qwilr Quote],MATCH(E459&amp;"",tbl_Production[Job Number],0)),INDEX(tbl_Production[Current RMS No],MATCH(E459&amp;"",tbl_Production[Job Number],0))),""),IF(H459="Consulting",IFERROR(INDEX(tbl_Consulting[Qwilr Quote],MATCH(E459&amp;"",tbl_Consulting[Job Number],0)),""),""))))</f>
        <v/>
      </c>
      <c r="AC459" s="25">
        <f>IF(AB459="","",IF(AND(LEFT(AB459,4)&lt;&gt;"http",IF(H459="Production",set_RMSBase,set_QwilrBase)=""),"",HYPERLINK(IF(LEFT(AB459,4)="http",AB459,IF(H459="Production",set_RMSBase,set_QwilrBase)&amp;AB459),"Open")))</f>
        <v/>
      </c>
      <c r="AD459" s="27">
        <f>IF(E459="","",IF(H459="Production",IFERROR(INDEX(tbl_Production[Total Expense],MATCH(E459&amp;"",tbl_Production[Job Number],0)),0),IF(H459="Consulting",IFERROR(INDEX(tbl_Consulting[Total Expense],MATCH(E459&amp;"",tbl_Consulting[Job Number],0)),0),0)))</f>
        <v/>
      </c>
      <c r="AE459" s="27">
        <f>IF(E459="","",Y459-N(AD459))</f>
        <v/>
      </c>
      <c r="AF459" s="29">
        <f>IFERROR(AE459/Y459,"")</f>
        <v/>
      </c>
      <c r="AG459" s="2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22" t="n"/>
      <c r="B460" s="23">
        <f>IF(A460="","",EOMONTH(A460,0))</f>
        <v/>
      </c>
      <c r="C460" s="24" t="n"/>
      <c r="D460" s="24" t="n"/>
      <c r="E460" s="24" t="n"/>
      <c r="F460" s="25">
        <f>IF(E460="","",IF(COUNTIF(lst_Jobs,E460&amp;"")&gt;0,"OK","CHECK"))</f>
        <v/>
      </c>
      <c r="G460" s="24" t="n"/>
      <c r="H460" s="24" t="n"/>
      <c r="I460" s="24" t="n"/>
      <c r="J460" s="24" t="n"/>
      <c r="K460" s="24" t="n"/>
      <c r="L460" s="26" t="n"/>
      <c r="M460" s="27">
        <f>IF(L460="","",IF(K460="GST 10%",ROUND(L460*set_GSTRate,2),0))</f>
        <v/>
      </c>
      <c r="N460" s="27">
        <f>IF(L460="","",L460+M460)</f>
        <v/>
      </c>
      <c r="O460" s="24" t="n"/>
      <c r="P460" s="24" t="n"/>
      <c r="Q460" s="24" t="n"/>
      <c r="R460" s="22" t="n"/>
      <c r="S460" s="22" t="n"/>
      <c r="T460" s="24" t="n"/>
      <c r="U460" s="24" t="n"/>
      <c r="V460" s="2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25">
        <f>IF(E460="","",IFERROR(INDEX(lst_JobName,MATCH(E460&amp;"",lst_Jobs,0)),""))</f>
        <v/>
      </c>
      <c r="X460" s="28">
        <f>IF(E460="","",COUNTIFS(tbl_Finance[Job Number],E460&amp;"",tbl_Finance[Ex GST],"&lt;&gt;"))</f>
        <v/>
      </c>
      <c r="Y460" s="27">
        <f>IF(E460="","",SUMIFS(tbl_Finance[Ex GST],tbl_Finance[Job Number],E460&amp;""))</f>
        <v/>
      </c>
      <c r="Z460" s="27">
        <f>IF(E460="","",SUMIFS(tbl_Finance[Ex GST],tbl_Finance[Job Number],E460&amp;"",tbl_Finance[Xero Invoice No],"&lt;&gt;"))</f>
        <v/>
      </c>
      <c r="AA460" s="27">
        <f>IF(E460="","",Y460-Z460)</f>
        <v/>
      </c>
      <c r="AB460" s="25">
        <f>IF(E460="","",IF(H460="Onsite",IFERROR(INDEX(tbl_Onsite[Qwilr Quote],MATCH(E460&amp;"",tbl_Onsite[Job Number],0)),""),IF(H460="Production",IFERROR(IF(INDEX(tbl_Production[Current RMS No],MATCH(E460&amp;"",tbl_Production[Job Number],0))="",INDEX(tbl_Production[Qwilr Quote],MATCH(E460&amp;"",tbl_Production[Job Number],0)),INDEX(tbl_Production[Current RMS No],MATCH(E460&amp;"",tbl_Production[Job Number],0))),""),IF(H460="Consulting",IFERROR(INDEX(tbl_Consulting[Qwilr Quote],MATCH(E460&amp;"",tbl_Consulting[Job Number],0)),""),""))))</f>
        <v/>
      </c>
      <c r="AC460" s="25">
        <f>IF(AB460="","",IF(AND(LEFT(AB460,4)&lt;&gt;"http",IF(H460="Production",set_RMSBase,set_QwilrBase)=""),"",HYPERLINK(IF(LEFT(AB460,4)="http",AB460,IF(H460="Production",set_RMSBase,set_QwilrBase)&amp;AB460),"Open")))</f>
        <v/>
      </c>
      <c r="AD460" s="27">
        <f>IF(E460="","",IF(H460="Production",IFERROR(INDEX(tbl_Production[Total Expense],MATCH(E460&amp;"",tbl_Production[Job Number],0)),0),IF(H460="Consulting",IFERROR(INDEX(tbl_Consulting[Total Expense],MATCH(E460&amp;"",tbl_Consulting[Job Number],0)),0),0)))</f>
        <v/>
      </c>
      <c r="AE460" s="27">
        <f>IF(E460="","",Y460-N(AD460))</f>
        <v/>
      </c>
      <c r="AF460" s="29">
        <f>IFERROR(AE460/Y460,"")</f>
        <v/>
      </c>
      <c r="AG460" s="2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22" t="n"/>
      <c r="B461" s="23">
        <f>IF(A461="","",EOMONTH(A461,0))</f>
        <v/>
      </c>
      <c r="C461" s="24" t="n"/>
      <c r="D461" s="24" t="n"/>
      <c r="E461" s="24" t="n"/>
      <c r="F461" s="25">
        <f>IF(E461="","",IF(COUNTIF(lst_Jobs,E461&amp;"")&gt;0,"OK","CHECK"))</f>
        <v/>
      </c>
      <c r="G461" s="24" t="n"/>
      <c r="H461" s="24" t="n"/>
      <c r="I461" s="24" t="n"/>
      <c r="J461" s="24" t="n"/>
      <c r="K461" s="24" t="n"/>
      <c r="L461" s="26" t="n"/>
      <c r="M461" s="27">
        <f>IF(L461="","",IF(K461="GST 10%",ROUND(L461*set_GSTRate,2),0))</f>
        <v/>
      </c>
      <c r="N461" s="27">
        <f>IF(L461="","",L461+M461)</f>
        <v/>
      </c>
      <c r="O461" s="24" t="n"/>
      <c r="P461" s="24" t="n"/>
      <c r="Q461" s="24" t="n"/>
      <c r="R461" s="22" t="n"/>
      <c r="S461" s="22" t="n"/>
      <c r="T461" s="24" t="n"/>
      <c r="U461" s="24" t="n"/>
      <c r="V461" s="2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25">
        <f>IF(E461="","",IFERROR(INDEX(lst_JobName,MATCH(E461&amp;"",lst_Jobs,0)),""))</f>
        <v/>
      </c>
      <c r="X461" s="28">
        <f>IF(E461="","",COUNTIFS(tbl_Finance[Job Number],E461&amp;"",tbl_Finance[Ex GST],"&lt;&gt;"))</f>
        <v/>
      </c>
      <c r="Y461" s="27">
        <f>IF(E461="","",SUMIFS(tbl_Finance[Ex GST],tbl_Finance[Job Number],E461&amp;""))</f>
        <v/>
      </c>
      <c r="Z461" s="27">
        <f>IF(E461="","",SUMIFS(tbl_Finance[Ex GST],tbl_Finance[Job Number],E461&amp;"",tbl_Finance[Xero Invoice No],"&lt;&gt;"))</f>
        <v/>
      </c>
      <c r="AA461" s="27">
        <f>IF(E461="","",Y461-Z461)</f>
        <v/>
      </c>
      <c r="AB461" s="25">
        <f>IF(E461="","",IF(H461="Onsite",IFERROR(INDEX(tbl_Onsite[Qwilr Quote],MATCH(E461&amp;"",tbl_Onsite[Job Number],0)),""),IF(H461="Production",IFERROR(IF(INDEX(tbl_Production[Current RMS No],MATCH(E461&amp;"",tbl_Production[Job Number],0))="",INDEX(tbl_Production[Qwilr Quote],MATCH(E461&amp;"",tbl_Production[Job Number],0)),INDEX(tbl_Production[Current RMS No],MATCH(E461&amp;"",tbl_Production[Job Number],0))),""),IF(H461="Consulting",IFERROR(INDEX(tbl_Consulting[Qwilr Quote],MATCH(E461&amp;"",tbl_Consulting[Job Number],0)),""),""))))</f>
        <v/>
      </c>
      <c r="AC461" s="25">
        <f>IF(AB461="","",IF(AND(LEFT(AB461,4)&lt;&gt;"http",IF(H461="Production",set_RMSBase,set_QwilrBase)=""),"",HYPERLINK(IF(LEFT(AB461,4)="http",AB461,IF(H461="Production",set_RMSBase,set_QwilrBase)&amp;AB461),"Open")))</f>
        <v/>
      </c>
      <c r="AD461" s="27">
        <f>IF(E461="","",IF(H461="Production",IFERROR(INDEX(tbl_Production[Total Expense],MATCH(E461&amp;"",tbl_Production[Job Number],0)),0),IF(H461="Consulting",IFERROR(INDEX(tbl_Consulting[Total Expense],MATCH(E461&amp;"",tbl_Consulting[Job Number],0)),0),0)))</f>
        <v/>
      </c>
      <c r="AE461" s="27">
        <f>IF(E461="","",Y461-N(AD461))</f>
        <v/>
      </c>
      <c r="AF461" s="29">
        <f>IFERROR(AE461/Y461,"")</f>
        <v/>
      </c>
      <c r="AG461" s="2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22" t="n"/>
      <c r="B462" s="23">
        <f>IF(A462="","",EOMONTH(A462,0))</f>
        <v/>
      </c>
      <c r="C462" s="24" t="n"/>
      <c r="D462" s="24" t="n"/>
      <c r="E462" s="24" t="n"/>
      <c r="F462" s="25">
        <f>IF(E462="","",IF(COUNTIF(lst_Jobs,E462&amp;"")&gt;0,"OK","CHECK"))</f>
        <v/>
      </c>
      <c r="G462" s="24" t="n"/>
      <c r="H462" s="24" t="n"/>
      <c r="I462" s="24" t="n"/>
      <c r="J462" s="24" t="n"/>
      <c r="K462" s="24" t="n"/>
      <c r="L462" s="26" t="n"/>
      <c r="M462" s="27">
        <f>IF(L462="","",IF(K462="GST 10%",ROUND(L462*set_GSTRate,2),0))</f>
        <v/>
      </c>
      <c r="N462" s="27">
        <f>IF(L462="","",L462+M462)</f>
        <v/>
      </c>
      <c r="O462" s="24" t="n"/>
      <c r="P462" s="24" t="n"/>
      <c r="Q462" s="24" t="n"/>
      <c r="R462" s="22" t="n"/>
      <c r="S462" s="22" t="n"/>
      <c r="T462" s="24" t="n"/>
      <c r="U462" s="24" t="n"/>
      <c r="V462" s="2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25">
        <f>IF(E462="","",IFERROR(INDEX(lst_JobName,MATCH(E462&amp;"",lst_Jobs,0)),""))</f>
        <v/>
      </c>
      <c r="X462" s="28">
        <f>IF(E462="","",COUNTIFS(tbl_Finance[Job Number],E462&amp;"",tbl_Finance[Ex GST],"&lt;&gt;"))</f>
        <v/>
      </c>
      <c r="Y462" s="27">
        <f>IF(E462="","",SUMIFS(tbl_Finance[Ex GST],tbl_Finance[Job Number],E462&amp;""))</f>
        <v/>
      </c>
      <c r="Z462" s="27">
        <f>IF(E462="","",SUMIFS(tbl_Finance[Ex GST],tbl_Finance[Job Number],E462&amp;"",tbl_Finance[Xero Invoice No],"&lt;&gt;"))</f>
        <v/>
      </c>
      <c r="AA462" s="27">
        <f>IF(E462="","",Y462-Z462)</f>
        <v/>
      </c>
      <c r="AB462" s="25">
        <f>IF(E462="","",IF(H462="Onsite",IFERROR(INDEX(tbl_Onsite[Qwilr Quote],MATCH(E462&amp;"",tbl_Onsite[Job Number],0)),""),IF(H462="Production",IFERROR(IF(INDEX(tbl_Production[Current RMS No],MATCH(E462&amp;"",tbl_Production[Job Number],0))="",INDEX(tbl_Production[Qwilr Quote],MATCH(E462&amp;"",tbl_Production[Job Number],0)),INDEX(tbl_Production[Current RMS No],MATCH(E462&amp;"",tbl_Production[Job Number],0))),""),IF(H462="Consulting",IFERROR(INDEX(tbl_Consulting[Qwilr Quote],MATCH(E462&amp;"",tbl_Consulting[Job Number],0)),""),""))))</f>
        <v/>
      </c>
      <c r="AC462" s="25">
        <f>IF(AB462="","",IF(AND(LEFT(AB462,4)&lt;&gt;"http",IF(H462="Production",set_RMSBase,set_QwilrBase)=""),"",HYPERLINK(IF(LEFT(AB462,4)="http",AB462,IF(H462="Production",set_RMSBase,set_QwilrBase)&amp;AB462),"Open")))</f>
        <v/>
      </c>
      <c r="AD462" s="27">
        <f>IF(E462="","",IF(H462="Production",IFERROR(INDEX(tbl_Production[Total Expense],MATCH(E462&amp;"",tbl_Production[Job Number],0)),0),IF(H462="Consulting",IFERROR(INDEX(tbl_Consulting[Total Expense],MATCH(E462&amp;"",tbl_Consulting[Job Number],0)),0),0)))</f>
        <v/>
      </c>
      <c r="AE462" s="27">
        <f>IF(E462="","",Y462-N(AD462))</f>
        <v/>
      </c>
      <c r="AF462" s="29">
        <f>IFERROR(AE462/Y462,"")</f>
        <v/>
      </c>
      <c r="AG462" s="2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22" t="n"/>
      <c r="B463" s="23">
        <f>IF(A463="","",EOMONTH(A463,0))</f>
        <v/>
      </c>
      <c r="C463" s="24" t="n"/>
      <c r="D463" s="24" t="n"/>
      <c r="E463" s="24" t="n"/>
      <c r="F463" s="25">
        <f>IF(E463="","",IF(COUNTIF(lst_Jobs,E463&amp;"")&gt;0,"OK","CHECK"))</f>
        <v/>
      </c>
      <c r="G463" s="24" t="n"/>
      <c r="H463" s="24" t="n"/>
      <c r="I463" s="24" t="n"/>
      <c r="J463" s="24" t="n"/>
      <c r="K463" s="24" t="n"/>
      <c r="L463" s="26" t="n"/>
      <c r="M463" s="27">
        <f>IF(L463="","",IF(K463="GST 10%",ROUND(L463*set_GSTRate,2),0))</f>
        <v/>
      </c>
      <c r="N463" s="27">
        <f>IF(L463="","",L463+M463)</f>
        <v/>
      </c>
      <c r="O463" s="24" t="n"/>
      <c r="P463" s="24" t="n"/>
      <c r="Q463" s="24" t="n"/>
      <c r="R463" s="22" t="n"/>
      <c r="S463" s="22" t="n"/>
      <c r="T463" s="24" t="n"/>
      <c r="U463" s="24" t="n"/>
      <c r="V463" s="2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25">
        <f>IF(E463="","",IFERROR(INDEX(lst_JobName,MATCH(E463&amp;"",lst_Jobs,0)),""))</f>
        <v/>
      </c>
      <c r="X463" s="28">
        <f>IF(E463="","",COUNTIFS(tbl_Finance[Job Number],E463&amp;"",tbl_Finance[Ex GST],"&lt;&gt;"))</f>
        <v/>
      </c>
      <c r="Y463" s="27">
        <f>IF(E463="","",SUMIFS(tbl_Finance[Ex GST],tbl_Finance[Job Number],E463&amp;""))</f>
        <v/>
      </c>
      <c r="Z463" s="27">
        <f>IF(E463="","",SUMIFS(tbl_Finance[Ex GST],tbl_Finance[Job Number],E463&amp;"",tbl_Finance[Xero Invoice No],"&lt;&gt;"))</f>
        <v/>
      </c>
      <c r="AA463" s="27">
        <f>IF(E463="","",Y463-Z463)</f>
        <v/>
      </c>
      <c r="AB463" s="25">
        <f>IF(E463="","",IF(H463="Onsite",IFERROR(INDEX(tbl_Onsite[Qwilr Quote],MATCH(E463&amp;"",tbl_Onsite[Job Number],0)),""),IF(H463="Production",IFERROR(IF(INDEX(tbl_Production[Current RMS No],MATCH(E463&amp;"",tbl_Production[Job Number],0))="",INDEX(tbl_Production[Qwilr Quote],MATCH(E463&amp;"",tbl_Production[Job Number],0)),INDEX(tbl_Production[Current RMS No],MATCH(E463&amp;"",tbl_Production[Job Number],0))),""),IF(H463="Consulting",IFERROR(INDEX(tbl_Consulting[Qwilr Quote],MATCH(E463&amp;"",tbl_Consulting[Job Number],0)),""),""))))</f>
        <v/>
      </c>
      <c r="AC463" s="25">
        <f>IF(AB463="","",IF(AND(LEFT(AB463,4)&lt;&gt;"http",IF(H463="Production",set_RMSBase,set_QwilrBase)=""),"",HYPERLINK(IF(LEFT(AB463,4)="http",AB463,IF(H463="Production",set_RMSBase,set_QwilrBase)&amp;AB463),"Open")))</f>
        <v/>
      </c>
      <c r="AD463" s="27">
        <f>IF(E463="","",IF(H463="Production",IFERROR(INDEX(tbl_Production[Total Expense],MATCH(E463&amp;"",tbl_Production[Job Number],0)),0),IF(H463="Consulting",IFERROR(INDEX(tbl_Consulting[Total Expense],MATCH(E463&amp;"",tbl_Consulting[Job Number],0)),0),0)))</f>
        <v/>
      </c>
      <c r="AE463" s="27">
        <f>IF(E463="","",Y463-N(AD463))</f>
        <v/>
      </c>
      <c r="AF463" s="29">
        <f>IFERROR(AE463/Y463,"")</f>
        <v/>
      </c>
      <c r="AG463" s="2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22" t="n"/>
      <c r="B464" s="23">
        <f>IF(A464="","",EOMONTH(A464,0))</f>
        <v/>
      </c>
      <c r="C464" s="24" t="n"/>
      <c r="D464" s="24" t="n"/>
      <c r="E464" s="24" t="n"/>
      <c r="F464" s="25">
        <f>IF(E464="","",IF(COUNTIF(lst_Jobs,E464&amp;"")&gt;0,"OK","CHECK"))</f>
        <v/>
      </c>
      <c r="G464" s="24" t="n"/>
      <c r="H464" s="24" t="n"/>
      <c r="I464" s="24" t="n"/>
      <c r="J464" s="24" t="n"/>
      <c r="K464" s="24" t="n"/>
      <c r="L464" s="26" t="n"/>
      <c r="M464" s="27">
        <f>IF(L464="","",IF(K464="GST 10%",ROUND(L464*set_GSTRate,2),0))</f>
        <v/>
      </c>
      <c r="N464" s="27">
        <f>IF(L464="","",L464+M464)</f>
        <v/>
      </c>
      <c r="O464" s="24" t="n"/>
      <c r="P464" s="24" t="n"/>
      <c r="Q464" s="24" t="n"/>
      <c r="R464" s="22" t="n"/>
      <c r="S464" s="22" t="n"/>
      <c r="T464" s="24" t="n"/>
      <c r="U464" s="24" t="n"/>
      <c r="V464" s="2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25">
        <f>IF(E464="","",IFERROR(INDEX(lst_JobName,MATCH(E464&amp;"",lst_Jobs,0)),""))</f>
        <v/>
      </c>
      <c r="X464" s="28">
        <f>IF(E464="","",COUNTIFS(tbl_Finance[Job Number],E464&amp;"",tbl_Finance[Ex GST],"&lt;&gt;"))</f>
        <v/>
      </c>
      <c r="Y464" s="27">
        <f>IF(E464="","",SUMIFS(tbl_Finance[Ex GST],tbl_Finance[Job Number],E464&amp;""))</f>
        <v/>
      </c>
      <c r="Z464" s="27">
        <f>IF(E464="","",SUMIFS(tbl_Finance[Ex GST],tbl_Finance[Job Number],E464&amp;"",tbl_Finance[Xero Invoice No],"&lt;&gt;"))</f>
        <v/>
      </c>
      <c r="AA464" s="27">
        <f>IF(E464="","",Y464-Z464)</f>
        <v/>
      </c>
      <c r="AB464" s="25">
        <f>IF(E464="","",IF(H464="Onsite",IFERROR(INDEX(tbl_Onsite[Qwilr Quote],MATCH(E464&amp;"",tbl_Onsite[Job Number],0)),""),IF(H464="Production",IFERROR(IF(INDEX(tbl_Production[Current RMS No],MATCH(E464&amp;"",tbl_Production[Job Number],0))="",INDEX(tbl_Production[Qwilr Quote],MATCH(E464&amp;"",tbl_Production[Job Number],0)),INDEX(tbl_Production[Current RMS No],MATCH(E464&amp;"",tbl_Production[Job Number],0))),""),IF(H464="Consulting",IFERROR(INDEX(tbl_Consulting[Qwilr Quote],MATCH(E464&amp;"",tbl_Consulting[Job Number],0)),""),""))))</f>
        <v/>
      </c>
      <c r="AC464" s="25">
        <f>IF(AB464="","",IF(AND(LEFT(AB464,4)&lt;&gt;"http",IF(H464="Production",set_RMSBase,set_QwilrBase)=""),"",HYPERLINK(IF(LEFT(AB464,4)="http",AB464,IF(H464="Production",set_RMSBase,set_QwilrBase)&amp;AB464),"Open")))</f>
        <v/>
      </c>
      <c r="AD464" s="27">
        <f>IF(E464="","",IF(H464="Production",IFERROR(INDEX(tbl_Production[Total Expense],MATCH(E464&amp;"",tbl_Production[Job Number],0)),0),IF(H464="Consulting",IFERROR(INDEX(tbl_Consulting[Total Expense],MATCH(E464&amp;"",tbl_Consulting[Job Number],0)),0),0)))</f>
        <v/>
      </c>
      <c r="AE464" s="27">
        <f>IF(E464="","",Y464-N(AD464))</f>
        <v/>
      </c>
      <c r="AF464" s="29">
        <f>IFERROR(AE464/Y464,"")</f>
        <v/>
      </c>
      <c r="AG464" s="2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22" t="n"/>
      <c r="B465" s="23">
        <f>IF(A465="","",EOMONTH(A465,0))</f>
        <v/>
      </c>
      <c r="C465" s="24" t="n"/>
      <c r="D465" s="24" t="n"/>
      <c r="E465" s="24" t="n"/>
      <c r="F465" s="25">
        <f>IF(E465="","",IF(COUNTIF(lst_Jobs,E465&amp;"")&gt;0,"OK","CHECK"))</f>
        <v/>
      </c>
      <c r="G465" s="24" t="n"/>
      <c r="H465" s="24" t="n"/>
      <c r="I465" s="24" t="n"/>
      <c r="J465" s="24" t="n"/>
      <c r="K465" s="24" t="n"/>
      <c r="L465" s="26" t="n"/>
      <c r="M465" s="27">
        <f>IF(L465="","",IF(K465="GST 10%",ROUND(L465*set_GSTRate,2),0))</f>
        <v/>
      </c>
      <c r="N465" s="27">
        <f>IF(L465="","",L465+M465)</f>
        <v/>
      </c>
      <c r="O465" s="24" t="n"/>
      <c r="P465" s="24" t="n"/>
      <c r="Q465" s="24" t="n"/>
      <c r="R465" s="22" t="n"/>
      <c r="S465" s="22" t="n"/>
      <c r="T465" s="24" t="n"/>
      <c r="U465" s="24" t="n"/>
      <c r="V465" s="2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25">
        <f>IF(E465="","",IFERROR(INDEX(lst_JobName,MATCH(E465&amp;"",lst_Jobs,0)),""))</f>
        <v/>
      </c>
      <c r="X465" s="28">
        <f>IF(E465="","",COUNTIFS(tbl_Finance[Job Number],E465&amp;"",tbl_Finance[Ex GST],"&lt;&gt;"))</f>
        <v/>
      </c>
      <c r="Y465" s="27">
        <f>IF(E465="","",SUMIFS(tbl_Finance[Ex GST],tbl_Finance[Job Number],E465&amp;""))</f>
        <v/>
      </c>
      <c r="Z465" s="27">
        <f>IF(E465="","",SUMIFS(tbl_Finance[Ex GST],tbl_Finance[Job Number],E465&amp;"",tbl_Finance[Xero Invoice No],"&lt;&gt;"))</f>
        <v/>
      </c>
      <c r="AA465" s="27">
        <f>IF(E465="","",Y465-Z465)</f>
        <v/>
      </c>
      <c r="AB465" s="25">
        <f>IF(E465="","",IF(H465="Onsite",IFERROR(INDEX(tbl_Onsite[Qwilr Quote],MATCH(E465&amp;"",tbl_Onsite[Job Number],0)),""),IF(H465="Production",IFERROR(IF(INDEX(tbl_Production[Current RMS No],MATCH(E465&amp;"",tbl_Production[Job Number],0))="",INDEX(tbl_Production[Qwilr Quote],MATCH(E465&amp;"",tbl_Production[Job Number],0)),INDEX(tbl_Production[Current RMS No],MATCH(E465&amp;"",tbl_Production[Job Number],0))),""),IF(H465="Consulting",IFERROR(INDEX(tbl_Consulting[Qwilr Quote],MATCH(E465&amp;"",tbl_Consulting[Job Number],0)),""),""))))</f>
        <v/>
      </c>
      <c r="AC465" s="25">
        <f>IF(AB465="","",IF(AND(LEFT(AB465,4)&lt;&gt;"http",IF(H465="Production",set_RMSBase,set_QwilrBase)=""),"",HYPERLINK(IF(LEFT(AB465,4)="http",AB465,IF(H465="Production",set_RMSBase,set_QwilrBase)&amp;AB465),"Open")))</f>
        <v/>
      </c>
      <c r="AD465" s="27">
        <f>IF(E465="","",IF(H465="Production",IFERROR(INDEX(tbl_Production[Total Expense],MATCH(E465&amp;"",tbl_Production[Job Number],0)),0),IF(H465="Consulting",IFERROR(INDEX(tbl_Consulting[Total Expense],MATCH(E465&amp;"",tbl_Consulting[Job Number],0)),0),0)))</f>
        <v/>
      </c>
      <c r="AE465" s="27">
        <f>IF(E465="","",Y465-N(AD465))</f>
        <v/>
      </c>
      <c r="AF465" s="29">
        <f>IFERROR(AE465/Y465,"")</f>
        <v/>
      </c>
      <c r="AG465" s="2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22" t="n"/>
      <c r="B466" s="23">
        <f>IF(A466="","",EOMONTH(A466,0))</f>
        <v/>
      </c>
      <c r="C466" s="24" t="n"/>
      <c r="D466" s="24" t="n"/>
      <c r="E466" s="24" t="n"/>
      <c r="F466" s="25">
        <f>IF(E466="","",IF(COUNTIF(lst_Jobs,E466&amp;"")&gt;0,"OK","CHECK"))</f>
        <v/>
      </c>
      <c r="G466" s="24" t="n"/>
      <c r="H466" s="24" t="n"/>
      <c r="I466" s="24" t="n"/>
      <c r="J466" s="24" t="n"/>
      <c r="K466" s="24" t="n"/>
      <c r="L466" s="26" t="n"/>
      <c r="M466" s="27">
        <f>IF(L466="","",IF(K466="GST 10%",ROUND(L466*set_GSTRate,2),0))</f>
        <v/>
      </c>
      <c r="N466" s="27">
        <f>IF(L466="","",L466+M466)</f>
        <v/>
      </c>
      <c r="O466" s="24" t="n"/>
      <c r="P466" s="24" t="n"/>
      <c r="Q466" s="24" t="n"/>
      <c r="R466" s="22" t="n"/>
      <c r="S466" s="22" t="n"/>
      <c r="T466" s="24" t="n"/>
      <c r="U466" s="24" t="n"/>
      <c r="V466" s="2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25">
        <f>IF(E466="","",IFERROR(INDEX(lst_JobName,MATCH(E466&amp;"",lst_Jobs,0)),""))</f>
        <v/>
      </c>
      <c r="X466" s="28">
        <f>IF(E466="","",COUNTIFS(tbl_Finance[Job Number],E466&amp;"",tbl_Finance[Ex GST],"&lt;&gt;"))</f>
        <v/>
      </c>
      <c r="Y466" s="27">
        <f>IF(E466="","",SUMIFS(tbl_Finance[Ex GST],tbl_Finance[Job Number],E466&amp;""))</f>
        <v/>
      </c>
      <c r="Z466" s="27">
        <f>IF(E466="","",SUMIFS(tbl_Finance[Ex GST],tbl_Finance[Job Number],E466&amp;"",tbl_Finance[Xero Invoice No],"&lt;&gt;"))</f>
        <v/>
      </c>
      <c r="AA466" s="27">
        <f>IF(E466="","",Y466-Z466)</f>
        <v/>
      </c>
      <c r="AB466" s="25">
        <f>IF(E466="","",IF(H466="Onsite",IFERROR(INDEX(tbl_Onsite[Qwilr Quote],MATCH(E466&amp;"",tbl_Onsite[Job Number],0)),""),IF(H466="Production",IFERROR(IF(INDEX(tbl_Production[Current RMS No],MATCH(E466&amp;"",tbl_Production[Job Number],0))="",INDEX(tbl_Production[Qwilr Quote],MATCH(E466&amp;"",tbl_Production[Job Number],0)),INDEX(tbl_Production[Current RMS No],MATCH(E466&amp;"",tbl_Production[Job Number],0))),""),IF(H466="Consulting",IFERROR(INDEX(tbl_Consulting[Qwilr Quote],MATCH(E466&amp;"",tbl_Consulting[Job Number],0)),""),""))))</f>
        <v/>
      </c>
      <c r="AC466" s="25">
        <f>IF(AB466="","",IF(AND(LEFT(AB466,4)&lt;&gt;"http",IF(H466="Production",set_RMSBase,set_QwilrBase)=""),"",HYPERLINK(IF(LEFT(AB466,4)="http",AB466,IF(H466="Production",set_RMSBase,set_QwilrBase)&amp;AB466),"Open")))</f>
        <v/>
      </c>
      <c r="AD466" s="27">
        <f>IF(E466="","",IF(H466="Production",IFERROR(INDEX(tbl_Production[Total Expense],MATCH(E466&amp;"",tbl_Production[Job Number],0)),0),IF(H466="Consulting",IFERROR(INDEX(tbl_Consulting[Total Expense],MATCH(E466&amp;"",tbl_Consulting[Job Number],0)),0),0)))</f>
        <v/>
      </c>
      <c r="AE466" s="27">
        <f>IF(E466="","",Y466-N(AD466))</f>
        <v/>
      </c>
      <c r="AF466" s="29">
        <f>IFERROR(AE466/Y466,"")</f>
        <v/>
      </c>
      <c r="AG466" s="2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22" t="n"/>
      <c r="B467" s="23">
        <f>IF(A467="","",EOMONTH(A467,0))</f>
        <v/>
      </c>
      <c r="C467" s="24" t="n"/>
      <c r="D467" s="24" t="n"/>
      <c r="E467" s="24" t="n"/>
      <c r="F467" s="25">
        <f>IF(E467="","",IF(COUNTIF(lst_Jobs,E467&amp;"")&gt;0,"OK","CHECK"))</f>
        <v/>
      </c>
      <c r="G467" s="24" t="n"/>
      <c r="H467" s="24" t="n"/>
      <c r="I467" s="24" t="n"/>
      <c r="J467" s="24" t="n"/>
      <c r="K467" s="24" t="n"/>
      <c r="L467" s="26" t="n"/>
      <c r="M467" s="27">
        <f>IF(L467="","",IF(K467="GST 10%",ROUND(L467*set_GSTRate,2),0))</f>
        <v/>
      </c>
      <c r="N467" s="27">
        <f>IF(L467="","",L467+M467)</f>
        <v/>
      </c>
      <c r="O467" s="24" t="n"/>
      <c r="P467" s="24" t="n"/>
      <c r="Q467" s="24" t="n"/>
      <c r="R467" s="22" t="n"/>
      <c r="S467" s="22" t="n"/>
      <c r="T467" s="24" t="n"/>
      <c r="U467" s="24" t="n"/>
      <c r="V467" s="2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25">
        <f>IF(E467="","",IFERROR(INDEX(lst_JobName,MATCH(E467&amp;"",lst_Jobs,0)),""))</f>
        <v/>
      </c>
      <c r="X467" s="28">
        <f>IF(E467="","",COUNTIFS(tbl_Finance[Job Number],E467&amp;"",tbl_Finance[Ex GST],"&lt;&gt;"))</f>
        <v/>
      </c>
      <c r="Y467" s="27">
        <f>IF(E467="","",SUMIFS(tbl_Finance[Ex GST],tbl_Finance[Job Number],E467&amp;""))</f>
        <v/>
      </c>
      <c r="Z467" s="27">
        <f>IF(E467="","",SUMIFS(tbl_Finance[Ex GST],tbl_Finance[Job Number],E467&amp;"",tbl_Finance[Xero Invoice No],"&lt;&gt;"))</f>
        <v/>
      </c>
      <c r="AA467" s="27">
        <f>IF(E467="","",Y467-Z467)</f>
        <v/>
      </c>
      <c r="AB467" s="25">
        <f>IF(E467="","",IF(H467="Onsite",IFERROR(INDEX(tbl_Onsite[Qwilr Quote],MATCH(E467&amp;"",tbl_Onsite[Job Number],0)),""),IF(H467="Production",IFERROR(IF(INDEX(tbl_Production[Current RMS No],MATCH(E467&amp;"",tbl_Production[Job Number],0))="",INDEX(tbl_Production[Qwilr Quote],MATCH(E467&amp;"",tbl_Production[Job Number],0)),INDEX(tbl_Production[Current RMS No],MATCH(E467&amp;"",tbl_Production[Job Number],0))),""),IF(H467="Consulting",IFERROR(INDEX(tbl_Consulting[Qwilr Quote],MATCH(E467&amp;"",tbl_Consulting[Job Number],0)),""),""))))</f>
        <v/>
      </c>
      <c r="AC467" s="25">
        <f>IF(AB467="","",IF(AND(LEFT(AB467,4)&lt;&gt;"http",IF(H467="Production",set_RMSBase,set_QwilrBase)=""),"",HYPERLINK(IF(LEFT(AB467,4)="http",AB467,IF(H467="Production",set_RMSBase,set_QwilrBase)&amp;AB467),"Open")))</f>
        <v/>
      </c>
      <c r="AD467" s="27">
        <f>IF(E467="","",IF(H467="Production",IFERROR(INDEX(tbl_Production[Total Expense],MATCH(E467&amp;"",tbl_Production[Job Number],0)),0),IF(H467="Consulting",IFERROR(INDEX(tbl_Consulting[Total Expense],MATCH(E467&amp;"",tbl_Consulting[Job Number],0)),0),0)))</f>
        <v/>
      </c>
      <c r="AE467" s="27">
        <f>IF(E467="","",Y467-N(AD467))</f>
        <v/>
      </c>
      <c r="AF467" s="29">
        <f>IFERROR(AE467/Y467,"")</f>
        <v/>
      </c>
      <c r="AG467" s="2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22" t="n"/>
      <c r="B468" s="23">
        <f>IF(A468="","",EOMONTH(A468,0))</f>
        <v/>
      </c>
      <c r="C468" s="24" t="n"/>
      <c r="D468" s="24" t="n"/>
      <c r="E468" s="24" t="n"/>
      <c r="F468" s="25">
        <f>IF(E468="","",IF(COUNTIF(lst_Jobs,E468&amp;"")&gt;0,"OK","CHECK"))</f>
        <v/>
      </c>
      <c r="G468" s="24" t="n"/>
      <c r="H468" s="24" t="n"/>
      <c r="I468" s="24" t="n"/>
      <c r="J468" s="24" t="n"/>
      <c r="K468" s="24" t="n"/>
      <c r="L468" s="26" t="n"/>
      <c r="M468" s="27">
        <f>IF(L468="","",IF(K468="GST 10%",ROUND(L468*set_GSTRate,2),0))</f>
        <v/>
      </c>
      <c r="N468" s="27">
        <f>IF(L468="","",L468+M468)</f>
        <v/>
      </c>
      <c r="O468" s="24" t="n"/>
      <c r="P468" s="24" t="n"/>
      <c r="Q468" s="24" t="n"/>
      <c r="R468" s="22" t="n"/>
      <c r="S468" s="22" t="n"/>
      <c r="T468" s="24" t="n"/>
      <c r="U468" s="24" t="n"/>
      <c r="V468" s="2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25">
        <f>IF(E468="","",IFERROR(INDEX(lst_JobName,MATCH(E468&amp;"",lst_Jobs,0)),""))</f>
        <v/>
      </c>
      <c r="X468" s="28">
        <f>IF(E468="","",COUNTIFS(tbl_Finance[Job Number],E468&amp;"",tbl_Finance[Ex GST],"&lt;&gt;"))</f>
        <v/>
      </c>
      <c r="Y468" s="27">
        <f>IF(E468="","",SUMIFS(tbl_Finance[Ex GST],tbl_Finance[Job Number],E468&amp;""))</f>
        <v/>
      </c>
      <c r="Z468" s="27">
        <f>IF(E468="","",SUMIFS(tbl_Finance[Ex GST],tbl_Finance[Job Number],E468&amp;"",tbl_Finance[Xero Invoice No],"&lt;&gt;"))</f>
        <v/>
      </c>
      <c r="AA468" s="27">
        <f>IF(E468="","",Y468-Z468)</f>
        <v/>
      </c>
      <c r="AB468" s="25">
        <f>IF(E468="","",IF(H468="Onsite",IFERROR(INDEX(tbl_Onsite[Qwilr Quote],MATCH(E468&amp;"",tbl_Onsite[Job Number],0)),""),IF(H468="Production",IFERROR(IF(INDEX(tbl_Production[Current RMS No],MATCH(E468&amp;"",tbl_Production[Job Number],0))="",INDEX(tbl_Production[Qwilr Quote],MATCH(E468&amp;"",tbl_Production[Job Number],0)),INDEX(tbl_Production[Current RMS No],MATCH(E468&amp;"",tbl_Production[Job Number],0))),""),IF(H468="Consulting",IFERROR(INDEX(tbl_Consulting[Qwilr Quote],MATCH(E468&amp;"",tbl_Consulting[Job Number],0)),""),""))))</f>
        <v/>
      </c>
      <c r="AC468" s="25">
        <f>IF(AB468="","",IF(AND(LEFT(AB468,4)&lt;&gt;"http",IF(H468="Production",set_RMSBase,set_QwilrBase)=""),"",HYPERLINK(IF(LEFT(AB468,4)="http",AB468,IF(H468="Production",set_RMSBase,set_QwilrBase)&amp;AB468),"Open")))</f>
        <v/>
      </c>
      <c r="AD468" s="27">
        <f>IF(E468="","",IF(H468="Production",IFERROR(INDEX(tbl_Production[Total Expense],MATCH(E468&amp;"",tbl_Production[Job Number],0)),0),IF(H468="Consulting",IFERROR(INDEX(tbl_Consulting[Total Expense],MATCH(E468&amp;"",tbl_Consulting[Job Number],0)),0),0)))</f>
        <v/>
      </c>
      <c r="AE468" s="27">
        <f>IF(E468="","",Y468-N(AD468))</f>
        <v/>
      </c>
      <c r="AF468" s="29">
        <f>IFERROR(AE468/Y468,"")</f>
        <v/>
      </c>
      <c r="AG468" s="2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22" t="n"/>
      <c r="B469" s="23">
        <f>IF(A469="","",EOMONTH(A469,0))</f>
        <v/>
      </c>
      <c r="C469" s="24" t="n"/>
      <c r="D469" s="24" t="n"/>
      <c r="E469" s="24" t="n"/>
      <c r="F469" s="25">
        <f>IF(E469="","",IF(COUNTIF(lst_Jobs,E469&amp;"")&gt;0,"OK","CHECK"))</f>
        <v/>
      </c>
      <c r="G469" s="24" t="n"/>
      <c r="H469" s="24" t="n"/>
      <c r="I469" s="24" t="n"/>
      <c r="J469" s="24" t="n"/>
      <c r="K469" s="24" t="n"/>
      <c r="L469" s="26" t="n"/>
      <c r="M469" s="27">
        <f>IF(L469="","",IF(K469="GST 10%",ROUND(L469*set_GSTRate,2),0))</f>
        <v/>
      </c>
      <c r="N469" s="27">
        <f>IF(L469="","",L469+M469)</f>
        <v/>
      </c>
      <c r="O469" s="24" t="n"/>
      <c r="P469" s="24" t="n"/>
      <c r="Q469" s="24" t="n"/>
      <c r="R469" s="22" t="n"/>
      <c r="S469" s="22" t="n"/>
      <c r="T469" s="24" t="n"/>
      <c r="U469" s="24" t="n"/>
      <c r="V469" s="2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25">
        <f>IF(E469="","",IFERROR(INDEX(lst_JobName,MATCH(E469&amp;"",lst_Jobs,0)),""))</f>
        <v/>
      </c>
      <c r="X469" s="28">
        <f>IF(E469="","",COUNTIFS(tbl_Finance[Job Number],E469&amp;"",tbl_Finance[Ex GST],"&lt;&gt;"))</f>
        <v/>
      </c>
      <c r="Y469" s="27">
        <f>IF(E469="","",SUMIFS(tbl_Finance[Ex GST],tbl_Finance[Job Number],E469&amp;""))</f>
        <v/>
      </c>
      <c r="Z469" s="27">
        <f>IF(E469="","",SUMIFS(tbl_Finance[Ex GST],tbl_Finance[Job Number],E469&amp;"",tbl_Finance[Xero Invoice No],"&lt;&gt;"))</f>
        <v/>
      </c>
      <c r="AA469" s="27">
        <f>IF(E469="","",Y469-Z469)</f>
        <v/>
      </c>
      <c r="AB469" s="25">
        <f>IF(E469="","",IF(H469="Onsite",IFERROR(INDEX(tbl_Onsite[Qwilr Quote],MATCH(E469&amp;"",tbl_Onsite[Job Number],0)),""),IF(H469="Production",IFERROR(IF(INDEX(tbl_Production[Current RMS No],MATCH(E469&amp;"",tbl_Production[Job Number],0))="",INDEX(tbl_Production[Qwilr Quote],MATCH(E469&amp;"",tbl_Production[Job Number],0)),INDEX(tbl_Production[Current RMS No],MATCH(E469&amp;"",tbl_Production[Job Number],0))),""),IF(H469="Consulting",IFERROR(INDEX(tbl_Consulting[Qwilr Quote],MATCH(E469&amp;"",tbl_Consulting[Job Number],0)),""),""))))</f>
        <v/>
      </c>
      <c r="AC469" s="25">
        <f>IF(AB469="","",IF(AND(LEFT(AB469,4)&lt;&gt;"http",IF(H469="Production",set_RMSBase,set_QwilrBase)=""),"",HYPERLINK(IF(LEFT(AB469,4)="http",AB469,IF(H469="Production",set_RMSBase,set_QwilrBase)&amp;AB469),"Open")))</f>
        <v/>
      </c>
      <c r="AD469" s="27">
        <f>IF(E469="","",IF(H469="Production",IFERROR(INDEX(tbl_Production[Total Expense],MATCH(E469&amp;"",tbl_Production[Job Number],0)),0),IF(H469="Consulting",IFERROR(INDEX(tbl_Consulting[Total Expense],MATCH(E469&amp;"",tbl_Consulting[Job Number],0)),0),0)))</f>
        <v/>
      </c>
      <c r="AE469" s="27">
        <f>IF(E469="","",Y469-N(AD469))</f>
        <v/>
      </c>
      <c r="AF469" s="29">
        <f>IFERROR(AE469/Y469,"")</f>
        <v/>
      </c>
      <c r="AG469" s="2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22" t="n"/>
      <c r="B470" s="23">
        <f>IF(A470="","",EOMONTH(A470,0))</f>
        <v/>
      </c>
      <c r="C470" s="24" t="n"/>
      <c r="D470" s="24" t="n"/>
      <c r="E470" s="24" t="n"/>
      <c r="F470" s="25">
        <f>IF(E470="","",IF(COUNTIF(lst_Jobs,E470&amp;"")&gt;0,"OK","CHECK"))</f>
        <v/>
      </c>
      <c r="G470" s="24" t="n"/>
      <c r="H470" s="24" t="n"/>
      <c r="I470" s="24" t="n"/>
      <c r="J470" s="24" t="n"/>
      <c r="K470" s="24" t="n"/>
      <c r="L470" s="26" t="n"/>
      <c r="M470" s="27">
        <f>IF(L470="","",IF(K470="GST 10%",ROUND(L470*set_GSTRate,2),0))</f>
        <v/>
      </c>
      <c r="N470" s="27">
        <f>IF(L470="","",L470+M470)</f>
        <v/>
      </c>
      <c r="O470" s="24" t="n"/>
      <c r="P470" s="24" t="n"/>
      <c r="Q470" s="24" t="n"/>
      <c r="R470" s="22" t="n"/>
      <c r="S470" s="22" t="n"/>
      <c r="T470" s="24" t="n"/>
      <c r="U470" s="24" t="n"/>
      <c r="V470" s="2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25">
        <f>IF(E470="","",IFERROR(INDEX(lst_JobName,MATCH(E470&amp;"",lst_Jobs,0)),""))</f>
        <v/>
      </c>
      <c r="X470" s="28">
        <f>IF(E470="","",COUNTIFS(tbl_Finance[Job Number],E470&amp;"",tbl_Finance[Ex GST],"&lt;&gt;"))</f>
        <v/>
      </c>
      <c r="Y470" s="27">
        <f>IF(E470="","",SUMIFS(tbl_Finance[Ex GST],tbl_Finance[Job Number],E470&amp;""))</f>
        <v/>
      </c>
      <c r="Z470" s="27">
        <f>IF(E470="","",SUMIFS(tbl_Finance[Ex GST],tbl_Finance[Job Number],E470&amp;"",tbl_Finance[Xero Invoice No],"&lt;&gt;"))</f>
        <v/>
      </c>
      <c r="AA470" s="27">
        <f>IF(E470="","",Y470-Z470)</f>
        <v/>
      </c>
      <c r="AB470" s="25">
        <f>IF(E470="","",IF(H470="Onsite",IFERROR(INDEX(tbl_Onsite[Qwilr Quote],MATCH(E470&amp;"",tbl_Onsite[Job Number],0)),""),IF(H470="Production",IFERROR(IF(INDEX(tbl_Production[Current RMS No],MATCH(E470&amp;"",tbl_Production[Job Number],0))="",INDEX(tbl_Production[Qwilr Quote],MATCH(E470&amp;"",tbl_Production[Job Number],0)),INDEX(tbl_Production[Current RMS No],MATCH(E470&amp;"",tbl_Production[Job Number],0))),""),IF(H470="Consulting",IFERROR(INDEX(tbl_Consulting[Qwilr Quote],MATCH(E470&amp;"",tbl_Consulting[Job Number],0)),""),""))))</f>
        <v/>
      </c>
      <c r="AC470" s="25">
        <f>IF(AB470="","",IF(AND(LEFT(AB470,4)&lt;&gt;"http",IF(H470="Production",set_RMSBase,set_QwilrBase)=""),"",HYPERLINK(IF(LEFT(AB470,4)="http",AB470,IF(H470="Production",set_RMSBase,set_QwilrBase)&amp;AB470),"Open")))</f>
        <v/>
      </c>
      <c r="AD470" s="27">
        <f>IF(E470="","",IF(H470="Production",IFERROR(INDEX(tbl_Production[Total Expense],MATCH(E470&amp;"",tbl_Production[Job Number],0)),0),IF(H470="Consulting",IFERROR(INDEX(tbl_Consulting[Total Expense],MATCH(E470&amp;"",tbl_Consulting[Job Number],0)),0),0)))</f>
        <v/>
      </c>
      <c r="AE470" s="27">
        <f>IF(E470="","",Y470-N(AD470))</f>
        <v/>
      </c>
      <c r="AF470" s="29">
        <f>IFERROR(AE470/Y470,"")</f>
        <v/>
      </c>
      <c r="AG470" s="2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22" t="n"/>
      <c r="B471" s="23">
        <f>IF(A471="","",EOMONTH(A471,0))</f>
        <v/>
      </c>
      <c r="C471" s="24" t="n"/>
      <c r="D471" s="24" t="n"/>
      <c r="E471" s="24" t="n"/>
      <c r="F471" s="25">
        <f>IF(E471="","",IF(COUNTIF(lst_Jobs,E471&amp;"")&gt;0,"OK","CHECK"))</f>
        <v/>
      </c>
      <c r="G471" s="24" t="n"/>
      <c r="H471" s="24" t="n"/>
      <c r="I471" s="24" t="n"/>
      <c r="J471" s="24" t="n"/>
      <c r="K471" s="24" t="n"/>
      <c r="L471" s="26" t="n"/>
      <c r="M471" s="27">
        <f>IF(L471="","",IF(K471="GST 10%",ROUND(L471*set_GSTRate,2),0))</f>
        <v/>
      </c>
      <c r="N471" s="27">
        <f>IF(L471="","",L471+M471)</f>
        <v/>
      </c>
      <c r="O471" s="24" t="n"/>
      <c r="P471" s="24" t="n"/>
      <c r="Q471" s="24" t="n"/>
      <c r="R471" s="22" t="n"/>
      <c r="S471" s="22" t="n"/>
      <c r="T471" s="24" t="n"/>
      <c r="U471" s="24" t="n"/>
      <c r="V471" s="2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25">
        <f>IF(E471="","",IFERROR(INDEX(lst_JobName,MATCH(E471&amp;"",lst_Jobs,0)),""))</f>
        <v/>
      </c>
      <c r="X471" s="28">
        <f>IF(E471="","",COUNTIFS(tbl_Finance[Job Number],E471&amp;"",tbl_Finance[Ex GST],"&lt;&gt;"))</f>
        <v/>
      </c>
      <c r="Y471" s="27">
        <f>IF(E471="","",SUMIFS(tbl_Finance[Ex GST],tbl_Finance[Job Number],E471&amp;""))</f>
        <v/>
      </c>
      <c r="Z471" s="27">
        <f>IF(E471="","",SUMIFS(tbl_Finance[Ex GST],tbl_Finance[Job Number],E471&amp;"",tbl_Finance[Xero Invoice No],"&lt;&gt;"))</f>
        <v/>
      </c>
      <c r="AA471" s="27">
        <f>IF(E471="","",Y471-Z471)</f>
        <v/>
      </c>
      <c r="AB471" s="25">
        <f>IF(E471="","",IF(H471="Onsite",IFERROR(INDEX(tbl_Onsite[Qwilr Quote],MATCH(E471&amp;"",tbl_Onsite[Job Number],0)),""),IF(H471="Production",IFERROR(IF(INDEX(tbl_Production[Current RMS No],MATCH(E471&amp;"",tbl_Production[Job Number],0))="",INDEX(tbl_Production[Qwilr Quote],MATCH(E471&amp;"",tbl_Production[Job Number],0)),INDEX(tbl_Production[Current RMS No],MATCH(E471&amp;"",tbl_Production[Job Number],0))),""),IF(H471="Consulting",IFERROR(INDEX(tbl_Consulting[Qwilr Quote],MATCH(E471&amp;"",tbl_Consulting[Job Number],0)),""),""))))</f>
        <v/>
      </c>
      <c r="AC471" s="25">
        <f>IF(AB471="","",IF(AND(LEFT(AB471,4)&lt;&gt;"http",IF(H471="Production",set_RMSBase,set_QwilrBase)=""),"",HYPERLINK(IF(LEFT(AB471,4)="http",AB471,IF(H471="Production",set_RMSBase,set_QwilrBase)&amp;AB471),"Open")))</f>
        <v/>
      </c>
      <c r="AD471" s="27">
        <f>IF(E471="","",IF(H471="Production",IFERROR(INDEX(tbl_Production[Total Expense],MATCH(E471&amp;"",tbl_Production[Job Number],0)),0),IF(H471="Consulting",IFERROR(INDEX(tbl_Consulting[Total Expense],MATCH(E471&amp;"",tbl_Consulting[Job Number],0)),0),0)))</f>
        <v/>
      </c>
      <c r="AE471" s="27">
        <f>IF(E471="","",Y471-N(AD471))</f>
        <v/>
      </c>
      <c r="AF471" s="29">
        <f>IFERROR(AE471/Y471,"")</f>
        <v/>
      </c>
      <c r="AG471" s="2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22" t="n"/>
      <c r="B472" s="23">
        <f>IF(A472="","",EOMONTH(A472,0))</f>
        <v/>
      </c>
      <c r="C472" s="24" t="n"/>
      <c r="D472" s="24" t="n"/>
      <c r="E472" s="24" t="n"/>
      <c r="F472" s="25">
        <f>IF(E472="","",IF(COUNTIF(lst_Jobs,E472&amp;"")&gt;0,"OK","CHECK"))</f>
        <v/>
      </c>
      <c r="G472" s="24" t="n"/>
      <c r="H472" s="24" t="n"/>
      <c r="I472" s="24" t="n"/>
      <c r="J472" s="24" t="n"/>
      <c r="K472" s="24" t="n"/>
      <c r="L472" s="26" t="n"/>
      <c r="M472" s="27">
        <f>IF(L472="","",IF(K472="GST 10%",ROUND(L472*set_GSTRate,2),0))</f>
        <v/>
      </c>
      <c r="N472" s="27">
        <f>IF(L472="","",L472+M472)</f>
        <v/>
      </c>
      <c r="O472" s="24" t="n"/>
      <c r="P472" s="24" t="n"/>
      <c r="Q472" s="24" t="n"/>
      <c r="R472" s="22" t="n"/>
      <c r="S472" s="22" t="n"/>
      <c r="T472" s="24" t="n"/>
      <c r="U472" s="24" t="n"/>
      <c r="V472" s="2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25">
        <f>IF(E472="","",IFERROR(INDEX(lst_JobName,MATCH(E472&amp;"",lst_Jobs,0)),""))</f>
        <v/>
      </c>
      <c r="X472" s="28">
        <f>IF(E472="","",COUNTIFS(tbl_Finance[Job Number],E472&amp;"",tbl_Finance[Ex GST],"&lt;&gt;"))</f>
        <v/>
      </c>
      <c r="Y472" s="27">
        <f>IF(E472="","",SUMIFS(tbl_Finance[Ex GST],tbl_Finance[Job Number],E472&amp;""))</f>
        <v/>
      </c>
      <c r="Z472" s="27">
        <f>IF(E472="","",SUMIFS(tbl_Finance[Ex GST],tbl_Finance[Job Number],E472&amp;"",tbl_Finance[Xero Invoice No],"&lt;&gt;"))</f>
        <v/>
      </c>
      <c r="AA472" s="27">
        <f>IF(E472="","",Y472-Z472)</f>
        <v/>
      </c>
      <c r="AB472" s="25">
        <f>IF(E472="","",IF(H472="Onsite",IFERROR(INDEX(tbl_Onsite[Qwilr Quote],MATCH(E472&amp;"",tbl_Onsite[Job Number],0)),""),IF(H472="Production",IFERROR(IF(INDEX(tbl_Production[Current RMS No],MATCH(E472&amp;"",tbl_Production[Job Number],0))="",INDEX(tbl_Production[Qwilr Quote],MATCH(E472&amp;"",tbl_Production[Job Number],0)),INDEX(tbl_Production[Current RMS No],MATCH(E472&amp;"",tbl_Production[Job Number],0))),""),IF(H472="Consulting",IFERROR(INDEX(tbl_Consulting[Qwilr Quote],MATCH(E472&amp;"",tbl_Consulting[Job Number],0)),""),""))))</f>
        <v/>
      </c>
      <c r="AC472" s="25">
        <f>IF(AB472="","",IF(AND(LEFT(AB472,4)&lt;&gt;"http",IF(H472="Production",set_RMSBase,set_QwilrBase)=""),"",HYPERLINK(IF(LEFT(AB472,4)="http",AB472,IF(H472="Production",set_RMSBase,set_QwilrBase)&amp;AB472),"Open")))</f>
        <v/>
      </c>
      <c r="AD472" s="27">
        <f>IF(E472="","",IF(H472="Production",IFERROR(INDEX(tbl_Production[Total Expense],MATCH(E472&amp;"",tbl_Production[Job Number],0)),0),IF(H472="Consulting",IFERROR(INDEX(tbl_Consulting[Total Expense],MATCH(E472&amp;"",tbl_Consulting[Job Number],0)),0),0)))</f>
        <v/>
      </c>
      <c r="AE472" s="27">
        <f>IF(E472="","",Y472-N(AD472))</f>
        <v/>
      </c>
      <c r="AF472" s="29">
        <f>IFERROR(AE472/Y472,"")</f>
        <v/>
      </c>
      <c r="AG472" s="2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22" t="n"/>
      <c r="B473" s="23">
        <f>IF(A473="","",EOMONTH(A473,0))</f>
        <v/>
      </c>
      <c r="C473" s="24" t="n"/>
      <c r="D473" s="24" t="n"/>
      <c r="E473" s="24" t="n"/>
      <c r="F473" s="25">
        <f>IF(E473="","",IF(COUNTIF(lst_Jobs,E473&amp;"")&gt;0,"OK","CHECK"))</f>
        <v/>
      </c>
      <c r="G473" s="24" t="n"/>
      <c r="H473" s="24" t="n"/>
      <c r="I473" s="24" t="n"/>
      <c r="J473" s="24" t="n"/>
      <c r="K473" s="24" t="n"/>
      <c r="L473" s="26" t="n"/>
      <c r="M473" s="27">
        <f>IF(L473="","",IF(K473="GST 10%",ROUND(L473*set_GSTRate,2),0))</f>
        <v/>
      </c>
      <c r="N473" s="27">
        <f>IF(L473="","",L473+M473)</f>
        <v/>
      </c>
      <c r="O473" s="24" t="n"/>
      <c r="P473" s="24" t="n"/>
      <c r="Q473" s="24" t="n"/>
      <c r="R473" s="22" t="n"/>
      <c r="S473" s="22" t="n"/>
      <c r="T473" s="24" t="n"/>
      <c r="U473" s="24" t="n"/>
      <c r="V473" s="2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25">
        <f>IF(E473="","",IFERROR(INDEX(lst_JobName,MATCH(E473&amp;"",lst_Jobs,0)),""))</f>
        <v/>
      </c>
      <c r="X473" s="28">
        <f>IF(E473="","",COUNTIFS(tbl_Finance[Job Number],E473&amp;"",tbl_Finance[Ex GST],"&lt;&gt;"))</f>
        <v/>
      </c>
      <c r="Y473" s="27">
        <f>IF(E473="","",SUMIFS(tbl_Finance[Ex GST],tbl_Finance[Job Number],E473&amp;""))</f>
        <v/>
      </c>
      <c r="Z473" s="27">
        <f>IF(E473="","",SUMIFS(tbl_Finance[Ex GST],tbl_Finance[Job Number],E473&amp;"",tbl_Finance[Xero Invoice No],"&lt;&gt;"))</f>
        <v/>
      </c>
      <c r="AA473" s="27">
        <f>IF(E473="","",Y473-Z473)</f>
        <v/>
      </c>
      <c r="AB473" s="25">
        <f>IF(E473="","",IF(H473="Onsite",IFERROR(INDEX(tbl_Onsite[Qwilr Quote],MATCH(E473&amp;"",tbl_Onsite[Job Number],0)),""),IF(H473="Production",IFERROR(IF(INDEX(tbl_Production[Current RMS No],MATCH(E473&amp;"",tbl_Production[Job Number],0))="",INDEX(tbl_Production[Qwilr Quote],MATCH(E473&amp;"",tbl_Production[Job Number],0)),INDEX(tbl_Production[Current RMS No],MATCH(E473&amp;"",tbl_Production[Job Number],0))),""),IF(H473="Consulting",IFERROR(INDEX(tbl_Consulting[Qwilr Quote],MATCH(E473&amp;"",tbl_Consulting[Job Number],0)),""),""))))</f>
        <v/>
      </c>
      <c r="AC473" s="25">
        <f>IF(AB473="","",IF(AND(LEFT(AB473,4)&lt;&gt;"http",IF(H473="Production",set_RMSBase,set_QwilrBase)=""),"",HYPERLINK(IF(LEFT(AB473,4)="http",AB473,IF(H473="Production",set_RMSBase,set_QwilrBase)&amp;AB473),"Open")))</f>
        <v/>
      </c>
      <c r="AD473" s="27">
        <f>IF(E473="","",IF(H473="Production",IFERROR(INDEX(tbl_Production[Total Expense],MATCH(E473&amp;"",tbl_Production[Job Number],0)),0),IF(H473="Consulting",IFERROR(INDEX(tbl_Consulting[Total Expense],MATCH(E473&amp;"",tbl_Consulting[Job Number],0)),0),0)))</f>
        <v/>
      </c>
      <c r="AE473" s="27">
        <f>IF(E473="","",Y473-N(AD473))</f>
        <v/>
      </c>
      <c r="AF473" s="29">
        <f>IFERROR(AE473/Y473,"")</f>
        <v/>
      </c>
      <c r="AG473" s="2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22" t="n"/>
      <c r="B474" s="23">
        <f>IF(A474="","",EOMONTH(A474,0))</f>
        <v/>
      </c>
      <c r="C474" s="24" t="n"/>
      <c r="D474" s="24" t="n"/>
      <c r="E474" s="24" t="n"/>
      <c r="F474" s="25">
        <f>IF(E474="","",IF(COUNTIF(lst_Jobs,E474&amp;"")&gt;0,"OK","CHECK"))</f>
        <v/>
      </c>
      <c r="G474" s="24" t="n"/>
      <c r="H474" s="24" t="n"/>
      <c r="I474" s="24" t="n"/>
      <c r="J474" s="24" t="n"/>
      <c r="K474" s="24" t="n"/>
      <c r="L474" s="26" t="n"/>
      <c r="M474" s="27">
        <f>IF(L474="","",IF(K474="GST 10%",ROUND(L474*set_GSTRate,2),0))</f>
        <v/>
      </c>
      <c r="N474" s="27">
        <f>IF(L474="","",L474+M474)</f>
        <v/>
      </c>
      <c r="O474" s="24" t="n"/>
      <c r="P474" s="24" t="n"/>
      <c r="Q474" s="24" t="n"/>
      <c r="R474" s="22" t="n"/>
      <c r="S474" s="22" t="n"/>
      <c r="T474" s="24" t="n"/>
      <c r="U474" s="24" t="n"/>
      <c r="V474" s="2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25">
        <f>IF(E474="","",IFERROR(INDEX(lst_JobName,MATCH(E474&amp;"",lst_Jobs,0)),""))</f>
        <v/>
      </c>
      <c r="X474" s="28">
        <f>IF(E474="","",COUNTIFS(tbl_Finance[Job Number],E474&amp;"",tbl_Finance[Ex GST],"&lt;&gt;"))</f>
        <v/>
      </c>
      <c r="Y474" s="27">
        <f>IF(E474="","",SUMIFS(tbl_Finance[Ex GST],tbl_Finance[Job Number],E474&amp;""))</f>
        <v/>
      </c>
      <c r="Z474" s="27">
        <f>IF(E474="","",SUMIFS(tbl_Finance[Ex GST],tbl_Finance[Job Number],E474&amp;"",tbl_Finance[Xero Invoice No],"&lt;&gt;"))</f>
        <v/>
      </c>
      <c r="AA474" s="27">
        <f>IF(E474="","",Y474-Z474)</f>
        <v/>
      </c>
      <c r="AB474" s="25">
        <f>IF(E474="","",IF(H474="Onsite",IFERROR(INDEX(tbl_Onsite[Qwilr Quote],MATCH(E474&amp;"",tbl_Onsite[Job Number],0)),""),IF(H474="Production",IFERROR(IF(INDEX(tbl_Production[Current RMS No],MATCH(E474&amp;"",tbl_Production[Job Number],0))="",INDEX(tbl_Production[Qwilr Quote],MATCH(E474&amp;"",tbl_Production[Job Number],0)),INDEX(tbl_Production[Current RMS No],MATCH(E474&amp;"",tbl_Production[Job Number],0))),""),IF(H474="Consulting",IFERROR(INDEX(tbl_Consulting[Qwilr Quote],MATCH(E474&amp;"",tbl_Consulting[Job Number],0)),""),""))))</f>
        <v/>
      </c>
      <c r="AC474" s="25">
        <f>IF(AB474="","",IF(AND(LEFT(AB474,4)&lt;&gt;"http",IF(H474="Production",set_RMSBase,set_QwilrBase)=""),"",HYPERLINK(IF(LEFT(AB474,4)="http",AB474,IF(H474="Production",set_RMSBase,set_QwilrBase)&amp;AB474),"Open")))</f>
        <v/>
      </c>
      <c r="AD474" s="27">
        <f>IF(E474="","",IF(H474="Production",IFERROR(INDEX(tbl_Production[Total Expense],MATCH(E474&amp;"",tbl_Production[Job Number],0)),0),IF(H474="Consulting",IFERROR(INDEX(tbl_Consulting[Total Expense],MATCH(E474&amp;"",tbl_Consulting[Job Number],0)),0),0)))</f>
        <v/>
      </c>
      <c r="AE474" s="27">
        <f>IF(E474="","",Y474-N(AD474))</f>
        <v/>
      </c>
      <c r="AF474" s="29">
        <f>IFERROR(AE474/Y474,"")</f>
        <v/>
      </c>
      <c r="AG474" s="2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22" t="n"/>
      <c r="B475" s="23">
        <f>IF(A475="","",EOMONTH(A475,0))</f>
        <v/>
      </c>
      <c r="C475" s="24" t="n"/>
      <c r="D475" s="24" t="n"/>
      <c r="E475" s="24" t="n"/>
      <c r="F475" s="25">
        <f>IF(E475="","",IF(COUNTIF(lst_Jobs,E475&amp;"")&gt;0,"OK","CHECK"))</f>
        <v/>
      </c>
      <c r="G475" s="24" t="n"/>
      <c r="H475" s="24" t="n"/>
      <c r="I475" s="24" t="n"/>
      <c r="J475" s="24" t="n"/>
      <c r="K475" s="24" t="n"/>
      <c r="L475" s="26" t="n"/>
      <c r="M475" s="27">
        <f>IF(L475="","",IF(K475="GST 10%",ROUND(L475*set_GSTRate,2),0))</f>
        <v/>
      </c>
      <c r="N475" s="27">
        <f>IF(L475="","",L475+M475)</f>
        <v/>
      </c>
      <c r="O475" s="24" t="n"/>
      <c r="P475" s="24" t="n"/>
      <c r="Q475" s="24" t="n"/>
      <c r="R475" s="22" t="n"/>
      <c r="S475" s="22" t="n"/>
      <c r="T475" s="24" t="n"/>
      <c r="U475" s="24" t="n"/>
      <c r="V475" s="2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25">
        <f>IF(E475="","",IFERROR(INDEX(lst_JobName,MATCH(E475&amp;"",lst_Jobs,0)),""))</f>
        <v/>
      </c>
      <c r="X475" s="28">
        <f>IF(E475="","",COUNTIFS(tbl_Finance[Job Number],E475&amp;"",tbl_Finance[Ex GST],"&lt;&gt;"))</f>
        <v/>
      </c>
      <c r="Y475" s="27">
        <f>IF(E475="","",SUMIFS(tbl_Finance[Ex GST],tbl_Finance[Job Number],E475&amp;""))</f>
        <v/>
      </c>
      <c r="Z475" s="27">
        <f>IF(E475="","",SUMIFS(tbl_Finance[Ex GST],tbl_Finance[Job Number],E475&amp;"",tbl_Finance[Xero Invoice No],"&lt;&gt;"))</f>
        <v/>
      </c>
      <c r="AA475" s="27">
        <f>IF(E475="","",Y475-Z475)</f>
        <v/>
      </c>
      <c r="AB475" s="25">
        <f>IF(E475="","",IF(H475="Onsite",IFERROR(INDEX(tbl_Onsite[Qwilr Quote],MATCH(E475&amp;"",tbl_Onsite[Job Number],0)),""),IF(H475="Production",IFERROR(IF(INDEX(tbl_Production[Current RMS No],MATCH(E475&amp;"",tbl_Production[Job Number],0))="",INDEX(tbl_Production[Qwilr Quote],MATCH(E475&amp;"",tbl_Production[Job Number],0)),INDEX(tbl_Production[Current RMS No],MATCH(E475&amp;"",tbl_Production[Job Number],0))),""),IF(H475="Consulting",IFERROR(INDEX(tbl_Consulting[Qwilr Quote],MATCH(E475&amp;"",tbl_Consulting[Job Number],0)),""),""))))</f>
        <v/>
      </c>
      <c r="AC475" s="25">
        <f>IF(AB475="","",IF(AND(LEFT(AB475,4)&lt;&gt;"http",IF(H475="Production",set_RMSBase,set_QwilrBase)=""),"",HYPERLINK(IF(LEFT(AB475,4)="http",AB475,IF(H475="Production",set_RMSBase,set_QwilrBase)&amp;AB475),"Open")))</f>
        <v/>
      </c>
      <c r="AD475" s="27">
        <f>IF(E475="","",IF(H475="Production",IFERROR(INDEX(tbl_Production[Total Expense],MATCH(E475&amp;"",tbl_Production[Job Number],0)),0),IF(H475="Consulting",IFERROR(INDEX(tbl_Consulting[Total Expense],MATCH(E475&amp;"",tbl_Consulting[Job Number],0)),0),0)))</f>
        <v/>
      </c>
      <c r="AE475" s="27">
        <f>IF(E475="","",Y475-N(AD475))</f>
        <v/>
      </c>
      <c r="AF475" s="29">
        <f>IFERROR(AE475/Y475,"")</f>
        <v/>
      </c>
      <c r="AG475" s="2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22" t="n"/>
      <c r="B476" s="23">
        <f>IF(A476="","",EOMONTH(A476,0))</f>
        <v/>
      </c>
      <c r="C476" s="24" t="n"/>
      <c r="D476" s="24" t="n"/>
      <c r="E476" s="24" t="n"/>
      <c r="F476" s="25">
        <f>IF(E476="","",IF(COUNTIF(lst_Jobs,E476&amp;"")&gt;0,"OK","CHECK"))</f>
        <v/>
      </c>
      <c r="G476" s="24" t="n"/>
      <c r="H476" s="24" t="n"/>
      <c r="I476" s="24" t="n"/>
      <c r="J476" s="24" t="n"/>
      <c r="K476" s="24" t="n"/>
      <c r="L476" s="26" t="n"/>
      <c r="M476" s="27">
        <f>IF(L476="","",IF(K476="GST 10%",ROUND(L476*set_GSTRate,2),0))</f>
        <v/>
      </c>
      <c r="N476" s="27">
        <f>IF(L476="","",L476+M476)</f>
        <v/>
      </c>
      <c r="O476" s="24" t="n"/>
      <c r="P476" s="24" t="n"/>
      <c r="Q476" s="24" t="n"/>
      <c r="R476" s="22" t="n"/>
      <c r="S476" s="22" t="n"/>
      <c r="T476" s="24" t="n"/>
      <c r="U476" s="24" t="n"/>
      <c r="V476" s="2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25">
        <f>IF(E476="","",IFERROR(INDEX(lst_JobName,MATCH(E476&amp;"",lst_Jobs,0)),""))</f>
        <v/>
      </c>
      <c r="X476" s="28">
        <f>IF(E476="","",COUNTIFS(tbl_Finance[Job Number],E476&amp;"",tbl_Finance[Ex GST],"&lt;&gt;"))</f>
        <v/>
      </c>
      <c r="Y476" s="27">
        <f>IF(E476="","",SUMIFS(tbl_Finance[Ex GST],tbl_Finance[Job Number],E476&amp;""))</f>
        <v/>
      </c>
      <c r="Z476" s="27">
        <f>IF(E476="","",SUMIFS(tbl_Finance[Ex GST],tbl_Finance[Job Number],E476&amp;"",tbl_Finance[Xero Invoice No],"&lt;&gt;"))</f>
        <v/>
      </c>
      <c r="AA476" s="27">
        <f>IF(E476="","",Y476-Z476)</f>
        <v/>
      </c>
      <c r="AB476" s="25">
        <f>IF(E476="","",IF(H476="Onsite",IFERROR(INDEX(tbl_Onsite[Qwilr Quote],MATCH(E476&amp;"",tbl_Onsite[Job Number],0)),""),IF(H476="Production",IFERROR(IF(INDEX(tbl_Production[Current RMS No],MATCH(E476&amp;"",tbl_Production[Job Number],0))="",INDEX(tbl_Production[Qwilr Quote],MATCH(E476&amp;"",tbl_Production[Job Number],0)),INDEX(tbl_Production[Current RMS No],MATCH(E476&amp;"",tbl_Production[Job Number],0))),""),IF(H476="Consulting",IFERROR(INDEX(tbl_Consulting[Qwilr Quote],MATCH(E476&amp;"",tbl_Consulting[Job Number],0)),""),""))))</f>
        <v/>
      </c>
      <c r="AC476" s="25">
        <f>IF(AB476="","",IF(AND(LEFT(AB476,4)&lt;&gt;"http",IF(H476="Production",set_RMSBase,set_QwilrBase)=""),"",HYPERLINK(IF(LEFT(AB476,4)="http",AB476,IF(H476="Production",set_RMSBase,set_QwilrBase)&amp;AB476),"Open")))</f>
        <v/>
      </c>
      <c r="AD476" s="27">
        <f>IF(E476="","",IF(H476="Production",IFERROR(INDEX(tbl_Production[Total Expense],MATCH(E476&amp;"",tbl_Production[Job Number],0)),0),IF(H476="Consulting",IFERROR(INDEX(tbl_Consulting[Total Expense],MATCH(E476&amp;"",tbl_Consulting[Job Number],0)),0),0)))</f>
        <v/>
      </c>
      <c r="AE476" s="27">
        <f>IF(E476="","",Y476-N(AD476))</f>
        <v/>
      </c>
      <c r="AF476" s="29">
        <f>IFERROR(AE476/Y476,"")</f>
        <v/>
      </c>
      <c r="AG476" s="2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22" t="n"/>
      <c r="B477" s="23">
        <f>IF(A477="","",EOMONTH(A477,0))</f>
        <v/>
      </c>
      <c r="C477" s="24" t="n"/>
      <c r="D477" s="24" t="n"/>
      <c r="E477" s="24" t="n"/>
      <c r="F477" s="25">
        <f>IF(E477="","",IF(COUNTIF(lst_Jobs,E477&amp;"")&gt;0,"OK","CHECK"))</f>
        <v/>
      </c>
      <c r="G477" s="24" t="n"/>
      <c r="H477" s="24" t="n"/>
      <c r="I477" s="24" t="n"/>
      <c r="J477" s="24" t="n"/>
      <c r="K477" s="24" t="n"/>
      <c r="L477" s="26" t="n"/>
      <c r="M477" s="27">
        <f>IF(L477="","",IF(K477="GST 10%",ROUND(L477*set_GSTRate,2),0))</f>
        <v/>
      </c>
      <c r="N477" s="27">
        <f>IF(L477="","",L477+M477)</f>
        <v/>
      </c>
      <c r="O477" s="24" t="n"/>
      <c r="P477" s="24" t="n"/>
      <c r="Q477" s="24" t="n"/>
      <c r="R477" s="22" t="n"/>
      <c r="S477" s="22" t="n"/>
      <c r="T477" s="24" t="n"/>
      <c r="U477" s="24" t="n"/>
      <c r="V477" s="2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25">
        <f>IF(E477="","",IFERROR(INDEX(lst_JobName,MATCH(E477&amp;"",lst_Jobs,0)),""))</f>
        <v/>
      </c>
      <c r="X477" s="28">
        <f>IF(E477="","",COUNTIFS(tbl_Finance[Job Number],E477&amp;"",tbl_Finance[Ex GST],"&lt;&gt;"))</f>
        <v/>
      </c>
      <c r="Y477" s="27">
        <f>IF(E477="","",SUMIFS(tbl_Finance[Ex GST],tbl_Finance[Job Number],E477&amp;""))</f>
        <v/>
      </c>
      <c r="Z477" s="27">
        <f>IF(E477="","",SUMIFS(tbl_Finance[Ex GST],tbl_Finance[Job Number],E477&amp;"",tbl_Finance[Xero Invoice No],"&lt;&gt;"))</f>
        <v/>
      </c>
      <c r="AA477" s="27">
        <f>IF(E477="","",Y477-Z477)</f>
        <v/>
      </c>
      <c r="AB477" s="25">
        <f>IF(E477="","",IF(H477="Onsite",IFERROR(INDEX(tbl_Onsite[Qwilr Quote],MATCH(E477&amp;"",tbl_Onsite[Job Number],0)),""),IF(H477="Production",IFERROR(IF(INDEX(tbl_Production[Current RMS No],MATCH(E477&amp;"",tbl_Production[Job Number],0))="",INDEX(tbl_Production[Qwilr Quote],MATCH(E477&amp;"",tbl_Production[Job Number],0)),INDEX(tbl_Production[Current RMS No],MATCH(E477&amp;"",tbl_Production[Job Number],0))),""),IF(H477="Consulting",IFERROR(INDEX(tbl_Consulting[Qwilr Quote],MATCH(E477&amp;"",tbl_Consulting[Job Number],0)),""),""))))</f>
        <v/>
      </c>
      <c r="AC477" s="25">
        <f>IF(AB477="","",IF(AND(LEFT(AB477,4)&lt;&gt;"http",IF(H477="Production",set_RMSBase,set_QwilrBase)=""),"",HYPERLINK(IF(LEFT(AB477,4)="http",AB477,IF(H477="Production",set_RMSBase,set_QwilrBase)&amp;AB477),"Open")))</f>
        <v/>
      </c>
      <c r="AD477" s="27">
        <f>IF(E477="","",IF(H477="Production",IFERROR(INDEX(tbl_Production[Total Expense],MATCH(E477&amp;"",tbl_Production[Job Number],0)),0),IF(H477="Consulting",IFERROR(INDEX(tbl_Consulting[Total Expense],MATCH(E477&amp;"",tbl_Consulting[Job Number],0)),0),0)))</f>
        <v/>
      </c>
      <c r="AE477" s="27">
        <f>IF(E477="","",Y477-N(AD477))</f>
        <v/>
      </c>
      <c r="AF477" s="29">
        <f>IFERROR(AE477/Y477,"")</f>
        <v/>
      </c>
      <c r="AG477" s="2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22" t="n"/>
      <c r="B478" s="23">
        <f>IF(A478="","",EOMONTH(A478,0))</f>
        <v/>
      </c>
      <c r="C478" s="24" t="n"/>
      <c r="D478" s="24" t="n"/>
      <c r="E478" s="24" t="n"/>
      <c r="F478" s="25">
        <f>IF(E478="","",IF(COUNTIF(lst_Jobs,E478&amp;"")&gt;0,"OK","CHECK"))</f>
        <v/>
      </c>
      <c r="G478" s="24" t="n"/>
      <c r="H478" s="24" t="n"/>
      <c r="I478" s="24" t="n"/>
      <c r="J478" s="24" t="n"/>
      <c r="K478" s="24" t="n"/>
      <c r="L478" s="26" t="n"/>
      <c r="M478" s="27">
        <f>IF(L478="","",IF(K478="GST 10%",ROUND(L478*set_GSTRate,2),0))</f>
        <v/>
      </c>
      <c r="N478" s="27">
        <f>IF(L478="","",L478+M478)</f>
        <v/>
      </c>
      <c r="O478" s="24" t="n"/>
      <c r="P478" s="24" t="n"/>
      <c r="Q478" s="24" t="n"/>
      <c r="R478" s="22" t="n"/>
      <c r="S478" s="22" t="n"/>
      <c r="T478" s="24" t="n"/>
      <c r="U478" s="24" t="n"/>
      <c r="V478" s="2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25">
        <f>IF(E478="","",IFERROR(INDEX(lst_JobName,MATCH(E478&amp;"",lst_Jobs,0)),""))</f>
        <v/>
      </c>
      <c r="X478" s="28">
        <f>IF(E478="","",COUNTIFS(tbl_Finance[Job Number],E478&amp;"",tbl_Finance[Ex GST],"&lt;&gt;"))</f>
        <v/>
      </c>
      <c r="Y478" s="27">
        <f>IF(E478="","",SUMIFS(tbl_Finance[Ex GST],tbl_Finance[Job Number],E478&amp;""))</f>
        <v/>
      </c>
      <c r="Z478" s="27">
        <f>IF(E478="","",SUMIFS(tbl_Finance[Ex GST],tbl_Finance[Job Number],E478&amp;"",tbl_Finance[Xero Invoice No],"&lt;&gt;"))</f>
        <v/>
      </c>
      <c r="AA478" s="27">
        <f>IF(E478="","",Y478-Z478)</f>
        <v/>
      </c>
      <c r="AB478" s="25">
        <f>IF(E478="","",IF(H478="Onsite",IFERROR(INDEX(tbl_Onsite[Qwilr Quote],MATCH(E478&amp;"",tbl_Onsite[Job Number],0)),""),IF(H478="Production",IFERROR(IF(INDEX(tbl_Production[Current RMS No],MATCH(E478&amp;"",tbl_Production[Job Number],0))="",INDEX(tbl_Production[Qwilr Quote],MATCH(E478&amp;"",tbl_Production[Job Number],0)),INDEX(tbl_Production[Current RMS No],MATCH(E478&amp;"",tbl_Production[Job Number],0))),""),IF(H478="Consulting",IFERROR(INDEX(tbl_Consulting[Qwilr Quote],MATCH(E478&amp;"",tbl_Consulting[Job Number],0)),""),""))))</f>
        <v/>
      </c>
      <c r="AC478" s="25">
        <f>IF(AB478="","",IF(AND(LEFT(AB478,4)&lt;&gt;"http",IF(H478="Production",set_RMSBase,set_QwilrBase)=""),"",HYPERLINK(IF(LEFT(AB478,4)="http",AB478,IF(H478="Production",set_RMSBase,set_QwilrBase)&amp;AB478),"Open")))</f>
        <v/>
      </c>
      <c r="AD478" s="27">
        <f>IF(E478="","",IF(H478="Production",IFERROR(INDEX(tbl_Production[Total Expense],MATCH(E478&amp;"",tbl_Production[Job Number],0)),0),IF(H478="Consulting",IFERROR(INDEX(tbl_Consulting[Total Expense],MATCH(E478&amp;"",tbl_Consulting[Job Number],0)),0),0)))</f>
        <v/>
      </c>
      <c r="AE478" s="27">
        <f>IF(E478="","",Y478-N(AD478))</f>
        <v/>
      </c>
      <c r="AF478" s="29">
        <f>IFERROR(AE478/Y478,"")</f>
        <v/>
      </c>
      <c r="AG478" s="2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22" t="n"/>
      <c r="B479" s="23">
        <f>IF(A479="","",EOMONTH(A479,0))</f>
        <v/>
      </c>
      <c r="C479" s="24" t="n"/>
      <c r="D479" s="24" t="n"/>
      <c r="E479" s="24" t="n"/>
      <c r="F479" s="25">
        <f>IF(E479="","",IF(COUNTIF(lst_Jobs,E479&amp;"")&gt;0,"OK","CHECK"))</f>
        <v/>
      </c>
      <c r="G479" s="24" t="n"/>
      <c r="H479" s="24" t="n"/>
      <c r="I479" s="24" t="n"/>
      <c r="J479" s="24" t="n"/>
      <c r="K479" s="24" t="n"/>
      <c r="L479" s="26" t="n"/>
      <c r="M479" s="27">
        <f>IF(L479="","",IF(K479="GST 10%",ROUND(L479*set_GSTRate,2),0))</f>
        <v/>
      </c>
      <c r="N479" s="27">
        <f>IF(L479="","",L479+M479)</f>
        <v/>
      </c>
      <c r="O479" s="24" t="n"/>
      <c r="P479" s="24" t="n"/>
      <c r="Q479" s="24" t="n"/>
      <c r="R479" s="22" t="n"/>
      <c r="S479" s="22" t="n"/>
      <c r="T479" s="24" t="n"/>
      <c r="U479" s="24" t="n"/>
      <c r="V479" s="2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25">
        <f>IF(E479="","",IFERROR(INDEX(lst_JobName,MATCH(E479&amp;"",lst_Jobs,0)),""))</f>
        <v/>
      </c>
      <c r="X479" s="28">
        <f>IF(E479="","",COUNTIFS(tbl_Finance[Job Number],E479&amp;"",tbl_Finance[Ex GST],"&lt;&gt;"))</f>
        <v/>
      </c>
      <c r="Y479" s="27">
        <f>IF(E479="","",SUMIFS(tbl_Finance[Ex GST],tbl_Finance[Job Number],E479&amp;""))</f>
        <v/>
      </c>
      <c r="Z479" s="27">
        <f>IF(E479="","",SUMIFS(tbl_Finance[Ex GST],tbl_Finance[Job Number],E479&amp;"",tbl_Finance[Xero Invoice No],"&lt;&gt;"))</f>
        <v/>
      </c>
      <c r="AA479" s="27">
        <f>IF(E479="","",Y479-Z479)</f>
        <v/>
      </c>
      <c r="AB479" s="25">
        <f>IF(E479="","",IF(H479="Onsite",IFERROR(INDEX(tbl_Onsite[Qwilr Quote],MATCH(E479&amp;"",tbl_Onsite[Job Number],0)),""),IF(H479="Production",IFERROR(IF(INDEX(tbl_Production[Current RMS No],MATCH(E479&amp;"",tbl_Production[Job Number],0))="",INDEX(tbl_Production[Qwilr Quote],MATCH(E479&amp;"",tbl_Production[Job Number],0)),INDEX(tbl_Production[Current RMS No],MATCH(E479&amp;"",tbl_Production[Job Number],0))),""),IF(H479="Consulting",IFERROR(INDEX(tbl_Consulting[Qwilr Quote],MATCH(E479&amp;"",tbl_Consulting[Job Number],0)),""),""))))</f>
        <v/>
      </c>
      <c r="AC479" s="25">
        <f>IF(AB479="","",IF(AND(LEFT(AB479,4)&lt;&gt;"http",IF(H479="Production",set_RMSBase,set_QwilrBase)=""),"",HYPERLINK(IF(LEFT(AB479,4)="http",AB479,IF(H479="Production",set_RMSBase,set_QwilrBase)&amp;AB479),"Open")))</f>
        <v/>
      </c>
      <c r="AD479" s="27">
        <f>IF(E479="","",IF(H479="Production",IFERROR(INDEX(tbl_Production[Total Expense],MATCH(E479&amp;"",tbl_Production[Job Number],0)),0),IF(H479="Consulting",IFERROR(INDEX(tbl_Consulting[Total Expense],MATCH(E479&amp;"",tbl_Consulting[Job Number],0)),0),0)))</f>
        <v/>
      </c>
      <c r="AE479" s="27">
        <f>IF(E479="","",Y479-N(AD479))</f>
        <v/>
      </c>
      <c r="AF479" s="29">
        <f>IFERROR(AE479/Y479,"")</f>
        <v/>
      </c>
      <c r="AG479" s="2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22" t="n"/>
      <c r="B480" s="23">
        <f>IF(A480="","",EOMONTH(A480,0))</f>
        <v/>
      </c>
      <c r="C480" s="24" t="n"/>
      <c r="D480" s="24" t="n"/>
      <c r="E480" s="24" t="n"/>
      <c r="F480" s="25">
        <f>IF(E480="","",IF(COUNTIF(lst_Jobs,E480&amp;"")&gt;0,"OK","CHECK"))</f>
        <v/>
      </c>
      <c r="G480" s="24" t="n"/>
      <c r="H480" s="24" t="n"/>
      <c r="I480" s="24" t="n"/>
      <c r="J480" s="24" t="n"/>
      <c r="K480" s="24" t="n"/>
      <c r="L480" s="26" t="n"/>
      <c r="M480" s="27">
        <f>IF(L480="","",IF(K480="GST 10%",ROUND(L480*set_GSTRate,2),0))</f>
        <v/>
      </c>
      <c r="N480" s="27">
        <f>IF(L480="","",L480+M480)</f>
        <v/>
      </c>
      <c r="O480" s="24" t="n"/>
      <c r="P480" s="24" t="n"/>
      <c r="Q480" s="24" t="n"/>
      <c r="R480" s="22" t="n"/>
      <c r="S480" s="22" t="n"/>
      <c r="T480" s="24" t="n"/>
      <c r="U480" s="24" t="n"/>
      <c r="V480" s="2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25">
        <f>IF(E480="","",IFERROR(INDEX(lst_JobName,MATCH(E480&amp;"",lst_Jobs,0)),""))</f>
        <v/>
      </c>
      <c r="X480" s="28">
        <f>IF(E480="","",COUNTIFS(tbl_Finance[Job Number],E480&amp;"",tbl_Finance[Ex GST],"&lt;&gt;"))</f>
        <v/>
      </c>
      <c r="Y480" s="27">
        <f>IF(E480="","",SUMIFS(tbl_Finance[Ex GST],tbl_Finance[Job Number],E480&amp;""))</f>
        <v/>
      </c>
      <c r="Z480" s="27">
        <f>IF(E480="","",SUMIFS(tbl_Finance[Ex GST],tbl_Finance[Job Number],E480&amp;"",tbl_Finance[Xero Invoice No],"&lt;&gt;"))</f>
        <v/>
      </c>
      <c r="AA480" s="27">
        <f>IF(E480="","",Y480-Z480)</f>
        <v/>
      </c>
      <c r="AB480" s="25">
        <f>IF(E480="","",IF(H480="Onsite",IFERROR(INDEX(tbl_Onsite[Qwilr Quote],MATCH(E480&amp;"",tbl_Onsite[Job Number],0)),""),IF(H480="Production",IFERROR(IF(INDEX(tbl_Production[Current RMS No],MATCH(E480&amp;"",tbl_Production[Job Number],0))="",INDEX(tbl_Production[Qwilr Quote],MATCH(E480&amp;"",tbl_Production[Job Number],0)),INDEX(tbl_Production[Current RMS No],MATCH(E480&amp;"",tbl_Production[Job Number],0))),""),IF(H480="Consulting",IFERROR(INDEX(tbl_Consulting[Qwilr Quote],MATCH(E480&amp;"",tbl_Consulting[Job Number],0)),""),""))))</f>
        <v/>
      </c>
      <c r="AC480" s="25">
        <f>IF(AB480="","",IF(AND(LEFT(AB480,4)&lt;&gt;"http",IF(H480="Production",set_RMSBase,set_QwilrBase)=""),"",HYPERLINK(IF(LEFT(AB480,4)="http",AB480,IF(H480="Production",set_RMSBase,set_QwilrBase)&amp;AB480),"Open")))</f>
        <v/>
      </c>
      <c r="AD480" s="27">
        <f>IF(E480="","",IF(H480="Production",IFERROR(INDEX(tbl_Production[Total Expense],MATCH(E480&amp;"",tbl_Production[Job Number],0)),0),IF(H480="Consulting",IFERROR(INDEX(tbl_Consulting[Total Expense],MATCH(E480&amp;"",tbl_Consulting[Job Number],0)),0),0)))</f>
        <v/>
      </c>
      <c r="AE480" s="27">
        <f>IF(E480="","",Y480-N(AD480))</f>
        <v/>
      </c>
      <c r="AF480" s="29">
        <f>IFERROR(AE480/Y480,"")</f>
        <v/>
      </c>
      <c r="AG480" s="2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22" t="n"/>
      <c r="B481" s="23">
        <f>IF(A481="","",EOMONTH(A481,0))</f>
        <v/>
      </c>
      <c r="C481" s="24" t="n"/>
      <c r="D481" s="24" t="n"/>
      <c r="E481" s="24" t="n"/>
      <c r="F481" s="25">
        <f>IF(E481="","",IF(COUNTIF(lst_Jobs,E481&amp;"")&gt;0,"OK","CHECK"))</f>
        <v/>
      </c>
      <c r="G481" s="24" t="n"/>
      <c r="H481" s="24" t="n"/>
      <c r="I481" s="24" t="n"/>
      <c r="J481" s="24" t="n"/>
      <c r="K481" s="24" t="n"/>
      <c r="L481" s="26" t="n"/>
      <c r="M481" s="27">
        <f>IF(L481="","",IF(K481="GST 10%",ROUND(L481*set_GSTRate,2),0))</f>
        <v/>
      </c>
      <c r="N481" s="27">
        <f>IF(L481="","",L481+M481)</f>
        <v/>
      </c>
      <c r="O481" s="24" t="n"/>
      <c r="P481" s="24" t="n"/>
      <c r="Q481" s="24" t="n"/>
      <c r="R481" s="22" t="n"/>
      <c r="S481" s="22" t="n"/>
      <c r="T481" s="24" t="n"/>
      <c r="U481" s="24" t="n"/>
      <c r="V481" s="2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25">
        <f>IF(E481="","",IFERROR(INDEX(lst_JobName,MATCH(E481&amp;"",lst_Jobs,0)),""))</f>
        <v/>
      </c>
      <c r="X481" s="28">
        <f>IF(E481="","",COUNTIFS(tbl_Finance[Job Number],E481&amp;"",tbl_Finance[Ex GST],"&lt;&gt;"))</f>
        <v/>
      </c>
      <c r="Y481" s="27">
        <f>IF(E481="","",SUMIFS(tbl_Finance[Ex GST],tbl_Finance[Job Number],E481&amp;""))</f>
        <v/>
      </c>
      <c r="Z481" s="27">
        <f>IF(E481="","",SUMIFS(tbl_Finance[Ex GST],tbl_Finance[Job Number],E481&amp;"",tbl_Finance[Xero Invoice No],"&lt;&gt;"))</f>
        <v/>
      </c>
      <c r="AA481" s="27">
        <f>IF(E481="","",Y481-Z481)</f>
        <v/>
      </c>
      <c r="AB481" s="25">
        <f>IF(E481="","",IF(H481="Onsite",IFERROR(INDEX(tbl_Onsite[Qwilr Quote],MATCH(E481&amp;"",tbl_Onsite[Job Number],0)),""),IF(H481="Production",IFERROR(IF(INDEX(tbl_Production[Current RMS No],MATCH(E481&amp;"",tbl_Production[Job Number],0))="",INDEX(tbl_Production[Qwilr Quote],MATCH(E481&amp;"",tbl_Production[Job Number],0)),INDEX(tbl_Production[Current RMS No],MATCH(E481&amp;"",tbl_Production[Job Number],0))),""),IF(H481="Consulting",IFERROR(INDEX(tbl_Consulting[Qwilr Quote],MATCH(E481&amp;"",tbl_Consulting[Job Number],0)),""),""))))</f>
        <v/>
      </c>
      <c r="AC481" s="25">
        <f>IF(AB481="","",IF(AND(LEFT(AB481,4)&lt;&gt;"http",IF(H481="Production",set_RMSBase,set_QwilrBase)=""),"",HYPERLINK(IF(LEFT(AB481,4)="http",AB481,IF(H481="Production",set_RMSBase,set_QwilrBase)&amp;AB481),"Open")))</f>
        <v/>
      </c>
      <c r="AD481" s="27">
        <f>IF(E481="","",IF(H481="Production",IFERROR(INDEX(tbl_Production[Total Expense],MATCH(E481&amp;"",tbl_Production[Job Number],0)),0),IF(H481="Consulting",IFERROR(INDEX(tbl_Consulting[Total Expense],MATCH(E481&amp;"",tbl_Consulting[Job Number],0)),0),0)))</f>
        <v/>
      </c>
      <c r="AE481" s="27">
        <f>IF(E481="","",Y481-N(AD481))</f>
        <v/>
      </c>
      <c r="AF481" s="29">
        <f>IFERROR(AE481/Y481,"")</f>
        <v/>
      </c>
      <c r="AG481" s="2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22" t="n"/>
      <c r="B482" s="23">
        <f>IF(A482="","",EOMONTH(A482,0))</f>
        <v/>
      </c>
      <c r="C482" s="24" t="n"/>
      <c r="D482" s="24" t="n"/>
      <c r="E482" s="24" t="n"/>
      <c r="F482" s="25">
        <f>IF(E482="","",IF(COUNTIF(lst_Jobs,E482&amp;"")&gt;0,"OK","CHECK"))</f>
        <v/>
      </c>
      <c r="G482" s="24" t="n"/>
      <c r="H482" s="24" t="n"/>
      <c r="I482" s="24" t="n"/>
      <c r="J482" s="24" t="n"/>
      <c r="K482" s="24" t="n"/>
      <c r="L482" s="26" t="n"/>
      <c r="M482" s="27">
        <f>IF(L482="","",IF(K482="GST 10%",ROUND(L482*set_GSTRate,2),0))</f>
        <v/>
      </c>
      <c r="N482" s="27">
        <f>IF(L482="","",L482+M482)</f>
        <v/>
      </c>
      <c r="O482" s="24" t="n"/>
      <c r="P482" s="24" t="n"/>
      <c r="Q482" s="24" t="n"/>
      <c r="R482" s="22" t="n"/>
      <c r="S482" s="22" t="n"/>
      <c r="T482" s="24" t="n"/>
      <c r="U482" s="24" t="n"/>
      <c r="V482" s="2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25">
        <f>IF(E482="","",IFERROR(INDEX(lst_JobName,MATCH(E482&amp;"",lst_Jobs,0)),""))</f>
        <v/>
      </c>
      <c r="X482" s="28">
        <f>IF(E482="","",COUNTIFS(tbl_Finance[Job Number],E482&amp;"",tbl_Finance[Ex GST],"&lt;&gt;"))</f>
        <v/>
      </c>
      <c r="Y482" s="27">
        <f>IF(E482="","",SUMIFS(tbl_Finance[Ex GST],tbl_Finance[Job Number],E482&amp;""))</f>
        <v/>
      </c>
      <c r="Z482" s="27">
        <f>IF(E482="","",SUMIFS(tbl_Finance[Ex GST],tbl_Finance[Job Number],E482&amp;"",tbl_Finance[Xero Invoice No],"&lt;&gt;"))</f>
        <v/>
      </c>
      <c r="AA482" s="27">
        <f>IF(E482="","",Y482-Z482)</f>
        <v/>
      </c>
      <c r="AB482" s="25">
        <f>IF(E482="","",IF(H482="Onsite",IFERROR(INDEX(tbl_Onsite[Qwilr Quote],MATCH(E482&amp;"",tbl_Onsite[Job Number],0)),""),IF(H482="Production",IFERROR(IF(INDEX(tbl_Production[Current RMS No],MATCH(E482&amp;"",tbl_Production[Job Number],0))="",INDEX(tbl_Production[Qwilr Quote],MATCH(E482&amp;"",tbl_Production[Job Number],0)),INDEX(tbl_Production[Current RMS No],MATCH(E482&amp;"",tbl_Production[Job Number],0))),""),IF(H482="Consulting",IFERROR(INDEX(tbl_Consulting[Qwilr Quote],MATCH(E482&amp;"",tbl_Consulting[Job Number],0)),""),""))))</f>
        <v/>
      </c>
      <c r="AC482" s="25">
        <f>IF(AB482="","",IF(AND(LEFT(AB482,4)&lt;&gt;"http",IF(H482="Production",set_RMSBase,set_QwilrBase)=""),"",HYPERLINK(IF(LEFT(AB482,4)="http",AB482,IF(H482="Production",set_RMSBase,set_QwilrBase)&amp;AB482),"Open")))</f>
        <v/>
      </c>
      <c r="AD482" s="27">
        <f>IF(E482="","",IF(H482="Production",IFERROR(INDEX(tbl_Production[Total Expense],MATCH(E482&amp;"",tbl_Production[Job Number],0)),0),IF(H482="Consulting",IFERROR(INDEX(tbl_Consulting[Total Expense],MATCH(E482&amp;"",tbl_Consulting[Job Number],0)),0),0)))</f>
        <v/>
      </c>
      <c r="AE482" s="27">
        <f>IF(E482="","",Y482-N(AD482))</f>
        <v/>
      </c>
      <c r="AF482" s="29">
        <f>IFERROR(AE482/Y482,"")</f>
        <v/>
      </c>
      <c r="AG482" s="2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22" t="n"/>
      <c r="B483" s="23">
        <f>IF(A483="","",EOMONTH(A483,0))</f>
        <v/>
      </c>
      <c r="C483" s="24" t="n"/>
      <c r="D483" s="24" t="n"/>
      <c r="E483" s="24" t="n"/>
      <c r="F483" s="25">
        <f>IF(E483="","",IF(COUNTIF(lst_Jobs,E483&amp;"")&gt;0,"OK","CHECK"))</f>
        <v/>
      </c>
      <c r="G483" s="24" t="n"/>
      <c r="H483" s="24" t="n"/>
      <c r="I483" s="24" t="n"/>
      <c r="J483" s="24" t="n"/>
      <c r="K483" s="24" t="n"/>
      <c r="L483" s="26" t="n"/>
      <c r="M483" s="27">
        <f>IF(L483="","",IF(K483="GST 10%",ROUND(L483*set_GSTRate,2),0))</f>
        <v/>
      </c>
      <c r="N483" s="27">
        <f>IF(L483="","",L483+M483)</f>
        <v/>
      </c>
      <c r="O483" s="24" t="n"/>
      <c r="P483" s="24" t="n"/>
      <c r="Q483" s="24" t="n"/>
      <c r="R483" s="22" t="n"/>
      <c r="S483" s="22" t="n"/>
      <c r="T483" s="24" t="n"/>
      <c r="U483" s="24" t="n"/>
      <c r="V483" s="2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25">
        <f>IF(E483="","",IFERROR(INDEX(lst_JobName,MATCH(E483&amp;"",lst_Jobs,0)),""))</f>
        <v/>
      </c>
      <c r="X483" s="28">
        <f>IF(E483="","",COUNTIFS(tbl_Finance[Job Number],E483&amp;"",tbl_Finance[Ex GST],"&lt;&gt;"))</f>
        <v/>
      </c>
      <c r="Y483" s="27">
        <f>IF(E483="","",SUMIFS(tbl_Finance[Ex GST],tbl_Finance[Job Number],E483&amp;""))</f>
        <v/>
      </c>
      <c r="Z483" s="27">
        <f>IF(E483="","",SUMIFS(tbl_Finance[Ex GST],tbl_Finance[Job Number],E483&amp;"",tbl_Finance[Xero Invoice No],"&lt;&gt;"))</f>
        <v/>
      </c>
      <c r="AA483" s="27">
        <f>IF(E483="","",Y483-Z483)</f>
        <v/>
      </c>
      <c r="AB483" s="25">
        <f>IF(E483="","",IF(H483="Onsite",IFERROR(INDEX(tbl_Onsite[Qwilr Quote],MATCH(E483&amp;"",tbl_Onsite[Job Number],0)),""),IF(H483="Production",IFERROR(IF(INDEX(tbl_Production[Current RMS No],MATCH(E483&amp;"",tbl_Production[Job Number],0))="",INDEX(tbl_Production[Qwilr Quote],MATCH(E483&amp;"",tbl_Production[Job Number],0)),INDEX(tbl_Production[Current RMS No],MATCH(E483&amp;"",tbl_Production[Job Number],0))),""),IF(H483="Consulting",IFERROR(INDEX(tbl_Consulting[Qwilr Quote],MATCH(E483&amp;"",tbl_Consulting[Job Number],0)),""),""))))</f>
        <v/>
      </c>
      <c r="AC483" s="25">
        <f>IF(AB483="","",IF(AND(LEFT(AB483,4)&lt;&gt;"http",IF(H483="Production",set_RMSBase,set_QwilrBase)=""),"",HYPERLINK(IF(LEFT(AB483,4)="http",AB483,IF(H483="Production",set_RMSBase,set_QwilrBase)&amp;AB483),"Open")))</f>
        <v/>
      </c>
      <c r="AD483" s="27">
        <f>IF(E483="","",IF(H483="Production",IFERROR(INDEX(tbl_Production[Total Expense],MATCH(E483&amp;"",tbl_Production[Job Number],0)),0),IF(H483="Consulting",IFERROR(INDEX(tbl_Consulting[Total Expense],MATCH(E483&amp;"",tbl_Consulting[Job Number],0)),0),0)))</f>
        <v/>
      </c>
      <c r="AE483" s="27">
        <f>IF(E483="","",Y483-N(AD483))</f>
        <v/>
      </c>
      <c r="AF483" s="29">
        <f>IFERROR(AE483/Y483,"")</f>
        <v/>
      </c>
      <c r="AG483" s="2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22" t="n"/>
      <c r="B484" s="23">
        <f>IF(A484="","",EOMONTH(A484,0))</f>
        <v/>
      </c>
      <c r="C484" s="24" t="n"/>
      <c r="D484" s="24" t="n"/>
      <c r="E484" s="24" t="n"/>
      <c r="F484" s="25">
        <f>IF(E484="","",IF(COUNTIF(lst_Jobs,E484&amp;"")&gt;0,"OK","CHECK"))</f>
        <v/>
      </c>
      <c r="G484" s="24" t="n"/>
      <c r="H484" s="24" t="n"/>
      <c r="I484" s="24" t="n"/>
      <c r="J484" s="24" t="n"/>
      <c r="K484" s="24" t="n"/>
      <c r="L484" s="26" t="n"/>
      <c r="M484" s="27">
        <f>IF(L484="","",IF(K484="GST 10%",ROUND(L484*set_GSTRate,2),0))</f>
        <v/>
      </c>
      <c r="N484" s="27">
        <f>IF(L484="","",L484+M484)</f>
        <v/>
      </c>
      <c r="O484" s="24" t="n"/>
      <c r="P484" s="24" t="n"/>
      <c r="Q484" s="24" t="n"/>
      <c r="R484" s="22" t="n"/>
      <c r="S484" s="22" t="n"/>
      <c r="T484" s="24" t="n"/>
      <c r="U484" s="24" t="n"/>
      <c r="V484" s="2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25">
        <f>IF(E484="","",IFERROR(INDEX(lst_JobName,MATCH(E484&amp;"",lst_Jobs,0)),""))</f>
        <v/>
      </c>
      <c r="X484" s="28">
        <f>IF(E484="","",COUNTIFS(tbl_Finance[Job Number],E484&amp;"",tbl_Finance[Ex GST],"&lt;&gt;"))</f>
        <v/>
      </c>
      <c r="Y484" s="27">
        <f>IF(E484="","",SUMIFS(tbl_Finance[Ex GST],tbl_Finance[Job Number],E484&amp;""))</f>
        <v/>
      </c>
      <c r="Z484" s="27">
        <f>IF(E484="","",SUMIFS(tbl_Finance[Ex GST],tbl_Finance[Job Number],E484&amp;"",tbl_Finance[Xero Invoice No],"&lt;&gt;"))</f>
        <v/>
      </c>
      <c r="AA484" s="27">
        <f>IF(E484="","",Y484-Z484)</f>
        <v/>
      </c>
      <c r="AB484" s="25">
        <f>IF(E484="","",IF(H484="Onsite",IFERROR(INDEX(tbl_Onsite[Qwilr Quote],MATCH(E484&amp;"",tbl_Onsite[Job Number],0)),""),IF(H484="Production",IFERROR(IF(INDEX(tbl_Production[Current RMS No],MATCH(E484&amp;"",tbl_Production[Job Number],0))="",INDEX(tbl_Production[Qwilr Quote],MATCH(E484&amp;"",tbl_Production[Job Number],0)),INDEX(tbl_Production[Current RMS No],MATCH(E484&amp;"",tbl_Production[Job Number],0))),""),IF(H484="Consulting",IFERROR(INDEX(tbl_Consulting[Qwilr Quote],MATCH(E484&amp;"",tbl_Consulting[Job Number],0)),""),""))))</f>
        <v/>
      </c>
      <c r="AC484" s="25">
        <f>IF(AB484="","",IF(AND(LEFT(AB484,4)&lt;&gt;"http",IF(H484="Production",set_RMSBase,set_QwilrBase)=""),"",HYPERLINK(IF(LEFT(AB484,4)="http",AB484,IF(H484="Production",set_RMSBase,set_QwilrBase)&amp;AB484),"Open")))</f>
        <v/>
      </c>
      <c r="AD484" s="27">
        <f>IF(E484="","",IF(H484="Production",IFERROR(INDEX(tbl_Production[Total Expense],MATCH(E484&amp;"",tbl_Production[Job Number],0)),0),IF(H484="Consulting",IFERROR(INDEX(tbl_Consulting[Total Expense],MATCH(E484&amp;"",tbl_Consulting[Job Number],0)),0),0)))</f>
        <v/>
      </c>
      <c r="AE484" s="27">
        <f>IF(E484="","",Y484-N(AD484))</f>
        <v/>
      </c>
      <c r="AF484" s="29">
        <f>IFERROR(AE484/Y484,"")</f>
        <v/>
      </c>
      <c r="AG484" s="2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22" t="n"/>
      <c r="B485" s="23">
        <f>IF(A485="","",EOMONTH(A485,0))</f>
        <v/>
      </c>
      <c r="C485" s="24" t="n"/>
      <c r="D485" s="24" t="n"/>
      <c r="E485" s="24" t="n"/>
      <c r="F485" s="25">
        <f>IF(E485="","",IF(COUNTIF(lst_Jobs,E485&amp;"")&gt;0,"OK","CHECK"))</f>
        <v/>
      </c>
      <c r="G485" s="24" t="n"/>
      <c r="H485" s="24" t="n"/>
      <c r="I485" s="24" t="n"/>
      <c r="J485" s="24" t="n"/>
      <c r="K485" s="24" t="n"/>
      <c r="L485" s="26" t="n"/>
      <c r="M485" s="27">
        <f>IF(L485="","",IF(K485="GST 10%",ROUND(L485*set_GSTRate,2),0))</f>
        <v/>
      </c>
      <c r="N485" s="27">
        <f>IF(L485="","",L485+M485)</f>
        <v/>
      </c>
      <c r="O485" s="24" t="n"/>
      <c r="P485" s="24" t="n"/>
      <c r="Q485" s="24" t="n"/>
      <c r="R485" s="22" t="n"/>
      <c r="S485" s="22" t="n"/>
      <c r="T485" s="24" t="n"/>
      <c r="U485" s="24" t="n"/>
      <c r="V485" s="2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25">
        <f>IF(E485="","",IFERROR(INDEX(lst_JobName,MATCH(E485&amp;"",lst_Jobs,0)),""))</f>
        <v/>
      </c>
      <c r="X485" s="28">
        <f>IF(E485="","",COUNTIFS(tbl_Finance[Job Number],E485&amp;"",tbl_Finance[Ex GST],"&lt;&gt;"))</f>
        <v/>
      </c>
      <c r="Y485" s="27">
        <f>IF(E485="","",SUMIFS(tbl_Finance[Ex GST],tbl_Finance[Job Number],E485&amp;""))</f>
        <v/>
      </c>
      <c r="Z485" s="27">
        <f>IF(E485="","",SUMIFS(tbl_Finance[Ex GST],tbl_Finance[Job Number],E485&amp;"",tbl_Finance[Xero Invoice No],"&lt;&gt;"))</f>
        <v/>
      </c>
      <c r="AA485" s="27">
        <f>IF(E485="","",Y485-Z485)</f>
        <v/>
      </c>
      <c r="AB485" s="25">
        <f>IF(E485="","",IF(H485="Onsite",IFERROR(INDEX(tbl_Onsite[Qwilr Quote],MATCH(E485&amp;"",tbl_Onsite[Job Number],0)),""),IF(H485="Production",IFERROR(IF(INDEX(tbl_Production[Current RMS No],MATCH(E485&amp;"",tbl_Production[Job Number],0))="",INDEX(tbl_Production[Qwilr Quote],MATCH(E485&amp;"",tbl_Production[Job Number],0)),INDEX(tbl_Production[Current RMS No],MATCH(E485&amp;"",tbl_Production[Job Number],0))),""),IF(H485="Consulting",IFERROR(INDEX(tbl_Consulting[Qwilr Quote],MATCH(E485&amp;"",tbl_Consulting[Job Number],0)),""),""))))</f>
        <v/>
      </c>
      <c r="AC485" s="25">
        <f>IF(AB485="","",IF(AND(LEFT(AB485,4)&lt;&gt;"http",IF(H485="Production",set_RMSBase,set_QwilrBase)=""),"",HYPERLINK(IF(LEFT(AB485,4)="http",AB485,IF(H485="Production",set_RMSBase,set_QwilrBase)&amp;AB485),"Open")))</f>
        <v/>
      </c>
      <c r="AD485" s="27">
        <f>IF(E485="","",IF(H485="Production",IFERROR(INDEX(tbl_Production[Total Expense],MATCH(E485&amp;"",tbl_Production[Job Number],0)),0),IF(H485="Consulting",IFERROR(INDEX(tbl_Consulting[Total Expense],MATCH(E485&amp;"",tbl_Consulting[Job Number],0)),0),0)))</f>
        <v/>
      </c>
      <c r="AE485" s="27">
        <f>IF(E485="","",Y485-N(AD485))</f>
        <v/>
      </c>
      <c r="AF485" s="29">
        <f>IFERROR(AE485/Y485,"")</f>
        <v/>
      </c>
      <c r="AG485" s="2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22" t="n"/>
      <c r="B486" s="23">
        <f>IF(A486="","",EOMONTH(A486,0))</f>
        <v/>
      </c>
      <c r="C486" s="24" t="n"/>
      <c r="D486" s="24" t="n"/>
      <c r="E486" s="24" t="n"/>
      <c r="F486" s="25">
        <f>IF(E486="","",IF(COUNTIF(lst_Jobs,E486&amp;"")&gt;0,"OK","CHECK"))</f>
        <v/>
      </c>
      <c r="G486" s="24" t="n"/>
      <c r="H486" s="24" t="n"/>
      <c r="I486" s="24" t="n"/>
      <c r="J486" s="24" t="n"/>
      <c r="K486" s="24" t="n"/>
      <c r="L486" s="26" t="n"/>
      <c r="M486" s="27">
        <f>IF(L486="","",IF(K486="GST 10%",ROUND(L486*set_GSTRate,2),0))</f>
        <v/>
      </c>
      <c r="N486" s="27">
        <f>IF(L486="","",L486+M486)</f>
        <v/>
      </c>
      <c r="O486" s="24" t="n"/>
      <c r="P486" s="24" t="n"/>
      <c r="Q486" s="24" t="n"/>
      <c r="R486" s="22" t="n"/>
      <c r="S486" s="22" t="n"/>
      <c r="T486" s="24" t="n"/>
      <c r="U486" s="24" t="n"/>
      <c r="V486" s="2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25">
        <f>IF(E486="","",IFERROR(INDEX(lst_JobName,MATCH(E486&amp;"",lst_Jobs,0)),""))</f>
        <v/>
      </c>
      <c r="X486" s="28">
        <f>IF(E486="","",COUNTIFS(tbl_Finance[Job Number],E486&amp;"",tbl_Finance[Ex GST],"&lt;&gt;"))</f>
        <v/>
      </c>
      <c r="Y486" s="27">
        <f>IF(E486="","",SUMIFS(tbl_Finance[Ex GST],tbl_Finance[Job Number],E486&amp;""))</f>
        <v/>
      </c>
      <c r="Z486" s="27">
        <f>IF(E486="","",SUMIFS(tbl_Finance[Ex GST],tbl_Finance[Job Number],E486&amp;"",tbl_Finance[Xero Invoice No],"&lt;&gt;"))</f>
        <v/>
      </c>
      <c r="AA486" s="27">
        <f>IF(E486="","",Y486-Z486)</f>
        <v/>
      </c>
      <c r="AB486" s="25">
        <f>IF(E486="","",IF(H486="Onsite",IFERROR(INDEX(tbl_Onsite[Qwilr Quote],MATCH(E486&amp;"",tbl_Onsite[Job Number],0)),""),IF(H486="Production",IFERROR(IF(INDEX(tbl_Production[Current RMS No],MATCH(E486&amp;"",tbl_Production[Job Number],0))="",INDEX(tbl_Production[Qwilr Quote],MATCH(E486&amp;"",tbl_Production[Job Number],0)),INDEX(tbl_Production[Current RMS No],MATCH(E486&amp;"",tbl_Production[Job Number],0))),""),IF(H486="Consulting",IFERROR(INDEX(tbl_Consulting[Qwilr Quote],MATCH(E486&amp;"",tbl_Consulting[Job Number],0)),""),""))))</f>
        <v/>
      </c>
      <c r="AC486" s="25">
        <f>IF(AB486="","",IF(AND(LEFT(AB486,4)&lt;&gt;"http",IF(H486="Production",set_RMSBase,set_QwilrBase)=""),"",HYPERLINK(IF(LEFT(AB486,4)="http",AB486,IF(H486="Production",set_RMSBase,set_QwilrBase)&amp;AB486),"Open")))</f>
        <v/>
      </c>
      <c r="AD486" s="27">
        <f>IF(E486="","",IF(H486="Production",IFERROR(INDEX(tbl_Production[Total Expense],MATCH(E486&amp;"",tbl_Production[Job Number],0)),0),IF(H486="Consulting",IFERROR(INDEX(tbl_Consulting[Total Expense],MATCH(E486&amp;"",tbl_Consulting[Job Number],0)),0),0)))</f>
        <v/>
      </c>
      <c r="AE486" s="27">
        <f>IF(E486="","",Y486-N(AD486))</f>
        <v/>
      </c>
      <c r="AF486" s="29">
        <f>IFERROR(AE486/Y486,"")</f>
        <v/>
      </c>
      <c r="AG486" s="2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22" t="n"/>
      <c r="B487" s="23">
        <f>IF(A487="","",EOMONTH(A487,0))</f>
        <v/>
      </c>
      <c r="C487" s="24" t="n"/>
      <c r="D487" s="24" t="n"/>
      <c r="E487" s="24" t="n"/>
      <c r="F487" s="25">
        <f>IF(E487="","",IF(COUNTIF(lst_Jobs,E487&amp;"")&gt;0,"OK","CHECK"))</f>
        <v/>
      </c>
      <c r="G487" s="24" t="n"/>
      <c r="H487" s="24" t="n"/>
      <c r="I487" s="24" t="n"/>
      <c r="J487" s="24" t="n"/>
      <c r="K487" s="24" t="n"/>
      <c r="L487" s="26" t="n"/>
      <c r="M487" s="27">
        <f>IF(L487="","",IF(K487="GST 10%",ROUND(L487*set_GSTRate,2),0))</f>
        <v/>
      </c>
      <c r="N487" s="27">
        <f>IF(L487="","",L487+M487)</f>
        <v/>
      </c>
      <c r="O487" s="24" t="n"/>
      <c r="P487" s="24" t="n"/>
      <c r="Q487" s="24" t="n"/>
      <c r="R487" s="22" t="n"/>
      <c r="S487" s="22" t="n"/>
      <c r="T487" s="24" t="n"/>
      <c r="U487" s="24" t="n"/>
      <c r="V487" s="2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25">
        <f>IF(E487="","",IFERROR(INDEX(lst_JobName,MATCH(E487&amp;"",lst_Jobs,0)),""))</f>
        <v/>
      </c>
      <c r="X487" s="28">
        <f>IF(E487="","",COUNTIFS(tbl_Finance[Job Number],E487&amp;"",tbl_Finance[Ex GST],"&lt;&gt;"))</f>
        <v/>
      </c>
      <c r="Y487" s="27">
        <f>IF(E487="","",SUMIFS(tbl_Finance[Ex GST],tbl_Finance[Job Number],E487&amp;""))</f>
        <v/>
      </c>
      <c r="Z487" s="27">
        <f>IF(E487="","",SUMIFS(tbl_Finance[Ex GST],tbl_Finance[Job Number],E487&amp;"",tbl_Finance[Xero Invoice No],"&lt;&gt;"))</f>
        <v/>
      </c>
      <c r="AA487" s="27">
        <f>IF(E487="","",Y487-Z487)</f>
        <v/>
      </c>
      <c r="AB487" s="25">
        <f>IF(E487="","",IF(H487="Onsite",IFERROR(INDEX(tbl_Onsite[Qwilr Quote],MATCH(E487&amp;"",tbl_Onsite[Job Number],0)),""),IF(H487="Production",IFERROR(IF(INDEX(tbl_Production[Current RMS No],MATCH(E487&amp;"",tbl_Production[Job Number],0))="",INDEX(tbl_Production[Qwilr Quote],MATCH(E487&amp;"",tbl_Production[Job Number],0)),INDEX(tbl_Production[Current RMS No],MATCH(E487&amp;"",tbl_Production[Job Number],0))),""),IF(H487="Consulting",IFERROR(INDEX(tbl_Consulting[Qwilr Quote],MATCH(E487&amp;"",tbl_Consulting[Job Number],0)),""),""))))</f>
        <v/>
      </c>
      <c r="AC487" s="25">
        <f>IF(AB487="","",IF(AND(LEFT(AB487,4)&lt;&gt;"http",IF(H487="Production",set_RMSBase,set_QwilrBase)=""),"",HYPERLINK(IF(LEFT(AB487,4)="http",AB487,IF(H487="Production",set_RMSBase,set_QwilrBase)&amp;AB487),"Open")))</f>
        <v/>
      </c>
      <c r="AD487" s="27">
        <f>IF(E487="","",IF(H487="Production",IFERROR(INDEX(tbl_Production[Total Expense],MATCH(E487&amp;"",tbl_Production[Job Number],0)),0),IF(H487="Consulting",IFERROR(INDEX(tbl_Consulting[Total Expense],MATCH(E487&amp;"",tbl_Consulting[Job Number],0)),0),0)))</f>
        <v/>
      </c>
      <c r="AE487" s="27">
        <f>IF(E487="","",Y487-N(AD487))</f>
        <v/>
      </c>
      <c r="AF487" s="29">
        <f>IFERROR(AE487/Y487,"")</f>
        <v/>
      </c>
      <c r="AG487" s="2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22" t="n"/>
      <c r="B488" s="23">
        <f>IF(A488="","",EOMONTH(A488,0))</f>
        <v/>
      </c>
      <c r="C488" s="24" t="n"/>
      <c r="D488" s="24" t="n"/>
      <c r="E488" s="24" t="n"/>
      <c r="F488" s="25">
        <f>IF(E488="","",IF(COUNTIF(lst_Jobs,E488&amp;"")&gt;0,"OK","CHECK"))</f>
        <v/>
      </c>
      <c r="G488" s="24" t="n"/>
      <c r="H488" s="24" t="n"/>
      <c r="I488" s="24" t="n"/>
      <c r="J488" s="24" t="n"/>
      <c r="K488" s="24" t="n"/>
      <c r="L488" s="26" t="n"/>
      <c r="M488" s="27">
        <f>IF(L488="","",IF(K488="GST 10%",ROUND(L488*set_GSTRate,2),0))</f>
        <v/>
      </c>
      <c r="N488" s="27">
        <f>IF(L488="","",L488+M488)</f>
        <v/>
      </c>
      <c r="O488" s="24" t="n"/>
      <c r="P488" s="24" t="n"/>
      <c r="Q488" s="24" t="n"/>
      <c r="R488" s="22" t="n"/>
      <c r="S488" s="22" t="n"/>
      <c r="T488" s="24" t="n"/>
      <c r="U488" s="24" t="n"/>
      <c r="V488" s="2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25">
        <f>IF(E488="","",IFERROR(INDEX(lst_JobName,MATCH(E488&amp;"",lst_Jobs,0)),""))</f>
        <v/>
      </c>
      <c r="X488" s="28">
        <f>IF(E488="","",COUNTIFS(tbl_Finance[Job Number],E488&amp;"",tbl_Finance[Ex GST],"&lt;&gt;"))</f>
        <v/>
      </c>
      <c r="Y488" s="27">
        <f>IF(E488="","",SUMIFS(tbl_Finance[Ex GST],tbl_Finance[Job Number],E488&amp;""))</f>
        <v/>
      </c>
      <c r="Z488" s="27">
        <f>IF(E488="","",SUMIFS(tbl_Finance[Ex GST],tbl_Finance[Job Number],E488&amp;"",tbl_Finance[Xero Invoice No],"&lt;&gt;"))</f>
        <v/>
      </c>
      <c r="AA488" s="27">
        <f>IF(E488="","",Y488-Z488)</f>
        <v/>
      </c>
      <c r="AB488" s="25">
        <f>IF(E488="","",IF(H488="Onsite",IFERROR(INDEX(tbl_Onsite[Qwilr Quote],MATCH(E488&amp;"",tbl_Onsite[Job Number],0)),""),IF(H488="Production",IFERROR(IF(INDEX(tbl_Production[Current RMS No],MATCH(E488&amp;"",tbl_Production[Job Number],0))="",INDEX(tbl_Production[Qwilr Quote],MATCH(E488&amp;"",tbl_Production[Job Number],0)),INDEX(tbl_Production[Current RMS No],MATCH(E488&amp;"",tbl_Production[Job Number],0))),""),IF(H488="Consulting",IFERROR(INDEX(tbl_Consulting[Qwilr Quote],MATCH(E488&amp;"",tbl_Consulting[Job Number],0)),""),""))))</f>
        <v/>
      </c>
      <c r="AC488" s="25">
        <f>IF(AB488="","",IF(AND(LEFT(AB488,4)&lt;&gt;"http",IF(H488="Production",set_RMSBase,set_QwilrBase)=""),"",HYPERLINK(IF(LEFT(AB488,4)="http",AB488,IF(H488="Production",set_RMSBase,set_QwilrBase)&amp;AB488),"Open")))</f>
        <v/>
      </c>
      <c r="AD488" s="27">
        <f>IF(E488="","",IF(H488="Production",IFERROR(INDEX(tbl_Production[Total Expense],MATCH(E488&amp;"",tbl_Production[Job Number],0)),0),IF(H488="Consulting",IFERROR(INDEX(tbl_Consulting[Total Expense],MATCH(E488&amp;"",tbl_Consulting[Job Number],0)),0),0)))</f>
        <v/>
      </c>
      <c r="AE488" s="27">
        <f>IF(E488="","",Y488-N(AD488))</f>
        <v/>
      </c>
      <c r="AF488" s="29">
        <f>IFERROR(AE488/Y488,"")</f>
        <v/>
      </c>
      <c r="AG488" s="2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22" t="n"/>
      <c r="B489" s="23">
        <f>IF(A489="","",EOMONTH(A489,0))</f>
        <v/>
      </c>
      <c r="C489" s="24" t="n"/>
      <c r="D489" s="24" t="n"/>
      <c r="E489" s="24" t="n"/>
      <c r="F489" s="25">
        <f>IF(E489="","",IF(COUNTIF(lst_Jobs,E489&amp;"")&gt;0,"OK","CHECK"))</f>
        <v/>
      </c>
      <c r="G489" s="24" t="n"/>
      <c r="H489" s="24" t="n"/>
      <c r="I489" s="24" t="n"/>
      <c r="J489" s="24" t="n"/>
      <c r="K489" s="24" t="n"/>
      <c r="L489" s="26" t="n"/>
      <c r="M489" s="27">
        <f>IF(L489="","",IF(K489="GST 10%",ROUND(L489*set_GSTRate,2),0))</f>
        <v/>
      </c>
      <c r="N489" s="27">
        <f>IF(L489="","",L489+M489)</f>
        <v/>
      </c>
      <c r="O489" s="24" t="n"/>
      <c r="P489" s="24" t="n"/>
      <c r="Q489" s="24" t="n"/>
      <c r="R489" s="22" t="n"/>
      <c r="S489" s="22" t="n"/>
      <c r="T489" s="24" t="n"/>
      <c r="U489" s="24" t="n"/>
      <c r="V489" s="2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25">
        <f>IF(E489="","",IFERROR(INDEX(lst_JobName,MATCH(E489&amp;"",lst_Jobs,0)),""))</f>
        <v/>
      </c>
      <c r="X489" s="28">
        <f>IF(E489="","",COUNTIFS(tbl_Finance[Job Number],E489&amp;"",tbl_Finance[Ex GST],"&lt;&gt;"))</f>
        <v/>
      </c>
      <c r="Y489" s="27">
        <f>IF(E489="","",SUMIFS(tbl_Finance[Ex GST],tbl_Finance[Job Number],E489&amp;""))</f>
        <v/>
      </c>
      <c r="Z489" s="27">
        <f>IF(E489="","",SUMIFS(tbl_Finance[Ex GST],tbl_Finance[Job Number],E489&amp;"",tbl_Finance[Xero Invoice No],"&lt;&gt;"))</f>
        <v/>
      </c>
      <c r="AA489" s="27">
        <f>IF(E489="","",Y489-Z489)</f>
        <v/>
      </c>
      <c r="AB489" s="25">
        <f>IF(E489="","",IF(H489="Onsite",IFERROR(INDEX(tbl_Onsite[Qwilr Quote],MATCH(E489&amp;"",tbl_Onsite[Job Number],0)),""),IF(H489="Production",IFERROR(IF(INDEX(tbl_Production[Current RMS No],MATCH(E489&amp;"",tbl_Production[Job Number],0))="",INDEX(tbl_Production[Qwilr Quote],MATCH(E489&amp;"",tbl_Production[Job Number],0)),INDEX(tbl_Production[Current RMS No],MATCH(E489&amp;"",tbl_Production[Job Number],0))),""),IF(H489="Consulting",IFERROR(INDEX(tbl_Consulting[Qwilr Quote],MATCH(E489&amp;"",tbl_Consulting[Job Number],0)),""),""))))</f>
        <v/>
      </c>
      <c r="AC489" s="25">
        <f>IF(AB489="","",IF(AND(LEFT(AB489,4)&lt;&gt;"http",IF(H489="Production",set_RMSBase,set_QwilrBase)=""),"",HYPERLINK(IF(LEFT(AB489,4)="http",AB489,IF(H489="Production",set_RMSBase,set_QwilrBase)&amp;AB489),"Open")))</f>
        <v/>
      </c>
      <c r="AD489" s="27">
        <f>IF(E489="","",IF(H489="Production",IFERROR(INDEX(tbl_Production[Total Expense],MATCH(E489&amp;"",tbl_Production[Job Number],0)),0),IF(H489="Consulting",IFERROR(INDEX(tbl_Consulting[Total Expense],MATCH(E489&amp;"",tbl_Consulting[Job Number],0)),0),0)))</f>
        <v/>
      </c>
      <c r="AE489" s="27">
        <f>IF(E489="","",Y489-N(AD489))</f>
        <v/>
      </c>
      <c r="AF489" s="29">
        <f>IFERROR(AE489/Y489,"")</f>
        <v/>
      </c>
      <c r="AG489" s="2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22" t="n"/>
      <c r="B490" s="23">
        <f>IF(A490="","",EOMONTH(A490,0))</f>
        <v/>
      </c>
      <c r="C490" s="24" t="n"/>
      <c r="D490" s="24" t="n"/>
      <c r="E490" s="24" t="n"/>
      <c r="F490" s="25">
        <f>IF(E490="","",IF(COUNTIF(lst_Jobs,E490&amp;"")&gt;0,"OK","CHECK"))</f>
        <v/>
      </c>
      <c r="G490" s="24" t="n"/>
      <c r="H490" s="24" t="n"/>
      <c r="I490" s="24" t="n"/>
      <c r="J490" s="24" t="n"/>
      <c r="K490" s="24" t="n"/>
      <c r="L490" s="26" t="n"/>
      <c r="M490" s="27">
        <f>IF(L490="","",IF(K490="GST 10%",ROUND(L490*set_GSTRate,2),0))</f>
        <v/>
      </c>
      <c r="N490" s="27">
        <f>IF(L490="","",L490+M490)</f>
        <v/>
      </c>
      <c r="O490" s="24" t="n"/>
      <c r="P490" s="24" t="n"/>
      <c r="Q490" s="24" t="n"/>
      <c r="R490" s="22" t="n"/>
      <c r="S490" s="22" t="n"/>
      <c r="T490" s="24" t="n"/>
      <c r="U490" s="24" t="n"/>
      <c r="V490" s="2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25">
        <f>IF(E490="","",IFERROR(INDEX(lst_JobName,MATCH(E490&amp;"",lst_Jobs,0)),""))</f>
        <v/>
      </c>
      <c r="X490" s="28">
        <f>IF(E490="","",COUNTIFS(tbl_Finance[Job Number],E490&amp;"",tbl_Finance[Ex GST],"&lt;&gt;"))</f>
        <v/>
      </c>
      <c r="Y490" s="27">
        <f>IF(E490="","",SUMIFS(tbl_Finance[Ex GST],tbl_Finance[Job Number],E490&amp;""))</f>
        <v/>
      </c>
      <c r="Z490" s="27">
        <f>IF(E490="","",SUMIFS(tbl_Finance[Ex GST],tbl_Finance[Job Number],E490&amp;"",tbl_Finance[Xero Invoice No],"&lt;&gt;"))</f>
        <v/>
      </c>
      <c r="AA490" s="27">
        <f>IF(E490="","",Y490-Z490)</f>
        <v/>
      </c>
      <c r="AB490" s="25">
        <f>IF(E490="","",IF(H490="Onsite",IFERROR(INDEX(tbl_Onsite[Qwilr Quote],MATCH(E490&amp;"",tbl_Onsite[Job Number],0)),""),IF(H490="Production",IFERROR(IF(INDEX(tbl_Production[Current RMS No],MATCH(E490&amp;"",tbl_Production[Job Number],0))="",INDEX(tbl_Production[Qwilr Quote],MATCH(E490&amp;"",tbl_Production[Job Number],0)),INDEX(tbl_Production[Current RMS No],MATCH(E490&amp;"",tbl_Production[Job Number],0))),""),IF(H490="Consulting",IFERROR(INDEX(tbl_Consulting[Qwilr Quote],MATCH(E490&amp;"",tbl_Consulting[Job Number],0)),""),""))))</f>
        <v/>
      </c>
      <c r="AC490" s="25">
        <f>IF(AB490="","",IF(AND(LEFT(AB490,4)&lt;&gt;"http",IF(H490="Production",set_RMSBase,set_QwilrBase)=""),"",HYPERLINK(IF(LEFT(AB490,4)="http",AB490,IF(H490="Production",set_RMSBase,set_QwilrBase)&amp;AB490),"Open")))</f>
        <v/>
      </c>
      <c r="AD490" s="27">
        <f>IF(E490="","",IF(H490="Production",IFERROR(INDEX(tbl_Production[Total Expense],MATCH(E490&amp;"",tbl_Production[Job Number],0)),0),IF(H490="Consulting",IFERROR(INDEX(tbl_Consulting[Total Expense],MATCH(E490&amp;"",tbl_Consulting[Job Number],0)),0),0)))</f>
        <v/>
      </c>
      <c r="AE490" s="27">
        <f>IF(E490="","",Y490-N(AD490))</f>
        <v/>
      </c>
      <c r="AF490" s="29">
        <f>IFERROR(AE490/Y490,"")</f>
        <v/>
      </c>
      <c r="AG490" s="2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22" t="n"/>
      <c r="B491" s="23">
        <f>IF(A491="","",EOMONTH(A491,0))</f>
        <v/>
      </c>
      <c r="C491" s="24" t="n"/>
      <c r="D491" s="24" t="n"/>
      <c r="E491" s="24" t="n"/>
      <c r="F491" s="25">
        <f>IF(E491="","",IF(COUNTIF(lst_Jobs,E491&amp;"")&gt;0,"OK","CHECK"))</f>
        <v/>
      </c>
      <c r="G491" s="24" t="n"/>
      <c r="H491" s="24" t="n"/>
      <c r="I491" s="24" t="n"/>
      <c r="J491" s="24" t="n"/>
      <c r="K491" s="24" t="n"/>
      <c r="L491" s="26" t="n"/>
      <c r="M491" s="27">
        <f>IF(L491="","",IF(K491="GST 10%",ROUND(L491*set_GSTRate,2),0))</f>
        <v/>
      </c>
      <c r="N491" s="27">
        <f>IF(L491="","",L491+M491)</f>
        <v/>
      </c>
      <c r="O491" s="24" t="n"/>
      <c r="P491" s="24" t="n"/>
      <c r="Q491" s="24" t="n"/>
      <c r="R491" s="22" t="n"/>
      <c r="S491" s="22" t="n"/>
      <c r="T491" s="24" t="n"/>
      <c r="U491" s="24" t="n"/>
      <c r="V491" s="2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25">
        <f>IF(E491="","",IFERROR(INDEX(lst_JobName,MATCH(E491&amp;"",lst_Jobs,0)),""))</f>
        <v/>
      </c>
      <c r="X491" s="28">
        <f>IF(E491="","",COUNTIFS(tbl_Finance[Job Number],E491&amp;"",tbl_Finance[Ex GST],"&lt;&gt;"))</f>
        <v/>
      </c>
      <c r="Y491" s="27">
        <f>IF(E491="","",SUMIFS(tbl_Finance[Ex GST],tbl_Finance[Job Number],E491&amp;""))</f>
        <v/>
      </c>
      <c r="Z491" s="27">
        <f>IF(E491="","",SUMIFS(tbl_Finance[Ex GST],tbl_Finance[Job Number],E491&amp;"",tbl_Finance[Xero Invoice No],"&lt;&gt;"))</f>
        <v/>
      </c>
      <c r="AA491" s="27">
        <f>IF(E491="","",Y491-Z491)</f>
        <v/>
      </c>
      <c r="AB491" s="25">
        <f>IF(E491="","",IF(H491="Onsite",IFERROR(INDEX(tbl_Onsite[Qwilr Quote],MATCH(E491&amp;"",tbl_Onsite[Job Number],0)),""),IF(H491="Production",IFERROR(IF(INDEX(tbl_Production[Current RMS No],MATCH(E491&amp;"",tbl_Production[Job Number],0))="",INDEX(tbl_Production[Qwilr Quote],MATCH(E491&amp;"",tbl_Production[Job Number],0)),INDEX(tbl_Production[Current RMS No],MATCH(E491&amp;"",tbl_Production[Job Number],0))),""),IF(H491="Consulting",IFERROR(INDEX(tbl_Consulting[Qwilr Quote],MATCH(E491&amp;"",tbl_Consulting[Job Number],0)),""),""))))</f>
        <v/>
      </c>
      <c r="AC491" s="25">
        <f>IF(AB491="","",IF(AND(LEFT(AB491,4)&lt;&gt;"http",IF(H491="Production",set_RMSBase,set_QwilrBase)=""),"",HYPERLINK(IF(LEFT(AB491,4)="http",AB491,IF(H491="Production",set_RMSBase,set_QwilrBase)&amp;AB491),"Open")))</f>
        <v/>
      </c>
      <c r="AD491" s="27">
        <f>IF(E491="","",IF(H491="Production",IFERROR(INDEX(tbl_Production[Total Expense],MATCH(E491&amp;"",tbl_Production[Job Number],0)),0),IF(H491="Consulting",IFERROR(INDEX(tbl_Consulting[Total Expense],MATCH(E491&amp;"",tbl_Consulting[Job Number],0)),0),0)))</f>
        <v/>
      </c>
      <c r="AE491" s="27">
        <f>IF(E491="","",Y491-N(AD491))</f>
        <v/>
      </c>
      <c r="AF491" s="29">
        <f>IFERROR(AE491/Y491,"")</f>
        <v/>
      </c>
      <c r="AG491" s="2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22" t="n"/>
      <c r="B492" s="23">
        <f>IF(A492="","",EOMONTH(A492,0))</f>
        <v/>
      </c>
      <c r="C492" s="24" t="n"/>
      <c r="D492" s="24" t="n"/>
      <c r="E492" s="24" t="n"/>
      <c r="F492" s="25">
        <f>IF(E492="","",IF(COUNTIF(lst_Jobs,E492&amp;"")&gt;0,"OK","CHECK"))</f>
        <v/>
      </c>
      <c r="G492" s="24" t="n"/>
      <c r="H492" s="24" t="n"/>
      <c r="I492" s="24" t="n"/>
      <c r="J492" s="24" t="n"/>
      <c r="K492" s="24" t="n"/>
      <c r="L492" s="26" t="n"/>
      <c r="M492" s="27">
        <f>IF(L492="","",IF(K492="GST 10%",ROUND(L492*set_GSTRate,2),0))</f>
        <v/>
      </c>
      <c r="N492" s="27">
        <f>IF(L492="","",L492+M492)</f>
        <v/>
      </c>
      <c r="O492" s="24" t="n"/>
      <c r="P492" s="24" t="n"/>
      <c r="Q492" s="24" t="n"/>
      <c r="R492" s="22" t="n"/>
      <c r="S492" s="22" t="n"/>
      <c r="T492" s="24" t="n"/>
      <c r="U492" s="24" t="n"/>
      <c r="V492" s="2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25">
        <f>IF(E492="","",IFERROR(INDEX(lst_JobName,MATCH(E492&amp;"",lst_Jobs,0)),""))</f>
        <v/>
      </c>
      <c r="X492" s="28">
        <f>IF(E492="","",COUNTIFS(tbl_Finance[Job Number],E492&amp;"",tbl_Finance[Ex GST],"&lt;&gt;"))</f>
        <v/>
      </c>
      <c r="Y492" s="27">
        <f>IF(E492="","",SUMIFS(tbl_Finance[Ex GST],tbl_Finance[Job Number],E492&amp;""))</f>
        <v/>
      </c>
      <c r="Z492" s="27">
        <f>IF(E492="","",SUMIFS(tbl_Finance[Ex GST],tbl_Finance[Job Number],E492&amp;"",tbl_Finance[Xero Invoice No],"&lt;&gt;"))</f>
        <v/>
      </c>
      <c r="AA492" s="27">
        <f>IF(E492="","",Y492-Z492)</f>
        <v/>
      </c>
      <c r="AB492" s="25">
        <f>IF(E492="","",IF(H492="Onsite",IFERROR(INDEX(tbl_Onsite[Qwilr Quote],MATCH(E492&amp;"",tbl_Onsite[Job Number],0)),""),IF(H492="Production",IFERROR(IF(INDEX(tbl_Production[Current RMS No],MATCH(E492&amp;"",tbl_Production[Job Number],0))="",INDEX(tbl_Production[Qwilr Quote],MATCH(E492&amp;"",tbl_Production[Job Number],0)),INDEX(tbl_Production[Current RMS No],MATCH(E492&amp;"",tbl_Production[Job Number],0))),""),IF(H492="Consulting",IFERROR(INDEX(tbl_Consulting[Qwilr Quote],MATCH(E492&amp;"",tbl_Consulting[Job Number],0)),""),""))))</f>
        <v/>
      </c>
      <c r="AC492" s="25">
        <f>IF(AB492="","",IF(AND(LEFT(AB492,4)&lt;&gt;"http",IF(H492="Production",set_RMSBase,set_QwilrBase)=""),"",HYPERLINK(IF(LEFT(AB492,4)="http",AB492,IF(H492="Production",set_RMSBase,set_QwilrBase)&amp;AB492),"Open")))</f>
        <v/>
      </c>
      <c r="AD492" s="27">
        <f>IF(E492="","",IF(H492="Production",IFERROR(INDEX(tbl_Production[Total Expense],MATCH(E492&amp;"",tbl_Production[Job Number],0)),0),IF(H492="Consulting",IFERROR(INDEX(tbl_Consulting[Total Expense],MATCH(E492&amp;"",tbl_Consulting[Job Number],0)),0),0)))</f>
        <v/>
      </c>
      <c r="AE492" s="27">
        <f>IF(E492="","",Y492-N(AD492))</f>
        <v/>
      </c>
      <c r="AF492" s="29">
        <f>IFERROR(AE492/Y492,"")</f>
        <v/>
      </c>
      <c r="AG492" s="2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22" t="n"/>
      <c r="B493" s="23">
        <f>IF(A493="","",EOMONTH(A493,0))</f>
        <v/>
      </c>
      <c r="C493" s="24" t="n"/>
      <c r="D493" s="24" t="n"/>
      <c r="E493" s="24" t="n"/>
      <c r="F493" s="25">
        <f>IF(E493="","",IF(COUNTIF(lst_Jobs,E493&amp;"")&gt;0,"OK","CHECK"))</f>
        <v/>
      </c>
      <c r="G493" s="24" t="n"/>
      <c r="H493" s="24" t="n"/>
      <c r="I493" s="24" t="n"/>
      <c r="J493" s="24" t="n"/>
      <c r="K493" s="24" t="n"/>
      <c r="L493" s="26" t="n"/>
      <c r="M493" s="27">
        <f>IF(L493="","",IF(K493="GST 10%",ROUND(L493*set_GSTRate,2),0))</f>
        <v/>
      </c>
      <c r="N493" s="27">
        <f>IF(L493="","",L493+M493)</f>
        <v/>
      </c>
      <c r="O493" s="24" t="n"/>
      <c r="P493" s="24" t="n"/>
      <c r="Q493" s="24" t="n"/>
      <c r="R493" s="22" t="n"/>
      <c r="S493" s="22" t="n"/>
      <c r="T493" s="24" t="n"/>
      <c r="U493" s="24" t="n"/>
      <c r="V493" s="2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25">
        <f>IF(E493="","",IFERROR(INDEX(lst_JobName,MATCH(E493&amp;"",lst_Jobs,0)),""))</f>
        <v/>
      </c>
      <c r="X493" s="28">
        <f>IF(E493="","",COUNTIFS(tbl_Finance[Job Number],E493&amp;"",tbl_Finance[Ex GST],"&lt;&gt;"))</f>
        <v/>
      </c>
      <c r="Y493" s="27">
        <f>IF(E493="","",SUMIFS(tbl_Finance[Ex GST],tbl_Finance[Job Number],E493&amp;""))</f>
        <v/>
      </c>
      <c r="Z493" s="27">
        <f>IF(E493="","",SUMIFS(tbl_Finance[Ex GST],tbl_Finance[Job Number],E493&amp;"",tbl_Finance[Xero Invoice No],"&lt;&gt;"))</f>
        <v/>
      </c>
      <c r="AA493" s="27">
        <f>IF(E493="","",Y493-Z493)</f>
        <v/>
      </c>
      <c r="AB493" s="25">
        <f>IF(E493="","",IF(H493="Onsite",IFERROR(INDEX(tbl_Onsite[Qwilr Quote],MATCH(E493&amp;"",tbl_Onsite[Job Number],0)),""),IF(H493="Production",IFERROR(IF(INDEX(tbl_Production[Current RMS No],MATCH(E493&amp;"",tbl_Production[Job Number],0))="",INDEX(tbl_Production[Qwilr Quote],MATCH(E493&amp;"",tbl_Production[Job Number],0)),INDEX(tbl_Production[Current RMS No],MATCH(E493&amp;"",tbl_Production[Job Number],0))),""),IF(H493="Consulting",IFERROR(INDEX(tbl_Consulting[Qwilr Quote],MATCH(E493&amp;"",tbl_Consulting[Job Number],0)),""),""))))</f>
        <v/>
      </c>
      <c r="AC493" s="25">
        <f>IF(AB493="","",IF(AND(LEFT(AB493,4)&lt;&gt;"http",IF(H493="Production",set_RMSBase,set_QwilrBase)=""),"",HYPERLINK(IF(LEFT(AB493,4)="http",AB493,IF(H493="Production",set_RMSBase,set_QwilrBase)&amp;AB493),"Open")))</f>
        <v/>
      </c>
      <c r="AD493" s="27">
        <f>IF(E493="","",IF(H493="Production",IFERROR(INDEX(tbl_Production[Total Expense],MATCH(E493&amp;"",tbl_Production[Job Number],0)),0),IF(H493="Consulting",IFERROR(INDEX(tbl_Consulting[Total Expense],MATCH(E493&amp;"",tbl_Consulting[Job Number],0)),0),0)))</f>
        <v/>
      </c>
      <c r="AE493" s="27">
        <f>IF(E493="","",Y493-N(AD493))</f>
        <v/>
      </c>
      <c r="AF493" s="29">
        <f>IFERROR(AE493/Y493,"")</f>
        <v/>
      </c>
      <c r="AG493" s="2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22" t="n"/>
      <c r="B494" s="23">
        <f>IF(A494="","",EOMONTH(A494,0))</f>
        <v/>
      </c>
      <c r="C494" s="24" t="n"/>
      <c r="D494" s="24" t="n"/>
      <c r="E494" s="24" t="n"/>
      <c r="F494" s="25">
        <f>IF(E494="","",IF(COUNTIF(lst_Jobs,E494&amp;"")&gt;0,"OK","CHECK"))</f>
        <v/>
      </c>
      <c r="G494" s="24" t="n"/>
      <c r="H494" s="24" t="n"/>
      <c r="I494" s="24" t="n"/>
      <c r="J494" s="24" t="n"/>
      <c r="K494" s="24" t="n"/>
      <c r="L494" s="26" t="n"/>
      <c r="M494" s="27">
        <f>IF(L494="","",IF(K494="GST 10%",ROUND(L494*set_GSTRate,2),0))</f>
        <v/>
      </c>
      <c r="N494" s="27">
        <f>IF(L494="","",L494+M494)</f>
        <v/>
      </c>
      <c r="O494" s="24" t="n"/>
      <c r="P494" s="24" t="n"/>
      <c r="Q494" s="24" t="n"/>
      <c r="R494" s="22" t="n"/>
      <c r="S494" s="22" t="n"/>
      <c r="T494" s="24" t="n"/>
      <c r="U494" s="24" t="n"/>
      <c r="V494" s="2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25">
        <f>IF(E494="","",IFERROR(INDEX(lst_JobName,MATCH(E494&amp;"",lst_Jobs,0)),""))</f>
        <v/>
      </c>
      <c r="X494" s="28">
        <f>IF(E494="","",COUNTIFS(tbl_Finance[Job Number],E494&amp;"",tbl_Finance[Ex GST],"&lt;&gt;"))</f>
        <v/>
      </c>
      <c r="Y494" s="27">
        <f>IF(E494="","",SUMIFS(tbl_Finance[Ex GST],tbl_Finance[Job Number],E494&amp;""))</f>
        <v/>
      </c>
      <c r="Z494" s="27">
        <f>IF(E494="","",SUMIFS(tbl_Finance[Ex GST],tbl_Finance[Job Number],E494&amp;"",tbl_Finance[Xero Invoice No],"&lt;&gt;"))</f>
        <v/>
      </c>
      <c r="AA494" s="27">
        <f>IF(E494="","",Y494-Z494)</f>
        <v/>
      </c>
      <c r="AB494" s="25">
        <f>IF(E494="","",IF(H494="Onsite",IFERROR(INDEX(tbl_Onsite[Qwilr Quote],MATCH(E494&amp;"",tbl_Onsite[Job Number],0)),""),IF(H494="Production",IFERROR(IF(INDEX(tbl_Production[Current RMS No],MATCH(E494&amp;"",tbl_Production[Job Number],0))="",INDEX(tbl_Production[Qwilr Quote],MATCH(E494&amp;"",tbl_Production[Job Number],0)),INDEX(tbl_Production[Current RMS No],MATCH(E494&amp;"",tbl_Production[Job Number],0))),""),IF(H494="Consulting",IFERROR(INDEX(tbl_Consulting[Qwilr Quote],MATCH(E494&amp;"",tbl_Consulting[Job Number],0)),""),""))))</f>
        <v/>
      </c>
      <c r="AC494" s="25">
        <f>IF(AB494="","",IF(AND(LEFT(AB494,4)&lt;&gt;"http",IF(H494="Production",set_RMSBase,set_QwilrBase)=""),"",HYPERLINK(IF(LEFT(AB494,4)="http",AB494,IF(H494="Production",set_RMSBase,set_QwilrBase)&amp;AB494),"Open")))</f>
        <v/>
      </c>
      <c r="AD494" s="27">
        <f>IF(E494="","",IF(H494="Production",IFERROR(INDEX(tbl_Production[Total Expense],MATCH(E494&amp;"",tbl_Production[Job Number],0)),0),IF(H494="Consulting",IFERROR(INDEX(tbl_Consulting[Total Expense],MATCH(E494&amp;"",tbl_Consulting[Job Number],0)),0),0)))</f>
        <v/>
      </c>
      <c r="AE494" s="27">
        <f>IF(E494="","",Y494-N(AD494))</f>
        <v/>
      </c>
      <c r="AF494" s="29">
        <f>IFERROR(AE494/Y494,"")</f>
        <v/>
      </c>
      <c r="AG494" s="2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22" t="n"/>
      <c r="B495" s="23">
        <f>IF(A495="","",EOMONTH(A495,0))</f>
        <v/>
      </c>
      <c r="C495" s="24" t="n"/>
      <c r="D495" s="24" t="n"/>
      <c r="E495" s="24" t="n"/>
      <c r="F495" s="25">
        <f>IF(E495="","",IF(COUNTIF(lst_Jobs,E495&amp;"")&gt;0,"OK","CHECK"))</f>
        <v/>
      </c>
      <c r="G495" s="24" t="n"/>
      <c r="H495" s="24" t="n"/>
      <c r="I495" s="24" t="n"/>
      <c r="J495" s="24" t="n"/>
      <c r="K495" s="24" t="n"/>
      <c r="L495" s="26" t="n"/>
      <c r="M495" s="27">
        <f>IF(L495="","",IF(K495="GST 10%",ROUND(L495*set_GSTRate,2),0))</f>
        <v/>
      </c>
      <c r="N495" s="27">
        <f>IF(L495="","",L495+M495)</f>
        <v/>
      </c>
      <c r="O495" s="24" t="n"/>
      <c r="P495" s="24" t="n"/>
      <c r="Q495" s="24" t="n"/>
      <c r="R495" s="22" t="n"/>
      <c r="S495" s="22" t="n"/>
      <c r="T495" s="24" t="n"/>
      <c r="U495" s="24" t="n"/>
      <c r="V495" s="2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25">
        <f>IF(E495="","",IFERROR(INDEX(lst_JobName,MATCH(E495&amp;"",lst_Jobs,0)),""))</f>
        <v/>
      </c>
      <c r="X495" s="28">
        <f>IF(E495="","",COUNTIFS(tbl_Finance[Job Number],E495&amp;"",tbl_Finance[Ex GST],"&lt;&gt;"))</f>
        <v/>
      </c>
      <c r="Y495" s="27">
        <f>IF(E495="","",SUMIFS(tbl_Finance[Ex GST],tbl_Finance[Job Number],E495&amp;""))</f>
        <v/>
      </c>
      <c r="Z495" s="27">
        <f>IF(E495="","",SUMIFS(tbl_Finance[Ex GST],tbl_Finance[Job Number],E495&amp;"",tbl_Finance[Xero Invoice No],"&lt;&gt;"))</f>
        <v/>
      </c>
      <c r="AA495" s="27">
        <f>IF(E495="","",Y495-Z495)</f>
        <v/>
      </c>
      <c r="AB495" s="25">
        <f>IF(E495="","",IF(H495="Onsite",IFERROR(INDEX(tbl_Onsite[Qwilr Quote],MATCH(E495&amp;"",tbl_Onsite[Job Number],0)),""),IF(H495="Production",IFERROR(IF(INDEX(tbl_Production[Current RMS No],MATCH(E495&amp;"",tbl_Production[Job Number],0))="",INDEX(tbl_Production[Qwilr Quote],MATCH(E495&amp;"",tbl_Production[Job Number],0)),INDEX(tbl_Production[Current RMS No],MATCH(E495&amp;"",tbl_Production[Job Number],0))),""),IF(H495="Consulting",IFERROR(INDEX(tbl_Consulting[Qwilr Quote],MATCH(E495&amp;"",tbl_Consulting[Job Number],0)),""),""))))</f>
        <v/>
      </c>
      <c r="AC495" s="25">
        <f>IF(AB495="","",IF(AND(LEFT(AB495,4)&lt;&gt;"http",IF(H495="Production",set_RMSBase,set_QwilrBase)=""),"",HYPERLINK(IF(LEFT(AB495,4)="http",AB495,IF(H495="Production",set_RMSBase,set_QwilrBase)&amp;AB495),"Open")))</f>
        <v/>
      </c>
      <c r="AD495" s="27">
        <f>IF(E495="","",IF(H495="Production",IFERROR(INDEX(tbl_Production[Total Expense],MATCH(E495&amp;"",tbl_Production[Job Number],0)),0),IF(H495="Consulting",IFERROR(INDEX(tbl_Consulting[Total Expense],MATCH(E495&amp;"",tbl_Consulting[Job Number],0)),0),0)))</f>
        <v/>
      </c>
      <c r="AE495" s="27">
        <f>IF(E495="","",Y495-N(AD495))</f>
        <v/>
      </c>
      <c r="AF495" s="29">
        <f>IFERROR(AE495/Y495,"")</f>
        <v/>
      </c>
      <c r="AG495" s="2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22" t="n"/>
      <c r="B496" s="23">
        <f>IF(A496="","",EOMONTH(A496,0))</f>
        <v/>
      </c>
      <c r="C496" s="24" t="n"/>
      <c r="D496" s="24" t="n"/>
      <c r="E496" s="24" t="n"/>
      <c r="F496" s="25">
        <f>IF(E496="","",IF(COUNTIF(lst_Jobs,E496&amp;"")&gt;0,"OK","CHECK"))</f>
        <v/>
      </c>
      <c r="G496" s="24" t="n"/>
      <c r="H496" s="24" t="n"/>
      <c r="I496" s="24" t="n"/>
      <c r="J496" s="24" t="n"/>
      <c r="K496" s="24" t="n"/>
      <c r="L496" s="26" t="n"/>
      <c r="M496" s="27">
        <f>IF(L496="","",IF(K496="GST 10%",ROUND(L496*set_GSTRate,2),0))</f>
        <v/>
      </c>
      <c r="N496" s="27">
        <f>IF(L496="","",L496+M496)</f>
        <v/>
      </c>
      <c r="O496" s="24" t="n"/>
      <c r="P496" s="24" t="n"/>
      <c r="Q496" s="24" t="n"/>
      <c r="R496" s="22" t="n"/>
      <c r="S496" s="22" t="n"/>
      <c r="T496" s="24" t="n"/>
      <c r="U496" s="24" t="n"/>
      <c r="V496" s="2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25">
        <f>IF(E496="","",IFERROR(INDEX(lst_JobName,MATCH(E496&amp;"",lst_Jobs,0)),""))</f>
        <v/>
      </c>
      <c r="X496" s="28">
        <f>IF(E496="","",COUNTIFS(tbl_Finance[Job Number],E496&amp;"",tbl_Finance[Ex GST],"&lt;&gt;"))</f>
        <v/>
      </c>
      <c r="Y496" s="27">
        <f>IF(E496="","",SUMIFS(tbl_Finance[Ex GST],tbl_Finance[Job Number],E496&amp;""))</f>
        <v/>
      </c>
      <c r="Z496" s="27">
        <f>IF(E496="","",SUMIFS(tbl_Finance[Ex GST],tbl_Finance[Job Number],E496&amp;"",tbl_Finance[Xero Invoice No],"&lt;&gt;"))</f>
        <v/>
      </c>
      <c r="AA496" s="27">
        <f>IF(E496="","",Y496-Z496)</f>
        <v/>
      </c>
      <c r="AB496" s="25">
        <f>IF(E496="","",IF(H496="Onsite",IFERROR(INDEX(tbl_Onsite[Qwilr Quote],MATCH(E496&amp;"",tbl_Onsite[Job Number],0)),""),IF(H496="Production",IFERROR(IF(INDEX(tbl_Production[Current RMS No],MATCH(E496&amp;"",tbl_Production[Job Number],0))="",INDEX(tbl_Production[Qwilr Quote],MATCH(E496&amp;"",tbl_Production[Job Number],0)),INDEX(tbl_Production[Current RMS No],MATCH(E496&amp;"",tbl_Production[Job Number],0))),""),IF(H496="Consulting",IFERROR(INDEX(tbl_Consulting[Qwilr Quote],MATCH(E496&amp;"",tbl_Consulting[Job Number],0)),""),""))))</f>
        <v/>
      </c>
      <c r="AC496" s="25">
        <f>IF(AB496="","",IF(AND(LEFT(AB496,4)&lt;&gt;"http",IF(H496="Production",set_RMSBase,set_QwilrBase)=""),"",HYPERLINK(IF(LEFT(AB496,4)="http",AB496,IF(H496="Production",set_RMSBase,set_QwilrBase)&amp;AB496),"Open")))</f>
        <v/>
      </c>
      <c r="AD496" s="27">
        <f>IF(E496="","",IF(H496="Production",IFERROR(INDEX(tbl_Production[Total Expense],MATCH(E496&amp;"",tbl_Production[Job Number],0)),0),IF(H496="Consulting",IFERROR(INDEX(tbl_Consulting[Total Expense],MATCH(E496&amp;"",tbl_Consulting[Job Number],0)),0),0)))</f>
        <v/>
      </c>
      <c r="AE496" s="27">
        <f>IF(E496="","",Y496-N(AD496))</f>
        <v/>
      </c>
      <c r="AF496" s="29">
        <f>IFERROR(AE496/Y496,"")</f>
        <v/>
      </c>
      <c r="AG496" s="2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22" t="n"/>
      <c r="B497" s="23">
        <f>IF(A497="","",EOMONTH(A497,0))</f>
        <v/>
      </c>
      <c r="C497" s="24" t="n"/>
      <c r="D497" s="24" t="n"/>
      <c r="E497" s="24" t="n"/>
      <c r="F497" s="25">
        <f>IF(E497="","",IF(COUNTIF(lst_Jobs,E497&amp;"")&gt;0,"OK","CHECK"))</f>
        <v/>
      </c>
      <c r="G497" s="24" t="n"/>
      <c r="H497" s="24" t="n"/>
      <c r="I497" s="24" t="n"/>
      <c r="J497" s="24" t="n"/>
      <c r="K497" s="24" t="n"/>
      <c r="L497" s="26" t="n"/>
      <c r="M497" s="27">
        <f>IF(L497="","",IF(K497="GST 10%",ROUND(L497*set_GSTRate,2),0))</f>
        <v/>
      </c>
      <c r="N497" s="27">
        <f>IF(L497="","",L497+M497)</f>
        <v/>
      </c>
      <c r="O497" s="24" t="n"/>
      <c r="P497" s="24" t="n"/>
      <c r="Q497" s="24" t="n"/>
      <c r="R497" s="22" t="n"/>
      <c r="S497" s="22" t="n"/>
      <c r="T497" s="24" t="n"/>
      <c r="U497" s="24" t="n"/>
      <c r="V497" s="2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25">
        <f>IF(E497="","",IFERROR(INDEX(lst_JobName,MATCH(E497&amp;"",lst_Jobs,0)),""))</f>
        <v/>
      </c>
      <c r="X497" s="28">
        <f>IF(E497="","",COUNTIFS(tbl_Finance[Job Number],E497&amp;"",tbl_Finance[Ex GST],"&lt;&gt;"))</f>
        <v/>
      </c>
      <c r="Y497" s="27">
        <f>IF(E497="","",SUMIFS(tbl_Finance[Ex GST],tbl_Finance[Job Number],E497&amp;""))</f>
        <v/>
      </c>
      <c r="Z497" s="27">
        <f>IF(E497="","",SUMIFS(tbl_Finance[Ex GST],tbl_Finance[Job Number],E497&amp;"",tbl_Finance[Xero Invoice No],"&lt;&gt;"))</f>
        <v/>
      </c>
      <c r="AA497" s="27">
        <f>IF(E497="","",Y497-Z497)</f>
        <v/>
      </c>
      <c r="AB497" s="25">
        <f>IF(E497="","",IF(H497="Onsite",IFERROR(INDEX(tbl_Onsite[Qwilr Quote],MATCH(E497&amp;"",tbl_Onsite[Job Number],0)),""),IF(H497="Production",IFERROR(IF(INDEX(tbl_Production[Current RMS No],MATCH(E497&amp;"",tbl_Production[Job Number],0))="",INDEX(tbl_Production[Qwilr Quote],MATCH(E497&amp;"",tbl_Production[Job Number],0)),INDEX(tbl_Production[Current RMS No],MATCH(E497&amp;"",tbl_Production[Job Number],0))),""),IF(H497="Consulting",IFERROR(INDEX(tbl_Consulting[Qwilr Quote],MATCH(E497&amp;"",tbl_Consulting[Job Number],0)),""),""))))</f>
        <v/>
      </c>
      <c r="AC497" s="25">
        <f>IF(AB497="","",IF(AND(LEFT(AB497,4)&lt;&gt;"http",IF(H497="Production",set_RMSBase,set_QwilrBase)=""),"",HYPERLINK(IF(LEFT(AB497,4)="http",AB497,IF(H497="Production",set_RMSBase,set_QwilrBase)&amp;AB497),"Open")))</f>
        <v/>
      </c>
      <c r="AD497" s="27">
        <f>IF(E497="","",IF(H497="Production",IFERROR(INDEX(tbl_Production[Total Expense],MATCH(E497&amp;"",tbl_Production[Job Number],0)),0),IF(H497="Consulting",IFERROR(INDEX(tbl_Consulting[Total Expense],MATCH(E497&amp;"",tbl_Consulting[Job Number],0)),0),0)))</f>
        <v/>
      </c>
      <c r="AE497" s="27">
        <f>IF(E497="","",Y497-N(AD497))</f>
        <v/>
      </c>
      <c r="AF497" s="29">
        <f>IFERROR(AE497/Y497,"")</f>
        <v/>
      </c>
      <c r="AG497" s="2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22" t="n"/>
      <c r="B498" s="23">
        <f>IF(A498="","",EOMONTH(A498,0))</f>
        <v/>
      </c>
      <c r="C498" s="24" t="n"/>
      <c r="D498" s="24" t="n"/>
      <c r="E498" s="24" t="n"/>
      <c r="F498" s="25">
        <f>IF(E498="","",IF(COUNTIF(lst_Jobs,E498&amp;"")&gt;0,"OK","CHECK"))</f>
        <v/>
      </c>
      <c r="G498" s="24" t="n"/>
      <c r="H498" s="24" t="n"/>
      <c r="I498" s="24" t="n"/>
      <c r="J498" s="24" t="n"/>
      <c r="K498" s="24" t="n"/>
      <c r="L498" s="26" t="n"/>
      <c r="M498" s="27">
        <f>IF(L498="","",IF(K498="GST 10%",ROUND(L498*set_GSTRate,2),0))</f>
        <v/>
      </c>
      <c r="N498" s="27">
        <f>IF(L498="","",L498+M498)</f>
        <v/>
      </c>
      <c r="O498" s="24" t="n"/>
      <c r="P498" s="24" t="n"/>
      <c r="Q498" s="24" t="n"/>
      <c r="R498" s="22" t="n"/>
      <c r="S498" s="22" t="n"/>
      <c r="T498" s="24" t="n"/>
      <c r="U498" s="24" t="n"/>
      <c r="V498" s="2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25">
        <f>IF(E498="","",IFERROR(INDEX(lst_JobName,MATCH(E498&amp;"",lst_Jobs,0)),""))</f>
        <v/>
      </c>
      <c r="X498" s="28">
        <f>IF(E498="","",COUNTIFS(tbl_Finance[Job Number],E498&amp;"",tbl_Finance[Ex GST],"&lt;&gt;"))</f>
        <v/>
      </c>
      <c r="Y498" s="27">
        <f>IF(E498="","",SUMIFS(tbl_Finance[Ex GST],tbl_Finance[Job Number],E498&amp;""))</f>
        <v/>
      </c>
      <c r="Z498" s="27">
        <f>IF(E498="","",SUMIFS(tbl_Finance[Ex GST],tbl_Finance[Job Number],E498&amp;"",tbl_Finance[Xero Invoice No],"&lt;&gt;"))</f>
        <v/>
      </c>
      <c r="AA498" s="27">
        <f>IF(E498="","",Y498-Z498)</f>
        <v/>
      </c>
      <c r="AB498" s="25">
        <f>IF(E498="","",IF(H498="Onsite",IFERROR(INDEX(tbl_Onsite[Qwilr Quote],MATCH(E498&amp;"",tbl_Onsite[Job Number],0)),""),IF(H498="Production",IFERROR(IF(INDEX(tbl_Production[Current RMS No],MATCH(E498&amp;"",tbl_Production[Job Number],0))="",INDEX(tbl_Production[Qwilr Quote],MATCH(E498&amp;"",tbl_Production[Job Number],0)),INDEX(tbl_Production[Current RMS No],MATCH(E498&amp;"",tbl_Production[Job Number],0))),""),IF(H498="Consulting",IFERROR(INDEX(tbl_Consulting[Qwilr Quote],MATCH(E498&amp;"",tbl_Consulting[Job Number],0)),""),""))))</f>
        <v/>
      </c>
      <c r="AC498" s="25">
        <f>IF(AB498="","",IF(AND(LEFT(AB498,4)&lt;&gt;"http",IF(H498="Production",set_RMSBase,set_QwilrBase)=""),"",HYPERLINK(IF(LEFT(AB498,4)="http",AB498,IF(H498="Production",set_RMSBase,set_QwilrBase)&amp;AB498),"Open")))</f>
        <v/>
      </c>
      <c r="AD498" s="27">
        <f>IF(E498="","",IF(H498="Production",IFERROR(INDEX(tbl_Production[Total Expense],MATCH(E498&amp;"",tbl_Production[Job Number],0)),0),IF(H498="Consulting",IFERROR(INDEX(tbl_Consulting[Total Expense],MATCH(E498&amp;"",tbl_Consulting[Job Number],0)),0),0)))</f>
        <v/>
      </c>
      <c r="AE498" s="27">
        <f>IF(E498="","",Y498-N(AD498))</f>
        <v/>
      </c>
      <c r="AF498" s="29">
        <f>IFERROR(AE498/Y498,"")</f>
        <v/>
      </c>
      <c r="AG498" s="2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22" t="n"/>
      <c r="B499" s="23">
        <f>IF(A499="","",EOMONTH(A499,0))</f>
        <v/>
      </c>
      <c r="C499" s="24" t="n"/>
      <c r="D499" s="24" t="n"/>
      <c r="E499" s="24" t="n"/>
      <c r="F499" s="25">
        <f>IF(E499="","",IF(COUNTIF(lst_Jobs,E499&amp;"")&gt;0,"OK","CHECK"))</f>
        <v/>
      </c>
      <c r="G499" s="24" t="n"/>
      <c r="H499" s="24" t="n"/>
      <c r="I499" s="24" t="n"/>
      <c r="J499" s="24" t="n"/>
      <c r="K499" s="24" t="n"/>
      <c r="L499" s="26" t="n"/>
      <c r="M499" s="27">
        <f>IF(L499="","",IF(K499="GST 10%",ROUND(L499*set_GSTRate,2),0))</f>
        <v/>
      </c>
      <c r="N499" s="27">
        <f>IF(L499="","",L499+M499)</f>
        <v/>
      </c>
      <c r="O499" s="24" t="n"/>
      <c r="P499" s="24" t="n"/>
      <c r="Q499" s="24" t="n"/>
      <c r="R499" s="22" t="n"/>
      <c r="S499" s="22" t="n"/>
      <c r="T499" s="24" t="n"/>
      <c r="U499" s="24" t="n"/>
      <c r="V499" s="2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25">
        <f>IF(E499="","",IFERROR(INDEX(lst_JobName,MATCH(E499&amp;"",lst_Jobs,0)),""))</f>
        <v/>
      </c>
      <c r="X499" s="28">
        <f>IF(E499="","",COUNTIFS(tbl_Finance[Job Number],E499&amp;"",tbl_Finance[Ex GST],"&lt;&gt;"))</f>
        <v/>
      </c>
      <c r="Y499" s="27">
        <f>IF(E499="","",SUMIFS(tbl_Finance[Ex GST],tbl_Finance[Job Number],E499&amp;""))</f>
        <v/>
      </c>
      <c r="Z499" s="27">
        <f>IF(E499="","",SUMIFS(tbl_Finance[Ex GST],tbl_Finance[Job Number],E499&amp;"",tbl_Finance[Xero Invoice No],"&lt;&gt;"))</f>
        <v/>
      </c>
      <c r="AA499" s="27">
        <f>IF(E499="","",Y499-Z499)</f>
        <v/>
      </c>
      <c r="AB499" s="25">
        <f>IF(E499="","",IF(H499="Onsite",IFERROR(INDEX(tbl_Onsite[Qwilr Quote],MATCH(E499&amp;"",tbl_Onsite[Job Number],0)),""),IF(H499="Production",IFERROR(IF(INDEX(tbl_Production[Current RMS No],MATCH(E499&amp;"",tbl_Production[Job Number],0))="",INDEX(tbl_Production[Qwilr Quote],MATCH(E499&amp;"",tbl_Production[Job Number],0)),INDEX(tbl_Production[Current RMS No],MATCH(E499&amp;"",tbl_Production[Job Number],0))),""),IF(H499="Consulting",IFERROR(INDEX(tbl_Consulting[Qwilr Quote],MATCH(E499&amp;"",tbl_Consulting[Job Number],0)),""),""))))</f>
        <v/>
      </c>
      <c r="AC499" s="25">
        <f>IF(AB499="","",IF(AND(LEFT(AB499,4)&lt;&gt;"http",IF(H499="Production",set_RMSBase,set_QwilrBase)=""),"",HYPERLINK(IF(LEFT(AB499,4)="http",AB499,IF(H499="Production",set_RMSBase,set_QwilrBase)&amp;AB499),"Open")))</f>
        <v/>
      </c>
      <c r="AD499" s="27">
        <f>IF(E499="","",IF(H499="Production",IFERROR(INDEX(tbl_Production[Total Expense],MATCH(E499&amp;"",tbl_Production[Job Number],0)),0),IF(H499="Consulting",IFERROR(INDEX(tbl_Consulting[Total Expense],MATCH(E499&amp;"",tbl_Consulting[Job Number],0)),0),0)))</f>
        <v/>
      </c>
      <c r="AE499" s="27">
        <f>IF(E499="","",Y499-N(AD499))</f>
        <v/>
      </c>
      <c r="AF499" s="29">
        <f>IFERROR(AE499/Y499,"")</f>
        <v/>
      </c>
      <c r="AG499" s="2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22" t="n"/>
      <c r="B500" s="23">
        <f>IF(A500="","",EOMONTH(A500,0))</f>
        <v/>
      </c>
      <c r="C500" s="24" t="n"/>
      <c r="D500" s="24" t="n"/>
      <c r="E500" s="24" t="n"/>
      <c r="F500" s="25">
        <f>IF(E500="","",IF(COUNTIF(lst_Jobs,E500&amp;"")&gt;0,"OK","CHECK"))</f>
        <v/>
      </c>
      <c r="G500" s="24" t="n"/>
      <c r="H500" s="24" t="n"/>
      <c r="I500" s="24" t="n"/>
      <c r="J500" s="24" t="n"/>
      <c r="K500" s="24" t="n"/>
      <c r="L500" s="26" t="n"/>
      <c r="M500" s="27">
        <f>IF(L500="","",IF(K500="GST 10%",ROUND(L500*set_GSTRate,2),0))</f>
        <v/>
      </c>
      <c r="N500" s="27">
        <f>IF(L500="","",L500+M500)</f>
        <v/>
      </c>
      <c r="O500" s="24" t="n"/>
      <c r="P500" s="24" t="n"/>
      <c r="Q500" s="24" t="n"/>
      <c r="R500" s="22" t="n"/>
      <c r="S500" s="22" t="n"/>
      <c r="T500" s="24" t="n"/>
      <c r="U500" s="24" t="n"/>
      <c r="V500" s="2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25">
        <f>IF(E500="","",IFERROR(INDEX(lst_JobName,MATCH(E500&amp;"",lst_Jobs,0)),""))</f>
        <v/>
      </c>
      <c r="X500" s="28">
        <f>IF(E500="","",COUNTIFS(tbl_Finance[Job Number],E500&amp;"",tbl_Finance[Ex GST],"&lt;&gt;"))</f>
        <v/>
      </c>
      <c r="Y500" s="27">
        <f>IF(E500="","",SUMIFS(tbl_Finance[Ex GST],tbl_Finance[Job Number],E500&amp;""))</f>
        <v/>
      </c>
      <c r="Z500" s="27">
        <f>IF(E500="","",SUMIFS(tbl_Finance[Ex GST],tbl_Finance[Job Number],E500&amp;"",tbl_Finance[Xero Invoice No],"&lt;&gt;"))</f>
        <v/>
      </c>
      <c r="AA500" s="27">
        <f>IF(E500="","",Y500-Z500)</f>
        <v/>
      </c>
      <c r="AB500" s="25">
        <f>IF(E500="","",IF(H500="Onsite",IFERROR(INDEX(tbl_Onsite[Qwilr Quote],MATCH(E500&amp;"",tbl_Onsite[Job Number],0)),""),IF(H500="Production",IFERROR(IF(INDEX(tbl_Production[Current RMS No],MATCH(E500&amp;"",tbl_Production[Job Number],0))="",INDEX(tbl_Production[Qwilr Quote],MATCH(E500&amp;"",tbl_Production[Job Number],0)),INDEX(tbl_Production[Current RMS No],MATCH(E500&amp;"",tbl_Production[Job Number],0))),""),IF(H500="Consulting",IFERROR(INDEX(tbl_Consulting[Qwilr Quote],MATCH(E500&amp;"",tbl_Consulting[Job Number],0)),""),""))))</f>
        <v/>
      </c>
      <c r="AC500" s="25">
        <f>IF(AB500="","",IF(AND(LEFT(AB500,4)&lt;&gt;"http",IF(H500="Production",set_RMSBase,set_QwilrBase)=""),"",HYPERLINK(IF(LEFT(AB500,4)="http",AB500,IF(H500="Production",set_RMSBase,set_QwilrBase)&amp;AB500),"Open")))</f>
        <v/>
      </c>
      <c r="AD500" s="27">
        <f>IF(E500="","",IF(H500="Production",IFERROR(INDEX(tbl_Production[Total Expense],MATCH(E500&amp;"",tbl_Production[Job Number],0)),0),IF(H500="Consulting",IFERROR(INDEX(tbl_Consulting[Total Expense],MATCH(E500&amp;"",tbl_Consulting[Job Number],0)),0),0)))</f>
        <v/>
      </c>
      <c r="AE500" s="27">
        <f>IF(E500="","",Y500-N(AD500))</f>
        <v/>
      </c>
      <c r="AF500" s="29">
        <f>IFERROR(AE500/Y500,"")</f>
        <v/>
      </c>
      <c r="AG500" s="2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22" t="n"/>
      <c r="B501" s="23">
        <f>IF(A501="","",EOMONTH(A501,0))</f>
        <v/>
      </c>
      <c r="C501" s="24" t="n"/>
      <c r="D501" s="24" t="n"/>
      <c r="E501" s="24" t="n"/>
      <c r="F501" s="25">
        <f>IF(E501="","",IF(COUNTIF(lst_Jobs,E501&amp;"")&gt;0,"OK","CHECK"))</f>
        <v/>
      </c>
      <c r="G501" s="24" t="n"/>
      <c r="H501" s="24" t="n"/>
      <c r="I501" s="24" t="n"/>
      <c r="J501" s="24" t="n"/>
      <c r="K501" s="24" t="n"/>
      <c r="L501" s="26" t="n"/>
      <c r="M501" s="27">
        <f>IF(L501="","",IF(K501="GST 10%",ROUND(L501*set_GSTRate,2),0))</f>
        <v/>
      </c>
      <c r="N501" s="27">
        <f>IF(L501="","",L501+M501)</f>
        <v/>
      </c>
      <c r="O501" s="24" t="n"/>
      <c r="P501" s="24" t="n"/>
      <c r="Q501" s="24" t="n"/>
      <c r="R501" s="22" t="n"/>
      <c r="S501" s="22" t="n"/>
      <c r="T501" s="24" t="n"/>
      <c r="U501" s="24" t="n"/>
      <c r="V501" s="2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25">
        <f>IF(E501="","",IFERROR(INDEX(lst_JobName,MATCH(E501&amp;"",lst_Jobs,0)),""))</f>
        <v/>
      </c>
      <c r="X501" s="28">
        <f>IF(E501="","",COUNTIFS(tbl_Finance[Job Number],E501&amp;"",tbl_Finance[Ex GST],"&lt;&gt;"))</f>
        <v/>
      </c>
      <c r="Y501" s="27">
        <f>IF(E501="","",SUMIFS(tbl_Finance[Ex GST],tbl_Finance[Job Number],E501&amp;""))</f>
        <v/>
      </c>
      <c r="Z501" s="27">
        <f>IF(E501="","",SUMIFS(tbl_Finance[Ex GST],tbl_Finance[Job Number],E501&amp;"",tbl_Finance[Xero Invoice No],"&lt;&gt;"))</f>
        <v/>
      </c>
      <c r="AA501" s="27">
        <f>IF(E501="","",Y501-Z501)</f>
        <v/>
      </c>
      <c r="AB501" s="25">
        <f>IF(E501="","",IF(H501="Onsite",IFERROR(INDEX(tbl_Onsite[Qwilr Quote],MATCH(E501&amp;"",tbl_Onsite[Job Number],0)),""),IF(H501="Production",IFERROR(IF(INDEX(tbl_Production[Current RMS No],MATCH(E501&amp;"",tbl_Production[Job Number],0))="",INDEX(tbl_Production[Qwilr Quote],MATCH(E501&amp;"",tbl_Production[Job Number],0)),INDEX(tbl_Production[Current RMS No],MATCH(E501&amp;"",tbl_Production[Job Number],0))),""),IF(H501="Consulting",IFERROR(INDEX(tbl_Consulting[Qwilr Quote],MATCH(E501&amp;"",tbl_Consulting[Job Number],0)),""),""))))</f>
        <v/>
      </c>
      <c r="AC501" s="25">
        <f>IF(AB501="","",IF(AND(LEFT(AB501,4)&lt;&gt;"http",IF(H501="Production",set_RMSBase,set_QwilrBase)=""),"",HYPERLINK(IF(LEFT(AB501,4)="http",AB501,IF(H501="Production",set_RMSBase,set_QwilrBase)&amp;AB501),"Open")))</f>
        <v/>
      </c>
      <c r="AD501" s="27">
        <f>IF(E501="","",IF(H501="Production",IFERROR(INDEX(tbl_Production[Total Expense],MATCH(E501&amp;"",tbl_Production[Job Number],0)),0),IF(H501="Consulting",IFERROR(INDEX(tbl_Consulting[Total Expense],MATCH(E501&amp;"",tbl_Consulting[Job Number],0)),0),0)))</f>
        <v/>
      </c>
      <c r="AE501" s="27">
        <f>IF(E501="","",Y501-N(AD501))</f>
        <v/>
      </c>
      <c r="AF501" s="29">
        <f>IFERROR(AE501/Y501,"")</f>
        <v/>
      </c>
      <c r="AG501" s="2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22" t="n"/>
      <c r="B502" s="23">
        <f>IF(A502="","",EOMONTH(A502,0))</f>
        <v/>
      </c>
      <c r="C502" s="24" t="n"/>
      <c r="D502" s="24" t="n"/>
      <c r="E502" s="24" t="n"/>
      <c r="F502" s="25">
        <f>IF(E502="","",IF(COUNTIF(lst_Jobs,E502&amp;"")&gt;0,"OK","CHECK"))</f>
        <v/>
      </c>
      <c r="G502" s="24" t="n"/>
      <c r="H502" s="24" t="n"/>
      <c r="I502" s="24" t="n"/>
      <c r="J502" s="24" t="n"/>
      <c r="K502" s="24" t="n"/>
      <c r="L502" s="26" t="n"/>
      <c r="M502" s="27">
        <f>IF(L502="","",IF(K502="GST 10%",ROUND(L502*set_GSTRate,2),0))</f>
        <v/>
      </c>
      <c r="N502" s="27">
        <f>IF(L502="","",L502+M502)</f>
        <v/>
      </c>
      <c r="O502" s="24" t="n"/>
      <c r="P502" s="24" t="n"/>
      <c r="Q502" s="24" t="n"/>
      <c r="R502" s="22" t="n"/>
      <c r="S502" s="22" t="n"/>
      <c r="T502" s="24" t="n"/>
      <c r="U502" s="24" t="n"/>
      <c r="V502" s="2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25">
        <f>IF(E502="","",IFERROR(INDEX(lst_JobName,MATCH(E502&amp;"",lst_Jobs,0)),""))</f>
        <v/>
      </c>
      <c r="X502" s="28">
        <f>IF(E502="","",COUNTIFS(tbl_Finance[Job Number],E502&amp;"",tbl_Finance[Ex GST],"&lt;&gt;"))</f>
        <v/>
      </c>
      <c r="Y502" s="27">
        <f>IF(E502="","",SUMIFS(tbl_Finance[Ex GST],tbl_Finance[Job Number],E502&amp;""))</f>
        <v/>
      </c>
      <c r="Z502" s="27">
        <f>IF(E502="","",SUMIFS(tbl_Finance[Ex GST],tbl_Finance[Job Number],E502&amp;"",tbl_Finance[Xero Invoice No],"&lt;&gt;"))</f>
        <v/>
      </c>
      <c r="AA502" s="27">
        <f>IF(E502="","",Y502-Z502)</f>
        <v/>
      </c>
      <c r="AB502" s="25">
        <f>IF(E502="","",IF(H502="Onsite",IFERROR(INDEX(tbl_Onsite[Qwilr Quote],MATCH(E502&amp;"",tbl_Onsite[Job Number],0)),""),IF(H502="Production",IFERROR(IF(INDEX(tbl_Production[Current RMS No],MATCH(E502&amp;"",tbl_Production[Job Number],0))="",INDEX(tbl_Production[Qwilr Quote],MATCH(E502&amp;"",tbl_Production[Job Number],0)),INDEX(tbl_Production[Current RMS No],MATCH(E502&amp;"",tbl_Production[Job Number],0))),""),IF(H502="Consulting",IFERROR(INDEX(tbl_Consulting[Qwilr Quote],MATCH(E502&amp;"",tbl_Consulting[Job Number],0)),""),""))))</f>
        <v/>
      </c>
      <c r="AC502" s="25">
        <f>IF(AB502="","",IF(AND(LEFT(AB502,4)&lt;&gt;"http",IF(H502="Production",set_RMSBase,set_QwilrBase)=""),"",HYPERLINK(IF(LEFT(AB502,4)="http",AB502,IF(H502="Production",set_RMSBase,set_QwilrBase)&amp;AB502),"Open")))</f>
        <v/>
      </c>
      <c r="AD502" s="27">
        <f>IF(E502="","",IF(H502="Production",IFERROR(INDEX(tbl_Production[Total Expense],MATCH(E502&amp;"",tbl_Production[Job Number],0)),0),IF(H502="Consulting",IFERROR(INDEX(tbl_Consulting[Total Expense],MATCH(E502&amp;"",tbl_Consulting[Job Number],0)),0),0)))</f>
        <v/>
      </c>
      <c r="AE502" s="27">
        <f>IF(E502="","",Y502-N(AD502))</f>
        <v/>
      </c>
      <c r="AF502" s="29">
        <f>IFERROR(AE502/Y502,"")</f>
        <v/>
      </c>
      <c r="AG502" s="2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22" t="n"/>
      <c r="B503" s="23">
        <f>IF(A503="","",EOMONTH(A503,0))</f>
        <v/>
      </c>
      <c r="C503" s="24" t="n"/>
      <c r="D503" s="24" t="n"/>
      <c r="E503" s="24" t="n"/>
      <c r="F503" s="25">
        <f>IF(E503="","",IF(COUNTIF(lst_Jobs,E503&amp;"")&gt;0,"OK","CHECK"))</f>
        <v/>
      </c>
      <c r="G503" s="24" t="n"/>
      <c r="H503" s="24" t="n"/>
      <c r="I503" s="24" t="n"/>
      <c r="J503" s="24" t="n"/>
      <c r="K503" s="24" t="n"/>
      <c r="L503" s="26" t="n"/>
      <c r="M503" s="27">
        <f>IF(L503="","",IF(K503="GST 10%",ROUND(L503*set_GSTRate,2),0))</f>
        <v/>
      </c>
      <c r="N503" s="27">
        <f>IF(L503="","",L503+M503)</f>
        <v/>
      </c>
      <c r="O503" s="24" t="n"/>
      <c r="P503" s="24" t="n"/>
      <c r="Q503" s="24" t="n"/>
      <c r="R503" s="22" t="n"/>
      <c r="S503" s="22" t="n"/>
      <c r="T503" s="24" t="n"/>
      <c r="U503" s="24" t="n"/>
      <c r="V503" s="2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25">
        <f>IF(E503="","",IFERROR(INDEX(lst_JobName,MATCH(E503&amp;"",lst_Jobs,0)),""))</f>
        <v/>
      </c>
      <c r="X503" s="28">
        <f>IF(E503="","",COUNTIFS(tbl_Finance[Job Number],E503&amp;"",tbl_Finance[Ex GST],"&lt;&gt;"))</f>
        <v/>
      </c>
      <c r="Y503" s="27">
        <f>IF(E503="","",SUMIFS(tbl_Finance[Ex GST],tbl_Finance[Job Number],E503&amp;""))</f>
        <v/>
      </c>
      <c r="Z503" s="27">
        <f>IF(E503="","",SUMIFS(tbl_Finance[Ex GST],tbl_Finance[Job Number],E503&amp;"",tbl_Finance[Xero Invoice No],"&lt;&gt;"))</f>
        <v/>
      </c>
      <c r="AA503" s="27">
        <f>IF(E503="","",Y503-Z503)</f>
        <v/>
      </c>
      <c r="AB503" s="25">
        <f>IF(E503="","",IF(H503="Onsite",IFERROR(INDEX(tbl_Onsite[Qwilr Quote],MATCH(E503&amp;"",tbl_Onsite[Job Number],0)),""),IF(H503="Production",IFERROR(IF(INDEX(tbl_Production[Current RMS No],MATCH(E503&amp;"",tbl_Production[Job Number],0))="",INDEX(tbl_Production[Qwilr Quote],MATCH(E503&amp;"",tbl_Production[Job Number],0)),INDEX(tbl_Production[Current RMS No],MATCH(E503&amp;"",tbl_Production[Job Number],0))),""),IF(H503="Consulting",IFERROR(INDEX(tbl_Consulting[Qwilr Quote],MATCH(E503&amp;"",tbl_Consulting[Job Number],0)),""),""))))</f>
        <v/>
      </c>
      <c r="AC503" s="25">
        <f>IF(AB503="","",IF(AND(LEFT(AB503,4)&lt;&gt;"http",IF(H503="Production",set_RMSBase,set_QwilrBase)=""),"",HYPERLINK(IF(LEFT(AB503,4)="http",AB503,IF(H503="Production",set_RMSBase,set_QwilrBase)&amp;AB503),"Open")))</f>
        <v/>
      </c>
      <c r="AD503" s="27">
        <f>IF(E503="","",IF(H503="Production",IFERROR(INDEX(tbl_Production[Total Expense],MATCH(E503&amp;"",tbl_Production[Job Number],0)),0),IF(H503="Consulting",IFERROR(INDEX(tbl_Consulting[Total Expense],MATCH(E503&amp;"",tbl_Consulting[Job Number],0)),0),0)))</f>
        <v/>
      </c>
      <c r="AE503" s="27">
        <f>IF(E503="","",Y503-N(AD503))</f>
        <v/>
      </c>
      <c r="AF503" s="29">
        <f>IFERROR(AE503/Y503,"")</f>
        <v/>
      </c>
      <c r="AG503" s="2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22" t="n"/>
      <c r="B504" s="23">
        <f>IF(A504="","",EOMONTH(A504,0))</f>
        <v/>
      </c>
      <c r="C504" s="24" t="n"/>
      <c r="D504" s="24" t="n"/>
      <c r="E504" s="24" t="n"/>
      <c r="F504" s="25">
        <f>IF(E504="","",IF(COUNTIF(lst_Jobs,E504&amp;"")&gt;0,"OK","CHECK"))</f>
        <v/>
      </c>
      <c r="G504" s="24" t="n"/>
      <c r="H504" s="24" t="n"/>
      <c r="I504" s="24" t="n"/>
      <c r="J504" s="24" t="n"/>
      <c r="K504" s="24" t="n"/>
      <c r="L504" s="26" t="n"/>
      <c r="M504" s="27">
        <f>IF(L504="","",IF(K504="GST 10%",ROUND(L504*set_GSTRate,2),0))</f>
        <v/>
      </c>
      <c r="N504" s="27">
        <f>IF(L504="","",L504+M504)</f>
        <v/>
      </c>
      <c r="O504" s="24" t="n"/>
      <c r="P504" s="24" t="n"/>
      <c r="Q504" s="24" t="n"/>
      <c r="R504" s="22" t="n"/>
      <c r="S504" s="22" t="n"/>
      <c r="T504" s="24" t="n"/>
      <c r="U504" s="24" t="n"/>
      <c r="V504" s="2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25">
        <f>IF(E504="","",IFERROR(INDEX(lst_JobName,MATCH(E504&amp;"",lst_Jobs,0)),""))</f>
        <v/>
      </c>
      <c r="X504" s="28">
        <f>IF(E504="","",COUNTIFS(tbl_Finance[Job Number],E504&amp;"",tbl_Finance[Ex GST],"&lt;&gt;"))</f>
        <v/>
      </c>
      <c r="Y504" s="27">
        <f>IF(E504="","",SUMIFS(tbl_Finance[Ex GST],tbl_Finance[Job Number],E504&amp;""))</f>
        <v/>
      </c>
      <c r="Z504" s="27">
        <f>IF(E504="","",SUMIFS(tbl_Finance[Ex GST],tbl_Finance[Job Number],E504&amp;"",tbl_Finance[Xero Invoice No],"&lt;&gt;"))</f>
        <v/>
      </c>
      <c r="AA504" s="27">
        <f>IF(E504="","",Y504-Z504)</f>
        <v/>
      </c>
      <c r="AB504" s="25">
        <f>IF(E504="","",IF(H504="Onsite",IFERROR(INDEX(tbl_Onsite[Qwilr Quote],MATCH(E504&amp;"",tbl_Onsite[Job Number],0)),""),IF(H504="Production",IFERROR(IF(INDEX(tbl_Production[Current RMS No],MATCH(E504&amp;"",tbl_Production[Job Number],0))="",INDEX(tbl_Production[Qwilr Quote],MATCH(E504&amp;"",tbl_Production[Job Number],0)),INDEX(tbl_Production[Current RMS No],MATCH(E504&amp;"",tbl_Production[Job Number],0))),""),IF(H504="Consulting",IFERROR(INDEX(tbl_Consulting[Qwilr Quote],MATCH(E504&amp;"",tbl_Consulting[Job Number],0)),""),""))))</f>
        <v/>
      </c>
      <c r="AC504" s="25">
        <f>IF(AB504="","",IF(AND(LEFT(AB504,4)&lt;&gt;"http",IF(H504="Production",set_RMSBase,set_QwilrBase)=""),"",HYPERLINK(IF(LEFT(AB504,4)="http",AB504,IF(H504="Production",set_RMSBase,set_QwilrBase)&amp;AB504),"Open")))</f>
        <v/>
      </c>
      <c r="AD504" s="27">
        <f>IF(E504="","",IF(H504="Production",IFERROR(INDEX(tbl_Production[Total Expense],MATCH(E504&amp;"",tbl_Production[Job Number],0)),0),IF(H504="Consulting",IFERROR(INDEX(tbl_Consulting[Total Expense],MATCH(E504&amp;"",tbl_Consulting[Job Number],0)),0),0)))</f>
        <v/>
      </c>
      <c r="AE504" s="27">
        <f>IF(E504="","",Y504-N(AD504))</f>
        <v/>
      </c>
      <c r="AF504" s="29">
        <f>IFERROR(AE504/Y504,"")</f>
        <v/>
      </c>
      <c r="AG504" s="2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22" t="n"/>
      <c r="B505" s="23">
        <f>IF(A505="","",EOMONTH(A505,0))</f>
        <v/>
      </c>
      <c r="C505" s="24" t="n"/>
      <c r="D505" s="24" t="n"/>
      <c r="E505" s="24" t="n"/>
      <c r="F505" s="25">
        <f>IF(E505="","",IF(COUNTIF(lst_Jobs,E505&amp;"")&gt;0,"OK","CHECK"))</f>
        <v/>
      </c>
      <c r="G505" s="24" t="n"/>
      <c r="H505" s="24" t="n"/>
      <c r="I505" s="24" t="n"/>
      <c r="J505" s="24" t="n"/>
      <c r="K505" s="24" t="n"/>
      <c r="L505" s="26" t="n"/>
      <c r="M505" s="27">
        <f>IF(L505="","",IF(K505="GST 10%",ROUND(L505*set_GSTRate,2),0))</f>
        <v/>
      </c>
      <c r="N505" s="27">
        <f>IF(L505="","",L505+M505)</f>
        <v/>
      </c>
      <c r="O505" s="24" t="n"/>
      <c r="P505" s="24" t="n"/>
      <c r="Q505" s="24" t="n"/>
      <c r="R505" s="22" t="n"/>
      <c r="S505" s="22" t="n"/>
      <c r="T505" s="24" t="n"/>
      <c r="U505" s="24" t="n"/>
      <c r="V505" s="2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25">
        <f>IF(E505="","",IFERROR(INDEX(lst_JobName,MATCH(E505&amp;"",lst_Jobs,0)),""))</f>
        <v/>
      </c>
      <c r="X505" s="28">
        <f>IF(E505="","",COUNTIFS(tbl_Finance[Job Number],E505&amp;"",tbl_Finance[Ex GST],"&lt;&gt;"))</f>
        <v/>
      </c>
      <c r="Y505" s="27">
        <f>IF(E505="","",SUMIFS(tbl_Finance[Ex GST],tbl_Finance[Job Number],E505&amp;""))</f>
        <v/>
      </c>
      <c r="Z505" s="27">
        <f>IF(E505="","",SUMIFS(tbl_Finance[Ex GST],tbl_Finance[Job Number],E505&amp;"",tbl_Finance[Xero Invoice No],"&lt;&gt;"))</f>
        <v/>
      </c>
      <c r="AA505" s="27">
        <f>IF(E505="","",Y505-Z505)</f>
        <v/>
      </c>
      <c r="AB505" s="25">
        <f>IF(E505="","",IF(H505="Onsite",IFERROR(INDEX(tbl_Onsite[Qwilr Quote],MATCH(E505&amp;"",tbl_Onsite[Job Number],0)),""),IF(H505="Production",IFERROR(IF(INDEX(tbl_Production[Current RMS No],MATCH(E505&amp;"",tbl_Production[Job Number],0))="",INDEX(tbl_Production[Qwilr Quote],MATCH(E505&amp;"",tbl_Production[Job Number],0)),INDEX(tbl_Production[Current RMS No],MATCH(E505&amp;"",tbl_Production[Job Number],0))),""),IF(H505="Consulting",IFERROR(INDEX(tbl_Consulting[Qwilr Quote],MATCH(E505&amp;"",tbl_Consulting[Job Number],0)),""),""))))</f>
        <v/>
      </c>
      <c r="AC505" s="25">
        <f>IF(AB505="","",IF(AND(LEFT(AB505,4)&lt;&gt;"http",IF(H505="Production",set_RMSBase,set_QwilrBase)=""),"",HYPERLINK(IF(LEFT(AB505,4)="http",AB505,IF(H505="Production",set_RMSBase,set_QwilrBase)&amp;AB505),"Open")))</f>
        <v/>
      </c>
      <c r="AD505" s="27">
        <f>IF(E505="","",IF(H505="Production",IFERROR(INDEX(tbl_Production[Total Expense],MATCH(E505&amp;"",tbl_Production[Job Number],0)),0),IF(H505="Consulting",IFERROR(INDEX(tbl_Consulting[Total Expense],MATCH(E505&amp;"",tbl_Consulting[Job Number],0)),0),0)))</f>
        <v/>
      </c>
      <c r="AE505" s="27">
        <f>IF(E505="","",Y505-N(AD505))</f>
        <v/>
      </c>
      <c r="AF505" s="29">
        <f>IFERROR(AE505/Y505,"")</f>
        <v/>
      </c>
      <c r="AG505" s="2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22" t="n"/>
      <c r="B506" s="23">
        <f>IF(A506="","",EOMONTH(A506,0))</f>
        <v/>
      </c>
      <c r="C506" s="24" t="n"/>
      <c r="D506" s="24" t="n"/>
      <c r="E506" s="24" t="n"/>
      <c r="F506" s="25">
        <f>IF(E506="","",IF(COUNTIF(lst_Jobs,E506&amp;"")&gt;0,"OK","CHECK"))</f>
        <v/>
      </c>
      <c r="G506" s="24" t="n"/>
      <c r="H506" s="24" t="n"/>
      <c r="I506" s="24" t="n"/>
      <c r="J506" s="24" t="n"/>
      <c r="K506" s="24" t="n"/>
      <c r="L506" s="26" t="n"/>
      <c r="M506" s="27">
        <f>IF(L506="","",IF(K506="GST 10%",ROUND(L506*set_GSTRate,2),0))</f>
        <v/>
      </c>
      <c r="N506" s="27">
        <f>IF(L506="","",L506+M506)</f>
        <v/>
      </c>
      <c r="O506" s="24" t="n"/>
      <c r="P506" s="24" t="n"/>
      <c r="Q506" s="24" t="n"/>
      <c r="R506" s="22" t="n"/>
      <c r="S506" s="22" t="n"/>
      <c r="T506" s="24" t="n"/>
      <c r="U506" s="24" t="n"/>
      <c r="V506" s="2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25">
        <f>IF(E506="","",IFERROR(INDEX(lst_JobName,MATCH(E506&amp;"",lst_Jobs,0)),""))</f>
        <v/>
      </c>
      <c r="X506" s="28">
        <f>IF(E506="","",COUNTIFS(tbl_Finance[Job Number],E506&amp;"",tbl_Finance[Ex GST],"&lt;&gt;"))</f>
        <v/>
      </c>
      <c r="Y506" s="27">
        <f>IF(E506="","",SUMIFS(tbl_Finance[Ex GST],tbl_Finance[Job Number],E506&amp;""))</f>
        <v/>
      </c>
      <c r="Z506" s="27">
        <f>IF(E506="","",SUMIFS(tbl_Finance[Ex GST],tbl_Finance[Job Number],E506&amp;"",tbl_Finance[Xero Invoice No],"&lt;&gt;"))</f>
        <v/>
      </c>
      <c r="AA506" s="27">
        <f>IF(E506="","",Y506-Z506)</f>
        <v/>
      </c>
      <c r="AB506" s="25">
        <f>IF(E506="","",IF(H506="Onsite",IFERROR(INDEX(tbl_Onsite[Qwilr Quote],MATCH(E506&amp;"",tbl_Onsite[Job Number],0)),""),IF(H506="Production",IFERROR(IF(INDEX(tbl_Production[Current RMS No],MATCH(E506&amp;"",tbl_Production[Job Number],0))="",INDEX(tbl_Production[Qwilr Quote],MATCH(E506&amp;"",tbl_Production[Job Number],0)),INDEX(tbl_Production[Current RMS No],MATCH(E506&amp;"",tbl_Production[Job Number],0))),""),IF(H506="Consulting",IFERROR(INDEX(tbl_Consulting[Qwilr Quote],MATCH(E506&amp;"",tbl_Consulting[Job Number],0)),""),""))))</f>
        <v/>
      </c>
      <c r="AC506" s="25">
        <f>IF(AB506="","",IF(AND(LEFT(AB506,4)&lt;&gt;"http",IF(H506="Production",set_RMSBase,set_QwilrBase)=""),"",HYPERLINK(IF(LEFT(AB506,4)="http",AB506,IF(H506="Production",set_RMSBase,set_QwilrBase)&amp;AB506),"Open")))</f>
        <v/>
      </c>
      <c r="AD506" s="27">
        <f>IF(E506="","",IF(H506="Production",IFERROR(INDEX(tbl_Production[Total Expense],MATCH(E506&amp;"",tbl_Production[Job Number],0)),0),IF(H506="Consulting",IFERROR(INDEX(tbl_Consulting[Total Expense],MATCH(E506&amp;"",tbl_Consulting[Job Number],0)),0),0)))</f>
        <v/>
      </c>
      <c r="AE506" s="27">
        <f>IF(E506="","",Y506-N(AD506))</f>
        <v/>
      </c>
      <c r="AF506" s="29">
        <f>IFERROR(AE506/Y506,"")</f>
        <v/>
      </c>
      <c r="AG506" s="2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22" t="n"/>
      <c r="B507" s="23">
        <f>IF(A507="","",EOMONTH(A507,0))</f>
        <v/>
      </c>
      <c r="C507" s="24" t="n"/>
      <c r="D507" s="24" t="n"/>
      <c r="E507" s="24" t="n"/>
      <c r="F507" s="25">
        <f>IF(E507="","",IF(COUNTIF(lst_Jobs,E507&amp;"")&gt;0,"OK","CHECK"))</f>
        <v/>
      </c>
      <c r="G507" s="24" t="n"/>
      <c r="H507" s="24" t="n"/>
      <c r="I507" s="24" t="n"/>
      <c r="J507" s="24" t="n"/>
      <c r="K507" s="24" t="n"/>
      <c r="L507" s="26" t="n"/>
      <c r="M507" s="27">
        <f>IF(L507="","",IF(K507="GST 10%",ROUND(L507*set_GSTRate,2),0))</f>
        <v/>
      </c>
      <c r="N507" s="27">
        <f>IF(L507="","",L507+M507)</f>
        <v/>
      </c>
      <c r="O507" s="24" t="n"/>
      <c r="P507" s="24" t="n"/>
      <c r="Q507" s="24" t="n"/>
      <c r="R507" s="22" t="n"/>
      <c r="S507" s="22" t="n"/>
      <c r="T507" s="24" t="n"/>
      <c r="U507" s="24" t="n"/>
      <c r="V507" s="2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25">
        <f>IF(E507="","",IFERROR(INDEX(lst_JobName,MATCH(E507&amp;"",lst_Jobs,0)),""))</f>
        <v/>
      </c>
      <c r="X507" s="28">
        <f>IF(E507="","",COUNTIFS(tbl_Finance[Job Number],E507&amp;"",tbl_Finance[Ex GST],"&lt;&gt;"))</f>
        <v/>
      </c>
      <c r="Y507" s="27">
        <f>IF(E507="","",SUMIFS(tbl_Finance[Ex GST],tbl_Finance[Job Number],E507&amp;""))</f>
        <v/>
      </c>
      <c r="Z507" s="27">
        <f>IF(E507="","",SUMIFS(tbl_Finance[Ex GST],tbl_Finance[Job Number],E507&amp;"",tbl_Finance[Xero Invoice No],"&lt;&gt;"))</f>
        <v/>
      </c>
      <c r="AA507" s="27">
        <f>IF(E507="","",Y507-Z507)</f>
        <v/>
      </c>
      <c r="AB507" s="25">
        <f>IF(E507="","",IF(H507="Onsite",IFERROR(INDEX(tbl_Onsite[Qwilr Quote],MATCH(E507&amp;"",tbl_Onsite[Job Number],0)),""),IF(H507="Production",IFERROR(IF(INDEX(tbl_Production[Current RMS No],MATCH(E507&amp;"",tbl_Production[Job Number],0))="",INDEX(tbl_Production[Qwilr Quote],MATCH(E507&amp;"",tbl_Production[Job Number],0)),INDEX(tbl_Production[Current RMS No],MATCH(E507&amp;"",tbl_Production[Job Number],0))),""),IF(H507="Consulting",IFERROR(INDEX(tbl_Consulting[Qwilr Quote],MATCH(E507&amp;"",tbl_Consulting[Job Number],0)),""),""))))</f>
        <v/>
      </c>
      <c r="AC507" s="25">
        <f>IF(AB507="","",IF(AND(LEFT(AB507,4)&lt;&gt;"http",IF(H507="Production",set_RMSBase,set_QwilrBase)=""),"",HYPERLINK(IF(LEFT(AB507,4)="http",AB507,IF(H507="Production",set_RMSBase,set_QwilrBase)&amp;AB507),"Open")))</f>
        <v/>
      </c>
      <c r="AD507" s="27">
        <f>IF(E507="","",IF(H507="Production",IFERROR(INDEX(tbl_Production[Total Expense],MATCH(E507&amp;"",tbl_Production[Job Number],0)),0),IF(H507="Consulting",IFERROR(INDEX(tbl_Consulting[Total Expense],MATCH(E507&amp;"",tbl_Consulting[Job Number],0)),0),0)))</f>
        <v/>
      </c>
      <c r="AE507" s="27">
        <f>IF(E507="","",Y507-N(AD507))</f>
        <v/>
      </c>
      <c r="AF507" s="29">
        <f>IFERROR(AE507/Y507,"")</f>
        <v/>
      </c>
      <c r="AG507" s="2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22" t="n"/>
      <c r="B508" s="23">
        <f>IF(A508="","",EOMONTH(A508,0))</f>
        <v/>
      </c>
      <c r="C508" s="24" t="n"/>
      <c r="D508" s="24" t="n"/>
      <c r="E508" s="24" t="n"/>
      <c r="F508" s="25">
        <f>IF(E508="","",IF(COUNTIF(lst_Jobs,E508&amp;"")&gt;0,"OK","CHECK"))</f>
        <v/>
      </c>
      <c r="G508" s="24" t="n"/>
      <c r="H508" s="24" t="n"/>
      <c r="I508" s="24" t="n"/>
      <c r="J508" s="24" t="n"/>
      <c r="K508" s="24" t="n"/>
      <c r="L508" s="26" t="n"/>
      <c r="M508" s="27">
        <f>IF(L508="","",IF(K508="GST 10%",ROUND(L508*set_GSTRate,2),0))</f>
        <v/>
      </c>
      <c r="N508" s="27">
        <f>IF(L508="","",L508+M508)</f>
        <v/>
      </c>
      <c r="O508" s="24" t="n"/>
      <c r="P508" s="24" t="n"/>
      <c r="Q508" s="24" t="n"/>
      <c r="R508" s="22" t="n"/>
      <c r="S508" s="22" t="n"/>
      <c r="T508" s="24" t="n"/>
      <c r="U508" s="24" t="n"/>
      <c r="V508" s="2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25">
        <f>IF(E508="","",IFERROR(INDEX(lst_JobName,MATCH(E508&amp;"",lst_Jobs,0)),""))</f>
        <v/>
      </c>
      <c r="X508" s="28">
        <f>IF(E508="","",COUNTIFS(tbl_Finance[Job Number],E508&amp;"",tbl_Finance[Ex GST],"&lt;&gt;"))</f>
        <v/>
      </c>
      <c r="Y508" s="27">
        <f>IF(E508="","",SUMIFS(tbl_Finance[Ex GST],tbl_Finance[Job Number],E508&amp;""))</f>
        <v/>
      </c>
      <c r="Z508" s="27">
        <f>IF(E508="","",SUMIFS(tbl_Finance[Ex GST],tbl_Finance[Job Number],E508&amp;"",tbl_Finance[Xero Invoice No],"&lt;&gt;"))</f>
        <v/>
      </c>
      <c r="AA508" s="27">
        <f>IF(E508="","",Y508-Z508)</f>
        <v/>
      </c>
      <c r="AB508" s="25">
        <f>IF(E508="","",IF(H508="Onsite",IFERROR(INDEX(tbl_Onsite[Qwilr Quote],MATCH(E508&amp;"",tbl_Onsite[Job Number],0)),""),IF(H508="Production",IFERROR(IF(INDEX(tbl_Production[Current RMS No],MATCH(E508&amp;"",tbl_Production[Job Number],0))="",INDEX(tbl_Production[Qwilr Quote],MATCH(E508&amp;"",tbl_Production[Job Number],0)),INDEX(tbl_Production[Current RMS No],MATCH(E508&amp;"",tbl_Production[Job Number],0))),""),IF(H508="Consulting",IFERROR(INDEX(tbl_Consulting[Qwilr Quote],MATCH(E508&amp;"",tbl_Consulting[Job Number],0)),""),""))))</f>
        <v/>
      </c>
      <c r="AC508" s="25">
        <f>IF(AB508="","",IF(AND(LEFT(AB508,4)&lt;&gt;"http",IF(H508="Production",set_RMSBase,set_QwilrBase)=""),"",HYPERLINK(IF(LEFT(AB508,4)="http",AB508,IF(H508="Production",set_RMSBase,set_QwilrBase)&amp;AB508),"Open")))</f>
        <v/>
      </c>
      <c r="AD508" s="27">
        <f>IF(E508="","",IF(H508="Production",IFERROR(INDEX(tbl_Production[Total Expense],MATCH(E508&amp;"",tbl_Production[Job Number],0)),0),IF(H508="Consulting",IFERROR(INDEX(tbl_Consulting[Total Expense],MATCH(E508&amp;"",tbl_Consulting[Job Number],0)),0),0)))</f>
        <v/>
      </c>
      <c r="AE508" s="27">
        <f>IF(E508="","",Y508-N(AD508))</f>
        <v/>
      </c>
      <c r="AF508" s="29">
        <f>IFERROR(AE508/Y508,"")</f>
        <v/>
      </c>
      <c r="AG508" s="2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22" t="n"/>
      <c r="B509" s="23">
        <f>IF(A509="","",EOMONTH(A509,0))</f>
        <v/>
      </c>
      <c r="C509" s="24" t="n"/>
      <c r="D509" s="24" t="n"/>
      <c r="E509" s="24" t="n"/>
      <c r="F509" s="25">
        <f>IF(E509="","",IF(COUNTIF(lst_Jobs,E509&amp;"")&gt;0,"OK","CHECK"))</f>
        <v/>
      </c>
      <c r="G509" s="24" t="n"/>
      <c r="H509" s="24" t="n"/>
      <c r="I509" s="24" t="n"/>
      <c r="J509" s="24" t="n"/>
      <c r="K509" s="24" t="n"/>
      <c r="L509" s="26" t="n"/>
      <c r="M509" s="27">
        <f>IF(L509="","",IF(K509="GST 10%",ROUND(L509*set_GSTRate,2),0))</f>
        <v/>
      </c>
      <c r="N509" s="27">
        <f>IF(L509="","",L509+M509)</f>
        <v/>
      </c>
      <c r="O509" s="24" t="n"/>
      <c r="P509" s="24" t="n"/>
      <c r="Q509" s="24" t="n"/>
      <c r="R509" s="22" t="n"/>
      <c r="S509" s="22" t="n"/>
      <c r="T509" s="24" t="n"/>
      <c r="U509" s="24" t="n"/>
      <c r="V509" s="2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25">
        <f>IF(E509="","",IFERROR(INDEX(lst_JobName,MATCH(E509&amp;"",lst_Jobs,0)),""))</f>
        <v/>
      </c>
      <c r="X509" s="28">
        <f>IF(E509="","",COUNTIFS(tbl_Finance[Job Number],E509&amp;"",tbl_Finance[Ex GST],"&lt;&gt;"))</f>
        <v/>
      </c>
      <c r="Y509" s="27">
        <f>IF(E509="","",SUMIFS(tbl_Finance[Ex GST],tbl_Finance[Job Number],E509&amp;""))</f>
        <v/>
      </c>
      <c r="Z509" s="27">
        <f>IF(E509="","",SUMIFS(tbl_Finance[Ex GST],tbl_Finance[Job Number],E509&amp;"",tbl_Finance[Xero Invoice No],"&lt;&gt;"))</f>
        <v/>
      </c>
      <c r="AA509" s="27">
        <f>IF(E509="","",Y509-Z509)</f>
        <v/>
      </c>
      <c r="AB509" s="25">
        <f>IF(E509="","",IF(H509="Onsite",IFERROR(INDEX(tbl_Onsite[Qwilr Quote],MATCH(E509&amp;"",tbl_Onsite[Job Number],0)),""),IF(H509="Production",IFERROR(IF(INDEX(tbl_Production[Current RMS No],MATCH(E509&amp;"",tbl_Production[Job Number],0))="",INDEX(tbl_Production[Qwilr Quote],MATCH(E509&amp;"",tbl_Production[Job Number],0)),INDEX(tbl_Production[Current RMS No],MATCH(E509&amp;"",tbl_Production[Job Number],0))),""),IF(H509="Consulting",IFERROR(INDEX(tbl_Consulting[Qwilr Quote],MATCH(E509&amp;"",tbl_Consulting[Job Number],0)),""),""))))</f>
        <v/>
      </c>
      <c r="AC509" s="25">
        <f>IF(AB509="","",IF(AND(LEFT(AB509,4)&lt;&gt;"http",IF(H509="Production",set_RMSBase,set_QwilrBase)=""),"",HYPERLINK(IF(LEFT(AB509,4)="http",AB509,IF(H509="Production",set_RMSBase,set_QwilrBase)&amp;AB509),"Open")))</f>
        <v/>
      </c>
      <c r="AD509" s="27">
        <f>IF(E509="","",IF(H509="Production",IFERROR(INDEX(tbl_Production[Total Expense],MATCH(E509&amp;"",tbl_Production[Job Number],0)),0),IF(H509="Consulting",IFERROR(INDEX(tbl_Consulting[Total Expense],MATCH(E509&amp;"",tbl_Consulting[Job Number],0)),0),0)))</f>
        <v/>
      </c>
      <c r="AE509" s="27">
        <f>IF(E509="","",Y509-N(AD509))</f>
        <v/>
      </c>
      <c r="AF509" s="29">
        <f>IFERROR(AE509/Y509,"")</f>
        <v/>
      </c>
      <c r="AG509" s="2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22" t="n"/>
      <c r="B510" s="23">
        <f>IF(A510="","",EOMONTH(A510,0))</f>
        <v/>
      </c>
      <c r="C510" s="24" t="n"/>
      <c r="D510" s="24" t="n"/>
      <c r="E510" s="24" t="n"/>
      <c r="F510" s="25">
        <f>IF(E510="","",IF(COUNTIF(lst_Jobs,E510&amp;"")&gt;0,"OK","CHECK"))</f>
        <v/>
      </c>
      <c r="G510" s="24" t="n"/>
      <c r="H510" s="24" t="n"/>
      <c r="I510" s="24" t="n"/>
      <c r="J510" s="24" t="n"/>
      <c r="K510" s="24" t="n"/>
      <c r="L510" s="26" t="n"/>
      <c r="M510" s="27">
        <f>IF(L510="","",IF(K510="GST 10%",ROUND(L510*set_GSTRate,2),0))</f>
        <v/>
      </c>
      <c r="N510" s="27">
        <f>IF(L510="","",L510+M510)</f>
        <v/>
      </c>
      <c r="O510" s="24" t="n"/>
      <c r="P510" s="24" t="n"/>
      <c r="Q510" s="24" t="n"/>
      <c r="R510" s="22" t="n"/>
      <c r="S510" s="22" t="n"/>
      <c r="T510" s="24" t="n"/>
      <c r="U510" s="24" t="n"/>
      <c r="V510" s="2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25">
        <f>IF(E510="","",IFERROR(INDEX(lst_JobName,MATCH(E510&amp;"",lst_Jobs,0)),""))</f>
        <v/>
      </c>
      <c r="X510" s="28">
        <f>IF(E510="","",COUNTIFS(tbl_Finance[Job Number],E510&amp;"",tbl_Finance[Ex GST],"&lt;&gt;"))</f>
        <v/>
      </c>
      <c r="Y510" s="27">
        <f>IF(E510="","",SUMIFS(tbl_Finance[Ex GST],tbl_Finance[Job Number],E510&amp;""))</f>
        <v/>
      </c>
      <c r="Z510" s="27">
        <f>IF(E510="","",SUMIFS(tbl_Finance[Ex GST],tbl_Finance[Job Number],E510&amp;"",tbl_Finance[Xero Invoice No],"&lt;&gt;"))</f>
        <v/>
      </c>
      <c r="AA510" s="27">
        <f>IF(E510="","",Y510-Z510)</f>
        <v/>
      </c>
      <c r="AB510" s="25">
        <f>IF(E510="","",IF(H510="Onsite",IFERROR(INDEX(tbl_Onsite[Qwilr Quote],MATCH(E510&amp;"",tbl_Onsite[Job Number],0)),""),IF(H510="Production",IFERROR(IF(INDEX(tbl_Production[Current RMS No],MATCH(E510&amp;"",tbl_Production[Job Number],0))="",INDEX(tbl_Production[Qwilr Quote],MATCH(E510&amp;"",tbl_Production[Job Number],0)),INDEX(tbl_Production[Current RMS No],MATCH(E510&amp;"",tbl_Production[Job Number],0))),""),IF(H510="Consulting",IFERROR(INDEX(tbl_Consulting[Qwilr Quote],MATCH(E510&amp;"",tbl_Consulting[Job Number],0)),""),""))))</f>
        <v/>
      </c>
      <c r="AC510" s="25">
        <f>IF(AB510="","",IF(AND(LEFT(AB510,4)&lt;&gt;"http",IF(H510="Production",set_RMSBase,set_QwilrBase)=""),"",HYPERLINK(IF(LEFT(AB510,4)="http",AB510,IF(H510="Production",set_RMSBase,set_QwilrBase)&amp;AB510),"Open")))</f>
        <v/>
      </c>
      <c r="AD510" s="27">
        <f>IF(E510="","",IF(H510="Production",IFERROR(INDEX(tbl_Production[Total Expense],MATCH(E510&amp;"",tbl_Production[Job Number],0)),0),IF(H510="Consulting",IFERROR(INDEX(tbl_Consulting[Total Expense],MATCH(E510&amp;"",tbl_Consulting[Job Number],0)),0),0)))</f>
        <v/>
      </c>
      <c r="AE510" s="27">
        <f>IF(E510="","",Y510-N(AD510))</f>
        <v/>
      </c>
      <c r="AF510" s="29">
        <f>IFERROR(AE510/Y510,"")</f>
        <v/>
      </c>
      <c r="AG510" s="2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22" t="n"/>
      <c r="B511" s="23">
        <f>IF(A511="","",EOMONTH(A511,0))</f>
        <v/>
      </c>
      <c r="C511" s="24" t="n"/>
      <c r="D511" s="24" t="n"/>
      <c r="E511" s="24" t="n"/>
      <c r="F511" s="25">
        <f>IF(E511="","",IF(COUNTIF(lst_Jobs,E511&amp;"")&gt;0,"OK","CHECK"))</f>
        <v/>
      </c>
      <c r="G511" s="24" t="n"/>
      <c r="H511" s="24" t="n"/>
      <c r="I511" s="24" t="n"/>
      <c r="J511" s="24" t="n"/>
      <c r="K511" s="24" t="n"/>
      <c r="L511" s="26" t="n"/>
      <c r="M511" s="27">
        <f>IF(L511="","",IF(K511="GST 10%",ROUND(L511*set_GSTRate,2),0))</f>
        <v/>
      </c>
      <c r="N511" s="27">
        <f>IF(L511="","",L511+M511)</f>
        <v/>
      </c>
      <c r="O511" s="24" t="n"/>
      <c r="P511" s="24" t="n"/>
      <c r="Q511" s="24" t="n"/>
      <c r="R511" s="22" t="n"/>
      <c r="S511" s="22" t="n"/>
      <c r="T511" s="24" t="n"/>
      <c r="U511" s="24" t="n"/>
      <c r="V511" s="2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25">
        <f>IF(E511="","",IFERROR(INDEX(lst_JobName,MATCH(E511&amp;"",lst_Jobs,0)),""))</f>
        <v/>
      </c>
      <c r="X511" s="28">
        <f>IF(E511="","",COUNTIFS(tbl_Finance[Job Number],E511&amp;"",tbl_Finance[Ex GST],"&lt;&gt;"))</f>
        <v/>
      </c>
      <c r="Y511" s="27">
        <f>IF(E511="","",SUMIFS(tbl_Finance[Ex GST],tbl_Finance[Job Number],E511&amp;""))</f>
        <v/>
      </c>
      <c r="Z511" s="27">
        <f>IF(E511="","",SUMIFS(tbl_Finance[Ex GST],tbl_Finance[Job Number],E511&amp;"",tbl_Finance[Xero Invoice No],"&lt;&gt;"))</f>
        <v/>
      </c>
      <c r="AA511" s="27">
        <f>IF(E511="","",Y511-Z511)</f>
        <v/>
      </c>
      <c r="AB511" s="25">
        <f>IF(E511="","",IF(H511="Onsite",IFERROR(INDEX(tbl_Onsite[Qwilr Quote],MATCH(E511&amp;"",tbl_Onsite[Job Number],0)),""),IF(H511="Production",IFERROR(IF(INDEX(tbl_Production[Current RMS No],MATCH(E511&amp;"",tbl_Production[Job Number],0))="",INDEX(tbl_Production[Qwilr Quote],MATCH(E511&amp;"",tbl_Production[Job Number],0)),INDEX(tbl_Production[Current RMS No],MATCH(E511&amp;"",tbl_Production[Job Number],0))),""),IF(H511="Consulting",IFERROR(INDEX(tbl_Consulting[Qwilr Quote],MATCH(E511&amp;"",tbl_Consulting[Job Number],0)),""),""))))</f>
        <v/>
      </c>
      <c r="AC511" s="25">
        <f>IF(AB511="","",IF(AND(LEFT(AB511,4)&lt;&gt;"http",IF(H511="Production",set_RMSBase,set_QwilrBase)=""),"",HYPERLINK(IF(LEFT(AB511,4)="http",AB511,IF(H511="Production",set_RMSBase,set_QwilrBase)&amp;AB511),"Open")))</f>
        <v/>
      </c>
      <c r="AD511" s="27">
        <f>IF(E511="","",IF(H511="Production",IFERROR(INDEX(tbl_Production[Total Expense],MATCH(E511&amp;"",tbl_Production[Job Number],0)),0),IF(H511="Consulting",IFERROR(INDEX(tbl_Consulting[Total Expense],MATCH(E511&amp;"",tbl_Consulting[Job Number],0)),0),0)))</f>
        <v/>
      </c>
      <c r="AE511" s="27">
        <f>IF(E511="","",Y511-N(AD511))</f>
        <v/>
      </c>
      <c r="AF511" s="29">
        <f>IFERROR(AE511/Y511,"")</f>
        <v/>
      </c>
      <c r="AG511" s="2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22" t="n"/>
      <c r="B512" s="23">
        <f>IF(A512="","",EOMONTH(A512,0))</f>
        <v/>
      </c>
      <c r="C512" s="24" t="n"/>
      <c r="D512" s="24" t="n"/>
      <c r="E512" s="24" t="n"/>
      <c r="F512" s="25">
        <f>IF(E512="","",IF(COUNTIF(lst_Jobs,E512&amp;"")&gt;0,"OK","CHECK"))</f>
        <v/>
      </c>
      <c r="G512" s="24" t="n"/>
      <c r="H512" s="24" t="n"/>
      <c r="I512" s="24" t="n"/>
      <c r="J512" s="24" t="n"/>
      <c r="K512" s="24" t="n"/>
      <c r="L512" s="26" t="n"/>
      <c r="M512" s="27">
        <f>IF(L512="","",IF(K512="GST 10%",ROUND(L512*set_GSTRate,2),0))</f>
        <v/>
      </c>
      <c r="N512" s="27">
        <f>IF(L512="","",L512+M512)</f>
        <v/>
      </c>
      <c r="O512" s="24" t="n"/>
      <c r="P512" s="24" t="n"/>
      <c r="Q512" s="24" t="n"/>
      <c r="R512" s="22" t="n"/>
      <c r="S512" s="22" t="n"/>
      <c r="T512" s="24" t="n"/>
      <c r="U512" s="24" t="n"/>
      <c r="V512" s="2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25">
        <f>IF(E512="","",IFERROR(INDEX(lst_JobName,MATCH(E512&amp;"",lst_Jobs,0)),""))</f>
        <v/>
      </c>
      <c r="X512" s="28">
        <f>IF(E512="","",COUNTIFS(tbl_Finance[Job Number],E512&amp;"",tbl_Finance[Ex GST],"&lt;&gt;"))</f>
        <v/>
      </c>
      <c r="Y512" s="27">
        <f>IF(E512="","",SUMIFS(tbl_Finance[Ex GST],tbl_Finance[Job Number],E512&amp;""))</f>
        <v/>
      </c>
      <c r="Z512" s="27">
        <f>IF(E512="","",SUMIFS(tbl_Finance[Ex GST],tbl_Finance[Job Number],E512&amp;"",tbl_Finance[Xero Invoice No],"&lt;&gt;"))</f>
        <v/>
      </c>
      <c r="AA512" s="27">
        <f>IF(E512="","",Y512-Z512)</f>
        <v/>
      </c>
      <c r="AB512" s="25">
        <f>IF(E512="","",IF(H512="Onsite",IFERROR(INDEX(tbl_Onsite[Qwilr Quote],MATCH(E512&amp;"",tbl_Onsite[Job Number],0)),""),IF(H512="Production",IFERROR(IF(INDEX(tbl_Production[Current RMS No],MATCH(E512&amp;"",tbl_Production[Job Number],0))="",INDEX(tbl_Production[Qwilr Quote],MATCH(E512&amp;"",tbl_Production[Job Number],0)),INDEX(tbl_Production[Current RMS No],MATCH(E512&amp;"",tbl_Production[Job Number],0))),""),IF(H512="Consulting",IFERROR(INDEX(tbl_Consulting[Qwilr Quote],MATCH(E512&amp;"",tbl_Consulting[Job Number],0)),""),""))))</f>
        <v/>
      </c>
      <c r="AC512" s="25">
        <f>IF(AB512="","",IF(AND(LEFT(AB512,4)&lt;&gt;"http",IF(H512="Production",set_RMSBase,set_QwilrBase)=""),"",HYPERLINK(IF(LEFT(AB512,4)="http",AB512,IF(H512="Production",set_RMSBase,set_QwilrBase)&amp;AB512),"Open")))</f>
        <v/>
      </c>
      <c r="AD512" s="27">
        <f>IF(E512="","",IF(H512="Production",IFERROR(INDEX(tbl_Production[Total Expense],MATCH(E512&amp;"",tbl_Production[Job Number],0)),0),IF(H512="Consulting",IFERROR(INDEX(tbl_Consulting[Total Expense],MATCH(E512&amp;"",tbl_Consulting[Job Number],0)),0),0)))</f>
        <v/>
      </c>
      <c r="AE512" s="27">
        <f>IF(E512="","",Y512-N(AD512))</f>
        <v/>
      </c>
      <c r="AF512" s="29">
        <f>IFERROR(AE512/Y512,"")</f>
        <v/>
      </c>
      <c r="AG512" s="2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22" t="n"/>
      <c r="B513" s="23">
        <f>IF(A513="","",EOMONTH(A513,0))</f>
        <v/>
      </c>
      <c r="C513" s="24" t="n"/>
      <c r="D513" s="24" t="n"/>
      <c r="E513" s="24" t="n"/>
      <c r="F513" s="25">
        <f>IF(E513="","",IF(COUNTIF(lst_Jobs,E513&amp;"")&gt;0,"OK","CHECK"))</f>
        <v/>
      </c>
      <c r="G513" s="24" t="n"/>
      <c r="H513" s="24" t="n"/>
      <c r="I513" s="24" t="n"/>
      <c r="J513" s="24" t="n"/>
      <c r="K513" s="24" t="n"/>
      <c r="L513" s="26" t="n"/>
      <c r="M513" s="27">
        <f>IF(L513="","",IF(K513="GST 10%",ROUND(L513*set_GSTRate,2),0))</f>
        <v/>
      </c>
      <c r="N513" s="27">
        <f>IF(L513="","",L513+M513)</f>
        <v/>
      </c>
      <c r="O513" s="24" t="n"/>
      <c r="P513" s="24" t="n"/>
      <c r="Q513" s="24" t="n"/>
      <c r="R513" s="22" t="n"/>
      <c r="S513" s="22" t="n"/>
      <c r="T513" s="24" t="n"/>
      <c r="U513" s="24" t="n"/>
      <c r="V513" s="2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25">
        <f>IF(E513="","",IFERROR(INDEX(lst_JobName,MATCH(E513&amp;"",lst_Jobs,0)),""))</f>
        <v/>
      </c>
      <c r="X513" s="28">
        <f>IF(E513="","",COUNTIFS(tbl_Finance[Job Number],E513&amp;"",tbl_Finance[Ex GST],"&lt;&gt;"))</f>
        <v/>
      </c>
      <c r="Y513" s="27">
        <f>IF(E513="","",SUMIFS(tbl_Finance[Ex GST],tbl_Finance[Job Number],E513&amp;""))</f>
        <v/>
      </c>
      <c r="Z513" s="27">
        <f>IF(E513="","",SUMIFS(tbl_Finance[Ex GST],tbl_Finance[Job Number],E513&amp;"",tbl_Finance[Xero Invoice No],"&lt;&gt;"))</f>
        <v/>
      </c>
      <c r="AA513" s="27">
        <f>IF(E513="","",Y513-Z513)</f>
        <v/>
      </c>
      <c r="AB513" s="25">
        <f>IF(E513="","",IF(H513="Onsite",IFERROR(INDEX(tbl_Onsite[Qwilr Quote],MATCH(E513&amp;"",tbl_Onsite[Job Number],0)),""),IF(H513="Production",IFERROR(IF(INDEX(tbl_Production[Current RMS No],MATCH(E513&amp;"",tbl_Production[Job Number],0))="",INDEX(tbl_Production[Qwilr Quote],MATCH(E513&amp;"",tbl_Production[Job Number],0)),INDEX(tbl_Production[Current RMS No],MATCH(E513&amp;"",tbl_Production[Job Number],0))),""),IF(H513="Consulting",IFERROR(INDEX(tbl_Consulting[Qwilr Quote],MATCH(E513&amp;"",tbl_Consulting[Job Number],0)),""),""))))</f>
        <v/>
      </c>
      <c r="AC513" s="25">
        <f>IF(AB513="","",IF(AND(LEFT(AB513,4)&lt;&gt;"http",IF(H513="Production",set_RMSBase,set_QwilrBase)=""),"",HYPERLINK(IF(LEFT(AB513,4)="http",AB513,IF(H513="Production",set_RMSBase,set_QwilrBase)&amp;AB513),"Open")))</f>
        <v/>
      </c>
      <c r="AD513" s="27">
        <f>IF(E513="","",IF(H513="Production",IFERROR(INDEX(tbl_Production[Total Expense],MATCH(E513&amp;"",tbl_Production[Job Number],0)),0),IF(H513="Consulting",IFERROR(INDEX(tbl_Consulting[Total Expense],MATCH(E513&amp;"",tbl_Consulting[Job Number],0)),0),0)))</f>
        <v/>
      </c>
      <c r="AE513" s="27">
        <f>IF(E513="","",Y513-N(AD513))</f>
        <v/>
      </c>
      <c r="AF513" s="29">
        <f>IFERROR(AE513/Y513,"")</f>
        <v/>
      </c>
      <c r="AG513" s="2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22" t="n"/>
      <c r="B514" s="23">
        <f>IF(A514="","",EOMONTH(A514,0))</f>
        <v/>
      </c>
      <c r="C514" s="24" t="n"/>
      <c r="D514" s="24" t="n"/>
      <c r="E514" s="24" t="n"/>
      <c r="F514" s="25">
        <f>IF(E514="","",IF(COUNTIF(lst_Jobs,E514&amp;"")&gt;0,"OK","CHECK"))</f>
        <v/>
      </c>
      <c r="G514" s="24" t="n"/>
      <c r="H514" s="24" t="n"/>
      <c r="I514" s="24" t="n"/>
      <c r="J514" s="24" t="n"/>
      <c r="K514" s="24" t="n"/>
      <c r="L514" s="26" t="n"/>
      <c r="M514" s="27">
        <f>IF(L514="","",IF(K514="GST 10%",ROUND(L514*set_GSTRate,2),0))</f>
        <v/>
      </c>
      <c r="N514" s="27">
        <f>IF(L514="","",L514+M514)</f>
        <v/>
      </c>
      <c r="O514" s="24" t="n"/>
      <c r="P514" s="24" t="n"/>
      <c r="Q514" s="24" t="n"/>
      <c r="R514" s="22" t="n"/>
      <c r="S514" s="22" t="n"/>
      <c r="T514" s="24" t="n"/>
      <c r="U514" s="24" t="n"/>
      <c r="V514" s="2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25">
        <f>IF(E514="","",IFERROR(INDEX(lst_JobName,MATCH(E514&amp;"",lst_Jobs,0)),""))</f>
        <v/>
      </c>
      <c r="X514" s="28">
        <f>IF(E514="","",COUNTIFS(tbl_Finance[Job Number],E514&amp;"",tbl_Finance[Ex GST],"&lt;&gt;"))</f>
        <v/>
      </c>
      <c r="Y514" s="27">
        <f>IF(E514="","",SUMIFS(tbl_Finance[Ex GST],tbl_Finance[Job Number],E514&amp;""))</f>
        <v/>
      </c>
      <c r="Z514" s="27">
        <f>IF(E514="","",SUMIFS(tbl_Finance[Ex GST],tbl_Finance[Job Number],E514&amp;"",tbl_Finance[Xero Invoice No],"&lt;&gt;"))</f>
        <v/>
      </c>
      <c r="AA514" s="27">
        <f>IF(E514="","",Y514-Z514)</f>
        <v/>
      </c>
      <c r="AB514" s="25">
        <f>IF(E514="","",IF(H514="Onsite",IFERROR(INDEX(tbl_Onsite[Qwilr Quote],MATCH(E514&amp;"",tbl_Onsite[Job Number],0)),""),IF(H514="Production",IFERROR(IF(INDEX(tbl_Production[Current RMS No],MATCH(E514&amp;"",tbl_Production[Job Number],0))="",INDEX(tbl_Production[Qwilr Quote],MATCH(E514&amp;"",tbl_Production[Job Number],0)),INDEX(tbl_Production[Current RMS No],MATCH(E514&amp;"",tbl_Production[Job Number],0))),""),IF(H514="Consulting",IFERROR(INDEX(tbl_Consulting[Qwilr Quote],MATCH(E514&amp;"",tbl_Consulting[Job Number],0)),""),""))))</f>
        <v/>
      </c>
      <c r="AC514" s="25">
        <f>IF(AB514="","",IF(AND(LEFT(AB514,4)&lt;&gt;"http",IF(H514="Production",set_RMSBase,set_QwilrBase)=""),"",HYPERLINK(IF(LEFT(AB514,4)="http",AB514,IF(H514="Production",set_RMSBase,set_QwilrBase)&amp;AB514),"Open")))</f>
        <v/>
      </c>
      <c r="AD514" s="27">
        <f>IF(E514="","",IF(H514="Production",IFERROR(INDEX(tbl_Production[Total Expense],MATCH(E514&amp;"",tbl_Production[Job Number],0)),0),IF(H514="Consulting",IFERROR(INDEX(tbl_Consulting[Total Expense],MATCH(E514&amp;"",tbl_Consulting[Job Number],0)),0),0)))</f>
        <v/>
      </c>
      <c r="AE514" s="27">
        <f>IF(E514="","",Y514-N(AD514))</f>
        <v/>
      </c>
      <c r="AF514" s="29">
        <f>IFERROR(AE514/Y514,"")</f>
        <v/>
      </c>
      <c r="AG514" s="2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22" t="n"/>
      <c r="B515" s="23">
        <f>IF(A515="","",EOMONTH(A515,0))</f>
        <v/>
      </c>
      <c r="C515" s="24" t="n"/>
      <c r="D515" s="24" t="n"/>
      <c r="E515" s="24" t="n"/>
      <c r="F515" s="25">
        <f>IF(E515="","",IF(COUNTIF(lst_Jobs,E515&amp;"")&gt;0,"OK","CHECK"))</f>
        <v/>
      </c>
      <c r="G515" s="24" t="n"/>
      <c r="H515" s="24" t="n"/>
      <c r="I515" s="24" t="n"/>
      <c r="J515" s="24" t="n"/>
      <c r="K515" s="24" t="n"/>
      <c r="L515" s="26" t="n"/>
      <c r="M515" s="27">
        <f>IF(L515="","",IF(K515="GST 10%",ROUND(L515*set_GSTRate,2),0))</f>
        <v/>
      </c>
      <c r="N515" s="27">
        <f>IF(L515="","",L515+M515)</f>
        <v/>
      </c>
      <c r="O515" s="24" t="n"/>
      <c r="P515" s="24" t="n"/>
      <c r="Q515" s="24" t="n"/>
      <c r="R515" s="22" t="n"/>
      <c r="S515" s="22" t="n"/>
      <c r="T515" s="24" t="n"/>
      <c r="U515" s="24" t="n"/>
      <c r="V515" s="2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25">
        <f>IF(E515="","",IFERROR(INDEX(lst_JobName,MATCH(E515&amp;"",lst_Jobs,0)),""))</f>
        <v/>
      </c>
      <c r="X515" s="28">
        <f>IF(E515="","",COUNTIFS(tbl_Finance[Job Number],E515&amp;"",tbl_Finance[Ex GST],"&lt;&gt;"))</f>
        <v/>
      </c>
      <c r="Y515" s="27">
        <f>IF(E515="","",SUMIFS(tbl_Finance[Ex GST],tbl_Finance[Job Number],E515&amp;""))</f>
        <v/>
      </c>
      <c r="Z515" s="27">
        <f>IF(E515="","",SUMIFS(tbl_Finance[Ex GST],tbl_Finance[Job Number],E515&amp;"",tbl_Finance[Xero Invoice No],"&lt;&gt;"))</f>
        <v/>
      </c>
      <c r="AA515" s="27">
        <f>IF(E515="","",Y515-Z515)</f>
        <v/>
      </c>
      <c r="AB515" s="25">
        <f>IF(E515="","",IF(H515="Onsite",IFERROR(INDEX(tbl_Onsite[Qwilr Quote],MATCH(E515&amp;"",tbl_Onsite[Job Number],0)),""),IF(H515="Production",IFERROR(IF(INDEX(tbl_Production[Current RMS No],MATCH(E515&amp;"",tbl_Production[Job Number],0))="",INDEX(tbl_Production[Qwilr Quote],MATCH(E515&amp;"",tbl_Production[Job Number],0)),INDEX(tbl_Production[Current RMS No],MATCH(E515&amp;"",tbl_Production[Job Number],0))),""),IF(H515="Consulting",IFERROR(INDEX(tbl_Consulting[Qwilr Quote],MATCH(E515&amp;"",tbl_Consulting[Job Number],0)),""),""))))</f>
        <v/>
      </c>
      <c r="AC515" s="25">
        <f>IF(AB515="","",IF(AND(LEFT(AB515,4)&lt;&gt;"http",IF(H515="Production",set_RMSBase,set_QwilrBase)=""),"",HYPERLINK(IF(LEFT(AB515,4)="http",AB515,IF(H515="Production",set_RMSBase,set_QwilrBase)&amp;AB515),"Open")))</f>
        <v/>
      </c>
      <c r="AD515" s="27">
        <f>IF(E515="","",IF(H515="Production",IFERROR(INDEX(tbl_Production[Total Expense],MATCH(E515&amp;"",tbl_Production[Job Number],0)),0),IF(H515="Consulting",IFERROR(INDEX(tbl_Consulting[Total Expense],MATCH(E515&amp;"",tbl_Consulting[Job Number],0)),0),0)))</f>
        <v/>
      </c>
      <c r="AE515" s="27">
        <f>IF(E515="","",Y515-N(AD515))</f>
        <v/>
      </c>
      <c r="AF515" s="29">
        <f>IFERROR(AE515/Y515,"")</f>
        <v/>
      </c>
      <c r="AG515" s="2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22" t="n"/>
      <c r="B516" s="23">
        <f>IF(A516="","",EOMONTH(A516,0))</f>
        <v/>
      </c>
      <c r="C516" s="24" t="n"/>
      <c r="D516" s="24" t="n"/>
      <c r="E516" s="24" t="n"/>
      <c r="F516" s="25">
        <f>IF(E516="","",IF(COUNTIF(lst_Jobs,E516&amp;"")&gt;0,"OK","CHECK"))</f>
        <v/>
      </c>
      <c r="G516" s="24" t="n"/>
      <c r="H516" s="24" t="n"/>
      <c r="I516" s="24" t="n"/>
      <c r="J516" s="24" t="n"/>
      <c r="K516" s="24" t="n"/>
      <c r="L516" s="26" t="n"/>
      <c r="M516" s="27">
        <f>IF(L516="","",IF(K516="GST 10%",ROUND(L516*set_GSTRate,2),0))</f>
        <v/>
      </c>
      <c r="N516" s="27">
        <f>IF(L516="","",L516+M516)</f>
        <v/>
      </c>
      <c r="O516" s="24" t="n"/>
      <c r="P516" s="24" t="n"/>
      <c r="Q516" s="24" t="n"/>
      <c r="R516" s="22" t="n"/>
      <c r="S516" s="22" t="n"/>
      <c r="T516" s="24" t="n"/>
      <c r="U516" s="24" t="n"/>
      <c r="V516" s="2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25">
        <f>IF(E516="","",IFERROR(INDEX(lst_JobName,MATCH(E516&amp;"",lst_Jobs,0)),""))</f>
        <v/>
      </c>
      <c r="X516" s="28">
        <f>IF(E516="","",COUNTIFS(tbl_Finance[Job Number],E516&amp;"",tbl_Finance[Ex GST],"&lt;&gt;"))</f>
        <v/>
      </c>
      <c r="Y516" s="27">
        <f>IF(E516="","",SUMIFS(tbl_Finance[Ex GST],tbl_Finance[Job Number],E516&amp;""))</f>
        <v/>
      </c>
      <c r="Z516" s="27">
        <f>IF(E516="","",SUMIFS(tbl_Finance[Ex GST],tbl_Finance[Job Number],E516&amp;"",tbl_Finance[Xero Invoice No],"&lt;&gt;"))</f>
        <v/>
      </c>
      <c r="AA516" s="27">
        <f>IF(E516="","",Y516-Z516)</f>
        <v/>
      </c>
      <c r="AB516" s="25">
        <f>IF(E516="","",IF(H516="Onsite",IFERROR(INDEX(tbl_Onsite[Qwilr Quote],MATCH(E516&amp;"",tbl_Onsite[Job Number],0)),""),IF(H516="Production",IFERROR(IF(INDEX(tbl_Production[Current RMS No],MATCH(E516&amp;"",tbl_Production[Job Number],0))="",INDEX(tbl_Production[Qwilr Quote],MATCH(E516&amp;"",tbl_Production[Job Number],0)),INDEX(tbl_Production[Current RMS No],MATCH(E516&amp;"",tbl_Production[Job Number],0))),""),IF(H516="Consulting",IFERROR(INDEX(tbl_Consulting[Qwilr Quote],MATCH(E516&amp;"",tbl_Consulting[Job Number],0)),""),""))))</f>
        <v/>
      </c>
      <c r="AC516" s="25">
        <f>IF(AB516="","",IF(AND(LEFT(AB516,4)&lt;&gt;"http",IF(H516="Production",set_RMSBase,set_QwilrBase)=""),"",HYPERLINK(IF(LEFT(AB516,4)="http",AB516,IF(H516="Production",set_RMSBase,set_QwilrBase)&amp;AB516),"Open")))</f>
        <v/>
      </c>
      <c r="AD516" s="27">
        <f>IF(E516="","",IF(H516="Production",IFERROR(INDEX(tbl_Production[Total Expense],MATCH(E516&amp;"",tbl_Production[Job Number],0)),0),IF(H516="Consulting",IFERROR(INDEX(tbl_Consulting[Total Expense],MATCH(E516&amp;"",tbl_Consulting[Job Number],0)),0),0)))</f>
        <v/>
      </c>
      <c r="AE516" s="27">
        <f>IF(E516="","",Y516-N(AD516))</f>
        <v/>
      </c>
      <c r="AF516" s="29">
        <f>IFERROR(AE516/Y516,"")</f>
        <v/>
      </c>
      <c r="AG516" s="2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22" t="n"/>
      <c r="B517" s="23">
        <f>IF(A517="","",EOMONTH(A517,0))</f>
        <v/>
      </c>
      <c r="C517" s="24" t="n"/>
      <c r="D517" s="24" t="n"/>
      <c r="E517" s="24" t="n"/>
      <c r="F517" s="25">
        <f>IF(E517="","",IF(COUNTIF(lst_Jobs,E517&amp;"")&gt;0,"OK","CHECK"))</f>
        <v/>
      </c>
      <c r="G517" s="24" t="n"/>
      <c r="H517" s="24" t="n"/>
      <c r="I517" s="24" t="n"/>
      <c r="J517" s="24" t="n"/>
      <c r="K517" s="24" t="n"/>
      <c r="L517" s="26" t="n"/>
      <c r="M517" s="27">
        <f>IF(L517="","",IF(K517="GST 10%",ROUND(L517*set_GSTRate,2),0))</f>
        <v/>
      </c>
      <c r="N517" s="27">
        <f>IF(L517="","",L517+M517)</f>
        <v/>
      </c>
      <c r="O517" s="24" t="n"/>
      <c r="P517" s="24" t="n"/>
      <c r="Q517" s="24" t="n"/>
      <c r="R517" s="22" t="n"/>
      <c r="S517" s="22" t="n"/>
      <c r="T517" s="24" t="n"/>
      <c r="U517" s="24" t="n"/>
      <c r="V517" s="2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25">
        <f>IF(E517="","",IFERROR(INDEX(lst_JobName,MATCH(E517&amp;"",lst_Jobs,0)),""))</f>
        <v/>
      </c>
      <c r="X517" s="28">
        <f>IF(E517="","",COUNTIFS(tbl_Finance[Job Number],E517&amp;"",tbl_Finance[Ex GST],"&lt;&gt;"))</f>
        <v/>
      </c>
      <c r="Y517" s="27">
        <f>IF(E517="","",SUMIFS(tbl_Finance[Ex GST],tbl_Finance[Job Number],E517&amp;""))</f>
        <v/>
      </c>
      <c r="Z517" s="27">
        <f>IF(E517="","",SUMIFS(tbl_Finance[Ex GST],tbl_Finance[Job Number],E517&amp;"",tbl_Finance[Xero Invoice No],"&lt;&gt;"))</f>
        <v/>
      </c>
      <c r="AA517" s="27">
        <f>IF(E517="","",Y517-Z517)</f>
        <v/>
      </c>
      <c r="AB517" s="25">
        <f>IF(E517="","",IF(H517="Onsite",IFERROR(INDEX(tbl_Onsite[Qwilr Quote],MATCH(E517&amp;"",tbl_Onsite[Job Number],0)),""),IF(H517="Production",IFERROR(IF(INDEX(tbl_Production[Current RMS No],MATCH(E517&amp;"",tbl_Production[Job Number],0))="",INDEX(tbl_Production[Qwilr Quote],MATCH(E517&amp;"",tbl_Production[Job Number],0)),INDEX(tbl_Production[Current RMS No],MATCH(E517&amp;"",tbl_Production[Job Number],0))),""),IF(H517="Consulting",IFERROR(INDEX(tbl_Consulting[Qwilr Quote],MATCH(E517&amp;"",tbl_Consulting[Job Number],0)),""),""))))</f>
        <v/>
      </c>
      <c r="AC517" s="25">
        <f>IF(AB517="","",IF(AND(LEFT(AB517,4)&lt;&gt;"http",IF(H517="Production",set_RMSBase,set_QwilrBase)=""),"",HYPERLINK(IF(LEFT(AB517,4)="http",AB517,IF(H517="Production",set_RMSBase,set_QwilrBase)&amp;AB517),"Open")))</f>
        <v/>
      </c>
      <c r="AD517" s="27">
        <f>IF(E517="","",IF(H517="Production",IFERROR(INDEX(tbl_Production[Total Expense],MATCH(E517&amp;"",tbl_Production[Job Number],0)),0),IF(H517="Consulting",IFERROR(INDEX(tbl_Consulting[Total Expense],MATCH(E517&amp;"",tbl_Consulting[Job Number],0)),0),0)))</f>
        <v/>
      </c>
      <c r="AE517" s="27">
        <f>IF(E517="","",Y517-N(AD517))</f>
        <v/>
      </c>
      <c r="AF517" s="29">
        <f>IFERROR(AE517/Y517,"")</f>
        <v/>
      </c>
      <c r="AG517" s="2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22" t="n"/>
      <c r="B518" s="23">
        <f>IF(A518="","",EOMONTH(A518,0))</f>
        <v/>
      </c>
      <c r="C518" s="24" t="n"/>
      <c r="D518" s="24" t="n"/>
      <c r="E518" s="24" t="n"/>
      <c r="F518" s="25">
        <f>IF(E518="","",IF(COUNTIF(lst_Jobs,E518&amp;"")&gt;0,"OK","CHECK"))</f>
        <v/>
      </c>
      <c r="G518" s="24" t="n"/>
      <c r="H518" s="24" t="n"/>
      <c r="I518" s="24" t="n"/>
      <c r="J518" s="24" t="n"/>
      <c r="K518" s="24" t="n"/>
      <c r="L518" s="26" t="n"/>
      <c r="M518" s="27">
        <f>IF(L518="","",IF(K518="GST 10%",ROUND(L518*set_GSTRate,2),0))</f>
        <v/>
      </c>
      <c r="N518" s="27">
        <f>IF(L518="","",L518+M518)</f>
        <v/>
      </c>
      <c r="O518" s="24" t="n"/>
      <c r="P518" s="24" t="n"/>
      <c r="Q518" s="24" t="n"/>
      <c r="R518" s="22" t="n"/>
      <c r="S518" s="22" t="n"/>
      <c r="T518" s="24" t="n"/>
      <c r="U518" s="24" t="n"/>
      <c r="V518" s="2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25">
        <f>IF(E518="","",IFERROR(INDEX(lst_JobName,MATCH(E518&amp;"",lst_Jobs,0)),""))</f>
        <v/>
      </c>
      <c r="X518" s="28">
        <f>IF(E518="","",COUNTIFS(tbl_Finance[Job Number],E518&amp;"",tbl_Finance[Ex GST],"&lt;&gt;"))</f>
        <v/>
      </c>
      <c r="Y518" s="27">
        <f>IF(E518="","",SUMIFS(tbl_Finance[Ex GST],tbl_Finance[Job Number],E518&amp;""))</f>
        <v/>
      </c>
      <c r="Z518" s="27">
        <f>IF(E518="","",SUMIFS(tbl_Finance[Ex GST],tbl_Finance[Job Number],E518&amp;"",tbl_Finance[Xero Invoice No],"&lt;&gt;"))</f>
        <v/>
      </c>
      <c r="AA518" s="27">
        <f>IF(E518="","",Y518-Z518)</f>
        <v/>
      </c>
      <c r="AB518" s="25">
        <f>IF(E518="","",IF(H518="Onsite",IFERROR(INDEX(tbl_Onsite[Qwilr Quote],MATCH(E518&amp;"",tbl_Onsite[Job Number],0)),""),IF(H518="Production",IFERROR(IF(INDEX(tbl_Production[Current RMS No],MATCH(E518&amp;"",tbl_Production[Job Number],0))="",INDEX(tbl_Production[Qwilr Quote],MATCH(E518&amp;"",tbl_Production[Job Number],0)),INDEX(tbl_Production[Current RMS No],MATCH(E518&amp;"",tbl_Production[Job Number],0))),""),IF(H518="Consulting",IFERROR(INDEX(tbl_Consulting[Qwilr Quote],MATCH(E518&amp;"",tbl_Consulting[Job Number],0)),""),""))))</f>
        <v/>
      </c>
      <c r="AC518" s="25">
        <f>IF(AB518="","",IF(AND(LEFT(AB518,4)&lt;&gt;"http",IF(H518="Production",set_RMSBase,set_QwilrBase)=""),"",HYPERLINK(IF(LEFT(AB518,4)="http",AB518,IF(H518="Production",set_RMSBase,set_QwilrBase)&amp;AB518),"Open")))</f>
        <v/>
      </c>
      <c r="AD518" s="27">
        <f>IF(E518="","",IF(H518="Production",IFERROR(INDEX(tbl_Production[Total Expense],MATCH(E518&amp;"",tbl_Production[Job Number],0)),0),IF(H518="Consulting",IFERROR(INDEX(tbl_Consulting[Total Expense],MATCH(E518&amp;"",tbl_Consulting[Job Number],0)),0),0)))</f>
        <v/>
      </c>
      <c r="AE518" s="27">
        <f>IF(E518="","",Y518-N(AD518))</f>
        <v/>
      </c>
      <c r="AF518" s="29">
        <f>IFERROR(AE518/Y518,"")</f>
        <v/>
      </c>
      <c r="AG518" s="2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22" t="n"/>
      <c r="B519" s="23">
        <f>IF(A519="","",EOMONTH(A519,0))</f>
        <v/>
      </c>
      <c r="C519" s="24" t="n"/>
      <c r="D519" s="24" t="n"/>
      <c r="E519" s="24" t="n"/>
      <c r="F519" s="25">
        <f>IF(E519="","",IF(COUNTIF(lst_Jobs,E519&amp;"")&gt;0,"OK","CHECK"))</f>
        <v/>
      </c>
      <c r="G519" s="24" t="n"/>
      <c r="H519" s="24" t="n"/>
      <c r="I519" s="24" t="n"/>
      <c r="J519" s="24" t="n"/>
      <c r="K519" s="24" t="n"/>
      <c r="L519" s="26" t="n"/>
      <c r="M519" s="27">
        <f>IF(L519="","",IF(K519="GST 10%",ROUND(L519*set_GSTRate,2),0))</f>
        <v/>
      </c>
      <c r="N519" s="27">
        <f>IF(L519="","",L519+M519)</f>
        <v/>
      </c>
      <c r="O519" s="24" t="n"/>
      <c r="P519" s="24" t="n"/>
      <c r="Q519" s="24" t="n"/>
      <c r="R519" s="22" t="n"/>
      <c r="S519" s="22" t="n"/>
      <c r="T519" s="24" t="n"/>
      <c r="U519" s="24" t="n"/>
      <c r="V519" s="2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25">
        <f>IF(E519="","",IFERROR(INDEX(lst_JobName,MATCH(E519&amp;"",lst_Jobs,0)),""))</f>
        <v/>
      </c>
      <c r="X519" s="28">
        <f>IF(E519="","",COUNTIFS(tbl_Finance[Job Number],E519&amp;"",tbl_Finance[Ex GST],"&lt;&gt;"))</f>
        <v/>
      </c>
      <c r="Y519" s="27">
        <f>IF(E519="","",SUMIFS(tbl_Finance[Ex GST],tbl_Finance[Job Number],E519&amp;""))</f>
        <v/>
      </c>
      <c r="Z519" s="27">
        <f>IF(E519="","",SUMIFS(tbl_Finance[Ex GST],tbl_Finance[Job Number],E519&amp;"",tbl_Finance[Xero Invoice No],"&lt;&gt;"))</f>
        <v/>
      </c>
      <c r="AA519" s="27">
        <f>IF(E519="","",Y519-Z519)</f>
        <v/>
      </c>
      <c r="AB519" s="25">
        <f>IF(E519="","",IF(H519="Onsite",IFERROR(INDEX(tbl_Onsite[Qwilr Quote],MATCH(E519&amp;"",tbl_Onsite[Job Number],0)),""),IF(H519="Production",IFERROR(IF(INDEX(tbl_Production[Current RMS No],MATCH(E519&amp;"",tbl_Production[Job Number],0))="",INDEX(tbl_Production[Qwilr Quote],MATCH(E519&amp;"",tbl_Production[Job Number],0)),INDEX(tbl_Production[Current RMS No],MATCH(E519&amp;"",tbl_Production[Job Number],0))),""),IF(H519="Consulting",IFERROR(INDEX(tbl_Consulting[Qwilr Quote],MATCH(E519&amp;"",tbl_Consulting[Job Number],0)),""),""))))</f>
        <v/>
      </c>
      <c r="AC519" s="25">
        <f>IF(AB519="","",IF(AND(LEFT(AB519,4)&lt;&gt;"http",IF(H519="Production",set_RMSBase,set_QwilrBase)=""),"",HYPERLINK(IF(LEFT(AB519,4)="http",AB519,IF(H519="Production",set_RMSBase,set_QwilrBase)&amp;AB519),"Open")))</f>
        <v/>
      </c>
      <c r="AD519" s="27">
        <f>IF(E519="","",IF(H519="Production",IFERROR(INDEX(tbl_Production[Total Expense],MATCH(E519&amp;"",tbl_Production[Job Number],0)),0),IF(H519="Consulting",IFERROR(INDEX(tbl_Consulting[Total Expense],MATCH(E519&amp;"",tbl_Consulting[Job Number],0)),0),0)))</f>
        <v/>
      </c>
      <c r="AE519" s="27">
        <f>IF(E519="","",Y519-N(AD519))</f>
        <v/>
      </c>
      <c r="AF519" s="29">
        <f>IFERROR(AE519/Y519,"")</f>
        <v/>
      </c>
      <c r="AG519" s="2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22" t="n"/>
      <c r="B520" s="23">
        <f>IF(A520="","",EOMONTH(A520,0))</f>
        <v/>
      </c>
      <c r="C520" s="24" t="n"/>
      <c r="D520" s="24" t="n"/>
      <c r="E520" s="24" t="n"/>
      <c r="F520" s="25">
        <f>IF(E520="","",IF(COUNTIF(lst_Jobs,E520&amp;"")&gt;0,"OK","CHECK"))</f>
        <v/>
      </c>
      <c r="G520" s="24" t="n"/>
      <c r="H520" s="24" t="n"/>
      <c r="I520" s="24" t="n"/>
      <c r="J520" s="24" t="n"/>
      <c r="K520" s="24" t="n"/>
      <c r="L520" s="26" t="n"/>
      <c r="M520" s="27">
        <f>IF(L520="","",IF(K520="GST 10%",ROUND(L520*set_GSTRate,2),0))</f>
        <v/>
      </c>
      <c r="N520" s="27">
        <f>IF(L520="","",L520+M520)</f>
        <v/>
      </c>
      <c r="O520" s="24" t="n"/>
      <c r="P520" s="24" t="n"/>
      <c r="Q520" s="24" t="n"/>
      <c r="R520" s="22" t="n"/>
      <c r="S520" s="22" t="n"/>
      <c r="T520" s="24" t="n"/>
      <c r="U520" s="24" t="n"/>
      <c r="V520" s="2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25">
        <f>IF(E520="","",IFERROR(INDEX(lst_JobName,MATCH(E520&amp;"",lst_Jobs,0)),""))</f>
        <v/>
      </c>
      <c r="X520" s="28">
        <f>IF(E520="","",COUNTIFS(tbl_Finance[Job Number],E520&amp;"",tbl_Finance[Ex GST],"&lt;&gt;"))</f>
        <v/>
      </c>
      <c r="Y520" s="27">
        <f>IF(E520="","",SUMIFS(tbl_Finance[Ex GST],tbl_Finance[Job Number],E520&amp;""))</f>
        <v/>
      </c>
      <c r="Z520" s="27">
        <f>IF(E520="","",SUMIFS(tbl_Finance[Ex GST],tbl_Finance[Job Number],E520&amp;"",tbl_Finance[Xero Invoice No],"&lt;&gt;"))</f>
        <v/>
      </c>
      <c r="AA520" s="27">
        <f>IF(E520="","",Y520-Z520)</f>
        <v/>
      </c>
      <c r="AB520" s="25">
        <f>IF(E520="","",IF(H520="Onsite",IFERROR(INDEX(tbl_Onsite[Qwilr Quote],MATCH(E520&amp;"",tbl_Onsite[Job Number],0)),""),IF(H520="Production",IFERROR(IF(INDEX(tbl_Production[Current RMS No],MATCH(E520&amp;"",tbl_Production[Job Number],0))="",INDEX(tbl_Production[Qwilr Quote],MATCH(E520&amp;"",tbl_Production[Job Number],0)),INDEX(tbl_Production[Current RMS No],MATCH(E520&amp;"",tbl_Production[Job Number],0))),""),IF(H520="Consulting",IFERROR(INDEX(tbl_Consulting[Qwilr Quote],MATCH(E520&amp;"",tbl_Consulting[Job Number],0)),""),""))))</f>
        <v/>
      </c>
      <c r="AC520" s="25">
        <f>IF(AB520="","",IF(AND(LEFT(AB520,4)&lt;&gt;"http",IF(H520="Production",set_RMSBase,set_QwilrBase)=""),"",HYPERLINK(IF(LEFT(AB520,4)="http",AB520,IF(H520="Production",set_RMSBase,set_QwilrBase)&amp;AB520),"Open")))</f>
        <v/>
      </c>
      <c r="AD520" s="27">
        <f>IF(E520="","",IF(H520="Production",IFERROR(INDEX(tbl_Production[Total Expense],MATCH(E520&amp;"",tbl_Production[Job Number],0)),0),IF(H520="Consulting",IFERROR(INDEX(tbl_Consulting[Total Expense],MATCH(E520&amp;"",tbl_Consulting[Job Number],0)),0),0)))</f>
        <v/>
      </c>
      <c r="AE520" s="27">
        <f>IF(E520="","",Y520-N(AD520))</f>
        <v/>
      </c>
      <c r="AF520" s="29">
        <f>IFERROR(AE520/Y520,"")</f>
        <v/>
      </c>
      <c r="AG520" s="2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22" t="n"/>
      <c r="B521" s="23">
        <f>IF(A521="","",EOMONTH(A521,0))</f>
        <v/>
      </c>
      <c r="C521" s="24" t="n"/>
      <c r="D521" s="24" t="n"/>
      <c r="E521" s="24" t="n"/>
      <c r="F521" s="25">
        <f>IF(E521="","",IF(COUNTIF(lst_Jobs,E521&amp;"")&gt;0,"OK","CHECK"))</f>
        <v/>
      </c>
      <c r="G521" s="24" t="n"/>
      <c r="H521" s="24" t="n"/>
      <c r="I521" s="24" t="n"/>
      <c r="J521" s="24" t="n"/>
      <c r="K521" s="24" t="n"/>
      <c r="L521" s="26" t="n"/>
      <c r="M521" s="27">
        <f>IF(L521="","",IF(K521="GST 10%",ROUND(L521*set_GSTRate,2),0))</f>
        <v/>
      </c>
      <c r="N521" s="27">
        <f>IF(L521="","",L521+M521)</f>
        <v/>
      </c>
      <c r="O521" s="24" t="n"/>
      <c r="P521" s="24" t="n"/>
      <c r="Q521" s="24" t="n"/>
      <c r="R521" s="22" t="n"/>
      <c r="S521" s="22" t="n"/>
      <c r="T521" s="24" t="n"/>
      <c r="U521" s="24" t="n"/>
      <c r="V521" s="2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25">
        <f>IF(E521="","",IFERROR(INDEX(lst_JobName,MATCH(E521&amp;"",lst_Jobs,0)),""))</f>
        <v/>
      </c>
      <c r="X521" s="28">
        <f>IF(E521="","",COUNTIFS(tbl_Finance[Job Number],E521&amp;"",tbl_Finance[Ex GST],"&lt;&gt;"))</f>
        <v/>
      </c>
      <c r="Y521" s="27">
        <f>IF(E521="","",SUMIFS(tbl_Finance[Ex GST],tbl_Finance[Job Number],E521&amp;""))</f>
        <v/>
      </c>
      <c r="Z521" s="27">
        <f>IF(E521="","",SUMIFS(tbl_Finance[Ex GST],tbl_Finance[Job Number],E521&amp;"",tbl_Finance[Xero Invoice No],"&lt;&gt;"))</f>
        <v/>
      </c>
      <c r="AA521" s="27">
        <f>IF(E521="","",Y521-Z521)</f>
        <v/>
      </c>
      <c r="AB521" s="25">
        <f>IF(E521="","",IF(H521="Onsite",IFERROR(INDEX(tbl_Onsite[Qwilr Quote],MATCH(E521&amp;"",tbl_Onsite[Job Number],0)),""),IF(H521="Production",IFERROR(IF(INDEX(tbl_Production[Current RMS No],MATCH(E521&amp;"",tbl_Production[Job Number],0))="",INDEX(tbl_Production[Qwilr Quote],MATCH(E521&amp;"",tbl_Production[Job Number],0)),INDEX(tbl_Production[Current RMS No],MATCH(E521&amp;"",tbl_Production[Job Number],0))),""),IF(H521="Consulting",IFERROR(INDEX(tbl_Consulting[Qwilr Quote],MATCH(E521&amp;"",tbl_Consulting[Job Number],0)),""),""))))</f>
        <v/>
      </c>
      <c r="AC521" s="25">
        <f>IF(AB521="","",IF(AND(LEFT(AB521,4)&lt;&gt;"http",IF(H521="Production",set_RMSBase,set_QwilrBase)=""),"",HYPERLINK(IF(LEFT(AB521,4)="http",AB521,IF(H521="Production",set_RMSBase,set_QwilrBase)&amp;AB521),"Open")))</f>
        <v/>
      </c>
      <c r="AD521" s="27">
        <f>IF(E521="","",IF(H521="Production",IFERROR(INDEX(tbl_Production[Total Expense],MATCH(E521&amp;"",tbl_Production[Job Number],0)),0),IF(H521="Consulting",IFERROR(INDEX(tbl_Consulting[Total Expense],MATCH(E521&amp;"",tbl_Consulting[Job Number],0)),0),0)))</f>
        <v/>
      </c>
      <c r="AE521" s="27">
        <f>IF(E521="","",Y521-N(AD521))</f>
        <v/>
      </c>
      <c r="AF521" s="29">
        <f>IFERROR(AE521/Y521,"")</f>
        <v/>
      </c>
      <c r="AG521" s="2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22" t="n"/>
      <c r="B522" s="23">
        <f>IF(A522="","",EOMONTH(A522,0))</f>
        <v/>
      </c>
      <c r="C522" s="24" t="n"/>
      <c r="D522" s="24" t="n"/>
      <c r="E522" s="24" t="n"/>
      <c r="F522" s="25">
        <f>IF(E522="","",IF(COUNTIF(lst_Jobs,E522&amp;"")&gt;0,"OK","CHECK"))</f>
        <v/>
      </c>
      <c r="G522" s="24" t="n"/>
      <c r="H522" s="24" t="n"/>
      <c r="I522" s="24" t="n"/>
      <c r="J522" s="24" t="n"/>
      <c r="K522" s="24" t="n"/>
      <c r="L522" s="26" t="n"/>
      <c r="M522" s="27">
        <f>IF(L522="","",IF(K522="GST 10%",ROUND(L522*set_GSTRate,2),0))</f>
        <v/>
      </c>
      <c r="N522" s="27">
        <f>IF(L522="","",L522+M522)</f>
        <v/>
      </c>
      <c r="O522" s="24" t="n"/>
      <c r="P522" s="24" t="n"/>
      <c r="Q522" s="24" t="n"/>
      <c r="R522" s="22" t="n"/>
      <c r="S522" s="22" t="n"/>
      <c r="T522" s="24" t="n"/>
      <c r="U522" s="24" t="n"/>
      <c r="V522" s="2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25">
        <f>IF(E522="","",IFERROR(INDEX(lst_JobName,MATCH(E522&amp;"",lst_Jobs,0)),""))</f>
        <v/>
      </c>
      <c r="X522" s="28">
        <f>IF(E522="","",COUNTIFS(tbl_Finance[Job Number],E522&amp;"",tbl_Finance[Ex GST],"&lt;&gt;"))</f>
        <v/>
      </c>
      <c r="Y522" s="27">
        <f>IF(E522="","",SUMIFS(tbl_Finance[Ex GST],tbl_Finance[Job Number],E522&amp;""))</f>
        <v/>
      </c>
      <c r="Z522" s="27">
        <f>IF(E522="","",SUMIFS(tbl_Finance[Ex GST],tbl_Finance[Job Number],E522&amp;"",tbl_Finance[Xero Invoice No],"&lt;&gt;"))</f>
        <v/>
      </c>
      <c r="AA522" s="27">
        <f>IF(E522="","",Y522-Z522)</f>
        <v/>
      </c>
      <c r="AB522" s="25">
        <f>IF(E522="","",IF(H522="Onsite",IFERROR(INDEX(tbl_Onsite[Qwilr Quote],MATCH(E522&amp;"",tbl_Onsite[Job Number],0)),""),IF(H522="Production",IFERROR(IF(INDEX(tbl_Production[Current RMS No],MATCH(E522&amp;"",tbl_Production[Job Number],0))="",INDEX(tbl_Production[Qwilr Quote],MATCH(E522&amp;"",tbl_Production[Job Number],0)),INDEX(tbl_Production[Current RMS No],MATCH(E522&amp;"",tbl_Production[Job Number],0))),""),IF(H522="Consulting",IFERROR(INDEX(tbl_Consulting[Qwilr Quote],MATCH(E522&amp;"",tbl_Consulting[Job Number],0)),""),""))))</f>
        <v/>
      </c>
      <c r="AC522" s="25">
        <f>IF(AB522="","",IF(AND(LEFT(AB522,4)&lt;&gt;"http",IF(H522="Production",set_RMSBase,set_QwilrBase)=""),"",HYPERLINK(IF(LEFT(AB522,4)="http",AB522,IF(H522="Production",set_RMSBase,set_QwilrBase)&amp;AB522),"Open")))</f>
        <v/>
      </c>
      <c r="AD522" s="27">
        <f>IF(E522="","",IF(H522="Production",IFERROR(INDEX(tbl_Production[Total Expense],MATCH(E522&amp;"",tbl_Production[Job Number],0)),0),IF(H522="Consulting",IFERROR(INDEX(tbl_Consulting[Total Expense],MATCH(E522&amp;"",tbl_Consulting[Job Number],0)),0),0)))</f>
        <v/>
      </c>
      <c r="AE522" s="27">
        <f>IF(E522="","",Y522-N(AD522))</f>
        <v/>
      </c>
      <c r="AF522" s="29">
        <f>IFERROR(AE522/Y522,"")</f>
        <v/>
      </c>
      <c r="AG522" s="2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22" t="n"/>
      <c r="B523" s="23">
        <f>IF(A523="","",EOMONTH(A523,0))</f>
        <v/>
      </c>
      <c r="C523" s="24" t="n"/>
      <c r="D523" s="24" t="n"/>
      <c r="E523" s="24" t="n"/>
      <c r="F523" s="25">
        <f>IF(E523="","",IF(COUNTIF(lst_Jobs,E523&amp;"")&gt;0,"OK","CHECK"))</f>
        <v/>
      </c>
      <c r="G523" s="24" t="n"/>
      <c r="H523" s="24" t="n"/>
      <c r="I523" s="24" t="n"/>
      <c r="J523" s="24" t="n"/>
      <c r="K523" s="24" t="n"/>
      <c r="L523" s="26" t="n"/>
      <c r="M523" s="27">
        <f>IF(L523="","",IF(K523="GST 10%",ROUND(L523*set_GSTRate,2),0))</f>
        <v/>
      </c>
      <c r="N523" s="27">
        <f>IF(L523="","",L523+M523)</f>
        <v/>
      </c>
      <c r="O523" s="24" t="n"/>
      <c r="P523" s="24" t="n"/>
      <c r="Q523" s="24" t="n"/>
      <c r="R523" s="22" t="n"/>
      <c r="S523" s="22" t="n"/>
      <c r="T523" s="24" t="n"/>
      <c r="U523" s="24" t="n"/>
      <c r="V523" s="2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25">
        <f>IF(E523="","",IFERROR(INDEX(lst_JobName,MATCH(E523&amp;"",lst_Jobs,0)),""))</f>
        <v/>
      </c>
      <c r="X523" s="28">
        <f>IF(E523="","",COUNTIFS(tbl_Finance[Job Number],E523&amp;"",tbl_Finance[Ex GST],"&lt;&gt;"))</f>
        <v/>
      </c>
      <c r="Y523" s="27">
        <f>IF(E523="","",SUMIFS(tbl_Finance[Ex GST],tbl_Finance[Job Number],E523&amp;""))</f>
        <v/>
      </c>
      <c r="Z523" s="27">
        <f>IF(E523="","",SUMIFS(tbl_Finance[Ex GST],tbl_Finance[Job Number],E523&amp;"",tbl_Finance[Xero Invoice No],"&lt;&gt;"))</f>
        <v/>
      </c>
      <c r="AA523" s="27">
        <f>IF(E523="","",Y523-Z523)</f>
        <v/>
      </c>
      <c r="AB523" s="25">
        <f>IF(E523="","",IF(H523="Onsite",IFERROR(INDEX(tbl_Onsite[Qwilr Quote],MATCH(E523&amp;"",tbl_Onsite[Job Number],0)),""),IF(H523="Production",IFERROR(IF(INDEX(tbl_Production[Current RMS No],MATCH(E523&amp;"",tbl_Production[Job Number],0))="",INDEX(tbl_Production[Qwilr Quote],MATCH(E523&amp;"",tbl_Production[Job Number],0)),INDEX(tbl_Production[Current RMS No],MATCH(E523&amp;"",tbl_Production[Job Number],0))),""),IF(H523="Consulting",IFERROR(INDEX(tbl_Consulting[Qwilr Quote],MATCH(E523&amp;"",tbl_Consulting[Job Number],0)),""),""))))</f>
        <v/>
      </c>
      <c r="AC523" s="25">
        <f>IF(AB523="","",IF(AND(LEFT(AB523,4)&lt;&gt;"http",IF(H523="Production",set_RMSBase,set_QwilrBase)=""),"",HYPERLINK(IF(LEFT(AB523,4)="http",AB523,IF(H523="Production",set_RMSBase,set_QwilrBase)&amp;AB523),"Open")))</f>
        <v/>
      </c>
      <c r="AD523" s="27">
        <f>IF(E523="","",IF(H523="Production",IFERROR(INDEX(tbl_Production[Total Expense],MATCH(E523&amp;"",tbl_Production[Job Number],0)),0),IF(H523="Consulting",IFERROR(INDEX(tbl_Consulting[Total Expense],MATCH(E523&amp;"",tbl_Consulting[Job Number],0)),0),0)))</f>
        <v/>
      </c>
      <c r="AE523" s="27">
        <f>IF(E523="","",Y523-N(AD523))</f>
        <v/>
      </c>
      <c r="AF523" s="29">
        <f>IFERROR(AE523/Y523,"")</f>
        <v/>
      </c>
      <c r="AG523" s="2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22" t="n"/>
      <c r="B524" s="23">
        <f>IF(A524="","",EOMONTH(A524,0))</f>
        <v/>
      </c>
      <c r="C524" s="24" t="n"/>
      <c r="D524" s="24" t="n"/>
      <c r="E524" s="24" t="n"/>
      <c r="F524" s="25">
        <f>IF(E524="","",IF(COUNTIF(lst_Jobs,E524&amp;"")&gt;0,"OK","CHECK"))</f>
        <v/>
      </c>
      <c r="G524" s="24" t="n"/>
      <c r="H524" s="24" t="n"/>
      <c r="I524" s="24" t="n"/>
      <c r="J524" s="24" t="n"/>
      <c r="K524" s="24" t="n"/>
      <c r="L524" s="26" t="n"/>
      <c r="M524" s="27">
        <f>IF(L524="","",IF(K524="GST 10%",ROUND(L524*set_GSTRate,2),0))</f>
        <v/>
      </c>
      <c r="N524" s="27">
        <f>IF(L524="","",L524+M524)</f>
        <v/>
      </c>
      <c r="O524" s="24" t="n"/>
      <c r="P524" s="24" t="n"/>
      <c r="Q524" s="24" t="n"/>
      <c r="R524" s="22" t="n"/>
      <c r="S524" s="22" t="n"/>
      <c r="T524" s="24" t="n"/>
      <c r="U524" s="24" t="n"/>
      <c r="V524" s="2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25">
        <f>IF(E524="","",IFERROR(INDEX(lst_JobName,MATCH(E524&amp;"",lst_Jobs,0)),""))</f>
        <v/>
      </c>
      <c r="X524" s="28">
        <f>IF(E524="","",COUNTIFS(tbl_Finance[Job Number],E524&amp;"",tbl_Finance[Ex GST],"&lt;&gt;"))</f>
        <v/>
      </c>
      <c r="Y524" s="27">
        <f>IF(E524="","",SUMIFS(tbl_Finance[Ex GST],tbl_Finance[Job Number],E524&amp;""))</f>
        <v/>
      </c>
      <c r="Z524" s="27">
        <f>IF(E524="","",SUMIFS(tbl_Finance[Ex GST],tbl_Finance[Job Number],E524&amp;"",tbl_Finance[Xero Invoice No],"&lt;&gt;"))</f>
        <v/>
      </c>
      <c r="AA524" s="27">
        <f>IF(E524="","",Y524-Z524)</f>
        <v/>
      </c>
      <c r="AB524" s="25">
        <f>IF(E524="","",IF(H524="Onsite",IFERROR(INDEX(tbl_Onsite[Qwilr Quote],MATCH(E524&amp;"",tbl_Onsite[Job Number],0)),""),IF(H524="Production",IFERROR(IF(INDEX(tbl_Production[Current RMS No],MATCH(E524&amp;"",tbl_Production[Job Number],0))="",INDEX(tbl_Production[Qwilr Quote],MATCH(E524&amp;"",tbl_Production[Job Number],0)),INDEX(tbl_Production[Current RMS No],MATCH(E524&amp;"",tbl_Production[Job Number],0))),""),IF(H524="Consulting",IFERROR(INDEX(tbl_Consulting[Qwilr Quote],MATCH(E524&amp;"",tbl_Consulting[Job Number],0)),""),""))))</f>
        <v/>
      </c>
      <c r="AC524" s="25">
        <f>IF(AB524="","",IF(AND(LEFT(AB524,4)&lt;&gt;"http",IF(H524="Production",set_RMSBase,set_QwilrBase)=""),"",HYPERLINK(IF(LEFT(AB524,4)="http",AB524,IF(H524="Production",set_RMSBase,set_QwilrBase)&amp;AB524),"Open")))</f>
        <v/>
      </c>
      <c r="AD524" s="27">
        <f>IF(E524="","",IF(H524="Production",IFERROR(INDEX(tbl_Production[Total Expense],MATCH(E524&amp;"",tbl_Production[Job Number],0)),0),IF(H524="Consulting",IFERROR(INDEX(tbl_Consulting[Total Expense],MATCH(E524&amp;"",tbl_Consulting[Job Number],0)),0),0)))</f>
        <v/>
      </c>
      <c r="AE524" s="27">
        <f>IF(E524="","",Y524-N(AD524))</f>
        <v/>
      </c>
      <c r="AF524" s="29">
        <f>IFERROR(AE524/Y524,"")</f>
        <v/>
      </c>
      <c r="AG524" s="2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22" t="n"/>
      <c r="B525" s="23">
        <f>IF(A525="","",EOMONTH(A525,0))</f>
        <v/>
      </c>
      <c r="C525" s="24" t="n"/>
      <c r="D525" s="24" t="n"/>
      <c r="E525" s="24" t="n"/>
      <c r="F525" s="25">
        <f>IF(E525="","",IF(COUNTIF(lst_Jobs,E525&amp;"")&gt;0,"OK","CHECK"))</f>
        <v/>
      </c>
      <c r="G525" s="24" t="n"/>
      <c r="H525" s="24" t="n"/>
      <c r="I525" s="24" t="n"/>
      <c r="J525" s="24" t="n"/>
      <c r="K525" s="24" t="n"/>
      <c r="L525" s="26" t="n"/>
      <c r="M525" s="27">
        <f>IF(L525="","",IF(K525="GST 10%",ROUND(L525*set_GSTRate,2),0))</f>
        <v/>
      </c>
      <c r="N525" s="27">
        <f>IF(L525="","",L525+M525)</f>
        <v/>
      </c>
      <c r="O525" s="24" t="n"/>
      <c r="P525" s="24" t="n"/>
      <c r="Q525" s="24" t="n"/>
      <c r="R525" s="22" t="n"/>
      <c r="S525" s="22" t="n"/>
      <c r="T525" s="24" t="n"/>
      <c r="U525" s="24" t="n"/>
      <c r="V525" s="2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25">
        <f>IF(E525="","",IFERROR(INDEX(lst_JobName,MATCH(E525&amp;"",lst_Jobs,0)),""))</f>
        <v/>
      </c>
      <c r="X525" s="28">
        <f>IF(E525="","",COUNTIFS(tbl_Finance[Job Number],E525&amp;"",tbl_Finance[Ex GST],"&lt;&gt;"))</f>
        <v/>
      </c>
      <c r="Y525" s="27">
        <f>IF(E525="","",SUMIFS(tbl_Finance[Ex GST],tbl_Finance[Job Number],E525&amp;""))</f>
        <v/>
      </c>
      <c r="Z525" s="27">
        <f>IF(E525="","",SUMIFS(tbl_Finance[Ex GST],tbl_Finance[Job Number],E525&amp;"",tbl_Finance[Xero Invoice No],"&lt;&gt;"))</f>
        <v/>
      </c>
      <c r="AA525" s="27">
        <f>IF(E525="","",Y525-Z525)</f>
        <v/>
      </c>
      <c r="AB525" s="25">
        <f>IF(E525="","",IF(H525="Onsite",IFERROR(INDEX(tbl_Onsite[Qwilr Quote],MATCH(E525&amp;"",tbl_Onsite[Job Number],0)),""),IF(H525="Production",IFERROR(IF(INDEX(tbl_Production[Current RMS No],MATCH(E525&amp;"",tbl_Production[Job Number],0))="",INDEX(tbl_Production[Qwilr Quote],MATCH(E525&amp;"",tbl_Production[Job Number],0)),INDEX(tbl_Production[Current RMS No],MATCH(E525&amp;"",tbl_Production[Job Number],0))),""),IF(H525="Consulting",IFERROR(INDEX(tbl_Consulting[Qwilr Quote],MATCH(E525&amp;"",tbl_Consulting[Job Number],0)),""),""))))</f>
        <v/>
      </c>
      <c r="AC525" s="25">
        <f>IF(AB525="","",IF(AND(LEFT(AB525,4)&lt;&gt;"http",IF(H525="Production",set_RMSBase,set_QwilrBase)=""),"",HYPERLINK(IF(LEFT(AB525,4)="http",AB525,IF(H525="Production",set_RMSBase,set_QwilrBase)&amp;AB525),"Open")))</f>
        <v/>
      </c>
      <c r="AD525" s="27">
        <f>IF(E525="","",IF(H525="Production",IFERROR(INDEX(tbl_Production[Total Expense],MATCH(E525&amp;"",tbl_Production[Job Number],0)),0),IF(H525="Consulting",IFERROR(INDEX(tbl_Consulting[Total Expense],MATCH(E525&amp;"",tbl_Consulting[Job Number],0)),0),0)))</f>
        <v/>
      </c>
      <c r="AE525" s="27">
        <f>IF(E525="","",Y525-N(AD525))</f>
        <v/>
      </c>
      <c r="AF525" s="29">
        <f>IFERROR(AE525/Y525,"")</f>
        <v/>
      </c>
      <c r="AG525" s="2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22" t="n"/>
      <c r="B526" s="23">
        <f>IF(A526="","",EOMONTH(A526,0))</f>
        <v/>
      </c>
      <c r="C526" s="24" t="n"/>
      <c r="D526" s="24" t="n"/>
      <c r="E526" s="24" t="n"/>
      <c r="F526" s="25">
        <f>IF(E526="","",IF(COUNTIF(lst_Jobs,E526&amp;"")&gt;0,"OK","CHECK"))</f>
        <v/>
      </c>
      <c r="G526" s="24" t="n"/>
      <c r="H526" s="24" t="n"/>
      <c r="I526" s="24" t="n"/>
      <c r="J526" s="24" t="n"/>
      <c r="K526" s="24" t="n"/>
      <c r="L526" s="26" t="n"/>
      <c r="M526" s="27">
        <f>IF(L526="","",IF(K526="GST 10%",ROUND(L526*set_GSTRate,2),0))</f>
        <v/>
      </c>
      <c r="N526" s="27">
        <f>IF(L526="","",L526+M526)</f>
        <v/>
      </c>
      <c r="O526" s="24" t="n"/>
      <c r="P526" s="24" t="n"/>
      <c r="Q526" s="24" t="n"/>
      <c r="R526" s="22" t="n"/>
      <c r="S526" s="22" t="n"/>
      <c r="T526" s="24" t="n"/>
      <c r="U526" s="24" t="n"/>
      <c r="V526" s="2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25">
        <f>IF(E526="","",IFERROR(INDEX(lst_JobName,MATCH(E526&amp;"",lst_Jobs,0)),""))</f>
        <v/>
      </c>
      <c r="X526" s="28">
        <f>IF(E526="","",COUNTIFS(tbl_Finance[Job Number],E526&amp;"",tbl_Finance[Ex GST],"&lt;&gt;"))</f>
        <v/>
      </c>
      <c r="Y526" s="27">
        <f>IF(E526="","",SUMIFS(tbl_Finance[Ex GST],tbl_Finance[Job Number],E526&amp;""))</f>
        <v/>
      </c>
      <c r="Z526" s="27">
        <f>IF(E526="","",SUMIFS(tbl_Finance[Ex GST],tbl_Finance[Job Number],E526&amp;"",tbl_Finance[Xero Invoice No],"&lt;&gt;"))</f>
        <v/>
      </c>
      <c r="AA526" s="27">
        <f>IF(E526="","",Y526-Z526)</f>
        <v/>
      </c>
      <c r="AB526" s="25">
        <f>IF(E526="","",IF(H526="Onsite",IFERROR(INDEX(tbl_Onsite[Qwilr Quote],MATCH(E526&amp;"",tbl_Onsite[Job Number],0)),""),IF(H526="Production",IFERROR(IF(INDEX(tbl_Production[Current RMS No],MATCH(E526&amp;"",tbl_Production[Job Number],0))="",INDEX(tbl_Production[Qwilr Quote],MATCH(E526&amp;"",tbl_Production[Job Number],0)),INDEX(tbl_Production[Current RMS No],MATCH(E526&amp;"",tbl_Production[Job Number],0))),""),IF(H526="Consulting",IFERROR(INDEX(tbl_Consulting[Qwilr Quote],MATCH(E526&amp;"",tbl_Consulting[Job Number],0)),""),""))))</f>
        <v/>
      </c>
      <c r="AC526" s="25">
        <f>IF(AB526="","",IF(AND(LEFT(AB526,4)&lt;&gt;"http",IF(H526="Production",set_RMSBase,set_QwilrBase)=""),"",HYPERLINK(IF(LEFT(AB526,4)="http",AB526,IF(H526="Production",set_RMSBase,set_QwilrBase)&amp;AB526),"Open")))</f>
        <v/>
      </c>
      <c r="AD526" s="27">
        <f>IF(E526="","",IF(H526="Production",IFERROR(INDEX(tbl_Production[Total Expense],MATCH(E526&amp;"",tbl_Production[Job Number],0)),0),IF(H526="Consulting",IFERROR(INDEX(tbl_Consulting[Total Expense],MATCH(E526&amp;"",tbl_Consulting[Job Number],0)),0),0)))</f>
        <v/>
      </c>
      <c r="AE526" s="27">
        <f>IF(E526="","",Y526-N(AD526))</f>
        <v/>
      </c>
      <c r="AF526" s="29">
        <f>IFERROR(AE526/Y526,"")</f>
        <v/>
      </c>
      <c r="AG526" s="2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22" t="n"/>
      <c r="B527" s="23">
        <f>IF(A527="","",EOMONTH(A527,0))</f>
        <v/>
      </c>
      <c r="C527" s="24" t="n"/>
      <c r="D527" s="24" t="n"/>
      <c r="E527" s="24" t="n"/>
      <c r="F527" s="25">
        <f>IF(E527="","",IF(COUNTIF(lst_Jobs,E527&amp;"")&gt;0,"OK","CHECK"))</f>
        <v/>
      </c>
      <c r="G527" s="24" t="n"/>
      <c r="H527" s="24" t="n"/>
      <c r="I527" s="24" t="n"/>
      <c r="J527" s="24" t="n"/>
      <c r="K527" s="24" t="n"/>
      <c r="L527" s="26" t="n"/>
      <c r="M527" s="27">
        <f>IF(L527="","",IF(K527="GST 10%",ROUND(L527*set_GSTRate,2),0))</f>
        <v/>
      </c>
      <c r="N527" s="27">
        <f>IF(L527="","",L527+M527)</f>
        <v/>
      </c>
      <c r="O527" s="24" t="n"/>
      <c r="P527" s="24" t="n"/>
      <c r="Q527" s="24" t="n"/>
      <c r="R527" s="22" t="n"/>
      <c r="S527" s="22" t="n"/>
      <c r="T527" s="24" t="n"/>
      <c r="U527" s="24" t="n"/>
      <c r="V527" s="2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25">
        <f>IF(E527="","",IFERROR(INDEX(lst_JobName,MATCH(E527&amp;"",lst_Jobs,0)),""))</f>
        <v/>
      </c>
      <c r="X527" s="28">
        <f>IF(E527="","",COUNTIFS(tbl_Finance[Job Number],E527&amp;"",tbl_Finance[Ex GST],"&lt;&gt;"))</f>
        <v/>
      </c>
      <c r="Y527" s="27">
        <f>IF(E527="","",SUMIFS(tbl_Finance[Ex GST],tbl_Finance[Job Number],E527&amp;""))</f>
        <v/>
      </c>
      <c r="Z527" s="27">
        <f>IF(E527="","",SUMIFS(tbl_Finance[Ex GST],tbl_Finance[Job Number],E527&amp;"",tbl_Finance[Xero Invoice No],"&lt;&gt;"))</f>
        <v/>
      </c>
      <c r="AA527" s="27">
        <f>IF(E527="","",Y527-Z527)</f>
        <v/>
      </c>
      <c r="AB527" s="25">
        <f>IF(E527="","",IF(H527="Onsite",IFERROR(INDEX(tbl_Onsite[Qwilr Quote],MATCH(E527&amp;"",tbl_Onsite[Job Number],0)),""),IF(H527="Production",IFERROR(IF(INDEX(tbl_Production[Current RMS No],MATCH(E527&amp;"",tbl_Production[Job Number],0))="",INDEX(tbl_Production[Qwilr Quote],MATCH(E527&amp;"",tbl_Production[Job Number],0)),INDEX(tbl_Production[Current RMS No],MATCH(E527&amp;"",tbl_Production[Job Number],0))),""),IF(H527="Consulting",IFERROR(INDEX(tbl_Consulting[Qwilr Quote],MATCH(E527&amp;"",tbl_Consulting[Job Number],0)),""),""))))</f>
        <v/>
      </c>
      <c r="AC527" s="25">
        <f>IF(AB527="","",IF(AND(LEFT(AB527,4)&lt;&gt;"http",IF(H527="Production",set_RMSBase,set_QwilrBase)=""),"",HYPERLINK(IF(LEFT(AB527,4)="http",AB527,IF(H527="Production",set_RMSBase,set_QwilrBase)&amp;AB527),"Open")))</f>
        <v/>
      </c>
      <c r="AD527" s="27">
        <f>IF(E527="","",IF(H527="Production",IFERROR(INDEX(tbl_Production[Total Expense],MATCH(E527&amp;"",tbl_Production[Job Number],0)),0),IF(H527="Consulting",IFERROR(INDEX(tbl_Consulting[Total Expense],MATCH(E527&amp;"",tbl_Consulting[Job Number],0)),0),0)))</f>
        <v/>
      </c>
      <c r="AE527" s="27">
        <f>IF(E527="","",Y527-N(AD527))</f>
        <v/>
      </c>
      <c r="AF527" s="29">
        <f>IFERROR(AE527/Y527,"")</f>
        <v/>
      </c>
      <c r="AG527" s="2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22" t="n"/>
      <c r="B528" s="23">
        <f>IF(A528="","",EOMONTH(A528,0))</f>
        <v/>
      </c>
      <c r="C528" s="24" t="n"/>
      <c r="D528" s="24" t="n"/>
      <c r="E528" s="24" t="n"/>
      <c r="F528" s="25">
        <f>IF(E528="","",IF(COUNTIF(lst_Jobs,E528&amp;"")&gt;0,"OK","CHECK"))</f>
        <v/>
      </c>
      <c r="G528" s="24" t="n"/>
      <c r="H528" s="24" t="n"/>
      <c r="I528" s="24" t="n"/>
      <c r="J528" s="24" t="n"/>
      <c r="K528" s="24" t="n"/>
      <c r="L528" s="26" t="n"/>
      <c r="M528" s="27">
        <f>IF(L528="","",IF(K528="GST 10%",ROUND(L528*set_GSTRate,2),0))</f>
        <v/>
      </c>
      <c r="N528" s="27">
        <f>IF(L528="","",L528+M528)</f>
        <v/>
      </c>
      <c r="O528" s="24" t="n"/>
      <c r="P528" s="24" t="n"/>
      <c r="Q528" s="24" t="n"/>
      <c r="R528" s="22" t="n"/>
      <c r="S528" s="22" t="n"/>
      <c r="T528" s="24" t="n"/>
      <c r="U528" s="24" t="n"/>
      <c r="V528" s="2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25">
        <f>IF(E528="","",IFERROR(INDEX(lst_JobName,MATCH(E528&amp;"",lst_Jobs,0)),""))</f>
        <v/>
      </c>
      <c r="X528" s="28">
        <f>IF(E528="","",COUNTIFS(tbl_Finance[Job Number],E528&amp;"",tbl_Finance[Ex GST],"&lt;&gt;"))</f>
        <v/>
      </c>
      <c r="Y528" s="27">
        <f>IF(E528="","",SUMIFS(tbl_Finance[Ex GST],tbl_Finance[Job Number],E528&amp;""))</f>
        <v/>
      </c>
      <c r="Z528" s="27">
        <f>IF(E528="","",SUMIFS(tbl_Finance[Ex GST],tbl_Finance[Job Number],E528&amp;"",tbl_Finance[Xero Invoice No],"&lt;&gt;"))</f>
        <v/>
      </c>
      <c r="AA528" s="27">
        <f>IF(E528="","",Y528-Z528)</f>
        <v/>
      </c>
      <c r="AB528" s="25">
        <f>IF(E528="","",IF(H528="Onsite",IFERROR(INDEX(tbl_Onsite[Qwilr Quote],MATCH(E528&amp;"",tbl_Onsite[Job Number],0)),""),IF(H528="Production",IFERROR(IF(INDEX(tbl_Production[Current RMS No],MATCH(E528&amp;"",tbl_Production[Job Number],0))="",INDEX(tbl_Production[Qwilr Quote],MATCH(E528&amp;"",tbl_Production[Job Number],0)),INDEX(tbl_Production[Current RMS No],MATCH(E528&amp;"",tbl_Production[Job Number],0))),""),IF(H528="Consulting",IFERROR(INDEX(tbl_Consulting[Qwilr Quote],MATCH(E528&amp;"",tbl_Consulting[Job Number],0)),""),""))))</f>
        <v/>
      </c>
      <c r="AC528" s="25">
        <f>IF(AB528="","",IF(AND(LEFT(AB528,4)&lt;&gt;"http",IF(H528="Production",set_RMSBase,set_QwilrBase)=""),"",HYPERLINK(IF(LEFT(AB528,4)="http",AB528,IF(H528="Production",set_RMSBase,set_QwilrBase)&amp;AB528),"Open")))</f>
        <v/>
      </c>
      <c r="AD528" s="27">
        <f>IF(E528="","",IF(H528="Production",IFERROR(INDEX(tbl_Production[Total Expense],MATCH(E528&amp;"",tbl_Production[Job Number],0)),0),IF(H528="Consulting",IFERROR(INDEX(tbl_Consulting[Total Expense],MATCH(E528&amp;"",tbl_Consulting[Job Number],0)),0),0)))</f>
        <v/>
      </c>
      <c r="AE528" s="27">
        <f>IF(E528="","",Y528-N(AD528))</f>
        <v/>
      </c>
      <c r="AF528" s="29">
        <f>IFERROR(AE528/Y528,"")</f>
        <v/>
      </c>
      <c r="AG528" s="2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22" t="n"/>
      <c r="B529" s="23">
        <f>IF(A529="","",EOMONTH(A529,0))</f>
        <v/>
      </c>
      <c r="C529" s="24" t="n"/>
      <c r="D529" s="24" t="n"/>
      <c r="E529" s="24" t="n"/>
      <c r="F529" s="25">
        <f>IF(E529="","",IF(COUNTIF(lst_Jobs,E529&amp;"")&gt;0,"OK","CHECK"))</f>
        <v/>
      </c>
      <c r="G529" s="24" t="n"/>
      <c r="H529" s="24" t="n"/>
      <c r="I529" s="24" t="n"/>
      <c r="J529" s="24" t="n"/>
      <c r="K529" s="24" t="n"/>
      <c r="L529" s="26" t="n"/>
      <c r="M529" s="27">
        <f>IF(L529="","",IF(K529="GST 10%",ROUND(L529*set_GSTRate,2),0))</f>
        <v/>
      </c>
      <c r="N529" s="27">
        <f>IF(L529="","",L529+M529)</f>
        <v/>
      </c>
      <c r="O529" s="24" t="n"/>
      <c r="P529" s="24" t="n"/>
      <c r="Q529" s="24" t="n"/>
      <c r="R529" s="22" t="n"/>
      <c r="S529" s="22" t="n"/>
      <c r="T529" s="24" t="n"/>
      <c r="U529" s="24" t="n"/>
      <c r="V529" s="2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25">
        <f>IF(E529="","",IFERROR(INDEX(lst_JobName,MATCH(E529&amp;"",lst_Jobs,0)),""))</f>
        <v/>
      </c>
      <c r="X529" s="28">
        <f>IF(E529="","",COUNTIFS(tbl_Finance[Job Number],E529&amp;"",tbl_Finance[Ex GST],"&lt;&gt;"))</f>
        <v/>
      </c>
      <c r="Y529" s="27">
        <f>IF(E529="","",SUMIFS(tbl_Finance[Ex GST],tbl_Finance[Job Number],E529&amp;""))</f>
        <v/>
      </c>
      <c r="Z529" s="27">
        <f>IF(E529="","",SUMIFS(tbl_Finance[Ex GST],tbl_Finance[Job Number],E529&amp;"",tbl_Finance[Xero Invoice No],"&lt;&gt;"))</f>
        <v/>
      </c>
      <c r="AA529" s="27">
        <f>IF(E529="","",Y529-Z529)</f>
        <v/>
      </c>
      <c r="AB529" s="25">
        <f>IF(E529="","",IF(H529="Onsite",IFERROR(INDEX(tbl_Onsite[Qwilr Quote],MATCH(E529&amp;"",tbl_Onsite[Job Number],0)),""),IF(H529="Production",IFERROR(IF(INDEX(tbl_Production[Current RMS No],MATCH(E529&amp;"",tbl_Production[Job Number],0))="",INDEX(tbl_Production[Qwilr Quote],MATCH(E529&amp;"",tbl_Production[Job Number],0)),INDEX(tbl_Production[Current RMS No],MATCH(E529&amp;"",tbl_Production[Job Number],0))),""),IF(H529="Consulting",IFERROR(INDEX(tbl_Consulting[Qwilr Quote],MATCH(E529&amp;"",tbl_Consulting[Job Number],0)),""),""))))</f>
        <v/>
      </c>
      <c r="AC529" s="25">
        <f>IF(AB529="","",IF(AND(LEFT(AB529,4)&lt;&gt;"http",IF(H529="Production",set_RMSBase,set_QwilrBase)=""),"",HYPERLINK(IF(LEFT(AB529,4)="http",AB529,IF(H529="Production",set_RMSBase,set_QwilrBase)&amp;AB529),"Open")))</f>
        <v/>
      </c>
      <c r="AD529" s="27">
        <f>IF(E529="","",IF(H529="Production",IFERROR(INDEX(tbl_Production[Total Expense],MATCH(E529&amp;"",tbl_Production[Job Number],0)),0),IF(H529="Consulting",IFERROR(INDEX(tbl_Consulting[Total Expense],MATCH(E529&amp;"",tbl_Consulting[Job Number],0)),0),0)))</f>
        <v/>
      </c>
      <c r="AE529" s="27">
        <f>IF(E529="","",Y529-N(AD529))</f>
        <v/>
      </c>
      <c r="AF529" s="29">
        <f>IFERROR(AE529/Y529,"")</f>
        <v/>
      </c>
      <c r="AG529" s="2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22" t="n"/>
      <c r="B530" s="23">
        <f>IF(A530="","",EOMONTH(A530,0))</f>
        <v/>
      </c>
      <c r="C530" s="24" t="n"/>
      <c r="D530" s="24" t="n"/>
      <c r="E530" s="24" t="n"/>
      <c r="F530" s="25">
        <f>IF(E530="","",IF(COUNTIF(lst_Jobs,E530&amp;"")&gt;0,"OK","CHECK"))</f>
        <v/>
      </c>
      <c r="G530" s="24" t="n"/>
      <c r="H530" s="24" t="n"/>
      <c r="I530" s="24" t="n"/>
      <c r="J530" s="24" t="n"/>
      <c r="K530" s="24" t="n"/>
      <c r="L530" s="26" t="n"/>
      <c r="M530" s="27">
        <f>IF(L530="","",IF(K530="GST 10%",ROUND(L530*set_GSTRate,2),0))</f>
        <v/>
      </c>
      <c r="N530" s="27">
        <f>IF(L530="","",L530+M530)</f>
        <v/>
      </c>
      <c r="O530" s="24" t="n"/>
      <c r="P530" s="24" t="n"/>
      <c r="Q530" s="24" t="n"/>
      <c r="R530" s="22" t="n"/>
      <c r="S530" s="22" t="n"/>
      <c r="T530" s="24" t="n"/>
      <c r="U530" s="24" t="n"/>
      <c r="V530" s="2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25">
        <f>IF(E530="","",IFERROR(INDEX(lst_JobName,MATCH(E530&amp;"",lst_Jobs,0)),""))</f>
        <v/>
      </c>
      <c r="X530" s="28">
        <f>IF(E530="","",COUNTIFS(tbl_Finance[Job Number],E530&amp;"",tbl_Finance[Ex GST],"&lt;&gt;"))</f>
        <v/>
      </c>
      <c r="Y530" s="27">
        <f>IF(E530="","",SUMIFS(tbl_Finance[Ex GST],tbl_Finance[Job Number],E530&amp;""))</f>
        <v/>
      </c>
      <c r="Z530" s="27">
        <f>IF(E530="","",SUMIFS(tbl_Finance[Ex GST],tbl_Finance[Job Number],E530&amp;"",tbl_Finance[Xero Invoice No],"&lt;&gt;"))</f>
        <v/>
      </c>
      <c r="AA530" s="27">
        <f>IF(E530="","",Y530-Z530)</f>
        <v/>
      </c>
      <c r="AB530" s="25">
        <f>IF(E530="","",IF(H530="Onsite",IFERROR(INDEX(tbl_Onsite[Qwilr Quote],MATCH(E530&amp;"",tbl_Onsite[Job Number],0)),""),IF(H530="Production",IFERROR(IF(INDEX(tbl_Production[Current RMS No],MATCH(E530&amp;"",tbl_Production[Job Number],0))="",INDEX(tbl_Production[Qwilr Quote],MATCH(E530&amp;"",tbl_Production[Job Number],0)),INDEX(tbl_Production[Current RMS No],MATCH(E530&amp;"",tbl_Production[Job Number],0))),""),IF(H530="Consulting",IFERROR(INDEX(tbl_Consulting[Qwilr Quote],MATCH(E530&amp;"",tbl_Consulting[Job Number],0)),""),""))))</f>
        <v/>
      </c>
      <c r="AC530" s="25">
        <f>IF(AB530="","",IF(AND(LEFT(AB530,4)&lt;&gt;"http",IF(H530="Production",set_RMSBase,set_QwilrBase)=""),"",HYPERLINK(IF(LEFT(AB530,4)="http",AB530,IF(H530="Production",set_RMSBase,set_QwilrBase)&amp;AB530),"Open")))</f>
        <v/>
      </c>
      <c r="AD530" s="27">
        <f>IF(E530="","",IF(H530="Production",IFERROR(INDEX(tbl_Production[Total Expense],MATCH(E530&amp;"",tbl_Production[Job Number],0)),0),IF(H530="Consulting",IFERROR(INDEX(tbl_Consulting[Total Expense],MATCH(E530&amp;"",tbl_Consulting[Job Number],0)),0),0)))</f>
        <v/>
      </c>
      <c r="AE530" s="27">
        <f>IF(E530="","",Y530-N(AD530))</f>
        <v/>
      </c>
      <c r="AF530" s="29">
        <f>IFERROR(AE530/Y530,"")</f>
        <v/>
      </c>
      <c r="AG530" s="2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22" t="n"/>
      <c r="B531" s="23">
        <f>IF(A531="","",EOMONTH(A531,0))</f>
        <v/>
      </c>
      <c r="C531" s="24" t="n"/>
      <c r="D531" s="24" t="n"/>
      <c r="E531" s="24" t="n"/>
      <c r="F531" s="25">
        <f>IF(E531="","",IF(COUNTIF(lst_Jobs,E531&amp;"")&gt;0,"OK","CHECK"))</f>
        <v/>
      </c>
      <c r="G531" s="24" t="n"/>
      <c r="H531" s="24" t="n"/>
      <c r="I531" s="24" t="n"/>
      <c r="J531" s="24" t="n"/>
      <c r="K531" s="24" t="n"/>
      <c r="L531" s="26" t="n"/>
      <c r="M531" s="27">
        <f>IF(L531="","",IF(K531="GST 10%",ROUND(L531*set_GSTRate,2),0))</f>
        <v/>
      </c>
      <c r="N531" s="27">
        <f>IF(L531="","",L531+M531)</f>
        <v/>
      </c>
      <c r="O531" s="24" t="n"/>
      <c r="P531" s="24" t="n"/>
      <c r="Q531" s="24" t="n"/>
      <c r="R531" s="22" t="n"/>
      <c r="S531" s="22" t="n"/>
      <c r="T531" s="24" t="n"/>
      <c r="U531" s="24" t="n"/>
      <c r="V531" s="2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25">
        <f>IF(E531="","",IFERROR(INDEX(lst_JobName,MATCH(E531&amp;"",lst_Jobs,0)),""))</f>
        <v/>
      </c>
      <c r="X531" s="28">
        <f>IF(E531="","",COUNTIFS(tbl_Finance[Job Number],E531&amp;"",tbl_Finance[Ex GST],"&lt;&gt;"))</f>
        <v/>
      </c>
      <c r="Y531" s="27">
        <f>IF(E531="","",SUMIFS(tbl_Finance[Ex GST],tbl_Finance[Job Number],E531&amp;""))</f>
        <v/>
      </c>
      <c r="Z531" s="27">
        <f>IF(E531="","",SUMIFS(tbl_Finance[Ex GST],tbl_Finance[Job Number],E531&amp;"",tbl_Finance[Xero Invoice No],"&lt;&gt;"))</f>
        <v/>
      </c>
      <c r="AA531" s="27">
        <f>IF(E531="","",Y531-Z531)</f>
        <v/>
      </c>
      <c r="AB531" s="25">
        <f>IF(E531="","",IF(H531="Onsite",IFERROR(INDEX(tbl_Onsite[Qwilr Quote],MATCH(E531&amp;"",tbl_Onsite[Job Number],0)),""),IF(H531="Production",IFERROR(IF(INDEX(tbl_Production[Current RMS No],MATCH(E531&amp;"",tbl_Production[Job Number],0))="",INDEX(tbl_Production[Qwilr Quote],MATCH(E531&amp;"",tbl_Production[Job Number],0)),INDEX(tbl_Production[Current RMS No],MATCH(E531&amp;"",tbl_Production[Job Number],0))),""),IF(H531="Consulting",IFERROR(INDEX(tbl_Consulting[Qwilr Quote],MATCH(E531&amp;"",tbl_Consulting[Job Number],0)),""),""))))</f>
        <v/>
      </c>
      <c r="AC531" s="25">
        <f>IF(AB531="","",IF(AND(LEFT(AB531,4)&lt;&gt;"http",IF(H531="Production",set_RMSBase,set_QwilrBase)=""),"",HYPERLINK(IF(LEFT(AB531,4)="http",AB531,IF(H531="Production",set_RMSBase,set_QwilrBase)&amp;AB531),"Open")))</f>
        <v/>
      </c>
      <c r="AD531" s="27">
        <f>IF(E531="","",IF(H531="Production",IFERROR(INDEX(tbl_Production[Total Expense],MATCH(E531&amp;"",tbl_Production[Job Number],0)),0),IF(H531="Consulting",IFERROR(INDEX(tbl_Consulting[Total Expense],MATCH(E531&amp;"",tbl_Consulting[Job Number],0)),0),0)))</f>
        <v/>
      </c>
      <c r="AE531" s="27">
        <f>IF(E531="","",Y531-N(AD531))</f>
        <v/>
      </c>
      <c r="AF531" s="29">
        <f>IFERROR(AE531/Y531,"")</f>
        <v/>
      </c>
      <c r="AG531" s="2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22" t="n"/>
      <c r="B532" s="23">
        <f>IF(A532="","",EOMONTH(A532,0))</f>
        <v/>
      </c>
      <c r="C532" s="24" t="n"/>
      <c r="D532" s="24" t="n"/>
      <c r="E532" s="24" t="n"/>
      <c r="F532" s="25">
        <f>IF(E532="","",IF(COUNTIF(lst_Jobs,E532&amp;"")&gt;0,"OK","CHECK"))</f>
        <v/>
      </c>
      <c r="G532" s="24" t="n"/>
      <c r="H532" s="24" t="n"/>
      <c r="I532" s="24" t="n"/>
      <c r="J532" s="24" t="n"/>
      <c r="K532" s="24" t="n"/>
      <c r="L532" s="26" t="n"/>
      <c r="M532" s="27">
        <f>IF(L532="","",IF(K532="GST 10%",ROUND(L532*set_GSTRate,2),0))</f>
        <v/>
      </c>
      <c r="N532" s="27">
        <f>IF(L532="","",L532+M532)</f>
        <v/>
      </c>
      <c r="O532" s="24" t="n"/>
      <c r="P532" s="24" t="n"/>
      <c r="Q532" s="24" t="n"/>
      <c r="R532" s="22" t="n"/>
      <c r="S532" s="22" t="n"/>
      <c r="T532" s="24" t="n"/>
      <c r="U532" s="24" t="n"/>
      <c r="V532" s="2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25">
        <f>IF(E532="","",IFERROR(INDEX(lst_JobName,MATCH(E532&amp;"",lst_Jobs,0)),""))</f>
        <v/>
      </c>
      <c r="X532" s="28">
        <f>IF(E532="","",COUNTIFS(tbl_Finance[Job Number],E532&amp;"",tbl_Finance[Ex GST],"&lt;&gt;"))</f>
        <v/>
      </c>
      <c r="Y532" s="27">
        <f>IF(E532="","",SUMIFS(tbl_Finance[Ex GST],tbl_Finance[Job Number],E532&amp;""))</f>
        <v/>
      </c>
      <c r="Z532" s="27">
        <f>IF(E532="","",SUMIFS(tbl_Finance[Ex GST],tbl_Finance[Job Number],E532&amp;"",tbl_Finance[Xero Invoice No],"&lt;&gt;"))</f>
        <v/>
      </c>
      <c r="AA532" s="27">
        <f>IF(E532="","",Y532-Z532)</f>
        <v/>
      </c>
      <c r="AB532" s="25">
        <f>IF(E532="","",IF(H532="Onsite",IFERROR(INDEX(tbl_Onsite[Qwilr Quote],MATCH(E532&amp;"",tbl_Onsite[Job Number],0)),""),IF(H532="Production",IFERROR(IF(INDEX(tbl_Production[Current RMS No],MATCH(E532&amp;"",tbl_Production[Job Number],0))="",INDEX(tbl_Production[Qwilr Quote],MATCH(E532&amp;"",tbl_Production[Job Number],0)),INDEX(tbl_Production[Current RMS No],MATCH(E532&amp;"",tbl_Production[Job Number],0))),""),IF(H532="Consulting",IFERROR(INDEX(tbl_Consulting[Qwilr Quote],MATCH(E532&amp;"",tbl_Consulting[Job Number],0)),""),""))))</f>
        <v/>
      </c>
      <c r="AC532" s="25">
        <f>IF(AB532="","",IF(AND(LEFT(AB532,4)&lt;&gt;"http",IF(H532="Production",set_RMSBase,set_QwilrBase)=""),"",HYPERLINK(IF(LEFT(AB532,4)="http",AB532,IF(H532="Production",set_RMSBase,set_QwilrBase)&amp;AB532),"Open")))</f>
        <v/>
      </c>
      <c r="AD532" s="27">
        <f>IF(E532="","",IF(H532="Production",IFERROR(INDEX(tbl_Production[Total Expense],MATCH(E532&amp;"",tbl_Production[Job Number],0)),0),IF(H532="Consulting",IFERROR(INDEX(tbl_Consulting[Total Expense],MATCH(E532&amp;"",tbl_Consulting[Job Number],0)),0),0)))</f>
        <v/>
      </c>
      <c r="AE532" s="27">
        <f>IF(E532="","",Y532-N(AD532))</f>
        <v/>
      </c>
      <c r="AF532" s="29">
        <f>IFERROR(AE532/Y532,"")</f>
        <v/>
      </c>
      <c r="AG532" s="2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22" t="n"/>
      <c r="B533" s="23">
        <f>IF(A533="","",EOMONTH(A533,0))</f>
        <v/>
      </c>
      <c r="C533" s="24" t="n"/>
      <c r="D533" s="24" t="n"/>
      <c r="E533" s="24" t="n"/>
      <c r="F533" s="25">
        <f>IF(E533="","",IF(COUNTIF(lst_Jobs,E533&amp;"")&gt;0,"OK","CHECK"))</f>
        <v/>
      </c>
      <c r="G533" s="24" t="n"/>
      <c r="H533" s="24" t="n"/>
      <c r="I533" s="24" t="n"/>
      <c r="J533" s="24" t="n"/>
      <c r="K533" s="24" t="n"/>
      <c r="L533" s="26" t="n"/>
      <c r="M533" s="27">
        <f>IF(L533="","",IF(K533="GST 10%",ROUND(L533*set_GSTRate,2),0))</f>
        <v/>
      </c>
      <c r="N533" s="27">
        <f>IF(L533="","",L533+M533)</f>
        <v/>
      </c>
      <c r="O533" s="24" t="n"/>
      <c r="P533" s="24" t="n"/>
      <c r="Q533" s="24" t="n"/>
      <c r="R533" s="22" t="n"/>
      <c r="S533" s="22" t="n"/>
      <c r="T533" s="24" t="n"/>
      <c r="U533" s="24" t="n"/>
      <c r="V533" s="2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25">
        <f>IF(E533="","",IFERROR(INDEX(lst_JobName,MATCH(E533&amp;"",lst_Jobs,0)),""))</f>
        <v/>
      </c>
      <c r="X533" s="28">
        <f>IF(E533="","",COUNTIFS(tbl_Finance[Job Number],E533&amp;"",tbl_Finance[Ex GST],"&lt;&gt;"))</f>
        <v/>
      </c>
      <c r="Y533" s="27">
        <f>IF(E533="","",SUMIFS(tbl_Finance[Ex GST],tbl_Finance[Job Number],E533&amp;""))</f>
        <v/>
      </c>
      <c r="Z533" s="27">
        <f>IF(E533="","",SUMIFS(tbl_Finance[Ex GST],tbl_Finance[Job Number],E533&amp;"",tbl_Finance[Xero Invoice No],"&lt;&gt;"))</f>
        <v/>
      </c>
      <c r="AA533" s="27">
        <f>IF(E533="","",Y533-Z533)</f>
        <v/>
      </c>
      <c r="AB533" s="25">
        <f>IF(E533="","",IF(H533="Onsite",IFERROR(INDEX(tbl_Onsite[Qwilr Quote],MATCH(E533&amp;"",tbl_Onsite[Job Number],0)),""),IF(H533="Production",IFERROR(IF(INDEX(tbl_Production[Current RMS No],MATCH(E533&amp;"",tbl_Production[Job Number],0))="",INDEX(tbl_Production[Qwilr Quote],MATCH(E533&amp;"",tbl_Production[Job Number],0)),INDEX(tbl_Production[Current RMS No],MATCH(E533&amp;"",tbl_Production[Job Number],0))),""),IF(H533="Consulting",IFERROR(INDEX(tbl_Consulting[Qwilr Quote],MATCH(E533&amp;"",tbl_Consulting[Job Number],0)),""),""))))</f>
        <v/>
      </c>
      <c r="AC533" s="25">
        <f>IF(AB533="","",IF(AND(LEFT(AB533,4)&lt;&gt;"http",IF(H533="Production",set_RMSBase,set_QwilrBase)=""),"",HYPERLINK(IF(LEFT(AB533,4)="http",AB533,IF(H533="Production",set_RMSBase,set_QwilrBase)&amp;AB533),"Open")))</f>
        <v/>
      </c>
      <c r="AD533" s="27">
        <f>IF(E533="","",IF(H533="Production",IFERROR(INDEX(tbl_Production[Total Expense],MATCH(E533&amp;"",tbl_Production[Job Number],0)),0),IF(H533="Consulting",IFERROR(INDEX(tbl_Consulting[Total Expense],MATCH(E533&amp;"",tbl_Consulting[Job Number],0)),0),0)))</f>
        <v/>
      </c>
      <c r="AE533" s="27">
        <f>IF(E533="","",Y533-N(AD533))</f>
        <v/>
      </c>
      <c r="AF533" s="29">
        <f>IFERROR(AE533/Y533,"")</f>
        <v/>
      </c>
      <c r="AG533" s="2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22" t="n"/>
      <c r="B534" s="23">
        <f>IF(A534="","",EOMONTH(A534,0))</f>
        <v/>
      </c>
      <c r="C534" s="24" t="n"/>
      <c r="D534" s="24" t="n"/>
      <c r="E534" s="24" t="n"/>
      <c r="F534" s="25">
        <f>IF(E534="","",IF(COUNTIF(lst_Jobs,E534&amp;"")&gt;0,"OK","CHECK"))</f>
        <v/>
      </c>
      <c r="G534" s="24" t="n"/>
      <c r="H534" s="24" t="n"/>
      <c r="I534" s="24" t="n"/>
      <c r="J534" s="24" t="n"/>
      <c r="K534" s="24" t="n"/>
      <c r="L534" s="26" t="n"/>
      <c r="M534" s="27">
        <f>IF(L534="","",IF(K534="GST 10%",ROUND(L534*set_GSTRate,2),0))</f>
        <v/>
      </c>
      <c r="N534" s="27">
        <f>IF(L534="","",L534+M534)</f>
        <v/>
      </c>
      <c r="O534" s="24" t="n"/>
      <c r="P534" s="24" t="n"/>
      <c r="Q534" s="24" t="n"/>
      <c r="R534" s="22" t="n"/>
      <c r="S534" s="22" t="n"/>
      <c r="T534" s="24" t="n"/>
      <c r="U534" s="24" t="n"/>
      <c r="V534" s="2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25">
        <f>IF(E534="","",IFERROR(INDEX(lst_JobName,MATCH(E534&amp;"",lst_Jobs,0)),""))</f>
        <v/>
      </c>
      <c r="X534" s="28">
        <f>IF(E534="","",COUNTIFS(tbl_Finance[Job Number],E534&amp;"",tbl_Finance[Ex GST],"&lt;&gt;"))</f>
        <v/>
      </c>
      <c r="Y534" s="27">
        <f>IF(E534="","",SUMIFS(tbl_Finance[Ex GST],tbl_Finance[Job Number],E534&amp;""))</f>
        <v/>
      </c>
      <c r="Z534" s="27">
        <f>IF(E534="","",SUMIFS(tbl_Finance[Ex GST],tbl_Finance[Job Number],E534&amp;"",tbl_Finance[Xero Invoice No],"&lt;&gt;"))</f>
        <v/>
      </c>
      <c r="AA534" s="27">
        <f>IF(E534="","",Y534-Z534)</f>
        <v/>
      </c>
      <c r="AB534" s="25">
        <f>IF(E534="","",IF(H534="Onsite",IFERROR(INDEX(tbl_Onsite[Qwilr Quote],MATCH(E534&amp;"",tbl_Onsite[Job Number],0)),""),IF(H534="Production",IFERROR(IF(INDEX(tbl_Production[Current RMS No],MATCH(E534&amp;"",tbl_Production[Job Number],0))="",INDEX(tbl_Production[Qwilr Quote],MATCH(E534&amp;"",tbl_Production[Job Number],0)),INDEX(tbl_Production[Current RMS No],MATCH(E534&amp;"",tbl_Production[Job Number],0))),""),IF(H534="Consulting",IFERROR(INDEX(tbl_Consulting[Qwilr Quote],MATCH(E534&amp;"",tbl_Consulting[Job Number],0)),""),""))))</f>
        <v/>
      </c>
      <c r="AC534" s="25">
        <f>IF(AB534="","",IF(AND(LEFT(AB534,4)&lt;&gt;"http",IF(H534="Production",set_RMSBase,set_QwilrBase)=""),"",HYPERLINK(IF(LEFT(AB534,4)="http",AB534,IF(H534="Production",set_RMSBase,set_QwilrBase)&amp;AB534),"Open")))</f>
        <v/>
      </c>
      <c r="AD534" s="27">
        <f>IF(E534="","",IF(H534="Production",IFERROR(INDEX(tbl_Production[Total Expense],MATCH(E534&amp;"",tbl_Production[Job Number],0)),0),IF(H534="Consulting",IFERROR(INDEX(tbl_Consulting[Total Expense],MATCH(E534&amp;"",tbl_Consulting[Job Number],0)),0),0)))</f>
        <v/>
      </c>
      <c r="AE534" s="27">
        <f>IF(E534="","",Y534-N(AD534))</f>
        <v/>
      </c>
      <c r="AF534" s="29">
        <f>IFERROR(AE534/Y534,"")</f>
        <v/>
      </c>
      <c r="AG534" s="2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22" t="n"/>
      <c r="B535" s="23">
        <f>IF(A535="","",EOMONTH(A535,0))</f>
        <v/>
      </c>
      <c r="C535" s="24" t="n"/>
      <c r="D535" s="24" t="n"/>
      <c r="E535" s="24" t="n"/>
      <c r="F535" s="25">
        <f>IF(E535="","",IF(COUNTIF(lst_Jobs,E535&amp;"")&gt;0,"OK","CHECK"))</f>
        <v/>
      </c>
      <c r="G535" s="24" t="n"/>
      <c r="H535" s="24" t="n"/>
      <c r="I535" s="24" t="n"/>
      <c r="J535" s="24" t="n"/>
      <c r="K535" s="24" t="n"/>
      <c r="L535" s="26" t="n"/>
      <c r="M535" s="27">
        <f>IF(L535="","",IF(K535="GST 10%",ROUND(L535*set_GSTRate,2),0))</f>
        <v/>
      </c>
      <c r="N535" s="27">
        <f>IF(L535="","",L535+M535)</f>
        <v/>
      </c>
      <c r="O535" s="24" t="n"/>
      <c r="P535" s="24" t="n"/>
      <c r="Q535" s="24" t="n"/>
      <c r="R535" s="22" t="n"/>
      <c r="S535" s="22" t="n"/>
      <c r="T535" s="24" t="n"/>
      <c r="U535" s="24" t="n"/>
      <c r="V535" s="2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25">
        <f>IF(E535="","",IFERROR(INDEX(lst_JobName,MATCH(E535&amp;"",lst_Jobs,0)),""))</f>
        <v/>
      </c>
      <c r="X535" s="28">
        <f>IF(E535="","",COUNTIFS(tbl_Finance[Job Number],E535&amp;"",tbl_Finance[Ex GST],"&lt;&gt;"))</f>
        <v/>
      </c>
      <c r="Y535" s="27">
        <f>IF(E535="","",SUMIFS(tbl_Finance[Ex GST],tbl_Finance[Job Number],E535&amp;""))</f>
        <v/>
      </c>
      <c r="Z535" s="27">
        <f>IF(E535="","",SUMIFS(tbl_Finance[Ex GST],tbl_Finance[Job Number],E535&amp;"",tbl_Finance[Xero Invoice No],"&lt;&gt;"))</f>
        <v/>
      </c>
      <c r="AA535" s="27">
        <f>IF(E535="","",Y535-Z535)</f>
        <v/>
      </c>
      <c r="AB535" s="25">
        <f>IF(E535="","",IF(H535="Onsite",IFERROR(INDEX(tbl_Onsite[Qwilr Quote],MATCH(E535&amp;"",tbl_Onsite[Job Number],0)),""),IF(H535="Production",IFERROR(IF(INDEX(tbl_Production[Current RMS No],MATCH(E535&amp;"",tbl_Production[Job Number],0))="",INDEX(tbl_Production[Qwilr Quote],MATCH(E535&amp;"",tbl_Production[Job Number],0)),INDEX(tbl_Production[Current RMS No],MATCH(E535&amp;"",tbl_Production[Job Number],0))),""),IF(H535="Consulting",IFERROR(INDEX(tbl_Consulting[Qwilr Quote],MATCH(E535&amp;"",tbl_Consulting[Job Number],0)),""),""))))</f>
        <v/>
      </c>
      <c r="AC535" s="25">
        <f>IF(AB535="","",IF(AND(LEFT(AB535,4)&lt;&gt;"http",IF(H535="Production",set_RMSBase,set_QwilrBase)=""),"",HYPERLINK(IF(LEFT(AB535,4)="http",AB535,IF(H535="Production",set_RMSBase,set_QwilrBase)&amp;AB535),"Open")))</f>
        <v/>
      </c>
      <c r="AD535" s="27">
        <f>IF(E535="","",IF(H535="Production",IFERROR(INDEX(tbl_Production[Total Expense],MATCH(E535&amp;"",tbl_Production[Job Number],0)),0),IF(H535="Consulting",IFERROR(INDEX(tbl_Consulting[Total Expense],MATCH(E535&amp;"",tbl_Consulting[Job Number],0)),0),0)))</f>
        <v/>
      </c>
      <c r="AE535" s="27">
        <f>IF(E535="","",Y535-N(AD535))</f>
        <v/>
      </c>
      <c r="AF535" s="29">
        <f>IFERROR(AE535/Y535,"")</f>
        <v/>
      </c>
      <c r="AG535" s="2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22" t="n"/>
      <c r="B536" s="23">
        <f>IF(A536="","",EOMONTH(A536,0))</f>
        <v/>
      </c>
      <c r="C536" s="24" t="n"/>
      <c r="D536" s="24" t="n"/>
      <c r="E536" s="24" t="n"/>
      <c r="F536" s="25">
        <f>IF(E536="","",IF(COUNTIF(lst_Jobs,E536&amp;"")&gt;0,"OK","CHECK"))</f>
        <v/>
      </c>
      <c r="G536" s="24" t="n"/>
      <c r="H536" s="24" t="n"/>
      <c r="I536" s="24" t="n"/>
      <c r="J536" s="24" t="n"/>
      <c r="K536" s="24" t="n"/>
      <c r="L536" s="26" t="n"/>
      <c r="M536" s="27">
        <f>IF(L536="","",IF(K536="GST 10%",ROUND(L536*set_GSTRate,2),0))</f>
        <v/>
      </c>
      <c r="N536" s="27">
        <f>IF(L536="","",L536+M536)</f>
        <v/>
      </c>
      <c r="O536" s="24" t="n"/>
      <c r="P536" s="24" t="n"/>
      <c r="Q536" s="24" t="n"/>
      <c r="R536" s="22" t="n"/>
      <c r="S536" s="22" t="n"/>
      <c r="T536" s="24" t="n"/>
      <c r="U536" s="24" t="n"/>
      <c r="V536" s="2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25">
        <f>IF(E536="","",IFERROR(INDEX(lst_JobName,MATCH(E536&amp;"",lst_Jobs,0)),""))</f>
        <v/>
      </c>
      <c r="X536" s="28">
        <f>IF(E536="","",COUNTIFS(tbl_Finance[Job Number],E536&amp;"",tbl_Finance[Ex GST],"&lt;&gt;"))</f>
        <v/>
      </c>
      <c r="Y536" s="27">
        <f>IF(E536="","",SUMIFS(tbl_Finance[Ex GST],tbl_Finance[Job Number],E536&amp;""))</f>
        <v/>
      </c>
      <c r="Z536" s="27">
        <f>IF(E536="","",SUMIFS(tbl_Finance[Ex GST],tbl_Finance[Job Number],E536&amp;"",tbl_Finance[Xero Invoice No],"&lt;&gt;"))</f>
        <v/>
      </c>
      <c r="AA536" s="27">
        <f>IF(E536="","",Y536-Z536)</f>
        <v/>
      </c>
      <c r="AB536" s="25">
        <f>IF(E536="","",IF(H536="Onsite",IFERROR(INDEX(tbl_Onsite[Qwilr Quote],MATCH(E536&amp;"",tbl_Onsite[Job Number],0)),""),IF(H536="Production",IFERROR(IF(INDEX(tbl_Production[Current RMS No],MATCH(E536&amp;"",tbl_Production[Job Number],0))="",INDEX(tbl_Production[Qwilr Quote],MATCH(E536&amp;"",tbl_Production[Job Number],0)),INDEX(tbl_Production[Current RMS No],MATCH(E536&amp;"",tbl_Production[Job Number],0))),""),IF(H536="Consulting",IFERROR(INDEX(tbl_Consulting[Qwilr Quote],MATCH(E536&amp;"",tbl_Consulting[Job Number],0)),""),""))))</f>
        <v/>
      </c>
      <c r="AC536" s="25">
        <f>IF(AB536="","",IF(AND(LEFT(AB536,4)&lt;&gt;"http",IF(H536="Production",set_RMSBase,set_QwilrBase)=""),"",HYPERLINK(IF(LEFT(AB536,4)="http",AB536,IF(H536="Production",set_RMSBase,set_QwilrBase)&amp;AB536),"Open")))</f>
        <v/>
      </c>
      <c r="AD536" s="27">
        <f>IF(E536="","",IF(H536="Production",IFERROR(INDEX(tbl_Production[Total Expense],MATCH(E536&amp;"",tbl_Production[Job Number],0)),0),IF(H536="Consulting",IFERROR(INDEX(tbl_Consulting[Total Expense],MATCH(E536&amp;"",tbl_Consulting[Job Number],0)),0),0)))</f>
        <v/>
      </c>
      <c r="AE536" s="27">
        <f>IF(E536="","",Y536-N(AD536))</f>
        <v/>
      </c>
      <c r="AF536" s="29">
        <f>IFERROR(AE536/Y536,"")</f>
        <v/>
      </c>
      <c r="AG536" s="2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22" t="n"/>
      <c r="B537" s="23">
        <f>IF(A537="","",EOMONTH(A537,0))</f>
        <v/>
      </c>
      <c r="C537" s="24" t="n"/>
      <c r="D537" s="24" t="n"/>
      <c r="E537" s="24" t="n"/>
      <c r="F537" s="25">
        <f>IF(E537="","",IF(COUNTIF(lst_Jobs,E537&amp;"")&gt;0,"OK","CHECK"))</f>
        <v/>
      </c>
      <c r="G537" s="24" t="n"/>
      <c r="H537" s="24" t="n"/>
      <c r="I537" s="24" t="n"/>
      <c r="J537" s="24" t="n"/>
      <c r="K537" s="24" t="n"/>
      <c r="L537" s="26" t="n"/>
      <c r="M537" s="27">
        <f>IF(L537="","",IF(K537="GST 10%",ROUND(L537*set_GSTRate,2),0))</f>
        <v/>
      </c>
      <c r="N537" s="27">
        <f>IF(L537="","",L537+M537)</f>
        <v/>
      </c>
      <c r="O537" s="24" t="n"/>
      <c r="P537" s="24" t="n"/>
      <c r="Q537" s="24" t="n"/>
      <c r="R537" s="22" t="n"/>
      <c r="S537" s="22" t="n"/>
      <c r="T537" s="24" t="n"/>
      <c r="U537" s="24" t="n"/>
      <c r="V537" s="2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25">
        <f>IF(E537="","",IFERROR(INDEX(lst_JobName,MATCH(E537&amp;"",lst_Jobs,0)),""))</f>
        <v/>
      </c>
      <c r="X537" s="28">
        <f>IF(E537="","",COUNTIFS(tbl_Finance[Job Number],E537&amp;"",tbl_Finance[Ex GST],"&lt;&gt;"))</f>
        <v/>
      </c>
      <c r="Y537" s="27">
        <f>IF(E537="","",SUMIFS(tbl_Finance[Ex GST],tbl_Finance[Job Number],E537&amp;""))</f>
        <v/>
      </c>
      <c r="Z537" s="27">
        <f>IF(E537="","",SUMIFS(tbl_Finance[Ex GST],tbl_Finance[Job Number],E537&amp;"",tbl_Finance[Xero Invoice No],"&lt;&gt;"))</f>
        <v/>
      </c>
      <c r="AA537" s="27">
        <f>IF(E537="","",Y537-Z537)</f>
        <v/>
      </c>
      <c r="AB537" s="25">
        <f>IF(E537="","",IF(H537="Onsite",IFERROR(INDEX(tbl_Onsite[Qwilr Quote],MATCH(E537&amp;"",tbl_Onsite[Job Number],0)),""),IF(H537="Production",IFERROR(IF(INDEX(tbl_Production[Current RMS No],MATCH(E537&amp;"",tbl_Production[Job Number],0))="",INDEX(tbl_Production[Qwilr Quote],MATCH(E537&amp;"",tbl_Production[Job Number],0)),INDEX(tbl_Production[Current RMS No],MATCH(E537&amp;"",tbl_Production[Job Number],0))),""),IF(H537="Consulting",IFERROR(INDEX(tbl_Consulting[Qwilr Quote],MATCH(E537&amp;"",tbl_Consulting[Job Number],0)),""),""))))</f>
        <v/>
      </c>
      <c r="AC537" s="25">
        <f>IF(AB537="","",IF(AND(LEFT(AB537,4)&lt;&gt;"http",IF(H537="Production",set_RMSBase,set_QwilrBase)=""),"",HYPERLINK(IF(LEFT(AB537,4)="http",AB537,IF(H537="Production",set_RMSBase,set_QwilrBase)&amp;AB537),"Open")))</f>
        <v/>
      </c>
      <c r="AD537" s="27">
        <f>IF(E537="","",IF(H537="Production",IFERROR(INDEX(tbl_Production[Total Expense],MATCH(E537&amp;"",tbl_Production[Job Number],0)),0),IF(H537="Consulting",IFERROR(INDEX(tbl_Consulting[Total Expense],MATCH(E537&amp;"",tbl_Consulting[Job Number],0)),0),0)))</f>
        <v/>
      </c>
      <c r="AE537" s="27">
        <f>IF(E537="","",Y537-N(AD537))</f>
        <v/>
      </c>
      <c r="AF537" s="29">
        <f>IFERROR(AE537/Y537,"")</f>
        <v/>
      </c>
      <c r="AG537" s="2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22" t="n"/>
      <c r="B538" s="23">
        <f>IF(A538="","",EOMONTH(A538,0))</f>
        <v/>
      </c>
      <c r="C538" s="24" t="n"/>
      <c r="D538" s="24" t="n"/>
      <c r="E538" s="24" t="n"/>
      <c r="F538" s="25">
        <f>IF(E538="","",IF(COUNTIF(lst_Jobs,E538&amp;"")&gt;0,"OK","CHECK"))</f>
        <v/>
      </c>
      <c r="G538" s="24" t="n"/>
      <c r="H538" s="24" t="n"/>
      <c r="I538" s="24" t="n"/>
      <c r="J538" s="24" t="n"/>
      <c r="K538" s="24" t="n"/>
      <c r="L538" s="26" t="n"/>
      <c r="M538" s="27">
        <f>IF(L538="","",IF(K538="GST 10%",ROUND(L538*set_GSTRate,2),0))</f>
        <v/>
      </c>
      <c r="N538" s="27">
        <f>IF(L538="","",L538+M538)</f>
        <v/>
      </c>
      <c r="O538" s="24" t="n"/>
      <c r="P538" s="24" t="n"/>
      <c r="Q538" s="24" t="n"/>
      <c r="R538" s="22" t="n"/>
      <c r="S538" s="22" t="n"/>
      <c r="T538" s="24" t="n"/>
      <c r="U538" s="24" t="n"/>
      <c r="V538" s="2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25">
        <f>IF(E538="","",IFERROR(INDEX(lst_JobName,MATCH(E538&amp;"",lst_Jobs,0)),""))</f>
        <v/>
      </c>
      <c r="X538" s="28">
        <f>IF(E538="","",COUNTIFS(tbl_Finance[Job Number],E538&amp;"",tbl_Finance[Ex GST],"&lt;&gt;"))</f>
        <v/>
      </c>
      <c r="Y538" s="27">
        <f>IF(E538="","",SUMIFS(tbl_Finance[Ex GST],tbl_Finance[Job Number],E538&amp;""))</f>
        <v/>
      </c>
      <c r="Z538" s="27">
        <f>IF(E538="","",SUMIFS(tbl_Finance[Ex GST],tbl_Finance[Job Number],E538&amp;"",tbl_Finance[Xero Invoice No],"&lt;&gt;"))</f>
        <v/>
      </c>
      <c r="AA538" s="27">
        <f>IF(E538="","",Y538-Z538)</f>
        <v/>
      </c>
      <c r="AB538" s="25">
        <f>IF(E538="","",IF(H538="Onsite",IFERROR(INDEX(tbl_Onsite[Qwilr Quote],MATCH(E538&amp;"",tbl_Onsite[Job Number],0)),""),IF(H538="Production",IFERROR(IF(INDEX(tbl_Production[Current RMS No],MATCH(E538&amp;"",tbl_Production[Job Number],0))="",INDEX(tbl_Production[Qwilr Quote],MATCH(E538&amp;"",tbl_Production[Job Number],0)),INDEX(tbl_Production[Current RMS No],MATCH(E538&amp;"",tbl_Production[Job Number],0))),""),IF(H538="Consulting",IFERROR(INDEX(tbl_Consulting[Qwilr Quote],MATCH(E538&amp;"",tbl_Consulting[Job Number],0)),""),""))))</f>
        <v/>
      </c>
      <c r="AC538" s="25">
        <f>IF(AB538="","",IF(AND(LEFT(AB538,4)&lt;&gt;"http",IF(H538="Production",set_RMSBase,set_QwilrBase)=""),"",HYPERLINK(IF(LEFT(AB538,4)="http",AB538,IF(H538="Production",set_RMSBase,set_QwilrBase)&amp;AB538),"Open")))</f>
        <v/>
      </c>
      <c r="AD538" s="27">
        <f>IF(E538="","",IF(H538="Production",IFERROR(INDEX(tbl_Production[Total Expense],MATCH(E538&amp;"",tbl_Production[Job Number],0)),0),IF(H538="Consulting",IFERROR(INDEX(tbl_Consulting[Total Expense],MATCH(E538&amp;"",tbl_Consulting[Job Number],0)),0),0)))</f>
        <v/>
      </c>
      <c r="AE538" s="27">
        <f>IF(E538="","",Y538-N(AD538))</f>
        <v/>
      </c>
      <c r="AF538" s="29">
        <f>IFERROR(AE538/Y538,"")</f>
        <v/>
      </c>
      <c r="AG538" s="2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22" t="n"/>
      <c r="B539" s="23">
        <f>IF(A539="","",EOMONTH(A539,0))</f>
        <v/>
      </c>
      <c r="C539" s="24" t="n"/>
      <c r="D539" s="24" t="n"/>
      <c r="E539" s="24" t="n"/>
      <c r="F539" s="25">
        <f>IF(E539="","",IF(COUNTIF(lst_Jobs,E539&amp;"")&gt;0,"OK","CHECK"))</f>
        <v/>
      </c>
      <c r="G539" s="24" t="n"/>
      <c r="H539" s="24" t="n"/>
      <c r="I539" s="24" t="n"/>
      <c r="J539" s="24" t="n"/>
      <c r="K539" s="24" t="n"/>
      <c r="L539" s="26" t="n"/>
      <c r="M539" s="27">
        <f>IF(L539="","",IF(K539="GST 10%",ROUND(L539*set_GSTRate,2),0))</f>
        <v/>
      </c>
      <c r="N539" s="27">
        <f>IF(L539="","",L539+M539)</f>
        <v/>
      </c>
      <c r="O539" s="24" t="n"/>
      <c r="P539" s="24" t="n"/>
      <c r="Q539" s="24" t="n"/>
      <c r="R539" s="22" t="n"/>
      <c r="S539" s="22" t="n"/>
      <c r="T539" s="24" t="n"/>
      <c r="U539" s="24" t="n"/>
      <c r="V539" s="2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25">
        <f>IF(E539="","",IFERROR(INDEX(lst_JobName,MATCH(E539&amp;"",lst_Jobs,0)),""))</f>
        <v/>
      </c>
      <c r="X539" s="28">
        <f>IF(E539="","",COUNTIFS(tbl_Finance[Job Number],E539&amp;"",tbl_Finance[Ex GST],"&lt;&gt;"))</f>
        <v/>
      </c>
      <c r="Y539" s="27">
        <f>IF(E539="","",SUMIFS(tbl_Finance[Ex GST],tbl_Finance[Job Number],E539&amp;""))</f>
        <v/>
      </c>
      <c r="Z539" s="27">
        <f>IF(E539="","",SUMIFS(tbl_Finance[Ex GST],tbl_Finance[Job Number],E539&amp;"",tbl_Finance[Xero Invoice No],"&lt;&gt;"))</f>
        <v/>
      </c>
      <c r="AA539" s="27">
        <f>IF(E539="","",Y539-Z539)</f>
        <v/>
      </c>
      <c r="AB539" s="25">
        <f>IF(E539="","",IF(H539="Onsite",IFERROR(INDEX(tbl_Onsite[Qwilr Quote],MATCH(E539&amp;"",tbl_Onsite[Job Number],0)),""),IF(H539="Production",IFERROR(IF(INDEX(tbl_Production[Current RMS No],MATCH(E539&amp;"",tbl_Production[Job Number],0))="",INDEX(tbl_Production[Qwilr Quote],MATCH(E539&amp;"",tbl_Production[Job Number],0)),INDEX(tbl_Production[Current RMS No],MATCH(E539&amp;"",tbl_Production[Job Number],0))),""),IF(H539="Consulting",IFERROR(INDEX(tbl_Consulting[Qwilr Quote],MATCH(E539&amp;"",tbl_Consulting[Job Number],0)),""),""))))</f>
        <v/>
      </c>
      <c r="AC539" s="25">
        <f>IF(AB539="","",IF(AND(LEFT(AB539,4)&lt;&gt;"http",IF(H539="Production",set_RMSBase,set_QwilrBase)=""),"",HYPERLINK(IF(LEFT(AB539,4)="http",AB539,IF(H539="Production",set_RMSBase,set_QwilrBase)&amp;AB539),"Open")))</f>
        <v/>
      </c>
      <c r="AD539" s="27">
        <f>IF(E539="","",IF(H539="Production",IFERROR(INDEX(tbl_Production[Total Expense],MATCH(E539&amp;"",tbl_Production[Job Number],0)),0),IF(H539="Consulting",IFERROR(INDEX(tbl_Consulting[Total Expense],MATCH(E539&amp;"",tbl_Consulting[Job Number],0)),0),0)))</f>
        <v/>
      </c>
      <c r="AE539" s="27">
        <f>IF(E539="","",Y539-N(AD539))</f>
        <v/>
      </c>
      <c r="AF539" s="29">
        <f>IFERROR(AE539/Y539,"")</f>
        <v/>
      </c>
      <c r="AG539" s="2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22" t="n"/>
      <c r="B540" s="23">
        <f>IF(A540="","",EOMONTH(A540,0))</f>
        <v/>
      </c>
      <c r="C540" s="24" t="n"/>
      <c r="D540" s="24" t="n"/>
      <c r="E540" s="24" t="n"/>
      <c r="F540" s="25">
        <f>IF(E540="","",IF(COUNTIF(lst_Jobs,E540&amp;"")&gt;0,"OK","CHECK"))</f>
        <v/>
      </c>
      <c r="G540" s="24" t="n"/>
      <c r="H540" s="24" t="n"/>
      <c r="I540" s="24" t="n"/>
      <c r="J540" s="24" t="n"/>
      <c r="K540" s="24" t="n"/>
      <c r="L540" s="26" t="n"/>
      <c r="M540" s="27">
        <f>IF(L540="","",IF(K540="GST 10%",ROUND(L540*set_GSTRate,2),0))</f>
        <v/>
      </c>
      <c r="N540" s="27">
        <f>IF(L540="","",L540+M540)</f>
        <v/>
      </c>
      <c r="O540" s="24" t="n"/>
      <c r="P540" s="24" t="n"/>
      <c r="Q540" s="24" t="n"/>
      <c r="R540" s="22" t="n"/>
      <c r="S540" s="22" t="n"/>
      <c r="T540" s="24" t="n"/>
      <c r="U540" s="24" t="n"/>
      <c r="V540" s="2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25">
        <f>IF(E540="","",IFERROR(INDEX(lst_JobName,MATCH(E540&amp;"",lst_Jobs,0)),""))</f>
        <v/>
      </c>
      <c r="X540" s="28">
        <f>IF(E540="","",COUNTIFS(tbl_Finance[Job Number],E540&amp;"",tbl_Finance[Ex GST],"&lt;&gt;"))</f>
        <v/>
      </c>
      <c r="Y540" s="27">
        <f>IF(E540="","",SUMIFS(tbl_Finance[Ex GST],tbl_Finance[Job Number],E540&amp;""))</f>
        <v/>
      </c>
      <c r="Z540" s="27">
        <f>IF(E540="","",SUMIFS(tbl_Finance[Ex GST],tbl_Finance[Job Number],E540&amp;"",tbl_Finance[Xero Invoice No],"&lt;&gt;"))</f>
        <v/>
      </c>
      <c r="AA540" s="27">
        <f>IF(E540="","",Y540-Z540)</f>
        <v/>
      </c>
      <c r="AB540" s="25">
        <f>IF(E540="","",IF(H540="Onsite",IFERROR(INDEX(tbl_Onsite[Qwilr Quote],MATCH(E540&amp;"",tbl_Onsite[Job Number],0)),""),IF(H540="Production",IFERROR(IF(INDEX(tbl_Production[Current RMS No],MATCH(E540&amp;"",tbl_Production[Job Number],0))="",INDEX(tbl_Production[Qwilr Quote],MATCH(E540&amp;"",tbl_Production[Job Number],0)),INDEX(tbl_Production[Current RMS No],MATCH(E540&amp;"",tbl_Production[Job Number],0))),""),IF(H540="Consulting",IFERROR(INDEX(tbl_Consulting[Qwilr Quote],MATCH(E540&amp;"",tbl_Consulting[Job Number],0)),""),""))))</f>
        <v/>
      </c>
      <c r="AC540" s="25">
        <f>IF(AB540="","",IF(AND(LEFT(AB540,4)&lt;&gt;"http",IF(H540="Production",set_RMSBase,set_QwilrBase)=""),"",HYPERLINK(IF(LEFT(AB540,4)="http",AB540,IF(H540="Production",set_RMSBase,set_QwilrBase)&amp;AB540),"Open")))</f>
        <v/>
      </c>
      <c r="AD540" s="27">
        <f>IF(E540="","",IF(H540="Production",IFERROR(INDEX(tbl_Production[Total Expense],MATCH(E540&amp;"",tbl_Production[Job Number],0)),0),IF(H540="Consulting",IFERROR(INDEX(tbl_Consulting[Total Expense],MATCH(E540&amp;"",tbl_Consulting[Job Number],0)),0),0)))</f>
        <v/>
      </c>
      <c r="AE540" s="27">
        <f>IF(E540="","",Y540-N(AD540))</f>
        <v/>
      </c>
      <c r="AF540" s="29">
        <f>IFERROR(AE540/Y540,"")</f>
        <v/>
      </c>
      <c r="AG540" s="2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22" t="n"/>
      <c r="B541" s="23">
        <f>IF(A541="","",EOMONTH(A541,0))</f>
        <v/>
      </c>
      <c r="C541" s="24" t="n"/>
      <c r="D541" s="24" t="n"/>
      <c r="E541" s="24" t="n"/>
      <c r="F541" s="25">
        <f>IF(E541="","",IF(COUNTIF(lst_Jobs,E541&amp;"")&gt;0,"OK","CHECK"))</f>
        <v/>
      </c>
      <c r="G541" s="24" t="n"/>
      <c r="H541" s="24" t="n"/>
      <c r="I541" s="24" t="n"/>
      <c r="J541" s="24" t="n"/>
      <c r="K541" s="24" t="n"/>
      <c r="L541" s="26" t="n"/>
      <c r="M541" s="27">
        <f>IF(L541="","",IF(K541="GST 10%",ROUND(L541*set_GSTRate,2),0))</f>
        <v/>
      </c>
      <c r="N541" s="27">
        <f>IF(L541="","",L541+M541)</f>
        <v/>
      </c>
      <c r="O541" s="24" t="n"/>
      <c r="P541" s="24" t="n"/>
      <c r="Q541" s="24" t="n"/>
      <c r="R541" s="22" t="n"/>
      <c r="S541" s="22" t="n"/>
      <c r="T541" s="24" t="n"/>
      <c r="U541" s="24" t="n"/>
      <c r="V541" s="2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25">
        <f>IF(E541="","",IFERROR(INDEX(lst_JobName,MATCH(E541&amp;"",lst_Jobs,0)),""))</f>
        <v/>
      </c>
      <c r="X541" s="28">
        <f>IF(E541="","",COUNTIFS(tbl_Finance[Job Number],E541&amp;"",tbl_Finance[Ex GST],"&lt;&gt;"))</f>
        <v/>
      </c>
      <c r="Y541" s="27">
        <f>IF(E541="","",SUMIFS(tbl_Finance[Ex GST],tbl_Finance[Job Number],E541&amp;""))</f>
        <v/>
      </c>
      <c r="Z541" s="27">
        <f>IF(E541="","",SUMIFS(tbl_Finance[Ex GST],tbl_Finance[Job Number],E541&amp;"",tbl_Finance[Xero Invoice No],"&lt;&gt;"))</f>
        <v/>
      </c>
      <c r="AA541" s="27">
        <f>IF(E541="","",Y541-Z541)</f>
        <v/>
      </c>
      <c r="AB541" s="25">
        <f>IF(E541="","",IF(H541="Onsite",IFERROR(INDEX(tbl_Onsite[Qwilr Quote],MATCH(E541&amp;"",tbl_Onsite[Job Number],0)),""),IF(H541="Production",IFERROR(IF(INDEX(tbl_Production[Current RMS No],MATCH(E541&amp;"",tbl_Production[Job Number],0))="",INDEX(tbl_Production[Qwilr Quote],MATCH(E541&amp;"",tbl_Production[Job Number],0)),INDEX(tbl_Production[Current RMS No],MATCH(E541&amp;"",tbl_Production[Job Number],0))),""),IF(H541="Consulting",IFERROR(INDEX(tbl_Consulting[Qwilr Quote],MATCH(E541&amp;"",tbl_Consulting[Job Number],0)),""),""))))</f>
        <v/>
      </c>
      <c r="AC541" s="25">
        <f>IF(AB541="","",IF(AND(LEFT(AB541,4)&lt;&gt;"http",IF(H541="Production",set_RMSBase,set_QwilrBase)=""),"",HYPERLINK(IF(LEFT(AB541,4)="http",AB541,IF(H541="Production",set_RMSBase,set_QwilrBase)&amp;AB541),"Open")))</f>
        <v/>
      </c>
      <c r="AD541" s="27">
        <f>IF(E541="","",IF(H541="Production",IFERROR(INDEX(tbl_Production[Total Expense],MATCH(E541&amp;"",tbl_Production[Job Number],0)),0),IF(H541="Consulting",IFERROR(INDEX(tbl_Consulting[Total Expense],MATCH(E541&amp;"",tbl_Consulting[Job Number],0)),0),0)))</f>
        <v/>
      </c>
      <c r="AE541" s="27">
        <f>IF(E541="","",Y541-N(AD541))</f>
        <v/>
      </c>
      <c r="AF541" s="29">
        <f>IFERROR(AE541/Y541,"")</f>
        <v/>
      </c>
      <c r="AG541" s="2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22" t="n"/>
      <c r="B542" s="23">
        <f>IF(A542="","",EOMONTH(A542,0))</f>
        <v/>
      </c>
      <c r="C542" s="24" t="n"/>
      <c r="D542" s="24" t="n"/>
      <c r="E542" s="24" t="n"/>
      <c r="F542" s="25">
        <f>IF(E542="","",IF(COUNTIF(lst_Jobs,E542&amp;"")&gt;0,"OK","CHECK"))</f>
        <v/>
      </c>
      <c r="G542" s="24" t="n"/>
      <c r="H542" s="24" t="n"/>
      <c r="I542" s="24" t="n"/>
      <c r="J542" s="24" t="n"/>
      <c r="K542" s="24" t="n"/>
      <c r="L542" s="26" t="n"/>
      <c r="M542" s="27">
        <f>IF(L542="","",IF(K542="GST 10%",ROUND(L542*set_GSTRate,2),0))</f>
        <v/>
      </c>
      <c r="N542" s="27">
        <f>IF(L542="","",L542+M542)</f>
        <v/>
      </c>
      <c r="O542" s="24" t="n"/>
      <c r="P542" s="24" t="n"/>
      <c r="Q542" s="24" t="n"/>
      <c r="R542" s="22" t="n"/>
      <c r="S542" s="22" t="n"/>
      <c r="T542" s="24" t="n"/>
      <c r="U542" s="24" t="n"/>
      <c r="V542" s="2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25">
        <f>IF(E542="","",IFERROR(INDEX(lst_JobName,MATCH(E542&amp;"",lst_Jobs,0)),""))</f>
        <v/>
      </c>
      <c r="X542" s="28">
        <f>IF(E542="","",COUNTIFS(tbl_Finance[Job Number],E542&amp;"",tbl_Finance[Ex GST],"&lt;&gt;"))</f>
        <v/>
      </c>
      <c r="Y542" s="27">
        <f>IF(E542="","",SUMIFS(tbl_Finance[Ex GST],tbl_Finance[Job Number],E542&amp;""))</f>
        <v/>
      </c>
      <c r="Z542" s="27">
        <f>IF(E542="","",SUMIFS(tbl_Finance[Ex GST],tbl_Finance[Job Number],E542&amp;"",tbl_Finance[Xero Invoice No],"&lt;&gt;"))</f>
        <v/>
      </c>
      <c r="AA542" s="27">
        <f>IF(E542="","",Y542-Z542)</f>
        <v/>
      </c>
      <c r="AB542" s="25">
        <f>IF(E542="","",IF(H542="Onsite",IFERROR(INDEX(tbl_Onsite[Qwilr Quote],MATCH(E542&amp;"",tbl_Onsite[Job Number],0)),""),IF(H542="Production",IFERROR(IF(INDEX(tbl_Production[Current RMS No],MATCH(E542&amp;"",tbl_Production[Job Number],0))="",INDEX(tbl_Production[Qwilr Quote],MATCH(E542&amp;"",tbl_Production[Job Number],0)),INDEX(tbl_Production[Current RMS No],MATCH(E542&amp;"",tbl_Production[Job Number],0))),""),IF(H542="Consulting",IFERROR(INDEX(tbl_Consulting[Qwilr Quote],MATCH(E542&amp;"",tbl_Consulting[Job Number],0)),""),""))))</f>
        <v/>
      </c>
      <c r="AC542" s="25">
        <f>IF(AB542="","",IF(AND(LEFT(AB542,4)&lt;&gt;"http",IF(H542="Production",set_RMSBase,set_QwilrBase)=""),"",HYPERLINK(IF(LEFT(AB542,4)="http",AB542,IF(H542="Production",set_RMSBase,set_QwilrBase)&amp;AB542),"Open")))</f>
        <v/>
      </c>
      <c r="AD542" s="27">
        <f>IF(E542="","",IF(H542="Production",IFERROR(INDEX(tbl_Production[Total Expense],MATCH(E542&amp;"",tbl_Production[Job Number],0)),0),IF(H542="Consulting",IFERROR(INDEX(tbl_Consulting[Total Expense],MATCH(E542&amp;"",tbl_Consulting[Job Number],0)),0),0)))</f>
        <v/>
      </c>
      <c r="AE542" s="27">
        <f>IF(E542="","",Y542-N(AD542))</f>
        <v/>
      </c>
      <c r="AF542" s="29">
        <f>IFERROR(AE542/Y542,"")</f>
        <v/>
      </c>
      <c r="AG542" s="2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22" t="n"/>
      <c r="B543" s="23">
        <f>IF(A543="","",EOMONTH(A543,0))</f>
        <v/>
      </c>
      <c r="C543" s="24" t="n"/>
      <c r="D543" s="24" t="n"/>
      <c r="E543" s="24" t="n"/>
      <c r="F543" s="25">
        <f>IF(E543="","",IF(COUNTIF(lst_Jobs,E543&amp;"")&gt;0,"OK","CHECK"))</f>
        <v/>
      </c>
      <c r="G543" s="24" t="n"/>
      <c r="H543" s="24" t="n"/>
      <c r="I543" s="24" t="n"/>
      <c r="J543" s="24" t="n"/>
      <c r="K543" s="24" t="n"/>
      <c r="L543" s="26" t="n"/>
      <c r="M543" s="27">
        <f>IF(L543="","",IF(K543="GST 10%",ROUND(L543*set_GSTRate,2),0))</f>
        <v/>
      </c>
      <c r="N543" s="27">
        <f>IF(L543="","",L543+M543)</f>
        <v/>
      </c>
      <c r="O543" s="24" t="n"/>
      <c r="P543" s="24" t="n"/>
      <c r="Q543" s="24" t="n"/>
      <c r="R543" s="22" t="n"/>
      <c r="S543" s="22" t="n"/>
      <c r="T543" s="24" t="n"/>
      <c r="U543" s="24" t="n"/>
      <c r="V543" s="2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25">
        <f>IF(E543="","",IFERROR(INDEX(lst_JobName,MATCH(E543&amp;"",lst_Jobs,0)),""))</f>
        <v/>
      </c>
      <c r="X543" s="28">
        <f>IF(E543="","",COUNTIFS(tbl_Finance[Job Number],E543&amp;"",tbl_Finance[Ex GST],"&lt;&gt;"))</f>
        <v/>
      </c>
      <c r="Y543" s="27">
        <f>IF(E543="","",SUMIFS(tbl_Finance[Ex GST],tbl_Finance[Job Number],E543&amp;""))</f>
        <v/>
      </c>
      <c r="Z543" s="27">
        <f>IF(E543="","",SUMIFS(tbl_Finance[Ex GST],tbl_Finance[Job Number],E543&amp;"",tbl_Finance[Xero Invoice No],"&lt;&gt;"))</f>
        <v/>
      </c>
      <c r="AA543" s="27">
        <f>IF(E543="","",Y543-Z543)</f>
        <v/>
      </c>
      <c r="AB543" s="25">
        <f>IF(E543="","",IF(H543="Onsite",IFERROR(INDEX(tbl_Onsite[Qwilr Quote],MATCH(E543&amp;"",tbl_Onsite[Job Number],0)),""),IF(H543="Production",IFERROR(IF(INDEX(tbl_Production[Current RMS No],MATCH(E543&amp;"",tbl_Production[Job Number],0))="",INDEX(tbl_Production[Qwilr Quote],MATCH(E543&amp;"",tbl_Production[Job Number],0)),INDEX(tbl_Production[Current RMS No],MATCH(E543&amp;"",tbl_Production[Job Number],0))),""),IF(H543="Consulting",IFERROR(INDEX(tbl_Consulting[Qwilr Quote],MATCH(E543&amp;"",tbl_Consulting[Job Number],0)),""),""))))</f>
        <v/>
      </c>
      <c r="AC543" s="25">
        <f>IF(AB543="","",IF(AND(LEFT(AB543,4)&lt;&gt;"http",IF(H543="Production",set_RMSBase,set_QwilrBase)=""),"",HYPERLINK(IF(LEFT(AB543,4)="http",AB543,IF(H543="Production",set_RMSBase,set_QwilrBase)&amp;AB543),"Open")))</f>
        <v/>
      </c>
      <c r="AD543" s="27">
        <f>IF(E543="","",IF(H543="Production",IFERROR(INDEX(tbl_Production[Total Expense],MATCH(E543&amp;"",tbl_Production[Job Number],0)),0),IF(H543="Consulting",IFERROR(INDEX(tbl_Consulting[Total Expense],MATCH(E543&amp;"",tbl_Consulting[Job Number],0)),0),0)))</f>
        <v/>
      </c>
      <c r="AE543" s="27">
        <f>IF(E543="","",Y543-N(AD543))</f>
        <v/>
      </c>
      <c r="AF543" s="29">
        <f>IFERROR(AE543/Y543,"")</f>
        <v/>
      </c>
      <c r="AG543" s="2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22" t="n"/>
      <c r="B544" s="23">
        <f>IF(A544="","",EOMONTH(A544,0))</f>
        <v/>
      </c>
      <c r="C544" s="24" t="n"/>
      <c r="D544" s="24" t="n"/>
      <c r="E544" s="24" t="n"/>
      <c r="F544" s="25">
        <f>IF(E544="","",IF(COUNTIF(lst_Jobs,E544&amp;"")&gt;0,"OK","CHECK"))</f>
        <v/>
      </c>
      <c r="G544" s="24" t="n"/>
      <c r="H544" s="24" t="n"/>
      <c r="I544" s="24" t="n"/>
      <c r="J544" s="24" t="n"/>
      <c r="K544" s="24" t="n"/>
      <c r="L544" s="26" t="n"/>
      <c r="M544" s="27">
        <f>IF(L544="","",IF(K544="GST 10%",ROUND(L544*set_GSTRate,2),0))</f>
        <v/>
      </c>
      <c r="N544" s="27">
        <f>IF(L544="","",L544+M544)</f>
        <v/>
      </c>
      <c r="O544" s="24" t="n"/>
      <c r="P544" s="24" t="n"/>
      <c r="Q544" s="24" t="n"/>
      <c r="R544" s="22" t="n"/>
      <c r="S544" s="22" t="n"/>
      <c r="T544" s="24" t="n"/>
      <c r="U544" s="24" t="n"/>
      <c r="V544" s="2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25">
        <f>IF(E544="","",IFERROR(INDEX(lst_JobName,MATCH(E544&amp;"",lst_Jobs,0)),""))</f>
        <v/>
      </c>
      <c r="X544" s="28">
        <f>IF(E544="","",COUNTIFS(tbl_Finance[Job Number],E544&amp;"",tbl_Finance[Ex GST],"&lt;&gt;"))</f>
        <v/>
      </c>
      <c r="Y544" s="27">
        <f>IF(E544="","",SUMIFS(tbl_Finance[Ex GST],tbl_Finance[Job Number],E544&amp;""))</f>
        <v/>
      </c>
      <c r="Z544" s="27">
        <f>IF(E544="","",SUMIFS(tbl_Finance[Ex GST],tbl_Finance[Job Number],E544&amp;"",tbl_Finance[Xero Invoice No],"&lt;&gt;"))</f>
        <v/>
      </c>
      <c r="AA544" s="27">
        <f>IF(E544="","",Y544-Z544)</f>
        <v/>
      </c>
      <c r="AB544" s="25">
        <f>IF(E544="","",IF(H544="Onsite",IFERROR(INDEX(tbl_Onsite[Qwilr Quote],MATCH(E544&amp;"",tbl_Onsite[Job Number],0)),""),IF(H544="Production",IFERROR(IF(INDEX(tbl_Production[Current RMS No],MATCH(E544&amp;"",tbl_Production[Job Number],0))="",INDEX(tbl_Production[Qwilr Quote],MATCH(E544&amp;"",tbl_Production[Job Number],0)),INDEX(tbl_Production[Current RMS No],MATCH(E544&amp;"",tbl_Production[Job Number],0))),""),IF(H544="Consulting",IFERROR(INDEX(tbl_Consulting[Qwilr Quote],MATCH(E544&amp;"",tbl_Consulting[Job Number],0)),""),""))))</f>
        <v/>
      </c>
      <c r="AC544" s="25">
        <f>IF(AB544="","",IF(AND(LEFT(AB544,4)&lt;&gt;"http",IF(H544="Production",set_RMSBase,set_QwilrBase)=""),"",HYPERLINK(IF(LEFT(AB544,4)="http",AB544,IF(H544="Production",set_RMSBase,set_QwilrBase)&amp;AB544),"Open")))</f>
        <v/>
      </c>
      <c r="AD544" s="27">
        <f>IF(E544="","",IF(H544="Production",IFERROR(INDEX(tbl_Production[Total Expense],MATCH(E544&amp;"",tbl_Production[Job Number],0)),0),IF(H544="Consulting",IFERROR(INDEX(tbl_Consulting[Total Expense],MATCH(E544&amp;"",tbl_Consulting[Job Number],0)),0),0)))</f>
        <v/>
      </c>
      <c r="AE544" s="27">
        <f>IF(E544="","",Y544-N(AD544))</f>
        <v/>
      </c>
      <c r="AF544" s="29">
        <f>IFERROR(AE544/Y544,"")</f>
        <v/>
      </c>
      <c r="AG544" s="2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22" t="n"/>
      <c r="B545" s="23">
        <f>IF(A545="","",EOMONTH(A545,0))</f>
        <v/>
      </c>
      <c r="C545" s="24" t="n"/>
      <c r="D545" s="24" t="n"/>
      <c r="E545" s="24" t="n"/>
      <c r="F545" s="25">
        <f>IF(E545="","",IF(COUNTIF(lst_Jobs,E545&amp;"")&gt;0,"OK","CHECK"))</f>
        <v/>
      </c>
      <c r="G545" s="24" t="n"/>
      <c r="H545" s="24" t="n"/>
      <c r="I545" s="24" t="n"/>
      <c r="J545" s="24" t="n"/>
      <c r="K545" s="24" t="n"/>
      <c r="L545" s="26" t="n"/>
      <c r="M545" s="27">
        <f>IF(L545="","",IF(K545="GST 10%",ROUND(L545*set_GSTRate,2),0))</f>
        <v/>
      </c>
      <c r="N545" s="27">
        <f>IF(L545="","",L545+M545)</f>
        <v/>
      </c>
      <c r="O545" s="24" t="n"/>
      <c r="P545" s="24" t="n"/>
      <c r="Q545" s="24" t="n"/>
      <c r="R545" s="22" t="n"/>
      <c r="S545" s="22" t="n"/>
      <c r="T545" s="24" t="n"/>
      <c r="U545" s="24" t="n"/>
      <c r="V545" s="2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25">
        <f>IF(E545="","",IFERROR(INDEX(lst_JobName,MATCH(E545&amp;"",lst_Jobs,0)),""))</f>
        <v/>
      </c>
      <c r="X545" s="28">
        <f>IF(E545="","",COUNTIFS(tbl_Finance[Job Number],E545&amp;"",tbl_Finance[Ex GST],"&lt;&gt;"))</f>
        <v/>
      </c>
      <c r="Y545" s="27">
        <f>IF(E545="","",SUMIFS(tbl_Finance[Ex GST],tbl_Finance[Job Number],E545&amp;""))</f>
        <v/>
      </c>
      <c r="Z545" s="27">
        <f>IF(E545="","",SUMIFS(tbl_Finance[Ex GST],tbl_Finance[Job Number],E545&amp;"",tbl_Finance[Xero Invoice No],"&lt;&gt;"))</f>
        <v/>
      </c>
      <c r="AA545" s="27">
        <f>IF(E545="","",Y545-Z545)</f>
        <v/>
      </c>
      <c r="AB545" s="25">
        <f>IF(E545="","",IF(H545="Onsite",IFERROR(INDEX(tbl_Onsite[Qwilr Quote],MATCH(E545&amp;"",tbl_Onsite[Job Number],0)),""),IF(H545="Production",IFERROR(IF(INDEX(tbl_Production[Current RMS No],MATCH(E545&amp;"",tbl_Production[Job Number],0))="",INDEX(tbl_Production[Qwilr Quote],MATCH(E545&amp;"",tbl_Production[Job Number],0)),INDEX(tbl_Production[Current RMS No],MATCH(E545&amp;"",tbl_Production[Job Number],0))),""),IF(H545="Consulting",IFERROR(INDEX(tbl_Consulting[Qwilr Quote],MATCH(E545&amp;"",tbl_Consulting[Job Number],0)),""),""))))</f>
        <v/>
      </c>
      <c r="AC545" s="25">
        <f>IF(AB545="","",IF(AND(LEFT(AB545,4)&lt;&gt;"http",IF(H545="Production",set_RMSBase,set_QwilrBase)=""),"",HYPERLINK(IF(LEFT(AB545,4)="http",AB545,IF(H545="Production",set_RMSBase,set_QwilrBase)&amp;AB545),"Open")))</f>
        <v/>
      </c>
      <c r="AD545" s="27">
        <f>IF(E545="","",IF(H545="Production",IFERROR(INDEX(tbl_Production[Total Expense],MATCH(E545&amp;"",tbl_Production[Job Number],0)),0),IF(H545="Consulting",IFERROR(INDEX(tbl_Consulting[Total Expense],MATCH(E545&amp;"",tbl_Consulting[Job Number],0)),0),0)))</f>
        <v/>
      </c>
      <c r="AE545" s="27">
        <f>IF(E545="","",Y545-N(AD545))</f>
        <v/>
      </c>
      <c r="AF545" s="29">
        <f>IFERROR(AE545/Y545,"")</f>
        <v/>
      </c>
      <c r="AG545" s="2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22" t="n"/>
      <c r="B546" s="23">
        <f>IF(A546="","",EOMONTH(A546,0))</f>
        <v/>
      </c>
      <c r="C546" s="24" t="n"/>
      <c r="D546" s="24" t="n"/>
      <c r="E546" s="24" t="n"/>
      <c r="F546" s="25">
        <f>IF(E546="","",IF(COUNTIF(lst_Jobs,E546&amp;"")&gt;0,"OK","CHECK"))</f>
        <v/>
      </c>
      <c r="G546" s="24" t="n"/>
      <c r="H546" s="24" t="n"/>
      <c r="I546" s="24" t="n"/>
      <c r="J546" s="24" t="n"/>
      <c r="K546" s="24" t="n"/>
      <c r="L546" s="26" t="n"/>
      <c r="M546" s="27">
        <f>IF(L546="","",IF(K546="GST 10%",ROUND(L546*set_GSTRate,2),0))</f>
        <v/>
      </c>
      <c r="N546" s="27">
        <f>IF(L546="","",L546+M546)</f>
        <v/>
      </c>
      <c r="O546" s="24" t="n"/>
      <c r="P546" s="24" t="n"/>
      <c r="Q546" s="24" t="n"/>
      <c r="R546" s="22" t="n"/>
      <c r="S546" s="22" t="n"/>
      <c r="T546" s="24" t="n"/>
      <c r="U546" s="24" t="n"/>
      <c r="V546" s="2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25">
        <f>IF(E546="","",IFERROR(INDEX(lst_JobName,MATCH(E546&amp;"",lst_Jobs,0)),""))</f>
        <v/>
      </c>
      <c r="X546" s="28">
        <f>IF(E546="","",COUNTIFS(tbl_Finance[Job Number],E546&amp;"",tbl_Finance[Ex GST],"&lt;&gt;"))</f>
        <v/>
      </c>
      <c r="Y546" s="27">
        <f>IF(E546="","",SUMIFS(tbl_Finance[Ex GST],tbl_Finance[Job Number],E546&amp;""))</f>
        <v/>
      </c>
      <c r="Z546" s="27">
        <f>IF(E546="","",SUMIFS(tbl_Finance[Ex GST],tbl_Finance[Job Number],E546&amp;"",tbl_Finance[Xero Invoice No],"&lt;&gt;"))</f>
        <v/>
      </c>
      <c r="AA546" s="27">
        <f>IF(E546="","",Y546-Z546)</f>
        <v/>
      </c>
      <c r="AB546" s="25">
        <f>IF(E546="","",IF(H546="Onsite",IFERROR(INDEX(tbl_Onsite[Qwilr Quote],MATCH(E546&amp;"",tbl_Onsite[Job Number],0)),""),IF(H546="Production",IFERROR(IF(INDEX(tbl_Production[Current RMS No],MATCH(E546&amp;"",tbl_Production[Job Number],0))="",INDEX(tbl_Production[Qwilr Quote],MATCH(E546&amp;"",tbl_Production[Job Number],0)),INDEX(tbl_Production[Current RMS No],MATCH(E546&amp;"",tbl_Production[Job Number],0))),""),IF(H546="Consulting",IFERROR(INDEX(tbl_Consulting[Qwilr Quote],MATCH(E546&amp;"",tbl_Consulting[Job Number],0)),""),""))))</f>
        <v/>
      </c>
      <c r="AC546" s="25">
        <f>IF(AB546="","",IF(AND(LEFT(AB546,4)&lt;&gt;"http",IF(H546="Production",set_RMSBase,set_QwilrBase)=""),"",HYPERLINK(IF(LEFT(AB546,4)="http",AB546,IF(H546="Production",set_RMSBase,set_QwilrBase)&amp;AB546),"Open")))</f>
        <v/>
      </c>
      <c r="AD546" s="27">
        <f>IF(E546="","",IF(H546="Production",IFERROR(INDEX(tbl_Production[Total Expense],MATCH(E546&amp;"",tbl_Production[Job Number],0)),0),IF(H546="Consulting",IFERROR(INDEX(tbl_Consulting[Total Expense],MATCH(E546&amp;"",tbl_Consulting[Job Number],0)),0),0)))</f>
        <v/>
      </c>
      <c r="AE546" s="27">
        <f>IF(E546="","",Y546-N(AD546))</f>
        <v/>
      </c>
      <c r="AF546" s="29">
        <f>IFERROR(AE546/Y546,"")</f>
        <v/>
      </c>
      <c r="AG546" s="2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22" t="n"/>
      <c r="B547" s="23">
        <f>IF(A547="","",EOMONTH(A547,0))</f>
        <v/>
      </c>
      <c r="C547" s="24" t="n"/>
      <c r="D547" s="24" t="n"/>
      <c r="E547" s="24" t="n"/>
      <c r="F547" s="25">
        <f>IF(E547="","",IF(COUNTIF(lst_Jobs,E547&amp;"")&gt;0,"OK","CHECK"))</f>
        <v/>
      </c>
      <c r="G547" s="24" t="n"/>
      <c r="H547" s="24" t="n"/>
      <c r="I547" s="24" t="n"/>
      <c r="J547" s="24" t="n"/>
      <c r="K547" s="24" t="n"/>
      <c r="L547" s="26" t="n"/>
      <c r="M547" s="27">
        <f>IF(L547="","",IF(K547="GST 10%",ROUND(L547*set_GSTRate,2),0))</f>
        <v/>
      </c>
      <c r="N547" s="27">
        <f>IF(L547="","",L547+M547)</f>
        <v/>
      </c>
      <c r="O547" s="24" t="n"/>
      <c r="P547" s="24" t="n"/>
      <c r="Q547" s="24" t="n"/>
      <c r="R547" s="22" t="n"/>
      <c r="S547" s="22" t="n"/>
      <c r="T547" s="24" t="n"/>
      <c r="U547" s="24" t="n"/>
      <c r="V547" s="2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25">
        <f>IF(E547="","",IFERROR(INDEX(lst_JobName,MATCH(E547&amp;"",lst_Jobs,0)),""))</f>
        <v/>
      </c>
      <c r="X547" s="28">
        <f>IF(E547="","",COUNTIFS(tbl_Finance[Job Number],E547&amp;"",tbl_Finance[Ex GST],"&lt;&gt;"))</f>
        <v/>
      </c>
      <c r="Y547" s="27">
        <f>IF(E547="","",SUMIFS(tbl_Finance[Ex GST],tbl_Finance[Job Number],E547&amp;""))</f>
        <v/>
      </c>
      <c r="Z547" s="27">
        <f>IF(E547="","",SUMIFS(tbl_Finance[Ex GST],tbl_Finance[Job Number],E547&amp;"",tbl_Finance[Xero Invoice No],"&lt;&gt;"))</f>
        <v/>
      </c>
      <c r="AA547" s="27">
        <f>IF(E547="","",Y547-Z547)</f>
        <v/>
      </c>
      <c r="AB547" s="25">
        <f>IF(E547="","",IF(H547="Onsite",IFERROR(INDEX(tbl_Onsite[Qwilr Quote],MATCH(E547&amp;"",tbl_Onsite[Job Number],0)),""),IF(H547="Production",IFERROR(IF(INDEX(tbl_Production[Current RMS No],MATCH(E547&amp;"",tbl_Production[Job Number],0))="",INDEX(tbl_Production[Qwilr Quote],MATCH(E547&amp;"",tbl_Production[Job Number],0)),INDEX(tbl_Production[Current RMS No],MATCH(E547&amp;"",tbl_Production[Job Number],0))),""),IF(H547="Consulting",IFERROR(INDEX(tbl_Consulting[Qwilr Quote],MATCH(E547&amp;"",tbl_Consulting[Job Number],0)),""),""))))</f>
        <v/>
      </c>
      <c r="AC547" s="25">
        <f>IF(AB547="","",IF(AND(LEFT(AB547,4)&lt;&gt;"http",IF(H547="Production",set_RMSBase,set_QwilrBase)=""),"",HYPERLINK(IF(LEFT(AB547,4)="http",AB547,IF(H547="Production",set_RMSBase,set_QwilrBase)&amp;AB547),"Open")))</f>
        <v/>
      </c>
      <c r="AD547" s="27">
        <f>IF(E547="","",IF(H547="Production",IFERROR(INDEX(tbl_Production[Total Expense],MATCH(E547&amp;"",tbl_Production[Job Number],0)),0),IF(H547="Consulting",IFERROR(INDEX(tbl_Consulting[Total Expense],MATCH(E547&amp;"",tbl_Consulting[Job Number],0)),0),0)))</f>
        <v/>
      </c>
      <c r="AE547" s="27">
        <f>IF(E547="","",Y547-N(AD547))</f>
        <v/>
      </c>
      <c r="AF547" s="29">
        <f>IFERROR(AE547/Y547,"")</f>
        <v/>
      </c>
      <c r="AG547" s="2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22" t="n"/>
      <c r="B548" s="23">
        <f>IF(A548="","",EOMONTH(A548,0))</f>
        <v/>
      </c>
      <c r="C548" s="24" t="n"/>
      <c r="D548" s="24" t="n"/>
      <c r="E548" s="24" t="n"/>
      <c r="F548" s="25">
        <f>IF(E548="","",IF(COUNTIF(lst_Jobs,E548&amp;"")&gt;0,"OK","CHECK"))</f>
        <v/>
      </c>
      <c r="G548" s="24" t="n"/>
      <c r="H548" s="24" t="n"/>
      <c r="I548" s="24" t="n"/>
      <c r="J548" s="24" t="n"/>
      <c r="K548" s="24" t="n"/>
      <c r="L548" s="26" t="n"/>
      <c r="M548" s="27">
        <f>IF(L548="","",IF(K548="GST 10%",ROUND(L548*set_GSTRate,2),0))</f>
        <v/>
      </c>
      <c r="N548" s="27">
        <f>IF(L548="","",L548+M548)</f>
        <v/>
      </c>
      <c r="O548" s="24" t="n"/>
      <c r="P548" s="24" t="n"/>
      <c r="Q548" s="24" t="n"/>
      <c r="R548" s="22" t="n"/>
      <c r="S548" s="22" t="n"/>
      <c r="T548" s="24" t="n"/>
      <c r="U548" s="24" t="n"/>
      <c r="V548" s="2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25">
        <f>IF(E548="","",IFERROR(INDEX(lst_JobName,MATCH(E548&amp;"",lst_Jobs,0)),""))</f>
        <v/>
      </c>
      <c r="X548" s="28">
        <f>IF(E548="","",COUNTIFS(tbl_Finance[Job Number],E548&amp;"",tbl_Finance[Ex GST],"&lt;&gt;"))</f>
        <v/>
      </c>
      <c r="Y548" s="27">
        <f>IF(E548="","",SUMIFS(tbl_Finance[Ex GST],tbl_Finance[Job Number],E548&amp;""))</f>
        <v/>
      </c>
      <c r="Z548" s="27">
        <f>IF(E548="","",SUMIFS(tbl_Finance[Ex GST],tbl_Finance[Job Number],E548&amp;"",tbl_Finance[Xero Invoice No],"&lt;&gt;"))</f>
        <v/>
      </c>
      <c r="AA548" s="27">
        <f>IF(E548="","",Y548-Z548)</f>
        <v/>
      </c>
      <c r="AB548" s="25">
        <f>IF(E548="","",IF(H548="Onsite",IFERROR(INDEX(tbl_Onsite[Qwilr Quote],MATCH(E548&amp;"",tbl_Onsite[Job Number],0)),""),IF(H548="Production",IFERROR(IF(INDEX(tbl_Production[Current RMS No],MATCH(E548&amp;"",tbl_Production[Job Number],0))="",INDEX(tbl_Production[Qwilr Quote],MATCH(E548&amp;"",tbl_Production[Job Number],0)),INDEX(tbl_Production[Current RMS No],MATCH(E548&amp;"",tbl_Production[Job Number],0))),""),IF(H548="Consulting",IFERROR(INDEX(tbl_Consulting[Qwilr Quote],MATCH(E548&amp;"",tbl_Consulting[Job Number],0)),""),""))))</f>
        <v/>
      </c>
      <c r="AC548" s="25">
        <f>IF(AB548="","",IF(AND(LEFT(AB548,4)&lt;&gt;"http",IF(H548="Production",set_RMSBase,set_QwilrBase)=""),"",HYPERLINK(IF(LEFT(AB548,4)="http",AB548,IF(H548="Production",set_RMSBase,set_QwilrBase)&amp;AB548),"Open")))</f>
        <v/>
      </c>
      <c r="AD548" s="27">
        <f>IF(E548="","",IF(H548="Production",IFERROR(INDEX(tbl_Production[Total Expense],MATCH(E548&amp;"",tbl_Production[Job Number],0)),0),IF(H548="Consulting",IFERROR(INDEX(tbl_Consulting[Total Expense],MATCH(E548&amp;"",tbl_Consulting[Job Number],0)),0),0)))</f>
        <v/>
      </c>
      <c r="AE548" s="27">
        <f>IF(E548="","",Y548-N(AD548))</f>
        <v/>
      </c>
      <c r="AF548" s="29">
        <f>IFERROR(AE548/Y548,"")</f>
        <v/>
      </c>
      <c r="AG548" s="2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22" t="n"/>
      <c r="B549" s="23">
        <f>IF(A549="","",EOMONTH(A549,0))</f>
        <v/>
      </c>
      <c r="C549" s="24" t="n"/>
      <c r="D549" s="24" t="n"/>
      <c r="E549" s="24" t="n"/>
      <c r="F549" s="25">
        <f>IF(E549="","",IF(COUNTIF(lst_Jobs,E549&amp;"")&gt;0,"OK","CHECK"))</f>
        <v/>
      </c>
      <c r="G549" s="24" t="n"/>
      <c r="H549" s="24" t="n"/>
      <c r="I549" s="24" t="n"/>
      <c r="J549" s="24" t="n"/>
      <c r="K549" s="24" t="n"/>
      <c r="L549" s="26" t="n"/>
      <c r="M549" s="27">
        <f>IF(L549="","",IF(K549="GST 10%",ROUND(L549*set_GSTRate,2),0))</f>
        <v/>
      </c>
      <c r="N549" s="27">
        <f>IF(L549="","",L549+M549)</f>
        <v/>
      </c>
      <c r="O549" s="24" t="n"/>
      <c r="P549" s="24" t="n"/>
      <c r="Q549" s="24" t="n"/>
      <c r="R549" s="22" t="n"/>
      <c r="S549" s="22" t="n"/>
      <c r="T549" s="24" t="n"/>
      <c r="U549" s="24" t="n"/>
      <c r="V549" s="2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25">
        <f>IF(E549="","",IFERROR(INDEX(lst_JobName,MATCH(E549&amp;"",lst_Jobs,0)),""))</f>
        <v/>
      </c>
      <c r="X549" s="28">
        <f>IF(E549="","",COUNTIFS(tbl_Finance[Job Number],E549&amp;"",tbl_Finance[Ex GST],"&lt;&gt;"))</f>
        <v/>
      </c>
      <c r="Y549" s="27">
        <f>IF(E549="","",SUMIFS(tbl_Finance[Ex GST],tbl_Finance[Job Number],E549&amp;""))</f>
        <v/>
      </c>
      <c r="Z549" s="27">
        <f>IF(E549="","",SUMIFS(tbl_Finance[Ex GST],tbl_Finance[Job Number],E549&amp;"",tbl_Finance[Xero Invoice No],"&lt;&gt;"))</f>
        <v/>
      </c>
      <c r="AA549" s="27">
        <f>IF(E549="","",Y549-Z549)</f>
        <v/>
      </c>
      <c r="AB549" s="25">
        <f>IF(E549="","",IF(H549="Onsite",IFERROR(INDEX(tbl_Onsite[Qwilr Quote],MATCH(E549&amp;"",tbl_Onsite[Job Number],0)),""),IF(H549="Production",IFERROR(IF(INDEX(tbl_Production[Current RMS No],MATCH(E549&amp;"",tbl_Production[Job Number],0))="",INDEX(tbl_Production[Qwilr Quote],MATCH(E549&amp;"",tbl_Production[Job Number],0)),INDEX(tbl_Production[Current RMS No],MATCH(E549&amp;"",tbl_Production[Job Number],0))),""),IF(H549="Consulting",IFERROR(INDEX(tbl_Consulting[Qwilr Quote],MATCH(E549&amp;"",tbl_Consulting[Job Number],0)),""),""))))</f>
        <v/>
      </c>
      <c r="AC549" s="25">
        <f>IF(AB549="","",IF(AND(LEFT(AB549,4)&lt;&gt;"http",IF(H549="Production",set_RMSBase,set_QwilrBase)=""),"",HYPERLINK(IF(LEFT(AB549,4)="http",AB549,IF(H549="Production",set_RMSBase,set_QwilrBase)&amp;AB549),"Open")))</f>
        <v/>
      </c>
      <c r="AD549" s="27">
        <f>IF(E549="","",IF(H549="Production",IFERROR(INDEX(tbl_Production[Total Expense],MATCH(E549&amp;"",tbl_Production[Job Number],0)),0),IF(H549="Consulting",IFERROR(INDEX(tbl_Consulting[Total Expense],MATCH(E549&amp;"",tbl_Consulting[Job Number],0)),0),0)))</f>
        <v/>
      </c>
      <c r="AE549" s="27">
        <f>IF(E549="","",Y549-N(AD549))</f>
        <v/>
      </c>
      <c r="AF549" s="29">
        <f>IFERROR(AE549/Y549,"")</f>
        <v/>
      </c>
      <c r="AG549" s="2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22" t="n"/>
      <c r="B550" s="23">
        <f>IF(A550="","",EOMONTH(A550,0))</f>
        <v/>
      </c>
      <c r="C550" s="24" t="n"/>
      <c r="D550" s="24" t="n"/>
      <c r="E550" s="24" t="n"/>
      <c r="F550" s="25">
        <f>IF(E550="","",IF(COUNTIF(lst_Jobs,E550&amp;"")&gt;0,"OK","CHECK"))</f>
        <v/>
      </c>
      <c r="G550" s="24" t="n"/>
      <c r="H550" s="24" t="n"/>
      <c r="I550" s="24" t="n"/>
      <c r="J550" s="24" t="n"/>
      <c r="K550" s="24" t="n"/>
      <c r="L550" s="26" t="n"/>
      <c r="M550" s="27">
        <f>IF(L550="","",IF(K550="GST 10%",ROUND(L550*set_GSTRate,2),0))</f>
        <v/>
      </c>
      <c r="N550" s="27">
        <f>IF(L550="","",L550+M550)</f>
        <v/>
      </c>
      <c r="O550" s="24" t="n"/>
      <c r="P550" s="24" t="n"/>
      <c r="Q550" s="24" t="n"/>
      <c r="R550" s="22" t="n"/>
      <c r="S550" s="22" t="n"/>
      <c r="T550" s="24" t="n"/>
      <c r="U550" s="24" t="n"/>
      <c r="V550" s="2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25">
        <f>IF(E550="","",IFERROR(INDEX(lst_JobName,MATCH(E550&amp;"",lst_Jobs,0)),""))</f>
        <v/>
      </c>
      <c r="X550" s="28">
        <f>IF(E550="","",COUNTIFS(tbl_Finance[Job Number],E550&amp;"",tbl_Finance[Ex GST],"&lt;&gt;"))</f>
        <v/>
      </c>
      <c r="Y550" s="27">
        <f>IF(E550="","",SUMIFS(tbl_Finance[Ex GST],tbl_Finance[Job Number],E550&amp;""))</f>
        <v/>
      </c>
      <c r="Z550" s="27">
        <f>IF(E550="","",SUMIFS(tbl_Finance[Ex GST],tbl_Finance[Job Number],E550&amp;"",tbl_Finance[Xero Invoice No],"&lt;&gt;"))</f>
        <v/>
      </c>
      <c r="AA550" s="27">
        <f>IF(E550="","",Y550-Z550)</f>
        <v/>
      </c>
      <c r="AB550" s="25">
        <f>IF(E550="","",IF(H550="Onsite",IFERROR(INDEX(tbl_Onsite[Qwilr Quote],MATCH(E550&amp;"",tbl_Onsite[Job Number],0)),""),IF(H550="Production",IFERROR(IF(INDEX(tbl_Production[Current RMS No],MATCH(E550&amp;"",tbl_Production[Job Number],0))="",INDEX(tbl_Production[Qwilr Quote],MATCH(E550&amp;"",tbl_Production[Job Number],0)),INDEX(tbl_Production[Current RMS No],MATCH(E550&amp;"",tbl_Production[Job Number],0))),""),IF(H550="Consulting",IFERROR(INDEX(tbl_Consulting[Qwilr Quote],MATCH(E550&amp;"",tbl_Consulting[Job Number],0)),""),""))))</f>
        <v/>
      </c>
      <c r="AC550" s="25">
        <f>IF(AB550="","",IF(AND(LEFT(AB550,4)&lt;&gt;"http",IF(H550="Production",set_RMSBase,set_QwilrBase)=""),"",HYPERLINK(IF(LEFT(AB550,4)="http",AB550,IF(H550="Production",set_RMSBase,set_QwilrBase)&amp;AB550),"Open")))</f>
        <v/>
      </c>
      <c r="AD550" s="27">
        <f>IF(E550="","",IF(H550="Production",IFERROR(INDEX(tbl_Production[Total Expense],MATCH(E550&amp;"",tbl_Production[Job Number],0)),0),IF(H550="Consulting",IFERROR(INDEX(tbl_Consulting[Total Expense],MATCH(E550&amp;"",tbl_Consulting[Job Number],0)),0),0)))</f>
        <v/>
      </c>
      <c r="AE550" s="27">
        <f>IF(E550="","",Y550-N(AD550))</f>
        <v/>
      </c>
      <c r="AF550" s="29">
        <f>IFERROR(AE550/Y550,"")</f>
        <v/>
      </c>
      <c r="AG550" s="2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22" t="n"/>
      <c r="B551" s="23">
        <f>IF(A551="","",EOMONTH(A551,0))</f>
        <v/>
      </c>
      <c r="C551" s="24" t="n"/>
      <c r="D551" s="24" t="n"/>
      <c r="E551" s="24" t="n"/>
      <c r="F551" s="25">
        <f>IF(E551="","",IF(COUNTIF(lst_Jobs,E551&amp;"")&gt;0,"OK","CHECK"))</f>
        <v/>
      </c>
      <c r="G551" s="24" t="n"/>
      <c r="H551" s="24" t="n"/>
      <c r="I551" s="24" t="n"/>
      <c r="J551" s="24" t="n"/>
      <c r="K551" s="24" t="n"/>
      <c r="L551" s="26" t="n"/>
      <c r="M551" s="27">
        <f>IF(L551="","",IF(K551="GST 10%",ROUND(L551*set_GSTRate,2),0))</f>
        <v/>
      </c>
      <c r="N551" s="27">
        <f>IF(L551="","",L551+M551)</f>
        <v/>
      </c>
      <c r="O551" s="24" t="n"/>
      <c r="P551" s="24" t="n"/>
      <c r="Q551" s="24" t="n"/>
      <c r="R551" s="22" t="n"/>
      <c r="S551" s="22" t="n"/>
      <c r="T551" s="24" t="n"/>
      <c r="U551" s="24" t="n"/>
      <c r="V551" s="2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25">
        <f>IF(E551="","",IFERROR(INDEX(lst_JobName,MATCH(E551&amp;"",lst_Jobs,0)),""))</f>
        <v/>
      </c>
      <c r="X551" s="28">
        <f>IF(E551="","",COUNTIFS(tbl_Finance[Job Number],E551&amp;"",tbl_Finance[Ex GST],"&lt;&gt;"))</f>
        <v/>
      </c>
      <c r="Y551" s="27">
        <f>IF(E551="","",SUMIFS(tbl_Finance[Ex GST],tbl_Finance[Job Number],E551&amp;""))</f>
        <v/>
      </c>
      <c r="Z551" s="27">
        <f>IF(E551="","",SUMIFS(tbl_Finance[Ex GST],tbl_Finance[Job Number],E551&amp;"",tbl_Finance[Xero Invoice No],"&lt;&gt;"))</f>
        <v/>
      </c>
      <c r="AA551" s="27">
        <f>IF(E551="","",Y551-Z551)</f>
        <v/>
      </c>
      <c r="AB551" s="25">
        <f>IF(E551="","",IF(H551="Onsite",IFERROR(INDEX(tbl_Onsite[Qwilr Quote],MATCH(E551&amp;"",tbl_Onsite[Job Number],0)),""),IF(H551="Production",IFERROR(IF(INDEX(tbl_Production[Current RMS No],MATCH(E551&amp;"",tbl_Production[Job Number],0))="",INDEX(tbl_Production[Qwilr Quote],MATCH(E551&amp;"",tbl_Production[Job Number],0)),INDEX(tbl_Production[Current RMS No],MATCH(E551&amp;"",tbl_Production[Job Number],0))),""),IF(H551="Consulting",IFERROR(INDEX(tbl_Consulting[Qwilr Quote],MATCH(E551&amp;"",tbl_Consulting[Job Number],0)),""),""))))</f>
        <v/>
      </c>
      <c r="AC551" s="25">
        <f>IF(AB551="","",IF(AND(LEFT(AB551,4)&lt;&gt;"http",IF(H551="Production",set_RMSBase,set_QwilrBase)=""),"",HYPERLINK(IF(LEFT(AB551,4)="http",AB551,IF(H551="Production",set_RMSBase,set_QwilrBase)&amp;AB551),"Open")))</f>
        <v/>
      </c>
      <c r="AD551" s="27">
        <f>IF(E551="","",IF(H551="Production",IFERROR(INDEX(tbl_Production[Total Expense],MATCH(E551&amp;"",tbl_Production[Job Number],0)),0),IF(H551="Consulting",IFERROR(INDEX(tbl_Consulting[Total Expense],MATCH(E551&amp;"",tbl_Consulting[Job Number],0)),0),0)))</f>
        <v/>
      </c>
      <c r="AE551" s="27">
        <f>IF(E551="","",Y551-N(AD551))</f>
        <v/>
      </c>
      <c r="AF551" s="29">
        <f>IFERROR(AE551/Y551,"")</f>
        <v/>
      </c>
      <c r="AG551" s="2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22" t="n"/>
      <c r="B552" s="23">
        <f>IF(A552="","",EOMONTH(A552,0))</f>
        <v/>
      </c>
      <c r="C552" s="24" t="n"/>
      <c r="D552" s="24" t="n"/>
      <c r="E552" s="24" t="n"/>
      <c r="F552" s="25">
        <f>IF(E552="","",IF(COUNTIF(lst_Jobs,E552&amp;"")&gt;0,"OK","CHECK"))</f>
        <v/>
      </c>
      <c r="G552" s="24" t="n"/>
      <c r="H552" s="24" t="n"/>
      <c r="I552" s="24" t="n"/>
      <c r="J552" s="24" t="n"/>
      <c r="K552" s="24" t="n"/>
      <c r="L552" s="26" t="n"/>
      <c r="M552" s="27">
        <f>IF(L552="","",IF(K552="GST 10%",ROUND(L552*set_GSTRate,2),0))</f>
        <v/>
      </c>
      <c r="N552" s="27">
        <f>IF(L552="","",L552+M552)</f>
        <v/>
      </c>
      <c r="O552" s="24" t="n"/>
      <c r="P552" s="24" t="n"/>
      <c r="Q552" s="24" t="n"/>
      <c r="R552" s="22" t="n"/>
      <c r="S552" s="22" t="n"/>
      <c r="T552" s="24" t="n"/>
      <c r="U552" s="24" t="n"/>
      <c r="V552" s="2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25">
        <f>IF(E552="","",IFERROR(INDEX(lst_JobName,MATCH(E552&amp;"",lst_Jobs,0)),""))</f>
        <v/>
      </c>
      <c r="X552" s="28">
        <f>IF(E552="","",COUNTIFS(tbl_Finance[Job Number],E552&amp;"",tbl_Finance[Ex GST],"&lt;&gt;"))</f>
        <v/>
      </c>
      <c r="Y552" s="27">
        <f>IF(E552="","",SUMIFS(tbl_Finance[Ex GST],tbl_Finance[Job Number],E552&amp;""))</f>
        <v/>
      </c>
      <c r="Z552" s="27">
        <f>IF(E552="","",SUMIFS(tbl_Finance[Ex GST],tbl_Finance[Job Number],E552&amp;"",tbl_Finance[Xero Invoice No],"&lt;&gt;"))</f>
        <v/>
      </c>
      <c r="AA552" s="27">
        <f>IF(E552="","",Y552-Z552)</f>
        <v/>
      </c>
      <c r="AB552" s="25">
        <f>IF(E552="","",IF(H552="Onsite",IFERROR(INDEX(tbl_Onsite[Qwilr Quote],MATCH(E552&amp;"",tbl_Onsite[Job Number],0)),""),IF(H552="Production",IFERROR(IF(INDEX(tbl_Production[Current RMS No],MATCH(E552&amp;"",tbl_Production[Job Number],0))="",INDEX(tbl_Production[Qwilr Quote],MATCH(E552&amp;"",tbl_Production[Job Number],0)),INDEX(tbl_Production[Current RMS No],MATCH(E552&amp;"",tbl_Production[Job Number],0))),""),IF(H552="Consulting",IFERROR(INDEX(tbl_Consulting[Qwilr Quote],MATCH(E552&amp;"",tbl_Consulting[Job Number],0)),""),""))))</f>
        <v/>
      </c>
      <c r="AC552" s="25">
        <f>IF(AB552="","",IF(AND(LEFT(AB552,4)&lt;&gt;"http",IF(H552="Production",set_RMSBase,set_QwilrBase)=""),"",HYPERLINK(IF(LEFT(AB552,4)="http",AB552,IF(H552="Production",set_RMSBase,set_QwilrBase)&amp;AB552),"Open")))</f>
        <v/>
      </c>
      <c r="AD552" s="27">
        <f>IF(E552="","",IF(H552="Production",IFERROR(INDEX(tbl_Production[Total Expense],MATCH(E552&amp;"",tbl_Production[Job Number],0)),0),IF(H552="Consulting",IFERROR(INDEX(tbl_Consulting[Total Expense],MATCH(E552&amp;"",tbl_Consulting[Job Number],0)),0),0)))</f>
        <v/>
      </c>
      <c r="AE552" s="27">
        <f>IF(E552="","",Y552-N(AD552))</f>
        <v/>
      </c>
      <c r="AF552" s="29">
        <f>IFERROR(AE552/Y552,"")</f>
        <v/>
      </c>
      <c r="AG552" s="2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22" t="n"/>
      <c r="B553" s="23">
        <f>IF(A553="","",EOMONTH(A553,0))</f>
        <v/>
      </c>
      <c r="C553" s="24" t="n"/>
      <c r="D553" s="24" t="n"/>
      <c r="E553" s="24" t="n"/>
      <c r="F553" s="25">
        <f>IF(E553="","",IF(COUNTIF(lst_Jobs,E553&amp;"")&gt;0,"OK","CHECK"))</f>
        <v/>
      </c>
      <c r="G553" s="24" t="n"/>
      <c r="H553" s="24" t="n"/>
      <c r="I553" s="24" t="n"/>
      <c r="J553" s="24" t="n"/>
      <c r="K553" s="24" t="n"/>
      <c r="L553" s="26" t="n"/>
      <c r="M553" s="27">
        <f>IF(L553="","",IF(K553="GST 10%",ROUND(L553*set_GSTRate,2),0))</f>
        <v/>
      </c>
      <c r="N553" s="27">
        <f>IF(L553="","",L553+M553)</f>
        <v/>
      </c>
      <c r="O553" s="24" t="n"/>
      <c r="P553" s="24" t="n"/>
      <c r="Q553" s="24" t="n"/>
      <c r="R553" s="22" t="n"/>
      <c r="S553" s="22" t="n"/>
      <c r="T553" s="24" t="n"/>
      <c r="U553" s="24" t="n"/>
      <c r="V553" s="2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25">
        <f>IF(E553="","",IFERROR(INDEX(lst_JobName,MATCH(E553&amp;"",lst_Jobs,0)),""))</f>
        <v/>
      </c>
      <c r="X553" s="28">
        <f>IF(E553="","",COUNTIFS(tbl_Finance[Job Number],E553&amp;"",tbl_Finance[Ex GST],"&lt;&gt;"))</f>
        <v/>
      </c>
      <c r="Y553" s="27">
        <f>IF(E553="","",SUMIFS(tbl_Finance[Ex GST],tbl_Finance[Job Number],E553&amp;""))</f>
        <v/>
      </c>
      <c r="Z553" s="27">
        <f>IF(E553="","",SUMIFS(tbl_Finance[Ex GST],tbl_Finance[Job Number],E553&amp;"",tbl_Finance[Xero Invoice No],"&lt;&gt;"))</f>
        <v/>
      </c>
      <c r="AA553" s="27">
        <f>IF(E553="","",Y553-Z553)</f>
        <v/>
      </c>
      <c r="AB553" s="25">
        <f>IF(E553="","",IF(H553="Onsite",IFERROR(INDEX(tbl_Onsite[Qwilr Quote],MATCH(E553&amp;"",tbl_Onsite[Job Number],0)),""),IF(H553="Production",IFERROR(IF(INDEX(tbl_Production[Current RMS No],MATCH(E553&amp;"",tbl_Production[Job Number],0))="",INDEX(tbl_Production[Qwilr Quote],MATCH(E553&amp;"",tbl_Production[Job Number],0)),INDEX(tbl_Production[Current RMS No],MATCH(E553&amp;"",tbl_Production[Job Number],0))),""),IF(H553="Consulting",IFERROR(INDEX(tbl_Consulting[Qwilr Quote],MATCH(E553&amp;"",tbl_Consulting[Job Number],0)),""),""))))</f>
        <v/>
      </c>
      <c r="AC553" s="25">
        <f>IF(AB553="","",IF(AND(LEFT(AB553,4)&lt;&gt;"http",IF(H553="Production",set_RMSBase,set_QwilrBase)=""),"",HYPERLINK(IF(LEFT(AB553,4)="http",AB553,IF(H553="Production",set_RMSBase,set_QwilrBase)&amp;AB553),"Open")))</f>
        <v/>
      </c>
      <c r="AD553" s="27">
        <f>IF(E553="","",IF(H553="Production",IFERROR(INDEX(tbl_Production[Total Expense],MATCH(E553&amp;"",tbl_Production[Job Number],0)),0),IF(H553="Consulting",IFERROR(INDEX(tbl_Consulting[Total Expense],MATCH(E553&amp;"",tbl_Consulting[Job Number],0)),0),0)))</f>
        <v/>
      </c>
      <c r="AE553" s="27">
        <f>IF(E553="","",Y553-N(AD553))</f>
        <v/>
      </c>
      <c r="AF553" s="29">
        <f>IFERROR(AE553/Y553,"")</f>
        <v/>
      </c>
      <c r="AG553" s="2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22" t="n"/>
      <c r="B554" s="23">
        <f>IF(A554="","",EOMONTH(A554,0))</f>
        <v/>
      </c>
      <c r="C554" s="24" t="n"/>
      <c r="D554" s="24" t="n"/>
      <c r="E554" s="24" t="n"/>
      <c r="F554" s="25">
        <f>IF(E554="","",IF(COUNTIF(lst_Jobs,E554&amp;"")&gt;0,"OK","CHECK"))</f>
        <v/>
      </c>
      <c r="G554" s="24" t="n"/>
      <c r="H554" s="24" t="n"/>
      <c r="I554" s="24" t="n"/>
      <c r="J554" s="24" t="n"/>
      <c r="K554" s="24" t="n"/>
      <c r="L554" s="26" t="n"/>
      <c r="M554" s="27">
        <f>IF(L554="","",IF(K554="GST 10%",ROUND(L554*set_GSTRate,2),0))</f>
        <v/>
      </c>
      <c r="N554" s="27">
        <f>IF(L554="","",L554+M554)</f>
        <v/>
      </c>
      <c r="O554" s="24" t="n"/>
      <c r="P554" s="24" t="n"/>
      <c r="Q554" s="24" t="n"/>
      <c r="R554" s="22" t="n"/>
      <c r="S554" s="22" t="n"/>
      <c r="T554" s="24" t="n"/>
      <c r="U554" s="24" t="n"/>
      <c r="V554" s="2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25">
        <f>IF(E554="","",IFERROR(INDEX(lst_JobName,MATCH(E554&amp;"",lst_Jobs,0)),""))</f>
        <v/>
      </c>
      <c r="X554" s="28">
        <f>IF(E554="","",COUNTIFS(tbl_Finance[Job Number],E554&amp;"",tbl_Finance[Ex GST],"&lt;&gt;"))</f>
        <v/>
      </c>
      <c r="Y554" s="27">
        <f>IF(E554="","",SUMIFS(tbl_Finance[Ex GST],tbl_Finance[Job Number],E554&amp;""))</f>
        <v/>
      </c>
      <c r="Z554" s="27">
        <f>IF(E554="","",SUMIFS(tbl_Finance[Ex GST],tbl_Finance[Job Number],E554&amp;"",tbl_Finance[Xero Invoice No],"&lt;&gt;"))</f>
        <v/>
      </c>
      <c r="AA554" s="27">
        <f>IF(E554="","",Y554-Z554)</f>
        <v/>
      </c>
      <c r="AB554" s="25">
        <f>IF(E554="","",IF(H554="Onsite",IFERROR(INDEX(tbl_Onsite[Qwilr Quote],MATCH(E554&amp;"",tbl_Onsite[Job Number],0)),""),IF(H554="Production",IFERROR(IF(INDEX(tbl_Production[Current RMS No],MATCH(E554&amp;"",tbl_Production[Job Number],0))="",INDEX(tbl_Production[Qwilr Quote],MATCH(E554&amp;"",tbl_Production[Job Number],0)),INDEX(tbl_Production[Current RMS No],MATCH(E554&amp;"",tbl_Production[Job Number],0))),""),IF(H554="Consulting",IFERROR(INDEX(tbl_Consulting[Qwilr Quote],MATCH(E554&amp;"",tbl_Consulting[Job Number],0)),""),""))))</f>
        <v/>
      </c>
      <c r="AC554" s="25">
        <f>IF(AB554="","",IF(AND(LEFT(AB554,4)&lt;&gt;"http",IF(H554="Production",set_RMSBase,set_QwilrBase)=""),"",HYPERLINK(IF(LEFT(AB554,4)="http",AB554,IF(H554="Production",set_RMSBase,set_QwilrBase)&amp;AB554),"Open")))</f>
        <v/>
      </c>
      <c r="AD554" s="27">
        <f>IF(E554="","",IF(H554="Production",IFERROR(INDEX(tbl_Production[Total Expense],MATCH(E554&amp;"",tbl_Production[Job Number],0)),0),IF(H554="Consulting",IFERROR(INDEX(tbl_Consulting[Total Expense],MATCH(E554&amp;"",tbl_Consulting[Job Number],0)),0),0)))</f>
        <v/>
      </c>
      <c r="AE554" s="27">
        <f>IF(E554="","",Y554-N(AD554))</f>
        <v/>
      </c>
      <c r="AF554" s="29">
        <f>IFERROR(AE554/Y554,"")</f>
        <v/>
      </c>
      <c r="AG554" s="2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22" t="n"/>
      <c r="B555" s="23">
        <f>IF(A555="","",EOMONTH(A555,0))</f>
        <v/>
      </c>
      <c r="C555" s="24" t="n"/>
      <c r="D555" s="24" t="n"/>
      <c r="E555" s="24" t="n"/>
      <c r="F555" s="25">
        <f>IF(E555="","",IF(COUNTIF(lst_Jobs,E555&amp;"")&gt;0,"OK","CHECK"))</f>
        <v/>
      </c>
      <c r="G555" s="24" t="n"/>
      <c r="H555" s="24" t="n"/>
      <c r="I555" s="24" t="n"/>
      <c r="J555" s="24" t="n"/>
      <c r="K555" s="24" t="n"/>
      <c r="L555" s="26" t="n"/>
      <c r="M555" s="27">
        <f>IF(L555="","",IF(K555="GST 10%",ROUND(L555*set_GSTRate,2),0))</f>
        <v/>
      </c>
      <c r="N555" s="27">
        <f>IF(L555="","",L555+M555)</f>
        <v/>
      </c>
      <c r="O555" s="24" t="n"/>
      <c r="P555" s="24" t="n"/>
      <c r="Q555" s="24" t="n"/>
      <c r="R555" s="22" t="n"/>
      <c r="S555" s="22" t="n"/>
      <c r="T555" s="24" t="n"/>
      <c r="U555" s="24" t="n"/>
      <c r="V555" s="2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25">
        <f>IF(E555="","",IFERROR(INDEX(lst_JobName,MATCH(E555&amp;"",lst_Jobs,0)),""))</f>
        <v/>
      </c>
      <c r="X555" s="28">
        <f>IF(E555="","",COUNTIFS(tbl_Finance[Job Number],E555&amp;"",tbl_Finance[Ex GST],"&lt;&gt;"))</f>
        <v/>
      </c>
      <c r="Y555" s="27">
        <f>IF(E555="","",SUMIFS(tbl_Finance[Ex GST],tbl_Finance[Job Number],E555&amp;""))</f>
        <v/>
      </c>
      <c r="Z555" s="27">
        <f>IF(E555="","",SUMIFS(tbl_Finance[Ex GST],tbl_Finance[Job Number],E555&amp;"",tbl_Finance[Xero Invoice No],"&lt;&gt;"))</f>
        <v/>
      </c>
      <c r="AA555" s="27">
        <f>IF(E555="","",Y555-Z555)</f>
        <v/>
      </c>
      <c r="AB555" s="25">
        <f>IF(E555="","",IF(H555="Onsite",IFERROR(INDEX(tbl_Onsite[Qwilr Quote],MATCH(E555&amp;"",tbl_Onsite[Job Number],0)),""),IF(H555="Production",IFERROR(IF(INDEX(tbl_Production[Current RMS No],MATCH(E555&amp;"",tbl_Production[Job Number],0))="",INDEX(tbl_Production[Qwilr Quote],MATCH(E555&amp;"",tbl_Production[Job Number],0)),INDEX(tbl_Production[Current RMS No],MATCH(E555&amp;"",tbl_Production[Job Number],0))),""),IF(H555="Consulting",IFERROR(INDEX(tbl_Consulting[Qwilr Quote],MATCH(E555&amp;"",tbl_Consulting[Job Number],0)),""),""))))</f>
        <v/>
      </c>
      <c r="AC555" s="25">
        <f>IF(AB555="","",IF(AND(LEFT(AB555,4)&lt;&gt;"http",IF(H555="Production",set_RMSBase,set_QwilrBase)=""),"",HYPERLINK(IF(LEFT(AB555,4)="http",AB555,IF(H555="Production",set_RMSBase,set_QwilrBase)&amp;AB555),"Open")))</f>
        <v/>
      </c>
      <c r="AD555" s="27">
        <f>IF(E555="","",IF(H555="Production",IFERROR(INDEX(tbl_Production[Total Expense],MATCH(E555&amp;"",tbl_Production[Job Number],0)),0),IF(H555="Consulting",IFERROR(INDEX(tbl_Consulting[Total Expense],MATCH(E555&amp;"",tbl_Consulting[Job Number],0)),0),0)))</f>
        <v/>
      </c>
      <c r="AE555" s="27">
        <f>IF(E555="","",Y555-N(AD555))</f>
        <v/>
      </c>
      <c r="AF555" s="29">
        <f>IFERROR(AE555/Y555,"")</f>
        <v/>
      </c>
      <c r="AG555" s="2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22" t="n"/>
      <c r="B556" s="23">
        <f>IF(A556="","",EOMONTH(A556,0))</f>
        <v/>
      </c>
      <c r="C556" s="24" t="n"/>
      <c r="D556" s="24" t="n"/>
      <c r="E556" s="24" t="n"/>
      <c r="F556" s="25">
        <f>IF(E556="","",IF(COUNTIF(lst_Jobs,E556&amp;"")&gt;0,"OK","CHECK"))</f>
        <v/>
      </c>
      <c r="G556" s="24" t="n"/>
      <c r="H556" s="24" t="n"/>
      <c r="I556" s="24" t="n"/>
      <c r="J556" s="24" t="n"/>
      <c r="K556" s="24" t="n"/>
      <c r="L556" s="26" t="n"/>
      <c r="M556" s="27">
        <f>IF(L556="","",IF(K556="GST 10%",ROUND(L556*set_GSTRate,2),0))</f>
        <v/>
      </c>
      <c r="N556" s="27">
        <f>IF(L556="","",L556+M556)</f>
        <v/>
      </c>
      <c r="O556" s="24" t="n"/>
      <c r="P556" s="24" t="n"/>
      <c r="Q556" s="24" t="n"/>
      <c r="R556" s="22" t="n"/>
      <c r="S556" s="22" t="n"/>
      <c r="T556" s="24" t="n"/>
      <c r="U556" s="24" t="n"/>
      <c r="V556" s="2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25">
        <f>IF(E556="","",IFERROR(INDEX(lst_JobName,MATCH(E556&amp;"",lst_Jobs,0)),""))</f>
        <v/>
      </c>
      <c r="X556" s="28">
        <f>IF(E556="","",COUNTIFS(tbl_Finance[Job Number],E556&amp;"",tbl_Finance[Ex GST],"&lt;&gt;"))</f>
        <v/>
      </c>
      <c r="Y556" s="27">
        <f>IF(E556="","",SUMIFS(tbl_Finance[Ex GST],tbl_Finance[Job Number],E556&amp;""))</f>
        <v/>
      </c>
      <c r="Z556" s="27">
        <f>IF(E556="","",SUMIFS(tbl_Finance[Ex GST],tbl_Finance[Job Number],E556&amp;"",tbl_Finance[Xero Invoice No],"&lt;&gt;"))</f>
        <v/>
      </c>
      <c r="AA556" s="27">
        <f>IF(E556="","",Y556-Z556)</f>
        <v/>
      </c>
      <c r="AB556" s="25">
        <f>IF(E556="","",IF(H556="Onsite",IFERROR(INDEX(tbl_Onsite[Qwilr Quote],MATCH(E556&amp;"",tbl_Onsite[Job Number],0)),""),IF(H556="Production",IFERROR(IF(INDEX(tbl_Production[Current RMS No],MATCH(E556&amp;"",tbl_Production[Job Number],0))="",INDEX(tbl_Production[Qwilr Quote],MATCH(E556&amp;"",tbl_Production[Job Number],0)),INDEX(tbl_Production[Current RMS No],MATCH(E556&amp;"",tbl_Production[Job Number],0))),""),IF(H556="Consulting",IFERROR(INDEX(tbl_Consulting[Qwilr Quote],MATCH(E556&amp;"",tbl_Consulting[Job Number],0)),""),""))))</f>
        <v/>
      </c>
      <c r="AC556" s="25">
        <f>IF(AB556="","",IF(AND(LEFT(AB556,4)&lt;&gt;"http",IF(H556="Production",set_RMSBase,set_QwilrBase)=""),"",HYPERLINK(IF(LEFT(AB556,4)="http",AB556,IF(H556="Production",set_RMSBase,set_QwilrBase)&amp;AB556),"Open")))</f>
        <v/>
      </c>
      <c r="AD556" s="27">
        <f>IF(E556="","",IF(H556="Production",IFERROR(INDEX(tbl_Production[Total Expense],MATCH(E556&amp;"",tbl_Production[Job Number],0)),0),IF(H556="Consulting",IFERROR(INDEX(tbl_Consulting[Total Expense],MATCH(E556&amp;"",tbl_Consulting[Job Number],0)),0),0)))</f>
        <v/>
      </c>
      <c r="AE556" s="27">
        <f>IF(E556="","",Y556-N(AD556))</f>
        <v/>
      </c>
      <c r="AF556" s="29">
        <f>IFERROR(AE556/Y556,"")</f>
        <v/>
      </c>
      <c r="AG556" s="2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22" t="n"/>
      <c r="B557" s="23">
        <f>IF(A557="","",EOMONTH(A557,0))</f>
        <v/>
      </c>
      <c r="C557" s="24" t="n"/>
      <c r="D557" s="24" t="n"/>
      <c r="E557" s="24" t="n"/>
      <c r="F557" s="25">
        <f>IF(E557="","",IF(COUNTIF(lst_Jobs,E557&amp;"")&gt;0,"OK","CHECK"))</f>
        <v/>
      </c>
      <c r="G557" s="24" t="n"/>
      <c r="H557" s="24" t="n"/>
      <c r="I557" s="24" t="n"/>
      <c r="J557" s="24" t="n"/>
      <c r="K557" s="24" t="n"/>
      <c r="L557" s="26" t="n"/>
      <c r="M557" s="27">
        <f>IF(L557="","",IF(K557="GST 10%",ROUND(L557*set_GSTRate,2),0))</f>
        <v/>
      </c>
      <c r="N557" s="27">
        <f>IF(L557="","",L557+M557)</f>
        <v/>
      </c>
      <c r="O557" s="24" t="n"/>
      <c r="P557" s="24" t="n"/>
      <c r="Q557" s="24" t="n"/>
      <c r="R557" s="22" t="n"/>
      <c r="S557" s="22" t="n"/>
      <c r="T557" s="24" t="n"/>
      <c r="U557" s="24" t="n"/>
      <c r="V557" s="2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25">
        <f>IF(E557="","",IFERROR(INDEX(lst_JobName,MATCH(E557&amp;"",lst_Jobs,0)),""))</f>
        <v/>
      </c>
      <c r="X557" s="28">
        <f>IF(E557="","",COUNTIFS(tbl_Finance[Job Number],E557&amp;"",tbl_Finance[Ex GST],"&lt;&gt;"))</f>
        <v/>
      </c>
      <c r="Y557" s="27">
        <f>IF(E557="","",SUMIFS(tbl_Finance[Ex GST],tbl_Finance[Job Number],E557&amp;""))</f>
        <v/>
      </c>
      <c r="Z557" s="27">
        <f>IF(E557="","",SUMIFS(tbl_Finance[Ex GST],tbl_Finance[Job Number],E557&amp;"",tbl_Finance[Xero Invoice No],"&lt;&gt;"))</f>
        <v/>
      </c>
      <c r="AA557" s="27">
        <f>IF(E557="","",Y557-Z557)</f>
        <v/>
      </c>
      <c r="AB557" s="25">
        <f>IF(E557="","",IF(H557="Onsite",IFERROR(INDEX(tbl_Onsite[Qwilr Quote],MATCH(E557&amp;"",tbl_Onsite[Job Number],0)),""),IF(H557="Production",IFERROR(IF(INDEX(tbl_Production[Current RMS No],MATCH(E557&amp;"",tbl_Production[Job Number],0))="",INDEX(tbl_Production[Qwilr Quote],MATCH(E557&amp;"",tbl_Production[Job Number],0)),INDEX(tbl_Production[Current RMS No],MATCH(E557&amp;"",tbl_Production[Job Number],0))),""),IF(H557="Consulting",IFERROR(INDEX(tbl_Consulting[Qwilr Quote],MATCH(E557&amp;"",tbl_Consulting[Job Number],0)),""),""))))</f>
        <v/>
      </c>
      <c r="AC557" s="25">
        <f>IF(AB557="","",IF(AND(LEFT(AB557,4)&lt;&gt;"http",IF(H557="Production",set_RMSBase,set_QwilrBase)=""),"",HYPERLINK(IF(LEFT(AB557,4)="http",AB557,IF(H557="Production",set_RMSBase,set_QwilrBase)&amp;AB557),"Open")))</f>
        <v/>
      </c>
      <c r="AD557" s="27">
        <f>IF(E557="","",IF(H557="Production",IFERROR(INDEX(tbl_Production[Total Expense],MATCH(E557&amp;"",tbl_Production[Job Number],0)),0),IF(H557="Consulting",IFERROR(INDEX(tbl_Consulting[Total Expense],MATCH(E557&amp;"",tbl_Consulting[Job Number],0)),0),0)))</f>
        <v/>
      </c>
      <c r="AE557" s="27">
        <f>IF(E557="","",Y557-N(AD557))</f>
        <v/>
      </c>
      <c r="AF557" s="29">
        <f>IFERROR(AE557/Y557,"")</f>
        <v/>
      </c>
      <c r="AG557" s="2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22" t="n"/>
      <c r="B558" s="23">
        <f>IF(A558="","",EOMONTH(A558,0))</f>
        <v/>
      </c>
      <c r="C558" s="24" t="n"/>
      <c r="D558" s="24" t="n"/>
      <c r="E558" s="24" t="n"/>
      <c r="F558" s="25">
        <f>IF(E558="","",IF(COUNTIF(lst_Jobs,E558&amp;"")&gt;0,"OK","CHECK"))</f>
        <v/>
      </c>
      <c r="G558" s="24" t="n"/>
      <c r="H558" s="24" t="n"/>
      <c r="I558" s="24" t="n"/>
      <c r="J558" s="24" t="n"/>
      <c r="K558" s="24" t="n"/>
      <c r="L558" s="26" t="n"/>
      <c r="M558" s="27">
        <f>IF(L558="","",IF(K558="GST 10%",ROUND(L558*set_GSTRate,2),0))</f>
        <v/>
      </c>
      <c r="N558" s="27">
        <f>IF(L558="","",L558+M558)</f>
        <v/>
      </c>
      <c r="O558" s="24" t="n"/>
      <c r="P558" s="24" t="n"/>
      <c r="Q558" s="24" t="n"/>
      <c r="R558" s="22" t="n"/>
      <c r="S558" s="22" t="n"/>
      <c r="T558" s="24" t="n"/>
      <c r="U558" s="24" t="n"/>
      <c r="V558" s="2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25">
        <f>IF(E558="","",IFERROR(INDEX(lst_JobName,MATCH(E558&amp;"",lst_Jobs,0)),""))</f>
        <v/>
      </c>
      <c r="X558" s="28">
        <f>IF(E558="","",COUNTIFS(tbl_Finance[Job Number],E558&amp;"",tbl_Finance[Ex GST],"&lt;&gt;"))</f>
        <v/>
      </c>
      <c r="Y558" s="27">
        <f>IF(E558="","",SUMIFS(tbl_Finance[Ex GST],tbl_Finance[Job Number],E558&amp;""))</f>
        <v/>
      </c>
      <c r="Z558" s="27">
        <f>IF(E558="","",SUMIFS(tbl_Finance[Ex GST],tbl_Finance[Job Number],E558&amp;"",tbl_Finance[Xero Invoice No],"&lt;&gt;"))</f>
        <v/>
      </c>
      <c r="AA558" s="27">
        <f>IF(E558="","",Y558-Z558)</f>
        <v/>
      </c>
      <c r="AB558" s="25">
        <f>IF(E558="","",IF(H558="Onsite",IFERROR(INDEX(tbl_Onsite[Qwilr Quote],MATCH(E558&amp;"",tbl_Onsite[Job Number],0)),""),IF(H558="Production",IFERROR(IF(INDEX(tbl_Production[Current RMS No],MATCH(E558&amp;"",tbl_Production[Job Number],0))="",INDEX(tbl_Production[Qwilr Quote],MATCH(E558&amp;"",tbl_Production[Job Number],0)),INDEX(tbl_Production[Current RMS No],MATCH(E558&amp;"",tbl_Production[Job Number],0))),""),IF(H558="Consulting",IFERROR(INDEX(tbl_Consulting[Qwilr Quote],MATCH(E558&amp;"",tbl_Consulting[Job Number],0)),""),""))))</f>
        <v/>
      </c>
      <c r="AC558" s="25">
        <f>IF(AB558="","",IF(AND(LEFT(AB558,4)&lt;&gt;"http",IF(H558="Production",set_RMSBase,set_QwilrBase)=""),"",HYPERLINK(IF(LEFT(AB558,4)="http",AB558,IF(H558="Production",set_RMSBase,set_QwilrBase)&amp;AB558),"Open")))</f>
        <v/>
      </c>
      <c r="AD558" s="27">
        <f>IF(E558="","",IF(H558="Production",IFERROR(INDEX(tbl_Production[Total Expense],MATCH(E558&amp;"",tbl_Production[Job Number],0)),0),IF(H558="Consulting",IFERROR(INDEX(tbl_Consulting[Total Expense],MATCH(E558&amp;"",tbl_Consulting[Job Number],0)),0),0)))</f>
        <v/>
      </c>
      <c r="AE558" s="27">
        <f>IF(E558="","",Y558-N(AD558))</f>
        <v/>
      </c>
      <c r="AF558" s="29">
        <f>IFERROR(AE558/Y558,"")</f>
        <v/>
      </c>
      <c r="AG558" s="2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22" t="n"/>
      <c r="B559" s="23">
        <f>IF(A559="","",EOMONTH(A559,0))</f>
        <v/>
      </c>
      <c r="C559" s="24" t="n"/>
      <c r="D559" s="24" t="n"/>
      <c r="E559" s="24" t="n"/>
      <c r="F559" s="25">
        <f>IF(E559="","",IF(COUNTIF(lst_Jobs,E559&amp;"")&gt;0,"OK","CHECK"))</f>
        <v/>
      </c>
      <c r="G559" s="24" t="n"/>
      <c r="H559" s="24" t="n"/>
      <c r="I559" s="24" t="n"/>
      <c r="J559" s="24" t="n"/>
      <c r="K559" s="24" t="n"/>
      <c r="L559" s="26" t="n"/>
      <c r="M559" s="27">
        <f>IF(L559="","",IF(K559="GST 10%",ROUND(L559*set_GSTRate,2),0))</f>
        <v/>
      </c>
      <c r="N559" s="27">
        <f>IF(L559="","",L559+M559)</f>
        <v/>
      </c>
      <c r="O559" s="24" t="n"/>
      <c r="P559" s="24" t="n"/>
      <c r="Q559" s="24" t="n"/>
      <c r="R559" s="22" t="n"/>
      <c r="S559" s="22" t="n"/>
      <c r="T559" s="24" t="n"/>
      <c r="U559" s="24" t="n"/>
      <c r="V559" s="2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25">
        <f>IF(E559="","",IFERROR(INDEX(lst_JobName,MATCH(E559&amp;"",lst_Jobs,0)),""))</f>
        <v/>
      </c>
      <c r="X559" s="28">
        <f>IF(E559="","",COUNTIFS(tbl_Finance[Job Number],E559&amp;"",tbl_Finance[Ex GST],"&lt;&gt;"))</f>
        <v/>
      </c>
      <c r="Y559" s="27">
        <f>IF(E559="","",SUMIFS(tbl_Finance[Ex GST],tbl_Finance[Job Number],E559&amp;""))</f>
        <v/>
      </c>
      <c r="Z559" s="27">
        <f>IF(E559="","",SUMIFS(tbl_Finance[Ex GST],tbl_Finance[Job Number],E559&amp;"",tbl_Finance[Xero Invoice No],"&lt;&gt;"))</f>
        <v/>
      </c>
      <c r="AA559" s="27">
        <f>IF(E559="","",Y559-Z559)</f>
        <v/>
      </c>
      <c r="AB559" s="25">
        <f>IF(E559="","",IF(H559="Onsite",IFERROR(INDEX(tbl_Onsite[Qwilr Quote],MATCH(E559&amp;"",tbl_Onsite[Job Number],0)),""),IF(H559="Production",IFERROR(IF(INDEX(tbl_Production[Current RMS No],MATCH(E559&amp;"",tbl_Production[Job Number],0))="",INDEX(tbl_Production[Qwilr Quote],MATCH(E559&amp;"",tbl_Production[Job Number],0)),INDEX(tbl_Production[Current RMS No],MATCH(E559&amp;"",tbl_Production[Job Number],0))),""),IF(H559="Consulting",IFERROR(INDEX(tbl_Consulting[Qwilr Quote],MATCH(E559&amp;"",tbl_Consulting[Job Number],0)),""),""))))</f>
        <v/>
      </c>
      <c r="AC559" s="25">
        <f>IF(AB559="","",IF(AND(LEFT(AB559,4)&lt;&gt;"http",IF(H559="Production",set_RMSBase,set_QwilrBase)=""),"",HYPERLINK(IF(LEFT(AB559,4)="http",AB559,IF(H559="Production",set_RMSBase,set_QwilrBase)&amp;AB559),"Open")))</f>
        <v/>
      </c>
      <c r="AD559" s="27">
        <f>IF(E559="","",IF(H559="Production",IFERROR(INDEX(tbl_Production[Total Expense],MATCH(E559&amp;"",tbl_Production[Job Number],0)),0),IF(H559="Consulting",IFERROR(INDEX(tbl_Consulting[Total Expense],MATCH(E559&amp;"",tbl_Consulting[Job Number],0)),0),0)))</f>
        <v/>
      </c>
      <c r="AE559" s="27">
        <f>IF(E559="","",Y559-N(AD559))</f>
        <v/>
      </c>
      <c r="AF559" s="29">
        <f>IFERROR(AE559/Y559,"")</f>
        <v/>
      </c>
      <c r="AG559" s="2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22" t="n"/>
      <c r="B560" s="23">
        <f>IF(A560="","",EOMONTH(A560,0))</f>
        <v/>
      </c>
      <c r="C560" s="24" t="n"/>
      <c r="D560" s="24" t="n"/>
      <c r="E560" s="24" t="n"/>
      <c r="F560" s="25">
        <f>IF(E560="","",IF(COUNTIF(lst_Jobs,E560&amp;"")&gt;0,"OK","CHECK"))</f>
        <v/>
      </c>
      <c r="G560" s="24" t="n"/>
      <c r="H560" s="24" t="n"/>
      <c r="I560" s="24" t="n"/>
      <c r="J560" s="24" t="n"/>
      <c r="K560" s="24" t="n"/>
      <c r="L560" s="26" t="n"/>
      <c r="M560" s="27">
        <f>IF(L560="","",IF(K560="GST 10%",ROUND(L560*set_GSTRate,2),0))</f>
        <v/>
      </c>
      <c r="N560" s="27">
        <f>IF(L560="","",L560+M560)</f>
        <v/>
      </c>
      <c r="O560" s="24" t="n"/>
      <c r="P560" s="24" t="n"/>
      <c r="Q560" s="24" t="n"/>
      <c r="R560" s="22" t="n"/>
      <c r="S560" s="22" t="n"/>
      <c r="T560" s="24" t="n"/>
      <c r="U560" s="24" t="n"/>
      <c r="V560" s="2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25">
        <f>IF(E560="","",IFERROR(INDEX(lst_JobName,MATCH(E560&amp;"",lst_Jobs,0)),""))</f>
        <v/>
      </c>
      <c r="X560" s="28">
        <f>IF(E560="","",COUNTIFS(tbl_Finance[Job Number],E560&amp;"",tbl_Finance[Ex GST],"&lt;&gt;"))</f>
        <v/>
      </c>
      <c r="Y560" s="27">
        <f>IF(E560="","",SUMIFS(tbl_Finance[Ex GST],tbl_Finance[Job Number],E560&amp;""))</f>
        <v/>
      </c>
      <c r="Z560" s="27">
        <f>IF(E560="","",SUMIFS(tbl_Finance[Ex GST],tbl_Finance[Job Number],E560&amp;"",tbl_Finance[Xero Invoice No],"&lt;&gt;"))</f>
        <v/>
      </c>
      <c r="AA560" s="27">
        <f>IF(E560="","",Y560-Z560)</f>
        <v/>
      </c>
      <c r="AB560" s="25">
        <f>IF(E560="","",IF(H560="Onsite",IFERROR(INDEX(tbl_Onsite[Qwilr Quote],MATCH(E560&amp;"",tbl_Onsite[Job Number],0)),""),IF(H560="Production",IFERROR(IF(INDEX(tbl_Production[Current RMS No],MATCH(E560&amp;"",tbl_Production[Job Number],0))="",INDEX(tbl_Production[Qwilr Quote],MATCH(E560&amp;"",tbl_Production[Job Number],0)),INDEX(tbl_Production[Current RMS No],MATCH(E560&amp;"",tbl_Production[Job Number],0))),""),IF(H560="Consulting",IFERROR(INDEX(tbl_Consulting[Qwilr Quote],MATCH(E560&amp;"",tbl_Consulting[Job Number],0)),""),""))))</f>
        <v/>
      </c>
      <c r="AC560" s="25">
        <f>IF(AB560="","",IF(AND(LEFT(AB560,4)&lt;&gt;"http",IF(H560="Production",set_RMSBase,set_QwilrBase)=""),"",HYPERLINK(IF(LEFT(AB560,4)="http",AB560,IF(H560="Production",set_RMSBase,set_QwilrBase)&amp;AB560),"Open")))</f>
        <v/>
      </c>
      <c r="AD560" s="27">
        <f>IF(E560="","",IF(H560="Production",IFERROR(INDEX(tbl_Production[Total Expense],MATCH(E560&amp;"",tbl_Production[Job Number],0)),0),IF(H560="Consulting",IFERROR(INDEX(tbl_Consulting[Total Expense],MATCH(E560&amp;"",tbl_Consulting[Job Number],0)),0),0)))</f>
        <v/>
      </c>
      <c r="AE560" s="27">
        <f>IF(E560="","",Y560-N(AD560))</f>
        <v/>
      </c>
      <c r="AF560" s="29">
        <f>IFERROR(AE560/Y560,"")</f>
        <v/>
      </c>
      <c r="AG560" s="2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22" t="n"/>
      <c r="B561" s="23">
        <f>IF(A561="","",EOMONTH(A561,0))</f>
        <v/>
      </c>
      <c r="C561" s="24" t="n"/>
      <c r="D561" s="24" t="n"/>
      <c r="E561" s="24" t="n"/>
      <c r="F561" s="25">
        <f>IF(E561="","",IF(COUNTIF(lst_Jobs,E561&amp;"")&gt;0,"OK","CHECK"))</f>
        <v/>
      </c>
      <c r="G561" s="24" t="n"/>
      <c r="H561" s="24" t="n"/>
      <c r="I561" s="24" t="n"/>
      <c r="J561" s="24" t="n"/>
      <c r="K561" s="24" t="n"/>
      <c r="L561" s="26" t="n"/>
      <c r="M561" s="27">
        <f>IF(L561="","",IF(K561="GST 10%",ROUND(L561*set_GSTRate,2),0))</f>
        <v/>
      </c>
      <c r="N561" s="27">
        <f>IF(L561="","",L561+M561)</f>
        <v/>
      </c>
      <c r="O561" s="24" t="n"/>
      <c r="P561" s="24" t="n"/>
      <c r="Q561" s="24" t="n"/>
      <c r="R561" s="22" t="n"/>
      <c r="S561" s="22" t="n"/>
      <c r="T561" s="24" t="n"/>
      <c r="U561" s="24" t="n"/>
      <c r="V561" s="2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25">
        <f>IF(E561="","",IFERROR(INDEX(lst_JobName,MATCH(E561&amp;"",lst_Jobs,0)),""))</f>
        <v/>
      </c>
      <c r="X561" s="28">
        <f>IF(E561="","",COUNTIFS(tbl_Finance[Job Number],E561&amp;"",tbl_Finance[Ex GST],"&lt;&gt;"))</f>
        <v/>
      </c>
      <c r="Y561" s="27">
        <f>IF(E561="","",SUMIFS(tbl_Finance[Ex GST],tbl_Finance[Job Number],E561&amp;""))</f>
        <v/>
      </c>
      <c r="Z561" s="27">
        <f>IF(E561="","",SUMIFS(tbl_Finance[Ex GST],tbl_Finance[Job Number],E561&amp;"",tbl_Finance[Xero Invoice No],"&lt;&gt;"))</f>
        <v/>
      </c>
      <c r="AA561" s="27">
        <f>IF(E561="","",Y561-Z561)</f>
        <v/>
      </c>
      <c r="AB561" s="25">
        <f>IF(E561="","",IF(H561="Onsite",IFERROR(INDEX(tbl_Onsite[Qwilr Quote],MATCH(E561&amp;"",tbl_Onsite[Job Number],0)),""),IF(H561="Production",IFERROR(IF(INDEX(tbl_Production[Current RMS No],MATCH(E561&amp;"",tbl_Production[Job Number],0))="",INDEX(tbl_Production[Qwilr Quote],MATCH(E561&amp;"",tbl_Production[Job Number],0)),INDEX(tbl_Production[Current RMS No],MATCH(E561&amp;"",tbl_Production[Job Number],0))),""),IF(H561="Consulting",IFERROR(INDEX(tbl_Consulting[Qwilr Quote],MATCH(E561&amp;"",tbl_Consulting[Job Number],0)),""),""))))</f>
        <v/>
      </c>
      <c r="AC561" s="25">
        <f>IF(AB561="","",IF(AND(LEFT(AB561,4)&lt;&gt;"http",IF(H561="Production",set_RMSBase,set_QwilrBase)=""),"",HYPERLINK(IF(LEFT(AB561,4)="http",AB561,IF(H561="Production",set_RMSBase,set_QwilrBase)&amp;AB561),"Open")))</f>
        <v/>
      </c>
      <c r="AD561" s="27">
        <f>IF(E561="","",IF(H561="Production",IFERROR(INDEX(tbl_Production[Total Expense],MATCH(E561&amp;"",tbl_Production[Job Number],0)),0),IF(H561="Consulting",IFERROR(INDEX(tbl_Consulting[Total Expense],MATCH(E561&amp;"",tbl_Consulting[Job Number],0)),0),0)))</f>
        <v/>
      </c>
      <c r="AE561" s="27">
        <f>IF(E561="","",Y561-N(AD561))</f>
        <v/>
      </c>
      <c r="AF561" s="29">
        <f>IFERROR(AE561/Y561,"")</f>
        <v/>
      </c>
      <c r="AG561" s="2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22" t="n"/>
      <c r="B562" s="23">
        <f>IF(A562="","",EOMONTH(A562,0))</f>
        <v/>
      </c>
      <c r="C562" s="24" t="n"/>
      <c r="D562" s="24" t="n"/>
      <c r="E562" s="24" t="n"/>
      <c r="F562" s="25">
        <f>IF(E562="","",IF(COUNTIF(lst_Jobs,E562&amp;"")&gt;0,"OK","CHECK"))</f>
        <v/>
      </c>
      <c r="G562" s="24" t="n"/>
      <c r="H562" s="24" t="n"/>
      <c r="I562" s="24" t="n"/>
      <c r="J562" s="24" t="n"/>
      <c r="K562" s="24" t="n"/>
      <c r="L562" s="26" t="n"/>
      <c r="M562" s="27">
        <f>IF(L562="","",IF(K562="GST 10%",ROUND(L562*set_GSTRate,2),0))</f>
        <v/>
      </c>
      <c r="N562" s="27">
        <f>IF(L562="","",L562+M562)</f>
        <v/>
      </c>
      <c r="O562" s="24" t="n"/>
      <c r="P562" s="24" t="n"/>
      <c r="Q562" s="24" t="n"/>
      <c r="R562" s="22" t="n"/>
      <c r="S562" s="22" t="n"/>
      <c r="T562" s="24" t="n"/>
      <c r="U562" s="24" t="n"/>
      <c r="V562" s="2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25">
        <f>IF(E562="","",IFERROR(INDEX(lst_JobName,MATCH(E562&amp;"",lst_Jobs,0)),""))</f>
        <v/>
      </c>
      <c r="X562" s="28">
        <f>IF(E562="","",COUNTIFS(tbl_Finance[Job Number],E562&amp;"",tbl_Finance[Ex GST],"&lt;&gt;"))</f>
        <v/>
      </c>
      <c r="Y562" s="27">
        <f>IF(E562="","",SUMIFS(tbl_Finance[Ex GST],tbl_Finance[Job Number],E562&amp;""))</f>
        <v/>
      </c>
      <c r="Z562" s="27">
        <f>IF(E562="","",SUMIFS(tbl_Finance[Ex GST],tbl_Finance[Job Number],E562&amp;"",tbl_Finance[Xero Invoice No],"&lt;&gt;"))</f>
        <v/>
      </c>
      <c r="AA562" s="27">
        <f>IF(E562="","",Y562-Z562)</f>
        <v/>
      </c>
      <c r="AB562" s="25">
        <f>IF(E562="","",IF(H562="Onsite",IFERROR(INDEX(tbl_Onsite[Qwilr Quote],MATCH(E562&amp;"",tbl_Onsite[Job Number],0)),""),IF(H562="Production",IFERROR(IF(INDEX(tbl_Production[Current RMS No],MATCH(E562&amp;"",tbl_Production[Job Number],0))="",INDEX(tbl_Production[Qwilr Quote],MATCH(E562&amp;"",tbl_Production[Job Number],0)),INDEX(tbl_Production[Current RMS No],MATCH(E562&amp;"",tbl_Production[Job Number],0))),""),IF(H562="Consulting",IFERROR(INDEX(tbl_Consulting[Qwilr Quote],MATCH(E562&amp;"",tbl_Consulting[Job Number],0)),""),""))))</f>
        <v/>
      </c>
      <c r="AC562" s="25">
        <f>IF(AB562="","",IF(AND(LEFT(AB562,4)&lt;&gt;"http",IF(H562="Production",set_RMSBase,set_QwilrBase)=""),"",HYPERLINK(IF(LEFT(AB562,4)="http",AB562,IF(H562="Production",set_RMSBase,set_QwilrBase)&amp;AB562),"Open")))</f>
        <v/>
      </c>
      <c r="AD562" s="27">
        <f>IF(E562="","",IF(H562="Production",IFERROR(INDEX(tbl_Production[Total Expense],MATCH(E562&amp;"",tbl_Production[Job Number],0)),0),IF(H562="Consulting",IFERROR(INDEX(tbl_Consulting[Total Expense],MATCH(E562&amp;"",tbl_Consulting[Job Number],0)),0),0)))</f>
        <v/>
      </c>
      <c r="AE562" s="27">
        <f>IF(E562="","",Y562-N(AD562))</f>
        <v/>
      </c>
      <c r="AF562" s="29">
        <f>IFERROR(AE562/Y562,"")</f>
        <v/>
      </c>
      <c r="AG562" s="2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22" t="n"/>
      <c r="B563" s="23">
        <f>IF(A563="","",EOMONTH(A563,0))</f>
        <v/>
      </c>
      <c r="C563" s="24" t="n"/>
      <c r="D563" s="24" t="n"/>
      <c r="E563" s="24" t="n"/>
      <c r="F563" s="25">
        <f>IF(E563="","",IF(COUNTIF(lst_Jobs,E563&amp;"")&gt;0,"OK","CHECK"))</f>
        <v/>
      </c>
      <c r="G563" s="24" t="n"/>
      <c r="H563" s="24" t="n"/>
      <c r="I563" s="24" t="n"/>
      <c r="J563" s="24" t="n"/>
      <c r="K563" s="24" t="n"/>
      <c r="L563" s="26" t="n"/>
      <c r="M563" s="27">
        <f>IF(L563="","",IF(K563="GST 10%",ROUND(L563*set_GSTRate,2),0))</f>
        <v/>
      </c>
      <c r="N563" s="27">
        <f>IF(L563="","",L563+M563)</f>
        <v/>
      </c>
      <c r="O563" s="24" t="n"/>
      <c r="P563" s="24" t="n"/>
      <c r="Q563" s="24" t="n"/>
      <c r="R563" s="22" t="n"/>
      <c r="S563" s="22" t="n"/>
      <c r="T563" s="24" t="n"/>
      <c r="U563" s="24" t="n"/>
      <c r="V563" s="2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25">
        <f>IF(E563="","",IFERROR(INDEX(lst_JobName,MATCH(E563&amp;"",lst_Jobs,0)),""))</f>
        <v/>
      </c>
      <c r="X563" s="28">
        <f>IF(E563="","",COUNTIFS(tbl_Finance[Job Number],E563&amp;"",tbl_Finance[Ex GST],"&lt;&gt;"))</f>
        <v/>
      </c>
      <c r="Y563" s="27">
        <f>IF(E563="","",SUMIFS(tbl_Finance[Ex GST],tbl_Finance[Job Number],E563&amp;""))</f>
        <v/>
      </c>
      <c r="Z563" s="27">
        <f>IF(E563="","",SUMIFS(tbl_Finance[Ex GST],tbl_Finance[Job Number],E563&amp;"",tbl_Finance[Xero Invoice No],"&lt;&gt;"))</f>
        <v/>
      </c>
      <c r="AA563" s="27">
        <f>IF(E563="","",Y563-Z563)</f>
        <v/>
      </c>
      <c r="AB563" s="25">
        <f>IF(E563="","",IF(H563="Onsite",IFERROR(INDEX(tbl_Onsite[Qwilr Quote],MATCH(E563&amp;"",tbl_Onsite[Job Number],0)),""),IF(H563="Production",IFERROR(IF(INDEX(tbl_Production[Current RMS No],MATCH(E563&amp;"",tbl_Production[Job Number],0))="",INDEX(tbl_Production[Qwilr Quote],MATCH(E563&amp;"",tbl_Production[Job Number],0)),INDEX(tbl_Production[Current RMS No],MATCH(E563&amp;"",tbl_Production[Job Number],0))),""),IF(H563="Consulting",IFERROR(INDEX(tbl_Consulting[Qwilr Quote],MATCH(E563&amp;"",tbl_Consulting[Job Number],0)),""),""))))</f>
        <v/>
      </c>
      <c r="AC563" s="25">
        <f>IF(AB563="","",IF(AND(LEFT(AB563,4)&lt;&gt;"http",IF(H563="Production",set_RMSBase,set_QwilrBase)=""),"",HYPERLINK(IF(LEFT(AB563,4)="http",AB563,IF(H563="Production",set_RMSBase,set_QwilrBase)&amp;AB563),"Open")))</f>
        <v/>
      </c>
      <c r="AD563" s="27">
        <f>IF(E563="","",IF(H563="Production",IFERROR(INDEX(tbl_Production[Total Expense],MATCH(E563&amp;"",tbl_Production[Job Number],0)),0),IF(H563="Consulting",IFERROR(INDEX(tbl_Consulting[Total Expense],MATCH(E563&amp;"",tbl_Consulting[Job Number],0)),0),0)))</f>
        <v/>
      </c>
      <c r="AE563" s="27">
        <f>IF(E563="","",Y563-N(AD563))</f>
        <v/>
      </c>
      <c r="AF563" s="29">
        <f>IFERROR(AE563/Y563,"")</f>
        <v/>
      </c>
      <c r="AG563" s="2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22" t="n"/>
      <c r="B564" s="23">
        <f>IF(A564="","",EOMONTH(A564,0))</f>
        <v/>
      </c>
      <c r="C564" s="24" t="n"/>
      <c r="D564" s="24" t="n"/>
      <c r="E564" s="24" t="n"/>
      <c r="F564" s="25">
        <f>IF(E564="","",IF(COUNTIF(lst_Jobs,E564&amp;"")&gt;0,"OK","CHECK"))</f>
        <v/>
      </c>
      <c r="G564" s="24" t="n"/>
      <c r="H564" s="24" t="n"/>
      <c r="I564" s="24" t="n"/>
      <c r="J564" s="24" t="n"/>
      <c r="K564" s="24" t="n"/>
      <c r="L564" s="26" t="n"/>
      <c r="M564" s="27">
        <f>IF(L564="","",IF(K564="GST 10%",ROUND(L564*set_GSTRate,2),0))</f>
        <v/>
      </c>
      <c r="N564" s="27">
        <f>IF(L564="","",L564+M564)</f>
        <v/>
      </c>
      <c r="O564" s="24" t="n"/>
      <c r="P564" s="24" t="n"/>
      <c r="Q564" s="24" t="n"/>
      <c r="R564" s="22" t="n"/>
      <c r="S564" s="22" t="n"/>
      <c r="T564" s="24" t="n"/>
      <c r="U564" s="24" t="n"/>
      <c r="V564" s="2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25">
        <f>IF(E564="","",IFERROR(INDEX(lst_JobName,MATCH(E564&amp;"",lst_Jobs,0)),""))</f>
        <v/>
      </c>
      <c r="X564" s="28">
        <f>IF(E564="","",COUNTIFS(tbl_Finance[Job Number],E564&amp;"",tbl_Finance[Ex GST],"&lt;&gt;"))</f>
        <v/>
      </c>
      <c r="Y564" s="27">
        <f>IF(E564="","",SUMIFS(tbl_Finance[Ex GST],tbl_Finance[Job Number],E564&amp;""))</f>
        <v/>
      </c>
      <c r="Z564" s="27">
        <f>IF(E564="","",SUMIFS(tbl_Finance[Ex GST],tbl_Finance[Job Number],E564&amp;"",tbl_Finance[Xero Invoice No],"&lt;&gt;"))</f>
        <v/>
      </c>
      <c r="AA564" s="27">
        <f>IF(E564="","",Y564-Z564)</f>
        <v/>
      </c>
      <c r="AB564" s="25">
        <f>IF(E564="","",IF(H564="Onsite",IFERROR(INDEX(tbl_Onsite[Qwilr Quote],MATCH(E564&amp;"",tbl_Onsite[Job Number],0)),""),IF(H564="Production",IFERROR(IF(INDEX(tbl_Production[Current RMS No],MATCH(E564&amp;"",tbl_Production[Job Number],0))="",INDEX(tbl_Production[Qwilr Quote],MATCH(E564&amp;"",tbl_Production[Job Number],0)),INDEX(tbl_Production[Current RMS No],MATCH(E564&amp;"",tbl_Production[Job Number],0))),""),IF(H564="Consulting",IFERROR(INDEX(tbl_Consulting[Qwilr Quote],MATCH(E564&amp;"",tbl_Consulting[Job Number],0)),""),""))))</f>
        <v/>
      </c>
      <c r="AC564" s="25">
        <f>IF(AB564="","",IF(AND(LEFT(AB564,4)&lt;&gt;"http",IF(H564="Production",set_RMSBase,set_QwilrBase)=""),"",HYPERLINK(IF(LEFT(AB564,4)="http",AB564,IF(H564="Production",set_RMSBase,set_QwilrBase)&amp;AB564),"Open")))</f>
        <v/>
      </c>
      <c r="AD564" s="27">
        <f>IF(E564="","",IF(H564="Production",IFERROR(INDEX(tbl_Production[Total Expense],MATCH(E564&amp;"",tbl_Production[Job Number],0)),0),IF(H564="Consulting",IFERROR(INDEX(tbl_Consulting[Total Expense],MATCH(E564&amp;"",tbl_Consulting[Job Number],0)),0),0)))</f>
        <v/>
      </c>
      <c r="AE564" s="27">
        <f>IF(E564="","",Y564-N(AD564))</f>
        <v/>
      </c>
      <c r="AF564" s="29">
        <f>IFERROR(AE564/Y564,"")</f>
        <v/>
      </c>
      <c r="AG564" s="2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22" t="n"/>
      <c r="B565" s="23">
        <f>IF(A565="","",EOMONTH(A565,0))</f>
        <v/>
      </c>
      <c r="C565" s="24" t="n"/>
      <c r="D565" s="24" t="n"/>
      <c r="E565" s="24" t="n"/>
      <c r="F565" s="25">
        <f>IF(E565="","",IF(COUNTIF(lst_Jobs,E565&amp;"")&gt;0,"OK","CHECK"))</f>
        <v/>
      </c>
      <c r="G565" s="24" t="n"/>
      <c r="H565" s="24" t="n"/>
      <c r="I565" s="24" t="n"/>
      <c r="J565" s="24" t="n"/>
      <c r="K565" s="24" t="n"/>
      <c r="L565" s="26" t="n"/>
      <c r="M565" s="27">
        <f>IF(L565="","",IF(K565="GST 10%",ROUND(L565*set_GSTRate,2),0))</f>
        <v/>
      </c>
      <c r="N565" s="27">
        <f>IF(L565="","",L565+M565)</f>
        <v/>
      </c>
      <c r="O565" s="24" t="n"/>
      <c r="P565" s="24" t="n"/>
      <c r="Q565" s="24" t="n"/>
      <c r="R565" s="22" t="n"/>
      <c r="S565" s="22" t="n"/>
      <c r="T565" s="24" t="n"/>
      <c r="U565" s="24" t="n"/>
      <c r="V565" s="2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25">
        <f>IF(E565="","",IFERROR(INDEX(lst_JobName,MATCH(E565&amp;"",lst_Jobs,0)),""))</f>
        <v/>
      </c>
      <c r="X565" s="28">
        <f>IF(E565="","",COUNTIFS(tbl_Finance[Job Number],E565&amp;"",tbl_Finance[Ex GST],"&lt;&gt;"))</f>
        <v/>
      </c>
      <c r="Y565" s="27">
        <f>IF(E565="","",SUMIFS(tbl_Finance[Ex GST],tbl_Finance[Job Number],E565&amp;""))</f>
        <v/>
      </c>
      <c r="Z565" s="27">
        <f>IF(E565="","",SUMIFS(tbl_Finance[Ex GST],tbl_Finance[Job Number],E565&amp;"",tbl_Finance[Xero Invoice No],"&lt;&gt;"))</f>
        <v/>
      </c>
      <c r="AA565" s="27">
        <f>IF(E565="","",Y565-Z565)</f>
        <v/>
      </c>
      <c r="AB565" s="25">
        <f>IF(E565="","",IF(H565="Onsite",IFERROR(INDEX(tbl_Onsite[Qwilr Quote],MATCH(E565&amp;"",tbl_Onsite[Job Number],0)),""),IF(H565="Production",IFERROR(IF(INDEX(tbl_Production[Current RMS No],MATCH(E565&amp;"",tbl_Production[Job Number],0))="",INDEX(tbl_Production[Qwilr Quote],MATCH(E565&amp;"",tbl_Production[Job Number],0)),INDEX(tbl_Production[Current RMS No],MATCH(E565&amp;"",tbl_Production[Job Number],0))),""),IF(H565="Consulting",IFERROR(INDEX(tbl_Consulting[Qwilr Quote],MATCH(E565&amp;"",tbl_Consulting[Job Number],0)),""),""))))</f>
        <v/>
      </c>
      <c r="AC565" s="25">
        <f>IF(AB565="","",IF(AND(LEFT(AB565,4)&lt;&gt;"http",IF(H565="Production",set_RMSBase,set_QwilrBase)=""),"",HYPERLINK(IF(LEFT(AB565,4)="http",AB565,IF(H565="Production",set_RMSBase,set_QwilrBase)&amp;AB565),"Open")))</f>
        <v/>
      </c>
      <c r="AD565" s="27">
        <f>IF(E565="","",IF(H565="Production",IFERROR(INDEX(tbl_Production[Total Expense],MATCH(E565&amp;"",tbl_Production[Job Number],0)),0),IF(H565="Consulting",IFERROR(INDEX(tbl_Consulting[Total Expense],MATCH(E565&amp;"",tbl_Consulting[Job Number],0)),0),0)))</f>
        <v/>
      </c>
      <c r="AE565" s="27">
        <f>IF(E565="","",Y565-N(AD565))</f>
        <v/>
      </c>
      <c r="AF565" s="29">
        <f>IFERROR(AE565/Y565,"")</f>
        <v/>
      </c>
      <c r="AG565" s="2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22" t="n"/>
      <c r="B566" s="23">
        <f>IF(A566="","",EOMONTH(A566,0))</f>
        <v/>
      </c>
      <c r="C566" s="24" t="n"/>
      <c r="D566" s="24" t="n"/>
      <c r="E566" s="24" t="n"/>
      <c r="F566" s="25">
        <f>IF(E566="","",IF(COUNTIF(lst_Jobs,E566&amp;"")&gt;0,"OK","CHECK"))</f>
        <v/>
      </c>
      <c r="G566" s="24" t="n"/>
      <c r="H566" s="24" t="n"/>
      <c r="I566" s="24" t="n"/>
      <c r="J566" s="24" t="n"/>
      <c r="K566" s="24" t="n"/>
      <c r="L566" s="26" t="n"/>
      <c r="M566" s="27">
        <f>IF(L566="","",IF(K566="GST 10%",ROUND(L566*set_GSTRate,2),0))</f>
        <v/>
      </c>
      <c r="N566" s="27">
        <f>IF(L566="","",L566+M566)</f>
        <v/>
      </c>
      <c r="O566" s="24" t="n"/>
      <c r="P566" s="24" t="n"/>
      <c r="Q566" s="24" t="n"/>
      <c r="R566" s="22" t="n"/>
      <c r="S566" s="22" t="n"/>
      <c r="T566" s="24" t="n"/>
      <c r="U566" s="24" t="n"/>
      <c r="V566" s="2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25">
        <f>IF(E566="","",IFERROR(INDEX(lst_JobName,MATCH(E566&amp;"",lst_Jobs,0)),""))</f>
        <v/>
      </c>
      <c r="X566" s="28">
        <f>IF(E566="","",COUNTIFS(tbl_Finance[Job Number],E566&amp;"",tbl_Finance[Ex GST],"&lt;&gt;"))</f>
        <v/>
      </c>
      <c r="Y566" s="27">
        <f>IF(E566="","",SUMIFS(tbl_Finance[Ex GST],tbl_Finance[Job Number],E566&amp;""))</f>
        <v/>
      </c>
      <c r="Z566" s="27">
        <f>IF(E566="","",SUMIFS(tbl_Finance[Ex GST],tbl_Finance[Job Number],E566&amp;"",tbl_Finance[Xero Invoice No],"&lt;&gt;"))</f>
        <v/>
      </c>
      <c r="AA566" s="27">
        <f>IF(E566="","",Y566-Z566)</f>
        <v/>
      </c>
      <c r="AB566" s="25">
        <f>IF(E566="","",IF(H566="Onsite",IFERROR(INDEX(tbl_Onsite[Qwilr Quote],MATCH(E566&amp;"",tbl_Onsite[Job Number],0)),""),IF(H566="Production",IFERROR(IF(INDEX(tbl_Production[Current RMS No],MATCH(E566&amp;"",tbl_Production[Job Number],0))="",INDEX(tbl_Production[Qwilr Quote],MATCH(E566&amp;"",tbl_Production[Job Number],0)),INDEX(tbl_Production[Current RMS No],MATCH(E566&amp;"",tbl_Production[Job Number],0))),""),IF(H566="Consulting",IFERROR(INDEX(tbl_Consulting[Qwilr Quote],MATCH(E566&amp;"",tbl_Consulting[Job Number],0)),""),""))))</f>
        <v/>
      </c>
      <c r="AC566" s="25">
        <f>IF(AB566="","",IF(AND(LEFT(AB566,4)&lt;&gt;"http",IF(H566="Production",set_RMSBase,set_QwilrBase)=""),"",HYPERLINK(IF(LEFT(AB566,4)="http",AB566,IF(H566="Production",set_RMSBase,set_QwilrBase)&amp;AB566),"Open")))</f>
        <v/>
      </c>
      <c r="AD566" s="27">
        <f>IF(E566="","",IF(H566="Production",IFERROR(INDEX(tbl_Production[Total Expense],MATCH(E566&amp;"",tbl_Production[Job Number],0)),0),IF(H566="Consulting",IFERROR(INDEX(tbl_Consulting[Total Expense],MATCH(E566&amp;"",tbl_Consulting[Job Number],0)),0),0)))</f>
        <v/>
      </c>
      <c r="AE566" s="27">
        <f>IF(E566="","",Y566-N(AD566))</f>
        <v/>
      </c>
      <c r="AF566" s="29">
        <f>IFERROR(AE566/Y566,"")</f>
        <v/>
      </c>
      <c r="AG566" s="2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22" t="n"/>
      <c r="B567" s="23">
        <f>IF(A567="","",EOMONTH(A567,0))</f>
        <v/>
      </c>
      <c r="C567" s="24" t="n"/>
      <c r="D567" s="24" t="n"/>
      <c r="E567" s="24" t="n"/>
      <c r="F567" s="25">
        <f>IF(E567="","",IF(COUNTIF(lst_Jobs,E567&amp;"")&gt;0,"OK","CHECK"))</f>
        <v/>
      </c>
      <c r="G567" s="24" t="n"/>
      <c r="H567" s="24" t="n"/>
      <c r="I567" s="24" t="n"/>
      <c r="J567" s="24" t="n"/>
      <c r="K567" s="24" t="n"/>
      <c r="L567" s="26" t="n"/>
      <c r="M567" s="27">
        <f>IF(L567="","",IF(K567="GST 10%",ROUND(L567*set_GSTRate,2),0))</f>
        <v/>
      </c>
      <c r="N567" s="27">
        <f>IF(L567="","",L567+M567)</f>
        <v/>
      </c>
      <c r="O567" s="24" t="n"/>
      <c r="P567" s="24" t="n"/>
      <c r="Q567" s="24" t="n"/>
      <c r="R567" s="22" t="n"/>
      <c r="S567" s="22" t="n"/>
      <c r="T567" s="24" t="n"/>
      <c r="U567" s="24" t="n"/>
      <c r="V567" s="2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25">
        <f>IF(E567="","",IFERROR(INDEX(lst_JobName,MATCH(E567&amp;"",lst_Jobs,0)),""))</f>
        <v/>
      </c>
      <c r="X567" s="28">
        <f>IF(E567="","",COUNTIFS(tbl_Finance[Job Number],E567&amp;"",tbl_Finance[Ex GST],"&lt;&gt;"))</f>
        <v/>
      </c>
      <c r="Y567" s="27">
        <f>IF(E567="","",SUMIFS(tbl_Finance[Ex GST],tbl_Finance[Job Number],E567&amp;""))</f>
        <v/>
      </c>
      <c r="Z567" s="27">
        <f>IF(E567="","",SUMIFS(tbl_Finance[Ex GST],tbl_Finance[Job Number],E567&amp;"",tbl_Finance[Xero Invoice No],"&lt;&gt;"))</f>
        <v/>
      </c>
      <c r="AA567" s="27">
        <f>IF(E567="","",Y567-Z567)</f>
        <v/>
      </c>
      <c r="AB567" s="25">
        <f>IF(E567="","",IF(H567="Onsite",IFERROR(INDEX(tbl_Onsite[Qwilr Quote],MATCH(E567&amp;"",tbl_Onsite[Job Number],0)),""),IF(H567="Production",IFERROR(IF(INDEX(tbl_Production[Current RMS No],MATCH(E567&amp;"",tbl_Production[Job Number],0))="",INDEX(tbl_Production[Qwilr Quote],MATCH(E567&amp;"",tbl_Production[Job Number],0)),INDEX(tbl_Production[Current RMS No],MATCH(E567&amp;"",tbl_Production[Job Number],0))),""),IF(H567="Consulting",IFERROR(INDEX(tbl_Consulting[Qwilr Quote],MATCH(E567&amp;"",tbl_Consulting[Job Number],0)),""),""))))</f>
        <v/>
      </c>
      <c r="AC567" s="25">
        <f>IF(AB567="","",IF(AND(LEFT(AB567,4)&lt;&gt;"http",IF(H567="Production",set_RMSBase,set_QwilrBase)=""),"",HYPERLINK(IF(LEFT(AB567,4)="http",AB567,IF(H567="Production",set_RMSBase,set_QwilrBase)&amp;AB567),"Open")))</f>
        <v/>
      </c>
      <c r="AD567" s="27">
        <f>IF(E567="","",IF(H567="Production",IFERROR(INDEX(tbl_Production[Total Expense],MATCH(E567&amp;"",tbl_Production[Job Number],0)),0),IF(H567="Consulting",IFERROR(INDEX(tbl_Consulting[Total Expense],MATCH(E567&amp;"",tbl_Consulting[Job Number],0)),0),0)))</f>
        <v/>
      </c>
      <c r="AE567" s="27">
        <f>IF(E567="","",Y567-N(AD567))</f>
        <v/>
      </c>
      <c r="AF567" s="29">
        <f>IFERROR(AE567/Y567,"")</f>
        <v/>
      </c>
      <c r="AG567" s="2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22" t="n"/>
      <c r="B568" s="23">
        <f>IF(A568="","",EOMONTH(A568,0))</f>
        <v/>
      </c>
      <c r="C568" s="24" t="n"/>
      <c r="D568" s="24" t="n"/>
      <c r="E568" s="24" t="n"/>
      <c r="F568" s="25">
        <f>IF(E568="","",IF(COUNTIF(lst_Jobs,E568&amp;"")&gt;0,"OK","CHECK"))</f>
        <v/>
      </c>
      <c r="G568" s="24" t="n"/>
      <c r="H568" s="24" t="n"/>
      <c r="I568" s="24" t="n"/>
      <c r="J568" s="24" t="n"/>
      <c r="K568" s="24" t="n"/>
      <c r="L568" s="26" t="n"/>
      <c r="M568" s="27">
        <f>IF(L568="","",IF(K568="GST 10%",ROUND(L568*set_GSTRate,2),0))</f>
        <v/>
      </c>
      <c r="N568" s="27">
        <f>IF(L568="","",L568+M568)</f>
        <v/>
      </c>
      <c r="O568" s="24" t="n"/>
      <c r="P568" s="24" t="n"/>
      <c r="Q568" s="24" t="n"/>
      <c r="R568" s="22" t="n"/>
      <c r="S568" s="22" t="n"/>
      <c r="T568" s="24" t="n"/>
      <c r="U568" s="24" t="n"/>
      <c r="V568" s="2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25">
        <f>IF(E568="","",IFERROR(INDEX(lst_JobName,MATCH(E568&amp;"",lst_Jobs,0)),""))</f>
        <v/>
      </c>
      <c r="X568" s="28">
        <f>IF(E568="","",COUNTIFS(tbl_Finance[Job Number],E568&amp;"",tbl_Finance[Ex GST],"&lt;&gt;"))</f>
        <v/>
      </c>
      <c r="Y568" s="27">
        <f>IF(E568="","",SUMIFS(tbl_Finance[Ex GST],tbl_Finance[Job Number],E568&amp;""))</f>
        <v/>
      </c>
      <c r="Z568" s="27">
        <f>IF(E568="","",SUMIFS(tbl_Finance[Ex GST],tbl_Finance[Job Number],E568&amp;"",tbl_Finance[Xero Invoice No],"&lt;&gt;"))</f>
        <v/>
      </c>
      <c r="AA568" s="27">
        <f>IF(E568="","",Y568-Z568)</f>
        <v/>
      </c>
      <c r="AB568" s="25">
        <f>IF(E568="","",IF(H568="Onsite",IFERROR(INDEX(tbl_Onsite[Qwilr Quote],MATCH(E568&amp;"",tbl_Onsite[Job Number],0)),""),IF(H568="Production",IFERROR(IF(INDEX(tbl_Production[Current RMS No],MATCH(E568&amp;"",tbl_Production[Job Number],0))="",INDEX(tbl_Production[Qwilr Quote],MATCH(E568&amp;"",tbl_Production[Job Number],0)),INDEX(tbl_Production[Current RMS No],MATCH(E568&amp;"",tbl_Production[Job Number],0))),""),IF(H568="Consulting",IFERROR(INDEX(tbl_Consulting[Qwilr Quote],MATCH(E568&amp;"",tbl_Consulting[Job Number],0)),""),""))))</f>
        <v/>
      </c>
      <c r="AC568" s="25">
        <f>IF(AB568="","",IF(AND(LEFT(AB568,4)&lt;&gt;"http",IF(H568="Production",set_RMSBase,set_QwilrBase)=""),"",HYPERLINK(IF(LEFT(AB568,4)="http",AB568,IF(H568="Production",set_RMSBase,set_QwilrBase)&amp;AB568),"Open")))</f>
        <v/>
      </c>
      <c r="AD568" s="27">
        <f>IF(E568="","",IF(H568="Production",IFERROR(INDEX(tbl_Production[Total Expense],MATCH(E568&amp;"",tbl_Production[Job Number],0)),0),IF(H568="Consulting",IFERROR(INDEX(tbl_Consulting[Total Expense],MATCH(E568&amp;"",tbl_Consulting[Job Number],0)),0),0)))</f>
        <v/>
      </c>
      <c r="AE568" s="27">
        <f>IF(E568="","",Y568-N(AD568))</f>
        <v/>
      </c>
      <c r="AF568" s="29">
        <f>IFERROR(AE568/Y568,"")</f>
        <v/>
      </c>
      <c r="AG568" s="2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22" t="n"/>
      <c r="B569" s="23">
        <f>IF(A569="","",EOMONTH(A569,0))</f>
        <v/>
      </c>
      <c r="C569" s="24" t="n"/>
      <c r="D569" s="24" t="n"/>
      <c r="E569" s="24" t="n"/>
      <c r="F569" s="25">
        <f>IF(E569="","",IF(COUNTIF(lst_Jobs,E569&amp;"")&gt;0,"OK","CHECK"))</f>
        <v/>
      </c>
      <c r="G569" s="24" t="n"/>
      <c r="H569" s="24" t="n"/>
      <c r="I569" s="24" t="n"/>
      <c r="J569" s="24" t="n"/>
      <c r="K569" s="24" t="n"/>
      <c r="L569" s="26" t="n"/>
      <c r="M569" s="27">
        <f>IF(L569="","",IF(K569="GST 10%",ROUND(L569*set_GSTRate,2),0))</f>
        <v/>
      </c>
      <c r="N569" s="27">
        <f>IF(L569="","",L569+M569)</f>
        <v/>
      </c>
      <c r="O569" s="24" t="n"/>
      <c r="P569" s="24" t="n"/>
      <c r="Q569" s="24" t="n"/>
      <c r="R569" s="22" t="n"/>
      <c r="S569" s="22" t="n"/>
      <c r="T569" s="24" t="n"/>
      <c r="U569" s="24" t="n"/>
      <c r="V569" s="2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25">
        <f>IF(E569="","",IFERROR(INDEX(lst_JobName,MATCH(E569&amp;"",lst_Jobs,0)),""))</f>
        <v/>
      </c>
      <c r="X569" s="28">
        <f>IF(E569="","",COUNTIFS(tbl_Finance[Job Number],E569&amp;"",tbl_Finance[Ex GST],"&lt;&gt;"))</f>
        <v/>
      </c>
      <c r="Y569" s="27">
        <f>IF(E569="","",SUMIFS(tbl_Finance[Ex GST],tbl_Finance[Job Number],E569&amp;""))</f>
        <v/>
      </c>
      <c r="Z569" s="27">
        <f>IF(E569="","",SUMIFS(tbl_Finance[Ex GST],tbl_Finance[Job Number],E569&amp;"",tbl_Finance[Xero Invoice No],"&lt;&gt;"))</f>
        <v/>
      </c>
      <c r="AA569" s="27">
        <f>IF(E569="","",Y569-Z569)</f>
        <v/>
      </c>
      <c r="AB569" s="25">
        <f>IF(E569="","",IF(H569="Onsite",IFERROR(INDEX(tbl_Onsite[Qwilr Quote],MATCH(E569&amp;"",tbl_Onsite[Job Number],0)),""),IF(H569="Production",IFERROR(IF(INDEX(tbl_Production[Current RMS No],MATCH(E569&amp;"",tbl_Production[Job Number],0))="",INDEX(tbl_Production[Qwilr Quote],MATCH(E569&amp;"",tbl_Production[Job Number],0)),INDEX(tbl_Production[Current RMS No],MATCH(E569&amp;"",tbl_Production[Job Number],0))),""),IF(H569="Consulting",IFERROR(INDEX(tbl_Consulting[Qwilr Quote],MATCH(E569&amp;"",tbl_Consulting[Job Number],0)),""),""))))</f>
        <v/>
      </c>
      <c r="AC569" s="25">
        <f>IF(AB569="","",IF(AND(LEFT(AB569,4)&lt;&gt;"http",IF(H569="Production",set_RMSBase,set_QwilrBase)=""),"",HYPERLINK(IF(LEFT(AB569,4)="http",AB569,IF(H569="Production",set_RMSBase,set_QwilrBase)&amp;AB569),"Open")))</f>
        <v/>
      </c>
      <c r="AD569" s="27">
        <f>IF(E569="","",IF(H569="Production",IFERROR(INDEX(tbl_Production[Total Expense],MATCH(E569&amp;"",tbl_Production[Job Number],0)),0),IF(H569="Consulting",IFERROR(INDEX(tbl_Consulting[Total Expense],MATCH(E569&amp;"",tbl_Consulting[Job Number],0)),0),0)))</f>
        <v/>
      </c>
      <c r="AE569" s="27">
        <f>IF(E569="","",Y569-N(AD569))</f>
        <v/>
      </c>
      <c r="AF569" s="29">
        <f>IFERROR(AE569/Y569,"")</f>
        <v/>
      </c>
      <c r="AG569" s="2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22" t="n"/>
      <c r="B570" s="23">
        <f>IF(A570="","",EOMONTH(A570,0))</f>
        <v/>
      </c>
      <c r="C570" s="24" t="n"/>
      <c r="D570" s="24" t="n"/>
      <c r="E570" s="24" t="n"/>
      <c r="F570" s="25">
        <f>IF(E570="","",IF(COUNTIF(lst_Jobs,E570&amp;"")&gt;0,"OK","CHECK"))</f>
        <v/>
      </c>
      <c r="G570" s="24" t="n"/>
      <c r="H570" s="24" t="n"/>
      <c r="I570" s="24" t="n"/>
      <c r="J570" s="24" t="n"/>
      <c r="K570" s="24" t="n"/>
      <c r="L570" s="26" t="n"/>
      <c r="M570" s="27">
        <f>IF(L570="","",IF(K570="GST 10%",ROUND(L570*set_GSTRate,2),0))</f>
        <v/>
      </c>
      <c r="N570" s="27">
        <f>IF(L570="","",L570+M570)</f>
        <v/>
      </c>
      <c r="O570" s="24" t="n"/>
      <c r="P570" s="24" t="n"/>
      <c r="Q570" s="24" t="n"/>
      <c r="R570" s="22" t="n"/>
      <c r="S570" s="22" t="n"/>
      <c r="T570" s="24" t="n"/>
      <c r="U570" s="24" t="n"/>
      <c r="V570" s="2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25">
        <f>IF(E570="","",IFERROR(INDEX(lst_JobName,MATCH(E570&amp;"",lst_Jobs,0)),""))</f>
        <v/>
      </c>
      <c r="X570" s="28">
        <f>IF(E570="","",COUNTIFS(tbl_Finance[Job Number],E570&amp;"",tbl_Finance[Ex GST],"&lt;&gt;"))</f>
        <v/>
      </c>
      <c r="Y570" s="27">
        <f>IF(E570="","",SUMIFS(tbl_Finance[Ex GST],tbl_Finance[Job Number],E570&amp;""))</f>
        <v/>
      </c>
      <c r="Z570" s="27">
        <f>IF(E570="","",SUMIFS(tbl_Finance[Ex GST],tbl_Finance[Job Number],E570&amp;"",tbl_Finance[Xero Invoice No],"&lt;&gt;"))</f>
        <v/>
      </c>
      <c r="AA570" s="27">
        <f>IF(E570="","",Y570-Z570)</f>
        <v/>
      </c>
      <c r="AB570" s="25">
        <f>IF(E570="","",IF(H570="Onsite",IFERROR(INDEX(tbl_Onsite[Qwilr Quote],MATCH(E570&amp;"",tbl_Onsite[Job Number],0)),""),IF(H570="Production",IFERROR(IF(INDEX(tbl_Production[Current RMS No],MATCH(E570&amp;"",tbl_Production[Job Number],0))="",INDEX(tbl_Production[Qwilr Quote],MATCH(E570&amp;"",tbl_Production[Job Number],0)),INDEX(tbl_Production[Current RMS No],MATCH(E570&amp;"",tbl_Production[Job Number],0))),""),IF(H570="Consulting",IFERROR(INDEX(tbl_Consulting[Qwilr Quote],MATCH(E570&amp;"",tbl_Consulting[Job Number],0)),""),""))))</f>
        <v/>
      </c>
      <c r="AC570" s="25">
        <f>IF(AB570="","",IF(AND(LEFT(AB570,4)&lt;&gt;"http",IF(H570="Production",set_RMSBase,set_QwilrBase)=""),"",HYPERLINK(IF(LEFT(AB570,4)="http",AB570,IF(H570="Production",set_RMSBase,set_QwilrBase)&amp;AB570),"Open")))</f>
        <v/>
      </c>
      <c r="AD570" s="27">
        <f>IF(E570="","",IF(H570="Production",IFERROR(INDEX(tbl_Production[Total Expense],MATCH(E570&amp;"",tbl_Production[Job Number],0)),0),IF(H570="Consulting",IFERROR(INDEX(tbl_Consulting[Total Expense],MATCH(E570&amp;"",tbl_Consulting[Job Number],0)),0),0)))</f>
        <v/>
      </c>
      <c r="AE570" s="27">
        <f>IF(E570="","",Y570-N(AD570))</f>
        <v/>
      </c>
      <c r="AF570" s="29">
        <f>IFERROR(AE570/Y570,"")</f>
        <v/>
      </c>
      <c r="AG570" s="2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22" t="n"/>
      <c r="B571" s="23">
        <f>IF(A571="","",EOMONTH(A571,0))</f>
        <v/>
      </c>
      <c r="C571" s="24" t="n"/>
      <c r="D571" s="24" t="n"/>
      <c r="E571" s="24" t="n"/>
      <c r="F571" s="25">
        <f>IF(E571="","",IF(COUNTIF(lst_Jobs,E571&amp;"")&gt;0,"OK","CHECK"))</f>
        <v/>
      </c>
      <c r="G571" s="24" t="n"/>
      <c r="H571" s="24" t="n"/>
      <c r="I571" s="24" t="n"/>
      <c r="J571" s="24" t="n"/>
      <c r="K571" s="24" t="n"/>
      <c r="L571" s="26" t="n"/>
      <c r="M571" s="27">
        <f>IF(L571="","",IF(K571="GST 10%",ROUND(L571*set_GSTRate,2),0))</f>
        <v/>
      </c>
      <c r="N571" s="27">
        <f>IF(L571="","",L571+M571)</f>
        <v/>
      </c>
      <c r="O571" s="24" t="n"/>
      <c r="P571" s="24" t="n"/>
      <c r="Q571" s="24" t="n"/>
      <c r="R571" s="22" t="n"/>
      <c r="S571" s="22" t="n"/>
      <c r="T571" s="24" t="n"/>
      <c r="U571" s="24" t="n"/>
      <c r="V571" s="2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25">
        <f>IF(E571="","",IFERROR(INDEX(lst_JobName,MATCH(E571&amp;"",lst_Jobs,0)),""))</f>
        <v/>
      </c>
      <c r="X571" s="28">
        <f>IF(E571="","",COUNTIFS(tbl_Finance[Job Number],E571&amp;"",tbl_Finance[Ex GST],"&lt;&gt;"))</f>
        <v/>
      </c>
      <c r="Y571" s="27">
        <f>IF(E571="","",SUMIFS(tbl_Finance[Ex GST],tbl_Finance[Job Number],E571&amp;""))</f>
        <v/>
      </c>
      <c r="Z571" s="27">
        <f>IF(E571="","",SUMIFS(tbl_Finance[Ex GST],tbl_Finance[Job Number],E571&amp;"",tbl_Finance[Xero Invoice No],"&lt;&gt;"))</f>
        <v/>
      </c>
      <c r="AA571" s="27">
        <f>IF(E571="","",Y571-Z571)</f>
        <v/>
      </c>
      <c r="AB571" s="25">
        <f>IF(E571="","",IF(H571="Onsite",IFERROR(INDEX(tbl_Onsite[Qwilr Quote],MATCH(E571&amp;"",tbl_Onsite[Job Number],0)),""),IF(H571="Production",IFERROR(IF(INDEX(tbl_Production[Current RMS No],MATCH(E571&amp;"",tbl_Production[Job Number],0))="",INDEX(tbl_Production[Qwilr Quote],MATCH(E571&amp;"",tbl_Production[Job Number],0)),INDEX(tbl_Production[Current RMS No],MATCH(E571&amp;"",tbl_Production[Job Number],0))),""),IF(H571="Consulting",IFERROR(INDEX(tbl_Consulting[Qwilr Quote],MATCH(E571&amp;"",tbl_Consulting[Job Number],0)),""),""))))</f>
        <v/>
      </c>
      <c r="AC571" s="25">
        <f>IF(AB571="","",IF(AND(LEFT(AB571,4)&lt;&gt;"http",IF(H571="Production",set_RMSBase,set_QwilrBase)=""),"",HYPERLINK(IF(LEFT(AB571,4)="http",AB571,IF(H571="Production",set_RMSBase,set_QwilrBase)&amp;AB571),"Open")))</f>
        <v/>
      </c>
      <c r="AD571" s="27">
        <f>IF(E571="","",IF(H571="Production",IFERROR(INDEX(tbl_Production[Total Expense],MATCH(E571&amp;"",tbl_Production[Job Number],0)),0),IF(H571="Consulting",IFERROR(INDEX(tbl_Consulting[Total Expense],MATCH(E571&amp;"",tbl_Consulting[Job Number],0)),0),0)))</f>
        <v/>
      </c>
      <c r="AE571" s="27">
        <f>IF(E571="","",Y571-N(AD571))</f>
        <v/>
      </c>
      <c r="AF571" s="29">
        <f>IFERROR(AE571/Y571,"")</f>
        <v/>
      </c>
      <c r="AG571" s="2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22" t="n"/>
      <c r="B572" s="23">
        <f>IF(A572="","",EOMONTH(A572,0))</f>
        <v/>
      </c>
      <c r="C572" s="24" t="n"/>
      <c r="D572" s="24" t="n"/>
      <c r="E572" s="24" t="n"/>
      <c r="F572" s="25">
        <f>IF(E572="","",IF(COUNTIF(lst_Jobs,E572&amp;"")&gt;0,"OK","CHECK"))</f>
        <v/>
      </c>
      <c r="G572" s="24" t="n"/>
      <c r="H572" s="24" t="n"/>
      <c r="I572" s="24" t="n"/>
      <c r="J572" s="24" t="n"/>
      <c r="K572" s="24" t="n"/>
      <c r="L572" s="26" t="n"/>
      <c r="M572" s="27">
        <f>IF(L572="","",IF(K572="GST 10%",ROUND(L572*set_GSTRate,2),0))</f>
        <v/>
      </c>
      <c r="N572" s="27">
        <f>IF(L572="","",L572+M572)</f>
        <v/>
      </c>
      <c r="O572" s="24" t="n"/>
      <c r="P572" s="24" t="n"/>
      <c r="Q572" s="24" t="n"/>
      <c r="R572" s="22" t="n"/>
      <c r="S572" s="22" t="n"/>
      <c r="T572" s="24" t="n"/>
      <c r="U572" s="24" t="n"/>
      <c r="V572" s="2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25">
        <f>IF(E572="","",IFERROR(INDEX(lst_JobName,MATCH(E572&amp;"",lst_Jobs,0)),""))</f>
        <v/>
      </c>
      <c r="X572" s="28">
        <f>IF(E572="","",COUNTIFS(tbl_Finance[Job Number],E572&amp;"",tbl_Finance[Ex GST],"&lt;&gt;"))</f>
        <v/>
      </c>
      <c r="Y572" s="27">
        <f>IF(E572="","",SUMIFS(tbl_Finance[Ex GST],tbl_Finance[Job Number],E572&amp;""))</f>
        <v/>
      </c>
      <c r="Z572" s="27">
        <f>IF(E572="","",SUMIFS(tbl_Finance[Ex GST],tbl_Finance[Job Number],E572&amp;"",tbl_Finance[Xero Invoice No],"&lt;&gt;"))</f>
        <v/>
      </c>
      <c r="AA572" s="27">
        <f>IF(E572="","",Y572-Z572)</f>
        <v/>
      </c>
      <c r="AB572" s="25">
        <f>IF(E572="","",IF(H572="Onsite",IFERROR(INDEX(tbl_Onsite[Qwilr Quote],MATCH(E572&amp;"",tbl_Onsite[Job Number],0)),""),IF(H572="Production",IFERROR(IF(INDEX(tbl_Production[Current RMS No],MATCH(E572&amp;"",tbl_Production[Job Number],0))="",INDEX(tbl_Production[Qwilr Quote],MATCH(E572&amp;"",tbl_Production[Job Number],0)),INDEX(tbl_Production[Current RMS No],MATCH(E572&amp;"",tbl_Production[Job Number],0))),""),IF(H572="Consulting",IFERROR(INDEX(tbl_Consulting[Qwilr Quote],MATCH(E572&amp;"",tbl_Consulting[Job Number],0)),""),""))))</f>
        <v/>
      </c>
      <c r="AC572" s="25">
        <f>IF(AB572="","",IF(AND(LEFT(AB572,4)&lt;&gt;"http",IF(H572="Production",set_RMSBase,set_QwilrBase)=""),"",HYPERLINK(IF(LEFT(AB572,4)="http",AB572,IF(H572="Production",set_RMSBase,set_QwilrBase)&amp;AB572),"Open")))</f>
        <v/>
      </c>
      <c r="AD572" s="27">
        <f>IF(E572="","",IF(H572="Production",IFERROR(INDEX(tbl_Production[Total Expense],MATCH(E572&amp;"",tbl_Production[Job Number],0)),0),IF(H572="Consulting",IFERROR(INDEX(tbl_Consulting[Total Expense],MATCH(E572&amp;"",tbl_Consulting[Job Number],0)),0),0)))</f>
        <v/>
      </c>
      <c r="AE572" s="27">
        <f>IF(E572="","",Y572-N(AD572))</f>
        <v/>
      </c>
      <c r="AF572" s="29">
        <f>IFERROR(AE572/Y572,"")</f>
        <v/>
      </c>
      <c r="AG572" s="2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22" t="n"/>
      <c r="B573" s="23">
        <f>IF(A573="","",EOMONTH(A573,0))</f>
        <v/>
      </c>
      <c r="C573" s="24" t="n"/>
      <c r="D573" s="24" t="n"/>
      <c r="E573" s="24" t="n"/>
      <c r="F573" s="25">
        <f>IF(E573="","",IF(COUNTIF(lst_Jobs,E573&amp;"")&gt;0,"OK","CHECK"))</f>
        <v/>
      </c>
      <c r="G573" s="24" t="n"/>
      <c r="H573" s="24" t="n"/>
      <c r="I573" s="24" t="n"/>
      <c r="J573" s="24" t="n"/>
      <c r="K573" s="24" t="n"/>
      <c r="L573" s="26" t="n"/>
      <c r="M573" s="27">
        <f>IF(L573="","",IF(K573="GST 10%",ROUND(L573*set_GSTRate,2),0))</f>
        <v/>
      </c>
      <c r="N573" s="27">
        <f>IF(L573="","",L573+M573)</f>
        <v/>
      </c>
      <c r="O573" s="24" t="n"/>
      <c r="P573" s="24" t="n"/>
      <c r="Q573" s="24" t="n"/>
      <c r="R573" s="22" t="n"/>
      <c r="S573" s="22" t="n"/>
      <c r="T573" s="24" t="n"/>
      <c r="U573" s="24" t="n"/>
      <c r="V573" s="2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25">
        <f>IF(E573="","",IFERROR(INDEX(lst_JobName,MATCH(E573&amp;"",lst_Jobs,0)),""))</f>
        <v/>
      </c>
      <c r="X573" s="28">
        <f>IF(E573="","",COUNTIFS(tbl_Finance[Job Number],E573&amp;"",tbl_Finance[Ex GST],"&lt;&gt;"))</f>
        <v/>
      </c>
      <c r="Y573" s="27">
        <f>IF(E573="","",SUMIFS(tbl_Finance[Ex GST],tbl_Finance[Job Number],E573&amp;""))</f>
        <v/>
      </c>
      <c r="Z573" s="27">
        <f>IF(E573="","",SUMIFS(tbl_Finance[Ex GST],tbl_Finance[Job Number],E573&amp;"",tbl_Finance[Xero Invoice No],"&lt;&gt;"))</f>
        <v/>
      </c>
      <c r="AA573" s="27">
        <f>IF(E573="","",Y573-Z573)</f>
        <v/>
      </c>
      <c r="AB573" s="25">
        <f>IF(E573="","",IF(H573="Onsite",IFERROR(INDEX(tbl_Onsite[Qwilr Quote],MATCH(E573&amp;"",tbl_Onsite[Job Number],0)),""),IF(H573="Production",IFERROR(IF(INDEX(tbl_Production[Current RMS No],MATCH(E573&amp;"",tbl_Production[Job Number],0))="",INDEX(tbl_Production[Qwilr Quote],MATCH(E573&amp;"",tbl_Production[Job Number],0)),INDEX(tbl_Production[Current RMS No],MATCH(E573&amp;"",tbl_Production[Job Number],0))),""),IF(H573="Consulting",IFERROR(INDEX(tbl_Consulting[Qwilr Quote],MATCH(E573&amp;"",tbl_Consulting[Job Number],0)),""),""))))</f>
        <v/>
      </c>
      <c r="AC573" s="25">
        <f>IF(AB573="","",IF(AND(LEFT(AB573,4)&lt;&gt;"http",IF(H573="Production",set_RMSBase,set_QwilrBase)=""),"",HYPERLINK(IF(LEFT(AB573,4)="http",AB573,IF(H573="Production",set_RMSBase,set_QwilrBase)&amp;AB573),"Open")))</f>
        <v/>
      </c>
      <c r="AD573" s="27">
        <f>IF(E573="","",IF(H573="Production",IFERROR(INDEX(tbl_Production[Total Expense],MATCH(E573&amp;"",tbl_Production[Job Number],0)),0),IF(H573="Consulting",IFERROR(INDEX(tbl_Consulting[Total Expense],MATCH(E573&amp;"",tbl_Consulting[Job Number],0)),0),0)))</f>
        <v/>
      </c>
      <c r="AE573" s="27">
        <f>IF(E573="","",Y573-N(AD573))</f>
        <v/>
      </c>
      <c r="AF573" s="29">
        <f>IFERROR(AE573/Y573,"")</f>
        <v/>
      </c>
      <c r="AG573" s="2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22" t="n"/>
      <c r="B574" s="23">
        <f>IF(A574="","",EOMONTH(A574,0))</f>
        <v/>
      </c>
      <c r="C574" s="24" t="n"/>
      <c r="D574" s="24" t="n"/>
      <c r="E574" s="24" t="n"/>
      <c r="F574" s="25">
        <f>IF(E574="","",IF(COUNTIF(lst_Jobs,E574&amp;"")&gt;0,"OK","CHECK"))</f>
        <v/>
      </c>
      <c r="G574" s="24" t="n"/>
      <c r="H574" s="24" t="n"/>
      <c r="I574" s="24" t="n"/>
      <c r="J574" s="24" t="n"/>
      <c r="K574" s="24" t="n"/>
      <c r="L574" s="26" t="n"/>
      <c r="M574" s="27">
        <f>IF(L574="","",IF(K574="GST 10%",ROUND(L574*set_GSTRate,2),0))</f>
        <v/>
      </c>
      <c r="N574" s="27">
        <f>IF(L574="","",L574+M574)</f>
        <v/>
      </c>
      <c r="O574" s="24" t="n"/>
      <c r="P574" s="24" t="n"/>
      <c r="Q574" s="24" t="n"/>
      <c r="R574" s="22" t="n"/>
      <c r="S574" s="22" t="n"/>
      <c r="T574" s="24" t="n"/>
      <c r="U574" s="24" t="n"/>
      <c r="V574" s="2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25">
        <f>IF(E574="","",IFERROR(INDEX(lst_JobName,MATCH(E574&amp;"",lst_Jobs,0)),""))</f>
        <v/>
      </c>
      <c r="X574" s="28">
        <f>IF(E574="","",COUNTIFS(tbl_Finance[Job Number],E574&amp;"",tbl_Finance[Ex GST],"&lt;&gt;"))</f>
        <v/>
      </c>
      <c r="Y574" s="27">
        <f>IF(E574="","",SUMIFS(tbl_Finance[Ex GST],tbl_Finance[Job Number],E574&amp;""))</f>
        <v/>
      </c>
      <c r="Z574" s="27">
        <f>IF(E574="","",SUMIFS(tbl_Finance[Ex GST],tbl_Finance[Job Number],E574&amp;"",tbl_Finance[Xero Invoice No],"&lt;&gt;"))</f>
        <v/>
      </c>
      <c r="AA574" s="27">
        <f>IF(E574="","",Y574-Z574)</f>
        <v/>
      </c>
      <c r="AB574" s="25">
        <f>IF(E574="","",IF(H574="Onsite",IFERROR(INDEX(tbl_Onsite[Qwilr Quote],MATCH(E574&amp;"",tbl_Onsite[Job Number],0)),""),IF(H574="Production",IFERROR(IF(INDEX(tbl_Production[Current RMS No],MATCH(E574&amp;"",tbl_Production[Job Number],0))="",INDEX(tbl_Production[Qwilr Quote],MATCH(E574&amp;"",tbl_Production[Job Number],0)),INDEX(tbl_Production[Current RMS No],MATCH(E574&amp;"",tbl_Production[Job Number],0))),""),IF(H574="Consulting",IFERROR(INDEX(tbl_Consulting[Qwilr Quote],MATCH(E574&amp;"",tbl_Consulting[Job Number],0)),""),""))))</f>
        <v/>
      </c>
      <c r="AC574" s="25">
        <f>IF(AB574="","",IF(AND(LEFT(AB574,4)&lt;&gt;"http",IF(H574="Production",set_RMSBase,set_QwilrBase)=""),"",HYPERLINK(IF(LEFT(AB574,4)="http",AB574,IF(H574="Production",set_RMSBase,set_QwilrBase)&amp;AB574),"Open")))</f>
        <v/>
      </c>
      <c r="AD574" s="27">
        <f>IF(E574="","",IF(H574="Production",IFERROR(INDEX(tbl_Production[Total Expense],MATCH(E574&amp;"",tbl_Production[Job Number],0)),0),IF(H574="Consulting",IFERROR(INDEX(tbl_Consulting[Total Expense],MATCH(E574&amp;"",tbl_Consulting[Job Number],0)),0),0)))</f>
        <v/>
      </c>
      <c r="AE574" s="27">
        <f>IF(E574="","",Y574-N(AD574))</f>
        <v/>
      </c>
      <c r="AF574" s="29">
        <f>IFERROR(AE574/Y574,"")</f>
        <v/>
      </c>
      <c r="AG574" s="2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22" t="n"/>
      <c r="B575" s="23">
        <f>IF(A575="","",EOMONTH(A575,0))</f>
        <v/>
      </c>
      <c r="C575" s="24" t="n"/>
      <c r="D575" s="24" t="n"/>
      <c r="E575" s="24" t="n"/>
      <c r="F575" s="25">
        <f>IF(E575="","",IF(COUNTIF(lst_Jobs,E575&amp;"")&gt;0,"OK","CHECK"))</f>
        <v/>
      </c>
      <c r="G575" s="24" t="n"/>
      <c r="H575" s="24" t="n"/>
      <c r="I575" s="24" t="n"/>
      <c r="J575" s="24" t="n"/>
      <c r="K575" s="24" t="n"/>
      <c r="L575" s="26" t="n"/>
      <c r="M575" s="27">
        <f>IF(L575="","",IF(K575="GST 10%",ROUND(L575*set_GSTRate,2),0))</f>
        <v/>
      </c>
      <c r="N575" s="27">
        <f>IF(L575="","",L575+M575)</f>
        <v/>
      </c>
      <c r="O575" s="24" t="n"/>
      <c r="P575" s="24" t="n"/>
      <c r="Q575" s="24" t="n"/>
      <c r="R575" s="22" t="n"/>
      <c r="S575" s="22" t="n"/>
      <c r="T575" s="24" t="n"/>
      <c r="U575" s="24" t="n"/>
      <c r="V575" s="2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25">
        <f>IF(E575="","",IFERROR(INDEX(lst_JobName,MATCH(E575&amp;"",lst_Jobs,0)),""))</f>
        <v/>
      </c>
      <c r="X575" s="28">
        <f>IF(E575="","",COUNTIFS(tbl_Finance[Job Number],E575&amp;"",tbl_Finance[Ex GST],"&lt;&gt;"))</f>
        <v/>
      </c>
      <c r="Y575" s="27">
        <f>IF(E575="","",SUMIFS(tbl_Finance[Ex GST],tbl_Finance[Job Number],E575&amp;""))</f>
        <v/>
      </c>
      <c r="Z575" s="27">
        <f>IF(E575="","",SUMIFS(tbl_Finance[Ex GST],tbl_Finance[Job Number],E575&amp;"",tbl_Finance[Xero Invoice No],"&lt;&gt;"))</f>
        <v/>
      </c>
      <c r="AA575" s="27">
        <f>IF(E575="","",Y575-Z575)</f>
        <v/>
      </c>
      <c r="AB575" s="25">
        <f>IF(E575="","",IF(H575="Onsite",IFERROR(INDEX(tbl_Onsite[Qwilr Quote],MATCH(E575&amp;"",tbl_Onsite[Job Number],0)),""),IF(H575="Production",IFERROR(IF(INDEX(tbl_Production[Current RMS No],MATCH(E575&amp;"",tbl_Production[Job Number],0))="",INDEX(tbl_Production[Qwilr Quote],MATCH(E575&amp;"",tbl_Production[Job Number],0)),INDEX(tbl_Production[Current RMS No],MATCH(E575&amp;"",tbl_Production[Job Number],0))),""),IF(H575="Consulting",IFERROR(INDEX(tbl_Consulting[Qwilr Quote],MATCH(E575&amp;"",tbl_Consulting[Job Number],0)),""),""))))</f>
        <v/>
      </c>
      <c r="AC575" s="25">
        <f>IF(AB575="","",IF(AND(LEFT(AB575,4)&lt;&gt;"http",IF(H575="Production",set_RMSBase,set_QwilrBase)=""),"",HYPERLINK(IF(LEFT(AB575,4)="http",AB575,IF(H575="Production",set_RMSBase,set_QwilrBase)&amp;AB575),"Open")))</f>
        <v/>
      </c>
      <c r="AD575" s="27">
        <f>IF(E575="","",IF(H575="Production",IFERROR(INDEX(tbl_Production[Total Expense],MATCH(E575&amp;"",tbl_Production[Job Number],0)),0),IF(H575="Consulting",IFERROR(INDEX(tbl_Consulting[Total Expense],MATCH(E575&amp;"",tbl_Consulting[Job Number],0)),0),0)))</f>
        <v/>
      </c>
      <c r="AE575" s="27">
        <f>IF(E575="","",Y575-N(AD575))</f>
        <v/>
      </c>
      <c r="AF575" s="29">
        <f>IFERROR(AE575/Y575,"")</f>
        <v/>
      </c>
      <c r="AG575" s="2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22" t="n"/>
      <c r="B576" s="23">
        <f>IF(A576="","",EOMONTH(A576,0))</f>
        <v/>
      </c>
      <c r="C576" s="24" t="n"/>
      <c r="D576" s="24" t="n"/>
      <c r="E576" s="24" t="n"/>
      <c r="F576" s="25">
        <f>IF(E576="","",IF(COUNTIF(lst_Jobs,E576&amp;"")&gt;0,"OK","CHECK"))</f>
        <v/>
      </c>
      <c r="G576" s="24" t="n"/>
      <c r="H576" s="24" t="n"/>
      <c r="I576" s="24" t="n"/>
      <c r="J576" s="24" t="n"/>
      <c r="K576" s="24" t="n"/>
      <c r="L576" s="26" t="n"/>
      <c r="M576" s="27">
        <f>IF(L576="","",IF(K576="GST 10%",ROUND(L576*set_GSTRate,2),0))</f>
        <v/>
      </c>
      <c r="N576" s="27">
        <f>IF(L576="","",L576+M576)</f>
        <v/>
      </c>
      <c r="O576" s="24" t="n"/>
      <c r="P576" s="24" t="n"/>
      <c r="Q576" s="24" t="n"/>
      <c r="R576" s="22" t="n"/>
      <c r="S576" s="22" t="n"/>
      <c r="T576" s="24" t="n"/>
      <c r="U576" s="24" t="n"/>
      <c r="V576" s="2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25">
        <f>IF(E576="","",IFERROR(INDEX(lst_JobName,MATCH(E576&amp;"",lst_Jobs,0)),""))</f>
        <v/>
      </c>
      <c r="X576" s="28">
        <f>IF(E576="","",COUNTIFS(tbl_Finance[Job Number],E576&amp;"",tbl_Finance[Ex GST],"&lt;&gt;"))</f>
        <v/>
      </c>
      <c r="Y576" s="27">
        <f>IF(E576="","",SUMIFS(tbl_Finance[Ex GST],tbl_Finance[Job Number],E576&amp;""))</f>
        <v/>
      </c>
      <c r="Z576" s="27">
        <f>IF(E576="","",SUMIFS(tbl_Finance[Ex GST],tbl_Finance[Job Number],E576&amp;"",tbl_Finance[Xero Invoice No],"&lt;&gt;"))</f>
        <v/>
      </c>
      <c r="AA576" s="27">
        <f>IF(E576="","",Y576-Z576)</f>
        <v/>
      </c>
      <c r="AB576" s="25">
        <f>IF(E576="","",IF(H576="Onsite",IFERROR(INDEX(tbl_Onsite[Qwilr Quote],MATCH(E576&amp;"",tbl_Onsite[Job Number],0)),""),IF(H576="Production",IFERROR(IF(INDEX(tbl_Production[Current RMS No],MATCH(E576&amp;"",tbl_Production[Job Number],0))="",INDEX(tbl_Production[Qwilr Quote],MATCH(E576&amp;"",tbl_Production[Job Number],0)),INDEX(tbl_Production[Current RMS No],MATCH(E576&amp;"",tbl_Production[Job Number],0))),""),IF(H576="Consulting",IFERROR(INDEX(tbl_Consulting[Qwilr Quote],MATCH(E576&amp;"",tbl_Consulting[Job Number],0)),""),""))))</f>
        <v/>
      </c>
      <c r="AC576" s="25">
        <f>IF(AB576="","",IF(AND(LEFT(AB576,4)&lt;&gt;"http",IF(H576="Production",set_RMSBase,set_QwilrBase)=""),"",HYPERLINK(IF(LEFT(AB576,4)="http",AB576,IF(H576="Production",set_RMSBase,set_QwilrBase)&amp;AB576),"Open")))</f>
        <v/>
      </c>
      <c r="AD576" s="27">
        <f>IF(E576="","",IF(H576="Production",IFERROR(INDEX(tbl_Production[Total Expense],MATCH(E576&amp;"",tbl_Production[Job Number],0)),0),IF(H576="Consulting",IFERROR(INDEX(tbl_Consulting[Total Expense],MATCH(E576&amp;"",tbl_Consulting[Job Number],0)),0),0)))</f>
        <v/>
      </c>
      <c r="AE576" s="27">
        <f>IF(E576="","",Y576-N(AD576))</f>
        <v/>
      </c>
      <c r="AF576" s="29">
        <f>IFERROR(AE576/Y576,"")</f>
        <v/>
      </c>
      <c r="AG576" s="2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22" t="n"/>
      <c r="B577" s="23">
        <f>IF(A577="","",EOMONTH(A577,0))</f>
        <v/>
      </c>
      <c r="C577" s="24" t="n"/>
      <c r="D577" s="24" t="n"/>
      <c r="E577" s="24" t="n"/>
      <c r="F577" s="25">
        <f>IF(E577="","",IF(COUNTIF(lst_Jobs,E577&amp;"")&gt;0,"OK","CHECK"))</f>
        <v/>
      </c>
      <c r="G577" s="24" t="n"/>
      <c r="H577" s="24" t="n"/>
      <c r="I577" s="24" t="n"/>
      <c r="J577" s="24" t="n"/>
      <c r="K577" s="24" t="n"/>
      <c r="L577" s="26" t="n"/>
      <c r="M577" s="27">
        <f>IF(L577="","",IF(K577="GST 10%",ROUND(L577*set_GSTRate,2),0))</f>
        <v/>
      </c>
      <c r="N577" s="27">
        <f>IF(L577="","",L577+M577)</f>
        <v/>
      </c>
      <c r="O577" s="24" t="n"/>
      <c r="P577" s="24" t="n"/>
      <c r="Q577" s="24" t="n"/>
      <c r="R577" s="22" t="n"/>
      <c r="S577" s="22" t="n"/>
      <c r="T577" s="24" t="n"/>
      <c r="U577" s="24" t="n"/>
      <c r="V577" s="2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25">
        <f>IF(E577="","",IFERROR(INDEX(lst_JobName,MATCH(E577&amp;"",lst_Jobs,0)),""))</f>
        <v/>
      </c>
      <c r="X577" s="28">
        <f>IF(E577="","",COUNTIFS(tbl_Finance[Job Number],E577&amp;"",tbl_Finance[Ex GST],"&lt;&gt;"))</f>
        <v/>
      </c>
      <c r="Y577" s="27">
        <f>IF(E577="","",SUMIFS(tbl_Finance[Ex GST],tbl_Finance[Job Number],E577&amp;""))</f>
        <v/>
      </c>
      <c r="Z577" s="27">
        <f>IF(E577="","",SUMIFS(tbl_Finance[Ex GST],tbl_Finance[Job Number],E577&amp;"",tbl_Finance[Xero Invoice No],"&lt;&gt;"))</f>
        <v/>
      </c>
      <c r="AA577" s="27">
        <f>IF(E577="","",Y577-Z577)</f>
        <v/>
      </c>
      <c r="AB577" s="25">
        <f>IF(E577="","",IF(H577="Onsite",IFERROR(INDEX(tbl_Onsite[Qwilr Quote],MATCH(E577&amp;"",tbl_Onsite[Job Number],0)),""),IF(H577="Production",IFERROR(IF(INDEX(tbl_Production[Current RMS No],MATCH(E577&amp;"",tbl_Production[Job Number],0))="",INDEX(tbl_Production[Qwilr Quote],MATCH(E577&amp;"",tbl_Production[Job Number],0)),INDEX(tbl_Production[Current RMS No],MATCH(E577&amp;"",tbl_Production[Job Number],0))),""),IF(H577="Consulting",IFERROR(INDEX(tbl_Consulting[Qwilr Quote],MATCH(E577&amp;"",tbl_Consulting[Job Number],0)),""),""))))</f>
        <v/>
      </c>
      <c r="AC577" s="25">
        <f>IF(AB577="","",IF(AND(LEFT(AB577,4)&lt;&gt;"http",IF(H577="Production",set_RMSBase,set_QwilrBase)=""),"",HYPERLINK(IF(LEFT(AB577,4)="http",AB577,IF(H577="Production",set_RMSBase,set_QwilrBase)&amp;AB577),"Open")))</f>
        <v/>
      </c>
      <c r="AD577" s="27">
        <f>IF(E577="","",IF(H577="Production",IFERROR(INDEX(tbl_Production[Total Expense],MATCH(E577&amp;"",tbl_Production[Job Number],0)),0),IF(H577="Consulting",IFERROR(INDEX(tbl_Consulting[Total Expense],MATCH(E577&amp;"",tbl_Consulting[Job Number],0)),0),0)))</f>
        <v/>
      </c>
      <c r="AE577" s="27">
        <f>IF(E577="","",Y577-N(AD577))</f>
        <v/>
      </c>
      <c r="AF577" s="29">
        <f>IFERROR(AE577/Y577,"")</f>
        <v/>
      </c>
      <c r="AG577" s="25">
        <f>IF(E577="","",IF(H577="Onsite",IFERROR(INDEX(tbl_Onsite[Notes],MATCH(E577&amp;"",tbl_Onsite[Job Number],0)),""),IF(H577="Production",IFERROR(INDEX(tbl_Production[Notes],MATCH(E577&amp;"",tbl_Production[Job Number],0)),""),IF(H577="Consulting",IFERROR(INDEX(tbl_Consulting[Notes],MATCH(E577&amp;"",tbl_Consulting[Job Number],0)),""),""))))</f>
        <v/>
      </c>
    </row>
    <row r="578" ht="15" customHeight="1">
      <c r="A578" s="22" t="n"/>
      <c r="B578" s="23">
        <f>IF(A578="","",EOMONTH(A578,0))</f>
        <v/>
      </c>
      <c r="C578" s="24" t="n"/>
      <c r="D578" s="24" t="n"/>
      <c r="E578" s="24" t="n"/>
      <c r="F578" s="25">
        <f>IF(E578="","",IF(COUNTIF(lst_Jobs,E578&amp;"")&gt;0,"OK","CHECK"))</f>
        <v/>
      </c>
      <c r="G578" s="24" t="n"/>
      <c r="H578" s="24" t="n"/>
      <c r="I578" s="24" t="n"/>
      <c r="J578" s="24" t="n"/>
      <c r="K578" s="24" t="n"/>
      <c r="L578" s="26" t="n"/>
      <c r="M578" s="27">
        <f>IF(L578="","",IF(K578="GST 10%",ROUND(L578*set_GSTRate,2),0))</f>
        <v/>
      </c>
      <c r="N578" s="27">
        <f>IF(L578="","",L578+M578)</f>
        <v/>
      </c>
      <c r="O578" s="24" t="n"/>
      <c r="P578" s="24" t="n"/>
      <c r="Q578" s="24" t="n"/>
      <c r="R578" s="22" t="n"/>
      <c r="S578" s="22" t="n"/>
      <c r="T578" s="24" t="n"/>
      <c r="U578" s="24" t="n"/>
      <c r="V578" s="25">
        <f>IF(COUNTA(A578,D578,C578,L578)=0,"",IF(A578="","No date - sits outside every month",IF(E578="","No job number",IF(F578="CHECK","Job number is not in the Xero job list",IF(I578="","No cost centre",IF(AND(P578="Y",C578=""),"Marked posted to Xero but has no invoice number",IF(AND(L578&lt;&gt;"",K578=""),"No tax code",IF(AND(L578&lt;&gt;"",O578=""),"No revenue GL code",""))))))))</f>
        <v/>
      </c>
      <c r="W578" s="25">
        <f>IF(E578="","",IFERROR(INDEX(lst_JobName,MATCH(E578&amp;"",lst_Jobs,0)),""))</f>
        <v/>
      </c>
      <c r="X578" s="28">
        <f>IF(E578="","",COUNTIFS(tbl_Finance[Job Number],E578&amp;"",tbl_Finance[Ex GST],"&lt;&gt;"))</f>
        <v/>
      </c>
      <c r="Y578" s="27">
        <f>IF(E578="","",SUMIFS(tbl_Finance[Ex GST],tbl_Finance[Job Number],E578&amp;""))</f>
        <v/>
      </c>
      <c r="Z578" s="27">
        <f>IF(E578="","",SUMIFS(tbl_Finance[Ex GST],tbl_Finance[Job Number],E578&amp;"",tbl_Finance[Xero Invoice No],"&lt;&gt;"))</f>
        <v/>
      </c>
      <c r="AA578" s="27">
        <f>IF(E578="","",Y578-Z578)</f>
        <v/>
      </c>
      <c r="AB578" s="25">
        <f>IF(E578="","",IF(H578="Onsite",IFERROR(INDEX(tbl_Onsite[Qwilr Quote],MATCH(E578&amp;"",tbl_Onsite[Job Number],0)),""),IF(H578="Production",IFERROR(IF(INDEX(tbl_Production[Current RMS No],MATCH(E578&amp;"",tbl_Production[Job Number],0))="",INDEX(tbl_Production[Qwilr Quote],MATCH(E578&amp;"",tbl_Production[Job Number],0)),INDEX(tbl_Production[Current RMS No],MATCH(E578&amp;"",tbl_Production[Job Number],0))),""),IF(H578="Consulting",IFERROR(INDEX(tbl_Consulting[Qwilr Quote],MATCH(E578&amp;"",tbl_Consulting[Job Number],0)),""),""))))</f>
        <v/>
      </c>
      <c r="AC578" s="25">
        <f>IF(AB578="","",IF(AND(LEFT(AB578,4)&lt;&gt;"http",IF(H578="Production",set_RMSBase,set_QwilrBase)=""),"",HYPERLINK(IF(LEFT(AB578,4)="http",AB578,IF(H578="Production",set_RMSBase,set_QwilrBase)&amp;AB578),"Open")))</f>
        <v/>
      </c>
      <c r="AD578" s="27">
        <f>IF(E578="","",IF(H578="Production",IFERROR(INDEX(tbl_Production[Total Expense],MATCH(E578&amp;"",tbl_Production[Job Number],0)),0),IF(H578="Consulting",IFERROR(INDEX(tbl_Consulting[Total Expense],MATCH(E578&amp;"",tbl_Consulting[Job Number],0)),0),0)))</f>
        <v/>
      </c>
      <c r="AE578" s="27">
        <f>IF(E578="","",Y578-N(AD578))</f>
        <v/>
      </c>
      <c r="AF578" s="29">
        <f>IFERROR(AE578/Y578,"")</f>
        <v/>
      </c>
      <c r="AG578" s="25">
        <f>IF(E578="","",IF(H578="Onsite",IFERROR(INDEX(tbl_Onsite[Notes],MATCH(E578&amp;"",tbl_Onsite[Job Number],0)),""),IF(H578="Production",IFERROR(INDEX(tbl_Production[Notes],MATCH(E578&amp;"",tbl_Production[Job Number],0)),""),IF(H578="Consulting",IFERROR(INDEX(tbl_Consulting[Notes],MATCH(E578&amp;"",tbl_Consulting[Job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69"/>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Centre],$A8)+SUMIF('Deferred Revenue'!$F$6:$F$579,$A8,'Deferred Revenue'!$Q$6:$Q$579)</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Centre],$A9)+SUMIF('Deferred Revenue'!$F$6:$F$579,$A9,'Deferred Revenue'!$Q$6:$Q$579)</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Centre],$A10)+SUMIF('Deferred Revenue'!$F$6:$F$579,$A10,'Deferred Revenue'!$Q$6:$Q$579)</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Centre],$A11)+SUMIF('Deferred Revenue'!$F$6:$F$579,$A11,'Deferred Revenue'!$Q$6:$Q$579)</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Centre],$A12)+SUMIF('Deferred Revenue'!$F$6:$F$579,$A12,'Deferred Revenue'!$Q$6:$Q$579)</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Centre],$A13)+SUMIF('Deferred Revenue'!$F$6:$F$579,$A13,'Deferred Revenue'!$Q$6:$Q$579)</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Amount</t>
        </is>
      </c>
      <c r="C18" s="33" t="inlineStr"/>
      <c r="D18" s="33" t="inlineStr"/>
      <c r="E18" s="33" t="inlineStr"/>
      <c r="F18" s="33" t="inlineStr"/>
      <c r="G18" s="33" t="inlineStr"/>
      <c r="H18" s="33" t="inlineStr"/>
      <c r="I18" s="33" t="inlineStr">
        <is>
          <t>Check</t>
        </is>
      </c>
    </row>
    <row r="19">
      <c r="A19" s="41" t="inlineStr">
        <is>
          <t>Opening WIP balance (all months before this one)</t>
        </is>
      </c>
      <c r="B19" s="36">
        <f>SUMIFS(tbl_WIP[Amount],tbl_WIP[Month],"&lt;&gt;",tbl_WIP[Month],"&lt;"&amp;$C$4)+SUM('Deferred Revenue'!$P$6:$P$579)</f>
        <v/>
      </c>
      <c r="I19" s="42" t="n"/>
    </row>
    <row r="20">
      <c r="A20" s="41" t="inlineStr">
        <is>
          <t>Movement this month</t>
        </is>
      </c>
      <c r="B20" s="36">
        <f>SUMIFS(tbl_WIP[Amount],tbl_WIP[Month],$C$4)+SUM('Deferred Revenue'!$Q$6:$Q$579)</f>
        <v/>
      </c>
      <c r="I20" s="42" t="n"/>
    </row>
    <row r="21">
      <c r="A21" s="43" t="inlineStr">
        <is>
          <t>Closing WIP balance per this tracker</t>
        </is>
      </c>
      <c r="B21" s="44">
        <f>B19+B20</f>
        <v/>
      </c>
      <c r="I21" s="42" t="n"/>
    </row>
    <row r="22">
      <c r="A22" s="41" t="inlineStr">
        <is>
          <t>Closing balance per the WIP Schedule file</t>
        </is>
      </c>
      <c r="B22" s="37" t="n"/>
      <c r="I22" s="42" t="n"/>
    </row>
    <row r="23">
      <c r="A23" s="43" t="inlineStr">
        <is>
          <t>Variance - tracker vs WIP Schedule</t>
        </is>
      </c>
      <c r="B23" s="45">
        <f>IF(B22="","",B21-B22)</f>
        <v/>
      </c>
      <c r="I23" s="46">
        <f>IF(B22="","Enter WIP Schedule figure",IF(ROUND(B23,2)=0,"Reconciled","CHECK"))</f>
        <v/>
      </c>
    </row>
    <row r="24">
      <c r="A24" s="41" t="inlineStr">
        <is>
          <t>Closing balance per Xero GL 11300</t>
        </is>
      </c>
      <c r="B24" s="37" t="n"/>
      <c r="I24" s="42" t="n"/>
    </row>
    <row r="25">
      <c r="A25" s="43" t="inlineStr">
        <is>
          <t>Variance - tracker vs Xero</t>
        </is>
      </c>
      <c r="B25" s="45">
        <f>IF(B24="","",B21-B24)</f>
        <v/>
      </c>
      <c r="I25" s="46">
        <f>IF(B24="","Enter Xero 11300 balance",IF(ROUND(B25,2)=0,"Reconciled","CHECK"))</f>
        <v/>
      </c>
    </row>
    <row r="26">
      <c r="A26" s="3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7">
        <f>SUMPRODUCT(--(tbl_Finance[Date]=""),--(tbl_Finance[Ex GST]&lt;&gt;""))</f>
        <v/>
      </c>
      <c r="I30" s="46">
        <f>IF(B30=0,"Clear","REVIEW")</f>
        <v/>
      </c>
    </row>
    <row r="31">
      <c r="A31" s="41" t="inlineStr">
        <is>
          <t>Invoice lines with an amount but no job number</t>
        </is>
      </c>
      <c r="B31" s="47">
        <f>COUNTIFS(tbl_Finance[Ex GST],"&lt;&gt;",tbl_Finance[Job Number],"")</f>
        <v/>
      </c>
      <c r="I31" s="46">
        <f>IF(B31=0,"Clear","REVIEW")</f>
        <v/>
      </c>
    </row>
    <row r="32">
      <c r="A32" s="41" t="inlineStr">
        <is>
          <t>Job numbers not found in the Xero job list</t>
        </is>
      </c>
      <c r="B32" s="47">
        <f>COUNTIF(tbl_Finance[Job in Xero?],"CHECK")</f>
        <v/>
      </c>
      <c r="I32" s="46">
        <f>IF(B32=0,"Clear","REVIEW")</f>
        <v/>
      </c>
    </row>
    <row r="33">
      <c r="A33" s="41" t="inlineStr">
        <is>
          <t>Marked posted to Xero but no invoice number</t>
        </is>
      </c>
      <c r="B33" s="47">
        <f>COUNTIFS(tbl_Finance[Posted to Xero],"Y",tbl_Finance[Xero Invoice No],"")</f>
        <v/>
      </c>
      <c r="I33" s="46">
        <f>IF(B33=0,"Clear","REVIEW")</f>
        <v/>
      </c>
    </row>
    <row r="34">
      <c r="A34" s="41" t="inlineStr">
        <is>
          <t>Invoice lines with an amount but no cost centre</t>
        </is>
      </c>
      <c r="B34" s="47">
        <f>COUNTIFS(tbl_Finance[Ex GST],"&lt;&gt;",tbl_Finance[Cost Centre],"")</f>
        <v/>
      </c>
      <c r="I34" s="46">
        <f>IF(B34=0,"Clear","REVIEW")</f>
        <v/>
      </c>
    </row>
    <row r="35">
      <c r="A35" s="41" t="inlineStr">
        <is>
          <t>Invoice lines with an amount but no tax code</t>
        </is>
      </c>
      <c r="B35" s="47">
        <f>COUNTIFS(tbl_Finance[Ex GST],"&lt;&gt;",tbl_Finance[Tax Code],"")</f>
        <v/>
      </c>
      <c r="I35" s="46">
        <f>IF(B35=0,"Clear","REVIEW")</f>
        <v/>
      </c>
    </row>
    <row r="36">
      <c r="A36" s="41" t="inlineStr">
        <is>
          <t>Invoice lines with an amount but no revenue GL code</t>
        </is>
      </c>
      <c r="B36" s="47">
        <f>COUNTIFS(tbl_Finance[Ex GST],"&lt;&gt;",tbl_Finance[Revenue GL],"")</f>
        <v/>
      </c>
      <c r="I36" s="46">
        <f>IF(B36=0,"Clear","REVIEW")</f>
        <v/>
      </c>
    </row>
    <row r="37">
      <c r="A37" s="41" t="inlineStr">
        <is>
          <t>Anything flagged in the Issue column</t>
        </is>
      </c>
      <c r="B37" s="47">
        <f>COUNTIF(tbl_Finance[Issue],"?*")</f>
        <v/>
      </c>
      <c r="I37" s="46">
        <f>IF(B37=0,"Clear","REVIEW")</f>
        <v/>
      </c>
    </row>
    <row r="38">
      <c r="A38" s="41" t="inlineStr">
        <is>
          <t>Flagged "To WIP = Y" but no matching WIP movement</t>
        </is>
      </c>
      <c r="B38" s="47">
        <f>SUMPRODUCT(--(tbl_Finance[To WIP]="Y"),--(tbl_Finance[Xero Invoice No]&lt;&gt;""),--(COUNTIF(tbl_WIP[Xero Invoice No],tbl_Finance[Xero Invoice No]&amp;"")=0))</f>
        <v/>
      </c>
      <c r="I38" s="46">
        <f>IF(B38=0,"Clear","REVIEW")</f>
        <v/>
      </c>
    </row>
    <row r="39">
      <c r="A39" s="41" t="inlineStr">
        <is>
          <t>WIP movements with an amount but no month or no job</t>
        </is>
      </c>
      <c r="B39" s="47">
        <f>COUNTIFS(tbl_WIP[Month],"",tbl_WIP[Amount],"&lt;&gt;")+COUNTIFS(tbl_WIP[Job Number],"",tbl_WIP[Amount],"&lt;&gt;")</f>
        <v/>
      </c>
      <c r="I39" s="46">
        <f>IF(B39=0,"Clear","REVIEW")</f>
        <v/>
      </c>
    </row>
    <row r="40">
      <c r="A40" s="41" t="inlineStr">
        <is>
          <t>WIP job numbers not found in the Xero job list</t>
        </is>
      </c>
      <c r="B40" s="47">
        <f>COUNTIF(tbl_WIP[Job in Xero?],"CHECK")</f>
        <v/>
      </c>
      <c r="I40" s="46">
        <f>IF(B40=0,"Clear","REVIEW")</f>
        <v/>
      </c>
    </row>
    <row r="41">
      <c r="A41" s="41" t="inlineStr">
        <is>
          <t>Consulting revenue split does not equal the job revenue</t>
        </is>
      </c>
      <c r="B41" s="47">
        <f>COUNTIF(tbl_Consulting[Revenue Split Check],"MISMATCH")</f>
        <v/>
      </c>
      <c r="I41" s="46">
        <f>IF(B41=0,"Clear","REVIEW")</f>
        <v/>
      </c>
    </row>
    <row r="42">
      <c r="A42" s="41" t="inlineStr">
        <is>
          <t>Jobs on a department sheet with no invoice yet</t>
        </is>
      </c>
      <c r="B42" s="47">
        <f>COUNTIFS(tbl_Onsite[Job Number],"&lt;&gt;",tbl_Onsite[Lines on Job],0)+COUNTIFS(tbl_Production[Job Number],"&lt;&gt;",tbl_Production[Lines on Job],0)+COUNTIFS(tbl_Consulting[Job Number],"&lt;&gt;",tbl_Consulting[Lines on Job],0)</f>
        <v/>
      </c>
      <c r="I42" s="46">
        <f>IF(B42=0,"Clear","REVIEW")</f>
        <v/>
      </c>
    </row>
    <row r="43">
      <c r="A43" s="41" t="inlineStr">
        <is>
          <t>Deferred lines that also have a manual WIP journal (would double count)</t>
        </is>
      </c>
      <c r="B43" s="47">
        <f>SUMPRODUCT(--(tbl_Finance[Defer Start]&lt;&gt;""),--(tbl_Finance[Xero Invoice No]&lt;&gt;""),--(COUNTIF(tbl_WIP[Xero Invoice No],tbl_Finance[Xero Invoice No]&amp;"")&gt;0))</f>
        <v/>
      </c>
      <c r="I43" s="46">
        <f>IF(B43=0,"Clear","REVIEW")</f>
        <v/>
      </c>
    </row>
    <row r="44">
      <c r="A44" s="41" t="inlineStr">
        <is>
          <t>Deferred lines missing an end date</t>
        </is>
      </c>
      <c r="B44" s="47">
        <f>SUMPRODUCT(--(tbl_Finance[Defer Start]&lt;&gt;""),--(tbl_Finance[Defer End]=""))</f>
        <v/>
      </c>
      <c r="I44" s="46">
        <f>IF(B44=0,"Clear","REVIEW")</f>
        <v/>
      </c>
    </row>
    <row r="45">
      <c r="A45" s="41" t="inlineStr">
        <is>
          <t>Still sitting at "To Invoice" for the selected month</t>
        </is>
      </c>
      <c r="B45" s="47">
        <f>COUNTIFS(tbl_Finance[Month],$C$4,tbl_Finance[Status],"To Invoice")</f>
        <v/>
      </c>
      <c r="I45" s="46">
        <f>IF(B45=0,"Clear","REVIEW")</f>
        <v/>
      </c>
    </row>
    <row r="46">
      <c r="A46" s="43" t="inlineStr">
        <is>
          <t>Value of invoice lines with no date (excluded from every month)</t>
        </is>
      </c>
      <c r="B46" s="48">
        <f>SUMPRODUCT(--(tbl_Finance[Date]=""),IFERROR(tbl_Finance[Ex GST]*1,0))</f>
        <v/>
      </c>
      <c r="I46" s="46">
        <f>IF(ROUND(B46,2)=0,"Clear","REVIEW")</f>
        <v/>
      </c>
    </row>
    <row r="48" ht="20" customHeight="1">
      <c r="A48" s="3" t="inlineStr">
        <is>
          <t>4.  WIP JOURNAL FOR THE MONTH  -  post this one journal in Xero</t>
        </is>
      </c>
    </row>
    <row r="49" ht="30" customHeight="1">
      <c r="A49" s="33" t="inlineStr">
        <is>
          <t>Account</t>
        </is>
      </c>
      <c r="B49" s="33" t="inlineStr">
        <is>
          <t>Cost Centre</t>
        </is>
      </c>
      <c r="C49" s="33" t="inlineStr">
        <is>
          <t>Debit</t>
        </is>
      </c>
      <c r="D49" s="33" t="inlineStr">
        <is>
          <t>Credit</t>
        </is>
      </c>
    </row>
    <row r="50">
      <c r="A50" s="49">
        <f>set_WIPAsset</f>
        <v/>
      </c>
      <c r="B50" s="49">
        <f>"(no tracking)"</f>
        <v/>
      </c>
      <c r="C50" s="50">
        <f>IF(ROUND((SUMIFS(tbl_WIP[Amount],tbl_WIP[Month],$C$4)+SUM('Deferred Revenue'!$Q$6:$Q$579)),2)&gt;0,(SUMIFS(tbl_WIP[Amount],tbl_WIP[Month],$C$4)+SUM('Deferred Revenue'!$Q$6:$Q$579)),"")</f>
        <v/>
      </c>
      <c r="D50" s="50">
        <f>IF(ROUND((SUMIFS(tbl_WIP[Amount],tbl_WIP[Month],$C$4)+SUM('Deferred Revenue'!$Q$6:$Q$579)),2)&lt;0,-(SUMIFS(tbl_WIP[Amount],tbl_WIP[Month],$C$4)+SUM('Deferred Revenue'!$Q$6:$Q$579)),"")</f>
        <v/>
      </c>
    </row>
    <row r="51">
      <c r="A51" s="49">
        <f>set_WIPIncome</f>
        <v/>
      </c>
      <c r="B51" s="49">
        <f>$A$8</f>
        <v/>
      </c>
      <c r="C51" s="50">
        <f>IF(ROUND($E$8,2)&lt;0,-$E$8,"")</f>
        <v/>
      </c>
      <c r="D51" s="50">
        <f>IF(ROUND($E$8,2)&gt;0,$E$8,"")</f>
        <v/>
      </c>
    </row>
    <row r="52">
      <c r="A52" s="49">
        <f>set_WIPIncome</f>
        <v/>
      </c>
      <c r="B52" s="49">
        <f>$A$9</f>
        <v/>
      </c>
      <c r="C52" s="50">
        <f>IF(ROUND($E$9,2)&lt;0,-$E$9,"")</f>
        <v/>
      </c>
      <c r="D52" s="50">
        <f>IF(ROUND($E$9,2)&gt;0,$E$9,"")</f>
        <v/>
      </c>
    </row>
    <row r="53">
      <c r="A53" s="49">
        <f>set_WIPIncome</f>
        <v/>
      </c>
      <c r="B53" s="49">
        <f>$A$10</f>
        <v/>
      </c>
      <c r="C53" s="50">
        <f>IF(ROUND($E$10,2)&lt;0,-$E$10,"")</f>
        <v/>
      </c>
      <c r="D53" s="50">
        <f>IF(ROUND($E$10,2)&gt;0,$E$10,"")</f>
        <v/>
      </c>
    </row>
    <row r="54">
      <c r="A54" s="49">
        <f>set_WIPIncome</f>
        <v/>
      </c>
      <c r="B54" s="49">
        <f>$A$11</f>
        <v/>
      </c>
      <c r="C54" s="50">
        <f>IF(ROUND($E$11,2)&lt;0,-$E$11,"")</f>
        <v/>
      </c>
      <c r="D54" s="50">
        <f>IF(ROUND($E$11,2)&gt;0,$E$11,"")</f>
        <v/>
      </c>
    </row>
    <row r="55">
      <c r="A55" s="49">
        <f>set_WIPIncome</f>
        <v/>
      </c>
      <c r="B55" s="49">
        <f>$A$12</f>
        <v/>
      </c>
      <c r="C55" s="50">
        <f>IF(ROUND($E$12,2)&lt;0,-$E$12,"")</f>
        <v/>
      </c>
      <c r="D55" s="50">
        <f>IF(ROUND($E$12,2)&gt;0,$E$12,"")</f>
        <v/>
      </c>
    </row>
    <row r="56">
      <c r="A56" s="49">
        <f>set_WIPIncome</f>
        <v/>
      </c>
      <c r="B56" s="49">
        <f>$A$13</f>
        <v/>
      </c>
      <c r="C56" s="50">
        <f>IF(ROUND($E$13,2)&lt;0,-$E$13,"")</f>
        <v/>
      </c>
      <c r="D56" s="50">
        <f>IF(ROUND($E$13,2)&gt;0,$E$13,"")</f>
        <v/>
      </c>
    </row>
    <row r="57">
      <c r="A57" s="49">
        <f>set_WIPIncome</f>
        <v/>
      </c>
      <c r="B57" s="49">
        <f>"(cost centre not set - fix it)"</f>
        <v/>
      </c>
      <c r="C57" s="50">
        <f>IF(ROUND(((SUMIFS(tbl_WIP[Amount],tbl_WIP[Month],$C$4)+SUM('Deferred Revenue'!$Q$6:$Q$579))-$E$14),2)&lt;0,-((SUMIFS(tbl_WIP[Amount],tbl_WIP[Month],$C$4)+SUM('Deferred Revenue'!$Q$6:$Q$579))-$E$14),"")</f>
        <v/>
      </c>
      <c r="D57" s="50">
        <f>IF(ROUND(((SUMIFS(tbl_WIP[Amount],tbl_WIP[Month],$C$4)+SUM('Deferred Revenue'!$Q$6:$Q$579))-$E$14),2)&gt;0,((SUMIFS(tbl_WIP[Amount],tbl_WIP[Month],$C$4)+SUM('Deferred Revenue'!$Q$6:$Q$579))-$E$14),"")</f>
        <v/>
      </c>
    </row>
    <row r="58">
      <c r="A58" s="51" t="inlineStr">
        <is>
          <t>TOTAL</t>
        </is>
      </c>
      <c r="B58" s="51" t="n"/>
      <c r="C58" s="45">
        <f>SUM(C50:C57)</f>
        <v/>
      </c>
      <c r="D58" s="45">
        <f>SUM(D50:D57)</f>
        <v/>
      </c>
      <c r="E58" s="43">
        <f>IF(ROUND($C$58,2)=ROUND($D$58,2),"Balanced","CHECK - does not balance")</f>
        <v/>
      </c>
    </row>
    <row r="59">
      <c r="A59" s="32" t="inlineStr">
        <is>
          <t>Narration to use</t>
        </is>
      </c>
      <c r="C59" s="49">
        <f>"WIP movement "&amp;TEXT($C$4,"mmmm yyyy")</f>
        <v/>
      </c>
      <c r="D59" s="52" t="n"/>
    </row>
    <row r="60">
      <c r="A60" s="32" t="inlineStr">
        <is>
          <t>Made up of - manual rows on WIP Movements</t>
        </is>
      </c>
      <c r="C60" s="50">
        <f>SUMIFS(tbl_WIP[Amount],tbl_WIP[Month],$C$4)</f>
        <v/>
      </c>
    </row>
    <row r="61">
      <c r="A61" s="32" t="inlineStr">
        <is>
          <t>Made up of - automatic deferrals</t>
        </is>
      </c>
      <c r="C61" s="50">
        <f>SUM('Deferred Revenue'!$Q$6:$Q$579)</f>
        <v/>
      </c>
    </row>
    <row r="62">
      <c r="A62" s="32" t="inlineStr">
        <is>
          <t>Total movement  -  must equal section 2</t>
        </is>
      </c>
      <c r="C62" s="45">
        <f>(SUMIFS(tbl_WIP[Amount],tbl_WIP[Month],$C$4)+SUM('Deferred Revenue'!$Q$6:$Q$579))</f>
        <v/>
      </c>
    </row>
    <row r="63">
      <c r="A63" s="32" t="inlineStr">
        <is>
          <t>Nothing here posts itself. The tracker works the movement out; you key this journal into Xero and put the reference back on the WIP Movements rows.</t>
        </is>
      </c>
    </row>
    <row r="65" ht="20" customHeight="1">
      <c r="A65" s="3" t="inlineStr">
        <is>
          <t>5.  SIGN-OFF</t>
        </is>
      </c>
    </row>
    <row r="66">
      <c r="A66" s="43" t="inlineStr">
        <is>
          <t>Prepared by</t>
        </is>
      </c>
      <c r="B66" s="53" t="n"/>
      <c r="C66" s="54" t="n"/>
      <c r="D66" s="52" t="n"/>
      <c r="E66" s="32" t="inlineStr">
        <is>
          <t>Accounts Assistant</t>
        </is>
      </c>
    </row>
    <row r="67">
      <c r="A67" s="43" t="inlineStr">
        <is>
          <t>Reviewed by</t>
        </is>
      </c>
      <c r="B67" s="53" t="n"/>
      <c r="C67" s="54" t="n"/>
      <c r="D67" s="52" t="n"/>
      <c r="E67" s="32" t="inlineStr">
        <is>
          <t>Finance Operations Manager</t>
        </is>
      </c>
    </row>
    <row r="68">
      <c r="A68" s="43" t="inlineStr">
        <is>
          <t>Date closed</t>
        </is>
      </c>
      <c r="B68" s="53" t="n"/>
      <c r="C68" s="54" t="n"/>
      <c r="D68" s="52" t="n"/>
    </row>
    <row r="69">
      <c r="A69" s="43" t="inlineStr">
        <is>
          <t>Notes / carried forward items</t>
        </is>
      </c>
      <c r="B69" s="53" t="n"/>
      <c r="C69" s="54" t="n"/>
      <c r="D69" s="52" t="n"/>
    </row>
  </sheetData>
  <mergeCells count="10">
    <mergeCell ref="A65:I65"/>
    <mergeCell ref="B66:D66"/>
    <mergeCell ref="B67:D67"/>
    <mergeCell ref="A28:I28"/>
    <mergeCell ref="A17:I17"/>
    <mergeCell ref="B68:D68"/>
    <mergeCell ref="A6:I6"/>
    <mergeCell ref="B69:D69"/>
    <mergeCell ref="A48:I48"/>
    <mergeCell ref="C59:D59"/>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conditionalFormatting sqref="E58">
    <cfRule type="expression" priority="8" dxfId="1">
      <formula>LEFT($E$58,5)="CHECK"</formula>
    </cfRule>
  </conditionalFormatting>
  <conditionalFormatting sqref="A57:D57">
    <cfRule type="expression" priority="9" dxfId="1">
      <formula>ROUND(N($C$57)+N($D$57),2)&lt;&gt;0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5">
        <f>'Month-End'!C4</f>
        <v/>
      </c>
      <c r="D4" s="32" t="inlineStr">
        <is>
          <t>&lt;- set this on the Month-End sheet</t>
        </is>
      </c>
    </row>
    <row r="6">
      <c r="A6" s="43" t="inlineStr">
        <is>
          <t>Opening total</t>
        </is>
      </c>
      <c r="B6" s="56">
        <f>SUMIFS(tbl_WIP[Amount],tbl_WIP[Month],"&lt;&gt;",tbl_WIP[Month],"&lt;"&amp;$C$4)+SUM('Deferred Revenue'!$P$6:$P$579)</f>
        <v/>
      </c>
    </row>
    <row r="7">
      <c r="A7" s="43" t="inlineStr">
        <is>
          <t>Movement this month</t>
        </is>
      </c>
      <c r="B7" s="56">
        <f>SUMIFS(tbl_WIP[Amount],tbl_WIP[Month],$C$4)+SUM('Deferred Revenue'!$Q$6:$Q$579)</f>
        <v/>
      </c>
    </row>
    <row r="8">
      <c r="A8" s="43" t="inlineStr">
        <is>
          <t>Closing total</t>
        </is>
      </c>
      <c r="B8" s="44">
        <f>B6+B7</f>
        <v/>
      </c>
    </row>
    <row r="9">
      <c r="A9" s="43" t="inlineStr">
        <is>
          <t>Of which is on a job Xero does not have - fix these</t>
        </is>
      </c>
      <c r="B9" s="56">
        <f>SUMIFS(tbl_WIP[Amount],tbl_WIP[Job in Xero?],"CHECK",tbl_WIP[Month],"&lt;="&amp;$C$4)</f>
        <v/>
      </c>
    </row>
    <row r="10">
      <c r="A10" s="43" t="inlineStr">
        <is>
          <t>Closing listed below, job by job</t>
        </is>
      </c>
      <c r="B10" s="44">
        <f>B8-B9</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57" t="inlineStr">
        <is>
          <t>1144</t>
        </is>
      </c>
      <c r="B12" s="57" t="inlineStr">
        <is>
          <t>Bankwest PER Half Tech</t>
        </is>
      </c>
      <c r="C12" s="50">
        <f>SUMIFS(tbl_WIP[Amount],tbl_WIP[Job Number],$A12,tbl_WIP[Month],"&lt;&gt;",tbl_WIP[Month],"&lt;"&amp;$C$4)+SUMIF('Deferred Revenue'!$E$6:$E$579,$A12,'Deferred Revenue'!$P$6:$P$579)</f>
        <v/>
      </c>
      <c r="D12" s="50">
        <f>SUMIFS(tbl_WIP[Amount],tbl_WIP[Job Number],$A12,tbl_WIP[Month],$C$4)+SUMIF('Deferred Revenue'!$E$6:$E$579,$A12,'Deferred Revenue'!$Q$6:$Q$579)</f>
        <v/>
      </c>
      <c r="E12" s="50">
        <f>C12+D12</f>
        <v/>
      </c>
      <c r="F12" s="49">
        <f>IF(ROUND(C12,2)+ROUND(D12,2)=0,"","yes")</f>
        <v/>
      </c>
      <c r="G12" s="58" t="n"/>
      <c r="H12" s="50">
        <f>IF($G12="","",$E12-$G12)</f>
        <v/>
      </c>
    </row>
    <row r="13">
      <c r="A13" s="57" t="inlineStr">
        <is>
          <t>1350</t>
        </is>
      </c>
      <c r="B13" s="57" t="inlineStr">
        <is>
          <t>CBA Brisbane ONS</t>
        </is>
      </c>
      <c r="C13" s="50">
        <f>SUMIFS(tbl_WIP[Amount],tbl_WIP[Job Number],$A13,tbl_WIP[Month],"&lt;&gt;",tbl_WIP[Month],"&lt;"&amp;$C$4)+SUMIF('Deferred Revenue'!$E$6:$E$579,$A13,'Deferred Revenue'!$P$6:$P$579)</f>
        <v/>
      </c>
      <c r="D13" s="50">
        <f>SUMIFS(tbl_WIP[Amount],tbl_WIP[Job Number],$A13,tbl_WIP[Month],$C$4)+SUMIF('Deferred Revenue'!$E$6:$E$579,$A13,'Deferred Revenue'!$Q$6:$Q$579)</f>
        <v/>
      </c>
      <c r="E13" s="50">
        <f>C13+D13</f>
        <v/>
      </c>
      <c r="F13" s="49">
        <f>IF(ROUND(C13,2)+ROUND(D13,2)=0,"","yes")</f>
        <v/>
      </c>
      <c r="G13" s="58" t="n"/>
      <c r="H13" s="50">
        <f>IF($G13="","",$E13-$G13)</f>
        <v/>
      </c>
    </row>
    <row r="14">
      <c r="A14" s="57" t="inlineStr">
        <is>
          <t>1400</t>
        </is>
      </c>
      <c r="B14" s="57" t="inlineStr">
        <is>
          <t>DTTL Mel Tech FT 2</t>
        </is>
      </c>
      <c r="C14" s="50">
        <f>SUMIFS(tbl_WIP[Amount],tbl_WIP[Job Number],$A14,tbl_WIP[Month],"&lt;&gt;",tbl_WIP[Month],"&lt;"&amp;$C$4)+SUMIF('Deferred Revenue'!$E$6:$E$579,$A14,'Deferred Revenue'!$P$6:$P$579)</f>
        <v/>
      </c>
      <c r="D14" s="50">
        <f>SUMIFS(tbl_WIP[Amount],tbl_WIP[Job Number],$A14,tbl_WIP[Month],$C$4)+SUMIF('Deferred Revenue'!$E$6:$E$579,$A14,'Deferred Revenue'!$Q$6:$Q$579)</f>
        <v/>
      </c>
      <c r="E14" s="50">
        <f>C14+D14</f>
        <v/>
      </c>
      <c r="F14" s="49">
        <f>IF(ROUND(C14,2)+ROUND(D14,2)=0,"","yes")</f>
        <v/>
      </c>
      <c r="G14" s="58" t="n"/>
      <c r="H14" s="50">
        <f>IF($G14="","",$E14-$G14)</f>
        <v/>
      </c>
    </row>
    <row r="15">
      <c r="A15" s="57" t="inlineStr">
        <is>
          <t>1401</t>
        </is>
      </c>
      <c r="B15" s="57" t="inlineStr">
        <is>
          <t>DTTL SYD FT Tech 2</t>
        </is>
      </c>
      <c r="C15" s="50">
        <f>SUMIFS(tbl_WIP[Amount],tbl_WIP[Job Number],$A15,tbl_WIP[Month],"&lt;&gt;",tbl_WIP[Month],"&lt;"&amp;$C$4)+SUMIF('Deferred Revenue'!$E$6:$E$579,$A15,'Deferred Revenue'!$P$6:$P$579)</f>
        <v/>
      </c>
      <c r="D15" s="50">
        <f>SUMIFS(tbl_WIP[Amount],tbl_WIP[Job Number],$A15,tbl_WIP[Month],$C$4)+SUMIF('Deferred Revenue'!$E$6:$E$579,$A15,'Deferred Revenue'!$Q$6:$Q$579)</f>
        <v/>
      </c>
      <c r="E15" s="50">
        <f>C15+D15</f>
        <v/>
      </c>
      <c r="F15" s="49">
        <f>IF(ROUND(C15,2)+ROUND(D15,2)=0,"","yes")</f>
        <v/>
      </c>
      <c r="G15" s="58" t="n"/>
      <c r="H15" s="50">
        <f>IF($G15="","",$E15-$G15)</f>
        <v/>
      </c>
    </row>
    <row r="16">
      <c r="A16" s="57" t="inlineStr">
        <is>
          <t>1530</t>
        </is>
      </c>
      <c r="B16" s="57" t="inlineStr">
        <is>
          <t>DTTL BNE Onsite</t>
        </is>
      </c>
      <c r="C16" s="50">
        <f>SUMIFS(tbl_WIP[Amount],tbl_WIP[Job Number],$A16,tbl_WIP[Month],"&lt;&gt;",tbl_WIP[Month],"&lt;"&amp;$C$4)+SUMIF('Deferred Revenue'!$E$6:$E$579,$A16,'Deferred Revenue'!$P$6:$P$579)</f>
        <v/>
      </c>
      <c r="D16" s="50">
        <f>SUMIFS(tbl_WIP[Amount],tbl_WIP[Job Number],$A16,tbl_WIP[Month],$C$4)+SUMIF('Deferred Revenue'!$E$6:$E$579,$A16,'Deferred Revenue'!$Q$6:$Q$579)</f>
        <v/>
      </c>
      <c r="E16" s="50">
        <f>C16+D16</f>
        <v/>
      </c>
      <c r="F16" s="49">
        <f>IF(ROUND(C16,2)+ROUND(D16,2)=0,"","yes")</f>
        <v/>
      </c>
      <c r="G16" s="58" t="n"/>
      <c r="H16" s="50">
        <f>IF($G16="","",$E16-$G16)</f>
        <v/>
      </c>
    </row>
    <row r="17">
      <c r="A17" s="57" t="inlineStr">
        <is>
          <t>1668</t>
        </is>
      </c>
      <c r="B17" s="57" t="inlineStr">
        <is>
          <t>CBA Dedicated Tech</t>
        </is>
      </c>
      <c r="C17" s="50">
        <f>SUMIFS(tbl_WIP[Amount],tbl_WIP[Job Number],$A17,tbl_WIP[Month],"&lt;&gt;",tbl_WIP[Month],"&lt;"&amp;$C$4)+SUMIF('Deferred Revenue'!$E$6:$E$579,$A17,'Deferred Revenue'!$P$6:$P$579)</f>
        <v/>
      </c>
      <c r="D17" s="50">
        <f>SUMIFS(tbl_WIP[Amount],tbl_WIP[Job Number],$A17,tbl_WIP[Month],$C$4)+SUMIF('Deferred Revenue'!$E$6:$E$579,$A17,'Deferred Revenue'!$Q$6:$Q$579)</f>
        <v/>
      </c>
      <c r="E17" s="50">
        <f>C17+D17</f>
        <v/>
      </c>
      <c r="F17" s="49">
        <f>IF(ROUND(C17,2)+ROUND(D17,2)=0,"","yes")</f>
        <v/>
      </c>
      <c r="G17" s="58" t="n"/>
      <c r="H17" s="50">
        <f>IF($G17="","",$E17-$G17)</f>
        <v/>
      </c>
    </row>
    <row r="18">
      <c r="A18" s="57" t="inlineStr">
        <is>
          <t>1750</t>
        </is>
      </c>
      <c r="B18" s="57" t="inlineStr">
        <is>
          <t>Bankwest Spotify</t>
        </is>
      </c>
      <c r="C18" s="50">
        <f>SUMIFS(tbl_WIP[Amount],tbl_WIP[Job Number],$A18,tbl_WIP[Month],"&lt;&gt;",tbl_WIP[Month],"&lt;"&amp;$C$4)+SUMIF('Deferred Revenue'!$E$6:$E$579,$A18,'Deferred Revenue'!$P$6:$P$579)</f>
        <v/>
      </c>
      <c r="D18" s="50">
        <f>SUMIFS(tbl_WIP[Amount],tbl_WIP[Job Number],$A18,tbl_WIP[Month],$C$4)+SUMIF('Deferred Revenue'!$E$6:$E$579,$A18,'Deferred Revenue'!$Q$6:$Q$579)</f>
        <v/>
      </c>
      <c r="E18" s="50">
        <f>C18+D18</f>
        <v/>
      </c>
      <c r="F18" s="49">
        <f>IF(ROUND(C18,2)+ROUND(D18,2)=0,"","yes")</f>
        <v/>
      </c>
      <c r="G18" s="58" t="n"/>
      <c r="H18" s="50">
        <f>IF($G18="","",$E18-$G18)</f>
        <v/>
      </c>
    </row>
    <row r="19">
      <c r="A19" s="57" t="inlineStr">
        <is>
          <t>1755</t>
        </is>
      </c>
      <c r="B19" s="57" t="inlineStr">
        <is>
          <t>CBA Spotify</t>
        </is>
      </c>
      <c r="C19" s="50">
        <f>SUMIFS(tbl_WIP[Amount],tbl_WIP[Job Number],$A19,tbl_WIP[Month],"&lt;&gt;",tbl_WIP[Month],"&lt;"&amp;$C$4)+SUMIF('Deferred Revenue'!$E$6:$E$579,$A19,'Deferred Revenue'!$P$6:$P$579)</f>
        <v/>
      </c>
      <c r="D19" s="50">
        <f>SUMIFS(tbl_WIP[Amount],tbl_WIP[Job Number],$A19,tbl_WIP[Month],$C$4)+SUMIF('Deferred Revenue'!$E$6:$E$579,$A19,'Deferred Revenue'!$Q$6:$Q$579)</f>
        <v/>
      </c>
      <c r="E19" s="50">
        <f>C19+D19</f>
        <v/>
      </c>
      <c r="F19" s="49">
        <f>IF(ROUND(C19,2)+ROUND(D19,2)=0,"","yes")</f>
        <v/>
      </c>
      <c r="G19" s="58" t="n"/>
      <c r="H19" s="50">
        <f>IF($G19="","",$E19-$G19)</f>
        <v/>
      </c>
    </row>
    <row r="20">
      <c r="A20" s="57" t="inlineStr">
        <is>
          <t>1771</t>
        </is>
      </c>
      <c r="B20" s="57" t="inlineStr">
        <is>
          <t>Integration - Training</t>
        </is>
      </c>
      <c r="C20" s="50">
        <f>SUMIFS(tbl_WIP[Amount],tbl_WIP[Job Number],$A20,tbl_WIP[Month],"&lt;&gt;",tbl_WIP[Month],"&lt;"&amp;$C$4)+SUMIF('Deferred Revenue'!$E$6:$E$579,$A20,'Deferred Revenue'!$P$6:$P$579)</f>
        <v/>
      </c>
      <c r="D20" s="50">
        <f>SUMIFS(tbl_WIP[Amount],tbl_WIP[Job Number],$A20,tbl_WIP[Month],$C$4)+SUMIF('Deferred Revenue'!$E$6:$E$579,$A20,'Deferred Revenue'!$Q$6:$Q$579)</f>
        <v/>
      </c>
      <c r="E20" s="50">
        <f>C20+D20</f>
        <v/>
      </c>
      <c r="F20" s="49">
        <f>IF(ROUND(C20,2)+ROUND(D20,2)=0,"","yes")</f>
        <v/>
      </c>
      <c r="G20" s="58" t="n"/>
      <c r="H20" s="50">
        <f>IF($G20="","",$E20-$G20)</f>
        <v/>
      </c>
    </row>
    <row r="21">
      <c r="A21" s="57" t="inlineStr">
        <is>
          <t>1862</t>
        </is>
      </c>
      <c r="B21" s="57" t="inlineStr">
        <is>
          <t>DTTL ADL Onsite</t>
        </is>
      </c>
      <c r="C21" s="50">
        <f>SUMIFS(tbl_WIP[Amount],tbl_WIP[Job Number],$A21,tbl_WIP[Month],"&lt;&gt;",tbl_WIP[Month],"&lt;"&amp;$C$4)+SUMIF('Deferred Revenue'!$E$6:$E$579,$A21,'Deferred Revenue'!$P$6:$P$579)</f>
        <v/>
      </c>
      <c r="D21" s="50">
        <f>SUMIFS(tbl_WIP[Amount],tbl_WIP[Job Number],$A21,tbl_WIP[Month],$C$4)+SUMIF('Deferred Revenue'!$E$6:$E$579,$A21,'Deferred Revenue'!$Q$6:$Q$579)</f>
        <v/>
      </c>
      <c r="E21" s="50">
        <f>C21+D21</f>
        <v/>
      </c>
      <c r="F21" s="49">
        <f>IF(ROUND(C21,2)+ROUND(D21,2)=0,"","yes")</f>
        <v/>
      </c>
      <c r="G21" s="58" t="n"/>
      <c r="H21" s="50">
        <f>IF($G21="","",$E21-$G21)</f>
        <v/>
      </c>
    </row>
    <row r="22">
      <c r="A22" s="57" t="inlineStr">
        <is>
          <t>20250731</t>
        </is>
      </c>
      <c r="B22" s="57" t="inlineStr">
        <is>
          <t>PWC National Pool of Hours</t>
        </is>
      </c>
      <c r="C22" s="50">
        <f>SUMIFS(tbl_WIP[Amount],tbl_WIP[Job Number],$A22,tbl_WIP[Month],"&lt;&gt;",tbl_WIP[Month],"&lt;"&amp;$C$4)+SUMIF('Deferred Revenue'!$E$6:$E$579,$A22,'Deferred Revenue'!$P$6:$P$579)</f>
        <v/>
      </c>
      <c r="D22" s="50">
        <f>SUMIFS(tbl_WIP[Amount],tbl_WIP[Job Number],$A22,tbl_WIP[Month],$C$4)+SUMIF('Deferred Revenue'!$E$6:$E$579,$A22,'Deferred Revenue'!$Q$6:$Q$579)</f>
        <v/>
      </c>
      <c r="E22" s="50">
        <f>C22+D22</f>
        <v/>
      </c>
      <c r="F22" s="49">
        <f>IF(ROUND(C22,2)+ROUND(D22,2)=0,"","yes")</f>
        <v/>
      </c>
      <c r="G22" s="58" t="n"/>
      <c r="H22" s="50">
        <f>IF($G22="","",$E22-$G22)</f>
        <v/>
      </c>
    </row>
    <row r="23">
      <c r="A23" s="57" t="inlineStr">
        <is>
          <t>2026021101</t>
        </is>
      </c>
      <c r="B23" s="57" t="inlineStr">
        <is>
          <t>AusPayNet Quarterly AV Support &amp; Maintenance 2026</t>
        </is>
      </c>
      <c r="C23" s="50">
        <f>SUMIFS(tbl_WIP[Amount],tbl_WIP[Job Number],$A23,tbl_WIP[Month],"&lt;&gt;",tbl_WIP[Month],"&lt;"&amp;$C$4)+SUMIF('Deferred Revenue'!$E$6:$E$579,$A23,'Deferred Revenue'!$P$6:$P$579)</f>
        <v/>
      </c>
      <c r="D23" s="50">
        <f>SUMIFS(tbl_WIP[Amount],tbl_WIP[Job Number],$A23,tbl_WIP[Month],$C$4)+SUMIF('Deferred Revenue'!$E$6:$E$579,$A23,'Deferred Revenue'!$Q$6:$Q$579)</f>
        <v/>
      </c>
      <c r="E23" s="50">
        <f>C23+D23</f>
        <v/>
      </c>
      <c r="F23" s="49">
        <f>IF(ROUND(C23,2)+ROUND(D23,2)=0,"","yes")</f>
        <v/>
      </c>
      <c r="G23" s="58" t="n"/>
      <c r="H23" s="50">
        <f>IF($G23="","",$E23-$G23)</f>
        <v/>
      </c>
    </row>
    <row r="24">
      <c r="A24" s="57" t="inlineStr">
        <is>
          <t>20260801</t>
        </is>
      </c>
      <c r="B24" s="57" t="inlineStr">
        <is>
          <t>CTS Day 2026</t>
        </is>
      </c>
      <c r="C24" s="50">
        <f>SUMIFS(tbl_WIP[Amount],tbl_WIP[Job Number],$A24,tbl_WIP[Month],"&lt;&gt;",tbl_WIP[Month],"&lt;"&amp;$C$4)+SUMIF('Deferred Revenue'!$E$6:$E$579,$A24,'Deferred Revenue'!$P$6:$P$579)</f>
        <v/>
      </c>
      <c r="D24" s="50">
        <f>SUMIFS(tbl_WIP[Amount],tbl_WIP[Job Number],$A24,tbl_WIP[Month],$C$4)+SUMIF('Deferred Revenue'!$E$6:$E$579,$A24,'Deferred Revenue'!$Q$6:$Q$579)</f>
        <v/>
      </c>
      <c r="E24" s="50">
        <f>C24+D24</f>
        <v/>
      </c>
      <c r="F24" s="49">
        <f>IF(ROUND(C24,2)+ROUND(D24,2)=0,"","yes")</f>
        <v/>
      </c>
      <c r="G24" s="58" t="n"/>
      <c r="H24" s="50">
        <f>IF($G24="","",$E24-$G24)</f>
        <v/>
      </c>
    </row>
    <row r="25">
      <c r="A25" s="57" t="inlineStr">
        <is>
          <t>2192</t>
        </is>
      </c>
      <c r="B25" s="57" t="inlineStr">
        <is>
          <t>Bankwest Additional Tech</t>
        </is>
      </c>
      <c r="C25" s="50">
        <f>SUMIFS(tbl_WIP[Amount],tbl_WIP[Job Number],$A25,tbl_WIP[Month],"&lt;&gt;",tbl_WIP[Month],"&lt;"&amp;$C$4)+SUMIF('Deferred Revenue'!$E$6:$E$579,$A25,'Deferred Revenue'!$P$6:$P$579)</f>
        <v/>
      </c>
      <c r="D25" s="50">
        <f>SUMIFS(tbl_WIP[Amount],tbl_WIP[Job Number],$A25,tbl_WIP[Month],$C$4)+SUMIF('Deferred Revenue'!$E$6:$E$579,$A25,'Deferred Revenue'!$Q$6:$Q$579)</f>
        <v/>
      </c>
      <c r="E25" s="50">
        <f>C25+D25</f>
        <v/>
      </c>
      <c r="F25" s="49">
        <f>IF(ROUND(C25,2)+ROUND(D25,2)=0,"","yes")</f>
        <v/>
      </c>
      <c r="G25" s="58" t="n"/>
      <c r="H25" s="50">
        <f>IF($G25="","",$E25-$G25)</f>
        <v/>
      </c>
    </row>
    <row r="26">
      <c r="A26" s="57" t="inlineStr">
        <is>
          <t>2347</t>
        </is>
      </c>
      <c r="B26" s="57" t="inlineStr">
        <is>
          <t>DTTL Dedicated Tech</t>
        </is>
      </c>
      <c r="C26" s="50">
        <f>SUMIFS(tbl_WIP[Amount],tbl_WIP[Job Number],$A26,tbl_WIP[Month],"&lt;&gt;",tbl_WIP[Month],"&lt;"&amp;$C$4)+SUMIF('Deferred Revenue'!$E$6:$E$579,$A26,'Deferred Revenue'!$P$6:$P$579)</f>
        <v/>
      </c>
      <c r="D26" s="50">
        <f>SUMIFS(tbl_WIP[Amount],tbl_WIP[Job Number],$A26,tbl_WIP[Month],$C$4)+SUMIF('Deferred Revenue'!$E$6:$E$579,$A26,'Deferred Revenue'!$Q$6:$Q$579)</f>
        <v/>
      </c>
      <c r="E26" s="50">
        <f>C26+D26</f>
        <v/>
      </c>
      <c r="F26" s="49">
        <f>IF(ROUND(C26,2)+ROUND(D26,2)=0,"","yes")</f>
        <v/>
      </c>
      <c r="G26" s="58" t="n"/>
      <c r="H26" s="50">
        <f>IF($G26="","",$E26-$G26)</f>
        <v/>
      </c>
    </row>
    <row r="27">
      <c r="A27" s="57" t="inlineStr">
        <is>
          <t>2392</t>
        </is>
      </c>
      <c r="B27" s="57" t="inlineStr">
        <is>
          <t>PWC – MEL Technician</t>
        </is>
      </c>
      <c r="C27" s="50">
        <f>SUMIFS(tbl_WIP[Amount],tbl_WIP[Job Number],$A27,tbl_WIP[Month],"&lt;&gt;",tbl_WIP[Month],"&lt;"&amp;$C$4)+SUMIF('Deferred Revenue'!$E$6:$E$579,$A27,'Deferred Revenue'!$P$6:$P$579)</f>
        <v/>
      </c>
      <c r="D27" s="50">
        <f>SUMIFS(tbl_WIP[Amount],tbl_WIP[Job Number],$A27,tbl_WIP[Month],$C$4)+SUMIF('Deferred Revenue'!$E$6:$E$579,$A27,'Deferred Revenue'!$Q$6:$Q$579)</f>
        <v/>
      </c>
      <c r="E27" s="50">
        <f>C27+D27</f>
        <v/>
      </c>
      <c r="F27" s="49">
        <f>IF(ROUND(C27,2)+ROUND(D27,2)=0,"","yes")</f>
        <v/>
      </c>
      <c r="G27" s="58" t="n"/>
      <c r="H27" s="50">
        <f>IF($G27="","",$E27-$G27)</f>
        <v/>
      </c>
    </row>
    <row r="28">
      <c r="A28" s="57" t="inlineStr">
        <is>
          <t>2402</t>
        </is>
      </c>
      <c r="B28" s="57" t="inlineStr">
        <is>
          <t>DTTL SYD FT Tech 1</t>
        </is>
      </c>
      <c r="C28" s="50">
        <f>SUMIFS(tbl_WIP[Amount],tbl_WIP[Job Number],$A28,tbl_WIP[Month],"&lt;&gt;",tbl_WIP[Month],"&lt;"&amp;$C$4)+SUMIF('Deferred Revenue'!$E$6:$E$579,$A28,'Deferred Revenue'!$P$6:$P$579)</f>
        <v/>
      </c>
      <c r="D28" s="50">
        <f>SUMIFS(tbl_WIP[Amount],tbl_WIP[Job Number],$A28,tbl_WIP[Month],$C$4)+SUMIF('Deferred Revenue'!$E$6:$E$579,$A28,'Deferred Revenue'!$Q$6:$Q$579)</f>
        <v/>
      </c>
      <c r="E28" s="50">
        <f>C28+D28</f>
        <v/>
      </c>
      <c r="F28" s="49">
        <f>IF(ROUND(C28,2)+ROUND(D28,2)=0,"","yes")</f>
        <v/>
      </c>
      <c r="G28" s="58" t="n"/>
      <c r="H28" s="50">
        <f>IF($G28="","",$E28-$G28)</f>
        <v/>
      </c>
    </row>
    <row r="29">
      <c r="A29" s="57" t="inlineStr">
        <is>
          <t>2407312</t>
        </is>
      </c>
      <c r="B29" s="57" t="inlineStr">
        <is>
          <t>Hills Performance Centre</t>
        </is>
      </c>
      <c r="C29" s="50">
        <f>SUMIFS(tbl_WIP[Amount],tbl_WIP[Job Number],$A29,tbl_WIP[Month],"&lt;&gt;",tbl_WIP[Month],"&lt;"&amp;$C$4)+SUMIF('Deferred Revenue'!$E$6:$E$579,$A29,'Deferred Revenue'!$P$6:$P$579)</f>
        <v/>
      </c>
      <c r="D29" s="50">
        <f>SUMIFS(tbl_WIP[Amount],tbl_WIP[Job Number],$A29,tbl_WIP[Month],$C$4)+SUMIF('Deferred Revenue'!$E$6:$E$579,$A29,'Deferred Revenue'!$Q$6:$Q$579)</f>
        <v/>
      </c>
      <c r="E29" s="50">
        <f>C29+D29</f>
        <v/>
      </c>
      <c r="F29" s="49">
        <f>IF(ROUND(C29,2)+ROUND(D29,2)=0,"","yes")</f>
        <v/>
      </c>
      <c r="G29" s="58" t="n"/>
      <c r="H29" s="50">
        <f>IF($G29="","",$E29-$G29)</f>
        <v/>
      </c>
    </row>
    <row r="30">
      <c r="A30" s="57" t="inlineStr">
        <is>
          <t>24102501</t>
        </is>
      </c>
      <c r="B30" s="57" t="inlineStr">
        <is>
          <t>PWC - MEL Tech 12Months</t>
        </is>
      </c>
      <c r="C30" s="50">
        <f>SUMIFS(tbl_WIP[Amount],tbl_WIP[Job Number],$A30,tbl_WIP[Month],"&lt;&gt;",tbl_WIP[Month],"&lt;"&amp;$C$4)+SUMIF('Deferred Revenue'!$E$6:$E$579,$A30,'Deferred Revenue'!$P$6:$P$579)</f>
        <v/>
      </c>
      <c r="D30" s="50">
        <f>SUMIFS(tbl_WIP[Amount],tbl_WIP[Job Number],$A30,tbl_WIP[Month],$C$4)+SUMIF('Deferred Revenue'!$E$6:$E$579,$A30,'Deferred Revenue'!$Q$6:$Q$579)</f>
        <v/>
      </c>
      <c r="E30" s="50">
        <f>C30+D30</f>
        <v/>
      </c>
      <c r="F30" s="49">
        <f>IF(ROUND(C30,2)+ROUND(D30,2)=0,"","yes")</f>
        <v/>
      </c>
      <c r="G30" s="58" t="n"/>
      <c r="H30" s="50">
        <f>IF($G30="","",$E30-$G30)</f>
        <v/>
      </c>
    </row>
    <row r="31">
      <c r="A31" s="57" t="inlineStr">
        <is>
          <t>24121001</t>
        </is>
      </c>
      <c r="B31" s="57" t="inlineStr">
        <is>
          <t>BW PER Studio Equipment Supply</t>
        </is>
      </c>
      <c r="C31" s="50">
        <f>SUMIFS(tbl_WIP[Amount],tbl_WIP[Job Number],$A31,tbl_WIP[Month],"&lt;&gt;",tbl_WIP[Month],"&lt;"&amp;$C$4)+SUMIF('Deferred Revenue'!$E$6:$E$579,$A31,'Deferred Revenue'!$P$6:$P$579)</f>
        <v/>
      </c>
      <c r="D31" s="50">
        <f>SUMIFS(tbl_WIP[Amount],tbl_WIP[Job Number],$A31,tbl_WIP[Month],$C$4)+SUMIF('Deferred Revenue'!$E$6:$E$579,$A31,'Deferred Revenue'!$Q$6:$Q$579)</f>
        <v/>
      </c>
      <c r="E31" s="50">
        <f>C31+D31</f>
        <v/>
      </c>
      <c r="F31" s="49">
        <f>IF(ROUND(C31,2)+ROUND(D31,2)=0,"","yes")</f>
        <v/>
      </c>
      <c r="G31" s="58" t="n"/>
      <c r="H31" s="50">
        <f>IF($G31="","",$E31-$G31)</f>
        <v/>
      </c>
    </row>
    <row r="32">
      <c r="A32" s="57" t="inlineStr">
        <is>
          <t>2479</t>
        </is>
      </c>
      <c r="B32" s="57" t="inlineStr">
        <is>
          <t>CONSULTING - Quotes</t>
        </is>
      </c>
      <c r="C32" s="50">
        <f>SUMIFS(tbl_WIP[Amount],tbl_WIP[Job Number],$A32,tbl_WIP[Month],"&lt;&gt;",tbl_WIP[Month],"&lt;"&amp;$C$4)+SUMIF('Deferred Revenue'!$E$6:$E$579,$A32,'Deferred Revenue'!$P$6:$P$579)</f>
        <v/>
      </c>
      <c r="D32" s="50">
        <f>SUMIFS(tbl_WIP[Amount],tbl_WIP[Job Number],$A32,tbl_WIP[Month],$C$4)+SUMIF('Deferred Revenue'!$E$6:$E$579,$A32,'Deferred Revenue'!$Q$6:$Q$579)</f>
        <v/>
      </c>
      <c r="E32" s="50">
        <f>C32+D32</f>
        <v/>
      </c>
      <c r="F32" s="49">
        <f>IF(ROUND(C32,2)+ROUND(D32,2)=0,"","yes")</f>
        <v/>
      </c>
      <c r="G32" s="58" t="n"/>
      <c r="H32" s="50">
        <f>IF($G32="","",$E32-$G32)</f>
        <v/>
      </c>
    </row>
    <row r="33">
      <c r="A33" s="57" t="inlineStr">
        <is>
          <t>2480</t>
        </is>
      </c>
      <c r="B33" s="57" t="inlineStr">
        <is>
          <t>ONSITE - Quotes</t>
        </is>
      </c>
      <c r="C33" s="50">
        <f>SUMIFS(tbl_WIP[Amount],tbl_WIP[Job Number],$A33,tbl_WIP[Month],"&lt;&gt;",tbl_WIP[Month],"&lt;"&amp;$C$4)+SUMIF('Deferred Revenue'!$E$6:$E$579,$A33,'Deferred Revenue'!$P$6:$P$579)</f>
        <v/>
      </c>
      <c r="D33" s="50">
        <f>SUMIFS(tbl_WIP[Amount],tbl_WIP[Job Number],$A33,tbl_WIP[Month],$C$4)+SUMIF('Deferred Revenue'!$E$6:$E$579,$A33,'Deferred Revenue'!$Q$6:$Q$579)</f>
        <v/>
      </c>
      <c r="E33" s="50">
        <f>C33+D33</f>
        <v/>
      </c>
      <c r="F33" s="49">
        <f>IF(ROUND(C33,2)+ROUND(D33,2)=0,"","yes")</f>
        <v/>
      </c>
      <c r="G33" s="58" t="n"/>
      <c r="H33" s="50">
        <f>IF($G33="","",$E33-$G33)</f>
        <v/>
      </c>
    </row>
    <row r="34">
      <c r="A34" s="57" t="inlineStr">
        <is>
          <t>2481</t>
        </is>
      </c>
      <c r="B34" s="57" t="inlineStr">
        <is>
          <t>Production - Quotes</t>
        </is>
      </c>
      <c r="C34" s="50">
        <f>SUMIFS(tbl_WIP[Amount],tbl_WIP[Job Number],$A34,tbl_WIP[Month],"&lt;&gt;",tbl_WIP[Month],"&lt;"&amp;$C$4)+SUMIF('Deferred Revenue'!$E$6:$E$579,$A34,'Deferred Revenue'!$P$6:$P$579)</f>
        <v/>
      </c>
      <c r="D34" s="50">
        <f>SUMIFS(tbl_WIP[Amount],tbl_WIP[Job Number],$A34,tbl_WIP[Month],$C$4)+SUMIF('Deferred Revenue'!$E$6:$E$579,$A34,'Deferred Revenue'!$Q$6:$Q$579)</f>
        <v/>
      </c>
      <c r="E34" s="50">
        <f>C34+D34</f>
        <v/>
      </c>
      <c r="F34" s="49">
        <f>IF(ROUND(C34,2)+ROUND(D34,2)=0,"","yes")</f>
        <v/>
      </c>
      <c r="G34" s="58" t="n"/>
      <c r="H34" s="50">
        <f>IF($G34="","",$E34-$G34)</f>
        <v/>
      </c>
    </row>
    <row r="35">
      <c r="A35" s="57" t="inlineStr">
        <is>
          <t>2482</t>
        </is>
      </c>
      <c r="B35" s="57" t="inlineStr">
        <is>
          <t>VIDEO - Quotes</t>
        </is>
      </c>
      <c r="C35" s="50">
        <f>SUMIFS(tbl_WIP[Amount],tbl_WIP[Job Number],$A35,tbl_WIP[Month],"&lt;&gt;",tbl_WIP[Month],"&lt;"&amp;$C$4)+SUMIF('Deferred Revenue'!$E$6:$E$579,$A35,'Deferred Revenue'!$P$6:$P$579)</f>
        <v/>
      </c>
      <c r="D35" s="50">
        <f>SUMIFS(tbl_WIP[Amount],tbl_WIP[Job Number],$A35,tbl_WIP[Month],$C$4)+SUMIF('Deferred Revenue'!$E$6:$E$579,$A35,'Deferred Revenue'!$Q$6:$Q$579)</f>
        <v/>
      </c>
      <c r="E35" s="50">
        <f>C35+D35</f>
        <v/>
      </c>
      <c r="F35" s="49">
        <f>IF(ROUND(C35,2)+ROUND(D35,2)=0,"","yes")</f>
        <v/>
      </c>
      <c r="G35" s="58" t="n"/>
      <c r="H35" s="50">
        <f>IF($G35="","",$E35-$G35)</f>
        <v/>
      </c>
    </row>
    <row r="36">
      <c r="A36" s="57" t="inlineStr">
        <is>
          <t>2488</t>
        </is>
      </c>
      <c r="B36" s="57" t="inlineStr">
        <is>
          <t>PWC IT P/T BNE</t>
        </is>
      </c>
      <c r="C36" s="50">
        <f>SUMIFS(tbl_WIP[Amount],tbl_WIP[Job Number],$A36,tbl_WIP[Month],"&lt;&gt;",tbl_WIP[Month],"&lt;"&amp;$C$4)+SUMIF('Deferred Revenue'!$E$6:$E$579,$A36,'Deferred Revenue'!$P$6:$P$579)</f>
        <v/>
      </c>
      <c r="D36" s="50">
        <f>SUMIFS(tbl_WIP[Amount],tbl_WIP[Job Number],$A36,tbl_WIP[Month],$C$4)+SUMIF('Deferred Revenue'!$E$6:$E$579,$A36,'Deferred Revenue'!$Q$6:$Q$579)</f>
        <v/>
      </c>
      <c r="E36" s="50">
        <f>C36+D36</f>
        <v/>
      </c>
      <c r="F36" s="49">
        <f>IF(ROUND(C36,2)+ROUND(D36,2)=0,"","yes")</f>
        <v/>
      </c>
      <c r="G36" s="58" t="n"/>
      <c r="H36" s="50">
        <f>IF($G36="","",$E36-$G36)</f>
        <v/>
      </c>
    </row>
    <row r="37">
      <c r="A37" s="57" t="inlineStr">
        <is>
          <t>25011601</t>
        </is>
      </c>
      <c r="B37" s="57" t="inlineStr">
        <is>
          <t>DTTL Hobart ITS AV Ref</t>
        </is>
      </c>
      <c r="C37" s="50">
        <f>SUMIFS(tbl_WIP[Amount],tbl_WIP[Job Number],$A37,tbl_WIP[Month],"&lt;&gt;",tbl_WIP[Month],"&lt;"&amp;$C$4)+SUMIF('Deferred Revenue'!$E$6:$E$579,$A37,'Deferred Revenue'!$P$6:$P$579)</f>
        <v/>
      </c>
      <c r="D37" s="50">
        <f>SUMIFS(tbl_WIP[Amount],tbl_WIP[Job Number],$A37,tbl_WIP[Month],$C$4)+SUMIF('Deferred Revenue'!$E$6:$E$579,$A37,'Deferred Revenue'!$Q$6:$Q$579)</f>
        <v/>
      </c>
      <c r="E37" s="50">
        <f>C37+D37</f>
        <v/>
      </c>
      <c r="F37" s="49">
        <f>IF(ROUND(C37,2)+ROUND(D37,2)=0,"","yes")</f>
        <v/>
      </c>
      <c r="G37" s="58" t="n"/>
      <c r="H37" s="50">
        <f>IF($G37="","",$E37-$G37)</f>
        <v/>
      </c>
    </row>
    <row r="38">
      <c r="A38" s="57" t="inlineStr">
        <is>
          <t>2501738</t>
        </is>
      </c>
      <c r="B38" s="57" t="inlineStr">
        <is>
          <t>APA HYR25 &amp; FYR25</t>
        </is>
      </c>
      <c r="C38" s="50">
        <f>SUMIFS(tbl_WIP[Amount],tbl_WIP[Job Number],$A38,tbl_WIP[Month],"&lt;&gt;",tbl_WIP[Month],"&lt;"&amp;$C$4)+SUMIF('Deferred Revenue'!$E$6:$E$579,$A38,'Deferred Revenue'!$P$6:$P$579)</f>
        <v/>
      </c>
      <c r="D38" s="50">
        <f>SUMIFS(tbl_WIP[Amount],tbl_WIP[Job Number],$A38,tbl_WIP[Month],$C$4)+SUMIF('Deferred Revenue'!$E$6:$E$579,$A38,'Deferred Revenue'!$Q$6:$Q$579)</f>
        <v/>
      </c>
      <c r="E38" s="50">
        <f>C38+D38</f>
        <v/>
      </c>
      <c r="F38" s="49">
        <f>IF(ROUND(C38,2)+ROUND(D38,2)=0,"","yes")</f>
        <v/>
      </c>
      <c r="G38" s="58" t="n"/>
      <c r="H38" s="50">
        <f>IF($G38="","",$E38-$G38)</f>
        <v/>
      </c>
    </row>
    <row r="39">
      <c r="A39" s="57" t="inlineStr">
        <is>
          <t>2502</t>
        </is>
      </c>
      <c r="B39" s="57" t="inlineStr">
        <is>
          <t>ONS CBA (non-chargeable)</t>
        </is>
      </c>
      <c r="C39" s="50">
        <f>SUMIFS(tbl_WIP[Amount],tbl_WIP[Job Number],$A39,tbl_WIP[Month],"&lt;&gt;",tbl_WIP[Month],"&lt;"&amp;$C$4)+SUMIF('Deferred Revenue'!$E$6:$E$579,$A39,'Deferred Revenue'!$P$6:$P$579)</f>
        <v/>
      </c>
      <c r="D39" s="50">
        <f>SUMIFS(tbl_WIP[Amount],tbl_WIP[Job Number],$A39,tbl_WIP[Month],$C$4)+SUMIF('Deferred Revenue'!$E$6:$E$579,$A39,'Deferred Revenue'!$Q$6:$Q$579)</f>
        <v/>
      </c>
      <c r="E39" s="50">
        <f>C39+D39</f>
        <v/>
      </c>
      <c r="F39" s="49">
        <f>IF(ROUND(C39,2)+ROUND(D39,2)=0,"","yes")</f>
        <v/>
      </c>
      <c r="G39" s="58" t="n"/>
      <c r="H39" s="50">
        <f>IF($G39="","",$E39-$G39)</f>
        <v/>
      </c>
    </row>
    <row r="40">
      <c r="A40" s="57" t="inlineStr">
        <is>
          <t>25021901</t>
        </is>
      </c>
      <c r="B40" s="57" t="inlineStr">
        <is>
          <t>DAFF Technology Standard</t>
        </is>
      </c>
      <c r="C40" s="50">
        <f>SUMIFS(tbl_WIP[Amount],tbl_WIP[Job Number],$A40,tbl_WIP[Month],"&lt;&gt;",tbl_WIP[Month],"&lt;"&amp;$C$4)+SUMIF('Deferred Revenue'!$E$6:$E$579,$A40,'Deferred Revenue'!$P$6:$P$579)</f>
        <v/>
      </c>
      <c r="D40" s="50">
        <f>SUMIFS(tbl_WIP[Amount],tbl_WIP[Job Number],$A40,tbl_WIP[Month],$C$4)+SUMIF('Deferred Revenue'!$E$6:$E$579,$A40,'Deferred Revenue'!$Q$6:$Q$579)</f>
        <v/>
      </c>
      <c r="E40" s="50">
        <f>C40+D40</f>
        <v/>
      </c>
      <c r="F40" s="49">
        <f>IF(ROUND(C40,2)+ROUND(D40,2)=0,"","yes")</f>
        <v/>
      </c>
      <c r="G40" s="58" t="n"/>
      <c r="H40" s="50">
        <f>IF($G40="","",$E40-$G40)</f>
        <v/>
      </c>
    </row>
    <row r="41">
      <c r="A41" s="57" t="inlineStr">
        <is>
          <t>2503</t>
        </is>
      </c>
      <c r="B41" s="57" t="inlineStr">
        <is>
          <t>ONS DTTL (non-chargeable)</t>
        </is>
      </c>
      <c r="C41" s="50">
        <f>SUMIFS(tbl_WIP[Amount],tbl_WIP[Job Number],$A41,tbl_WIP[Month],"&lt;&gt;",tbl_WIP[Month],"&lt;"&amp;$C$4)+SUMIF('Deferred Revenue'!$E$6:$E$579,$A41,'Deferred Revenue'!$P$6:$P$579)</f>
        <v/>
      </c>
      <c r="D41" s="50">
        <f>SUMIFS(tbl_WIP[Amount],tbl_WIP[Job Number],$A41,tbl_WIP[Month],$C$4)+SUMIF('Deferred Revenue'!$E$6:$E$579,$A41,'Deferred Revenue'!$Q$6:$Q$579)</f>
        <v/>
      </c>
      <c r="E41" s="50">
        <f>C41+D41</f>
        <v/>
      </c>
      <c r="F41" s="49">
        <f>IF(ROUND(C41,2)+ROUND(D41,2)=0,"","yes")</f>
        <v/>
      </c>
      <c r="G41" s="58" t="n"/>
      <c r="H41" s="50">
        <f>IF($G41="","",$E41-$G41)</f>
        <v/>
      </c>
    </row>
    <row r="42">
      <c r="A42" s="57" t="inlineStr">
        <is>
          <t>25032701</t>
        </is>
      </c>
      <c r="B42" s="57" t="inlineStr">
        <is>
          <t>St Catherines Chargeable</t>
        </is>
      </c>
      <c r="C42" s="50">
        <f>SUMIFS(tbl_WIP[Amount],tbl_WIP[Job Number],$A42,tbl_WIP[Month],"&lt;&gt;",tbl_WIP[Month],"&lt;"&amp;$C$4)+SUMIF('Deferred Revenue'!$E$6:$E$579,$A42,'Deferred Revenue'!$P$6:$P$579)</f>
        <v/>
      </c>
      <c r="D42" s="50">
        <f>SUMIFS(tbl_WIP[Amount],tbl_WIP[Job Number],$A42,tbl_WIP[Month],$C$4)+SUMIF('Deferred Revenue'!$E$6:$E$579,$A42,'Deferred Revenue'!$Q$6:$Q$579)</f>
        <v/>
      </c>
      <c r="E42" s="50">
        <f>C42+D42</f>
        <v/>
      </c>
      <c r="F42" s="49">
        <f>IF(ROUND(C42,2)+ROUND(D42,2)=0,"","yes")</f>
        <v/>
      </c>
      <c r="G42" s="58" t="n"/>
      <c r="H42" s="50">
        <f>IF($G42="","",$E42-$G42)</f>
        <v/>
      </c>
    </row>
    <row r="43">
      <c r="A43" s="57" t="inlineStr">
        <is>
          <t>25032701NC</t>
        </is>
      </c>
      <c r="B43" s="57" t="inlineStr">
        <is>
          <t>St Catherines Non-Chgble</t>
        </is>
      </c>
      <c r="C43" s="50">
        <f>SUMIFS(tbl_WIP[Amount],tbl_WIP[Job Number],$A43,tbl_WIP[Month],"&lt;&gt;",tbl_WIP[Month],"&lt;"&amp;$C$4)+SUMIF('Deferred Revenue'!$E$6:$E$579,$A43,'Deferred Revenue'!$P$6:$P$579)</f>
        <v/>
      </c>
      <c r="D43" s="50">
        <f>SUMIFS(tbl_WIP[Amount],tbl_WIP[Job Number],$A43,tbl_WIP[Month],$C$4)+SUMIF('Deferred Revenue'!$E$6:$E$579,$A43,'Deferred Revenue'!$Q$6:$Q$579)</f>
        <v/>
      </c>
      <c r="E43" s="50">
        <f>C43+D43</f>
        <v/>
      </c>
      <c r="F43" s="49">
        <f>IF(ROUND(C43,2)+ROUND(D43,2)=0,"","yes")</f>
        <v/>
      </c>
      <c r="G43" s="58" t="n"/>
      <c r="H43" s="50">
        <f>IF($G43="","",$E43-$G43)</f>
        <v/>
      </c>
    </row>
    <row r="44">
      <c r="A44" s="57" t="inlineStr">
        <is>
          <t>2504</t>
        </is>
      </c>
      <c r="B44" s="57" t="inlineStr">
        <is>
          <t>ONS WBC (non-chargeable)</t>
        </is>
      </c>
      <c r="C44" s="50">
        <f>SUMIFS(tbl_WIP[Amount],tbl_WIP[Job Number],$A44,tbl_WIP[Month],"&lt;&gt;",tbl_WIP[Month],"&lt;"&amp;$C$4)+SUMIF('Deferred Revenue'!$E$6:$E$579,$A44,'Deferred Revenue'!$P$6:$P$579)</f>
        <v/>
      </c>
      <c r="D44" s="50">
        <f>SUMIFS(tbl_WIP[Amount],tbl_WIP[Job Number],$A44,tbl_WIP[Month],$C$4)+SUMIF('Deferred Revenue'!$E$6:$E$579,$A44,'Deferred Revenue'!$Q$6:$Q$579)</f>
        <v/>
      </c>
      <c r="E44" s="50">
        <f>C44+D44</f>
        <v/>
      </c>
      <c r="F44" s="49">
        <f>IF(ROUND(C44,2)+ROUND(D44,2)=0,"","yes")</f>
        <v/>
      </c>
      <c r="G44" s="58" t="n"/>
      <c r="H44" s="50">
        <f>IF($G44="","",$E44-$G44)</f>
        <v/>
      </c>
    </row>
    <row r="45">
      <c r="A45" s="57" t="inlineStr">
        <is>
          <t>25041502</t>
        </is>
      </c>
      <c r="B45" s="57" t="inlineStr">
        <is>
          <t>PDNSW DB License Ext</t>
        </is>
      </c>
      <c r="C45" s="50">
        <f>SUMIFS(tbl_WIP[Amount],tbl_WIP[Job Number],$A45,tbl_WIP[Month],"&lt;&gt;",tbl_WIP[Month],"&lt;"&amp;$C$4)+SUMIF('Deferred Revenue'!$E$6:$E$579,$A45,'Deferred Revenue'!$P$6:$P$579)</f>
        <v/>
      </c>
      <c r="D45" s="50">
        <f>SUMIFS(tbl_WIP[Amount],tbl_WIP[Job Number],$A45,tbl_WIP[Month],$C$4)+SUMIF('Deferred Revenue'!$E$6:$E$579,$A45,'Deferred Revenue'!$Q$6:$Q$579)</f>
        <v/>
      </c>
      <c r="E45" s="50">
        <f>C45+D45</f>
        <v/>
      </c>
      <c r="F45" s="49">
        <f>IF(ROUND(C45,2)+ROUND(D45,2)=0,"","yes")</f>
        <v/>
      </c>
      <c r="G45" s="58" t="n"/>
      <c r="H45" s="50">
        <f>IF($G45="","",$E45-$G45)</f>
        <v/>
      </c>
    </row>
    <row r="46">
      <c r="A46" s="57" t="inlineStr">
        <is>
          <t>2505</t>
        </is>
      </c>
      <c r="B46" s="57" t="inlineStr">
        <is>
          <t>ONS PWC (non-chargeable)</t>
        </is>
      </c>
      <c r="C46" s="50">
        <f>SUMIFS(tbl_WIP[Amount],tbl_WIP[Job Number],$A46,tbl_WIP[Month],"&lt;&gt;",tbl_WIP[Month],"&lt;"&amp;$C$4)+SUMIF('Deferred Revenue'!$E$6:$E$579,$A46,'Deferred Revenue'!$P$6:$P$579)</f>
        <v/>
      </c>
      <c r="D46" s="50">
        <f>SUMIFS(tbl_WIP[Amount],tbl_WIP[Job Number],$A46,tbl_WIP[Month],$C$4)+SUMIF('Deferred Revenue'!$E$6:$E$579,$A46,'Deferred Revenue'!$Q$6:$Q$579)</f>
        <v/>
      </c>
      <c r="E46" s="50">
        <f>C46+D46</f>
        <v/>
      </c>
      <c r="F46" s="49">
        <f>IF(ROUND(C46,2)+ROUND(D46,2)=0,"","yes")</f>
        <v/>
      </c>
      <c r="G46" s="58" t="n"/>
      <c r="H46" s="50">
        <f>IF($G46="","",$E46-$G46)</f>
        <v/>
      </c>
    </row>
    <row r="47">
      <c r="A47" s="57" t="inlineStr">
        <is>
          <t>25051302</t>
        </is>
      </c>
      <c r="B47" s="57" t="inlineStr">
        <is>
          <t>NSW Prop Bradfield Desk Booking + Penrith Additional</t>
        </is>
      </c>
      <c r="C47" s="50">
        <f>SUMIFS(tbl_WIP[Amount],tbl_WIP[Job Number],$A47,tbl_WIP[Month],"&lt;&gt;",tbl_WIP[Month],"&lt;"&amp;$C$4)+SUMIF('Deferred Revenue'!$E$6:$E$579,$A47,'Deferred Revenue'!$P$6:$P$579)</f>
        <v/>
      </c>
      <c r="D47" s="50">
        <f>SUMIFS(tbl_WIP[Amount],tbl_WIP[Job Number],$A47,tbl_WIP[Month],$C$4)+SUMIF('Deferred Revenue'!$E$6:$E$579,$A47,'Deferred Revenue'!$Q$6:$Q$579)</f>
        <v/>
      </c>
      <c r="E47" s="50">
        <f>C47+D47</f>
        <v/>
      </c>
      <c r="F47" s="49">
        <f>IF(ROUND(C47,2)+ROUND(D47,2)=0,"","yes")</f>
        <v/>
      </c>
      <c r="G47" s="58" t="n"/>
      <c r="H47" s="50">
        <f>IF($G47="","",$E47-$G47)</f>
        <v/>
      </c>
    </row>
    <row r="48">
      <c r="A48" s="57" t="inlineStr">
        <is>
          <t>25051403</t>
        </is>
      </c>
      <c r="B48" s="57" t="inlineStr">
        <is>
          <t>DTTL SYD Tech Supp TMT AP</t>
        </is>
      </c>
      <c r="C48" s="50">
        <f>SUMIFS(tbl_WIP[Amount],tbl_WIP[Job Number],$A48,tbl_WIP[Month],"&lt;&gt;",tbl_WIP[Month],"&lt;"&amp;$C$4)+SUMIF('Deferred Revenue'!$E$6:$E$579,$A48,'Deferred Revenue'!$P$6:$P$579)</f>
        <v/>
      </c>
      <c r="D48" s="50">
        <f>SUMIFS(tbl_WIP[Amount],tbl_WIP[Job Number],$A48,tbl_WIP[Month],$C$4)+SUMIF('Deferred Revenue'!$E$6:$E$579,$A48,'Deferred Revenue'!$Q$6:$Q$579)</f>
        <v/>
      </c>
      <c r="E48" s="50">
        <f>C48+D48</f>
        <v/>
      </c>
      <c r="F48" s="49">
        <f>IF(ROUND(C48,2)+ROUND(D48,2)=0,"","yes")</f>
        <v/>
      </c>
      <c r="G48" s="58" t="n"/>
      <c r="H48" s="50">
        <f>IF($G48="","",$E48-$G48)</f>
        <v/>
      </c>
    </row>
    <row r="49">
      <c r="A49" s="57" t="inlineStr">
        <is>
          <t>25052802</t>
        </is>
      </c>
      <c r="B49" s="57" t="inlineStr">
        <is>
          <t>Aus Retirement Trust Members Meeting 2025</t>
        </is>
      </c>
      <c r="C49" s="50">
        <f>SUMIFS(tbl_WIP[Amount],tbl_WIP[Job Number],$A49,tbl_WIP[Month],"&lt;&gt;",tbl_WIP[Month],"&lt;"&amp;$C$4)+SUMIF('Deferred Revenue'!$E$6:$E$579,$A49,'Deferred Revenue'!$P$6:$P$579)</f>
        <v/>
      </c>
      <c r="D49" s="50">
        <f>SUMIFS(tbl_WIP[Amount],tbl_WIP[Job Number],$A49,tbl_WIP[Month],$C$4)+SUMIF('Deferred Revenue'!$E$6:$E$579,$A49,'Deferred Revenue'!$Q$6:$Q$579)</f>
        <v/>
      </c>
      <c r="E49" s="50">
        <f>C49+D49</f>
        <v/>
      </c>
      <c r="F49" s="49">
        <f>IF(ROUND(C49,2)+ROUND(D49,2)=0,"","yes")</f>
        <v/>
      </c>
      <c r="G49" s="58" t="n"/>
      <c r="H49" s="50">
        <f>IF($G49="","",$E49-$G49)</f>
        <v/>
      </c>
    </row>
    <row r="50">
      <c r="A50" s="57" t="inlineStr">
        <is>
          <t>2505901</t>
        </is>
      </c>
      <c r="B50" s="57" t="inlineStr">
        <is>
          <t>COS Projector Lens Supply</t>
        </is>
      </c>
      <c r="C50" s="50">
        <f>SUMIFS(tbl_WIP[Amount],tbl_WIP[Job Number],$A50,tbl_WIP[Month],"&lt;&gt;",tbl_WIP[Month],"&lt;"&amp;$C$4)+SUMIF('Deferred Revenue'!$E$6:$E$579,$A50,'Deferred Revenue'!$P$6:$P$579)</f>
        <v/>
      </c>
      <c r="D50" s="50">
        <f>SUMIFS(tbl_WIP[Amount],tbl_WIP[Job Number],$A50,tbl_WIP[Month],$C$4)+SUMIF('Deferred Revenue'!$E$6:$E$579,$A50,'Deferred Revenue'!$Q$6:$Q$579)</f>
        <v/>
      </c>
      <c r="E50" s="50">
        <f>C50+D50</f>
        <v/>
      </c>
      <c r="F50" s="49">
        <f>IF(ROUND(C50,2)+ROUND(D50,2)=0,"","yes")</f>
        <v/>
      </c>
      <c r="G50" s="58" t="n"/>
      <c r="H50" s="50">
        <f>IF($G50="","",$E50-$G50)</f>
        <v/>
      </c>
    </row>
    <row r="51">
      <c r="A51" s="57" t="inlineStr">
        <is>
          <t>2506</t>
        </is>
      </c>
      <c r="B51" s="57" t="inlineStr">
        <is>
          <t>ONS BWEST (non-chargeable)</t>
        </is>
      </c>
      <c r="C51" s="50">
        <f>SUMIFS(tbl_WIP[Amount],tbl_WIP[Job Number],$A51,tbl_WIP[Month],"&lt;&gt;",tbl_WIP[Month],"&lt;"&amp;$C$4)+SUMIF('Deferred Revenue'!$E$6:$E$579,$A51,'Deferred Revenue'!$P$6:$P$579)</f>
        <v/>
      </c>
      <c r="D51" s="50">
        <f>SUMIFS(tbl_WIP[Amount],tbl_WIP[Job Number],$A51,tbl_WIP[Month],$C$4)+SUMIF('Deferred Revenue'!$E$6:$E$579,$A51,'Deferred Revenue'!$Q$6:$Q$579)</f>
        <v/>
      </c>
      <c r="E51" s="50">
        <f>C51+D51</f>
        <v/>
      </c>
      <c r="F51" s="49">
        <f>IF(ROUND(C51,2)+ROUND(D51,2)=0,"","yes")</f>
        <v/>
      </c>
      <c r="G51" s="58" t="n"/>
      <c r="H51" s="50">
        <f>IF($G51="","",$E51-$G51)</f>
        <v/>
      </c>
    </row>
    <row r="52">
      <c r="A52" s="57" t="inlineStr">
        <is>
          <t>25060301</t>
        </is>
      </c>
      <c r="B52" s="57" t="inlineStr">
        <is>
          <t>6PSQ L12 Desk Booking</t>
        </is>
      </c>
      <c r="C52" s="50">
        <f>SUMIFS(tbl_WIP[Amount],tbl_WIP[Job Number],$A52,tbl_WIP[Month],"&lt;&gt;",tbl_WIP[Month],"&lt;"&amp;$C$4)+SUMIF('Deferred Revenue'!$E$6:$E$579,$A52,'Deferred Revenue'!$P$6:$P$579)</f>
        <v/>
      </c>
      <c r="D52" s="50">
        <f>SUMIFS(tbl_WIP[Amount],tbl_WIP[Job Number],$A52,tbl_WIP[Month],$C$4)+SUMIF('Deferred Revenue'!$E$6:$E$579,$A52,'Deferred Revenue'!$Q$6:$Q$579)</f>
        <v/>
      </c>
      <c r="E52" s="50">
        <f>C52+D52</f>
        <v/>
      </c>
      <c r="F52" s="49">
        <f>IF(ROUND(C52,2)+ROUND(D52,2)=0,"","yes")</f>
        <v/>
      </c>
      <c r="G52" s="58" t="n"/>
      <c r="H52" s="50">
        <f>IF($G52="","",$E52-$G52)</f>
        <v/>
      </c>
    </row>
    <row r="53">
      <c r="A53" s="57" t="inlineStr">
        <is>
          <t>25060307</t>
        </is>
      </c>
      <c r="B53" s="57" t="inlineStr">
        <is>
          <t>DPIE Molesworth St D/B</t>
        </is>
      </c>
      <c r="C53" s="50">
        <f>SUMIFS(tbl_WIP[Amount],tbl_WIP[Job Number],$A53,tbl_WIP[Month],"&lt;&gt;",tbl_WIP[Month],"&lt;"&amp;$C$4)+SUMIF('Deferred Revenue'!$E$6:$E$579,$A53,'Deferred Revenue'!$P$6:$P$579)</f>
        <v/>
      </c>
      <c r="D53" s="50">
        <f>SUMIFS(tbl_WIP[Amount],tbl_WIP[Job Number],$A53,tbl_WIP[Month],$C$4)+SUMIF('Deferred Revenue'!$E$6:$E$579,$A53,'Deferred Revenue'!$Q$6:$Q$579)</f>
        <v/>
      </c>
      <c r="E53" s="50">
        <f>C53+D53</f>
        <v/>
      </c>
      <c r="F53" s="49">
        <f>IF(ROUND(C53,2)+ROUND(D53,2)=0,"","yes")</f>
        <v/>
      </c>
      <c r="G53" s="58" t="n"/>
      <c r="H53" s="50">
        <f>IF($G53="","",$E53-$G53)</f>
        <v/>
      </c>
    </row>
    <row r="54">
      <c r="A54" s="57" t="inlineStr">
        <is>
          <t>2506208</t>
        </is>
      </c>
      <c r="B54" s="57" t="inlineStr">
        <is>
          <t>CBA AGM 2026</t>
        </is>
      </c>
      <c r="C54" s="50">
        <f>SUMIFS(tbl_WIP[Amount],tbl_WIP[Job Number],$A54,tbl_WIP[Month],"&lt;&gt;",tbl_WIP[Month],"&lt;"&amp;$C$4)+SUMIF('Deferred Revenue'!$E$6:$E$579,$A54,'Deferred Revenue'!$P$6:$P$579)</f>
        <v/>
      </c>
      <c r="D54" s="50">
        <f>SUMIFS(tbl_WIP[Amount],tbl_WIP[Job Number],$A54,tbl_WIP[Month],$C$4)+SUMIF('Deferred Revenue'!$E$6:$E$579,$A54,'Deferred Revenue'!$Q$6:$Q$579)</f>
        <v/>
      </c>
      <c r="E54" s="50">
        <f>C54+D54</f>
        <v/>
      </c>
      <c r="F54" s="49">
        <f>IF(ROUND(C54,2)+ROUND(D54,2)=0,"","yes")</f>
        <v/>
      </c>
      <c r="G54" s="58" t="n"/>
      <c r="H54" s="50">
        <f>IF($G54="","",$E54-$G54)</f>
        <v/>
      </c>
    </row>
    <row r="55">
      <c r="A55" s="57" t="inlineStr">
        <is>
          <t>2506208V</t>
        </is>
      </c>
      <c r="B55" s="57" t="inlineStr">
        <is>
          <t>CBA AGM 2026</t>
        </is>
      </c>
      <c r="C55" s="50">
        <f>SUMIFS(tbl_WIP[Amount],tbl_WIP[Job Number],$A55,tbl_WIP[Month],"&lt;&gt;",tbl_WIP[Month],"&lt;"&amp;$C$4)+SUMIF('Deferred Revenue'!$E$6:$E$579,$A55,'Deferred Revenue'!$P$6:$P$579)</f>
        <v/>
      </c>
      <c r="D55" s="50">
        <f>SUMIFS(tbl_WIP[Amount],tbl_WIP[Job Number],$A55,tbl_WIP[Month],$C$4)+SUMIF('Deferred Revenue'!$E$6:$E$579,$A55,'Deferred Revenue'!$Q$6:$Q$579)</f>
        <v/>
      </c>
      <c r="E55" s="50">
        <f>C55+D55</f>
        <v/>
      </c>
      <c r="F55" s="49">
        <f>IF(ROUND(C55,2)+ROUND(D55,2)=0,"","yes")</f>
        <v/>
      </c>
      <c r="G55" s="58" t="n"/>
      <c r="H55" s="50">
        <f>IF($G55="","",$E55-$G55)</f>
        <v/>
      </c>
    </row>
    <row r="56">
      <c r="A56" s="57" t="inlineStr">
        <is>
          <t>25063001V</t>
        </is>
      </c>
      <c r="B56" s="57" t="inlineStr">
        <is>
          <t>APA All Hands Staff</t>
        </is>
      </c>
      <c r="C56" s="50">
        <f>SUMIFS(tbl_WIP[Amount],tbl_WIP[Job Number],$A56,tbl_WIP[Month],"&lt;&gt;",tbl_WIP[Month],"&lt;"&amp;$C$4)+SUMIF('Deferred Revenue'!$E$6:$E$579,$A56,'Deferred Revenue'!$P$6:$P$579)</f>
        <v/>
      </c>
      <c r="D56" s="50">
        <f>SUMIFS(tbl_WIP[Amount],tbl_WIP[Job Number],$A56,tbl_WIP[Month],$C$4)+SUMIF('Deferred Revenue'!$E$6:$E$579,$A56,'Deferred Revenue'!$Q$6:$Q$579)</f>
        <v/>
      </c>
      <c r="E56" s="50">
        <f>C56+D56</f>
        <v/>
      </c>
      <c r="F56" s="49">
        <f>IF(ROUND(C56,2)+ROUND(D56,2)=0,"","yes")</f>
        <v/>
      </c>
      <c r="G56" s="58" t="n"/>
      <c r="H56" s="50">
        <f>IF($G56="","",$E56-$G56)</f>
        <v/>
      </c>
    </row>
    <row r="57">
      <c r="A57" s="57" t="inlineStr">
        <is>
          <t>25070702</t>
        </is>
      </c>
      <c r="B57" s="57" t="inlineStr">
        <is>
          <t>APA VMS Brisbane &amp; Darwin</t>
        </is>
      </c>
      <c r="C57" s="50">
        <f>SUMIFS(tbl_WIP[Amount],tbl_WIP[Job Number],$A57,tbl_WIP[Month],"&lt;&gt;",tbl_WIP[Month],"&lt;"&amp;$C$4)+SUMIF('Deferred Revenue'!$E$6:$E$579,$A57,'Deferred Revenue'!$P$6:$P$579)</f>
        <v/>
      </c>
      <c r="D57" s="50">
        <f>SUMIFS(tbl_WIP[Amount],tbl_WIP[Job Number],$A57,tbl_WIP[Month],$C$4)+SUMIF('Deferred Revenue'!$E$6:$E$579,$A57,'Deferred Revenue'!$Q$6:$Q$579)</f>
        <v/>
      </c>
      <c r="E57" s="50">
        <f>C57+D57</f>
        <v/>
      </c>
      <c r="F57" s="49">
        <f>IF(ROUND(C57,2)+ROUND(D57,2)=0,"","yes")</f>
        <v/>
      </c>
      <c r="G57" s="58" t="n"/>
      <c r="H57" s="50">
        <f>IF($G57="","",$E57-$G57)</f>
        <v/>
      </c>
    </row>
    <row r="58">
      <c r="A58" s="57" t="inlineStr">
        <is>
          <t>2507203</t>
        </is>
      </c>
      <c r="B58" s="57" t="inlineStr">
        <is>
          <t>Hills Grammar Airmedia Supply</t>
        </is>
      </c>
      <c r="C58" s="50">
        <f>SUMIFS(tbl_WIP[Amount],tbl_WIP[Job Number],$A58,tbl_WIP[Month],"&lt;&gt;",tbl_WIP[Month],"&lt;"&amp;$C$4)+SUMIF('Deferred Revenue'!$E$6:$E$579,$A58,'Deferred Revenue'!$P$6:$P$579)</f>
        <v/>
      </c>
      <c r="D58" s="50">
        <f>SUMIFS(tbl_WIP[Amount],tbl_WIP[Job Number],$A58,tbl_WIP[Month],$C$4)+SUMIF('Deferred Revenue'!$E$6:$E$579,$A58,'Deferred Revenue'!$Q$6:$Q$579)</f>
        <v/>
      </c>
      <c r="E58" s="50">
        <f>C58+D58</f>
        <v/>
      </c>
      <c r="F58" s="49">
        <f>IF(ROUND(C58,2)+ROUND(D58,2)=0,"","yes")</f>
        <v/>
      </c>
      <c r="G58" s="58" t="n"/>
      <c r="H58" s="50">
        <f>IF($G58="","",$E58-$G58)</f>
        <v/>
      </c>
    </row>
    <row r="59">
      <c r="A59" s="57" t="inlineStr">
        <is>
          <t>25081402</t>
        </is>
      </c>
      <c r="B59" s="57" t="inlineStr">
        <is>
          <t>Hills Grammar Loan Airmedia Purchase</t>
        </is>
      </c>
      <c r="C59" s="50">
        <f>SUMIFS(tbl_WIP[Amount],tbl_WIP[Job Number],$A59,tbl_WIP[Month],"&lt;&gt;",tbl_WIP[Month],"&lt;"&amp;$C$4)+SUMIF('Deferred Revenue'!$E$6:$E$579,$A59,'Deferred Revenue'!$P$6:$P$579)</f>
        <v/>
      </c>
      <c r="D59" s="50">
        <f>SUMIFS(tbl_WIP[Amount],tbl_WIP[Job Number],$A59,tbl_WIP[Month],$C$4)+SUMIF('Deferred Revenue'!$E$6:$E$579,$A59,'Deferred Revenue'!$Q$6:$Q$579)</f>
        <v/>
      </c>
      <c r="E59" s="50">
        <f>C59+D59</f>
        <v/>
      </c>
      <c r="F59" s="49">
        <f>IF(ROUND(C59,2)+ROUND(D59,2)=0,"","yes")</f>
        <v/>
      </c>
      <c r="G59" s="58" t="n"/>
      <c r="H59" s="50">
        <f>IF($G59="","",$E59-$G59)</f>
        <v/>
      </c>
    </row>
    <row r="60">
      <c r="A60" s="57" t="inlineStr">
        <is>
          <t>25082501</t>
        </is>
      </c>
      <c r="B60" s="57" t="inlineStr">
        <is>
          <t>APA Sydney Tablet Brackets</t>
        </is>
      </c>
      <c r="C60" s="50">
        <f>SUMIFS(tbl_WIP[Amount],tbl_WIP[Job Number],$A60,tbl_WIP[Month],"&lt;&gt;",tbl_WIP[Month],"&lt;"&amp;$C$4)+SUMIF('Deferred Revenue'!$E$6:$E$579,$A60,'Deferred Revenue'!$P$6:$P$579)</f>
        <v/>
      </c>
      <c r="D60" s="50">
        <f>SUMIFS(tbl_WIP[Amount],tbl_WIP[Job Number],$A60,tbl_WIP[Month],$C$4)+SUMIF('Deferred Revenue'!$E$6:$E$579,$A60,'Deferred Revenue'!$Q$6:$Q$579)</f>
        <v/>
      </c>
      <c r="E60" s="50">
        <f>C60+D60</f>
        <v/>
      </c>
      <c r="F60" s="49">
        <f>IF(ROUND(C60,2)+ROUND(D60,2)=0,"","yes")</f>
        <v/>
      </c>
      <c r="G60" s="58" t="n"/>
      <c r="H60" s="50">
        <f>IF($G60="","",$E60-$G60)</f>
        <v/>
      </c>
    </row>
    <row r="61">
      <c r="A61" s="57" t="inlineStr">
        <is>
          <t>25091703</t>
        </is>
      </c>
      <c r="B61" s="57" t="inlineStr">
        <is>
          <t>Scentre Group Marion Superscreen (D10396) Test and Cert</t>
        </is>
      </c>
      <c r="C61" s="50">
        <f>SUMIFS(tbl_WIP[Amount],tbl_WIP[Job Number],$A61,tbl_WIP[Month],"&lt;&gt;",tbl_WIP[Month],"&lt;"&amp;$C$4)+SUMIF('Deferred Revenue'!$E$6:$E$579,$A61,'Deferred Revenue'!$P$6:$P$579)</f>
        <v/>
      </c>
      <c r="D61" s="50">
        <f>SUMIFS(tbl_WIP[Amount],tbl_WIP[Job Number],$A61,tbl_WIP[Month],$C$4)+SUMIF('Deferred Revenue'!$E$6:$E$579,$A61,'Deferred Revenue'!$Q$6:$Q$579)</f>
        <v/>
      </c>
      <c r="E61" s="50">
        <f>C61+D61</f>
        <v/>
      </c>
      <c r="F61" s="49">
        <f>IF(ROUND(C61,2)+ROUND(D61,2)=0,"","yes")</f>
        <v/>
      </c>
      <c r="G61" s="58" t="n"/>
      <c r="H61" s="50">
        <f>IF($G61="","",$E61-$G61)</f>
        <v/>
      </c>
    </row>
    <row r="62">
      <c r="A62" s="57" t="inlineStr">
        <is>
          <t>25101301</t>
        </is>
      </c>
      <c r="B62" s="57" t="inlineStr">
        <is>
          <t>PWC IT Support – Melbourne</t>
        </is>
      </c>
      <c r="C62" s="50">
        <f>SUMIFS(tbl_WIP[Amount],tbl_WIP[Job Number],$A62,tbl_WIP[Month],"&lt;&gt;",tbl_WIP[Month],"&lt;"&amp;$C$4)+SUMIF('Deferred Revenue'!$E$6:$E$579,$A62,'Deferred Revenue'!$P$6:$P$579)</f>
        <v/>
      </c>
      <c r="D62" s="50">
        <f>SUMIFS(tbl_WIP[Amount],tbl_WIP[Job Number],$A62,tbl_WIP[Month],$C$4)+SUMIF('Deferred Revenue'!$E$6:$E$579,$A62,'Deferred Revenue'!$Q$6:$Q$579)</f>
        <v/>
      </c>
      <c r="E62" s="50">
        <f>C62+D62</f>
        <v/>
      </c>
      <c r="F62" s="49">
        <f>IF(ROUND(C62,2)+ROUND(D62,2)=0,"","yes")</f>
        <v/>
      </c>
      <c r="G62" s="58" t="n"/>
      <c r="H62" s="50">
        <f>IF($G62="","",$E62-$G62)</f>
        <v/>
      </c>
    </row>
    <row r="63">
      <c r="A63" s="57" t="inlineStr">
        <is>
          <t>25101301B</t>
        </is>
      </c>
      <c r="B63" s="57" t="inlineStr">
        <is>
          <t>PWC IT Support – Sydney</t>
        </is>
      </c>
      <c r="C63" s="50">
        <f>SUMIFS(tbl_WIP[Amount],tbl_WIP[Job Number],$A63,tbl_WIP[Month],"&lt;&gt;",tbl_WIP[Month],"&lt;"&amp;$C$4)+SUMIF('Deferred Revenue'!$E$6:$E$579,$A63,'Deferred Revenue'!$P$6:$P$579)</f>
        <v/>
      </c>
      <c r="D63" s="50">
        <f>SUMIFS(tbl_WIP[Amount],tbl_WIP[Job Number],$A63,tbl_WIP[Month],$C$4)+SUMIF('Deferred Revenue'!$E$6:$E$579,$A63,'Deferred Revenue'!$Q$6:$Q$579)</f>
        <v/>
      </c>
      <c r="E63" s="50">
        <f>C63+D63</f>
        <v/>
      </c>
      <c r="F63" s="49">
        <f>IF(ROUND(C63,2)+ROUND(D63,2)=0,"","yes")</f>
        <v/>
      </c>
      <c r="G63" s="58" t="n"/>
      <c r="H63" s="50">
        <f>IF($G63="","",$E63-$G63)</f>
        <v/>
      </c>
    </row>
    <row r="64">
      <c r="A64" s="57" t="inlineStr">
        <is>
          <t>2510202</t>
        </is>
      </c>
      <c r="B64" s="57" t="inlineStr">
        <is>
          <t>HP Poly Room Assessment</t>
        </is>
      </c>
      <c r="C64" s="50">
        <f>SUMIFS(tbl_WIP[Amount],tbl_WIP[Job Number],$A64,tbl_WIP[Month],"&lt;&gt;",tbl_WIP[Month],"&lt;"&amp;$C$4)+SUMIF('Deferred Revenue'!$E$6:$E$579,$A64,'Deferred Revenue'!$P$6:$P$579)</f>
        <v/>
      </c>
      <c r="D64" s="50">
        <f>SUMIFS(tbl_WIP[Amount],tbl_WIP[Job Number],$A64,tbl_WIP[Month],$C$4)+SUMIF('Deferred Revenue'!$E$6:$E$579,$A64,'Deferred Revenue'!$Q$6:$Q$579)</f>
        <v/>
      </c>
      <c r="E64" s="50">
        <f>C64+D64</f>
        <v/>
      </c>
      <c r="F64" s="49">
        <f>IF(ROUND(C64,2)+ROUND(D64,2)=0,"","yes")</f>
        <v/>
      </c>
      <c r="G64" s="58" t="n"/>
      <c r="H64" s="50">
        <f>IF($G64="","",$E64-$G64)</f>
        <v/>
      </c>
    </row>
    <row r="65">
      <c r="A65" s="57" t="inlineStr">
        <is>
          <t>2510205</t>
        </is>
      </c>
      <c r="B65" s="57" t="inlineStr">
        <is>
          <t>NSW Property RGB Desk Booking</t>
        </is>
      </c>
      <c r="C65" s="50">
        <f>SUMIFS(tbl_WIP[Amount],tbl_WIP[Job Number],$A65,tbl_WIP[Month],"&lt;&gt;",tbl_WIP[Month],"&lt;"&amp;$C$4)+SUMIF('Deferred Revenue'!$E$6:$E$579,$A65,'Deferred Revenue'!$P$6:$P$579)</f>
        <v/>
      </c>
      <c r="D65" s="50">
        <f>SUMIFS(tbl_WIP[Amount],tbl_WIP[Job Number],$A65,tbl_WIP[Month],$C$4)+SUMIF('Deferred Revenue'!$E$6:$E$579,$A65,'Deferred Revenue'!$Q$6:$Q$579)</f>
        <v/>
      </c>
      <c r="E65" s="50">
        <f>C65+D65</f>
        <v/>
      </c>
      <c r="F65" s="49">
        <f>IF(ROUND(C65,2)+ROUND(D65,2)=0,"","yes")</f>
        <v/>
      </c>
      <c r="G65" s="58" t="n"/>
      <c r="H65" s="50">
        <f>IF($G65="","",$E65-$G65)</f>
        <v/>
      </c>
    </row>
    <row r="66">
      <c r="A66" s="57" t="inlineStr">
        <is>
          <t>2510210</t>
        </is>
      </c>
      <c r="B66" s="57" t="inlineStr">
        <is>
          <t>Scentre Group Westfield Bondi Screen Tests</t>
        </is>
      </c>
      <c r="C66" s="50">
        <f>SUMIFS(tbl_WIP[Amount],tbl_WIP[Job Number],$A66,tbl_WIP[Month],"&lt;&gt;",tbl_WIP[Month],"&lt;"&amp;$C$4)+SUMIF('Deferred Revenue'!$E$6:$E$579,$A66,'Deferred Revenue'!$P$6:$P$579)</f>
        <v/>
      </c>
      <c r="D66" s="50">
        <f>SUMIFS(tbl_WIP[Amount],tbl_WIP[Job Number],$A66,tbl_WIP[Month],$C$4)+SUMIF('Deferred Revenue'!$E$6:$E$579,$A66,'Deferred Revenue'!$Q$6:$Q$579)</f>
        <v/>
      </c>
      <c r="E66" s="50">
        <f>C66+D66</f>
        <v/>
      </c>
      <c r="F66" s="49">
        <f>IF(ROUND(C66,2)+ROUND(D66,2)=0,"","yes")</f>
        <v/>
      </c>
      <c r="G66" s="58" t="n"/>
      <c r="H66" s="50">
        <f>IF($G66="","",$E66-$G66)</f>
        <v/>
      </c>
    </row>
    <row r="67">
      <c r="A67" s="57" t="inlineStr">
        <is>
          <t>25102701</t>
        </is>
      </c>
      <c r="B67" s="57" t="inlineStr">
        <is>
          <t>DEWR - Studio Upgrade - Consulting, Design</t>
        </is>
      </c>
      <c r="C67" s="50">
        <f>SUMIFS(tbl_WIP[Amount],tbl_WIP[Job Number],$A67,tbl_WIP[Month],"&lt;&gt;",tbl_WIP[Month],"&lt;"&amp;$C$4)+SUMIF('Deferred Revenue'!$E$6:$E$579,$A67,'Deferred Revenue'!$P$6:$P$579)</f>
        <v/>
      </c>
      <c r="D67" s="50">
        <f>SUMIFS(tbl_WIP[Amount],tbl_WIP[Job Number],$A67,tbl_WIP[Month],$C$4)+SUMIF('Deferred Revenue'!$E$6:$E$579,$A67,'Deferred Revenue'!$Q$6:$Q$579)</f>
        <v/>
      </c>
      <c r="E67" s="50">
        <f>C67+D67</f>
        <v/>
      </c>
      <c r="F67" s="49">
        <f>IF(ROUND(C67,2)+ROUND(D67,2)=0,"","yes")</f>
        <v/>
      </c>
      <c r="G67" s="58" t="n"/>
      <c r="H67" s="50">
        <f>IF($G67="","",$E67-$G67)</f>
        <v/>
      </c>
    </row>
    <row r="68">
      <c r="A68" s="57" t="inlineStr">
        <is>
          <t>25102801</t>
        </is>
      </c>
      <c r="B68" s="57" t="inlineStr">
        <is>
          <t>DTTL SYD QQT Additional Mics Install in L45 Seminar Space</t>
        </is>
      </c>
      <c r="C68" s="50">
        <f>SUMIFS(tbl_WIP[Amount],tbl_WIP[Job Number],$A68,tbl_WIP[Month],"&lt;&gt;",tbl_WIP[Month],"&lt;"&amp;$C$4)+SUMIF('Deferred Revenue'!$E$6:$E$579,$A68,'Deferred Revenue'!$P$6:$P$579)</f>
        <v/>
      </c>
      <c r="D68" s="50">
        <f>SUMIFS(tbl_WIP[Amount],tbl_WIP[Job Number],$A68,tbl_WIP[Month],$C$4)+SUMIF('Deferred Revenue'!$E$6:$E$579,$A68,'Deferred Revenue'!$Q$6:$Q$579)</f>
        <v/>
      </c>
      <c r="E68" s="50">
        <f>C68+D68</f>
        <v/>
      </c>
      <c r="F68" s="49">
        <f>IF(ROUND(C68,2)+ROUND(D68,2)=0,"","yes")</f>
        <v/>
      </c>
      <c r="G68" s="58" t="n"/>
      <c r="H68" s="50">
        <f>IF($G68="","",$E68-$G68)</f>
        <v/>
      </c>
    </row>
    <row r="69">
      <c r="A69" s="57" t="inlineStr">
        <is>
          <t>25102802</t>
        </is>
      </c>
      <c r="B69" s="57" t="inlineStr">
        <is>
          <t>Novigi Meeting Space Inspection</t>
        </is>
      </c>
      <c r="C69" s="50">
        <f>SUMIFS(tbl_WIP[Amount],tbl_WIP[Job Number],$A69,tbl_WIP[Month],"&lt;&gt;",tbl_WIP[Month],"&lt;"&amp;$C$4)+SUMIF('Deferred Revenue'!$E$6:$E$579,$A69,'Deferred Revenue'!$P$6:$P$579)</f>
        <v/>
      </c>
      <c r="D69" s="50">
        <f>SUMIFS(tbl_WIP[Amount],tbl_WIP[Job Number],$A69,tbl_WIP[Month],$C$4)+SUMIF('Deferred Revenue'!$E$6:$E$579,$A69,'Deferred Revenue'!$Q$6:$Q$579)</f>
        <v/>
      </c>
      <c r="E69" s="50">
        <f>C69+D69</f>
        <v/>
      </c>
      <c r="F69" s="49">
        <f>IF(ROUND(C69,2)+ROUND(D69,2)=0,"","yes")</f>
        <v/>
      </c>
      <c r="G69" s="58" t="n"/>
      <c r="H69" s="50">
        <f>IF($G69="","",$E69-$G69)</f>
        <v/>
      </c>
    </row>
    <row r="70">
      <c r="A70" s="57" t="inlineStr">
        <is>
          <t>2510804</t>
        </is>
      </c>
      <c r="B70" s="57" t="inlineStr">
        <is>
          <t>CommSecurity Presynct QLD Desk Booking</t>
        </is>
      </c>
      <c r="C70" s="50">
        <f>SUMIFS(tbl_WIP[Amount],tbl_WIP[Job Number],$A70,tbl_WIP[Month],"&lt;&gt;",tbl_WIP[Month],"&lt;"&amp;$C$4)+SUMIF('Deferred Revenue'!$E$6:$E$579,$A70,'Deferred Revenue'!$P$6:$P$579)</f>
        <v/>
      </c>
      <c r="D70" s="50">
        <f>SUMIFS(tbl_WIP[Amount],tbl_WIP[Job Number],$A70,tbl_WIP[Month],$C$4)+SUMIF('Deferred Revenue'!$E$6:$E$579,$A70,'Deferred Revenue'!$Q$6:$Q$579)</f>
        <v/>
      </c>
      <c r="E70" s="50">
        <f>C70+D70</f>
        <v/>
      </c>
      <c r="F70" s="49">
        <f>IF(ROUND(C70,2)+ROUND(D70,2)=0,"","yes")</f>
        <v/>
      </c>
      <c r="G70" s="58" t="n"/>
      <c r="H70" s="50">
        <f>IF($G70="","",$E70-$G70)</f>
        <v/>
      </c>
    </row>
    <row r="71">
      <c r="A71" s="57" t="inlineStr">
        <is>
          <t>2510805</t>
        </is>
      </c>
      <c r="B71" s="57" t="inlineStr">
        <is>
          <t>PNSW Reconstruction Authority Newcastle</t>
        </is>
      </c>
      <c r="C71" s="50">
        <f>SUMIFS(tbl_WIP[Amount],tbl_WIP[Job Number],$A71,tbl_WIP[Month],"&lt;&gt;",tbl_WIP[Month],"&lt;"&amp;$C$4)+SUMIF('Deferred Revenue'!$E$6:$E$579,$A71,'Deferred Revenue'!$P$6:$P$579)</f>
        <v/>
      </c>
      <c r="D71" s="50">
        <f>SUMIFS(tbl_WIP[Amount],tbl_WIP[Job Number],$A71,tbl_WIP[Month],$C$4)+SUMIF('Deferred Revenue'!$E$6:$E$579,$A71,'Deferred Revenue'!$Q$6:$Q$579)</f>
        <v/>
      </c>
      <c r="E71" s="50">
        <f>C71+D71</f>
        <v/>
      </c>
      <c r="F71" s="49">
        <f>IF(ROUND(C71,2)+ROUND(D71,2)=0,"","yes")</f>
        <v/>
      </c>
      <c r="G71" s="58" t="n"/>
      <c r="H71" s="50">
        <f>IF($G71="","",$E71-$G71)</f>
        <v/>
      </c>
    </row>
    <row r="72">
      <c r="A72" s="57" t="inlineStr">
        <is>
          <t>25111203</t>
        </is>
      </c>
      <c r="B72" s="57" t="inlineStr">
        <is>
          <t>CoS | Barco E3 Sale</t>
        </is>
      </c>
      <c r="C72" s="50">
        <f>SUMIFS(tbl_WIP[Amount],tbl_WIP[Job Number],$A72,tbl_WIP[Month],"&lt;&gt;",tbl_WIP[Month],"&lt;"&amp;$C$4)+SUMIF('Deferred Revenue'!$E$6:$E$579,$A72,'Deferred Revenue'!$P$6:$P$579)</f>
        <v/>
      </c>
      <c r="D72" s="50">
        <f>SUMIFS(tbl_WIP[Amount],tbl_WIP[Job Number],$A72,tbl_WIP[Month],$C$4)+SUMIF('Deferred Revenue'!$E$6:$E$579,$A72,'Deferred Revenue'!$Q$6:$Q$579)</f>
        <v/>
      </c>
      <c r="E72" s="50">
        <f>C72+D72</f>
        <v/>
      </c>
      <c r="F72" s="49">
        <f>IF(ROUND(C72,2)+ROUND(D72,2)=0,"","yes")</f>
        <v/>
      </c>
      <c r="G72" s="58" t="n"/>
      <c r="H72" s="50">
        <f>IF($G72="","",$E72-$G72)</f>
        <v/>
      </c>
    </row>
    <row r="73">
      <c r="A73" s="57" t="inlineStr">
        <is>
          <t>25112801</t>
        </is>
      </c>
      <c r="B73" s="57" t="inlineStr">
        <is>
          <t>APA MEL - iPad &amp; Bouncepad Sale</t>
        </is>
      </c>
      <c r="C73" s="50">
        <f>SUMIFS(tbl_WIP[Amount],tbl_WIP[Job Number],$A73,tbl_WIP[Month],"&lt;&gt;",tbl_WIP[Month],"&lt;"&amp;$C$4)+SUMIF('Deferred Revenue'!$E$6:$E$579,$A73,'Deferred Revenue'!$P$6:$P$579)</f>
        <v/>
      </c>
      <c r="D73" s="50">
        <f>SUMIFS(tbl_WIP[Amount],tbl_WIP[Job Number],$A73,tbl_WIP[Month],$C$4)+SUMIF('Deferred Revenue'!$E$6:$E$579,$A73,'Deferred Revenue'!$Q$6:$Q$579)</f>
        <v/>
      </c>
      <c r="E73" s="50">
        <f>C73+D73</f>
        <v/>
      </c>
      <c r="F73" s="49">
        <f>IF(ROUND(C73,2)+ROUND(D73,2)=0,"","yes")</f>
        <v/>
      </c>
      <c r="G73" s="58" t="n"/>
      <c r="H73" s="50">
        <f>IF($G73="","",$E73-$G73)</f>
        <v/>
      </c>
    </row>
    <row r="74">
      <c r="A74" s="57" t="inlineStr">
        <is>
          <t>25121001</t>
        </is>
      </c>
      <c r="B74" s="57" t="inlineStr">
        <is>
          <t>HP Poly Mic System Sale and Install at Mission Australia</t>
        </is>
      </c>
      <c r="C74" s="50">
        <f>SUMIFS(tbl_WIP[Amount],tbl_WIP[Job Number],$A74,tbl_WIP[Month],"&lt;&gt;",tbl_WIP[Month],"&lt;"&amp;$C$4)+SUMIF('Deferred Revenue'!$E$6:$E$579,$A74,'Deferred Revenue'!$P$6:$P$579)</f>
        <v/>
      </c>
      <c r="D74" s="50">
        <f>SUMIFS(tbl_WIP[Amount],tbl_WIP[Job Number],$A74,tbl_WIP[Month],$C$4)+SUMIF('Deferred Revenue'!$E$6:$E$579,$A74,'Deferred Revenue'!$Q$6:$Q$579)</f>
        <v/>
      </c>
      <c r="E74" s="50">
        <f>C74+D74</f>
        <v/>
      </c>
      <c r="F74" s="49">
        <f>IF(ROUND(C74,2)+ROUND(D74,2)=0,"","yes")</f>
        <v/>
      </c>
      <c r="G74" s="58" t="n"/>
      <c r="H74" s="50">
        <f>IF($G74="","",$E74-$G74)</f>
        <v/>
      </c>
    </row>
    <row r="75">
      <c r="A75" s="57" t="inlineStr">
        <is>
          <t>25121007</t>
        </is>
      </c>
      <c r="B75" s="57" t="inlineStr">
        <is>
          <t>Novigi SYD/MEL boardroom Mic upgrade + Cable Tidy</t>
        </is>
      </c>
      <c r="C75" s="50">
        <f>SUMIFS(tbl_WIP[Amount],tbl_WIP[Job Number],$A75,tbl_WIP[Month],"&lt;&gt;",tbl_WIP[Month],"&lt;"&amp;$C$4)+SUMIF('Deferred Revenue'!$E$6:$E$579,$A75,'Deferred Revenue'!$P$6:$P$579)</f>
        <v/>
      </c>
      <c r="D75" s="50">
        <f>SUMIFS(tbl_WIP[Amount],tbl_WIP[Job Number],$A75,tbl_WIP[Month],$C$4)+SUMIF('Deferred Revenue'!$E$6:$E$579,$A75,'Deferred Revenue'!$Q$6:$Q$579)</f>
        <v/>
      </c>
      <c r="E75" s="50">
        <f>C75+D75</f>
        <v/>
      </c>
      <c r="F75" s="49">
        <f>IF(ROUND(C75,2)+ROUND(D75,2)=0,"","yes")</f>
        <v/>
      </c>
      <c r="G75" s="58" t="n"/>
      <c r="H75" s="50">
        <f>IF($G75="","",$E75-$G75)</f>
        <v/>
      </c>
    </row>
    <row r="76">
      <c r="A76" s="57" t="inlineStr">
        <is>
          <t>25121208</t>
        </is>
      </c>
      <c r="B76" s="57" t="inlineStr">
        <is>
          <t>APA HYR &amp; FYR Package 2026</t>
        </is>
      </c>
      <c r="C76" s="50">
        <f>SUMIFS(tbl_WIP[Amount],tbl_WIP[Job Number],$A76,tbl_WIP[Month],"&lt;&gt;",tbl_WIP[Month],"&lt;"&amp;$C$4)+SUMIF('Deferred Revenue'!$E$6:$E$579,$A76,'Deferred Revenue'!$P$6:$P$579)</f>
        <v/>
      </c>
      <c r="D76" s="50">
        <f>SUMIFS(tbl_WIP[Amount],tbl_WIP[Job Number],$A76,tbl_WIP[Month],$C$4)+SUMIF('Deferred Revenue'!$E$6:$E$579,$A76,'Deferred Revenue'!$Q$6:$Q$579)</f>
        <v/>
      </c>
      <c r="E76" s="50">
        <f>C76+D76</f>
        <v/>
      </c>
      <c r="F76" s="49">
        <f>IF(ROUND(C76,2)+ROUND(D76,2)=0,"","yes")</f>
        <v/>
      </c>
      <c r="G76" s="58" t="n"/>
      <c r="H76" s="50">
        <f>IF($G76="","",$E76-$G76)</f>
        <v/>
      </c>
    </row>
    <row r="77">
      <c r="A77" s="57" t="inlineStr">
        <is>
          <t>2512503</t>
        </is>
      </c>
      <c r="B77" s="57" t="inlineStr">
        <is>
          <t>Ventia EOY Town Hall 10.12.2025</t>
        </is>
      </c>
      <c r="C77" s="50">
        <f>SUMIFS(tbl_WIP[Amount],tbl_WIP[Job Number],$A77,tbl_WIP[Month],"&lt;&gt;",tbl_WIP[Month],"&lt;"&amp;$C$4)+SUMIF('Deferred Revenue'!$E$6:$E$579,$A77,'Deferred Revenue'!$P$6:$P$579)</f>
        <v/>
      </c>
      <c r="D77" s="50">
        <f>SUMIFS(tbl_WIP[Amount],tbl_WIP[Job Number],$A77,tbl_WIP[Month],$C$4)+SUMIF('Deferred Revenue'!$E$6:$E$579,$A77,'Deferred Revenue'!$Q$6:$Q$579)</f>
        <v/>
      </c>
      <c r="E77" s="50">
        <f>C77+D77</f>
        <v/>
      </c>
      <c r="F77" s="49">
        <f>IF(ROUND(C77,2)+ROUND(D77,2)=0,"","yes")</f>
        <v/>
      </c>
      <c r="G77" s="58" t="n"/>
      <c r="H77" s="50">
        <f>IF($G77="","",$E77-$G77)</f>
        <v/>
      </c>
    </row>
    <row r="78">
      <c r="A78" s="57" t="inlineStr">
        <is>
          <t>2512503V</t>
        </is>
      </c>
      <c r="B78" s="57" t="inlineStr">
        <is>
          <t>Ventia EOY Town Hall 10.12.2025</t>
        </is>
      </c>
      <c r="C78" s="50">
        <f>SUMIFS(tbl_WIP[Amount],tbl_WIP[Job Number],$A78,tbl_WIP[Month],"&lt;&gt;",tbl_WIP[Month],"&lt;"&amp;$C$4)+SUMIF('Deferred Revenue'!$E$6:$E$579,$A78,'Deferred Revenue'!$P$6:$P$579)</f>
        <v/>
      </c>
      <c r="D78" s="50">
        <f>SUMIFS(tbl_WIP[Amount],tbl_WIP[Job Number],$A78,tbl_WIP[Month],$C$4)+SUMIF('Deferred Revenue'!$E$6:$E$579,$A78,'Deferred Revenue'!$Q$6:$Q$579)</f>
        <v/>
      </c>
      <c r="E78" s="50">
        <f>C78+D78</f>
        <v/>
      </c>
      <c r="F78" s="49">
        <f>IF(ROUND(C78,2)+ROUND(D78,2)=0,"","yes")</f>
        <v/>
      </c>
      <c r="G78" s="58" t="n"/>
      <c r="H78" s="50">
        <f>IF($G78="","",$E78-$G78)</f>
        <v/>
      </c>
    </row>
    <row r="79">
      <c r="A79" s="57" t="inlineStr">
        <is>
          <t>2512804</t>
        </is>
      </c>
      <c r="B79" s="57" t="inlineStr">
        <is>
          <t>RSNSW Ordinary General Meeting 5.8.26</t>
        </is>
      </c>
      <c r="C79" s="50">
        <f>SUMIFS(tbl_WIP[Amount],tbl_WIP[Job Number],$A79,tbl_WIP[Month],"&lt;&gt;",tbl_WIP[Month],"&lt;"&amp;$C$4)+SUMIF('Deferred Revenue'!$E$6:$E$579,$A79,'Deferred Revenue'!$P$6:$P$579)</f>
        <v/>
      </c>
      <c r="D79" s="50">
        <f>SUMIFS(tbl_WIP[Amount],tbl_WIP[Job Number],$A79,tbl_WIP[Month],$C$4)+SUMIF('Deferred Revenue'!$E$6:$E$579,$A79,'Deferred Revenue'!$Q$6:$Q$579)</f>
        <v/>
      </c>
      <c r="E79" s="50">
        <f>C79+D79</f>
        <v/>
      </c>
      <c r="F79" s="49">
        <f>IF(ROUND(C79,2)+ROUND(D79,2)=0,"","yes")</f>
        <v/>
      </c>
      <c r="G79" s="58" t="n"/>
      <c r="H79" s="50">
        <f>IF($G79="","",$E79-$G79)</f>
        <v/>
      </c>
    </row>
    <row r="80">
      <c r="A80" s="57" t="inlineStr">
        <is>
          <t>2512804V</t>
        </is>
      </c>
      <c r="B80" s="57" t="inlineStr">
        <is>
          <t>RSNSW Ordinary General Meeting 5.8.26</t>
        </is>
      </c>
      <c r="C80" s="50">
        <f>SUMIFS(tbl_WIP[Amount],tbl_WIP[Job Number],$A80,tbl_WIP[Month],"&lt;&gt;",tbl_WIP[Month],"&lt;"&amp;$C$4)+SUMIF('Deferred Revenue'!$E$6:$E$579,$A80,'Deferred Revenue'!$P$6:$P$579)</f>
        <v/>
      </c>
      <c r="D80" s="50">
        <f>SUMIFS(tbl_WIP[Amount],tbl_WIP[Job Number],$A80,tbl_WIP[Month],$C$4)+SUMIF('Deferred Revenue'!$E$6:$E$579,$A80,'Deferred Revenue'!$Q$6:$Q$579)</f>
        <v/>
      </c>
      <c r="E80" s="50">
        <f>C80+D80</f>
        <v/>
      </c>
      <c r="F80" s="49">
        <f>IF(ROUND(C80,2)+ROUND(D80,2)=0,"","yes")</f>
        <v/>
      </c>
      <c r="G80" s="58" t="n"/>
      <c r="H80" s="50">
        <f>IF($G80="","",$E80-$G80)</f>
        <v/>
      </c>
    </row>
    <row r="81">
      <c r="A81" s="57" t="inlineStr">
        <is>
          <t>2512805</t>
        </is>
      </c>
      <c r="B81" s="57" t="inlineStr">
        <is>
          <t>RSNSW Ordinary General Meeting 7.10.2026</t>
        </is>
      </c>
      <c r="C81" s="50">
        <f>SUMIFS(tbl_WIP[Amount],tbl_WIP[Job Number],$A81,tbl_WIP[Month],"&lt;&gt;",tbl_WIP[Month],"&lt;"&amp;$C$4)+SUMIF('Deferred Revenue'!$E$6:$E$579,$A81,'Deferred Revenue'!$P$6:$P$579)</f>
        <v/>
      </c>
      <c r="D81" s="50">
        <f>SUMIFS(tbl_WIP[Amount],tbl_WIP[Job Number],$A81,tbl_WIP[Month],$C$4)+SUMIF('Deferred Revenue'!$E$6:$E$579,$A81,'Deferred Revenue'!$Q$6:$Q$579)</f>
        <v/>
      </c>
      <c r="E81" s="50">
        <f>C81+D81</f>
        <v/>
      </c>
      <c r="F81" s="49">
        <f>IF(ROUND(C81,2)+ROUND(D81,2)=0,"","yes")</f>
        <v/>
      </c>
      <c r="G81" s="58" t="n"/>
      <c r="H81" s="50">
        <f>IF($G81="","",$E81-$G81)</f>
        <v/>
      </c>
    </row>
    <row r="82">
      <c r="A82" s="57" t="inlineStr">
        <is>
          <t>2512805V</t>
        </is>
      </c>
      <c r="B82" s="57" t="inlineStr">
        <is>
          <t>RSNSW Ordinary General Meeting 7.10.2026</t>
        </is>
      </c>
      <c r="C82" s="50">
        <f>SUMIFS(tbl_WIP[Amount],tbl_WIP[Job Number],$A82,tbl_WIP[Month],"&lt;&gt;",tbl_WIP[Month],"&lt;"&amp;$C$4)+SUMIF('Deferred Revenue'!$E$6:$E$579,$A82,'Deferred Revenue'!$P$6:$P$579)</f>
        <v/>
      </c>
      <c r="D82" s="50">
        <f>SUMIFS(tbl_WIP[Amount],tbl_WIP[Job Number],$A82,tbl_WIP[Month],$C$4)+SUMIF('Deferred Revenue'!$E$6:$E$579,$A82,'Deferred Revenue'!$Q$6:$Q$579)</f>
        <v/>
      </c>
      <c r="E82" s="50">
        <f>C82+D82</f>
        <v/>
      </c>
      <c r="F82" s="49">
        <f>IF(ROUND(C82,2)+ROUND(D82,2)=0,"","yes")</f>
        <v/>
      </c>
      <c r="G82" s="58" t="n"/>
      <c r="H82" s="50">
        <f>IF($G82="","",$E82-$G82)</f>
        <v/>
      </c>
    </row>
    <row r="83">
      <c r="A83" s="57" t="inlineStr">
        <is>
          <t>2512806</t>
        </is>
      </c>
      <c r="B83" s="57" t="inlineStr">
        <is>
          <t>RSNSW Ordinary General Meeting 2.12.26</t>
        </is>
      </c>
      <c r="C83" s="50">
        <f>SUMIFS(tbl_WIP[Amount],tbl_WIP[Job Number],$A83,tbl_WIP[Month],"&lt;&gt;",tbl_WIP[Month],"&lt;"&amp;$C$4)+SUMIF('Deferred Revenue'!$E$6:$E$579,$A83,'Deferred Revenue'!$P$6:$P$579)</f>
        <v/>
      </c>
      <c r="D83" s="50">
        <f>SUMIFS(tbl_WIP[Amount],tbl_WIP[Job Number],$A83,tbl_WIP[Month],$C$4)+SUMIF('Deferred Revenue'!$E$6:$E$579,$A83,'Deferred Revenue'!$Q$6:$Q$579)</f>
        <v/>
      </c>
      <c r="E83" s="50">
        <f>C83+D83</f>
        <v/>
      </c>
      <c r="F83" s="49">
        <f>IF(ROUND(C83,2)+ROUND(D83,2)=0,"","yes")</f>
        <v/>
      </c>
      <c r="G83" s="58" t="n"/>
      <c r="H83" s="50">
        <f>IF($G83="","",$E83-$G83)</f>
        <v/>
      </c>
    </row>
    <row r="84">
      <c r="A84" s="57" t="inlineStr">
        <is>
          <t>2512806V</t>
        </is>
      </c>
      <c r="B84" s="57" t="inlineStr">
        <is>
          <t>RSNSW Ordinary General Meeting 2.12.26</t>
        </is>
      </c>
      <c r="C84" s="50">
        <f>SUMIFS(tbl_WIP[Amount],tbl_WIP[Job Number],$A84,tbl_WIP[Month],"&lt;&gt;",tbl_WIP[Month],"&lt;"&amp;$C$4)+SUMIF('Deferred Revenue'!$E$6:$E$579,$A84,'Deferred Revenue'!$P$6:$P$579)</f>
        <v/>
      </c>
      <c r="D84" s="50">
        <f>SUMIFS(tbl_WIP[Amount],tbl_WIP[Job Number],$A84,tbl_WIP[Month],$C$4)+SUMIF('Deferred Revenue'!$E$6:$E$579,$A84,'Deferred Revenue'!$Q$6:$Q$579)</f>
        <v/>
      </c>
      <c r="E84" s="50">
        <f>C84+D84</f>
        <v/>
      </c>
      <c r="F84" s="49">
        <f>IF(ROUND(C84,2)+ROUND(D84,2)=0,"","yes")</f>
        <v/>
      </c>
      <c r="G84" s="58" t="n"/>
      <c r="H84" s="50">
        <f>IF($G84="","",$E84-$G84)</f>
        <v/>
      </c>
    </row>
    <row r="85">
      <c r="A85" s="57" t="inlineStr">
        <is>
          <t>2519</t>
        </is>
      </c>
      <c r="B85" s="57" t="inlineStr">
        <is>
          <t>NSW Prop-6PSQ Visitor MG</t>
        </is>
      </c>
      <c r="C85" s="50">
        <f>SUMIFS(tbl_WIP[Amount],tbl_WIP[Job Number],$A85,tbl_WIP[Month],"&lt;&gt;",tbl_WIP[Month],"&lt;"&amp;$C$4)+SUMIF('Deferred Revenue'!$E$6:$E$579,$A85,'Deferred Revenue'!$P$6:$P$579)</f>
        <v/>
      </c>
      <c r="D85" s="50">
        <f>SUMIFS(tbl_WIP[Amount],tbl_WIP[Job Number],$A85,tbl_WIP[Month],$C$4)+SUMIF('Deferred Revenue'!$E$6:$E$579,$A85,'Deferred Revenue'!$Q$6:$Q$579)</f>
        <v/>
      </c>
      <c r="E85" s="50">
        <f>C85+D85</f>
        <v/>
      </c>
      <c r="F85" s="49">
        <f>IF(ROUND(C85,2)+ROUND(D85,2)=0,"","yes")</f>
        <v/>
      </c>
      <c r="G85" s="58" t="n"/>
      <c r="H85" s="50">
        <f>IF($G85="","",$E85-$G85)</f>
        <v/>
      </c>
    </row>
    <row r="86">
      <c r="A86" s="57" t="inlineStr">
        <is>
          <t>2521</t>
        </is>
      </c>
      <c r="B86" s="57" t="inlineStr">
        <is>
          <t>PWC - PER Tech</t>
        </is>
      </c>
      <c r="C86" s="50">
        <f>SUMIFS(tbl_WIP[Amount],tbl_WIP[Job Number],$A86,tbl_WIP[Month],"&lt;&gt;",tbl_WIP[Month],"&lt;"&amp;$C$4)+SUMIF('Deferred Revenue'!$E$6:$E$579,$A86,'Deferred Revenue'!$P$6:$P$579)</f>
        <v/>
      </c>
      <c r="D86" s="50">
        <f>SUMIFS(tbl_WIP[Amount],tbl_WIP[Job Number],$A86,tbl_WIP[Month],$C$4)+SUMIF('Deferred Revenue'!$E$6:$E$579,$A86,'Deferred Revenue'!$Q$6:$Q$579)</f>
        <v/>
      </c>
      <c r="E86" s="50">
        <f>C86+D86</f>
        <v/>
      </c>
      <c r="F86" s="49">
        <f>IF(ROUND(C86,2)+ROUND(D86,2)=0,"","yes")</f>
        <v/>
      </c>
      <c r="G86" s="58" t="n"/>
      <c r="H86" s="50">
        <f>IF($G86="","",$E86-$G86)</f>
        <v/>
      </c>
    </row>
    <row r="87">
      <c r="A87" s="57" t="inlineStr">
        <is>
          <t>2540</t>
        </is>
      </c>
      <c r="B87" s="57" t="inlineStr">
        <is>
          <t>PWC - SYD Tech</t>
        </is>
      </c>
      <c r="C87" s="50">
        <f>SUMIFS(tbl_WIP[Amount],tbl_WIP[Job Number],$A87,tbl_WIP[Month],"&lt;&gt;",tbl_WIP[Month],"&lt;"&amp;$C$4)+SUMIF('Deferred Revenue'!$E$6:$E$579,$A87,'Deferred Revenue'!$P$6:$P$579)</f>
        <v/>
      </c>
      <c r="D87" s="50">
        <f>SUMIFS(tbl_WIP[Amount],tbl_WIP[Job Number],$A87,tbl_WIP[Month],$C$4)+SUMIF('Deferred Revenue'!$E$6:$E$579,$A87,'Deferred Revenue'!$Q$6:$Q$579)</f>
        <v/>
      </c>
      <c r="E87" s="50">
        <f>C87+D87</f>
        <v/>
      </c>
      <c r="F87" s="49">
        <f>IF(ROUND(C87,2)+ROUND(D87,2)=0,"","yes")</f>
        <v/>
      </c>
      <c r="G87" s="58" t="n"/>
      <c r="H87" s="50">
        <f>IF($G87="","",$E87-$G87)</f>
        <v/>
      </c>
    </row>
    <row r="88">
      <c r="A88" s="57" t="inlineStr">
        <is>
          <t>2543</t>
        </is>
      </c>
      <c r="B88" s="57" t="inlineStr">
        <is>
          <t>DTTL MEL Tech (PT)</t>
        </is>
      </c>
      <c r="C88" s="50">
        <f>SUMIFS(tbl_WIP[Amount],tbl_WIP[Job Number],$A88,tbl_WIP[Month],"&lt;&gt;",tbl_WIP[Month],"&lt;"&amp;$C$4)+SUMIF('Deferred Revenue'!$E$6:$E$579,$A88,'Deferred Revenue'!$P$6:$P$579)</f>
        <v/>
      </c>
      <c r="D88" s="50">
        <f>SUMIFS(tbl_WIP[Amount],tbl_WIP[Job Number],$A88,tbl_WIP[Month],$C$4)+SUMIF('Deferred Revenue'!$E$6:$E$579,$A88,'Deferred Revenue'!$Q$6:$Q$579)</f>
        <v/>
      </c>
      <c r="E88" s="50">
        <f>C88+D88</f>
        <v/>
      </c>
      <c r="F88" s="49">
        <f>IF(ROUND(C88,2)+ROUND(D88,2)=0,"","yes")</f>
        <v/>
      </c>
      <c r="G88" s="58" t="n"/>
      <c r="H88" s="50">
        <f>IF($G88="","",$E88-$G88)</f>
        <v/>
      </c>
    </row>
    <row r="89">
      <c r="A89" s="57" t="inlineStr">
        <is>
          <t>2591012</t>
        </is>
      </c>
      <c r="B89" s="57" t="inlineStr">
        <is>
          <t>St. Luke's Non-chargeable</t>
        </is>
      </c>
      <c r="C89" s="50">
        <f>SUMIFS(tbl_WIP[Amount],tbl_WIP[Job Number],$A89,tbl_WIP[Month],"&lt;&gt;",tbl_WIP[Month],"&lt;"&amp;$C$4)+SUMIF('Deferred Revenue'!$E$6:$E$579,$A89,'Deferred Revenue'!$P$6:$P$579)</f>
        <v/>
      </c>
      <c r="D89" s="50">
        <f>SUMIFS(tbl_WIP[Amount],tbl_WIP[Job Number],$A89,tbl_WIP[Month],$C$4)+SUMIF('Deferred Revenue'!$E$6:$E$579,$A89,'Deferred Revenue'!$Q$6:$Q$579)</f>
        <v/>
      </c>
      <c r="E89" s="50">
        <f>C89+D89</f>
        <v/>
      </c>
      <c r="F89" s="49">
        <f>IF(ROUND(C89,2)+ROUND(D89,2)=0,"","yes")</f>
        <v/>
      </c>
      <c r="G89" s="58" t="n"/>
      <c r="H89" s="50">
        <f>IF($G89="","",$E89-$G89)</f>
        <v/>
      </c>
    </row>
    <row r="90">
      <c r="A90" s="57" t="inlineStr">
        <is>
          <t>2591012C</t>
        </is>
      </c>
      <c r="B90" s="57" t="inlineStr">
        <is>
          <t>St. Luke's Church</t>
        </is>
      </c>
      <c r="C90" s="50">
        <f>SUMIFS(tbl_WIP[Amount],tbl_WIP[Job Number],$A90,tbl_WIP[Month],"&lt;&gt;",tbl_WIP[Month],"&lt;"&amp;$C$4)+SUMIF('Deferred Revenue'!$E$6:$E$579,$A90,'Deferred Revenue'!$P$6:$P$579)</f>
        <v/>
      </c>
      <c r="D90" s="50">
        <f>SUMIFS(tbl_WIP[Amount],tbl_WIP[Job Number],$A90,tbl_WIP[Month],$C$4)+SUMIF('Deferred Revenue'!$E$6:$E$579,$A90,'Deferred Revenue'!$Q$6:$Q$579)</f>
        <v/>
      </c>
      <c r="E90" s="50">
        <f>C90+D90</f>
        <v/>
      </c>
      <c r="F90" s="49">
        <f>IF(ROUND(C90,2)+ROUND(D90,2)=0,"","yes")</f>
        <v/>
      </c>
      <c r="G90" s="58" t="n"/>
      <c r="H90" s="50">
        <f>IF($G90="","",$E90-$G90)</f>
        <v/>
      </c>
    </row>
    <row r="91">
      <c r="A91" s="57" t="inlineStr">
        <is>
          <t>2593</t>
        </is>
      </c>
      <c r="B91" s="57" t="inlineStr">
        <is>
          <t>PWC CBR Technician</t>
        </is>
      </c>
      <c r="C91" s="50">
        <f>SUMIFS(tbl_WIP[Amount],tbl_WIP[Job Number],$A91,tbl_WIP[Month],"&lt;&gt;",tbl_WIP[Month],"&lt;"&amp;$C$4)+SUMIF('Deferred Revenue'!$E$6:$E$579,$A91,'Deferred Revenue'!$P$6:$P$579)</f>
        <v/>
      </c>
      <c r="D91" s="50">
        <f>SUMIFS(tbl_WIP[Amount],tbl_WIP[Job Number],$A91,tbl_WIP[Month],$C$4)+SUMIF('Deferred Revenue'!$E$6:$E$579,$A91,'Deferred Revenue'!$Q$6:$Q$579)</f>
        <v/>
      </c>
      <c r="E91" s="50">
        <f>C91+D91</f>
        <v/>
      </c>
      <c r="F91" s="49">
        <f>IF(ROUND(C91,2)+ROUND(D91,2)=0,"","yes")</f>
        <v/>
      </c>
      <c r="G91" s="58" t="n"/>
      <c r="H91" s="50">
        <f>IF($G91="","",$E91-$G91)</f>
        <v/>
      </c>
    </row>
    <row r="92">
      <c r="A92" s="57" t="inlineStr">
        <is>
          <t>2598</t>
        </is>
      </c>
      <c r="B92" s="57" t="inlineStr">
        <is>
          <t>DTTL WA Tech</t>
        </is>
      </c>
      <c r="C92" s="50">
        <f>SUMIFS(tbl_WIP[Amount],tbl_WIP[Job Number],$A92,tbl_WIP[Month],"&lt;&gt;",tbl_WIP[Month],"&lt;"&amp;$C$4)+SUMIF('Deferred Revenue'!$E$6:$E$579,$A92,'Deferred Revenue'!$P$6:$P$579)</f>
        <v/>
      </c>
      <c r="D92" s="50">
        <f>SUMIFS(tbl_WIP[Amount],tbl_WIP[Job Number],$A92,tbl_WIP[Month],$C$4)+SUMIF('Deferred Revenue'!$E$6:$E$579,$A92,'Deferred Revenue'!$Q$6:$Q$579)</f>
        <v/>
      </c>
      <c r="E92" s="50">
        <f>C92+D92</f>
        <v/>
      </c>
      <c r="F92" s="49">
        <f>IF(ROUND(C92,2)+ROUND(D92,2)=0,"","yes")</f>
        <v/>
      </c>
      <c r="G92" s="58" t="n"/>
      <c r="H92" s="50">
        <f>IF($G92="","",$E92-$G92)</f>
        <v/>
      </c>
    </row>
    <row r="93">
      <c r="A93" s="57" t="inlineStr">
        <is>
          <t>26011404</t>
        </is>
      </c>
      <c r="B93" s="57" t="inlineStr">
        <is>
          <t>ASX CEO Connect (Extended Results) 1.9.26</t>
        </is>
      </c>
      <c r="C93" s="50">
        <f>SUMIFS(tbl_WIP[Amount],tbl_WIP[Job Number],$A93,tbl_WIP[Month],"&lt;&gt;",tbl_WIP[Month],"&lt;"&amp;$C$4)+SUMIF('Deferred Revenue'!$E$6:$E$579,$A93,'Deferred Revenue'!$P$6:$P$579)</f>
        <v/>
      </c>
      <c r="D93" s="50">
        <f>SUMIFS(tbl_WIP[Amount],tbl_WIP[Job Number],$A93,tbl_WIP[Month],$C$4)+SUMIF('Deferred Revenue'!$E$6:$E$579,$A93,'Deferred Revenue'!$Q$6:$Q$579)</f>
        <v/>
      </c>
      <c r="E93" s="50">
        <f>C93+D93</f>
        <v/>
      </c>
      <c r="F93" s="49">
        <f>IF(ROUND(C93,2)+ROUND(D93,2)=0,"","yes")</f>
        <v/>
      </c>
      <c r="G93" s="58" t="n"/>
      <c r="H93" s="50">
        <f>IF($G93="","",$E93-$G93)</f>
        <v/>
      </c>
    </row>
    <row r="94">
      <c r="A94" s="57" t="inlineStr">
        <is>
          <t>26011404V</t>
        </is>
      </c>
      <c r="B94" s="57" t="inlineStr">
        <is>
          <t>ASX CEO Connect (Extended Results) 1.9.26</t>
        </is>
      </c>
      <c r="C94" s="50">
        <f>SUMIFS(tbl_WIP[Amount],tbl_WIP[Job Number],$A94,tbl_WIP[Month],"&lt;&gt;",tbl_WIP[Month],"&lt;"&amp;$C$4)+SUMIF('Deferred Revenue'!$E$6:$E$579,$A94,'Deferred Revenue'!$P$6:$P$579)</f>
        <v/>
      </c>
      <c r="D94" s="50">
        <f>SUMIFS(tbl_WIP[Amount],tbl_WIP[Job Number],$A94,tbl_WIP[Month],$C$4)+SUMIF('Deferred Revenue'!$E$6:$E$579,$A94,'Deferred Revenue'!$Q$6:$Q$579)</f>
        <v/>
      </c>
      <c r="E94" s="50">
        <f>C94+D94</f>
        <v/>
      </c>
      <c r="F94" s="49">
        <f>IF(ROUND(C94,2)+ROUND(D94,2)=0,"","yes")</f>
        <v/>
      </c>
      <c r="G94" s="58" t="n"/>
      <c r="H94" s="50">
        <f>IF($G94="","",$E94-$G94)</f>
        <v/>
      </c>
    </row>
    <row r="95">
      <c r="A95" s="57" t="inlineStr">
        <is>
          <t>26011407</t>
        </is>
      </c>
      <c r="B95" s="57" t="inlineStr">
        <is>
          <t>ASX CEO Connect 27.10.26</t>
        </is>
      </c>
      <c r="C95" s="50">
        <f>SUMIFS(tbl_WIP[Amount],tbl_WIP[Job Number],$A95,tbl_WIP[Month],"&lt;&gt;",tbl_WIP[Month],"&lt;"&amp;$C$4)+SUMIF('Deferred Revenue'!$E$6:$E$579,$A95,'Deferred Revenue'!$P$6:$P$579)</f>
        <v/>
      </c>
      <c r="D95" s="50">
        <f>SUMIFS(tbl_WIP[Amount],tbl_WIP[Job Number],$A95,tbl_WIP[Month],$C$4)+SUMIF('Deferred Revenue'!$E$6:$E$579,$A95,'Deferred Revenue'!$Q$6:$Q$579)</f>
        <v/>
      </c>
      <c r="E95" s="50">
        <f>C95+D95</f>
        <v/>
      </c>
      <c r="F95" s="49">
        <f>IF(ROUND(C95,2)+ROUND(D95,2)=0,"","yes")</f>
        <v/>
      </c>
      <c r="G95" s="58" t="n"/>
      <c r="H95" s="50">
        <f>IF($G95="","",$E95-$G95)</f>
        <v/>
      </c>
    </row>
    <row r="96">
      <c r="A96" s="57" t="inlineStr">
        <is>
          <t>26011407V</t>
        </is>
      </c>
      <c r="B96" s="57" t="inlineStr">
        <is>
          <t>ASX CEO Connect 27.10.26</t>
        </is>
      </c>
      <c r="C96" s="50">
        <f>SUMIFS(tbl_WIP[Amount],tbl_WIP[Job Number],$A96,tbl_WIP[Month],"&lt;&gt;",tbl_WIP[Month],"&lt;"&amp;$C$4)+SUMIF('Deferred Revenue'!$E$6:$E$579,$A96,'Deferred Revenue'!$P$6:$P$579)</f>
        <v/>
      </c>
      <c r="D96" s="50">
        <f>SUMIFS(tbl_WIP[Amount],tbl_WIP[Job Number],$A96,tbl_WIP[Month],$C$4)+SUMIF('Deferred Revenue'!$E$6:$E$579,$A96,'Deferred Revenue'!$Q$6:$Q$579)</f>
        <v/>
      </c>
      <c r="E96" s="50">
        <f>C96+D96</f>
        <v/>
      </c>
      <c r="F96" s="49">
        <f>IF(ROUND(C96,2)+ROUND(D96,2)=0,"","yes")</f>
        <v/>
      </c>
      <c r="G96" s="58" t="n"/>
      <c r="H96" s="50">
        <f>IF($G96="","",$E96-$G96)</f>
        <v/>
      </c>
    </row>
    <row r="97">
      <c r="A97" s="57" t="inlineStr">
        <is>
          <t>26011408</t>
        </is>
      </c>
      <c r="B97" s="57" t="inlineStr">
        <is>
          <t>ASX CEO Connect 1.12.26</t>
        </is>
      </c>
      <c r="C97" s="50">
        <f>SUMIFS(tbl_WIP[Amount],tbl_WIP[Job Number],$A97,tbl_WIP[Month],"&lt;&gt;",tbl_WIP[Month],"&lt;"&amp;$C$4)+SUMIF('Deferred Revenue'!$E$6:$E$579,$A97,'Deferred Revenue'!$P$6:$P$579)</f>
        <v/>
      </c>
      <c r="D97" s="50">
        <f>SUMIFS(tbl_WIP[Amount],tbl_WIP[Job Number],$A97,tbl_WIP[Month],$C$4)+SUMIF('Deferred Revenue'!$E$6:$E$579,$A97,'Deferred Revenue'!$Q$6:$Q$579)</f>
        <v/>
      </c>
      <c r="E97" s="50">
        <f>C97+D97</f>
        <v/>
      </c>
      <c r="F97" s="49">
        <f>IF(ROUND(C97,2)+ROUND(D97,2)=0,"","yes")</f>
        <v/>
      </c>
      <c r="G97" s="58" t="n"/>
      <c r="H97" s="50">
        <f>IF($G97="","",$E97-$G97)</f>
        <v/>
      </c>
    </row>
    <row r="98">
      <c r="A98" s="57" t="inlineStr">
        <is>
          <t>26011408V</t>
        </is>
      </c>
      <c r="B98" s="57" t="inlineStr">
        <is>
          <t>ASX CEO Connect 1.12.26</t>
        </is>
      </c>
      <c r="C98" s="50">
        <f>SUMIFS(tbl_WIP[Amount],tbl_WIP[Job Number],$A98,tbl_WIP[Month],"&lt;&gt;",tbl_WIP[Month],"&lt;"&amp;$C$4)+SUMIF('Deferred Revenue'!$E$6:$E$579,$A98,'Deferred Revenue'!$P$6:$P$579)</f>
        <v/>
      </c>
      <c r="D98" s="50">
        <f>SUMIFS(tbl_WIP[Amount],tbl_WIP[Job Number],$A98,tbl_WIP[Month],$C$4)+SUMIF('Deferred Revenue'!$E$6:$E$579,$A98,'Deferred Revenue'!$Q$6:$Q$579)</f>
        <v/>
      </c>
      <c r="E98" s="50">
        <f>C98+D98</f>
        <v/>
      </c>
      <c r="F98" s="49">
        <f>IF(ROUND(C98,2)+ROUND(D98,2)=0,"","yes")</f>
        <v/>
      </c>
      <c r="G98" s="58" t="n"/>
      <c r="H98" s="50">
        <f>IF($G98="","",$E98-$G98)</f>
        <v/>
      </c>
    </row>
    <row r="99">
      <c r="A99" s="57" t="inlineStr">
        <is>
          <t>26011409</t>
        </is>
      </c>
      <c r="B99" s="57" t="inlineStr">
        <is>
          <t>ASX Investor Days Sydney &amp; Melbourne 2026</t>
        </is>
      </c>
      <c r="C99" s="50">
        <f>SUMIFS(tbl_WIP[Amount],tbl_WIP[Job Number],$A99,tbl_WIP[Month],"&lt;&gt;",tbl_WIP[Month],"&lt;"&amp;$C$4)+SUMIF('Deferred Revenue'!$E$6:$E$579,$A99,'Deferred Revenue'!$P$6:$P$579)</f>
        <v/>
      </c>
      <c r="D99" s="50">
        <f>SUMIFS(tbl_WIP[Amount],tbl_WIP[Job Number],$A99,tbl_WIP[Month],$C$4)+SUMIF('Deferred Revenue'!$E$6:$E$579,$A99,'Deferred Revenue'!$Q$6:$Q$579)</f>
        <v/>
      </c>
      <c r="E99" s="50">
        <f>C99+D99</f>
        <v/>
      </c>
      <c r="F99" s="49">
        <f>IF(ROUND(C99,2)+ROUND(D99,2)=0,"","yes")</f>
        <v/>
      </c>
      <c r="G99" s="58" t="n"/>
      <c r="H99" s="50">
        <f>IF($G99="","",$E99-$G99)</f>
        <v/>
      </c>
    </row>
    <row r="100">
      <c r="A100" s="57" t="inlineStr">
        <is>
          <t>26011501</t>
        </is>
      </c>
      <c r="B100" s="57" t="inlineStr">
        <is>
          <t>ASX Refinitiv Charity Golf Classic H/L Vid 2026</t>
        </is>
      </c>
      <c r="C100" s="50">
        <f>SUMIFS(tbl_WIP[Amount],tbl_WIP[Job Number],$A100,tbl_WIP[Month],"&lt;&gt;",tbl_WIP[Month],"&lt;"&amp;$C$4)+SUMIF('Deferred Revenue'!$E$6:$E$579,$A100,'Deferred Revenue'!$P$6:$P$579)</f>
        <v/>
      </c>
      <c r="D100" s="50">
        <f>SUMIFS(tbl_WIP[Amount],tbl_WIP[Job Number],$A100,tbl_WIP[Month],$C$4)+SUMIF('Deferred Revenue'!$E$6:$E$579,$A100,'Deferred Revenue'!$Q$6:$Q$579)</f>
        <v/>
      </c>
      <c r="E100" s="50">
        <f>C100+D100</f>
        <v/>
      </c>
      <c r="F100" s="49">
        <f>IF(ROUND(C100,2)+ROUND(D100,2)=0,"","yes")</f>
        <v/>
      </c>
      <c r="G100" s="58" t="n"/>
      <c r="H100" s="50">
        <f>IF($G100="","",$E100-$G100)</f>
        <v/>
      </c>
    </row>
    <row r="101">
      <c r="A101" s="57" t="inlineStr">
        <is>
          <t>26011502</t>
        </is>
      </c>
      <c r="B101" s="57" t="inlineStr">
        <is>
          <t>ASX Charity Regatta Highlights Video 2026</t>
        </is>
      </c>
      <c r="C101" s="50">
        <f>SUMIFS(tbl_WIP[Amount],tbl_WIP[Job Number],$A101,tbl_WIP[Month],"&lt;&gt;",tbl_WIP[Month],"&lt;"&amp;$C$4)+SUMIF('Deferred Revenue'!$E$6:$E$579,$A101,'Deferred Revenue'!$P$6:$P$579)</f>
        <v/>
      </c>
      <c r="D101" s="50">
        <f>SUMIFS(tbl_WIP[Amount],tbl_WIP[Job Number],$A101,tbl_WIP[Month],$C$4)+SUMIF('Deferred Revenue'!$E$6:$E$579,$A101,'Deferred Revenue'!$Q$6:$Q$579)</f>
        <v/>
      </c>
      <c r="E101" s="50">
        <f>C101+D101</f>
        <v/>
      </c>
      <c r="F101" s="49">
        <f>IF(ROUND(C101,2)+ROUND(D101,2)=0,"","yes")</f>
        <v/>
      </c>
      <c r="G101" s="58" t="n"/>
      <c r="H101" s="50">
        <f>IF($G101="","",$E101-$G101)</f>
        <v/>
      </c>
    </row>
    <row r="102">
      <c r="A102" s="57" t="inlineStr">
        <is>
          <t>26012301</t>
        </is>
      </c>
      <c r="B102" s="57" t="inlineStr">
        <is>
          <t>PWC IT Support - Brisbane</t>
        </is>
      </c>
      <c r="C102" s="50">
        <f>SUMIFS(tbl_WIP[Amount],tbl_WIP[Job Number],$A102,tbl_WIP[Month],"&lt;&gt;",tbl_WIP[Month],"&lt;"&amp;$C$4)+SUMIF('Deferred Revenue'!$E$6:$E$579,$A102,'Deferred Revenue'!$P$6:$P$579)</f>
        <v/>
      </c>
      <c r="D102" s="50">
        <f>SUMIFS(tbl_WIP[Amount],tbl_WIP[Job Number],$A102,tbl_WIP[Month],$C$4)+SUMIF('Deferred Revenue'!$E$6:$E$579,$A102,'Deferred Revenue'!$Q$6:$Q$579)</f>
        <v/>
      </c>
      <c r="E102" s="50">
        <f>C102+D102</f>
        <v/>
      </c>
      <c r="F102" s="49">
        <f>IF(ROUND(C102,2)+ROUND(D102,2)=0,"","yes")</f>
        <v/>
      </c>
      <c r="G102" s="58" t="n"/>
      <c r="H102" s="50">
        <f>IF($G102="","",$E102-$G102)</f>
        <v/>
      </c>
    </row>
    <row r="103">
      <c r="A103" s="57" t="inlineStr">
        <is>
          <t>2601701</t>
        </is>
      </c>
      <c r="B103" s="57" t="inlineStr">
        <is>
          <t>CEOi - TLP Brand Video</t>
        </is>
      </c>
      <c r="C103" s="50">
        <f>SUMIFS(tbl_WIP[Amount],tbl_WIP[Job Number],$A103,tbl_WIP[Month],"&lt;&gt;",tbl_WIP[Month],"&lt;"&amp;$C$4)+SUMIF('Deferred Revenue'!$E$6:$E$579,$A103,'Deferred Revenue'!$P$6:$P$579)</f>
        <v/>
      </c>
      <c r="D103" s="50">
        <f>SUMIFS(tbl_WIP[Amount],tbl_WIP[Job Number],$A103,tbl_WIP[Month],$C$4)+SUMIF('Deferred Revenue'!$E$6:$E$579,$A103,'Deferred Revenue'!$Q$6:$Q$579)</f>
        <v/>
      </c>
      <c r="E103" s="50">
        <f>C103+D103</f>
        <v/>
      </c>
      <c r="F103" s="49">
        <f>IF(ROUND(C103,2)+ROUND(D103,2)=0,"","yes")</f>
        <v/>
      </c>
      <c r="G103" s="58" t="n"/>
      <c r="H103" s="50">
        <f>IF($G103="","",$E103-$G103)</f>
        <v/>
      </c>
    </row>
    <row r="104">
      <c r="A104" s="57" t="inlineStr">
        <is>
          <t>26021602</t>
        </is>
      </c>
      <c r="B104" s="57" t="inlineStr">
        <is>
          <t>Gen E ABS AV Support (Canberra)</t>
        </is>
      </c>
      <c r="C104" s="50">
        <f>SUMIFS(tbl_WIP[Amount],tbl_WIP[Job Number],$A104,tbl_WIP[Month],"&lt;&gt;",tbl_WIP[Month],"&lt;"&amp;$C$4)+SUMIF('Deferred Revenue'!$E$6:$E$579,$A104,'Deferred Revenue'!$P$6:$P$579)</f>
        <v/>
      </c>
      <c r="D104" s="50">
        <f>SUMIFS(tbl_WIP[Amount],tbl_WIP[Job Number],$A104,tbl_WIP[Month],$C$4)+SUMIF('Deferred Revenue'!$E$6:$E$579,$A104,'Deferred Revenue'!$Q$6:$Q$579)</f>
        <v/>
      </c>
      <c r="E104" s="50">
        <f>C104+D104</f>
        <v/>
      </c>
      <c r="F104" s="49">
        <f>IF(ROUND(C104,2)+ROUND(D104,2)=0,"","yes")</f>
        <v/>
      </c>
      <c r="G104" s="58" t="n"/>
      <c r="H104" s="50">
        <f>IF($G104="","",$E104-$G104)</f>
        <v/>
      </c>
    </row>
    <row r="105">
      <c r="A105" s="57" t="inlineStr">
        <is>
          <t>26021602N</t>
        </is>
      </c>
      <c r="B105" s="57" t="inlineStr">
        <is>
          <t>Gen E ABS AV Support (Canberra) [ONS non-chargeable]</t>
        </is>
      </c>
      <c r="C105" s="50">
        <f>SUMIFS(tbl_WIP[Amount],tbl_WIP[Job Number],$A105,tbl_WIP[Month],"&lt;&gt;",tbl_WIP[Month],"&lt;"&amp;$C$4)+SUMIF('Deferred Revenue'!$E$6:$E$579,$A105,'Deferred Revenue'!$P$6:$P$579)</f>
        <v/>
      </c>
      <c r="D105" s="50">
        <f>SUMIFS(tbl_WIP[Amount],tbl_WIP[Job Number],$A105,tbl_WIP[Month],$C$4)+SUMIF('Deferred Revenue'!$E$6:$E$579,$A105,'Deferred Revenue'!$Q$6:$Q$579)</f>
        <v/>
      </c>
      <c r="E105" s="50">
        <f>C105+D105</f>
        <v/>
      </c>
      <c r="F105" s="49">
        <f>IF(ROUND(C105,2)+ROUND(D105,2)=0,"","yes")</f>
        <v/>
      </c>
      <c r="G105" s="58" t="n"/>
      <c r="H105" s="50">
        <f>IF($G105="","",$E105-$G105)</f>
        <v/>
      </c>
    </row>
    <row r="106">
      <c r="A106" s="57" t="inlineStr">
        <is>
          <t>26021801</t>
        </is>
      </c>
      <c r="B106" s="57" t="inlineStr">
        <is>
          <t>Aware Super Seminar Room AV Upgrade</t>
        </is>
      </c>
      <c r="C106" s="50">
        <f>SUMIFS(tbl_WIP[Amount],tbl_WIP[Job Number],$A106,tbl_WIP[Month],"&lt;&gt;",tbl_WIP[Month],"&lt;"&amp;$C$4)+SUMIF('Deferred Revenue'!$E$6:$E$579,$A106,'Deferred Revenue'!$P$6:$P$579)</f>
        <v/>
      </c>
      <c r="D106" s="50">
        <f>SUMIFS(tbl_WIP[Amount],tbl_WIP[Job Number],$A106,tbl_WIP[Month],$C$4)+SUMIF('Deferred Revenue'!$E$6:$E$579,$A106,'Deferred Revenue'!$Q$6:$Q$579)</f>
        <v/>
      </c>
      <c r="E106" s="50">
        <f>C106+D106</f>
        <v/>
      </c>
      <c r="F106" s="49">
        <f>IF(ROUND(C106,2)+ROUND(D106,2)=0,"","yes")</f>
        <v/>
      </c>
      <c r="G106" s="58" t="n"/>
      <c r="H106" s="50">
        <f>IF($G106="","",$E106-$G106)</f>
        <v/>
      </c>
    </row>
    <row r="107">
      <c r="A107" s="57" t="inlineStr">
        <is>
          <t>2602203</t>
        </is>
      </c>
      <c r="B107" s="57" t="inlineStr">
        <is>
          <t>YSG Studio Orange Room Upgrade</t>
        </is>
      </c>
      <c r="C107" s="50">
        <f>SUMIFS(tbl_WIP[Amount],tbl_WIP[Job Number],$A107,tbl_WIP[Month],"&lt;&gt;",tbl_WIP[Month],"&lt;"&amp;$C$4)+SUMIF('Deferred Revenue'!$E$6:$E$579,$A107,'Deferred Revenue'!$P$6:$P$579)</f>
        <v/>
      </c>
      <c r="D107" s="50">
        <f>SUMIFS(tbl_WIP[Amount],tbl_WIP[Job Number],$A107,tbl_WIP[Month],$C$4)+SUMIF('Deferred Revenue'!$E$6:$E$579,$A107,'Deferred Revenue'!$Q$6:$Q$579)</f>
        <v/>
      </c>
      <c r="E107" s="50">
        <f>C107+D107</f>
        <v/>
      </c>
      <c r="F107" s="49">
        <f>IF(ROUND(C107,2)+ROUND(D107,2)=0,"","yes")</f>
        <v/>
      </c>
      <c r="G107" s="58" t="n"/>
      <c r="H107" s="50">
        <f>IF($G107="","",$E107-$G107)</f>
        <v/>
      </c>
    </row>
    <row r="108">
      <c r="A108" s="57" t="inlineStr">
        <is>
          <t>26022301</t>
        </is>
      </c>
      <c r="B108" s="57" t="inlineStr">
        <is>
          <t>Aware Super AV Maintenance</t>
        </is>
      </c>
      <c r="C108" s="50">
        <f>SUMIFS(tbl_WIP[Amount],tbl_WIP[Job Number],$A108,tbl_WIP[Month],"&lt;&gt;",tbl_WIP[Month],"&lt;"&amp;$C$4)+SUMIF('Deferred Revenue'!$E$6:$E$579,$A108,'Deferred Revenue'!$P$6:$P$579)</f>
        <v/>
      </c>
      <c r="D108" s="50">
        <f>SUMIFS(tbl_WIP[Amount],tbl_WIP[Job Number],$A108,tbl_WIP[Month],$C$4)+SUMIF('Deferred Revenue'!$E$6:$E$579,$A108,'Deferred Revenue'!$Q$6:$Q$579)</f>
        <v/>
      </c>
      <c r="E108" s="50">
        <f>C108+D108</f>
        <v/>
      </c>
      <c r="F108" s="49">
        <f>IF(ROUND(C108,2)+ROUND(D108,2)=0,"","yes")</f>
        <v/>
      </c>
      <c r="G108" s="58" t="n"/>
      <c r="H108" s="50">
        <f>IF($G108="","",$E108-$G108)</f>
        <v/>
      </c>
    </row>
    <row r="109">
      <c r="A109" s="57" t="inlineStr">
        <is>
          <t>26022301C</t>
        </is>
      </c>
      <c r="B109" s="57" t="inlineStr">
        <is>
          <t>Aware Super AV Maintenance</t>
        </is>
      </c>
      <c r="C109" s="50">
        <f>SUMIFS(tbl_WIP[Amount],tbl_WIP[Job Number],$A109,tbl_WIP[Month],"&lt;&gt;",tbl_WIP[Month],"&lt;"&amp;$C$4)+SUMIF('Deferred Revenue'!$E$6:$E$579,$A109,'Deferred Revenue'!$P$6:$P$579)</f>
        <v/>
      </c>
      <c r="D109" s="50">
        <f>SUMIFS(tbl_WIP[Amount],tbl_WIP[Job Number],$A109,tbl_WIP[Month],$C$4)+SUMIF('Deferred Revenue'!$E$6:$E$579,$A109,'Deferred Revenue'!$Q$6:$Q$579)</f>
        <v/>
      </c>
      <c r="E109" s="50">
        <f>C109+D109</f>
        <v/>
      </c>
      <c r="F109" s="49">
        <f>IF(ROUND(C109,2)+ROUND(D109,2)=0,"","yes")</f>
        <v/>
      </c>
      <c r="G109" s="58" t="n"/>
      <c r="H109" s="50">
        <f>IF($G109="","",$E109-$G109)</f>
        <v/>
      </c>
    </row>
    <row r="110">
      <c r="A110" s="57" t="inlineStr">
        <is>
          <t>26022301NC</t>
        </is>
      </c>
      <c r="B110" s="57" t="inlineStr">
        <is>
          <t>Aware Super AV Maintenance Non-chargeable</t>
        </is>
      </c>
      <c r="C110" s="50">
        <f>SUMIFS(tbl_WIP[Amount],tbl_WIP[Job Number],$A110,tbl_WIP[Month],"&lt;&gt;",tbl_WIP[Month],"&lt;"&amp;$C$4)+SUMIF('Deferred Revenue'!$E$6:$E$579,$A110,'Deferred Revenue'!$P$6:$P$579)</f>
        <v/>
      </c>
      <c r="D110" s="50">
        <f>SUMIFS(tbl_WIP[Amount],tbl_WIP[Job Number],$A110,tbl_WIP[Month],$C$4)+SUMIF('Deferred Revenue'!$E$6:$E$579,$A110,'Deferred Revenue'!$Q$6:$Q$579)</f>
        <v/>
      </c>
      <c r="E110" s="50">
        <f>C110+D110</f>
        <v/>
      </c>
      <c r="F110" s="49">
        <f>IF(ROUND(C110,2)+ROUND(D110,2)=0,"","yes")</f>
        <v/>
      </c>
      <c r="G110" s="58" t="n"/>
      <c r="H110" s="50">
        <f>IF($G110="","",$E110-$G110)</f>
        <v/>
      </c>
    </row>
    <row r="111">
      <c r="A111" s="57" t="inlineStr">
        <is>
          <t>26022301P</t>
        </is>
      </c>
      <c r="B111" s="57" t="inlineStr">
        <is>
          <t>Aware Super AV Maintenance</t>
        </is>
      </c>
      <c r="C111" s="50">
        <f>SUMIFS(tbl_WIP[Amount],tbl_WIP[Job Number],$A111,tbl_WIP[Month],"&lt;&gt;",tbl_WIP[Month],"&lt;"&amp;$C$4)+SUMIF('Deferred Revenue'!$E$6:$E$579,$A111,'Deferred Revenue'!$P$6:$P$579)</f>
        <v/>
      </c>
      <c r="D111" s="50">
        <f>SUMIFS(tbl_WIP[Amount],tbl_WIP[Job Number],$A111,tbl_WIP[Month],$C$4)+SUMIF('Deferred Revenue'!$E$6:$E$579,$A111,'Deferred Revenue'!$Q$6:$Q$579)</f>
        <v/>
      </c>
      <c r="E111" s="50">
        <f>C111+D111</f>
        <v/>
      </c>
      <c r="F111" s="49">
        <f>IF(ROUND(C111,2)+ROUND(D111,2)=0,"","yes")</f>
        <v/>
      </c>
      <c r="G111" s="58" t="n"/>
      <c r="H111" s="50">
        <f>IF($G111="","",$E111-$G111)</f>
        <v/>
      </c>
    </row>
    <row r="112">
      <c r="A112" s="57" t="inlineStr">
        <is>
          <t>26022302</t>
        </is>
      </c>
      <c r="B112" s="57" t="inlineStr">
        <is>
          <t>GP - Talking Philanthropy - 18.9.26</t>
        </is>
      </c>
      <c r="C112" s="50">
        <f>SUMIFS(tbl_WIP[Amount],tbl_WIP[Job Number],$A112,tbl_WIP[Month],"&lt;&gt;",tbl_WIP[Month],"&lt;"&amp;$C$4)+SUMIF('Deferred Revenue'!$E$6:$E$579,$A112,'Deferred Revenue'!$P$6:$P$579)</f>
        <v/>
      </c>
      <c r="D112" s="50">
        <f>SUMIFS(tbl_WIP[Amount],tbl_WIP[Job Number],$A112,tbl_WIP[Month],$C$4)+SUMIF('Deferred Revenue'!$E$6:$E$579,$A112,'Deferred Revenue'!$Q$6:$Q$579)</f>
        <v/>
      </c>
      <c r="E112" s="50">
        <f>C112+D112</f>
        <v/>
      </c>
      <c r="F112" s="49">
        <f>IF(ROUND(C112,2)+ROUND(D112,2)=0,"","yes")</f>
        <v/>
      </c>
      <c r="G112" s="58" t="n"/>
      <c r="H112" s="50">
        <f>IF($G112="","",$E112-$G112)</f>
        <v/>
      </c>
    </row>
    <row r="113">
      <c r="A113" s="57" t="inlineStr">
        <is>
          <t>26022302V</t>
        </is>
      </c>
      <c r="B113" s="57" t="inlineStr">
        <is>
          <t>GP - Talking Philanthropy - 18.9.26</t>
        </is>
      </c>
      <c r="C113" s="50">
        <f>SUMIFS(tbl_WIP[Amount],tbl_WIP[Job Number],$A113,tbl_WIP[Month],"&lt;&gt;",tbl_WIP[Month],"&lt;"&amp;$C$4)+SUMIF('Deferred Revenue'!$E$6:$E$579,$A113,'Deferred Revenue'!$P$6:$P$579)</f>
        <v/>
      </c>
      <c r="D113" s="50">
        <f>SUMIFS(tbl_WIP[Amount],tbl_WIP[Job Number],$A113,tbl_WIP[Month],$C$4)+SUMIF('Deferred Revenue'!$E$6:$E$579,$A113,'Deferred Revenue'!$Q$6:$Q$579)</f>
        <v/>
      </c>
      <c r="E113" s="50">
        <f>C113+D113</f>
        <v/>
      </c>
      <c r="F113" s="49">
        <f>IF(ROUND(C113,2)+ROUND(D113,2)=0,"","yes")</f>
        <v/>
      </c>
      <c r="G113" s="58" t="n"/>
      <c r="H113" s="50">
        <f>IF($G113="","",$E113-$G113)</f>
        <v/>
      </c>
    </row>
    <row r="114">
      <c r="A114" s="57" t="inlineStr">
        <is>
          <t>26022601</t>
        </is>
      </c>
      <c r="B114" s="57" t="inlineStr">
        <is>
          <t>ART - Annual Members Meeting - 25.11.26</t>
        </is>
      </c>
      <c r="C114" s="50">
        <f>SUMIFS(tbl_WIP[Amount],tbl_WIP[Job Number],$A114,tbl_WIP[Month],"&lt;&gt;",tbl_WIP[Month],"&lt;"&amp;$C$4)+SUMIF('Deferred Revenue'!$E$6:$E$579,$A114,'Deferred Revenue'!$P$6:$P$579)</f>
        <v/>
      </c>
      <c r="D114" s="50">
        <f>SUMIFS(tbl_WIP[Amount],tbl_WIP[Job Number],$A114,tbl_WIP[Month],$C$4)+SUMIF('Deferred Revenue'!$E$6:$E$579,$A114,'Deferred Revenue'!$Q$6:$Q$579)</f>
        <v/>
      </c>
      <c r="E114" s="50">
        <f>C114+D114</f>
        <v/>
      </c>
      <c r="F114" s="49">
        <f>IF(ROUND(C114,2)+ROUND(D114,2)=0,"","yes")</f>
        <v/>
      </c>
      <c r="G114" s="58" t="n"/>
      <c r="H114" s="50">
        <f>IF($G114="","",$E114-$G114)</f>
        <v/>
      </c>
    </row>
    <row r="115">
      <c r="A115" s="57" t="inlineStr">
        <is>
          <t>26022601V</t>
        </is>
      </c>
      <c r="B115" s="57" t="inlineStr">
        <is>
          <t>ART - Annual Members Meeting - 25.11.26</t>
        </is>
      </c>
      <c r="C115" s="50">
        <f>SUMIFS(tbl_WIP[Amount],tbl_WIP[Job Number],$A115,tbl_WIP[Month],"&lt;&gt;",tbl_WIP[Month],"&lt;"&amp;$C$4)+SUMIF('Deferred Revenue'!$E$6:$E$579,$A115,'Deferred Revenue'!$P$6:$P$579)</f>
        <v/>
      </c>
      <c r="D115" s="50">
        <f>SUMIFS(tbl_WIP[Amount],tbl_WIP[Job Number],$A115,tbl_WIP[Month],$C$4)+SUMIF('Deferred Revenue'!$E$6:$E$579,$A115,'Deferred Revenue'!$Q$6:$Q$579)</f>
        <v/>
      </c>
      <c r="E115" s="50">
        <f>C115+D115</f>
        <v/>
      </c>
      <c r="F115" s="49">
        <f>IF(ROUND(C115,2)+ROUND(D115,2)=0,"","yes")</f>
        <v/>
      </c>
      <c r="G115" s="58" t="n"/>
      <c r="H115" s="50">
        <f>IF($G115="","",$E115-$G115)</f>
        <v/>
      </c>
    </row>
    <row r="116">
      <c r="A116" s="57" t="inlineStr">
        <is>
          <t>2602901</t>
        </is>
      </c>
      <c r="B116" s="57" t="inlineStr">
        <is>
          <t>HP-Telstra: Phone Modification</t>
        </is>
      </c>
      <c r="C116" s="50">
        <f>SUMIFS(tbl_WIP[Amount],tbl_WIP[Job Number],$A116,tbl_WIP[Month],"&lt;&gt;",tbl_WIP[Month],"&lt;"&amp;$C$4)+SUMIF('Deferred Revenue'!$E$6:$E$579,$A116,'Deferred Revenue'!$P$6:$P$579)</f>
        <v/>
      </c>
      <c r="D116" s="50">
        <f>SUMIFS(tbl_WIP[Amount],tbl_WIP[Job Number],$A116,tbl_WIP[Month],$C$4)+SUMIF('Deferred Revenue'!$E$6:$E$579,$A116,'Deferred Revenue'!$Q$6:$Q$579)</f>
        <v/>
      </c>
      <c r="E116" s="50">
        <f>C116+D116</f>
        <v/>
      </c>
      <c r="F116" s="49">
        <f>IF(ROUND(C116,2)+ROUND(D116,2)=0,"","yes")</f>
        <v/>
      </c>
      <c r="G116" s="58" t="n"/>
      <c r="H116" s="50">
        <f>IF($G116="","",$E116-$G116)</f>
        <v/>
      </c>
    </row>
    <row r="117">
      <c r="A117" s="57" t="inlineStr">
        <is>
          <t>2603104</t>
        </is>
      </c>
      <c r="B117" s="57" t="inlineStr">
        <is>
          <t>Cochlear FY26 Results 18.8.26</t>
        </is>
      </c>
      <c r="C117" s="50">
        <f>SUMIFS(tbl_WIP[Amount],tbl_WIP[Job Number],$A117,tbl_WIP[Month],"&lt;&gt;",tbl_WIP[Month],"&lt;"&amp;$C$4)+SUMIF('Deferred Revenue'!$E$6:$E$579,$A117,'Deferred Revenue'!$P$6:$P$579)</f>
        <v/>
      </c>
      <c r="D117" s="50">
        <f>SUMIFS(tbl_WIP[Amount],tbl_WIP[Job Number],$A117,tbl_WIP[Month],$C$4)+SUMIF('Deferred Revenue'!$E$6:$E$579,$A117,'Deferred Revenue'!$Q$6:$Q$579)</f>
        <v/>
      </c>
      <c r="E117" s="50">
        <f>C117+D117</f>
        <v/>
      </c>
      <c r="F117" s="49">
        <f>IF(ROUND(C117,2)+ROUND(D117,2)=0,"","yes")</f>
        <v/>
      </c>
      <c r="G117" s="58" t="n"/>
      <c r="H117" s="50">
        <f>IF($G117="","",$E117-$G117)</f>
        <v/>
      </c>
    </row>
    <row r="118">
      <c r="A118" s="57" t="inlineStr">
        <is>
          <t>2603104V</t>
        </is>
      </c>
      <c r="B118" s="57" t="inlineStr">
        <is>
          <t>Cochlear FY26 Results 18.8.26</t>
        </is>
      </c>
      <c r="C118" s="50">
        <f>SUMIFS(tbl_WIP[Amount],tbl_WIP[Job Number],$A118,tbl_WIP[Month],"&lt;&gt;",tbl_WIP[Month],"&lt;"&amp;$C$4)+SUMIF('Deferred Revenue'!$E$6:$E$579,$A118,'Deferred Revenue'!$P$6:$P$579)</f>
        <v/>
      </c>
      <c r="D118" s="50">
        <f>SUMIFS(tbl_WIP[Amount],tbl_WIP[Job Number],$A118,tbl_WIP[Month],$C$4)+SUMIF('Deferred Revenue'!$E$6:$E$579,$A118,'Deferred Revenue'!$Q$6:$Q$579)</f>
        <v/>
      </c>
      <c r="E118" s="50">
        <f>C118+D118</f>
        <v/>
      </c>
      <c r="F118" s="49">
        <f>IF(ROUND(C118,2)+ROUND(D118,2)=0,"","yes")</f>
        <v/>
      </c>
      <c r="G118" s="58" t="n"/>
      <c r="H118" s="50">
        <f>IF($G118="","",$E118-$G118)</f>
        <v/>
      </c>
    </row>
    <row r="119">
      <c r="A119" s="57" t="inlineStr">
        <is>
          <t>2603105</t>
        </is>
      </c>
      <c r="B119" s="57" t="inlineStr">
        <is>
          <t>Cochlear - AGM - 26.10.26</t>
        </is>
      </c>
      <c r="C119" s="50">
        <f>SUMIFS(tbl_WIP[Amount],tbl_WIP[Job Number],$A119,tbl_WIP[Month],"&lt;&gt;",tbl_WIP[Month],"&lt;"&amp;$C$4)+SUMIF('Deferred Revenue'!$E$6:$E$579,$A119,'Deferred Revenue'!$P$6:$P$579)</f>
        <v/>
      </c>
      <c r="D119" s="50">
        <f>SUMIFS(tbl_WIP[Amount],tbl_WIP[Job Number],$A119,tbl_WIP[Month],$C$4)+SUMIF('Deferred Revenue'!$E$6:$E$579,$A119,'Deferred Revenue'!$Q$6:$Q$579)</f>
        <v/>
      </c>
      <c r="E119" s="50">
        <f>C119+D119</f>
        <v/>
      </c>
      <c r="F119" s="49">
        <f>IF(ROUND(C119,2)+ROUND(D119,2)=0,"","yes")</f>
        <v/>
      </c>
      <c r="G119" s="58" t="n"/>
      <c r="H119" s="50">
        <f>IF($G119="","",$E119-$G119)</f>
        <v/>
      </c>
    </row>
    <row r="120">
      <c r="A120" s="57" t="inlineStr">
        <is>
          <t>2603105V</t>
        </is>
      </c>
      <c r="B120" s="57" t="inlineStr">
        <is>
          <t>Cochlear - AGM - 26.10.26</t>
        </is>
      </c>
      <c r="C120" s="50">
        <f>SUMIFS(tbl_WIP[Amount],tbl_WIP[Job Number],$A120,tbl_WIP[Month],"&lt;&gt;",tbl_WIP[Month],"&lt;"&amp;$C$4)+SUMIF('Deferred Revenue'!$E$6:$E$579,$A120,'Deferred Revenue'!$P$6:$P$579)</f>
        <v/>
      </c>
      <c r="D120" s="50">
        <f>SUMIFS(tbl_WIP[Amount],tbl_WIP[Job Number],$A120,tbl_WIP[Month],$C$4)+SUMIF('Deferred Revenue'!$E$6:$E$579,$A120,'Deferred Revenue'!$Q$6:$Q$579)</f>
        <v/>
      </c>
      <c r="E120" s="50">
        <f>C120+D120</f>
        <v/>
      </c>
      <c r="F120" s="49">
        <f>IF(ROUND(C120,2)+ROUND(D120,2)=0,"","yes")</f>
        <v/>
      </c>
      <c r="G120" s="58" t="n"/>
      <c r="H120" s="50">
        <f>IF($G120="","",$E120-$G120)</f>
        <v/>
      </c>
    </row>
    <row r="121">
      <c r="A121" s="57" t="inlineStr">
        <is>
          <t>2603202</t>
        </is>
      </c>
      <c r="B121" s="57" t="inlineStr">
        <is>
          <t>Property NSW 5 O’Keefe Ave Nowra Workplace Hub</t>
        </is>
      </c>
      <c r="C121" s="50">
        <f>SUMIFS(tbl_WIP[Amount],tbl_WIP[Job Number],$A121,tbl_WIP[Month],"&lt;&gt;",tbl_WIP[Month],"&lt;"&amp;$C$4)+SUMIF('Deferred Revenue'!$E$6:$E$579,$A121,'Deferred Revenue'!$P$6:$P$579)</f>
        <v/>
      </c>
      <c r="D121" s="50">
        <f>SUMIFS(tbl_WIP[Amount],tbl_WIP[Job Number],$A121,tbl_WIP[Month],$C$4)+SUMIF('Deferred Revenue'!$E$6:$E$579,$A121,'Deferred Revenue'!$Q$6:$Q$579)</f>
        <v/>
      </c>
      <c r="E121" s="50">
        <f>C121+D121</f>
        <v/>
      </c>
      <c r="F121" s="49">
        <f>IF(ROUND(C121,2)+ROUND(D121,2)=0,"","yes")</f>
        <v/>
      </c>
      <c r="G121" s="58" t="n"/>
      <c r="H121" s="50">
        <f>IF($G121="","",$E121-$G121)</f>
        <v/>
      </c>
    </row>
    <row r="122">
      <c r="A122" s="57" t="inlineStr">
        <is>
          <t>26032301</t>
        </is>
      </c>
      <c r="B122" s="57" t="inlineStr">
        <is>
          <t>RSNSW - OGM - 1.7.2026</t>
        </is>
      </c>
      <c r="C122" s="50">
        <f>SUMIFS(tbl_WIP[Amount],tbl_WIP[Job Number],$A122,tbl_WIP[Month],"&lt;&gt;",tbl_WIP[Month],"&lt;"&amp;$C$4)+SUMIF('Deferred Revenue'!$E$6:$E$579,$A122,'Deferred Revenue'!$P$6:$P$579)</f>
        <v/>
      </c>
      <c r="D122" s="50">
        <f>SUMIFS(tbl_WIP[Amount],tbl_WIP[Job Number],$A122,tbl_WIP[Month],$C$4)+SUMIF('Deferred Revenue'!$E$6:$E$579,$A122,'Deferred Revenue'!$Q$6:$Q$579)</f>
        <v/>
      </c>
      <c r="E122" s="50">
        <f>C122+D122</f>
        <v/>
      </c>
      <c r="F122" s="49">
        <f>IF(ROUND(C122,2)+ROUND(D122,2)=0,"","yes")</f>
        <v/>
      </c>
      <c r="G122" s="58" t="n"/>
      <c r="H122" s="50">
        <f>IF($G122="","",$E122-$G122)</f>
        <v/>
      </c>
    </row>
    <row r="123">
      <c r="A123" s="57" t="inlineStr">
        <is>
          <t>26032301V</t>
        </is>
      </c>
      <c r="B123" s="57" t="inlineStr">
        <is>
          <t>RSNSW - OGM - 1.7.2026</t>
        </is>
      </c>
      <c r="C123" s="50">
        <f>SUMIFS(tbl_WIP[Amount],tbl_WIP[Job Number],$A123,tbl_WIP[Month],"&lt;&gt;",tbl_WIP[Month],"&lt;"&amp;$C$4)+SUMIF('Deferred Revenue'!$E$6:$E$579,$A123,'Deferred Revenue'!$P$6:$P$579)</f>
        <v/>
      </c>
      <c r="D123" s="50">
        <f>SUMIFS(tbl_WIP[Amount],tbl_WIP[Job Number],$A123,tbl_WIP[Month],$C$4)+SUMIF('Deferred Revenue'!$E$6:$E$579,$A123,'Deferred Revenue'!$Q$6:$Q$579)</f>
        <v/>
      </c>
      <c r="E123" s="50">
        <f>C123+D123</f>
        <v/>
      </c>
      <c r="F123" s="49">
        <f>IF(ROUND(C123,2)+ROUND(D123,2)=0,"","yes")</f>
        <v/>
      </c>
      <c r="G123" s="58" t="n"/>
      <c r="H123" s="50">
        <f>IF($G123="","",$E123-$G123)</f>
        <v/>
      </c>
    </row>
    <row r="124">
      <c r="A124" s="57" t="inlineStr">
        <is>
          <t>26032302</t>
        </is>
      </c>
      <c r="B124" s="57" t="inlineStr">
        <is>
          <t>RSNSW - OGM - 2.9.2026</t>
        </is>
      </c>
      <c r="C124" s="50">
        <f>SUMIFS(tbl_WIP[Amount],tbl_WIP[Job Number],$A124,tbl_WIP[Month],"&lt;&gt;",tbl_WIP[Month],"&lt;"&amp;$C$4)+SUMIF('Deferred Revenue'!$E$6:$E$579,$A124,'Deferred Revenue'!$P$6:$P$579)</f>
        <v/>
      </c>
      <c r="D124" s="50">
        <f>SUMIFS(tbl_WIP[Amount],tbl_WIP[Job Number],$A124,tbl_WIP[Month],$C$4)+SUMIF('Deferred Revenue'!$E$6:$E$579,$A124,'Deferred Revenue'!$Q$6:$Q$579)</f>
        <v/>
      </c>
      <c r="E124" s="50">
        <f>C124+D124</f>
        <v/>
      </c>
      <c r="F124" s="49">
        <f>IF(ROUND(C124,2)+ROUND(D124,2)=0,"","yes")</f>
        <v/>
      </c>
      <c r="G124" s="58" t="n"/>
      <c r="H124" s="50">
        <f>IF($G124="","",$E124-$G124)</f>
        <v/>
      </c>
    </row>
    <row r="125">
      <c r="A125" s="57" t="inlineStr">
        <is>
          <t>26032302V</t>
        </is>
      </c>
      <c r="B125" s="57" t="inlineStr">
        <is>
          <t>RSNSW - OGM - 2.9.2026</t>
        </is>
      </c>
      <c r="C125" s="50">
        <f>SUMIFS(tbl_WIP[Amount],tbl_WIP[Job Number],$A125,tbl_WIP[Month],"&lt;&gt;",tbl_WIP[Month],"&lt;"&amp;$C$4)+SUMIF('Deferred Revenue'!$E$6:$E$579,$A125,'Deferred Revenue'!$P$6:$P$579)</f>
        <v/>
      </c>
      <c r="D125" s="50">
        <f>SUMIFS(tbl_WIP[Amount],tbl_WIP[Job Number],$A125,tbl_WIP[Month],$C$4)+SUMIF('Deferred Revenue'!$E$6:$E$579,$A125,'Deferred Revenue'!$Q$6:$Q$579)</f>
        <v/>
      </c>
      <c r="E125" s="50">
        <f>C125+D125</f>
        <v/>
      </c>
      <c r="F125" s="49">
        <f>IF(ROUND(C125,2)+ROUND(D125,2)=0,"","yes")</f>
        <v/>
      </c>
      <c r="G125" s="58" t="n"/>
      <c r="H125" s="50">
        <f>IF($G125="","",$E125-$G125)</f>
        <v/>
      </c>
    </row>
    <row r="126">
      <c r="A126" s="57" t="inlineStr">
        <is>
          <t>26032501</t>
        </is>
      </c>
      <c r="B126" s="57" t="inlineStr">
        <is>
          <t>ChorusCall - Regal Partners AGM - 28.5.26</t>
        </is>
      </c>
      <c r="C126" s="50">
        <f>SUMIFS(tbl_WIP[Amount],tbl_WIP[Job Number],$A126,tbl_WIP[Month],"&lt;&gt;",tbl_WIP[Month],"&lt;"&amp;$C$4)+SUMIF('Deferred Revenue'!$E$6:$E$579,$A126,'Deferred Revenue'!$P$6:$P$579)</f>
        <v/>
      </c>
      <c r="D126" s="50">
        <f>SUMIFS(tbl_WIP[Amount],tbl_WIP[Job Number],$A126,tbl_WIP[Month],$C$4)+SUMIF('Deferred Revenue'!$E$6:$E$579,$A126,'Deferred Revenue'!$Q$6:$Q$579)</f>
        <v/>
      </c>
      <c r="E126" s="50">
        <f>C126+D126</f>
        <v/>
      </c>
      <c r="F126" s="49">
        <f>IF(ROUND(C126,2)+ROUND(D126,2)=0,"","yes")</f>
        <v/>
      </c>
      <c r="G126" s="58" t="n"/>
      <c r="H126" s="50">
        <f>IF($G126="","",$E126-$G126)</f>
        <v/>
      </c>
    </row>
    <row r="127">
      <c r="A127" s="57" t="inlineStr">
        <is>
          <t>26032502</t>
        </is>
      </c>
      <c r="B127" s="57" t="inlineStr">
        <is>
          <t>3YS Owls - Governance Top 100 2026 - 30.10.26</t>
        </is>
      </c>
      <c r="C127" s="50">
        <f>SUMIFS(tbl_WIP[Amount],tbl_WIP[Job Number],$A127,tbl_WIP[Month],"&lt;&gt;",tbl_WIP[Month],"&lt;"&amp;$C$4)+SUMIF('Deferred Revenue'!$E$6:$E$579,$A127,'Deferred Revenue'!$P$6:$P$579)</f>
        <v/>
      </c>
      <c r="D127" s="50">
        <f>SUMIFS(tbl_WIP[Amount],tbl_WIP[Job Number],$A127,tbl_WIP[Month],$C$4)+SUMIF('Deferred Revenue'!$E$6:$E$579,$A127,'Deferred Revenue'!$Q$6:$Q$579)</f>
        <v/>
      </c>
      <c r="E127" s="50">
        <f>C127+D127</f>
        <v/>
      </c>
      <c r="F127" s="49">
        <f>IF(ROUND(C127,2)+ROUND(D127,2)=0,"","yes")</f>
        <v/>
      </c>
      <c r="G127" s="58" t="n"/>
      <c r="H127" s="50">
        <f>IF($G127="","",$E127-$G127)</f>
        <v/>
      </c>
    </row>
    <row r="128">
      <c r="A128" s="57" t="inlineStr">
        <is>
          <t>26032502V</t>
        </is>
      </c>
      <c r="B128" s="57" t="inlineStr">
        <is>
          <t>3YS Owls - Governance Top 100 2026 - 30.10.26</t>
        </is>
      </c>
      <c r="C128" s="50">
        <f>SUMIFS(tbl_WIP[Amount],tbl_WIP[Job Number],$A128,tbl_WIP[Month],"&lt;&gt;",tbl_WIP[Month],"&lt;"&amp;$C$4)+SUMIF('Deferred Revenue'!$E$6:$E$579,$A128,'Deferred Revenue'!$P$6:$P$579)</f>
        <v/>
      </c>
      <c r="D128" s="50">
        <f>SUMIFS(tbl_WIP[Amount],tbl_WIP[Job Number],$A128,tbl_WIP[Month],$C$4)+SUMIF('Deferred Revenue'!$E$6:$E$579,$A128,'Deferred Revenue'!$Q$6:$Q$579)</f>
        <v/>
      </c>
      <c r="E128" s="50">
        <f>C128+D128</f>
        <v/>
      </c>
      <c r="F128" s="49">
        <f>IF(ROUND(C128,2)+ROUND(D128,2)=0,"","yes")</f>
        <v/>
      </c>
      <c r="G128" s="58" t="n"/>
      <c r="H128" s="50">
        <f>IF($G128="","",$E128-$G128)</f>
        <v/>
      </c>
    </row>
    <row r="129">
      <c r="A129" s="57" t="inlineStr">
        <is>
          <t>26032701</t>
        </is>
      </c>
      <c r="B129" s="57" t="inlineStr">
        <is>
          <t>MUFG - A1N AGM - 7.5.26</t>
        </is>
      </c>
      <c r="C129" s="50">
        <f>SUMIFS(tbl_WIP[Amount],tbl_WIP[Job Number],$A129,tbl_WIP[Month],"&lt;&gt;",tbl_WIP[Month],"&lt;"&amp;$C$4)+SUMIF('Deferred Revenue'!$E$6:$E$579,$A129,'Deferred Revenue'!$P$6:$P$579)</f>
        <v/>
      </c>
      <c r="D129" s="50">
        <f>SUMIFS(tbl_WIP[Amount],tbl_WIP[Job Number],$A129,tbl_WIP[Month],$C$4)+SUMIF('Deferred Revenue'!$E$6:$E$579,$A129,'Deferred Revenue'!$Q$6:$Q$579)</f>
        <v/>
      </c>
      <c r="E129" s="50">
        <f>C129+D129</f>
        <v/>
      </c>
      <c r="F129" s="49">
        <f>IF(ROUND(C129,2)+ROUND(D129,2)=0,"","yes")</f>
        <v/>
      </c>
      <c r="G129" s="58" t="n"/>
      <c r="H129" s="50">
        <f>IF($G129="","",$E129-$G129)</f>
        <v/>
      </c>
    </row>
    <row r="130">
      <c r="A130" s="57" t="inlineStr">
        <is>
          <t>26032701V</t>
        </is>
      </c>
      <c r="B130" s="57" t="inlineStr">
        <is>
          <t>MUFG - A1N AGM - 7.5.26</t>
        </is>
      </c>
      <c r="C130" s="50">
        <f>SUMIFS(tbl_WIP[Amount],tbl_WIP[Job Number],$A130,tbl_WIP[Month],"&lt;&gt;",tbl_WIP[Month],"&lt;"&amp;$C$4)+SUMIF('Deferred Revenue'!$E$6:$E$579,$A130,'Deferred Revenue'!$P$6:$P$579)</f>
        <v/>
      </c>
      <c r="D130" s="50">
        <f>SUMIFS(tbl_WIP[Amount],tbl_WIP[Job Number],$A130,tbl_WIP[Month],$C$4)+SUMIF('Deferred Revenue'!$E$6:$E$579,$A130,'Deferred Revenue'!$Q$6:$Q$579)</f>
        <v/>
      </c>
      <c r="E130" s="50">
        <f>C130+D130</f>
        <v/>
      </c>
      <c r="F130" s="49">
        <f>IF(ROUND(C130,2)+ROUND(D130,2)=0,"","yes")</f>
        <v/>
      </c>
      <c r="G130" s="58" t="n"/>
      <c r="H130" s="50">
        <f>IF($G130="","",$E130-$G130)</f>
        <v/>
      </c>
    </row>
    <row r="131">
      <c r="A131" s="57" t="inlineStr">
        <is>
          <t>26032702</t>
        </is>
      </c>
      <c r="B131" s="57" t="inlineStr">
        <is>
          <t>Ventia Transport Australia and Ventia Networking 6.5.26</t>
        </is>
      </c>
      <c r="C131" s="50">
        <f>SUMIFS(tbl_WIP[Amount],tbl_WIP[Job Number],$A131,tbl_WIP[Month],"&lt;&gt;",tbl_WIP[Month],"&lt;"&amp;$C$4)+SUMIF('Deferred Revenue'!$E$6:$E$579,$A131,'Deferred Revenue'!$P$6:$P$579)</f>
        <v/>
      </c>
      <c r="D131" s="50">
        <f>SUMIFS(tbl_WIP[Amount],tbl_WIP[Job Number],$A131,tbl_WIP[Month],$C$4)+SUMIF('Deferred Revenue'!$E$6:$E$579,$A131,'Deferred Revenue'!$Q$6:$Q$579)</f>
        <v/>
      </c>
      <c r="E131" s="50">
        <f>C131+D131</f>
        <v/>
      </c>
      <c r="F131" s="49">
        <f>IF(ROUND(C131,2)+ROUND(D131,2)=0,"","yes")</f>
        <v/>
      </c>
      <c r="G131" s="58" t="n"/>
      <c r="H131" s="50">
        <f>IF($G131="","",$E131-$G131)</f>
        <v/>
      </c>
    </row>
    <row r="132">
      <c r="A132" s="57" t="inlineStr">
        <is>
          <t>26032704</t>
        </is>
      </c>
      <c r="B132" s="57" t="inlineStr">
        <is>
          <t>CBA LES - April 2026</t>
        </is>
      </c>
      <c r="C132" s="50">
        <f>SUMIFS(tbl_WIP[Amount],tbl_WIP[Job Number],$A132,tbl_WIP[Month],"&lt;&gt;",tbl_WIP[Month],"&lt;"&amp;$C$4)+SUMIF('Deferred Revenue'!$E$6:$E$579,$A132,'Deferred Revenue'!$P$6:$P$579)</f>
        <v/>
      </c>
      <c r="D132" s="50">
        <f>SUMIFS(tbl_WIP[Amount],tbl_WIP[Job Number],$A132,tbl_WIP[Month],$C$4)+SUMIF('Deferred Revenue'!$E$6:$E$579,$A132,'Deferred Revenue'!$Q$6:$Q$579)</f>
        <v/>
      </c>
      <c r="E132" s="50">
        <f>C132+D132</f>
        <v/>
      </c>
      <c r="F132" s="49">
        <f>IF(ROUND(C132,2)+ROUND(D132,2)=0,"","yes")</f>
        <v/>
      </c>
      <c r="G132" s="58" t="n"/>
      <c r="H132" s="50">
        <f>IF($G132="","",$E132-$G132)</f>
        <v/>
      </c>
    </row>
    <row r="133">
      <c r="A133" s="57" t="inlineStr">
        <is>
          <t>26033003</t>
        </is>
      </c>
      <c r="B133" s="57" t="inlineStr">
        <is>
          <t>DTTL 8PSQ Dream Big Microphones</t>
        </is>
      </c>
      <c r="C133" s="50">
        <f>SUMIFS(tbl_WIP[Amount],tbl_WIP[Job Number],$A133,tbl_WIP[Month],"&lt;&gt;",tbl_WIP[Month],"&lt;"&amp;$C$4)+SUMIF('Deferred Revenue'!$E$6:$E$579,$A133,'Deferred Revenue'!$P$6:$P$579)</f>
        <v/>
      </c>
      <c r="D133" s="50">
        <f>SUMIFS(tbl_WIP[Amount],tbl_WIP[Job Number],$A133,tbl_WIP[Month],$C$4)+SUMIF('Deferred Revenue'!$E$6:$E$579,$A133,'Deferred Revenue'!$Q$6:$Q$579)</f>
        <v/>
      </c>
      <c r="E133" s="50">
        <f>C133+D133</f>
        <v/>
      </c>
      <c r="F133" s="49">
        <f>IF(ROUND(C133,2)+ROUND(D133,2)=0,"","yes")</f>
        <v/>
      </c>
      <c r="G133" s="58" t="n"/>
      <c r="H133" s="50">
        <f>IF($G133="","",$E133-$G133)</f>
        <v/>
      </c>
    </row>
    <row r="134">
      <c r="A134" s="57" t="inlineStr">
        <is>
          <t>26033004</t>
        </is>
      </c>
      <c r="B134" s="57" t="inlineStr">
        <is>
          <t>DTTL Melbourne Bluetooth Audio</t>
        </is>
      </c>
      <c r="C134" s="50">
        <f>SUMIFS(tbl_WIP[Amount],tbl_WIP[Job Number],$A134,tbl_WIP[Month],"&lt;&gt;",tbl_WIP[Month],"&lt;"&amp;$C$4)+SUMIF('Deferred Revenue'!$E$6:$E$579,$A134,'Deferred Revenue'!$P$6:$P$579)</f>
        <v/>
      </c>
      <c r="D134" s="50">
        <f>SUMIFS(tbl_WIP[Amount],tbl_WIP[Job Number],$A134,tbl_WIP[Month],$C$4)+SUMIF('Deferred Revenue'!$E$6:$E$579,$A134,'Deferred Revenue'!$Q$6:$Q$579)</f>
        <v/>
      </c>
      <c r="E134" s="50">
        <f>C134+D134</f>
        <v/>
      </c>
      <c r="F134" s="49">
        <f>IF(ROUND(C134,2)+ROUND(D134,2)=0,"","yes")</f>
        <v/>
      </c>
      <c r="G134" s="58" t="n"/>
      <c r="H134" s="50">
        <f>IF($G134="","",$E134-$G134)</f>
        <v/>
      </c>
    </row>
    <row r="135">
      <c r="A135" s="57" t="inlineStr">
        <is>
          <t>26033005</t>
        </is>
      </c>
      <c r="B135" s="57" t="inlineStr">
        <is>
          <t>DTTL QQT &amp; 8PSQ Crestron Connect Adaptor</t>
        </is>
      </c>
      <c r="C135" s="50">
        <f>SUMIFS(tbl_WIP[Amount],tbl_WIP[Job Number],$A135,tbl_WIP[Month],"&lt;&gt;",tbl_WIP[Month],"&lt;"&amp;$C$4)+SUMIF('Deferred Revenue'!$E$6:$E$579,$A135,'Deferred Revenue'!$P$6:$P$579)</f>
        <v/>
      </c>
      <c r="D135" s="50">
        <f>SUMIFS(tbl_WIP[Amount],tbl_WIP[Job Number],$A135,tbl_WIP[Month],$C$4)+SUMIF('Deferred Revenue'!$E$6:$E$579,$A135,'Deferred Revenue'!$Q$6:$Q$579)</f>
        <v/>
      </c>
      <c r="E135" s="50">
        <f>C135+D135</f>
        <v/>
      </c>
      <c r="F135" s="49">
        <f>IF(ROUND(C135,2)+ROUND(D135,2)=0,"","yes")</f>
        <v/>
      </c>
      <c r="G135" s="58" t="n"/>
      <c r="H135" s="50">
        <f>IF($G135="","",$E135-$G135)</f>
        <v/>
      </c>
    </row>
    <row r="136">
      <c r="A136" s="57" t="inlineStr">
        <is>
          <t>26033006</t>
        </is>
      </c>
      <c r="B136" s="57" t="inlineStr">
        <is>
          <t>DTTL 8PSQ Bluetooth Audio</t>
        </is>
      </c>
      <c r="C136" s="50">
        <f>SUMIFS(tbl_WIP[Amount],tbl_WIP[Job Number],$A136,tbl_WIP[Month],"&lt;&gt;",tbl_WIP[Month],"&lt;"&amp;$C$4)+SUMIF('Deferred Revenue'!$E$6:$E$579,$A136,'Deferred Revenue'!$P$6:$P$579)</f>
        <v/>
      </c>
      <c r="D136" s="50">
        <f>SUMIFS(tbl_WIP[Amount],tbl_WIP[Job Number],$A136,tbl_WIP[Month],$C$4)+SUMIF('Deferred Revenue'!$E$6:$E$579,$A136,'Deferred Revenue'!$Q$6:$Q$579)</f>
        <v/>
      </c>
      <c r="E136" s="50">
        <f>C136+D136</f>
        <v/>
      </c>
      <c r="F136" s="49">
        <f>IF(ROUND(C136,2)+ROUND(D136,2)=0,"","yes")</f>
        <v/>
      </c>
      <c r="G136" s="58" t="n"/>
      <c r="H136" s="50">
        <f>IF($G136="","",$E136-$G136)</f>
        <v/>
      </c>
    </row>
    <row r="137">
      <c r="A137" s="57" t="inlineStr">
        <is>
          <t>26033007</t>
        </is>
      </c>
      <c r="B137" s="57" t="inlineStr">
        <is>
          <t>DTTL QQT Lv45 Seminar Wheels repair</t>
        </is>
      </c>
      <c r="C137" s="50">
        <f>SUMIFS(tbl_WIP[Amount],tbl_WIP[Job Number],$A137,tbl_WIP[Month],"&lt;&gt;",tbl_WIP[Month],"&lt;"&amp;$C$4)+SUMIF('Deferred Revenue'!$E$6:$E$579,$A137,'Deferred Revenue'!$P$6:$P$579)</f>
        <v/>
      </c>
      <c r="D137" s="50">
        <f>SUMIFS(tbl_WIP[Amount],tbl_WIP[Job Number],$A137,tbl_WIP[Month],$C$4)+SUMIF('Deferred Revenue'!$E$6:$E$579,$A137,'Deferred Revenue'!$Q$6:$Q$579)</f>
        <v/>
      </c>
      <c r="E137" s="50">
        <f>C137+D137</f>
        <v/>
      </c>
      <c r="F137" s="49">
        <f>IF(ROUND(C137,2)+ROUND(D137,2)=0,"","yes")</f>
        <v/>
      </c>
      <c r="G137" s="58" t="n"/>
      <c r="H137" s="50">
        <f>IF($G137="","",$E137-$G137)</f>
        <v/>
      </c>
    </row>
    <row r="138">
      <c r="A138" s="57" t="inlineStr">
        <is>
          <t>26033008</t>
        </is>
      </c>
      <c r="B138" s="57" t="inlineStr">
        <is>
          <t>DTTL MEL Repair of Lv31 LED panels</t>
        </is>
      </c>
      <c r="C138" s="50">
        <f>SUMIFS(tbl_WIP[Amount],tbl_WIP[Job Number],$A138,tbl_WIP[Month],"&lt;&gt;",tbl_WIP[Month],"&lt;"&amp;$C$4)+SUMIF('Deferred Revenue'!$E$6:$E$579,$A138,'Deferred Revenue'!$P$6:$P$579)</f>
        <v/>
      </c>
      <c r="D138" s="50">
        <f>SUMIFS(tbl_WIP[Amount],tbl_WIP[Job Number],$A138,tbl_WIP[Month],$C$4)+SUMIF('Deferred Revenue'!$E$6:$E$579,$A138,'Deferred Revenue'!$Q$6:$Q$579)</f>
        <v/>
      </c>
      <c r="E138" s="50">
        <f>C138+D138</f>
        <v/>
      </c>
      <c r="F138" s="49">
        <f>IF(ROUND(C138,2)+ROUND(D138,2)=0,"","yes")</f>
        <v/>
      </c>
      <c r="G138" s="58" t="n"/>
      <c r="H138" s="50">
        <f>IF($G138="","",$E138-$G138)</f>
        <v/>
      </c>
    </row>
    <row r="139">
      <c r="A139" s="57" t="inlineStr">
        <is>
          <t>26041603</t>
        </is>
      </c>
      <c r="B139" s="57" t="inlineStr">
        <is>
          <t>Optiver - Town Hall - 23.7.26</t>
        </is>
      </c>
      <c r="C139" s="50">
        <f>SUMIFS(tbl_WIP[Amount],tbl_WIP[Job Number],$A139,tbl_WIP[Month],"&lt;&gt;",tbl_WIP[Month],"&lt;"&amp;$C$4)+SUMIF('Deferred Revenue'!$E$6:$E$579,$A139,'Deferred Revenue'!$P$6:$P$579)</f>
        <v/>
      </c>
      <c r="D139" s="50">
        <f>SUMIFS(tbl_WIP[Amount],tbl_WIP[Job Number],$A139,tbl_WIP[Month],$C$4)+SUMIF('Deferred Revenue'!$E$6:$E$579,$A139,'Deferred Revenue'!$Q$6:$Q$579)</f>
        <v/>
      </c>
      <c r="E139" s="50">
        <f>C139+D139</f>
        <v/>
      </c>
      <c r="F139" s="49">
        <f>IF(ROUND(C139,2)+ROUND(D139,2)=0,"","yes")</f>
        <v/>
      </c>
      <c r="G139" s="58" t="n"/>
      <c r="H139" s="50">
        <f>IF($G139="","",$E139-$G139)</f>
        <v/>
      </c>
    </row>
    <row r="140">
      <c r="A140" s="57" t="inlineStr">
        <is>
          <t>26041603V</t>
        </is>
      </c>
      <c r="B140" s="57" t="inlineStr">
        <is>
          <t>Optiver - Town Hall - 23.7.26</t>
        </is>
      </c>
      <c r="C140" s="50">
        <f>SUMIFS(tbl_WIP[Amount],tbl_WIP[Job Number],$A140,tbl_WIP[Month],"&lt;&gt;",tbl_WIP[Month],"&lt;"&amp;$C$4)+SUMIF('Deferred Revenue'!$E$6:$E$579,$A140,'Deferred Revenue'!$P$6:$P$579)</f>
        <v/>
      </c>
      <c r="D140" s="50">
        <f>SUMIFS(tbl_WIP[Amount],tbl_WIP[Job Number],$A140,tbl_WIP[Month],$C$4)+SUMIF('Deferred Revenue'!$E$6:$E$579,$A140,'Deferred Revenue'!$Q$6:$Q$579)</f>
        <v/>
      </c>
      <c r="E140" s="50">
        <f>C140+D140</f>
        <v/>
      </c>
      <c r="F140" s="49">
        <f>IF(ROUND(C140,2)+ROUND(D140,2)=0,"","yes")</f>
        <v/>
      </c>
      <c r="G140" s="58" t="n"/>
      <c r="H140" s="50">
        <f>IF($G140="","",$E140-$G140)</f>
        <v/>
      </c>
    </row>
    <row r="141">
      <c r="A141" s="57" t="inlineStr">
        <is>
          <t>26041701</t>
        </is>
      </c>
      <c r="B141" s="57" t="inlineStr">
        <is>
          <t>N2 Dance End of Year Concert Videos 2026</t>
        </is>
      </c>
      <c r="C141" s="50">
        <f>SUMIFS(tbl_WIP[Amount],tbl_WIP[Job Number],$A141,tbl_WIP[Month],"&lt;&gt;",tbl_WIP[Month],"&lt;"&amp;$C$4)+SUMIF('Deferred Revenue'!$E$6:$E$579,$A141,'Deferred Revenue'!$P$6:$P$579)</f>
        <v/>
      </c>
      <c r="D141" s="50">
        <f>SUMIFS(tbl_WIP[Amount],tbl_WIP[Job Number],$A141,tbl_WIP[Month],$C$4)+SUMIF('Deferred Revenue'!$E$6:$E$579,$A141,'Deferred Revenue'!$Q$6:$Q$579)</f>
        <v/>
      </c>
      <c r="E141" s="50">
        <f>C141+D141</f>
        <v/>
      </c>
      <c r="F141" s="49">
        <f>IF(ROUND(C141,2)+ROUND(D141,2)=0,"","yes")</f>
        <v/>
      </c>
      <c r="G141" s="58" t="n"/>
      <c r="H141" s="50">
        <f>IF($G141="","",$E141-$G141)</f>
        <v/>
      </c>
    </row>
    <row r="142">
      <c r="A142" s="57" t="inlineStr">
        <is>
          <t>26042001</t>
        </is>
      </c>
      <c r="B142" s="57" t="inlineStr">
        <is>
          <t>ASX - AGM - 22.10.26</t>
        </is>
      </c>
      <c r="C142" s="50">
        <f>SUMIFS(tbl_WIP[Amount],tbl_WIP[Job Number],$A142,tbl_WIP[Month],"&lt;&gt;",tbl_WIP[Month],"&lt;"&amp;$C$4)+SUMIF('Deferred Revenue'!$E$6:$E$579,$A142,'Deferred Revenue'!$P$6:$P$579)</f>
        <v/>
      </c>
      <c r="D142" s="50">
        <f>SUMIFS(tbl_WIP[Amount],tbl_WIP[Job Number],$A142,tbl_WIP[Month],$C$4)+SUMIF('Deferred Revenue'!$E$6:$E$579,$A142,'Deferred Revenue'!$Q$6:$Q$579)</f>
        <v/>
      </c>
      <c r="E142" s="50">
        <f>C142+D142</f>
        <v/>
      </c>
      <c r="F142" s="49">
        <f>IF(ROUND(C142,2)+ROUND(D142,2)=0,"","yes")</f>
        <v/>
      </c>
      <c r="G142" s="58" t="n"/>
      <c r="H142" s="50">
        <f>IF($G142="","",$E142-$G142)</f>
        <v/>
      </c>
    </row>
    <row r="143">
      <c r="A143" s="57" t="inlineStr">
        <is>
          <t>26042001V</t>
        </is>
      </c>
      <c r="B143" s="57" t="inlineStr">
        <is>
          <t>ASX - AGM - 22.10.26</t>
        </is>
      </c>
      <c r="C143" s="50">
        <f>SUMIFS(tbl_WIP[Amount],tbl_WIP[Job Number],$A143,tbl_WIP[Month],"&lt;&gt;",tbl_WIP[Month],"&lt;"&amp;$C$4)+SUMIF('Deferred Revenue'!$E$6:$E$579,$A143,'Deferred Revenue'!$P$6:$P$579)</f>
        <v/>
      </c>
      <c r="D143" s="50">
        <f>SUMIFS(tbl_WIP[Amount],tbl_WIP[Job Number],$A143,tbl_WIP[Month],$C$4)+SUMIF('Deferred Revenue'!$E$6:$E$579,$A143,'Deferred Revenue'!$Q$6:$Q$579)</f>
        <v/>
      </c>
      <c r="E143" s="50">
        <f>C143+D143</f>
        <v/>
      </c>
      <c r="F143" s="49">
        <f>IF(ROUND(C143,2)+ROUND(D143,2)=0,"","yes")</f>
        <v/>
      </c>
      <c r="G143" s="58" t="n"/>
      <c r="H143" s="50">
        <f>IF($G143="","",$E143-$G143)</f>
        <v/>
      </c>
    </row>
    <row r="144">
      <c r="A144" s="57" t="inlineStr">
        <is>
          <t>2604201</t>
        </is>
      </c>
      <c r="B144" s="57" t="inlineStr">
        <is>
          <t>Bankwest - Stage Hire - 27.5.2026</t>
        </is>
      </c>
      <c r="C144" s="50">
        <f>SUMIFS(tbl_WIP[Amount],tbl_WIP[Job Number],$A144,tbl_WIP[Month],"&lt;&gt;",tbl_WIP[Month],"&lt;"&amp;$C$4)+SUMIF('Deferred Revenue'!$E$6:$E$579,$A144,'Deferred Revenue'!$P$6:$P$579)</f>
        <v/>
      </c>
      <c r="D144" s="50">
        <f>SUMIFS(tbl_WIP[Amount],tbl_WIP[Job Number],$A144,tbl_WIP[Month],$C$4)+SUMIF('Deferred Revenue'!$E$6:$E$579,$A144,'Deferred Revenue'!$Q$6:$Q$579)</f>
        <v/>
      </c>
      <c r="E144" s="50">
        <f>C144+D144</f>
        <v/>
      </c>
      <c r="F144" s="49">
        <f>IF(ROUND(C144,2)+ROUND(D144,2)=0,"","yes")</f>
        <v/>
      </c>
      <c r="G144" s="58" t="n"/>
      <c r="H144" s="50">
        <f>IF($G144="","",$E144-$G144)</f>
        <v/>
      </c>
    </row>
    <row r="145">
      <c r="A145" s="57" t="inlineStr">
        <is>
          <t>2604202</t>
        </is>
      </c>
      <c r="B145" s="57" t="inlineStr">
        <is>
          <t>Ventia - Ventia Awards - 30.7.26</t>
        </is>
      </c>
      <c r="C145" s="50">
        <f>SUMIFS(tbl_WIP[Amount],tbl_WIP[Job Number],$A145,tbl_WIP[Month],"&lt;&gt;",tbl_WIP[Month],"&lt;"&amp;$C$4)+SUMIF('Deferred Revenue'!$E$6:$E$579,$A145,'Deferred Revenue'!$P$6:$P$579)</f>
        <v/>
      </c>
      <c r="D145" s="50">
        <f>SUMIFS(tbl_WIP[Amount],tbl_WIP[Job Number],$A145,tbl_WIP[Month],$C$4)+SUMIF('Deferred Revenue'!$E$6:$E$579,$A145,'Deferred Revenue'!$Q$6:$Q$579)</f>
        <v/>
      </c>
      <c r="E145" s="50">
        <f>C145+D145</f>
        <v/>
      </c>
      <c r="F145" s="49">
        <f>IF(ROUND(C145,2)+ROUND(D145,2)=0,"","yes")</f>
        <v/>
      </c>
      <c r="G145" s="58" t="n"/>
      <c r="H145" s="50">
        <f>IF($G145="","",$E145-$G145)</f>
        <v/>
      </c>
    </row>
    <row r="146">
      <c r="A146" s="57" t="inlineStr">
        <is>
          <t>2604202V</t>
        </is>
      </c>
      <c r="B146" s="57" t="inlineStr">
        <is>
          <t>Ventia - Ventia Awards - 30.7.26</t>
        </is>
      </c>
      <c r="C146" s="50">
        <f>SUMIFS(tbl_WIP[Amount],tbl_WIP[Job Number],$A146,tbl_WIP[Month],"&lt;&gt;",tbl_WIP[Month],"&lt;"&amp;$C$4)+SUMIF('Deferred Revenue'!$E$6:$E$579,$A146,'Deferred Revenue'!$P$6:$P$579)</f>
        <v/>
      </c>
      <c r="D146" s="50">
        <f>SUMIFS(tbl_WIP[Amount],tbl_WIP[Job Number],$A146,tbl_WIP[Month],$C$4)+SUMIF('Deferred Revenue'!$E$6:$E$579,$A146,'Deferred Revenue'!$Q$6:$Q$579)</f>
        <v/>
      </c>
      <c r="E146" s="50">
        <f>C146+D146</f>
        <v/>
      </c>
      <c r="F146" s="49">
        <f>IF(ROUND(C146,2)+ROUND(D146,2)=0,"","yes")</f>
        <v/>
      </c>
      <c r="G146" s="58" t="n"/>
      <c r="H146" s="50">
        <f>IF($G146="","",$E146-$G146)</f>
        <v/>
      </c>
    </row>
    <row r="147">
      <c r="A147" s="57" t="inlineStr">
        <is>
          <t>2604203V</t>
        </is>
      </c>
      <c r="B147" s="57" t="inlineStr">
        <is>
          <t>Ventia - Investor Day - 4.5.2026</t>
        </is>
      </c>
      <c r="C147" s="50">
        <f>SUMIFS(tbl_WIP[Amount],tbl_WIP[Job Number],$A147,tbl_WIP[Month],"&lt;&gt;",tbl_WIP[Month],"&lt;"&amp;$C$4)+SUMIF('Deferred Revenue'!$E$6:$E$579,$A147,'Deferred Revenue'!$P$6:$P$579)</f>
        <v/>
      </c>
      <c r="D147" s="50">
        <f>SUMIFS(tbl_WIP[Amount],tbl_WIP[Job Number],$A147,tbl_WIP[Month],$C$4)+SUMIF('Deferred Revenue'!$E$6:$E$579,$A147,'Deferred Revenue'!$Q$6:$Q$579)</f>
        <v/>
      </c>
      <c r="E147" s="50">
        <f>C147+D147</f>
        <v/>
      </c>
      <c r="F147" s="49">
        <f>IF(ROUND(C147,2)+ROUND(D147,2)=0,"","yes")</f>
        <v/>
      </c>
      <c r="G147" s="58" t="n"/>
      <c r="H147" s="50">
        <f>IF($G147="","",$E147-$G147)</f>
        <v/>
      </c>
    </row>
    <row r="148">
      <c r="A148" s="57" t="inlineStr">
        <is>
          <t>2604204</t>
        </is>
      </c>
      <c r="B148" s="57" t="inlineStr">
        <is>
          <t>Ventia - AGM - 21.5.26</t>
        </is>
      </c>
      <c r="C148" s="50">
        <f>SUMIFS(tbl_WIP[Amount],tbl_WIP[Job Number],$A148,tbl_WIP[Month],"&lt;&gt;",tbl_WIP[Month],"&lt;"&amp;$C$4)+SUMIF('Deferred Revenue'!$E$6:$E$579,$A148,'Deferred Revenue'!$P$6:$P$579)</f>
        <v/>
      </c>
      <c r="D148" s="50">
        <f>SUMIFS(tbl_WIP[Amount],tbl_WIP[Job Number],$A148,tbl_WIP[Month],$C$4)+SUMIF('Deferred Revenue'!$E$6:$E$579,$A148,'Deferred Revenue'!$Q$6:$Q$579)</f>
        <v/>
      </c>
      <c r="E148" s="50">
        <f>C148+D148</f>
        <v/>
      </c>
      <c r="F148" s="49">
        <f>IF(ROUND(C148,2)+ROUND(D148,2)=0,"","yes")</f>
        <v/>
      </c>
      <c r="G148" s="58" t="n"/>
      <c r="H148" s="50">
        <f>IF($G148="","",$E148-$G148)</f>
        <v/>
      </c>
    </row>
    <row r="149">
      <c r="A149" s="57" t="inlineStr">
        <is>
          <t>2604204V</t>
        </is>
      </c>
      <c r="B149" s="57" t="inlineStr">
        <is>
          <t>Ventia - AGM - 21.5.26</t>
        </is>
      </c>
      <c r="C149" s="50">
        <f>SUMIFS(tbl_WIP[Amount],tbl_WIP[Job Number],$A149,tbl_WIP[Month],"&lt;&gt;",tbl_WIP[Month],"&lt;"&amp;$C$4)+SUMIF('Deferred Revenue'!$E$6:$E$579,$A149,'Deferred Revenue'!$P$6:$P$579)</f>
        <v/>
      </c>
      <c r="D149" s="50">
        <f>SUMIFS(tbl_WIP[Amount],tbl_WIP[Job Number],$A149,tbl_WIP[Month],$C$4)+SUMIF('Deferred Revenue'!$E$6:$E$579,$A149,'Deferred Revenue'!$Q$6:$Q$579)</f>
        <v/>
      </c>
      <c r="E149" s="50">
        <f>C149+D149</f>
        <v/>
      </c>
      <c r="F149" s="49">
        <f>IF(ROUND(C149,2)+ROUND(D149,2)=0,"","yes")</f>
        <v/>
      </c>
      <c r="G149" s="58" t="n"/>
      <c r="H149" s="50">
        <f>IF($G149="","",$E149-$G149)</f>
        <v/>
      </c>
    </row>
    <row r="150">
      <c r="A150" s="57" t="inlineStr">
        <is>
          <t>26042802</t>
        </is>
      </c>
      <c r="B150" s="57" t="inlineStr">
        <is>
          <t>DTTL DAR Meeting Room Extension Cable Install</t>
        </is>
      </c>
      <c r="C150" s="50">
        <f>SUMIFS(tbl_WIP[Amount],tbl_WIP[Job Number],$A150,tbl_WIP[Month],"&lt;&gt;",tbl_WIP[Month],"&lt;"&amp;$C$4)+SUMIF('Deferred Revenue'!$E$6:$E$579,$A150,'Deferred Revenue'!$P$6:$P$579)</f>
        <v/>
      </c>
      <c r="D150" s="50">
        <f>SUMIFS(tbl_WIP[Amount],tbl_WIP[Job Number],$A150,tbl_WIP[Month],$C$4)+SUMIF('Deferred Revenue'!$E$6:$E$579,$A150,'Deferred Revenue'!$Q$6:$Q$579)</f>
        <v/>
      </c>
      <c r="E150" s="50">
        <f>C150+D150</f>
        <v/>
      </c>
      <c r="F150" s="49">
        <f>IF(ROUND(C150,2)+ROUND(D150,2)=0,"","yes")</f>
        <v/>
      </c>
      <c r="G150" s="58" t="n"/>
      <c r="H150" s="50">
        <f>IF($G150="","",$E150-$G150)</f>
        <v/>
      </c>
    </row>
    <row r="151">
      <c r="A151" s="57" t="inlineStr">
        <is>
          <t>26043001</t>
        </is>
      </c>
      <c r="B151" s="57" t="inlineStr">
        <is>
          <t>CBA FT Tech MEL - 12 months</t>
        </is>
      </c>
      <c r="C151" s="50">
        <f>SUMIFS(tbl_WIP[Amount],tbl_WIP[Job Number],$A151,tbl_WIP[Month],"&lt;&gt;",tbl_WIP[Month],"&lt;"&amp;$C$4)+SUMIF('Deferred Revenue'!$E$6:$E$579,$A151,'Deferred Revenue'!$P$6:$P$579)</f>
        <v/>
      </c>
      <c r="D151" s="50">
        <f>SUMIFS(tbl_WIP[Amount],tbl_WIP[Job Number],$A151,tbl_WIP[Month],$C$4)+SUMIF('Deferred Revenue'!$E$6:$E$579,$A151,'Deferred Revenue'!$Q$6:$Q$579)</f>
        <v/>
      </c>
      <c r="E151" s="50">
        <f>C151+D151</f>
        <v/>
      </c>
      <c r="F151" s="49">
        <f>IF(ROUND(C151,2)+ROUND(D151,2)=0,"","yes")</f>
        <v/>
      </c>
      <c r="G151" s="58" t="n"/>
      <c r="H151" s="50">
        <f>IF($G151="","",$E151-$G151)</f>
        <v/>
      </c>
    </row>
    <row r="152">
      <c r="A152" s="57" t="inlineStr">
        <is>
          <t>26043002</t>
        </is>
      </c>
      <c r="B152" s="57" t="inlineStr">
        <is>
          <t>CTS Town Hall</t>
        </is>
      </c>
      <c r="C152" s="50">
        <f>SUMIFS(tbl_WIP[Amount],tbl_WIP[Job Number],$A152,tbl_WIP[Month],"&lt;&gt;",tbl_WIP[Month],"&lt;"&amp;$C$4)+SUMIF('Deferred Revenue'!$E$6:$E$579,$A152,'Deferred Revenue'!$P$6:$P$579)</f>
        <v/>
      </c>
      <c r="D152" s="50">
        <f>SUMIFS(tbl_WIP[Amount],tbl_WIP[Job Number],$A152,tbl_WIP[Month],$C$4)+SUMIF('Deferred Revenue'!$E$6:$E$579,$A152,'Deferred Revenue'!$Q$6:$Q$579)</f>
        <v/>
      </c>
      <c r="E152" s="50">
        <f>C152+D152</f>
        <v/>
      </c>
      <c r="F152" s="49">
        <f>IF(ROUND(C152,2)+ROUND(D152,2)=0,"","yes")</f>
        <v/>
      </c>
      <c r="G152" s="58" t="n"/>
      <c r="H152" s="50">
        <f>IF($G152="","",$E152-$G152)</f>
        <v/>
      </c>
    </row>
    <row r="153">
      <c r="A153" s="57" t="inlineStr">
        <is>
          <t>26043003</t>
        </is>
      </c>
      <c r="B153" s="57" t="inlineStr">
        <is>
          <t>PwC Screen Replacements SYD+MEL</t>
        </is>
      </c>
      <c r="C153" s="50">
        <f>SUMIFS(tbl_WIP[Amount],tbl_WIP[Job Number],$A153,tbl_WIP[Month],"&lt;&gt;",tbl_WIP[Month],"&lt;"&amp;$C$4)+SUMIF('Deferred Revenue'!$E$6:$E$579,$A153,'Deferred Revenue'!$P$6:$P$579)</f>
        <v/>
      </c>
      <c r="D153" s="50">
        <f>SUMIFS(tbl_WIP[Amount],tbl_WIP[Job Number],$A153,tbl_WIP[Month],$C$4)+SUMIF('Deferred Revenue'!$E$6:$E$579,$A153,'Deferred Revenue'!$Q$6:$Q$579)</f>
        <v/>
      </c>
      <c r="E153" s="50">
        <f>C153+D153</f>
        <v/>
      </c>
      <c r="F153" s="49">
        <f>IF(ROUND(C153,2)+ROUND(D153,2)=0,"","yes")</f>
        <v/>
      </c>
      <c r="G153" s="58" t="n"/>
      <c r="H153" s="50">
        <f>IF($G153="","",$E153-$G153)</f>
        <v/>
      </c>
    </row>
    <row r="154">
      <c r="A154" s="57" t="inlineStr">
        <is>
          <t>2604704</t>
        </is>
      </c>
      <c r="B154" s="57" t="inlineStr">
        <is>
          <t>Aware Super Seminar Room Audio Upgrade</t>
        </is>
      </c>
      <c r="C154" s="50">
        <f>SUMIFS(tbl_WIP[Amount],tbl_WIP[Job Number],$A154,tbl_WIP[Month],"&lt;&gt;",tbl_WIP[Month],"&lt;"&amp;$C$4)+SUMIF('Deferred Revenue'!$E$6:$E$579,$A154,'Deferred Revenue'!$P$6:$P$579)</f>
        <v/>
      </c>
      <c r="D154" s="50">
        <f>SUMIFS(tbl_WIP[Amount],tbl_WIP[Job Number],$A154,tbl_WIP[Month],$C$4)+SUMIF('Deferred Revenue'!$E$6:$E$579,$A154,'Deferred Revenue'!$Q$6:$Q$579)</f>
        <v/>
      </c>
      <c r="E154" s="50">
        <f>C154+D154</f>
        <v/>
      </c>
      <c r="F154" s="49">
        <f>IF(ROUND(C154,2)+ROUND(D154,2)=0,"","yes")</f>
        <v/>
      </c>
      <c r="G154" s="58" t="n"/>
      <c r="H154" s="50">
        <f>IF($G154="","",$E154-$G154)</f>
        <v/>
      </c>
    </row>
    <row r="155">
      <c r="A155" s="57" t="inlineStr">
        <is>
          <t>2604802</t>
        </is>
      </c>
      <c r="B155" s="57" t="inlineStr">
        <is>
          <t>PwC - Audio Support - 29.4.26</t>
        </is>
      </c>
      <c r="C155" s="50">
        <f>SUMIFS(tbl_WIP[Amount],tbl_WIP[Job Number],$A155,tbl_WIP[Month],"&lt;&gt;",tbl_WIP[Month],"&lt;"&amp;$C$4)+SUMIF('Deferred Revenue'!$E$6:$E$579,$A155,'Deferred Revenue'!$P$6:$P$579)</f>
        <v/>
      </c>
      <c r="D155" s="50">
        <f>SUMIFS(tbl_WIP[Amount],tbl_WIP[Job Number],$A155,tbl_WIP[Month],$C$4)+SUMIF('Deferred Revenue'!$E$6:$E$579,$A155,'Deferred Revenue'!$Q$6:$Q$579)</f>
        <v/>
      </c>
      <c r="E155" s="50">
        <f>C155+D155</f>
        <v/>
      </c>
      <c r="F155" s="49">
        <f>IF(ROUND(C155,2)+ROUND(D155,2)=0,"","yes")</f>
        <v/>
      </c>
      <c r="G155" s="58" t="n"/>
      <c r="H155" s="50">
        <f>IF($G155="","",$E155-$G155)</f>
        <v/>
      </c>
    </row>
    <row r="156">
      <c r="A156" s="57" t="inlineStr">
        <is>
          <t>26051101</t>
        </is>
      </c>
      <c r="B156" s="57" t="inlineStr">
        <is>
          <t>DTTL Mardi Gras/Vivid Event 27/05/26</t>
        </is>
      </c>
      <c r="C156" s="50">
        <f>SUMIFS(tbl_WIP[Amount],tbl_WIP[Job Number],$A156,tbl_WIP[Month],"&lt;&gt;",tbl_WIP[Month],"&lt;"&amp;$C$4)+SUMIF('Deferred Revenue'!$E$6:$E$579,$A156,'Deferred Revenue'!$P$6:$P$579)</f>
        <v/>
      </c>
      <c r="D156" s="50">
        <f>SUMIFS(tbl_WIP[Amount],tbl_WIP[Job Number],$A156,tbl_WIP[Month],$C$4)+SUMIF('Deferred Revenue'!$E$6:$E$579,$A156,'Deferred Revenue'!$Q$6:$Q$579)</f>
        <v/>
      </c>
      <c r="E156" s="50">
        <f>C156+D156</f>
        <v/>
      </c>
      <c r="F156" s="49">
        <f>IF(ROUND(C156,2)+ROUND(D156,2)=0,"","yes")</f>
        <v/>
      </c>
      <c r="G156" s="58" t="n"/>
      <c r="H156" s="50">
        <f>IF($G156="","",$E156-$G156)</f>
        <v/>
      </c>
    </row>
    <row r="157">
      <c r="A157" s="57" t="inlineStr">
        <is>
          <t>26051101V</t>
        </is>
      </c>
      <c r="B157" s="57" t="inlineStr">
        <is>
          <t>DTTL Mardi Gras/Vivid Event 27/05/26</t>
        </is>
      </c>
      <c r="C157" s="50">
        <f>SUMIFS(tbl_WIP[Amount],tbl_WIP[Job Number],$A157,tbl_WIP[Month],"&lt;&gt;",tbl_WIP[Month],"&lt;"&amp;$C$4)+SUMIF('Deferred Revenue'!$E$6:$E$579,$A157,'Deferred Revenue'!$P$6:$P$579)</f>
        <v/>
      </c>
      <c r="D157" s="50">
        <f>SUMIFS(tbl_WIP[Amount],tbl_WIP[Job Number],$A157,tbl_WIP[Month],$C$4)+SUMIF('Deferred Revenue'!$E$6:$E$579,$A157,'Deferred Revenue'!$Q$6:$Q$579)</f>
        <v/>
      </c>
      <c r="E157" s="50">
        <f>C157+D157</f>
        <v/>
      </c>
      <c r="F157" s="49">
        <f>IF(ROUND(C157,2)+ROUND(D157,2)=0,"","yes")</f>
        <v/>
      </c>
      <c r="G157" s="58" t="n"/>
      <c r="H157" s="50">
        <f>IF($G157="","",$E157-$G157)</f>
        <v/>
      </c>
    </row>
    <row r="158">
      <c r="A158" s="57" t="inlineStr">
        <is>
          <t>26051102</t>
        </is>
      </c>
      <c r="B158" s="57" t="inlineStr">
        <is>
          <t>DTTL - CEO Roadshow - 1.6.26</t>
        </is>
      </c>
      <c r="C158" s="50">
        <f>SUMIFS(tbl_WIP[Amount],tbl_WIP[Job Number],$A158,tbl_WIP[Month],"&lt;&gt;",tbl_WIP[Month],"&lt;"&amp;$C$4)+SUMIF('Deferred Revenue'!$E$6:$E$579,$A158,'Deferred Revenue'!$P$6:$P$579)</f>
        <v/>
      </c>
      <c r="D158" s="50">
        <f>SUMIFS(tbl_WIP[Amount],tbl_WIP[Job Number],$A158,tbl_WIP[Month],$C$4)+SUMIF('Deferred Revenue'!$E$6:$E$579,$A158,'Deferred Revenue'!$Q$6:$Q$579)</f>
        <v/>
      </c>
      <c r="E158" s="50">
        <f>C158+D158</f>
        <v/>
      </c>
      <c r="F158" s="49">
        <f>IF(ROUND(C158,2)+ROUND(D158,2)=0,"","yes")</f>
        <v/>
      </c>
      <c r="G158" s="58" t="n"/>
      <c r="H158" s="50">
        <f>IF($G158="","",$E158-$G158)</f>
        <v/>
      </c>
    </row>
    <row r="159">
      <c r="A159" s="57" t="inlineStr">
        <is>
          <t>26051102V</t>
        </is>
      </c>
      <c r="B159" s="57" t="inlineStr">
        <is>
          <t>DTTL - CEO Roadshow - 1.6.26</t>
        </is>
      </c>
      <c r="C159" s="50">
        <f>SUMIFS(tbl_WIP[Amount],tbl_WIP[Job Number],$A159,tbl_WIP[Month],"&lt;&gt;",tbl_WIP[Month],"&lt;"&amp;$C$4)+SUMIF('Deferred Revenue'!$E$6:$E$579,$A159,'Deferred Revenue'!$P$6:$P$579)</f>
        <v/>
      </c>
      <c r="D159" s="50">
        <f>SUMIFS(tbl_WIP[Amount],tbl_WIP[Job Number],$A159,tbl_WIP[Month],$C$4)+SUMIF('Deferred Revenue'!$E$6:$E$579,$A159,'Deferred Revenue'!$Q$6:$Q$579)</f>
        <v/>
      </c>
      <c r="E159" s="50">
        <f>C159+D159</f>
        <v/>
      </c>
      <c r="F159" s="49">
        <f>IF(ROUND(C159,2)+ROUND(D159,2)=0,"","yes")</f>
        <v/>
      </c>
      <c r="G159" s="58" t="n"/>
      <c r="H159" s="50">
        <f>IF($G159="","",$E159-$G159)</f>
        <v/>
      </c>
    </row>
    <row r="160">
      <c r="A160" s="57" t="inlineStr">
        <is>
          <t>26051103</t>
        </is>
      </c>
      <c r="B160" s="57" t="inlineStr">
        <is>
          <t>PwC PER Studio Support 25.05.26</t>
        </is>
      </c>
      <c r="C160" s="50">
        <f>SUMIFS(tbl_WIP[Amount],tbl_WIP[Job Number],$A160,tbl_WIP[Month],"&lt;&gt;",tbl_WIP[Month],"&lt;"&amp;$C$4)+SUMIF('Deferred Revenue'!$E$6:$E$579,$A160,'Deferred Revenue'!$P$6:$P$579)</f>
        <v/>
      </c>
      <c r="D160" s="50">
        <f>SUMIFS(tbl_WIP[Amount],tbl_WIP[Job Number],$A160,tbl_WIP[Month],$C$4)+SUMIF('Deferred Revenue'!$E$6:$E$579,$A160,'Deferred Revenue'!$Q$6:$Q$579)</f>
        <v/>
      </c>
      <c r="E160" s="50">
        <f>C160+D160</f>
        <v/>
      </c>
      <c r="F160" s="49">
        <f>IF(ROUND(C160,2)+ROUND(D160,2)=0,"","yes")</f>
        <v/>
      </c>
      <c r="G160" s="58" t="n"/>
      <c r="H160" s="50">
        <f>IF($G160="","",$E160-$G160)</f>
        <v/>
      </c>
    </row>
    <row r="161">
      <c r="A161" s="57" t="inlineStr">
        <is>
          <t>26051103V</t>
        </is>
      </c>
      <c r="B161" s="57" t="inlineStr">
        <is>
          <t>PwC PER Studio Support 25.05.26</t>
        </is>
      </c>
      <c r="C161" s="50">
        <f>SUMIFS(tbl_WIP[Amount],tbl_WIP[Job Number],$A161,tbl_WIP[Month],"&lt;&gt;",tbl_WIP[Month],"&lt;"&amp;$C$4)+SUMIF('Deferred Revenue'!$E$6:$E$579,$A161,'Deferred Revenue'!$P$6:$P$579)</f>
        <v/>
      </c>
      <c r="D161" s="50">
        <f>SUMIFS(tbl_WIP[Amount],tbl_WIP[Job Number],$A161,tbl_WIP[Month],$C$4)+SUMIF('Deferred Revenue'!$E$6:$E$579,$A161,'Deferred Revenue'!$Q$6:$Q$579)</f>
        <v/>
      </c>
      <c r="E161" s="50">
        <f>C161+D161</f>
        <v/>
      </c>
      <c r="F161" s="49">
        <f>IF(ROUND(C161,2)+ROUND(D161,2)=0,"","yes")</f>
        <v/>
      </c>
      <c r="G161" s="58" t="n"/>
      <c r="H161" s="50">
        <f>IF($G161="","",$E161-$G161)</f>
        <v/>
      </c>
    </row>
    <row r="162">
      <c r="A162" s="57" t="inlineStr">
        <is>
          <t>26051201</t>
        </is>
      </c>
      <c r="B162" s="57" t="inlineStr">
        <is>
          <t>ASX CEO Farewell Highlights</t>
        </is>
      </c>
      <c r="C162" s="50">
        <f>SUMIFS(tbl_WIP[Amount],tbl_WIP[Job Number],$A162,tbl_WIP[Month],"&lt;&gt;",tbl_WIP[Month],"&lt;"&amp;$C$4)+SUMIF('Deferred Revenue'!$E$6:$E$579,$A162,'Deferred Revenue'!$P$6:$P$579)</f>
        <v/>
      </c>
      <c r="D162" s="50">
        <f>SUMIFS(tbl_WIP[Amount],tbl_WIP[Job Number],$A162,tbl_WIP[Month],$C$4)+SUMIF('Deferred Revenue'!$E$6:$E$579,$A162,'Deferred Revenue'!$Q$6:$Q$579)</f>
        <v/>
      </c>
      <c r="E162" s="50">
        <f>C162+D162</f>
        <v/>
      </c>
      <c r="F162" s="49">
        <f>IF(ROUND(C162,2)+ROUND(D162,2)=0,"","yes")</f>
        <v/>
      </c>
      <c r="G162" s="58" t="n"/>
      <c r="H162" s="50">
        <f>IF($G162="","",$E162-$G162)</f>
        <v/>
      </c>
    </row>
    <row r="163">
      <c r="A163" s="57" t="inlineStr">
        <is>
          <t>26051301</t>
        </is>
      </c>
      <c r="B163" s="57" t="inlineStr">
        <is>
          <t>HP-BAE | Phone Mod</t>
        </is>
      </c>
      <c r="C163" s="50">
        <f>SUMIFS(tbl_WIP[Amount],tbl_WIP[Job Number],$A163,tbl_WIP[Month],"&lt;&gt;",tbl_WIP[Month],"&lt;"&amp;$C$4)+SUMIF('Deferred Revenue'!$E$6:$E$579,$A163,'Deferred Revenue'!$P$6:$P$579)</f>
        <v/>
      </c>
      <c r="D163" s="50">
        <f>SUMIFS(tbl_WIP[Amount],tbl_WIP[Job Number],$A163,tbl_WIP[Month],$C$4)+SUMIF('Deferred Revenue'!$E$6:$E$579,$A163,'Deferred Revenue'!$Q$6:$Q$579)</f>
        <v/>
      </c>
      <c r="E163" s="50">
        <f>C163+D163</f>
        <v/>
      </c>
      <c r="F163" s="49">
        <f>IF(ROUND(C163,2)+ROUND(D163,2)=0,"","yes")</f>
        <v/>
      </c>
      <c r="G163" s="58" t="n"/>
      <c r="H163" s="50">
        <f>IF($G163="","",$E163-$G163)</f>
        <v/>
      </c>
    </row>
    <row r="164">
      <c r="A164" s="57" t="inlineStr">
        <is>
          <t>26051401</t>
        </is>
      </c>
      <c r="B164" s="57" t="inlineStr">
        <is>
          <t>ASX - Business Meeting - 27.5.26</t>
        </is>
      </c>
      <c r="C164" s="50">
        <f>SUMIFS(tbl_WIP[Amount],tbl_WIP[Job Number],$A164,tbl_WIP[Month],"&lt;&gt;",tbl_WIP[Month],"&lt;"&amp;$C$4)+SUMIF('Deferred Revenue'!$E$6:$E$579,$A164,'Deferred Revenue'!$P$6:$P$579)</f>
        <v/>
      </c>
      <c r="D164" s="50">
        <f>SUMIFS(tbl_WIP[Amount],tbl_WIP[Job Number],$A164,tbl_WIP[Month],$C$4)+SUMIF('Deferred Revenue'!$E$6:$E$579,$A164,'Deferred Revenue'!$Q$6:$Q$579)</f>
        <v/>
      </c>
      <c r="E164" s="50">
        <f>C164+D164</f>
        <v/>
      </c>
      <c r="F164" s="49">
        <f>IF(ROUND(C164,2)+ROUND(D164,2)=0,"","yes")</f>
        <v/>
      </c>
      <c r="G164" s="58" t="n"/>
      <c r="H164" s="50">
        <f>IF($G164="","",$E164-$G164)</f>
        <v/>
      </c>
    </row>
    <row r="165">
      <c r="A165" s="57" t="inlineStr">
        <is>
          <t>26051401V</t>
        </is>
      </c>
      <c r="B165" s="57" t="inlineStr">
        <is>
          <t>ASX - Business Meeting - 27.5.26</t>
        </is>
      </c>
      <c r="C165" s="50">
        <f>SUMIFS(tbl_WIP[Amount],tbl_WIP[Job Number],$A165,tbl_WIP[Month],"&lt;&gt;",tbl_WIP[Month],"&lt;"&amp;$C$4)+SUMIF('Deferred Revenue'!$E$6:$E$579,$A165,'Deferred Revenue'!$P$6:$P$579)</f>
        <v/>
      </c>
      <c r="D165" s="50">
        <f>SUMIFS(tbl_WIP[Amount],tbl_WIP[Job Number],$A165,tbl_WIP[Month],$C$4)+SUMIF('Deferred Revenue'!$E$6:$E$579,$A165,'Deferred Revenue'!$Q$6:$Q$579)</f>
        <v/>
      </c>
      <c r="E165" s="50">
        <f>C165+D165</f>
        <v/>
      </c>
      <c r="F165" s="49">
        <f>IF(ROUND(C165,2)+ROUND(D165,2)=0,"","yes")</f>
        <v/>
      </c>
      <c r="G165" s="58" t="n"/>
      <c r="H165" s="50">
        <f>IF($G165="","",$E165-$G165)</f>
        <v/>
      </c>
    </row>
    <row r="166">
      <c r="A166" s="57" t="inlineStr">
        <is>
          <t>26051402</t>
        </is>
      </c>
      <c r="B166" s="57" t="inlineStr">
        <is>
          <t>PwC Foldback Monitor Hire</t>
        </is>
      </c>
      <c r="C166" s="50">
        <f>SUMIFS(tbl_WIP[Amount],tbl_WIP[Job Number],$A166,tbl_WIP[Month],"&lt;&gt;",tbl_WIP[Month],"&lt;"&amp;$C$4)+SUMIF('Deferred Revenue'!$E$6:$E$579,$A166,'Deferred Revenue'!$P$6:$P$579)</f>
        <v/>
      </c>
      <c r="D166" s="50">
        <f>SUMIFS(tbl_WIP[Amount],tbl_WIP[Job Number],$A166,tbl_WIP[Month],$C$4)+SUMIF('Deferred Revenue'!$E$6:$E$579,$A166,'Deferred Revenue'!$Q$6:$Q$579)</f>
        <v/>
      </c>
      <c r="E166" s="50">
        <f>C166+D166</f>
        <v/>
      </c>
      <c r="F166" s="49">
        <f>IF(ROUND(C166,2)+ROUND(D166,2)=0,"","yes")</f>
        <v/>
      </c>
      <c r="G166" s="58" t="n"/>
      <c r="H166" s="50">
        <f>IF($G166="","",$E166-$G166)</f>
        <v/>
      </c>
    </row>
    <row r="167">
      <c r="A167" s="57" t="inlineStr">
        <is>
          <t>26051801</t>
        </is>
      </c>
      <c r="B167" s="57" t="inlineStr">
        <is>
          <t>PwC | Mel Studio Equipment</t>
        </is>
      </c>
      <c r="C167" s="50">
        <f>SUMIFS(tbl_WIP[Amount],tbl_WIP[Job Number],$A167,tbl_WIP[Month],"&lt;&gt;",tbl_WIP[Month],"&lt;"&amp;$C$4)+SUMIF('Deferred Revenue'!$E$6:$E$579,$A167,'Deferred Revenue'!$P$6:$P$579)</f>
        <v/>
      </c>
      <c r="D167" s="50">
        <f>SUMIFS(tbl_WIP[Amount],tbl_WIP[Job Number],$A167,tbl_WIP[Month],$C$4)+SUMIF('Deferred Revenue'!$E$6:$E$579,$A167,'Deferred Revenue'!$Q$6:$Q$579)</f>
        <v/>
      </c>
      <c r="E167" s="50">
        <f>C167+D167</f>
        <v/>
      </c>
      <c r="F167" s="49">
        <f>IF(ROUND(C167,2)+ROUND(D167,2)=0,"","yes")</f>
        <v/>
      </c>
      <c r="G167" s="58" t="n"/>
      <c r="H167" s="50">
        <f>IF($G167="","",$E167-$G167)</f>
        <v/>
      </c>
    </row>
    <row r="168">
      <c r="A168" s="57" t="inlineStr">
        <is>
          <t>26051803</t>
        </is>
      </c>
      <c r="B168" s="57" t="inlineStr">
        <is>
          <t>AVIT - Taronga ZOO AV Support - May 2026</t>
        </is>
      </c>
      <c r="C168" s="50">
        <f>SUMIFS(tbl_WIP[Amount],tbl_WIP[Job Number],$A168,tbl_WIP[Month],"&lt;&gt;",tbl_WIP[Month],"&lt;"&amp;$C$4)+SUMIF('Deferred Revenue'!$E$6:$E$579,$A168,'Deferred Revenue'!$P$6:$P$579)</f>
        <v/>
      </c>
      <c r="D168" s="50">
        <f>SUMIFS(tbl_WIP[Amount],tbl_WIP[Job Number],$A168,tbl_WIP[Month],$C$4)+SUMIF('Deferred Revenue'!$E$6:$E$579,$A168,'Deferred Revenue'!$Q$6:$Q$579)</f>
        <v/>
      </c>
      <c r="E168" s="50">
        <f>C168+D168</f>
        <v/>
      </c>
      <c r="F168" s="49">
        <f>IF(ROUND(C168,2)+ROUND(D168,2)=0,"","yes")</f>
        <v/>
      </c>
      <c r="G168" s="58" t="n"/>
      <c r="H168" s="50">
        <f>IF($G168="","",$E168-$G168)</f>
        <v/>
      </c>
    </row>
    <row r="169">
      <c r="A169" s="57" t="inlineStr">
        <is>
          <t>26052001</t>
        </is>
      </c>
      <c r="B169" s="57" t="inlineStr">
        <is>
          <t>MeetMagic - AI Behaviour Event - 29.5.26</t>
        </is>
      </c>
      <c r="C169" s="50">
        <f>SUMIFS(tbl_WIP[Amount],tbl_WIP[Job Number],$A169,tbl_WIP[Month],"&lt;&gt;",tbl_WIP[Month],"&lt;"&amp;$C$4)+SUMIF('Deferred Revenue'!$E$6:$E$579,$A169,'Deferred Revenue'!$P$6:$P$579)</f>
        <v/>
      </c>
      <c r="D169" s="50">
        <f>SUMIFS(tbl_WIP[Amount],tbl_WIP[Job Number],$A169,tbl_WIP[Month],$C$4)+SUMIF('Deferred Revenue'!$E$6:$E$579,$A169,'Deferred Revenue'!$Q$6:$Q$579)</f>
        <v/>
      </c>
      <c r="E169" s="50">
        <f>C169+D169</f>
        <v/>
      </c>
      <c r="F169" s="49">
        <f>IF(ROUND(C169,2)+ROUND(D169,2)=0,"","yes")</f>
        <v/>
      </c>
      <c r="G169" s="58" t="n"/>
      <c r="H169" s="50">
        <f>IF($G169="","",$E169-$G169)</f>
        <v/>
      </c>
    </row>
    <row r="170">
      <c r="A170" s="57" t="inlineStr">
        <is>
          <t>26052001V</t>
        </is>
      </c>
      <c r="B170" s="57" t="inlineStr">
        <is>
          <t>MeetMagic - AI Behaviour Event - 29.5.26</t>
        </is>
      </c>
      <c r="C170" s="50">
        <f>SUMIFS(tbl_WIP[Amount],tbl_WIP[Job Number],$A170,tbl_WIP[Month],"&lt;&gt;",tbl_WIP[Month],"&lt;"&amp;$C$4)+SUMIF('Deferred Revenue'!$E$6:$E$579,$A170,'Deferred Revenue'!$P$6:$P$579)</f>
        <v/>
      </c>
      <c r="D170" s="50">
        <f>SUMIFS(tbl_WIP[Amount],tbl_WIP[Job Number],$A170,tbl_WIP[Month],$C$4)+SUMIF('Deferred Revenue'!$E$6:$E$579,$A170,'Deferred Revenue'!$Q$6:$Q$579)</f>
        <v/>
      </c>
      <c r="E170" s="50">
        <f>C170+D170</f>
        <v/>
      </c>
      <c r="F170" s="49">
        <f>IF(ROUND(C170,2)+ROUND(D170,2)=0,"","yes")</f>
        <v/>
      </c>
      <c r="G170" s="58" t="n"/>
      <c r="H170" s="50">
        <f>IF($G170="","",$E170-$G170)</f>
        <v/>
      </c>
    </row>
    <row r="171">
      <c r="A171" s="57" t="inlineStr">
        <is>
          <t>26052002</t>
        </is>
      </c>
      <c r="B171" s="57" t="inlineStr">
        <is>
          <t>DTTL BNE L23 Training Rooms Upgrade</t>
        </is>
      </c>
      <c r="C171" s="50">
        <f>SUMIFS(tbl_WIP[Amount],tbl_WIP[Job Number],$A171,tbl_WIP[Month],"&lt;&gt;",tbl_WIP[Month],"&lt;"&amp;$C$4)+SUMIF('Deferred Revenue'!$E$6:$E$579,$A171,'Deferred Revenue'!$P$6:$P$579)</f>
        <v/>
      </c>
      <c r="D171" s="50">
        <f>SUMIFS(tbl_WIP[Amount],tbl_WIP[Job Number],$A171,tbl_WIP[Month],$C$4)+SUMIF('Deferred Revenue'!$E$6:$E$579,$A171,'Deferred Revenue'!$Q$6:$Q$579)</f>
        <v/>
      </c>
      <c r="E171" s="50">
        <f>C171+D171</f>
        <v/>
      </c>
      <c r="F171" s="49">
        <f>IF(ROUND(C171,2)+ROUND(D171,2)=0,"","yes")</f>
        <v/>
      </c>
      <c r="G171" s="58" t="n"/>
      <c r="H171" s="50">
        <f>IF($G171="","",$E171-$G171)</f>
        <v/>
      </c>
    </row>
    <row r="172">
      <c r="A172" s="57" t="inlineStr">
        <is>
          <t>26052003</t>
        </is>
      </c>
      <c r="B172" s="57" t="inlineStr">
        <is>
          <t>DTTL Mobile Commbox Displays</t>
        </is>
      </c>
      <c r="C172" s="50">
        <f>SUMIFS(tbl_WIP[Amount],tbl_WIP[Job Number],$A172,tbl_WIP[Month],"&lt;&gt;",tbl_WIP[Month],"&lt;"&amp;$C$4)+SUMIF('Deferred Revenue'!$E$6:$E$579,$A172,'Deferred Revenue'!$P$6:$P$579)</f>
        <v/>
      </c>
      <c r="D172" s="50">
        <f>SUMIFS(tbl_WIP[Amount],tbl_WIP[Job Number],$A172,tbl_WIP[Month],$C$4)+SUMIF('Deferred Revenue'!$E$6:$E$579,$A172,'Deferred Revenue'!$Q$6:$Q$579)</f>
        <v/>
      </c>
      <c r="E172" s="50">
        <f>C172+D172</f>
        <v/>
      </c>
      <c r="F172" s="49">
        <f>IF(ROUND(C172,2)+ROUND(D172,2)=0,"","yes")</f>
        <v/>
      </c>
      <c r="G172" s="58" t="n"/>
      <c r="H172" s="50">
        <f>IF($G172="","",$E172-$G172)</f>
        <v/>
      </c>
    </row>
    <row r="173">
      <c r="A173" s="57" t="inlineStr">
        <is>
          <t>26052004</t>
        </is>
      </c>
      <c r="B173" s="57" t="inlineStr">
        <is>
          <t>CBA - Live Event Support - June 2026</t>
        </is>
      </c>
      <c r="C173" s="50">
        <f>SUMIFS(tbl_WIP[Amount],tbl_WIP[Job Number],$A173,tbl_WIP[Month],"&lt;&gt;",tbl_WIP[Month],"&lt;"&amp;$C$4)+SUMIF('Deferred Revenue'!$E$6:$E$579,$A173,'Deferred Revenue'!$P$6:$P$579)</f>
        <v/>
      </c>
      <c r="D173" s="50">
        <f>SUMIFS(tbl_WIP[Amount],tbl_WIP[Job Number],$A173,tbl_WIP[Month],$C$4)+SUMIF('Deferred Revenue'!$E$6:$E$579,$A173,'Deferred Revenue'!$Q$6:$Q$579)</f>
        <v/>
      </c>
      <c r="E173" s="50">
        <f>C173+D173</f>
        <v/>
      </c>
      <c r="F173" s="49">
        <f>IF(ROUND(C173,2)+ROUND(D173,2)=0,"","yes")</f>
        <v/>
      </c>
      <c r="G173" s="58" t="n"/>
      <c r="H173" s="50">
        <f>IF($G173="","",$E173-$G173)</f>
        <v/>
      </c>
    </row>
    <row r="174">
      <c r="A174" s="57" t="inlineStr">
        <is>
          <t>26052101</t>
        </is>
      </c>
      <c r="B174" s="57" t="inlineStr">
        <is>
          <t>MeetMagic - Human AI Event Highlights</t>
        </is>
      </c>
      <c r="C174" s="50">
        <f>SUMIFS(tbl_WIP[Amount],tbl_WIP[Job Number],$A174,tbl_WIP[Month],"&lt;&gt;",tbl_WIP[Month],"&lt;"&amp;$C$4)+SUMIF('Deferred Revenue'!$E$6:$E$579,$A174,'Deferred Revenue'!$P$6:$P$579)</f>
        <v/>
      </c>
      <c r="D174" s="50">
        <f>SUMIFS(tbl_WIP[Amount],tbl_WIP[Job Number],$A174,tbl_WIP[Month],$C$4)+SUMIF('Deferred Revenue'!$E$6:$E$579,$A174,'Deferred Revenue'!$Q$6:$Q$579)</f>
        <v/>
      </c>
      <c r="E174" s="50">
        <f>C174+D174</f>
        <v/>
      </c>
      <c r="F174" s="49">
        <f>IF(ROUND(C174,2)+ROUND(D174,2)=0,"","yes")</f>
        <v/>
      </c>
      <c r="G174" s="58" t="n"/>
      <c r="H174" s="50">
        <f>IF($G174="","",$E174-$G174)</f>
        <v/>
      </c>
    </row>
    <row r="175">
      <c r="A175" s="57" t="inlineStr">
        <is>
          <t>26052102</t>
        </is>
      </c>
      <c r="B175" s="57" t="inlineStr">
        <is>
          <t>HP-D3 | Austrac Phone Mods</t>
        </is>
      </c>
      <c r="C175" s="50">
        <f>SUMIFS(tbl_WIP[Amount],tbl_WIP[Job Number],$A175,tbl_WIP[Month],"&lt;&gt;",tbl_WIP[Month],"&lt;"&amp;$C$4)+SUMIF('Deferred Revenue'!$E$6:$E$579,$A175,'Deferred Revenue'!$P$6:$P$579)</f>
        <v/>
      </c>
      <c r="D175" s="50">
        <f>SUMIFS(tbl_WIP[Amount],tbl_WIP[Job Number],$A175,tbl_WIP[Month],$C$4)+SUMIF('Deferred Revenue'!$E$6:$E$579,$A175,'Deferred Revenue'!$Q$6:$Q$579)</f>
        <v/>
      </c>
      <c r="E175" s="50">
        <f>C175+D175</f>
        <v/>
      </c>
      <c r="F175" s="49">
        <f>IF(ROUND(C175,2)+ROUND(D175,2)=0,"","yes")</f>
        <v/>
      </c>
      <c r="G175" s="58" t="n"/>
      <c r="H175" s="50">
        <f>IF($G175="","",$E175-$G175)</f>
        <v/>
      </c>
    </row>
    <row r="176">
      <c r="A176" s="57" t="inlineStr">
        <is>
          <t>26052103</t>
        </is>
      </c>
      <c r="B176" s="57" t="inlineStr">
        <is>
          <t>Ventia - LTI FY26 Video Record</t>
        </is>
      </c>
      <c r="C176" s="50">
        <f>SUMIFS(tbl_WIP[Amount],tbl_WIP[Job Number],$A176,tbl_WIP[Month],"&lt;&gt;",tbl_WIP[Month],"&lt;"&amp;$C$4)+SUMIF('Deferred Revenue'!$E$6:$E$579,$A176,'Deferred Revenue'!$P$6:$P$579)</f>
        <v/>
      </c>
      <c r="D176" s="50">
        <f>SUMIFS(tbl_WIP[Amount],tbl_WIP[Job Number],$A176,tbl_WIP[Month],$C$4)+SUMIF('Deferred Revenue'!$E$6:$E$579,$A176,'Deferred Revenue'!$Q$6:$Q$579)</f>
        <v/>
      </c>
      <c r="E176" s="50">
        <f>C176+D176</f>
        <v/>
      </c>
      <c r="F176" s="49">
        <f>IF(ROUND(C176,2)+ROUND(D176,2)=0,"","yes")</f>
        <v/>
      </c>
      <c r="G176" s="58" t="n"/>
      <c r="H176" s="50">
        <f>IF($G176="","",$E176-$G176)</f>
        <v/>
      </c>
    </row>
    <row r="177">
      <c r="A177" s="57" t="inlineStr">
        <is>
          <t>26052501V</t>
        </is>
      </c>
      <c r="B177" s="57" t="inlineStr">
        <is>
          <t>AVIT - Taronga AV Event Support - 26-27.5.26</t>
        </is>
      </c>
      <c r="C177" s="50">
        <f>SUMIFS(tbl_WIP[Amount],tbl_WIP[Job Number],$A177,tbl_WIP[Month],"&lt;&gt;",tbl_WIP[Month],"&lt;"&amp;$C$4)+SUMIF('Deferred Revenue'!$E$6:$E$579,$A177,'Deferred Revenue'!$P$6:$P$579)</f>
        <v/>
      </c>
      <c r="D177" s="50">
        <f>SUMIFS(tbl_WIP[Amount],tbl_WIP[Job Number],$A177,tbl_WIP[Month],$C$4)+SUMIF('Deferred Revenue'!$E$6:$E$579,$A177,'Deferred Revenue'!$Q$6:$Q$579)</f>
        <v/>
      </c>
      <c r="E177" s="50">
        <f>C177+D177</f>
        <v/>
      </c>
      <c r="F177" s="49">
        <f>IF(ROUND(C177,2)+ROUND(D177,2)=0,"","yes")</f>
        <v/>
      </c>
      <c r="G177" s="58" t="n"/>
      <c r="H177" s="50">
        <f>IF($G177="","",$E177-$G177)</f>
        <v/>
      </c>
    </row>
    <row r="178">
      <c r="A178" s="57" t="inlineStr">
        <is>
          <t>26052502</t>
        </is>
      </c>
      <c r="B178" s="57" t="inlineStr">
        <is>
          <t>AVIT - Taronga AV Event Support 4-5.06.26</t>
        </is>
      </c>
      <c r="C178" s="50">
        <f>SUMIFS(tbl_WIP[Amount],tbl_WIP[Job Number],$A178,tbl_WIP[Month],"&lt;&gt;",tbl_WIP[Month],"&lt;"&amp;$C$4)+SUMIF('Deferred Revenue'!$E$6:$E$579,$A178,'Deferred Revenue'!$P$6:$P$579)</f>
        <v/>
      </c>
      <c r="D178" s="50">
        <f>SUMIFS(tbl_WIP[Amount],tbl_WIP[Job Number],$A178,tbl_WIP[Month],$C$4)+SUMIF('Deferred Revenue'!$E$6:$E$579,$A178,'Deferred Revenue'!$Q$6:$Q$579)</f>
        <v/>
      </c>
      <c r="E178" s="50">
        <f>C178+D178</f>
        <v/>
      </c>
      <c r="F178" s="49">
        <f>IF(ROUND(C178,2)+ROUND(D178,2)=0,"","yes")</f>
        <v/>
      </c>
      <c r="G178" s="58" t="n"/>
      <c r="H178" s="50">
        <f>IF($G178="","",$E178-$G178)</f>
        <v/>
      </c>
    </row>
    <row r="179">
      <c r="A179" s="57" t="inlineStr">
        <is>
          <t>26052502V</t>
        </is>
      </c>
      <c r="B179" s="57" t="inlineStr">
        <is>
          <t>AVIT - Taronga AV Event Support 4-5.06.26</t>
        </is>
      </c>
      <c r="C179" s="50">
        <f>SUMIFS(tbl_WIP[Amount],tbl_WIP[Job Number],$A179,tbl_WIP[Month],"&lt;&gt;",tbl_WIP[Month],"&lt;"&amp;$C$4)+SUMIF('Deferred Revenue'!$E$6:$E$579,$A179,'Deferred Revenue'!$P$6:$P$579)</f>
        <v/>
      </c>
      <c r="D179" s="50">
        <f>SUMIFS(tbl_WIP[Amount],tbl_WIP[Job Number],$A179,tbl_WIP[Month],$C$4)+SUMIF('Deferred Revenue'!$E$6:$E$579,$A179,'Deferred Revenue'!$Q$6:$Q$579)</f>
        <v/>
      </c>
      <c r="E179" s="50">
        <f>C179+D179</f>
        <v/>
      </c>
      <c r="F179" s="49">
        <f>IF(ROUND(C179,2)+ROUND(D179,2)=0,"","yes")</f>
        <v/>
      </c>
      <c r="G179" s="58" t="n"/>
      <c r="H179" s="50">
        <f>IF($G179="","",$E179-$G179)</f>
        <v/>
      </c>
    </row>
    <row r="180">
      <c r="A180" s="57" t="inlineStr">
        <is>
          <t>26052602</t>
        </is>
      </c>
      <c r="B180" s="57" t="inlineStr">
        <is>
          <t>DTTL MEL Display Supply</t>
        </is>
      </c>
      <c r="C180" s="50">
        <f>SUMIFS(tbl_WIP[Amount],tbl_WIP[Job Number],$A180,tbl_WIP[Month],"&lt;&gt;",tbl_WIP[Month],"&lt;"&amp;$C$4)+SUMIF('Deferred Revenue'!$E$6:$E$579,$A180,'Deferred Revenue'!$P$6:$P$579)</f>
        <v/>
      </c>
      <c r="D180" s="50">
        <f>SUMIFS(tbl_WIP[Amount],tbl_WIP[Job Number],$A180,tbl_WIP[Month],$C$4)+SUMIF('Deferred Revenue'!$E$6:$E$579,$A180,'Deferred Revenue'!$Q$6:$Q$579)</f>
        <v/>
      </c>
      <c r="E180" s="50">
        <f>C180+D180</f>
        <v/>
      </c>
      <c r="F180" s="49">
        <f>IF(ROUND(C180,2)+ROUND(D180,2)=0,"","yes")</f>
        <v/>
      </c>
      <c r="G180" s="58" t="n"/>
      <c r="H180" s="50">
        <f>IF($G180="","",$E180-$G180)</f>
        <v/>
      </c>
    </row>
    <row r="181">
      <c r="A181" s="57" t="inlineStr">
        <is>
          <t>26052701</t>
        </is>
      </c>
      <c r="B181" s="57" t="inlineStr">
        <is>
          <t>Aware | SYD 28.06 Equipment</t>
        </is>
      </c>
      <c r="C181" s="50">
        <f>SUMIFS(tbl_WIP[Amount],tbl_WIP[Job Number],$A181,tbl_WIP[Month],"&lt;&gt;",tbl_WIP[Month],"&lt;"&amp;$C$4)+SUMIF('Deferred Revenue'!$E$6:$E$579,$A181,'Deferred Revenue'!$P$6:$P$579)</f>
        <v/>
      </c>
      <c r="D181" s="50">
        <f>SUMIFS(tbl_WIP[Amount],tbl_WIP[Job Number],$A181,tbl_WIP[Month],$C$4)+SUMIF('Deferred Revenue'!$E$6:$E$579,$A181,'Deferred Revenue'!$Q$6:$Q$579)</f>
        <v/>
      </c>
      <c r="E181" s="50">
        <f>C181+D181</f>
        <v/>
      </c>
      <c r="F181" s="49">
        <f>IF(ROUND(C181,2)+ROUND(D181,2)=0,"","yes")</f>
        <v/>
      </c>
      <c r="G181" s="58" t="n"/>
      <c r="H181" s="50">
        <f>IF($G181="","",$E181-$G181)</f>
        <v/>
      </c>
    </row>
    <row r="182">
      <c r="A182" s="57" t="inlineStr">
        <is>
          <t>26052702</t>
        </is>
      </c>
      <c r="B182" s="57" t="inlineStr">
        <is>
          <t>ASX - FYR - 13.8.26</t>
        </is>
      </c>
      <c r="C182" s="50">
        <f>SUMIFS(tbl_WIP[Amount],tbl_WIP[Job Number],$A182,tbl_WIP[Month],"&lt;&gt;",tbl_WIP[Month],"&lt;"&amp;$C$4)+SUMIF('Deferred Revenue'!$E$6:$E$579,$A182,'Deferred Revenue'!$P$6:$P$579)</f>
        <v/>
      </c>
      <c r="D182" s="50">
        <f>SUMIFS(tbl_WIP[Amount],tbl_WIP[Job Number],$A182,tbl_WIP[Month],$C$4)+SUMIF('Deferred Revenue'!$E$6:$E$579,$A182,'Deferred Revenue'!$Q$6:$Q$579)</f>
        <v/>
      </c>
      <c r="E182" s="50">
        <f>C182+D182</f>
        <v/>
      </c>
      <c r="F182" s="49">
        <f>IF(ROUND(C182,2)+ROUND(D182,2)=0,"","yes")</f>
        <v/>
      </c>
      <c r="G182" s="58" t="n"/>
      <c r="H182" s="50">
        <f>IF($G182="","",$E182-$G182)</f>
        <v/>
      </c>
    </row>
    <row r="183">
      <c r="A183" s="57" t="inlineStr">
        <is>
          <t>26052702V</t>
        </is>
      </c>
      <c r="B183" s="57" t="inlineStr">
        <is>
          <t>ASX - FYR - 13.8.26</t>
        </is>
      </c>
      <c r="C183" s="50">
        <f>SUMIFS(tbl_WIP[Amount],tbl_WIP[Job Number],$A183,tbl_WIP[Month],"&lt;&gt;",tbl_WIP[Month],"&lt;"&amp;$C$4)+SUMIF('Deferred Revenue'!$E$6:$E$579,$A183,'Deferred Revenue'!$P$6:$P$579)</f>
        <v/>
      </c>
      <c r="D183" s="50">
        <f>SUMIFS(tbl_WIP[Amount],tbl_WIP[Job Number],$A183,tbl_WIP[Month],$C$4)+SUMIF('Deferred Revenue'!$E$6:$E$579,$A183,'Deferred Revenue'!$Q$6:$Q$579)</f>
        <v/>
      </c>
      <c r="E183" s="50">
        <f>C183+D183</f>
        <v/>
      </c>
      <c r="F183" s="49">
        <f>IF(ROUND(C183,2)+ROUND(D183,2)=0,"","yes")</f>
        <v/>
      </c>
      <c r="G183" s="58" t="n"/>
      <c r="H183" s="50">
        <f>IF($G183="","",$E183-$G183)</f>
        <v/>
      </c>
    </row>
    <row r="184">
      <c r="A184" s="57" t="inlineStr">
        <is>
          <t>26052703</t>
        </is>
      </c>
      <c r="B184" s="57" t="inlineStr">
        <is>
          <t>Microsoft Town Hall - 21.7.26</t>
        </is>
      </c>
      <c r="C184" s="50">
        <f>SUMIFS(tbl_WIP[Amount],tbl_WIP[Job Number],$A184,tbl_WIP[Month],"&lt;&gt;",tbl_WIP[Month],"&lt;"&amp;$C$4)+SUMIF('Deferred Revenue'!$E$6:$E$579,$A184,'Deferred Revenue'!$P$6:$P$579)</f>
        <v/>
      </c>
      <c r="D184" s="50">
        <f>SUMIFS(tbl_WIP[Amount],tbl_WIP[Job Number],$A184,tbl_WIP[Month],$C$4)+SUMIF('Deferred Revenue'!$E$6:$E$579,$A184,'Deferred Revenue'!$Q$6:$Q$579)</f>
        <v/>
      </c>
      <c r="E184" s="50">
        <f>C184+D184</f>
        <v/>
      </c>
      <c r="F184" s="49">
        <f>IF(ROUND(C184,2)+ROUND(D184,2)=0,"","yes")</f>
        <v/>
      </c>
      <c r="G184" s="58" t="n"/>
      <c r="H184" s="50">
        <f>IF($G184="","",$E184-$G184)</f>
        <v/>
      </c>
    </row>
    <row r="185">
      <c r="A185" s="57" t="inlineStr">
        <is>
          <t>26052703V</t>
        </is>
      </c>
      <c r="B185" s="57" t="inlineStr">
        <is>
          <t>Microsoft Town Hall - 21.7.26</t>
        </is>
      </c>
      <c r="C185" s="50">
        <f>SUMIFS(tbl_WIP[Amount],tbl_WIP[Job Number],$A185,tbl_WIP[Month],"&lt;&gt;",tbl_WIP[Month],"&lt;"&amp;$C$4)+SUMIF('Deferred Revenue'!$E$6:$E$579,$A185,'Deferred Revenue'!$P$6:$P$579)</f>
        <v/>
      </c>
      <c r="D185" s="50">
        <f>SUMIFS(tbl_WIP[Amount],tbl_WIP[Job Number],$A185,tbl_WIP[Month],$C$4)+SUMIF('Deferred Revenue'!$E$6:$E$579,$A185,'Deferred Revenue'!$Q$6:$Q$579)</f>
        <v/>
      </c>
      <c r="E185" s="50">
        <f>C185+D185</f>
        <v/>
      </c>
      <c r="F185" s="49">
        <f>IF(ROUND(C185,2)+ROUND(D185,2)=0,"","yes")</f>
        <v/>
      </c>
      <c r="G185" s="58" t="n"/>
      <c r="H185" s="50">
        <f>IF($G185="","",$E185-$G185)</f>
        <v/>
      </c>
    </row>
    <row r="186">
      <c r="A186" s="57" t="inlineStr">
        <is>
          <t>26052704</t>
        </is>
      </c>
      <c r="B186" s="57" t="inlineStr">
        <is>
          <t>AVIT - Pinsent Masons Technician Callout</t>
        </is>
      </c>
      <c r="C186" s="50">
        <f>SUMIFS(tbl_WIP[Amount],tbl_WIP[Job Number],$A186,tbl_WIP[Month],"&lt;&gt;",tbl_WIP[Month],"&lt;"&amp;$C$4)+SUMIF('Deferred Revenue'!$E$6:$E$579,$A186,'Deferred Revenue'!$P$6:$P$579)</f>
        <v/>
      </c>
      <c r="D186" s="50">
        <f>SUMIFS(tbl_WIP[Amount],tbl_WIP[Job Number],$A186,tbl_WIP[Month],$C$4)+SUMIF('Deferred Revenue'!$E$6:$E$579,$A186,'Deferred Revenue'!$Q$6:$Q$579)</f>
        <v/>
      </c>
      <c r="E186" s="50">
        <f>C186+D186</f>
        <v/>
      </c>
      <c r="F186" s="49">
        <f>IF(ROUND(C186,2)+ROUND(D186,2)=0,"","yes")</f>
        <v/>
      </c>
      <c r="G186" s="58" t="n"/>
      <c r="H186" s="50">
        <f>IF($G186="","",$E186-$G186)</f>
        <v/>
      </c>
    </row>
    <row r="187">
      <c r="A187" s="57" t="inlineStr">
        <is>
          <t>26052901</t>
        </is>
      </c>
      <c r="B187" s="57" t="inlineStr">
        <is>
          <t>Causeway Productions - Stool Hire - 1.6.27</t>
        </is>
      </c>
      <c r="C187" s="50">
        <f>SUMIFS(tbl_WIP[Amount],tbl_WIP[Job Number],$A187,tbl_WIP[Month],"&lt;&gt;",tbl_WIP[Month],"&lt;"&amp;$C$4)+SUMIF('Deferred Revenue'!$E$6:$E$579,$A187,'Deferred Revenue'!$P$6:$P$579)</f>
        <v/>
      </c>
      <c r="D187" s="50">
        <f>SUMIFS(tbl_WIP[Amount],tbl_WIP[Job Number],$A187,tbl_WIP[Month],$C$4)+SUMIF('Deferred Revenue'!$E$6:$E$579,$A187,'Deferred Revenue'!$Q$6:$Q$579)</f>
        <v/>
      </c>
      <c r="E187" s="50">
        <f>C187+D187</f>
        <v/>
      </c>
      <c r="F187" s="49">
        <f>IF(ROUND(C187,2)+ROUND(D187,2)=0,"","yes")</f>
        <v/>
      </c>
      <c r="G187" s="58" t="n"/>
      <c r="H187" s="50">
        <f>IF($G187="","",$E187-$G187)</f>
        <v/>
      </c>
    </row>
    <row r="188">
      <c r="A188" s="57" t="inlineStr">
        <is>
          <t>26052901V</t>
        </is>
      </c>
      <c r="B188" s="57" t="inlineStr">
        <is>
          <t>Causeway Productions - Stool Hire - 1.6.27</t>
        </is>
      </c>
      <c r="C188" s="50">
        <f>SUMIFS(tbl_WIP[Amount],tbl_WIP[Job Number],$A188,tbl_WIP[Month],"&lt;&gt;",tbl_WIP[Month],"&lt;"&amp;$C$4)+SUMIF('Deferred Revenue'!$E$6:$E$579,$A188,'Deferred Revenue'!$P$6:$P$579)</f>
        <v/>
      </c>
      <c r="D188" s="50">
        <f>SUMIFS(tbl_WIP[Amount],tbl_WIP[Job Number],$A188,tbl_WIP[Month],$C$4)+SUMIF('Deferred Revenue'!$E$6:$E$579,$A188,'Deferred Revenue'!$Q$6:$Q$579)</f>
        <v/>
      </c>
      <c r="E188" s="50">
        <f>C188+D188</f>
        <v/>
      </c>
      <c r="F188" s="49">
        <f>IF(ROUND(C188,2)+ROUND(D188,2)=0,"","yes")</f>
        <v/>
      </c>
      <c r="G188" s="58" t="n"/>
      <c r="H188" s="50">
        <f>IF($G188="","",$E188-$G188)</f>
        <v/>
      </c>
    </row>
    <row r="189">
      <c r="A189" s="57" t="inlineStr">
        <is>
          <t>2605401</t>
        </is>
      </c>
      <c r="B189" s="57" t="inlineStr">
        <is>
          <t>AGL FYR - Investor Briefing - 12.8.26</t>
        </is>
      </c>
      <c r="C189" s="50">
        <f>SUMIFS(tbl_WIP[Amount],tbl_WIP[Job Number],$A189,tbl_WIP[Month],"&lt;&gt;",tbl_WIP[Month],"&lt;"&amp;$C$4)+SUMIF('Deferred Revenue'!$E$6:$E$579,$A189,'Deferred Revenue'!$P$6:$P$579)</f>
        <v/>
      </c>
      <c r="D189" s="50">
        <f>SUMIFS(tbl_WIP[Amount],tbl_WIP[Job Number],$A189,tbl_WIP[Month],$C$4)+SUMIF('Deferred Revenue'!$E$6:$E$579,$A189,'Deferred Revenue'!$Q$6:$Q$579)</f>
        <v/>
      </c>
      <c r="E189" s="50">
        <f>C189+D189</f>
        <v/>
      </c>
      <c r="F189" s="49">
        <f>IF(ROUND(C189,2)+ROUND(D189,2)=0,"","yes")</f>
        <v/>
      </c>
      <c r="G189" s="58" t="n"/>
      <c r="H189" s="50">
        <f>IF($G189="","",$E189-$G189)</f>
        <v/>
      </c>
    </row>
    <row r="190">
      <c r="A190" s="57" t="inlineStr">
        <is>
          <t>2605401V</t>
        </is>
      </c>
      <c r="B190" s="57" t="inlineStr">
        <is>
          <t>AGL FYR - Investor Briefing - 12.8.26</t>
        </is>
      </c>
      <c r="C190" s="50">
        <f>SUMIFS(tbl_WIP[Amount],tbl_WIP[Job Number],$A190,tbl_WIP[Month],"&lt;&gt;",tbl_WIP[Month],"&lt;"&amp;$C$4)+SUMIF('Deferred Revenue'!$E$6:$E$579,$A190,'Deferred Revenue'!$P$6:$P$579)</f>
        <v/>
      </c>
      <c r="D190" s="50">
        <f>SUMIFS(tbl_WIP[Amount],tbl_WIP[Job Number],$A190,tbl_WIP[Month],$C$4)+SUMIF('Deferred Revenue'!$E$6:$E$579,$A190,'Deferred Revenue'!$Q$6:$Q$579)</f>
        <v/>
      </c>
      <c r="E190" s="50">
        <f>C190+D190</f>
        <v/>
      </c>
      <c r="F190" s="49">
        <f>IF(ROUND(C190,2)+ROUND(D190,2)=0,"","yes")</f>
        <v/>
      </c>
      <c r="G190" s="58" t="n"/>
      <c r="H190" s="50">
        <f>IF($G190="","",$E190-$G190)</f>
        <v/>
      </c>
    </row>
    <row r="191">
      <c r="A191" s="57" t="inlineStr">
        <is>
          <t>2605402</t>
        </is>
      </c>
      <c r="B191" s="57" t="inlineStr">
        <is>
          <t>AGL FYR - Employee Town Hall - 12.8.26</t>
        </is>
      </c>
      <c r="C191" s="50">
        <f>SUMIFS(tbl_WIP[Amount],tbl_WIP[Job Number],$A191,tbl_WIP[Month],"&lt;&gt;",tbl_WIP[Month],"&lt;"&amp;$C$4)+SUMIF('Deferred Revenue'!$E$6:$E$579,$A191,'Deferred Revenue'!$P$6:$P$579)</f>
        <v/>
      </c>
      <c r="D191" s="50">
        <f>SUMIFS(tbl_WIP[Amount],tbl_WIP[Job Number],$A191,tbl_WIP[Month],$C$4)+SUMIF('Deferred Revenue'!$E$6:$E$579,$A191,'Deferred Revenue'!$Q$6:$Q$579)</f>
        <v/>
      </c>
      <c r="E191" s="50">
        <f>C191+D191</f>
        <v/>
      </c>
      <c r="F191" s="49">
        <f>IF(ROUND(C191,2)+ROUND(D191,2)=0,"","yes")</f>
        <v/>
      </c>
      <c r="G191" s="58" t="n"/>
      <c r="H191" s="50">
        <f>IF($G191="","",$E191-$G191)</f>
        <v/>
      </c>
    </row>
    <row r="192">
      <c r="A192" s="57" t="inlineStr">
        <is>
          <t>2605402V</t>
        </is>
      </c>
      <c r="B192" s="57" t="inlineStr">
        <is>
          <t>AGL FYR - Employee Town Hall - 12.8.26</t>
        </is>
      </c>
      <c r="C192" s="50">
        <f>SUMIFS(tbl_WIP[Amount],tbl_WIP[Job Number],$A192,tbl_WIP[Month],"&lt;&gt;",tbl_WIP[Month],"&lt;"&amp;$C$4)+SUMIF('Deferred Revenue'!$E$6:$E$579,$A192,'Deferred Revenue'!$P$6:$P$579)</f>
        <v/>
      </c>
      <c r="D192" s="50">
        <f>SUMIFS(tbl_WIP[Amount],tbl_WIP[Job Number],$A192,tbl_WIP[Month],$C$4)+SUMIF('Deferred Revenue'!$E$6:$E$579,$A192,'Deferred Revenue'!$Q$6:$Q$579)</f>
        <v/>
      </c>
      <c r="E192" s="50">
        <f>C192+D192</f>
        <v/>
      </c>
      <c r="F192" s="49">
        <f>IF(ROUND(C192,2)+ROUND(D192,2)=0,"","yes")</f>
        <v/>
      </c>
      <c r="G192" s="58" t="n"/>
      <c r="H192" s="50">
        <f>IF($G192="","",$E192-$G192)</f>
        <v/>
      </c>
    </row>
    <row r="193">
      <c r="A193" s="57" t="inlineStr">
        <is>
          <t>2605403</t>
        </is>
      </c>
      <c r="B193" s="57" t="inlineStr">
        <is>
          <t>ARUP - Oves Awards - 23.7.26</t>
        </is>
      </c>
      <c r="C193" s="50">
        <f>SUMIFS(tbl_WIP[Amount],tbl_WIP[Job Number],$A193,tbl_WIP[Month],"&lt;&gt;",tbl_WIP[Month],"&lt;"&amp;$C$4)+SUMIF('Deferred Revenue'!$E$6:$E$579,$A193,'Deferred Revenue'!$P$6:$P$579)</f>
        <v/>
      </c>
      <c r="D193" s="50">
        <f>SUMIFS(tbl_WIP[Amount],tbl_WIP[Job Number],$A193,tbl_WIP[Month],$C$4)+SUMIF('Deferred Revenue'!$E$6:$E$579,$A193,'Deferred Revenue'!$Q$6:$Q$579)</f>
        <v/>
      </c>
      <c r="E193" s="50">
        <f>C193+D193</f>
        <v/>
      </c>
      <c r="F193" s="49">
        <f>IF(ROUND(C193,2)+ROUND(D193,2)=0,"","yes")</f>
        <v/>
      </c>
      <c r="G193" s="58" t="n"/>
      <c r="H193" s="50">
        <f>IF($G193="","",$E193-$G193)</f>
        <v/>
      </c>
    </row>
    <row r="194">
      <c r="A194" s="57" t="inlineStr">
        <is>
          <t>2605403V</t>
        </is>
      </c>
      <c r="B194" s="57" t="inlineStr">
        <is>
          <t>ARUP - Oves Awards - 23.7.26</t>
        </is>
      </c>
      <c r="C194" s="50">
        <f>SUMIFS(tbl_WIP[Amount],tbl_WIP[Job Number],$A194,tbl_WIP[Month],"&lt;&gt;",tbl_WIP[Month],"&lt;"&amp;$C$4)+SUMIF('Deferred Revenue'!$E$6:$E$579,$A194,'Deferred Revenue'!$P$6:$P$579)</f>
        <v/>
      </c>
      <c r="D194" s="50">
        <f>SUMIFS(tbl_WIP[Amount],tbl_WIP[Job Number],$A194,tbl_WIP[Month],$C$4)+SUMIF('Deferred Revenue'!$E$6:$E$579,$A194,'Deferred Revenue'!$Q$6:$Q$579)</f>
        <v/>
      </c>
      <c r="E194" s="50">
        <f>C194+D194</f>
        <v/>
      </c>
      <c r="F194" s="49">
        <f>IF(ROUND(C194,2)+ROUND(D194,2)=0,"","yes")</f>
        <v/>
      </c>
      <c r="G194" s="58" t="n"/>
      <c r="H194" s="50">
        <f>IF($G194="","",$E194-$G194)</f>
        <v/>
      </c>
    </row>
    <row r="195">
      <c r="A195" s="57" t="inlineStr">
        <is>
          <t>2605501</t>
        </is>
      </c>
      <c r="B195" s="57" t="inlineStr">
        <is>
          <t>DTTL Tech Support AWS AP AI Symposium</t>
        </is>
      </c>
      <c r="C195" s="50">
        <f>SUMIFS(tbl_WIP[Amount],tbl_WIP[Job Number],$A195,tbl_WIP[Month],"&lt;&gt;",tbl_WIP[Month],"&lt;"&amp;$C$4)+SUMIF('Deferred Revenue'!$E$6:$E$579,$A195,'Deferred Revenue'!$P$6:$P$579)</f>
        <v/>
      </c>
      <c r="D195" s="50">
        <f>SUMIFS(tbl_WIP[Amount],tbl_WIP[Job Number],$A195,tbl_WIP[Month],$C$4)+SUMIF('Deferred Revenue'!$E$6:$E$579,$A195,'Deferred Revenue'!$Q$6:$Q$579)</f>
        <v/>
      </c>
      <c r="E195" s="50">
        <f>C195+D195</f>
        <v/>
      </c>
      <c r="F195" s="49">
        <f>IF(ROUND(C195,2)+ROUND(D195,2)=0,"","yes")</f>
        <v/>
      </c>
      <c r="G195" s="58" t="n"/>
      <c r="H195" s="50">
        <f>IF($G195="","",$E195-$G195)</f>
        <v/>
      </c>
    </row>
    <row r="196">
      <c r="A196" s="57" t="inlineStr">
        <is>
          <t>2605502</t>
        </is>
      </c>
      <c r="B196" s="57" t="inlineStr">
        <is>
          <t>CBA BNE - Event Support - 13.5.26</t>
        </is>
      </c>
      <c r="C196" s="50">
        <f>SUMIFS(tbl_WIP[Amount],tbl_WIP[Job Number],$A196,tbl_WIP[Month],"&lt;&gt;",tbl_WIP[Month],"&lt;"&amp;$C$4)+SUMIF('Deferred Revenue'!$E$6:$E$579,$A196,'Deferred Revenue'!$P$6:$P$579)</f>
        <v/>
      </c>
      <c r="D196" s="50">
        <f>SUMIFS(tbl_WIP[Amount],tbl_WIP[Job Number],$A196,tbl_WIP[Month],$C$4)+SUMIF('Deferred Revenue'!$E$6:$E$579,$A196,'Deferred Revenue'!$Q$6:$Q$579)</f>
        <v/>
      </c>
      <c r="E196" s="50">
        <f>C196+D196</f>
        <v/>
      </c>
      <c r="F196" s="49">
        <f>IF(ROUND(C196,2)+ROUND(D196,2)=0,"","yes")</f>
        <v/>
      </c>
      <c r="G196" s="58" t="n"/>
      <c r="H196" s="50">
        <f>IF($G196="","",$E196-$G196)</f>
        <v/>
      </c>
    </row>
    <row r="197">
      <c r="A197" s="57" t="inlineStr">
        <is>
          <t>2605502V</t>
        </is>
      </c>
      <c r="B197" s="57" t="inlineStr">
        <is>
          <t>CBA BNE - Event Support - 13.5.26</t>
        </is>
      </c>
      <c r="C197" s="50">
        <f>SUMIFS(tbl_WIP[Amount],tbl_WIP[Job Number],$A197,tbl_WIP[Month],"&lt;&gt;",tbl_WIP[Month],"&lt;"&amp;$C$4)+SUMIF('Deferred Revenue'!$E$6:$E$579,$A197,'Deferred Revenue'!$P$6:$P$579)</f>
        <v/>
      </c>
      <c r="D197" s="50">
        <f>SUMIFS(tbl_WIP[Amount],tbl_WIP[Job Number],$A197,tbl_WIP[Month],$C$4)+SUMIF('Deferred Revenue'!$E$6:$E$579,$A197,'Deferred Revenue'!$Q$6:$Q$579)</f>
        <v/>
      </c>
      <c r="E197" s="50">
        <f>C197+D197</f>
        <v/>
      </c>
      <c r="F197" s="49">
        <f>IF(ROUND(C197,2)+ROUND(D197,2)=0,"","yes")</f>
        <v/>
      </c>
      <c r="G197" s="58" t="n"/>
      <c r="H197" s="50">
        <f>IF($G197="","",$E197-$G197)</f>
        <v/>
      </c>
    </row>
    <row r="198">
      <c r="A198" s="57" t="inlineStr">
        <is>
          <t>2605503</t>
        </is>
      </c>
      <c r="B198" s="57" t="inlineStr">
        <is>
          <t>DTTL L31 reception Led Wall Audio DSP Repair</t>
        </is>
      </c>
      <c r="C198" s="50">
        <f>SUMIFS(tbl_WIP[Amount],tbl_WIP[Job Number],$A198,tbl_WIP[Month],"&lt;&gt;",tbl_WIP[Month],"&lt;"&amp;$C$4)+SUMIF('Deferred Revenue'!$E$6:$E$579,$A198,'Deferred Revenue'!$P$6:$P$579)</f>
        <v/>
      </c>
      <c r="D198" s="50">
        <f>SUMIFS(tbl_WIP[Amount],tbl_WIP[Job Number],$A198,tbl_WIP[Month],$C$4)+SUMIF('Deferred Revenue'!$E$6:$E$579,$A198,'Deferred Revenue'!$Q$6:$Q$579)</f>
        <v/>
      </c>
      <c r="E198" s="50">
        <f>C198+D198</f>
        <v/>
      </c>
      <c r="F198" s="49">
        <f>IF(ROUND(C198,2)+ROUND(D198,2)=0,"","yes")</f>
        <v/>
      </c>
      <c r="G198" s="58" t="n"/>
      <c r="H198" s="50">
        <f>IF($G198="","",$E198-$G198)</f>
        <v/>
      </c>
    </row>
    <row r="199">
      <c r="A199" s="57" t="inlineStr">
        <is>
          <t>2605605</t>
        </is>
      </c>
      <c r="B199" s="57" t="inlineStr">
        <is>
          <t>DTTL Hobart AV Fitout</t>
        </is>
      </c>
      <c r="C199" s="50">
        <f>SUMIFS(tbl_WIP[Amount],tbl_WIP[Job Number],$A199,tbl_WIP[Month],"&lt;&gt;",tbl_WIP[Month],"&lt;"&amp;$C$4)+SUMIF('Deferred Revenue'!$E$6:$E$579,$A199,'Deferred Revenue'!$P$6:$P$579)</f>
        <v/>
      </c>
      <c r="D199" s="50">
        <f>SUMIFS(tbl_WIP[Amount],tbl_WIP[Job Number],$A199,tbl_WIP[Month],$C$4)+SUMIF('Deferred Revenue'!$E$6:$E$579,$A199,'Deferred Revenue'!$Q$6:$Q$579)</f>
        <v/>
      </c>
      <c r="E199" s="50">
        <f>C199+D199</f>
        <v/>
      </c>
      <c r="F199" s="49">
        <f>IF(ROUND(C199,2)+ROUND(D199,2)=0,"","yes")</f>
        <v/>
      </c>
      <c r="G199" s="58" t="n"/>
      <c r="H199" s="50">
        <f>IF($G199="","",$E199-$G199)</f>
        <v/>
      </c>
    </row>
    <row r="200">
      <c r="A200" s="57" t="inlineStr">
        <is>
          <t>2605606</t>
        </is>
      </c>
      <c r="B200" s="57" t="inlineStr">
        <is>
          <t>Ventia Internal Townhall 8.05.26</t>
        </is>
      </c>
      <c r="C200" s="50">
        <f>SUMIFS(tbl_WIP[Amount],tbl_WIP[Job Number],$A200,tbl_WIP[Month],"&lt;&gt;",tbl_WIP[Month],"&lt;"&amp;$C$4)+SUMIF('Deferred Revenue'!$E$6:$E$579,$A200,'Deferred Revenue'!$P$6:$P$579)</f>
        <v/>
      </c>
      <c r="D200" s="50">
        <f>SUMIFS(tbl_WIP[Amount],tbl_WIP[Job Number],$A200,tbl_WIP[Month],$C$4)+SUMIF('Deferred Revenue'!$E$6:$E$579,$A200,'Deferred Revenue'!$Q$6:$Q$579)</f>
        <v/>
      </c>
      <c r="E200" s="50">
        <f>C200+D200</f>
        <v/>
      </c>
      <c r="F200" s="49">
        <f>IF(ROUND(C200,2)+ROUND(D200,2)=0,"","yes")</f>
        <v/>
      </c>
      <c r="G200" s="58" t="n"/>
      <c r="H200" s="50">
        <f>IF($G200="","",$E200-$G200)</f>
        <v/>
      </c>
    </row>
    <row r="201">
      <c r="A201" s="57" t="inlineStr">
        <is>
          <t>2605606V</t>
        </is>
      </c>
      <c r="B201" s="57" t="inlineStr">
        <is>
          <t>Ventia Internal Townhall 8.05.26</t>
        </is>
      </c>
      <c r="C201" s="50">
        <f>SUMIFS(tbl_WIP[Amount],tbl_WIP[Job Number],$A201,tbl_WIP[Month],"&lt;&gt;",tbl_WIP[Month],"&lt;"&amp;$C$4)+SUMIF('Deferred Revenue'!$E$6:$E$579,$A201,'Deferred Revenue'!$P$6:$P$579)</f>
        <v/>
      </c>
      <c r="D201" s="50">
        <f>SUMIFS(tbl_WIP[Amount],tbl_WIP[Job Number],$A201,tbl_WIP[Month],$C$4)+SUMIF('Deferred Revenue'!$E$6:$E$579,$A201,'Deferred Revenue'!$Q$6:$Q$579)</f>
        <v/>
      </c>
      <c r="E201" s="50">
        <f>C201+D201</f>
        <v/>
      </c>
      <c r="F201" s="49">
        <f>IF(ROUND(C201,2)+ROUND(D201,2)=0,"","yes")</f>
        <v/>
      </c>
      <c r="G201" s="58" t="n"/>
      <c r="H201" s="50">
        <f>IF($G201="","",$E201-$G201)</f>
        <v/>
      </c>
    </row>
    <row r="202">
      <c r="A202" s="57" t="inlineStr">
        <is>
          <t>2605609</t>
        </is>
      </c>
      <c r="B202" s="57" t="inlineStr">
        <is>
          <t>ASX - CEO Farewell - 27.5.26</t>
        </is>
      </c>
      <c r="C202" s="50">
        <f>SUMIFS(tbl_WIP[Amount],tbl_WIP[Job Number],$A202,tbl_WIP[Month],"&lt;&gt;",tbl_WIP[Month],"&lt;"&amp;$C$4)+SUMIF('Deferred Revenue'!$E$6:$E$579,$A202,'Deferred Revenue'!$P$6:$P$579)</f>
        <v/>
      </c>
      <c r="D202" s="50">
        <f>SUMIFS(tbl_WIP[Amount],tbl_WIP[Job Number],$A202,tbl_WIP[Month],$C$4)+SUMIF('Deferred Revenue'!$E$6:$E$579,$A202,'Deferred Revenue'!$Q$6:$Q$579)</f>
        <v/>
      </c>
      <c r="E202" s="50">
        <f>C202+D202</f>
        <v/>
      </c>
      <c r="F202" s="49">
        <f>IF(ROUND(C202,2)+ROUND(D202,2)=0,"","yes")</f>
        <v/>
      </c>
      <c r="G202" s="58" t="n"/>
      <c r="H202" s="50">
        <f>IF($G202="","",$E202-$G202)</f>
        <v/>
      </c>
    </row>
    <row r="203">
      <c r="A203" s="57" t="inlineStr">
        <is>
          <t>2605609V</t>
        </is>
      </c>
      <c r="B203" s="57" t="inlineStr">
        <is>
          <t>ASX - CEO Farewell - 27.5.26</t>
        </is>
      </c>
      <c r="C203" s="50">
        <f>SUMIFS(tbl_WIP[Amount],tbl_WIP[Job Number],$A203,tbl_WIP[Month],"&lt;&gt;",tbl_WIP[Month],"&lt;"&amp;$C$4)+SUMIF('Deferred Revenue'!$E$6:$E$579,$A203,'Deferred Revenue'!$P$6:$P$579)</f>
        <v/>
      </c>
      <c r="D203" s="50">
        <f>SUMIFS(tbl_WIP[Amount],tbl_WIP[Job Number],$A203,tbl_WIP[Month],$C$4)+SUMIF('Deferred Revenue'!$E$6:$E$579,$A203,'Deferred Revenue'!$Q$6:$Q$579)</f>
        <v/>
      </c>
      <c r="E203" s="50">
        <f>C203+D203</f>
        <v/>
      </c>
      <c r="F203" s="49">
        <f>IF(ROUND(C203,2)+ROUND(D203,2)=0,"","yes")</f>
        <v/>
      </c>
      <c r="G203" s="58" t="n"/>
      <c r="H203" s="50">
        <f>IF($G203="","",$E203-$G203)</f>
        <v/>
      </c>
    </row>
    <row r="204">
      <c r="A204" s="57" t="inlineStr">
        <is>
          <t>2605610</t>
        </is>
      </c>
      <c r="B204" s="57" t="inlineStr">
        <is>
          <t>ASX CEO Farewell Additional Costs</t>
        </is>
      </c>
      <c r="C204" s="50">
        <f>SUMIFS(tbl_WIP[Amount],tbl_WIP[Job Number],$A204,tbl_WIP[Month],"&lt;&gt;",tbl_WIP[Month],"&lt;"&amp;$C$4)+SUMIF('Deferred Revenue'!$E$6:$E$579,$A204,'Deferred Revenue'!$P$6:$P$579)</f>
        <v/>
      </c>
      <c r="D204" s="50">
        <f>SUMIFS(tbl_WIP[Amount],tbl_WIP[Job Number],$A204,tbl_WIP[Month],$C$4)+SUMIF('Deferred Revenue'!$E$6:$E$579,$A204,'Deferred Revenue'!$Q$6:$Q$579)</f>
        <v/>
      </c>
      <c r="E204" s="50">
        <f>C204+D204</f>
        <v/>
      </c>
      <c r="F204" s="49">
        <f>IF(ROUND(C204,2)+ROUND(D204,2)=0,"","yes")</f>
        <v/>
      </c>
      <c r="G204" s="58" t="n"/>
      <c r="H204" s="50">
        <f>IF($G204="","",$E204-$G204)</f>
        <v/>
      </c>
    </row>
    <row r="205">
      <c r="A205" s="57" t="inlineStr">
        <is>
          <t>2605704</t>
        </is>
      </c>
      <c r="B205" s="57" t="inlineStr">
        <is>
          <t>CBA CBPS Auditorium Upgrade</t>
        </is>
      </c>
      <c r="C205" s="50">
        <f>SUMIFS(tbl_WIP[Amount],tbl_WIP[Job Number],$A205,tbl_WIP[Month],"&lt;&gt;",tbl_WIP[Month],"&lt;"&amp;$C$4)+SUMIF('Deferred Revenue'!$E$6:$E$579,$A205,'Deferred Revenue'!$P$6:$P$579)</f>
        <v/>
      </c>
      <c r="D205" s="50">
        <f>SUMIFS(tbl_WIP[Amount],tbl_WIP[Job Number],$A205,tbl_WIP[Month],$C$4)+SUMIF('Deferred Revenue'!$E$6:$E$579,$A205,'Deferred Revenue'!$Q$6:$Q$579)</f>
        <v/>
      </c>
      <c r="E205" s="50">
        <f>C205+D205</f>
        <v/>
      </c>
      <c r="F205" s="49">
        <f>IF(ROUND(C205,2)+ROUND(D205,2)=0,"","yes")</f>
        <v/>
      </c>
      <c r="G205" s="58" t="n"/>
      <c r="H205" s="50">
        <f>IF($G205="","",$E205-$G205)</f>
        <v/>
      </c>
    </row>
    <row r="206">
      <c r="A206" s="57" t="inlineStr">
        <is>
          <t>2605801</t>
        </is>
      </c>
      <c r="B206" s="57" t="inlineStr">
        <is>
          <t>Dimensional - AV Support - 3-4.6.26</t>
        </is>
      </c>
      <c r="C206" s="50">
        <f>SUMIFS(tbl_WIP[Amount],tbl_WIP[Job Number],$A206,tbl_WIP[Month],"&lt;&gt;",tbl_WIP[Month],"&lt;"&amp;$C$4)+SUMIF('Deferred Revenue'!$E$6:$E$579,$A206,'Deferred Revenue'!$P$6:$P$579)</f>
        <v/>
      </c>
      <c r="D206" s="50">
        <f>SUMIFS(tbl_WIP[Amount],tbl_WIP[Job Number],$A206,tbl_WIP[Month],$C$4)+SUMIF('Deferred Revenue'!$E$6:$E$579,$A206,'Deferred Revenue'!$Q$6:$Q$579)</f>
        <v/>
      </c>
      <c r="E206" s="50">
        <f>C206+D206</f>
        <v/>
      </c>
      <c r="F206" s="49">
        <f>IF(ROUND(C206,2)+ROUND(D206,2)=0,"","yes")</f>
        <v/>
      </c>
      <c r="G206" s="58" t="n"/>
      <c r="H206" s="50">
        <f>IF($G206="","",$E206-$G206)</f>
        <v/>
      </c>
    </row>
    <row r="207">
      <c r="A207" s="57" t="inlineStr">
        <is>
          <t>2605803</t>
        </is>
      </c>
      <c r="B207" s="57" t="inlineStr">
        <is>
          <t>St Catherine's - Dedicated Tech - 12.6.26</t>
        </is>
      </c>
      <c r="C207" s="50">
        <f>SUMIFS(tbl_WIP[Amount],tbl_WIP[Job Number],$A207,tbl_WIP[Month],"&lt;&gt;",tbl_WIP[Month],"&lt;"&amp;$C$4)+SUMIF('Deferred Revenue'!$E$6:$E$579,$A207,'Deferred Revenue'!$P$6:$P$579)</f>
        <v/>
      </c>
      <c r="D207" s="50">
        <f>SUMIFS(tbl_WIP[Amount],tbl_WIP[Job Number],$A207,tbl_WIP[Month],$C$4)+SUMIF('Deferred Revenue'!$E$6:$E$579,$A207,'Deferred Revenue'!$Q$6:$Q$579)</f>
        <v/>
      </c>
      <c r="E207" s="50">
        <f>C207+D207</f>
        <v/>
      </c>
      <c r="F207" s="49">
        <f>IF(ROUND(C207,2)+ROUND(D207,2)=0,"","yes")</f>
        <v/>
      </c>
      <c r="G207" s="58" t="n"/>
      <c r="H207" s="50">
        <f>IF($G207="","",$E207-$G207)</f>
        <v/>
      </c>
    </row>
    <row r="208">
      <c r="A208" s="57" t="inlineStr">
        <is>
          <t>2605804</t>
        </is>
      </c>
      <c r="B208" s="57" t="inlineStr">
        <is>
          <t>City of Sydney Supply of Barco Projector Shutters</t>
        </is>
      </c>
      <c r="C208" s="50">
        <f>SUMIFS(tbl_WIP[Amount],tbl_WIP[Job Number],$A208,tbl_WIP[Month],"&lt;&gt;",tbl_WIP[Month],"&lt;"&amp;$C$4)+SUMIF('Deferred Revenue'!$E$6:$E$579,$A208,'Deferred Revenue'!$P$6:$P$579)</f>
        <v/>
      </c>
      <c r="D208" s="50">
        <f>SUMIFS(tbl_WIP[Amount],tbl_WIP[Job Number],$A208,tbl_WIP[Month],$C$4)+SUMIF('Deferred Revenue'!$E$6:$E$579,$A208,'Deferred Revenue'!$Q$6:$Q$579)</f>
        <v/>
      </c>
      <c r="E208" s="50">
        <f>C208+D208</f>
        <v/>
      </c>
      <c r="F208" s="49">
        <f>IF(ROUND(C208,2)+ROUND(D208,2)=0,"","yes")</f>
        <v/>
      </c>
      <c r="G208" s="58" t="n"/>
      <c r="H208" s="50">
        <f>IF($G208="","",$E208-$G208)</f>
        <v/>
      </c>
    </row>
    <row r="209">
      <c r="A209" s="57" t="inlineStr">
        <is>
          <t>2605806</t>
        </is>
      </c>
      <c r="B209" s="57" t="inlineStr">
        <is>
          <t>Aware Super AV Fitout @ 555 Collins Street MEL</t>
        </is>
      </c>
      <c r="C209" s="50">
        <f>SUMIFS(tbl_WIP[Amount],tbl_WIP[Job Number],$A209,tbl_WIP[Month],"&lt;&gt;",tbl_WIP[Month],"&lt;"&amp;$C$4)+SUMIF('Deferred Revenue'!$E$6:$E$579,$A209,'Deferred Revenue'!$P$6:$P$579)</f>
        <v/>
      </c>
      <c r="D209" s="50">
        <f>SUMIFS(tbl_WIP[Amount],tbl_WIP[Job Number],$A209,tbl_WIP[Month],$C$4)+SUMIF('Deferred Revenue'!$E$6:$E$579,$A209,'Deferred Revenue'!$Q$6:$Q$579)</f>
        <v/>
      </c>
      <c r="E209" s="50">
        <f>C209+D209</f>
        <v/>
      </c>
      <c r="F209" s="49">
        <f>IF(ROUND(C209,2)+ROUND(D209,2)=0,"","yes")</f>
        <v/>
      </c>
      <c r="G209" s="58" t="n"/>
      <c r="H209" s="50">
        <f>IF($G209="","",$E209-$G209)</f>
        <v/>
      </c>
    </row>
    <row r="210">
      <c r="A210" s="57" t="inlineStr">
        <is>
          <t>26061001</t>
        </is>
      </c>
      <c r="B210" s="57" t="inlineStr">
        <is>
          <t>Garvan August All Clear Event 25.8.26</t>
        </is>
      </c>
      <c r="C210" s="50">
        <f>SUMIFS(tbl_WIP[Amount],tbl_WIP[Job Number],$A210,tbl_WIP[Month],"&lt;&gt;",tbl_WIP[Month],"&lt;"&amp;$C$4)+SUMIF('Deferred Revenue'!$E$6:$E$579,$A210,'Deferred Revenue'!$P$6:$P$579)</f>
        <v/>
      </c>
      <c r="D210" s="50">
        <f>SUMIFS(tbl_WIP[Amount],tbl_WIP[Job Number],$A210,tbl_WIP[Month],$C$4)+SUMIF('Deferred Revenue'!$E$6:$E$579,$A210,'Deferred Revenue'!$Q$6:$Q$579)</f>
        <v/>
      </c>
      <c r="E210" s="50">
        <f>C210+D210</f>
        <v/>
      </c>
      <c r="F210" s="49">
        <f>IF(ROUND(C210,2)+ROUND(D210,2)=0,"","yes")</f>
        <v/>
      </c>
      <c r="G210" s="58" t="n"/>
      <c r="H210" s="50">
        <f>IF($G210="","",$E210-$G210)</f>
        <v/>
      </c>
    </row>
    <row r="211">
      <c r="A211" s="57" t="inlineStr">
        <is>
          <t>26061002</t>
        </is>
      </c>
      <c r="B211" s="57" t="inlineStr">
        <is>
          <t>Optiver - Fireside Event Support - 18.6.26</t>
        </is>
      </c>
      <c r="C211" s="50">
        <f>SUMIFS(tbl_WIP[Amount],tbl_WIP[Job Number],$A211,tbl_WIP[Month],"&lt;&gt;",tbl_WIP[Month],"&lt;"&amp;$C$4)+SUMIF('Deferred Revenue'!$E$6:$E$579,$A211,'Deferred Revenue'!$P$6:$P$579)</f>
        <v/>
      </c>
      <c r="D211" s="50">
        <f>SUMIFS(tbl_WIP[Amount],tbl_WIP[Job Number],$A211,tbl_WIP[Month],$C$4)+SUMIF('Deferred Revenue'!$E$6:$E$579,$A211,'Deferred Revenue'!$Q$6:$Q$579)</f>
        <v/>
      </c>
      <c r="E211" s="50">
        <f>C211+D211</f>
        <v/>
      </c>
      <c r="F211" s="49">
        <f>IF(ROUND(C211,2)+ROUND(D211,2)=0,"","yes")</f>
        <v/>
      </c>
      <c r="G211" s="58" t="n"/>
      <c r="H211" s="50">
        <f>IF($G211="","",$E211-$G211)</f>
        <v/>
      </c>
    </row>
    <row r="212">
      <c r="A212" s="57" t="inlineStr">
        <is>
          <t>26061002V</t>
        </is>
      </c>
      <c r="B212" s="57" t="inlineStr">
        <is>
          <t>Optiver - Fireside Event Support - 18.6.26</t>
        </is>
      </c>
      <c r="C212" s="50">
        <f>SUMIFS(tbl_WIP[Amount],tbl_WIP[Job Number],$A212,tbl_WIP[Month],"&lt;&gt;",tbl_WIP[Month],"&lt;"&amp;$C$4)+SUMIF('Deferred Revenue'!$E$6:$E$579,$A212,'Deferred Revenue'!$P$6:$P$579)</f>
        <v/>
      </c>
      <c r="D212" s="50">
        <f>SUMIFS(tbl_WIP[Amount],tbl_WIP[Job Number],$A212,tbl_WIP[Month],$C$4)+SUMIF('Deferred Revenue'!$E$6:$E$579,$A212,'Deferred Revenue'!$Q$6:$Q$579)</f>
        <v/>
      </c>
      <c r="E212" s="50">
        <f>C212+D212</f>
        <v/>
      </c>
      <c r="F212" s="49">
        <f>IF(ROUND(C212,2)+ROUND(D212,2)=0,"","yes")</f>
        <v/>
      </c>
      <c r="G212" s="58" t="n"/>
      <c r="H212" s="50">
        <f>IF($G212="","",$E212-$G212)</f>
        <v/>
      </c>
    </row>
    <row r="213">
      <c r="A213" s="57" t="inlineStr">
        <is>
          <t>26061102</t>
        </is>
      </c>
      <c r="B213" s="57" t="inlineStr">
        <is>
          <t>CSE Invest Sri Lanka | 16.8.26</t>
        </is>
      </c>
      <c r="C213" s="50">
        <f>SUMIFS(tbl_WIP[Amount],tbl_WIP[Job Number],$A213,tbl_WIP[Month],"&lt;&gt;",tbl_WIP[Month],"&lt;"&amp;$C$4)+SUMIF('Deferred Revenue'!$E$6:$E$579,$A213,'Deferred Revenue'!$P$6:$P$579)</f>
        <v/>
      </c>
      <c r="D213" s="50">
        <f>SUMIFS(tbl_WIP[Amount],tbl_WIP[Job Number],$A213,tbl_WIP[Month],$C$4)+SUMIF('Deferred Revenue'!$E$6:$E$579,$A213,'Deferred Revenue'!$Q$6:$Q$579)</f>
        <v/>
      </c>
      <c r="E213" s="50">
        <f>C213+D213</f>
        <v/>
      </c>
      <c r="F213" s="49">
        <f>IF(ROUND(C213,2)+ROUND(D213,2)=0,"","yes")</f>
        <v/>
      </c>
      <c r="G213" s="58" t="n"/>
      <c r="H213" s="50">
        <f>IF($G213="","",$E213-$G213)</f>
        <v/>
      </c>
    </row>
    <row r="214">
      <c r="A214" s="57" t="inlineStr">
        <is>
          <t>26061102V</t>
        </is>
      </c>
      <c r="B214" s="57" t="inlineStr">
        <is>
          <t>CSE Invest Sri Lanka | 16.8.26</t>
        </is>
      </c>
      <c r="C214" s="50">
        <f>SUMIFS(tbl_WIP[Amount],tbl_WIP[Job Number],$A214,tbl_WIP[Month],"&lt;&gt;",tbl_WIP[Month],"&lt;"&amp;$C$4)+SUMIF('Deferred Revenue'!$E$6:$E$579,$A214,'Deferred Revenue'!$P$6:$P$579)</f>
        <v/>
      </c>
      <c r="D214" s="50">
        <f>SUMIFS(tbl_WIP[Amount],tbl_WIP[Job Number],$A214,tbl_WIP[Month],$C$4)+SUMIF('Deferred Revenue'!$E$6:$E$579,$A214,'Deferred Revenue'!$Q$6:$Q$579)</f>
        <v/>
      </c>
      <c r="E214" s="50">
        <f>C214+D214</f>
        <v/>
      </c>
      <c r="F214" s="49">
        <f>IF(ROUND(C214,2)+ROUND(D214,2)=0,"","yes")</f>
        <v/>
      </c>
      <c r="G214" s="58" t="n"/>
      <c r="H214" s="50">
        <f>IF($G214="","",$E214-$G214)</f>
        <v/>
      </c>
    </row>
    <row r="215">
      <c r="A215" s="57" t="inlineStr">
        <is>
          <t>26061103</t>
        </is>
      </c>
      <c r="B215" s="57" t="inlineStr">
        <is>
          <t>Circadia Australia Elevate | 14.8.26</t>
        </is>
      </c>
      <c r="C215" s="50">
        <f>SUMIFS(tbl_WIP[Amount],tbl_WIP[Job Number],$A215,tbl_WIP[Month],"&lt;&gt;",tbl_WIP[Month],"&lt;"&amp;$C$4)+SUMIF('Deferred Revenue'!$E$6:$E$579,$A215,'Deferred Revenue'!$P$6:$P$579)</f>
        <v/>
      </c>
      <c r="D215" s="50">
        <f>SUMIFS(tbl_WIP[Amount],tbl_WIP[Job Number],$A215,tbl_WIP[Month],$C$4)+SUMIF('Deferred Revenue'!$E$6:$E$579,$A215,'Deferred Revenue'!$Q$6:$Q$579)</f>
        <v/>
      </c>
      <c r="E215" s="50">
        <f>C215+D215</f>
        <v/>
      </c>
      <c r="F215" s="49">
        <f>IF(ROUND(C215,2)+ROUND(D215,2)=0,"","yes")</f>
        <v/>
      </c>
      <c r="G215" s="58" t="n"/>
      <c r="H215" s="50">
        <f>IF($G215="","",$E215-$G215)</f>
        <v/>
      </c>
    </row>
    <row r="216">
      <c r="A216" s="57" t="inlineStr">
        <is>
          <t>26061103V</t>
        </is>
      </c>
      <c r="B216" s="57" t="inlineStr">
        <is>
          <t>Circadia Australia Elevate | 14.8.26</t>
        </is>
      </c>
      <c r="C216" s="50">
        <f>SUMIFS(tbl_WIP[Amount],tbl_WIP[Job Number],$A216,tbl_WIP[Month],"&lt;&gt;",tbl_WIP[Month],"&lt;"&amp;$C$4)+SUMIF('Deferred Revenue'!$E$6:$E$579,$A216,'Deferred Revenue'!$P$6:$P$579)</f>
        <v/>
      </c>
      <c r="D216" s="50">
        <f>SUMIFS(tbl_WIP[Amount],tbl_WIP[Job Number],$A216,tbl_WIP[Month],$C$4)+SUMIF('Deferred Revenue'!$E$6:$E$579,$A216,'Deferred Revenue'!$Q$6:$Q$579)</f>
        <v/>
      </c>
      <c r="E216" s="50">
        <f>C216+D216</f>
        <v/>
      </c>
      <c r="F216" s="49">
        <f>IF(ROUND(C216,2)+ROUND(D216,2)=0,"","yes")</f>
        <v/>
      </c>
      <c r="G216" s="58" t="n"/>
      <c r="H216" s="50">
        <f>IF($G216="","",$E216-$G216)</f>
        <v/>
      </c>
    </row>
    <row r="217">
      <c r="A217" s="57" t="inlineStr">
        <is>
          <t>26061104</t>
        </is>
      </c>
      <c r="B217" s="57" t="inlineStr">
        <is>
          <t>MUFG - FYR26 - 12.8.26</t>
        </is>
      </c>
      <c r="C217" s="50">
        <f>SUMIFS(tbl_WIP[Amount],tbl_WIP[Job Number],$A217,tbl_WIP[Month],"&lt;&gt;",tbl_WIP[Month],"&lt;"&amp;$C$4)+SUMIF('Deferred Revenue'!$E$6:$E$579,$A217,'Deferred Revenue'!$P$6:$P$579)</f>
        <v/>
      </c>
      <c r="D217" s="50">
        <f>SUMIFS(tbl_WIP[Amount],tbl_WIP[Job Number],$A217,tbl_WIP[Month],$C$4)+SUMIF('Deferred Revenue'!$E$6:$E$579,$A217,'Deferred Revenue'!$Q$6:$Q$579)</f>
        <v/>
      </c>
      <c r="E217" s="50">
        <f>C217+D217</f>
        <v/>
      </c>
      <c r="F217" s="49">
        <f>IF(ROUND(C217,2)+ROUND(D217,2)=0,"","yes")</f>
        <v/>
      </c>
      <c r="G217" s="58" t="n"/>
      <c r="H217" s="50">
        <f>IF($G217="","",$E217-$G217)</f>
        <v/>
      </c>
    </row>
    <row r="218">
      <c r="A218" s="57" t="inlineStr">
        <is>
          <t>26061104V</t>
        </is>
      </c>
      <c r="B218" s="57" t="inlineStr">
        <is>
          <t>MUFG - FYR26 - 12.8.26</t>
        </is>
      </c>
      <c r="C218" s="50">
        <f>SUMIFS(tbl_WIP[Amount],tbl_WIP[Job Number],$A218,tbl_WIP[Month],"&lt;&gt;",tbl_WIP[Month],"&lt;"&amp;$C$4)+SUMIF('Deferred Revenue'!$E$6:$E$579,$A218,'Deferred Revenue'!$P$6:$P$579)</f>
        <v/>
      </c>
      <c r="D218" s="50">
        <f>SUMIFS(tbl_WIP[Amount],tbl_WIP[Job Number],$A218,tbl_WIP[Month],$C$4)+SUMIF('Deferred Revenue'!$E$6:$E$579,$A218,'Deferred Revenue'!$Q$6:$Q$579)</f>
        <v/>
      </c>
      <c r="E218" s="50">
        <f>C218+D218</f>
        <v/>
      </c>
      <c r="F218" s="49">
        <f>IF(ROUND(C218,2)+ROUND(D218,2)=0,"","yes")</f>
        <v/>
      </c>
      <c r="G218" s="58" t="n"/>
      <c r="H218" s="50">
        <f>IF($G218="","",$E218-$G218)</f>
        <v/>
      </c>
    </row>
    <row r="219">
      <c r="A219" s="57" t="inlineStr">
        <is>
          <t>26061105</t>
        </is>
      </c>
      <c r="B219" s="57" t="inlineStr">
        <is>
          <t>CBA - FYR 2026 - 12.8.26</t>
        </is>
      </c>
      <c r="C219" s="50">
        <f>SUMIFS(tbl_WIP[Amount],tbl_WIP[Job Number],$A219,tbl_WIP[Month],"&lt;&gt;",tbl_WIP[Month],"&lt;"&amp;$C$4)+SUMIF('Deferred Revenue'!$E$6:$E$579,$A219,'Deferred Revenue'!$P$6:$P$579)</f>
        <v/>
      </c>
      <c r="D219" s="50">
        <f>SUMIFS(tbl_WIP[Amount],tbl_WIP[Job Number],$A219,tbl_WIP[Month],$C$4)+SUMIF('Deferred Revenue'!$E$6:$E$579,$A219,'Deferred Revenue'!$Q$6:$Q$579)</f>
        <v/>
      </c>
      <c r="E219" s="50">
        <f>C219+D219</f>
        <v/>
      </c>
      <c r="F219" s="49">
        <f>IF(ROUND(C219,2)+ROUND(D219,2)=0,"","yes")</f>
        <v/>
      </c>
      <c r="G219" s="58" t="n"/>
      <c r="H219" s="50">
        <f>IF($G219="","",$E219-$G219)</f>
        <v/>
      </c>
    </row>
    <row r="220">
      <c r="A220" s="57" t="inlineStr">
        <is>
          <t>26061105V</t>
        </is>
      </c>
      <c r="B220" s="57" t="inlineStr">
        <is>
          <t>CBA - FYR 2026 - 12.8.26</t>
        </is>
      </c>
      <c r="C220" s="50">
        <f>SUMIFS(tbl_WIP[Amount],tbl_WIP[Job Number],$A220,tbl_WIP[Month],"&lt;&gt;",tbl_WIP[Month],"&lt;"&amp;$C$4)+SUMIF('Deferred Revenue'!$E$6:$E$579,$A220,'Deferred Revenue'!$P$6:$P$579)</f>
        <v/>
      </c>
      <c r="D220" s="50">
        <f>SUMIFS(tbl_WIP[Amount],tbl_WIP[Job Number],$A220,tbl_WIP[Month],$C$4)+SUMIF('Deferred Revenue'!$E$6:$E$579,$A220,'Deferred Revenue'!$Q$6:$Q$579)</f>
        <v/>
      </c>
      <c r="E220" s="50">
        <f>C220+D220</f>
        <v/>
      </c>
      <c r="F220" s="49">
        <f>IF(ROUND(C220,2)+ROUND(D220,2)=0,"","yes")</f>
        <v/>
      </c>
      <c r="G220" s="58" t="n"/>
      <c r="H220" s="50">
        <f>IF($G220="","",$E220-$G220)</f>
        <v/>
      </c>
    </row>
    <row r="221">
      <c r="A221" s="57" t="inlineStr">
        <is>
          <t>26061106</t>
        </is>
      </c>
      <c r="B221" s="57" t="inlineStr">
        <is>
          <t>TLC Full Year Results MEL</t>
        </is>
      </c>
      <c r="C221" s="50">
        <f>SUMIFS(tbl_WIP[Amount],tbl_WIP[Job Number],$A221,tbl_WIP[Month],"&lt;&gt;",tbl_WIP[Month],"&lt;"&amp;$C$4)+SUMIF('Deferred Revenue'!$E$6:$E$579,$A221,'Deferred Revenue'!$P$6:$P$579)</f>
        <v/>
      </c>
      <c r="D221" s="50">
        <f>SUMIFS(tbl_WIP[Amount],tbl_WIP[Job Number],$A221,tbl_WIP[Month],$C$4)+SUMIF('Deferred Revenue'!$E$6:$E$579,$A221,'Deferred Revenue'!$Q$6:$Q$579)</f>
        <v/>
      </c>
      <c r="E221" s="50">
        <f>C221+D221</f>
        <v/>
      </c>
      <c r="F221" s="49">
        <f>IF(ROUND(C221,2)+ROUND(D221,2)=0,"","yes")</f>
        <v/>
      </c>
      <c r="G221" s="58" t="n"/>
      <c r="H221" s="50">
        <f>IF($G221="","",$E221-$G221)</f>
        <v/>
      </c>
    </row>
    <row r="222">
      <c r="A222" s="57" t="inlineStr">
        <is>
          <t>26061106V</t>
        </is>
      </c>
      <c r="B222" s="57" t="inlineStr">
        <is>
          <t>TLC Full Year Results MEL</t>
        </is>
      </c>
      <c r="C222" s="50">
        <f>SUMIFS(tbl_WIP[Amount],tbl_WIP[Job Number],$A222,tbl_WIP[Month],"&lt;&gt;",tbl_WIP[Month],"&lt;"&amp;$C$4)+SUMIF('Deferred Revenue'!$E$6:$E$579,$A222,'Deferred Revenue'!$P$6:$P$579)</f>
        <v/>
      </c>
      <c r="D222" s="50">
        <f>SUMIFS(tbl_WIP[Amount],tbl_WIP[Job Number],$A222,tbl_WIP[Month],$C$4)+SUMIF('Deferred Revenue'!$E$6:$E$579,$A222,'Deferred Revenue'!$Q$6:$Q$579)</f>
        <v/>
      </c>
      <c r="E222" s="50">
        <f>C222+D222</f>
        <v/>
      </c>
      <c r="F222" s="49">
        <f>IF(ROUND(C222,2)+ROUND(D222,2)=0,"","yes")</f>
        <v/>
      </c>
      <c r="G222" s="58" t="n"/>
      <c r="H222" s="50">
        <f>IF($G222="","",$E222-$G222)</f>
        <v/>
      </c>
    </row>
    <row r="223">
      <c r="A223" s="57" t="inlineStr">
        <is>
          <t>26061107</t>
        </is>
      </c>
      <c r="B223" s="57" t="inlineStr">
        <is>
          <t>Downer - FYR 2026 - 20.8.26</t>
        </is>
      </c>
      <c r="C223" s="50">
        <f>SUMIFS(tbl_WIP[Amount],tbl_WIP[Job Number],$A223,tbl_WIP[Month],"&lt;&gt;",tbl_WIP[Month],"&lt;"&amp;$C$4)+SUMIF('Deferred Revenue'!$E$6:$E$579,$A223,'Deferred Revenue'!$P$6:$P$579)</f>
        <v/>
      </c>
      <c r="D223" s="50">
        <f>SUMIFS(tbl_WIP[Amount],tbl_WIP[Job Number],$A223,tbl_WIP[Month],$C$4)+SUMIF('Deferred Revenue'!$E$6:$E$579,$A223,'Deferred Revenue'!$Q$6:$Q$579)</f>
        <v/>
      </c>
      <c r="E223" s="50">
        <f>C223+D223</f>
        <v/>
      </c>
      <c r="F223" s="49">
        <f>IF(ROUND(C223,2)+ROUND(D223,2)=0,"","yes")</f>
        <v/>
      </c>
      <c r="G223" s="58" t="n"/>
      <c r="H223" s="50">
        <f>IF($G223="","",$E223-$G223)</f>
        <v/>
      </c>
    </row>
    <row r="224">
      <c r="A224" s="57" t="inlineStr">
        <is>
          <t>26061107V</t>
        </is>
      </c>
      <c r="B224" s="57" t="inlineStr">
        <is>
          <t>Downer - FYR 2026 - 20.8.26</t>
        </is>
      </c>
      <c r="C224" s="50">
        <f>SUMIFS(tbl_WIP[Amount],tbl_WIP[Job Number],$A224,tbl_WIP[Month],"&lt;&gt;",tbl_WIP[Month],"&lt;"&amp;$C$4)+SUMIF('Deferred Revenue'!$E$6:$E$579,$A224,'Deferred Revenue'!$P$6:$P$579)</f>
        <v/>
      </c>
      <c r="D224" s="50">
        <f>SUMIFS(tbl_WIP[Amount],tbl_WIP[Job Number],$A224,tbl_WIP[Month],$C$4)+SUMIF('Deferred Revenue'!$E$6:$E$579,$A224,'Deferred Revenue'!$Q$6:$Q$579)</f>
        <v/>
      </c>
      <c r="E224" s="50">
        <f>C224+D224</f>
        <v/>
      </c>
      <c r="F224" s="49">
        <f>IF(ROUND(C224,2)+ROUND(D224,2)=0,"","yes")</f>
        <v/>
      </c>
      <c r="G224" s="58" t="n"/>
      <c r="H224" s="50">
        <f>IF($G224="","",$E224-$G224)</f>
        <v/>
      </c>
    </row>
    <row r="225">
      <c r="A225" s="57" t="inlineStr">
        <is>
          <t>26061108</t>
        </is>
      </c>
      <c r="B225" s="57" t="inlineStr">
        <is>
          <t>APA - Qtly All Hands FYR26 - 20.8.26</t>
        </is>
      </c>
      <c r="C225" s="50">
        <f>SUMIFS(tbl_WIP[Amount],tbl_WIP[Job Number],$A225,tbl_WIP[Month],"&lt;&gt;",tbl_WIP[Month],"&lt;"&amp;$C$4)+SUMIF('Deferred Revenue'!$E$6:$E$579,$A225,'Deferred Revenue'!$P$6:$P$579)</f>
        <v/>
      </c>
      <c r="D225" s="50">
        <f>SUMIFS(tbl_WIP[Amount],tbl_WIP[Job Number],$A225,tbl_WIP[Month],$C$4)+SUMIF('Deferred Revenue'!$E$6:$E$579,$A225,'Deferred Revenue'!$Q$6:$Q$579)</f>
        <v/>
      </c>
      <c r="E225" s="50">
        <f>C225+D225</f>
        <v/>
      </c>
      <c r="F225" s="49">
        <f>IF(ROUND(C225,2)+ROUND(D225,2)=0,"","yes")</f>
        <v/>
      </c>
      <c r="G225" s="58" t="n"/>
      <c r="H225" s="50">
        <f>IF($G225="","",$E225-$G225)</f>
        <v/>
      </c>
    </row>
    <row r="226">
      <c r="A226" s="57" t="inlineStr">
        <is>
          <t>26061108V</t>
        </is>
      </c>
      <c r="B226" s="57" t="inlineStr">
        <is>
          <t>APA - Qtly All Hands FYR26 - 20.8.26</t>
        </is>
      </c>
      <c r="C226" s="50">
        <f>SUMIFS(tbl_WIP[Amount],tbl_WIP[Job Number],$A226,tbl_WIP[Month],"&lt;&gt;",tbl_WIP[Month],"&lt;"&amp;$C$4)+SUMIF('Deferred Revenue'!$E$6:$E$579,$A226,'Deferred Revenue'!$P$6:$P$579)</f>
        <v/>
      </c>
      <c r="D226" s="50">
        <f>SUMIFS(tbl_WIP[Amount],tbl_WIP[Job Number],$A226,tbl_WIP[Month],$C$4)+SUMIF('Deferred Revenue'!$E$6:$E$579,$A226,'Deferred Revenue'!$Q$6:$Q$579)</f>
        <v/>
      </c>
      <c r="E226" s="50">
        <f>C226+D226</f>
        <v/>
      </c>
      <c r="F226" s="49">
        <f>IF(ROUND(C226,2)+ROUND(D226,2)=0,"","yes")</f>
        <v/>
      </c>
      <c r="G226" s="58" t="n"/>
      <c r="H226" s="50">
        <f>IF($G226="","",$E226-$G226)</f>
        <v/>
      </c>
    </row>
    <row r="227">
      <c r="A227" s="57" t="inlineStr">
        <is>
          <t>26061109</t>
        </is>
      </c>
      <c r="B227" s="57" t="inlineStr">
        <is>
          <t>Ventia - FYR26 - 24.8.26</t>
        </is>
      </c>
      <c r="C227" s="50">
        <f>SUMIFS(tbl_WIP[Amount],tbl_WIP[Job Number],$A227,tbl_WIP[Month],"&lt;&gt;",tbl_WIP[Month],"&lt;"&amp;$C$4)+SUMIF('Deferred Revenue'!$E$6:$E$579,$A227,'Deferred Revenue'!$P$6:$P$579)</f>
        <v/>
      </c>
      <c r="D227" s="50">
        <f>SUMIFS(tbl_WIP[Amount],tbl_WIP[Job Number],$A227,tbl_WIP[Month],$C$4)+SUMIF('Deferred Revenue'!$E$6:$E$579,$A227,'Deferred Revenue'!$Q$6:$Q$579)</f>
        <v/>
      </c>
      <c r="E227" s="50">
        <f>C227+D227</f>
        <v/>
      </c>
      <c r="F227" s="49">
        <f>IF(ROUND(C227,2)+ROUND(D227,2)=0,"","yes")</f>
        <v/>
      </c>
      <c r="G227" s="58" t="n"/>
      <c r="H227" s="50">
        <f>IF($G227="","",$E227-$G227)</f>
        <v/>
      </c>
    </row>
    <row r="228">
      <c r="A228" s="57" t="inlineStr">
        <is>
          <t>26061109V</t>
        </is>
      </c>
      <c r="B228" s="57" t="inlineStr">
        <is>
          <t>Ventia - FYR26 - 24.8.26</t>
        </is>
      </c>
      <c r="C228" s="50">
        <f>SUMIFS(tbl_WIP[Amount],tbl_WIP[Job Number],$A228,tbl_WIP[Month],"&lt;&gt;",tbl_WIP[Month],"&lt;"&amp;$C$4)+SUMIF('Deferred Revenue'!$E$6:$E$579,$A228,'Deferred Revenue'!$P$6:$P$579)</f>
        <v/>
      </c>
      <c r="D228" s="50">
        <f>SUMIFS(tbl_WIP[Amount],tbl_WIP[Job Number],$A228,tbl_WIP[Month],$C$4)+SUMIF('Deferred Revenue'!$E$6:$E$579,$A228,'Deferred Revenue'!$Q$6:$Q$579)</f>
        <v/>
      </c>
      <c r="E228" s="50">
        <f>C228+D228</f>
        <v/>
      </c>
      <c r="F228" s="49">
        <f>IF(ROUND(C228,2)+ROUND(D228,2)=0,"","yes")</f>
        <v/>
      </c>
      <c r="G228" s="58" t="n"/>
      <c r="H228" s="50">
        <f>IF($G228="","",$E228-$G228)</f>
        <v/>
      </c>
    </row>
    <row r="229">
      <c r="A229" s="57" t="inlineStr">
        <is>
          <t>26061201</t>
        </is>
      </c>
      <c r="B229" s="57" t="inlineStr">
        <is>
          <t>PWC - Firmwide Webcast - 30.6.26</t>
        </is>
      </c>
      <c r="C229" s="50">
        <f>SUMIFS(tbl_WIP[Amount],tbl_WIP[Job Number],$A229,tbl_WIP[Month],"&lt;&gt;",tbl_WIP[Month],"&lt;"&amp;$C$4)+SUMIF('Deferred Revenue'!$E$6:$E$579,$A229,'Deferred Revenue'!$P$6:$P$579)</f>
        <v/>
      </c>
      <c r="D229" s="50">
        <f>SUMIFS(tbl_WIP[Amount],tbl_WIP[Job Number],$A229,tbl_WIP[Month],$C$4)+SUMIF('Deferred Revenue'!$E$6:$E$579,$A229,'Deferred Revenue'!$Q$6:$Q$579)</f>
        <v/>
      </c>
      <c r="E229" s="50">
        <f>C229+D229</f>
        <v/>
      </c>
      <c r="F229" s="49">
        <f>IF(ROUND(C229,2)+ROUND(D229,2)=0,"","yes")</f>
        <v/>
      </c>
      <c r="G229" s="58" t="n"/>
      <c r="H229" s="50">
        <f>IF($G229="","",$E229-$G229)</f>
        <v/>
      </c>
    </row>
    <row r="230">
      <c r="A230" s="57" t="inlineStr">
        <is>
          <t>26061201V</t>
        </is>
      </c>
      <c r="B230" s="57" t="inlineStr">
        <is>
          <t>PWC - Firmwide Webcast - 30.6.26</t>
        </is>
      </c>
      <c r="C230" s="50">
        <f>SUMIFS(tbl_WIP[Amount],tbl_WIP[Job Number],$A230,tbl_WIP[Month],"&lt;&gt;",tbl_WIP[Month],"&lt;"&amp;$C$4)+SUMIF('Deferred Revenue'!$E$6:$E$579,$A230,'Deferred Revenue'!$P$6:$P$579)</f>
        <v/>
      </c>
      <c r="D230" s="50">
        <f>SUMIFS(tbl_WIP[Amount],tbl_WIP[Job Number],$A230,tbl_WIP[Month],$C$4)+SUMIF('Deferred Revenue'!$E$6:$E$579,$A230,'Deferred Revenue'!$Q$6:$Q$579)</f>
        <v/>
      </c>
      <c r="E230" s="50">
        <f>C230+D230</f>
        <v/>
      </c>
      <c r="F230" s="49">
        <f>IF(ROUND(C230,2)+ROUND(D230,2)=0,"","yes")</f>
        <v/>
      </c>
      <c r="G230" s="58" t="n"/>
      <c r="H230" s="50">
        <f>IF($G230="","",$E230-$G230)</f>
        <v/>
      </c>
    </row>
    <row r="231">
      <c r="A231" s="57" t="inlineStr">
        <is>
          <t>26061202</t>
        </is>
      </c>
      <c r="B231" s="57" t="inlineStr">
        <is>
          <t>CBA AGM 2027</t>
        </is>
      </c>
      <c r="C231" s="50">
        <f>SUMIFS(tbl_WIP[Amount],tbl_WIP[Job Number],$A231,tbl_WIP[Month],"&lt;&gt;",tbl_WIP[Month],"&lt;"&amp;$C$4)+SUMIF('Deferred Revenue'!$E$6:$E$579,$A231,'Deferred Revenue'!$P$6:$P$579)</f>
        <v/>
      </c>
      <c r="D231" s="50">
        <f>SUMIFS(tbl_WIP[Amount],tbl_WIP[Job Number],$A231,tbl_WIP[Month],$C$4)+SUMIF('Deferred Revenue'!$E$6:$E$579,$A231,'Deferred Revenue'!$Q$6:$Q$579)</f>
        <v/>
      </c>
      <c r="E231" s="50">
        <f>C231+D231</f>
        <v/>
      </c>
      <c r="F231" s="49">
        <f>IF(ROUND(C231,2)+ROUND(D231,2)=0,"","yes")</f>
        <v/>
      </c>
      <c r="G231" s="58" t="n"/>
      <c r="H231" s="50">
        <f>IF($G231="","",$E231-$G231)</f>
        <v/>
      </c>
    </row>
    <row r="232">
      <c r="A232" s="57" t="inlineStr">
        <is>
          <t>26061202V</t>
        </is>
      </c>
      <c r="B232" s="57" t="inlineStr">
        <is>
          <t>CBA AGM 2027</t>
        </is>
      </c>
      <c r="C232" s="50">
        <f>SUMIFS(tbl_WIP[Amount],tbl_WIP[Job Number],$A232,tbl_WIP[Month],"&lt;&gt;",tbl_WIP[Month],"&lt;"&amp;$C$4)+SUMIF('Deferred Revenue'!$E$6:$E$579,$A232,'Deferred Revenue'!$P$6:$P$579)</f>
        <v/>
      </c>
      <c r="D232" s="50">
        <f>SUMIFS(tbl_WIP[Amount],tbl_WIP[Job Number],$A232,tbl_WIP[Month],$C$4)+SUMIF('Deferred Revenue'!$E$6:$E$579,$A232,'Deferred Revenue'!$Q$6:$Q$579)</f>
        <v/>
      </c>
      <c r="E232" s="50">
        <f>C232+D232</f>
        <v/>
      </c>
      <c r="F232" s="49">
        <f>IF(ROUND(C232,2)+ROUND(D232,2)=0,"","yes")</f>
        <v/>
      </c>
      <c r="G232" s="58" t="n"/>
      <c r="H232" s="50">
        <f>IF($G232="","",$E232-$G232)</f>
        <v/>
      </c>
    </row>
    <row r="233">
      <c r="A233" s="57" t="inlineStr">
        <is>
          <t>26061501</t>
        </is>
      </c>
      <c r="B233" s="57" t="inlineStr">
        <is>
          <t>DTTL MEL Lv29 Display Supply</t>
        </is>
      </c>
      <c r="C233" s="50">
        <f>SUMIFS(tbl_WIP[Amount],tbl_WIP[Job Number],$A233,tbl_WIP[Month],"&lt;&gt;",tbl_WIP[Month],"&lt;"&amp;$C$4)+SUMIF('Deferred Revenue'!$E$6:$E$579,$A233,'Deferred Revenue'!$P$6:$P$579)</f>
        <v/>
      </c>
      <c r="D233" s="50">
        <f>SUMIFS(tbl_WIP[Amount],tbl_WIP[Job Number],$A233,tbl_WIP[Month],$C$4)+SUMIF('Deferred Revenue'!$E$6:$E$579,$A233,'Deferred Revenue'!$Q$6:$Q$579)</f>
        <v/>
      </c>
      <c r="E233" s="50">
        <f>C233+D233</f>
        <v/>
      </c>
      <c r="F233" s="49">
        <f>IF(ROUND(C233,2)+ROUND(D233,2)=0,"","yes")</f>
        <v/>
      </c>
      <c r="G233" s="58" t="n"/>
      <c r="H233" s="50">
        <f>IF($G233="","",$E233-$G233)</f>
        <v/>
      </c>
    </row>
    <row r="234">
      <c r="A234" s="57" t="inlineStr">
        <is>
          <t>26061602</t>
        </is>
      </c>
      <c r="B234" s="57" t="inlineStr">
        <is>
          <t>ASX - CEO Connect (Extended) - 1.9.26</t>
        </is>
      </c>
      <c r="C234" s="50">
        <f>SUMIFS(tbl_WIP[Amount],tbl_WIP[Job Number],$A234,tbl_WIP[Month],"&lt;&gt;",tbl_WIP[Month],"&lt;"&amp;$C$4)+SUMIF('Deferred Revenue'!$E$6:$E$579,$A234,'Deferred Revenue'!$P$6:$P$579)</f>
        <v/>
      </c>
      <c r="D234" s="50">
        <f>SUMIFS(tbl_WIP[Amount],tbl_WIP[Job Number],$A234,tbl_WIP[Month],$C$4)+SUMIF('Deferred Revenue'!$E$6:$E$579,$A234,'Deferred Revenue'!$Q$6:$Q$579)</f>
        <v/>
      </c>
      <c r="E234" s="50">
        <f>C234+D234</f>
        <v/>
      </c>
      <c r="F234" s="49">
        <f>IF(ROUND(C234,2)+ROUND(D234,2)=0,"","yes")</f>
        <v/>
      </c>
      <c r="G234" s="58" t="n"/>
      <c r="H234" s="50">
        <f>IF($G234="","",$E234-$G234)</f>
        <v/>
      </c>
    </row>
    <row r="235">
      <c r="A235" s="57" t="inlineStr">
        <is>
          <t>26061602V</t>
        </is>
      </c>
      <c r="B235" s="57" t="inlineStr">
        <is>
          <t>ASX - CEO Connect (Extended) - 1.9.26</t>
        </is>
      </c>
      <c r="C235" s="50">
        <f>SUMIFS(tbl_WIP[Amount],tbl_WIP[Job Number],$A235,tbl_WIP[Month],"&lt;&gt;",tbl_WIP[Month],"&lt;"&amp;$C$4)+SUMIF('Deferred Revenue'!$E$6:$E$579,$A235,'Deferred Revenue'!$P$6:$P$579)</f>
        <v/>
      </c>
      <c r="D235" s="50">
        <f>SUMIFS(tbl_WIP[Amount],tbl_WIP[Job Number],$A235,tbl_WIP[Month],$C$4)+SUMIF('Deferred Revenue'!$E$6:$E$579,$A235,'Deferred Revenue'!$Q$6:$Q$579)</f>
        <v/>
      </c>
      <c r="E235" s="50">
        <f>C235+D235</f>
        <v/>
      </c>
      <c r="F235" s="49">
        <f>IF(ROUND(C235,2)+ROUND(D235,2)=0,"","yes")</f>
        <v/>
      </c>
      <c r="G235" s="58" t="n"/>
      <c r="H235" s="50">
        <f>IF($G235="","",$E235-$G235)</f>
        <v/>
      </c>
    </row>
    <row r="236">
      <c r="A236" s="57" t="inlineStr">
        <is>
          <t>26061605</t>
        </is>
      </c>
      <c r="B236" s="57" t="inlineStr">
        <is>
          <t>MUFG - IBM Ltd AGM - 27.10.26</t>
        </is>
      </c>
      <c r="C236" s="50">
        <f>SUMIFS(tbl_WIP[Amount],tbl_WIP[Job Number],$A236,tbl_WIP[Month],"&lt;&gt;",tbl_WIP[Month],"&lt;"&amp;$C$4)+SUMIF('Deferred Revenue'!$E$6:$E$579,$A236,'Deferred Revenue'!$P$6:$P$579)</f>
        <v/>
      </c>
      <c r="D236" s="50">
        <f>SUMIFS(tbl_WIP[Amount],tbl_WIP[Job Number],$A236,tbl_WIP[Month],$C$4)+SUMIF('Deferred Revenue'!$E$6:$E$579,$A236,'Deferred Revenue'!$Q$6:$Q$579)</f>
        <v/>
      </c>
      <c r="E236" s="50">
        <f>C236+D236</f>
        <v/>
      </c>
      <c r="F236" s="49">
        <f>IF(ROUND(C236,2)+ROUND(D236,2)=0,"","yes")</f>
        <v/>
      </c>
      <c r="G236" s="58" t="n"/>
      <c r="H236" s="50">
        <f>IF($G236="","",$E236-$G236)</f>
        <v/>
      </c>
    </row>
    <row r="237">
      <c r="A237" s="57" t="inlineStr">
        <is>
          <t>26061605V</t>
        </is>
      </c>
      <c r="B237" s="57" t="inlineStr">
        <is>
          <t>MUFG - IBM Ltd AGM - 27.10.26</t>
        </is>
      </c>
      <c r="C237" s="50">
        <f>SUMIFS(tbl_WIP[Amount],tbl_WIP[Job Number],$A237,tbl_WIP[Month],"&lt;&gt;",tbl_WIP[Month],"&lt;"&amp;$C$4)+SUMIF('Deferred Revenue'!$E$6:$E$579,$A237,'Deferred Revenue'!$P$6:$P$579)</f>
        <v/>
      </c>
      <c r="D237" s="50">
        <f>SUMIFS(tbl_WIP[Amount],tbl_WIP[Job Number],$A237,tbl_WIP[Month],$C$4)+SUMIF('Deferred Revenue'!$E$6:$E$579,$A237,'Deferred Revenue'!$Q$6:$Q$579)</f>
        <v/>
      </c>
      <c r="E237" s="50">
        <f>C237+D237</f>
        <v/>
      </c>
      <c r="F237" s="49">
        <f>IF(ROUND(C237,2)+ROUND(D237,2)=0,"","yes")</f>
        <v/>
      </c>
      <c r="G237" s="58" t="n"/>
      <c r="H237" s="50">
        <f>IF($G237="","",$E237-$G237)</f>
        <v/>
      </c>
    </row>
    <row r="238">
      <c r="A238" s="57" t="inlineStr">
        <is>
          <t>26061606</t>
        </is>
      </c>
      <c r="B238" s="57" t="inlineStr">
        <is>
          <t>MUFG - Endeavour AGM - 30.10.26</t>
        </is>
      </c>
      <c r="C238" s="50">
        <f>SUMIFS(tbl_WIP[Amount],tbl_WIP[Job Number],$A238,tbl_WIP[Month],"&lt;&gt;",tbl_WIP[Month],"&lt;"&amp;$C$4)+SUMIF('Deferred Revenue'!$E$6:$E$579,$A238,'Deferred Revenue'!$P$6:$P$579)</f>
        <v/>
      </c>
      <c r="D238" s="50">
        <f>SUMIFS(tbl_WIP[Amount],tbl_WIP[Job Number],$A238,tbl_WIP[Month],$C$4)+SUMIF('Deferred Revenue'!$E$6:$E$579,$A238,'Deferred Revenue'!$Q$6:$Q$579)</f>
        <v/>
      </c>
      <c r="E238" s="50">
        <f>C238+D238</f>
        <v/>
      </c>
      <c r="F238" s="49">
        <f>IF(ROUND(C238,2)+ROUND(D238,2)=0,"","yes")</f>
        <v/>
      </c>
      <c r="G238" s="58" t="n"/>
      <c r="H238" s="50">
        <f>IF($G238="","",$E238-$G238)</f>
        <v/>
      </c>
    </row>
    <row r="239">
      <c r="A239" s="57" t="inlineStr">
        <is>
          <t>26061606V</t>
        </is>
      </c>
      <c r="B239" s="57" t="inlineStr">
        <is>
          <t>MUFG - Endeavour AGM - 30.10.26</t>
        </is>
      </c>
      <c r="C239" s="50">
        <f>SUMIFS(tbl_WIP[Amount],tbl_WIP[Job Number],$A239,tbl_WIP[Month],"&lt;&gt;",tbl_WIP[Month],"&lt;"&amp;$C$4)+SUMIF('Deferred Revenue'!$E$6:$E$579,$A239,'Deferred Revenue'!$P$6:$P$579)</f>
        <v/>
      </c>
      <c r="D239" s="50">
        <f>SUMIFS(tbl_WIP[Amount],tbl_WIP[Job Number],$A239,tbl_WIP[Month],$C$4)+SUMIF('Deferred Revenue'!$E$6:$E$579,$A239,'Deferred Revenue'!$Q$6:$Q$579)</f>
        <v/>
      </c>
      <c r="E239" s="50">
        <f>C239+D239</f>
        <v/>
      </c>
      <c r="F239" s="49">
        <f>IF(ROUND(C239,2)+ROUND(D239,2)=0,"","yes")</f>
        <v/>
      </c>
      <c r="G239" s="58" t="n"/>
      <c r="H239" s="50">
        <f>IF($G239="","",$E239-$G239)</f>
        <v/>
      </c>
    </row>
    <row r="240">
      <c r="A240" s="57" t="inlineStr">
        <is>
          <t>26061607</t>
        </is>
      </c>
      <c r="B240" s="57" t="inlineStr">
        <is>
          <t>APA - Qtly All Hands (BNE) - 4.11.26</t>
        </is>
      </c>
      <c r="C240" s="50">
        <f>SUMIFS(tbl_WIP[Amount],tbl_WIP[Job Number],$A240,tbl_WIP[Month],"&lt;&gt;",tbl_WIP[Month],"&lt;"&amp;$C$4)+SUMIF('Deferred Revenue'!$E$6:$E$579,$A240,'Deferred Revenue'!$P$6:$P$579)</f>
        <v/>
      </c>
      <c r="D240" s="50">
        <f>SUMIFS(tbl_WIP[Amount],tbl_WIP[Job Number],$A240,tbl_WIP[Month],$C$4)+SUMIF('Deferred Revenue'!$E$6:$E$579,$A240,'Deferred Revenue'!$Q$6:$Q$579)</f>
        <v/>
      </c>
      <c r="E240" s="50">
        <f>C240+D240</f>
        <v/>
      </c>
      <c r="F240" s="49">
        <f>IF(ROUND(C240,2)+ROUND(D240,2)=0,"","yes")</f>
        <v/>
      </c>
      <c r="G240" s="58" t="n"/>
      <c r="H240" s="50">
        <f>IF($G240="","",$E240-$G240)</f>
        <v/>
      </c>
    </row>
    <row r="241">
      <c r="A241" s="57" t="inlineStr">
        <is>
          <t>26061607V</t>
        </is>
      </c>
      <c r="B241" s="57" t="inlineStr">
        <is>
          <t>APA - Qtly All Hands (BNE) - 4.11.26</t>
        </is>
      </c>
      <c r="C241" s="50">
        <f>SUMIFS(tbl_WIP[Amount],tbl_WIP[Job Number],$A241,tbl_WIP[Month],"&lt;&gt;",tbl_WIP[Month],"&lt;"&amp;$C$4)+SUMIF('Deferred Revenue'!$E$6:$E$579,$A241,'Deferred Revenue'!$P$6:$P$579)</f>
        <v/>
      </c>
      <c r="D241" s="50">
        <f>SUMIFS(tbl_WIP[Amount],tbl_WIP[Job Number],$A241,tbl_WIP[Month],$C$4)+SUMIF('Deferred Revenue'!$E$6:$E$579,$A241,'Deferred Revenue'!$Q$6:$Q$579)</f>
        <v/>
      </c>
      <c r="E241" s="50">
        <f>C241+D241</f>
        <v/>
      </c>
      <c r="F241" s="49">
        <f>IF(ROUND(C241,2)+ROUND(D241,2)=0,"","yes")</f>
        <v/>
      </c>
      <c r="G241" s="58" t="n"/>
      <c r="H241" s="50">
        <f>IF($G241="","",$E241-$G241)</f>
        <v/>
      </c>
    </row>
    <row r="242">
      <c r="A242" s="57" t="inlineStr">
        <is>
          <t>26061608</t>
        </is>
      </c>
      <c r="B242" s="57" t="inlineStr">
        <is>
          <t>APA - Qtly All Hands Sydney - Feb 27</t>
        </is>
      </c>
      <c r="C242" s="50">
        <f>SUMIFS(tbl_WIP[Amount],tbl_WIP[Job Number],$A242,tbl_WIP[Month],"&lt;&gt;",tbl_WIP[Month],"&lt;"&amp;$C$4)+SUMIF('Deferred Revenue'!$E$6:$E$579,$A242,'Deferred Revenue'!$P$6:$P$579)</f>
        <v/>
      </c>
      <c r="D242" s="50">
        <f>SUMIFS(tbl_WIP[Amount],tbl_WIP[Job Number],$A242,tbl_WIP[Month],$C$4)+SUMIF('Deferred Revenue'!$E$6:$E$579,$A242,'Deferred Revenue'!$Q$6:$Q$579)</f>
        <v/>
      </c>
      <c r="E242" s="50">
        <f>C242+D242</f>
        <v/>
      </c>
      <c r="F242" s="49">
        <f>IF(ROUND(C242,2)+ROUND(D242,2)=0,"","yes")</f>
        <v/>
      </c>
      <c r="G242" s="58" t="n"/>
      <c r="H242" s="50">
        <f>IF($G242="","",$E242-$G242)</f>
        <v/>
      </c>
    </row>
    <row r="243">
      <c r="A243" s="57" t="inlineStr">
        <is>
          <t>26061608V</t>
        </is>
      </c>
      <c r="B243" s="57" t="inlineStr">
        <is>
          <t>APA - Qtly All Hands Sydney - Feb 27</t>
        </is>
      </c>
      <c r="C243" s="50">
        <f>SUMIFS(tbl_WIP[Amount],tbl_WIP[Job Number],$A243,tbl_WIP[Month],"&lt;&gt;",tbl_WIP[Month],"&lt;"&amp;$C$4)+SUMIF('Deferred Revenue'!$E$6:$E$579,$A243,'Deferred Revenue'!$P$6:$P$579)</f>
        <v/>
      </c>
      <c r="D243" s="50">
        <f>SUMIFS(tbl_WIP[Amount],tbl_WIP[Job Number],$A243,tbl_WIP[Month],$C$4)+SUMIF('Deferred Revenue'!$E$6:$E$579,$A243,'Deferred Revenue'!$Q$6:$Q$579)</f>
        <v/>
      </c>
      <c r="E243" s="50">
        <f>C243+D243</f>
        <v/>
      </c>
      <c r="F243" s="49">
        <f>IF(ROUND(C243,2)+ROUND(D243,2)=0,"","yes")</f>
        <v/>
      </c>
      <c r="G243" s="58" t="n"/>
      <c r="H243" s="50">
        <f>IF($G243="","",$E243-$G243)</f>
        <v/>
      </c>
    </row>
    <row r="244">
      <c r="A244" s="57" t="inlineStr">
        <is>
          <t>26061609</t>
        </is>
      </c>
      <c r="B244" s="57" t="inlineStr">
        <is>
          <t>APA Qtly All Hands Perth - May 2027</t>
        </is>
      </c>
      <c r="C244" s="50">
        <f>SUMIFS(tbl_WIP[Amount],tbl_WIP[Job Number],$A244,tbl_WIP[Month],"&lt;&gt;",tbl_WIP[Month],"&lt;"&amp;$C$4)+SUMIF('Deferred Revenue'!$E$6:$E$579,$A244,'Deferred Revenue'!$P$6:$P$579)</f>
        <v/>
      </c>
      <c r="D244" s="50">
        <f>SUMIFS(tbl_WIP[Amount],tbl_WIP[Job Number],$A244,tbl_WIP[Month],$C$4)+SUMIF('Deferred Revenue'!$E$6:$E$579,$A244,'Deferred Revenue'!$Q$6:$Q$579)</f>
        <v/>
      </c>
      <c r="E244" s="50">
        <f>C244+D244</f>
        <v/>
      </c>
      <c r="F244" s="49">
        <f>IF(ROUND(C244,2)+ROUND(D244,2)=0,"","yes")</f>
        <v/>
      </c>
      <c r="G244" s="58" t="n"/>
      <c r="H244" s="50">
        <f>IF($G244="","",$E244-$G244)</f>
        <v/>
      </c>
    </row>
    <row r="245">
      <c r="A245" s="57" t="inlineStr">
        <is>
          <t>26061609V</t>
        </is>
      </c>
      <c r="B245" s="57" t="inlineStr">
        <is>
          <t>APA Qtly All Hands Perth - May 2027</t>
        </is>
      </c>
      <c r="C245" s="50">
        <f>SUMIFS(tbl_WIP[Amount],tbl_WIP[Job Number],$A245,tbl_WIP[Month],"&lt;&gt;",tbl_WIP[Month],"&lt;"&amp;$C$4)+SUMIF('Deferred Revenue'!$E$6:$E$579,$A245,'Deferred Revenue'!$P$6:$P$579)</f>
        <v/>
      </c>
      <c r="D245" s="50">
        <f>SUMIFS(tbl_WIP[Amount],tbl_WIP[Job Number],$A245,tbl_WIP[Month],$C$4)+SUMIF('Deferred Revenue'!$E$6:$E$579,$A245,'Deferred Revenue'!$Q$6:$Q$579)</f>
        <v/>
      </c>
      <c r="E245" s="50">
        <f>C245+D245</f>
        <v/>
      </c>
      <c r="F245" s="49">
        <f>IF(ROUND(C245,2)+ROUND(D245,2)=0,"","yes")</f>
        <v/>
      </c>
      <c r="G245" s="58" t="n"/>
      <c r="H245" s="50">
        <f>IF($G245="","",$E245-$G245)</f>
        <v/>
      </c>
    </row>
    <row r="246">
      <c r="A246" s="57" t="inlineStr">
        <is>
          <t>26061611</t>
        </is>
      </c>
      <c r="B246" s="57" t="inlineStr">
        <is>
          <t>QBE - Keynote Event - 27.10.26</t>
        </is>
      </c>
      <c r="C246" s="50">
        <f>SUMIFS(tbl_WIP[Amount],tbl_WIP[Job Number],$A246,tbl_WIP[Month],"&lt;&gt;",tbl_WIP[Month],"&lt;"&amp;$C$4)+SUMIF('Deferred Revenue'!$E$6:$E$579,$A246,'Deferred Revenue'!$P$6:$P$579)</f>
        <v/>
      </c>
      <c r="D246" s="50">
        <f>SUMIFS(tbl_WIP[Amount],tbl_WIP[Job Number],$A246,tbl_WIP[Month],$C$4)+SUMIF('Deferred Revenue'!$E$6:$E$579,$A246,'Deferred Revenue'!$Q$6:$Q$579)</f>
        <v/>
      </c>
      <c r="E246" s="50">
        <f>C246+D246</f>
        <v/>
      </c>
      <c r="F246" s="49">
        <f>IF(ROUND(C246,2)+ROUND(D246,2)=0,"","yes")</f>
        <v/>
      </c>
      <c r="G246" s="58" t="n"/>
      <c r="H246" s="50">
        <f>IF($G246="","",$E246-$G246)</f>
        <v/>
      </c>
    </row>
    <row r="247">
      <c r="A247" s="57" t="inlineStr">
        <is>
          <t>26061611V</t>
        </is>
      </c>
      <c r="B247" s="57" t="inlineStr">
        <is>
          <t>QBE - Keynote Event - 27.10.26</t>
        </is>
      </c>
      <c r="C247" s="50">
        <f>SUMIFS(tbl_WIP[Amount],tbl_WIP[Job Number],$A247,tbl_WIP[Month],"&lt;&gt;",tbl_WIP[Month],"&lt;"&amp;$C$4)+SUMIF('Deferred Revenue'!$E$6:$E$579,$A247,'Deferred Revenue'!$P$6:$P$579)</f>
        <v/>
      </c>
      <c r="D247" s="50">
        <f>SUMIFS(tbl_WIP[Amount],tbl_WIP[Job Number],$A247,tbl_WIP[Month],$C$4)+SUMIF('Deferred Revenue'!$E$6:$E$579,$A247,'Deferred Revenue'!$Q$6:$Q$579)</f>
        <v/>
      </c>
      <c r="E247" s="50">
        <f>C247+D247</f>
        <v/>
      </c>
      <c r="F247" s="49">
        <f>IF(ROUND(C247,2)+ROUND(D247,2)=0,"","yes")</f>
        <v/>
      </c>
      <c r="G247" s="58" t="n"/>
      <c r="H247" s="50">
        <f>IF($G247="","",$E247-$G247)</f>
        <v/>
      </c>
    </row>
    <row r="248">
      <c r="A248" s="57" t="inlineStr">
        <is>
          <t>26061612</t>
        </is>
      </c>
      <c r="B248" s="57" t="inlineStr">
        <is>
          <t>Chorus Call - Redox AGM - 7.10.26</t>
        </is>
      </c>
      <c r="C248" s="50">
        <f>SUMIFS(tbl_WIP[Amount],tbl_WIP[Job Number],$A248,tbl_WIP[Month],"&lt;&gt;",tbl_WIP[Month],"&lt;"&amp;$C$4)+SUMIF('Deferred Revenue'!$E$6:$E$579,$A248,'Deferred Revenue'!$P$6:$P$579)</f>
        <v/>
      </c>
      <c r="D248" s="50">
        <f>SUMIFS(tbl_WIP[Amount],tbl_WIP[Job Number],$A248,tbl_WIP[Month],$C$4)+SUMIF('Deferred Revenue'!$E$6:$E$579,$A248,'Deferred Revenue'!$Q$6:$Q$579)</f>
        <v/>
      </c>
      <c r="E248" s="50">
        <f>C248+D248</f>
        <v/>
      </c>
      <c r="F248" s="49">
        <f>IF(ROUND(C248,2)+ROUND(D248,2)=0,"","yes")</f>
        <v/>
      </c>
      <c r="G248" s="58" t="n"/>
      <c r="H248" s="50">
        <f>IF($G248="","",$E248-$G248)</f>
        <v/>
      </c>
    </row>
    <row r="249">
      <c r="A249" s="57" t="inlineStr">
        <is>
          <t>26061612V</t>
        </is>
      </c>
      <c r="B249" s="57" t="inlineStr">
        <is>
          <t>Chorus Call - Redox AGM - 7.10.26</t>
        </is>
      </c>
      <c r="C249" s="50">
        <f>SUMIFS(tbl_WIP[Amount],tbl_WIP[Job Number],$A249,tbl_WIP[Month],"&lt;&gt;",tbl_WIP[Month],"&lt;"&amp;$C$4)+SUMIF('Deferred Revenue'!$E$6:$E$579,$A249,'Deferred Revenue'!$P$6:$P$579)</f>
        <v/>
      </c>
      <c r="D249" s="50">
        <f>SUMIFS(tbl_WIP[Amount],tbl_WIP[Job Number],$A249,tbl_WIP[Month],$C$4)+SUMIF('Deferred Revenue'!$E$6:$E$579,$A249,'Deferred Revenue'!$Q$6:$Q$579)</f>
        <v/>
      </c>
      <c r="E249" s="50">
        <f>C249+D249</f>
        <v/>
      </c>
      <c r="F249" s="49">
        <f>IF(ROUND(C249,2)+ROUND(D249,2)=0,"","yes")</f>
        <v/>
      </c>
      <c r="G249" s="58" t="n"/>
      <c r="H249" s="50">
        <f>IF($G249="","",$E249-$G249)</f>
        <v/>
      </c>
    </row>
    <row r="250">
      <c r="A250" s="57" t="inlineStr">
        <is>
          <t>26061701</t>
        </is>
      </c>
      <c r="B250" s="57" t="inlineStr">
        <is>
          <t>CBA - LES - July 2026</t>
        </is>
      </c>
      <c r="C250" s="50">
        <f>SUMIFS(tbl_WIP[Amount],tbl_WIP[Job Number],$A250,tbl_WIP[Month],"&lt;&gt;",tbl_WIP[Month],"&lt;"&amp;$C$4)+SUMIF('Deferred Revenue'!$E$6:$E$579,$A250,'Deferred Revenue'!$P$6:$P$579)</f>
        <v/>
      </c>
      <c r="D250" s="50">
        <f>SUMIFS(tbl_WIP[Amount],tbl_WIP[Job Number],$A250,tbl_WIP[Month],$C$4)+SUMIF('Deferred Revenue'!$E$6:$E$579,$A250,'Deferred Revenue'!$Q$6:$Q$579)</f>
        <v/>
      </c>
      <c r="E250" s="50">
        <f>C250+D250</f>
        <v/>
      </c>
      <c r="F250" s="49">
        <f>IF(ROUND(C250,2)+ROUND(D250,2)=0,"","yes")</f>
        <v/>
      </c>
      <c r="G250" s="58" t="n"/>
      <c r="H250" s="50">
        <f>IF($G250="","",$E250-$G250)</f>
        <v/>
      </c>
    </row>
    <row r="251">
      <c r="A251" s="57" t="inlineStr">
        <is>
          <t>26061702</t>
        </is>
      </c>
      <c r="B251" s="57" t="inlineStr">
        <is>
          <t>Garvan - Morning Tea Event - 31.7.26</t>
        </is>
      </c>
      <c r="C251" s="50">
        <f>SUMIFS(tbl_WIP[Amount],tbl_WIP[Job Number],$A251,tbl_WIP[Month],"&lt;&gt;",tbl_WIP[Month],"&lt;"&amp;$C$4)+SUMIF('Deferred Revenue'!$E$6:$E$579,$A251,'Deferred Revenue'!$P$6:$P$579)</f>
        <v/>
      </c>
      <c r="D251" s="50">
        <f>SUMIFS(tbl_WIP[Amount],tbl_WIP[Job Number],$A251,tbl_WIP[Month],$C$4)+SUMIF('Deferred Revenue'!$E$6:$E$579,$A251,'Deferred Revenue'!$Q$6:$Q$579)</f>
        <v/>
      </c>
      <c r="E251" s="50">
        <f>C251+D251</f>
        <v/>
      </c>
      <c r="F251" s="49">
        <f>IF(ROUND(C251,2)+ROUND(D251,2)=0,"","yes")</f>
        <v/>
      </c>
      <c r="G251" s="58" t="n"/>
      <c r="H251" s="50">
        <f>IF($G251="","",$E251-$G251)</f>
        <v/>
      </c>
    </row>
    <row r="252">
      <c r="A252" s="57" t="inlineStr">
        <is>
          <t>26061801</t>
        </is>
      </c>
      <c r="B252" s="57" t="inlineStr">
        <is>
          <t>APA - Investor Briefing FYR26 - 20.8.26</t>
        </is>
      </c>
      <c r="C252" s="50">
        <f>SUMIFS(tbl_WIP[Amount],tbl_WIP[Job Number],$A252,tbl_WIP[Month],"&lt;&gt;",tbl_WIP[Month],"&lt;"&amp;$C$4)+SUMIF('Deferred Revenue'!$E$6:$E$579,$A252,'Deferred Revenue'!$P$6:$P$579)</f>
        <v/>
      </c>
      <c r="D252" s="50">
        <f>SUMIFS(tbl_WIP[Amount],tbl_WIP[Job Number],$A252,tbl_WIP[Month],$C$4)+SUMIF('Deferred Revenue'!$E$6:$E$579,$A252,'Deferred Revenue'!$Q$6:$Q$579)</f>
        <v/>
      </c>
      <c r="E252" s="50">
        <f>C252+D252</f>
        <v/>
      </c>
      <c r="F252" s="49">
        <f>IF(ROUND(C252,2)+ROUND(D252,2)=0,"","yes")</f>
        <v/>
      </c>
      <c r="G252" s="58" t="n"/>
      <c r="H252" s="50">
        <f>IF($G252="","",$E252-$G252)</f>
        <v/>
      </c>
    </row>
    <row r="253">
      <c r="A253" s="57" t="inlineStr">
        <is>
          <t>26061801V</t>
        </is>
      </c>
      <c r="B253" s="57" t="inlineStr">
        <is>
          <t>APA - Investor Briefing FYR26 - 20.8.26</t>
        </is>
      </c>
      <c r="C253" s="50">
        <f>SUMIFS(tbl_WIP[Amount],tbl_WIP[Job Number],$A253,tbl_WIP[Month],"&lt;&gt;",tbl_WIP[Month],"&lt;"&amp;$C$4)+SUMIF('Deferred Revenue'!$E$6:$E$579,$A253,'Deferred Revenue'!$P$6:$P$579)</f>
        <v/>
      </c>
      <c r="D253" s="50">
        <f>SUMIFS(tbl_WIP[Amount],tbl_WIP[Job Number],$A253,tbl_WIP[Month],$C$4)+SUMIF('Deferred Revenue'!$E$6:$E$579,$A253,'Deferred Revenue'!$Q$6:$Q$579)</f>
        <v/>
      </c>
      <c r="E253" s="50">
        <f>C253+D253</f>
        <v/>
      </c>
      <c r="F253" s="49">
        <f>IF(ROUND(C253,2)+ROUND(D253,2)=0,"","yes")</f>
        <v/>
      </c>
      <c r="G253" s="58" t="n"/>
      <c r="H253" s="50">
        <f>IF($G253="","",$E253-$G253)</f>
        <v/>
      </c>
    </row>
    <row r="254">
      <c r="A254" s="57" t="inlineStr">
        <is>
          <t>26062201</t>
        </is>
      </c>
      <c r="B254" s="57" t="inlineStr">
        <is>
          <t>PWC - Tax &amp; Legal Webcast 02.07.26</t>
        </is>
      </c>
      <c r="C254" s="50">
        <f>SUMIFS(tbl_WIP[Amount],tbl_WIP[Job Number],$A254,tbl_WIP[Month],"&lt;&gt;",tbl_WIP[Month],"&lt;"&amp;$C$4)+SUMIF('Deferred Revenue'!$E$6:$E$579,$A254,'Deferred Revenue'!$P$6:$P$579)</f>
        <v/>
      </c>
      <c r="D254" s="50">
        <f>SUMIFS(tbl_WIP[Amount],tbl_WIP[Job Number],$A254,tbl_WIP[Month],$C$4)+SUMIF('Deferred Revenue'!$E$6:$E$579,$A254,'Deferred Revenue'!$Q$6:$Q$579)</f>
        <v/>
      </c>
      <c r="E254" s="50">
        <f>C254+D254</f>
        <v/>
      </c>
      <c r="F254" s="49">
        <f>IF(ROUND(C254,2)+ROUND(D254,2)=0,"","yes")</f>
        <v/>
      </c>
      <c r="G254" s="58" t="n"/>
      <c r="H254" s="50">
        <f>IF($G254="","",$E254-$G254)</f>
        <v/>
      </c>
    </row>
    <row r="255">
      <c r="A255" s="57" t="inlineStr">
        <is>
          <t>26062201V</t>
        </is>
      </c>
      <c r="B255" s="57" t="inlineStr">
        <is>
          <t>PWC - Tax &amp; Legal Webcast 02.07.26</t>
        </is>
      </c>
      <c r="C255" s="50">
        <f>SUMIFS(tbl_WIP[Amount],tbl_WIP[Job Number],$A255,tbl_WIP[Month],"&lt;&gt;",tbl_WIP[Month],"&lt;"&amp;$C$4)+SUMIF('Deferred Revenue'!$E$6:$E$579,$A255,'Deferred Revenue'!$P$6:$P$579)</f>
        <v/>
      </c>
      <c r="D255" s="50">
        <f>SUMIFS(tbl_WIP[Amount],tbl_WIP[Job Number],$A255,tbl_WIP[Month],$C$4)+SUMIF('Deferred Revenue'!$E$6:$E$579,$A255,'Deferred Revenue'!$Q$6:$Q$579)</f>
        <v/>
      </c>
      <c r="E255" s="50">
        <f>C255+D255</f>
        <v/>
      </c>
      <c r="F255" s="49">
        <f>IF(ROUND(C255,2)+ROUND(D255,2)=0,"","yes")</f>
        <v/>
      </c>
      <c r="G255" s="58" t="n"/>
      <c r="H255" s="50">
        <f>IF($G255="","",$E255-$G255)</f>
        <v/>
      </c>
    </row>
    <row r="256">
      <c r="A256" s="57" t="inlineStr">
        <is>
          <t>26062202</t>
        </is>
      </c>
      <c r="B256" s="57" t="inlineStr">
        <is>
          <t>PWC - Early Careers Webcast - 29.7.26</t>
        </is>
      </c>
      <c r="C256" s="50">
        <f>SUMIFS(tbl_WIP[Amount],tbl_WIP[Job Number],$A256,tbl_WIP[Month],"&lt;&gt;",tbl_WIP[Month],"&lt;"&amp;$C$4)+SUMIF('Deferred Revenue'!$E$6:$E$579,$A256,'Deferred Revenue'!$P$6:$P$579)</f>
        <v/>
      </c>
      <c r="D256" s="50">
        <f>SUMIFS(tbl_WIP[Amount],tbl_WIP[Job Number],$A256,tbl_WIP[Month],$C$4)+SUMIF('Deferred Revenue'!$E$6:$E$579,$A256,'Deferred Revenue'!$Q$6:$Q$579)</f>
        <v/>
      </c>
      <c r="E256" s="50">
        <f>C256+D256</f>
        <v/>
      </c>
      <c r="F256" s="49">
        <f>IF(ROUND(C256,2)+ROUND(D256,2)=0,"","yes")</f>
        <v/>
      </c>
      <c r="G256" s="58" t="n"/>
      <c r="H256" s="50">
        <f>IF($G256="","",$E256-$G256)</f>
        <v/>
      </c>
    </row>
    <row r="257">
      <c r="A257" s="57" t="inlineStr">
        <is>
          <t>26062202V</t>
        </is>
      </c>
      <c r="B257" s="57" t="inlineStr">
        <is>
          <t>PWC - Early Careers Webcast - 29.7.26</t>
        </is>
      </c>
      <c r="C257" s="50">
        <f>SUMIFS(tbl_WIP[Amount],tbl_WIP[Job Number],$A257,tbl_WIP[Month],"&lt;&gt;",tbl_WIP[Month],"&lt;"&amp;$C$4)+SUMIF('Deferred Revenue'!$E$6:$E$579,$A257,'Deferred Revenue'!$P$6:$P$579)</f>
        <v/>
      </c>
      <c r="D257" s="50">
        <f>SUMIFS(tbl_WIP[Amount],tbl_WIP[Job Number],$A257,tbl_WIP[Month],$C$4)+SUMIF('Deferred Revenue'!$E$6:$E$579,$A257,'Deferred Revenue'!$Q$6:$Q$579)</f>
        <v/>
      </c>
      <c r="E257" s="50">
        <f>C257+D257</f>
        <v/>
      </c>
      <c r="F257" s="49">
        <f>IF(ROUND(C257,2)+ROUND(D257,2)=0,"","yes")</f>
        <v/>
      </c>
      <c r="G257" s="58" t="n"/>
      <c r="H257" s="50">
        <f>IF($G257="","",$E257-$G257)</f>
        <v/>
      </c>
    </row>
    <row r="258">
      <c r="A258" s="57" t="inlineStr">
        <is>
          <t>26062403</t>
        </is>
      </c>
      <c r="B258" s="57" t="inlineStr">
        <is>
          <t>CBA - CommBank Private Hosting 25.6.26</t>
        </is>
      </c>
      <c r="C258" s="50">
        <f>SUMIFS(tbl_WIP[Amount],tbl_WIP[Job Number],$A258,tbl_WIP[Month],"&lt;&gt;",tbl_WIP[Month],"&lt;"&amp;$C$4)+SUMIF('Deferred Revenue'!$E$6:$E$579,$A258,'Deferred Revenue'!$P$6:$P$579)</f>
        <v/>
      </c>
      <c r="D258" s="50">
        <f>SUMIFS(tbl_WIP[Amount],tbl_WIP[Job Number],$A258,tbl_WIP[Month],$C$4)+SUMIF('Deferred Revenue'!$E$6:$E$579,$A258,'Deferred Revenue'!$Q$6:$Q$579)</f>
        <v/>
      </c>
      <c r="E258" s="50">
        <f>C258+D258</f>
        <v/>
      </c>
      <c r="F258" s="49">
        <f>IF(ROUND(C258,2)+ROUND(D258,2)=0,"","yes")</f>
        <v/>
      </c>
      <c r="G258" s="58" t="n"/>
      <c r="H258" s="50">
        <f>IF($G258="","",$E258-$G258)</f>
        <v/>
      </c>
    </row>
    <row r="259">
      <c r="A259" s="57" t="inlineStr">
        <is>
          <t>26062403V</t>
        </is>
      </c>
      <c r="B259" s="57" t="inlineStr">
        <is>
          <t>CBA - CommBank Private Hosting 25.6.26</t>
        </is>
      </c>
      <c r="C259" s="50">
        <f>SUMIFS(tbl_WIP[Amount],tbl_WIP[Job Number],$A259,tbl_WIP[Month],"&lt;&gt;",tbl_WIP[Month],"&lt;"&amp;$C$4)+SUMIF('Deferred Revenue'!$E$6:$E$579,$A259,'Deferred Revenue'!$P$6:$P$579)</f>
        <v/>
      </c>
      <c r="D259" s="50">
        <f>SUMIFS(tbl_WIP[Amount],tbl_WIP[Job Number],$A259,tbl_WIP[Month],$C$4)+SUMIF('Deferred Revenue'!$E$6:$E$579,$A259,'Deferred Revenue'!$Q$6:$Q$579)</f>
        <v/>
      </c>
      <c r="E259" s="50">
        <f>C259+D259</f>
        <v/>
      </c>
      <c r="F259" s="49">
        <f>IF(ROUND(C259,2)+ROUND(D259,2)=0,"","yes")</f>
        <v/>
      </c>
      <c r="G259" s="58" t="n"/>
      <c r="H259" s="50">
        <f>IF($G259="","",$E259-$G259)</f>
        <v/>
      </c>
    </row>
    <row r="260">
      <c r="A260" s="57" t="inlineStr">
        <is>
          <t>26062501</t>
        </is>
      </c>
      <c r="B260" s="57" t="inlineStr">
        <is>
          <t>DTTL STL Travel (SYD-MEL Return)</t>
        </is>
      </c>
      <c r="C260" s="50">
        <f>SUMIFS(tbl_WIP[Amount],tbl_WIP[Job Number],$A260,tbl_WIP[Month],"&lt;&gt;",tbl_WIP[Month],"&lt;"&amp;$C$4)+SUMIF('Deferred Revenue'!$E$6:$E$579,$A260,'Deferred Revenue'!$P$6:$P$579)</f>
        <v/>
      </c>
      <c r="D260" s="50">
        <f>SUMIFS(tbl_WIP[Amount],tbl_WIP[Job Number],$A260,tbl_WIP[Month],$C$4)+SUMIF('Deferred Revenue'!$E$6:$E$579,$A260,'Deferred Revenue'!$Q$6:$Q$579)</f>
        <v/>
      </c>
      <c r="E260" s="50">
        <f>C260+D260</f>
        <v/>
      </c>
      <c r="F260" s="49">
        <f>IF(ROUND(C260,2)+ROUND(D260,2)=0,"","yes")</f>
        <v/>
      </c>
      <c r="G260" s="58" t="n"/>
      <c r="H260" s="50">
        <f>IF($G260="","",$E260-$G260)</f>
        <v/>
      </c>
    </row>
    <row r="261">
      <c r="A261" s="57" t="inlineStr">
        <is>
          <t>26062503</t>
        </is>
      </c>
      <c r="B261" s="57" t="inlineStr">
        <is>
          <t>Aware Super 24.16 UC Engine Replacement</t>
        </is>
      </c>
      <c r="C261" s="50">
        <f>SUMIFS(tbl_WIP[Amount],tbl_WIP[Job Number],$A261,tbl_WIP[Month],"&lt;&gt;",tbl_WIP[Month],"&lt;"&amp;$C$4)+SUMIF('Deferred Revenue'!$E$6:$E$579,$A261,'Deferred Revenue'!$P$6:$P$579)</f>
        <v/>
      </c>
      <c r="D261" s="50">
        <f>SUMIFS(tbl_WIP[Amount],tbl_WIP[Job Number],$A261,tbl_WIP[Month],$C$4)+SUMIF('Deferred Revenue'!$E$6:$E$579,$A261,'Deferred Revenue'!$Q$6:$Q$579)</f>
        <v/>
      </c>
      <c r="E261" s="50">
        <f>C261+D261</f>
        <v/>
      </c>
      <c r="F261" s="49">
        <f>IF(ROUND(C261,2)+ROUND(D261,2)=0,"","yes")</f>
        <v/>
      </c>
      <c r="G261" s="58" t="n"/>
      <c r="H261" s="50">
        <f>IF($G261="","",$E261-$G261)</f>
        <v/>
      </c>
    </row>
    <row r="262">
      <c r="A262" s="57" t="inlineStr">
        <is>
          <t>26062601</t>
        </is>
      </c>
      <c r="B262" s="57" t="inlineStr">
        <is>
          <t>Ventia - XELT Event - 29.6.26</t>
        </is>
      </c>
      <c r="C262" s="50">
        <f>SUMIFS(tbl_WIP[Amount],tbl_WIP[Job Number],$A262,tbl_WIP[Month],"&lt;&gt;",tbl_WIP[Month],"&lt;"&amp;$C$4)+SUMIF('Deferred Revenue'!$E$6:$E$579,$A262,'Deferred Revenue'!$P$6:$P$579)</f>
        <v/>
      </c>
      <c r="D262" s="50">
        <f>SUMIFS(tbl_WIP[Amount],tbl_WIP[Job Number],$A262,tbl_WIP[Month],$C$4)+SUMIF('Deferred Revenue'!$E$6:$E$579,$A262,'Deferred Revenue'!$Q$6:$Q$579)</f>
        <v/>
      </c>
      <c r="E262" s="50">
        <f>C262+D262</f>
        <v/>
      </c>
      <c r="F262" s="49">
        <f>IF(ROUND(C262,2)+ROUND(D262,2)=0,"","yes")</f>
        <v/>
      </c>
      <c r="G262" s="58" t="n"/>
      <c r="H262" s="50">
        <f>IF($G262="","",$E262-$G262)</f>
        <v/>
      </c>
    </row>
    <row r="263">
      <c r="A263" s="57" t="inlineStr">
        <is>
          <t>26062601V</t>
        </is>
      </c>
      <c r="B263" s="57" t="inlineStr">
        <is>
          <t>Ventia - XELT Event - 29.6.26</t>
        </is>
      </c>
      <c r="C263" s="50">
        <f>SUMIFS(tbl_WIP[Amount],tbl_WIP[Job Number],$A263,tbl_WIP[Month],"&lt;&gt;",tbl_WIP[Month],"&lt;"&amp;$C$4)+SUMIF('Deferred Revenue'!$E$6:$E$579,$A263,'Deferred Revenue'!$P$6:$P$579)</f>
        <v/>
      </c>
      <c r="D263" s="50">
        <f>SUMIFS(tbl_WIP[Amount],tbl_WIP[Job Number],$A263,tbl_WIP[Month],$C$4)+SUMIF('Deferred Revenue'!$E$6:$E$579,$A263,'Deferred Revenue'!$Q$6:$Q$579)</f>
        <v/>
      </c>
      <c r="E263" s="50">
        <f>C263+D263</f>
        <v/>
      </c>
      <c r="F263" s="49">
        <f>IF(ROUND(C263,2)+ROUND(D263,2)=0,"","yes")</f>
        <v/>
      </c>
      <c r="G263" s="58" t="n"/>
      <c r="H263" s="50">
        <f>IF($G263="","",$E263-$G263)</f>
        <v/>
      </c>
    </row>
    <row r="264">
      <c r="A264" s="57" t="inlineStr">
        <is>
          <t>26062901</t>
        </is>
      </c>
      <c r="B264" s="57" t="inlineStr">
        <is>
          <t>Aware | SYD 28.06 Services</t>
        </is>
      </c>
      <c r="C264" s="50">
        <f>SUMIFS(tbl_WIP[Amount],tbl_WIP[Job Number],$A264,tbl_WIP[Month],"&lt;&gt;",tbl_WIP[Month],"&lt;"&amp;$C$4)+SUMIF('Deferred Revenue'!$E$6:$E$579,$A264,'Deferred Revenue'!$P$6:$P$579)</f>
        <v/>
      </c>
      <c r="D264" s="50">
        <f>SUMIFS(tbl_WIP[Amount],tbl_WIP[Job Number],$A264,tbl_WIP[Month],$C$4)+SUMIF('Deferred Revenue'!$E$6:$E$579,$A264,'Deferred Revenue'!$Q$6:$Q$579)</f>
        <v/>
      </c>
      <c r="E264" s="50">
        <f>C264+D264</f>
        <v/>
      </c>
      <c r="F264" s="49">
        <f>IF(ROUND(C264,2)+ROUND(D264,2)=0,"","yes")</f>
        <v/>
      </c>
      <c r="G264" s="58" t="n"/>
      <c r="H264" s="50">
        <f>IF($G264="","",$E264-$G264)</f>
        <v/>
      </c>
    </row>
    <row r="265">
      <c r="A265" s="57" t="inlineStr">
        <is>
          <t>26062902</t>
        </is>
      </c>
      <c r="B265" s="57" t="inlineStr">
        <is>
          <t>Aware | SYD Occupancy Sensors</t>
        </is>
      </c>
      <c r="C265" s="50">
        <f>SUMIFS(tbl_WIP[Amount],tbl_WIP[Job Number],$A265,tbl_WIP[Month],"&lt;&gt;",tbl_WIP[Month],"&lt;"&amp;$C$4)+SUMIF('Deferred Revenue'!$E$6:$E$579,$A265,'Deferred Revenue'!$P$6:$P$579)</f>
        <v/>
      </c>
      <c r="D265" s="50">
        <f>SUMIFS(tbl_WIP[Amount],tbl_WIP[Job Number],$A265,tbl_WIP[Month],$C$4)+SUMIF('Deferred Revenue'!$E$6:$E$579,$A265,'Deferred Revenue'!$Q$6:$Q$579)</f>
        <v/>
      </c>
      <c r="E265" s="50">
        <f>C265+D265</f>
        <v/>
      </c>
      <c r="F265" s="49">
        <f>IF(ROUND(C265,2)+ROUND(D265,2)=0,"","yes")</f>
        <v/>
      </c>
      <c r="G265" s="58" t="n"/>
      <c r="H265" s="50">
        <f>IF($G265="","",$E265-$G265)</f>
        <v/>
      </c>
    </row>
    <row r="266">
      <c r="A266" s="57" t="inlineStr">
        <is>
          <t>26063002</t>
        </is>
      </c>
      <c r="B266" s="57" t="inlineStr">
        <is>
          <t>CEOi - CEO Connect - 11.8.26</t>
        </is>
      </c>
      <c r="C266" s="50">
        <f>SUMIFS(tbl_WIP[Amount],tbl_WIP[Job Number],$A266,tbl_WIP[Month],"&lt;&gt;",tbl_WIP[Month],"&lt;"&amp;$C$4)+SUMIF('Deferred Revenue'!$E$6:$E$579,$A266,'Deferred Revenue'!$P$6:$P$579)</f>
        <v/>
      </c>
      <c r="D266" s="50">
        <f>SUMIFS(tbl_WIP[Amount],tbl_WIP[Job Number],$A266,tbl_WIP[Month],$C$4)+SUMIF('Deferred Revenue'!$E$6:$E$579,$A266,'Deferred Revenue'!$Q$6:$Q$579)</f>
        <v/>
      </c>
      <c r="E266" s="50">
        <f>C266+D266</f>
        <v/>
      </c>
      <c r="F266" s="49">
        <f>IF(ROUND(C266,2)+ROUND(D266,2)=0,"","yes")</f>
        <v/>
      </c>
      <c r="G266" s="58" t="n"/>
      <c r="H266" s="50">
        <f>IF($G266="","",$E266-$G266)</f>
        <v/>
      </c>
    </row>
    <row r="267">
      <c r="A267" s="57" t="inlineStr">
        <is>
          <t>26063002V</t>
        </is>
      </c>
      <c r="B267" s="57" t="inlineStr">
        <is>
          <t>CEOi - CEO Connect - 11.8.26</t>
        </is>
      </c>
      <c r="C267" s="50">
        <f>SUMIFS(tbl_WIP[Amount],tbl_WIP[Job Number],$A267,tbl_WIP[Month],"&lt;&gt;",tbl_WIP[Month],"&lt;"&amp;$C$4)+SUMIF('Deferred Revenue'!$E$6:$E$579,$A267,'Deferred Revenue'!$P$6:$P$579)</f>
        <v/>
      </c>
      <c r="D267" s="50">
        <f>SUMIFS(tbl_WIP[Amount],tbl_WIP[Job Number],$A267,tbl_WIP[Month],$C$4)+SUMIF('Deferred Revenue'!$E$6:$E$579,$A267,'Deferred Revenue'!$Q$6:$Q$579)</f>
        <v/>
      </c>
      <c r="E267" s="50">
        <f>C267+D267</f>
        <v/>
      </c>
      <c r="F267" s="49">
        <f>IF(ROUND(C267,2)+ROUND(D267,2)=0,"","yes")</f>
        <v/>
      </c>
      <c r="G267" s="58" t="n"/>
      <c r="H267" s="50">
        <f>IF($G267="","",$E267-$G267)</f>
        <v/>
      </c>
    </row>
    <row r="268">
      <c r="A268" s="57" t="inlineStr">
        <is>
          <t>2606401V</t>
        </is>
      </c>
      <c r="B268" s="57" t="inlineStr">
        <is>
          <t>PWC - NRW Webcast - 11.6.26</t>
        </is>
      </c>
      <c r="C268" s="50">
        <f>SUMIFS(tbl_WIP[Amount],tbl_WIP[Job Number],$A268,tbl_WIP[Month],"&lt;&gt;",tbl_WIP[Month],"&lt;"&amp;$C$4)+SUMIF('Deferred Revenue'!$E$6:$E$579,$A268,'Deferred Revenue'!$P$6:$P$579)</f>
        <v/>
      </c>
      <c r="D268" s="50">
        <f>SUMIFS(tbl_WIP[Amount],tbl_WIP[Job Number],$A268,tbl_WIP[Month],$C$4)+SUMIF('Deferred Revenue'!$E$6:$E$579,$A268,'Deferred Revenue'!$Q$6:$Q$579)</f>
        <v/>
      </c>
      <c r="E268" s="50">
        <f>C268+D268</f>
        <v/>
      </c>
      <c r="F268" s="49">
        <f>IF(ROUND(C268,2)+ROUND(D268,2)=0,"","yes")</f>
        <v/>
      </c>
      <c r="G268" s="58" t="n"/>
      <c r="H268" s="50">
        <f>IF($G268="","",$E268-$G268)</f>
        <v/>
      </c>
    </row>
    <row r="269">
      <c r="A269" s="57" t="inlineStr">
        <is>
          <t>2606901</t>
        </is>
      </c>
      <c r="B269" s="57" t="inlineStr">
        <is>
          <t>PwC | Syd Studio Equipment</t>
        </is>
      </c>
      <c r="C269" s="50">
        <f>SUMIFS(tbl_WIP[Amount],tbl_WIP[Job Number],$A269,tbl_WIP[Month],"&lt;&gt;",tbl_WIP[Month],"&lt;"&amp;$C$4)+SUMIF('Deferred Revenue'!$E$6:$E$579,$A269,'Deferred Revenue'!$P$6:$P$579)</f>
        <v/>
      </c>
      <c r="D269" s="50">
        <f>SUMIFS(tbl_WIP[Amount],tbl_WIP[Job Number],$A269,tbl_WIP[Month],$C$4)+SUMIF('Deferred Revenue'!$E$6:$E$579,$A269,'Deferred Revenue'!$Q$6:$Q$579)</f>
        <v/>
      </c>
      <c r="E269" s="50">
        <f>C269+D269</f>
        <v/>
      </c>
      <c r="F269" s="49">
        <f>IF(ROUND(C269,2)+ROUND(D269,2)=0,"","yes")</f>
        <v/>
      </c>
      <c r="G269" s="58" t="n"/>
      <c r="H269" s="50">
        <f>IF($G269="","",$E269-$G269)</f>
        <v/>
      </c>
    </row>
    <row r="270">
      <c r="A270" s="57" t="inlineStr">
        <is>
          <t>2606902</t>
        </is>
      </c>
      <c r="B270" s="57" t="inlineStr">
        <is>
          <t>AVIT - Taronga AV Support - 9-11.6.26</t>
        </is>
      </c>
      <c r="C270" s="50">
        <f>SUMIFS(tbl_WIP[Amount],tbl_WIP[Job Number],$A270,tbl_WIP[Month],"&lt;&gt;",tbl_WIP[Month],"&lt;"&amp;$C$4)+SUMIF('Deferred Revenue'!$E$6:$E$579,$A270,'Deferred Revenue'!$P$6:$P$579)</f>
        <v/>
      </c>
      <c r="D270" s="50">
        <f>SUMIFS(tbl_WIP[Amount],tbl_WIP[Job Number],$A270,tbl_WIP[Month],$C$4)+SUMIF('Deferred Revenue'!$E$6:$E$579,$A270,'Deferred Revenue'!$Q$6:$Q$579)</f>
        <v/>
      </c>
      <c r="E270" s="50">
        <f>C270+D270</f>
        <v/>
      </c>
      <c r="F270" s="49">
        <f>IF(ROUND(C270,2)+ROUND(D270,2)=0,"","yes")</f>
        <v/>
      </c>
      <c r="G270" s="58" t="n"/>
      <c r="H270" s="50">
        <f>IF($G270="","",$E270-$G270)</f>
        <v/>
      </c>
    </row>
    <row r="271">
      <c r="A271" s="57" t="inlineStr">
        <is>
          <t>2606903</t>
        </is>
      </c>
      <c r="B271" s="57" t="inlineStr">
        <is>
          <t>Virgin FY26 Results</t>
        </is>
      </c>
      <c r="C271" s="50">
        <f>SUMIFS(tbl_WIP[Amount],tbl_WIP[Job Number],$A271,tbl_WIP[Month],"&lt;&gt;",tbl_WIP[Month],"&lt;"&amp;$C$4)+SUMIF('Deferred Revenue'!$E$6:$E$579,$A271,'Deferred Revenue'!$P$6:$P$579)</f>
        <v/>
      </c>
      <c r="D271" s="50">
        <f>SUMIFS(tbl_WIP[Amount],tbl_WIP[Job Number],$A271,tbl_WIP[Month],$C$4)+SUMIF('Deferred Revenue'!$E$6:$E$579,$A271,'Deferred Revenue'!$Q$6:$Q$579)</f>
        <v/>
      </c>
      <c r="E271" s="50">
        <f>C271+D271</f>
        <v/>
      </c>
      <c r="F271" s="49">
        <f>IF(ROUND(C271,2)+ROUND(D271,2)=0,"","yes")</f>
        <v/>
      </c>
      <c r="G271" s="58" t="n"/>
      <c r="H271" s="50">
        <f>IF($G271="","",$E271-$G271)</f>
        <v/>
      </c>
    </row>
    <row r="272">
      <c r="A272" s="57" t="inlineStr">
        <is>
          <t>2606903V</t>
        </is>
      </c>
      <c r="B272" s="57" t="inlineStr">
        <is>
          <t>Virgin FY26 Results</t>
        </is>
      </c>
      <c r="C272" s="50">
        <f>SUMIFS(tbl_WIP[Amount],tbl_WIP[Job Number],$A272,tbl_WIP[Month],"&lt;&gt;",tbl_WIP[Month],"&lt;"&amp;$C$4)+SUMIF('Deferred Revenue'!$E$6:$E$579,$A272,'Deferred Revenue'!$P$6:$P$579)</f>
        <v/>
      </c>
      <c r="D272" s="50">
        <f>SUMIFS(tbl_WIP[Amount],tbl_WIP[Job Number],$A272,tbl_WIP[Month],$C$4)+SUMIF('Deferred Revenue'!$E$6:$E$579,$A272,'Deferred Revenue'!$Q$6:$Q$579)</f>
        <v/>
      </c>
      <c r="E272" s="50">
        <f>C272+D272</f>
        <v/>
      </c>
      <c r="F272" s="49">
        <f>IF(ROUND(C272,2)+ROUND(D272,2)=0,"","yes")</f>
        <v/>
      </c>
      <c r="G272" s="58" t="n"/>
      <c r="H272" s="50">
        <f>IF($G272="","",$E272-$G272)</f>
        <v/>
      </c>
    </row>
    <row r="273">
      <c r="A273" s="57" t="inlineStr">
        <is>
          <t>2606904</t>
        </is>
      </c>
      <c r="B273" s="57" t="inlineStr">
        <is>
          <t>Symal - FYR26 (Melb) - 24.8.26</t>
        </is>
      </c>
      <c r="C273" s="50">
        <f>SUMIFS(tbl_WIP[Amount],tbl_WIP[Job Number],$A273,tbl_WIP[Month],"&lt;&gt;",tbl_WIP[Month],"&lt;"&amp;$C$4)+SUMIF('Deferred Revenue'!$E$6:$E$579,$A273,'Deferred Revenue'!$P$6:$P$579)</f>
        <v/>
      </c>
      <c r="D273" s="50">
        <f>SUMIFS(tbl_WIP[Amount],tbl_WIP[Job Number],$A273,tbl_WIP[Month],$C$4)+SUMIF('Deferred Revenue'!$E$6:$E$579,$A273,'Deferred Revenue'!$Q$6:$Q$579)</f>
        <v/>
      </c>
      <c r="E273" s="50">
        <f>C273+D273</f>
        <v/>
      </c>
      <c r="F273" s="49">
        <f>IF(ROUND(C273,2)+ROUND(D273,2)=0,"","yes")</f>
        <v/>
      </c>
      <c r="G273" s="58" t="n"/>
      <c r="H273" s="50">
        <f>IF($G273="","",$E273-$G273)</f>
        <v/>
      </c>
    </row>
    <row r="274">
      <c r="A274" s="57" t="inlineStr">
        <is>
          <t>2606904V</t>
        </is>
      </c>
      <c r="B274" s="57" t="inlineStr">
        <is>
          <t>Symal - FYR26 (Melb) - 24.8.26</t>
        </is>
      </c>
      <c r="C274" s="50">
        <f>SUMIFS(tbl_WIP[Amount],tbl_WIP[Job Number],$A274,tbl_WIP[Month],"&lt;&gt;",tbl_WIP[Month],"&lt;"&amp;$C$4)+SUMIF('Deferred Revenue'!$E$6:$E$579,$A274,'Deferred Revenue'!$P$6:$P$579)</f>
        <v/>
      </c>
      <c r="D274" s="50">
        <f>SUMIFS(tbl_WIP[Amount],tbl_WIP[Job Number],$A274,tbl_WIP[Month],$C$4)+SUMIF('Deferred Revenue'!$E$6:$E$579,$A274,'Deferred Revenue'!$Q$6:$Q$579)</f>
        <v/>
      </c>
      <c r="E274" s="50">
        <f>C274+D274</f>
        <v/>
      </c>
      <c r="F274" s="49">
        <f>IF(ROUND(C274,2)+ROUND(D274,2)=0,"","yes")</f>
        <v/>
      </c>
      <c r="G274" s="58" t="n"/>
      <c r="H274" s="50">
        <f>IF($G274="","",$E274-$G274)</f>
        <v/>
      </c>
    </row>
    <row r="275">
      <c r="A275" s="57" t="inlineStr">
        <is>
          <t>2606905</t>
        </is>
      </c>
      <c r="B275" s="57" t="inlineStr">
        <is>
          <t>Dimensional - Audio Tech Support - 22.6.26</t>
        </is>
      </c>
      <c r="C275" s="50">
        <f>SUMIFS(tbl_WIP[Amount],tbl_WIP[Job Number],$A275,tbl_WIP[Month],"&lt;&gt;",tbl_WIP[Month],"&lt;"&amp;$C$4)+SUMIF('Deferred Revenue'!$E$6:$E$579,$A275,'Deferred Revenue'!$P$6:$P$579)</f>
        <v/>
      </c>
      <c r="D275" s="50">
        <f>SUMIFS(tbl_WIP[Amount],tbl_WIP[Job Number],$A275,tbl_WIP[Month],$C$4)+SUMIF('Deferred Revenue'!$E$6:$E$579,$A275,'Deferred Revenue'!$Q$6:$Q$579)</f>
        <v/>
      </c>
      <c r="E275" s="50">
        <f>C275+D275</f>
        <v/>
      </c>
      <c r="F275" s="49">
        <f>IF(ROUND(C275,2)+ROUND(D275,2)=0,"","yes")</f>
        <v/>
      </c>
      <c r="G275" s="58" t="n"/>
      <c r="H275" s="50">
        <f>IF($G275="","",$E275-$G275)</f>
        <v/>
      </c>
    </row>
    <row r="276">
      <c r="A276" s="57" t="inlineStr">
        <is>
          <t>2606906</t>
        </is>
      </c>
      <c r="B276" s="57" t="inlineStr">
        <is>
          <t>St Catherines Case Study Video Non-Chrgable</t>
        </is>
      </c>
      <c r="C276" s="50">
        <f>SUMIFS(tbl_WIP[Amount],tbl_WIP[Job Number],$A276,tbl_WIP[Month],"&lt;&gt;",tbl_WIP[Month],"&lt;"&amp;$C$4)+SUMIF('Deferred Revenue'!$E$6:$E$579,$A276,'Deferred Revenue'!$P$6:$P$579)</f>
        <v/>
      </c>
      <c r="D276" s="50">
        <f>SUMIFS(tbl_WIP[Amount],tbl_WIP[Job Number],$A276,tbl_WIP[Month],$C$4)+SUMIF('Deferred Revenue'!$E$6:$E$579,$A276,'Deferred Revenue'!$Q$6:$Q$579)</f>
        <v/>
      </c>
      <c r="E276" s="50">
        <f>C276+D276</f>
        <v/>
      </c>
      <c r="F276" s="49">
        <f>IF(ROUND(C276,2)+ROUND(D276,2)=0,"","yes")</f>
        <v/>
      </c>
      <c r="G276" s="58" t="n"/>
      <c r="H276" s="50">
        <f>IF($G276="","",$E276-$G276)</f>
        <v/>
      </c>
    </row>
    <row r="277">
      <c r="A277" s="57" t="inlineStr">
        <is>
          <t>26071303</t>
        </is>
      </c>
      <c r="B277" s="57" t="inlineStr">
        <is>
          <t>Ventia - Melbourne Office Event - 30.7.26</t>
        </is>
      </c>
      <c r="C277" s="50">
        <f>SUMIFS(tbl_WIP[Amount],tbl_WIP[Job Number],$A277,tbl_WIP[Month],"&lt;&gt;",tbl_WIP[Month],"&lt;"&amp;$C$4)+SUMIF('Deferred Revenue'!$E$6:$E$579,$A277,'Deferred Revenue'!$P$6:$P$579)</f>
        <v/>
      </c>
      <c r="D277" s="50">
        <f>SUMIFS(tbl_WIP[Amount],tbl_WIP[Job Number],$A277,tbl_WIP[Month],$C$4)+SUMIF('Deferred Revenue'!$E$6:$E$579,$A277,'Deferred Revenue'!$Q$6:$Q$579)</f>
        <v/>
      </c>
      <c r="E277" s="50">
        <f>C277+D277</f>
        <v/>
      </c>
      <c r="F277" s="49">
        <f>IF(ROUND(C277,2)+ROUND(D277,2)=0,"","yes")</f>
        <v/>
      </c>
      <c r="G277" s="58" t="n"/>
      <c r="H277" s="50">
        <f>IF($G277="","",$E277-$G277)</f>
        <v/>
      </c>
    </row>
    <row r="278">
      <c r="A278" s="57" t="inlineStr">
        <is>
          <t>26071304</t>
        </is>
      </c>
      <c r="B278" s="57" t="inlineStr">
        <is>
          <t>YSG | Orange Room Upgrade</t>
        </is>
      </c>
      <c r="C278" s="50">
        <f>SUMIFS(tbl_WIP[Amount],tbl_WIP[Job Number],$A278,tbl_WIP[Month],"&lt;&gt;",tbl_WIP[Month],"&lt;"&amp;$C$4)+SUMIF('Deferred Revenue'!$E$6:$E$579,$A278,'Deferred Revenue'!$P$6:$P$579)</f>
        <v/>
      </c>
      <c r="D278" s="50">
        <f>SUMIFS(tbl_WIP[Amount],tbl_WIP[Job Number],$A278,tbl_WIP[Month],$C$4)+SUMIF('Deferred Revenue'!$E$6:$E$579,$A278,'Deferred Revenue'!$Q$6:$Q$579)</f>
        <v/>
      </c>
      <c r="E278" s="50">
        <f>C278+D278</f>
        <v/>
      </c>
      <c r="F278" s="49">
        <f>IF(ROUND(C278,2)+ROUND(D278,2)=0,"","yes")</f>
        <v/>
      </c>
      <c r="G278" s="58" t="n"/>
      <c r="H278" s="50">
        <f>IF($G278="","",$E278-$G278)</f>
        <v/>
      </c>
    </row>
    <row r="279">
      <c r="A279" s="57" t="inlineStr">
        <is>
          <t>26071403</t>
        </is>
      </c>
      <c r="B279" s="57" t="inlineStr">
        <is>
          <t>Elkiem - Studio Support - 4.11.26</t>
        </is>
      </c>
      <c r="C279" s="50">
        <f>SUMIFS(tbl_WIP[Amount],tbl_WIP[Job Number],$A279,tbl_WIP[Month],"&lt;&gt;",tbl_WIP[Month],"&lt;"&amp;$C$4)+SUMIF('Deferred Revenue'!$E$6:$E$579,$A279,'Deferred Revenue'!$P$6:$P$579)</f>
        <v/>
      </c>
      <c r="D279" s="50">
        <f>SUMIFS(tbl_WIP[Amount],tbl_WIP[Job Number],$A279,tbl_WIP[Month],$C$4)+SUMIF('Deferred Revenue'!$E$6:$E$579,$A279,'Deferred Revenue'!$Q$6:$Q$579)</f>
        <v/>
      </c>
      <c r="E279" s="50">
        <f>C279+D279</f>
        <v/>
      </c>
      <c r="F279" s="49">
        <f>IF(ROUND(C279,2)+ROUND(D279,2)=0,"","yes")</f>
        <v/>
      </c>
      <c r="G279" s="58" t="n"/>
      <c r="H279" s="50">
        <f>IF($G279="","",$E279-$G279)</f>
        <v/>
      </c>
    </row>
    <row r="280">
      <c r="A280" s="57" t="inlineStr">
        <is>
          <t>26071404</t>
        </is>
      </c>
      <c r="B280" s="57" t="inlineStr">
        <is>
          <t>Elkiem - Studio Support - 9.12.26</t>
        </is>
      </c>
      <c r="C280" s="50">
        <f>SUMIFS(tbl_WIP[Amount],tbl_WIP[Job Number],$A280,tbl_WIP[Month],"&lt;&gt;",tbl_WIP[Month],"&lt;"&amp;$C$4)+SUMIF('Deferred Revenue'!$E$6:$E$579,$A280,'Deferred Revenue'!$P$6:$P$579)</f>
        <v/>
      </c>
      <c r="D280" s="50">
        <f>SUMIFS(tbl_WIP[Amount],tbl_WIP[Job Number],$A280,tbl_WIP[Month],$C$4)+SUMIF('Deferred Revenue'!$E$6:$E$579,$A280,'Deferred Revenue'!$Q$6:$Q$579)</f>
        <v/>
      </c>
      <c r="E280" s="50">
        <f>C280+D280</f>
        <v/>
      </c>
      <c r="F280" s="49">
        <f>IF(ROUND(C280,2)+ROUND(D280,2)=0,"","yes")</f>
        <v/>
      </c>
      <c r="G280" s="58" t="n"/>
      <c r="H280" s="50">
        <f>IF($G280="","",$E280-$G280)</f>
        <v/>
      </c>
    </row>
    <row r="281">
      <c r="A281" s="57" t="inlineStr">
        <is>
          <t>26071405</t>
        </is>
      </c>
      <c r="B281" s="57" t="inlineStr">
        <is>
          <t>PWC - Event Technician - 29.7.26</t>
        </is>
      </c>
      <c r="C281" s="50">
        <f>SUMIFS(tbl_WIP[Amount],tbl_WIP[Job Number],$A281,tbl_WIP[Month],"&lt;&gt;",tbl_WIP[Month],"&lt;"&amp;$C$4)+SUMIF('Deferred Revenue'!$E$6:$E$579,$A281,'Deferred Revenue'!$P$6:$P$579)</f>
        <v/>
      </c>
      <c r="D281" s="50">
        <f>SUMIFS(tbl_WIP[Amount],tbl_WIP[Job Number],$A281,tbl_WIP[Month],$C$4)+SUMIF('Deferred Revenue'!$E$6:$E$579,$A281,'Deferred Revenue'!$Q$6:$Q$579)</f>
        <v/>
      </c>
      <c r="E281" s="50">
        <f>C281+D281</f>
        <v/>
      </c>
      <c r="F281" s="49">
        <f>IF(ROUND(C281,2)+ROUND(D281,2)=0,"","yes")</f>
        <v/>
      </c>
      <c r="G281" s="58" t="n"/>
      <c r="H281" s="50">
        <f>IF($G281="","",$E281-$G281)</f>
        <v/>
      </c>
    </row>
    <row r="282">
      <c r="A282" s="57" t="inlineStr">
        <is>
          <t>26071501</t>
        </is>
      </c>
      <c r="B282" s="57" t="inlineStr">
        <is>
          <t>Ventia - Half Year Results Briefing - 24.8.26</t>
        </is>
      </c>
      <c r="C282" s="50">
        <f>SUMIFS(tbl_WIP[Amount],tbl_WIP[Job Number],$A282,tbl_WIP[Month],"&lt;&gt;",tbl_WIP[Month],"&lt;"&amp;$C$4)+SUMIF('Deferred Revenue'!$E$6:$E$579,$A282,'Deferred Revenue'!$P$6:$P$579)</f>
        <v/>
      </c>
      <c r="D282" s="50">
        <f>SUMIFS(tbl_WIP[Amount],tbl_WIP[Job Number],$A282,tbl_WIP[Month],$C$4)+SUMIF('Deferred Revenue'!$E$6:$E$579,$A282,'Deferred Revenue'!$Q$6:$Q$579)</f>
        <v/>
      </c>
      <c r="E282" s="50">
        <f>C282+D282</f>
        <v/>
      </c>
      <c r="F282" s="49">
        <f>IF(ROUND(C282,2)+ROUND(D282,2)=0,"","yes")</f>
        <v/>
      </c>
      <c r="G282" s="58" t="n"/>
      <c r="H282" s="50">
        <f>IF($G282="","",$E282-$G282)</f>
        <v/>
      </c>
    </row>
    <row r="283">
      <c r="A283" s="57" t="inlineStr">
        <is>
          <t>26071501V</t>
        </is>
      </c>
      <c r="B283" s="57" t="inlineStr">
        <is>
          <t>Ventia - Half Year Results Briefing - 24.8.26</t>
        </is>
      </c>
      <c r="C283" s="50">
        <f>SUMIFS(tbl_WIP[Amount],tbl_WIP[Job Number],$A283,tbl_WIP[Month],"&lt;&gt;",tbl_WIP[Month],"&lt;"&amp;$C$4)+SUMIF('Deferred Revenue'!$E$6:$E$579,$A283,'Deferred Revenue'!$P$6:$P$579)</f>
        <v/>
      </c>
      <c r="D283" s="50">
        <f>SUMIFS(tbl_WIP[Amount],tbl_WIP[Job Number],$A283,tbl_WIP[Month],$C$4)+SUMIF('Deferred Revenue'!$E$6:$E$579,$A283,'Deferred Revenue'!$Q$6:$Q$579)</f>
        <v/>
      </c>
      <c r="E283" s="50">
        <f>C283+D283</f>
        <v/>
      </c>
      <c r="F283" s="49">
        <f>IF(ROUND(C283,2)+ROUND(D283,2)=0,"","yes")</f>
        <v/>
      </c>
      <c r="G283" s="58" t="n"/>
      <c r="H283" s="50">
        <f>IF($G283="","",$E283-$G283)</f>
        <v/>
      </c>
    </row>
    <row r="284">
      <c r="A284" s="57" t="inlineStr">
        <is>
          <t>26071601</t>
        </is>
      </c>
      <c r="B284" s="57" t="inlineStr">
        <is>
          <t>Aware | PER | Barry Marshall and Albany Rooms BYOD USB-C Replcmnt</t>
        </is>
      </c>
      <c r="C284" s="50">
        <f>SUMIFS(tbl_WIP[Amount],tbl_WIP[Job Number],$A284,tbl_WIP[Month],"&lt;&gt;",tbl_WIP[Month],"&lt;"&amp;$C$4)+SUMIF('Deferred Revenue'!$E$6:$E$579,$A284,'Deferred Revenue'!$P$6:$P$579)</f>
        <v/>
      </c>
      <c r="D284" s="50">
        <f>SUMIFS(tbl_WIP[Amount],tbl_WIP[Job Number],$A284,tbl_WIP[Month],$C$4)+SUMIF('Deferred Revenue'!$E$6:$E$579,$A284,'Deferred Revenue'!$Q$6:$Q$579)</f>
        <v/>
      </c>
      <c r="E284" s="50">
        <f>C284+D284</f>
        <v/>
      </c>
      <c r="F284" s="49">
        <f>IF(ROUND(C284,2)+ROUND(D284,2)=0,"","yes")</f>
        <v/>
      </c>
      <c r="G284" s="58" t="n"/>
      <c r="H284" s="50">
        <f>IF($G284="","",$E284-$G284)</f>
        <v/>
      </c>
    </row>
    <row r="285">
      <c r="A285" s="57" t="inlineStr">
        <is>
          <t>26071701</t>
        </is>
      </c>
      <c r="B285" s="57" t="inlineStr">
        <is>
          <t>ASX Live - 9.9.26</t>
        </is>
      </c>
      <c r="C285" s="50">
        <f>SUMIFS(tbl_WIP[Amount],tbl_WIP[Job Number],$A285,tbl_WIP[Month],"&lt;&gt;",tbl_WIP[Month],"&lt;"&amp;$C$4)+SUMIF('Deferred Revenue'!$E$6:$E$579,$A285,'Deferred Revenue'!$P$6:$P$579)</f>
        <v/>
      </c>
      <c r="D285" s="50">
        <f>SUMIFS(tbl_WIP[Amount],tbl_WIP[Job Number],$A285,tbl_WIP[Month],$C$4)+SUMIF('Deferred Revenue'!$E$6:$E$579,$A285,'Deferred Revenue'!$Q$6:$Q$579)</f>
        <v/>
      </c>
      <c r="E285" s="50">
        <f>C285+D285</f>
        <v/>
      </c>
      <c r="F285" s="49">
        <f>IF(ROUND(C285,2)+ROUND(D285,2)=0,"","yes")</f>
        <v/>
      </c>
      <c r="G285" s="58" t="n"/>
      <c r="H285" s="50">
        <f>IF($G285="","",$E285-$G285)</f>
        <v/>
      </c>
    </row>
    <row r="286">
      <c r="A286" s="57" t="inlineStr">
        <is>
          <t>26071701V</t>
        </is>
      </c>
      <c r="B286" s="57" t="inlineStr">
        <is>
          <t>ASX Live - 9.9.26</t>
        </is>
      </c>
      <c r="C286" s="50">
        <f>SUMIFS(tbl_WIP[Amount],tbl_WIP[Job Number],$A286,tbl_WIP[Month],"&lt;&gt;",tbl_WIP[Month],"&lt;"&amp;$C$4)+SUMIF('Deferred Revenue'!$E$6:$E$579,$A286,'Deferred Revenue'!$P$6:$P$579)</f>
        <v/>
      </c>
      <c r="D286" s="50">
        <f>SUMIFS(tbl_WIP[Amount],tbl_WIP[Job Number],$A286,tbl_WIP[Month],$C$4)+SUMIF('Deferred Revenue'!$E$6:$E$579,$A286,'Deferred Revenue'!$Q$6:$Q$579)</f>
        <v/>
      </c>
      <c r="E286" s="50">
        <f>C286+D286</f>
        <v/>
      </c>
      <c r="F286" s="49">
        <f>IF(ROUND(C286,2)+ROUND(D286,2)=0,"","yes")</f>
        <v/>
      </c>
      <c r="G286" s="58" t="n"/>
      <c r="H286" s="50">
        <f>IF($G286="","",$E286-$G286)</f>
        <v/>
      </c>
    </row>
    <row r="287">
      <c r="A287" s="57" t="inlineStr">
        <is>
          <t>26071901</t>
        </is>
      </c>
      <c r="B287" s="57" t="inlineStr">
        <is>
          <t>Elkiem - Studio Support - 11.8.26</t>
        </is>
      </c>
      <c r="C287" s="50">
        <f>SUMIFS(tbl_WIP[Amount],tbl_WIP[Job Number],$A287,tbl_WIP[Month],"&lt;&gt;",tbl_WIP[Month],"&lt;"&amp;$C$4)+SUMIF('Deferred Revenue'!$E$6:$E$579,$A287,'Deferred Revenue'!$P$6:$P$579)</f>
        <v/>
      </c>
      <c r="D287" s="50">
        <f>SUMIFS(tbl_WIP[Amount],tbl_WIP[Job Number],$A287,tbl_WIP[Month],$C$4)+SUMIF('Deferred Revenue'!$E$6:$E$579,$A287,'Deferred Revenue'!$Q$6:$Q$579)</f>
        <v/>
      </c>
      <c r="E287" s="50">
        <f>C287+D287</f>
        <v/>
      </c>
      <c r="F287" s="49">
        <f>IF(ROUND(C287,2)+ROUND(D287,2)=0,"","yes")</f>
        <v/>
      </c>
      <c r="G287" s="58" t="n"/>
      <c r="H287" s="50">
        <f>IF($G287="","",$E287-$G287)</f>
        <v/>
      </c>
    </row>
    <row r="288">
      <c r="A288" s="57" t="inlineStr">
        <is>
          <t>26072003</t>
        </is>
      </c>
      <c r="B288" s="57" t="inlineStr">
        <is>
          <t>CBA Live Event Support August 2026</t>
        </is>
      </c>
      <c r="C288" s="50">
        <f>SUMIFS(tbl_WIP[Amount],tbl_WIP[Job Number],$A288,tbl_WIP[Month],"&lt;&gt;",tbl_WIP[Month],"&lt;"&amp;$C$4)+SUMIF('Deferred Revenue'!$E$6:$E$579,$A288,'Deferred Revenue'!$P$6:$P$579)</f>
        <v/>
      </c>
      <c r="D288" s="50">
        <f>SUMIFS(tbl_WIP[Amount],tbl_WIP[Job Number],$A288,tbl_WIP[Month],$C$4)+SUMIF('Deferred Revenue'!$E$6:$E$579,$A288,'Deferred Revenue'!$Q$6:$Q$579)</f>
        <v/>
      </c>
      <c r="E288" s="50">
        <f>C288+D288</f>
        <v/>
      </c>
      <c r="F288" s="49">
        <f>IF(ROUND(C288,2)+ROUND(D288,2)=0,"","yes")</f>
        <v/>
      </c>
      <c r="G288" s="58" t="n"/>
      <c r="H288" s="50">
        <f>IF($G288="","",$E288-$G288)</f>
        <v/>
      </c>
    </row>
    <row r="289">
      <c r="A289" s="57" t="inlineStr">
        <is>
          <t>26072101</t>
        </is>
      </c>
      <c r="B289" s="57" t="inlineStr">
        <is>
          <t>Aware MEL 17.02 Amp Replacement</t>
        </is>
      </c>
      <c r="C289" s="50">
        <f>SUMIFS(tbl_WIP[Amount],tbl_WIP[Job Number],$A289,tbl_WIP[Month],"&lt;&gt;",tbl_WIP[Month],"&lt;"&amp;$C$4)+SUMIF('Deferred Revenue'!$E$6:$E$579,$A289,'Deferred Revenue'!$P$6:$P$579)</f>
        <v/>
      </c>
      <c r="D289" s="50">
        <f>SUMIFS(tbl_WIP[Amount],tbl_WIP[Job Number],$A289,tbl_WIP[Month],$C$4)+SUMIF('Deferred Revenue'!$E$6:$E$579,$A289,'Deferred Revenue'!$Q$6:$Q$579)</f>
        <v/>
      </c>
      <c r="E289" s="50">
        <f>C289+D289</f>
        <v/>
      </c>
      <c r="F289" s="49">
        <f>IF(ROUND(C289,2)+ROUND(D289,2)=0,"","yes")</f>
        <v/>
      </c>
      <c r="G289" s="58" t="n"/>
      <c r="H289" s="50">
        <f>IF($G289="","",$E289-$G289)</f>
        <v/>
      </c>
    </row>
    <row r="290">
      <c r="A290" s="57" t="inlineStr">
        <is>
          <t>26072101</t>
        </is>
      </c>
      <c r="B290" s="57" t="inlineStr">
        <is>
          <t>Aware_Mel 17.02 Amp Replacement</t>
        </is>
      </c>
      <c r="C290" s="50">
        <f>SUMIFS(tbl_WIP[Amount],tbl_WIP[Job Number],$A290,tbl_WIP[Month],"&lt;&gt;",tbl_WIP[Month],"&lt;"&amp;$C$4)+SUMIF('Deferred Revenue'!$E$6:$E$579,$A290,'Deferred Revenue'!$P$6:$P$579)</f>
        <v/>
      </c>
      <c r="D290" s="50">
        <f>SUMIFS(tbl_WIP[Amount],tbl_WIP[Job Number],$A290,tbl_WIP[Month],$C$4)+SUMIF('Deferred Revenue'!$E$6:$E$579,$A290,'Deferred Revenue'!$Q$6:$Q$579)</f>
        <v/>
      </c>
      <c r="E290" s="50">
        <f>C290+D290</f>
        <v/>
      </c>
      <c r="F290" s="49">
        <f>IF(ROUND(C290,2)+ROUND(D290,2)=0,"","yes")</f>
        <v/>
      </c>
      <c r="G290" s="58" t="n"/>
      <c r="H290" s="50">
        <f>IF($G290="","",$E290-$G290)</f>
        <v/>
      </c>
    </row>
    <row r="291">
      <c r="A291" s="57" t="inlineStr">
        <is>
          <t>26072102</t>
        </is>
      </c>
      <c r="B291" s="57" t="inlineStr">
        <is>
          <t>Ventia - RUOK? Day - 10.09.2026</t>
        </is>
      </c>
      <c r="C291" s="50">
        <f>SUMIFS(tbl_WIP[Amount],tbl_WIP[Job Number],$A291,tbl_WIP[Month],"&lt;&gt;",tbl_WIP[Month],"&lt;"&amp;$C$4)+SUMIF('Deferred Revenue'!$E$6:$E$579,$A291,'Deferred Revenue'!$P$6:$P$579)</f>
        <v/>
      </c>
      <c r="D291" s="50">
        <f>SUMIFS(tbl_WIP[Amount],tbl_WIP[Job Number],$A291,tbl_WIP[Month],$C$4)+SUMIF('Deferred Revenue'!$E$6:$E$579,$A291,'Deferred Revenue'!$Q$6:$Q$579)</f>
        <v/>
      </c>
      <c r="E291" s="50">
        <f>C291+D291</f>
        <v/>
      </c>
      <c r="F291" s="49">
        <f>IF(ROUND(C291,2)+ROUND(D291,2)=0,"","yes")</f>
        <v/>
      </c>
      <c r="G291" s="58" t="n"/>
      <c r="H291" s="50">
        <f>IF($G291="","",$E291-$G291)</f>
        <v/>
      </c>
    </row>
    <row r="292">
      <c r="A292" s="57" t="inlineStr">
        <is>
          <t>26072102V</t>
        </is>
      </c>
      <c r="B292" s="57" t="inlineStr">
        <is>
          <t>Ventia - RUOK? Day - 10.09.2026</t>
        </is>
      </c>
      <c r="C292" s="50">
        <f>SUMIFS(tbl_WIP[Amount],tbl_WIP[Job Number],$A292,tbl_WIP[Month],"&lt;&gt;",tbl_WIP[Month],"&lt;"&amp;$C$4)+SUMIF('Deferred Revenue'!$E$6:$E$579,$A292,'Deferred Revenue'!$P$6:$P$579)</f>
        <v/>
      </c>
      <c r="D292" s="50">
        <f>SUMIFS(tbl_WIP[Amount],tbl_WIP[Job Number],$A292,tbl_WIP[Month],$C$4)+SUMIF('Deferred Revenue'!$E$6:$E$579,$A292,'Deferred Revenue'!$Q$6:$Q$579)</f>
        <v/>
      </c>
      <c r="E292" s="50">
        <f>C292+D292</f>
        <v/>
      </c>
      <c r="F292" s="49">
        <f>IF(ROUND(C292,2)+ROUND(D292,2)=0,"","yes")</f>
        <v/>
      </c>
      <c r="G292" s="58" t="n"/>
      <c r="H292" s="50">
        <f>IF($G292="","",$E292-$G292)</f>
        <v/>
      </c>
    </row>
    <row r="293">
      <c r="A293" s="57" t="inlineStr">
        <is>
          <t>26072802</t>
        </is>
      </c>
      <c r="B293" s="57" t="inlineStr">
        <is>
          <t>ON24 KWM Sydney Event - 18.08.2026</t>
        </is>
      </c>
      <c r="C293" s="50">
        <f>SUMIFS(tbl_WIP[Amount],tbl_WIP[Job Number],$A293,tbl_WIP[Month],"&lt;&gt;",tbl_WIP[Month],"&lt;"&amp;$C$4)+SUMIF('Deferred Revenue'!$E$6:$E$579,$A293,'Deferred Revenue'!$P$6:$P$579)</f>
        <v/>
      </c>
      <c r="D293" s="50">
        <f>SUMIFS(tbl_WIP[Amount],tbl_WIP[Job Number],$A293,tbl_WIP[Month],$C$4)+SUMIF('Deferred Revenue'!$E$6:$E$579,$A293,'Deferred Revenue'!$Q$6:$Q$579)</f>
        <v/>
      </c>
      <c r="E293" s="50">
        <f>C293+D293</f>
        <v/>
      </c>
      <c r="F293" s="49">
        <f>IF(ROUND(C293,2)+ROUND(D293,2)=0,"","yes")</f>
        <v/>
      </c>
      <c r="G293" s="58" t="n"/>
      <c r="H293" s="50">
        <f>IF($G293="","",$E293-$G293)</f>
        <v/>
      </c>
    </row>
    <row r="294">
      <c r="A294" s="57" t="inlineStr">
        <is>
          <t>26072802V</t>
        </is>
      </c>
      <c r="B294" s="57" t="inlineStr">
        <is>
          <t>ON24 KWM Sydney Event - 18.08.2026</t>
        </is>
      </c>
      <c r="C294" s="50">
        <f>SUMIFS(tbl_WIP[Amount],tbl_WIP[Job Number],$A294,tbl_WIP[Month],"&lt;&gt;",tbl_WIP[Month],"&lt;"&amp;$C$4)+SUMIF('Deferred Revenue'!$E$6:$E$579,$A294,'Deferred Revenue'!$P$6:$P$579)</f>
        <v/>
      </c>
      <c r="D294" s="50">
        <f>SUMIFS(tbl_WIP[Amount],tbl_WIP[Job Number],$A294,tbl_WIP[Month],$C$4)+SUMIF('Deferred Revenue'!$E$6:$E$579,$A294,'Deferred Revenue'!$Q$6:$Q$579)</f>
        <v/>
      </c>
      <c r="E294" s="50">
        <f>C294+D294</f>
        <v/>
      </c>
      <c r="F294" s="49">
        <f>IF(ROUND(C294,2)+ROUND(D294,2)=0,"","yes")</f>
        <v/>
      </c>
      <c r="G294" s="58" t="n"/>
      <c r="H294" s="50">
        <f>IF($G294="","",$E294-$G294)</f>
        <v/>
      </c>
    </row>
    <row r="295">
      <c r="A295" s="57" t="inlineStr">
        <is>
          <t>26072902</t>
        </is>
      </c>
      <c r="B295" s="57" t="inlineStr">
        <is>
          <t>PWC AI Townhall 6.8.26</t>
        </is>
      </c>
      <c r="C295" s="50">
        <f>SUMIFS(tbl_WIP[Amount],tbl_WIP[Job Number],$A295,tbl_WIP[Month],"&lt;&gt;",tbl_WIP[Month],"&lt;"&amp;$C$4)+SUMIF('Deferred Revenue'!$E$6:$E$579,$A295,'Deferred Revenue'!$P$6:$P$579)</f>
        <v/>
      </c>
      <c r="D295" s="50">
        <f>SUMIFS(tbl_WIP[Amount],tbl_WIP[Job Number],$A295,tbl_WIP[Month],$C$4)+SUMIF('Deferred Revenue'!$E$6:$E$579,$A295,'Deferred Revenue'!$Q$6:$Q$579)</f>
        <v/>
      </c>
      <c r="E295" s="50">
        <f>C295+D295</f>
        <v/>
      </c>
      <c r="F295" s="49">
        <f>IF(ROUND(C295,2)+ROUND(D295,2)=0,"","yes")</f>
        <v/>
      </c>
      <c r="G295" s="58" t="n"/>
      <c r="H295" s="50">
        <f>IF($G295="","",$E295-$G295)</f>
        <v/>
      </c>
    </row>
    <row r="296">
      <c r="A296" s="57" t="inlineStr">
        <is>
          <t>26072902V</t>
        </is>
      </c>
      <c r="B296" s="57" t="inlineStr">
        <is>
          <t>PWC AI Townhall 6.8.26</t>
        </is>
      </c>
      <c r="C296" s="50">
        <f>SUMIFS(tbl_WIP[Amount],tbl_WIP[Job Number],$A296,tbl_WIP[Month],"&lt;&gt;",tbl_WIP[Month],"&lt;"&amp;$C$4)+SUMIF('Deferred Revenue'!$E$6:$E$579,$A296,'Deferred Revenue'!$P$6:$P$579)</f>
        <v/>
      </c>
      <c r="D296" s="50">
        <f>SUMIFS(tbl_WIP[Amount],tbl_WIP[Job Number],$A296,tbl_WIP[Month],$C$4)+SUMIF('Deferred Revenue'!$E$6:$E$579,$A296,'Deferred Revenue'!$Q$6:$Q$579)</f>
        <v/>
      </c>
      <c r="E296" s="50">
        <f>C296+D296</f>
        <v/>
      </c>
      <c r="F296" s="49">
        <f>IF(ROUND(C296,2)+ROUND(D296,2)=0,"","yes")</f>
        <v/>
      </c>
      <c r="G296" s="58" t="n"/>
      <c r="H296" s="50">
        <f>IF($G296="","",$E296-$G296)</f>
        <v/>
      </c>
    </row>
    <row r="297">
      <c r="A297" s="57" t="inlineStr">
        <is>
          <t>26072903</t>
        </is>
      </c>
      <c r="B297" s="57" t="inlineStr">
        <is>
          <t>PWC - GB Webcast - 11.8.26</t>
        </is>
      </c>
      <c r="C297" s="50">
        <f>SUMIFS(tbl_WIP[Amount],tbl_WIP[Job Number],$A297,tbl_WIP[Month],"&lt;&gt;",tbl_WIP[Month],"&lt;"&amp;$C$4)+SUMIF('Deferred Revenue'!$E$6:$E$579,$A297,'Deferred Revenue'!$P$6:$P$579)</f>
        <v/>
      </c>
      <c r="D297" s="50">
        <f>SUMIFS(tbl_WIP[Amount],tbl_WIP[Job Number],$A297,tbl_WIP[Month],$C$4)+SUMIF('Deferred Revenue'!$E$6:$E$579,$A297,'Deferred Revenue'!$Q$6:$Q$579)</f>
        <v/>
      </c>
      <c r="E297" s="50">
        <f>C297+D297</f>
        <v/>
      </c>
      <c r="F297" s="49">
        <f>IF(ROUND(C297,2)+ROUND(D297,2)=0,"","yes")</f>
        <v/>
      </c>
      <c r="G297" s="58" t="n"/>
      <c r="H297" s="50">
        <f>IF($G297="","",$E297-$G297)</f>
        <v/>
      </c>
    </row>
    <row r="298">
      <c r="A298" s="57" t="inlineStr">
        <is>
          <t>26072903V</t>
        </is>
      </c>
      <c r="B298" s="57" t="inlineStr">
        <is>
          <t>PWC - GB Webcast - 11.8.26</t>
        </is>
      </c>
      <c r="C298" s="50">
        <f>SUMIFS(tbl_WIP[Amount],tbl_WIP[Job Number],$A298,tbl_WIP[Month],"&lt;&gt;",tbl_WIP[Month],"&lt;"&amp;$C$4)+SUMIF('Deferred Revenue'!$E$6:$E$579,$A298,'Deferred Revenue'!$P$6:$P$579)</f>
        <v/>
      </c>
      <c r="D298" s="50">
        <f>SUMIFS(tbl_WIP[Amount],tbl_WIP[Job Number],$A298,tbl_WIP[Month],$C$4)+SUMIF('Deferred Revenue'!$E$6:$E$579,$A298,'Deferred Revenue'!$Q$6:$Q$579)</f>
        <v/>
      </c>
      <c r="E298" s="50">
        <f>C298+D298</f>
        <v/>
      </c>
      <c r="F298" s="49">
        <f>IF(ROUND(C298,2)+ROUND(D298,2)=0,"","yes")</f>
        <v/>
      </c>
      <c r="G298" s="58" t="n"/>
      <c r="H298" s="50">
        <f>IF($G298="","",$E298-$G298)</f>
        <v/>
      </c>
    </row>
    <row r="299">
      <c r="A299" s="57" t="inlineStr">
        <is>
          <t>26072906</t>
        </is>
      </c>
      <c r="B299" s="57" t="inlineStr">
        <is>
          <t>ASX Advisory Group on Corporate Governance</t>
        </is>
      </c>
      <c r="C299" s="50">
        <f>SUMIFS(tbl_WIP[Amount],tbl_WIP[Job Number],$A299,tbl_WIP[Month],"&lt;&gt;",tbl_WIP[Month],"&lt;"&amp;$C$4)+SUMIF('Deferred Revenue'!$E$6:$E$579,$A299,'Deferred Revenue'!$P$6:$P$579)</f>
        <v/>
      </c>
      <c r="D299" s="50">
        <f>SUMIFS(tbl_WIP[Amount],tbl_WIP[Job Number],$A299,tbl_WIP[Month],$C$4)+SUMIF('Deferred Revenue'!$E$6:$E$579,$A299,'Deferred Revenue'!$Q$6:$Q$579)</f>
        <v/>
      </c>
      <c r="E299" s="50">
        <f>C299+D299</f>
        <v/>
      </c>
      <c r="F299" s="49">
        <f>IF(ROUND(C299,2)+ROUND(D299,2)=0,"","yes")</f>
        <v/>
      </c>
      <c r="G299" s="58" t="n"/>
      <c r="H299" s="50">
        <f>IF($G299="","",$E299-$G299)</f>
        <v/>
      </c>
    </row>
    <row r="300">
      <c r="A300" s="57" t="inlineStr">
        <is>
          <t>26072906V</t>
        </is>
      </c>
      <c r="B300" s="57" t="inlineStr">
        <is>
          <t>ASX Advisory Group on Corporate Governance</t>
        </is>
      </c>
      <c r="C300" s="50">
        <f>SUMIFS(tbl_WIP[Amount],tbl_WIP[Job Number],$A300,tbl_WIP[Month],"&lt;&gt;",tbl_WIP[Month],"&lt;"&amp;$C$4)+SUMIF('Deferred Revenue'!$E$6:$E$579,$A300,'Deferred Revenue'!$P$6:$P$579)</f>
        <v/>
      </c>
      <c r="D300" s="50">
        <f>SUMIFS(tbl_WIP[Amount],tbl_WIP[Job Number],$A300,tbl_WIP[Month],$C$4)+SUMIF('Deferred Revenue'!$E$6:$E$579,$A300,'Deferred Revenue'!$Q$6:$Q$579)</f>
        <v/>
      </c>
      <c r="E300" s="50">
        <f>C300+D300</f>
        <v/>
      </c>
      <c r="F300" s="49">
        <f>IF(ROUND(C300,2)+ROUND(D300,2)=0,"","yes")</f>
        <v/>
      </c>
      <c r="G300" s="58" t="n"/>
      <c r="H300" s="50">
        <f>IF($G300="","",$E300-$G300)</f>
        <v/>
      </c>
    </row>
    <row r="301">
      <c r="A301" s="57" t="inlineStr">
        <is>
          <t>26073103</t>
        </is>
      </c>
      <c r="B301" s="57" t="inlineStr">
        <is>
          <t>DTTL PER AV &amp; Hospitality Tech (SEP26-FEB27)</t>
        </is>
      </c>
      <c r="C301" s="50">
        <f>SUMIFS(tbl_WIP[Amount],tbl_WIP[Job Number],$A301,tbl_WIP[Month],"&lt;&gt;",tbl_WIP[Month],"&lt;"&amp;$C$4)+SUMIF('Deferred Revenue'!$E$6:$E$579,$A301,'Deferred Revenue'!$P$6:$P$579)</f>
        <v/>
      </c>
      <c r="D301" s="50">
        <f>SUMIFS(tbl_WIP[Amount],tbl_WIP[Job Number],$A301,tbl_WIP[Month],$C$4)+SUMIF('Deferred Revenue'!$E$6:$E$579,$A301,'Deferred Revenue'!$Q$6:$Q$579)</f>
        <v/>
      </c>
      <c r="E301" s="50">
        <f>C301+D301</f>
        <v/>
      </c>
      <c r="F301" s="49">
        <f>IF(ROUND(C301,2)+ROUND(D301,2)=0,"","yes")</f>
        <v/>
      </c>
      <c r="G301" s="58" t="n"/>
      <c r="H301" s="50">
        <f>IF($G301="","",$E301-$G301)</f>
        <v/>
      </c>
    </row>
    <row r="302">
      <c r="A302" s="57" t="inlineStr">
        <is>
          <t>26073103N</t>
        </is>
      </c>
      <c r="B302" s="57" t="inlineStr">
        <is>
          <t>DTTL PER AV &amp; Hospitality Tech (SEP26-FEB27) [ONS] non-chargeable</t>
        </is>
      </c>
      <c r="C302" s="50">
        <f>SUMIFS(tbl_WIP[Amount],tbl_WIP[Job Number],$A302,tbl_WIP[Month],"&lt;&gt;",tbl_WIP[Month],"&lt;"&amp;$C$4)+SUMIF('Deferred Revenue'!$E$6:$E$579,$A302,'Deferred Revenue'!$P$6:$P$579)</f>
        <v/>
      </c>
      <c r="D302" s="50">
        <f>SUMIFS(tbl_WIP[Amount],tbl_WIP[Job Number],$A302,tbl_WIP[Month],$C$4)+SUMIF('Deferred Revenue'!$E$6:$E$579,$A302,'Deferred Revenue'!$Q$6:$Q$579)</f>
        <v/>
      </c>
      <c r="E302" s="50">
        <f>C302+D302</f>
        <v/>
      </c>
      <c r="F302" s="49">
        <f>IF(ROUND(C302,2)+ROUND(D302,2)=0,"","yes")</f>
        <v/>
      </c>
      <c r="G302" s="58" t="n"/>
      <c r="H302" s="50">
        <f>IF($G302="","",$E302-$G302)</f>
        <v/>
      </c>
    </row>
    <row r="303">
      <c r="A303" s="57" t="inlineStr">
        <is>
          <t>26073105</t>
        </is>
      </c>
      <c r="B303" s="57" t="inlineStr">
        <is>
          <t>Elkiem - Studio Support - 25.8.26</t>
        </is>
      </c>
      <c r="C303" s="50">
        <f>SUMIFS(tbl_WIP[Amount],tbl_WIP[Job Number],$A303,tbl_WIP[Month],"&lt;&gt;",tbl_WIP[Month],"&lt;"&amp;$C$4)+SUMIF('Deferred Revenue'!$E$6:$E$579,$A303,'Deferred Revenue'!$P$6:$P$579)</f>
        <v/>
      </c>
      <c r="D303" s="50">
        <f>SUMIFS(tbl_WIP[Amount],tbl_WIP[Job Number],$A303,tbl_WIP[Month],$C$4)+SUMIF('Deferred Revenue'!$E$6:$E$579,$A303,'Deferred Revenue'!$Q$6:$Q$579)</f>
        <v/>
      </c>
      <c r="E303" s="50">
        <f>C303+D303</f>
        <v/>
      </c>
      <c r="F303" s="49">
        <f>IF(ROUND(C303,2)+ROUND(D303,2)=0,"","yes")</f>
        <v/>
      </c>
      <c r="G303" s="58" t="n"/>
      <c r="H303" s="50">
        <f>IF($G303="","",$E303-$G303)</f>
        <v/>
      </c>
    </row>
    <row r="304">
      <c r="A304" s="57" t="inlineStr">
        <is>
          <t>26073106</t>
        </is>
      </c>
      <c r="B304" s="57" t="inlineStr">
        <is>
          <t>Elkiem - Studio Support - 18.9.26</t>
        </is>
      </c>
      <c r="C304" s="50">
        <f>SUMIFS(tbl_WIP[Amount],tbl_WIP[Job Number],$A304,tbl_WIP[Month],"&lt;&gt;",tbl_WIP[Month],"&lt;"&amp;$C$4)+SUMIF('Deferred Revenue'!$E$6:$E$579,$A304,'Deferred Revenue'!$P$6:$P$579)</f>
        <v/>
      </c>
      <c r="D304" s="50">
        <f>SUMIFS(tbl_WIP[Amount],tbl_WIP[Job Number],$A304,tbl_WIP[Month],$C$4)+SUMIF('Deferred Revenue'!$E$6:$E$579,$A304,'Deferred Revenue'!$Q$6:$Q$579)</f>
        <v/>
      </c>
      <c r="E304" s="50">
        <f>C304+D304</f>
        <v/>
      </c>
      <c r="F304" s="49">
        <f>IF(ROUND(C304,2)+ROUND(D304,2)=0,"","yes")</f>
        <v/>
      </c>
      <c r="G304" s="58" t="n"/>
      <c r="H304" s="50">
        <f>IF($G304="","",$E304-$G304)</f>
        <v/>
      </c>
    </row>
    <row r="305">
      <c r="A305" s="57" t="inlineStr">
        <is>
          <t>26073107</t>
        </is>
      </c>
      <c r="B305" s="57" t="inlineStr">
        <is>
          <t>DTTL Travel for Technician &amp; Coverage ADL-HOB</t>
        </is>
      </c>
      <c r="C305" s="50">
        <f>SUMIFS(tbl_WIP[Amount],tbl_WIP[Job Number],$A305,tbl_WIP[Month],"&lt;&gt;",tbl_WIP[Month],"&lt;"&amp;$C$4)+SUMIF('Deferred Revenue'!$E$6:$E$579,$A305,'Deferred Revenue'!$P$6:$P$579)</f>
        <v/>
      </c>
      <c r="D305" s="50">
        <f>SUMIFS(tbl_WIP[Amount],tbl_WIP[Job Number],$A305,tbl_WIP[Month],$C$4)+SUMIF('Deferred Revenue'!$E$6:$E$579,$A305,'Deferred Revenue'!$Q$6:$Q$579)</f>
        <v/>
      </c>
      <c r="E305" s="50">
        <f>C305+D305</f>
        <v/>
      </c>
      <c r="F305" s="49">
        <f>IF(ROUND(C305,2)+ROUND(D305,2)=0,"","yes")</f>
        <v/>
      </c>
      <c r="G305" s="58" t="n"/>
      <c r="H305" s="50">
        <f>IF($G305="","",$E305-$G305)</f>
        <v/>
      </c>
    </row>
    <row r="306">
      <c r="A306" s="57" t="inlineStr">
        <is>
          <t>26073110</t>
        </is>
      </c>
      <c r="B306" s="57" t="inlineStr">
        <is>
          <t>Garvan - Weizmann Dinner Event - 20.8.26</t>
        </is>
      </c>
      <c r="C306" s="50">
        <f>SUMIFS(tbl_WIP[Amount],tbl_WIP[Job Number],$A306,tbl_WIP[Month],"&lt;&gt;",tbl_WIP[Month],"&lt;"&amp;$C$4)+SUMIF('Deferred Revenue'!$E$6:$E$579,$A306,'Deferred Revenue'!$P$6:$P$579)</f>
        <v/>
      </c>
      <c r="D306" s="50">
        <f>SUMIFS(tbl_WIP[Amount],tbl_WIP[Job Number],$A306,tbl_WIP[Month],$C$4)+SUMIF('Deferred Revenue'!$E$6:$E$579,$A306,'Deferred Revenue'!$Q$6:$Q$579)</f>
        <v/>
      </c>
      <c r="E306" s="50">
        <f>C306+D306</f>
        <v/>
      </c>
      <c r="F306" s="49">
        <f>IF(ROUND(C306,2)+ROUND(D306,2)=0,"","yes")</f>
        <v/>
      </c>
      <c r="G306" s="58" t="n"/>
      <c r="H306" s="50">
        <f>IF($G306="","",$E306-$G306)</f>
        <v/>
      </c>
    </row>
    <row r="307">
      <c r="A307" s="57" t="inlineStr">
        <is>
          <t>26073110V</t>
        </is>
      </c>
      <c r="B307" s="57" t="inlineStr">
        <is>
          <t>Garvan - Weizmann Dinner Event - 20.8.26</t>
        </is>
      </c>
      <c r="C307" s="50">
        <f>SUMIFS(tbl_WIP[Amount],tbl_WIP[Job Number],$A307,tbl_WIP[Month],"&lt;&gt;",tbl_WIP[Month],"&lt;"&amp;$C$4)+SUMIF('Deferred Revenue'!$E$6:$E$579,$A307,'Deferred Revenue'!$P$6:$P$579)</f>
        <v/>
      </c>
      <c r="D307" s="50">
        <f>SUMIFS(tbl_WIP[Amount],tbl_WIP[Job Number],$A307,tbl_WIP[Month],$C$4)+SUMIF('Deferred Revenue'!$E$6:$E$579,$A307,'Deferred Revenue'!$Q$6:$Q$579)</f>
        <v/>
      </c>
      <c r="E307" s="50">
        <f>C307+D307</f>
        <v/>
      </c>
      <c r="F307" s="49">
        <f>IF(ROUND(C307,2)+ROUND(D307,2)=0,"","yes")</f>
        <v/>
      </c>
      <c r="G307" s="58" t="n"/>
      <c r="H307" s="50">
        <f>IF($G307="","",$E307-$G307)</f>
        <v/>
      </c>
    </row>
    <row r="308">
      <c r="A308" s="57" t="inlineStr">
        <is>
          <t>26073111</t>
        </is>
      </c>
      <c r="B308" s="57" t="inlineStr">
        <is>
          <t>Downer - FYR &amp; Employee Webcast - 25.8.26</t>
        </is>
      </c>
      <c r="C308" s="50">
        <f>SUMIFS(tbl_WIP[Amount],tbl_WIP[Job Number],$A308,tbl_WIP[Month],"&lt;&gt;",tbl_WIP[Month],"&lt;"&amp;$C$4)+SUMIF('Deferred Revenue'!$E$6:$E$579,$A308,'Deferred Revenue'!$P$6:$P$579)</f>
        <v/>
      </c>
      <c r="D308" s="50">
        <f>SUMIFS(tbl_WIP[Amount],tbl_WIP[Job Number],$A308,tbl_WIP[Month],$C$4)+SUMIF('Deferred Revenue'!$E$6:$E$579,$A308,'Deferred Revenue'!$Q$6:$Q$579)</f>
        <v/>
      </c>
      <c r="E308" s="50">
        <f>C308+D308</f>
        <v/>
      </c>
      <c r="F308" s="49">
        <f>IF(ROUND(C308,2)+ROUND(D308,2)=0,"","yes")</f>
        <v/>
      </c>
      <c r="G308" s="58" t="n"/>
      <c r="H308" s="50">
        <f>IF($G308="","",$E308-$G308)</f>
        <v/>
      </c>
    </row>
    <row r="309">
      <c r="A309" s="57" t="inlineStr">
        <is>
          <t>26073111V</t>
        </is>
      </c>
      <c r="B309" s="57" t="inlineStr">
        <is>
          <t>Downer - FYR &amp; Employee Webcast - 25.8.26</t>
        </is>
      </c>
      <c r="C309" s="50">
        <f>SUMIFS(tbl_WIP[Amount],tbl_WIP[Job Number],$A309,tbl_WIP[Month],"&lt;&gt;",tbl_WIP[Month],"&lt;"&amp;$C$4)+SUMIF('Deferred Revenue'!$E$6:$E$579,$A309,'Deferred Revenue'!$P$6:$P$579)</f>
        <v/>
      </c>
      <c r="D309" s="50">
        <f>SUMIFS(tbl_WIP[Amount],tbl_WIP[Job Number],$A309,tbl_WIP[Month],$C$4)+SUMIF('Deferred Revenue'!$E$6:$E$579,$A309,'Deferred Revenue'!$Q$6:$Q$579)</f>
        <v/>
      </c>
      <c r="E309" s="50">
        <f>C309+D309</f>
        <v/>
      </c>
      <c r="F309" s="49">
        <f>IF(ROUND(C309,2)+ROUND(D309,2)=0,"","yes")</f>
        <v/>
      </c>
      <c r="G309" s="58" t="n"/>
      <c r="H309" s="50">
        <f>IF($G309="","",$E309-$G309)</f>
        <v/>
      </c>
    </row>
    <row r="310">
      <c r="A310" s="57" t="inlineStr">
        <is>
          <t>2607703</t>
        </is>
      </c>
      <c r="B310" s="57" t="inlineStr">
        <is>
          <t>Garvan - YPO Event - 6.8.2026</t>
        </is>
      </c>
      <c r="C310" s="50">
        <f>SUMIFS(tbl_WIP[Amount],tbl_WIP[Job Number],$A310,tbl_WIP[Month],"&lt;&gt;",tbl_WIP[Month],"&lt;"&amp;$C$4)+SUMIF('Deferred Revenue'!$E$6:$E$579,$A310,'Deferred Revenue'!$P$6:$P$579)</f>
        <v/>
      </c>
      <c r="D310" s="50">
        <f>SUMIFS(tbl_WIP[Amount],tbl_WIP[Job Number],$A310,tbl_WIP[Month],$C$4)+SUMIF('Deferred Revenue'!$E$6:$E$579,$A310,'Deferred Revenue'!$Q$6:$Q$579)</f>
        <v/>
      </c>
      <c r="E310" s="50">
        <f>C310+D310</f>
        <v/>
      </c>
      <c r="F310" s="49">
        <f>IF(ROUND(C310,2)+ROUND(D310,2)=0,"","yes")</f>
        <v/>
      </c>
      <c r="G310" s="58" t="n"/>
      <c r="H310" s="50">
        <f>IF($G310="","",$E310-$G310)</f>
        <v/>
      </c>
    </row>
    <row r="311">
      <c r="A311" s="57" t="inlineStr">
        <is>
          <t>2607703V</t>
        </is>
      </c>
      <c r="B311" s="57" t="inlineStr">
        <is>
          <t>Garvan - YPO Event - 6.8.2026</t>
        </is>
      </c>
      <c r="C311" s="50">
        <f>SUMIFS(tbl_WIP[Amount],tbl_WIP[Job Number],$A311,tbl_WIP[Month],"&lt;&gt;",tbl_WIP[Month],"&lt;"&amp;$C$4)+SUMIF('Deferred Revenue'!$E$6:$E$579,$A311,'Deferred Revenue'!$P$6:$P$579)</f>
        <v/>
      </c>
      <c r="D311" s="50">
        <f>SUMIFS(tbl_WIP[Amount],tbl_WIP[Job Number],$A311,tbl_WIP[Month],$C$4)+SUMIF('Deferred Revenue'!$E$6:$E$579,$A311,'Deferred Revenue'!$Q$6:$Q$579)</f>
        <v/>
      </c>
      <c r="E311" s="50">
        <f>C311+D311</f>
        <v/>
      </c>
      <c r="F311" s="49">
        <f>IF(ROUND(C311,2)+ROUND(D311,2)=0,"","yes")</f>
        <v/>
      </c>
      <c r="G311" s="58" t="n"/>
      <c r="H311" s="50">
        <f>IF($G311="","",$E311-$G311)</f>
        <v/>
      </c>
    </row>
    <row r="312">
      <c r="A312" s="57" t="inlineStr">
        <is>
          <t>2608101</t>
        </is>
      </c>
      <c r="B312" s="57" t="inlineStr">
        <is>
          <t>ART - AMM Captioning - 25.11.26</t>
        </is>
      </c>
      <c r="C312" s="50">
        <f>SUMIFS(tbl_WIP[Amount],tbl_WIP[Job Number],$A312,tbl_WIP[Month],"&lt;&gt;",tbl_WIP[Month],"&lt;"&amp;$C$4)+SUMIF('Deferred Revenue'!$E$6:$E$579,$A312,'Deferred Revenue'!$P$6:$P$579)</f>
        <v/>
      </c>
      <c r="D312" s="50">
        <f>SUMIFS(tbl_WIP[Amount],tbl_WIP[Job Number],$A312,tbl_WIP[Month],$C$4)+SUMIF('Deferred Revenue'!$E$6:$E$579,$A312,'Deferred Revenue'!$Q$6:$Q$579)</f>
        <v/>
      </c>
      <c r="E312" s="50">
        <f>C312+D312</f>
        <v/>
      </c>
      <c r="F312" s="49">
        <f>IF(ROUND(C312,2)+ROUND(D312,2)=0,"","yes")</f>
        <v/>
      </c>
      <c r="G312" s="58" t="n"/>
      <c r="H312" s="50">
        <f>IF($G312="","",$E312-$G312)</f>
        <v/>
      </c>
    </row>
    <row r="313">
      <c r="A313" s="57" t="inlineStr">
        <is>
          <t>2608101V</t>
        </is>
      </c>
      <c r="B313" s="57" t="inlineStr">
        <is>
          <t>ART - AMM Captioning - 25.11.26</t>
        </is>
      </c>
      <c r="C313" s="50">
        <f>SUMIFS(tbl_WIP[Amount],tbl_WIP[Job Number],$A313,tbl_WIP[Month],"&lt;&gt;",tbl_WIP[Month],"&lt;"&amp;$C$4)+SUMIF('Deferred Revenue'!$E$6:$E$579,$A313,'Deferred Revenue'!$P$6:$P$579)</f>
        <v/>
      </c>
      <c r="D313" s="50">
        <f>SUMIFS(tbl_WIP[Amount],tbl_WIP[Job Number],$A313,tbl_WIP[Month],$C$4)+SUMIF('Deferred Revenue'!$E$6:$E$579,$A313,'Deferred Revenue'!$Q$6:$Q$579)</f>
        <v/>
      </c>
      <c r="E313" s="50">
        <f>C313+D313</f>
        <v/>
      </c>
      <c r="F313" s="49">
        <f>IF(ROUND(C313,2)+ROUND(D313,2)=0,"","yes")</f>
        <v/>
      </c>
      <c r="G313" s="58" t="n"/>
      <c r="H313" s="50">
        <f>IF($G313="","",$E313-$G313)</f>
        <v/>
      </c>
    </row>
    <row r="314">
      <c r="A314" s="57" t="inlineStr">
        <is>
          <t>2608102</t>
        </is>
      </c>
      <c r="B314" s="57" t="inlineStr">
        <is>
          <t>ART - Education Session Captioning - 25.11.26</t>
        </is>
      </c>
      <c r="C314" s="50">
        <f>SUMIFS(tbl_WIP[Amount],tbl_WIP[Job Number],$A314,tbl_WIP[Month],"&lt;&gt;",tbl_WIP[Month],"&lt;"&amp;$C$4)+SUMIF('Deferred Revenue'!$E$6:$E$579,$A314,'Deferred Revenue'!$P$6:$P$579)</f>
        <v/>
      </c>
      <c r="D314" s="50">
        <f>SUMIFS(tbl_WIP[Amount],tbl_WIP[Job Number],$A314,tbl_WIP[Month],$C$4)+SUMIF('Deferred Revenue'!$E$6:$E$579,$A314,'Deferred Revenue'!$Q$6:$Q$579)</f>
        <v/>
      </c>
      <c r="E314" s="50">
        <f>C314+D314</f>
        <v/>
      </c>
      <c r="F314" s="49">
        <f>IF(ROUND(C314,2)+ROUND(D314,2)=0,"","yes")</f>
        <v/>
      </c>
      <c r="G314" s="58" t="n"/>
      <c r="H314" s="50">
        <f>IF($G314="","",$E314-$G314)</f>
        <v/>
      </c>
    </row>
    <row r="315">
      <c r="A315" s="57" t="inlineStr">
        <is>
          <t>26081101</t>
        </is>
      </c>
      <c r="B315" s="57" t="inlineStr">
        <is>
          <t>Vega Global - Payments Forum - 17.9.26</t>
        </is>
      </c>
      <c r="C315" s="50">
        <f>SUMIFS(tbl_WIP[Amount],tbl_WIP[Job Number],$A315,tbl_WIP[Month],"&lt;&gt;",tbl_WIP[Month],"&lt;"&amp;$C$4)+SUMIF('Deferred Revenue'!$E$6:$E$579,$A315,'Deferred Revenue'!$P$6:$P$579)</f>
        <v/>
      </c>
      <c r="D315" s="50">
        <f>SUMIFS(tbl_WIP[Amount],tbl_WIP[Job Number],$A315,tbl_WIP[Month],$C$4)+SUMIF('Deferred Revenue'!$E$6:$E$579,$A315,'Deferred Revenue'!$Q$6:$Q$579)</f>
        <v/>
      </c>
      <c r="E315" s="50">
        <f>C315+D315</f>
        <v/>
      </c>
      <c r="F315" s="49">
        <f>IF(ROUND(C315,2)+ROUND(D315,2)=0,"","yes")</f>
        <v/>
      </c>
      <c r="G315" s="58" t="n"/>
      <c r="H315" s="50">
        <f>IF($G315="","",$E315-$G315)</f>
        <v/>
      </c>
    </row>
    <row r="316">
      <c r="A316" s="57" t="inlineStr">
        <is>
          <t>26081302</t>
        </is>
      </c>
      <c r="B316" s="57" t="inlineStr">
        <is>
          <t>Ubank - Volunteer Day - 11.11.26</t>
        </is>
      </c>
      <c r="C316" s="50">
        <f>SUMIFS(tbl_WIP[Amount],tbl_WIP[Job Number],$A316,tbl_WIP[Month],"&lt;&gt;",tbl_WIP[Month],"&lt;"&amp;$C$4)+SUMIF('Deferred Revenue'!$E$6:$E$579,$A316,'Deferred Revenue'!$P$6:$P$579)</f>
        <v/>
      </c>
      <c r="D316" s="50">
        <f>SUMIFS(tbl_WIP[Amount],tbl_WIP[Job Number],$A316,tbl_WIP[Month],$C$4)+SUMIF('Deferred Revenue'!$E$6:$E$579,$A316,'Deferred Revenue'!$Q$6:$Q$579)</f>
        <v/>
      </c>
      <c r="E316" s="50">
        <f>C316+D316</f>
        <v/>
      </c>
      <c r="F316" s="49">
        <f>IF(ROUND(C316,2)+ROUND(D316,2)=0,"","yes")</f>
        <v/>
      </c>
      <c r="G316" s="58" t="n"/>
      <c r="H316" s="50">
        <f>IF($G316="","",$E316-$G316)</f>
        <v/>
      </c>
    </row>
    <row r="317">
      <c r="A317" s="57" t="inlineStr">
        <is>
          <t>26081302V</t>
        </is>
      </c>
      <c r="B317" s="57" t="inlineStr">
        <is>
          <t>Ubank - Volunteer Day - 11.11.26</t>
        </is>
      </c>
      <c r="C317" s="50">
        <f>SUMIFS(tbl_WIP[Amount],tbl_WIP[Job Number],$A317,tbl_WIP[Month],"&lt;&gt;",tbl_WIP[Month],"&lt;"&amp;$C$4)+SUMIF('Deferred Revenue'!$E$6:$E$579,$A317,'Deferred Revenue'!$P$6:$P$579)</f>
        <v/>
      </c>
      <c r="D317" s="50">
        <f>SUMIFS(tbl_WIP[Amount],tbl_WIP[Job Number],$A317,tbl_WIP[Month],$C$4)+SUMIF('Deferred Revenue'!$E$6:$E$579,$A317,'Deferred Revenue'!$Q$6:$Q$579)</f>
        <v/>
      </c>
      <c r="E317" s="50">
        <f>C317+D317</f>
        <v/>
      </c>
      <c r="F317" s="49">
        <f>IF(ROUND(C317,2)+ROUND(D317,2)=0,"","yes")</f>
        <v/>
      </c>
      <c r="G317" s="58" t="n"/>
      <c r="H317" s="50">
        <f>IF($G317="","",$E317-$G317)</f>
        <v/>
      </c>
    </row>
    <row r="318">
      <c r="A318" s="57" t="inlineStr">
        <is>
          <t>26081402</t>
        </is>
      </c>
      <c r="B318" s="57" t="inlineStr">
        <is>
          <t>Dimensional - AV Support - 19.8.26</t>
        </is>
      </c>
      <c r="C318" s="50">
        <f>SUMIFS(tbl_WIP[Amount],tbl_WIP[Job Number],$A318,tbl_WIP[Month],"&lt;&gt;",tbl_WIP[Month],"&lt;"&amp;$C$4)+SUMIF('Deferred Revenue'!$E$6:$E$579,$A318,'Deferred Revenue'!$P$6:$P$579)</f>
        <v/>
      </c>
      <c r="D318" s="50">
        <f>SUMIFS(tbl_WIP[Amount],tbl_WIP[Job Number],$A318,tbl_WIP[Month],$C$4)+SUMIF('Deferred Revenue'!$E$6:$E$579,$A318,'Deferred Revenue'!$Q$6:$Q$579)</f>
        <v/>
      </c>
      <c r="E318" s="50">
        <f>C318+D318</f>
        <v/>
      </c>
      <c r="F318" s="49">
        <f>IF(ROUND(C318,2)+ROUND(D318,2)=0,"","yes")</f>
        <v/>
      </c>
      <c r="G318" s="58" t="n"/>
      <c r="H318" s="50">
        <f>IF($G318="","",$E318-$G318)</f>
        <v/>
      </c>
    </row>
    <row r="319">
      <c r="A319" s="57" t="inlineStr">
        <is>
          <t>26081801</t>
        </is>
      </c>
      <c r="B319" s="57" t="inlineStr">
        <is>
          <t>Microsoft - SME&amp;C Town Hall 14.10.2026</t>
        </is>
      </c>
      <c r="C319" s="50">
        <f>SUMIFS(tbl_WIP[Amount],tbl_WIP[Job Number],$A319,tbl_WIP[Month],"&lt;&gt;",tbl_WIP[Month],"&lt;"&amp;$C$4)+SUMIF('Deferred Revenue'!$E$6:$E$579,$A319,'Deferred Revenue'!$P$6:$P$579)</f>
        <v/>
      </c>
      <c r="D319" s="50">
        <f>SUMIFS(tbl_WIP[Amount],tbl_WIP[Job Number],$A319,tbl_WIP[Month],$C$4)+SUMIF('Deferred Revenue'!$E$6:$E$579,$A319,'Deferred Revenue'!$Q$6:$Q$579)</f>
        <v/>
      </c>
      <c r="E319" s="50">
        <f>C319+D319</f>
        <v/>
      </c>
      <c r="F319" s="49">
        <f>IF(ROUND(C319,2)+ROUND(D319,2)=0,"","yes")</f>
        <v/>
      </c>
      <c r="G319" s="58" t="n"/>
      <c r="H319" s="50">
        <f>IF($G319="","",$E319-$G319)</f>
        <v/>
      </c>
    </row>
    <row r="320">
      <c r="A320" s="57" t="inlineStr">
        <is>
          <t>26081801V</t>
        </is>
      </c>
      <c r="B320" s="57" t="inlineStr">
        <is>
          <t>Microsoft - SME&amp;C Town Hall 14.10.2026</t>
        </is>
      </c>
      <c r="C320" s="50">
        <f>SUMIFS(tbl_WIP[Amount],tbl_WIP[Job Number],$A320,tbl_WIP[Month],"&lt;&gt;",tbl_WIP[Month],"&lt;"&amp;$C$4)+SUMIF('Deferred Revenue'!$E$6:$E$579,$A320,'Deferred Revenue'!$P$6:$P$579)</f>
        <v/>
      </c>
      <c r="D320" s="50">
        <f>SUMIFS(tbl_WIP[Amount],tbl_WIP[Job Number],$A320,tbl_WIP[Month],$C$4)+SUMIF('Deferred Revenue'!$E$6:$E$579,$A320,'Deferred Revenue'!$Q$6:$Q$579)</f>
        <v/>
      </c>
      <c r="E320" s="50">
        <f>C320+D320</f>
        <v/>
      </c>
      <c r="F320" s="49">
        <f>IF(ROUND(C320,2)+ROUND(D320,2)=0,"","yes")</f>
        <v/>
      </c>
      <c r="G320" s="58" t="n"/>
      <c r="H320" s="50">
        <f>IF($G320="","",$E320-$G320)</f>
        <v/>
      </c>
    </row>
    <row r="321">
      <c r="A321" s="57" t="inlineStr">
        <is>
          <t>26081901</t>
        </is>
      </c>
      <c r="B321" s="57" t="inlineStr">
        <is>
          <t>AusPayNet Logitech Essentials for Room License Renewal</t>
        </is>
      </c>
      <c r="C321" s="50">
        <f>SUMIFS(tbl_WIP[Amount],tbl_WIP[Job Number],$A321,tbl_WIP[Month],"&lt;&gt;",tbl_WIP[Month],"&lt;"&amp;$C$4)+SUMIF('Deferred Revenue'!$E$6:$E$579,$A321,'Deferred Revenue'!$P$6:$P$579)</f>
        <v/>
      </c>
      <c r="D321" s="50">
        <f>SUMIFS(tbl_WIP[Amount],tbl_WIP[Job Number],$A321,tbl_WIP[Month],$C$4)+SUMIF('Deferred Revenue'!$E$6:$E$579,$A321,'Deferred Revenue'!$Q$6:$Q$579)</f>
        <v/>
      </c>
      <c r="E321" s="50">
        <f>C321+D321</f>
        <v/>
      </c>
      <c r="F321" s="49">
        <f>IF(ROUND(C321,2)+ROUND(D321,2)=0,"","yes")</f>
        <v/>
      </c>
      <c r="G321" s="58" t="n"/>
      <c r="H321" s="50">
        <f>IF($G321="","",$E321-$G321)</f>
        <v/>
      </c>
    </row>
    <row r="322">
      <c r="A322" s="57" t="inlineStr">
        <is>
          <t>26081904</t>
        </is>
      </c>
      <c r="B322" s="57" t="inlineStr">
        <is>
          <t>Garvan - AllClear Program Meeting - 2.9.26</t>
        </is>
      </c>
      <c r="C322" s="50">
        <f>SUMIFS(tbl_WIP[Amount],tbl_WIP[Job Number],$A322,tbl_WIP[Month],"&lt;&gt;",tbl_WIP[Month],"&lt;"&amp;$C$4)+SUMIF('Deferred Revenue'!$E$6:$E$579,$A322,'Deferred Revenue'!$P$6:$P$579)</f>
        <v/>
      </c>
      <c r="D322" s="50">
        <f>SUMIFS(tbl_WIP[Amount],tbl_WIP[Job Number],$A322,tbl_WIP[Month],$C$4)+SUMIF('Deferred Revenue'!$E$6:$E$579,$A322,'Deferred Revenue'!$Q$6:$Q$579)</f>
        <v/>
      </c>
      <c r="E322" s="50">
        <f>C322+D322</f>
        <v/>
      </c>
      <c r="F322" s="49">
        <f>IF(ROUND(C322,2)+ROUND(D322,2)=0,"","yes")</f>
        <v/>
      </c>
      <c r="G322" s="58" t="n"/>
      <c r="H322" s="50">
        <f>IF($G322="","",$E322-$G322)</f>
        <v/>
      </c>
    </row>
    <row r="323">
      <c r="A323" s="57" t="inlineStr">
        <is>
          <t>26082402</t>
        </is>
      </c>
      <c r="B323" s="57" t="inlineStr">
        <is>
          <t>TLC - 2026 AGM - 14.10.26</t>
        </is>
      </c>
      <c r="C323" s="50">
        <f>SUMIFS(tbl_WIP[Amount],tbl_WIP[Job Number],$A323,tbl_WIP[Month],"&lt;&gt;",tbl_WIP[Month],"&lt;"&amp;$C$4)+SUMIF('Deferred Revenue'!$E$6:$E$579,$A323,'Deferred Revenue'!$P$6:$P$579)</f>
        <v/>
      </c>
      <c r="D323" s="50">
        <f>SUMIFS(tbl_WIP[Amount],tbl_WIP[Job Number],$A323,tbl_WIP[Month],$C$4)+SUMIF('Deferred Revenue'!$E$6:$E$579,$A323,'Deferred Revenue'!$Q$6:$Q$579)</f>
        <v/>
      </c>
      <c r="E323" s="50">
        <f>C323+D323</f>
        <v/>
      </c>
      <c r="F323" s="49">
        <f>IF(ROUND(C323,2)+ROUND(D323,2)=0,"","yes")</f>
        <v/>
      </c>
      <c r="G323" s="58" t="n"/>
      <c r="H323" s="50">
        <f>IF($G323="","",$E323-$G323)</f>
        <v/>
      </c>
    </row>
    <row r="324">
      <c r="A324" s="57" t="inlineStr">
        <is>
          <t>26082402V</t>
        </is>
      </c>
      <c r="B324" s="57" t="inlineStr">
        <is>
          <t>TLC - 2026 AGM - 14.10.26</t>
        </is>
      </c>
      <c r="C324" s="50">
        <f>SUMIFS(tbl_WIP[Amount],tbl_WIP[Job Number],$A324,tbl_WIP[Month],"&lt;&gt;",tbl_WIP[Month],"&lt;"&amp;$C$4)+SUMIF('Deferred Revenue'!$E$6:$E$579,$A324,'Deferred Revenue'!$P$6:$P$579)</f>
        <v/>
      </c>
      <c r="D324" s="50">
        <f>SUMIFS(tbl_WIP[Amount],tbl_WIP[Job Number],$A324,tbl_WIP[Month],$C$4)+SUMIF('Deferred Revenue'!$E$6:$E$579,$A324,'Deferred Revenue'!$Q$6:$Q$579)</f>
        <v/>
      </c>
      <c r="E324" s="50">
        <f>C324+D324</f>
        <v/>
      </c>
      <c r="F324" s="49">
        <f>IF(ROUND(C324,2)+ROUND(D324,2)=0,"","yes")</f>
        <v/>
      </c>
      <c r="G324" s="58" t="n"/>
      <c r="H324" s="50">
        <f>IF($G324="","",$E324-$G324)</f>
        <v/>
      </c>
    </row>
    <row r="325">
      <c r="A325" s="57" t="inlineStr">
        <is>
          <t>26082501</t>
        </is>
      </c>
      <c r="B325" s="57" t="inlineStr">
        <is>
          <t>CBA - LES - September 2026</t>
        </is>
      </c>
      <c r="C325" s="50">
        <f>SUMIFS(tbl_WIP[Amount],tbl_WIP[Job Number],$A325,tbl_WIP[Month],"&lt;&gt;",tbl_WIP[Month],"&lt;"&amp;$C$4)+SUMIF('Deferred Revenue'!$E$6:$E$579,$A325,'Deferred Revenue'!$P$6:$P$579)</f>
        <v/>
      </c>
      <c r="D325" s="50">
        <f>SUMIFS(tbl_WIP[Amount],tbl_WIP[Job Number],$A325,tbl_WIP[Month],$C$4)+SUMIF('Deferred Revenue'!$E$6:$E$579,$A325,'Deferred Revenue'!$Q$6:$Q$579)</f>
        <v/>
      </c>
      <c r="E325" s="50">
        <f>C325+D325</f>
        <v/>
      </c>
      <c r="F325" s="49">
        <f>IF(ROUND(C325,2)+ROUND(D325,2)=0,"","yes")</f>
        <v/>
      </c>
      <c r="G325" s="58" t="n"/>
      <c r="H325" s="50">
        <f>IF($G325="","",$E325-$G325)</f>
        <v/>
      </c>
    </row>
    <row r="326">
      <c r="A326" s="57" t="inlineStr">
        <is>
          <t>26082502</t>
        </is>
      </c>
      <c r="B326" s="57" t="inlineStr">
        <is>
          <t>ICC - Presenter &amp; Speaker Preparation - September 2026</t>
        </is>
      </c>
      <c r="C326" s="50">
        <f>SUMIFS(tbl_WIP[Amount],tbl_WIP[Job Number],$A326,tbl_WIP[Month],"&lt;&gt;",tbl_WIP[Month],"&lt;"&amp;$C$4)+SUMIF('Deferred Revenue'!$E$6:$E$579,$A326,'Deferred Revenue'!$P$6:$P$579)</f>
        <v/>
      </c>
      <c r="D326" s="50">
        <f>SUMIFS(tbl_WIP[Amount],tbl_WIP[Job Number],$A326,tbl_WIP[Month],$C$4)+SUMIF('Deferred Revenue'!$E$6:$E$579,$A326,'Deferred Revenue'!$Q$6:$Q$579)</f>
        <v/>
      </c>
      <c r="E326" s="50">
        <f>C326+D326</f>
        <v/>
      </c>
      <c r="F326" s="49">
        <f>IF(ROUND(C326,2)+ROUND(D326,2)=0,"","yes")</f>
        <v/>
      </c>
      <c r="G326" s="58" t="n"/>
      <c r="H326" s="50">
        <f>IF($G326="","",$E326-$G326)</f>
        <v/>
      </c>
    </row>
    <row r="327">
      <c r="A327" s="57" t="inlineStr">
        <is>
          <t>26082502V</t>
        </is>
      </c>
      <c r="B327" s="57" t="inlineStr">
        <is>
          <t>ICC - Presenter &amp; Speaker Preparation - September 2026</t>
        </is>
      </c>
      <c r="C327" s="50">
        <f>SUMIFS(tbl_WIP[Amount],tbl_WIP[Job Number],$A327,tbl_WIP[Month],"&lt;&gt;",tbl_WIP[Month],"&lt;"&amp;$C$4)+SUMIF('Deferred Revenue'!$E$6:$E$579,$A327,'Deferred Revenue'!$P$6:$P$579)</f>
        <v/>
      </c>
      <c r="D327" s="50">
        <f>SUMIFS(tbl_WIP[Amount],tbl_WIP[Job Number],$A327,tbl_WIP[Month],$C$4)+SUMIF('Deferred Revenue'!$E$6:$E$579,$A327,'Deferred Revenue'!$Q$6:$Q$579)</f>
        <v/>
      </c>
      <c r="E327" s="50">
        <f>C327+D327</f>
        <v/>
      </c>
      <c r="F327" s="49">
        <f>IF(ROUND(C327,2)+ROUND(D327,2)=0,"","yes")</f>
        <v/>
      </c>
      <c r="G327" s="58" t="n"/>
      <c r="H327" s="50">
        <f>IF($G327="","",$E327-$G327)</f>
        <v/>
      </c>
    </row>
    <row r="328">
      <c r="A328" s="57" t="inlineStr">
        <is>
          <t>26082702</t>
        </is>
      </c>
      <c r="B328" s="57" t="inlineStr">
        <is>
          <t>Garvan - Breast Cancer Public Lecture - 1.10.26</t>
        </is>
      </c>
      <c r="C328" s="50">
        <f>SUMIFS(tbl_WIP[Amount],tbl_WIP[Job Number],$A328,tbl_WIP[Month],"&lt;&gt;",tbl_WIP[Month],"&lt;"&amp;$C$4)+SUMIF('Deferred Revenue'!$E$6:$E$579,$A328,'Deferred Revenue'!$P$6:$P$579)</f>
        <v/>
      </c>
      <c r="D328" s="50">
        <f>SUMIFS(tbl_WIP[Amount],tbl_WIP[Job Number],$A328,tbl_WIP[Month],$C$4)+SUMIF('Deferred Revenue'!$E$6:$E$579,$A328,'Deferred Revenue'!$Q$6:$Q$579)</f>
        <v/>
      </c>
      <c r="E328" s="50">
        <f>C328+D328</f>
        <v/>
      </c>
      <c r="F328" s="49">
        <f>IF(ROUND(C328,2)+ROUND(D328,2)=0,"","yes")</f>
        <v/>
      </c>
      <c r="G328" s="58" t="n"/>
      <c r="H328" s="50">
        <f>IF($G328="","",$E328-$G328)</f>
        <v/>
      </c>
    </row>
    <row r="329">
      <c r="A329" s="57" t="inlineStr">
        <is>
          <t>26082703</t>
        </is>
      </c>
      <c r="B329" s="57" t="inlineStr">
        <is>
          <t>APA - RUOK Day - 10.9.26</t>
        </is>
      </c>
      <c r="C329" s="50">
        <f>SUMIFS(tbl_WIP[Amount],tbl_WIP[Job Number],$A329,tbl_WIP[Month],"&lt;&gt;",tbl_WIP[Month],"&lt;"&amp;$C$4)+SUMIF('Deferred Revenue'!$E$6:$E$579,$A329,'Deferred Revenue'!$P$6:$P$579)</f>
        <v/>
      </c>
      <c r="D329" s="50">
        <f>SUMIFS(tbl_WIP[Amount],tbl_WIP[Job Number],$A329,tbl_WIP[Month],$C$4)+SUMIF('Deferred Revenue'!$E$6:$E$579,$A329,'Deferred Revenue'!$Q$6:$Q$579)</f>
        <v/>
      </c>
      <c r="E329" s="50">
        <f>C329+D329</f>
        <v/>
      </c>
      <c r="F329" s="49">
        <f>IF(ROUND(C329,2)+ROUND(D329,2)=0,"","yes")</f>
        <v/>
      </c>
      <c r="G329" s="58" t="n"/>
      <c r="H329" s="50">
        <f>IF($G329="","",$E329-$G329)</f>
        <v/>
      </c>
    </row>
    <row r="330">
      <c r="A330" s="57" t="inlineStr">
        <is>
          <t>26082703V</t>
        </is>
      </c>
      <c r="B330" s="57" t="inlineStr">
        <is>
          <t>APA - RUOK Day - 10.9.26</t>
        </is>
      </c>
      <c r="C330" s="50">
        <f>SUMIFS(tbl_WIP[Amount],tbl_WIP[Job Number],$A330,tbl_WIP[Month],"&lt;&gt;",tbl_WIP[Month],"&lt;"&amp;$C$4)+SUMIF('Deferred Revenue'!$E$6:$E$579,$A330,'Deferred Revenue'!$P$6:$P$579)</f>
        <v/>
      </c>
      <c r="D330" s="50">
        <f>SUMIFS(tbl_WIP[Amount],tbl_WIP[Job Number],$A330,tbl_WIP[Month],$C$4)+SUMIF('Deferred Revenue'!$E$6:$E$579,$A330,'Deferred Revenue'!$Q$6:$Q$579)</f>
        <v/>
      </c>
      <c r="E330" s="50">
        <f>C330+D330</f>
        <v/>
      </c>
      <c r="F330" s="49">
        <f>IF(ROUND(C330,2)+ROUND(D330,2)=0,"","yes")</f>
        <v/>
      </c>
      <c r="G330" s="58" t="n"/>
      <c r="H330" s="50">
        <f>IF($G330="","",$E330-$G330)</f>
        <v/>
      </c>
    </row>
    <row r="331">
      <c r="A331" s="57" t="inlineStr">
        <is>
          <t>26082704</t>
        </is>
      </c>
      <c r="B331" s="57" t="inlineStr">
        <is>
          <t>DTTL Travel for National STL &amp; Coverage SYD-PER</t>
        </is>
      </c>
      <c r="C331" s="50">
        <f>SUMIFS(tbl_WIP[Amount],tbl_WIP[Job Number],$A331,tbl_WIP[Month],"&lt;&gt;",tbl_WIP[Month],"&lt;"&amp;$C$4)+SUMIF('Deferred Revenue'!$E$6:$E$579,$A331,'Deferred Revenue'!$P$6:$P$579)</f>
        <v/>
      </c>
      <c r="D331" s="50">
        <f>SUMIFS(tbl_WIP[Amount],tbl_WIP[Job Number],$A331,tbl_WIP[Month],$C$4)+SUMIF('Deferred Revenue'!$E$6:$E$579,$A331,'Deferred Revenue'!$Q$6:$Q$579)</f>
        <v/>
      </c>
      <c r="E331" s="50">
        <f>C331+D331</f>
        <v/>
      </c>
      <c r="F331" s="49">
        <f>IF(ROUND(C331,2)+ROUND(D331,2)=0,"","yes")</f>
        <v/>
      </c>
      <c r="G331" s="58" t="n"/>
      <c r="H331" s="50">
        <f>IF($G331="","",$E331-$G331)</f>
        <v/>
      </c>
    </row>
    <row r="332">
      <c r="A332" s="57" t="inlineStr">
        <is>
          <t>26082801</t>
        </is>
      </c>
      <c r="B332" s="57" t="inlineStr">
        <is>
          <t>Ricoh Australia - SHELL AV Support</t>
        </is>
      </c>
      <c r="C332" s="50">
        <f>SUMIFS(tbl_WIP[Amount],tbl_WIP[Job Number],$A332,tbl_WIP[Month],"&lt;&gt;",tbl_WIP[Month],"&lt;"&amp;$C$4)+SUMIF('Deferred Revenue'!$E$6:$E$579,$A332,'Deferred Revenue'!$P$6:$P$579)</f>
        <v/>
      </c>
      <c r="D332" s="50">
        <f>SUMIFS(tbl_WIP[Amount],tbl_WIP[Job Number],$A332,tbl_WIP[Month],$C$4)+SUMIF('Deferred Revenue'!$E$6:$E$579,$A332,'Deferred Revenue'!$Q$6:$Q$579)</f>
        <v/>
      </c>
      <c r="E332" s="50">
        <f>C332+D332</f>
        <v/>
      </c>
      <c r="F332" s="49">
        <f>IF(ROUND(C332,2)+ROUND(D332,2)=0,"","yes")</f>
        <v/>
      </c>
      <c r="G332" s="58" t="n"/>
      <c r="H332" s="50">
        <f>IF($G332="","",$E332-$G332)</f>
        <v/>
      </c>
    </row>
    <row r="333">
      <c r="A333" s="57" t="inlineStr">
        <is>
          <t>2608402</t>
        </is>
      </c>
      <c r="B333" s="57" t="inlineStr">
        <is>
          <t>Garvan - Suttons Event - 15.10.26</t>
        </is>
      </c>
      <c r="C333" s="50">
        <f>SUMIFS(tbl_WIP[Amount],tbl_WIP[Job Number],$A333,tbl_WIP[Month],"&lt;&gt;",tbl_WIP[Month],"&lt;"&amp;$C$4)+SUMIF('Deferred Revenue'!$E$6:$E$579,$A333,'Deferred Revenue'!$P$6:$P$579)</f>
        <v/>
      </c>
      <c r="D333" s="50">
        <f>SUMIFS(tbl_WIP[Amount],tbl_WIP[Job Number],$A333,tbl_WIP[Month],$C$4)+SUMIF('Deferred Revenue'!$E$6:$E$579,$A333,'Deferred Revenue'!$Q$6:$Q$579)</f>
        <v/>
      </c>
      <c r="E333" s="50">
        <f>C333+D333</f>
        <v/>
      </c>
      <c r="F333" s="49">
        <f>IF(ROUND(C333,2)+ROUND(D333,2)=0,"","yes")</f>
        <v/>
      </c>
      <c r="G333" s="58" t="n"/>
      <c r="H333" s="50">
        <f>IF($G333="","",$E333-$G333)</f>
        <v/>
      </c>
    </row>
    <row r="334">
      <c r="A334" s="57" t="inlineStr">
        <is>
          <t>2608404</t>
        </is>
      </c>
      <c r="B334" s="57" t="inlineStr">
        <is>
          <t>St Vincents Public Hospital - Awards Night - 26.8.25</t>
        </is>
      </c>
      <c r="C334" s="50">
        <f>SUMIFS(tbl_WIP[Amount],tbl_WIP[Job Number],$A334,tbl_WIP[Month],"&lt;&gt;",tbl_WIP[Month],"&lt;"&amp;$C$4)+SUMIF('Deferred Revenue'!$E$6:$E$579,$A334,'Deferred Revenue'!$P$6:$P$579)</f>
        <v/>
      </c>
      <c r="D334" s="50">
        <f>SUMIFS(tbl_WIP[Amount],tbl_WIP[Job Number],$A334,tbl_WIP[Month],$C$4)+SUMIF('Deferred Revenue'!$E$6:$E$579,$A334,'Deferred Revenue'!$Q$6:$Q$579)</f>
        <v/>
      </c>
      <c r="E334" s="50">
        <f>C334+D334</f>
        <v/>
      </c>
      <c r="F334" s="49">
        <f>IF(ROUND(C334,2)+ROUND(D334,2)=0,"","yes")</f>
        <v/>
      </c>
      <c r="G334" s="58" t="n"/>
      <c r="H334" s="50">
        <f>IF($G334="","",$E334-$G334)</f>
        <v/>
      </c>
    </row>
    <row r="335">
      <c r="A335" s="57" t="inlineStr">
        <is>
          <t>2608404V</t>
        </is>
      </c>
      <c r="B335" s="57" t="inlineStr">
        <is>
          <t>St Vincents Public Hospital - Awards Night - 26.8.25</t>
        </is>
      </c>
      <c r="C335" s="50">
        <f>SUMIFS(tbl_WIP[Amount],tbl_WIP[Job Number],$A335,tbl_WIP[Month],"&lt;&gt;",tbl_WIP[Month],"&lt;"&amp;$C$4)+SUMIF('Deferred Revenue'!$E$6:$E$579,$A335,'Deferred Revenue'!$P$6:$P$579)</f>
        <v/>
      </c>
      <c r="D335" s="50">
        <f>SUMIFS(tbl_WIP[Amount],tbl_WIP[Job Number],$A335,tbl_WIP[Month],$C$4)+SUMIF('Deferred Revenue'!$E$6:$E$579,$A335,'Deferred Revenue'!$Q$6:$Q$579)</f>
        <v/>
      </c>
      <c r="E335" s="50">
        <f>C335+D335</f>
        <v/>
      </c>
      <c r="F335" s="49">
        <f>IF(ROUND(C335,2)+ROUND(D335,2)=0,"","yes")</f>
        <v/>
      </c>
      <c r="G335" s="58" t="n"/>
      <c r="H335" s="50">
        <f>IF($G335="","",$E335-$G335)</f>
        <v/>
      </c>
    </row>
    <row r="336">
      <c r="A336" s="57" t="inlineStr">
        <is>
          <t>2608604</t>
        </is>
      </c>
      <c r="B336" s="57" t="inlineStr">
        <is>
          <t>ASX - FYR Employee Town Hall - 13.8.26</t>
        </is>
      </c>
      <c r="C336" s="50">
        <f>SUMIFS(tbl_WIP[Amount],tbl_WIP[Job Number],$A336,tbl_WIP[Month],"&lt;&gt;",tbl_WIP[Month],"&lt;"&amp;$C$4)+SUMIF('Deferred Revenue'!$E$6:$E$579,$A336,'Deferred Revenue'!$P$6:$P$579)</f>
        <v/>
      </c>
      <c r="D336" s="50">
        <f>SUMIFS(tbl_WIP[Amount],tbl_WIP[Job Number],$A336,tbl_WIP[Month],$C$4)+SUMIF('Deferred Revenue'!$E$6:$E$579,$A336,'Deferred Revenue'!$Q$6:$Q$579)</f>
        <v/>
      </c>
      <c r="E336" s="50">
        <f>C336+D336</f>
        <v/>
      </c>
      <c r="F336" s="49">
        <f>IF(ROUND(C336,2)+ROUND(D336,2)=0,"","yes")</f>
        <v/>
      </c>
      <c r="G336" s="58" t="n"/>
      <c r="H336" s="50">
        <f>IF($G336="","",$E336-$G336)</f>
        <v/>
      </c>
    </row>
    <row r="337">
      <c r="A337" s="57" t="inlineStr">
        <is>
          <t>2608604V</t>
        </is>
      </c>
      <c r="B337" s="57" t="inlineStr">
        <is>
          <t>ASX - FYR Employee Town Hall - 13.8.26</t>
        </is>
      </c>
      <c r="C337" s="50">
        <f>SUMIFS(tbl_WIP[Amount],tbl_WIP[Job Number],$A337,tbl_WIP[Month],"&lt;&gt;",tbl_WIP[Month],"&lt;"&amp;$C$4)+SUMIF('Deferred Revenue'!$E$6:$E$579,$A337,'Deferred Revenue'!$P$6:$P$579)</f>
        <v/>
      </c>
      <c r="D337" s="50">
        <f>SUMIFS(tbl_WIP[Amount],tbl_WIP[Job Number],$A337,tbl_WIP[Month],$C$4)+SUMIF('Deferred Revenue'!$E$6:$E$579,$A337,'Deferred Revenue'!$Q$6:$Q$579)</f>
        <v/>
      </c>
      <c r="E337" s="50">
        <f>C337+D337</f>
        <v/>
      </c>
      <c r="F337" s="49">
        <f>IF(ROUND(C337,2)+ROUND(D337,2)=0,"","yes")</f>
        <v/>
      </c>
      <c r="G337" s="58" t="n"/>
      <c r="H337" s="50">
        <f>IF($G337="","",$E337-$G337)</f>
        <v/>
      </c>
    </row>
    <row r="338">
      <c r="A338" s="57" t="inlineStr">
        <is>
          <t>2608701</t>
        </is>
      </c>
      <c r="B338" s="57" t="inlineStr">
        <is>
          <t>Elkeim - Studio Support - 10.9.26</t>
        </is>
      </c>
      <c r="C338" s="50">
        <f>SUMIFS(tbl_WIP[Amount],tbl_WIP[Job Number],$A338,tbl_WIP[Month],"&lt;&gt;",tbl_WIP[Month],"&lt;"&amp;$C$4)+SUMIF('Deferred Revenue'!$E$6:$E$579,$A338,'Deferred Revenue'!$P$6:$P$579)</f>
        <v/>
      </c>
      <c r="D338" s="50">
        <f>SUMIFS(tbl_WIP[Amount],tbl_WIP[Job Number],$A338,tbl_WIP[Month],$C$4)+SUMIF('Deferred Revenue'!$E$6:$E$579,$A338,'Deferred Revenue'!$Q$6:$Q$579)</f>
        <v/>
      </c>
      <c r="E338" s="50">
        <f>C338+D338</f>
        <v/>
      </c>
      <c r="F338" s="49">
        <f>IF(ROUND(C338,2)+ROUND(D338,2)=0,"","yes")</f>
        <v/>
      </c>
      <c r="G338" s="58" t="n"/>
      <c r="H338" s="50">
        <f>IF($G338="","",$E338-$G338)</f>
        <v/>
      </c>
    </row>
    <row r="339">
      <c r="A339" s="57" t="inlineStr">
        <is>
          <t>2608702</t>
        </is>
      </c>
      <c r="B339" s="57" t="inlineStr">
        <is>
          <t>APA - Qtly All Hands SYD Screen Hire - 20.8.26</t>
        </is>
      </c>
      <c r="C339" s="50">
        <f>SUMIFS(tbl_WIP[Amount],tbl_WIP[Job Number],$A339,tbl_WIP[Month],"&lt;&gt;",tbl_WIP[Month],"&lt;"&amp;$C$4)+SUMIF('Deferred Revenue'!$E$6:$E$579,$A339,'Deferred Revenue'!$P$6:$P$579)</f>
        <v/>
      </c>
      <c r="D339" s="50">
        <f>SUMIFS(tbl_WIP[Amount],tbl_WIP[Job Number],$A339,tbl_WIP[Month],$C$4)+SUMIF('Deferred Revenue'!$E$6:$E$579,$A339,'Deferred Revenue'!$Q$6:$Q$579)</f>
        <v/>
      </c>
      <c r="E339" s="50">
        <f>C339+D339</f>
        <v/>
      </c>
      <c r="F339" s="49">
        <f>IF(ROUND(C339,2)+ROUND(D339,2)=0,"","yes")</f>
        <v/>
      </c>
      <c r="G339" s="58" t="n"/>
      <c r="H339" s="50">
        <f>IF($G339="","",$E339-$G339)</f>
        <v/>
      </c>
    </row>
    <row r="340">
      <c r="A340" s="57" t="inlineStr">
        <is>
          <t>26091002</t>
        </is>
      </c>
      <c r="B340" s="57" t="inlineStr">
        <is>
          <t>GP - Talking Philanthropy - Event Videography 18.9.26</t>
        </is>
      </c>
      <c r="C340" s="50">
        <f>SUMIFS(tbl_WIP[Amount],tbl_WIP[Job Number],$A340,tbl_WIP[Month],"&lt;&gt;",tbl_WIP[Month],"&lt;"&amp;$C$4)+SUMIF('Deferred Revenue'!$E$6:$E$579,$A340,'Deferred Revenue'!$P$6:$P$579)</f>
        <v/>
      </c>
      <c r="D340" s="50">
        <f>SUMIFS(tbl_WIP[Amount],tbl_WIP[Job Number],$A340,tbl_WIP[Month],$C$4)+SUMIF('Deferred Revenue'!$E$6:$E$579,$A340,'Deferred Revenue'!$Q$6:$Q$579)</f>
        <v/>
      </c>
      <c r="E340" s="50">
        <f>C340+D340</f>
        <v/>
      </c>
      <c r="F340" s="49">
        <f>IF(ROUND(C340,2)+ROUND(D340,2)=0,"","yes")</f>
        <v/>
      </c>
      <c r="G340" s="58" t="n"/>
      <c r="H340" s="50">
        <f>IF($G340="","",$E340-$G340)</f>
        <v/>
      </c>
    </row>
    <row r="341">
      <c r="A341" s="57" t="inlineStr">
        <is>
          <t>26091002V</t>
        </is>
      </c>
      <c r="B341" s="57" t="inlineStr">
        <is>
          <t>GP - Talking Philanthropy - Event Videography 18.9.26</t>
        </is>
      </c>
      <c r="C341" s="50">
        <f>SUMIFS(tbl_WIP[Amount],tbl_WIP[Job Number],$A341,tbl_WIP[Month],"&lt;&gt;",tbl_WIP[Month],"&lt;"&amp;$C$4)+SUMIF('Deferred Revenue'!$E$6:$E$579,$A341,'Deferred Revenue'!$P$6:$P$579)</f>
        <v/>
      </c>
      <c r="D341" s="50">
        <f>SUMIFS(tbl_WIP[Amount],tbl_WIP[Job Number],$A341,tbl_WIP[Month],$C$4)+SUMIF('Deferred Revenue'!$E$6:$E$579,$A341,'Deferred Revenue'!$Q$6:$Q$579)</f>
        <v/>
      </c>
      <c r="E341" s="50">
        <f>C341+D341</f>
        <v/>
      </c>
      <c r="F341" s="49">
        <f>IF(ROUND(C341,2)+ROUND(D341,2)=0,"","yes")</f>
        <v/>
      </c>
      <c r="G341" s="58" t="n"/>
      <c r="H341" s="50">
        <f>IF($G341="","",$E341-$G341)</f>
        <v/>
      </c>
    </row>
    <row r="342">
      <c r="A342" s="57" t="inlineStr">
        <is>
          <t>26091601</t>
        </is>
      </c>
      <c r="B342" s="57" t="inlineStr">
        <is>
          <t>Automic - September All Hands - 25.9.26</t>
        </is>
      </c>
      <c r="C342" s="50">
        <f>SUMIFS(tbl_WIP[Amount],tbl_WIP[Job Number],$A342,tbl_WIP[Month],"&lt;&gt;",tbl_WIP[Month],"&lt;"&amp;$C$4)+SUMIF('Deferred Revenue'!$E$6:$E$579,$A342,'Deferred Revenue'!$P$6:$P$579)</f>
        <v/>
      </c>
      <c r="D342" s="50">
        <f>SUMIFS(tbl_WIP[Amount],tbl_WIP[Job Number],$A342,tbl_WIP[Month],$C$4)+SUMIF('Deferred Revenue'!$E$6:$E$579,$A342,'Deferred Revenue'!$Q$6:$Q$579)</f>
        <v/>
      </c>
      <c r="E342" s="50">
        <f>C342+D342</f>
        <v/>
      </c>
      <c r="F342" s="49">
        <f>IF(ROUND(C342,2)+ROUND(D342,2)=0,"","yes")</f>
        <v/>
      </c>
      <c r="G342" s="58" t="n"/>
      <c r="H342" s="50">
        <f>IF($G342="","",$E342-$G342)</f>
        <v/>
      </c>
    </row>
    <row r="343">
      <c r="A343" s="57" t="inlineStr">
        <is>
          <t>26091601V</t>
        </is>
      </c>
      <c r="B343" s="57" t="inlineStr">
        <is>
          <t>Automic - September All Hands - 25.9.26</t>
        </is>
      </c>
      <c r="C343" s="50">
        <f>SUMIFS(tbl_WIP[Amount],tbl_WIP[Job Number],$A343,tbl_WIP[Month],"&lt;&gt;",tbl_WIP[Month],"&lt;"&amp;$C$4)+SUMIF('Deferred Revenue'!$E$6:$E$579,$A343,'Deferred Revenue'!$P$6:$P$579)</f>
        <v/>
      </c>
      <c r="D343" s="50">
        <f>SUMIFS(tbl_WIP[Amount],tbl_WIP[Job Number],$A343,tbl_WIP[Month],$C$4)+SUMIF('Deferred Revenue'!$E$6:$E$579,$A343,'Deferred Revenue'!$Q$6:$Q$579)</f>
        <v/>
      </c>
      <c r="E343" s="50">
        <f>C343+D343</f>
        <v/>
      </c>
      <c r="F343" s="49">
        <f>IF(ROUND(C343,2)+ROUND(D343,2)=0,"","yes")</f>
        <v/>
      </c>
      <c r="G343" s="58" t="n"/>
      <c r="H343" s="50">
        <f>IF($G343="","",$E343-$G343)</f>
        <v/>
      </c>
    </row>
    <row r="344">
      <c r="A344" s="57" t="inlineStr">
        <is>
          <t>26091604</t>
        </is>
      </c>
      <c r="B344" s="57" t="inlineStr">
        <is>
          <t>The George Institute - SYD CV Symposium - 29-30.10.26</t>
        </is>
      </c>
      <c r="C344" s="50">
        <f>SUMIFS(tbl_WIP[Amount],tbl_WIP[Job Number],$A344,tbl_WIP[Month],"&lt;&gt;",tbl_WIP[Month],"&lt;"&amp;$C$4)+SUMIF('Deferred Revenue'!$E$6:$E$579,$A344,'Deferred Revenue'!$P$6:$P$579)</f>
        <v/>
      </c>
      <c r="D344" s="50">
        <f>SUMIFS(tbl_WIP[Amount],tbl_WIP[Job Number],$A344,tbl_WIP[Month],$C$4)+SUMIF('Deferred Revenue'!$E$6:$E$579,$A344,'Deferred Revenue'!$Q$6:$Q$579)</f>
        <v/>
      </c>
      <c r="E344" s="50">
        <f>C344+D344</f>
        <v/>
      </c>
      <c r="F344" s="49">
        <f>IF(ROUND(C344,2)+ROUND(D344,2)=0,"","yes")</f>
        <v/>
      </c>
      <c r="G344" s="58" t="n"/>
      <c r="H344" s="50">
        <f>IF($G344="","",$E344-$G344)</f>
        <v/>
      </c>
    </row>
    <row r="345">
      <c r="A345" s="57" t="inlineStr">
        <is>
          <t>26091604V</t>
        </is>
      </c>
      <c r="B345" s="57" t="inlineStr">
        <is>
          <t>The George Institute - SYD CV Symposium - 29-30.10.26</t>
        </is>
      </c>
      <c r="C345" s="50">
        <f>SUMIFS(tbl_WIP[Amount],tbl_WIP[Job Number],$A345,tbl_WIP[Month],"&lt;&gt;",tbl_WIP[Month],"&lt;"&amp;$C$4)+SUMIF('Deferred Revenue'!$E$6:$E$579,$A345,'Deferred Revenue'!$P$6:$P$579)</f>
        <v/>
      </c>
      <c r="D345" s="50">
        <f>SUMIFS(tbl_WIP[Amount],tbl_WIP[Job Number],$A345,tbl_WIP[Month],$C$4)+SUMIF('Deferred Revenue'!$E$6:$E$579,$A345,'Deferred Revenue'!$Q$6:$Q$579)</f>
        <v/>
      </c>
      <c r="E345" s="50">
        <f>C345+D345</f>
        <v/>
      </c>
      <c r="F345" s="49">
        <f>IF(ROUND(C345,2)+ROUND(D345,2)=0,"","yes")</f>
        <v/>
      </c>
      <c r="G345" s="58" t="n"/>
      <c r="H345" s="50">
        <f>IF($G345="","",$E345-$G345)</f>
        <v/>
      </c>
    </row>
    <row r="346">
      <c r="A346" s="57" t="inlineStr">
        <is>
          <t>2609402</t>
        </is>
      </c>
      <c r="B346" s="57" t="inlineStr">
        <is>
          <t>MUFG - SUN Investor Day - 29.10.26</t>
        </is>
      </c>
      <c r="C346" s="50">
        <f>SUMIFS(tbl_WIP[Amount],tbl_WIP[Job Number],$A346,tbl_WIP[Month],"&lt;&gt;",tbl_WIP[Month],"&lt;"&amp;$C$4)+SUMIF('Deferred Revenue'!$E$6:$E$579,$A346,'Deferred Revenue'!$P$6:$P$579)</f>
        <v/>
      </c>
      <c r="D346" s="50">
        <f>SUMIFS(tbl_WIP[Amount],tbl_WIP[Job Number],$A346,tbl_WIP[Month],$C$4)+SUMIF('Deferred Revenue'!$E$6:$E$579,$A346,'Deferred Revenue'!$Q$6:$Q$579)</f>
        <v/>
      </c>
      <c r="E346" s="50">
        <f>C346+D346</f>
        <v/>
      </c>
      <c r="F346" s="49">
        <f>IF(ROUND(C346,2)+ROUND(D346,2)=0,"","yes")</f>
        <v/>
      </c>
      <c r="G346" s="58" t="n"/>
      <c r="H346" s="50">
        <f>IF($G346="","",$E346-$G346)</f>
        <v/>
      </c>
    </row>
    <row r="347">
      <c r="A347" s="57" t="inlineStr">
        <is>
          <t>2609402V</t>
        </is>
      </c>
      <c r="B347" s="57" t="inlineStr">
        <is>
          <t>MUFG - SUN Investor Day - 29.10.26</t>
        </is>
      </c>
      <c r="C347" s="50">
        <f>SUMIFS(tbl_WIP[Amount],tbl_WIP[Job Number],$A347,tbl_WIP[Month],"&lt;&gt;",tbl_WIP[Month],"&lt;"&amp;$C$4)+SUMIF('Deferred Revenue'!$E$6:$E$579,$A347,'Deferred Revenue'!$P$6:$P$579)</f>
        <v/>
      </c>
      <c r="D347" s="50">
        <f>SUMIFS(tbl_WIP[Amount],tbl_WIP[Job Number],$A347,tbl_WIP[Month],$C$4)+SUMIF('Deferred Revenue'!$E$6:$E$579,$A347,'Deferred Revenue'!$Q$6:$Q$579)</f>
        <v/>
      </c>
      <c r="E347" s="50">
        <f>C347+D347</f>
        <v/>
      </c>
      <c r="F347" s="49">
        <f>IF(ROUND(C347,2)+ROUND(D347,2)=0,"","yes")</f>
        <v/>
      </c>
      <c r="G347" s="58" t="n"/>
      <c r="H347" s="50">
        <f>IF($G347="","",$E347-$G347)</f>
        <v/>
      </c>
    </row>
    <row r="348">
      <c r="A348" s="57" t="inlineStr">
        <is>
          <t>2609801</t>
        </is>
      </c>
      <c r="B348" s="57" t="inlineStr">
        <is>
          <t>Elkiem - Studio Support - 16.9.26</t>
        </is>
      </c>
      <c r="C348" s="50">
        <f>SUMIFS(tbl_WIP[Amount],tbl_WIP[Job Number],$A348,tbl_WIP[Month],"&lt;&gt;",tbl_WIP[Month],"&lt;"&amp;$C$4)+SUMIF('Deferred Revenue'!$E$6:$E$579,$A348,'Deferred Revenue'!$P$6:$P$579)</f>
        <v/>
      </c>
      <c r="D348" s="50">
        <f>SUMIFS(tbl_WIP[Amount],tbl_WIP[Job Number],$A348,tbl_WIP[Month],$C$4)+SUMIF('Deferred Revenue'!$E$6:$E$579,$A348,'Deferred Revenue'!$Q$6:$Q$579)</f>
        <v/>
      </c>
      <c r="E348" s="50">
        <f>C348+D348</f>
        <v/>
      </c>
      <c r="F348" s="49">
        <f>IF(ROUND(C348,2)+ROUND(D348,2)=0,"","yes")</f>
        <v/>
      </c>
      <c r="G348" s="58" t="n"/>
      <c r="H348" s="50">
        <f>IF($G348="","",$E348-$G348)</f>
        <v/>
      </c>
    </row>
    <row r="349">
      <c r="A349" s="57" t="inlineStr">
        <is>
          <t>2645</t>
        </is>
      </c>
      <c r="B349" s="57" t="inlineStr">
        <is>
          <t>EY SYD Tech Support</t>
        </is>
      </c>
      <c r="C349" s="50">
        <f>SUMIFS(tbl_WIP[Amount],tbl_WIP[Job Number],$A349,tbl_WIP[Month],"&lt;&gt;",tbl_WIP[Month],"&lt;"&amp;$C$4)+SUMIF('Deferred Revenue'!$E$6:$E$579,$A349,'Deferred Revenue'!$P$6:$P$579)</f>
        <v/>
      </c>
      <c r="D349" s="50">
        <f>SUMIFS(tbl_WIP[Amount],tbl_WIP[Job Number],$A349,tbl_WIP[Month],$C$4)+SUMIF('Deferred Revenue'!$E$6:$E$579,$A349,'Deferred Revenue'!$Q$6:$Q$579)</f>
        <v/>
      </c>
      <c r="E349" s="50">
        <f>C349+D349</f>
        <v/>
      </c>
      <c r="F349" s="49">
        <f>IF(ROUND(C349,2)+ROUND(D349,2)=0,"","yes")</f>
        <v/>
      </c>
      <c r="G349" s="58" t="n"/>
      <c r="H349" s="50">
        <f>IF($G349="","",$E349-$G349)</f>
        <v/>
      </c>
    </row>
    <row r="350">
      <c r="A350" s="57" t="inlineStr">
        <is>
          <t>2648</t>
        </is>
      </c>
      <c r="B350" s="57" t="inlineStr">
        <is>
          <t>DTTL MEL Additional Tech</t>
        </is>
      </c>
      <c r="C350" s="50">
        <f>SUMIFS(tbl_WIP[Amount],tbl_WIP[Job Number],$A350,tbl_WIP[Month],"&lt;&gt;",tbl_WIP[Month],"&lt;"&amp;$C$4)+SUMIF('Deferred Revenue'!$E$6:$E$579,$A350,'Deferred Revenue'!$P$6:$P$579)</f>
        <v/>
      </c>
      <c r="D350" s="50">
        <f>SUMIFS(tbl_WIP[Amount],tbl_WIP[Job Number],$A350,tbl_WIP[Month],$C$4)+SUMIF('Deferred Revenue'!$E$6:$E$579,$A350,'Deferred Revenue'!$Q$6:$Q$579)</f>
        <v/>
      </c>
      <c r="E350" s="50">
        <f>C350+D350</f>
        <v/>
      </c>
      <c r="F350" s="49">
        <f>IF(ROUND(C350,2)+ROUND(D350,2)=0,"","yes")</f>
        <v/>
      </c>
      <c r="G350" s="58" t="n"/>
      <c r="H350" s="50">
        <f>IF($G350="","",$E350-$G350)</f>
        <v/>
      </c>
    </row>
    <row r="351">
      <c r="A351" s="57" t="inlineStr">
        <is>
          <t>2658</t>
        </is>
      </c>
      <c r="B351" s="57" t="inlineStr">
        <is>
          <t>EY MELB Tech</t>
        </is>
      </c>
      <c r="C351" s="50">
        <f>SUMIFS(tbl_WIP[Amount],tbl_WIP[Job Number],$A351,tbl_WIP[Month],"&lt;&gt;",tbl_WIP[Month],"&lt;"&amp;$C$4)+SUMIF('Deferred Revenue'!$E$6:$E$579,$A351,'Deferred Revenue'!$P$6:$P$579)</f>
        <v/>
      </c>
      <c r="D351" s="50">
        <f>SUMIFS(tbl_WIP[Amount],tbl_WIP[Job Number],$A351,tbl_WIP[Month],$C$4)+SUMIF('Deferred Revenue'!$E$6:$E$579,$A351,'Deferred Revenue'!$Q$6:$Q$579)</f>
        <v/>
      </c>
      <c r="E351" s="50">
        <f>C351+D351</f>
        <v/>
      </c>
      <c r="F351" s="49">
        <f>IF(ROUND(C351,2)+ROUND(D351,2)=0,"","yes")</f>
        <v/>
      </c>
      <c r="G351" s="58" t="n"/>
      <c r="H351" s="50">
        <f>IF($G351="","",$E351-$G351)</f>
        <v/>
      </c>
    </row>
    <row r="352">
      <c r="A352" s="57" t="inlineStr">
        <is>
          <t>2675</t>
        </is>
      </c>
      <c r="B352" s="57" t="inlineStr">
        <is>
          <t>ONS EY (non-chargeable)</t>
        </is>
      </c>
      <c r="C352" s="50">
        <f>SUMIFS(tbl_WIP[Amount],tbl_WIP[Job Number],$A352,tbl_WIP[Month],"&lt;&gt;",tbl_WIP[Month],"&lt;"&amp;$C$4)+SUMIF('Deferred Revenue'!$E$6:$E$579,$A352,'Deferred Revenue'!$P$6:$P$579)</f>
        <v/>
      </c>
      <c r="D352" s="50">
        <f>SUMIFS(tbl_WIP[Amount],tbl_WIP[Job Number],$A352,tbl_WIP[Month],$C$4)+SUMIF('Deferred Revenue'!$E$6:$E$579,$A352,'Deferred Revenue'!$Q$6:$Q$579)</f>
        <v/>
      </c>
      <c r="E352" s="50">
        <f>C352+D352</f>
        <v/>
      </c>
      <c r="F352" s="49">
        <f>IF(ROUND(C352,2)+ROUND(D352,2)=0,"","yes")</f>
        <v/>
      </c>
      <c r="G352" s="58" t="n"/>
      <c r="H352" s="50">
        <f>IF($G352="","",$E352-$G352)</f>
        <v/>
      </c>
    </row>
    <row r="353">
      <c r="A353" s="57" t="inlineStr">
        <is>
          <t>2685</t>
        </is>
      </c>
      <c r="B353" s="57" t="inlineStr">
        <is>
          <t>APA Proxyclick BNE &amp; DRW</t>
        </is>
      </c>
      <c r="C353" s="50">
        <f>SUMIFS(tbl_WIP[Amount],tbl_WIP[Job Number],$A353,tbl_WIP[Month],"&lt;&gt;",tbl_WIP[Month],"&lt;"&amp;$C$4)+SUMIF('Deferred Revenue'!$E$6:$E$579,$A353,'Deferred Revenue'!$P$6:$P$579)</f>
        <v/>
      </c>
      <c r="D353" s="50">
        <f>SUMIFS(tbl_WIP[Amount],tbl_WIP[Job Number],$A353,tbl_WIP[Month],$C$4)+SUMIF('Deferred Revenue'!$E$6:$E$579,$A353,'Deferred Revenue'!$Q$6:$Q$579)</f>
        <v/>
      </c>
      <c r="E353" s="50">
        <f>C353+D353</f>
        <v/>
      </c>
      <c r="F353" s="49">
        <f>IF(ROUND(C353,2)+ROUND(D353,2)=0,"","yes")</f>
        <v/>
      </c>
      <c r="G353" s="58" t="n"/>
      <c r="H353" s="50">
        <f>IF($G353="","",$E353-$G353)</f>
        <v/>
      </c>
    </row>
    <row r="354">
      <c r="A354" s="57" t="inlineStr">
        <is>
          <t>2706</t>
        </is>
      </c>
      <c r="B354" s="57" t="inlineStr">
        <is>
          <t>EPA 6PSQ Proxyclick VMS</t>
        </is>
      </c>
      <c r="C354" s="50">
        <f>SUMIFS(tbl_WIP[Amount],tbl_WIP[Job Number],$A354,tbl_WIP[Month],"&lt;&gt;",tbl_WIP[Month],"&lt;"&amp;$C$4)+SUMIF('Deferred Revenue'!$E$6:$E$579,$A354,'Deferred Revenue'!$P$6:$P$579)</f>
        <v/>
      </c>
      <c r="D354" s="50">
        <f>SUMIFS(tbl_WIP[Amount],tbl_WIP[Job Number],$A354,tbl_WIP[Month],$C$4)+SUMIF('Deferred Revenue'!$E$6:$E$579,$A354,'Deferred Revenue'!$Q$6:$Q$579)</f>
        <v/>
      </c>
      <c r="E354" s="50">
        <f>C354+D354</f>
        <v/>
      </c>
      <c r="F354" s="49">
        <f>IF(ROUND(C354,2)+ROUND(D354,2)=0,"","yes")</f>
        <v/>
      </c>
      <c r="G354" s="58" t="n"/>
      <c r="H354" s="50">
        <f>IF($G354="","",$E354-$G354)</f>
        <v/>
      </c>
    </row>
    <row r="355">
      <c r="A355" s="57" t="inlineStr">
        <is>
          <t>2719</t>
        </is>
      </c>
      <c r="B355" s="57" t="inlineStr">
        <is>
          <t>GSP - 6PSQProxyclickOnb</t>
        </is>
      </c>
      <c r="C355" s="50">
        <f>SUMIFS(tbl_WIP[Amount],tbl_WIP[Job Number],$A355,tbl_WIP[Month],"&lt;&gt;",tbl_WIP[Month],"&lt;"&amp;$C$4)+SUMIF('Deferred Revenue'!$E$6:$E$579,$A355,'Deferred Revenue'!$P$6:$P$579)</f>
        <v/>
      </c>
      <c r="D355" s="50">
        <f>SUMIFS(tbl_WIP[Amount],tbl_WIP[Job Number],$A355,tbl_WIP[Month],$C$4)+SUMIF('Deferred Revenue'!$E$6:$E$579,$A355,'Deferred Revenue'!$Q$6:$Q$579)</f>
        <v/>
      </c>
      <c r="E355" s="50">
        <f>C355+D355</f>
        <v/>
      </c>
      <c r="F355" s="49">
        <f>IF(ROUND(C355,2)+ROUND(D355,2)=0,"","yes")</f>
        <v/>
      </c>
      <c r="G355" s="58" t="n"/>
      <c r="H355" s="50">
        <f>IF($G355="","",$E355-$G355)</f>
        <v/>
      </c>
    </row>
    <row r="356">
      <c r="A356" s="57" t="inlineStr">
        <is>
          <t>2722</t>
        </is>
      </c>
      <c r="B356" s="57" t="inlineStr">
        <is>
          <t>PWC Monthly Consulting</t>
        </is>
      </c>
      <c r="C356" s="50">
        <f>SUMIFS(tbl_WIP[Amount],tbl_WIP[Job Number],$A356,tbl_WIP[Month],"&lt;&gt;",tbl_WIP[Month],"&lt;"&amp;$C$4)+SUMIF('Deferred Revenue'!$E$6:$E$579,$A356,'Deferred Revenue'!$P$6:$P$579)</f>
        <v/>
      </c>
      <c r="D356" s="50">
        <f>SUMIFS(tbl_WIP[Amount],tbl_WIP[Job Number],$A356,tbl_WIP[Month],$C$4)+SUMIF('Deferred Revenue'!$E$6:$E$579,$A356,'Deferred Revenue'!$Q$6:$Q$579)</f>
        <v/>
      </c>
      <c r="E356" s="50">
        <f>C356+D356</f>
        <v/>
      </c>
      <c r="F356" s="49">
        <f>IF(ROUND(C356,2)+ROUND(D356,2)=0,"","yes")</f>
        <v/>
      </c>
      <c r="G356" s="58" t="n"/>
      <c r="H356" s="50">
        <f>IF($G356="","",$E356-$G356)</f>
        <v/>
      </c>
    </row>
    <row r="357">
      <c r="A357" s="57" t="inlineStr">
        <is>
          <t>2726</t>
        </is>
      </c>
      <c r="B357" s="57" t="inlineStr">
        <is>
          <t>KPMG MEL Tech</t>
        </is>
      </c>
      <c r="C357" s="50">
        <f>SUMIFS(tbl_WIP[Amount],tbl_WIP[Job Number],$A357,tbl_WIP[Month],"&lt;&gt;",tbl_WIP[Month],"&lt;"&amp;$C$4)+SUMIF('Deferred Revenue'!$E$6:$E$579,$A357,'Deferred Revenue'!$P$6:$P$579)</f>
        <v/>
      </c>
      <c r="D357" s="50">
        <f>SUMIFS(tbl_WIP[Amount],tbl_WIP[Job Number],$A357,tbl_WIP[Month],$C$4)+SUMIF('Deferred Revenue'!$E$6:$E$579,$A357,'Deferred Revenue'!$Q$6:$Q$579)</f>
        <v/>
      </c>
      <c r="E357" s="50">
        <f>C357+D357</f>
        <v/>
      </c>
      <c r="F357" s="49">
        <f>IF(ROUND(C357,2)+ROUND(D357,2)=0,"","yes")</f>
        <v/>
      </c>
      <c r="G357" s="58" t="n"/>
      <c r="H357" s="50">
        <f>IF($G357="","",$E357-$G357)</f>
        <v/>
      </c>
    </row>
    <row r="358">
      <c r="A358" s="57" t="inlineStr">
        <is>
          <t>2756</t>
        </is>
      </c>
      <c r="B358" s="57" t="inlineStr">
        <is>
          <t>CTS Mgmt Meetings</t>
        </is>
      </c>
      <c r="C358" s="50">
        <f>SUMIFS(tbl_WIP[Amount],tbl_WIP[Job Number],$A358,tbl_WIP[Month],"&lt;&gt;",tbl_WIP[Month],"&lt;"&amp;$C$4)+SUMIF('Deferred Revenue'!$E$6:$E$579,$A358,'Deferred Revenue'!$P$6:$P$579)</f>
        <v/>
      </c>
      <c r="D358" s="50">
        <f>SUMIFS(tbl_WIP[Amount],tbl_WIP[Job Number],$A358,tbl_WIP[Month],$C$4)+SUMIF('Deferred Revenue'!$E$6:$E$579,$A358,'Deferred Revenue'!$Q$6:$Q$579)</f>
        <v/>
      </c>
      <c r="E358" s="50">
        <f>C358+D358</f>
        <v/>
      </c>
      <c r="F358" s="49">
        <f>IF(ROUND(C358,2)+ROUND(D358,2)=0,"","yes")</f>
        <v/>
      </c>
      <c r="G358" s="58" t="n"/>
      <c r="H358" s="50">
        <f>IF($G358="","",$E358-$G358)</f>
        <v/>
      </c>
    </row>
    <row r="359">
      <c r="A359" s="57" t="inlineStr">
        <is>
          <t>2834</t>
        </is>
      </c>
      <c r="B359" s="57" t="inlineStr">
        <is>
          <t>APA Young - Visitor Mgmt</t>
        </is>
      </c>
      <c r="C359" s="50">
        <f>SUMIFS(tbl_WIP[Amount],tbl_WIP[Job Number],$A359,tbl_WIP[Month],"&lt;&gt;",tbl_WIP[Month],"&lt;"&amp;$C$4)+SUMIF('Deferred Revenue'!$E$6:$E$579,$A359,'Deferred Revenue'!$P$6:$P$579)</f>
        <v/>
      </c>
      <c r="D359" s="50">
        <f>SUMIFS(tbl_WIP[Amount],tbl_WIP[Job Number],$A359,tbl_WIP[Month],$C$4)+SUMIF('Deferred Revenue'!$E$6:$E$579,$A359,'Deferred Revenue'!$Q$6:$Q$579)</f>
        <v/>
      </c>
      <c r="E359" s="50">
        <f>C359+D359</f>
        <v/>
      </c>
      <c r="F359" s="49">
        <f>IF(ROUND(C359,2)+ROUND(D359,2)=0,"","yes")</f>
        <v/>
      </c>
      <c r="G359" s="58" t="n"/>
      <c r="H359" s="50">
        <f>IF($G359="","",$E359-$G359)</f>
        <v/>
      </c>
    </row>
    <row r="360">
      <c r="A360" s="57" t="inlineStr">
        <is>
          <t>2838</t>
        </is>
      </c>
      <c r="B360" s="57" t="inlineStr">
        <is>
          <t>KPMG SYD Tech</t>
        </is>
      </c>
      <c r="C360" s="50">
        <f>SUMIFS(tbl_WIP[Amount],tbl_WIP[Job Number],$A360,tbl_WIP[Month],"&lt;&gt;",tbl_WIP[Month],"&lt;"&amp;$C$4)+SUMIF('Deferred Revenue'!$E$6:$E$579,$A360,'Deferred Revenue'!$P$6:$P$579)</f>
        <v/>
      </c>
      <c r="D360" s="50">
        <f>SUMIFS(tbl_WIP[Amount],tbl_WIP[Job Number],$A360,tbl_WIP[Month],$C$4)+SUMIF('Deferred Revenue'!$E$6:$E$579,$A360,'Deferred Revenue'!$Q$6:$Q$579)</f>
        <v/>
      </c>
      <c r="E360" s="50">
        <f>C360+D360</f>
        <v/>
      </c>
      <c r="F360" s="49">
        <f>IF(ROUND(C360,2)+ROUND(D360,2)=0,"","yes")</f>
        <v/>
      </c>
      <c r="G360" s="58" t="n"/>
      <c r="H360" s="50">
        <f>IF($G360="","",$E360-$G360)</f>
        <v/>
      </c>
    </row>
    <row r="361">
      <c r="A361" s="57" t="inlineStr">
        <is>
          <t>2846</t>
        </is>
      </c>
      <c r="B361" s="57" t="inlineStr">
        <is>
          <t>DTTL National STL</t>
        </is>
      </c>
      <c r="C361" s="50">
        <f>SUMIFS(tbl_WIP[Amount],tbl_WIP[Job Number],$A361,tbl_WIP[Month],"&lt;&gt;",tbl_WIP[Month],"&lt;"&amp;$C$4)+SUMIF('Deferred Revenue'!$E$6:$E$579,$A361,'Deferred Revenue'!$P$6:$P$579)</f>
        <v/>
      </c>
      <c r="D361" s="50">
        <f>SUMIFS(tbl_WIP[Amount],tbl_WIP[Job Number],$A361,tbl_WIP[Month],$C$4)+SUMIF('Deferred Revenue'!$E$6:$E$579,$A361,'Deferred Revenue'!$Q$6:$Q$579)</f>
        <v/>
      </c>
      <c r="E361" s="50">
        <f>C361+D361</f>
        <v/>
      </c>
      <c r="F361" s="49">
        <f>IF(ROUND(C361,2)+ROUND(D361,2)=0,"","yes")</f>
        <v/>
      </c>
      <c r="G361" s="58" t="n"/>
      <c r="H361" s="50">
        <f>IF($G361="","",$E361-$G361)</f>
        <v/>
      </c>
    </row>
    <row r="362">
      <c r="A362" s="57" t="inlineStr">
        <is>
          <t>2848</t>
        </is>
      </c>
      <c r="B362" s="57" t="inlineStr">
        <is>
          <t>APA ADL Visitor Mgmt</t>
        </is>
      </c>
      <c r="C362" s="50">
        <f>SUMIFS(tbl_WIP[Amount],tbl_WIP[Job Number],$A362,tbl_WIP[Month],"&lt;&gt;",tbl_WIP[Month],"&lt;"&amp;$C$4)+SUMIF('Deferred Revenue'!$E$6:$E$579,$A362,'Deferred Revenue'!$P$6:$P$579)</f>
        <v/>
      </c>
      <c r="D362" s="50">
        <f>SUMIFS(tbl_WIP[Amount],tbl_WIP[Job Number],$A362,tbl_WIP[Month],$C$4)+SUMIF('Deferred Revenue'!$E$6:$E$579,$A362,'Deferred Revenue'!$Q$6:$Q$579)</f>
        <v/>
      </c>
      <c r="E362" s="50">
        <f>C362+D362</f>
        <v/>
      </c>
      <c r="F362" s="49">
        <f>IF(ROUND(C362,2)+ROUND(D362,2)=0,"","yes")</f>
        <v/>
      </c>
      <c r="G362" s="58" t="n"/>
      <c r="H362" s="50">
        <f>IF($G362="","",$E362-$G362)</f>
        <v/>
      </c>
    </row>
    <row r="363">
      <c r="A363" s="57" t="inlineStr">
        <is>
          <t>2849</t>
        </is>
      </c>
      <c r="B363" s="57" t="inlineStr">
        <is>
          <t>DTTL SYD Internal</t>
        </is>
      </c>
      <c r="C363" s="50">
        <f>SUMIFS(tbl_WIP[Amount],tbl_WIP[Job Number],$A363,tbl_WIP[Month],"&lt;&gt;",tbl_WIP[Month],"&lt;"&amp;$C$4)+SUMIF('Deferred Revenue'!$E$6:$E$579,$A363,'Deferred Revenue'!$P$6:$P$579)</f>
        <v/>
      </c>
      <c r="D363" s="50">
        <f>SUMIFS(tbl_WIP[Amount],tbl_WIP[Job Number],$A363,tbl_WIP[Month],$C$4)+SUMIF('Deferred Revenue'!$E$6:$E$579,$A363,'Deferred Revenue'!$Q$6:$Q$579)</f>
        <v/>
      </c>
      <c r="E363" s="50">
        <f>C363+D363</f>
        <v/>
      </c>
      <c r="F363" s="49">
        <f>IF(ROUND(C363,2)+ROUND(D363,2)=0,"","yes")</f>
        <v/>
      </c>
      <c r="G363" s="58" t="n"/>
      <c r="H363" s="50">
        <f>IF($G363="","",$E363-$G363)</f>
        <v/>
      </c>
    </row>
    <row r="364">
      <c r="A364" s="57" t="inlineStr">
        <is>
          <t>2855</t>
        </is>
      </c>
      <c r="B364" s="57" t="inlineStr">
        <is>
          <t>APA Melbourne VMS</t>
        </is>
      </c>
      <c r="C364" s="50">
        <f>SUMIFS(tbl_WIP[Amount],tbl_WIP[Job Number],$A364,tbl_WIP[Month],"&lt;&gt;",tbl_WIP[Month],"&lt;"&amp;$C$4)+SUMIF('Deferred Revenue'!$E$6:$E$579,$A364,'Deferred Revenue'!$P$6:$P$579)</f>
        <v/>
      </c>
      <c r="D364" s="50">
        <f>SUMIFS(tbl_WIP[Amount],tbl_WIP[Job Number],$A364,tbl_WIP[Month],$C$4)+SUMIF('Deferred Revenue'!$E$6:$E$579,$A364,'Deferred Revenue'!$Q$6:$Q$579)</f>
        <v/>
      </c>
      <c r="E364" s="50">
        <f>C364+D364</f>
        <v/>
      </c>
      <c r="F364" s="49">
        <f>IF(ROUND(C364,2)+ROUND(D364,2)=0,"","yes")</f>
        <v/>
      </c>
      <c r="G364" s="58" t="n"/>
      <c r="H364" s="50">
        <f>IF($G364="","",$E364-$G364)</f>
        <v/>
      </c>
    </row>
    <row r="365">
      <c r="A365" s="57" t="inlineStr">
        <is>
          <t>2857</t>
        </is>
      </c>
      <c r="B365" s="57" t="inlineStr">
        <is>
          <t>APA Sydney Visitor Mgmt</t>
        </is>
      </c>
      <c r="C365" s="50">
        <f>SUMIFS(tbl_WIP[Amount],tbl_WIP[Job Number],$A365,tbl_WIP[Month],"&lt;&gt;",tbl_WIP[Month],"&lt;"&amp;$C$4)+SUMIF('Deferred Revenue'!$E$6:$E$579,$A365,'Deferred Revenue'!$P$6:$P$579)</f>
        <v/>
      </c>
      <c r="D365" s="50">
        <f>SUMIFS(tbl_WIP[Amount],tbl_WIP[Job Number],$A365,tbl_WIP[Month],$C$4)+SUMIF('Deferred Revenue'!$E$6:$E$579,$A365,'Deferred Revenue'!$Q$6:$Q$579)</f>
        <v/>
      </c>
      <c r="E365" s="50">
        <f>C365+D365</f>
        <v/>
      </c>
      <c r="F365" s="49">
        <f>IF(ROUND(C365,2)+ROUND(D365,2)=0,"","yes")</f>
        <v/>
      </c>
      <c r="G365" s="58" t="n"/>
      <c r="H365" s="50">
        <f>IF($G365="","",$E365-$G365)</f>
        <v/>
      </c>
    </row>
    <row r="366">
      <c r="A366" s="57" t="inlineStr">
        <is>
          <t>2877</t>
        </is>
      </c>
      <c r="B366" s="57" t="inlineStr">
        <is>
          <t>DEWR Maintenance Ext</t>
        </is>
      </c>
      <c r="C366" s="50">
        <f>SUMIFS(tbl_WIP[Amount],tbl_WIP[Job Number],$A366,tbl_WIP[Month],"&lt;&gt;",tbl_WIP[Month],"&lt;"&amp;$C$4)+SUMIF('Deferred Revenue'!$E$6:$E$579,$A366,'Deferred Revenue'!$P$6:$P$579)</f>
        <v/>
      </c>
      <c r="D366" s="50">
        <f>SUMIFS(tbl_WIP[Amount],tbl_WIP[Job Number],$A366,tbl_WIP[Month],$C$4)+SUMIF('Deferred Revenue'!$E$6:$E$579,$A366,'Deferred Revenue'!$Q$6:$Q$579)</f>
        <v/>
      </c>
      <c r="E366" s="50">
        <f>C366+D366</f>
        <v/>
      </c>
      <c r="F366" s="49">
        <f>IF(ROUND(C366,2)+ROUND(D366,2)=0,"","yes")</f>
        <v/>
      </c>
      <c r="G366" s="58" t="n"/>
      <c r="H366" s="50">
        <f>IF($G366="","",$E366-$G366)</f>
        <v/>
      </c>
    </row>
    <row r="367">
      <c r="A367" s="57" t="inlineStr">
        <is>
          <t>2879</t>
        </is>
      </c>
      <c r="B367" s="57" t="inlineStr">
        <is>
          <t>ONS Ricoh-QANTAS (non-chgble)</t>
        </is>
      </c>
      <c r="C367" s="50">
        <f>SUMIFS(tbl_WIP[Amount],tbl_WIP[Job Number],$A367,tbl_WIP[Month],"&lt;&gt;",tbl_WIP[Month],"&lt;"&amp;$C$4)+SUMIF('Deferred Revenue'!$E$6:$E$579,$A367,'Deferred Revenue'!$P$6:$P$579)</f>
        <v/>
      </c>
      <c r="D367" s="50">
        <f>SUMIFS(tbl_WIP[Amount],tbl_WIP[Job Number],$A367,tbl_WIP[Month],$C$4)+SUMIF('Deferred Revenue'!$E$6:$E$579,$A367,'Deferred Revenue'!$Q$6:$Q$579)</f>
        <v/>
      </c>
      <c r="E367" s="50">
        <f>C367+D367</f>
        <v/>
      </c>
      <c r="F367" s="49">
        <f>IF(ROUND(C367,2)+ROUND(D367,2)=0,"","yes")</f>
        <v/>
      </c>
      <c r="G367" s="58" t="n"/>
      <c r="H367" s="50">
        <f>IF($G367="","",$E367-$G367)</f>
        <v/>
      </c>
    </row>
    <row r="368">
      <c r="A368" s="57" t="inlineStr">
        <is>
          <t>2880</t>
        </is>
      </c>
      <c r="B368" s="57" t="inlineStr">
        <is>
          <t>Ricoh - QANTAS</t>
        </is>
      </c>
      <c r="C368" s="50">
        <f>SUMIFS(tbl_WIP[Amount],tbl_WIP[Job Number],$A368,tbl_WIP[Month],"&lt;&gt;",tbl_WIP[Month],"&lt;"&amp;$C$4)+SUMIF('Deferred Revenue'!$E$6:$E$579,$A368,'Deferred Revenue'!$P$6:$P$579)</f>
        <v/>
      </c>
      <c r="D368" s="50">
        <f>SUMIFS(tbl_WIP[Amount],tbl_WIP[Job Number],$A368,tbl_WIP[Month],$C$4)+SUMIF('Deferred Revenue'!$E$6:$E$579,$A368,'Deferred Revenue'!$Q$6:$Q$579)</f>
        <v/>
      </c>
      <c r="E368" s="50">
        <f>C368+D368</f>
        <v/>
      </c>
      <c r="F368" s="49">
        <f>IF(ROUND(C368,2)+ROUND(D368,2)=0,"","yes")</f>
        <v/>
      </c>
      <c r="G368" s="58" t="n"/>
      <c r="H368" s="50">
        <f>IF($G368="","",$E368-$G368)</f>
        <v/>
      </c>
    </row>
    <row r="369">
      <c r="A369" s="57" t="inlineStr">
        <is>
          <t>2892</t>
        </is>
      </c>
      <c r="B369" s="57" t="inlineStr">
        <is>
          <t>JP Morgan Onsite Tech</t>
        </is>
      </c>
      <c r="C369" s="50">
        <f>SUMIFS(tbl_WIP[Amount],tbl_WIP[Job Number],$A369,tbl_WIP[Month],"&lt;&gt;",tbl_WIP[Month],"&lt;"&amp;$C$4)+SUMIF('Deferred Revenue'!$E$6:$E$579,$A369,'Deferred Revenue'!$P$6:$P$579)</f>
        <v/>
      </c>
      <c r="D369" s="50">
        <f>SUMIFS(tbl_WIP[Amount],tbl_WIP[Job Number],$A369,tbl_WIP[Month],$C$4)+SUMIF('Deferred Revenue'!$E$6:$E$579,$A369,'Deferred Revenue'!$Q$6:$Q$579)</f>
        <v/>
      </c>
      <c r="E369" s="50">
        <f>C369+D369</f>
        <v/>
      </c>
      <c r="F369" s="49">
        <f>IF(ROUND(C369,2)+ROUND(D369,2)=0,"","yes")</f>
        <v/>
      </c>
      <c r="G369" s="58" t="n"/>
      <c r="H369" s="50">
        <f>IF($G369="","",$E369-$G369)</f>
        <v/>
      </c>
    </row>
    <row r="370">
      <c r="A370" s="57" t="inlineStr">
        <is>
          <t>2896</t>
        </is>
      </c>
      <c r="B370" s="57" t="inlineStr">
        <is>
          <t>ONS KPMG (non-chargeable)</t>
        </is>
      </c>
      <c r="C370" s="50">
        <f>SUMIFS(tbl_WIP[Amount],tbl_WIP[Job Number],$A370,tbl_WIP[Month],"&lt;&gt;",tbl_WIP[Month],"&lt;"&amp;$C$4)+SUMIF('Deferred Revenue'!$E$6:$E$579,$A370,'Deferred Revenue'!$P$6:$P$579)</f>
        <v/>
      </c>
      <c r="D370" s="50">
        <f>SUMIFS(tbl_WIP[Amount],tbl_WIP[Job Number],$A370,tbl_WIP[Month],$C$4)+SUMIF('Deferred Revenue'!$E$6:$E$579,$A370,'Deferred Revenue'!$Q$6:$Q$579)</f>
        <v/>
      </c>
      <c r="E370" s="50">
        <f>C370+D370</f>
        <v/>
      </c>
      <c r="F370" s="49">
        <f>IF(ROUND(C370,2)+ROUND(D370,2)=0,"","yes")</f>
        <v/>
      </c>
      <c r="G370" s="58" t="n"/>
      <c r="H370" s="50">
        <f>IF($G370="","",$E370-$G370)</f>
        <v/>
      </c>
    </row>
    <row r="371">
      <c r="A371" s="57" t="inlineStr">
        <is>
          <t>2897</t>
        </is>
      </c>
      <c r="B371" s="57" t="inlineStr">
        <is>
          <t>ONS JPM (non-chargeable)</t>
        </is>
      </c>
      <c r="C371" s="50">
        <f>SUMIFS(tbl_WIP[Amount],tbl_WIP[Job Number],$A371,tbl_WIP[Month],"&lt;&gt;",tbl_WIP[Month],"&lt;"&amp;$C$4)+SUMIF('Deferred Revenue'!$E$6:$E$579,$A371,'Deferred Revenue'!$P$6:$P$579)</f>
        <v/>
      </c>
      <c r="D371" s="50">
        <f>SUMIFS(tbl_WIP[Amount],tbl_WIP[Job Number],$A371,tbl_WIP[Month],$C$4)+SUMIF('Deferred Revenue'!$E$6:$E$579,$A371,'Deferred Revenue'!$Q$6:$Q$579)</f>
        <v/>
      </c>
      <c r="E371" s="50">
        <f>C371+D371</f>
        <v/>
      </c>
      <c r="F371" s="49">
        <f>IF(ROUND(C371,2)+ROUND(D371,2)=0,"","yes")</f>
        <v/>
      </c>
      <c r="G371" s="58" t="n"/>
      <c r="H371" s="50">
        <f>IF($G371="","",$E371-$G371)</f>
        <v/>
      </c>
    </row>
    <row r="372">
      <c r="A372" s="57" t="inlineStr">
        <is>
          <t>2900</t>
        </is>
      </c>
      <c r="B372" s="57" t="inlineStr">
        <is>
          <t>ONS Ammacus-Woolworths (non-chargeable)</t>
        </is>
      </c>
      <c r="C372" s="50">
        <f>SUMIFS(tbl_WIP[Amount],tbl_WIP[Job Number],$A372,tbl_WIP[Month],"&lt;&gt;",tbl_WIP[Month],"&lt;"&amp;$C$4)+SUMIF('Deferred Revenue'!$E$6:$E$579,$A372,'Deferred Revenue'!$P$6:$P$579)</f>
        <v/>
      </c>
      <c r="D372" s="50">
        <f>SUMIFS(tbl_WIP[Amount],tbl_WIP[Job Number],$A372,tbl_WIP[Month],$C$4)+SUMIF('Deferred Revenue'!$E$6:$E$579,$A372,'Deferred Revenue'!$Q$6:$Q$579)</f>
        <v/>
      </c>
      <c r="E372" s="50">
        <f>C372+D372</f>
        <v/>
      </c>
      <c r="F372" s="49">
        <f>IF(ROUND(C372,2)+ROUND(D372,2)=0,"","yes")</f>
        <v/>
      </c>
      <c r="G372" s="58" t="n"/>
      <c r="H372" s="50">
        <f>IF($G372="","",$E372-$G372)</f>
        <v/>
      </c>
    </row>
    <row r="373">
      <c r="A373" s="57" t="inlineStr">
        <is>
          <t>2906</t>
        </is>
      </c>
      <c r="B373" s="57" t="inlineStr">
        <is>
          <t>KPMG BNE Tech</t>
        </is>
      </c>
      <c r="C373" s="50">
        <f>SUMIFS(tbl_WIP[Amount],tbl_WIP[Job Number],$A373,tbl_WIP[Month],"&lt;&gt;",tbl_WIP[Month],"&lt;"&amp;$C$4)+SUMIF('Deferred Revenue'!$E$6:$E$579,$A373,'Deferred Revenue'!$P$6:$P$579)</f>
        <v/>
      </c>
      <c r="D373" s="50">
        <f>SUMIFS(tbl_WIP[Amount],tbl_WIP[Job Number],$A373,tbl_WIP[Month],$C$4)+SUMIF('Deferred Revenue'!$E$6:$E$579,$A373,'Deferred Revenue'!$Q$6:$Q$579)</f>
        <v/>
      </c>
      <c r="E373" s="50">
        <f>C373+D373</f>
        <v/>
      </c>
      <c r="F373" s="49">
        <f>IF(ROUND(C373,2)+ROUND(D373,2)=0,"","yes")</f>
        <v/>
      </c>
      <c r="G373" s="58" t="n"/>
      <c r="H373" s="50">
        <f>IF($G373="","",$E373-$G373)</f>
        <v/>
      </c>
    </row>
    <row r="374">
      <c r="A374" s="57" t="inlineStr">
        <is>
          <t>2907</t>
        </is>
      </c>
      <c r="B374" s="57" t="inlineStr">
        <is>
          <t>Ammacus-Woolworths Tech</t>
        </is>
      </c>
      <c r="C374" s="50">
        <f>SUMIFS(tbl_WIP[Amount],tbl_WIP[Job Number],$A374,tbl_WIP[Month],"&lt;&gt;",tbl_WIP[Month],"&lt;"&amp;$C$4)+SUMIF('Deferred Revenue'!$E$6:$E$579,$A374,'Deferred Revenue'!$P$6:$P$579)</f>
        <v/>
      </c>
      <c r="D374" s="50">
        <f>SUMIFS(tbl_WIP[Amount],tbl_WIP[Job Number],$A374,tbl_WIP[Month],$C$4)+SUMIF('Deferred Revenue'!$E$6:$E$579,$A374,'Deferred Revenue'!$Q$6:$Q$579)</f>
        <v/>
      </c>
      <c r="E374" s="50">
        <f>C374+D374</f>
        <v/>
      </c>
      <c r="F374" s="49">
        <f>IF(ROUND(C374,2)+ROUND(D374,2)=0,"","yes")</f>
        <v/>
      </c>
      <c r="G374" s="58" t="n"/>
      <c r="H374" s="50">
        <f>IF($G374="","",$E374-$G374)</f>
        <v/>
      </c>
    </row>
    <row r="375">
      <c r="A375" s="57" t="inlineStr">
        <is>
          <t>2910</t>
        </is>
      </c>
      <c r="B375" s="57" t="inlineStr">
        <is>
          <t>Office Move 2024</t>
        </is>
      </c>
      <c r="C375" s="50">
        <f>SUMIFS(tbl_WIP[Amount],tbl_WIP[Job Number],$A375,tbl_WIP[Month],"&lt;&gt;",tbl_WIP[Month],"&lt;"&amp;$C$4)+SUMIF('Deferred Revenue'!$E$6:$E$579,$A375,'Deferred Revenue'!$P$6:$P$579)</f>
        <v/>
      </c>
      <c r="D375" s="50">
        <f>SUMIFS(tbl_WIP[Amount],tbl_WIP[Job Number],$A375,tbl_WIP[Month],$C$4)+SUMIF('Deferred Revenue'!$E$6:$E$579,$A375,'Deferred Revenue'!$Q$6:$Q$579)</f>
        <v/>
      </c>
      <c r="E375" s="50">
        <f>C375+D375</f>
        <v/>
      </c>
      <c r="F375" s="49">
        <f>IF(ROUND(C375,2)+ROUND(D375,2)=0,"","yes")</f>
        <v/>
      </c>
      <c r="G375" s="58" t="n"/>
      <c r="H375" s="50">
        <f>IF($G375="","",$E375-$G375)</f>
        <v/>
      </c>
    </row>
    <row r="376">
      <c r="A376" s="57" t="inlineStr">
        <is>
          <t>2977</t>
        </is>
      </c>
      <c r="B376" s="57" t="inlineStr">
        <is>
          <t>St Catherine's School (CONS)</t>
        </is>
      </c>
      <c r="C376" s="50">
        <f>SUMIFS(tbl_WIP[Amount],tbl_WIP[Job Number],$A376,tbl_WIP[Month],"&lt;&gt;",tbl_WIP[Month],"&lt;"&amp;$C$4)+SUMIF('Deferred Revenue'!$E$6:$E$579,$A376,'Deferred Revenue'!$P$6:$P$579)</f>
        <v/>
      </c>
      <c r="D376" s="50">
        <f>SUMIFS(tbl_WIP[Amount],tbl_WIP[Job Number],$A376,tbl_WIP[Month],$C$4)+SUMIF('Deferred Revenue'!$E$6:$E$579,$A376,'Deferred Revenue'!$Q$6:$Q$579)</f>
        <v/>
      </c>
      <c r="E376" s="50">
        <f>C376+D376</f>
        <v/>
      </c>
      <c r="F376" s="49">
        <f>IF(ROUND(C376,2)+ROUND(D376,2)=0,"","yes")</f>
        <v/>
      </c>
      <c r="G376" s="58" t="n"/>
      <c r="H376" s="50">
        <f>IF($G376="","",$E376-$G376)</f>
        <v/>
      </c>
    </row>
    <row r="377">
      <c r="A377" s="57" t="inlineStr">
        <is>
          <t>3014</t>
        </is>
      </c>
      <c r="B377" s="57" t="inlineStr">
        <is>
          <t>ONS Ricoh/Campari (Chargeable)</t>
        </is>
      </c>
      <c r="C377" s="50">
        <f>SUMIFS(tbl_WIP[Amount],tbl_WIP[Job Number],$A377,tbl_WIP[Month],"&lt;&gt;",tbl_WIP[Month],"&lt;"&amp;$C$4)+SUMIF('Deferred Revenue'!$E$6:$E$579,$A377,'Deferred Revenue'!$P$6:$P$579)</f>
        <v/>
      </c>
      <c r="D377" s="50">
        <f>SUMIFS(tbl_WIP[Amount],tbl_WIP[Job Number],$A377,tbl_WIP[Month],$C$4)+SUMIF('Deferred Revenue'!$E$6:$E$579,$A377,'Deferred Revenue'!$Q$6:$Q$579)</f>
        <v/>
      </c>
      <c r="E377" s="50">
        <f>C377+D377</f>
        <v/>
      </c>
      <c r="F377" s="49">
        <f>IF(ROUND(C377,2)+ROUND(D377,2)=0,"","yes")</f>
        <v/>
      </c>
      <c r="G377" s="58" t="n"/>
      <c r="H377" s="50">
        <f>IF($G377="","",$E377-$G377)</f>
        <v/>
      </c>
    </row>
    <row r="378">
      <c r="A378" s="57" t="inlineStr">
        <is>
          <t>3015</t>
        </is>
      </c>
      <c r="B378" s="57" t="inlineStr">
        <is>
          <t>ONS Ricoh/Campari (Non Chgble)</t>
        </is>
      </c>
      <c r="C378" s="50">
        <f>SUMIFS(tbl_WIP[Amount],tbl_WIP[Job Number],$A378,tbl_WIP[Month],"&lt;&gt;",tbl_WIP[Month],"&lt;"&amp;$C$4)+SUMIF('Deferred Revenue'!$E$6:$E$579,$A378,'Deferred Revenue'!$P$6:$P$579)</f>
        <v/>
      </c>
      <c r="D378" s="50">
        <f>SUMIFS(tbl_WIP[Amount],tbl_WIP[Job Number],$A378,tbl_WIP[Month],$C$4)+SUMIF('Deferred Revenue'!$E$6:$E$579,$A378,'Deferred Revenue'!$Q$6:$Q$579)</f>
        <v/>
      </c>
      <c r="E378" s="50">
        <f>C378+D378</f>
        <v/>
      </c>
      <c r="F378" s="49">
        <f>IF(ROUND(C378,2)+ROUND(D378,2)=0,"","yes")</f>
        <v/>
      </c>
      <c r="G378" s="58" t="n"/>
      <c r="H378" s="50">
        <f>IF($G378="","",$E378-$G378)</f>
        <v/>
      </c>
    </row>
    <row r="379">
      <c r="A379" s="57" t="inlineStr">
        <is>
          <t>3027</t>
        </is>
      </c>
      <c r="B379" s="57" t="inlineStr">
        <is>
          <t>DPIE Elizabeth St Booking</t>
        </is>
      </c>
      <c r="C379" s="50">
        <f>SUMIFS(tbl_WIP[Amount],tbl_WIP[Job Number],$A379,tbl_WIP[Month],"&lt;&gt;",tbl_WIP[Month],"&lt;"&amp;$C$4)+SUMIF('Deferred Revenue'!$E$6:$E$579,$A379,'Deferred Revenue'!$P$6:$P$579)</f>
        <v/>
      </c>
      <c r="D379" s="50">
        <f>SUMIFS(tbl_WIP[Amount],tbl_WIP[Job Number],$A379,tbl_WIP[Month],$C$4)+SUMIF('Deferred Revenue'!$E$6:$E$579,$A379,'Deferred Revenue'!$Q$6:$Q$579)</f>
        <v/>
      </c>
      <c r="E379" s="50">
        <f>C379+D379</f>
        <v/>
      </c>
      <c r="F379" s="49">
        <f>IF(ROUND(C379,2)+ROUND(D379,2)=0,"","yes")</f>
        <v/>
      </c>
      <c r="G379" s="58" t="n"/>
      <c r="H379" s="50">
        <f>IF($G379="","",$E379-$G379)</f>
        <v/>
      </c>
    </row>
    <row r="380">
      <c r="A380" s="57" t="inlineStr">
        <is>
          <t>3028</t>
        </is>
      </c>
      <c r="B380" s="57" t="inlineStr">
        <is>
          <t>APA Kidman Park VMS</t>
        </is>
      </c>
      <c r="C380" s="50">
        <f>SUMIFS(tbl_WIP[Amount],tbl_WIP[Job Number],$A380,tbl_WIP[Month],"&lt;&gt;",tbl_WIP[Month],"&lt;"&amp;$C$4)+SUMIF('Deferred Revenue'!$E$6:$E$579,$A380,'Deferred Revenue'!$P$6:$P$579)</f>
        <v/>
      </c>
      <c r="D380" s="50">
        <f>SUMIFS(tbl_WIP[Amount],tbl_WIP[Job Number],$A380,tbl_WIP[Month],$C$4)+SUMIF('Deferred Revenue'!$E$6:$E$579,$A380,'Deferred Revenue'!$Q$6:$Q$579)</f>
        <v/>
      </c>
      <c r="E380" s="50">
        <f>C380+D380</f>
        <v/>
      </c>
      <c r="F380" s="49">
        <f>IF(ROUND(C380,2)+ROUND(D380,2)=0,"","yes")</f>
        <v/>
      </c>
      <c r="G380" s="58" t="n"/>
      <c r="H380" s="50">
        <f>IF($G380="","",$E380-$G380)</f>
        <v/>
      </c>
    </row>
    <row r="381">
      <c r="A381" s="57" t="inlineStr">
        <is>
          <t>3034</t>
        </is>
      </c>
      <c r="B381" s="57" t="inlineStr">
        <is>
          <t>ARUP ONS (non-chargeable)</t>
        </is>
      </c>
      <c r="C381" s="50">
        <f>SUMIFS(tbl_WIP[Amount],tbl_WIP[Job Number],$A381,tbl_WIP[Month],"&lt;&gt;",tbl_WIP[Month],"&lt;"&amp;$C$4)+SUMIF('Deferred Revenue'!$E$6:$E$579,$A381,'Deferred Revenue'!$P$6:$P$579)</f>
        <v/>
      </c>
      <c r="D381" s="50">
        <f>SUMIFS(tbl_WIP[Amount],tbl_WIP[Job Number],$A381,tbl_WIP[Month],$C$4)+SUMIF('Deferred Revenue'!$E$6:$E$579,$A381,'Deferred Revenue'!$Q$6:$Q$579)</f>
        <v/>
      </c>
      <c r="E381" s="50">
        <f>C381+D381</f>
        <v/>
      </c>
      <c r="F381" s="49">
        <f>IF(ROUND(C381,2)+ROUND(D381,2)=0,"","yes")</f>
        <v/>
      </c>
      <c r="G381" s="58" t="n"/>
      <c r="H381" s="50">
        <f>IF($G381="","",$E381-$G381)</f>
        <v/>
      </c>
    </row>
    <row r="382">
      <c r="A382" s="57" t="inlineStr">
        <is>
          <t>3035</t>
        </is>
      </c>
      <c r="B382" s="57" t="inlineStr">
        <is>
          <t>ARUP ONS National (Chargeable)</t>
        </is>
      </c>
      <c r="C382" s="50">
        <f>SUMIFS(tbl_WIP[Amount],tbl_WIP[Job Number],$A382,tbl_WIP[Month],"&lt;&gt;",tbl_WIP[Month],"&lt;"&amp;$C$4)+SUMIF('Deferred Revenue'!$E$6:$E$579,$A382,'Deferred Revenue'!$P$6:$P$579)</f>
        <v/>
      </c>
      <c r="D382" s="50">
        <f>SUMIFS(tbl_WIP[Amount],tbl_WIP[Job Number],$A382,tbl_WIP[Month],$C$4)+SUMIF('Deferred Revenue'!$E$6:$E$579,$A382,'Deferred Revenue'!$Q$6:$Q$579)</f>
        <v/>
      </c>
      <c r="E382" s="50">
        <f>C382+D382</f>
        <v/>
      </c>
      <c r="F382" s="49">
        <f>IF(ROUND(C382,2)+ROUND(D382,2)=0,"","yes")</f>
        <v/>
      </c>
      <c r="G382" s="58" t="n"/>
      <c r="H382" s="50">
        <f>IF($G382="","",$E382-$G382)</f>
        <v/>
      </c>
    </row>
    <row r="383">
      <c r="A383" s="57" t="inlineStr">
        <is>
          <t>3040</t>
        </is>
      </c>
      <c r="B383" s="57" t="inlineStr">
        <is>
          <t>Corrs MELB Office Reloc</t>
        </is>
      </c>
      <c r="C383" s="50">
        <f>SUMIFS(tbl_WIP[Amount],tbl_WIP[Job Number],$A383,tbl_WIP[Month],"&lt;&gt;",tbl_WIP[Month],"&lt;"&amp;$C$4)+SUMIF('Deferred Revenue'!$E$6:$E$579,$A383,'Deferred Revenue'!$P$6:$P$579)</f>
        <v/>
      </c>
      <c r="D383" s="50">
        <f>SUMIFS(tbl_WIP[Amount],tbl_WIP[Job Number],$A383,tbl_WIP[Month],$C$4)+SUMIF('Deferred Revenue'!$E$6:$E$579,$A383,'Deferred Revenue'!$Q$6:$Q$579)</f>
        <v/>
      </c>
      <c r="E383" s="50">
        <f>C383+D383</f>
        <v/>
      </c>
      <c r="F383" s="49">
        <f>IF(ROUND(C383,2)+ROUND(D383,2)=0,"","yes")</f>
        <v/>
      </c>
      <c r="G383" s="58" t="n"/>
      <c r="H383" s="50">
        <f>IF($G383="","",$E383-$G383)</f>
        <v/>
      </c>
    </row>
    <row r="384">
      <c r="A384" s="57" t="inlineStr">
        <is>
          <t>3042</t>
        </is>
      </c>
      <c r="B384" s="57" t="inlineStr">
        <is>
          <t>Corrs-PER Office Reloc</t>
        </is>
      </c>
      <c r="C384" s="50">
        <f>SUMIFS(tbl_WIP[Amount],tbl_WIP[Job Number],$A384,tbl_WIP[Month],"&lt;&gt;",tbl_WIP[Month],"&lt;"&amp;$C$4)+SUMIF('Deferred Revenue'!$E$6:$E$579,$A384,'Deferred Revenue'!$P$6:$P$579)</f>
        <v/>
      </c>
      <c r="D384" s="50">
        <f>SUMIFS(tbl_WIP[Amount],tbl_WIP[Job Number],$A384,tbl_WIP[Month],$C$4)+SUMIF('Deferred Revenue'!$E$6:$E$579,$A384,'Deferred Revenue'!$Q$6:$Q$579)</f>
        <v/>
      </c>
      <c r="E384" s="50">
        <f>C384+D384</f>
        <v/>
      </c>
      <c r="F384" s="49">
        <f>IF(ROUND(C384,2)+ROUND(D384,2)=0,"","yes")</f>
        <v/>
      </c>
      <c r="G384" s="58" t="n"/>
      <c r="H384" s="50">
        <f>IF($G384="","",$E384-$G384)</f>
        <v/>
      </c>
    </row>
    <row r="385">
      <c r="A385" s="57" t="inlineStr">
        <is>
          <t>3046</t>
        </is>
      </c>
      <c r="B385" s="57" t="inlineStr">
        <is>
          <t>Stone&amp;Chalk ONS [chargeable]</t>
        </is>
      </c>
      <c r="C385" s="50">
        <f>SUMIFS(tbl_WIP[Amount],tbl_WIP[Job Number],$A385,tbl_WIP[Month],"&lt;&gt;",tbl_WIP[Month],"&lt;"&amp;$C$4)+SUMIF('Deferred Revenue'!$E$6:$E$579,$A385,'Deferred Revenue'!$P$6:$P$579)</f>
        <v/>
      </c>
      <c r="D385" s="50">
        <f>SUMIFS(tbl_WIP[Amount],tbl_WIP[Job Number],$A385,tbl_WIP[Month],$C$4)+SUMIF('Deferred Revenue'!$E$6:$E$579,$A385,'Deferred Revenue'!$Q$6:$Q$579)</f>
        <v/>
      </c>
      <c r="E385" s="50">
        <f>C385+D385</f>
        <v/>
      </c>
      <c r="F385" s="49">
        <f>IF(ROUND(C385,2)+ROUND(D385,2)=0,"","yes")</f>
        <v/>
      </c>
      <c r="G385" s="58" t="n"/>
      <c r="H385" s="50">
        <f>IF($G385="","",$E385-$G385)</f>
        <v/>
      </c>
    </row>
    <row r="386">
      <c r="A386" s="57" t="inlineStr">
        <is>
          <t>3047</t>
        </is>
      </c>
      <c r="B386" s="57" t="inlineStr">
        <is>
          <t>Stone&amp;Chalk ONS [non-chargable]</t>
        </is>
      </c>
      <c r="C386" s="50">
        <f>SUMIFS(tbl_WIP[Amount],tbl_WIP[Job Number],$A386,tbl_WIP[Month],"&lt;&gt;",tbl_WIP[Month],"&lt;"&amp;$C$4)+SUMIF('Deferred Revenue'!$E$6:$E$579,$A386,'Deferred Revenue'!$P$6:$P$579)</f>
        <v/>
      </c>
      <c r="D386" s="50">
        <f>SUMIFS(tbl_WIP[Amount],tbl_WIP[Job Number],$A386,tbl_WIP[Month],$C$4)+SUMIF('Deferred Revenue'!$E$6:$E$579,$A386,'Deferred Revenue'!$Q$6:$Q$579)</f>
        <v/>
      </c>
      <c r="E386" s="50">
        <f>C386+D386</f>
        <v/>
      </c>
      <c r="F386" s="49">
        <f>IF(ROUND(C386,2)+ROUND(D386,2)=0,"","yes")</f>
        <v/>
      </c>
      <c r="G386" s="58" t="n"/>
      <c r="H386" s="50">
        <f>IF($G386="","",$E386-$G386)</f>
        <v/>
      </c>
    </row>
    <row r="387">
      <c r="A387" s="57" t="inlineStr">
        <is>
          <t>3048</t>
        </is>
      </c>
      <c r="B387" s="57" t="inlineStr">
        <is>
          <t>Stone &amp; Chalk Audit 2</t>
        </is>
      </c>
      <c r="C387" s="50">
        <f>SUMIFS(tbl_WIP[Amount],tbl_WIP[Job Number],$A387,tbl_WIP[Month],"&lt;&gt;",tbl_WIP[Month],"&lt;"&amp;$C$4)+SUMIF('Deferred Revenue'!$E$6:$E$579,$A387,'Deferred Revenue'!$P$6:$P$579)</f>
        <v/>
      </c>
      <c r="D387" s="50">
        <f>SUMIFS(tbl_WIP[Amount],tbl_WIP[Job Number],$A387,tbl_WIP[Month],$C$4)+SUMIF('Deferred Revenue'!$E$6:$E$579,$A387,'Deferred Revenue'!$Q$6:$Q$579)</f>
        <v/>
      </c>
      <c r="E387" s="50">
        <f>C387+D387</f>
        <v/>
      </c>
      <c r="F387" s="49">
        <f>IF(ROUND(C387,2)+ROUND(D387,2)=0,"","yes")</f>
        <v/>
      </c>
      <c r="G387" s="58" t="n"/>
      <c r="H387" s="50">
        <f>IF($G387="","",$E387-$G387)</f>
        <v/>
      </c>
    </row>
    <row r="388">
      <c r="A388" s="57" t="inlineStr">
        <is>
          <t>3056</t>
        </is>
      </c>
      <c r="B388" s="57" t="inlineStr">
        <is>
          <t>AusPayNet Onsite [Chargeable]</t>
        </is>
      </c>
      <c r="C388" s="50">
        <f>SUMIFS(tbl_WIP[Amount],tbl_WIP[Job Number],$A388,tbl_WIP[Month],"&lt;&gt;",tbl_WIP[Month],"&lt;"&amp;$C$4)+SUMIF('Deferred Revenue'!$E$6:$E$579,$A388,'Deferred Revenue'!$P$6:$P$579)</f>
        <v/>
      </c>
      <c r="D388" s="50">
        <f>SUMIFS(tbl_WIP[Amount],tbl_WIP[Job Number],$A388,tbl_WIP[Month],$C$4)+SUMIF('Deferred Revenue'!$E$6:$E$579,$A388,'Deferred Revenue'!$Q$6:$Q$579)</f>
        <v/>
      </c>
      <c r="E388" s="50">
        <f>C388+D388</f>
        <v/>
      </c>
      <c r="F388" s="49">
        <f>IF(ROUND(C388,2)+ROUND(D388,2)=0,"","yes")</f>
        <v/>
      </c>
      <c r="G388" s="58" t="n"/>
      <c r="H388" s="50">
        <f>IF($G388="","",$E388-$G388)</f>
        <v/>
      </c>
    </row>
    <row r="389">
      <c r="A389" s="57" t="inlineStr">
        <is>
          <t>3057</t>
        </is>
      </c>
      <c r="B389" s="57" t="inlineStr">
        <is>
          <t>AusPayNet ONS[Non-Chargeable]</t>
        </is>
      </c>
      <c r="C389" s="50">
        <f>SUMIFS(tbl_WIP[Amount],tbl_WIP[Job Number],$A389,tbl_WIP[Month],"&lt;&gt;",tbl_WIP[Month],"&lt;"&amp;$C$4)+SUMIF('Deferred Revenue'!$E$6:$E$579,$A389,'Deferred Revenue'!$P$6:$P$579)</f>
        <v/>
      </c>
      <c r="D389" s="50">
        <f>SUMIFS(tbl_WIP[Amount],tbl_WIP[Job Number],$A389,tbl_WIP[Month],$C$4)+SUMIF('Deferred Revenue'!$E$6:$E$579,$A389,'Deferred Revenue'!$Q$6:$Q$579)</f>
        <v/>
      </c>
      <c r="E389" s="50">
        <f>C389+D389</f>
        <v/>
      </c>
      <c r="F389" s="49">
        <f>IF(ROUND(C389,2)+ROUND(D389,2)=0,"","yes")</f>
        <v/>
      </c>
      <c r="G389" s="58" t="n"/>
      <c r="H389" s="50">
        <f>IF($G389="","",$E389-$G389)</f>
        <v/>
      </c>
    </row>
    <row r="390">
      <c r="A390" s="57" t="inlineStr">
        <is>
          <t>3059</t>
        </is>
      </c>
      <c r="B390" s="57" t="inlineStr">
        <is>
          <t>CBA AGM 2025</t>
        </is>
      </c>
      <c r="C390" s="50">
        <f>SUMIFS(tbl_WIP[Amount],tbl_WIP[Job Number],$A390,tbl_WIP[Month],"&lt;&gt;",tbl_WIP[Month],"&lt;"&amp;$C$4)+SUMIF('Deferred Revenue'!$E$6:$E$579,$A390,'Deferred Revenue'!$P$6:$P$579)</f>
        <v/>
      </c>
      <c r="D390" s="50">
        <f>SUMIFS(tbl_WIP[Amount],tbl_WIP[Job Number],$A390,tbl_WIP[Month],$C$4)+SUMIF('Deferred Revenue'!$E$6:$E$579,$A390,'Deferred Revenue'!$Q$6:$Q$579)</f>
        <v/>
      </c>
      <c r="E390" s="50">
        <f>C390+D390</f>
        <v/>
      </c>
      <c r="F390" s="49">
        <f>IF(ROUND(C390,2)+ROUND(D390,2)=0,"","yes")</f>
        <v/>
      </c>
      <c r="G390" s="58" t="n"/>
      <c r="H390" s="50">
        <f>IF($G390="","",$E390-$G390)</f>
        <v/>
      </c>
    </row>
    <row r="391">
      <c r="A391" s="57" t="inlineStr">
        <is>
          <t>3068</t>
        </is>
      </c>
      <c r="B391" s="57" t="inlineStr">
        <is>
          <t>DPIE Pitt and Penrith</t>
        </is>
      </c>
      <c r="C391" s="50">
        <f>SUMIFS(tbl_WIP[Amount],tbl_WIP[Job Number],$A391,tbl_WIP[Month],"&lt;&gt;",tbl_WIP[Month],"&lt;"&amp;$C$4)+SUMIF('Deferred Revenue'!$E$6:$E$579,$A391,'Deferred Revenue'!$P$6:$P$579)</f>
        <v/>
      </c>
      <c r="D391" s="50">
        <f>SUMIFS(tbl_WIP[Amount],tbl_WIP[Job Number],$A391,tbl_WIP[Month],$C$4)+SUMIF('Deferred Revenue'!$E$6:$E$579,$A391,'Deferred Revenue'!$Q$6:$Q$579)</f>
        <v/>
      </c>
      <c r="E391" s="50">
        <f>C391+D391</f>
        <v/>
      </c>
      <c r="F391" s="49">
        <f>IF(ROUND(C391,2)+ROUND(D391,2)=0,"","yes")</f>
        <v/>
      </c>
      <c r="G391" s="58" t="n"/>
      <c r="H391" s="50">
        <f>IF($G391="","",$E391-$G391)</f>
        <v/>
      </c>
    </row>
    <row r="392">
      <c r="A392" s="57" t="inlineStr">
        <is>
          <t>3072</t>
        </is>
      </c>
      <c r="B392" s="57" t="inlineStr">
        <is>
          <t>APA Thomastown</t>
        </is>
      </c>
      <c r="C392" s="50">
        <f>SUMIFS(tbl_WIP[Amount],tbl_WIP[Job Number],$A392,tbl_WIP[Month],"&lt;&gt;",tbl_WIP[Month],"&lt;"&amp;$C$4)+SUMIF('Deferred Revenue'!$E$6:$E$579,$A392,'Deferred Revenue'!$P$6:$P$579)</f>
        <v/>
      </c>
      <c r="D392" s="50">
        <f>SUMIFS(tbl_WIP[Amount],tbl_WIP[Job Number],$A392,tbl_WIP[Month],$C$4)+SUMIF('Deferred Revenue'!$E$6:$E$579,$A392,'Deferred Revenue'!$Q$6:$Q$579)</f>
        <v/>
      </c>
      <c r="E392" s="50">
        <f>C392+D392</f>
        <v/>
      </c>
      <c r="F392" s="49">
        <f>IF(ROUND(C392,2)+ROUND(D392,2)=0,"","yes")</f>
        <v/>
      </c>
      <c r="G392" s="58" t="n"/>
      <c r="H392" s="50">
        <f>IF($G392="","",$E392-$G392)</f>
        <v/>
      </c>
    </row>
    <row r="393">
      <c r="A393" s="57" t="inlineStr">
        <is>
          <t>585</t>
        </is>
      </c>
      <c r="B393" s="57" t="inlineStr">
        <is>
          <t>CBA Team Leader</t>
        </is>
      </c>
      <c r="C393" s="50">
        <f>SUMIFS(tbl_WIP[Amount],tbl_WIP[Job Number],$A393,tbl_WIP[Month],"&lt;&gt;",tbl_WIP[Month],"&lt;"&amp;$C$4)+SUMIF('Deferred Revenue'!$E$6:$E$579,$A393,'Deferred Revenue'!$P$6:$P$579)</f>
        <v/>
      </c>
      <c r="D393" s="50">
        <f>SUMIFS(tbl_WIP[Amount],tbl_WIP[Job Number],$A393,tbl_WIP[Month],$C$4)+SUMIF('Deferred Revenue'!$E$6:$E$579,$A393,'Deferred Revenue'!$Q$6:$Q$579)</f>
        <v/>
      </c>
      <c r="E393" s="50">
        <f>C393+D393</f>
        <v/>
      </c>
      <c r="F393" s="49">
        <f>IF(ROUND(C393,2)+ROUND(D393,2)=0,"","yes")</f>
        <v/>
      </c>
      <c r="G393" s="58" t="n"/>
      <c r="H393" s="50">
        <f>IF($G393="","",$E393-$G393)</f>
        <v/>
      </c>
    </row>
    <row r="394">
      <c r="A394" s="57" t="inlineStr">
        <is>
          <t>586</t>
        </is>
      </c>
      <c r="B394" s="57" t="inlineStr">
        <is>
          <t>CBA Tech NP</t>
        </is>
      </c>
      <c r="C394" s="50">
        <f>SUMIFS(tbl_WIP[Amount],tbl_WIP[Job Number],$A394,tbl_WIP[Month],"&lt;&gt;",tbl_WIP[Month],"&lt;"&amp;$C$4)+SUMIF('Deferred Revenue'!$E$6:$E$579,$A394,'Deferred Revenue'!$P$6:$P$579)</f>
        <v/>
      </c>
      <c r="D394" s="50">
        <f>SUMIFS(tbl_WIP[Amount],tbl_WIP[Job Number],$A394,tbl_WIP[Month],$C$4)+SUMIF('Deferred Revenue'!$E$6:$E$579,$A394,'Deferred Revenue'!$Q$6:$Q$579)</f>
        <v/>
      </c>
      <c r="E394" s="50">
        <f>C394+D394</f>
        <v/>
      </c>
      <c r="F394" s="49">
        <f>IF(ROUND(C394,2)+ROUND(D394,2)=0,"","yes")</f>
        <v/>
      </c>
      <c r="G394" s="58" t="n"/>
      <c r="H394" s="50">
        <f>IF($G394="","",$E394-$G394)</f>
        <v/>
      </c>
    </row>
    <row r="395">
      <c r="A395" s="57" t="inlineStr">
        <is>
          <t>587</t>
        </is>
      </c>
      <c r="B395" s="57" t="inlineStr">
        <is>
          <t>CBA Tech TN</t>
        </is>
      </c>
      <c r="C395" s="50">
        <f>SUMIFS(tbl_WIP[Amount],tbl_WIP[Job Number],$A395,tbl_WIP[Month],"&lt;&gt;",tbl_WIP[Month],"&lt;"&amp;$C$4)+SUMIF('Deferred Revenue'!$E$6:$E$579,$A395,'Deferred Revenue'!$P$6:$P$579)</f>
        <v/>
      </c>
      <c r="D395" s="50">
        <f>SUMIFS(tbl_WIP[Amount],tbl_WIP[Job Number],$A395,tbl_WIP[Month],$C$4)+SUMIF('Deferred Revenue'!$E$6:$E$579,$A395,'Deferred Revenue'!$Q$6:$Q$579)</f>
        <v/>
      </c>
      <c r="E395" s="50">
        <f>C395+D395</f>
        <v/>
      </c>
      <c r="F395" s="49">
        <f>IF(ROUND(C395,2)+ROUND(D395,2)=0,"","yes")</f>
        <v/>
      </c>
      <c r="G395" s="58" t="n"/>
      <c r="H395" s="50">
        <f>IF($G395="","",$E395-$G395)</f>
        <v/>
      </c>
    </row>
    <row r="396">
      <c r="A396" s="57" t="inlineStr">
        <is>
          <t>724</t>
        </is>
      </c>
      <c r="B396" s="57" t="inlineStr">
        <is>
          <t>DTTL SYD NTSL</t>
        </is>
      </c>
      <c r="C396" s="50">
        <f>SUMIFS(tbl_WIP[Amount],tbl_WIP[Job Number],$A396,tbl_WIP[Month],"&lt;&gt;",tbl_WIP[Month],"&lt;"&amp;$C$4)+SUMIF('Deferred Revenue'!$E$6:$E$579,$A396,'Deferred Revenue'!$P$6:$P$579)</f>
        <v/>
      </c>
      <c r="D396" s="50">
        <f>SUMIFS(tbl_WIP[Amount],tbl_WIP[Job Number],$A396,tbl_WIP[Month],$C$4)+SUMIF('Deferred Revenue'!$E$6:$E$579,$A396,'Deferred Revenue'!$Q$6:$Q$579)</f>
        <v/>
      </c>
      <c r="E396" s="50">
        <f>C396+D396</f>
        <v/>
      </c>
      <c r="F396" s="49">
        <f>IF(ROUND(C396,2)+ROUND(D396,2)=0,"","yes")</f>
        <v/>
      </c>
      <c r="G396" s="58" t="n"/>
      <c r="H396" s="50">
        <f>IF($G396="","",$E396-$G396)</f>
        <v/>
      </c>
    </row>
    <row r="397">
      <c r="A397" s="57" t="inlineStr">
        <is>
          <t>725</t>
        </is>
      </c>
      <c r="B397" s="57" t="inlineStr">
        <is>
          <t>DTTL Mel Tech FT 1</t>
        </is>
      </c>
      <c r="C397" s="50">
        <f>SUMIFS(tbl_WIP[Amount],tbl_WIP[Job Number],$A397,tbl_WIP[Month],"&lt;&gt;",tbl_WIP[Month],"&lt;"&amp;$C$4)+SUMIF('Deferred Revenue'!$E$6:$E$579,$A397,'Deferred Revenue'!$P$6:$P$579)</f>
        <v/>
      </c>
      <c r="D397" s="50">
        <f>SUMIFS(tbl_WIP[Amount],tbl_WIP[Job Number],$A397,tbl_WIP[Month],$C$4)+SUMIF('Deferred Revenue'!$E$6:$E$579,$A397,'Deferred Revenue'!$Q$6:$Q$579)</f>
        <v/>
      </c>
      <c r="E397" s="50">
        <f>C397+D397</f>
        <v/>
      </c>
      <c r="F397" s="49">
        <f>IF(ROUND(C397,2)+ROUND(D397,2)=0,"","yes")</f>
        <v/>
      </c>
      <c r="G397" s="58" t="n"/>
      <c r="H397" s="50">
        <f>IF($G397="","",$E397-$G397)</f>
        <v/>
      </c>
    </row>
    <row r="398">
      <c r="A398" s="57" t="inlineStr">
        <is>
          <t>729</t>
        </is>
      </c>
      <c r="B398" s="57" t="inlineStr">
        <is>
          <t>DTTL Consulting</t>
        </is>
      </c>
      <c r="C398" s="50">
        <f>SUMIFS(tbl_WIP[Amount],tbl_WIP[Job Number],$A398,tbl_WIP[Month],"&lt;&gt;",tbl_WIP[Month],"&lt;"&amp;$C$4)+SUMIF('Deferred Revenue'!$E$6:$E$579,$A398,'Deferred Revenue'!$P$6:$P$579)</f>
        <v/>
      </c>
      <c r="D398" s="50">
        <f>SUMIFS(tbl_WIP[Amount],tbl_WIP[Job Number],$A398,tbl_WIP[Month],$C$4)+SUMIF('Deferred Revenue'!$E$6:$E$579,$A398,'Deferred Revenue'!$Q$6:$Q$579)</f>
        <v/>
      </c>
      <c r="E398" s="50">
        <f>C398+D398</f>
        <v/>
      </c>
      <c r="F398" s="49">
        <f>IF(ROUND(C398,2)+ROUND(D398,2)=0,"","yes")</f>
        <v/>
      </c>
      <c r="G398" s="58" t="n"/>
      <c r="H398" s="50">
        <f>IF($G398="","",$E398-$G398)</f>
        <v/>
      </c>
    </row>
    <row r="399">
      <c r="A399" s="57" t="inlineStr">
        <is>
          <t>732</t>
        </is>
      </c>
      <c r="B399" s="57" t="inlineStr">
        <is>
          <t>Bank West Contract</t>
        </is>
      </c>
      <c r="C399" s="50">
        <f>SUMIFS(tbl_WIP[Amount],tbl_WIP[Job Number],$A399,tbl_WIP[Month],"&lt;&gt;",tbl_WIP[Month],"&lt;"&amp;$C$4)+SUMIF('Deferred Revenue'!$E$6:$E$579,$A399,'Deferred Revenue'!$P$6:$P$579)</f>
        <v/>
      </c>
      <c r="D399" s="50">
        <f>SUMIFS(tbl_WIP[Amount],tbl_WIP[Job Number],$A399,tbl_WIP[Month],$C$4)+SUMIF('Deferred Revenue'!$E$6:$E$579,$A399,'Deferred Revenue'!$Q$6:$Q$579)</f>
        <v/>
      </c>
      <c r="E399" s="50">
        <f>C399+D399</f>
        <v/>
      </c>
      <c r="F399" s="49">
        <f>IF(ROUND(C399,2)+ROUND(D399,2)=0,"","yes")</f>
        <v/>
      </c>
      <c r="G399" s="58" t="n"/>
      <c r="H399" s="50">
        <f>IF($G399="","",$E399-$G399)</f>
        <v/>
      </c>
    </row>
    <row r="400">
      <c r="A400" s="57" t="inlineStr">
        <is>
          <t>9000</t>
        </is>
      </c>
      <c r="B400" s="57" t="inlineStr">
        <is>
          <t>OFFICE / ADMIN</t>
        </is>
      </c>
      <c r="C400" s="50">
        <f>SUMIFS(tbl_WIP[Amount],tbl_WIP[Job Number],$A400,tbl_WIP[Month],"&lt;&gt;",tbl_WIP[Month],"&lt;"&amp;$C$4)+SUMIF('Deferred Revenue'!$E$6:$E$579,$A400,'Deferred Revenue'!$P$6:$P$579)</f>
        <v/>
      </c>
      <c r="D400" s="50">
        <f>SUMIFS(tbl_WIP[Amount],tbl_WIP[Job Number],$A400,tbl_WIP[Month],$C$4)+SUMIF('Deferred Revenue'!$E$6:$E$579,$A400,'Deferred Revenue'!$Q$6:$Q$579)</f>
        <v/>
      </c>
      <c r="E400" s="50">
        <f>C400+D400</f>
        <v/>
      </c>
      <c r="F400" s="49">
        <f>IF(ROUND(C400,2)+ROUND(D400,2)=0,"","yes")</f>
        <v/>
      </c>
      <c r="G400" s="58" t="n"/>
      <c r="H400" s="50">
        <f>IF($G400="","",$E400-$G400)</f>
        <v/>
      </c>
    </row>
    <row r="401">
      <c r="A401" s="57" t="inlineStr">
        <is>
          <t>9001</t>
        </is>
      </c>
      <c r="B401" s="57" t="inlineStr">
        <is>
          <t>OFFICE/ADMIN Orientation</t>
        </is>
      </c>
      <c r="C401" s="50">
        <f>SUMIFS(tbl_WIP[Amount],tbl_WIP[Job Number],$A401,tbl_WIP[Month],"&lt;&gt;",tbl_WIP[Month],"&lt;"&amp;$C$4)+SUMIF('Deferred Revenue'!$E$6:$E$579,$A401,'Deferred Revenue'!$P$6:$P$579)</f>
        <v/>
      </c>
      <c r="D401" s="50">
        <f>SUMIFS(tbl_WIP[Amount],tbl_WIP[Job Number],$A401,tbl_WIP[Month],$C$4)+SUMIF('Deferred Revenue'!$E$6:$E$579,$A401,'Deferred Revenue'!$Q$6:$Q$579)</f>
        <v/>
      </c>
      <c r="E401" s="50">
        <f>C401+D401</f>
        <v/>
      </c>
      <c r="F401" s="49">
        <f>IF(ROUND(C401,2)+ROUND(D401,2)=0,"","yes")</f>
        <v/>
      </c>
      <c r="G401" s="58" t="n"/>
      <c r="H401" s="50">
        <f>IF($G401="","",$E401-$G401)</f>
        <v/>
      </c>
    </row>
    <row r="402">
      <c r="A402" s="57" t="inlineStr">
        <is>
          <t>9050</t>
        </is>
      </c>
      <c r="B402" s="57" t="inlineStr">
        <is>
          <t>OFFICE ASSETS</t>
        </is>
      </c>
      <c r="C402" s="50">
        <f>SUMIFS(tbl_WIP[Amount],tbl_WIP[Job Number],$A402,tbl_WIP[Month],"&lt;&gt;",tbl_WIP[Month],"&lt;"&amp;$C$4)+SUMIF('Deferred Revenue'!$E$6:$E$579,$A402,'Deferred Revenue'!$P$6:$P$579)</f>
        <v/>
      </c>
      <c r="D402" s="50">
        <f>SUMIFS(tbl_WIP[Amount],tbl_WIP[Job Number],$A402,tbl_WIP[Month],$C$4)+SUMIF('Deferred Revenue'!$E$6:$E$579,$A402,'Deferred Revenue'!$Q$6:$Q$579)</f>
        <v/>
      </c>
      <c r="E402" s="50">
        <f>C402+D402</f>
        <v/>
      </c>
      <c r="F402" s="49">
        <f>IF(ROUND(C402,2)+ROUND(D402,2)=0,"","yes")</f>
        <v/>
      </c>
      <c r="G402" s="58" t="n"/>
      <c r="H402" s="50">
        <f>IF($G402="","",$E402-$G402)</f>
        <v/>
      </c>
    </row>
    <row r="403">
      <c r="A403" s="57" t="inlineStr">
        <is>
          <t>9100</t>
        </is>
      </c>
      <c r="B403" s="57" t="inlineStr">
        <is>
          <t>PRODUCTION</t>
        </is>
      </c>
      <c r="C403" s="50">
        <f>SUMIFS(tbl_WIP[Amount],tbl_WIP[Job Number],$A403,tbl_WIP[Month],"&lt;&gt;",tbl_WIP[Month],"&lt;"&amp;$C$4)+SUMIF('Deferred Revenue'!$E$6:$E$579,$A403,'Deferred Revenue'!$P$6:$P$579)</f>
        <v/>
      </c>
      <c r="D403" s="50">
        <f>SUMIFS(tbl_WIP[Amount],tbl_WIP[Job Number],$A403,tbl_WIP[Month],$C$4)+SUMIF('Deferred Revenue'!$E$6:$E$579,$A403,'Deferred Revenue'!$Q$6:$Q$579)</f>
        <v/>
      </c>
      <c r="E403" s="50">
        <f>C403+D403</f>
        <v/>
      </c>
      <c r="F403" s="49">
        <f>IF(ROUND(C403,2)+ROUND(D403,2)=0,"","yes")</f>
        <v/>
      </c>
      <c r="G403" s="58" t="n"/>
      <c r="H403" s="50">
        <f>IF($G403="","",$E403-$G403)</f>
        <v/>
      </c>
    </row>
    <row r="404">
      <c r="A404" s="57" t="inlineStr">
        <is>
          <t>9101</t>
        </is>
      </c>
      <c r="B404" s="57" t="inlineStr">
        <is>
          <t>PRODUCTION - Orientation</t>
        </is>
      </c>
      <c r="C404" s="50">
        <f>SUMIFS(tbl_WIP[Amount],tbl_WIP[Job Number],$A404,tbl_WIP[Month],"&lt;&gt;",tbl_WIP[Month],"&lt;"&amp;$C$4)+SUMIF('Deferred Revenue'!$E$6:$E$579,$A404,'Deferred Revenue'!$P$6:$P$579)</f>
        <v/>
      </c>
      <c r="D404" s="50">
        <f>SUMIFS(tbl_WIP[Amount],tbl_WIP[Job Number],$A404,tbl_WIP[Month],$C$4)+SUMIF('Deferred Revenue'!$E$6:$E$579,$A404,'Deferred Revenue'!$Q$6:$Q$579)</f>
        <v/>
      </c>
      <c r="E404" s="50">
        <f>C404+D404</f>
        <v/>
      </c>
      <c r="F404" s="49">
        <f>IF(ROUND(C404,2)+ROUND(D404,2)=0,"","yes")</f>
        <v/>
      </c>
      <c r="G404" s="58" t="n"/>
      <c r="H404" s="50">
        <f>IF($G404="","",$E404-$G404)</f>
        <v/>
      </c>
    </row>
    <row r="405">
      <c r="A405" s="57" t="inlineStr">
        <is>
          <t>9102</t>
        </is>
      </c>
      <c r="B405" s="57" t="inlineStr">
        <is>
          <t>Production - Training</t>
        </is>
      </c>
      <c r="C405" s="50">
        <f>SUMIFS(tbl_WIP[Amount],tbl_WIP[Job Number],$A405,tbl_WIP[Month],"&lt;&gt;",tbl_WIP[Month],"&lt;"&amp;$C$4)+SUMIF('Deferred Revenue'!$E$6:$E$579,$A405,'Deferred Revenue'!$P$6:$P$579)</f>
        <v/>
      </c>
      <c r="D405" s="50">
        <f>SUMIFS(tbl_WIP[Amount],tbl_WIP[Job Number],$A405,tbl_WIP[Month],$C$4)+SUMIF('Deferred Revenue'!$E$6:$E$579,$A405,'Deferred Revenue'!$Q$6:$Q$579)</f>
        <v/>
      </c>
      <c r="E405" s="50">
        <f>C405+D405</f>
        <v/>
      </c>
      <c r="F405" s="49">
        <f>IF(ROUND(C405,2)+ROUND(D405,2)=0,"","yes")</f>
        <v/>
      </c>
      <c r="G405" s="58" t="n"/>
      <c r="H405" s="50">
        <f>IF($G405="","",$E405-$G405)</f>
        <v/>
      </c>
    </row>
    <row r="406">
      <c r="A406" s="57" t="inlineStr">
        <is>
          <t>9105</t>
        </is>
      </c>
      <c r="B406" s="57" t="inlineStr">
        <is>
          <t>ONSITE (including PROD backup)</t>
        </is>
      </c>
      <c r="C406" s="50">
        <f>SUMIFS(tbl_WIP[Amount],tbl_WIP[Job Number],$A406,tbl_WIP[Month],"&lt;&gt;",tbl_WIP[Month],"&lt;"&amp;$C$4)+SUMIF('Deferred Revenue'!$E$6:$E$579,$A406,'Deferred Revenue'!$P$6:$P$579)</f>
        <v/>
      </c>
      <c r="D406" s="50">
        <f>SUMIFS(tbl_WIP[Amount],tbl_WIP[Job Number],$A406,tbl_WIP[Month],$C$4)+SUMIF('Deferred Revenue'!$E$6:$E$579,$A406,'Deferred Revenue'!$Q$6:$Q$579)</f>
        <v/>
      </c>
      <c r="E406" s="50">
        <f>C406+D406</f>
        <v/>
      </c>
      <c r="F406" s="49">
        <f>IF(ROUND(C406,2)+ROUND(D406,2)=0,"","yes")</f>
        <v/>
      </c>
      <c r="G406" s="58" t="n"/>
      <c r="H406" s="50">
        <f>IF($G406="","",$E406-$G406)</f>
        <v/>
      </c>
    </row>
    <row r="407">
      <c r="A407" s="57" t="inlineStr">
        <is>
          <t>9106</t>
        </is>
      </c>
      <c r="B407" s="57" t="inlineStr">
        <is>
          <t>ONSITE - Orientation</t>
        </is>
      </c>
      <c r="C407" s="50">
        <f>SUMIFS(tbl_WIP[Amount],tbl_WIP[Job Number],$A407,tbl_WIP[Month],"&lt;&gt;",tbl_WIP[Month],"&lt;"&amp;$C$4)+SUMIF('Deferred Revenue'!$E$6:$E$579,$A407,'Deferred Revenue'!$P$6:$P$579)</f>
        <v/>
      </c>
      <c r="D407" s="50">
        <f>SUMIFS(tbl_WIP[Amount],tbl_WIP[Job Number],$A407,tbl_WIP[Month],$C$4)+SUMIF('Deferred Revenue'!$E$6:$E$579,$A407,'Deferred Revenue'!$Q$6:$Q$579)</f>
        <v/>
      </c>
      <c r="E407" s="50">
        <f>C407+D407</f>
        <v/>
      </c>
      <c r="F407" s="49">
        <f>IF(ROUND(C407,2)+ROUND(D407,2)=0,"","yes")</f>
        <v/>
      </c>
      <c r="G407" s="58" t="n"/>
      <c r="H407" s="50">
        <f>IF($G407="","",$E407-$G407)</f>
        <v/>
      </c>
    </row>
    <row r="408">
      <c r="A408" s="57" t="inlineStr">
        <is>
          <t>9107</t>
        </is>
      </c>
      <c r="B408" s="57" t="inlineStr">
        <is>
          <t>ONSITE - Assets</t>
        </is>
      </c>
      <c r="C408" s="50">
        <f>SUMIFS(tbl_WIP[Amount],tbl_WIP[Job Number],$A408,tbl_WIP[Month],"&lt;&gt;",tbl_WIP[Month],"&lt;"&amp;$C$4)+SUMIF('Deferred Revenue'!$E$6:$E$579,$A408,'Deferred Revenue'!$P$6:$P$579)</f>
        <v/>
      </c>
      <c r="D408" s="50">
        <f>SUMIFS(tbl_WIP[Amount],tbl_WIP[Job Number],$A408,tbl_WIP[Month],$C$4)+SUMIF('Deferred Revenue'!$E$6:$E$579,$A408,'Deferred Revenue'!$Q$6:$Q$579)</f>
        <v/>
      </c>
      <c r="E408" s="50">
        <f>C408+D408</f>
        <v/>
      </c>
      <c r="F408" s="49">
        <f>IF(ROUND(C408,2)+ROUND(D408,2)=0,"","yes")</f>
        <v/>
      </c>
      <c r="G408" s="58" t="n"/>
      <c r="H408" s="50">
        <f>IF($G408="","",$E408-$G408)</f>
        <v/>
      </c>
    </row>
    <row r="409">
      <c r="A409" s="57" t="inlineStr">
        <is>
          <t>9108</t>
        </is>
      </c>
      <c r="B409" s="57" t="inlineStr">
        <is>
          <t>ONSITE - Sales</t>
        </is>
      </c>
      <c r="C409" s="50">
        <f>SUMIFS(tbl_WIP[Amount],tbl_WIP[Job Number],$A409,tbl_WIP[Month],"&lt;&gt;",tbl_WIP[Month],"&lt;"&amp;$C$4)+SUMIF('Deferred Revenue'!$E$6:$E$579,$A409,'Deferred Revenue'!$P$6:$P$579)</f>
        <v/>
      </c>
      <c r="D409" s="50">
        <f>SUMIFS(tbl_WIP[Amount],tbl_WIP[Job Number],$A409,tbl_WIP[Month],$C$4)+SUMIF('Deferred Revenue'!$E$6:$E$579,$A409,'Deferred Revenue'!$Q$6:$Q$579)</f>
        <v/>
      </c>
      <c r="E409" s="50">
        <f>C409+D409</f>
        <v/>
      </c>
      <c r="F409" s="49">
        <f>IF(ROUND(C409,2)+ROUND(D409,2)=0,"","yes")</f>
        <v/>
      </c>
      <c r="G409" s="58" t="n"/>
      <c r="H409" s="50">
        <f>IF($G409="","",$E409-$G409)</f>
        <v/>
      </c>
    </row>
    <row r="410">
      <c r="A410" s="57" t="inlineStr">
        <is>
          <t>9109</t>
        </is>
      </c>
      <c r="B410" s="57" t="inlineStr">
        <is>
          <t>ONSITE - Marketing</t>
        </is>
      </c>
      <c r="C410" s="50">
        <f>SUMIFS(tbl_WIP[Amount],tbl_WIP[Job Number],$A410,tbl_WIP[Month],"&lt;&gt;",tbl_WIP[Month],"&lt;"&amp;$C$4)+SUMIF('Deferred Revenue'!$E$6:$E$579,$A410,'Deferred Revenue'!$P$6:$P$579)</f>
        <v/>
      </c>
      <c r="D410" s="50">
        <f>SUMIFS(tbl_WIP[Amount],tbl_WIP[Job Number],$A410,tbl_WIP[Month],$C$4)+SUMIF('Deferred Revenue'!$E$6:$E$579,$A410,'Deferred Revenue'!$Q$6:$Q$579)</f>
        <v/>
      </c>
      <c r="E410" s="50">
        <f>C410+D410</f>
        <v/>
      </c>
      <c r="F410" s="49">
        <f>IF(ROUND(C410,2)+ROUND(D410,2)=0,"","yes")</f>
        <v/>
      </c>
      <c r="G410" s="58" t="n"/>
      <c r="H410" s="50">
        <f>IF($G410="","",$E410-$G410)</f>
        <v/>
      </c>
    </row>
    <row r="411">
      <c r="A411" s="57" t="inlineStr">
        <is>
          <t>9125</t>
        </is>
      </c>
      <c r="B411" s="57" t="inlineStr">
        <is>
          <t>VIDEO DEPT</t>
        </is>
      </c>
      <c r="C411" s="50">
        <f>SUMIFS(tbl_WIP[Amount],tbl_WIP[Job Number],$A411,tbl_WIP[Month],"&lt;&gt;",tbl_WIP[Month],"&lt;"&amp;$C$4)+SUMIF('Deferred Revenue'!$E$6:$E$579,$A411,'Deferred Revenue'!$P$6:$P$579)</f>
        <v/>
      </c>
      <c r="D411" s="50">
        <f>SUMIFS(tbl_WIP[Amount],tbl_WIP[Job Number],$A411,tbl_WIP[Month],$C$4)+SUMIF('Deferred Revenue'!$E$6:$E$579,$A411,'Deferred Revenue'!$Q$6:$Q$579)</f>
        <v/>
      </c>
      <c r="E411" s="50">
        <f>C411+D411</f>
        <v/>
      </c>
      <c r="F411" s="49">
        <f>IF(ROUND(C411,2)+ROUND(D411,2)=0,"","yes")</f>
        <v/>
      </c>
      <c r="G411" s="58" t="n"/>
      <c r="H411" s="50">
        <f>IF($G411="","",$E411-$G411)</f>
        <v/>
      </c>
    </row>
    <row r="412">
      <c r="A412" s="57" t="inlineStr">
        <is>
          <t>9126</t>
        </is>
      </c>
      <c r="B412" s="57" t="inlineStr">
        <is>
          <t>VIDEO - Orientation</t>
        </is>
      </c>
      <c r="C412" s="50">
        <f>SUMIFS(tbl_WIP[Amount],tbl_WIP[Job Number],$A412,tbl_WIP[Month],"&lt;&gt;",tbl_WIP[Month],"&lt;"&amp;$C$4)+SUMIF('Deferred Revenue'!$E$6:$E$579,$A412,'Deferred Revenue'!$P$6:$P$579)</f>
        <v/>
      </c>
      <c r="D412" s="50">
        <f>SUMIFS(tbl_WIP[Amount],tbl_WIP[Job Number],$A412,tbl_WIP[Month],$C$4)+SUMIF('Deferred Revenue'!$E$6:$E$579,$A412,'Deferred Revenue'!$Q$6:$Q$579)</f>
        <v/>
      </c>
      <c r="E412" s="50">
        <f>C412+D412</f>
        <v/>
      </c>
      <c r="F412" s="49">
        <f>IF(ROUND(C412,2)+ROUND(D412,2)=0,"","yes")</f>
        <v/>
      </c>
      <c r="G412" s="58" t="n"/>
      <c r="H412" s="50">
        <f>IF($G412="","",$E412-$G412)</f>
        <v/>
      </c>
    </row>
    <row r="413">
      <c r="A413" s="57" t="inlineStr">
        <is>
          <t>9127</t>
        </is>
      </c>
      <c r="B413" s="57" t="inlineStr">
        <is>
          <t>VIDEO - Assets</t>
        </is>
      </c>
      <c r="C413" s="50">
        <f>SUMIFS(tbl_WIP[Amount],tbl_WIP[Job Number],$A413,tbl_WIP[Month],"&lt;&gt;",tbl_WIP[Month],"&lt;"&amp;$C$4)+SUMIF('Deferred Revenue'!$E$6:$E$579,$A413,'Deferred Revenue'!$P$6:$P$579)</f>
        <v/>
      </c>
      <c r="D413" s="50">
        <f>SUMIFS(tbl_WIP[Amount],tbl_WIP[Job Number],$A413,tbl_WIP[Month],$C$4)+SUMIF('Deferred Revenue'!$E$6:$E$579,$A413,'Deferred Revenue'!$Q$6:$Q$579)</f>
        <v/>
      </c>
      <c r="E413" s="50">
        <f>C413+D413</f>
        <v/>
      </c>
      <c r="F413" s="49">
        <f>IF(ROUND(C413,2)+ROUND(D413,2)=0,"","yes")</f>
        <v/>
      </c>
      <c r="G413" s="58" t="n"/>
      <c r="H413" s="50">
        <f>IF($G413="","",$E413-$G413)</f>
        <v/>
      </c>
    </row>
    <row r="414">
      <c r="A414" s="57" t="inlineStr">
        <is>
          <t>9128</t>
        </is>
      </c>
      <c r="B414" s="57" t="inlineStr">
        <is>
          <t>VIDEO - Sales</t>
        </is>
      </c>
      <c r="C414" s="50">
        <f>SUMIFS(tbl_WIP[Amount],tbl_WIP[Job Number],$A414,tbl_WIP[Month],"&lt;&gt;",tbl_WIP[Month],"&lt;"&amp;$C$4)+SUMIF('Deferred Revenue'!$E$6:$E$579,$A414,'Deferred Revenue'!$P$6:$P$579)</f>
        <v/>
      </c>
      <c r="D414" s="50">
        <f>SUMIFS(tbl_WIP[Amount],tbl_WIP[Job Number],$A414,tbl_WIP[Month],$C$4)+SUMIF('Deferred Revenue'!$E$6:$E$579,$A414,'Deferred Revenue'!$Q$6:$Q$579)</f>
        <v/>
      </c>
      <c r="E414" s="50">
        <f>C414+D414</f>
        <v/>
      </c>
      <c r="F414" s="49">
        <f>IF(ROUND(C414,2)+ROUND(D414,2)=0,"","yes")</f>
        <v/>
      </c>
      <c r="G414" s="58" t="n"/>
      <c r="H414" s="50">
        <f>IF($G414="","",$E414-$G414)</f>
        <v/>
      </c>
    </row>
    <row r="415">
      <c r="A415" s="57" t="inlineStr">
        <is>
          <t>9129</t>
        </is>
      </c>
      <c r="B415" s="57" t="inlineStr">
        <is>
          <t>VIDEO - Marketing</t>
        </is>
      </c>
      <c r="C415" s="50">
        <f>SUMIFS(tbl_WIP[Amount],tbl_WIP[Job Number],$A415,tbl_WIP[Month],"&lt;&gt;",tbl_WIP[Month],"&lt;"&amp;$C$4)+SUMIF('Deferred Revenue'!$E$6:$E$579,$A415,'Deferred Revenue'!$P$6:$P$579)</f>
        <v/>
      </c>
      <c r="D415" s="50">
        <f>SUMIFS(tbl_WIP[Amount],tbl_WIP[Job Number],$A415,tbl_WIP[Month],$C$4)+SUMIF('Deferred Revenue'!$E$6:$E$579,$A415,'Deferred Revenue'!$Q$6:$Q$579)</f>
        <v/>
      </c>
      <c r="E415" s="50">
        <f>C415+D415</f>
        <v/>
      </c>
      <c r="F415" s="49">
        <f>IF(ROUND(C415,2)+ROUND(D415,2)=0,"","yes")</f>
        <v/>
      </c>
      <c r="G415" s="58" t="n"/>
      <c r="H415" s="50">
        <f>IF($G415="","",$E415-$G415)</f>
        <v/>
      </c>
    </row>
    <row r="416">
      <c r="A416" s="57" t="inlineStr">
        <is>
          <t>9150</t>
        </is>
      </c>
      <c r="B416" s="57" t="inlineStr">
        <is>
          <t>PRODUCTION - Assets</t>
        </is>
      </c>
      <c r="C416" s="50">
        <f>SUMIFS(tbl_WIP[Amount],tbl_WIP[Job Number],$A416,tbl_WIP[Month],"&lt;&gt;",tbl_WIP[Month],"&lt;"&amp;$C$4)+SUMIF('Deferred Revenue'!$E$6:$E$579,$A416,'Deferred Revenue'!$P$6:$P$579)</f>
        <v/>
      </c>
      <c r="D416" s="50">
        <f>SUMIFS(tbl_WIP[Amount],tbl_WIP[Job Number],$A416,tbl_WIP[Month],$C$4)+SUMIF('Deferred Revenue'!$E$6:$E$579,$A416,'Deferred Revenue'!$Q$6:$Q$579)</f>
        <v/>
      </c>
      <c r="E416" s="50">
        <f>C416+D416</f>
        <v/>
      </c>
      <c r="F416" s="49">
        <f>IF(ROUND(C416,2)+ROUND(D416,2)=0,"","yes")</f>
        <v/>
      </c>
      <c r="G416" s="58" t="n"/>
      <c r="H416" s="50">
        <f>IF($G416="","",$E416-$G416)</f>
        <v/>
      </c>
    </row>
    <row r="417">
      <c r="A417" s="57" t="inlineStr">
        <is>
          <t>9175</t>
        </is>
      </c>
      <c r="B417" s="57" t="inlineStr">
        <is>
          <t>PRODUCTION - Sales</t>
        </is>
      </c>
      <c r="C417" s="50">
        <f>SUMIFS(tbl_WIP[Amount],tbl_WIP[Job Number],$A417,tbl_WIP[Month],"&lt;&gt;",tbl_WIP[Month],"&lt;"&amp;$C$4)+SUMIF('Deferred Revenue'!$E$6:$E$579,$A417,'Deferred Revenue'!$P$6:$P$579)</f>
        <v/>
      </c>
      <c r="D417" s="50">
        <f>SUMIFS(tbl_WIP[Amount],tbl_WIP[Job Number],$A417,tbl_WIP[Month],$C$4)+SUMIF('Deferred Revenue'!$E$6:$E$579,$A417,'Deferred Revenue'!$Q$6:$Q$579)</f>
        <v/>
      </c>
      <c r="E417" s="50">
        <f>C417+D417</f>
        <v/>
      </c>
      <c r="F417" s="49">
        <f>IF(ROUND(C417,2)+ROUND(D417,2)=0,"","yes")</f>
        <v/>
      </c>
      <c r="G417" s="58" t="n"/>
      <c r="H417" s="50">
        <f>IF($G417="","",$E417-$G417)</f>
        <v/>
      </c>
    </row>
    <row r="418">
      <c r="A418" s="57" t="inlineStr">
        <is>
          <t>9176</t>
        </is>
      </c>
      <c r="B418" s="57" t="inlineStr">
        <is>
          <t>Production - Marketing</t>
        </is>
      </c>
      <c r="C418" s="50">
        <f>SUMIFS(tbl_WIP[Amount],tbl_WIP[Job Number],$A418,tbl_WIP[Month],"&lt;&gt;",tbl_WIP[Month],"&lt;"&amp;$C$4)+SUMIF('Deferred Revenue'!$E$6:$E$579,$A418,'Deferred Revenue'!$P$6:$P$579)</f>
        <v/>
      </c>
      <c r="D418" s="50">
        <f>SUMIFS(tbl_WIP[Amount],tbl_WIP[Job Number],$A418,tbl_WIP[Month],$C$4)+SUMIF('Deferred Revenue'!$E$6:$E$579,$A418,'Deferred Revenue'!$Q$6:$Q$579)</f>
        <v/>
      </c>
      <c r="E418" s="50">
        <f>C418+D418</f>
        <v/>
      </c>
      <c r="F418" s="49">
        <f>IF(ROUND(C418,2)+ROUND(D418,2)=0,"","yes")</f>
        <v/>
      </c>
      <c r="G418" s="58" t="n"/>
      <c r="H418" s="50">
        <f>IF($G418="","",$E418-$G418)</f>
        <v/>
      </c>
    </row>
    <row r="419">
      <c r="A419" s="57" t="inlineStr">
        <is>
          <t>9178</t>
        </is>
      </c>
      <c r="B419" s="57" t="inlineStr">
        <is>
          <t>Production – Webcasts</t>
        </is>
      </c>
      <c r="C419" s="50">
        <f>SUMIFS(tbl_WIP[Amount],tbl_WIP[Job Number],$A419,tbl_WIP[Month],"&lt;&gt;",tbl_WIP[Month],"&lt;"&amp;$C$4)+SUMIF('Deferred Revenue'!$E$6:$E$579,$A419,'Deferred Revenue'!$P$6:$P$579)</f>
        <v/>
      </c>
      <c r="D419" s="50">
        <f>SUMIFS(tbl_WIP[Amount],tbl_WIP[Job Number],$A419,tbl_WIP[Month],$C$4)+SUMIF('Deferred Revenue'!$E$6:$E$579,$A419,'Deferred Revenue'!$Q$6:$Q$579)</f>
        <v/>
      </c>
      <c r="E419" s="50">
        <f>C419+D419</f>
        <v/>
      </c>
      <c r="F419" s="49">
        <f>IF(ROUND(C419,2)+ROUND(D419,2)=0,"","yes")</f>
        <v/>
      </c>
      <c r="G419" s="58" t="n"/>
      <c r="H419" s="50">
        <f>IF($G419="","",$E419-$G419)</f>
        <v/>
      </c>
    </row>
    <row r="420">
      <c r="A420" s="57" t="inlineStr">
        <is>
          <t>9200</t>
        </is>
      </c>
      <c r="B420" s="57" t="inlineStr">
        <is>
          <t>INTEGRATION</t>
        </is>
      </c>
      <c r="C420" s="50">
        <f>SUMIFS(tbl_WIP[Amount],tbl_WIP[Job Number],$A420,tbl_WIP[Month],"&lt;&gt;",tbl_WIP[Month],"&lt;"&amp;$C$4)+SUMIF('Deferred Revenue'!$E$6:$E$579,$A420,'Deferred Revenue'!$P$6:$P$579)</f>
        <v/>
      </c>
      <c r="D420" s="50">
        <f>SUMIFS(tbl_WIP[Amount],tbl_WIP[Job Number],$A420,tbl_WIP[Month],$C$4)+SUMIF('Deferred Revenue'!$E$6:$E$579,$A420,'Deferred Revenue'!$Q$6:$Q$579)</f>
        <v/>
      </c>
      <c r="E420" s="50">
        <f>C420+D420</f>
        <v/>
      </c>
      <c r="F420" s="49">
        <f>IF(ROUND(C420,2)+ROUND(D420,2)=0,"","yes")</f>
        <v/>
      </c>
      <c r="G420" s="58" t="n"/>
      <c r="H420" s="50">
        <f>IF($G420="","",$E420-$G420)</f>
        <v/>
      </c>
    </row>
    <row r="421">
      <c r="A421" s="57" t="inlineStr">
        <is>
          <t>9201</t>
        </is>
      </c>
      <c r="B421" s="57" t="inlineStr">
        <is>
          <t>INTEGRATION - Orientation [INT</t>
        </is>
      </c>
      <c r="C421" s="50">
        <f>SUMIFS(tbl_WIP[Amount],tbl_WIP[Job Number],$A421,tbl_WIP[Month],"&lt;&gt;",tbl_WIP[Month],"&lt;"&amp;$C$4)+SUMIF('Deferred Revenue'!$E$6:$E$579,$A421,'Deferred Revenue'!$P$6:$P$579)</f>
        <v/>
      </c>
      <c r="D421" s="50">
        <f>SUMIFS(tbl_WIP[Amount],tbl_WIP[Job Number],$A421,tbl_WIP[Month],$C$4)+SUMIF('Deferred Revenue'!$E$6:$E$579,$A421,'Deferred Revenue'!$Q$6:$Q$579)</f>
        <v/>
      </c>
      <c r="E421" s="50">
        <f>C421+D421</f>
        <v/>
      </c>
      <c r="F421" s="49">
        <f>IF(ROUND(C421,2)+ROUND(D421,2)=0,"","yes")</f>
        <v/>
      </c>
      <c r="G421" s="58" t="n"/>
      <c r="H421" s="50">
        <f>IF($G421="","",$E421-$G421)</f>
        <v/>
      </c>
    </row>
    <row r="422">
      <c r="A422" s="57" t="inlineStr">
        <is>
          <t>9202</t>
        </is>
      </c>
      <c r="B422" s="57" t="inlineStr">
        <is>
          <t>INTEGRATION - Quotes</t>
        </is>
      </c>
      <c r="C422" s="50">
        <f>SUMIFS(tbl_WIP[Amount],tbl_WIP[Job Number],$A422,tbl_WIP[Month],"&lt;&gt;",tbl_WIP[Month],"&lt;"&amp;$C$4)+SUMIF('Deferred Revenue'!$E$6:$E$579,$A422,'Deferred Revenue'!$P$6:$P$579)</f>
        <v/>
      </c>
      <c r="D422" s="50">
        <f>SUMIFS(tbl_WIP[Amount],tbl_WIP[Job Number],$A422,tbl_WIP[Month],$C$4)+SUMIF('Deferred Revenue'!$E$6:$E$579,$A422,'Deferred Revenue'!$Q$6:$Q$579)</f>
        <v/>
      </c>
      <c r="E422" s="50">
        <f>C422+D422</f>
        <v/>
      </c>
      <c r="F422" s="49">
        <f>IF(ROUND(C422,2)+ROUND(D422,2)=0,"","yes")</f>
        <v/>
      </c>
      <c r="G422" s="58" t="n"/>
      <c r="H422" s="50">
        <f>IF($G422="","",$E422-$G422)</f>
        <v/>
      </c>
    </row>
    <row r="423">
      <c r="A423" s="57" t="inlineStr">
        <is>
          <t>9225</t>
        </is>
      </c>
      <c r="B423" s="57" t="inlineStr">
        <is>
          <t>Integration - SALES</t>
        </is>
      </c>
      <c r="C423" s="50">
        <f>SUMIFS(tbl_WIP[Amount],tbl_WIP[Job Number],$A423,tbl_WIP[Month],"&lt;&gt;",tbl_WIP[Month],"&lt;"&amp;$C$4)+SUMIF('Deferred Revenue'!$E$6:$E$579,$A423,'Deferred Revenue'!$P$6:$P$579)</f>
        <v/>
      </c>
      <c r="D423" s="50">
        <f>SUMIFS(tbl_WIP[Amount],tbl_WIP[Job Number],$A423,tbl_WIP[Month],$C$4)+SUMIF('Deferred Revenue'!$E$6:$E$579,$A423,'Deferred Revenue'!$Q$6:$Q$579)</f>
        <v/>
      </c>
      <c r="E423" s="50">
        <f>C423+D423</f>
        <v/>
      </c>
      <c r="F423" s="49">
        <f>IF(ROUND(C423,2)+ROUND(D423,2)=0,"","yes")</f>
        <v/>
      </c>
      <c r="G423" s="58" t="n"/>
      <c r="H423" s="50">
        <f>IF($G423="","",$E423-$G423)</f>
        <v/>
      </c>
    </row>
    <row r="424">
      <c r="A424" s="57" t="inlineStr">
        <is>
          <t>9226</t>
        </is>
      </c>
      <c r="B424" s="57" t="inlineStr">
        <is>
          <t>Integration - Marketing</t>
        </is>
      </c>
      <c r="C424" s="50">
        <f>SUMIFS(tbl_WIP[Amount],tbl_WIP[Job Number],$A424,tbl_WIP[Month],"&lt;&gt;",tbl_WIP[Month],"&lt;"&amp;$C$4)+SUMIF('Deferred Revenue'!$E$6:$E$579,$A424,'Deferred Revenue'!$P$6:$P$579)</f>
        <v/>
      </c>
      <c r="D424" s="50">
        <f>SUMIFS(tbl_WIP[Amount],tbl_WIP[Job Number],$A424,tbl_WIP[Month],$C$4)+SUMIF('Deferred Revenue'!$E$6:$E$579,$A424,'Deferred Revenue'!$Q$6:$Q$579)</f>
        <v/>
      </c>
      <c r="E424" s="50">
        <f>C424+D424</f>
        <v/>
      </c>
      <c r="F424" s="49">
        <f>IF(ROUND(C424,2)+ROUND(D424,2)=0,"","yes")</f>
        <v/>
      </c>
      <c r="G424" s="58" t="n"/>
      <c r="H424" s="50">
        <f>IF($G424="","",$E424-$G424)</f>
        <v/>
      </c>
    </row>
    <row r="425">
      <c r="A425" s="57" t="inlineStr">
        <is>
          <t>9300</t>
        </is>
      </c>
      <c r="B425" s="57" t="inlineStr">
        <is>
          <t>HUMAN RESOURCES</t>
        </is>
      </c>
      <c r="C425" s="50">
        <f>SUMIFS(tbl_WIP[Amount],tbl_WIP[Job Number],$A425,tbl_WIP[Month],"&lt;&gt;",tbl_WIP[Month],"&lt;"&amp;$C$4)+SUMIF('Deferred Revenue'!$E$6:$E$579,$A425,'Deferred Revenue'!$P$6:$P$579)</f>
        <v/>
      </c>
      <c r="D425" s="50">
        <f>SUMIFS(tbl_WIP[Amount],tbl_WIP[Job Number],$A425,tbl_WIP[Month],$C$4)+SUMIF('Deferred Revenue'!$E$6:$E$579,$A425,'Deferred Revenue'!$Q$6:$Q$579)</f>
        <v/>
      </c>
      <c r="E425" s="50">
        <f>C425+D425</f>
        <v/>
      </c>
      <c r="F425" s="49">
        <f>IF(ROUND(C425,2)+ROUND(D425,2)=0,"","yes")</f>
        <v/>
      </c>
      <c r="G425" s="58" t="n"/>
      <c r="H425" s="50">
        <f>IF($G425="","",$E425-$G425)</f>
        <v/>
      </c>
    </row>
    <row r="426">
      <c r="A426" s="57" t="inlineStr">
        <is>
          <t>9301</t>
        </is>
      </c>
      <c r="B426" s="57" t="inlineStr">
        <is>
          <t>Recruitment</t>
        </is>
      </c>
      <c r="C426" s="50">
        <f>SUMIFS(tbl_WIP[Amount],tbl_WIP[Job Number],$A426,tbl_WIP[Month],"&lt;&gt;",tbl_WIP[Month],"&lt;"&amp;$C$4)+SUMIF('Deferred Revenue'!$E$6:$E$579,$A426,'Deferred Revenue'!$P$6:$P$579)</f>
        <v/>
      </c>
      <c r="D426" s="50">
        <f>SUMIFS(tbl_WIP[Amount],tbl_WIP[Job Number],$A426,tbl_WIP[Month],$C$4)+SUMIF('Deferred Revenue'!$E$6:$E$579,$A426,'Deferred Revenue'!$Q$6:$Q$579)</f>
        <v/>
      </c>
      <c r="E426" s="50">
        <f>C426+D426</f>
        <v/>
      </c>
      <c r="F426" s="49">
        <f>IF(ROUND(C426,2)+ROUND(D426,2)=0,"","yes")</f>
        <v/>
      </c>
      <c r="G426" s="58" t="n"/>
      <c r="H426" s="50">
        <f>IF($G426="","",$E426-$G426)</f>
        <v/>
      </c>
    </row>
    <row r="427">
      <c r="A427" s="57" t="inlineStr">
        <is>
          <t>9350</t>
        </is>
      </c>
      <c r="B427" s="57" t="inlineStr">
        <is>
          <t>MARKETING (external)</t>
        </is>
      </c>
      <c r="C427" s="50">
        <f>SUMIFS(tbl_WIP[Amount],tbl_WIP[Job Number],$A427,tbl_WIP[Month],"&lt;&gt;",tbl_WIP[Month],"&lt;"&amp;$C$4)+SUMIF('Deferred Revenue'!$E$6:$E$579,$A427,'Deferred Revenue'!$P$6:$P$579)</f>
        <v/>
      </c>
      <c r="D427" s="50">
        <f>SUMIFS(tbl_WIP[Amount],tbl_WIP[Job Number],$A427,tbl_WIP[Month],$C$4)+SUMIF('Deferred Revenue'!$E$6:$E$579,$A427,'Deferred Revenue'!$Q$6:$Q$579)</f>
        <v/>
      </c>
      <c r="E427" s="50">
        <f>C427+D427</f>
        <v/>
      </c>
      <c r="F427" s="49">
        <f>IF(ROUND(C427,2)+ROUND(D427,2)=0,"","yes")</f>
        <v/>
      </c>
      <c r="G427" s="58" t="n"/>
      <c r="H427" s="50">
        <f>IF($G427="","",$E427-$G427)</f>
        <v/>
      </c>
    </row>
    <row r="428">
      <c r="A428" s="57" t="inlineStr">
        <is>
          <t>9375</t>
        </is>
      </c>
      <c r="B428" s="57" t="inlineStr">
        <is>
          <t>MARKETING / COMMS</t>
        </is>
      </c>
      <c r="C428" s="50">
        <f>SUMIFS(tbl_WIP[Amount],tbl_WIP[Job Number],$A428,tbl_WIP[Month],"&lt;&gt;",tbl_WIP[Month],"&lt;"&amp;$C$4)+SUMIF('Deferred Revenue'!$E$6:$E$579,$A428,'Deferred Revenue'!$P$6:$P$579)</f>
        <v/>
      </c>
      <c r="D428" s="50">
        <f>SUMIFS(tbl_WIP[Amount],tbl_WIP[Job Number],$A428,tbl_WIP[Month],$C$4)+SUMIF('Deferred Revenue'!$E$6:$E$579,$A428,'Deferred Revenue'!$Q$6:$Q$579)</f>
        <v/>
      </c>
      <c r="E428" s="50">
        <f>C428+D428</f>
        <v/>
      </c>
      <c r="F428" s="49">
        <f>IF(ROUND(C428,2)+ROUND(D428,2)=0,"","yes")</f>
        <v/>
      </c>
      <c r="G428" s="58" t="n"/>
      <c r="H428" s="50">
        <f>IF($G428="","",$E428-$G428)</f>
        <v/>
      </c>
    </row>
    <row r="429">
      <c r="A429" s="57" t="inlineStr">
        <is>
          <t>9400</t>
        </is>
      </c>
      <c r="B429" s="57" t="inlineStr">
        <is>
          <t>CONSULTING</t>
        </is>
      </c>
      <c r="C429" s="50">
        <f>SUMIFS(tbl_WIP[Amount],tbl_WIP[Job Number],$A429,tbl_WIP[Month],"&lt;&gt;",tbl_WIP[Month],"&lt;"&amp;$C$4)+SUMIF('Deferred Revenue'!$E$6:$E$579,$A429,'Deferred Revenue'!$P$6:$P$579)</f>
        <v/>
      </c>
      <c r="D429" s="50">
        <f>SUMIFS(tbl_WIP[Amount],tbl_WIP[Job Number],$A429,tbl_WIP[Month],$C$4)+SUMIF('Deferred Revenue'!$E$6:$E$579,$A429,'Deferred Revenue'!$Q$6:$Q$579)</f>
        <v/>
      </c>
      <c r="E429" s="50">
        <f>C429+D429</f>
        <v/>
      </c>
      <c r="F429" s="49">
        <f>IF(ROUND(C429,2)+ROUND(D429,2)=0,"","yes")</f>
        <v/>
      </c>
      <c r="G429" s="58" t="n"/>
      <c r="H429" s="50">
        <f>IF($G429="","",$E429-$G429)</f>
        <v/>
      </c>
    </row>
    <row r="430">
      <c r="A430" s="57" t="inlineStr">
        <is>
          <t>9402</t>
        </is>
      </c>
      <c r="B430" s="57" t="inlineStr">
        <is>
          <t>CONSULTING - Assets</t>
        </is>
      </c>
      <c r="C430" s="50">
        <f>SUMIFS(tbl_WIP[Amount],tbl_WIP[Job Number],$A430,tbl_WIP[Month],"&lt;&gt;",tbl_WIP[Month],"&lt;"&amp;$C$4)+SUMIF('Deferred Revenue'!$E$6:$E$579,$A430,'Deferred Revenue'!$P$6:$P$579)</f>
        <v/>
      </c>
      <c r="D430" s="50">
        <f>SUMIFS(tbl_WIP[Amount],tbl_WIP[Job Number],$A430,tbl_WIP[Month],$C$4)+SUMIF('Deferred Revenue'!$E$6:$E$579,$A430,'Deferred Revenue'!$Q$6:$Q$579)</f>
        <v/>
      </c>
      <c r="E430" s="50">
        <f>C430+D430</f>
        <v/>
      </c>
      <c r="F430" s="49">
        <f>IF(ROUND(C430,2)+ROUND(D430,2)=0,"","yes")</f>
        <v/>
      </c>
      <c r="G430" s="58" t="n"/>
      <c r="H430" s="50">
        <f>IF($G430="","",$E430-$G430)</f>
        <v/>
      </c>
    </row>
    <row r="431">
      <c r="A431" s="57" t="inlineStr">
        <is>
          <t>9403</t>
        </is>
      </c>
      <c r="B431" s="57" t="inlineStr">
        <is>
          <t>CONSULTING - Sales</t>
        </is>
      </c>
      <c r="C431" s="50">
        <f>SUMIFS(tbl_WIP[Amount],tbl_WIP[Job Number],$A431,tbl_WIP[Month],"&lt;&gt;",tbl_WIP[Month],"&lt;"&amp;$C$4)+SUMIF('Deferred Revenue'!$E$6:$E$579,$A431,'Deferred Revenue'!$P$6:$P$579)</f>
        <v/>
      </c>
      <c r="D431" s="50">
        <f>SUMIFS(tbl_WIP[Amount],tbl_WIP[Job Number],$A431,tbl_WIP[Month],$C$4)+SUMIF('Deferred Revenue'!$E$6:$E$579,$A431,'Deferred Revenue'!$Q$6:$Q$579)</f>
        <v/>
      </c>
      <c r="E431" s="50">
        <f>C431+D431</f>
        <v/>
      </c>
      <c r="F431" s="49">
        <f>IF(ROUND(C431,2)+ROUND(D431,2)=0,"","yes")</f>
        <v/>
      </c>
      <c r="G431" s="58" t="n"/>
      <c r="H431" s="50">
        <f>IF($G431="","",$E431-$G431)</f>
        <v/>
      </c>
    </row>
    <row r="432">
      <c r="A432" s="57" t="inlineStr">
        <is>
          <t>9405</t>
        </is>
      </c>
      <c r="B432" s="57" t="inlineStr">
        <is>
          <t>CONSULTING - Marketing</t>
        </is>
      </c>
      <c r="C432" s="50">
        <f>SUMIFS(tbl_WIP[Amount],tbl_WIP[Job Number],$A432,tbl_WIP[Month],"&lt;&gt;",tbl_WIP[Month],"&lt;"&amp;$C$4)+SUMIF('Deferred Revenue'!$E$6:$E$579,$A432,'Deferred Revenue'!$P$6:$P$579)</f>
        <v/>
      </c>
      <c r="D432" s="50">
        <f>SUMIFS(tbl_WIP[Amount],tbl_WIP[Job Number],$A432,tbl_WIP[Month],$C$4)+SUMIF('Deferred Revenue'!$E$6:$E$579,$A432,'Deferred Revenue'!$Q$6:$Q$579)</f>
        <v/>
      </c>
      <c r="E432" s="50">
        <f>C432+D432</f>
        <v/>
      </c>
      <c r="F432" s="49">
        <f>IF(ROUND(C432,2)+ROUND(D432,2)=0,"","yes")</f>
        <v/>
      </c>
      <c r="G432" s="58" t="n"/>
      <c r="H432" s="50">
        <f>IF($G432="","",$E432-$G432)</f>
        <v/>
      </c>
    </row>
    <row r="433">
      <c r="A433" s="57" t="inlineStr">
        <is>
          <t>9407</t>
        </is>
      </c>
      <c r="B433" s="57" t="inlineStr">
        <is>
          <t>CONSULTING - Training</t>
        </is>
      </c>
      <c r="C433" s="50">
        <f>SUMIFS(tbl_WIP[Amount],tbl_WIP[Job Number],$A433,tbl_WIP[Month],"&lt;&gt;",tbl_WIP[Month],"&lt;"&amp;$C$4)+SUMIF('Deferred Revenue'!$E$6:$E$579,$A433,'Deferred Revenue'!$P$6:$P$579)</f>
        <v/>
      </c>
      <c r="D433" s="50">
        <f>SUMIFS(tbl_WIP[Amount],tbl_WIP[Job Number],$A433,tbl_WIP[Month],$C$4)+SUMIF('Deferred Revenue'!$E$6:$E$579,$A433,'Deferred Revenue'!$Q$6:$Q$579)</f>
        <v/>
      </c>
      <c r="E433" s="50">
        <f>C433+D433</f>
        <v/>
      </c>
      <c r="F433" s="49">
        <f>IF(ROUND(C433,2)+ROUND(D433,2)=0,"","yes")</f>
        <v/>
      </c>
      <c r="G433" s="58" t="n"/>
      <c r="H433" s="50">
        <f>IF($G433="","",$E433-$G433)</f>
        <v/>
      </c>
    </row>
    <row r="434">
      <c r="A434" s="57" t="inlineStr">
        <is>
          <t>974</t>
        </is>
      </c>
      <c r="B434" s="57" t="inlineStr">
        <is>
          <t>DTTL 1300 Number</t>
        </is>
      </c>
      <c r="C434" s="50">
        <f>SUMIFS(tbl_WIP[Amount],tbl_WIP[Job Number],$A434,tbl_WIP[Month],"&lt;&gt;",tbl_WIP[Month],"&lt;"&amp;$C$4)+SUMIF('Deferred Revenue'!$E$6:$E$579,$A434,'Deferred Revenue'!$P$6:$P$579)</f>
        <v/>
      </c>
      <c r="D434" s="50">
        <f>SUMIFS(tbl_WIP[Amount],tbl_WIP[Job Number],$A434,tbl_WIP[Month],$C$4)+SUMIF('Deferred Revenue'!$E$6:$E$579,$A434,'Deferred Revenue'!$Q$6:$Q$579)</f>
        <v/>
      </c>
      <c r="E434" s="50">
        <f>C434+D434</f>
        <v/>
      </c>
      <c r="F434" s="49">
        <f>IF(ROUND(C434,2)+ROUND(D434,2)=0,"","yes")</f>
        <v/>
      </c>
      <c r="G434" s="58" t="n"/>
      <c r="H434" s="50">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R579"/>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1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30" t="inlineStr">
        <is>
          <t>Month</t>
        </is>
      </c>
      <c r="C3" s="55">
        <f>'Month-End'!C4</f>
        <v/>
      </c>
      <c r="D3" s="32" t="inlineStr">
        <is>
          <t>&lt;- set on the Month-End sheet</t>
        </is>
      </c>
    </row>
    <row r="5" ht="32" customHeight="1">
      <c r="A5" s="59" t="inlineStr">
        <is>
          <t>Line</t>
        </is>
      </c>
      <c r="B5" s="59" t="inlineStr">
        <is>
          <t>Date</t>
        </is>
      </c>
      <c r="C5" s="59" t="inlineStr">
        <is>
          <t>Xero Invoice No</t>
        </is>
      </c>
      <c r="D5" s="59" t="inlineStr">
        <is>
          <t>Client</t>
        </is>
      </c>
      <c r="E5" s="59" t="inlineStr">
        <is>
          <t>Job Number</t>
        </is>
      </c>
      <c r="F5" s="59" t="inlineStr">
        <is>
          <t>Cost Centre</t>
        </is>
      </c>
      <c r="G5" s="59" t="inlineStr">
        <is>
          <t>Ex GST</t>
        </is>
      </c>
      <c r="H5" s="59" t="inlineStr">
        <is>
          <t>Defer Start</t>
        </is>
      </c>
      <c r="I5" s="59" t="inlineStr">
        <is>
          <t>Defer End</t>
        </is>
      </c>
      <c r="J5" s="59" t="inlineStr">
        <is>
          <t>Months</t>
        </is>
      </c>
      <c r="K5" s="59" t="inlineStr">
        <is>
          <t>Per Month</t>
        </is>
      </c>
      <c r="L5" s="59" t="inlineStr">
        <is>
          <t>Recognised to date</t>
        </is>
      </c>
      <c r="M5" s="59" t="inlineStr">
        <is>
          <t>Recognised to prior</t>
        </is>
      </c>
      <c r="N5" s="59" t="inlineStr">
        <is>
          <t>Invoiced to date</t>
        </is>
      </c>
      <c r="O5" s="59" t="inlineStr">
        <is>
          <t>Invoiced to prior</t>
        </is>
      </c>
      <c r="P5" s="59" t="inlineStr">
        <is>
          <t>Opening WIP</t>
        </is>
      </c>
      <c r="Q5" s="59" t="inlineStr">
        <is>
          <t>Movement</t>
        </is>
      </c>
      <c r="R5" s="59" t="inlineStr">
        <is>
          <t>Closing WIP</t>
        </is>
      </c>
    </row>
    <row r="6">
      <c r="A6" s="60">
        <f>ROW()-5</f>
        <v/>
      </c>
      <c r="B6" s="61">
        <f>IFERROR(INDEX(tbl_Finance[Date],$A6),"")</f>
        <v/>
      </c>
      <c r="C6" s="62">
        <f>IFERROR(INDEX(tbl_Finance[Xero Invoice No],$A6),"")</f>
        <v/>
      </c>
      <c r="D6" s="62">
        <f>IFERROR(INDEX(tbl_Finance[Client],$A6),"")</f>
        <v/>
      </c>
      <c r="E6" s="62">
        <f>IFERROR(INDEX(tbl_Finance[Job Number],$A6),"")</f>
        <v/>
      </c>
      <c r="F6" s="62">
        <f>IFERROR(INDEX(tbl_Finance[Cost Centre],$A6),"")</f>
        <v/>
      </c>
      <c r="G6" s="63">
        <f>IFERROR(INDEX(tbl_Finance[Ex GST],$A6),"")</f>
        <v/>
      </c>
      <c r="H6" s="61">
        <f>IFERROR(INDEX(tbl_Finance[Defer Start],$A6),"")</f>
        <v/>
      </c>
      <c r="I6" s="61">
        <f>IFERROR(INDEX(tbl_Finance[Defer End],$A6),"")</f>
        <v/>
      </c>
      <c r="J6" s="60">
        <f>IF(OR($H6="",$I6="",$G6=""),"",MAX(1,(YEAR($I6)-YEAR($H6))*12+MONTH($I6)-MONTH($H6)+1))</f>
        <v/>
      </c>
      <c r="K6" s="63">
        <f>IF($J6="","",$G6/$J6)</f>
        <v/>
      </c>
      <c r="L6" s="63">
        <f>IF($J6="",0,$K6*MAX(0,MIN(YEAR($C$3)*12+MONTH($C$3),YEAR($I6)*12+MONTH($I6))-(YEAR($H6)*12+MONTH($H6))+1))</f>
        <v/>
      </c>
      <c r="M6" s="63">
        <f>IF($J6="",0,$K6*MAX(0,MIN(YEAR($C$3)*12+MONTH($C$3)-1,YEAR($I6)*12+MONTH($I6))-(YEAR($H6)*12+MONTH($H6))+1))</f>
        <v/>
      </c>
      <c r="N6" s="63">
        <f>IF(OR($J6="",$B6=""),0,IF(YEAR($B6)*12+MONTH($B6)&lt;=YEAR($C$3)*12+MONTH($C$3),$G6,0))</f>
        <v/>
      </c>
      <c r="O6" s="63">
        <f>IF(OR($J6="",$B6=""),0,IF(YEAR($B6)*12+MONTH($B6)&lt;=YEAR($C$3)*12+MONTH($C$3)-1,$G6,0))</f>
        <v/>
      </c>
      <c r="P6" s="63">
        <f>$M6-$O6</f>
        <v/>
      </c>
      <c r="Q6" s="63">
        <f>($L6-$M6)-($N6-$O6)</f>
        <v/>
      </c>
      <c r="R6" s="63">
        <f>$L6-$N6</f>
        <v/>
      </c>
    </row>
    <row r="7">
      <c r="A7" s="60">
        <f>ROW()-5</f>
        <v/>
      </c>
      <c r="B7" s="61">
        <f>IFERROR(INDEX(tbl_Finance[Date],$A7),"")</f>
        <v/>
      </c>
      <c r="C7" s="62">
        <f>IFERROR(INDEX(tbl_Finance[Xero Invoice No],$A7),"")</f>
        <v/>
      </c>
      <c r="D7" s="62">
        <f>IFERROR(INDEX(tbl_Finance[Client],$A7),"")</f>
        <v/>
      </c>
      <c r="E7" s="62">
        <f>IFERROR(INDEX(tbl_Finance[Job Number],$A7),"")</f>
        <v/>
      </c>
      <c r="F7" s="62">
        <f>IFERROR(INDEX(tbl_Finance[Cost Centre],$A7),"")</f>
        <v/>
      </c>
      <c r="G7" s="63">
        <f>IFERROR(INDEX(tbl_Finance[Ex GST],$A7),"")</f>
        <v/>
      </c>
      <c r="H7" s="61">
        <f>IFERROR(INDEX(tbl_Finance[Defer Start],$A7),"")</f>
        <v/>
      </c>
      <c r="I7" s="61">
        <f>IFERROR(INDEX(tbl_Finance[Defer End],$A7),"")</f>
        <v/>
      </c>
      <c r="J7" s="60">
        <f>IF(OR($H7="",$I7="",$G7=""),"",MAX(1,(YEAR($I7)-YEAR($H7))*12+MONTH($I7)-MONTH($H7)+1))</f>
        <v/>
      </c>
      <c r="K7" s="63">
        <f>IF($J7="","",$G7/$J7)</f>
        <v/>
      </c>
      <c r="L7" s="63">
        <f>IF($J7="",0,$K7*MAX(0,MIN(YEAR($C$3)*12+MONTH($C$3),YEAR($I7)*12+MONTH($I7))-(YEAR($H7)*12+MONTH($H7))+1))</f>
        <v/>
      </c>
      <c r="M7" s="63">
        <f>IF($J7="",0,$K7*MAX(0,MIN(YEAR($C$3)*12+MONTH($C$3)-1,YEAR($I7)*12+MONTH($I7))-(YEAR($H7)*12+MONTH($H7))+1))</f>
        <v/>
      </c>
      <c r="N7" s="63">
        <f>IF(OR($J7="",$B7=""),0,IF(YEAR($B7)*12+MONTH($B7)&lt;=YEAR($C$3)*12+MONTH($C$3),$G7,0))</f>
        <v/>
      </c>
      <c r="O7" s="63">
        <f>IF(OR($J7="",$B7=""),0,IF(YEAR($B7)*12+MONTH($B7)&lt;=YEAR($C$3)*12+MONTH($C$3)-1,$G7,0))</f>
        <v/>
      </c>
      <c r="P7" s="63">
        <f>$M7-$O7</f>
        <v/>
      </c>
      <c r="Q7" s="63">
        <f>($L7-$M7)-($N7-$O7)</f>
        <v/>
      </c>
      <c r="R7" s="63">
        <f>$L7-$N7</f>
        <v/>
      </c>
    </row>
    <row r="8">
      <c r="A8" s="60">
        <f>ROW()-5</f>
        <v/>
      </c>
      <c r="B8" s="61">
        <f>IFERROR(INDEX(tbl_Finance[Date],$A8),"")</f>
        <v/>
      </c>
      <c r="C8" s="62">
        <f>IFERROR(INDEX(tbl_Finance[Xero Invoice No],$A8),"")</f>
        <v/>
      </c>
      <c r="D8" s="62">
        <f>IFERROR(INDEX(tbl_Finance[Client],$A8),"")</f>
        <v/>
      </c>
      <c r="E8" s="62">
        <f>IFERROR(INDEX(tbl_Finance[Job Number],$A8),"")</f>
        <v/>
      </c>
      <c r="F8" s="62">
        <f>IFERROR(INDEX(tbl_Finance[Cost Centre],$A8),"")</f>
        <v/>
      </c>
      <c r="G8" s="63">
        <f>IFERROR(INDEX(tbl_Finance[Ex GST],$A8),"")</f>
        <v/>
      </c>
      <c r="H8" s="61">
        <f>IFERROR(INDEX(tbl_Finance[Defer Start],$A8),"")</f>
        <v/>
      </c>
      <c r="I8" s="61">
        <f>IFERROR(INDEX(tbl_Finance[Defer End],$A8),"")</f>
        <v/>
      </c>
      <c r="J8" s="60">
        <f>IF(OR($H8="",$I8="",$G8=""),"",MAX(1,(YEAR($I8)-YEAR($H8))*12+MONTH($I8)-MONTH($H8)+1))</f>
        <v/>
      </c>
      <c r="K8" s="63">
        <f>IF($J8="","",$G8/$J8)</f>
        <v/>
      </c>
      <c r="L8" s="63">
        <f>IF($J8="",0,$K8*MAX(0,MIN(YEAR($C$3)*12+MONTH($C$3),YEAR($I8)*12+MONTH($I8))-(YEAR($H8)*12+MONTH($H8))+1))</f>
        <v/>
      </c>
      <c r="M8" s="63">
        <f>IF($J8="",0,$K8*MAX(0,MIN(YEAR($C$3)*12+MONTH($C$3)-1,YEAR($I8)*12+MONTH($I8))-(YEAR($H8)*12+MONTH($H8))+1))</f>
        <v/>
      </c>
      <c r="N8" s="63">
        <f>IF(OR($J8="",$B8=""),0,IF(YEAR($B8)*12+MONTH($B8)&lt;=YEAR($C$3)*12+MONTH($C$3),$G8,0))</f>
        <v/>
      </c>
      <c r="O8" s="63">
        <f>IF(OR($J8="",$B8=""),0,IF(YEAR($B8)*12+MONTH($B8)&lt;=YEAR($C$3)*12+MONTH($C$3)-1,$G8,0))</f>
        <v/>
      </c>
      <c r="P8" s="63">
        <f>$M8-$O8</f>
        <v/>
      </c>
      <c r="Q8" s="63">
        <f>($L8-$M8)-($N8-$O8)</f>
        <v/>
      </c>
      <c r="R8" s="63">
        <f>$L8-$N8</f>
        <v/>
      </c>
    </row>
    <row r="9">
      <c r="A9" s="60">
        <f>ROW()-5</f>
        <v/>
      </c>
      <c r="B9" s="61">
        <f>IFERROR(INDEX(tbl_Finance[Date],$A9),"")</f>
        <v/>
      </c>
      <c r="C9" s="62">
        <f>IFERROR(INDEX(tbl_Finance[Xero Invoice No],$A9),"")</f>
        <v/>
      </c>
      <c r="D9" s="62">
        <f>IFERROR(INDEX(tbl_Finance[Client],$A9),"")</f>
        <v/>
      </c>
      <c r="E9" s="62">
        <f>IFERROR(INDEX(tbl_Finance[Job Number],$A9),"")</f>
        <v/>
      </c>
      <c r="F9" s="62">
        <f>IFERROR(INDEX(tbl_Finance[Cost Centre],$A9),"")</f>
        <v/>
      </c>
      <c r="G9" s="63">
        <f>IFERROR(INDEX(tbl_Finance[Ex GST],$A9),"")</f>
        <v/>
      </c>
      <c r="H9" s="61">
        <f>IFERROR(INDEX(tbl_Finance[Defer Start],$A9),"")</f>
        <v/>
      </c>
      <c r="I9" s="61">
        <f>IFERROR(INDEX(tbl_Finance[Defer End],$A9),"")</f>
        <v/>
      </c>
      <c r="J9" s="60">
        <f>IF(OR($H9="",$I9="",$G9=""),"",MAX(1,(YEAR($I9)-YEAR($H9))*12+MONTH($I9)-MONTH($H9)+1))</f>
        <v/>
      </c>
      <c r="K9" s="63">
        <f>IF($J9="","",$G9/$J9)</f>
        <v/>
      </c>
      <c r="L9" s="63">
        <f>IF($J9="",0,$K9*MAX(0,MIN(YEAR($C$3)*12+MONTH($C$3),YEAR($I9)*12+MONTH($I9))-(YEAR($H9)*12+MONTH($H9))+1))</f>
        <v/>
      </c>
      <c r="M9" s="63">
        <f>IF($J9="",0,$K9*MAX(0,MIN(YEAR($C$3)*12+MONTH($C$3)-1,YEAR($I9)*12+MONTH($I9))-(YEAR($H9)*12+MONTH($H9))+1))</f>
        <v/>
      </c>
      <c r="N9" s="63">
        <f>IF(OR($J9="",$B9=""),0,IF(YEAR($B9)*12+MONTH($B9)&lt;=YEAR($C$3)*12+MONTH($C$3),$G9,0))</f>
        <v/>
      </c>
      <c r="O9" s="63">
        <f>IF(OR($J9="",$B9=""),0,IF(YEAR($B9)*12+MONTH($B9)&lt;=YEAR($C$3)*12+MONTH($C$3)-1,$G9,0))</f>
        <v/>
      </c>
      <c r="P9" s="63">
        <f>$M9-$O9</f>
        <v/>
      </c>
      <c r="Q9" s="63">
        <f>($L9-$M9)-($N9-$O9)</f>
        <v/>
      </c>
      <c r="R9" s="63">
        <f>$L9-$N9</f>
        <v/>
      </c>
    </row>
    <row r="10">
      <c r="A10" s="60">
        <f>ROW()-5</f>
        <v/>
      </c>
      <c r="B10" s="61">
        <f>IFERROR(INDEX(tbl_Finance[Date],$A10),"")</f>
        <v/>
      </c>
      <c r="C10" s="62">
        <f>IFERROR(INDEX(tbl_Finance[Xero Invoice No],$A10),"")</f>
        <v/>
      </c>
      <c r="D10" s="62">
        <f>IFERROR(INDEX(tbl_Finance[Client],$A10),"")</f>
        <v/>
      </c>
      <c r="E10" s="62">
        <f>IFERROR(INDEX(tbl_Finance[Job Number],$A10),"")</f>
        <v/>
      </c>
      <c r="F10" s="62">
        <f>IFERROR(INDEX(tbl_Finance[Cost Centre],$A10),"")</f>
        <v/>
      </c>
      <c r="G10" s="63">
        <f>IFERROR(INDEX(tbl_Finance[Ex GST],$A10),"")</f>
        <v/>
      </c>
      <c r="H10" s="61">
        <f>IFERROR(INDEX(tbl_Finance[Defer Start],$A10),"")</f>
        <v/>
      </c>
      <c r="I10" s="61">
        <f>IFERROR(INDEX(tbl_Finance[Defer End],$A10),"")</f>
        <v/>
      </c>
      <c r="J10" s="60">
        <f>IF(OR($H10="",$I10="",$G10=""),"",MAX(1,(YEAR($I10)-YEAR($H10))*12+MONTH($I10)-MONTH($H10)+1))</f>
        <v/>
      </c>
      <c r="K10" s="63">
        <f>IF($J10="","",$G10/$J10)</f>
        <v/>
      </c>
      <c r="L10" s="63">
        <f>IF($J10="",0,$K10*MAX(0,MIN(YEAR($C$3)*12+MONTH($C$3),YEAR($I10)*12+MONTH($I10))-(YEAR($H10)*12+MONTH($H10))+1))</f>
        <v/>
      </c>
      <c r="M10" s="63">
        <f>IF($J10="",0,$K10*MAX(0,MIN(YEAR($C$3)*12+MONTH($C$3)-1,YEAR($I10)*12+MONTH($I10))-(YEAR($H10)*12+MONTH($H10))+1))</f>
        <v/>
      </c>
      <c r="N10" s="63">
        <f>IF(OR($J10="",$B10=""),0,IF(YEAR($B10)*12+MONTH($B10)&lt;=YEAR($C$3)*12+MONTH($C$3),$G10,0))</f>
        <v/>
      </c>
      <c r="O10" s="63">
        <f>IF(OR($J10="",$B10=""),0,IF(YEAR($B10)*12+MONTH($B10)&lt;=YEAR($C$3)*12+MONTH($C$3)-1,$G10,0))</f>
        <v/>
      </c>
      <c r="P10" s="63">
        <f>$M10-$O10</f>
        <v/>
      </c>
      <c r="Q10" s="63">
        <f>($L10-$M10)-($N10-$O10)</f>
        <v/>
      </c>
      <c r="R10" s="63">
        <f>$L10-$N10</f>
        <v/>
      </c>
    </row>
    <row r="11">
      <c r="A11" s="60">
        <f>ROW()-5</f>
        <v/>
      </c>
      <c r="B11" s="61">
        <f>IFERROR(INDEX(tbl_Finance[Date],$A11),"")</f>
        <v/>
      </c>
      <c r="C11" s="62">
        <f>IFERROR(INDEX(tbl_Finance[Xero Invoice No],$A11),"")</f>
        <v/>
      </c>
      <c r="D11" s="62">
        <f>IFERROR(INDEX(tbl_Finance[Client],$A11),"")</f>
        <v/>
      </c>
      <c r="E11" s="62">
        <f>IFERROR(INDEX(tbl_Finance[Job Number],$A11),"")</f>
        <v/>
      </c>
      <c r="F11" s="62">
        <f>IFERROR(INDEX(tbl_Finance[Cost Centre],$A11),"")</f>
        <v/>
      </c>
      <c r="G11" s="63">
        <f>IFERROR(INDEX(tbl_Finance[Ex GST],$A11),"")</f>
        <v/>
      </c>
      <c r="H11" s="61">
        <f>IFERROR(INDEX(tbl_Finance[Defer Start],$A11),"")</f>
        <v/>
      </c>
      <c r="I11" s="61">
        <f>IFERROR(INDEX(tbl_Finance[Defer End],$A11),"")</f>
        <v/>
      </c>
      <c r="J11" s="60">
        <f>IF(OR($H11="",$I11="",$G11=""),"",MAX(1,(YEAR($I11)-YEAR($H11))*12+MONTH($I11)-MONTH($H11)+1))</f>
        <v/>
      </c>
      <c r="K11" s="63">
        <f>IF($J11="","",$G11/$J11)</f>
        <v/>
      </c>
      <c r="L11" s="63">
        <f>IF($J11="",0,$K11*MAX(0,MIN(YEAR($C$3)*12+MONTH($C$3),YEAR($I11)*12+MONTH($I11))-(YEAR($H11)*12+MONTH($H11))+1))</f>
        <v/>
      </c>
      <c r="M11" s="63">
        <f>IF($J11="",0,$K11*MAX(0,MIN(YEAR($C$3)*12+MONTH($C$3)-1,YEAR($I11)*12+MONTH($I11))-(YEAR($H11)*12+MONTH($H11))+1))</f>
        <v/>
      </c>
      <c r="N11" s="63">
        <f>IF(OR($J11="",$B11=""),0,IF(YEAR($B11)*12+MONTH($B11)&lt;=YEAR($C$3)*12+MONTH($C$3),$G11,0))</f>
        <v/>
      </c>
      <c r="O11" s="63">
        <f>IF(OR($J11="",$B11=""),0,IF(YEAR($B11)*12+MONTH($B11)&lt;=YEAR($C$3)*12+MONTH($C$3)-1,$G11,0))</f>
        <v/>
      </c>
      <c r="P11" s="63">
        <f>$M11-$O11</f>
        <v/>
      </c>
      <c r="Q11" s="63">
        <f>($L11-$M11)-($N11-$O11)</f>
        <v/>
      </c>
      <c r="R11" s="63">
        <f>$L11-$N11</f>
        <v/>
      </c>
    </row>
    <row r="12">
      <c r="A12" s="60">
        <f>ROW()-5</f>
        <v/>
      </c>
      <c r="B12" s="61">
        <f>IFERROR(INDEX(tbl_Finance[Date],$A12),"")</f>
        <v/>
      </c>
      <c r="C12" s="62">
        <f>IFERROR(INDEX(tbl_Finance[Xero Invoice No],$A12),"")</f>
        <v/>
      </c>
      <c r="D12" s="62">
        <f>IFERROR(INDEX(tbl_Finance[Client],$A12),"")</f>
        <v/>
      </c>
      <c r="E12" s="62">
        <f>IFERROR(INDEX(tbl_Finance[Job Number],$A12),"")</f>
        <v/>
      </c>
      <c r="F12" s="62">
        <f>IFERROR(INDEX(tbl_Finance[Cost Centre],$A12),"")</f>
        <v/>
      </c>
      <c r="G12" s="63">
        <f>IFERROR(INDEX(tbl_Finance[Ex GST],$A12),"")</f>
        <v/>
      </c>
      <c r="H12" s="61">
        <f>IFERROR(INDEX(tbl_Finance[Defer Start],$A12),"")</f>
        <v/>
      </c>
      <c r="I12" s="61">
        <f>IFERROR(INDEX(tbl_Finance[Defer End],$A12),"")</f>
        <v/>
      </c>
      <c r="J12" s="60">
        <f>IF(OR($H12="",$I12="",$G12=""),"",MAX(1,(YEAR($I12)-YEAR($H12))*12+MONTH($I12)-MONTH($H12)+1))</f>
        <v/>
      </c>
      <c r="K12" s="63">
        <f>IF($J12="","",$G12/$J12)</f>
        <v/>
      </c>
      <c r="L12" s="63">
        <f>IF($J12="",0,$K12*MAX(0,MIN(YEAR($C$3)*12+MONTH($C$3),YEAR($I12)*12+MONTH($I12))-(YEAR($H12)*12+MONTH($H12))+1))</f>
        <v/>
      </c>
      <c r="M12" s="63">
        <f>IF($J12="",0,$K12*MAX(0,MIN(YEAR($C$3)*12+MONTH($C$3)-1,YEAR($I12)*12+MONTH($I12))-(YEAR($H12)*12+MONTH($H12))+1))</f>
        <v/>
      </c>
      <c r="N12" s="63">
        <f>IF(OR($J12="",$B12=""),0,IF(YEAR($B12)*12+MONTH($B12)&lt;=YEAR($C$3)*12+MONTH($C$3),$G12,0))</f>
        <v/>
      </c>
      <c r="O12" s="63">
        <f>IF(OR($J12="",$B12=""),0,IF(YEAR($B12)*12+MONTH($B12)&lt;=YEAR($C$3)*12+MONTH($C$3)-1,$G12,0))</f>
        <v/>
      </c>
      <c r="P12" s="63">
        <f>$M12-$O12</f>
        <v/>
      </c>
      <c r="Q12" s="63">
        <f>($L12-$M12)-($N12-$O12)</f>
        <v/>
      </c>
      <c r="R12" s="63">
        <f>$L12-$N12</f>
        <v/>
      </c>
    </row>
    <row r="13">
      <c r="A13" s="60">
        <f>ROW()-5</f>
        <v/>
      </c>
      <c r="B13" s="61">
        <f>IFERROR(INDEX(tbl_Finance[Date],$A13),"")</f>
        <v/>
      </c>
      <c r="C13" s="62">
        <f>IFERROR(INDEX(tbl_Finance[Xero Invoice No],$A13),"")</f>
        <v/>
      </c>
      <c r="D13" s="62">
        <f>IFERROR(INDEX(tbl_Finance[Client],$A13),"")</f>
        <v/>
      </c>
      <c r="E13" s="62">
        <f>IFERROR(INDEX(tbl_Finance[Job Number],$A13),"")</f>
        <v/>
      </c>
      <c r="F13" s="62">
        <f>IFERROR(INDEX(tbl_Finance[Cost Centre],$A13),"")</f>
        <v/>
      </c>
      <c r="G13" s="63">
        <f>IFERROR(INDEX(tbl_Finance[Ex GST],$A13),"")</f>
        <v/>
      </c>
      <c r="H13" s="61">
        <f>IFERROR(INDEX(tbl_Finance[Defer Start],$A13),"")</f>
        <v/>
      </c>
      <c r="I13" s="61">
        <f>IFERROR(INDEX(tbl_Finance[Defer End],$A13),"")</f>
        <v/>
      </c>
      <c r="J13" s="60">
        <f>IF(OR($H13="",$I13="",$G13=""),"",MAX(1,(YEAR($I13)-YEAR($H13))*12+MONTH($I13)-MONTH($H13)+1))</f>
        <v/>
      </c>
      <c r="K13" s="63">
        <f>IF($J13="","",$G13/$J13)</f>
        <v/>
      </c>
      <c r="L13" s="63">
        <f>IF($J13="",0,$K13*MAX(0,MIN(YEAR($C$3)*12+MONTH($C$3),YEAR($I13)*12+MONTH($I13))-(YEAR($H13)*12+MONTH($H13))+1))</f>
        <v/>
      </c>
      <c r="M13" s="63">
        <f>IF($J13="",0,$K13*MAX(0,MIN(YEAR($C$3)*12+MONTH($C$3)-1,YEAR($I13)*12+MONTH($I13))-(YEAR($H13)*12+MONTH($H13))+1))</f>
        <v/>
      </c>
      <c r="N13" s="63">
        <f>IF(OR($J13="",$B13=""),0,IF(YEAR($B13)*12+MONTH($B13)&lt;=YEAR($C$3)*12+MONTH($C$3),$G13,0))</f>
        <v/>
      </c>
      <c r="O13" s="63">
        <f>IF(OR($J13="",$B13=""),0,IF(YEAR($B13)*12+MONTH($B13)&lt;=YEAR($C$3)*12+MONTH($C$3)-1,$G13,0))</f>
        <v/>
      </c>
      <c r="P13" s="63">
        <f>$M13-$O13</f>
        <v/>
      </c>
      <c r="Q13" s="63">
        <f>($L13-$M13)-($N13-$O13)</f>
        <v/>
      </c>
      <c r="R13" s="63">
        <f>$L13-$N13</f>
        <v/>
      </c>
    </row>
    <row r="14">
      <c r="A14" s="60">
        <f>ROW()-5</f>
        <v/>
      </c>
      <c r="B14" s="61">
        <f>IFERROR(INDEX(tbl_Finance[Date],$A14),"")</f>
        <v/>
      </c>
      <c r="C14" s="62">
        <f>IFERROR(INDEX(tbl_Finance[Xero Invoice No],$A14),"")</f>
        <v/>
      </c>
      <c r="D14" s="62">
        <f>IFERROR(INDEX(tbl_Finance[Client],$A14),"")</f>
        <v/>
      </c>
      <c r="E14" s="62">
        <f>IFERROR(INDEX(tbl_Finance[Job Number],$A14),"")</f>
        <v/>
      </c>
      <c r="F14" s="62">
        <f>IFERROR(INDEX(tbl_Finance[Cost Centre],$A14),"")</f>
        <v/>
      </c>
      <c r="G14" s="63">
        <f>IFERROR(INDEX(tbl_Finance[Ex GST],$A14),"")</f>
        <v/>
      </c>
      <c r="H14" s="61">
        <f>IFERROR(INDEX(tbl_Finance[Defer Start],$A14),"")</f>
        <v/>
      </c>
      <c r="I14" s="61">
        <f>IFERROR(INDEX(tbl_Finance[Defer End],$A14),"")</f>
        <v/>
      </c>
      <c r="J14" s="60">
        <f>IF(OR($H14="",$I14="",$G14=""),"",MAX(1,(YEAR($I14)-YEAR($H14))*12+MONTH($I14)-MONTH($H14)+1))</f>
        <v/>
      </c>
      <c r="K14" s="63">
        <f>IF($J14="","",$G14/$J14)</f>
        <v/>
      </c>
      <c r="L14" s="63">
        <f>IF($J14="",0,$K14*MAX(0,MIN(YEAR($C$3)*12+MONTH($C$3),YEAR($I14)*12+MONTH($I14))-(YEAR($H14)*12+MONTH($H14))+1))</f>
        <v/>
      </c>
      <c r="M14" s="63">
        <f>IF($J14="",0,$K14*MAX(0,MIN(YEAR($C$3)*12+MONTH($C$3)-1,YEAR($I14)*12+MONTH($I14))-(YEAR($H14)*12+MONTH($H14))+1))</f>
        <v/>
      </c>
      <c r="N14" s="63">
        <f>IF(OR($J14="",$B14=""),0,IF(YEAR($B14)*12+MONTH($B14)&lt;=YEAR($C$3)*12+MONTH($C$3),$G14,0))</f>
        <v/>
      </c>
      <c r="O14" s="63">
        <f>IF(OR($J14="",$B14=""),0,IF(YEAR($B14)*12+MONTH($B14)&lt;=YEAR($C$3)*12+MONTH($C$3)-1,$G14,0))</f>
        <v/>
      </c>
      <c r="P14" s="63">
        <f>$M14-$O14</f>
        <v/>
      </c>
      <c r="Q14" s="63">
        <f>($L14-$M14)-($N14-$O14)</f>
        <v/>
      </c>
      <c r="R14" s="63">
        <f>$L14-$N14</f>
        <v/>
      </c>
    </row>
    <row r="15">
      <c r="A15" s="60">
        <f>ROW()-5</f>
        <v/>
      </c>
      <c r="B15" s="61">
        <f>IFERROR(INDEX(tbl_Finance[Date],$A15),"")</f>
        <v/>
      </c>
      <c r="C15" s="62">
        <f>IFERROR(INDEX(tbl_Finance[Xero Invoice No],$A15),"")</f>
        <v/>
      </c>
      <c r="D15" s="62">
        <f>IFERROR(INDEX(tbl_Finance[Client],$A15),"")</f>
        <v/>
      </c>
      <c r="E15" s="62">
        <f>IFERROR(INDEX(tbl_Finance[Job Number],$A15),"")</f>
        <v/>
      </c>
      <c r="F15" s="62">
        <f>IFERROR(INDEX(tbl_Finance[Cost Centre],$A15),"")</f>
        <v/>
      </c>
      <c r="G15" s="63">
        <f>IFERROR(INDEX(tbl_Finance[Ex GST],$A15),"")</f>
        <v/>
      </c>
      <c r="H15" s="61">
        <f>IFERROR(INDEX(tbl_Finance[Defer Start],$A15),"")</f>
        <v/>
      </c>
      <c r="I15" s="61">
        <f>IFERROR(INDEX(tbl_Finance[Defer End],$A15),"")</f>
        <v/>
      </c>
      <c r="J15" s="60">
        <f>IF(OR($H15="",$I15="",$G15=""),"",MAX(1,(YEAR($I15)-YEAR($H15))*12+MONTH($I15)-MONTH($H15)+1))</f>
        <v/>
      </c>
      <c r="K15" s="63">
        <f>IF($J15="","",$G15/$J15)</f>
        <v/>
      </c>
      <c r="L15" s="63">
        <f>IF($J15="",0,$K15*MAX(0,MIN(YEAR($C$3)*12+MONTH($C$3),YEAR($I15)*12+MONTH($I15))-(YEAR($H15)*12+MONTH($H15))+1))</f>
        <v/>
      </c>
      <c r="M15" s="63">
        <f>IF($J15="",0,$K15*MAX(0,MIN(YEAR($C$3)*12+MONTH($C$3)-1,YEAR($I15)*12+MONTH($I15))-(YEAR($H15)*12+MONTH($H15))+1))</f>
        <v/>
      </c>
      <c r="N15" s="63">
        <f>IF(OR($J15="",$B15=""),0,IF(YEAR($B15)*12+MONTH($B15)&lt;=YEAR($C$3)*12+MONTH($C$3),$G15,0))</f>
        <v/>
      </c>
      <c r="O15" s="63">
        <f>IF(OR($J15="",$B15=""),0,IF(YEAR($B15)*12+MONTH($B15)&lt;=YEAR($C$3)*12+MONTH($C$3)-1,$G15,0))</f>
        <v/>
      </c>
      <c r="P15" s="63">
        <f>$M15-$O15</f>
        <v/>
      </c>
      <c r="Q15" s="63">
        <f>($L15-$M15)-($N15-$O15)</f>
        <v/>
      </c>
      <c r="R15" s="63">
        <f>$L15-$N15</f>
        <v/>
      </c>
    </row>
    <row r="16">
      <c r="A16" s="60">
        <f>ROW()-5</f>
        <v/>
      </c>
      <c r="B16" s="61">
        <f>IFERROR(INDEX(tbl_Finance[Date],$A16),"")</f>
        <v/>
      </c>
      <c r="C16" s="62">
        <f>IFERROR(INDEX(tbl_Finance[Xero Invoice No],$A16),"")</f>
        <v/>
      </c>
      <c r="D16" s="62">
        <f>IFERROR(INDEX(tbl_Finance[Client],$A16),"")</f>
        <v/>
      </c>
      <c r="E16" s="62">
        <f>IFERROR(INDEX(tbl_Finance[Job Number],$A16),"")</f>
        <v/>
      </c>
      <c r="F16" s="62">
        <f>IFERROR(INDEX(tbl_Finance[Cost Centre],$A16),"")</f>
        <v/>
      </c>
      <c r="G16" s="63">
        <f>IFERROR(INDEX(tbl_Finance[Ex GST],$A16),"")</f>
        <v/>
      </c>
      <c r="H16" s="61">
        <f>IFERROR(INDEX(tbl_Finance[Defer Start],$A16),"")</f>
        <v/>
      </c>
      <c r="I16" s="61">
        <f>IFERROR(INDEX(tbl_Finance[Defer End],$A16),"")</f>
        <v/>
      </c>
      <c r="J16" s="60">
        <f>IF(OR($H16="",$I16="",$G16=""),"",MAX(1,(YEAR($I16)-YEAR($H16))*12+MONTH($I16)-MONTH($H16)+1))</f>
        <v/>
      </c>
      <c r="K16" s="63">
        <f>IF($J16="","",$G16/$J16)</f>
        <v/>
      </c>
      <c r="L16" s="63">
        <f>IF($J16="",0,$K16*MAX(0,MIN(YEAR($C$3)*12+MONTH($C$3),YEAR($I16)*12+MONTH($I16))-(YEAR($H16)*12+MONTH($H16))+1))</f>
        <v/>
      </c>
      <c r="M16" s="63">
        <f>IF($J16="",0,$K16*MAX(0,MIN(YEAR($C$3)*12+MONTH($C$3)-1,YEAR($I16)*12+MONTH($I16))-(YEAR($H16)*12+MONTH($H16))+1))</f>
        <v/>
      </c>
      <c r="N16" s="63">
        <f>IF(OR($J16="",$B16=""),0,IF(YEAR($B16)*12+MONTH($B16)&lt;=YEAR($C$3)*12+MONTH($C$3),$G16,0))</f>
        <v/>
      </c>
      <c r="O16" s="63">
        <f>IF(OR($J16="",$B16=""),0,IF(YEAR($B16)*12+MONTH($B16)&lt;=YEAR($C$3)*12+MONTH($C$3)-1,$G16,0))</f>
        <v/>
      </c>
      <c r="P16" s="63">
        <f>$M16-$O16</f>
        <v/>
      </c>
      <c r="Q16" s="63">
        <f>($L16-$M16)-($N16-$O16)</f>
        <v/>
      </c>
      <c r="R16" s="63">
        <f>$L16-$N16</f>
        <v/>
      </c>
    </row>
    <row r="17">
      <c r="A17" s="60">
        <f>ROW()-5</f>
        <v/>
      </c>
      <c r="B17" s="61">
        <f>IFERROR(INDEX(tbl_Finance[Date],$A17),"")</f>
        <v/>
      </c>
      <c r="C17" s="62">
        <f>IFERROR(INDEX(tbl_Finance[Xero Invoice No],$A17),"")</f>
        <v/>
      </c>
      <c r="D17" s="62">
        <f>IFERROR(INDEX(tbl_Finance[Client],$A17),"")</f>
        <v/>
      </c>
      <c r="E17" s="62">
        <f>IFERROR(INDEX(tbl_Finance[Job Number],$A17),"")</f>
        <v/>
      </c>
      <c r="F17" s="62">
        <f>IFERROR(INDEX(tbl_Finance[Cost Centre],$A17),"")</f>
        <v/>
      </c>
      <c r="G17" s="63">
        <f>IFERROR(INDEX(tbl_Finance[Ex GST],$A17),"")</f>
        <v/>
      </c>
      <c r="H17" s="61">
        <f>IFERROR(INDEX(tbl_Finance[Defer Start],$A17),"")</f>
        <v/>
      </c>
      <c r="I17" s="61">
        <f>IFERROR(INDEX(tbl_Finance[Defer End],$A17),"")</f>
        <v/>
      </c>
      <c r="J17" s="60">
        <f>IF(OR($H17="",$I17="",$G17=""),"",MAX(1,(YEAR($I17)-YEAR($H17))*12+MONTH($I17)-MONTH($H17)+1))</f>
        <v/>
      </c>
      <c r="K17" s="63">
        <f>IF($J17="","",$G17/$J17)</f>
        <v/>
      </c>
      <c r="L17" s="63">
        <f>IF($J17="",0,$K17*MAX(0,MIN(YEAR($C$3)*12+MONTH($C$3),YEAR($I17)*12+MONTH($I17))-(YEAR($H17)*12+MONTH($H17))+1))</f>
        <v/>
      </c>
      <c r="M17" s="63">
        <f>IF($J17="",0,$K17*MAX(0,MIN(YEAR($C$3)*12+MONTH($C$3)-1,YEAR($I17)*12+MONTH($I17))-(YEAR($H17)*12+MONTH($H17))+1))</f>
        <v/>
      </c>
      <c r="N17" s="63">
        <f>IF(OR($J17="",$B17=""),0,IF(YEAR($B17)*12+MONTH($B17)&lt;=YEAR($C$3)*12+MONTH($C$3),$G17,0))</f>
        <v/>
      </c>
      <c r="O17" s="63">
        <f>IF(OR($J17="",$B17=""),0,IF(YEAR($B17)*12+MONTH($B17)&lt;=YEAR($C$3)*12+MONTH($C$3)-1,$G17,0))</f>
        <v/>
      </c>
      <c r="P17" s="63">
        <f>$M17-$O17</f>
        <v/>
      </c>
      <c r="Q17" s="63">
        <f>($L17-$M17)-($N17-$O17)</f>
        <v/>
      </c>
      <c r="R17" s="63">
        <f>$L17-$N17</f>
        <v/>
      </c>
    </row>
    <row r="18">
      <c r="A18" s="60">
        <f>ROW()-5</f>
        <v/>
      </c>
      <c r="B18" s="61">
        <f>IFERROR(INDEX(tbl_Finance[Date],$A18),"")</f>
        <v/>
      </c>
      <c r="C18" s="62">
        <f>IFERROR(INDEX(tbl_Finance[Xero Invoice No],$A18),"")</f>
        <v/>
      </c>
      <c r="D18" s="62">
        <f>IFERROR(INDEX(tbl_Finance[Client],$A18),"")</f>
        <v/>
      </c>
      <c r="E18" s="62">
        <f>IFERROR(INDEX(tbl_Finance[Job Number],$A18),"")</f>
        <v/>
      </c>
      <c r="F18" s="62">
        <f>IFERROR(INDEX(tbl_Finance[Cost Centre],$A18),"")</f>
        <v/>
      </c>
      <c r="G18" s="63">
        <f>IFERROR(INDEX(tbl_Finance[Ex GST],$A18),"")</f>
        <v/>
      </c>
      <c r="H18" s="61">
        <f>IFERROR(INDEX(tbl_Finance[Defer Start],$A18),"")</f>
        <v/>
      </c>
      <c r="I18" s="61">
        <f>IFERROR(INDEX(tbl_Finance[Defer End],$A18),"")</f>
        <v/>
      </c>
      <c r="J18" s="60">
        <f>IF(OR($H18="",$I18="",$G18=""),"",MAX(1,(YEAR($I18)-YEAR($H18))*12+MONTH($I18)-MONTH($H18)+1))</f>
        <v/>
      </c>
      <c r="K18" s="63">
        <f>IF($J18="","",$G18/$J18)</f>
        <v/>
      </c>
      <c r="L18" s="63">
        <f>IF($J18="",0,$K18*MAX(0,MIN(YEAR($C$3)*12+MONTH($C$3),YEAR($I18)*12+MONTH($I18))-(YEAR($H18)*12+MONTH($H18))+1))</f>
        <v/>
      </c>
      <c r="M18" s="63">
        <f>IF($J18="",0,$K18*MAX(0,MIN(YEAR($C$3)*12+MONTH($C$3)-1,YEAR($I18)*12+MONTH($I18))-(YEAR($H18)*12+MONTH($H18))+1))</f>
        <v/>
      </c>
      <c r="N18" s="63">
        <f>IF(OR($J18="",$B18=""),0,IF(YEAR($B18)*12+MONTH($B18)&lt;=YEAR($C$3)*12+MONTH($C$3),$G18,0))</f>
        <v/>
      </c>
      <c r="O18" s="63">
        <f>IF(OR($J18="",$B18=""),0,IF(YEAR($B18)*12+MONTH($B18)&lt;=YEAR($C$3)*12+MONTH($C$3)-1,$G18,0))</f>
        <v/>
      </c>
      <c r="P18" s="63">
        <f>$M18-$O18</f>
        <v/>
      </c>
      <c r="Q18" s="63">
        <f>($L18-$M18)-($N18-$O18)</f>
        <v/>
      </c>
      <c r="R18" s="63">
        <f>$L18-$N18</f>
        <v/>
      </c>
    </row>
    <row r="19">
      <c r="A19" s="60">
        <f>ROW()-5</f>
        <v/>
      </c>
      <c r="B19" s="61">
        <f>IFERROR(INDEX(tbl_Finance[Date],$A19),"")</f>
        <v/>
      </c>
      <c r="C19" s="62">
        <f>IFERROR(INDEX(tbl_Finance[Xero Invoice No],$A19),"")</f>
        <v/>
      </c>
      <c r="D19" s="62">
        <f>IFERROR(INDEX(tbl_Finance[Client],$A19),"")</f>
        <v/>
      </c>
      <c r="E19" s="62">
        <f>IFERROR(INDEX(tbl_Finance[Job Number],$A19),"")</f>
        <v/>
      </c>
      <c r="F19" s="62">
        <f>IFERROR(INDEX(tbl_Finance[Cost Centre],$A19),"")</f>
        <v/>
      </c>
      <c r="G19" s="63">
        <f>IFERROR(INDEX(tbl_Finance[Ex GST],$A19),"")</f>
        <v/>
      </c>
      <c r="H19" s="61">
        <f>IFERROR(INDEX(tbl_Finance[Defer Start],$A19),"")</f>
        <v/>
      </c>
      <c r="I19" s="61">
        <f>IFERROR(INDEX(tbl_Finance[Defer End],$A19),"")</f>
        <v/>
      </c>
      <c r="J19" s="60">
        <f>IF(OR($H19="",$I19="",$G19=""),"",MAX(1,(YEAR($I19)-YEAR($H19))*12+MONTH($I19)-MONTH($H19)+1))</f>
        <v/>
      </c>
      <c r="K19" s="63">
        <f>IF($J19="","",$G19/$J19)</f>
        <v/>
      </c>
      <c r="L19" s="63">
        <f>IF($J19="",0,$K19*MAX(0,MIN(YEAR($C$3)*12+MONTH($C$3),YEAR($I19)*12+MONTH($I19))-(YEAR($H19)*12+MONTH($H19))+1))</f>
        <v/>
      </c>
      <c r="M19" s="63">
        <f>IF($J19="",0,$K19*MAX(0,MIN(YEAR($C$3)*12+MONTH($C$3)-1,YEAR($I19)*12+MONTH($I19))-(YEAR($H19)*12+MONTH($H19))+1))</f>
        <v/>
      </c>
      <c r="N19" s="63">
        <f>IF(OR($J19="",$B19=""),0,IF(YEAR($B19)*12+MONTH($B19)&lt;=YEAR($C$3)*12+MONTH($C$3),$G19,0))</f>
        <v/>
      </c>
      <c r="O19" s="63">
        <f>IF(OR($J19="",$B19=""),0,IF(YEAR($B19)*12+MONTH($B19)&lt;=YEAR($C$3)*12+MONTH($C$3)-1,$G19,0))</f>
        <v/>
      </c>
      <c r="P19" s="63">
        <f>$M19-$O19</f>
        <v/>
      </c>
      <c r="Q19" s="63">
        <f>($L19-$M19)-($N19-$O19)</f>
        <v/>
      </c>
      <c r="R19" s="63">
        <f>$L19-$N19</f>
        <v/>
      </c>
    </row>
    <row r="20">
      <c r="A20" s="60">
        <f>ROW()-5</f>
        <v/>
      </c>
      <c r="B20" s="61">
        <f>IFERROR(INDEX(tbl_Finance[Date],$A20),"")</f>
        <v/>
      </c>
      <c r="C20" s="62">
        <f>IFERROR(INDEX(tbl_Finance[Xero Invoice No],$A20),"")</f>
        <v/>
      </c>
      <c r="D20" s="62">
        <f>IFERROR(INDEX(tbl_Finance[Client],$A20),"")</f>
        <v/>
      </c>
      <c r="E20" s="62">
        <f>IFERROR(INDEX(tbl_Finance[Job Number],$A20),"")</f>
        <v/>
      </c>
      <c r="F20" s="62">
        <f>IFERROR(INDEX(tbl_Finance[Cost Centre],$A20),"")</f>
        <v/>
      </c>
      <c r="G20" s="63">
        <f>IFERROR(INDEX(tbl_Finance[Ex GST],$A20),"")</f>
        <v/>
      </c>
      <c r="H20" s="61">
        <f>IFERROR(INDEX(tbl_Finance[Defer Start],$A20),"")</f>
        <v/>
      </c>
      <c r="I20" s="61">
        <f>IFERROR(INDEX(tbl_Finance[Defer End],$A20),"")</f>
        <v/>
      </c>
      <c r="J20" s="60">
        <f>IF(OR($H20="",$I20="",$G20=""),"",MAX(1,(YEAR($I20)-YEAR($H20))*12+MONTH($I20)-MONTH($H20)+1))</f>
        <v/>
      </c>
      <c r="K20" s="63">
        <f>IF($J20="","",$G20/$J20)</f>
        <v/>
      </c>
      <c r="L20" s="63">
        <f>IF($J20="",0,$K20*MAX(0,MIN(YEAR($C$3)*12+MONTH($C$3),YEAR($I20)*12+MONTH($I20))-(YEAR($H20)*12+MONTH($H20))+1))</f>
        <v/>
      </c>
      <c r="M20" s="63">
        <f>IF($J20="",0,$K20*MAX(0,MIN(YEAR($C$3)*12+MONTH($C$3)-1,YEAR($I20)*12+MONTH($I20))-(YEAR($H20)*12+MONTH($H20))+1))</f>
        <v/>
      </c>
      <c r="N20" s="63">
        <f>IF(OR($J20="",$B20=""),0,IF(YEAR($B20)*12+MONTH($B20)&lt;=YEAR($C$3)*12+MONTH($C$3),$G20,0))</f>
        <v/>
      </c>
      <c r="O20" s="63">
        <f>IF(OR($J20="",$B20=""),0,IF(YEAR($B20)*12+MONTH($B20)&lt;=YEAR($C$3)*12+MONTH($C$3)-1,$G20,0))</f>
        <v/>
      </c>
      <c r="P20" s="63">
        <f>$M20-$O20</f>
        <v/>
      </c>
      <c r="Q20" s="63">
        <f>($L20-$M20)-($N20-$O20)</f>
        <v/>
      </c>
      <c r="R20" s="63">
        <f>$L20-$N20</f>
        <v/>
      </c>
    </row>
    <row r="21">
      <c r="A21" s="60">
        <f>ROW()-5</f>
        <v/>
      </c>
      <c r="B21" s="61">
        <f>IFERROR(INDEX(tbl_Finance[Date],$A21),"")</f>
        <v/>
      </c>
      <c r="C21" s="62">
        <f>IFERROR(INDEX(tbl_Finance[Xero Invoice No],$A21),"")</f>
        <v/>
      </c>
      <c r="D21" s="62">
        <f>IFERROR(INDEX(tbl_Finance[Client],$A21),"")</f>
        <v/>
      </c>
      <c r="E21" s="62">
        <f>IFERROR(INDEX(tbl_Finance[Job Number],$A21),"")</f>
        <v/>
      </c>
      <c r="F21" s="62">
        <f>IFERROR(INDEX(tbl_Finance[Cost Centre],$A21),"")</f>
        <v/>
      </c>
      <c r="G21" s="63">
        <f>IFERROR(INDEX(tbl_Finance[Ex GST],$A21),"")</f>
        <v/>
      </c>
      <c r="H21" s="61">
        <f>IFERROR(INDEX(tbl_Finance[Defer Start],$A21),"")</f>
        <v/>
      </c>
      <c r="I21" s="61">
        <f>IFERROR(INDEX(tbl_Finance[Defer End],$A21),"")</f>
        <v/>
      </c>
      <c r="J21" s="60">
        <f>IF(OR($H21="",$I21="",$G21=""),"",MAX(1,(YEAR($I21)-YEAR($H21))*12+MONTH($I21)-MONTH($H21)+1))</f>
        <v/>
      </c>
      <c r="K21" s="63">
        <f>IF($J21="","",$G21/$J21)</f>
        <v/>
      </c>
      <c r="L21" s="63">
        <f>IF($J21="",0,$K21*MAX(0,MIN(YEAR($C$3)*12+MONTH($C$3),YEAR($I21)*12+MONTH($I21))-(YEAR($H21)*12+MONTH($H21))+1))</f>
        <v/>
      </c>
      <c r="M21" s="63">
        <f>IF($J21="",0,$K21*MAX(0,MIN(YEAR($C$3)*12+MONTH($C$3)-1,YEAR($I21)*12+MONTH($I21))-(YEAR($H21)*12+MONTH($H21))+1))</f>
        <v/>
      </c>
      <c r="N21" s="63">
        <f>IF(OR($J21="",$B21=""),0,IF(YEAR($B21)*12+MONTH($B21)&lt;=YEAR($C$3)*12+MONTH($C$3),$G21,0))</f>
        <v/>
      </c>
      <c r="O21" s="63">
        <f>IF(OR($J21="",$B21=""),0,IF(YEAR($B21)*12+MONTH($B21)&lt;=YEAR($C$3)*12+MONTH($C$3)-1,$G21,0))</f>
        <v/>
      </c>
      <c r="P21" s="63">
        <f>$M21-$O21</f>
        <v/>
      </c>
      <c r="Q21" s="63">
        <f>($L21-$M21)-($N21-$O21)</f>
        <v/>
      </c>
      <c r="R21" s="63">
        <f>$L21-$N21</f>
        <v/>
      </c>
    </row>
    <row r="22">
      <c r="A22" s="60">
        <f>ROW()-5</f>
        <v/>
      </c>
      <c r="B22" s="61">
        <f>IFERROR(INDEX(tbl_Finance[Date],$A22),"")</f>
        <v/>
      </c>
      <c r="C22" s="62">
        <f>IFERROR(INDEX(tbl_Finance[Xero Invoice No],$A22),"")</f>
        <v/>
      </c>
      <c r="D22" s="62">
        <f>IFERROR(INDEX(tbl_Finance[Client],$A22),"")</f>
        <v/>
      </c>
      <c r="E22" s="62">
        <f>IFERROR(INDEX(tbl_Finance[Job Number],$A22),"")</f>
        <v/>
      </c>
      <c r="F22" s="62">
        <f>IFERROR(INDEX(tbl_Finance[Cost Centre],$A22),"")</f>
        <v/>
      </c>
      <c r="G22" s="63">
        <f>IFERROR(INDEX(tbl_Finance[Ex GST],$A22),"")</f>
        <v/>
      </c>
      <c r="H22" s="61">
        <f>IFERROR(INDEX(tbl_Finance[Defer Start],$A22),"")</f>
        <v/>
      </c>
      <c r="I22" s="61">
        <f>IFERROR(INDEX(tbl_Finance[Defer End],$A22),"")</f>
        <v/>
      </c>
      <c r="J22" s="60">
        <f>IF(OR($H22="",$I22="",$G22=""),"",MAX(1,(YEAR($I22)-YEAR($H22))*12+MONTH($I22)-MONTH($H22)+1))</f>
        <v/>
      </c>
      <c r="K22" s="63">
        <f>IF($J22="","",$G22/$J22)</f>
        <v/>
      </c>
      <c r="L22" s="63">
        <f>IF($J22="",0,$K22*MAX(0,MIN(YEAR($C$3)*12+MONTH($C$3),YEAR($I22)*12+MONTH($I22))-(YEAR($H22)*12+MONTH($H22))+1))</f>
        <v/>
      </c>
      <c r="M22" s="63">
        <f>IF($J22="",0,$K22*MAX(0,MIN(YEAR($C$3)*12+MONTH($C$3)-1,YEAR($I22)*12+MONTH($I22))-(YEAR($H22)*12+MONTH($H22))+1))</f>
        <v/>
      </c>
      <c r="N22" s="63">
        <f>IF(OR($J22="",$B22=""),0,IF(YEAR($B22)*12+MONTH($B22)&lt;=YEAR($C$3)*12+MONTH($C$3),$G22,0))</f>
        <v/>
      </c>
      <c r="O22" s="63">
        <f>IF(OR($J22="",$B22=""),0,IF(YEAR($B22)*12+MONTH($B22)&lt;=YEAR($C$3)*12+MONTH($C$3)-1,$G22,0))</f>
        <v/>
      </c>
      <c r="P22" s="63">
        <f>$M22-$O22</f>
        <v/>
      </c>
      <c r="Q22" s="63">
        <f>($L22-$M22)-($N22-$O22)</f>
        <v/>
      </c>
      <c r="R22" s="63">
        <f>$L22-$N22</f>
        <v/>
      </c>
    </row>
    <row r="23">
      <c r="A23" s="60">
        <f>ROW()-5</f>
        <v/>
      </c>
      <c r="B23" s="61">
        <f>IFERROR(INDEX(tbl_Finance[Date],$A23),"")</f>
        <v/>
      </c>
      <c r="C23" s="62">
        <f>IFERROR(INDEX(tbl_Finance[Xero Invoice No],$A23),"")</f>
        <v/>
      </c>
      <c r="D23" s="62">
        <f>IFERROR(INDEX(tbl_Finance[Client],$A23),"")</f>
        <v/>
      </c>
      <c r="E23" s="62">
        <f>IFERROR(INDEX(tbl_Finance[Job Number],$A23),"")</f>
        <v/>
      </c>
      <c r="F23" s="62">
        <f>IFERROR(INDEX(tbl_Finance[Cost Centre],$A23),"")</f>
        <v/>
      </c>
      <c r="G23" s="63">
        <f>IFERROR(INDEX(tbl_Finance[Ex GST],$A23),"")</f>
        <v/>
      </c>
      <c r="H23" s="61">
        <f>IFERROR(INDEX(tbl_Finance[Defer Start],$A23),"")</f>
        <v/>
      </c>
      <c r="I23" s="61">
        <f>IFERROR(INDEX(tbl_Finance[Defer End],$A23),"")</f>
        <v/>
      </c>
      <c r="J23" s="60">
        <f>IF(OR($H23="",$I23="",$G23=""),"",MAX(1,(YEAR($I23)-YEAR($H23))*12+MONTH($I23)-MONTH($H23)+1))</f>
        <v/>
      </c>
      <c r="K23" s="63">
        <f>IF($J23="","",$G23/$J23)</f>
        <v/>
      </c>
      <c r="L23" s="63">
        <f>IF($J23="",0,$K23*MAX(0,MIN(YEAR($C$3)*12+MONTH($C$3),YEAR($I23)*12+MONTH($I23))-(YEAR($H23)*12+MONTH($H23))+1))</f>
        <v/>
      </c>
      <c r="M23" s="63">
        <f>IF($J23="",0,$K23*MAX(0,MIN(YEAR($C$3)*12+MONTH($C$3)-1,YEAR($I23)*12+MONTH($I23))-(YEAR($H23)*12+MONTH($H23))+1))</f>
        <v/>
      </c>
      <c r="N23" s="63">
        <f>IF(OR($J23="",$B23=""),0,IF(YEAR($B23)*12+MONTH($B23)&lt;=YEAR($C$3)*12+MONTH($C$3),$G23,0))</f>
        <v/>
      </c>
      <c r="O23" s="63">
        <f>IF(OR($J23="",$B23=""),0,IF(YEAR($B23)*12+MONTH($B23)&lt;=YEAR($C$3)*12+MONTH($C$3)-1,$G23,0))</f>
        <v/>
      </c>
      <c r="P23" s="63">
        <f>$M23-$O23</f>
        <v/>
      </c>
      <c r="Q23" s="63">
        <f>($L23-$M23)-($N23-$O23)</f>
        <v/>
      </c>
      <c r="R23" s="63">
        <f>$L23-$N23</f>
        <v/>
      </c>
    </row>
    <row r="24">
      <c r="A24" s="60">
        <f>ROW()-5</f>
        <v/>
      </c>
      <c r="B24" s="61">
        <f>IFERROR(INDEX(tbl_Finance[Date],$A24),"")</f>
        <v/>
      </c>
      <c r="C24" s="62">
        <f>IFERROR(INDEX(tbl_Finance[Xero Invoice No],$A24),"")</f>
        <v/>
      </c>
      <c r="D24" s="62">
        <f>IFERROR(INDEX(tbl_Finance[Client],$A24),"")</f>
        <v/>
      </c>
      <c r="E24" s="62">
        <f>IFERROR(INDEX(tbl_Finance[Job Number],$A24),"")</f>
        <v/>
      </c>
      <c r="F24" s="62">
        <f>IFERROR(INDEX(tbl_Finance[Cost Centre],$A24),"")</f>
        <v/>
      </c>
      <c r="G24" s="63">
        <f>IFERROR(INDEX(tbl_Finance[Ex GST],$A24),"")</f>
        <v/>
      </c>
      <c r="H24" s="61">
        <f>IFERROR(INDEX(tbl_Finance[Defer Start],$A24),"")</f>
        <v/>
      </c>
      <c r="I24" s="61">
        <f>IFERROR(INDEX(tbl_Finance[Defer End],$A24),"")</f>
        <v/>
      </c>
      <c r="J24" s="60">
        <f>IF(OR($H24="",$I24="",$G24=""),"",MAX(1,(YEAR($I24)-YEAR($H24))*12+MONTH($I24)-MONTH($H24)+1))</f>
        <v/>
      </c>
      <c r="K24" s="63">
        <f>IF($J24="","",$G24/$J24)</f>
        <v/>
      </c>
      <c r="L24" s="63">
        <f>IF($J24="",0,$K24*MAX(0,MIN(YEAR($C$3)*12+MONTH($C$3),YEAR($I24)*12+MONTH($I24))-(YEAR($H24)*12+MONTH($H24))+1))</f>
        <v/>
      </c>
      <c r="M24" s="63">
        <f>IF($J24="",0,$K24*MAX(0,MIN(YEAR($C$3)*12+MONTH($C$3)-1,YEAR($I24)*12+MONTH($I24))-(YEAR($H24)*12+MONTH($H24))+1))</f>
        <v/>
      </c>
      <c r="N24" s="63">
        <f>IF(OR($J24="",$B24=""),0,IF(YEAR($B24)*12+MONTH($B24)&lt;=YEAR($C$3)*12+MONTH($C$3),$G24,0))</f>
        <v/>
      </c>
      <c r="O24" s="63">
        <f>IF(OR($J24="",$B24=""),0,IF(YEAR($B24)*12+MONTH($B24)&lt;=YEAR($C$3)*12+MONTH($C$3)-1,$G24,0))</f>
        <v/>
      </c>
      <c r="P24" s="63">
        <f>$M24-$O24</f>
        <v/>
      </c>
      <c r="Q24" s="63">
        <f>($L24-$M24)-($N24-$O24)</f>
        <v/>
      </c>
      <c r="R24" s="63">
        <f>$L24-$N24</f>
        <v/>
      </c>
    </row>
    <row r="25">
      <c r="A25" s="60">
        <f>ROW()-5</f>
        <v/>
      </c>
      <c r="B25" s="61">
        <f>IFERROR(INDEX(tbl_Finance[Date],$A25),"")</f>
        <v/>
      </c>
      <c r="C25" s="62">
        <f>IFERROR(INDEX(tbl_Finance[Xero Invoice No],$A25),"")</f>
        <v/>
      </c>
      <c r="D25" s="62">
        <f>IFERROR(INDEX(tbl_Finance[Client],$A25),"")</f>
        <v/>
      </c>
      <c r="E25" s="62">
        <f>IFERROR(INDEX(tbl_Finance[Job Number],$A25),"")</f>
        <v/>
      </c>
      <c r="F25" s="62">
        <f>IFERROR(INDEX(tbl_Finance[Cost Centre],$A25),"")</f>
        <v/>
      </c>
      <c r="G25" s="63">
        <f>IFERROR(INDEX(tbl_Finance[Ex GST],$A25),"")</f>
        <v/>
      </c>
      <c r="H25" s="61">
        <f>IFERROR(INDEX(tbl_Finance[Defer Start],$A25),"")</f>
        <v/>
      </c>
      <c r="I25" s="61">
        <f>IFERROR(INDEX(tbl_Finance[Defer End],$A25),"")</f>
        <v/>
      </c>
      <c r="J25" s="60">
        <f>IF(OR($H25="",$I25="",$G25=""),"",MAX(1,(YEAR($I25)-YEAR($H25))*12+MONTH($I25)-MONTH($H25)+1))</f>
        <v/>
      </c>
      <c r="K25" s="63">
        <f>IF($J25="","",$G25/$J25)</f>
        <v/>
      </c>
      <c r="L25" s="63">
        <f>IF($J25="",0,$K25*MAX(0,MIN(YEAR($C$3)*12+MONTH($C$3),YEAR($I25)*12+MONTH($I25))-(YEAR($H25)*12+MONTH($H25))+1))</f>
        <v/>
      </c>
      <c r="M25" s="63">
        <f>IF($J25="",0,$K25*MAX(0,MIN(YEAR($C$3)*12+MONTH($C$3)-1,YEAR($I25)*12+MONTH($I25))-(YEAR($H25)*12+MONTH($H25))+1))</f>
        <v/>
      </c>
      <c r="N25" s="63">
        <f>IF(OR($J25="",$B25=""),0,IF(YEAR($B25)*12+MONTH($B25)&lt;=YEAR($C$3)*12+MONTH($C$3),$G25,0))</f>
        <v/>
      </c>
      <c r="O25" s="63">
        <f>IF(OR($J25="",$B25=""),0,IF(YEAR($B25)*12+MONTH($B25)&lt;=YEAR($C$3)*12+MONTH($C$3)-1,$G25,0))</f>
        <v/>
      </c>
      <c r="P25" s="63">
        <f>$M25-$O25</f>
        <v/>
      </c>
      <c r="Q25" s="63">
        <f>($L25-$M25)-($N25-$O25)</f>
        <v/>
      </c>
      <c r="R25" s="63">
        <f>$L25-$N25</f>
        <v/>
      </c>
    </row>
    <row r="26">
      <c r="A26" s="60">
        <f>ROW()-5</f>
        <v/>
      </c>
      <c r="B26" s="61">
        <f>IFERROR(INDEX(tbl_Finance[Date],$A26),"")</f>
        <v/>
      </c>
      <c r="C26" s="62">
        <f>IFERROR(INDEX(tbl_Finance[Xero Invoice No],$A26),"")</f>
        <v/>
      </c>
      <c r="D26" s="62">
        <f>IFERROR(INDEX(tbl_Finance[Client],$A26),"")</f>
        <v/>
      </c>
      <c r="E26" s="62">
        <f>IFERROR(INDEX(tbl_Finance[Job Number],$A26),"")</f>
        <v/>
      </c>
      <c r="F26" s="62">
        <f>IFERROR(INDEX(tbl_Finance[Cost Centre],$A26),"")</f>
        <v/>
      </c>
      <c r="G26" s="63">
        <f>IFERROR(INDEX(tbl_Finance[Ex GST],$A26),"")</f>
        <v/>
      </c>
      <c r="H26" s="61">
        <f>IFERROR(INDEX(tbl_Finance[Defer Start],$A26),"")</f>
        <v/>
      </c>
      <c r="I26" s="61">
        <f>IFERROR(INDEX(tbl_Finance[Defer End],$A26),"")</f>
        <v/>
      </c>
      <c r="J26" s="60">
        <f>IF(OR($H26="",$I26="",$G26=""),"",MAX(1,(YEAR($I26)-YEAR($H26))*12+MONTH($I26)-MONTH($H26)+1))</f>
        <v/>
      </c>
      <c r="K26" s="63">
        <f>IF($J26="","",$G26/$J26)</f>
        <v/>
      </c>
      <c r="L26" s="63">
        <f>IF($J26="",0,$K26*MAX(0,MIN(YEAR($C$3)*12+MONTH($C$3),YEAR($I26)*12+MONTH($I26))-(YEAR($H26)*12+MONTH($H26))+1))</f>
        <v/>
      </c>
      <c r="M26" s="63">
        <f>IF($J26="",0,$K26*MAX(0,MIN(YEAR($C$3)*12+MONTH($C$3)-1,YEAR($I26)*12+MONTH($I26))-(YEAR($H26)*12+MONTH($H26))+1))</f>
        <v/>
      </c>
      <c r="N26" s="63">
        <f>IF(OR($J26="",$B26=""),0,IF(YEAR($B26)*12+MONTH($B26)&lt;=YEAR($C$3)*12+MONTH($C$3),$G26,0))</f>
        <v/>
      </c>
      <c r="O26" s="63">
        <f>IF(OR($J26="",$B26=""),0,IF(YEAR($B26)*12+MONTH($B26)&lt;=YEAR($C$3)*12+MONTH($C$3)-1,$G26,0))</f>
        <v/>
      </c>
      <c r="P26" s="63">
        <f>$M26-$O26</f>
        <v/>
      </c>
      <c r="Q26" s="63">
        <f>($L26-$M26)-($N26-$O26)</f>
        <v/>
      </c>
      <c r="R26" s="63">
        <f>$L26-$N26</f>
        <v/>
      </c>
    </row>
    <row r="27">
      <c r="A27" s="60">
        <f>ROW()-5</f>
        <v/>
      </c>
      <c r="B27" s="61">
        <f>IFERROR(INDEX(tbl_Finance[Date],$A27),"")</f>
        <v/>
      </c>
      <c r="C27" s="62">
        <f>IFERROR(INDEX(tbl_Finance[Xero Invoice No],$A27),"")</f>
        <v/>
      </c>
      <c r="D27" s="62">
        <f>IFERROR(INDEX(tbl_Finance[Client],$A27),"")</f>
        <v/>
      </c>
      <c r="E27" s="62">
        <f>IFERROR(INDEX(tbl_Finance[Job Number],$A27),"")</f>
        <v/>
      </c>
      <c r="F27" s="62">
        <f>IFERROR(INDEX(tbl_Finance[Cost Centre],$A27),"")</f>
        <v/>
      </c>
      <c r="G27" s="63">
        <f>IFERROR(INDEX(tbl_Finance[Ex GST],$A27),"")</f>
        <v/>
      </c>
      <c r="H27" s="61">
        <f>IFERROR(INDEX(tbl_Finance[Defer Start],$A27),"")</f>
        <v/>
      </c>
      <c r="I27" s="61">
        <f>IFERROR(INDEX(tbl_Finance[Defer End],$A27),"")</f>
        <v/>
      </c>
      <c r="J27" s="60">
        <f>IF(OR($H27="",$I27="",$G27=""),"",MAX(1,(YEAR($I27)-YEAR($H27))*12+MONTH($I27)-MONTH($H27)+1))</f>
        <v/>
      </c>
      <c r="K27" s="63">
        <f>IF($J27="","",$G27/$J27)</f>
        <v/>
      </c>
      <c r="L27" s="63">
        <f>IF($J27="",0,$K27*MAX(0,MIN(YEAR($C$3)*12+MONTH($C$3),YEAR($I27)*12+MONTH($I27))-(YEAR($H27)*12+MONTH($H27))+1))</f>
        <v/>
      </c>
      <c r="M27" s="63">
        <f>IF($J27="",0,$K27*MAX(0,MIN(YEAR($C$3)*12+MONTH($C$3)-1,YEAR($I27)*12+MONTH($I27))-(YEAR($H27)*12+MONTH($H27))+1))</f>
        <v/>
      </c>
      <c r="N27" s="63">
        <f>IF(OR($J27="",$B27=""),0,IF(YEAR($B27)*12+MONTH($B27)&lt;=YEAR($C$3)*12+MONTH($C$3),$G27,0))</f>
        <v/>
      </c>
      <c r="O27" s="63">
        <f>IF(OR($J27="",$B27=""),0,IF(YEAR($B27)*12+MONTH($B27)&lt;=YEAR($C$3)*12+MONTH($C$3)-1,$G27,0))</f>
        <v/>
      </c>
      <c r="P27" s="63">
        <f>$M27-$O27</f>
        <v/>
      </c>
      <c r="Q27" s="63">
        <f>($L27-$M27)-($N27-$O27)</f>
        <v/>
      </c>
      <c r="R27" s="63">
        <f>$L27-$N27</f>
        <v/>
      </c>
    </row>
    <row r="28">
      <c r="A28" s="60">
        <f>ROW()-5</f>
        <v/>
      </c>
      <c r="B28" s="61">
        <f>IFERROR(INDEX(tbl_Finance[Date],$A28),"")</f>
        <v/>
      </c>
      <c r="C28" s="62">
        <f>IFERROR(INDEX(tbl_Finance[Xero Invoice No],$A28),"")</f>
        <v/>
      </c>
      <c r="D28" s="62">
        <f>IFERROR(INDEX(tbl_Finance[Client],$A28),"")</f>
        <v/>
      </c>
      <c r="E28" s="62">
        <f>IFERROR(INDEX(tbl_Finance[Job Number],$A28),"")</f>
        <v/>
      </c>
      <c r="F28" s="62">
        <f>IFERROR(INDEX(tbl_Finance[Cost Centre],$A28),"")</f>
        <v/>
      </c>
      <c r="G28" s="63">
        <f>IFERROR(INDEX(tbl_Finance[Ex GST],$A28),"")</f>
        <v/>
      </c>
      <c r="H28" s="61">
        <f>IFERROR(INDEX(tbl_Finance[Defer Start],$A28),"")</f>
        <v/>
      </c>
      <c r="I28" s="61">
        <f>IFERROR(INDEX(tbl_Finance[Defer End],$A28),"")</f>
        <v/>
      </c>
      <c r="J28" s="60">
        <f>IF(OR($H28="",$I28="",$G28=""),"",MAX(1,(YEAR($I28)-YEAR($H28))*12+MONTH($I28)-MONTH($H28)+1))</f>
        <v/>
      </c>
      <c r="K28" s="63">
        <f>IF($J28="","",$G28/$J28)</f>
        <v/>
      </c>
      <c r="L28" s="63">
        <f>IF($J28="",0,$K28*MAX(0,MIN(YEAR($C$3)*12+MONTH($C$3),YEAR($I28)*12+MONTH($I28))-(YEAR($H28)*12+MONTH($H28))+1))</f>
        <v/>
      </c>
      <c r="M28" s="63">
        <f>IF($J28="",0,$K28*MAX(0,MIN(YEAR($C$3)*12+MONTH($C$3)-1,YEAR($I28)*12+MONTH($I28))-(YEAR($H28)*12+MONTH($H28))+1))</f>
        <v/>
      </c>
      <c r="N28" s="63">
        <f>IF(OR($J28="",$B28=""),0,IF(YEAR($B28)*12+MONTH($B28)&lt;=YEAR($C$3)*12+MONTH($C$3),$G28,0))</f>
        <v/>
      </c>
      <c r="O28" s="63">
        <f>IF(OR($J28="",$B28=""),0,IF(YEAR($B28)*12+MONTH($B28)&lt;=YEAR($C$3)*12+MONTH($C$3)-1,$G28,0))</f>
        <v/>
      </c>
      <c r="P28" s="63">
        <f>$M28-$O28</f>
        <v/>
      </c>
      <c r="Q28" s="63">
        <f>($L28-$M28)-($N28-$O28)</f>
        <v/>
      </c>
      <c r="R28" s="63">
        <f>$L28-$N28</f>
        <v/>
      </c>
    </row>
    <row r="29">
      <c r="A29" s="60">
        <f>ROW()-5</f>
        <v/>
      </c>
      <c r="B29" s="61">
        <f>IFERROR(INDEX(tbl_Finance[Date],$A29),"")</f>
        <v/>
      </c>
      <c r="C29" s="62">
        <f>IFERROR(INDEX(tbl_Finance[Xero Invoice No],$A29),"")</f>
        <v/>
      </c>
      <c r="D29" s="62">
        <f>IFERROR(INDEX(tbl_Finance[Client],$A29),"")</f>
        <v/>
      </c>
      <c r="E29" s="62">
        <f>IFERROR(INDEX(tbl_Finance[Job Number],$A29),"")</f>
        <v/>
      </c>
      <c r="F29" s="62">
        <f>IFERROR(INDEX(tbl_Finance[Cost Centre],$A29),"")</f>
        <v/>
      </c>
      <c r="G29" s="63">
        <f>IFERROR(INDEX(tbl_Finance[Ex GST],$A29),"")</f>
        <v/>
      </c>
      <c r="H29" s="61">
        <f>IFERROR(INDEX(tbl_Finance[Defer Start],$A29),"")</f>
        <v/>
      </c>
      <c r="I29" s="61">
        <f>IFERROR(INDEX(tbl_Finance[Defer End],$A29),"")</f>
        <v/>
      </c>
      <c r="J29" s="60">
        <f>IF(OR($H29="",$I29="",$G29=""),"",MAX(1,(YEAR($I29)-YEAR($H29))*12+MONTH($I29)-MONTH($H29)+1))</f>
        <v/>
      </c>
      <c r="K29" s="63">
        <f>IF($J29="","",$G29/$J29)</f>
        <v/>
      </c>
      <c r="L29" s="63">
        <f>IF($J29="",0,$K29*MAX(0,MIN(YEAR($C$3)*12+MONTH($C$3),YEAR($I29)*12+MONTH($I29))-(YEAR($H29)*12+MONTH($H29))+1))</f>
        <v/>
      </c>
      <c r="M29" s="63">
        <f>IF($J29="",0,$K29*MAX(0,MIN(YEAR($C$3)*12+MONTH($C$3)-1,YEAR($I29)*12+MONTH($I29))-(YEAR($H29)*12+MONTH($H29))+1))</f>
        <v/>
      </c>
      <c r="N29" s="63">
        <f>IF(OR($J29="",$B29=""),0,IF(YEAR($B29)*12+MONTH($B29)&lt;=YEAR($C$3)*12+MONTH($C$3),$G29,0))</f>
        <v/>
      </c>
      <c r="O29" s="63">
        <f>IF(OR($J29="",$B29=""),0,IF(YEAR($B29)*12+MONTH($B29)&lt;=YEAR($C$3)*12+MONTH($C$3)-1,$G29,0))</f>
        <v/>
      </c>
      <c r="P29" s="63">
        <f>$M29-$O29</f>
        <v/>
      </c>
      <c r="Q29" s="63">
        <f>($L29-$M29)-($N29-$O29)</f>
        <v/>
      </c>
      <c r="R29" s="63">
        <f>$L29-$N29</f>
        <v/>
      </c>
    </row>
    <row r="30">
      <c r="A30" s="60">
        <f>ROW()-5</f>
        <v/>
      </c>
      <c r="B30" s="61">
        <f>IFERROR(INDEX(tbl_Finance[Date],$A30),"")</f>
        <v/>
      </c>
      <c r="C30" s="62">
        <f>IFERROR(INDEX(tbl_Finance[Xero Invoice No],$A30),"")</f>
        <v/>
      </c>
      <c r="D30" s="62">
        <f>IFERROR(INDEX(tbl_Finance[Client],$A30),"")</f>
        <v/>
      </c>
      <c r="E30" s="62">
        <f>IFERROR(INDEX(tbl_Finance[Job Number],$A30),"")</f>
        <v/>
      </c>
      <c r="F30" s="62">
        <f>IFERROR(INDEX(tbl_Finance[Cost Centre],$A30),"")</f>
        <v/>
      </c>
      <c r="G30" s="63">
        <f>IFERROR(INDEX(tbl_Finance[Ex GST],$A30),"")</f>
        <v/>
      </c>
      <c r="H30" s="61">
        <f>IFERROR(INDEX(tbl_Finance[Defer Start],$A30),"")</f>
        <v/>
      </c>
      <c r="I30" s="61">
        <f>IFERROR(INDEX(tbl_Finance[Defer End],$A30),"")</f>
        <v/>
      </c>
      <c r="J30" s="60">
        <f>IF(OR($H30="",$I30="",$G30=""),"",MAX(1,(YEAR($I30)-YEAR($H30))*12+MONTH($I30)-MONTH($H30)+1))</f>
        <v/>
      </c>
      <c r="K30" s="63">
        <f>IF($J30="","",$G30/$J30)</f>
        <v/>
      </c>
      <c r="L30" s="63">
        <f>IF($J30="",0,$K30*MAX(0,MIN(YEAR($C$3)*12+MONTH($C$3),YEAR($I30)*12+MONTH($I30))-(YEAR($H30)*12+MONTH($H30))+1))</f>
        <v/>
      </c>
      <c r="M30" s="63">
        <f>IF($J30="",0,$K30*MAX(0,MIN(YEAR($C$3)*12+MONTH($C$3)-1,YEAR($I30)*12+MONTH($I30))-(YEAR($H30)*12+MONTH($H30))+1))</f>
        <v/>
      </c>
      <c r="N30" s="63">
        <f>IF(OR($J30="",$B30=""),0,IF(YEAR($B30)*12+MONTH($B30)&lt;=YEAR($C$3)*12+MONTH($C$3),$G30,0))</f>
        <v/>
      </c>
      <c r="O30" s="63">
        <f>IF(OR($J30="",$B30=""),0,IF(YEAR($B30)*12+MONTH($B30)&lt;=YEAR($C$3)*12+MONTH($C$3)-1,$G30,0))</f>
        <v/>
      </c>
      <c r="P30" s="63">
        <f>$M30-$O30</f>
        <v/>
      </c>
      <c r="Q30" s="63">
        <f>($L30-$M30)-($N30-$O30)</f>
        <v/>
      </c>
      <c r="R30" s="63">
        <f>$L30-$N30</f>
        <v/>
      </c>
    </row>
    <row r="31">
      <c r="A31" s="60">
        <f>ROW()-5</f>
        <v/>
      </c>
      <c r="B31" s="61">
        <f>IFERROR(INDEX(tbl_Finance[Date],$A31),"")</f>
        <v/>
      </c>
      <c r="C31" s="62">
        <f>IFERROR(INDEX(tbl_Finance[Xero Invoice No],$A31),"")</f>
        <v/>
      </c>
      <c r="D31" s="62">
        <f>IFERROR(INDEX(tbl_Finance[Client],$A31),"")</f>
        <v/>
      </c>
      <c r="E31" s="62">
        <f>IFERROR(INDEX(tbl_Finance[Job Number],$A31),"")</f>
        <v/>
      </c>
      <c r="F31" s="62">
        <f>IFERROR(INDEX(tbl_Finance[Cost Centre],$A31),"")</f>
        <v/>
      </c>
      <c r="G31" s="63">
        <f>IFERROR(INDEX(tbl_Finance[Ex GST],$A31),"")</f>
        <v/>
      </c>
      <c r="H31" s="61">
        <f>IFERROR(INDEX(tbl_Finance[Defer Start],$A31),"")</f>
        <v/>
      </c>
      <c r="I31" s="61">
        <f>IFERROR(INDEX(tbl_Finance[Defer End],$A31),"")</f>
        <v/>
      </c>
      <c r="J31" s="60">
        <f>IF(OR($H31="",$I31="",$G31=""),"",MAX(1,(YEAR($I31)-YEAR($H31))*12+MONTH($I31)-MONTH($H31)+1))</f>
        <v/>
      </c>
      <c r="K31" s="63">
        <f>IF($J31="","",$G31/$J31)</f>
        <v/>
      </c>
      <c r="L31" s="63">
        <f>IF($J31="",0,$K31*MAX(0,MIN(YEAR($C$3)*12+MONTH($C$3),YEAR($I31)*12+MONTH($I31))-(YEAR($H31)*12+MONTH($H31))+1))</f>
        <v/>
      </c>
      <c r="M31" s="63">
        <f>IF($J31="",0,$K31*MAX(0,MIN(YEAR($C$3)*12+MONTH($C$3)-1,YEAR($I31)*12+MONTH($I31))-(YEAR($H31)*12+MONTH($H31))+1))</f>
        <v/>
      </c>
      <c r="N31" s="63">
        <f>IF(OR($J31="",$B31=""),0,IF(YEAR($B31)*12+MONTH($B31)&lt;=YEAR($C$3)*12+MONTH($C$3),$G31,0))</f>
        <v/>
      </c>
      <c r="O31" s="63">
        <f>IF(OR($J31="",$B31=""),0,IF(YEAR($B31)*12+MONTH($B31)&lt;=YEAR($C$3)*12+MONTH($C$3)-1,$G31,0))</f>
        <v/>
      </c>
      <c r="P31" s="63">
        <f>$M31-$O31</f>
        <v/>
      </c>
      <c r="Q31" s="63">
        <f>($L31-$M31)-($N31-$O31)</f>
        <v/>
      </c>
      <c r="R31" s="63">
        <f>$L31-$N31</f>
        <v/>
      </c>
    </row>
    <row r="32">
      <c r="A32" s="60">
        <f>ROW()-5</f>
        <v/>
      </c>
      <c r="B32" s="61">
        <f>IFERROR(INDEX(tbl_Finance[Date],$A32),"")</f>
        <v/>
      </c>
      <c r="C32" s="62">
        <f>IFERROR(INDEX(tbl_Finance[Xero Invoice No],$A32),"")</f>
        <v/>
      </c>
      <c r="D32" s="62">
        <f>IFERROR(INDEX(tbl_Finance[Client],$A32),"")</f>
        <v/>
      </c>
      <c r="E32" s="62">
        <f>IFERROR(INDEX(tbl_Finance[Job Number],$A32),"")</f>
        <v/>
      </c>
      <c r="F32" s="62">
        <f>IFERROR(INDEX(tbl_Finance[Cost Centre],$A32),"")</f>
        <v/>
      </c>
      <c r="G32" s="63">
        <f>IFERROR(INDEX(tbl_Finance[Ex GST],$A32),"")</f>
        <v/>
      </c>
      <c r="H32" s="61">
        <f>IFERROR(INDEX(tbl_Finance[Defer Start],$A32),"")</f>
        <v/>
      </c>
      <c r="I32" s="61">
        <f>IFERROR(INDEX(tbl_Finance[Defer End],$A32),"")</f>
        <v/>
      </c>
      <c r="J32" s="60">
        <f>IF(OR($H32="",$I32="",$G32=""),"",MAX(1,(YEAR($I32)-YEAR($H32))*12+MONTH($I32)-MONTH($H32)+1))</f>
        <v/>
      </c>
      <c r="K32" s="63">
        <f>IF($J32="","",$G32/$J32)</f>
        <v/>
      </c>
      <c r="L32" s="63">
        <f>IF($J32="",0,$K32*MAX(0,MIN(YEAR($C$3)*12+MONTH($C$3),YEAR($I32)*12+MONTH($I32))-(YEAR($H32)*12+MONTH($H32))+1))</f>
        <v/>
      </c>
      <c r="M32" s="63">
        <f>IF($J32="",0,$K32*MAX(0,MIN(YEAR($C$3)*12+MONTH($C$3)-1,YEAR($I32)*12+MONTH($I32))-(YEAR($H32)*12+MONTH($H32))+1))</f>
        <v/>
      </c>
      <c r="N32" s="63">
        <f>IF(OR($J32="",$B32=""),0,IF(YEAR($B32)*12+MONTH($B32)&lt;=YEAR($C$3)*12+MONTH($C$3),$G32,0))</f>
        <v/>
      </c>
      <c r="O32" s="63">
        <f>IF(OR($J32="",$B32=""),0,IF(YEAR($B32)*12+MONTH($B32)&lt;=YEAR($C$3)*12+MONTH($C$3)-1,$G32,0))</f>
        <v/>
      </c>
      <c r="P32" s="63">
        <f>$M32-$O32</f>
        <v/>
      </c>
      <c r="Q32" s="63">
        <f>($L32-$M32)-($N32-$O32)</f>
        <v/>
      </c>
      <c r="R32" s="63">
        <f>$L32-$N32</f>
        <v/>
      </c>
    </row>
    <row r="33">
      <c r="A33" s="60">
        <f>ROW()-5</f>
        <v/>
      </c>
      <c r="B33" s="61">
        <f>IFERROR(INDEX(tbl_Finance[Date],$A33),"")</f>
        <v/>
      </c>
      <c r="C33" s="62">
        <f>IFERROR(INDEX(tbl_Finance[Xero Invoice No],$A33),"")</f>
        <v/>
      </c>
      <c r="D33" s="62">
        <f>IFERROR(INDEX(tbl_Finance[Client],$A33),"")</f>
        <v/>
      </c>
      <c r="E33" s="62">
        <f>IFERROR(INDEX(tbl_Finance[Job Number],$A33),"")</f>
        <v/>
      </c>
      <c r="F33" s="62">
        <f>IFERROR(INDEX(tbl_Finance[Cost Centre],$A33),"")</f>
        <v/>
      </c>
      <c r="G33" s="63">
        <f>IFERROR(INDEX(tbl_Finance[Ex GST],$A33),"")</f>
        <v/>
      </c>
      <c r="H33" s="61">
        <f>IFERROR(INDEX(tbl_Finance[Defer Start],$A33),"")</f>
        <v/>
      </c>
      <c r="I33" s="61">
        <f>IFERROR(INDEX(tbl_Finance[Defer End],$A33),"")</f>
        <v/>
      </c>
      <c r="J33" s="60">
        <f>IF(OR($H33="",$I33="",$G33=""),"",MAX(1,(YEAR($I33)-YEAR($H33))*12+MONTH($I33)-MONTH($H33)+1))</f>
        <v/>
      </c>
      <c r="K33" s="63">
        <f>IF($J33="","",$G33/$J33)</f>
        <v/>
      </c>
      <c r="L33" s="63">
        <f>IF($J33="",0,$K33*MAX(0,MIN(YEAR($C$3)*12+MONTH($C$3),YEAR($I33)*12+MONTH($I33))-(YEAR($H33)*12+MONTH($H33))+1))</f>
        <v/>
      </c>
      <c r="M33" s="63">
        <f>IF($J33="",0,$K33*MAX(0,MIN(YEAR($C$3)*12+MONTH($C$3)-1,YEAR($I33)*12+MONTH($I33))-(YEAR($H33)*12+MONTH($H33))+1))</f>
        <v/>
      </c>
      <c r="N33" s="63">
        <f>IF(OR($J33="",$B33=""),0,IF(YEAR($B33)*12+MONTH($B33)&lt;=YEAR($C$3)*12+MONTH($C$3),$G33,0))</f>
        <v/>
      </c>
      <c r="O33" s="63">
        <f>IF(OR($J33="",$B33=""),0,IF(YEAR($B33)*12+MONTH($B33)&lt;=YEAR($C$3)*12+MONTH($C$3)-1,$G33,0))</f>
        <v/>
      </c>
      <c r="P33" s="63">
        <f>$M33-$O33</f>
        <v/>
      </c>
      <c r="Q33" s="63">
        <f>($L33-$M33)-($N33-$O33)</f>
        <v/>
      </c>
      <c r="R33" s="63">
        <f>$L33-$N33</f>
        <v/>
      </c>
    </row>
    <row r="34">
      <c r="A34" s="60">
        <f>ROW()-5</f>
        <v/>
      </c>
      <c r="B34" s="61">
        <f>IFERROR(INDEX(tbl_Finance[Date],$A34),"")</f>
        <v/>
      </c>
      <c r="C34" s="62">
        <f>IFERROR(INDEX(tbl_Finance[Xero Invoice No],$A34),"")</f>
        <v/>
      </c>
      <c r="D34" s="62">
        <f>IFERROR(INDEX(tbl_Finance[Client],$A34),"")</f>
        <v/>
      </c>
      <c r="E34" s="62">
        <f>IFERROR(INDEX(tbl_Finance[Job Number],$A34),"")</f>
        <v/>
      </c>
      <c r="F34" s="62">
        <f>IFERROR(INDEX(tbl_Finance[Cost Centre],$A34),"")</f>
        <v/>
      </c>
      <c r="G34" s="63">
        <f>IFERROR(INDEX(tbl_Finance[Ex GST],$A34),"")</f>
        <v/>
      </c>
      <c r="H34" s="61">
        <f>IFERROR(INDEX(tbl_Finance[Defer Start],$A34),"")</f>
        <v/>
      </c>
      <c r="I34" s="61">
        <f>IFERROR(INDEX(tbl_Finance[Defer End],$A34),"")</f>
        <v/>
      </c>
      <c r="J34" s="60">
        <f>IF(OR($H34="",$I34="",$G34=""),"",MAX(1,(YEAR($I34)-YEAR($H34))*12+MONTH($I34)-MONTH($H34)+1))</f>
        <v/>
      </c>
      <c r="K34" s="63">
        <f>IF($J34="","",$G34/$J34)</f>
        <v/>
      </c>
      <c r="L34" s="63">
        <f>IF($J34="",0,$K34*MAX(0,MIN(YEAR($C$3)*12+MONTH($C$3),YEAR($I34)*12+MONTH($I34))-(YEAR($H34)*12+MONTH($H34))+1))</f>
        <v/>
      </c>
      <c r="M34" s="63">
        <f>IF($J34="",0,$K34*MAX(0,MIN(YEAR($C$3)*12+MONTH($C$3)-1,YEAR($I34)*12+MONTH($I34))-(YEAR($H34)*12+MONTH($H34))+1))</f>
        <v/>
      </c>
      <c r="N34" s="63">
        <f>IF(OR($J34="",$B34=""),0,IF(YEAR($B34)*12+MONTH($B34)&lt;=YEAR($C$3)*12+MONTH($C$3),$G34,0))</f>
        <v/>
      </c>
      <c r="O34" s="63">
        <f>IF(OR($J34="",$B34=""),0,IF(YEAR($B34)*12+MONTH($B34)&lt;=YEAR($C$3)*12+MONTH($C$3)-1,$G34,0))</f>
        <v/>
      </c>
      <c r="P34" s="63">
        <f>$M34-$O34</f>
        <v/>
      </c>
      <c r="Q34" s="63">
        <f>($L34-$M34)-($N34-$O34)</f>
        <v/>
      </c>
      <c r="R34" s="63">
        <f>$L34-$N34</f>
        <v/>
      </c>
    </row>
    <row r="35">
      <c r="A35" s="60">
        <f>ROW()-5</f>
        <v/>
      </c>
      <c r="B35" s="61">
        <f>IFERROR(INDEX(tbl_Finance[Date],$A35),"")</f>
        <v/>
      </c>
      <c r="C35" s="62">
        <f>IFERROR(INDEX(tbl_Finance[Xero Invoice No],$A35),"")</f>
        <v/>
      </c>
      <c r="D35" s="62">
        <f>IFERROR(INDEX(tbl_Finance[Client],$A35),"")</f>
        <v/>
      </c>
      <c r="E35" s="62">
        <f>IFERROR(INDEX(tbl_Finance[Job Number],$A35),"")</f>
        <v/>
      </c>
      <c r="F35" s="62">
        <f>IFERROR(INDEX(tbl_Finance[Cost Centre],$A35),"")</f>
        <v/>
      </c>
      <c r="G35" s="63">
        <f>IFERROR(INDEX(tbl_Finance[Ex GST],$A35),"")</f>
        <v/>
      </c>
      <c r="H35" s="61">
        <f>IFERROR(INDEX(tbl_Finance[Defer Start],$A35),"")</f>
        <v/>
      </c>
      <c r="I35" s="61">
        <f>IFERROR(INDEX(tbl_Finance[Defer End],$A35),"")</f>
        <v/>
      </c>
      <c r="J35" s="60">
        <f>IF(OR($H35="",$I35="",$G35=""),"",MAX(1,(YEAR($I35)-YEAR($H35))*12+MONTH($I35)-MONTH($H35)+1))</f>
        <v/>
      </c>
      <c r="K35" s="63">
        <f>IF($J35="","",$G35/$J35)</f>
        <v/>
      </c>
      <c r="L35" s="63">
        <f>IF($J35="",0,$K35*MAX(0,MIN(YEAR($C$3)*12+MONTH($C$3),YEAR($I35)*12+MONTH($I35))-(YEAR($H35)*12+MONTH($H35))+1))</f>
        <v/>
      </c>
      <c r="M35" s="63">
        <f>IF($J35="",0,$K35*MAX(0,MIN(YEAR($C$3)*12+MONTH($C$3)-1,YEAR($I35)*12+MONTH($I35))-(YEAR($H35)*12+MONTH($H35))+1))</f>
        <v/>
      </c>
      <c r="N35" s="63">
        <f>IF(OR($J35="",$B35=""),0,IF(YEAR($B35)*12+MONTH($B35)&lt;=YEAR($C$3)*12+MONTH($C$3),$G35,0))</f>
        <v/>
      </c>
      <c r="O35" s="63">
        <f>IF(OR($J35="",$B35=""),0,IF(YEAR($B35)*12+MONTH($B35)&lt;=YEAR($C$3)*12+MONTH($C$3)-1,$G35,0))</f>
        <v/>
      </c>
      <c r="P35" s="63">
        <f>$M35-$O35</f>
        <v/>
      </c>
      <c r="Q35" s="63">
        <f>($L35-$M35)-($N35-$O35)</f>
        <v/>
      </c>
      <c r="R35" s="63">
        <f>$L35-$N35</f>
        <v/>
      </c>
    </row>
    <row r="36">
      <c r="A36" s="60">
        <f>ROW()-5</f>
        <v/>
      </c>
      <c r="B36" s="61">
        <f>IFERROR(INDEX(tbl_Finance[Date],$A36),"")</f>
        <v/>
      </c>
      <c r="C36" s="62">
        <f>IFERROR(INDEX(tbl_Finance[Xero Invoice No],$A36),"")</f>
        <v/>
      </c>
      <c r="D36" s="62">
        <f>IFERROR(INDEX(tbl_Finance[Client],$A36),"")</f>
        <v/>
      </c>
      <c r="E36" s="62">
        <f>IFERROR(INDEX(tbl_Finance[Job Number],$A36),"")</f>
        <v/>
      </c>
      <c r="F36" s="62">
        <f>IFERROR(INDEX(tbl_Finance[Cost Centre],$A36),"")</f>
        <v/>
      </c>
      <c r="G36" s="63">
        <f>IFERROR(INDEX(tbl_Finance[Ex GST],$A36),"")</f>
        <v/>
      </c>
      <c r="H36" s="61">
        <f>IFERROR(INDEX(tbl_Finance[Defer Start],$A36),"")</f>
        <v/>
      </c>
      <c r="I36" s="61">
        <f>IFERROR(INDEX(tbl_Finance[Defer End],$A36),"")</f>
        <v/>
      </c>
      <c r="J36" s="60">
        <f>IF(OR($H36="",$I36="",$G36=""),"",MAX(1,(YEAR($I36)-YEAR($H36))*12+MONTH($I36)-MONTH($H36)+1))</f>
        <v/>
      </c>
      <c r="K36" s="63">
        <f>IF($J36="","",$G36/$J36)</f>
        <v/>
      </c>
      <c r="L36" s="63">
        <f>IF($J36="",0,$K36*MAX(0,MIN(YEAR($C$3)*12+MONTH($C$3),YEAR($I36)*12+MONTH($I36))-(YEAR($H36)*12+MONTH($H36))+1))</f>
        <v/>
      </c>
      <c r="M36" s="63">
        <f>IF($J36="",0,$K36*MAX(0,MIN(YEAR($C$3)*12+MONTH($C$3)-1,YEAR($I36)*12+MONTH($I36))-(YEAR($H36)*12+MONTH($H36))+1))</f>
        <v/>
      </c>
      <c r="N36" s="63">
        <f>IF(OR($J36="",$B36=""),0,IF(YEAR($B36)*12+MONTH($B36)&lt;=YEAR($C$3)*12+MONTH($C$3),$G36,0))</f>
        <v/>
      </c>
      <c r="O36" s="63">
        <f>IF(OR($J36="",$B36=""),0,IF(YEAR($B36)*12+MONTH($B36)&lt;=YEAR($C$3)*12+MONTH($C$3)-1,$G36,0))</f>
        <v/>
      </c>
      <c r="P36" s="63">
        <f>$M36-$O36</f>
        <v/>
      </c>
      <c r="Q36" s="63">
        <f>($L36-$M36)-($N36-$O36)</f>
        <v/>
      </c>
      <c r="R36" s="63">
        <f>$L36-$N36</f>
        <v/>
      </c>
    </row>
    <row r="37">
      <c r="A37" s="60">
        <f>ROW()-5</f>
        <v/>
      </c>
      <c r="B37" s="61">
        <f>IFERROR(INDEX(tbl_Finance[Date],$A37),"")</f>
        <v/>
      </c>
      <c r="C37" s="62">
        <f>IFERROR(INDEX(tbl_Finance[Xero Invoice No],$A37),"")</f>
        <v/>
      </c>
      <c r="D37" s="62">
        <f>IFERROR(INDEX(tbl_Finance[Client],$A37),"")</f>
        <v/>
      </c>
      <c r="E37" s="62">
        <f>IFERROR(INDEX(tbl_Finance[Job Number],$A37),"")</f>
        <v/>
      </c>
      <c r="F37" s="62">
        <f>IFERROR(INDEX(tbl_Finance[Cost Centre],$A37),"")</f>
        <v/>
      </c>
      <c r="G37" s="63">
        <f>IFERROR(INDEX(tbl_Finance[Ex GST],$A37),"")</f>
        <v/>
      </c>
      <c r="H37" s="61">
        <f>IFERROR(INDEX(tbl_Finance[Defer Start],$A37),"")</f>
        <v/>
      </c>
      <c r="I37" s="61">
        <f>IFERROR(INDEX(tbl_Finance[Defer End],$A37),"")</f>
        <v/>
      </c>
      <c r="J37" s="60">
        <f>IF(OR($H37="",$I37="",$G37=""),"",MAX(1,(YEAR($I37)-YEAR($H37))*12+MONTH($I37)-MONTH($H37)+1))</f>
        <v/>
      </c>
      <c r="K37" s="63">
        <f>IF($J37="","",$G37/$J37)</f>
        <v/>
      </c>
      <c r="L37" s="63">
        <f>IF($J37="",0,$K37*MAX(0,MIN(YEAR($C$3)*12+MONTH($C$3),YEAR($I37)*12+MONTH($I37))-(YEAR($H37)*12+MONTH($H37))+1))</f>
        <v/>
      </c>
      <c r="M37" s="63">
        <f>IF($J37="",0,$K37*MAX(0,MIN(YEAR($C$3)*12+MONTH($C$3)-1,YEAR($I37)*12+MONTH($I37))-(YEAR($H37)*12+MONTH($H37))+1))</f>
        <v/>
      </c>
      <c r="N37" s="63">
        <f>IF(OR($J37="",$B37=""),0,IF(YEAR($B37)*12+MONTH($B37)&lt;=YEAR($C$3)*12+MONTH($C$3),$G37,0))</f>
        <v/>
      </c>
      <c r="O37" s="63">
        <f>IF(OR($J37="",$B37=""),0,IF(YEAR($B37)*12+MONTH($B37)&lt;=YEAR($C$3)*12+MONTH($C$3)-1,$G37,0))</f>
        <v/>
      </c>
      <c r="P37" s="63">
        <f>$M37-$O37</f>
        <v/>
      </c>
      <c r="Q37" s="63">
        <f>($L37-$M37)-($N37-$O37)</f>
        <v/>
      </c>
      <c r="R37" s="63">
        <f>$L37-$N37</f>
        <v/>
      </c>
    </row>
    <row r="38">
      <c r="A38" s="60">
        <f>ROW()-5</f>
        <v/>
      </c>
      <c r="B38" s="61">
        <f>IFERROR(INDEX(tbl_Finance[Date],$A38),"")</f>
        <v/>
      </c>
      <c r="C38" s="62">
        <f>IFERROR(INDEX(tbl_Finance[Xero Invoice No],$A38),"")</f>
        <v/>
      </c>
      <c r="D38" s="62">
        <f>IFERROR(INDEX(tbl_Finance[Client],$A38),"")</f>
        <v/>
      </c>
      <c r="E38" s="62">
        <f>IFERROR(INDEX(tbl_Finance[Job Number],$A38),"")</f>
        <v/>
      </c>
      <c r="F38" s="62">
        <f>IFERROR(INDEX(tbl_Finance[Cost Centre],$A38),"")</f>
        <v/>
      </c>
      <c r="G38" s="63">
        <f>IFERROR(INDEX(tbl_Finance[Ex GST],$A38),"")</f>
        <v/>
      </c>
      <c r="H38" s="61">
        <f>IFERROR(INDEX(tbl_Finance[Defer Start],$A38),"")</f>
        <v/>
      </c>
      <c r="I38" s="61">
        <f>IFERROR(INDEX(tbl_Finance[Defer End],$A38),"")</f>
        <v/>
      </c>
      <c r="J38" s="60">
        <f>IF(OR($H38="",$I38="",$G38=""),"",MAX(1,(YEAR($I38)-YEAR($H38))*12+MONTH($I38)-MONTH($H38)+1))</f>
        <v/>
      </c>
      <c r="K38" s="63">
        <f>IF($J38="","",$G38/$J38)</f>
        <v/>
      </c>
      <c r="L38" s="63">
        <f>IF($J38="",0,$K38*MAX(0,MIN(YEAR($C$3)*12+MONTH($C$3),YEAR($I38)*12+MONTH($I38))-(YEAR($H38)*12+MONTH($H38))+1))</f>
        <v/>
      </c>
      <c r="M38" s="63">
        <f>IF($J38="",0,$K38*MAX(0,MIN(YEAR($C$3)*12+MONTH($C$3)-1,YEAR($I38)*12+MONTH($I38))-(YEAR($H38)*12+MONTH($H38))+1))</f>
        <v/>
      </c>
      <c r="N38" s="63">
        <f>IF(OR($J38="",$B38=""),0,IF(YEAR($B38)*12+MONTH($B38)&lt;=YEAR($C$3)*12+MONTH($C$3),$G38,0))</f>
        <v/>
      </c>
      <c r="O38" s="63">
        <f>IF(OR($J38="",$B38=""),0,IF(YEAR($B38)*12+MONTH($B38)&lt;=YEAR($C$3)*12+MONTH($C$3)-1,$G38,0))</f>
        <v/>
      </c>
      <c r="P38" s="63">
        <f>$M38-$O38</f>
        <v/>
      </c>
      <c r="Q38" s="63">
        <f>($L38-$M38)-($N38-$O38)</f>
        <v/>
      </c>
      <c r="R38" s="63">
        <f>$L38-$N38</f>
        <v/>
      </c>
    </row>
    <row r="39">
      <c r="A39" s="60">
        <f>ROW()-5</f>
        <v/>
      </c>
      <c r="B39" s="61">
        <f>IFERROR(INDEX(tbl_Finance[Date],$A39),"")</f>
        <v/>
      </c>
      <c r="C39" s="62">
        <f>IFERROR(INDEX(tbl_Finance[Xero Invoice No],$A39),"")</f>
        <v/>
      </c>
      <c r="D39" s="62">
        <f>IFERROR(INDEX(tbl_Finance[Client],$A39),"")</f>
        <v/>
      </c>
      <c r="E39" s="62">
        <f>IFERROR(INDEX(tbl_Finance[Job Number],$A39),"")</f>
        <v/>
      </c>
      <c r="F39" s="62">
        <f>IFERROR(INDEX(tbl_Finance[Cost Centre],$A39),"")</f>
        <v/>
      </c>
      <c r="G39" s="63">
        <f>IFERROR(INDEX(tbl_Finance[Ex GST],$A39),"")</f>
        <v/>
      </c>
      <c r="H39" s="61">
        <f>IFERROR(INDEX(tbl_Finance[Defer Start],$A39),"")</f>
        <v/>
      </c>
      <c r="I39" s="61">
        <f>IFERROR(INDEX(tbl_Finance[Defer End],$A39),"")</f>
        <v/>
      </c>
      <c r="J39" s="60">
        <f>IF(OR($H39="",$I39="",$G39=""),"",MAX(1,(YEAR($I39)-YEAR($H39))*12+MONTH($I39)-MONTH($H39)+1))</f>
        <v/>
      </c>
      <c r="K39" s="63">
        <f>IF($J39="","",$G39/$J39)</f>
        <v/>
      </c>
      <c r="L39" s="63">
        <f>IF($J39="",0,$K39*MAX(0,MIN(YEAR($C$3)*12+MONTH($C$3),YEAR($I39)*12+MONTH($I39))-(YEAR($H39)*12+MONTH($H39))+1))</f>
        <v/>
      </c>
      <c r="M39" s="63">
        <f>IF($J39="",0,$K39*MAX(0,MIN(YEAR($C$3)*12+MONTH($C$3)-1,YEAR($I39)*12+MONTH($I39))-(YEAR($H39)*12+MONTH($H39))+1))</f>
        <v/>
      </c>
      <c r="N39" s="63">
        <f>IF(OR($J39="",$B39=""),0,IF(YEAR($B39)*12+MONTH($B39)&lt;=YEAR($C$3)*12+MONTH($C$3),$G39,0))</f>
        <v/>
      </c>
      <c r="O39" s="63">
        <f>IF(OR($J39="",$B39=""),0,IF(YEAR($B39)*12+MONTH($B39)&lt;=YEAR($C$3)*12+MONTH($C$3)-1,$G39,0))</f>
        <v/>
      </c>
      <c r="P39" s="63">
        <f>$M39-$O39</f>
        <v/>
      </c>
      <c r="Q39" s="63">
        <f>($L39-$M39)-($N39-$O39)</f>
        <v/>
      </c>
      <c r="R39" s="63">
        <f>$L39-$N39</f>
        <v/>
      </c>
    </row>
    <row r="40">
      <c r="A40" s="60">
        <f>ROW()-5</f>
        <v/>
      </c>
      <c r="B40" s="61">
        <f>IFERROR(INDEX(tbl_Finance[Date],$A40),"")</f>
        <v/>
      </c>
      <c r="C40" s="62">
        <f>IFERROR(INDEX(tbl_Finance[Xero Invoice No],$A40),"")</f>
        <v/>
      </c>
      <c r="D40" s="62">
        <f>IFERROR(INDEX(tbl_Finance[Client],$A40),"")</f>
        <v/>
      </c>
      <c r="E40" s="62">
        <f>IFERROR(INDEX(tbl_Finance[Job Number],$A40),"")</f>
        <v/>
      </c>
      <c r="F40" s="62">
        <f>IFERROR(INDEX(tbl_Finance[Cost Centre],$A40),"")</f>
        <v/>
      </c>
      <c r="G40" s="63">
        <f>IFERROR(INDEX(tbl_Finance[Ex GST],$A40),"")</f>
        <v/>
      </c>
      <c r="H40" s="61">
        <f>IFERROR(INDEX(tbl_Finance[Defer Start],$A40),"")</f>
        <v/>
      </c>
      <c r="I40" s="61">
        <f>IFERROR(INDEX(tbl_Finance[Defer End],$A40),"")</f>
        <v/>
      </c>
      <c r="J40" s="60">
        <f>IF(OR($H40="",$I40="",$G40=""),"",MAX(1,(YEAR($I40)-YEAR($H40))*12+MONTH($I40)-MONTH($H40)+1))</f>
        <v/>
      </c>
      <c r="K40" s="63">
        <f>IF($J40="","",$G40/$J40)</f>
        <v/>
      </c>
      <c r="L40" s="63">
        <f>IF($J40="",0,$K40*MAX(0,MIN(YEAR($C$3)*12+MONTH($C$3),YEAR($I40)*12+MONTH($I40))-(YEAR($H40)*12+MONTH($H40))+1))</f>
        <v/>
      </c>
      <c r="M40" s="63">
        <f>IF($J40="",0,$K40*MAX(0,MIN(YEAR($C$3)*12+MONTH($C$3)-1,YEAR($I40)*12+MONTH($I40))-(YEAR($H40)*12+MONTH($H40))+1))</f>
        <v/>
      </c>
      <c r="N40" s="63">
        <f>IF(OR($J40="",$B40=""),0,IF(YEAR($B40)*12+MONTH($B40)&lt;=YEAR($C$3)*12+MONTH($C$3),$G40,0))</f>
        <v/>
      </c>
      <c r="O40" s="63">
        <f>IF(OR($J40="",$B40=""),0,IF(YEAR($B40)*12+MONTH($B40)&lt;=YEAR($C$3)*12+MONTH($C$3)-1,$G40,0))</f>
        <v/>
      </c>
      <c r="P40" s="63">
        <f>$M40-$O40</f>
        <v/>
      </c>
      <c r="Q40" s="63">
        <f>($L40-$M40)-($N40-$O40)</f>
        <v/>
      </c>
      <c r="R40" s="63">
        <f>$L40-$N40</f>
        <v/>
      </c>
    </row>
    <row r="41">
      <c r="A41" s="60">
        <f>ROW()-5</f>
        <v/>
      </c>
      <c r="B41" s="61">
        <f>IFERROR(INDEX(tbl_Finance[Date],$A41),"")</f>
        <v/>
      </c>
      <c r="C41" s="62">
        <f>IFERROR(INDEX(tbl_Finance[Xero Invoice No],$A41),"")</f>
        <v/>
      </c>
      <c r="D41" s="62">
        <f>IFERROR(INDEX(tbl_Finance[Client],$A41),"")</f>
        <v/>
      </c>
      <c r="E41" s="62">
        <f>IFERROR(INDEX(tbl_Finance[Job Number],$A41),"")</f>
        <v/>
      </c>
      <c r="F41" s="62">
        <f>IFERROR(INDEX(tbl_Finance[Cost Centre],$A41),"")</f>
        <v/>
      </c>
      <c r="G41" s="63">
        <f>IFERROR(INDEX(tbl_Finance[Ex GST],$A41),"")</f>
        <v/>
      </c>
      <c r="H41" s="61">
        <f>IFERROR(INDEX(tbl_Finance[Defer Start],$A41),"")</f>
        <v/>
      </c>
      <c r="I41" s="61">
        <f>IFERROR(INDEX(tbl_Finance[Defer End],$A41),"")</f>
        <v/>
      </c>
      <c r="J41" s="60">
        <f>IF(OR($H41="",$I41="",$G41=""),"",MAX(1,(YEAR($I41)-YEAR($H41))*12+MONTH($I41)-MONTH($H41)+1))</f>
        <v/>
      </c>
      <c r="K41" s="63">
        <f>IF($J41="","",$G41/$J41)</f>
        <v/>
      </c>
      <c r="L41" s="63">
        <f>IF($J41="",0,$K41*MAX(0,MIN(YEAR($C$3)*12+MONTH($C$3),YEAR($I41)*12+MONTH($I41))-(YEAR($H41)*12+MONTH($H41))+1))</f>
        <v/>
      </c>
      <c r="M41" s="63">
        <f>IF($J41="",0,$K41*MAX(0,MIN(YEAR($C$3)*12+MONTH($C$3)-1,YEAR($I41)*12+MONTH($I41))-(YEAR($H41)*12+MONTH($H41))+1))</f>
        <v/>
      </c>
      <c r="N41" s="63">
        <f>IF(OR($J41="",$B41=""),0,IF(YEAR($B41)*12+MONTH($B41)&lt;=YEAR($C$3)*12+MONTH($C$3),$G41,0))</f>
        <v/>
      </c>
      <c r="O41" s="63">
        <f>IF(OR($J41="",$B41=""),0,IF(YEAR($B41)*12+MONTH($B41)&lt;=YEAR($C$3)*12+MONTH($C$3)-1,$G41,0))</f>
        <v/>
      </c>
      <c r="P41" s="63">
        <f>$M41-$O41</f>
        <v/>
      </c>
      <c r="Q41" s="63">
        <f>($L41-$M41)-($N41-$O41)</f>
        <v/>
      </c>
      <c r="R41" s="63">
        <f>$L41-$N41</f>
        <v/>
      </c>
    </row>
    <row r="42">
      <c r="A42" s="60">
        <f>ROW()-5</f>
        <v/>
      </c>
      <c r="B42" s="61">
        <f>IFERROR(INDEX(tbl_Finance[Date],$A42),"")</f>
        <v/>
      </c>
      <c r="C42" s="62">
        <f>IFERROR(INDEX(tbl_Finance[Xero Invoice No],$A42),"")</f>
        <v/>
      </c>
      <c r="D42" s="62">
        <f>IFERROR(INDEX(tbl_Finance[Client],$A42),"")</f>
        <v/>
      </c>
      <c r="E42" s="62">
        <f>IFERROR(INDEX(tbl_Finance[Job Number],$A42),"")</f>
        <v/>
      </c>
      <c r="F42" s="62">
        <f>IFERROR(INDEX(tbl_Finance[Cost Centre],$A42),"")</f>
        <v/>
      </c>
      <c r="G42" s="63">
        <f>IFERROR(INDEX(tbl_Finance[Ex GST],$A42),"")</f>
        <v/>
      </c>
      <c r="H42" s="61">
        <f>IFERROR(INDEX(tbl_Finance[Defer Start],$A42),"")</f>
        <v/>
      </c>
      <c r="I42" s="61">
        <f>IFERROR(INDEX(tbl_Finance[Defer End],$A42),"")</f>
        <v/>
      </c>
      <c r="J42" s="60">
        <f>IF(OR($H42="",$I42="",$G42=""),"",MAX(1,(YEAR($I42)-YEAR($H42))*12+MONTH($I42)-MONTH($H42)+1))</f>
        <v/>
      </c>
      <c r="K42" s="63">
        <f>IF($J42="","",$G42/$J42)</f>
        <v/>
      </c>
      <c r="L42" s="63">
        <f>IF($J42="",0,$K42*MAX(0,MIN(YEAR($C$3)*12+MONTH($C$3),YEAR($I42)*12+MONTH($I42))-(YEAR($H42)*12+MONTH($H42))+1))</f>
        <v/>
      </c>
      <c r="M42" s="63">
        <f>IF($J42="",0,$K42*MAX(0,MIN(YEAR($C$3)*12+MONTH($C$3)-1,YEAR($I42)*12+MONTH($I42))-(YEAR($H42)*12+MONTH($H42))+1))</f>
        <v/>
      </c>
      <c r="N42" s="63">
        <f>IF(OR($J42="",$B42=""),0,IF(YEAR($B42)*12+MONTH($B42)&lt;=YEAR($C$3)*12+MONTH($C$3),$G42,0))</f>
        <v/>
      </c>
      <c r="O42" s="63">
        <f>IF(OR($J42="",$B42=""),0,IF(YEAR($B42)*12+MONTH($B42)&lt;=YEAR($C$3)*12+MONTH($C$3)-1,$G42,0))</f>
        <v/>
      </c>
      <c r="P42" s="63">
        <f>$M42-$O42</f>
        <v/>
      </c>
      <c r="Q42" s="63">
        <f>($L42-$M42)-($N42-$O42)</f>
        <v/>
      </c>
      <c r="R42" s="63">
        <f>$L42-$N42</f>
        <v/>
      </c>
    </row>
    <row r="43">
      <c r="A43" s="60">
        <f>ROW()-5</f>
        <v/>
      </c>
      <c r="B43" s="61">
        <f>IFERROR(INDEX(tbl_Finance[Date],$A43),"")</f>
        <v/>
      </c>
      <c r="C43" s="62">
        <f>IFERROR(INDEX(tbl_Finance[Xero Invoice No],$A43),"")</f>
        <v/>
      </c>
      <c r="D43" s="62">
        <f>IFERROR(INDEX(tbl_Finance[Client],$A43),"")</f>
        <v/>
      </c>
      <c r="E43" s="62">
        <f>IFERROR(INDEX(tbl_Finance[Job Number],$A43),"")</f>
        <v/>
      </c>
      <c r="F43" s="62">
        <f>IFERROR(INDEX(tbl_Finance[Cost Centre],$A43),"")</f>
        <v/>
      </c>
      <c r="G43" s="63">
        <f>IFERROR(INDEX(tbl_Finance[Ex GST],$A43),"")</f>
        <v/>
      </c>
      <c r="H43" s="61">
        <f>IFERROR(INDEX(tbl_Finance[Defer Start],$A43),"")</f>
        <v/>
      </c>
      <c r="I43" s="61">
        <f>IFERROR(INDEX(tbl_Finance[Defer End],$A43),"")</f>
        <v/>
      </c>
      <c r="J43" s="60">
        <f>IF(OR($H43="",$I43="",$G43=""),"",MAX(1,(YEAR($I43)-YEAR($H43))*12+MONTH($I43)-MONTH($H43)+1))</f>
        <v/>
      </c>
      <c r="K43" s="63">
        <f>IF($J43="","",$G43/$J43)</f>
        <v/>
      </c>
      <c r="L43" s="63">
        <f>IF($J43="",0,$K43*MAX(0,MIN(YEAR($C$3)*12+MONTH($C$3),YEAR($I43)*12+MONTH($I43))-(YEAR($H43)*12+MONTH($H43))+1))</f>
        <v/>
      </c>
      <c r="M43" s="63">
        <f>IF($J43="",0,$K43*MAX(0,MIN(YEAR($C$3)*12+MONTH($C$3)-1,YEAR($I43)*12+MONTH($I43))-(YEAR($H43)*12+MONTH($H43))+1))</f>
        <v/>
      </c>
      <c r="N43" s="63">
        <f>IF(OR($J43="",$B43=""),0,IF(YEAR($B43)*12+MONTH($B43)&lt;=YEAR($C$3)*12+MONTH($C$3),$G43,0))</f>
        <v/>
      </c>
      <c r="O43" s="63">
        <f>IF(OR($J43="",$B43=""),0,IF(YEAR($B43)*12+MONTH($B43)&lt;=YEAR($C$3)*12+MONTH($C$3)-1,$G43,0))</f>
        <v/>
      </c>
      <c r="P43" s="63">
        <f>$M43-$O43</f>
        <v/>
      </c>
      <c r="Q43" s="63">
        <f>($L43-$M43)-($N43-$O43)</f>
        <v/>
      </c>
      <c r="R43" s="63">
        <f>$L43-$N43</f>
        <v/>
      </c>
    </row>
    <row r="44">
      <c r="A44" s="60">
        <f>ROW()-5</f>
        <v/>
      </c>
      <c r="B44" s="61">
        <f>IFERROR(INDEX(tbl_Finance[Date],$A44),"")</f>
        <v/>
      </c>
      <c r="C44" s="62">
        <f>IFERROR(INDEX(tbl_Finance[Xero Invoice No],$A44),"")</f>
        <v/>
      </c>
      <c r="D44" s="62">
        <f>IFERROR(INDEX(tbl_Finance[Client],$A44),"")</f>
        <v/>
      </c>
      <c r="E44" s="62">
        <f>IFERROR(INDEX(tbl_Finance[Job Number],$A44),"")</f>
        <v/>
      </c>
      <c r="F44" s="62">
        <f>IFERROR(INDEX(tbl_Finance[Cost Centre],$A44),"")</f>
        <v/>
      </c>
      <c r="G44" s="63">
        <f>IFERROR(INDEX(tbl_Finance[Ex GST],$A44),"")</f>
        <v/>
      </c>
      <c r="H44" s="61">
        <f>IFERROR(INDEX(tbl_Finance[Defer Start],$A44),"")</f>
        <v/>
      </c>
      <c r="I44" s="61">
        <f>IFERROR(INDEX(tbl_Finance[Defer End],$A44),"")</f>
        <v/>
      </c>
      <c r="J44" s="60">
        <f>IF(OR($H44="",$I44="",$G44=""),"",MAX(1,(YEAR($I44)-YEAR($H44))*12+MONTH($I44)-MONTH($H44)+1))</f>
        <v/>
      </c>
      <c r="K44" s="63">
        <f>IF($J44="","",$G44/$J44)</f>
        <v/>
      </c>
      <c r="L44" s="63">
        <f>IF($J44="",0,$K44*MAX(0,MIN(YEAR($C$3)*12+MONTH($C$3),YEAR($I44)*12+MONTH($I44))-(YEAR($H44)*12+MONTH($H44))+1))</f>
        <v/>
      </c>
      <c r="M44" s="63">
        <f>IF($J44="",0,$K44*MAX(0,MIN(YEAR($C$3)*12+MONTH($C$3)-1,YEAR($I44)*12+MONTH($I44))-(YEAR($H44)*12+MONTH($H44))+1))</f>
        <v/>
      </c>
      <c r="N44" s="63">
        <f>IF(OR($J44="",$B44=""),0,IF(YEAR($B44)*12+MONTH($B44)&lt;=YEAR($C$3)*12+MONTH($C$3),$G44,0))</f>
        <v/>
      </c>
      <c r="O44" s="63">
        <f>IF(OR($J44="",$B44=""),0,IF(YEAR($B44)*12+MONTH($B44)&lt;=YEAR($C$3)*12+MONTH($C$3)-1,$G44,0))</f>
        <v/>
      </c>
      <c r="P44" s="63">
        <f>$M44-$O44</f>
        <v/>
      </c>
      <c r="Q44" s="63">
        <f>($L44-$M44)-($N44-$O44)</f>
        <v/>
      </c>
      <c r="R44" s="63">
        <f>$L44-$N44</f>
        <v/>
      </c>
    </row>
    <row r="45">
      <c r="A45" s="60">
        <f>ROW()-5</f>
        <v/>
      </c>
      <c r="B45" s="61">
        <f>IFERROR(INDEX(tbl_Finance[Date],$A45),"")</f>
        <v/>
      </c>
      <c r="C45" s="62">
        <f>IFERROR(INDEX(tbl_Finance[Xero Invoice No],$A45),"")</f>
        <v/>
      </c>
      <c r="D45" s="62">
        <f>IFERROR(INDEX(tbl_Finance[Client],$A45),"")</f>
        <v/>
      </c>
      <c r="E45" s="62">
        <f>IFERROR(INDEX(tbl_Finance[Job Number],$A45),"")</f>
        <v/>
      </c>
      <c r="F45" s="62">
        <f>IFERROR(INDEX(tbl_Finance[Cost Centre],$A45),"")</f>
        <v/>
      </c>
      <c r="G45" s="63">
        <f>IFERROR(INDEX(tbl_Finance[Ex GST],$A45),"")</f>
        <v/>
      </c>
      <c r="H45" s="61">
        <f>IFERROR(INDEX(tbl_Finance[Defer Start],$A45),"")</f>
        <v/>
      </c>
      <c r="I45" s="61">
        <f>IFERROR(INDEX(tbl_Finance[Defer End],$A45),"")</f>
        <v/>
      </c>
      <c r="J45" s="60">
        <f>IF(OR($H45="",$I45="",$G45=""),"",MAX(1,(YEAR($I45)-YEAR($H45))*12+MONTH($I45)-MONTH($H45)+1))</f>
        <v/>
      </c>
      <c r="K45" s="63">
        <f>IF($J45="","",$G45/$J45)</f>
        <v/>
      </c>
      <c r="L45" s="63">
        <f>IF($J45="",0,$K45*MAX(0,MIN(YEAR($C$3)*12+MONTH($C$3),YEAR($I45)*12+MONTH($I45))-(YEAR($H45)*12+MONTH($H45))+1))</f>
        <v/>
      </c>
      <c r="M45" s="63">
        <f>IF($J45="",0,$K45*MAX(0,MIN(YEAR($C$3)*12+MONTH($C$3)-1,YEAR($I45)*12+MONTH($I45))-(YEAR($H45)*12+MONTH($H45))+1))</f>
        <v/>
      </c>
      <c r="N45" s="63">
        <f>IF(OR($J45="",$B45=""),0,IF(YEAR($B45)*12+MONTH($B45)&lt;=YEAR($C$3)*12+MONTH($C$3),$G45,0))</f>
        <v/>
      </c>
      <c r="O45" s="63">
        <f>IF(OR($J45="",$B45=""),0,IF(YEAR($B45)*12+MONTH($B45)&lt;=YEAR($C$3)*12+MONTH($C$3)-1,$G45,0))</f>
        <v/>
      </c>
      <c r="P45" s="63">
        <f>$M45-$O45</f>
        <v/>
      </c>
      <c r="Q45" s="63">
        <f>($L45-$M45)-($N45-$O45)</f>
        <v/>
      </c>
      <c r="R45" s="63">
        <f>$L45-$N45</f>
        <v/>
      </c>
    </row>
    <row r="46">
      <c r="A46" s="60">
        <f>ROW()-5</f>
        <v/>
      </c>
      <c r="B46" s="61">
        <f>IFERROR(INDEX(tbl_Finance[Date],$A46),"")</f>
        <v/>
      </c>
      <c r="C46" s="62">
        <f>IFERROR(INDEX(tbl_Finance[Xero Invoice No],$A46),"")</f>
        <v/>
      </c>
      <c r="D46" s="62">
        <f>IFERROR(INDEX(tbl_Finance[Client],$A46),"")</f>
        <v/>
      </c>
      <c r="E46" s="62">
        <f>IFERROR(INDEX(tbl_Finance[Job Number],$A46),"")</f>
        <v/>
      </c>
      <c r="F46" s="62">
        <f>IFERROR(INDEX(tbl_Finance[Cost Centre],$A46),"")</f>
        <v/>
      </c>
      <c r="G46" s="63">
        <f>IFERROR(INDEX(tbl_Finance[Ex GST],$A46),"")</f>
        <v/>
      </c>
      <c r="H46" s="61">
        <f>IFERROR(INDEX(tbl_Finance[Defer Start],$A46),"")</f>
        <v/>
      </c>
      <c r="I46" s="61">
        <f>IFERROR(INDEX(tbl_Finance[Defer End],$A46),"")</f>
        <v/>
      </c>
      <c r="J46" s="60">
        <f>IF(OR($H46="",$I46="",$G46=""),"",MAX(1,(YEAR($I46)-YEAR($H46))*12+MONTH($I46)-MONTH($H46)+1))</f>
        <v/>
      </c>
      <c r="K46" s="63">
        <f>IF($J46="","",$G46/$J46)</f>
        <v/>
      </c>
      <c r="L46" s="63">
        <f>IF($J46="",0,$K46*MAX(0,MIN(YEAR($C$3)*12+MONTH($C$3),YEAR($I46)*12+MONTH($I46))-(YEAR($H46)*12+MONTH($H46))+1))</f>
        <v/>
      </c>
      <c r="M46" s="63">
        <f>IF($J46="",0,$K46*MAX(0,MIN(YEAR($C$3)*12+MONTH($C$3)-1,YEAR($I46)*12+MONTH($I46))-(YEAR($H46)*12+MONTH($H46))+1))</f>
        <v/>
      </c>
      <c r="N46" s="63">
        <f>IF(OR($J46="",$B46=""),0,IF(YEAR($B46)*12+MONTH($B46)&lt;=YEAR($C$3)*12+MONTH($C$3),$G46,0))</f>
        <v/>
      </c>
      <c r="O46" s="63">
        <f>IF(OR($J46="",$B46=""),0,IF(YEAR($B46)*12+MONTH($B46)&lt;=YEAR($C$3)*12+MONTH($C$3)-1,$G46,0))</f>
        <v/>
      </c>
      <c r="P46" s="63">
        <f>$M46-$O46</f>
        <v/>
      </c>
      <c r="Q46" s="63">
        <f>($L46-$M46)-($N46-$O46)</f>
        <v/>
      </c>
      <c r="R46" s="63">
        <f>$L46-$N46</f>
        <v/>
      </c>
    </row>
    <row r="47">
      <c r="A47" s="60">
        <f>ROW()-5</f>
        <v/>
      </c>
      <c r="B47" s="61">
        <f>IFERROR(INDEX(tbl_Finance[Date],$A47),"")</f>
        <v/>
      </c>
      <c r="C47" s="62">
        <f>IFERROR(INDEX(tbl_Finance[Xero Invoice No],$A47),"")</f>
        <v/>
      </c>
      <c r="D47" s="62">
        <f>IFERROR(INDEX(tbl_Finance[Client],$A47),"")</f>
        <v/>
      </c>
      <c r="E47" s="62">
        <f>IFERROR(INDEX(tbl_Finance[Job Number],$A47),"")</f>
        <v/>
      </c>
      <c r="F47" s="62">
        <f>IFERROR(INDEX(tbl_Finance[Cost Centre],$A47),"")</f>
        <v/>
      </c>
      <c r="G47" s="63">
        <f>IFERROR(INDEX(tbl_Finance[Ex GST],$A47),"")</f>
        <v/>
      </c>
      <c r="H47" s="61">
        <f>IFERROR(INDEX(tbl_Finance[Defer Start],$A47),"")</f>
        <v/>
      </c>
      <c r="I47" s="61">
        <f>IFERROR(INDEX(tbl_Finance[Defer End],$A47),"")</f>
        <v/>
      </c>
      <c r="J47" s="60">
        <f>IF(OR($H47="",$I47="",$G47=""),"",MAX(1,(YEAR($I47)-YEAR($H47))*12+MONTH($I47)-MONTH($H47)+1))</f>
        <v/>
      </c>
      <c r="K47" s="63">
        <f>IF($J47="","",$G47/$J47)</f>
        <v/>
      </c>
      <c r="L47" s="63">
        <f>IF($J47="",0,$K47*MAX(0,MIN(YEAR($C$3)*12+MONTH($C$3),YEAR($I47)*12+MONTH($I47))-(YEAR($H47)*12+MONTH($H47))+1))</f>
        <v/>
      </c>
      <c r="M47" s="63">
        <f>IF($J47="",0,$K47*MAX(0,MIN(YEAR($C$3)*12+MONTH($C$3)-1,YEAR($I47)*12+MONTH($I47))-(YEAR($H47)*12+MONTH($H47))+1))</f>
        <v/>
      </c>
      <c r="N47" s="63">
        <f>IF(OR($J47="",$B47=""),0,IF(YEAR($B47)*12+MONTH($B47)&lt;=YEAR($C$3)*12+MONTH($C$3),$G47,0))</f>
        <v/>
      </c>
      <c r="O47" s="63">
        <f>IF(OR($J47="",$B47=""),0,IF(YEAR($B47)*12+MONTH($B47)&lt;=YEAR($C$3)*12+MONTH($C$3)-1,$G47,0))</f>
        <v/>
      </c>
      <c r="P47" s="63">
        <f>$M47-$O47</f>
        <v/>
      </c>
      <c r="Q47" s="63">
        <f>($L47-$M47)-($N47-$O47)</f>
        <v/>
      </c>
      <c r="R47" s="63">
        <f>$L47-$N47</f>
        <v/>
      </c>
    </row>
    <row r="48">
      <c r="A48" s="60">
        <f>ROW()-5</f>
        <v/>
      </c>
      <c r="B48" s="61">
        <f>IFERROR(INDEX(tbl_Finance[Date],$A48),"")</f>
        <v/>
      </c>
      <c r="C48" s="62">
        <f>IFERROR(INDEX(tbl_Finance[Xero Invoice No],$A48),"")</f>
        <v/>
      </c>
      <c r="D48" s="62">
        <f>IFERROR(INDEX(tbl_Finance[Client],$A48),"")</f>
        <v/>
      </c>
      <c r="E48" s="62">
        <f>IFERROR(INDEX(tbl_Finance[Job Number],$A48),"")</f>
        <v/>
      </c>
      <c r="F48" s="62">
        <f>IFERROR(INDEX(tbl_Finance[Cost Centre],$A48),"")</f>
        <v/>
      </c>
      <c r="G48" s="63">
        <f>IFERROR(INDEX(tbl_Finance[Ex GST],$A48),"")</f>
        <v/>
      </c>
      <c r="H48" s="61">
        <f>IFERROR(INDEX(tbl_Finance[Defer Start],$A48),"")</f>
        <v/>
      </c>
      <c r="I48" s="61">
        <f>IFERROR(INDEX(tbl_Finance[Defer End],$A48),"")</f>
        <v/>
      </c>
      <c r="J48" s="60">
        <f>IF(OR($H48="",$I48="",$G48=""),"",MAX(1,(YEAR($I48)-YEAR($H48))*12+MONTH($I48)-MONTH($H48)+1))</f>
        <v/>
      </c>
      <c r="K48" s="63">
        <f>IF($J48="","",$G48/$J48)</f>
        <v/>
      </c>
      <c r="L48" s="63">
        <f>IF($J48="",0,$K48*MAX(0,MIN(YEAR($C$3)*12+MONTH($C$3),YEAR($I48)*12+MONTH($I48))-(YEAR($H48)*12+MONTH($H48))+1))</f>
        <v/>
      </c>
      <c r="M48" s="63">
        <f>IF($J48="",0,$K48*MAX(0,MIN(YEAR($C$3)*12+MONTH($C$3)-1,YEAR($I48)*12+MONTH($I48))-(YEAR($H48)*12+MONTH($H48))+1))</f>
        <v/>
      </c>
      <c r="N48" s="63">
        <f>IF(OR($J48="",$B48=""),0,IF(YEAR($B48)*12+MONTH($B48)&lt;=YEAR($C$3)*12+MONTH($C$3),$G48,0))</f>
        <v/>
      </c>
      <c r="O48" s="63">
        <f>IF(OR($J48="",$B48=""),0,IF(YEAR($B48)*12+MONTH($B48)&lt;=YEAR($C$3)*12+MONTH($C$3)-1,$G48,0))</f>
        <v/>
      </c>
      <c r="P48" s="63">
        <f>$M48-$O48</f>
        <v/>
      </c>
      <c r="Q48" s="63">
        <f>($L48-$M48)-($N48-$O48)</f>
        <v/>
      </c>
      <c r="R48" s="63">
        <f>$L48-$N48</f>
        <v/>
      </c>
    </row>
    <row r="49">
      <c r="A49" s="60">
        <f>ROW()-5</f>
        <v/>
      </c>
      <c r="B49" s="61">
        <f>IFERROR(INDEX(tbl_Finance[Date],$A49),"")</f>
        <v/>
      </c>
      <c r="C49" s="62">
        <f>IFERROR(INDEX(tbl_Finance[Xero Invoice No],$A49),"")</f>
        <v/>
      </c>
      <c r="D49" s="62">
        <f>IFERROR(INDEX(tbl_Finance[Client],$A49),"")</f>
        <v/>
      </c>
      <c r="E49" s="62">
        <f>IFERROR(INDEX(tbl_Finance[Job Number],$A49),"")</f>
        <v/>
      </c>
      <c r="F49" s="62">
        <f>IFERROR(INDEX(tbl_Finance[Cost Centre],$A49),"")</f>
        <v/>
      </c>
      <c r="G49" s="63">
        <f>IFERROR(INDEX(tbl_Finance[Ex GST],$A49),"")</f>
        <v/>
      </c>
      <c r="H49" s="61">
        <f>IFERROR(INDEX(tbl_Finance[Defer Start],$A49),"")</f>
        <v/>
      </c>
      <c r="I49" s="61">
        <f>IFERROR(INDEX(tbl_Finance[Defer End],$A49),"")</f>
        <v/>
      </c>
      <c r="J49" s="60">
        <f>IF(OR($H49="",$I49="",$G49=""),"",MAX(1,(YEAR($I49)-YEAR($H49))*12+MONTH($I49)-MONTH($H49)+1))</f>
        <v/>
      </c>
      <c r="K49" s="63">
        <f>IF($J49="","",$G49/$J49)</f>
        <v/>
      </c>
      <c r="L49" s="63">
        <f>IF($J49="",0,$K49*MAX(0,MIN(YEAR($C$3)*12+MONTH($C$3),YEAR($I49)*12+MONTH($I49))-(YEAR($H49)*12+MONTH($H49))+1))</f>
        <v/>
      </c>
      <c r="M49" s="63">
        <f>IF($J49="",0,$K49*MAX(0,MIN(YEAR($C$3)*12+MONTH($C$3)-1,YEAR($I49)*12+MONTH($I49))-(YEAR($H49)*12+MONTH($H49))+1))</f>
        <v/>
      </c>
      <c r="N49" s="63">
        <f>IF(OR($J49="",$B49=""),0,IF(YEAR($B49)*12+MONTH($B49)&lt;=YEAR($C$3)*12+MONTH($C$3),$G49,0))</f>
        <v/>
      </c>
      <c r="O49" s="63">
        <f>IF(OR($J49="",$B49=""),0,IF(YEAR($B49)*12+MONTH($B49)&lt;=YEAR($C$3)*12+MONTH($C$3)-1,$G49,0))</f>
        <v/>
      </c>
      <c r="P49" s="63">
        <f>$M49-$O49</f>
        <v/>
      </c>
      <c r="Q49" s="63">
        <f>($L49-$M49)-($N49-$O49)</f>
        <v/>
      </c>
      <c r="R49" s="63">
        <f>$L49-$N49</f>
        <v/>
      </c>
    </row>
    <row r="50">
      <c r="A50" s="60">
        <f>ROW()-5</f>
        <v/>
      </c>
      <c r="B50" s="61">
        <f>IFERROR(INDEX(tbl_Finance[Date],$A50),"")</f>
        <v/>
      </c>
      <c r="C50" s="62">
        <f>IFERROR(INDEX(tbl_Finance[Xero Invoice No],$A50),"")</f>
        <v/>
      </c>
      <c r="D50" s="62">
        <f>IFERROR(INDEX(tbl_Finance[Client],$A50),"")</f>
        <v/>
      </c>
      <c r="E50" s="62">
        <f>IFERROR(INDEX(tbl_Finance[Job Number],$A50),"")</f>
        <v/>
      </c>
      <c r="F50" s="62">
        <f>IFERROR(INDEX(tbl_Finance[Cost Centre],$A50),"")</f>
        <v/>
      </c>
      <c r="G50" s="63">
        <f>IFERROR(INDEX(tbl_Finance[Ex GST],$A50),"")</f>
        <v/>
      </c>
      <c r="H50" s="61">
        <f>IFERROR(INDEX(tbl_Finance[Defer Start],$A50),"")</f>
        <v/>
      </c>
      <c r="I50" s="61">
        <f>IFERROR(INDEX(tbl_Finance[Defer End],$A50),"")</f>
        <v/>
      </c>
      <c r="J50" s="60">
        <f>IF(OR($H50="",$I50="",$G50=""),"",MAX(1,(YEAR($I50)-YEAR($H50))*12+MONTH($I50)-MONTH($H50)+1))</f>
        <v/>
      </c>
      <c r="K50" s="63">
        <f>IF($J50="","",$G50/$J50)</f>
        <v/>
      </c>
      <c r="L50" s="63">
        <f>IF($J50="",0,$K50*MAX(0,MIN(YEAR($C$3)*12+MONTH($C$3),YEAR($I50)*12+MONTH($I50))-(YEAR($H50)*12+MONTH($H50))+1))</f>
        <v/>
      </c>
      <c r="M50" s="63">
        <f>IF($J50="",0,$K50*MAX(0,MIN(YEAR($C$3)*12+MONTH($C$3)-1,YEAR($I50)*12+MONTH($I50))-(YEAR($H50)*12+MONTH($H50))+1))</f>
        <v/>
      </c>
      <c r="N50" s="63">
        <f>IF(OR($J50="",$B50=""),0,IF(YEAR($B50)*12+MONTH($B50)&lt;=YEAR($C$3)*12+MONTH($C$3),$G50,0))</f>
        <v/>
      </c>
      <c r="O50" s="63">
        <f>IF(OR($J50="",$B50=""),0,IF(YEAR($B50)*12+MONTH($B50)&lt;=YEAR($C$3)*12+MONTH($C$3)-1,$G50,0))</f>
        <v/>
      </c>
      <c r="P50" s="63">
        <f>$M50-$O50</f>
        <v/>
      </c>
      <c r="Q50" s="63">
        <f>($L50-$M50)-($N50-$O50)</f>
        <v/>
      </c>
      <c r="R50" s="63">
        <f>$L50-$N50</f>
        <v/>
      </c>
    </row>
    <row r="51">
      <c r="A51" s="60">
        <f>ROW()-5</f>
        <v/>
      </c>
      <c r="B51" s="61">
        <f>IFERROR(INDEX(tbl_Finance[Date],$A51),"")</f>
        <v/>
      </c>
      <c r="C51" s="62">
        <f>IFERROR(INDEX(tbl_Finance[Xero Invoice No],$A51),"")</f>
        <v/>
      </c>
      <c r="D51" s="62">
        <f>IFERROR(INDEX(tbl_Finance[Client],$A51),"")</f>
        <v/>
      </c>
      <c r="E51" s="62">
        <f>IFERROR(INDEX(tbl_Finance[Job Number],$A51),"")</f>
        <v/>
      </c>
      <c r="F51" s="62">
        <f>IFERROR(INDEX(tbl_Finance[Cost Centre],$A51),"")</f>
        <v/>
      </c>
      <c r="G51" s="63">
        <f>IFERROR(INDEX(tbl_Finance[Ex GST],$A51),"")</f>
        <v/>
      </c>
      <c r="H51" s="61">
        <f>IFERROR(INDEX(tbl_Finance[Defer Start],$A51),"")</f>
        <v/>
      </c>
      <c r="I51" s="61">
        <f>IFERROR(INDEX(tbl_Finance[Defer End],$A51),"")</f>
        <v/>
      </c>
      <c r="J51" s="60">
        <f>IF(OR($H51="",$I51="",$G51=""),"",MAX(1,(YEAR($I51)-YEAR($H51))*12+MONTH($I51)-MONTH($H51)+1))</f>
        <v/>
      </c>
      <c r="K51" s="63">
        <f>IF($J51="","",$G51/$J51)</f>
        <v/>
      </c>
      <c r="L51" s="63">
        <f>IF($J51="",0,$K51*MAX(0,MIN(YEAR($C$3)*12+MONTH($C$3),YEAR($I51)*12+MONTH($I51))-(YEAR($H51)*12+MONTH($H51))+1))</f>
        <v/>
      </c>
      <c r="M51" s="63">
        <f>IF($J51="",0,$K51*MAX(0,MIN(YEAR($C$3)*12+MONTH($C$3)-1,YEAR($I51)*12+MONTH($I51))-(YEAR($H51)*12+MONTH($H51))+1))</f>
        <v/>
      </c>
      <c r="N51" s="63">
        <f>IF(OR($J51="",$B51=""),0,IF(YEAR($B51)*12+MONTH($B51)&lt;=YEAR($C$3)*12+MONTH($C$3),$G51,0))</f>
        <v/>
      </c>
      <c r="O51" s="63">
        <f>IF(OR($J51="",$B51=""),0,IF(YEAR($B51)*12+MONTH($B51)&lt;=YEAR($C$3)*12+MONTH($C$3)-1,$G51,0))</f>
        <v/>
      </c>
      <c r="P51" s="63">
        <f>$M51-$O51</f>
        <v/>
      </c>
      <c r="Q51" s="63">
        <f>($L51-$M51)-($N51-$O51)</f>
        <v/>
      </c>
      <c r="R51" s="63">
        <f>$L51-$N51</f>
        <v/>
      </c>
    </row>
    <row r="52">
      <c r="A52" s="60">
        <f>ROW()-5</f>
        <v/>
      </c>
      <c r="B52" s="61">
        <f>IFERROR(INDEX(tbl_Finance[Date],$A52),"")</f>
        <v/>
      </c>
      <c r="C52" s="62">
        <f>IFERROR(INDEX(tbl_Finance[Xero Invoice No],$A52),"")</f>
        <v/>
      </c>
      <c r="D52" s="62">
        <f>IFERROR(INDEX(tbl_Finance[Client],$A52),"")</f>
        <v/>
      </c>
      <c r="E52" s="62">
        <f>IFERROR(INDEX(tbl_Finance[Job Number],$A52),"")</f>
        <v/>
      </c>
      <c r="F52" s="62">
        <f>IFERROR(INDEX(tbl_Finance[Cost Centre],$A52),"")</f>
        <v/>
      </c>
      <c r="G52" s="63">
        <f>IFERROR(INDEX(tbl_Finance[Ex GST],$A52),"")</f>
        <v/>
      </c>
      <c r="H52" s="61">
        <f>IFERROR(INDEX(tbl_Finance[Defer Start],$A52),"")</f>
        <v/>
      </c>
      <c r="I52" s="61">
        <f>IFERROR(INDEX(tbl_Finance[Defer End],$A52),"")</f>
        <v/>
      </c>
      <c r="J52" s="60">
        <f>IF(OR($H52="",$I52="",$G52=""),"",MAX(1,(YEAR($I52)-YEAR($H52))*12+MONTH($I52)-MONTH($H52)+1))</f>
        <v/>
      </c>
      <c r="K52" s="63">
        <f>IF($J52="","",$G52/$J52)</f>
        <v/>
      </c>
      <c r="L52" s="63">
        <f>IF($J52="",0,$K52*MAX(0,MIN(YEAR($C$3)*12+MONTH($C$3),YEAR($I52)*12+MONTH($I52))-(YEAR($H52)*12+MONTH($H52))+1))</f>
        <v/>
      </c>
      <c r="M52" s="63">
        <f>IF($J52="",0,$K52*MAX(0,MIN(YEAR($C$3)*12+MONTH($C$3)-1,YEAR($I52)*12+MONTH($I52))-(YEAR($H52)*12+MONTH($H52))+1))</f>
        <v/>
      </c>
      <c r="N52" s="63">
        <f>IF(OR($J52="",$B52=""),0,IF(YEAR($B52)*12+MONTH($B52)&lt;=YEAR($C$3)*12+MONTH($C$3),$G52,0))</f>
        <v/>
      </c>
      <c r="O52" s="63">
        <f>IF(OR($J52="",$B52=""),0,IF(YEAR($B52)*12+MONTH($B52)&lt;=YEAR($C$3)*12+MONTH($C$3)-1,$G52,0))</f>
        <v/>
      </c>
      <c r="P52" s="63">
        <f>$M52-$O52</f>
        <v/>
      </c>
      <c r="Q52" s="63">
        <f>($L52-$M52)-($N52-$O52)</f>
        <v/>
      </c>
      <c r="R52" s="63">
        <f>$L52-$N52</f>
        <v/>
      </c>
    </row>
    <row r="53">
      <c r="A53" s="60">
        <f>ROW()-5</f>
        <v/>
      </c>
      <c r="B53" s="61">
        <f>IFERROR(INDEX(tbl_Finance[Date],$A53),"")</f>
        <v/>
      </c>
      <c r="C53" s="62">
        <f>IFERROR(INDEX(tbl_Finance[Xero Invoice No],$A53),"")</f>
        <v/>
      </c>
      <c r="D53" s="62">
        <f>IFERROR(INDEX(tbl_Finance[Client],$A53),"")</f>
        <v/>
      </c>
      <c r="E53" s="62">
        <f>IFERROR(INDEX(tbl_Finance[Job Number],$A53),"")</f>
        <v/>
      </c>
      <c r="F53" s="62">
        <f>IFERROR(INDEX(tbl_Finance[Cost Centre],$A53),"")</f>
        <v/>
      </c>
      <c r="G53" s="63">
        <f>IFERROR(INDEX(tbl_Finance[Ex GST],$A53),"")</f>
        <v/>
      </c>
      <c r="H53" s="61">
        <f>IFERROR(INDEX(tbl_Finance[Defer Start],$A53),"")</f>
        <v/>
      </c>
      <c r="I53" s="61">
        <f>IFERROR(INDEX(tbl_Finance[Defer End],$A53),"")</f>
        <v/>
      </c>
      <c r="J53" s="60">
        <f>IF(OR($H53="",$I53="",$G53=""),"",MAX(1,(YEAR($I53)-YEAR($H53))*12+MONTH($I53)-MONTH($H53)+1))</f>
        <v/>
      </c>
      <c r="K53" s="63">
        <f>IF($J53="","",$G53/$J53)</f>
        <v/>
      </c>
      <c r="L53" s="63">
        <f>IF($J53="",0,$K53*MAX(0,MIN(YEAR($C$3)*12+MONTH($C$3),YEAR($I53)*12+MONTH($I53))-(YEAR($H53)*12+MONTH($H53))+1))</f>
        <v/>
      </c>
      <c r="M53" s="63">
        <f>IF($J53="",0,$K53*MAX(0,MIN(YEAR($C$3)*12+MONTH($C$3)-1,YEAR($I53)*12+MONTH($I53))-(YEAR($H53)*12+MONTH($H53))+1))</f>
        <v/>
      </c>
      <c r="N53" s="63">
        <f>IF(OR($J53="",$B53=""),0,IF(YEAR($B53)*12+MONTH($B53)&lt;=YEAR($C$3)*12+MONTH($C$3),$G53,0))</f>
        <v/>
      </c>
      <c r="O53" s="63">
        <f>IF(OR($J53="",$B53=""),0,IF(YEAR($B53)*12+MONTH($B53)&lt;=YEAR($C$3)*12+MONTH($C$3)-1,$G53,0))</f>
        <v/>
      </c>
      <c r="P53" s="63">
        <f>$M53-$O53</f>
        <v/>
      </c>
      <c r="Q53" s="63">
        <f>($L53-$M53)-($N53-$O53)</f>
        <v/>
      </c>
      <c r="R53" s="63">
        <f>$L53-$N53</f>
        <v/>
      </c>
    </row>
    <row r="54">
      <c r="A54" s="60">
        <f>ROW()-5</f>
        <v/>
      </c>
      <c r="B54" s="61">
        <f>IFERROR(INDEX(tbl_Finance[Date],$A54),"")</f>
        <v/>
      </c>
      <c r="C54" s="62">
        <f>IFERROR(INDEX(tbl_Finance[Xero Invoice No],$A54),"")</f>
        <v/>
      </c>
      <c r="D54" s="62">
        <f>IFERROR(INDEX(tbl_Finance[Client],$A54),"")</f>
        <v/>
      </c>
      <c r="E54" s="62">
        <f>IFERROR(INDEX(tbl_Finance[Job Number],$A54),"")</f>
        <v/>
      </c>
      <c r="F54" s="62">
        <f>IFERROR(INDEX(tbl_Finance[Cost Centre],$A54),"")</f>
        <v/>
      </c>
      <c r="G54" s="63">
        <f>IFERROR(INDEX(tbl_Finance[Ex GST],$A54),"")</f>
        <v/>
      </c>
      <c r="H54" s="61">
        <f>IFERROR(INDEX(tbl_Finance[Defer Start],$A54),"")</f>
        <v/>
      </c>
      <c r="I54" s="61">
        <f>IFERROR(INDEX(tbl_Finance[Defer End],$A54),"")</f>
        <v/>
      </c>
      <c r="J54" s="60">
        <f>IF(OR($H54="",$I54="",$G54=""),"",MAX(1,(YEAR($I54)-YEAR($H54))*12+MONTH($I54)-MONTH($H54)+1))</f>
        <v/>
      </c>
      <c r="K54" s="63">
        <f>IF($J54="","",$G54/$J54)</f>
        <v/>
      </c>
      <c r="L54" s="63">
        <f>IF($J54="",0,$K54*MAX(0,MIN(YEAR($C$3)*12+MONTH($C$3),YEAR($I54)*12+MONTH($I54))-(YEAR($H54)*12+MONTH($H54))+1))</f>
        <v/>
      </c>
      <c r="M54" s="63">
        <f>IF($J54="",0,$K54*MAX(0,MIN(YEAR($C$3)*12+MONTH($C$3)-1,YEAR($I54)*12+MONTH($I54))-(YEAR($H54)*12+MONTH($H54))+1))</f>
        <v/>
      </c>
      <c r="N54" s="63">
        <f>IF(OR($J54="",$B54=""),0,IF(YEAR($B54)*12+MONTH($B54)&lt;=YEAR($C$3)*12+MONTH($C$3),$G54,0))</f>
        <v/>
      </c>
      <c r="O54" s="63">
        <f>IF(OR($J54="",$B54=""),0,IF(YEAR($B54)*12+MONTH($B54)&lt;=YEAR($C$3)*12+MONTH($C$3)-1,$G54,0))</f>
        <v/>
      </c>
      <c r="P54" s="63">
        <f>$M54-$O54</f>
        <v/>
      </c>
      <c r="Q54" s="63">
        <f>($L54-$M54)-($N54-$O54)</f>
        <v/>
      </c>
      <c r="R54" s="63">
        <f>$L54-$N54</f>
        <v/>
      </c>
    </row>
    <row r="55">
      <c r="A55" s="60">
        <f>ROW()-5</f>
        <v/>
      </c>
      <c r="B55" s="61">
        <f>IFERROR(INDEX(tbl_Finance[Date],$A55),"")</f>
        <v/>
      </c>
      <c r="C55" s="62">
        <f>IFERROR(INDEX(tbl_Finance[Xero Invoice No],$A55),"")</f>
        <v/>
      </c>
      <c r="D55" s="62">
        <f>IFERROR(INDEX(tbl_Finance[Client],$A55),"")</f>
        <v/>
      </c>
      <c r="E55" s="62">
        <f>IFERROR(INDEX(tbl_Finance[Job Number],$A55),"")</f>
        <v/>
      </c>
      <c r="F55" s="62">
        <f>IFERROR(INDEX(tbl_Finance[Cost Centre],$A55),"")</f>
        <v/>
      </c>
      <c r="G55" s="63">
        <f>IFERROR(INDEX(tbl_Finance[Ex GST],$A55),"")</f>
        <v/>
      </c>
      <c r="H55" s="61">
        <f>IFERROR(INDEX(tbl_Finance[Defer Start],$A55),"")</f>
        <v/>
      </c>
      <c r="I55" s="61">
        <f>IFERROR(INDEX(tbl_Finance[Defer End],$A55),"")</f>
        <v/>
      </c>
      <c r="J55" s="60">
        <f>IF(OR($H55="",$I55="",$G55=""),"",MAX(1,(YEAR($I55)-YEAR($H55))*12+MONTH($I55)-MONTH($H55)+1))</f>
        <v/>
      </c>
      <c r="K55" s="63">
        <f>IF($J55="","",$G55/$J55)</f>
        <v/>
      </c>
      <c r="L55" s="63">
        <f>IF($J55="",0,$K55*MAX(0,MIN(YEAR($C$3)*12+MONTH($C$3),YEAR($I55)*12+MONTH($I55))-(YEAR($H55)*12+MONTH($H55))+1))</f>
        <v/>
      </c>
      <c r="M55" s="63">
        <f>IF($J55="",0,$K55*MAX(0,MIN(YEAR($C$3)*12+MONTH($C$3)-1,YEAR($I55)*12+MONTH($I55))-(YEAR($H55)*12+MONTH($H55))+1))</f>
        <v/>
      </c>
      <c r="N55" s="63">
        <f>IF(OR($J55="",$B55=""),0,IF(YEAR($B55)*12+MONTH($B55)&lt;=YEAR($C$3)*12+MONTH($C$3),$G55,0))</f>
        <v/>
      </c>
      <c r="O55" s="63">
        <f>IF(OR($J55="",$B55=""),0,IF(YEAR($B55)*12+MONTH($B55)&lt;=YEAR($C$3)*12+MONTH($C$3)-1,$G55,0))</f>
        <v/>
      </c>
      <c r="P55" s="63">
        <f>$M55-$O55</f>
        <v/>
      </c>
      <c r="Q55" s="63">
        <f>($L55-$M55)-($N55-$O55)</f>
        <v/>
      </c>
      <c r="R55" s="63">
        <f>$L55-$N55</f>
        <v/>
      </c>
    </row>
    <row r="56">
      <c r="A56" s="60">
        <f>ROW()-5</f>
        <v/>
      </c>
      <c r="B56" s="61">
        <f>IFERROR(INDEX(tbl_Finance[Date],$A56),"")</f>
        <v/>
      </c>
      <c r="C56" s="62">
        <f>IFERROR(INDEX(tbl_Finance[Xero Invoice No],$A56),"")</f>
        <v/>
      </c>
      <c r="D56" s="62">
        <f>IFERROR(INDEX(tbl_Finance[Client],$A56),"")</f>
        <v/>
      </c>
      <c r="E56" s="62">
        <f>IFERROR(INDEX(tbl_Finance[Job Number],$A56),"")</f>
        <v/>
      </c>
      <c r="F56" s="62">
        <f>IFERROR(INDEX(tbl_Finance[Cost Centre],$A56),"")</f>
        <v/>
      </c>
      <c r="G56" s="63">
        <f>IFERROR(INDEX(tbl_Finance[Ex GST],$A56),"")</f>
        <v/>
      </c>
      <c r="H56" s="61">
        <f>IFERROR(INDEX(tbl_Finance[Defer Start],$A56),"")</f>
        <v/>
      </c>
      <c r="I56" s="61">
        <f>IFERROR(INDEX(tbl_Finance[Defer End],$A56),"")</f>
        <v/>
      </c>
      <c r="J56" s="60">
        <f>IF(OR($H56="",$I56="",$G56=""),"",MAX(1,(YEAR($I56)-YEAR($H56))*12+MONTH($I56)-MONTH($H56)+1))</f>
        <v/>
      </c>
      <c r="K56" s="63">
        <f>IF($J56="","",$G56/$J56)</f>
        <v/>
      </c>
      <c r="L56" s="63">
        <f>IF($J56="",0,$K56*MAX(0,MIN(YEAR($C$3)*12+MONTH($C$3),YEAR($I56)*12+MONTH($I56))-(YEAR($H56)*12+MONTH($H56))+1))</f>
        <v/>
      </c>
      <c r="M56" s="63">
        <f>IF($J56="",0,$K56*MAX(0,MIN(YEAR($C$3)*12+MONTH($C$3)-1,YEAR($I56)*12+MONTH($I56))-(YEAR($H56)*12+MONTH($H56))+1))</f>
        <v/>
      </c>
      <c r="N56" s="63">
        <f>IF(OR($J56="",$B56=""),0,IF(YEAR($B56)*12+MONTH($B56)&lt;=YEAR($C$3)*12+MONTH($C$3),$G56,0))</f>
        <v/>
      </c>
      <c r="O56" s="63">
        <f>IF(OR($J56="",$B56=""),0,IF(YEAR($B56)*12+MONTH($B56)&lt;=YEAR($C$3)*12+MONTH($C$3)-1,$G56,0))</f>
        <v/>
      </c>
      <c r="P56" s="63">
        <f>$M56-$O56</f>
        <v/>
      </c>
      <c r="Q56" s="63">
        <f>($L56-$M56)-($N56-$O56)</f>
        <v/>
      </c>
      <c r="R56" s="63">
        <f>$L56-$N56</f>
        <v/>
      </c>
    </row>
    <row r="57">
      <c r="A57" s="60">
        <f>ROW()-5</f>
        <v/>
      </c>
      <c r="B57" s="61">
        <f>IFERROR(INDEX(tbl_Finance[Date],$A57),"")</f>
        <v/>
      </c>
      <c r="C57" s="62">
        <f>IFERROR(INDEX(tbl_Finance[Xero Invoice No],$A57),"")</f>
        <v/>
      </c>
      <c r="D57" s="62">
        <f>IFERROR(INDEX(tbl_Finance[Client],$A57),"")</f>
        <v/>
      </c>
      <c r="E57" s="62">
        <f>IFERROR(INDEX(tbl_Finance[Job Number],$A57),"")</f>
        <v/>
      </c>
      <c r="F57" s="62">
        <f>IFERROR(INDEX(tbl_Finance[Cost Centre],$A57),"")</f>
        <v/>
      </c>
      <c r="G57" s="63">
        <f>IFERROR(INDEX(tbl_Finance[Ex GST],$A57),"")</f>
        <v/>
      </c>
      <c r="H57" s="61">
        <f>IFERROR(INDEX(tbl_Finance[Defer Start],$A57),"")</f>
        <v/>
      </c>
      <c r="I57" s="61">
        <f>IFERROR(INDEX(tbl_Finance[Defer End],$A57),"")</f>
        <v/>
      </c>
      <c r="J57" s="60">
        <f>IF(OR($H57="",$I57="",$G57=""),"",MAX(1,(YEAR($I57)-YEAR($H57))*12+MONTH($I57)-MONTH($H57)+1))</f>
        <v/>
      </c>
      <c r="K57" s="63">
        <f>IF($J57="","",$G57/$J57)</f>
        <v/>
      </c>
      <c r="L57" s="63">
        <f>IF($J57="",0,$K57*MAX(0,MIN(YEAR($C$3)*12+MONTH($C$3),YEAR($I57)*12+MONTH($I57))-(YEAR($H57)*12+MONTH($H57))+1))</f>
        <v/>
      </c>
      <c r="M57" s="63">
        <f>IF($J57="",0,$K57*MAX(0,MIN(YEAR($C$3)*12+MONTH($C$3)-1,YEAR($I57)*12+MONTH($I57))-(YEAR($H57)*12+MONTH($H57))+1))</f>
        <v/>
      </c>
      <c r="N57" s="63">
        <f>IF(OR($J57="",$B57=""),0,IF(YEAR($B57)*12+MONTH($B57)&lt;=YEAR($C$3)*12+MONTH($C$3),$G57,0))</f>
        <v/>
      </c>
      <c r="O57" s="63">
        <f>IF(OR($J57="",$B57=""),0,IF(YEAR($B57)*12+MONTH($B57)&lt;=YEAR($C$3)*12+MONTH($C$3)-1,$G57,0))</f>
        <v/>
      </c>
      <c r="P57" s="63">
        <f>$M57-$O57</f>
        <v/>
      </c>
      <c r="Q57" s="63">
        <f>($L57-$M57)-($N57-$O57)</f>
        <v/>
      </c>
      <c r="R57" s="63">
        <f>$L57-$N57</f>
        <v/>
      </c>
    </row>
    <row r="58">
      <c r="A58" s="60">
        <f>ROW()-5</f>
        <v/>
      </c>
      <c r="B58" s="61">
        <f>IFERROR(INDEX(tbl_Finance[Date],$A58),"")</f>
        <v/>
      </c>
      <c r="C58" s="62">
        <f>IFERROR(INDEX(tbl_Finance[Xero Invoice No],$A58),"")</f>
        <v/>
      </c>
      <c r="D58" s="62">
        <f>IFERROR(INDEX(tbl_Finance[Client],$A58),"")</f>
        <v/>
      </c>
      <c r="E58" s="62">
        <f>IFERROR(INDEX(tbl_Finance[Job Number],$A58),"")</f>
        <v/>
      </c>
      <c r="F58" s="62">
        <f>IFERROR(INDEX(tbl_Finance[Cost Centre],$A58),"")</f>
        <v/>
      </c>
      <c r="G58" s="63">
        <f>IFERROR(INDEX(tbl_Finance[Ex GST],$A58),"")</f>
        <v/>
      </c>
      <c r="H58" s="61">
        <f>IFERROR(INDEX(tbl_Finance[Defer Start],$A58),"")</f>
        <v/>
      </c>
      <c r="I58" s="61">
        <f>IFERROR(INDEX(tbl_Finance[Defer End],$A58),"")</f>
        <v/>
      </c>
      <c r="J58" s="60">
        <f>IF(OR($H58="",$I58="",$G58=""),"",MAX(1,(YEAR($I58)-YEAR($H58))*12+MONTH($I58)-MONTH($H58)+1))</f>
        <v/>
      </c>
      <c r="K58" s="63">
        <f>IF($J58="","",$G58/$J58)</f>
        <v/>
      </c>
      <c r="L58" s="63">
        <f>IF($J58="",0,$K58*MAX(0,MIN(YEAR($C$3)*12+MONTH($C$3),YEAR($I58)*12+MONTH($I58))-(YEAR($H58)*12+MONTH($H58))+1))</f>
        <v/>
      </c>
      <c r="M58" s="63">
        <f>IF($J58="",0,$K58*MAX(0,MIN(YEAR($C$3)*12+MONTH($C$3)-1,YEAR($I58)*12+MONTH($I58))-(YEAR($H58)*12+MONTH($H58))+1))</f>
        <v/>
      </c>
      <c r="N58" s="63">
        <f>IF(OR($J58="",$B58=""),0,IF(YEAR($B58)*12+MONTH($B58)&lt;=YEAR($C$3)*12+MONTH($C$3),$G58,0))</f>
        <v/>
      </c>
      <c r="O58" s="63">
        <f>IF(OR($J58="",$B58=""),0,IF(YEAR($B58)*12+MONTH($B58)&lt;=YEAR($C$3)*12+MONTH($C$3)-1,$G58,0))</f>
        <v/>
      </c>
      <c r="P58" s="63">
        <f>$M58-$O58</f>
        <v/>
      </c>
      <c r="Q58" s="63">
        <f>($L58-$M58)-($N58-$O58)</f>
        <v/>
      </c>
      <c r="R58" s="63">
        <f>$L58-$N58</f>
        <v/>
      </c>
    </row>
    <row r="59">
      <c r="A59" s="60">
        <f>ROW()-5</f>
        <v/>
      </c>
      <c r="B59" s="61">
        <f>IFERROR(INDEX(tbl_Finance[Date],$A59),"")</f>
        <v/>
      </c>
      <c r="C59" s="62">
        <f>IFERROR(INDEX(tbl_Finance[Xero Invoice No],$A59),"")</f>
        <v/>
      </c>
      <c r="D59" s="62">
        <f>IFERROR(INDEX(tbl_Finance[Client],$A59),"")</f>
        <v/>
      </c>
      <c r="E59" s="62">
        <f>IFERROR(INDEX(tbl_Finance[Job Number],$A59),"")</f>
        <v/>
      </c>
      <c r="F59" s="62">
        <f>IFERROR(INDEX(tbl_Finance[Cost Centre],$A59),"")</f>
        <v/>
      </c>
      <c r="G59" s="63">
        <f>IFERROR(INDEX(tbl_Finance[Ex GST],$A59),"")</f>
        <v/>
      </c>
      <c r="H59" s="61">
        <f>IFERROR(INDEX(tbl_Finance[Defer Start],$A59),"")</f>
        <v/>
      </c>
      <c r="I59" s="61">
        <f>IFERROR(INDEX(tbl_Finance[Defer End],$A59),"")</f>
        <v/>
      </c>
      <c r="J59" s="60">
        <f>IF(OR($H59="",$I59="",$G59=""),"",MAX(1,(YEAR($I59)-YEAR($H59))*12+MONTH($I59)-MONTH($H59)+1))</f>
        <v/>
      </c>
      <c r="K59" s="63">
        <f>IF($J59="","",$G59/$J59)</f>
        <v/>
      </c>
      <c r="L59" s="63">
        <f>IF($J59="",0,$K59*MAX(0,MIN(YEAR($C$3)*12+MONTH($C$3),YEAR($I59)*12+MONTH($I59))-(YEAR($H59)*12+MONTH($H59))+1))</f>
        <v/>
      </c>
      <c r="M59" s="63">
        <f>IF($J59="",0,$K59*MAX(0,MIN(YEAR($C$3)*12+MONTH($C$3)-1,YEAR($I59)*12+MONTH($I59))-(YEAR($H59)*12+MONTH($H59))+1))</f>
        <v/>
      </c>
      <c r="N59" s="63">
        <f>IF(OR($J59="",$B59=""),0,IF(YEAR($B59)*12+MONTH($B59)&lt;=YEAR($C$3)*12+MONTH($C$3),$G59,0))</f>
        <v/>
      </c>
      <c r="O59" s="63">
        <f>IF(OR($J59="",$B59=""),0,IF(YEAR($B59)*12+MONTH($B59)&lt;=YEAR($C$3)*12+MONTH($C$3)-1,$G59,0))</f>
        <v/>
      </c>
      <c r="P59" s="63">
        <f>$M59-$O59</f>
        <v/>
      </c>
      <c r="Q59" s="63">
        <f>($L59-$M59)-($N59-$O59)</f>
        <v/>
      </c>
      <c r="R59" s="63">
        <f>$L59-$N59</f>
        <v/>
      </c>
    </row>
    <row r="60">
      <c r="A60" s="60">
        <f>ROW()-5</f>
        <v/>
      </c>
      <c r="B60" s="61">
        <f>IFERROR(INDEX(tbl_Finance[Date],$A60),"")</f>
        <v/>
      </c>
      <c r="C60" s="62">
        <f>IFERROR(INDEX(tbl_Finance[Xero Invoice No],$A60),"")</f>
        <v/>
      </c>
      <c r="D60" s="62">
        <f>IFERROR(INDEX(tbl_Finance[Client],$A60),"")</f>
        <v/>
      </c>
      <c r="E60" s="62">
        <f>IFERROR(INDEX(tbl_Finance[Job Number],$A60),"")</f>
        <v/>
      </c>
      <c r="F60" s="62">
        <f>IFERROR(INDEX(tbl_Finance[Cost Centre],$A60),"")</f>
        <v/>
      </c>
      <c r="G60" s="63">
        <f>IFERROR(INDEX(tbl_Finance[Ex GST],$A60),"")</f>
        <v/>
      </c>
      <c r="H60" s="61">
        <f>IFERROR(INDEX(tbl_Finance[Defer Start],$A60),"")</f>
        <v/>
      </c>
      <c r="I60" s="61">
        <f>IFERROR(INDEX(tbl_Finance[Defer End],$A60),"")</f>
        <v/>
      </c>
      <c r="J60" s="60">
        <f>IF(OR($H60="",$I60="",$G60=""),"",MAX(1,(YEAR($I60)-YEAR($H60))*12+MONTH($I60)-MONTH($H60)+1))</f>
        <v/>
      </c>
      <c r="K60" s="63">
        <f>IF($J60="","",$G60/$J60)</f>
        <v/>
      </c>
      <c r="L60" s="63">
        <f>IF($J60="",0,$K60*MAX(0,MIN(YEAR($C$3)*12+MONTH($C$3),YEAR($I60)*12+MONTH($I60))-(YEAR($H60)*12+MONTH($H60))+1))</f>
        <v/>
      </c>
      <c r="M60" s="63">
        <f>IF($J60="",0,$K60*MAX(0,MIN(YEAR($C$3)*12+MONTH($C$3)-1,YEAR($I60)*12+MONTH($I60))-(YEAR($H60)*12+MONTH($H60))+1))</f>
        <v/>
      </c>
      <c r="N60" s="63">
        <f>IF(OR($J60="",$B60=""),0,IF(YEAR($B60)*12+MONTH($B60)&lt;=YEAR($C$3)*12+MONTH($C$3),$G60,0))</f>
        <v/>
      </c>
      <c r="O60" s="63">
        <f>IF(OR($J60="",$B60=""),0,IF(YEAR($B60)*12+MONTH($B60)&lt;=YEAR($C$3)*12+MONTH($C$3)-1,$G60,0))</f>
        <v/>
      </c>
      <c r="P60" s="63">
        <f>$M60-$O60</f>
        <v/>
      </c>
      <c r="Q60" s="63">
        <f>($L60-$M60)-($N60-$O60)</f>
        <v/>
      </c>
      <c r="R60" s="63">
        <f>$L60-$N60</f>
        <v/>
      </c>
    </row>
    <row r="61">
      <c r="A61" s="60">
        <f>ROW()-5</f>
        <v/>
      </c>
      <c r="B61" s="61">
        <f>IFERROR(INDEX(tbl_Finance[Date],$A61),"")</f>
        <v/>
      </c>
      <c r="C61" s="62">
        <f>IFERROR(INDEX(tbl_Finance[Xero Invoice No],$A61),"")</f>
        <v/>
      </c>
      <c r="D61" s="62">
        <f>IFERROR(INDEX(tbl_Finance[Client],$A61),"")</f>
        <v/>
      </c>
      <c r="E61" s="62">
        <f>IFERROR(INDEX(tbl_Finance[Job Number],$A61),"")</f>
        <v/>
      </c>
      <c r="F61" s="62">
        <f>IFERROR(INDEX(tbl_Finance[Cost Centre],$A61),"")</f>
        <v/>
      </c>
      <c r="G61" s="63">
        <f>IFERROR(INDEX(tbl_Finance[Ex GST],$A61),"")</f>
        <v/>
      </c>
      <c r="H61" s="61">
        <f>IFERROR(INDEX(tbl_Finance[Defer Start],$A61),"")</f>
        <v/>
      </c>
      <c r="I61" s="61">
        <f>IFERROR(INDEX(tbl_Finance[Defer End],$A61),"")</f>
        <v/>
      </c>
      <c r="J61" s="60">
        <f>IF(OR($H61="",$I61="",$G61=""),"",MAX(1,(YEAR($I61)-YEAR($H61))*12+MONTH($I61)-MONTH($H61)+1))</f>
        <v/>
      </c>
      <c r="K61" s="63">
        <f>IF($J61="","",$G61/$J61)</f>
        <v/>
      </c>
      <c r="L61" s="63">
        <f>IF($J61="",0,$K61*MAX(0,MIN(YEAR($C$3)*12+MONTH($C$3),YEAR($I61)*12+MONTH($I61))-(YEAR($H61)*12+MONTH($H61))+1))</f>
        <v/>
      </c>
      <c r="M61" s="63">
        <f>IF($J61="",0,$K61*MAX(0,MIN(YEAR($C$3)*12+MONTH($C$3)-1,YEAR($I61)*12+MONTH($I61))-(YEAR($H61)*12+MONTH($H61))+1))</f>
        <v/>
      </c>
      <c r="N61" s="63">
        <f>IF(OR($J61="",$B61=""),0,IF(YEAR($B61)*12+MONTH($B61)&lt;=YEAR($C$3)*12+MONTH($C$3),$G61,0))</f>
        <v/>
      </c>
      <c r="O61" s="63">
        <f>IF(OR($J61="",$B61=""),0,IF(YEAR($B61)*12+MONTH($B61)&lt;=YEAR($C$3)*12+MONTH($C$3)-1,$G61,0))</f>
        <v/>
      </c>
      <c r="P61" s="63">
        <f>$M61-$O61</f>
        <v/>
      </c>
      <c r="Q61" s="63">
        <f>($L61-$M61)-($N61-$O61)</f>
        <v/>
      </c>
      <c r="R61" s="63">
        <f>$L61-$N61</f>
        <v/>
      </c>
    </row>
    <row r="62">
      <c r="A62" s="60">
        <f>ROW()-5</f>
        <v/>
      </c>
      <c r="B62" s="61">
        <f>IFERROR(INDEX(tbl_Finance[Date],$A62),"")</f>
        <v/>
      </c>
      <c r="C62" s="62">
        <f>IFERROR(INDEX(tbl_Finance[Xero Invoice No],$A62),"")</f>
        <v/>
      </c>
      <c r="D62" s="62">
        <f>IFERROR(INDEX(tbl_Finance[Client],$A62),"")</f>
        <v/>
      </c>
      <c r="E62" s="62">
        <f>IFERROR(INDEX(tbl_Finance[Job Number],$A62),"")</f>
        <v/>
      </c>
      <c r="F62" s="62">
        <f>IFERROR(INDEX(tbl_Finance[Cost Centre],$A62),"")</f>
        <v/>
      </c>
      <c r="G62" s="63">
        <f>IFERROR(INDEX(tbl_Finance[Ex GST],$A62),"")</f>
        <v/>
      </c>
      <c r="H62" s="61">
        <f>IFERROR(INDEX(tbl_Finance[Defer Start],$A62),"")</f>
        <v/>
      </c>
      <c r="I62" s="61">
        <f>IFERROR(INDEX(tbl_Finance[Defer End],$A62),"")</f>
        <v/>
      </c>
      <c r="J62" s="60">
        <f>IF(OR($H62="",$I62="",$G62=""),"",MAX(1,(YEAR($I62)-YEAR($H62))*12+MONTH($I62)-MONTH($H62)+1))</f>
        <v/>
      </c>
      <c r="K62" s="63">
        <f>IF($J62="","",$G62/$J62)</f>
        <v/>
      </c>
      <c r="L62" s="63">
        <f>IF($J62="",0,$K62*MAX(0,MIN(YEAR($C$3)*12+MONTH($C$3),YEAR($I62)*12+MONTH($I62))-(YEAR($H62)*12+MONTH($H62))+1))</f>
        <v/>
      </c>
      <c r="M62" s="63">
        <f>IF($J62="",0,$K62*MAX(0,MIN(YEAR($C$3)*12+MONTH($C$3)-1,YEAR($I62)*12+MONTH($I62))-(YEAR($H62)*12+MONTH($H62))+1))</f>
        <v/>
      </c>
      <c r="N62" s="63">
        <f>IF(OR($J62="",$B62=""),0,IF(YEAR($B62)*12+MONTH($B62)&lt;=YEAR($C$3)*12+MONTH($C$3),$G62,0))</f>
        <v/>
      </c>
      <c r="O62" s="63">
        <f>IF(OR($J62="",$B62=""),0,IF(YEAR($B62)*12+MONTH($B62)&lt;=YEAR($C$3)*12+MONTH($C$3)-1,$G62,0))</f>
        <v/>
      </c>
      <c r="P62" s="63">
        <f>$M62-$O62</f>
        <v/>
      </c>
      <c r="Q62" s="63">
        <f>($L62-$M62)-($N62-$O62)</f>
        <v/>
      </c>
      <c r="R62" s="63">
        <f>$L62-$N62</f>
        <v/>
      </c>
    </row>
    <row r="63">
      <c r="A63" s="60">
        <f>ROW()-5</f>
        <v/>
      </c>
      <c r="B63" s="61">
        <f>IFERROR(INDEX(tbl_Finance[Date],$A63),"")</f>
        <v/>
      </c>
      <c r="C63" s="62">
        <f>IFERROR(INDEX(tbl_Finance[Xero Invoice No],$A63),"")</f>
        <v/>
      </c>
      <c r="D63" s="62">
        <f>IFERROR(INDEX(tbl_Finance[Client],$A63),"")</f>
        <v/>
      </c>
      <c r="E63" s="62">
        <f>IFERROR(INDEX(tbl_Finance[Job Number],$A63),"")</f>
        <v/>
      </c>
      <c r="F63" s="62">
        <f>IFERROR(INDEX(tbl_Finance[Cost Centre],$A63),"")</f>
        <v/>
      </c>
      <c r="G63" s="63">
        <f>IFERROR(INDEX(tbl_Finance[Ex GST],$A63),"")</f>
        <v/>
      </c>
      <c r="H63" s="61">
        <f>IFERROR(INDEX(tbl_Finance[Defer Start],$A63),"")</f>
        <v/>
      </c>
      <c r="I63" s="61">
        <f>IFERROR(INDEX(tbl_Finance[Defer End],$A63),"")</f>
        <v/>
      </c>
      <c r="J63" s="60">
        <f>IF(OR($H63="",$I63="",$G63=""),"",MAX(1,(YEAR($I63)-YEAR($H63))*12+MONTH($I63)-MONTH($H63)+1))</f>
        <v/>
      </c>
      <c r="K63" s="63">
        <f>IF($J63="","",$G63/$J63)</f>
        <v/>
      </c>
      <c r="L63" s="63">
        <f>IF($J63="",0,$K63*MAX(0,MIN(YEAR($C$3)*12+MONTH($C$3),YEAR($I63)*12+MONTH($I63))-(YEAR($H63)*12+MONTH($H63))+1))</f>
        <v/>
      </c>
      <c r="M63" s="63">
        <f>IF($J63="",0,$K63*MAX(0,MIN(YEAR($C$3)*12+MONTH($C$3)-1,YEAR($I63)*12+MONTH($I63))-(YEAR($H63)*12+MONTH($H63))+1))</f>
        <v/>
      </c>
      <c r="N63" s="63">
        <f>IF(OR($J63="",$B63=""),0,IF(YEAR($B63)*12+MONTH($B63)&lt;=YEAR($C$3)*12+MONTH($C$3),$G63,0))</f>
        <v/>
      </c>
      <c r="O63" s="63">
        <f>IF(OR($J63="",$B63=""),0,IF(YEAR($B63)*12+MONTH($B63)&lt;=YEAR($C$3)*12+MONTH($C$3)-1,$G63,0))</f>
        <v/>
      </c>
      <c r="P63" s="63">
        <f>$M63-$O63</f>
        <v/>
      </c>
      <c r="Q63" s="63">
        <f>($L63-$M63)-($N63-$O63)</f>
        <v/>
      </c>
      <c r="R63" s="63">
        <f>$L63-$N63</f>
        <v/>
      </c>
    </row>
    <row r="64">
      <c r="A64" s="60">
        <f>ROW()-5</f>
        <v/>
      </c>
      <c r="B64" s="61">
        <f>IFERROR(INDEX(tbl_Finance[Date],$A64),"")</f>
        <v/>
      </c>
      <c r="C64" s="62">
        <f>IFERROR(INDEX(tbl_Finance[Xero Invoice No],$A64),"")</f>
        <v/>
      </c>
      <c r="D64" s="62">
        <f>IFERROR(INDEX(tbl_Finance[Client],$A64),"")</f>
        <v/>
      </c>
      <c r="E64" s="62">
        <f>IFERROR(INDEX(tbl_Finance[Job Number],$A64),"")</f>
        <v/>
      </c>
      <c r="F64" s="62">
        <f>IFERROR(INDEX(tbl_Finance[Cost Centre],$A64),"")</f>
        <v/>
      </c>
      <c r="G64" s="63">
        <f>IFERROR(INDEX(tbl_Finance[Ex GST],$A64),"")</f>
        <v/>
      </c>
      <c r="H64" s="61">
        <f>IFERROR(INDEX(tbl_Finance[Defer Start],$A64),"")</f>
        <v/>
      </c>
      <c r="I64" s="61">
        <f>IFERROR(INDEX(tbl_Finance[Defer End],$A64),"")</f>
        <v/>
      </c>
      <c r="J64" s="60">
        <f>IF(OR($H64="",$I64="",$G64=""),"",MAX(1,(YEAR($I64)-YEAR($H64))*12+MONTH($I64)-MONTH($H64)+1))</f>
        <v/>
      </c>
      <c r="K64" s="63">
        <f>IF($J64="","",$G64/$J64)</f>
        <v/>
      </c>
      <c r="L64" s="63">
        <f>IF($J64="",0,$K64*MAX(0,MIN(YEAR($C$3)*12+MONTH($C$3),YEAR($I64)*12+MONTH($I64))-(YEAR($H64)*12+MONTH($H64))+1))</f>
        <v/>
      </c>
      <c r="M64" s="63">
        <f>IF($J64="",0,$K64*MAX(0,MIN(YEAR($C$3)*12+MONTH($C$3)-1,YEAR($I64)*12+MONTH($I64))-(YEAR($H64)*12+MONTH($H64))+1))</f>
        <v/>
      </c>
      <c r="N64" s="63">
        <f>IF(OR($J64="",$B64=""),0,IF(YEAR($B64)*12+MONTH($B64)&lt;=YEAR($C$3)*12+MONTH($C$3),$G64,0))</f>
        <v/>
      </c>
      <c r="O64" s="63">
        <f>IF(OR($J64="",$B64=""),0,IF(YEAR($B64)*12+MONTH($B64)&lt;=YEAR($C$3)*12+MONTH($C$3)-1,$G64,0))</f>
        <v/>
      </c>
      <c r="P64" s="63">
        <f>$M64-$O64</f>
        <v/>
      </c>
      <c r="Q64" s="63">
        <f>($L64-$M64)-($N64-$O64)</f>
        <v/>
      </c>
      <c r="R64" s="63">
        <f>$L64-$N64</f>
        <v/>
      </c>
    </row>
    <row r="65">
      <c r="A65" s="60">
        <f>ROW()-5</f>
        <v/>
      </c>
      <c r="B65" s="61">
        <f>IFERROR(INDEX(tbl_Finance[Date],$A65),"")</f>
        <v/>
      </c>
      <c r="C65" s="62">
        <f>IFERROR(INDEX(tbl_Finance[Xero Invoice No],$A65),"")</f>
        <v/>
      </c>
      <c r="D65" s="62">
        <f>IFERROR(INDEX(tbl_Finance[Client],$A65),"")</f>
        <v/>
      </c>
      <c r="E65" s="62">
        <f>IFERROR(INDEX(tbl_Finance[Job Number],$A65),"")</f>
        <v/>
      </c>
      <c r="F65" s="62">
        <f>IFERROR(INDEX(tbl_Finance[Cost Centre],$A65),"")</f>
        <v/>
      </c>
      <c r="G65" s="63">
        <f>IFERROR(INDEX(tbl_Finance[Ex GST],$A65),"")</f>
        <v/>
      </c>
      <c r="H65" s="61">
        <f>IFERROR(INDEX(tbl_Finance[Defer Start],$A65),"")</f>
        <v/>
      </c>
      <c r="I65" s="61">
        <f>IFERROR(INDEX(tbl_Finance[Defer End],$A65),"")</f>
        <v/>
      </c>
      <c r="J65" s="60">
        <f>IF(OR($H65="",$I65="",$G65=""),"",MAX(1,(YEAR($I65)-YEAR($H65))*12+MONTH($I65)-MONTH($H65)+1))</f>
        <v/>
      </c>
      <c r="K65" s="63">
        <f>IF($J65="","",$G65/$J65)</f>
        <v/>
      </c>
      <c r="L65" s="63">
        <f>IF($J65="",0,$K65*MAX(0,MIN(YEAR($C$3)*12+MONTH($C$3),YEAR($I65)*12+MONTH($I65))-(YEAR($H65)*12+MONTH($H65))+1))</f>
        <v/>
      </c>
      <c r="M65" s="63">
        <f>IF($J65="",0,$K65*MAX(0,MIN(YEAR($C$3)*12+MONTH($C$3)-1,YEAR($I65)*12+MONTH($I65))-(YEAR($H65)*12+MONTH($H65))+1))</f>
        <v/>
      </c>
      <c r="N65" s="63">
        <f>IF(OR($J65="",$B65=""),0,IF(YEAR($B65)*12+MONTH($B65)&lt;=YEAR($C$3)*12+MONTH($C$3),$G65,0))</f>
        <v/>
      </c>
      <c r="O65" s="63">
        <f>IF(OR($J65="",$B65=""),0,IF(YEAR($B65)*12+MONTH($B65)&lt;=YEAR($C$3)*12+MONTH($C$3)-1,$G65,0))</f>
        <v/>
      </c>
      <c r="P65" s="63">
        <f>$M65-$O65</f>
        <v/>
      </c>
      <c r="Q65" s="63">
        <f>($L65-$M65)-($N65-$O65)</f>
        <v/>
      </c>
      <c r="R65" s="63">
        <f>$L65-$N65</f>
        <v/>
      </c>
    </row>
    <row r="66">
      <c r="A66" s="60">
        <f>ROW()-5</f>
        <v/>
      </c>
      <c r="B66" s="61">
        <f>IFERROR(INDEX(tbl_Finance[Date],$A66),"")</f>
        <v/>
      </c>
      <c r="C66" s="62">
        <f>IFERROR(INDEX(tbl_Finance[Xero Invoice No],$A66),"")</f>
        <v/>
      </c>
      <c r="D66" s="62">
        <f>IFERROR(INDEX(tbl_Finance[Client],$A66),"")</f>
        <v/>
      </c>
      <c r="E66" s="62">
        <f>IFERROR(INDEX(tbl_Finance[Job Number],$A66),"")</f>
        <v/>
      </c>
      <c r="F66" s="62">
        <f>IFERROR(INDEX(tbl_Finance[Cost Centre],$A66),"")</f>
        <v/>
      </c>
      <c r="G66" s="63">
        <f>IFERROR(INDEX(tbl_Finance[Ex GST],$A66),"")</f>
        <v/>
      </c>
      <c r="H66" s="61">
        <f>IFERROR(INDEX(tbl_Finance[Defer Start],$A66),"")</f>
        <v/>
      </c>
      <c r="I66" s="61">
        <f>IFERROR(INDEX(tbl_Finance[Defer End],$A66),"")</f>
        <v/>
      </c>
      <c r="J66" s="60">
        <f>IF(OR($H66="",$I66="",$G66=""),"",MAX(1,(YEAR($I66)-YEAR($H66))*12+MONTH($I66)-MONTH($H66)+1))</f>
        <v/>
      </c>
      <c r="K66" s="63">
        <f>IF($J66="","",$G66/$J66)</f>
        <v/>
      </c>
      <c r="L66" s="63">
        <f>IF($J66="",0,$K66*MAX(0,MIN(YEAR($C$3)*12+MONTH($C$3),YEAR($I66)*12+MONTH($I66))-(YEAR($H66)*12+MONTH($H66))+1))</f>
        <v/>
      </c>
      <c r="M66" s="63">
        <f>IF($J66="",0,$K66*MAX(0,MIN(YEAR($C$3)*12+MONTH($C$3)-1,YEAR($I66)*12+MONTH($I66))-(YEAR($H66)*12+MONTH($H66))+1))</f>
        <v/>
      </c>
      <c r="N66" s="63">
        <f>IF(OR($J66="",$B66=""),0,IF(YEAR($B66)*12+MONTH($B66)&lt;=YEAR($C$3)*12+MONTH($C$3),$G66,0))</f>
        <v/>
      </c>
      <c r="O66" s="63">
        <f>IF(OR($J66="",$B66=""),0,IF(YEAR($B66)*12+MONTH($B66)&lt;=YEAR($C$3)*12+MONTH($C$3)-1,$G66,0))</f>
        <v/>
      </c>
      <c r="P66" s="63">
        <f>$M66-$O66</f>
        <v/>
      </c>
      <c r="Q66" s="63">
        <f>($L66-$M66)-($N66-$O66)</f>
        <v/>
      </c>
      <c r="R66" s="63">
        <f>$L66-$N66</f>
        <v/>
      </c>
    </row>
    <row r="67">
      <c r="A67" s="60">
        <f>ROW()-5</f>
        <v/>
      </c>
      <c r="B67" s="61">
        <f>IFERROR(INDEX(tbl_Finance[Date],$A67),"")</f>
        <v/>
      </c>
      <c r="C67" s="62">
        <f>IFERROR(INDEX(tbl_Finance[Xero Invoice No],$A67),"")</f>
        <v/>
      </c>
      <c r="D67" s="62">
        <f>IFERROR(INDEX(tbl_Finance[Client],$A67),"")</f>
        <v/>
      </c>
      <c r="E67" s="62">
        <f>IFERROR(INDEX(tbl_Finance[Job Number],$A67),"")</f>
        <v/>
      </c>
      <c r="F67" s="62">
        <f>IFERROR(INDEX(tbl_Finance[Cost Centre],$A67),"")</f>
        <v/>
      </c>
      <c r="G67" s="63">
        <f>IFERROR(INDEX(tbl_Finance[Ex GST],$A67),"")</f>
        <v/>
      </c>
      <c r="H67" s="61">
        <f>IFERROR(INDEX(tbl_Finance[Defer Start],$A67),"")</f>
        <v/>
      </c>
      <c r="I67" s="61">
        <f>IFERROR(INDEX(tbl_Finance[Defer End],$A67),"")</f>
        <v/>
      </c>
      <c r="J67" s="60">
        <f>IF(OR($H67="",$I67="",$G67=""),"",MAX(1,(YEAR($I67)-YEAR($H67))*12+MONTH($I67)-MONTH($H67)+1))</f>
        <v/>
      </c>
      <c r="K67" s="63">
        <f>IF($J67="","",$G67/$J67)</f>
        <v/>
      </c>
      <c r="L67" s="63">
        <f>IF($J67="",0,$K67*MAX(0,MIN(YEAR($C$3)*12+MONTH($C$3),YEAR($I67)*12+MONTH($I67))-(YEAR($H67)*12+MONTH($H67))+1))</f>
        <v/>
      </c>
      <c r="M67" s="63">
        <f>IF($J67="",0,$K67*MAX(0,MIN(YEAR($C$3)*12+MONTH($C$3)-1,YEAR($I67)*12+MONTH($I67))-(YEAR($H67)*12+MONTH($H67))+1))</f>
        <v/>
      </c>
      <c r="N67" s="63">
        <f>IF(OR($J67="",$B67=""),0,IF(YEAR($B67)*12+MONTH($B67)&lt;=YEAR($C$3)*12+MONTH($C$3),$G67,0))</f>
        <v/>
      </c>
      <c r="O67" s="63">
        <f>IF(OR($J67="",$B67=""),0,IF(YEAR($B67)*12+MONTH($B67)&lt;=YEAR($C$3)*12+MONTH($C$3)-1,$G67,0))</f>
        <v/>
      </c>
      <c r="P67" s="63">
        <f>$M67-$O67</f>
        <v/>
      </c>
      <c r="Q67" s="63">
        <f>($L67-$M67)-($N67-$O67)</f>
        <v/>
      </c>
      <c r="R67" s="63">
        <f>$L67-$N67</f>
        <v/>
      </c>
    </row>
    <row r="68">
      <c r="A68" s="60">
        <f>ROW()-5</f>
        <v/>
      </c>
      <c r="B68" s="61">
        <f>IFERROR(INDEX(tbl_Finance[Date],$A68),"")</f>
        <v/>
      </c>
      <c r="C68" s="62">
        <f>IFERROR(INDEX(tbl_Finance[Xero Invoice No],$A68),"")</f>
        <v/>
      </c>
      <c r="D68" s="62">
        <f>IFERROR(INDEX(tbl_Finance[Client],$A68),"")</f>
        <v/>
      </c>
      <c r="E68" s="62">
        <f>IFERROR(INDEX(tbl_Finance[Job Number],$A68),"")</f>
        <v/>
      </c>
      <c r="F68" s="62">
        <f>IFERROR(INDEX(tbl_Finance[Cost Centre],$A68),"")</f>
        <v/>
      </c>
      <c r="G68" s="63">
        <f>IFERROR(INDEX(tbl_Finance[Ex GST],$A68),"")</f>
        <v/>
      </c>
      <c r="H68" s="61">
        <f>IFERROR(INDEX(tbl_Finance[Defer Start],$A68),"")</f>
        <v/>
      </c>
      <c r="I68" s="61">
        <f>IFERROR(INDEX(tbl_Finance[Defer End],$A68),"")</f>
        <v/>
      </c>
      <c r="J68" s="60">
        <f>IF(OR($H68="",$I68="",$G68=""),"",MAX(1,(YEAR($I68)-YEAR($H68))*12+MONTH($I68)-MONTH($H68)+1))</f>
        <v/>
      </c>
      <c r="K68" s="63">
        <f>IF($J68="","",$G68/$J68)</f>
        <v/>
      </c>
      <c r="L68" s="63">
        <f>IF($J68="",0,$K68*MAX(0,MIN(YEAR($C$3)*12+MONTH($C$3),YEAR($I68)*12+MONTH($I68))-(YEAR($H68)*12+MONTH($H68))+1))</f>
        <v/>
      </c>
      <c r="M68" s="63">
        <f>IF($J68="",0,$K68*MAX(0,MIN(YEAR($C$3)*12+MONTH($C$3)-1,YEAR($I68)*12+MONTH($I68))-(YEAR($H68)*12+MONTH($H68))+1))</f>
        <v/>
      </c>
      <c r="N68" s="63">
        <f>IF(OR($J68="",$B68=""),0,IF(YEAR($B68)*12+MONTH($B68)&lt;=YEAR($C$3)*12+MONTH($C$3),$G68,0))</f>
        <v/>
      </c>
      <c r="O68" s="63">
        <f>IF(OR($J68="",$B68=""),0,IF(YEAR($B68)*12+MONTH($B68)&lt;=YEAR($C$3)*12+MONTH($C$3)-1,$G68,0))</f>
        <v/>
      </c>
      <c r="P68" s="63">
        <f>$M68-$O68</f>
        <v/>
      </c>
      <c r="Q68" s="63">
        <f>($L68-$M68)-($N68-$O68)</f>
        <v/>
      </c>
      <c r="R68" s="63">
        <f>$L68-$N68</f>
        <v/>
      </c>
    </row>
    <row r="69">
      <c r="A69" s="60">
        <f>ROW()-5</f>
        <v/>
      </c>
      <c r="B69" s="61">
        <f>IFERROR(INDEX(tbl_Finance[Date],$A69),"")</f>
        <v/>
      </c>
      <c r="C69" s="62">
        <f>IFERROR(INDEX(tbl_Finance[Xero Invoice No],$A69),"")</f>
        <v/>
      </c>
      <c r="D69" s="62">
        <f>IFERROR(INDEX(tbl_Finance[Client],$A69),"")</f>
        <v/>
      </c>
      <c r="E69" s="62">
        <f>IFERROR(INDEX(tbl_Finance[Job Number],$A69),"")</f>
        <v/>
      </c>
      <c r="F69" s="62">
        <f>IFERROR(INDEX(tbl_Finance[Cost Centre],$A69),"")</f>
        <v/>
      </c>
      <c r="G69" s="63">
        <f>IFERROR(INDEX(tbl_Finance[Ex GST],$A69),"")</f>
        <v/>
      </c>
      <c r="H69" s="61">
        <f>IFERROR(INDEX(tbl_Finance[Defer Start],$A69),"")</f>
        <v/>
      </c>
      <c r="I69" s="61">
        <f>IFERROR(INDEX(tbl_Finance[Defer End],$A69),"")</f>
        <v/>
      </c>
      <c r="J69" s="60">
        <f>IF(OR($H69="",$I69="",$G69=""),"",MAX(1,(YEAR($I69)-YEAR($H69))*12+MONTH($I69)-MONTH($H69)+1))</f>
        <v/>
      </c>
      <c r="K69" s="63">
        <f>IF($J69="","",$G69/$J69)</f>
        <v/>
      </c>
      <c r="L69" s="63">
        <f>IF($J69="",0,$K69*MAX(0,MIN(YEAR($C$3)*12+MONTH($C$3),YEAR($I69)*12+MONTH($I69))-(YEAR($H69)*12+MONTH($H69))+1))</f>
        <v/>
      </c>
      <c r="M69" s="63">
        <f>IF($J69="",0,$K69*MAX(0,MIN(YEAR($C$3)*12+MONTH($C$3)-1,YEAR($I69)*12+MONTH($I69))-(YEAR($H69)*12+MONTH($H69))+1))</f>
        <v/>
      </c>
      <c r="N69" s="63">
        <f>IF(OR($J69="",$B69=""),0,IF(YEAR($B69)*12+MONTH($B69)&lt;=YEAR($C$3)*12+MONTH($C$3),$G69,0))</f>
        <v/>
      </c>
      <c r="O69" s="63">
        <f>IF(OR($J69="",$B69=""),0,IF(YEAR($B69)*12+MONTH($B69)&lt;=YEAR($C$3)*12+MONTH($C$3)-1,$G69,0))</f>
        <v/>
      </c>
      <c r="P69" s="63">
        <f>$M69-$O69</f>
        <v/>
      </c>
      <c r="Q69" s="63">
        <f>($L69-$M69)-($N69-$O69)</f>
        <v/>
      </c>
      <c r="R69" s="63">
        <f>$L69-$N69</f>
        <v/>
      </c>
    </row>
    <row r="70">
      <c r="A70" s="60">
        <f>ROW()-5</f>
        <v/>
      </c>
      <c r="B70" s="61">
        <f>IFERROR(INDEX(tbl_Finance[Date],$A70),"")</f>
        <v/>
      </c>
      <c r="C70" s="62">
        <f>IFERROR(INDEX(tbl_Finance[Xero Invoice No],$A70),"")</f>
        <v/>
      </c>
      <c r="D70" s="62">
        <f>IFERROR(INDEX(tbl_Finance[Client],$A70),"")</f>
        <v/>
      </c>
      <c r="E70" s="62">
        <f>IFERROR(INDEX(tbl_Finance[Job Number],$A70),"")</f>
        <v/>
      </c>
      <c r="F70" s="62">
        <f>IFERROR(INDEX(tbl_Finance[Cost Centre],$A70),"")</f>
        <v/>
      </c>
      <c r="G70" s="63">
        <f>IFERROR(INDEX(tbl_Finance[Ex GST],$A70),"")</f>
        <v/>
      </c>
      <c r="H70" s="61">
        <f>IFERROR(INDEX(tbl_Finance[Defer Start],$A70),"")</f>
        <v/>
      </c>
      <c r="I70" s="61">
        <f>IFERROR(INDEX(tbl_Finance[Defer End],$A70),"")</f>
        <v/>
      </c>
      <c r="J70" s="60">
        <f>IF(OR($H70="",$I70="",$G70=""),"",MAX(1,(YEAR($I70)-YEAR($H70))*12+MONTH($I70)-MONTH($H70)+1))</f>
        <v/>
      </c>
      <c r="K70" s="63">
        <f>IF($J70="","",$G70/$J70)</f>
        <v/>
      </c>
      <c r="L70" s="63">
        <f>IF($J70="",0,$K70*MAX(0,MIN(YEAR($C$3)*12+MONTH($C$3),YEAR($I70)*12+MONTH($I70))-(YEAR($H70)*12+MONTH($H70))+1))</f>
        <v/>
      </c>
      <c r="M70" s="63">
        <f>IF($J70="",0,$K70*MAX(0,MIN(YEAR($C$3)*12+MONTH($C$3)-1,YEAR($I70)*12+MONTH($I70))-(YEAR($H70)*12+MONTH($H70))+1))</f>
        <v/>
      </c>
      <c r="N70" s="63">
        <f>IF(OR($J70="",$B70=""),0,IF(YEAR($B70)*12+MONTH($B70)&lt;=YEAR($C$3)*12+MONTH($C$3),$G70,0))</f>
        <v/>
      </c>
      <c r="O70" s="63">
        <f>IF(OR($J70="",$B70=""),0,IF(YEAR($B70)*12+MONTH($B70)&lt;=YEAR($C$3)*12+MONTH($C$3)-1,$G70,0))</f>
        <v/>
      </c>
      <c r="P70" s="63">
        <f>$M70-$O70</f>
        <v/>
      </c>
      <c r="Q70" s="63">
        <f>($L70-$M70)-($N70-$O70)</f>
        <v/>
      </c>
      <c r="R70" s="63">
        <f>$L70-$N70</f>
        <v/>
      </c>
    </row>
    <row r="71">
      <c r="A71" s="60">
        <f>ROW()-5</f>
        <v/>
      </c>
      <c r="B71" s="61">
        <f>IFERROR(INDEX(tbl_Finance[Date],$A71),"")</f>
        <v/>
      </c>
      <c r="C71" s="62">
        <f>IFERROR(INDEX(tbl_Finance[Xero Invoice No],$A71),"")</f>
        <v/>
      </c>
      <c r="D71" s="62">
        <f>IFERROR(INDEX(tbl_Finance[Client],$A71),"")</f>
        <v/>
      </c>
      <c r="E71" s="62">
        <f>IFERROR(INDEX(tbl_Finance[Job Number],$A71),"")</f>
        <v/>
      </c>
      <c r="F71" s="62">
        <f>IFERROR(INDEX(tbl_Finance[Cost Centre],$A71),"")</f>
        <v/>
      </c>
      <c r="G71" s="63">
        <f>IFERROR(INDEX(tbl_Finance[Ex GST],$A71),"")</f>
        <v/>
      </c>
      <c r="H71" s="61">
        <f>IFERROR(INDEX(tbl_Finance[Defer Start],$A71),"")</f>
        <v/>
      </c>
      <c r="I71" s="61">
        <f>IFERROR(INDEX(tbl_Finance[Defer End],$A71),"")</f>
        <v/>
      </c>
      <c r="J71" s="60">
        <f>IF(OR($H71="",$I71="",$G71=""),"",MAX(1,(YEAR($I71)-YEAR($H71))*12+MONTH($I71)-MONTH($H71)+1))</f>
        <v/>
      </c>
      <c r="K71" s="63">
        <f>IF($J71="","",$G71/$J71)</f>
        <v/>
      </c>
      <c r="L71" s="63">
        <f>IF($J71="",0,$K71*MAX(0,MIN(YEAR($C$3)*12+MONTH($C$3),YEAR($I71)*12+MONTH($I71))-(YEAR($H71)*12+MONTH($H71))+1))</f>
        <v/>
      </c>
      <c r="M71" s="63">
        <f>IF($J71="",0,$K71*MAX(0,MIN(YEAR($C$3)*12+MONTH($C$3)-1,YEAR($I71)*12+MONTH($I71))-(YEAR($H71)*12+MONTH($H71))+1))</f>
        <v/>
      </c>
      <c r="N71" s="63">
        <f>IF(OR($J71="",$B71=""),0,IF(YEAR($B71)*12+MONTH($B71)&lt;=YEAR($C$3)*12+MONTH($C$3),$G71,0))</f>
        <v/>
      </c>
      <c r="O71" s="63">
        <f>IF(OR($J71="",$B71=""),0,IF(YEAR($B71)*12+MONTH($B71)&lt;=YEAR($C$3)*12+MONTH($C$3)-1,$G71,0))</f>
        <v/>
      </c>
      <c r="P71" s="63">
        <f>$M71-$O71</f>
        <v/>
      </c>
      <c r="Q71" s="63">
        <f>($L71-$M71)-($N71-$O71)</f>
        <v/>
      </c>
      <c r="R71" s="63">
        <f>$L71-$N71</f>
        <v/>
      </c>
    </row>
    <row r="72">
      <c r="A72" s="60">
        <f>ROW()-5</f>
        <v/>
      </c>
      <c r="B72" s="61">
        <f>IFERROR(INDEX(tbl_Finance[Date],$A72),"")</f>
        <v/>
      </c>
      <c r="C72" s="62">
        <f>IFERROR(INDEX(tbl_Finance[Xero Invoice No],$A72),"")</f>
        <v/>
      </c>
      <c r="D72" s="62">
        <f>IFERROR(INDEX(tbl_Finance[Client],$A72),"")</f>
        <v/>
      </c>
      <c r="E72" s="62">
        <f>IFERROR(INDEX(tbl_Finance[Job Number],$A72),"")</f>
        <v/>
      </c>
      <c r="F72" s="62">
        <f>IFERROR(INDEX(tbl_Finance[Cost Centre],$A72),"")</f>
        <v/>
      </c>
      <c r="G72" s="63">
        <f>IFERROR(INDEX(tbl_Finance[Ex GST],$A72),"")</f>
        <v/>
      </c>
      <c r="H72" s="61">
        <f>IFERROR(INDEX(tbl_Finance[Defer Start],$A72),"")</f>
        <v/>
      </c>
      <c r="I72" s="61">
        <f>IFERROR(INDEX(tbl_Finance[Defer End],$A72),"")</f>
        <v/>
      </c>
      <c r="J72" s="60">
        <f>IF(OR($H72="",$I72="",$G72=""),"",MAX(1,(YEAR($I72)-YEAR($H72))*12+MONTH($I72)-MONTH($H72)+1))</f>
        <v/>
      </c>
      <c r="K72" s="63">
        <f>IF($J72="","",$G72/$J72)</f>
        <v/>
      </c>
      <c r="L72" s="63">
        <f>IF($J72="",0,$K72*MAX(0,MIN(YEAR($C$3)*12+MONTH($C$3),YEAR($I72)*12+MONTH($I72))-(YEAR($H72)*12+MONTH($H72))+1))</f>
        <v/>
      </c>
      <c r="M72" s="63">
        <f>IF($J72="",0,$K72*MAX(0,MIN(YEAR($C$3)*12+MONTH($C$3)-1,YEAR($I72)*12+MONTH($I72))-(YEAR($H72)*12+MONTH($H72))+1))</f>
        <v/>
      </c>
      <c r="N72" s="63">
        <f>IF(OR($J72="",$B72=""),0,IF(YEAR($B72)*12+MONTH($B72)&lt;=YEAR($C$3)*12+MONTH($C$3),$G72,0))</f>
        <v/>
      </c>
      <c r="O72" s="63">
        <f>IF(OR($J72="",$B72=""),0,IF(YEAR($B72)*12+MONTH($B72)&lt;=YEAR($C$3)*12+MONTH($C$3)-1,$G72,0))</f>
        <v/>
      </c>
      <c r="P72" s="63">
        <f>$M72-$O72</f>
        <v/>
      </c>
      <c r="Q72" s="63">
        <f>($L72-$M72)-($N72-$O72)</f>
        <v/>
      </c>
      <c r="R72" s="63">
        <f>$L72-$N72</f>
        <v/>
      </c>
    </row>
    <row r="73">
      <c r="A73" s="60">
        <f>ROW()-5</f>
        <v/>
      </c>
      <c r="B73" s="61">
        <f>IFERROR(INDEX(tbl_Finance[Date],$A73),"")</f>
        <v/>
      </c>
      <c r="C73" s="62">
        <f>IFERROR(INDEX(tbl_Finance[Xero Invoice No],$A73),"")</f>
        <v/>
      </c>
      <c r="D73" s="62">
        <f>IFERROR(INDEX(tbl_Finance[Client],$A73),"")</f>
        <v/>
      </c>
      <c r="E73" s="62">
        <f>IFERROR(INDEX(tbl_Finance[Job Number],$A73),"")</f>
        <v/>
      </c>
      <c r="F73" s="62">
        <f>IFERROR(INDEX(tbl_Finance[Cost Centre],$A73),"")</f>
        <v/>
      </c>
      <c r="G73" s="63">
        <f>IFERROR(INDEX(tbl_Finance[Ex GST],$A73),"")</f>
        <v/>
      </c>
      <c r="H73" s="61">
        <f>IFERROR(INDEX(tbl_Finance[Defer Start],$A73),"")</f>
        <v/>
      </c>
      <c r="I73" s="61">
        <f>IFERROR(INDEX(tbl_Finance[Defer End],$A73),"")</f>
        <v/>
      </c>
      <c r="J73" s="60">
        <f>IF(OR($H73="",$I73="",$G73=""),"",MAX(1,(YEAR($I73)-YEAR($H73))*12+MONTH($I73)-MONTH($H73)+1))</f>
        <v/>
      </c>
      <c r="K73" s="63">
        <f>IF($J73="","",$G73/$J73)</f>
        <v/>
      </c>
      <c r="L73" s="63">
        <f>IF($J73="",0,$K73*MAX(0,MIN(YEAR($C$3)*12+MONTH($C$3),YEAR($I73)*12+MONTH($I73))-(YEAR($H73)*12+MONTH($H73))+1))</f>
        <v/>
      </c>
      <c r="M73" s="63">
        <f>IF($J73="",0,$K73*MAX(0,MIN(YEAR($C$3)*12+MONTH($C$3)-1,YEAR($I73)*12+MONTH($I73))-(YEAR($H73)*12+MONTH($H73))+1))</f>
        <v/>
      </c>
      <c r="N73" s="63">
        <f>IF(OR($J73="",$B73=""),0,IF(YEAR($B73)*12+MONTH($B73)&lt;=YEAR($C$3)*12+MONTH($C$3),$G73,0))</f>
        <v/>
      </c>
      <c r="O73" s="63">
        <f>IF(OR($J73="",$B73=""),0,IF(YEAR($B73)*12+MONTH($B73)&lt;=YEAR($C$3)*12+MONTH($C$3)-1,$G73,0))</f>
        <v/>
      </c>
      <c r="P73" s="63">
        <f>$M73-$O73</f>
        <v/>
      </c>
      <c r="Q73" s="63">
        <f>($L73-$M73)-($N73-$O73)</f>
        <v/>
      </c>
      <c r="R73" s="63">
        <f>$L73-$N73</f>
        <v/>
      </c>
    </row>
    <row r="74">
      <c r="A74" s="60">
        <f>ROW()-5</f>
        <v/>
      </c>
      <c r="B74" s="61">
        <f>IFERROR(INDEX(tbl_Finance[Date],$A74),"")</f>
        <v/>
      </c>
      <c r="C74" s="62">
        <f>IFERROR(INDEX(tbl_Finance[Xero Invoice No],$A74),"")</f>
        <v/>
      </c>
      <c r="D74" s="62">
        <f>IFERROR(INDEX(tbl_Finance[Client],$A74),"")</f>
        <v/>
      </c>
      <c r="E74" s="62">
        <f>IFERROR(INDEX(tbl_Finance[Job Number],$A74),"")</f>
        <v/>
      </c>
      <c r="F74" s="62">
        <f>IFERROR(INDEX(tbl_Finance[Cost Centre],$A74),"")</f>
        <v/>
      </c>
      <c r="G74" s="63">
        <f>IFERROR(INDEX(tbl_Finance[Ex GST],$A74),"")</f>
        <v/>
      </c>
      <c r="H74" s="61">
        <f>IFERROR(INDEX(tbl_Finance[Defer Start],$A74),"")</f>
        <v/>
      </c>
      <c r="I74" s="61">
        <f>IFERROR(INDEX(tbl_Finance[Defer End],$A74),"")</f>
        <v/>
      </c>
      <c r="J74" s="60">
        <f>IF(OR($H74="",$I74="",$G74=""),"",MAX(1,(YEAR($I74)-YEAR($H74))*12+MONTH($I74)-MONTH($H74)+1))</f>
        <v/>
      </c>
      <c r="K74" s="63">
        <f>IF($J74="","",$G74/$J74)</f>
        <v/>
      </c>
      <c r="L74" s="63">
        <f>IF($J74="",0,$K74*MAX(0,MIN(YEAR($C$3)*12+MONTH($C$3),YEAR($I74)*12+MONTH($I74))-(YEAR($H74)*12+MONTH($H74))+1))</f>
        <v/>
      </c>
      <c r="M74" s="63">
        <f>IF($J74="",0,$K74*MAX(0,MIN(YEAR($C$3)*12+MONTH($C$3)-1,YEAR($I74)*12+MONTH($I74))-(YEAR($H74)*12+MONTH($H74))+1))</f>
        <v/>
      </c>
      <c r="N74" s="63">
        <f>IF(OR($J74="",$B74=""),0,IF(YEAR($B74)*12+MONTH($B74)&lt;=YEAR($C$3)*12+MONTH($C$3),$G74,0))</f>
        <v/>
      </c>
      <c r="O74" s="63">
        <f>IF(OR($J74="",$B74=""),0,IF(YEAR($B74)*12+MONTH($B74)&lt;=YEAR($C$3)*12+MONTH($C$3)-1,$G74,0))</f>
        <v/>
      </c>
      <c r="P74" s="63">
        <f>$M74-$O74</f>
        <v/>
      </c>
      <c r="Q74" s="63">
        <f>($L74-$M74)-($N74-$O74)</f>
        <v/>
      </c>
      <c r="R74" s="63">
        <f>$L74-$N74</f>
        <v/>
      </c>
    </row>
    <row r="75">
      <c r="A75" s="60">
        <f>ROW()-5</f>
        <v/>
      </c>
      <c r="B75" s="61">
        <f>IFERROR(INDEX(tbl_Finance[Date],$A75),"")</f>
        <v/>
      </c>
      <c r="C75" s="62">
        <f>IFERROR(INDEX(tbl_Finance[Xero Invoice No],$A75),"")</f>
        <v/>
      </c>
      <c r="D75" s="62">
        <f>IFERROR(INDEX(tbl_Finance[Client],$A75),"")</f>
        <v/>
      </c>
      <c r="E75" s="62">
        <f>IFERROR(INDEX(tbl_Finance[Job Number],$A75),"")</f>
        <v/>
      </c>
      <c r="F75" s="62">
        <f>IFERROR(INDEX(tbl_Finance[Cost Centre],$A75),"")</f>
        <v/>
      </c>
      <c r="G75" s="63">
        <f>IFERROR(INDEX(tbl_Finance[Ex GST],$A75),"")</f>
        <v/>
      </c>
      <c r="H75" s="61">
        <f>IFERROR(INDEX(tbl_Finance[Defer Start],$A75),"")</f>
        <v/>
      </c>
      <c r="I75" s="61">
        <f>IFERROR(INDEX(tbl_Finance[Defer End],$A75),"")</f>
        <v/>
      </c>
      <c r="J75" s="60">
        <f>IF(OR($H75="",$I75="",$G75=""),"",MAX(1,(YEAR($I75)-YEAR($H75))*12+MONTH($I75)-MONTH($H75)+1))</f>
        <v/>
      </c>
      <c r="K75" s="63">
        <f>IF($J75="","",$G75/$J75)</f>
        <v/>
      </c>
      <c r="L75" s="63">
        <f>IF($J75="",0,$K75*MAX(0,MIN(YEAR($C$3)*12+MONTH($C$3),YEAR($I75)*12+MONTH($I75))-(YEAR($H75)*12+MONTH($H75))+1))</f>
        <v/>
      </c>
      <c r="M75" s="63">
        <f>IF($J75="",0,$K75*MAX(0,MIN(YEAR($C$3)*12+MONTH($C$3)-1,YEAR($I75)*12+MONTH($I75))-(YEAR($H75)*12+MONTH($H75))+1))</f>
        <v/>
      </c>
      <c r="N75" s="63">
        <f>IF(OR($J75="",$B75=""),0,IF(YEAR($B75)*12+MONTH($B75)&lt;=YEAR($C$3)*12+MONTH($C$3),$G75,0))</f>
        <v/>
      </c>
      <c r="O75" s="63">
        <f>IF(OR($J75="",$B75=""),0,IF(YEAR($B75)*12+MONTH($B75)&lt;=YEAR($C$3)*12+MONTH($C$3)-1,$G75,0))</f>
        <v/>
      </c>
      <c r="P75" s="63">
        <f>$M75-$O75</f>
        <v/>
      </c>
      <c r="Q75" s="63">
        <f>($L75-$M75)-($N75-$O75)</f>
        <v/>
      </c>
      <c r="R75" s="63">
        <f>$L75-$N75</f>
        <v/>
      </c>
    </row>
    <row r="76">
      <c r="A76" s="60">
        <f>ROW()-5</f>
        <v/>
      </c>
      <c r="B76" s="61">
        <f>IFERROR(INDEX(tbl_Finance[Date],$A76),"")</f>
        <v/>
      </c>
      <c r="C76" s="62">
        <f>IFERROR(INDEX(tbl_Finance[Xero Invoice No],$A76),"")</f>
        <v/>
      </c>
      <c r="D76" s="62">
        <f>IFERROR(INDEX(tbl_Finance[Client],$A76),"")</f>
        <v/>
      </c>
      <c r="E76" s="62">
        <f>IFERROR(INDEX(tbl_Finance[Job Number],$A76),"")</f>
        <v/>
      </c>
      <c r="F76" s="62">
        <f>IFERROR(INDEX(tbl_Finance[Cost Centre],$A76),"")</f>
        <v/>
      </c>
      <c r="G76" s="63">
        <f>IFERROR(INDEX(tbl_Finance[Ex GST],$A76),"")</f>
        <v/>
      </c>
      <c r="H76" s="61">
        <f>IFERROR(INDEX(tbl_Finance[Defer Start],$A76),"")</f>
        <v/>
      </c>
      <c r="I76" s="61">
        <f>IFERROR(INDEX(tbl_Finance[Defer End],$A76),"")</f>
        <v/>
      </c>
      <c r="J76" s="60">
        <f>IF(OR($H76="",$I76="",$G76=""),"",MAX(1,(YEAR($I76)-YEAR($H76))*12+MONTH($I76)-MONTH($H76)+1))</f>
        <v/>
      </c>
      <c r="K76" s="63">
        <f>IF($J76="","",$G76/$J76)</f>
        <v/>
      </c>
      <c r="L76" s="63">
        <f>IF($J76="",0,$K76*MAX(0,MIN(YEAR($C$3)*12+MONTH($C$3),YEAR($I76)*12+MONTH($I76))-(YEAR($H76)*12+MONTH($H76))+1))</f>
        <v/>
      </c>
      <c r="M76" s="63">
        <f>IF($J76="",0,$K76*MAX(0,MIN(YEAR($C$3)*12+MONTH($C$3)-1,YEAR($I76)*12+MONTH($I76))-(YEAR($H76)*12+MONTH($H76))+1))</f>
        <v/>
      </c>
      <c r="N76" s="63">
        <f>IF(OR($J76="",$B76=""),0,IF(YEAR($B76)*12+MONTH($B76)&lt;=YEAR($C$3)*12+MONTH($C$3),$G76,0))</f>
        <v/>
      </c>
      <c r="O76" s="63">
        <f>IF(OR($J76="",$B76=""),0,IF(YEAR($B76)*12+MONTH($B76)&lt;=YEAR($C$3)*12+MONTH($C$3)-1,$G76,0))</f>
        <v/>
      </c>
      <c r="P76" s="63">
        <f>$M76-$O76</f>
        <v/>
      </c>
      <c r="Q76" s="63">
        <f>($L76-$M76)-($N76-$O76)</f>
        <v/>
      </c>
      <c r="R76" s="63">
        <f>$L76-$N76</f>
        <v/>
      </c>
    </row>
    <row r="77">
      <c r="A77" s="60">
        <f>ROW()-5</f>
        <v/>
      </c>
      <c r="B77" s="61">
        <f>IFERROR(INDEX(tbl_Finance[Date],$A77),"")</f>
        <v/>
      </c>
      <c r="C77" s="62">
        <f>IFERROR(INDEX(tbl_Finance[Xero Invoice No],$A77),"")</f>
        <v/>
      </c>
      <c r="D77" s="62">
        <f>IFERROR(INDEX(tbl_Finance[Client],$A77),"")</f>
        <v/>
      </c>
      <c r="E77" s="62">
        <f>IFERROR(INDEX(tbl_Finance[Job Number],$A77),"")</f>
        <v/>
      </c>
      <c r="F77" s="62">
        <f>IFERROR(INDEX(tbl_Finance[Cost Centre],$A77),"")</f>
        <v/>
      </c>
      <c r="G77" s="63">
        <f>IFERROR(INDEX(tbl_Finance[Ex GST],$A77),"")</f>
        <v/>
      </c>
      <c r="H77" s="61">
        <f>IFERROR(INDEX(tbl_Finance[Defer Start],$A77),"")</f>
        <v/>
      </c>
      <c r="I77" s="61">
        <f>IFERROR(INDEX(tbl_Finance[Defer End],$A77),"")</f>
        <v/>
      </c>
      <c r="J77" s="60">
        <f>IF(OR($H77="",$I77="",$G77=""),"",MAX(1,(YEAR($I77)-YEAR($H77))*12+MONTH($I77)-MONTH($H77)+1))</f>
        <v/>
      </c>
      <c r="K77" s="63">
        <f>IF($J77="","",$G77/$J77)</f>
        <v/>
      </c>
      <c r="L77" s="63">
        <f>IF($J77="",0,$K77*MAX(0,MIN(YEAR($C$3)*12+MONTH($C$3),YEAR($I77)*12+MONTH($I77))-(YEAR($H77)*12+MONTH($H77))+1))</f>
        <v/>
      </c>
      <c r="M77" s="63">
        <f>IF($J77="",0,$K77*MAX(0,MIN(YEAR($C$3)*12+MONTH($C$3)-1,YEAR($I77)*12+MONTH($I77))-(YEAR($H77)*12+MONTH($H77))+1))</f>
        <v/>
      </c>
      <c r="N77" s="63">
        <f>IF(OR($J77="",$B77=""),0,IF(YEAR($B77)*12+MONTH($B77)&lt;=YEAR($C$3)*12+MONTH($C$3),$G77,0))</f>
        <v/>
      </c>
      <c r="O77" s="63">
        <f>IF(OR($J77="",$B77=""),0,IF(YEAR($B77)*12+MONTH($B77)&lt;=YEAR($C$3)*12+MONTH($C$3)-1,$G77,0))</f>
        <v/>
      </c>
      <c r="P77" s="63">
        <f>$M77-$O77</f>
        <v/>
      </c>
      <c r="Q77" s="63">
        <f>($L77-$M77)-($N77-$O77)</f>
        <v/>
      </c>
      <c r="R77" s="63">
        <f>$L77-$N77</f>
        <v/>
      </c>
    </row>
    <row r="78">
      <c r="A78" s="60">
        <f>ROW()-5</f>
        <v/>
      </c>
      <c r="B78" s="61">
        <f>IFERROR(INDEX(tbl_Finance[Date],$A78),"")</f>
        <v/>
      </c>
      <c r="C78" s="62">
        <f>IFERROR(INDEX(tbl_Finance[Xero Invoice No],$A78),"")</f>
        <v/>
      </c>
      <c r="D78" s="62">
        <f>IFERROR(INDEX(tbl_Finance[Client],$A78),"")</f>
        <v/>
      </c>
      <c r="E78" s="62">
        <f>IFERROR(INDEX(tbl_Finance[Job Number],$A78),"")</f>
        <v/>
      </c>
      <c r="F78" s="62">
        <f>IFERROR(INDEX(tbl_Finance[Cost Centre],$A78),"")</f>
        <v/>
      </c>
      <c r="G78" s="63">
        <f>IFERROR(INDEX(tbl_Finance[Ex GST],$A78),"")</f>
        <v/>
      </c>
      <c r="H78" s="61">
        <f>IFERROR(INDEX(tbl_Finance[Defer Start],$A78),"")</f>
        <v/>
      </c>
      <c r="I78" s="61">
        <f>IFERROR(INDEX(tbl_Finance[Defer End],$A78),"")</f>
        <v/>
      </c>
      <c r="J78" s="60">
        <f>IF(OR($H78="",$I78="",$G78=""),"",MAX(1,(YEAR($I78)-YEAR($H78))*12+MONTH($I78)-MONTH($H78)+1))</f>
        <v/>
      </c>
      <c r="K78" s="63">
        <f>IF($J78="","",$G78/$J78)</f>
        <v/>
      </c>
      <c r="L78" s="63">
        <f>IF($J78="",0,$K78*MAX(0,MIN(YEAR($C$3)*12+MONTH($C$3),YEAR($I78)*12+MONTH($I78))-(YEAR($H78)*12+MONTH($H78))+1))</f>
        <v/>
      </c>
      <c r="M78" s="63">
        <f>IF($J78="",0,$K78*MAX(0,MIN(YEAR($C$3)*12+MONTH($C$3)-1,YEAR($I78)*12+MONTH($I78))-(YEAR($H78)*12+MONTH($H78))+1))</f>
        <v/>
      </c>
      <c r="N78" s="63">
        <f>IF(OR($J78="",$B78=""),0,IF(YEAR($B78)*12+MONTH($B78)&lt;=YEAR($C$3)*12+MONTH($C$3),$G78,0))</f>
        <v/>
      </c>
      <c r="O78" s="63">
        <f>IF(OR($J78="",$B78=""),0,IF(YEAR($B78)*12+MONTH($B78)&lt;=YEAR($C$3)*12+MONTH($C$3)-1,$G78,0))</f>
        <v/>
      </c>
      <c r="P78" s="63">
        <f>$M78-$O78</f>
        <v/>
      </c>
      <c r="Q78" s="63">
        <f>($L78-$M78)-($N78-$O78)</f>
        <v/>
      </c>
      <c r="R78" s="63">
        <f>$L78-$N78</f>
        <v/>
      </c>
    </row>
    <row r="79">
      <c r="A79" s="60">
        <f>ROW()-5</f>
        <v/>
      </c>
      <c r="B79" s="61">
        <f>IFERROR(INDEX(tbl_Finance[Date],$A79),"")</f>
        <v/>
      </c>
      <c r="C79" s="62">
        <f>IFERROR(INDEX(tbl_Finance[Xero Invoice No],$A79),"")</f>
        <v/>
      </c>
      <c r="D79" s="62">
        <f>IFERROR(INDEX(tbl_Finance[Client],$A79),"")</f>
        <v/>
      </c>
      <c r="E79" s="62">
        <f>IFERROR(INDEX(tbl_Finance[Job Number],$A79),"")</f>
        <v/>
      </c>
      <c r="F79" s="62">
        <f>IFERROR(INDEX(tbl_Finance[Cost Centre],$A79),"")</f>
        <v/>
      </c>
      <c r="G79" s="63">
        <f>IFERROR(INDEX(tbl_Finance[Ex GST],$A79),"")</f>
        <v/>
      </c>
      <c r="H79" s="61">
        <f>IFERROR(INDEX(tbl_Finance[Defer Start],$A79),"")</f>
        <v/>
      </c>
      <c r="I79" s="61">
        <f>IFERROR(INDEX(tbl_Finance[Defer End],$A79),"")</f>
        <v/>
      </c>
      <c r="J79" s="60">
        <f>IF(OR($H79="",$I79="",$G79=""),"",MAX(1,(YEAR($I79)-YEAR($H79))*12+MONTH($I79)-MONTH($H79)+1))</f>
        <v/>
      </c>
      <c r="K79" s="63">
        <f>IF($J79="","",$G79/$J79)</f>
        <v/>
      </c>
      <c r="L79" s="63">
        <f>IF($J79="",0,$K79*MAX(0,MIN(YEAR($C$3)*12+MONTH($C$3),YEAR($I79)*12+MONTH($I79))-(YEAR($H79)*12+MONTH($H79))+1))</f>
        <v/>
      </c>
      <c r="M79" s="63">
        <f>IF($J79="",0,$K79*MAX(0,MIN(YEAR($C$3)*12+MONTH($C$3)-1,YEAR($I79)*12+MONTH($I79))-(YEAR($H79)*12+MONTH($H79))+1))</f>
        <v/>
      </c>
      <c r="N79" s="63">
        <f>IF(OR($J79="",$B79=""),0,IF(YEAR($B79)*12+MONTH($B79)&lt;=YEAR($C$3)*12+MONTH($C$3),$G79,0))</f>
        <v/>
      </c>
      <c r="O79" s="63">
        <f>IF(OR($J79="",$B79=""),0,IF(YEAR($B79)*12+MONTH($B79)&lt;=YEAR($C$3)*12+MONTH($C$3)-1,$G79,0))</f>
        <v/>
      </c>
      <c r="P79" s="63">
        <f>$M79-$O79</f>
        <v/>
      </c>
      <c r="Q79" s="63">
        <f>($L79-$M79)-($N79-$O79)</f>
        <v/>
      </c>
      <c r="R79" s="63">
        <f>$L79-$N79</f>
        <v/>
      </c>
    </row>
    <row r="80">
      <c r="A80" s="60">
        <f>ROW()-5</f>
        <v/>
      </c>
      <c r="B80" s="61">
        <f>IFERROR(INDEX(tbl_Finance[Date],$A80),"")</f>
        <v/>
      </c>
      <c r="C80" s="62">
        <f>IFERROR(INDEX(tbl_Finance[Xero Invoice No],$A80),"")</f>
        <v/>
      </c>
      <c r="D80" s="62">
        <f>IFERROR(INDEX(tbl_Finance[Client],$A80),"")</f>
        <v/>
      </c>
      <c r="E80" s="62">
        <f>IFERROR(INDEX(tbl_Finance[Job Number],$A80),"")</f>
        <v/>
      </c>
      <c r="F80" s="62">
        <f>IFERROR(INDEX(tbl_Finance[Cost Centre],$A80),"")</f>
        <v/>
      </c>
      <c r="G80" s="63">
        <f>IFERROR(INDEX(tbl_Finance[Ex GST],$A80),"")</f>
        <v/>
      </c>
      <c r="H80" s="61">
        <f>IFERROR(INDEX(tbl_Finance[Defer Start],$A80),"")</f>
        <v/>
      </c>
      <c r="I80" s="61">
        <f>IFERROR(INDEX(tbl_Finance[Defer End],$A80),"")</f>
        <v/>
      </c>
      <c r="J80" s="60">
        <f>IF(OR($H80="",$I80="",$G80=""),"",MAX(1,(YEAR($I80)-YEAR($H80))*12+MONTH($I80)-MONTH($H80)+1))</f>
        <v/>
      </c>
      <c r="K80" s="63">
        <f>IF($J80="","",$G80/$J80)</f>
        <v/>
      </c>
      <c r="L80" s="63">
        <f>IF($J80="",0,$K80*MAX(0,MIN(YEAR($C$3)*12+MONTH($C$3),YEAR($I80)*12+MONTH($I80))-(YEAR($H80)*12+MONTH($H80))+1))</f>
        <v/>
      </c>
      <c r="M80" s="63">
        <f>IF($J80="",0,$K80*MAX(0,MIN(YEAR($C$3)*12+MONTH($C$3)-1,YEAR($I80)*12+MONTH($I80))-(YEAR($H80)*12+MONTH($H80))+1))</f>
        <v/>
      </c>
      <c r="N80" s="63">
        <f>IF(OR($J80="",$B80=""),0,IF(YEAR($B80)*12+MONTH($B80)&lt;=YEAR($C$3)*12+MONTH($C$3),$G80,0))</f>
        <v/>
      </c>
      <c r="O80" s="63">
        <f>IF(OR($J80="",$B80=""),0,IF(YEAR($B80)*12+MONTH($B80)&lt;=YEAR($C$3)*12+MONTH($C$3)-1,$G80,0))</f>
        <v/>
      </c>
      <c r="P80" s="63">
        <f>$M80-$O80</f>
        <v/>
      </c>
      <c r="Q80" s="63">
        <f>($L80-$M80)-($N80-$O80)</f>
        <v/>
      </c>
      <c r="R80" s="63">
        <f>$L80-$N80</f>
        <v/>
      </c>
    </row>
    <row r="81">
      <c r="A81" s="60">
        <f>ROW()-5</f>
        <v/>
      </c>
      <c r="B81" s="61">
        <f>IFERROR(INDEX(tbl_Finance[Date],$A81),"")</f>
        <v/>
      </c>
      <c r="C81" s="62">
        <f>IFERROR(INDEX(tbl_Finance[Xero Invoice No],$A81),"")</f>
        <v/>
      </c>
      <c r="D81" s="62">
        <f>IFERROR(INDEX(tbl_Finance[Client],$A81),"")</f>
        <v/>
      </c>
      <c r="E81" s="62">
        <f>IFERROR(INDEX(tbl_Finance[Job Number],$A81),"")</f>
        <v/>
      </c>
      <c r="F81" s="62">
        <f>IFERROR(INDEX(tbl_Finance[Cost Centre],$A81),"")</f>
        <v/>
      </c>
      <c r="G81" s="63">
        <f>IFERROR(INDEX(tbl_Finance[Ex GST],$A81),"")</f>
        <v/>
      </c>
      <c r="H81" s="61">
        <f>IFERROR(INDEX(tbl_Finance[Defer Start],$A81),"")</f>
        <v/>
      </c>
      <c r="I81" s="61">
        <f>IFERROR(INDEX(tbl_Finance[Defer End],$A81),"")</f>
        <v/>
      </c>
      <c r="J81" s="60">
        <f>IF(OR($H81="",$I81="",$G81=""),"",MAX(1,(YEAR($I81)-YEAR($H81))*12+MONTH($I81)-MONTH($H81)+1))</f>
        <v/>
      </c>
      <c r="K81" s="63">
        <f>IF($J81="","",$G81/$J81)</f>
        <v/>
      </c>
      <c r="L81" s="63">
        <f>IF($J81="",0,$K81*MAX(0,MIN(YEAR($C$3)*12+MONTH($C$3),YEAR($I81)*12+MONTH($I81))-(YEAR($H81)*12+MONTH($H81))+1))</f>
        <v/>
      </c>
      <c r="M81" s="63">
        <f>IF($J81="",0,$K81*MAX(0,MIN(YEAR($C$3)*12+MONTH($C$3)-1,YEAR($I81)*12+MONTH($I81))-(YEAR($H81)*12+MONTH($H81))+1))</f>
        <v/>
      </c>
      <c r="N81" s="63">
        <f>IF(OR($J81="",$B81=""),0,IF(YEAR($B81)*12+MONTH($B81)&lt;=YEAR($C$3)*12+MONTH($C$3),$G81,0))</f>
        <v/>
      </c>
      <c r="O81" s="63">
        <f>IF(OR($J81="",$B81=""),0,IF(YEAR($B81)*12+MONTH($B81)&lt;=YEAR($C$3)*12+MONTH($C$3)-1,$G81,0))</f>
        <v/>
      </c>
      <c r="P81" s="63">
        <f>$M81-$O81</f>
        <v/>
      </c>
      <c r="Q81" s="63">
        <f>($L81-$M81)-($N81-$O81)</f>
        <v/>
      </c>
      <c r="R81" s="63">
        <f>$L81-$N81</f>
        <v/>
      </c>
    </row>
    <row r="82">
      <c r="A82" s="60">
        <f>ROW()-5</f>
        <v/>
      </c>
      <c r="B82" s="61">
        <f>IFERROR(INDEX(tbl_Finance[Date],$A82),"")</f>
        <v/>
      </c>
      <c r="C82" s="62">
        <f>IFERROR(INDEX(tbl_Finance[Xero Invoice No],$A82),"")</f>
        <v/>
      </c>
      <c r="D82" s="62">
        <f>IFERROR(INDEX(tbl_Finance[Client],$A82),"")</f>
        <v/>
      </c>
      <c r="E82" s="62">
        <f>IFERROR(INDEX(tbl_Finance[Job Number],$A82),"")</f>
        <v/>
      </c>
      <c r="F82" s="62">
        <f>IFERROR(INDEX(tbl_Finance[Cost Centre],$A82),"")</f>
        <v/>
      </c>
      <c r="G82" s="63">
        <f>IFERROR(INDEX(tbl_Finance[Ex GST],$A82),"")</f>
        <v/>
      </c>
      <c r="H82" s="61">
        <f>IFERROR(INDEX(tbl_Finance[Defer Start],$A82),"")</f>
        <v/>
      </c>
      <c r="I82" s="61">
        <f>IFERROR(INDEX(tbl_Finance[Defer End],$A82),"")</f>
        <v/>
      </c>
      <c r="J82" s="60">
        <f>IF(OR($H82="",$I82="",$G82=""),"",MAX(1,(YEAR($I82)-YEAR($H82))*12+MONTH($I82)-MONTH($H82)+1))</f>
        <v/>
      </c>
      <c r="K82" s="63">
        <f>IF($J82="","",$G82/$J82)</f>
        <v/>
      </c>
      <c r="L82" s="63">
        <f>IF($J82="",0,$K82*MAX(0,MIN(YEAR($C$3)*12+MONTH($C$3),YEAR($I82)*12+MONTH($I82))-(YEAR($H82)*12+MONTH($H82))+1))</f>
        <v/>
      </c>
      <c r="M82" s="63">
        <f>IF($J82="",0,$K82*MAX(0,MIN(YEAR($C$3)*12+MONTH($C$3)-1,YEAR($I82)*12+MONTH($I82))-(YEAR($H82)*12+MONTH($H82))+1))</f>
        <v/>
      </c>
      <c r="N82" s="63">
        <f>IF(OR($J82="",$B82=""),0,IF(YEAR($B82)*12+MONTH($B82)&lt;=YEAR($C$3)*12+MONTH($C$3),$G82,0))</f>
        <v/>
      </c>
      <c r="O82" s="63">
        <f>IF(OR($J82="",$B82=""),0,IF(YEAR($B82)*12+MONTH($B82)&lt;=YEAR($C$3)*12+MONTH($C$3)-1,$G82,0))</f>
        <v/>
      </c>
      <c r="P82" s="63">
        <f>$M82-$O82</f>
        <v/>
      </c>
      <c r="Q82" s="63">
        <f>($L82-$M82)-($N82-$O82)</f>
        <v/>
      </c>
      <c r="R82" s="63">
        <f>$L82-$N82</f>
        <v/>
      </c>
    </row>
    <row r="83">
      <c r="A83" s="60">
        <f>ROW()-5</f>
        <v/>
      </c>
      <c r="B83" s="61">
        <f>IFERROR(INDEX(tbl_Finance[Date],$A83),"")</f>
        <v/>
      </c>
      <c r="C83" s="62">
        <f>IFERROR(INDEX(tbl_Finance[Xero Invoice No],$A83),"")</f>
        <v/>
      </c>
      <c r="D83" s="62">
        <f>IFERROR(INDEX(tbl_Finance[Client],$A83),"")</f>
        <v/>
      </c>
      <c r="E83" s="62">
        <f>IFERROR(INDEX(tbl_Finance[Job Number],$A83),"")</f>
        <v/>
      </c>
      <c r="F83" s="62">
        <f>IFERROR(INDEX(tbl_Finance[Cost Centre],$A83),"")</f>
        <v/>
      </c>
      <c r="G83" s="63">
        <f>IFERROR(INDEX(tbl_Finance[Ex GST],$A83),"")</f>
        <v/>
      </c>
      <c r="H83" s="61">
        <f>IFERROR(INDEX(tbl_Finance[Defer Start],$A83),"")</f>
        <v/>
      </c>
      <c r="I83" s="61">
        <f>IFERROR(INDEX(tbl_Finance[Defer End],$A83),"")</f>
        <v/>
      </c>
      <c r="J83" s="60">
        <f>IF(OR($H83="",$I83="",$G83=""),"",MAX(1,(YEAR($I83)-YEAR($H83))*12+MONTH($I83)-MONTH($H83)+1))</f>
        <v/>
      </c>
      <c r="K83" s="63">
        <f>IF($J83="","",$G83/$J83)</f>
        <v/>
      </c>
      <c r="L83" s="63">
        <f>IF($J83="",0,$K83*MAX(0,MIN(YEAR($C$3)*12+MONTH($C$3),YEAR($I83)*12+MONTH($I83))-(YEAR($H83)*12+MONTH($H83))+1))</f>
        <v/>
      </c>
      <c r="M83" s="63">
        <f>IF($J83="",0,$K83*MAX(0,MIN(YEAR($C$3)*12+MONTH($C$3)-1,YEAR($I83)*12+MONTH($I83))-(YEAR($H83)*12+MONTH($H83))+1))</f>
        <v/>
      </c>
      <c r="N83" s="63">
        <f>IF(OR($J83="",$B83=""),0,IF(YEAR($B83)*12+MONTH($B83)&lt;=YEAR($C$3)*12+MONTH($C$3),$G83,0))</f>
        <v/>
      </c>
      <c r="O83" s="63">
        <f>IF(OR($J83="",$B83=""),0,IF(YEAR($B83)*12+MONTH($B83)&lt;=YEAR($C$3)*12+MONTH($C$3)-1,$G83,0))</f>
        <v/>
      </c>
      <c r="P83" s="63">
        <f>$M83-$O83</f>
        <v/>
      </c>
      <c r="Q83" s="63">
        <f>($L83-$M83)-($N83-$O83)</f>
        <v/>
      </c>
      <c r="R83" s="63">
        <f>$L83-$N83</f>
        <v/>
      </c>
    </row>
    <row r="84">
      <c r="A84" s="60">
        <f>ROW()-5</f>
        <v/>
      </c>
      <c r="B84" s="61">
        <f>IFERROR(INDEX(tbl_Finance[Date],$A84),"")</f>
        <v/>
      </c>
      <c r="C84" s="62">
        <f>IFERROR(INDEX(tbl_Finance[Xero Invoice No],$A84),"")</f>
        <v/>
      </c>
      <c r="D84" s="62">
        <f>IFERROR(INDEX(tbl_Finance[Client],$A84),"")</f>
        <v/>
      </c>
      <c r="E84" s="62">
        <f>IFERROR(INDEX(tbl_Finance[Job Number],$A84),"")</f>
        <v/>
      </c>
      <c r="F84" s="62">
        <f>IFERROR(INDEX(tbl_Finance[Cost Centre],$A84),"")</f>
        <v/>
      </c>
      <c r="G84" s="63">
        <f>IFERROR(INDEX(tbl_Finance[Ex GST],$A84),"")</f>
        <v/>
      </c>
      <c r="H84" s="61">
        <f>IFERROR(INDEX(tbl_Finance[Defer Start],$A84),"")</f>
        <v/>
      </c>
      <c r="I84" s="61">
        <f>IFERROR(INDEX(tbl_Finance[Defer End],$A84),"")</f>
        <v/>
      </c>
      <c r="J84" s="60">
        <f>IF(OR($H84="",$I84="",$G84=""),"",MAX(1,(YEAR($I84)-YEAR($H84))*12+MONTH($I84)-MONTH($H84)+1))</f>
        <v/>
      </c>
      <c r="K84" s="63">
        <f>IF($J84="","",$G84/$J84)</f>
        <v/>
      </c>
      <c r="L84" s="63">
        <f>IF($J84="",0,$K84*MAX(0,MIN(YEAR($C$3)*12+MONTH($C$3),YEAR($I84)*12+MONTH($I84))-(YEAR($H84)*12+MONTH($H84))+1))</f>
        <v/>
      </c>
      <c r="M84" s="63">
        <f>IF($J84="",0,$K84*MAX(0,MIN(YEAR($C$3)*12+MONTH($C$3)-1,YEAR($I84)*12+MONTH($I84))-(YEAR($H84)*12+MONTH($H84))+1))</f>
        <v/>
      </c>
      <c r="N84" s="63">
        <f>IF(OR($J84="",$B84=""),0,IF(YEAR($B84)*12+MONTH($B84)&lt;=YEAR($C$3)*12+MONTH($C$3),$G84,0))</f>
        <v/>
      </c>
      <c r="O84" s="63">
        <f>IF(OR($J84="",$B84=""),0,IF(YEAR($B84)*12+MONTH($B84)&lt;=YEAR($C$3)*12+MONTH($C$3)-1,$G84,0))</f>
        <v/>
      </c>
      <c r="P84" s="63">
        <f>$M84-$O84</f>
        <v/>
      </c>
      <c r="Q84" s="63">
        <f>($L84-$M84)-($N84-$O84)</f>
        <v/>
      </c>
      <c r="R84" s="63">
        <f>$L84-$N84</f>
        <v/>
      </c>
    </row>
    <row r="85">
      <c r="A85" s="60">
        <f>ROW()-5</f>
        <v/>
      </c>
      <c r="B85" s="61">
        <f>IFERROR(INDEX(tbl_Finance[Date],$A85),"")</f>
        <v/>
      </c>
      <c r="C85" s="62">
        <f>IFERROR(INDEX(tbl_Finance[Xero Invoice No],$A85),"")</f>
        <v/>
      </c>
      <c r="D85" s="62">
        <f>IFERROR(INDEX(tbl_Finance[Client],$A85),"")</f>
        <v/>
      </c>
      <c r="E85" s="62">
        <f>IFERROR(INDEX(tbl_Finance[Job Number],$A85),"")</f>
        <v/>
      </c>
      <c r="F85" s="62">
        <f>IFERROR(INDEX(tbl_Finance[Cost Centre],$A85),"")</f>
        <v/>
      </c>
      <c r="G85" s="63">
        <f>IFERROR(INDEX(tbl_Finance[Ex GST],$A85),"")</f>
        <v/>
      </c>
      <c r="H85" s="61">
        <f>IFERROR(INDEX(tbl_Finance[Defer Start],$A85),"")</f>
        <v/>
      </c>
      <c r="I85" s="61">
        <f>IFERROR(INDEX(tbl_Finance[Defer End],$A85),"")</f>
        <v/>
      </c>
      <c r="J85" s="60">
        <f>IF(OR($H85="",$I85="",$G85=""),"",MAX(1,(YEAR($I85)-YEAR($H85))*12+MONTH($I85)-MONTH($H85)+1))</f>
        <v/>
      </c>
      <c r="K85" s="63">
        <f>IF($J85="","",$G85/$J85)</f>
        <v/>
      </c>
      <c r="L85" s="63">
        <f>IF($J85="",0,$K85*MAX(0,MIN(YEAR($C$3)*12+MONTH($C$3),YEAR($I85)*12+MONTH($I85))-(YEAR($H85)*12+MONTH($H85))+1))</f>
        <v/>
      </c>
      <c r="M85" s="63">
        <f>IF($J85="",0,$K85*MAX(0,MIN(YEAR($C$3)*12+MONTH($C$3)-1,YEAR($I85)*12+MONTH($I85))-(YEAR($H85)*12+MONTH($H85))+1))</f>
        <v/>
      </c>
      <c r="N85" s="63">
        <f>IF(OR($J85="",$B85=""),0,IF(YEAR($B85)*12+MONTH($B85)&lt;=YEAR($C$3)*12+MONTH($C$3),$G85,0))</f>
        <v/>
      </c>
      <c r="O85" s="63">
        <f>IF(OR($J85="",$B85=""),0,IF(YEAR($B85)*12+MONTH($B85)&lt;=YEAR($C$3)*12+MONTH($C$3)-1,$G85,0))</f>
        <v/>
      </c>
      <c r="P85" s="63">
        <f>$M85-$O85</f>
        <v/>
      </c>
      <c r="Q85" s="63">
        <f>($L85-$M85)-($N85-$O85)</f>
        <v/>
      </c>
      <c r="R85" s="63">
        <f>$L85-$N85</f>
        <v/>
      </c>
    </row>
    <row r="86">
      <c r="A86" s="60">
        <f>ROW()-5</f>
        <v/>
      </c>
      <c r="B86" s="61">
        <f>IFERROR(INDEX(tbl_Finance[Date],$A86),"")</f>
        <v/>
      </c>
      <c r="C86" s="62">
        <f>IFERROR(INDEX(tbl_Finance[Xero Invoice No],$A86),"")</f>
        <v/>
      </c>
      <c r="D86" s="62">
        <f>IFERROR(INDEX(tbl_Finance[Client],$A86),"")</f>
        <v/>
      </c>
      <c r="E86" s="62">
        <f>IFERROR(INDEX(tbl_Finance[Job Number],$A86),"")</f>
        <v/>
      </c>
      <c r="F86" s="62">
        <f>IFERROR(INDEX(tbl_Finance[Cost Centre],$A86),"")</f>
        <v/>
      </c>
      <c r="G86" s="63">
        <f>IFERROR(INDEX(tbl_Finance[Ex GST],$A86),"")</f>
        <v/>
      </c>
      <c r="H86" s="61">
        <f>IFERROR(INDEX(tbl_Finance[Defer Start],$A86),"")</f>
        <v/>
      </c>
      <c r="I86" s="61">
        <f>IFERROR(INDEX(tbl_Finance[Defer End],$A86),"")</f>
        <v/>
      </c>
      <c r="J86" s="60">
        <f>IF(OR($H86="",$I86="",$G86=""),"",MAX(1,(YEAR($I86)-YEAR($H86))*12+MONTH($I86)-MONTH($H86)+1))</f>
        <v/>
      </c>
      <c r="K86" s="63">
        <f>IF($J86="","",$G86/$J86)</f>
        <v/>
      </c>
      <c r="L86" s="63">
        <f>IF($J86="",0,$K86*MAX(0,MIN(YEAR($C$3)*12+MONTH($C$3),YEAR($I86)*12+MONTH($I86))-(YEAR($H86)*12+MONTH($H86))+1))</f>
        <v/>
      </c>
      <c r="M86" s="63">
        <f>IF($J86="",0,$K86*MAX(0,MIN(YEAR($C$3)*12+MONTH($C$3)-1,YEAR($I86)*12+MONTH($I86))-(YEAR($H86)*12+MONTH($H86))+1))</f>
        <v/>
      </c>
      <c r="N86" s="63">
        <f>IF(OR($J86="",$B86=""),0,IF(YEAR($B86)*12+MONTH($B86)&lt;=YEAR($C$3)*12+MONTH($C$3),$G86,0))</f>
        <v/>
      </c>
      <c r="O86" s="63">
        <f>IF(OR($J86="",$B86=""),0,IF(YEAR($B86)*12+MONTH($B86)&lt;=YEAR($C$3)*12+MONTH($C$3)-1,$G86,0))</f>
        <v/>
      </c>
      <c r="P86" s="63">
        <f>$M86-$O86</f>
        <v/>
      </c>
      <c r="Q86" s="63">
        <f>($L86-$M86)-($N86-$O86)</f>
        <v/>
      </c>
      <c r="R86" s="63">
        <f>$L86-$N86</f>
        <v/>
      </c>
    </row>
    <row r="87">
      <c r="A87" s="60">
        <f>ROW()-5</f>
        <v/>
      </c>
      <c r="B87" s="61">
        <f>IFERROR(INDEX(tbl_Finance[Date],$A87),"")</f>
        <v/>
      </c>
      <c r="C87" s="62">
        <f>IFERROR(INDEX(tbl_Finance[Xero Invoice No],$A87),"")</f>
        <v/>
      </c>
      <c r="D87" s="62">
        <f>IFERROR(INDEX(tbl_Finance[Client],$A87),"")</f>
        <v/>
      </c>
      <c r="E87" s="62">
        <f>IFERROR(INDEX(tbl_Finance[Job Number],$A87),"")</f>
        <v/>
      </c>
      <c r="F87" s="62">
        <f>IFERROR(INDEX(tbl_Finance[Cost Centre],$A87),"")</f>
        <v/>
      </c>
      <c r="G87" s="63">
        <f>IFERROR(INDEX(tbl_Finance[Ex GST],$A87),"")</f>
        <v/>
      </c>
      <c r="H87" s="61">
        <f>IFERROR(INDEX(tbl_Finance[Defer Start],$A87),"")</f>
        <v/>
      </c>
      <c r="I87" s="61">
        <f>IFERROR(INDEX(tbl_Finance[Defer End],$A87),"")</f>
        <v/>
      </c>
      <c r="J87" s="60">
        <f>IF(OR($H87="",$I87="",$G87=""),"",MAX(1,(YEAR($I87)-YEAR($H87))*12+MONTH($I87)-MONTH($H87)+1))</f>
        <v/>
      </c>
      <c r="K87" s="63">
        <f>IF($J87="","",$G87/$J87)</f>
        <v/>
      </c>
      <c r="L87" s="63">
        <f>IF($J87="",0,$K87*MAX(0,MIN(YEAR($C$3)*12+MONTH($C$3),YEAR($I87)*12+MONTH($I87))-(YEAR($H87)*12+MONTH($H87))+1))</f>
        <v/>
      </c>
      <c r="M87" s="63">
        <f>IF($J87="",0,$K87*MAX(0,MIN(YEAR($C$3)*12+MONTH($C$3)-1,YEAR($I87)*12+MONTH($I87))-(YEAR($H87)*12+MONTH($H87))+1))</f>
        <v/>
      </c>
      <c r="N87" s="63">
        <f>IF(OR($J87="",$B87=""),0,IF(YEAR($B87)*12+MONTH($B87)&lt;=YEAR($C$3)*12+MONTH($C$3),$G87,0))</f>
        <v/>
      </c>
      <c r="O87" s="63">
        <f>IF(OR($J87="",$B87=""),0,IF(YEAR($B87)*12+MONTH($B87)&lt;=YEAR($C$3)*12+MONTH($C$3)-1,$G87,0))</f>
        <v/>
      </c>
      <c r="P87" s="63">
        <f>$M87-$O87</f>
        <v/>
      </c>
      <c r="Q87" s="63">
        <f>($L87-$M87)-($N87-$O87)</f>
        <v/>
      </c>
      <c r="R87" s="63">
        <f>$L87-$N87</f>
        <v/>
      </c>
    </row>
    <row r="88">
      <c r="A88" s="60">
        <f>ROW()-5</f>
        <v/>
      </c>
      <c r="B88" s="61">
        <f>IFERROR(INDEX(tbl_Finance[Date],$A88),"")</f>
        <v/>
      </c>
      <c r="C88" s="62">
        <f>IFERROR(INDEX(tbl_Finance[Xero Invoice No],$A88),"")</f>
        <v/>
      </c>
      <c r="D88" s="62">
        <f>IFERROR(INDEX(tbl_Finance[Client],$A88),"")</f>
        <v/>
      </c>
      <c r="E88" s="62">
        <f>IFERROR(INDEX(tbl_Finance[Job Number],$A88),"")</f>
        <v/>
      </c>
      <c r="F88" s="62">
        <f>IFERROR(INDEX(tbl_Finance[Cost Centre],$A88),"")</f>
        <v/>
      </c>
      <c r="G88" s="63">
        <f>IFERROR(INDEX(tbl_Finance[Ex GST],$A88),"")</f>
        <v/>
      </c>
      <c r="H88" s="61">
        <f>IFERROR(INDEX(tbl_Finance[Defer Start],$A88),"")</f>
        <v/>
      </c>
      <c r="I88" s="61">
        <f>IFERROR(INDEX(tbl_Finance[Defer End],$A88),"")</f>
        <v/>
      </c>
      <c r="J88" s="60">
        <f>IF(OR($H88="",$I88="",$G88=""),"",MAX(1,(YEAR($I88)-YEAR($H88))*12+MONTH($I88)-MONTH($H88)+1))</f>
        <v/>
      </c>
      <c r="K88" s="63">
        <f>IF($J88="","",$G88/$J88)</f>
        <v/>
      </c>
      <c r="L88" s="63">
        <f>IF($J88="",0,$K88*MAX(0,MIN(YEAR($C$3)*12+MONTH($C$3),YEAR($I88)*12+MONTH($I88))-(YEAR($H88)*12+MONTH($H88))+1))</f>
        <v/>
      </c>
      <c r="M88" s="63">
        <f>IF($J88="",0,$K88*MAX(0,MIN(YEAR($C$3)*12+MONTH($C$3)-1,YEAR($I88)*12+MONTH($I88))-(YEAR($H88)*12+MONTH($H88))+1))</f>
        <v/>
      </c>
      <c r="N88" s="63">
        <f>IF(OR($J88="",$B88=""),0,IF(YEAR($B88)*12+MONTH($B88)&lt;=YEAR($C$3)*12+MONTH($C$3),$G88,0))</f>
        <v/>
      </c>
      <c r="O88" s="63">
        <f>IF(OR($J88="",$B88=""),0,IF(YEAR($B88)*12+MONTH($B88)&lt;=YEAR($C$3)*12+MONTH($C$3)-1,$G88,0))</f>
        <v/>
      </c>
      <c r="P88" s="63">
        <f>$M88-$O88</f>
        <v/>
      </c>
      <c r="Q88" s="63">
        <f>($L88-$M88)-($N88-$O88)</f>
        <v/>
      </c>
      <c r="R88" s="63">
        <f>$L88-$N88</f>
        <v/>
      </c>
    </row>
    <row r="89">
      <c r="A89" s="60">
        <f>ROW()-5</f>
        <v/>
      </c>
      <c r="B89" s="61">
        <f>IFERROR(INDEX(tbl_Finance[Date],$A89),"")</f>
        <v/>
      </c>
      <c r="C89" s="62">
        <f>IFERROR(INDEX(tbl_Finance[Xero Invoice No],$A89),"")</f>
        <v/>
      </c>
      <c r="D89" s="62">
        <f>IFERROR(INDEX(tbl_Finance[Client],$A89),"")</f>
        <v/>
      </c>
      <c r="E89" s="62">
        <f>IFERROR(INDEX(tbl_Finance[Job Number],$A89),"")</f>
        <v/>
      </c>
      <c r="F89" s="62">
        <f>IFERROR(INDEX(tbl_Finance[Cost Centre],$A89),"")</f>
        <v/>
      </c>
      <c r="G89" s="63">
        <f>IFERROR(INDEX(tbl_Finance[Ex GST],$A89),"")</f>
        <v/>
      </c>
      <c r="H89" s="61">
        <f>IFERROR(INDEX(tbl_Finance[Defer Start],$A89),"")</f>
        <v/>
      </c>
      <c r="I89" s="61">
        <f>IFERROR(INDEX(tbl_Finance[Defer End],$A89),"")</f>
        <v/>
      </c>
      <c r="J89" s="60">
        <f>IF(OR($H89="",$I89="",$G89=""),"",MAX(1,(YEAR($I89)-YEAR($H89))*12+MONTH($I89)-MONTH($H89)+1))</f>
        <v/>
      </c>
      <c r="K89" s="63">
        <f>IF($J89="","",$G89/$J89)</f>
        <v/>
      </c>
      <c r="L89" s="63">
        <f>IF($J89="",0,$K89*MAX(0,MIN(YEAR($C$3)*12+MONTH($C$3),YEAR($I89)*12+MONTH($I89))-(YEAR($H89)*12+MONTH($H89))+1))</f>
        <v/>
      </c>
      <c r="M89" s="63">
        <f>IF($J89="",0,$K89*MAX(0,MIN(YEAR($C$3)*12+MONTH($C$3)-1,YEAR($I89)*12+MONTH($I89))-(YEAR($H89)*12+MONTH($H89))+1))</f>
        <v/>
      </c>
      <c r="N89" s="63">
        <f>IF(OR($J89="",$B89=""),0,IF(YEAR($B89)*12+MONTH($B89)&lt;=YEAR($C$3)*12+MONTH($C$3),$G89,0))</f>
        <v/>
      </c>
      <c r="O89" s="63">
        <f>IF(OR($J89="",$B89=""),0,IF(YEAR($B89)*12+MONTH($B89)&lt;=YEAR($C$3)*12+MONTH($C$3)-1,$G89,0))</f>
        <v/>
      </c>
      <c r="P89" s="63">
        <f>$M89-$O89</f>
        <v/>
      </c>
      <c r="Q89" s="63">
        <f>($L89-$M89)-($N89-$O89)</f>
        <v/>
      </c>
      <c r="R89" s="63">
        <f>$L89-$N89</f>
        <v/>
      </c>
    </row>
    <row r="90">
      <c r="A90" s="60">
        <f>ROW()-5</f>
        <v/>
      </c>
      <c r="B90" s="61">
        <f>IFERROR(INDEX(tbl_Finance[Date],$A90),"")</f>
        <v/>
      </c>
      <c r="C90" s="62">
        <f>IFERROR(INDEX(tbl_Finance[Xero Invoice No],$A90),"")</f>
        <v/>
      </c>
      <c r="D90" s="62">
        <f>IFERROR(INDEX(tbl_Finance[Client],$A90),"")</f>
        <v/>
      </c>
      <c r="E90" s="62">
        <f>IFERROR(INDEX(tbl_Finance[Job Number],$A90),"")</f>
        <v/>
      </c>
      <c r="F90" s="62">
        <f>IFERROR(INDEX(tbl_Finance[Cost Centre],$A90),"")</f>
        <v/>
      </c>
      <c r="G90" s="63">
        <f>IFERROR(INDEX(tbl_Finance[Ex GST],$A90),"")</f>
        <v/>
      </c>
      <c r="H90" s="61">
        <f>IFERROR(INDEX(tbl_Finance[Defer Start],$A90),"")</f>
        <v/>
      </c>
      <c r="I90" s="61">
        <f>IFERROR(INDEX(tbl_Finance[Defer End],$A90),"")</f>
        <v/>
      </c>
      <c r="J90" s="60">
        <f>IF(OR($H90="",$I90="",$G90=""),"",MAX(1,(YEAR($I90)-YEAR($H90))*12+MONTH($I90)-MONTH($H90)+1))</f>
        <v/>
      </c>
      <c r="K90" s="63">
        <f>IF($J90="","",$G90/$J90)</f>
        <v/>
      </c>
      <c r="L90" s="63">
        <f>IF($J90="",0,$K90*MAX(0,MIN(YEAR($C$3)*12+MONTH($C$3),YEAR($I90)*12+MONTH($I90))-(YEAR($H90)*12+MONTH($H90))+1))</f>
        <v/>
      </c>
      <c r="M90" s="63">
        <f>IF($J90="",0,$K90*MAX(0,MIN(YEAR($C$3)*12+MONTH($C$3)-1,YEAR($I90)*12+MONTH($I90))-(YEAR($H90)*12+MONTH($H90))+1))</f>
        <v/>
      </c>
      <c r="N90" s="63">
        <f>IF(OR($J90="",$B90=""),0,IF(YEAR($B90)*12+MONTH($B90)&lt;=YEAR($C$3)*12+MONTH($C$3),$G90,0))</f>
        <v/>
      </c>
      <c r="O90" s="63">
        <f>IF(OR($J90="",$B90=""),0,IF(YEAR($B90)*12+MONTH($B90)&lt;=YEAR($C$3)*12+MONTH($C$3)-1,$G90,0))</f>
        <v/>
      </c>
      <c r="P90" s="63">
        <f>$M90-$O90</f>
        <v/>
      </c>
      <c r="Q90" s="63">
        <f>($L90-$M90)-($N90-$O90)</f>
        <v/>
      </c>
      <c r="R90" s="63">
        <f>$L90-$N90</f>
        <v/>
      </c>
    </row>
    <row r="91">
      <c r="A91" s="60">
        <f>ROW()-5</f>
        <v/>
      </c>
      <c r="B91" s="61">
        <f>IFERROR(INDEX(tbl_Finance[Date],$A91),"")</f>
        <v/>
      </c>
      <c r="C91" s="62">
        <f>IFERROR(INDEX(tbl_Finance[Xero Invoice No],$A91),"")</f>
        <v/>
      </c>
      <c r="D91" s="62">
        <f>IFERROR(INDEX(tbl_Finance[Client],$A91),"")</f>
        <v/>
      </c>
      <c r="E91" s="62">
        <f>IFERROR(INDEX(tbl_Finance[Job Number],$A91),"")</f>
        <v/>
      </c>
      <c r="F91" s="62">
        <f>IFERROR(INDEX(tbl_Finance[Cost Centre],$A91),"")</f>
        <v/>
      </c>
      <c r="G91" s="63">
        <f>IFERROR(INDEX(tbl_Finance[Ex GST],$A91),"")</f>
        <v/>
      </c>
      <c r="H91" s="61">
        <f>IFERROR(INDEX(tbl_Finance[Defer Start],$A91),"")</f>
        <v/>
      </c>
      <c r="I91" s="61">
        <f>IFERROR(INDEX(tbl_Finance[Defer End],$A91),"")</f>
        <v/>
      </c>
      <c r="J91" s="60">
        <f>IF(OR($H91="",$I91="",$G91=""),"",MAX(1,(YEAR($I91)-YEAR($H91))*12+MONTH($I91)-MONTH($H91)+1))</f>
        <v/>
      </c>
      <c r="K91" s="63">
        <f>IF($J91="","",$G91/$J91)</f>
        <v/>
      </c>
      <c r="L91" s="63">
        <f>IF($J91="",0,$K91*MAX(0,MIN(YEAR($C$3)*12+MONTH($C$3),YEAR($I91)*12+MONTH($I91))-(YEAR($H91)*12+MONTH($H91))+1))</f>
        <v/>
      </c>
      <c r="M91" s="63">
        <f>IF($J91="",0,$K91*MAX(0,MIN(YEAR($C$3)*12+MONTH($C$3)-1,YEAR($I91)*12+MONTH($I91))-(YEAR($H91)*12+MONTH($H91))+1))</f>
        <v/>
      </c>
      <c r="N91" s="63">
        <f>IF(OR($J91="",$B91=""),0,IF(YEAR($B91)*12+MONTH($B91)&lt;=YEAR($C$3)*12+MONTH($C$3),$G91,0))</f>
        <v/>
      </c>
      <c r="O91" s="63">
        <f>IF(OR($J91="",$B91=""),0,IF(YEAR($B91)*12+MONTH($B91)&lt;=YEAR($C$3)*12+MONTH($C$3)-1,$G91,0))</f>
        <v/>
      </c>
      <c r="P91" s="63">
        <f>$M91-$O91</f>
        <v/>
      </c>
      <c r="Q91" s="63">
        <f>($L91-$M91)-($N91-$O91)</f>
        <v/>
      </c>
      <c r="R91" s="63">
        <f>$L91-$N91</f>
        <v/>
      </c>
    </row>
    <row r="92">
      <c r="A92" s="60">
        <f>ROW()-5</f>
        <v/>
      </c>
      <c r="B92" s="61">
        <f>IFERROR(INDEX(tbl_Finance[Date],$A92),"")</f>
        <v/>
      </c>
      <c r="C92" s="62">
        <f>IFERROR(INDEX(tbl_Finance[Xero Invoice No],$A92),"")</f>
        <v/>
      </c>
      <c r="D92" s="62">
        <f>IFERROR(INDEX(tbl_Finance[Client],$A92),"")</f>
        <v/>
      </c>
      <c r="E92" s="62">
        <f>IFERROR(INDEX(tbl_Finance[Job Number],$A92),"")</f>
        <v/>
      </c>
      <c r="F92" s="62">
        <f>IFERROR(INDEX(tbl_Finance[Cost Centre],$A92),"")</f>
        <v/>
      </c>
      <c r="G92" s="63">
        <f>IFERROR(INDEX(tbl_Finance[Ex GST],$A92),"")</f>
        <v/>
      </c>
      <c r="H92" s="61">
        <f>IFERROR(INDEX(tbl_Finance[Defer Start],$A92),"")</f>
        <v/>
      </c>
      <c r="I92" s="61">
        <f>IFERROR(INDEX(tbl_Finance[Defer End],$A92),"")</f>
        <v/>
      </c>
      <c r="J92" s="60">
        <f>IF(OR($H92="",$I92="",$G92=""),"",MAX(1,(YEAR($I92)-YEAR($H92))*12+MONTH($I92)-MONTH($H92)+1))</f>
        <v/>
      </c>
      <c r="K92" s="63">
        <f>IF($J92="","",$G92/$J92)</f>
        <v/>
      </c>
      <c r="L92" s="63">
        <f>IF($J92="",0,$K92*MAX(0,MIN(YEAR($C$3)*12+MONTH($C$3),YEAR($I92)*12+MONTH($I92))-(YEAR($H92)*12+MONTH($H92))+1))</f>
        <v/>
      </c>
      <c r="M92" s="63">
        <f>IF($J92="",0,$K92*MAX(0,MIN(YEAR($C$3)*12+MONTH($C$3)-1,YEAR($I92)*12+MONTH($I92))-(YEAR($H92)*12+MONTH($H92))+1))</f>
        <v/>
      </c>
      <c r="N92" s="63">
        <f>IF(OR($J92="",$B92=""),0,IF(YEAR($B92)*12+MONTH($B92)&lt;=YEAR($C$3)*12+MONTH($C$3),$G92,0))</f>
        <v/>
      </c>
      <c r="O92" s="63">
        <f>IF(OR($J92="",$B92=""),0,IF(YEAR($B92)*12+MONTH($B92)&lt;=YEAR($C$3)*12+MONTH($C$3)-1,$G92,0))</f>
        <v/>
      </c>
      <c r="P92" s="63">
        <f>$M92-$O92</f>
        <v/>
      </c>
      <c r="Q92" s="63">
        <f>($L92-$M92)-($N92-$O92)</f>
        <v/>
      </c>
      <c r="R92" s="63">
        <f>$L92-$N92</f>
        <v/>
      </c>
    </row>
    <row r="93">
      <c r="A93" s="60">
        <f>ROW()-5</f>
        <v/>
      </c>
      <c r="B93" s="61">
        <f>IFERROR(INDEX(tbl_Finance[Date],$A93),"")</f>
        <v/>
      </c>
      <c r="C93" s="62">
        <f>IFERROR(INDEX(tbl_Finance[Xero Invoice No],$A93),"")</f>
        <v/>
      </c>
      <c r="D93" s="62">
        <f>IFERROR(INDEX(tbl_Finance[Client],$A93),"")</f>
        <v/>
      </c>
      <c r="E93" s="62">
        <f>IFERROR(INDEX(tbl_Finance[Job Number],$A93),"")</f>
        <v/>
      </c>
      <c r="F93" s="62">
        <f>IFERROR(INDEX(tbl_Finance[Cost Centre],$A93),"")</f>
        <v/>
      </c>
      <c r="G93" s="63">
        <f>IFERROR(INDEX(tbl_Finance[Ex GST],$A93),"")</f>
        <v/>
      </c>
      <c r="H93" s="61">
        <f>IFERROR(INDEX(tbl_Finance[Defer Start],$A93),"")</f>
        <v/>
      </c>
      <c r="I93" s="61">
        <f>IFERROR(INDEX(tbl_Finance[Defer End],$A93),"")</f>
        <v/>
      </c>
      <c r="J93" s="60">
        <f>IF(OR($H93="",$I93="",$G93=""),"",MAX(1,(YEAR($I93)-YEAR($H93))*12+MONTH($I93)-MONTH($H93)+1))</f>
        <v/>
      </c>
      <c r="K93" s="63">
        <f>IF($J93="","",$G93/$J93)</f>
        <v/>
      </c>
      <c r="L93" s="63">
        <f>IF($J93="",0,$K93*MAX(0,MIN(YEAR($C$3)*12+MONTH($C$3),YEAR($I93)*12+MONTH($I93))-(YEAR($H93)*12+MONTH($H93))+1))</f>
        <v/>
      </c>
      <c r="M93" s="63">
        <f>IF($J93="",0,$K93*MAX(0,MIN(YEAR($C$3)*12+MONTH($C$3)-1,YEAR($I93)*12+MONTH($I93))-(YEAR($H93)*12+MONTH($H93))+1))</f>
        <v/>
      </c>
      <c r="N93" s="63">
        <f>IF(OR($J93="",$B93=""),0,IF(YEAR($B93)*12+MONTH($B93)&lt;=YEAR($C$3)*12+MONTH($C$3),$G93,0))</f>
        <v/>
      </c>
      <c r="O93" s="63">
        <f>IF(OR($J93="",$B93=""),0,IF(YEAR($B93)*12+MONTH($B93)&lt;=YEAR($C$3)*12+MONTH($C$3)-1,$G93,0))</f>
        <v/>
      </c>
      <c r="P93" s="63">
        <f>$M93-$O93</f>
        <v/>
      </c>
      <c r="Q93" s="63">
        <f>($L93-$M93)-($N93-$O93)</f>
        <v/>
      </c>
      <c r="R93" s="63">
        <f>$L93-$N93</f>
        <v/>
      </c>
    </row>
    <row r="94">
      <c r="A94" s="60">
        <f>ROW()-5</f>
        <v/>
      </c>
      <c r="B94" s="61">
        <f>IFERROR(INDEX(tbl_Finance[Date],$A94),"")</f>
        <v/>
      </c>
      <c r="C94" s="62">
        <f>IFERROR(INDEX(tbl_Finance[Xero Invoice No],$A94),"")</f>
        <v/>
      </c>
      <c r="D94" s="62">
        <f>IFERROR(INDEX(tbl_Finance[Client],$A94),"")</f>
        <v/>
      </c>
      <c r="E94" s="62">
        <f>IFERROR(INDEX(tbl_Finance[Job Number],$A94),"")</f>
        <v/>
      </c>
      <c r="F94" s="62">
        <f>IFERROR(INDEX(tbl_Finance[Cost Centre],$A94),"")</f>
        <v/>
      </c>
      <c r="G94" s="63">
        <f>IFERROR(INDEX(tbl_Finance[Ex GST],$A94),"")</f>
        <v/>
      </c>
      <c r="H94" s="61">
        <f>IFERROR(INDEX(tbl_Finance[Defer Start],$A94),"")</f>
        <v/>
      </c>
      <c r="I94" s="61">
        <f>IFERROR(INDEX(tbl_Finance[Defer End],$A94),"")</f>
        <v/>
      </c>
      <c r="J94" s="60">
        <f>IF(OR($H94="",$I94="",$G94=""),"",MAX(1,(YEAR($I94)-YEAR($H94))*12+MONTH($I94)-MONTH($H94)+1))</f>
        <v/>
      </c>
      <c r="K94" s="63">
        <f>IF($J94="","",$G94/$J94)</f>
        <v/>
      </c>
      <c r="L94" s="63">
        <f>IF($J94="",0,$K94*MAX(0,MIN(YEAR($C$3)*12+MONTH($C$3),YEAR($I94)*12+MONTH($I94))-(YEAR($H94)*12+MONTH($H94))+1))</f>
        <v/>
      </c>
      <c r="M94" s="63">
        <f>IF($J94="",0,$K94*MAX(0,MIN(YEAR($C$3)*12+MONTH($C$3)-1,YEAR($I94)*12+MONTH($I94))-(YEAR($H94)*12+MONTH($H94))+1))</f>
        <v/>
      </c>
      <c r="N94" s="63">
        <f>IF(OR($J94="",$B94=""),0,IF(YEAR($B94)*12+MONTH($B94)&lt;=YEAR($C$3)*12+MONTH($C$3),$G94,0))</f>
        <v/>
      </c>
      <c r="O94" s="63">
        <f>IF(OR($J94="",$B94=""),0,IF(YEAR($B94)*12+MONTH($B94)&lt;=YEAR($C$3)*12+MONTH($C$3)-1,$G94,0))</f>
        <v/>
      </c>
      <c r="P94" s="63">
        <f>$M94-$O94</f>
        <v/>
      </c>
      <c r="Q94" s="63">
        <f>($L94-$M94)-($N94-$O94)</f>
        <v/>
      </c>
      <c r="R94" s="63">
        <f>$L94-$N94</f>
        <v/>
      </c>
    </row>
    <row r="95">
      <c r="A95" s="60">
        <f>ROW()-5</f>
        <v/>
      </c>
      <c r="B95" s="61">
        <f>IFERROR(INDEX(tbl_Finance[Date],$A95),"")</f>
        <v/>
      </c>
      <c r="C95" s="62">
        <f>IFERROR(INDEX(tbl_Finance[Xero Invoice No],$A95),"")</f>
        <v/>
      </c>
      <c r="D95" s="62">
        <f>IFERROR(INDEX(tbl_Finance[Client],$A95),"")</f>
        <v/>
      </c>
      <c r="E95" s="62">
        <f>IFERROR(INDEX(tbl_Finance[Job Number],$A95),"")</f>
        <v/>
      </c>
      <c r="F95" s="62">
        <f>IFERROR(INDEX(tbl_Finance[Cost Centre],$A95),"")</f>
        <v/>
      </c>
      <c r="G95" s="63">
        <f>IFERROR(INDEX(tbl_Finance[Ex GST],$A95),"")</f>
        <v/>
      </c>
      <c r="H95" s="61">
        <f>IFERROR(INDEX(tbl_Finance[Defer Start],$A95),"")</f>
        <v/>
      </c>
      <c r="I95" s="61">
        <f>IFERROR(INDEX(tbl_Finance[Defer End],$A95),"")</f>
        <v/>
      </c>
      <c r="J95" s="60">
        <f>IF(OR($H95="",$I95="",$G95=""),"",MAX(1,(YEAR($I95)-YEAR($H95))*12+MONTH($I95)-MONTH($H95)+1))</f>
        <v/>
      </c>
      <c r="K95" s="63">
        <f>IF($J95="","",$G95/$J95)</f>
        <v/>
      </c>
      <c r="L95" s="63">
        <f>IF($J95="",0,$K95*MAX(0,MIN(YEAR($C$3)*12+MONTH($C$3),YEAR($I95)*12+MONTH($I95))-(YEAR($H95)*12+MONTH($H95))+1))</f>
        <v/>
      </c>
      <c r="M95" s="63">
        <f>IF($J95="",0,$K95*MAX(0,MIN(YEAR($C$3)*12+MONTH($C$3)-1,YEAR($I95)*12+MONTH($I95))-(YEAR($H95)*12+MONTH($H95))+1))</f>
        <v/>
      </c>
      <c r="N95" s="63">
        <f>IF(OR($J95="",$B95=""),0,IF(YEAR($B95)*12+MONTH($B95)&lt;=YEAR($C$3)*12+MONTH($C$3),$G95,0))</f>
        <v/>
      </c>
      <c r="O95" s="63">
        <f>IF(OR($J95="",$B95=""),0,IF(YEAR($B95)*12+MONTH($B95)&lt;=YEAR($C$3)*12+MONTH($C$3)-1,$G95,0))</f>
        <v/>
      </c>
      <c r="P95" s="63">
        <f>$M95-$O95</f>
        <v/>
      </c>
      <c r="Q95" s="63">
        <f>($L95-$M95)-($N95-$O95)</f>
        <v/>
      </c>
      <c r="R95" s="63">
        <f>$L95-$N95</f>
        <v/>
      </c>
    </row>
    <row r="96">
      <c r="A96" s="60">
        <f>ROW()-5</f>
        <v/>
      </c>
      <c r="B96" s="61">
        <f>IFERROR(INDEX(tbl_Finance[Date],$A96),"")</f>
        <v/>
      </c>
      <c r="C96" s="62">
        <f>IFERROR(INDEX(tbl_Finance[Xero Invoice No],$A96),"")</f>
        <v/>
      </c>
      <c r="D96" s="62">
        <f>IFERROR(INDEX(tbl_Finance[Client],$A96),"")</f>
        <v/>
      </c>
      <c r="E96" s="62">
        <f>IFERROR(INDEX(tbl_Finance[Job Number],$A96),"")</f>
        <v/>
      </c>
      <c r="F96" s="62">
        <f>IFERROR(INDEX(tbl_Finance[Cost Centre],$A96),"")</f>
        <v/>
      </c>
      <c r="G96" s="63">
        <f>IFERROR(INDEX(tbl_Finance[Ex GST],$A96),"")</f>
        <v/>
      </c>
      <c r="H96" s="61">
        <f>IFERROR(INDEX(tbl_Finance[Defer Start],$A96),"")</f>
        <v/>
      </c>
      <c r="I96" s="61">
        <f>IFERROR(INDEX(tbl_Finance[Defer End],$A96),"")</f>
        <v/>
      </c>
      <c r="J96" s="60">
        <f>IF(OR($H96="",$I96="",$G96=""),"",MAX(1,(YEAR($I96)-YEAR($H96))*12+MONTH($I96)-MONTH($H96)+1))</f>
        <v/>
      </c>
      <c r="K96" s="63">
        <f>IF($J96="","",$G96/$J96)</f>
        <v/>
      </c>
      <c r="L96" s="63">
        <f>IF($J96="",0,$K96*MAX(0,MIN(YEAR($C$3)*12+MONTH($C$3),YEAR($I96)*12+MONTH($I96))-(YEAR($H96)*12+MONTH($H96))+1))</f>
        <v/>
      </c>
      <c r="M96" s="63">
        <f>IF($J96="",0,$K96*MAX(0,MIN(YEAR($C$3)*12+MONTH($C$3)-1,YEAR($I96)*12+MONTH($I96))-(YEAR($H96)*12+MONTH($H96))+1))</f>
        <v/>
      </c>
      <c r="N96" s="63">
        <f>IF(OR($J96="",$B96=""),0,IF(YEAR($B96)*12+MONTH($B96)&lt;=YEAR($C$3)*12+MONTH($C$3),$G96,0))</f>
        <v/>
      </c>
      <c r="O96" s="63">
        <f>IF(OR($J96="",$B96=""),0,IF(YEAR($B96)*12+MONTH($B96)&lt;=YEAR($C$3)*12+MONTH($C$3)-1,$G96,0))</f>
        <v/>
      </c>
      <c r="P96" s="63">
        <f>$M96-$O96</f>
        <v/>
      </c>
      <c r="Q96" s="63">
        <f>($L96-$M96)-($N96-$O96)</f>
        <v/>
      </c>
      <c r="R96" s="63">
        <f>$L96-$N96</f>
        <v/>
      </c>
    </row>
    <row r="97">
      <c r="A97" s="60">
        <f>ROW()-5</f>
        <v/>
      </c>
      <c r="B97" s="61">
        <f>IFERROR(INDEX(tbl_Finance[Date],$A97),"")</f>
        <v/>
      </c>
      <c r="C97" s="62">
        <f>IFERROR(INDEX(tbl_Finance[Xero Invoice No],$A97),"")</f>
        <v/>
      </c>
      <c r="D97" s="62">
        <f>IFERROR(INDEX(tbl_Finance[Client],$A97),"")</f>
        <v/>
      </c>
      <c r="E97" s="62">
        <f>IFERROR(INDEX(tbl_Finance[Job Number],$A97),"")</f>
        <v/>
      </c>
      <c r="F97" s="62">
        <f>IFERROR(INDEX(tbl_Finance[Cost Centre],$A97),"")</f>
        <v/>
      </c>
      <c r="G97" s="63">
        <f>IFERROR(INDEX(tbl_Finance[Ex GST],$A97),"")</f>
        <v/>
      </c>
      <c r="H97" s="61">
        <f>IFERROR(INDEX(tbl_Finance[Defer Start],$A97),"")</f>
        <v/>
      </c>
      <c r="I97" s="61">
        <f>IFERROR(INDEX(tbl_Finance[Defer End],$A97),"")</f>
        <v/>
      </c>
      <c r="J97" s="60">
        <f>IF(OR($H97="",$I97="",$G97=""),"",MAX(1,(YEAR($I97)-YEAR($H97))*12+MONTH($I97)-MONTH($H97)+1))</f>
        <v/>
      </c>
      <c r="K97" s="63">
        <f>IF($J97="","",$G97/$J97)</f>
        <v/>
      </c>
      <c r="L97" s="63">
        <f>IF($J97="",0,$K97*MAX(0,MIN(YEAR($C$3)*12+MONTH($C$3),YEAR($I97)*12+MONTH($I97))-(YEAR($H97)*12+MONTH($H97))+1))</f>
        <v/>
      </c>
      <c r="M97" s="63">
        <f>IF($J97="",0,$K97*MAX(0,MIN(YEAR($C$3)*12+MONTH($C$3)-1,YEAR($I97)*12+MONTH($I97))-(YEAR($H97)*12+MONTH($H97))+1))</f>
        <v/>
      </c>
      <c r="N97" s="63">
        <f>IF(OR($J97="",$B97=""),0,IF(YEAR($B97)*12+MONTH($B97)&lt;=YEAR($C$3)*12+MONTH($C$3),$G97,0))</f>
        <v/>
      </c>
      <c r="O97" s="63">
        <f>IF(OR($J97="",$B97=""),0,IF(YEAR($B97)*12+MONTH($B97)&lt;=YEAR($C$3)*12+MONTH($C$3)-1,$G97,0))</f>
        <v/>
      </c>
      <c r="P97" s="63">
        <f>$M97-$O97</f>
        <v/>
      </c>
      <c r="Q97" s="63">
        <f>($L97-$M97)-($N97-$O97)</f>
        <v/>
      </c>
      <c r="R97" s="63">
        <f>$L97-$N97</f>
        <v/>
      </c>
    </row>
    <row r="98">
      <c r="A98" s="60">
        <f>ROW()-5</f>
        <v/>
      </c>
      <c r="B98" s="61">
        <f>IFERROR(INDEX(tbl_Finance[Date],$A98),"")</f>
        <v/>
      </c>
      <c r="C98" s="62">
        <f>IFERROR(INDEX(tbl_Finance[Xero Invoice No],$A98),"")</f>
        <v/>
      </c>
      <c r="D98" s="62">
        <f>IFERROR(INDEX(tbl_Finance[Client],$A98),"")</f>
        <v/>
      </c>
      <c r="E98" s="62">
        <f>IFERROR(INDEX(tbl_Finance[Job Number],$A98),"")</f>
        <v/>
      </c>
      <c r="F98" s="62">
        <f>IFERROR(INDEX(tbl_Finance[Cost Centre],$A98),"")</f>
        <v/>
      </c>
      <c r="G98" s="63">
        <f>IFERROR(INDEX(tbl_Finance[Ex GST],$A98),"")</f>
        <v/>
      </c>
      <c r="H98" s="61">
        <f>IFERROR(INDEX(tbl_Finance[Defer Start],$A98),"")</f>
        <v/>
      </c>
      <c r="I98" s="61">
        <f>IFERROR(INDEX(tbl_Finance[Defer End],$A98),"")</f>
        <v/>
      </c>
      <c r="J98" s="60">
        <f>IF(OR($H98="",$I98="",$G98=""),"",MAX(1,(YEAR($I98)-YEAR($H98))*12+MONTH($I98)-MONTH($H98)+1))</f>
        <v/>
      </c>
      <c r="K98" s="63">
        <f>IF($J98="","",$G98/$J98)</f>
        <v/>
      </c>
      <c r="L98" s="63">
        <f>IF($J98="",0,$K98*MAX(0,MIN(YEAR($C$3)*12+MONTH($C$3),YEAR($I98)*12+MONTH($I98))-(YEAR($H98)*12+MONTH($H98))+1))</f>
        <v/>
      </c>
      <c r="M98" s="63">
        <f>IF($J98="",0,$K98*MAX(0,MIN(YEAR($C$3)*12+MONTH($C$3)-1,YEAR($I98)*12+MONTH($I98))-(YEAR($H98)*12+MONTH($H98))+1))</f>
        <v/>
      </c>
      <c r="N98" s="63">
        <f>IF(OR($J98="",$B98=""),0,IF(YEAR($B98)*12+MONTH($B98)&lt;=YEAR($C$3)*12+MONTH($C$3),$G98,0))</f>
        <v/>
      </c>
      <c r="O98" s="63">
        <f>IF(OR($J98="",$B98=""),0,IF(YEAR($B98)*12+MONTH($B98)&lt;=YEAR($C$3)*12+MONTH($C$3)-1,$G98,0))</f>
        <v/>
      </c>
      <c r="P98" s="63">
        <f>$M98-$O98</f>
        <v/>
      </c>
      <c r="Q98" s="63">
        <f>($L98-$M98)-($N98-$O98)</f>
        <v/>
      </c>
      <c r="R98" s="63">
        <f>$L98-$N98</f>
        <v/>
      </c>
    </row>
    <row r="99">
      <c r="A99" s="60">
        <f>ROW()-5</f>
        <v/>
      </c>
      <c r="B99" s="61">
        <f>IFERROR(INDEX(tbl_Finance[Date],$A99),"")</f>
        <v/>
      </c>
      <c r="C99" s="62">
        <f>IFERROR(INDEX(tbl_Finance[Xero Invoice No],$A99),"")</f>
        <v/>
      </c>
      <c r="D99" s="62">
        <f>IFERROR(INDEX(tbl_Finance[Client],$A99),"")</f>
        <v/>
      </c>
      <c r="E99" s="62">
        <f>IFERROR(INDEX(tbl_Finance[Job Number],$A99),"")</f>
        <v/>
      </c>
      <c r="F99" s="62">
        <f>IFERROR(INDEX(tbl_Finance[Cost Centre],$A99),"")</f>
        <v/>
      </c>
      <c r="G99" s="63">
        <f>IFERROR(INDEX(tbl_Finance[Ex GST],$A99),"")</f>
        <v/>
      </c>
      <c r="H99" s="61">
        <f>IFERROR(INDEX(tbl_Finance[Defer Start],$A99),"")</f>
        <v/>
      </c>
      <c r="I99" s="61">
        <f>IFERROR(INDEX(tbl_Finance[Defer End],$A99),"")</f>
        <v/>
      </c>
      <c r="J99" s="60">
        <f>IF(OR($H99="",$I99="",$G99=""),"",MAX(1,(YEAR($I99)-YEAR($H99))*12+MONTH($I99)-MONTH($H99)+1))</f>
        <v/>
      </c>
      <c r="K99" s="63">
        <f>IF($J99="","",$G99/$J99)</f>
        <v/>
      </c>
      <c r="L99" s="63">
        <f>IF($J99="",0,$K99*MAX(0,MIN(YEAR($C$3)*12+MONTH($C$3),YEAR($I99)*12+MONTH($I99))-(YEAR($H99)*12+MONTH($H99))+1))</f>
        <v/>
      </c>
      <c r="M99" s="63">
        <f>IF($J99="",0,$K99*MAX(0,MIN(YEAR($C$3)*12+MONTH($C$3)-1,YEAR($I99)*12+MONTH($I99))-(YEAR($H99)*12+MONTH($H99))+1))</f>
        <v/>
      </c>
      <c r="N99" s="63">
        <f>IF(OR($J99="",$B99=""),0,IF(YEAR($B99)*12+MONTH($B99)&lt;=YEAR($C$3)*12+MONTH($C$3),$G99,0))</f>
        <v/>
      </c>
      <c r="O99" s="63">
        <f>IF(OR($J99="",$B99=""),0,IF(YEAR($B99)*12+MONTH($B99)&lt;=YEAR($C$3)*12+MONTH($C$3)-1,$G99,0))</f>
        <v/>
      </c>
      <c r="P99" s="63">
        <f>$M99-$O99</f>
        <v/>
      </c>
      <c r="Q99" s="63">
        <f>($L99-$M99)-($N99-$O99)</f>
        <v/>
      </c>
      <c r="R99" s="63">
        <f>$L99-$N99</f>
        <v/>
      </c>
    </row>
    <row r="100">
      <c r="A100" s="60">
        <f>ROW()-5</f>
        <v/>
      </c>
      <c r="B100" s="61">
        <f>IFERROR(INDEX(tbl_Finance[Date],$A100),"")</f>
        <v/>
      </c>
      <c r="C100" s="62">
        <f>IFERROR(INDEX(tbl_Finance[Xero Invoice No],$A100),"")</f>
        <v/>
      </c>
      <c r="D100" s="62">
        <f>IFERROR(INDEX(tbl_Finance[Client],$A100),"")</f>
        <v/>
      </c>
      <c r="E100" s="62">
        <f>IFERROR(INDEX(tbl_Finance[Job Number],$A100),"")</f>
        <v/>
      </c>
      <c r="F100" s="62">
        <f>IFERROR(INDEX(tbl_Finance[Cost Centre],$A100),"")</f>
        <v/>
      </c>
      <c r="G100" s="63">
        <f>IFERROR(INDEX(tbl_Finance[Ex GST],$A100),"")</f>
        <v/>
      </c>
      <c r="H100" s="61">
        <f>IFERROR(INDEX(tbl_Finance[Defer Start],$A100),"")</f>
        <v/>
      </c>
      <c r="I100" s="61">
        <f>IFERROR(INDEX(tbl_Finance[Defer End],$A100),"")</f>
        <v/>
      </c>
      <c r="J100" s="60">
        <f>IF(OR($H100="",$I100="",$G100=""),"",MAX(1,(YEAR($I100)-YEAR($H100))*12+MONTH($I100)-MONTH($H100)+1))</f>
        <v/>
      </c>
      <c r="K100" s="63">
        <f>IF($J100="","",$G100/$J100)</f>
        <v/>
      </c>
      <c r="L100" s="63">
        <f>IF($J100="",0,$K100*MAX(0,MIN(YEAR($C$3)*12+MONTH($C$3),YEAR($I100)*12+MONTH($I100))-(YEAR($H100)*12+MONTH($H100))+1))</f>
        <v/>
      </c>
      <c r="M100" s="63">
        <f>IF($J100="",0,$K100*MAX(0,MIN(YEAR($C$3)*12+MONTH($C$3)-1,YEAR($I100)*12+MONTH($I100))-(YEAR($H100)*12+MONTH($H100))+1))</f>
        <v/>
      </c>
      <c r="N100" s="63">
        <f>IF(OR($J100="",$B100=""),0,IF(YEAR($B100)*12+MONTH($B100)&lt;=YEAR($C$3)*12+MONTH($C$3),$G100,0))</f>
        <v/>
      </c>
      <c r="O100" s="63">
        <f>IF(OR($J100="",$B100=""),0,IF(YEAR($B100)*12+MONTH($B100)&lt;=YEAR($C$3)*12+MONTH($C$3)-1,$G100,0))</f>
        <v/>
      </c>
      <c r="P100" s="63">
        <f>$M100-$O100</f>
        <v/>
      </c>
      <c r="Q100" s="63">
        <f>($L100-$M100)-($N100-$O100)</f>
        <v/>
      </c>
      <c r="R100" s="63">
        <f>$L100-$N100</f>
        <v/>
      </c>
    </row>
    <row r="101">
      <c r="A101" s="60">
        <f>ROW()-5</f>
        <v/>
      </c>
      <c r="B101" s="61">
        <f>IFERROR(INDEX(tbl_Finance[Date],$A101),"")</f>
        <v/>
      </c>
      <c r="C101" s="62">
        <f>IFERROR(INDEX(tbl_Finance[Xero Invoice No],$A101),"")</f>
        <v/>
      </c>
      <c r="D101" s="62">
        <f>IFERROR(INDEX(tbl_Finance[Client],$A101),"")</f>
        <v/>
      </c>
      <c r="E101" s="62">
        <f>IFERROR(INDEX(tbl_Finance[Job Number],$A101),"")</f>
        <v/>
      </c>
      <c r="F101" s="62">
        <f>IFERROR(INDEX(tbl_Finance[Cost Centre],$A101),"")</f>
        <v/>
      </c>
      <c r="G101" s="63">
        <f>IFERROR(INDEX(tbl_Finance[Ex GST],$A101),"")</f>
        <v/>
      </c>
      <c r="H101" s="61">
        <f>IFERROR(INDEX(tbl_Finance[Defer Start],$A101),"")</f>
        <v/>
      </c>
      <c r="I101" s="61">
        <f>IFERROR(INDEX(tbl_Finance[Defer End],$A101),"")</f>
        <v/>
      </c>
      <c r="J101" s="60">
        <f>IF(OR($H101="",$I101="",$G101=""),"",MAX(1,(YEAR($I101)-YEAR($H101))*12+MONTH($I101)-MONTH($H101)+1))</f>
        <v/>
      </c>
      <c r="K101" s="63">
        <f>IF($J101="","",$G101/$J101)</f>
        <v/>
      </c>
      <c r="L101" s="63">
        <f>IF($J101="",0,$K101*MAX(0,MIN(YEAR($C$3)*12+MONTH($C$3),YEAR($I101)*12+MONTH($I101))-(YEAR($H101)*12+MONTH($H101))+1))</f>
        <v/>
      </c>
      <c r="M101" s="63">
        <f>IF($J101="",0,$K101*MAX(0,MIN(YEAR($C$3)*12+MONTH($C$3)-1,YEAR($I101)*12+MONTH($I101))-(YEAR($H101)*12+MONTH($H101))+1))</f>
        <v/>
      </c>
      <c r="N101" s="63">
        <f>IF(OR($J101="",$B101=""),0,IF(YEAR($B101)*12+MONTH($B101)&lt;=YEAR($C$3)*12+MONTH($C$3),$G101,0))</f>
        <v/>
      </c>
      <c r="O101" s="63">
        <f>IF(OR($J101="",$B101=""),0,IF(YEAR($B101)*12+MONTH($B101)&lt;=YEAR($C$3)*12+MONTH($C$3)-1,$G101,0))</f>
        <v/>
      </c>
      <c r="P101" s="63">
        <f>$M101-$O101</f>
        <v/>
      </c>
      <c r="Q101" s="63">
        <f>($L101-$M101)-($N101-$O101)</f>
        <v/>
      </c>
      <c r="R101" s="63">
        <f>$L101-$N101</f>
        <v/>
      </c>
    </row>
    <row r="102">
      <c r="A102" s="60">
        <f>ROW()-5</f>
        <v/>
      </c>
      <c r="B102" s="61">
        <f>IFERROR(INDEX(tbl_Finance[Date],$A102),"")</f>
        <v/>
      </c>
      <c r="C102" s="62">
        <f>IFERROR(INDEX(tbl_Finance[Xero Invoice No],$A102),"")</f>
        <v/>
      </c>
      <c r="D102" s="62">
        <f>IFERROR(INDEX(tbl_Finance[Client],$A102),"")</f>
        <v/>
      </c>
      <c r="E102" s="62">
        <f>IFERROR(INDEX(tbl_Finance[Job Number],$A102),"")</f>
        <v/>
      </c>
      <c r="F102" s="62">
        <f>IFERROR(INDEX(tbl_Finance[Cost Centre],$A102),"")</f>
        <v/>
      </c>
      <c r="G102" s="63">
        <f>IFERROR(INDEX(tbl_Finance[Ex GST],$A102),"")</f>
        <v/>
      </c>
      <c r="H102" s="61">
        <f>IFERROR(INDEX(tbl_Finance[Defer Start],$A102),"")</f>
        <v/>
      </c>
      <c r="I102" s="61">
        <f>IFERROR(INDEX(tbl_Finance[Defer End],$A102),"")</f>
        <v/>
      </c>
      <c r="J102" s="60">
        <f>IF(OR($H102="",$I102="",$G102=""),"",MAX(1,(YEAR($I102)-YEAR($H102))*12+MONTH($I102)-MONTH($H102)+1))</f>
        <v/>
      </c>
      <c r="K102" s="63">
        <f>IF($J102="","",$G102/$J102)</f>
        <v/>
      </c>
      <c r="L102" s="63">
        <f>IF($J102="",0,$K102*MAX(0,MIN(YEAR($C$3)*12+MONTH($C$3),YEAR($I102)*12+MONTH($I102))-(YEAR($H102)*12+MONTH($H102))+1))</f>
        <v/>
      </c>
      <c r="M102" s="63">
        <f>IF($J102="",0,$K102*MAX(0,MIN(YEAR($C$3)*12+MONTH($C$3)-1,YEAR($I102)*12+MONTH($I102))-(YEAR($H102)*12+MONTH($H102))+1))</f>
        <v/>
      </c>
      <c r="N102" s="63">
        <f>IF(OR($J102="",$B102=""),0,IF(YEAR($B102)*12+MONTH($B102)&lt;=YEAR($C$3)*12+MONTH($C$3),$G102,0))</f>
        <v/>
      </c>
      <c r="O102" s="63">
        <f>IF(OR($J102="",$B102=""),0,IF(YEAR($B102)*12+MONTH($B102)&lt;=YEAR($C$3)*12+MONTH($C$3)-1,$G102,0))</f>
        <v/>
      </c>
      <c r="P102" s="63">
        <f>$M102-$O102</f>
        <v/>
      </c>
      <c r="Q102" s="63">
        <f>($L102-$M102)-($N102-$O102)</f>
        <v/>
      </c>
      <c r="R102" s="63">
        <f>$L102-$N102</f>
        <v/>
      </c>
    </row>
    <row r="103">
      <c r="A103" s="60">
        <f>ROW()-5</f>
        <v/>
      </c>
      <c r="B103" s="61">
        <f>IFERROR(INDEX(tbl_Finance[Date],$A103),"")</f>
        <v/>
      </c>
      <c r="C103" s="62">
        <f>IFERROR(INDEX(tbl_Finance[Xero Invoice No],$A103),"")</f>
        <v/>
      </c>
      <c r="D103" s="62">
        <f>IFERROR(INDEX(tbl_Finance[Client],$A103),"")</f>
        <v/>
      </c>
      <c r="E103" s="62">
        <f>IFERROR(INDEX(tbl_Finance[Job Number],$A103),"")</f>
        <v/>
      </c>
      <c r="F103" s="62">
        <f>IFERROR(INDEX(tbl_Finance[Cost Centre],$A103),"")</f>
        <v/>
      </c>
      <c r="G103" s="63">
        <f>IFERROR(INDEX(tbl_Finance[Ex GST],$A103),"")</f>
        <v/>
      </c>
      <c r="H103" s="61">
        <f>IFERROR(INDEX(tbl_Finance[Defer Start],$A103),"")</f>
        <v/>
      </c>
      <c r="I103" s="61">
        <f>IFERROR(INDEX(tbl_Finance[Defer End],$A103),"")</f>
        <v/>
      </c>
      <c r="J103" s="60">
        <f>IF(OR($H103="",$I103="",$G103=""),"",MAX(1,(YEAR($I103)-YEAR($H103))*12+MONTH($I103)-MONTH($H103)+1))</f>
        <v/>
      </c>
      <c r="K103" s="63">
        <f>IF($J103="","",$G103/$J103)</f>
        <v/>
      </c>
      <c r="L103" s="63">
        <f>IF($J103="",0,$K103*MAX(0,MIN(YEAR($C$3)*12+MONTH($C$3),YEAR($I103)*12+MONTH($I103))-(YEAR($H103)*12+MONTH($H103))+1))</f>
        <v/>
      </c>
      <c r="M103" s="63">
        <f>IF($J103="",0,$K103*MAX(0,MIN(YEAR($C$3)*12+MONTH($C$3)-1,YEAR($I103)*12+MONTH($I103))-(YEAR($H103)*12+MONTH($H103))+1))</f>
        <v/>
      </c>
      <c r="N103" s="63">
        <f>IF(OR($J103="",$B103=""),0,IF(YEAR($B103)*12+MONTH($B103)&lt;=YEAR($C$3)*12+MONTH($C$3),$G103,0))</f>
        <v/>
      </c>
      <c r="O103" s="63">
        <f>IF(OR($J103="",$B103=""),0,IF(YEAR($B103)*12+MONTH($B103)&lt;=YEAR($C$3)*12+MONTH($C$3)-1,$G103,0))</f>
        <v/>
      </c>
      <c r="P103" s="63">
        <f>$M103-$O103</f>
        <v/>
      </c>
      <c r="Q103" s="63">
        <f>($L103-$M103)-($N103-$O103)</f>
        <v/>
      </c>
      <c r="R103" s="63">
        <f>$L103-$N103</f>
        <v/>
      </c>
    </row>
    <row r="104">
      <c r="A104" s="60">
        <f>ROW()-5</f>
        <v/>
      </c>
      <c r="B104" s="61">
        <f>IFERROR(INDEX(tbl_Finance[Date],$A104),"")</f>
        <v/>
      </c>
      <c r="C104" s="62">
        <f>IFERROR(INDEX(tbl_Finance[Xero Invoice No],$A104),"")</f>
        <v/>
      </c>
      <c r="D104" s="62">
        <f>IFERROR(INDEX(tbl_Finance[Client],$A104),"")</f>
        <v/>
      </c>
      <c r="E104" s="62">
        <f>IFERROR(INDEX(tbl_Finance[Job Number],$A104),"")</f>
        <v/>
      </c>
      <c r="F104" s="62">
        <f>IFERROR(INDEX(tbl_Finance[Cost Centre],$A104),"")</f>
        <v/>
      </c>
      <c r="G104" s="63">
        <f>IFERROR(INDEX(tbl_Finance[Ex GST],$A104),"")</f>
        <v/>
      </c>
      <c r="H104" s="61">
        <f>IFERROR(INDEX(tbl_Finance[Defer Start],$A104),"")</f>
        <v/>
      </c>
      <c r="I104" s="61">
        <f>IFERROR(INDEX(tbl_Finance[Defer End],$A104),"")</f>
        <v/>
      </c>
      <c r="J104" s="60">
        <f>IF(OR($H104="",$I104="",$G104=""),"",MAX(1,(YEAR($I104)-YEAR($H104))*12+MONTH($I104)-MONTH($H104)+1))</f>
        <v/>
      </c>
      <c r="K104" s="63">
        <f>IF($J104="","",$G104/$J104)</f>
        <v/>
      </c>
      <c r="L104" s="63">
        <f>IF($J104="",0,$K104*MAX(0,MIN(YEAR($C$3)*12+MONTH($C$3),YEAR($I104)*12+MONTH($I104))-(YEAR($H104)*12+MONTH($H104))+1))</f>
        <v/>
      </c>
      <c r="M104" s="63">
        <f>IF($J104="",0,$K104*MAX(0,MIN(YEAR($C$3)*12+MONTH($C$3)-1,YEAR($I104)*12+MONTH($I104))-(YEAR($H104)*12+MONTH($H104))+1))</f>
        <v/>
      </c>
      <c r="N104" s="63">
        <f>IF(OR($J104="",$B104=""),0,IF(YEAR($B104)*12+MONTH($B104)&lt;=YEAR($C$3)*12+MONTH($C$3),$G104,0))</f>
        <v/>
      </c>
      <c r="O104" s="63">
        <f>IF(OR($J104="",$B104=""),0,IF(YEAR($B104)*12+MONTH($B104)&lt;=YEAR($C$3)*12+MONTH($C$3)-1,$G104,0))</f>
        <v/>
      </c>
      <c r="P104" s="63">
        <f>$M104-$O104</f>
        <v/>
      </c>
      <c r="Q104" s="63">
        <f>($L104-$M104)-($N104-$O104)</f>
        <v/>
      </c>
      <c r="R104" s="63">
        <f>$L104-$N104</f>
        <v/>
      </c>
    </row>
    <row r="105">
      <c r="A105" s="60">
        <f>ROW()-5</f>
        <v/>
      </c>
      <c r="B105" s="61">
        <f>IFERROR(INDEX(tbl_Finance[Date],$A105),"")</f>
        <v/>
      </c>
      <c r="C105" s="62">
        <f>IFERROR(INDEX(tbl_Finance[Xero Invoice No],$A105),"")</f>
        <v/>
      </c>
      <c r="D105" s="62">
        <f>IFERROR(INDEX(tbl_Finance[Client],$A105),"")</f>
        <v/>
      </c>
      <c r="E105" s="62">
        <f>IFERROR(INDEX(tbl_Finance[Job Number],$A105),"")</f>
        <v/>
      </c>
      <c r="F105" s="62">
        <f>IFERROR(INDEX(tbl_Finance[Cost Centre],$A105),"")</f>
        <v/>
      </c>
      <c r="G105" s="63">
        <f>IFERROR(INDEX(tbl_Finance[Ex GST],$A105),"")</f>
        <v/>
      </c>
      <c r="H105" s="61">
        <f>IFERROR(INDEX(tbl_Finance[Defer Start],$A105),"")</f>
        <v/>
      </c>
      <c r="I105" s="61">
        <f>IFERROR(INDEX(tbl_Finance[Defer End],$A105),"")</f>
        <v/>
      </c>
      <c r="J105" s="60">
        <f>IF(OR($H105="",$I105="",$G105=""),"",MAX(1,(YEAR($I105)-YEAR($H105))*12+MONTH($I105)-MONTH($H105)+1))</f>
        <v/>
      </c>
      <c r="K105" s="63">
        <f>IF($J105="","",$G105/$J105)</f>
        <v/>
      </c>
      <c r="L105" s="63">
        <f>IF($J105="",0,$K105*MAX(0,MIN(YEAR($C$3)*12+MONTH($C$3),YEAR($I105)*12+MONTH($I105))-(YEAR($H105)*12+MONTH($H105))+1))</f>
        <v/>
      </c>
      <c r="M105" s="63">
        <f>IF($J105="",0,$K105*MAX(0,MIN(YEAR($C$3)*12+MONTH($C$3)-1,YEAR($I105)*12+MONTH($I105))-(YEAR($H105)*12+MONTH($H105))+1))</f>
        <v/>
      </c>
      <c r="N105" s="63">
        <f>IF(OR($J105="",$B105=""),0,IF(YEAR($B105)*12+MONTH($B105)&lt;=YEAR($C$3)*12+MONTH($C$3),$G105,0))</f>
        <v/>
      </c>
      <c r="O105" s="63">
        <f>IF(OR($J105="",$B105=""),0,IF(YEAR($B105)*12+MONTH($B105)&lt;=YEAR($C$3)*12+MONTH($C$3)-1,$G105,0))</f>
        <v/>
      </c>
      <c r="P105" s="63">
        <f>$M105-$O105</f>
        <v/>
      </c>
      <c r="Q105" s="63">
        <f>($L105-$M105)-($N105-$O105)</f>
        <v/>
      </c>
      <c r="R105" s="63">
        <f>$L105-$N105</f>
        <v/>
      </c>
    </row>
    <row r="106">
      <c r="A106" s="60">
        <f>ROW()-5</f>
        <v/>
      </c>
      <c r="B106" s="61">
        <f>IFERROR(INDEX(tbl_Finance[Date],$A106),"")</f>
        <v/>
      </c>
      <c r="C106" s="62">
        <f>IFERROR(INDEX(tbl_Finance[Xero Invoice No],$A106),"")</f>
        <v/>
      </c>
      <c r="D106" s="62">
        <f>IFERROR(INDEX(tbl_Finance[Client],$A106),"")</f>
        <v/>
      </c>
      <c r="E106" s="62">
        <f>IFERROR(INDEX(tbl_Finance[Job Number],$A106),"")</f>
        <v/>
      </c>
      <c r="F106" s="62">
        <f>IFERROR(INDEX(tbl_Finance[Cost Centre],$A106),"")</f>
        <v/>
      </c>
      <c r="G106" s="63">
        <f>IFERROR(INDEX(tbl_Finance[Ex GST],$A106),"")</f>
        <v/>
      </c>
      <c r="H106" s="61">
        <f>IFERROR(INDEX(tbl_Finance[Defer Start],$A106),"")</f>
        <v/>
      </c>
      <c r="I106" s="61">
        <f>IFERROR(INDEX(tbl_Finance[Defer End],$A106),"")</f>
        <v/>
      </c>
      <c r="J106" s="60">
        <f>IF(OR($H106="",$I106="",$G106=""),"",MAX(1,(YEAR($I106)-YEAR($H106))*12+MONTH($I106)-MONTH($H106)+1))</f>
        <v/>
      </c>
      <c r="K106" s="63">
        <f>IF($J106="","",$G106/$J106)</f>
        <v/>
      </c>
      <c r="L106" s="63">
        <f>IF($J106="",0,$K106*MAX(0,MIN(YEAR($C$3)*12+MONTH($C$3),YEAR($I106)*12+MONTH($I106))-(YEAR($H106)*12+MONTH($H106))+1))</f>
        <v/>
      </c>
      <c r="M106" s="63">
        <f>IF($J106="",0,$K106*MAX(0,MIN(YEAR($C$3)*12+MONTH($C$3)-1,YEAR($I106)*12+MONTH($I106))-(YEAR($H106)*12+MONTH($H106))+1))</f>
        <v/>
      </c>
      <c r="N106" s="63">
        <f>IF(OR($J106="",$B106=""),0,IF(YEAR($B106)*12+MONTH($B106)&lt;=YEAR($C$3)*12+MONTH($C$3),$G106,0))</f>
        <v/>
      </c>
      <c r="O106" s="63">
        <f>IF(OR($J106="",$B106=""),0,IF(YEAR($B106)*12+MONTH($B106)&lt;=YEAR($C$3)*12+MONTH($C$3)-1,$G106,0))</f>
        <v/>
      </c>
      <c r="P106" s="63">
        <f>$M106-$O106</f>
        <v/>
      </c>
      <c r="Q106" s="63">
        <f>($L106-$M106)-($N106-$O106)</f>
        <v/>
      </c>
      <c r="R106" s="63">
        <f>$L106-$N106</f>
        <v/>
      </c>
    </row>
    <row r="107">
      <c r="A107" s="60">
        <f>ROW()-5</f>
        <v/>
      </c>
      <c r="B107" s="61">
        <f>IFERROR(INDEX(tbl_Finance[Date],$A107),"")</f>
        <v/>
      </c>
      <c r="C107" s="62">
        <f>IFERROR(INDEX(tbl_Finance[Xero Invoice No],$A107),"")</f>
        <v/>
      </c>
      <c r="D107" s="62">
        <f>IFERROR(INDEX(tbl_Finance[Client],$A107),"")</f>
        <v/>
      </c>
      <c r="E107" s="62">
        <f>IFERROR(INDEX(tbl_Finance[Job Number],$A107),"")</f>
        <v/>
      </c>
      <c r="F107" s="62">
        <f>IFERROR(INDEX(tbl_Finance[Cost Centre],$A107),"")</f>
        <v/>
      </c>
      <c r="G107" s="63">
        <f>IFERROR(INDEX(tbl_Finance[Ex GST],$A107),"")</f>
        <v/>
      </c>
      <c r="H107" s="61">
        <f>IFERROR(INDEX(tbl_Finance[Defer Start],$A107),"")</f>
        <v/>
      </c>
      <c r="I107" s="61">
        <f>IFERROR(INDEX(tbl_Finance[Defer End],$A107),"")</f>
        <v/>
      </c>
      <c r="J107" s="60">
        <f>IF(OR($H107="",$I107="",$G107=""),"",MAX(1,(YEAR($I107)-YEAR($H107))*12+MONTH($I107)-MONTH($H107)+1))</f>
        <v/>
      </c>
      <c r="K107" s="63">
        <f>IF($J107="","",$G107/$J107)</f>
        <v/>
      </c>
      <c r="L107" s="63">
        <f>IF($J107="",0,$K107*MAX(0,MIN(YEAR($C$3)*12+MONTH($C$3),YEAR($I107)*12+MONTH($I107))-(YEAR($H107)*12+MONTH($H107))+1))</f>
        <v/>
      </c>
      <c r="M107" s="63">
        <f>IF($J107="",0,$K107*MAX(0,MIN(YEAR($C$3)*12+MONTH($C$3)-1,YEAR($I107)*12+MONTH($I107))-(YEAR($H107)*12+MONTH($H107))+1))</f>
        <v/>
      </c>
      <c r="N107" s="63">
        <f>IF(OR($J107="",$B107=""),0,IF(YEAR($B107)*12+MONTH($B107)&lt;=YEAR($C$3)*12+MONTH($C$3),$G107,0))</f>
        <v/>
      </c>
      <c r="O107" s="63">
        <f>IF(OR($J107="",$B107=""),0,IF(YEAR($B107)*12+MONTH($B107)&lt;=YEAR($C$3)*12+MONTH($C$3)-1,$G107,0))</f>
        <v/>
      </c>
      <c r="P107" s="63">
        <f>$M107-$O107</f>
        <v/>
      </c>
      <c r="Q107" s="63">
        <f>($L107-$M107)-($N107-$O107)</f>
        <v/>
      </c>
      <c r="R107" s="63">
        <f>$L107-$N107</f>
        <v/>
      </c>
    </row>
    <row r="108">
      <c r="A108" s="60">
        <f>ROW()-5</f>
        <v/>
      </c>
      <c r="B108" s="61">
        <f>IFERROR(INDEX(tbl_Finance[Date],$A108),"")</f>
        <v/>
      </c>
      <c r="C108" s="62">
        <f>IFERROR(INDEX(tbl_Finance[Xero Invoice No],$A108),"")</f>
        <v/>
      </c>
      <c r="D108" s="62">
        <f>IFERROR(INDEX(tbl_Finance[Client],$A108),"")</f>
        <v/>
      </c>
      <c r="E108" s="62">
        <f>IFERROR(INDEX(tbl_Finance[Job Number],$A108),"")</f>
        <v/>
      </c>
      <c r="F108" s="62">
        <f>IFERROR(INDEX(tbl_Finance[Cost Centre],$A108),"")</f>
        <v/>
      </c>
      <c r="G108" s="63">
        <f>IFERROR(INDEX(tbl_Finance[Ex GST],$A108),"")</f>
        <v/>
      </c>
      <c r="H108" s="61">
        <f>IFERROR(INDEX(tbl_Finance[Defer Start],$A108),"")</f>
        <v/>
      </c>
      <c r="I108" s="61">
        <f>IFERROR(INDEX(tbl_Finance[Defer End],$A108),"")</f>
        <v/>
      </c>
      <c r="J108" s="60">
        <f>IF(OR($H108="",$I108="",$G108=""),"",MAX(1,(YEAR($I108)-YEAR($H108))*12+MONTH($I108)-MONTH($H108)+1))</f>
        <v/>
      </c>
      <c r="K108" s="63">
        <f>IF($J108="","",$G108/$J108)</f>
        <v/>
      </c>
      <c r="L108" s="63">
        <f>IF($J108="",0,$K108*MAX(0,MIN(YEAR($C$3)*12+MONTH($C$3),YEAR($I108)*12+MONTH($I108))-(YEAR($H108)*12+MONTH($H108))+1))</f>
        <v/>
      </c>
      <c r="M108" s="63">
        <f>IF($J108="",0,$K108*MAX(0,MIN(YEAR($C$3)*12+MONTH($C$3)-1,YEAR($I108)*12+MONTH($I108))-(YEAR($H108)*12+MONTH($H108))+1))</f>
        <v/>
      </c>
      <c r="N108" s="63">
        <f>IF(OR($J108="",$B108=""),0,IF(YEAR($B108)*12+MONTH($B108)&lt;=YEAR($C$3)*12+MONTH($C$3),$G108,0))</f>
        <v/>
      </c>
      <c r="O108" s="63">
        <f>IF(OR($J108="",$B108=""),0,IF(YEAR($B108)*12+MONTH($B108)&lt;=YEAR($C$3)*12+MONTH($C$3)-1,$G108,0))</f>
        <v/>
      </c>
      <c r="P108" s="63">
        <f>$M108-$O108</f>
        <v/>
      </c>
      <c r="Q108" s="63">
        <f>($L108-$M108)-($N108-$O108)</f>
        <v/>
      </c>
      <c r="R108" s="63">
        <f>$L108-$N108</f>
        <v/>
      </c>
    </row>
    <row r="109">
      <c r="A109" s="60">
        <f>ROW()-5</f>
        <v/>
      </c>
      <c r="B109" s="61">
        <f>IFERROR(INDEX(tbl_Finance[Date],$A109),"")</f>
        <v/>
      </c>
      <c r="C109" s="62">
        <f>IFERROR(INDEX(tbl_Finance[Xero Invoice No],$A109),"")</f>
        <v/>
      </c>
      <c r="D109" s="62">
        <f>IFERROR(INDEX(tbl_Finance[Client],$A109),"")</f>
        <v/>
      </c>
      <c r="E109" s="62">
        <f>IFERROR(INDEX(tbl_Finance[Job Number],$A109),"")</f>
        <v/>
      </c>
      <c r="F109" s="62">
        <f>IFERROR(INDEX(tbl_Finance[Cost Centre],$A109),"")</f>
        <v/>
      </c>
      <c r="G109" s="63">
        <f>IFERROR(INDEX(tbl_Finance[Ex GST],$A109),"")</f>
        <v/>
      </c>
      <c r="H109" s="61">
        <f>IFERROR(INDEX(tbl_Finance[Defer Start],$A109),"")</f>
        <v/>
      </c>
      <c r="I109" s="61">
        <f>IFERROR(INDEX(tbl_Finance[Defer End],$A109),"")</f>
        <v/>
      </c>
      <c r="J109" s="60">
        <f>IF(OR($H109="",$I109="",$G109=""),"",MAX(1,(YEAR($I109)-YEAR($H109))*12+MONTH($I109)-MONTH($H109)+1))</f>
        <v/>
      </c>
      <c r="K109" s="63">
        <f>IF($J109="","",$G109/$J109)</f>
        <v/>
      </c>
      <c r="L109" s="63">
        <f>IF($J109="",0,$K109*MAX(0,MIN(YEAR($C$3)*12+MONTH($C$3),YEAR($I109)*12+MONTH($I109))-(YEAR($H109)*12+MONTH($H109))+1))</f>
        <v/>
      </c>
      <c r="M109" s="63">
        <f>IF($J109="",0,$K109*MAX(0,MIN(YEAR($C$3)*12+MONTH($C$3)-1,YEAR($I109)*12+MONTH($I109))-(YEAR($H109)*12+MONTH($H109))+1))</f>
        <v/>
      </c>
      <c r="N109" s="63">
        <f>IF(OR($J109="",$B109=""),0,IF(YEAR($B109)*12+MONTH($B109)&lt;=YEAR($C$3)*12+MONTH($C$3),$G109,0))</f>
        <v/>
      </c>
      <c r="O109" s="63">
        <f>IF(OR($J109="",$B109=""),0,IF(YEAR($B109)*12+MONTH($B109)&lt;=YEAR($C$3)*12+MONTH($C$3)-1,$G109,0))</f>
        <v/>
      </c>
      <c r="P109" s="63">
        <f>$M109-$O109</f>
        <v/>
      </c>
      <c r="Q109" s="63">
        <f>($L109-$M109)-($N109-$O109)</f>
        <v/>
      </c>
      <c r="R109" s="63">
        <f>$L109-$N109</f>
        <v/>
      </c>
    </row>
    <row r="110">
      <c r="A110" s="60">
        <f>ROW()-5</f>
        <v/>
      </c>
      <c r="B110" s="61">
        <f>IFERROR(INDEX(tbl_Finance[Date],$A110),"")</f>
        <v/>
      </c>
      <c r="C110" s="62">
        <f>IFERROR(INDEX(tbl_Finance[Xero Invoice No],$A110),"")</f>
        <v/>
      </c>
      <c r="D110" s="62">
        <f>IFERROR(INDEX(tbl_Finance[Client],$A110),"")</f>
        <v/>
      </c>
      <c r="E110" s="62">
        <f>IFERROR(INDEX(tbl_Finance[Job Number],$A110),"")</f>
        <v/>
      </c>
      <c r="F110" s="62">
        <f>IFERROR(INDEX(tbl_Finance[Cost Centre],$A110),"")</f>
        <v/>
      </c>
      <c r="G110" s="63">
        <f>IFERROR(INDEX(tbl_Finance[Ex GST],$A110),"")</f>
        <v/>
      </c>
      <c r="H110" s="61">
        <f>IFERROR(INDEX(tbl_Finance[Defer Start],$A110),"")</f>
        <v/>
      </c>
      <c r="I110" s="61">
        <f>IFERROR(INDEX(tbl_Finance[Defer End],$A110),"")</f>
        <v/>
      </c>
      <c r="J110" s="60">
        <f>IF(OR($H110="",$I110="",$G110=""),"",MAX(1,(YEAR($I110)-YEAR($H110))*12+MONTH($I110)-MONTH($H110)+1))</f>
        <v/>
      </c>
      <c r="K110" s="63">
        <f>IF($J110="","",$G110/$J110)</f>
        <v/>
      </c>
      <c r="L110" s="63">
        <f>IF($J110="",0,$K110*MAX(0,MIN(YEAR($C$3)*12+MONTH($C$3),YEAR($I110)*12+MONTH($I110))-(YEAR($H110)*12+MONTH($H110))+1))</f>
        <v/>
      </c>
      <c r="M110" s="63">
        <f>IF($J110="",0,$K110*MAX(0,MIN(YEAR($C$3)*12+MONTH($C$3)-1,YEAR($I110)*12+MONTH($I110))-(YEAR($H110)*12+MONTH($H110))+1))</f>
        <v/>
      </c>
      <c r="N110" s="63">
        <f>IF(OR($J110="",$B110=""),0,IF(YEAR($B110)*12+MONTH($B110)&lt;=YEAR($C$3)*12+MONTH($C$3),$G110,0))</f>
        <v/>
      </c>
      <c r="O110" s="63">
        <f>IF(OR($J110="",$B110=""),0,IF(YEAR($B110)*12+MONTH($B110)&lt;=YEAR($C$3)*12+MONTH($C$3)-1,$G110,0))</f>
        <v/>
      </c>
      <c r="P110" s="63">
        <f>$M110-$O110</f>
        <v/>
      </c>
      <c r="Q110" s="63">
        <f>($L110-$M110)-($N110-$O110)</f>
        <v/>
      </c>
      <c r="R110" s="63">
        <f>$L110-$N110</f>
        <v/>
      </c>
    </row>
    <row r="111">
      <c r="A111" s="60">
        <f>ROW()-5</f>
        <v/>
      </c>
      <c r="B111" s="61">
        <f>IFERROR(INDEX(tbl_Finance[Date],$A111),"")</f>
        <v/>
      </c>
      <c r="C111" s="62">
        <f>IFERROR(INDEX(tbl_Finance[Xero Invoice No],$A111),"")</f>
        <v/>
      </c>
      <c r="D111" s="62">
        <f>IFERROR(INDEX(tbl_Finance[Client],$A111),"")</f>
        <v/>
      </c>
      <c r="E111" s="62">
        <f>IFERROR(INDEX(tbl_Finance[Job Number],$A111),"")</f>
        <v/>
      </c>
      <c r="F111" s="62">
        <f>IFERROR(INDEX(tbl_Finance[Cost Centre],$A111),"")</f>
        <v/>
      </c>
      <c r="G111" s="63">
        <f>IFERROR(INDEX(tbl_Finance[Ex GST],$A111),"")</f>
        <v/>
      </c>
      <c r="H111" s="61">
        <f>IFERROR(INDEX(tbl_Finance[Defer Start],$A111),"")</f>
        <v/>
      </c>
      <c r="I111" s="61">
        <f>IFERROR(INDEX(tbl_Finance[Defer End],$A111),"")</f>
        <v/>
      </c>
      <c r="J111" s="60">
        <f>IF(OR($H111="",$I111="",$G111=""),"",MAX(1,(YEAR($I111)-YEAR($H111))*12+MONTH($I111)-MONTH($H111)+1))</f>
        <v/>
      </c>
      <c r="K111" s="63">
        <f>IF($J111="","",$G111/$J111)</f>
        <v/>
      </c>
      <c r="L111" s="63">
        <f>IF($J111="",0,$K111*MAX(0,MIN(YEAR($C$3)*12+MONTH($C$3),YEAR($I111)*12+MONTH($I111))-(YEAR($H111)*12+MONTH($H111))+1))</f>
        <v/>
      </c>
      <c r="M111" s="63">
        <f>IF($J111="",0,$K111*MAX(0,MIN(YEAR($C$3)*12+MONTH($C$3)-1,YEAR($I111)*12+MONTH($I111))-(YEAR($H111)*12+MONTH($H111))+1))</f>
        <v/>
      </c>
      <c r="N111" s="63">
        <f>IF(OR($J111="",$B111=""),0,IF(YEAR($B111)*12+MONTH($B111)&lt;=YEAR($C$3)*12+MONTH($C$3),$G111,0))</f>
        <v/>
      </c>
      <c r="O111" s="63">
        <f>IF(OR($J111="",$B111=""),0,IF(YEAR($B111)*12+MONTH($B111)&lt;=YEAR($C$3)*12+MONTH($C$3)-1,$G111,0))</f>
        <v/>
      </c>
      <c r="P111" s="63">
        <f>$M111-$O111</f>
        <v/>
      </c>
      <c r="Q111" s="63">
        <f>($L111-$M111)-($N111-$O111)</f>
        <v/>
      </c>
      <c r="R111" s="63">
        <f>$L111-$N111</f>
        <v/>
      </c>
    </row>
    <row r="112">
      <c r="A112" s="60">
        <f>ROW()-5</f>
        <v/>
      </c>
      <c r="B112" s="61">
        <f>IFERROR(INDEX(tbl_Finance[Date],$A112),"")</f>
        <v/>
      </c>
      <c r="C112" s="62">
        <f>IFERROR(INDEX(tbl_Finance[Xero Invoice No],$A112),"")</f>
        <v/>
      </c>
      <c r="D112" s="62">
        <f>IFERROR(INDEX(tbl_Finance[Client],$A112),"")</f>
        <v/>
      </c>
      <c r="E112" s="62">
        <f>IFERROR(INDEX(tbl_Finance[Job Number],$A112),"")</f>
        <v/>
      </c>
      <c r="F112" s="62">
        <f>IFERROR(INDEX(tbl_Finance[Cost Centre],$A112),"")</f>
        <v/>
      </c>
      <c r="G112" s="63">
        <f>IFERROR(INDEX(tbl_Finance[Ex GST],$A112),"")</f>
        <v/>
      </c>
      <c r="H112" s="61">
        <f>IFERROR(INDEX(tbl_Finance[Defer Start],$A112),"")</f>
        <v/>
      </c>
      <c r="I112" s="61">
        <f>IFERROR(INDEX(tbl_Finance[Defer End],$A112),"")</f>
        <v/>
      </c>
      <c r="J112" s="60">
        <f>IF(OR($H112="",$I112="",$G112=""),"",MAX(1,(YEAR($I112)-YEAR($H112))*12+MONTH($I112)-MONTH($H112)+1))</f>
        <v/>
      </c>
      <c r="K112" s="63">
        <f>IF($J112="","",$G112/$J112)</f>
        <v/>
      </c>
      <c r="L112" s="63">
        <f>IF($J112="",0,$K112*MAX(0,MIN(YEAR($C$3)*12+MONTH($C$3),YEAR($I112)*12+MONTH($I112))-(YEAR($H112)*12+MONTH($H112))+1))</f>
        <v/>
      </c>
      <c r="M112" s="63">
        <f>IF($J112="",0,$K112*MAX(0,MIN(YEAR($C$3)*12+MONTH($C$3)-1,YEAR($I112)*12+MONTH($I112))-(YEAR($H112)*12+MONTH($H112))+1))</f>
        <v/>
      </c>
      <c r="N112" s="63">
        <f>IF(OR($J112="",$B112=""),0,IF(YEAR($B112)*12+MONTH($B112)&lt;=YEAR($C$3)*12+MONTH($C$3),$G112,0))</f>
        <v/>
      </c>
      <c r="O112" s="63">
        <f>IF(OR($J112="",$B112=""),0,IF(YEAR($B112)*12+MONTH($B112)&lt;=YEAR($C$3)*12+MONTH($C$3)-1,$G112,0))</f>
        <v/>
      </c>
      <c r="P112" s="63">
        <f>$M112-$O112</f>
        <v/>
      </c>
      <c r="Q112" s="63">
        <f>($L112-$M112)-($N112-$O112)</f>
        <v/>
      </c>
      <c r="R112" s="63">
        <f>$L112-$N112</f>
        <v/>
      </c>
    </row>
    <row r="113">
      <c r="A113" s="60">
        <f>ROW()-5</f>
        <v/>
      </c>
      <c r="B113" s="61">
        <f>IFERROR(INDEX(tbl_Finance[Date],$A113),"")</f>
        <v/>
      </c>
      <c r="C113" s="62">
        <f>IFERROR(INDEX(tbl_Finance[Xero Invoice No],$A113),"")</f>
        <v/>
      </c>
      <c r="D113" s="62">
        <f>IFERROR(INDEX(tbl_Finance[Client],$A113),"")</f>
        <v/>
      </c>
      <c r="E113" s="62">
        <f>IFERROR(INDEX(tbl_Finance[Job Number],$A113),"")</f>
        <v/>
      </c>
      <c r="F113" s="62">
        <f>IFERROR(INDEX(tbl_Finance[Cost Centre],$A113),"")</f>
        <v/>
      </c>
      <c r="G113" s="63">
        <f>IFERROR(INDEX(tbl_Finance[Ex GST],$A113),"")</f>
        <v/>
      </c>
      <c r="H113" s="61">
        <f>IFERROR(INDEX(tbl_Finance[Defer Start],$A113),"")</f>
        <v/>
      </c>
      <c r="I113" s="61">
        <f>IFERROR(INDEX(tbl_Finance[Defer End],$A113),"")</f>
        <v/>
      </c>
      <c r="J113" s="60">
        <f>IF(OR($H113="",$I113="",$G113=""),"",MAX(1,(YEAR($I113)-YEAR($H113))*12+MONTH($I113)-MONTH($H113)+1))</f>
        <v/>
      </c>
      <c r="K113" s="63">
        <f>IF($J113="","",$G113/$J113)</f>
        <v/>
      </c>
      <c r="L113" s="63">
        <f>IF($J113="",0,$K113*MAX(0,MIN(YEAR($C$3)*12+MONTH($C$3),YEAR($I113)*12+MONTH($I113))-(YEAR($H113)*12+MONTH($H113))+1))</f>
        <v/>
      </c>
      <c r="M113" s="63">
        <f>IF($J113="",0,$K113*MAX(0,MIN(YEAR($C$3)*12+MONTH($C$3)-1,YEAR($I113)*12+MONTH($I113))-(YEAR($H113)*12+MONTH($H113))+1))</f>
        <v/>
      </c>
      <c r="N113" s="63">
        <f>IF(OR($J113="",$B113=""),0,IF(YEAR($B113)*12+MONTH($B113)&lt;=YEAR($C$3)*12+MONTH($C$3),$G113,0))</f>
        <v/>
      </c>
      <c r="O113" s="63">
        <f>IF(OR($J113="",$B113=""),0,IF(YEAR($B113)*12+MONTH($B113)&lt;=YEAR($C$3)*12+MONTH($C$3)-1,$G113,0))</f>
        <v/>
      </c>
      <c r="P113" s="63">
        <f>$M113-$O113</f>
        <v/>
      </c>
      <c r="Q113" s="63">
        <f>($L113-$M113)-($N113-$O113)</f>
        <v/>
      </c>
      <c r="R113" s="63">
        <f>$L113-$N113</f>
        <v/>
      </c>
    </row>
    <row r="114">
      <c r="A114" s="60">
        <f>ROW()-5</f>
        <v/>
      </c>
      <c r="B114" s="61">
        <f>IFERROR(INDEX(tbl_Finance[Date],$A114),"")</f>
        <v/>
      </c>
      <c r="C114" s="62">
        <f>IFERROR(INDEX(tbl_Finance[Xero Invoice No],$A114),"")</f>
        <v/>
      </c>
      <c r="D114" s="62">
        <f>IFERROR(INDEX(tbl_Finance[Client],$A114),"")</f>
        <v/>
      </c>
      <c r="E114" s="62">
        <f>IFERROR(INDEX(tbl_Finance[Job Number],$A114),"")</f>
        <v/>
      </c>
      <c r="F114" s="62">
        <f>IFERROR(INDEX(tbl_Finance[Cost Centre],$A114),"")</f>
        <v/>
      </c>
      <c r="G114" s="63">
        <f>IFERROR(INDEX(tbl_Finance[Ex GST],$A114),"")</f>
        <v/>
      </c>
      <c r="H114" s="61">
        <f>IFERROR(INDEX(tbl_Finance[Defer Start],$A114),"")</f>
        <v/>
      </c>
      <c r="I114" s="61">
        <f>IFERROR(INDEX(tbl_Finance[Defer End],$A114),"")</f>
        <v/>
      </c>
      <c r="J114" s="60">
        <f>IF(OR($H114="",$I114="",$G114=""),"",MAX(1,(YEAR($I114)-YEAR($H114))*12+MONTH($I114)-MONTH($H114)+1))</f>
        <v/>
      </c>
      <c r="K114" s="63">
        <f>IF($J114="","",$G114/$J114)</f>
        <v/>
      </c>
      <c r="L114" s="63">
        <f>IF($J114="",0,$K114*MAX(0,MIN(YEAR($C$3)*12+MONTH($C$3),YEAR($I114)*12+MONTH($I114))-(YEAR($H114)*12+MONTH($H114))+1))</f>
        <v/>
      </c>
      <c r="M114" s="63">
        <f>IF($J114="",0,$K114*MAX(0,MIN(YEAR($C$3)*12+MONTH($C$3)-1,YEAR($I114)*12+MONTH($I114))-(YEAR($H114)*12+MONTH($H114))+1))</f>
        <v/>
      </c>
      <c r="N114" s="63">
        <f>IF(OR($J114="",$B114=""),0,IF(YEAR($B114)*12+MONTH($B114)&lt;=YEAR($C$3)*12+MONTH($C$3),$G114,0))</f>
        <v/>
      </c>
      <c r="O114" s="63">
        <f>IF(OR($J114="",$B114=""),0,IF(YEAR($B114)*12+MONTH($B114)&lt;=YEAR($C$3)*12+MONTH($C$3)-1,$G114,0))</f>
        <v/>
      </c>
      <c r="P114" s="63">
        <f>$M114-$O114</f>
        <v/>
      </c>
      <c r="Q114" s="63">
        <f>($L114-$M114)-($N114-$O114)</f>
        <v/>
      </c>
      <c r="R114" s="63">
        <f>$L114-$N114</f>
        <v/>
      </c>
    </row>
    <row r="115">
      <c r="A115" s="60">
        <f>ROW()-5</f>
        <v/>
      </c>
      <c r="B115" s="61">
        <f>IFERROR(INDEX(tbl_Finance[Date],$A115),"")</f>
        <v/>
      </c>
      <c r="C115" s="62">
        <f>IFERROR(INDEX(tbl_Finance[Xero Invoice No],$A115),"")</f>
        <v/>
      </c>
      <c r="D115" s="62">
        <f>IFERROR(INDEX(tbl_Finance[Client],$A115),"")</f>
        <v/>
      </c>
      <c r="E115" s="62">
        <f>IFERROR(INDEX(tbl_Finance[Job Number],$A115),"")</f>
        <v/>
      </c>
      <c r="F115" s="62">
        <f>IFERROR(INDEX(tbl_Finance[Cost Centre],$A115),"")</f>
        <v/>
      </c>
      <c r="G115" s="63">
        <f>IFERROR(INDEX(tbl_Finance[Ex GST],$A115),"")</f>
        <v/>
      </c>
      <c r="H115" s="61">
        <f>IFERROR(INDEX(tbl_Finance[Defer Start],$A115),"")</f>
        <v/>
      </c>
      <c r="I115" s="61">
        <f>IFERROR(INDEX(tbl_Finance[Defer End],$A115),"")</f>
        <v/>
      </c>
      <c r="J115" s="60">
        <f>IF(OR($H115="",$I115="",$G115=""),"",MAX(1,(YEAR($I115)-YEAR($H115))*12+MONTH($I115)-MONTH($H115)+1))</f>
        <v/>
      </c>
      <c r="K115" s="63">
        <f>IF($J115="","",$G115/$J115)</f>
        <v/>
      </c>
      <c r="L115" s="63">
        <f>IF($J115="",0,$K115*MAX(0,MIN(YEAR($C$3)*12+MONTH($C$3),YEAR($I115)*12+MONTH($I115))-(YEAR($H115)*12+MONTH($H115))+1))</f>
        <v/>
      </c>
      <c r="M115" s="63">
        <f>IF($J115="",0,$K115*MAX(0,MIN(YEAR($C$3)*12+MONTH($C$3)-1,YEAR($I115)*12+MONTH($I115))-(YEAR($H115)*12+MONTH($H115))+1))</f>
        <v/>
      </c>
      <c r="N115" s="63">
        <f>IF(OR($J115="",$B115=""),0,IF(YEAR($B115)*12+MONTH($B115)&lt;=YEAR($C$3)*12+MONTH($C$3),$G115,0))</f>
        <v/>
      </c>
      <c r="O115" s="63">
        <f>IF(OR($J115="",$B115=""),0,IF(YEAR($B115)*12+MONTH($B115)&lt;=YEAR($C$3)*12+MONTH($C$3)-1,$G115,0))</f>
        <v/>
      </c>
      <c r="P115" s="63">
        <f>$M115-$O115</f>
        <v/>
      </c>
      <c r="Q115" s="63">
        <f>($L115-$M115)-($N115-$O115)</f>
        <v/>
      </c>
      <c r="R115" s="63">
        <f>$L115-$N115</f>
        <v/>
      </c>
    </row>
    <row r="116">
      <c r="A116" s="60">
        <f>ROW()-5</f>
        <v/>
      </c>
      <c r="B116" s="61">
        <f>IFERROR(INDEX(tbl_Finance[Date],$A116),"")</f>
        <v/>
      </c>
      <c r="C116" s="62">
        <f>IFERROR(INDEX(tbl_Finance[Xero Invoice No],$A116),"")</f>
        <v/>
      </c>
      <c r="D116" s="62">
        <f>IFERROR(INDEX(tbl_Finance[Client],$A116),"")</f>
        <v/>
      </c>
      <c r="E116" s="62">
        <f>IFERROR(INDEX(tbl_Finance[Job Number],$A116),"")</f>
        <v/>
      </c>
      <c r="F116" s="62">
        <f>IFERROR(INDEX(tbl_Finance[Cost Centre],$A116),"")</f>
        <v/>
      </c>
      <c r="G116" s="63">
        <f>IFERROR(INDEX(tbl_Finance[Ex GST],$A116),"")</f>
        <v/>
      </c>
      <c r="H116" s="61">
        <f>IFERROR(INDEX(tbl_Finance[Defer Start],$A116),"")</f>
        <v/>
      </c>
      <c r="I116" s="61">
        <f>IFERROR(INDEX(tbl_Finance[Defer End],$A116),"")</f>
        <v/>
      </c>
      <c r="J116" s="60">
        <f>IF(OR($H116="",$I116="",$G116=""),"",MAX(1,(YEAR($I116)-YEAR($H116))*12+MONTH($I116)-MONTH($H116)+1))</f>
        <v/>
      </c>
      <c r="K116" s="63">
        <f>IF($J116="","",$G116/$J116)</f>
        <v/>
      </c>
      <c r="L116" s="63">
        <f>IF($J116="",0,$K116*MAX(0,MIN(YEAR($C$3)*12+MONTH($C$3),YEAR($I116)*12+MONTH($I116))-(YEAR($H116)*12+MONTH($H116))+1))</f>
        <v/>
      </c>
      <c r="M116" s="63">
        <f>IF($J116="",0,$K116*MAX(0,MIN(YEAR($C$3)*12+MONTH($C$3)-1,YEAR($I116)*12+MONTH($I116))-(YEAR($H116)*12+MONTH($H116))+1))</f>
        <v/>
      </c>
      <c r="N116" s="63">
        <f>IF(OR($J116="",$B116=""),0,IF(YEAR($B116)*12+MONTH($B116)&lt;=YEAR($C$3)*12+MONTH($C$3),$G116,0))</f>
        <v/>
      </c>
      <c r="O116" s="63">
        <f>IF(OR($J116="",$B116=""),0,IF(YEAR($B116)*12+MONTH($B116)&lt;=YEAR($C$3)*12+MONTH($C$3)-1,$G116,0))</f>
        <v/>
      </c>
      <c r="P116" s="63">
        <f>$M116-$O116</f>
        <v/>
      </c>
      <c r="Q116" s="63">
        <f>($L116-$M116)-($N116-$O116)</f>
        <v/>
      </c>
      <c r="R116" s="63">
        <f>$L116-$N116</f>
        <v/>
      </c>
    </row>
    <row r="117">
      <c r="A117" s="60">
        <f>ROW()-5</f>
        <v/>
      </c>
      <c r="B117" s="61">
        <f>IFERROR(INDEX(tbl_Finance[Date],$A117),"")</f>
        <v/>
      </c>
      <c r="C117" s="62">
        <f>IFERROR(INDEX(tbl_Finance[Xero Invoice No],$A117),"")</f>
        <v/>
      </c>
      <c r="D117" s="62">
        <f>IFERROR(INDEX(tbl_Finance[Client],$A117),"")</f>
        <v/>
      </c>
      <c r="E117" s="62">
        <f>IFERROR(INDEX(tbl_Finance[Job Number],$A117),"")</f>
        <v/>
      </c>
      <c r="F117" s="62">
        <f>IFERROR(INDEX(tbl_Finance[Cost Centre],$A117),"")</f>
        <v/>
      </c>
      <c r="G117" s="63">
        <f>IFERROR(INDEX(tbl_Finance[Ex GST],$A117),"")</f>
        <v/>
      </c>
      <c r="H117" s="61">
        <f>IFERROR(INDEX(tbl_Finance[Defer Start],$A117),"")</f>
        <v/>
      </c>
      <c r="I117" s="61">
        <f>IFERROR(INDEX(tbl_Finance[Defer End],$A117),"")</f>
        <v/>
      </c>
      <c r="J117" s="60">
        <f>IF(OR($H117="",$I117="",$G117=""),"",MAX(1,(YEAR($I117)-YEAR($H117))*12+MONTH($I117)-MONTH($H117)+1))</f>
        <v/>
      </c>
      <c r="K117" s="63">
        <f>IF($J117="","",$G117/$J117)</f>
        <v/>
      </c>
      <c r="L117" s="63">
        <f>IF($J117="",0,$K117*MAX(0,MIN(YEAR($C$3)*12+MONTH($C$3),YEAR($I117)*12+MONTH($I117))-(YEAR($H117)*12+MONTH($H117))+1))</f>
        <v/>
      </c>
      <c r="M117" s="63">
        <f>IF($J117="",0,$K117*MAX(0,MIN(YEAR($C$3)*12+MONTH($C$3)-1,YEAR($I117)*12+MONTH($I117))-(YEAR($H117)*12+MONTH($H117))+1))</f>
        <v/>
      </c>
      <c r="N117" s="63">
        <f>IF(OR($J117="",$B117=""),0,IF(YEAR($B117)*12+MONTH($B117)&lt;=YEAR($C$3)*12+MONTH($C$3),$G117,0))</f>
        <v/>
      </c>
      <c r="O117" s="63">
        <f>IF(OR($J117="",$B117=""),0,IF(YEAR($B117)*12+MONTH($B117)&lt;=YEAR($C$3)*12+MONTH($C$3)-1,$G117,0))</f>
        <v/>
      </c>
      <c r="P117" s="63">
        <f>$M117-$O117</f>
        <v/>
      </c>
      <c r="Q117" s="63">
        <f>($L117-$M117)-($N117-$O117)</f>
        <v/>
      </c>
      <c r="R117" s="63">
        <f>$L117-$N117</f>
        <v/>
      </c>
    </row>
    <row r="118">
      <c r="A118" s="60">
        <f>ROW()-5</f>
        <v/>
      </c>
      <c r="B118" s="61">
        <f>IFERROR(INDEX(tbl_Finance[Date],$A118),"")</f>
        <v/>
      </c>
      <c r="C118" s="62">
        <f>IFERROR(INDEX(tbl_Finance[Xero Invoice No],$A118),"")</f>
        <v/>
      </c>
      <c r="D118" s="62">
        <f>IFERROR(INDEX(tbl_Finance[Client],$A118),"")</f>
        <v/>
      </c>
      <c r="E118" s="62">
        <f>IFERROR(INDEX(tbl_Finance[Job Number],$A118),"")</f>
        <v/>
      </c>
      <c r="F118" s="62">
        <f>IFERROR(INDEX(tbl_Finance[Cost Centre],$A118),"")</f>
        <v/>
      </c>
      <c r="G118" s="63">
        <f>IFERROR(INDEX(tbl_Finance[Ex GST],$A118),"")</f>
        <v/>
      </c>
      <c r="H118" s="61">
        <f>IFERROR(INDEX(tbl_Finance[Defer Start],$A118),"")</f>
        <v/>
      </c>
      <c r="I118" s="61">
        <f>IFERROR(INDEX(tbl_Finance[Defer End],$A118),"")</f>
        <v/>
      </c>
      <c r="J118" s="60">
        <f>IF(OR($H118="",$I118="",$G118=""),"",MAX(1,(YEAR($I118)-YEAR($H118))*12+MONTH($I118)-MONTH($H118)+1))</f>
        <v/>
      </c>
      <c r="K118" s="63">
        <f>IF($J118="","",$G118/$J118)</f>
        <v/>
      </c>
      <c r="L118" s="63">
        <f>IF($J118="",0,$K118*MAX(0,MIN(YEAR($C$3)*12+MONTH($C$3),YEAR($I118)*12+MONTH($I118))-(YEAR($H118)*12+MONTH($H118))+1))</f>
        <v/>
      </c>
      <c r="M118" s="63">
        <f>IF($J118="",0,$K118*MAX(0,MIN(YEAR($C$3)*12+MONTH($C$3)-1,YEAR($I118)*12+MONTH($I118))-(YEAR($H118)*12+MONTH($H118))+1))</f>
        <v/>
      </c>
      <c r="N118" s="63">
        <f>IF(OR($J118="",$B118=""),0,IF(YEAR($B118)*12+MONTH($B118)&lt;=YEAR($C$3)*12+MONTH($C$3),$G118,0))</f>
        <v/>
      </c>
      <c r="O118" s="63">
        <f>IF(OR($J118="",$B118=""),0,IF(YEAR($B118)*12+MONTH($B118)&lt;=YEAR($C$3)*12+MONTH($C$3)-1,$G118,0))</f>
        <v/>
      </c>
      <c r="P118" s="63">
        <f>$M118-$O118</f>
        <v/>
      </c>
      <c r="Q118" s="63">
        <f>($L118-$M118)-($N118-$O118)</f>
        <v/>
      </c>
      <c r="R118" s="63">
        <f>$L118-$N118</f>
        <v/>
      </c>
    </row>
    <row r="119">
      <c r="A119" s="60">
        <f>ROW()-5</f>
        <v/>
      </c>
      <c r="B119" s="61">
        <f>IFERROR(INDEX(tbl_Finance[Date],$A119),"")</f>
        <v/>
      </c>
      <c r="C119" s="62">
        <f>IFERROR(INDEX(tbl_Finance[Xero Invoice No],$A119),"")</f>
        <v/>
      </c>
      <c r="D119" s="62">
        <f>IFERROR(INDEX(tbl_Finance[Client],$A119),"")</f>
        <v/>
      </c>
      <c r="E119" s="62">
        <f>IFERROR(INDEX(tbl_Finance[Job Number],$A119),"")</f>
        <v/>
      </c>
      <c r="F119" s="62">
        <f>IFERROR(INDEX(tbl_Finance[Cost Centre],$A119),"")</f>
        <v/>
      </c>
      <c r="G119" s="63">
        <f>IFERROR(INDEX(tbl_Finance[Ex GST],$A119),"")</f>
        <v/>
      </c>
      <c r="H119" s="61">
        <f>IFERROR(INDEX(tbl_Finance[Defer Start],$A119),"")</f>
        <v/>
      </c>
      <c r="I119" s="61">
        <f>IFERROR(INDEX(tbl_Finance[Defer End],$A119),"")</f>
        <v/>
      </c>
      <c r="J119" s="60">
        <f>IF(OR($H119="",$I119="",$G119=""),"",MAX(1,(YEAR($I119)-YEAR($H119))*12+MONTH($I119)-MONTH($H119)+1))</f>
        <v/>
      </c>
      <c r="K119" s="63">
        <f>IF($J119="","",$G119/$J119)</f>
        <v/>
      </c>
      <c r="L119" s="63">
        <f>IF($J119="",0,$K119*MAX(0,MIN(YEAR($C$3)*12+MONTH($C$3),YEAR($I119)*12+MONTH($I119))-(YEAR($H119)*12+MONTH($H119))+1))</f>
        <v/>
      </c>
      <c r="M119" s="63">
        <f>IF($J119="",0,$K119*MAX(0,MIN(YEAR($C$3)*12+MONTH($C$3)-1,YEAR($I119)*12+MONTH($I119))-(YEAR($H119)*12+MONTH($H119))+1))</f>
        <v/>
      </c>
      <c r="N119" s="63">
        <f>IF(OR($J119="",$B119=""),0,IF(YEAR($B119)*12+MONTH($B119)&lt;=YEAR($C$3)*12+MONTH($C$3),$G119,0))</f>
        <v/>
      </c>
      <c r="O119" s="63">
        <f>IF(OR($J119="",$B119=""),0,IF(YEAR($B119)*12+MONTH($B119)&lt;=YEAR($C$3)*12+MONTH($C$3)-1,$G119,0))</f>
        <v/>
      </c>
      <c r="P119" s="63">
        <f>$M119-$O119</f>
        <v/>
      </c>
      <c r="Q119" s="63">
        <f>($L119-$M119)-($N119-$O119)</f>
        <v/>
      </c>
      <c r="R119" s="63">
        <f>$L119-$N119</f>
        <v/>
      </c>
    </row>
    <row r="120">
      <c r="A120" s="60">
        <f>ROW()-5</f>
        <v/>
      </c>
      <c r="B120" s="61">
        <f>IFERROR(INDEX(tbl_Finance[Date],$A120),"")</f>
        <v/>
      </c>
      <c r="C120" s="62">
        <f>IFERROR(INDEX(tbl_Finance[Xero Invoice No],$A120),"")</f>
        <v/>
      </c>
      <c r="D120" s="62">
        <f>IFERROR(INDEX(tbl_Finance[Client],$A120),"")</f>
        <v/>
      </c>
      <c r="E120" s="62">
        <f>IFERROR(INDEX(tbl_Finance[Job Number],$A120),"")</f>
        <v/>
      </c>
      <c r="F120" s="62">
        <f>IFERROR(INDEX(tbl_Finance[Cost Centre],$A120),"")</f>
        <v/>
      </c>
      <c r="G120" s="63">
        <f>IFERROR(INDEX(tbl_Finance[Ex GST],$A120),"")</f>
        <v/>
      </c>
      <c r="H120" s="61">
        <f>IFERROR(INDEX(tbl_Finance[Defer Start],$A120),"")</f>
        <v/>
      </c>
      <c r="I120" s="61">
        <f>IFERROR(INDEX(tbl_Finance[Defer End],$A120),"")</f>
        <v/>
      </c>
      <c r="J120" s="60">
        <f>IF(OR($H120="",$I120="",$G120=""),"",MAX(1,(YEAR($I120)-YEAR($H120))*12+MONTH($I120)-MONTH($H120)+1))</f>
        <v/>
      </c>
      <c r="K120" s="63">
        <f>IF($J120="","",$G120/$J120)</f>
        <v/>
      </c>
      <c r="L120" s="63">
        <f>IF($J120="",0,$K120*MAX(0,MIN(YEAR($C$3)*12+MONTH($C$3),YEAR($I120)*12+MONTH($I120))-(YEAR($H120)*12+MONTH($H120))+1))</f>
        <v/>
      </c>
      <c r="M120" s="63">
        <f>IF($J120="",0,$K120*MAX(0,MIN(YEAR($C$3)*12+MONTH($C$3)-1,YEAR($I120)*12+MONTH($I120))-(YEAR($H120)*12+MONTH($H120))+1))</f>
        <v/>
      </c>
      <c r="N120" s="63">
        <f>IF(OR($J120="",$B120=""),0,IF(YEAR($B120)*12+MONTH($B120)&lt;=YEAR($C$3)*12+MONTH($C$3),$G120,0))</f>
        <v/>
      </c>
      <c r="O120" s="63">
        <f>IF(OR($J120="",$B120=""),0,IF(YEAR($B120)*12+MONTH($B120)&lt;=YEAR($C$3)*12+MONTH($C$3)-1,$G120,0))</f>
        <v/>
      </c>
      <c r="P120" s="63">
        <f>$M120-$O120</f>
        <v/>
      </c>
      <c r="Q120" s="63">
        <f>($L120-$M120)-($N120-$O120)</f>
        <v/>
      </c>
      <c r="R120" s="63">
        <f>$L120-$N120</f>
        <v/>
      </c>
    </row>
    <row r="121">
      <c r="A121" s="60">
        <f>ROW()-5</f>
        <v/>
      </c>
      <c r="B121" s="61">
        <f>IFERROR(INDEX(tbl_Finance[Date],$A121),"")</f>
        <v/>
      </c>
      <c r="C121" s="62">
        <f>IFERROR(INDEX(tbl_Finance[Xero Invoice No],$A121),"")</f>
        <v/>
      </c>
      <c r="D121" s="62">
        <f>IFERROR(INDEX(tbl_Finance[Client],$A121),"")</f>
        <v/>
      </c>
      <c r="E121" s="62">
        <f>IFERROR(INDEX(tbl_Finance[Job Number],$A121),"")</f>
        <v/>
      </c>
      <c r="F121" s="62">
        <f>IFERROR(INDEX(tbl_Finance[Cost Centre],$A121),"")</f>
        <v/>
      </c>
      <c r="G121" s="63">
        <f>IFERROR(INDEX(tbl_Finance[Ex GST],$A121),"")</f>
        <v/>
      </c>
      <c r="H121" s="61">
        <f>IFERROR(INDEX(tbl_Finance[Defer Start],$A121),"")</f>
        <v/>
      </c>
      <c r="I121" s="61">
        <f>IFERROR(INDEX(tbl_Finance[Defer End],$A121),"")</f>
        <v/>
      </c>
      <c r="J121" s="60">
        <f>IF(OR($H121="",$I121="",$G121=""),"",MAX(1,(YEAR($I121)-YEAR($H121))*12+MONTH($I121)-MONTH($H121)+1))</f>
        <v/>
      </c>
      <c r="K121" s="63">
        <f>IF($J121="","",$G121/$J121)</f>
        <v/>
      </c>
      <c r="L121" s="63">
        <f>IF($J121="",0,$K121*MAX(0,MIN(YEAR($C$3)*12+MONTH($C$3),YEAR($I121)*12+MONTH($I121))-(YEAR($H121)*12+MONTH($H121))+1))</f>
        <v/>
      </c>
      <c r="M121" s="63">
        <f>IF($J121="",0,$K121*MAX(0,MIN(YEAR($C$3)*12+MONTH($C$3)-1,YEAR($I121)*12+MONTH($I121))-(YEAR($H121)*12+MONTH($H121))+1))</f>
        <v/>
      </c>
      <c r="N121" s="63">
        <f>IF(OR($J121="",$B121=""),0,IF(YEAR($B121)*12+MONTH($B121)&lt;=YEAR($C$3)*12+MONTH($C$3),$G121,0))</f>
        <v/>
      </c>
      <c r="O121" s="63">
        <f>IF(OR($J121="",$B121=""),0,IF(YEAR($B121)*12+MONTH($B121)&lt;=YEAR($C$3)*12+MONTH($C$3)-1,$G121,0))</f>
        <v/>
      </c>
      <c r="P121" s="63">
        <f>$M121-$O121</f>
        <v/>
      </c>
      <c r="Q121" s="63">
        <f>($L121-$M121)-($N121-$O121)</f>
        <v/>
      </c>
      <c r="R121" s="63">
        <f>$L121-$N121</f>
        <v/>
      </c>
    </row>
    <row r="122">
      <c r="A122" s="60">
        <f>ROW()-5</f>
        <v/>
      </c>
      <c r="B122" s="61">
        <f>IFERROR(INDEX(tbl_Finance[Date],$A122),"")</f>
        <v/>
      </c>
      <c r="C122" s="62">
        <f>IFERROR(INDEX(tbl_Finance[Xero Invoice No],$A122),"")</f>
        <v/>
      </c>
      <c r="D122" s="62">
        <f>IFERROR(INDEX(tbl_Finance[Client],$A122),"")</f>
        <v/>
      </c>
      <c r="E122" s="62">
        <f>IFERROR(INDEX(tbl_Finance[Job Number],$A122),"")</f>
        <v/>
      </c>
      <c r="F122" s="62">
        <f>IFERROR(INDEX(tbl_Finance[Cost Centre],$A122),"")</f>
        <v/>
      </c>
      <c r="G122" s="63">
        <f>IFERROR(INDEX(tbl_Finance[Ex GST],$A122),"")</f>
        <v/>
      </c>
      <c r="H122" s="61">
        <f>IFERROR(INDEX(tbl_Finance[Defer Start],$A122),"")</f>
        <v/>
      </c>
      <c r="I122" s="61">
        <f>IFERROR(INDEX(tbl_Finance[Defer End],$A122),"")</f>
        <v/>
      </c>
      <c r="J122" s="60">
        <f>IF(OR($H122="",$I122="",$G122=""),"",MAX(1,(YEAR($I122)-YEAR($H122))*12+MONTH($I122)-MONTH($H122)+1))</f>
        <v/>
      </c>
      <c r="K122" s="63">
        <f>IF($J122="","",$G122/$J122)</f>
        <v/>
      </c>
      <c r="L122" s="63">
        <f>IF($J122="",0,$K122*MAX(0,MIN(YEAR($C$3)*12+MONTH($C$3),YEAR($I122)*12+MONTH($I122))-(YEAR($H122)*12+MONTH($H122))+1))</f>
        <v/>
      </c>
      <c r="M122" s="63">
        <f>IF($J122="",0,$K122*MAX(0,MIN(YEAR($C$3)*12+MONTH($C$3)-1,YEAR($I122)*12+MONTH($I122))-(YEAR($H122)*12+MONTH($H122))+1))</f>
        <v/>
      </c>
      <c r="N122" s="63">
        <f>IF(OR($J122="",$B122=""),0,IF(YEAR($B122)*12+MONTH($B122)&lt;=YEAR($C$3)*12+MONTH($C$3),$G122,0))</f>
        <v/>
      </c>
      <c r="O122" s="63">
        <f>IF(OR($J122="",$B122=""),0,IF(YEAR($B122)*12+MONTH($B122)&lt;=YEAR($C$3)*12+MONTH($C$3)-1,$G122,0))</f>
        <v/>
      </c>
      <c r="P122" s="63">
        <f>$M122-$O122</f>
        <v/>
      </c>
      <c r="Q122" s="63">
        <f>($L122-$M122)-($N122-$O122)</f>
        <v/>
      </c>
      <c r="R122" s="63">
        <f>$L122-$N122</f>
        <v/>
      </c>
    </row>
    <row r="123">
      <c r="A123" s="60">
        <f>ROW()-5</f>
        <v/>
      </c>
      <c r="B123" s="61">
        <f>IFERROR(INDEX(tbl_Finance[Date],$A123),"")</f>
        <v/>
      </c>
      <c r="C123" s="62">
        <f>IFERROR(INDEX(tbl_Finance[Xero Invoice No],$A123),"")</f>
        <v/>
      </c>
      <c r="D123" s="62">
        <f>IFERROR(INDEX(tbl_Finance[Client],$A123),"")</f>
        <v/>
      </c>
      <c r="E123" s="62">
        <f>IFERROR(INDEX(tbl_Finance[Job Number],$A123),"")</f>
        <v/>
      </c>
      <c r="F123" s="62">
        <f>IFERROR(INDEX(tbl_Finance[Cost Centre],$A123),"")</f>
        <v/>
      </c>
      <c r="G123" s="63">
        <f>IFERROR(INDEX(tbl_Finance[Ex GST],$A123),"")</f>
        <v/>
      </c>
      <c r="H123" s="61">
        <f>IFERROR(INDEX(tbl_Finance[Defer Start],$A123),"")</f>
        <v/>
      </c>
      <c r="I123" s="61">
        <f>IFERROR(INDEX(tbl_Finance[Defer End],$A123),"")</f>
        <v/>
      </c>
      <c r="J123" s="60">
        <f>IF(OR($H123="",$I123="",$G123=""),"",MAX(1,(YEAR($I123)-YEAR($H123))*12+MONTH($I123)-MONTH($H123)+1))</f>
        <v/>
      </c>
      <c r="K123" s="63">
        <f>IF($J123="","",$G123/$J123)</f>
        <v/>
      </c>
      <c r="L123" s="63">
        <f>IF($J123="",0,$K123*MAX(0,MIN(YEAR($C$3)*12+MONTH($C$3),YEAR($I123)*12+MONTH($I123))-(YEAR($H123)*12+MONTH($H123))+1))</f>
        <v/>
      </c>
      <c r="M123" s="63">
        <f>IF($J123="",0,$K123*MAX(0,MIN(YEAR($C$3)*12+MONTH($C$3)-1,YEAR($I123)*12+MONTH($I123))-(YEAR($H123)*12+MONTH($H123))+1))</f>
        <v/>
      </c>
      <c r="N123" s="63">
        <f>IF(OR($J123="",$B123=""),0,IF(YEAR($B123)*12+MONTH($B123)&lt;=YEAR($C$3)*12+MONTH($C$3),$G123,0))</f>
        <v/>
      </c>
      <c r="O123" s="63">
        <f>IF(OR($J123="",$B123=""),0,IF(YEAR($B123)*12+MONTH($B123)&lt;=YEAR($C$3)*12+MONTH($C$3)-1,$G123,0))</f>
        <v/>
      </c>
      <c r="P123" s="63">
        <f>$M123-$O123</f>
        <v/>
      </c>
      <c r="Q123" s="63">
        <f>($L123-$M123)-($N123-$O123)</f>
        <v/>
      </c>
      <c r="R123" s="63">
        <f>$L123-$N123</f>
        <v/>
      </c>
    </row>
    <row r="124">
      <c r="A124" s="60">
        <f>ROW()-5</f>
        <v/>
      </c>
      <c r="B124" s="61">
        <f>IFERROR(INDEX(tbl_Finance[Date],$A124),"")</f>
        <v/>
      </c>
      <c r="C124" s="62">
        <f>IFERROR(INDEX(tbl_Finance[Xero Invoice No],$A124),"")</f>
        <v/>
      </c>
      <c r="D124" s="62">
        <f>IFERROR(INDEX(tbl_Finance[Client],$A124),"")</f>
        <v/>
      </c>
      <c r="E124" s="62">
        <f>IFERROR(INDEX(tbl_Finance[Job Number],$A124),"")</f>
        <v/>
      </c>
      <c r="F124" s="62">
        <f>IFERROR(INDEX(tbl_Finance[Cost Centre],$A124),"")</f>
        <v/>
      </c>
      <c r="G124" s="63">
        <f>IFERROR(INDEX(tbl_Finance[Ex GST],$A124),"")</f>
        <v/>
      </c>
      <c r="H124" s="61">
        <f>IFERROR(INDEX(tbl_Finance[Defer Start],$A124),"")</f>
        <v/>
      </c>
      <c r="I124" s="61">
        <f>IFERROR(INDEX(tbl_Finance[Defer End],$A124),"")</f>
        <v/>
      </c>
      <c r="J124" s="60">
        <f>IF(OR($H124="",$I124="",$G124=""),"",MAX(1,(YEAR($I124)-YEAR($H124))*12+MONTH($I124)-MONTH($H124)+1))</f>
        <v/>
      </c>
      <c r="K124" s="63">
        <f>IF($J124="","",$G124/$J124)</f>
        <v/>
      </c>
      <c r="L124" s="63">
        <f>IF($J124="",0,$K124*MAX(0,MIN(YEAR($C$3)*12+MONTH($C$3),YEAR($I124)*12+MONTH($I124))-(YEAR($H124)*12+MONTH($H124))+1))</f>
        <v/>
      </c>
      <c r="M124" s="63">
        <f>IF($J124="",0,$K124*MAX(0,MIN(YEAR($C$3)*12+MONTH($C$3)-1,YEAR($I124)*12+MONTH($I124))-(YEAR($H124)*12+MONTH($H124))+1))</f>
        <v/>
      </c>
      <c r="N124" s="63">
        <f>IF(OR($J124="",$B124=""),0,IF(YEAR($B124)*12+MONTH($B124)&lt;=YEAR($C$3)*12+MONTH($C$3),$G124,0))</f>
        <v/>
      </c>
      <c r="O124" s="63">
        <f>IF(OR($J124="",$B124=""),0,IF(YEAR($B124)*12+MONTH($B124)&lt;=YEAR($C$3)*12+MONTH($C$3)-1,$G124,0))</f>
        <v/>
      </c>
      <c r="P124" s="63">
        <f>$M124-$O124</f>
        <v/>
      </c>
      <c r="Q124" s="63">
        <f>($L124-$M124)-($N124-$O124)</f>
        <v/>
      </c>
      <c r="R124" s="63">
        <f>$L124-$N124</f>
        <v/>
      </c>
    </row>
    <row r="125">
      <c r="A125" s="60">
        <f>ROW()-5</f>
        <v/>
      </c>
      <c r="B125" s="61">
        <f>IFERROR(INDEX(tbl_Finance[Date],$A125),"")</f>
        <v/>
      </c>
      <c r="C125" s="62">
        <f>IFERROR(INDEX(tbl_Finance[Xero Invoice No],$A125),"")</f>
        <v/>
      </c>
      <c r="D125" s="62">
        <f>IFERROR(INDEX(tbl_Finance[Client],$A125),"")</f>
        <v/>
      </c>
      <c r="E125" s="62">
        <f>IFERROR(INDEX(tbl_Finance[Job Number],$A125),"")</f>
        <v/>
      </c>
      <c r="F125" s="62">
        <f>IFERROR(INDEX(tbl_Finance[Cost Centre],$A125),"")</f>
        <v/>
      </c>
      <c r="G125" s="63">
        <f>IFERROR(INDEX(tbl_Finance[Ex GST],$A125),"")</f>
        <v/>
      </c>
      <c r="H125" s="61">
        <f>IFERROR(INDEX(tbl_Finance[Defer Start],$A125),"")</f>
        <v/>
      </c>
      <c r="I125" s="61">
        <f>IFERROR(INDEX(tbl_Finance[Defer End],$A125),"")</f>
        <v/>
      </c>
      <c r="J125" s="60">
        <f>IF(OR($H125="",$I125="",$G125=""),"",MAX(1,(YEAR($I125)-YEAR($H125))*12+MONTH($I125)-MONTH($H125)+1))</f>
        <v/>
      </c>
      <c r="K125" s="63">
        <f>IF($J125="","",$G125/$J125)</f>
        <v/>
      </c>
      <c r="L125" s="63">
        <f>IF($J125="",0,$K125*MAX(0,MIN(YEAR($C$3)*12+MONTH($C$3),YEAR($I125)*12+MONTH($I125))-(YEAR($H125)*12+MONTH($H125))+1))</f>
        <v/>
      </c>
      <c r="M125" s="63">
        <f>IF($J125="",0,$K125*MAX(0,MIN(YEAR($C$3)*12+MONTH($C$3)-1,YEAR($I125)*12+MONTH($I125))-(YEAR($H125)*12+MONTH($H125))+1))</f>
        <v/>
      </c>
      <c r="N125" s="63">
        <f>IF(OR($J125="",$B125=""),0,IF(YEAR($B125)*12+MONTH($B125)&lt;=YEAR($C$3)*12+MONTH($C$3),$G125,0))</f>
        <v/>
      </c>
      <c r="O125" s="63">
        <f>IF(OR($J125="",$B125=""),0,IF(YEAR($B125)*12+MONTH($B125)&lt;=YEAR($C$3)*12+MONTH($C$3)-1,$G125,0))</f>
        <v/>
      </c>
      <c r="P125" s="63">
        <f>$M125-$O125</f>
        <v/>
      </c>
      <c r="Q125" s="63">
        <f>($L125-$M125)-($N125-$O125)</f>
        <v/>
      </c>
      <c r="R125" s="63">
        <f>$L125-$N125</f>
        <v/>
      </c>
    </row>
    <row r="126">
      <c r="A126" s="60">
        <f>ROW()-5</f>
        <v/>
      </c>
      <c r="B126" s="61">
        <f>IFERROR(INDEX(tbl_Finance[Date],$A126),"")</f>
        <v/>
      </c>
      <c r="C126" s="62">
        <f>IFERROR(INDEX(tbl_Finance[Xero Invoice No],$A126),"")</f>
        <v/>
      </c>
      <c r="D126" s="62">
        <f>IFERROR(INDEX(tbl_Finance[Client],$A126),"")</f>
        <v/>
      </c>
      <c r="E126" s="62">
        <f>IFERROR(INDEX(tbl_Finance[Job Number],$A126),"")</f>
        <v/>
      </c>
      <c r="F126" s="62">
        <f>IFERROR(INDEX(tbl_Finance[Cost Centre],$A126),"")</f>
        <v/>
      </c>
      <c r="G126" s="63">
        <f>IFERROR(INDEX(tbl_Finance[Ex GST],$A126),"")</f>
        <v/>
      </c>
      <c r="H126" s="61">
        <f>IFERROR(INDEX(tbl_Finance[Defer Start],$A126),"")</f>
        <v/>
      </c>
      <c r="I126" s="61">
        <f>IFERROR(INDEX(tbl_Finance[Defer End],$A126),"")</f>
        <v/>
      </c>
      <c r="J126" s="60">
        <f>IF(OR($H126="",$I126="",$G126=""),"",MAX(1,(YEAR($I126)-YEAR($H126))*12+MONTH($I126)-MONTH($H126)+1))</f>
        <v/>
      </c>
      <c r="K126" s="63">
        <f>IF($J126="","",$G126/$J126)</f>
        <v/>
      </c>
      <c r="L126" s="63">
        <f>IF($J126="",0,$K126*MAX(0,MIN(YEAR($C$3)*12+MONTH($C$3),YEAR($I126)*12+MONTH($I126))-(YEAR($H126)*12+MONTH($H126))+1))</f>
        <v/>
      </c>
      <c r="M126" s="63">
        <f>IF($J126="",0,$K126*MAX(0,MIN(YEAR($C$3)*12+MONTH($C$3)-1,YEAR($I126)*12+MONTH($I126))-(YEAR($H126)*12+MONTH($H126))+1))</f>
        <v/>
      </c>
      <c r="N126" s="63">
        <f>IF(OR($J126="",$B126=""),0,IF(YEAR($B126)*12+MONTH($B126)&lt;=YEAR($C$3)*12+MONTH($C$3),$G126,0))</f>
        <v/>
      </c>
      <c r="O126" s="63">
        <f>IF(OR($J126="",$B126=""),0,IF(YEAR($B126)*12+MONTH($B126)&lt;=YEAR($C$3)*12+MONTH($C$3)-1,$G126,0))</f>
        <v/>
      </c>
      <c r="P126" s="63">
        <f>$M126-$O126</f>
        <v/>
      </c>
      <c r="Q126" s="63">
        <f>($L126-$M126)-($N126-$O126)</f>
        <v/>
      </c>
      <c r="R126" s="63">
        <f>$L126-$N126</f>
        <v/>
      </c>
    </row>
    <row r="127">
      <c r="A127" s="60">
        <f>ROW()-5</f>
        <v/>
      </c>
      <c r="B127" s="61">
        <f>IFERROR(INDEX(tbl_Finance[Date],$A127),"")</f>
        <v/>
      </c>
      <c r="C127" s="62">
        <f>IFERROR(INDEX(tbl_Finance[Xero Invoice No],$A127),"")</f>
        <v/>
      </c>
      <c r="D127" s="62">
        <f>IFERROR(INDEX(tbl_Finance[Client],$A127),"")</f>
        <v/>
      </c>
      <c r="E127" s="62">
        <f>IFERROR(INDEX(tbl_Finance[Job Number],$A127),"")</f>
        <v/>
      </c>
      <c r="F127" s="62">
        <f>IFERROR(INDEX(tbl_Finance[Cost Centre],$A127),"")</f>
        <v/>
      </c>
      <c r="G127" s="63">
        <f>IFERROR(INDEX(tbl_Finance[Ex GST],$A127),"")</f>
        <v/>
      </c>
      <c r="H127" s="61">
        <f>IFERROR(INDEX(tbl_Finance[Defer Start],$A127),"")</f>
        <v/>
      </c>
      <c r="I127" s="61">
        <f>IFERROR(INDEX(tbl_Finance[Defer End],$A127),"")</f>
        <v/>
      </c>
      <c r="J127" s="60">
        <f>IF(OR($H127="",$I127="",$G127=""),"",MAX(1,(YEAR($I127)-YEAR($H127))*12+MONTH($I127)-MONTH($H127)+1))</f>
        <v/>
      </c>
      <c r="K127" s="63">
        <f>IF($J127="","",$G127/$J127)</f>
        <v/>
      </c>
      <c r="L127" s="63">
        <f>IF($J127="",0,$K127*MAX(0,MIN(YEAR($C$3)*12+MONTH($C$3),YEAR($I127)*12+MONTH($I127))-(YEAR($H127)*12+MONTH($H127))+1))</f>
        <v/>
      </c>
      <c r="M127" s="63">
        <f>IF($J127="",0,$K127*MAX(0,MIN(YEAR($C$3)*12+MONTH($C$3)-1,YEAR($I127)*12+MONTH($I127))-(YEAR($H127)*12+MONTH($H127))+1))</f>
        <v/>
      </c>
      <c r="N127" s="63">
        <f>IF(OR($J127="",$B127=""),0,IF(YEAR($B127)*12+MONTH($B127)&lt;=YEAR($C$3)*12+MONTH($C$3),$G127,0))</f>
        <v/>
      </c>
      <c r="O127" s="63">
        <f>IF(OR($J127="",$B127=""),0,IF(YEAR($B127)*12+MONTH($B127)&lt;=YEAR($C$3)*12+MONTH($C$3)-1,$G127,0))</f>
        <v/>
      </c>
      <c r="P127" s="63">
        <f>$M127-$O127</f>
        <v/>
      </c>
      <c r="Q127" s="63">
        <f>($L127-$M127)-($N127-$O127)</f>
        <v/>
      </c>
      <c r="R127" s="63">
        <f>$L127-$N127</f>
        <v/>
      </c>
    </row>
    <row r="128">
      <c r="A128" s="60">
        <f>ROW()-5</f>
        <v/>
      </c>
      <c r="B128" s="61">
        <f>IFERROR(INDEX(tbl_Finance[Date],$A128),"")</f>
        <v/>
      </c>
      <c r="C128" s="62">
        <f>IFERROR(INDEX(tbl_Finance[Xero Invoice No],$A128),"")</f>
        <v/>
      </c>
      <c r="D128" s="62">
        <f>IFERROR(INDEX(tbl_Finance[Client],$A128),"")</f>
        <v/>
      </c>
      <c r="E128" s="62">
        <f>IFERROR(INDEX(tbl_Finance[Job Number],$A128),"")</f>
        <v/>
      </c>
      <c r="F128" s="62">
        <f>IFERROR(INDEX(tbl_Finance[Cost Centre],$A128),"")</f>
        <v/>
      </c>
      <c r="G128" s="63">
        <f>IFERROR(INDEX(tbl_Finance[Ex GST],$A128),"")</f>
        <v/>
      </c>
      <c r="H128" s="61">
        <f>IFERROR(INDEX(tbl_Finance[Defer Start],$A128),"")</f>
        <v/>
      </c>
      <c r="I128" s="61">
        <f>IFERROR(INDEX(tbl_Finance[Defer End],$A128),"")</f>
        <v/>
      </c>
      <c r="J128" s="60">
        <f>IF(OR($H128="",$I128="",$G128=""),"",MAX(1,(YEAR($I128)-YEAR($H128))*12+MONTH($I128)-MONTH($H128)+1))</f>
        <v/>
      </c>
      <c r="K128" s="63">
        <f>IF($J128="","",$G128/$J128)</f>
        <v/>
      </c>
      <c r="L128" s="63">
        <f>IF($J128="",0,$K128*MAX(0,MIN(YEAR($C$3)*12+MONTH($C$3),YEAR($I128)*12+MONTH($I128))-(YEAR($H128)*12+MONTH($H128))+1))</f>
        <v/>
      </c>
      <c r="M128" s="63">
        <f>IF($J128="",0,$K128*MAX(0,MIN(YEAR($C$3)*12+MONTH($C$3)-1,YEAR($I128)*12+MONTH($I128))-(YEAR($H128)*12+MONTH($H128))+1))</f>
        <v/>
      </c>
      <c r="N128" s="63">
        <f>IF(OR($J128="",$B128=""),0,IF(YEAR($B128)*12+MONTH($B128)&lt;=YEAR($C$3)*12+MONTH($C$3),$G128,0))</f>
        <v/>
      </c>
      <c r="O128" s="63">
        <f>IF(OR($J128="",$B128=""),0,IF(YEAR($B128)*12+MONTH($B128)&lt;=YEAR($C$3)*12+MONTH($C$3)-1,$G128,0))</f>
        <v/>
      </c>
      <c r="P128" s="63">
        <f>$M128-$O128</f>
        <v/>
      </c>
      <c r="Q128" s="63">
        <f>($L128-$M128)-($N128-$O128)</f>
        <v/>
      </c>
      <c r="R128" s="63">
        <f>$L128-$N128</f>
        <v/>
      </c>
    </row>
    <row r="129">
      <c r="A129" s="60">
        <f>ROW()-5</f>
        <v/>
      </c>
      <c r="B129" s="61">
        <f>IFERROR(INDEX(tbl_Finance[Date],$A129),"")</f>
        <v/>
      </c>
      <c r="C129" s="62">
        <f>IFERROR(INDEX(tbl_Finance[Xero Invoice No],$A129),"")</f>
        <v/>
      </c>
      <c r="D129" s="62">
        <f>IFERROR(INDEX(tbl_Finance[Client],$A129),"")</f>
        <v/>
      </c>
      <c r="E129" s="62">
        <f>IFERROR(INDEX(tbl_Finance[Job Number],$A129),"")</f>
        <v/>
      </c>
      <c r="F129" s="62">
        <f>IFERROR(INDEX(tbl_Finance[Cost Centre],$A129),"")</f>
        <v/>
      </c>
      <c r="G129" s="63">
        <f>IFERROR(INDEX(tbl_Finance[Ex GST],$A129),"")</f>
        <v/>
      </c>
      <c r="H129" s="61">
        <f>IFERROR(INDEX(tbl_Finance[Defer Start],$A129),"")</f>
        <v/>
      </c>
      <c r="I129" s="61">
        <f>IFERROR(INDEX(tbl_Finance[Defer End],$A129),"")</f>
        <v/>
      </c>
      <c r="J129" s="60">
        <f>IF(OR($H129="",$I129="",$G129=""),"",MAX(1,(YEAR($I129)-YEAR($H129))*12+MONTH($I129)-MONTH($H129)+1))</f>
        <v/>
      </c>
      <c r="K129" s="63">
        <f>IF($J129="","",$G129/$J129)</f>
        <v/>
      </c>
      <c r="L129" s="63">
        <f>IF($J129="",0,$K129*MAX(0,MIN(YEAR($C$3)*12+MONTH($C$3),YEAR($I129)*12+MONTH($I129))-(YEAR($H129)*12+MONTH($H129))+1))</f>
        <v/>
      </c>
      <c r="M129" s="63">
        <f>IF($J129="",0,$K129*MAX(0,MIN(YEAR($C$3)*12+MONTH($C$3)-1,YEAR($I129)*12+MONTH($I129))-(YEAR($H129)*12+MONTH($H129))+1))</f>
        <v/>
      </c>
      <c r="N129" s="63">
        <f>IF(OR($J129="",$B129=""),0,IF(YEAR($B129)*12+MONTH($B129)&lt;=YEAR($C$3)*12+MONTH($C$3),$G129,0))</f>
        <v/>
      </c>
      <c r="O129" s="63">
        <f>IF(OR($J129="",$B129=""),0,IF(YEAR($B129)*12+MONTH($B129)&lt;=YEAR($C$3)*12+MONTH($C$3)-1,$G129,0))</f>
        <v/>
      </c>
      <c r="P129" s="63">
        <f>$M129-$O129</f>
        <v/>
      </c>
      <c r="Q129" s="63">
        <f>($L129-$M129)-($N129-$O129)</f>
        <v/>
      </c>
      <c r="R129" s="63">
        <f>$L129-$N129</f>
        <v/>
      </c>
    </row>
    <row r="130">
      <c r="A130" s="60">
        <f>ROW()-5</f>
        <v/>
      </c>
      <c r="B130" s="61">
        <f>IFERROR(INDEX(tbl_Finance[Date],$A130),"")</f>
        <v/>
      </c>
      <c r="C130" s="62">
        <f>IFERROR(INDEX(tbl_Finance[Xero Invoice No],$A130),"")</f>
        <v/>
      </c>
      <c r="D130" s="62">
        <f>IFERROR(INDEX(tbl_Finance[Client],$A130),"")</f>
        <v/>
      </c>
      <c r="E130" s="62">
        <f>IFERROR(INDEX(tbl_Finance[Job Number],$A130),"")</f>
        <v/>
      </c>
      <c r="F130" s="62">
        <f>IFERROR(INDEX(tbl_Finance[Cost Centre],$A130),"")</f>
        <v/>
      </c>
      <c r="G130" s="63">
        <f>IFERROR(INDEX(tbl_Finance[Ex GST],$A130),"")</f>
        <v/>
      </c>
      <c r="H130" s="61">
        <f>IFERROR(INDEX(tbl_Finance[Defer Start],$A130),"")</f>
        <v/>
      </c>
      <c r="I130" s="61">
        <f>IFERROR(INDEX(tbl_Finance[Defer End],$A130),"")</f>
        <v/>
      </c>
      <c r="J130" s="60">
        <f>IF(OR($H130="",$I130="",$G130=""),"",MAX(1,(YEAR($I130)-YEAR($H130))*12+MONTH($I130)-MONTH($H130)+1))</f>
        <v/>
      </c>
      <c r="K130" s="63">
        <f>IF($J130="","",$G130/$J130)</f>
        <v/>
      </c>
      <c r="L130" s="63">
        <f>IF($J130="",0,$K130*MAX(0,MIN(YEAR($C$3)*12+MONTH($C$3),YEAR($I130)*12+MONTH($I130))-(YEAR($H130)*12+MONTH($H130))+1))</f>
        <v/>
      </c>
      <c r="M130" s="63">
        <f>IF($J130="",0,$K130*MAX(0,MIN(YEAR($C$3)*12+MONTH($C$3)-1,YEAR($I130)*12+MONTH($I130))-(YEAR($H130)*12+MONTH($H130))+1))</f>
        <v/>
      </c>
      <c r="N130" s="63">
        <f>IF(OR($J130="",$B130=""),0,IF(YEAR($B130)*12+MONTH($B130)&lt;=YEAR($C$3)*12+MONTH($C$3),$G130,0))</f>
        <v/>
      </c>
      <c r="O130" s="63">
        <f>IF(OR($J130="",$B130=""),0,IF(YEAR($B130)*12+MONTH($B130)&lt;=YEAR($C$3)*12+MONTH($C$3)-1,$G130,0))</f>
        <v/>
      </c>
      <c r="P130" s="63">
        <f>$M130-$O130</f>
        <v/>
      </c>
      <c r="Q130" s="63">
        <f>($L130-$M130)-($N130-$O130)</f>
        <v/>
      </c>
      <c r="R130" s="63">
        <f>$L130-$N130</f>
        <v/>
      </c>
    </row>
    <row r="131">
      <c r="A131" s="60">
        <f>ROW()-5</f>
        <v/>
      </c>
      <c r="B131" s="61">
        <f>IFERROR(INDEX(tbl_Finance[Date],$A131),"")</f>
        <v/>
      </c>
      <c r="C131" s="62">
        <f>IFERROR(INDEX(tbl_Finance[Xero Invoice No],$A131),"")</f>
        <v/>
      </c>
      <c r="D131" s="62">
        <f>IFERROR(INDEX(tbl_Finance[Client],$A131),"")</f>
        <v/>
      </c>
      <c r="E131" s="62">
        <f>IFERROR(INDEX(tbl_Finance[Job Number],$A131),"")</f>
        <v/>
      </c>
      <c r="F131" s="62">
        <f>IFERROR(INDEX(tbl_Finance[Cost Centre],$A131),"")</f>
        <v/>
      </c>
      <c r="G131" s="63">
        <f>IFERROR(INDEX(tbl_Finance[Ex GST],$A131),"")</f>
        <v/>
      </c>
      <c r="H131" s="61">
        <f>IFERROR(INDEX(tbl_Finance[Defer Start],$A131),"")</f>
        <v/>
      </c>
      <c r="I131" s="61">
        <f>IFERROR(INDEX(tbl_Finance[Defer End],$A131),"")</f>
        <v/>
      </c>
      <c r="J131" s="60">
        <f>IF(OR($H131="",$I131="",$G131=""),"",MAX(1,(YEAR($I131)-YEAR($H131))*12+MONTH($I131)-MONTH($H131)+1))</f>
        <v/>
      </c>
      <c r="K131" s="63">
        <f>IF($J131="","",$G131/$J131)</f>
        <v/>
      </c>
      <c r="L131" s="63">
        <f>IF($J131="",0,$K131*MAX(0,MIN(YEAR($C$3)*12+MONTH($C$3),YEAR($I131)*12+MONTH($I131))-(YEAR($H131)*12+MONTH($H131))+1))</f>
        <v/>
      </c>
      <c r="M131" s="63">
        <f>IF($J131="",0,$K131*MAX(0,MIN(YEAR($C$3)*12+MONTH($C$3)-1,YEAR($I131)*12+MONTH($I131))-(YEAR($H131)*12+MONTH($H131))+1))</f>
        <v/>
      </c>
      <c r="N131" s="63">
        <f>IF(OR($J131="",$B131=""),0,IF(YEAR($B131)*12+MONTH($B131)&lt;=YEAR($C$3)*12+MONTH($C$3),$G131,0))</f>
        <v/>
      </c>
      <c r="O131" s="63">
        <f>IF(OR($J131="",$B131=""),0,IF(YEAR($B131)*12+MONTH($B131)&lt;=YEAR($C$3)*12+MONTH($C$3)-1,$G131,0))</f>
        <v/>
      </c>
      <c r="P131" s="63">
        <f>$M131-$O131</f>
        <v/>
      </c>
      <c r="Q131" s="63">
        <f>($L131-$M131)-($N131-$O131)</f>
        <v/>
      </c>
      <c r="R131" s="63">
        <f>$L131-$N131</f>
        <v/>
      </c>
    </row>
    <row r="132">
      <c r="A132" s="60">
        <f>ROW()-5</f>
        <v/>
      </c>
      <c r="B132" s="61">
        <f>IFERROR(INDEX(tbl_Finance[Date],$A132),"")</f>
        <v/>
      </c>
      <c r="C132" s="62">
        <f>IFERROR(INDEX(tbl_Finance[Xero Invoice No],$A132),"")</f>
        <v/>
      </c>
      <c r="D132" s="62">
        <f>IFERROR(INDEX(tbl_Finance[Client],$A132),"")</f>
        <v/>
      </c>
      <c r="E132" s="62">
        <f>IFERROR(INDEX(tbl_Finance[Job Number],$A132),"")</f>
        <v/>
      </c>
      <c r="F132" s="62">
        <f>IFERROR(INDEX(tbl_Finance[Cost Centre],$A132),"")</f>
        <v/>
      </c>
      <c r="G132" s="63">
        <f>IFERROR(INDEX(tbl_Finance[Ex GST],$A132),"")</f>
        <v/>
      </c>
      <c r="H132" s="61">
        <f>IFERROR(INDEX(tbl_Finance[Defer Start],$A132),"")</f>
        <v/>
      </c>
      <c r="I132" s="61">
        <f>IFERROR(INDEX(tbl_Finance[Defer End],$A132),"")</f>
        <v/>
      </c>
      <c r="J132" s="60">
        <f>IF(OR($H132="",$I132="",$G132=""),"",MAX(1,(YEAR($I132)-YEAR($H132))*12+MONTH($I132)-MONTH($H132)+1))</f>
        <v/>
      </c>
      <c r="K132" s="63">
        <f>IF($J132="","",$G132/$J132)</f>
        <v/>
      </c>
      <c r="L132" s="63">
        <f>IF($J132="",0,$K132*MAX(0,MIN(YEAR($C$3)*12+MONTH($C$3),YEAR($I132)*12+MONTH($I132))-(YEAR($H132)*12+MONTH($H132))+1))</f>
        <v/>
      </c>
      <c r="M132" s="63">
        <f>IF($J132="",0,$K132*MAX(0,MIN(YEAR($C$3)*12+MONTH($C$3)-1,YEAR($I132)*12+MONTH($I132))-(YEAR($H132)*12+MONTH($H132))+1))</f>
        <v/>
      </c>
      <c r="N132" s="63">
        <f>IF(OR($J132="",$B132=""),0,IF(YEAR($B132)*12+MONTH($B132)&lt;=YEAR($C$3)*12+MONTH($C$3),$G132,0))</f>
        <v/>
      </c>
      <c r="O132" s="63">
        <f>IF(OR($J132="",$B132=""),0,IF(YEAR($B132)*12+MONTH($B132)&lt;=YEAR($C$3)*12+MONTH($C$3)-1,$G132,0))</f>
        <v/>
      </c>
      <c r="P132" s="63">
        <f>$M132-$O132</f>
        <v/>
      </c>
      <c r="Q132" s="63">
        <f>($L132-$M132)-($N132-$O132)</f>
        <v/>
      </c>
      <c r="R132" s="63">
        <f>$L132-$N132</f>
        <v/>
      </c>
    </row>
    <row r="133">
      <c r="A133" s="60">
        <f>ROW()-5</f>
        <v/>
      </c>
      <c r="B133" s="61">
        <f>IFERROR(INDEX(tbl_Finance[Date],$A133),"")</f>
        <v/>
      </c>
      <c r="C133" s="62">
        <f>IFERROR(INDEX(tbl_Finance[Xero Invoice No],$A133),"")</f>
        <v/>
      </c>
      <c r="D133" s="62">
        <f>IFERROR(INDEX(tbl_Finance[Client],$A133),"")</f>
        <v/>
      </c>
      <c r="E133" s="62">
        <f>IFERROR(INDEX(tbl_Finance[Job Number],$A133),"")</f>
        <v/>
      </c>
      <c r="F133" s="62">
        <f>IFERROR(INDEX(tbl_Finance[Cost Centre],$A133),"")</f>
        <v/>
      </c>
      <c r="G133" s="63">
        <f>IFERROR(INDEX(tbl_Finance[Ex GST],$A133),"")</f>
        <v/>
      </c>
      <c r="H133" s="61">
        <f>IFERROR(INDEX(tbl_Finance[Defer Start],$A133),"")</f>
        <v/>
      </c>
      <c r="I133" s="61">
        <f>IFERROR(INDEX(tbl_Finance[Defer End],$A133),"")</f>
        <v/>
      </c>
      <c r="J133" s="60">
        <f>IF(OR($H133="",$I133="",$G133=""),"",MAX(1,(YEAR($I133)-YEAR($H133))*12+MONTH($I133)-MONTH($H133)+1))</f>
        <v/>
      </c>
      <c r="K133" s="63">
        <f>IF($J133="","",$G133/$J133)</f>
        <v/>
      </c>
      <c r="L133" s="63">
        <f>IF($J133="",0,$K133*MAX(0,MIN(YEAR($C$3)*12+MONTH($C$3),YEAR($I133)*12+MONTH($I133))-(YEAR($H133)*12+MONTH($H133))+1))</f>
        <v/>
      </c>
      <c r="M133" s="63">
        <f>IF($J133="",0,$K133*MAX(0,MIN(YEAR($C$3)*12+MONTH($C$3)-1,YEAR($I133)*12+MONTH($I133))-(YEAR($H133)*12+MONTH($H133))+1))</f>
        <v/>
      </c>
      <c r="N133" s="63">
        <f>IF(OR($J133="",$B133=""),0,IF(YEAR($B133)*12+MONTH($B133)&lt;=YEAR($C$3)*12+MONTH($C$3),$G133,0))</f>
        <v/>
      </c>
      <c r="O133" s="63">
        <f>IF(OR($J133="",$B133=""),0,IF(YEAR($B133)*12+MONTH($B133)&lt;=YEAR($C$3)*12+MONTH($C$3)-1,$G133,0))</f>
        <v/>
      </c>
      <c r="P133" s="63">
        <f>$M133-$O133</f>
        <v/>
      </c>
      <c r="Q133" s="63">
        <f>($L133-$M133)-($N133-$O133)</f>
        <v/>
      </c>
      <c r="R133" s="63">
        <f>$L133-$N133</f>
        <v/>
      </c>
    </row>
    <row r="134">
      <c r="A134" s="60">
        <f>ROW()-5</f>
        <v/>
      </c>
      <c r="B134" s="61">
        <f>IFERROR(INDEX(tbl_Finance[Date],$A134),"")</f>
        <v/>
      </c>
      <c r="C134" s="62">
        <f>IFERROR(INDEX(tbl_Finance[Xero Invoice No],$A134),"")</f>
        <v/>
      </c>
      <c r="D134" s="62">
        <f>IFERROR(INDEX(tbl_Finance[Client],$A134),"")</f>
        <v/>
      </c>
      <c r="E134" s="62">
        <f>IFERROR(INDEX(tbl_Finance[Job Number],$A134),"")</f>
        <v/>
      </c>
      <c r="F134" s="62">
        <f>IFERROR(INDEX(tbl_Finance[Cost Centre],$A134),"")</f>
        <v/>
      </c>
      <c r="G134" s="63">
        <f>IFERROR(INDEX(tbl_Finance[Ex GST],$A134),"")</f>
        <v/>
      </c>
      <c r="H134" s="61">
        <f>IFERROR(INDEX(tbl_Finance[Defer Start],$A134),"")</f>
        <v/>
      </c>
      <c r="I134" s="61">
        <f>IFERROR(INDEX(tbl_Finance[Defer End],$A134),"")</f>
        <v/>
      </c>
      <c r="J134" s="60">
        <f>IF(OR($H134="",$I134="",$G134=""),"",MAX(1,(YEAR($I134)-YEAR($H134))*12+MONTH($I134)-MONTH($H134)+1))</f>
        <v/>
      </c>
      <c r="K134" s="63">
        <f>IF($J134="","",$G134/$J134)</f>
        <v/>
      </c>
      <c r="L134" s="63">
        <f>IF($J134="",0,$K134*MAX(0,MIN(YEAR($C$3)*12+MONTH($C$3),YEAR($I134)*12+MONTH($I134))-(YEAR($H134)*12+MONTH($H134))+1))</f>
        <v/>
      </c>
      <c r="M134" s="63">
        <f>IF($J134="",0,$K134*MAX(0,MIN(YEAR($C$3)*12+MONTH($C$3)-1,YEAR($I134)*12+MONTH($I134))-(YEAR($H134)*12+MONTH($H134))+1))</f>
        <v/>
      </c>
      <c r="N134" s="63">
        <f>IF(OR($J134="",$B134=""),0,IF(YEAR($B134)*12+MONTH($B134)&lt;=YEAR($C$3)*12+MONTH($C$3),$G134,0))</f>
        <v/>
      </c>
      <c r="O134" s="63">
        <f>IF(OR($J134="",$B134=""),0,IF(YEAR($B134)*12+MONTH($B134)&lt;=YEAR($C$3)*12+MONTH($C$3)-1,$G134,0))</f>
        <v/>
      </c>
      <c r="P134" s="63">
        <f>$M134-$O134</f>
        <v/>
      </c>
      <c r="Q134" s="63">
        <f>($L134-$M134)-($N134-$O134)</f>
        <v/>
      </c>
      <c r="R134" s="63">
        <f>$L134-$N134</f>
        <v/>
      </c>
    </row>
    <row r="135">
      <c r="A135" s="60">
        <f>ROW()-5</f>
        <v/>
      </c>
      <c r="B135" s="61">
        <f>IFERROR(INDEX(tbl_Finance[Date],$A135),"")</f>
        <v/>
      </c>
      <c r="C135" s="62">
        <f>IFERROR(INDEX(tbl_Finance[Xero Invoice No],$A135),"")</f>
        <v/>
      </c>
      <c r="D135" s="62">
        <f>IFERROR(INDEX(tbl_Finance[Client],$A135),"")</f>
        <v/>
      </c>
      <c r="E135" s="62">
        <f>IFERROR(INDEX(tbl_Finance[Job Number],$A135),"")</f>
        <v/>
      </c>
      <c r="F135" s="62">
        <f>IFERROR(INDEX(tbl_Finance[Cost Centre],$A135),"")</f>
        <v/>
      </c>
      <c r="G135" s="63">
        <f>IFERROR(INDEX(tbl_Finance[Ex GST],$A135),"")</f>
        <v/>
      </c>
      <c r="H135" s="61">
        <f>IFERROR(INDEX(tbl_Finance[Defer Start],$A135),"")</f>
        <v/>
      </c>
      <c r="I135" s="61">
        <f>IFERROR(INDEX(tbl_Finance[Defer End],$A135),"")</f>
        <v/>
      </c>
      <c r="J135" s="60">
        <f>IF(OR($H135="",$I135="",$G135=""),"",MAX(1,(YEAR($I135)-YEAR($H135))*12+MONTH($I135)-MONTH($H135)+1))</f>
        <v/>
      </c>
      <c r="K135" s="63">
        <f>IF($J135="","",$G135/$J135)</f>
        <v/>
      </c>
      <c r="L135" s="63">
        <f>IF($J135="",0,$K135*MAX(0,MIN(YEAR($C$3)*12+MONTH($C$3),YEAR($I135)*12+MONTH($I135))-(YEAR($H135)*12+MONTH($H135))+1))</f>
        <v/>
      </c>
      <c r="M135" s="63">
        <f>IF($J135="",0,$K135*MAX(0,MIN(YEAR($C$3)*12+MONTH($C$3)-1,YEAR($I135)*12+MONTH($I135))-(YEAR($H135)*12+MONTH($H135))+1))</f>
        <v/>
      </c>
      <c r="N135" s="63">
        <f>IF(OR($J135="",$B135=""),0,IF(YEAR($B135)*12+MONTH($B135)&lt;=YEAR($C$3)*12+MONTH($C$3),$G135,0))</f>
        <v/>
      </c>
      <c r="O135" s="63">
        <f>IF(OR($J135="",$B135=""),0,IF(YEAR($B135)*12+MONTH($B135)&lt;=YEAR($C$3)*12+MONTH($C$3)-1,$G135,0))</f>
        <v/>
      </c>
      <c r="P135" s="63">
        <f>$M135-$O135</f>
        <v/>
      </c>
      <c r="Q135" s="63">
        <f>($L135-$M135)-($N135-$O135)</f>
        <v/>
      </c>
      <c r="R135" s="63">
        <f>$L135-$N135</f>
        <v/>
      </c>
    </row>
    <row r="136">
      <c r="A136" s="60">
        <f>ROW()-5</f>
        <v/>
      </c>
      <c r="B136" s="61">
        <f>IFERROR(INDEX(tbl_Finance[Date],$A136),"")</f>
        <v/>
      </c>
      <c r="C136" s="62">
        <f>IFERROR(INDEX(tbl_Finance[Xero Invoice No],$A136),"")</f>
        <v/>
      </c>
      <c r="D136" s="62">
        <f>IFERROR(INDEX(tbl_Finance[Client],$A136),"")</f>
        <v/>
      </c>
      <c r="E136" s="62">
        <f>IFERROR(INDEX(tbl_Finance[Job Number],$A136),"")</f>
        <v/>
      </c>
      <c r="F136" s="62">
        <f>IFERROR(INDEX(tbl_Finance[Cost Centre],$A136),"")</f>
        <v/>
      </c>
      <c r="G136" s="63">
        <f>IFERROR(INDEX(tbl_Finance[Ex GST],$A136),"")</f>
        <v/>
      </c>
      <c r="H136" s="61">
        <f>IFERROR(INDEX(tbl_Finance[Defer Start],$A136),"")</f>
        <v/>
      </c>
      <c r="I136" s="61">
        <f>IFERROR(INDEX(tbl_Finance[Defer End],$A136),"")</f>
        <v/>
      </c>
      <c r="J136" s="60">
        <f>IF(OR($H136="",$I136="",$G136=""),"",MAX(1,(YEAR($I136)-YEAR($H136))*12+MONTH($I136)-MONTH($H136)+1))</f>
        <v/>
      </c>
      <c r="K136" s="63">
        <f>IF($J136="","",$G136/$J136)</f>
        <v/>
      </c>
      <c r="L136" s="63">
        <f>IF($J136="",0,$K136*MAX(0,MIN(YEAR($C$3)*12+MONTH($C$3),YEAR($I136)*12+MONTH($I136))-(YEAR($H136)*12+MONTH($H136))+1))</f>
        <v/>
      </c>
      <c r="M136" s="63">
        <f>IF($J136="",0,$K136*MAX(0,MIN(YEAR($C$3)*12+MONTH($C$3)-1,YEAR($I136)*12+MONTH($I136))-(YEAR($H136)*12+MONTH($H136))+1))</f>
        <v/>
      </c>
      <c r="N136" s="63">
        <f>IF(OR($J136="",$B136=""),0,IF(YEAR($B136)*12+MONTH($B136)&lt;=YEAR($C$3)*12+MONTH($C$3),$G136,0))</f>
        <v/>
      </c>
      <c r="O136" s="63">
        <f>IF(OR($J136="",$B136=""),0,IF(YEAR($B136)*12+MONTH($B136)&lt;=YEAR($C$3)*12+MONTH($C$3)-1,$G136,0))</f>
        <v/>
      </c>
      <c r="P136" s="63">
        <f>$M136-$O136</f>
        <v/>
      </c>
      <c r="Q136" s="63">
        <f>($L136-$M136)-($N136-$O136)</f>
        <v/>
      </c>
      <c r="R136" s="63">
        <f>$L136-$N136</f>
        <v/>
      </c>
    </row>
    <row r="137">
      <c r="A137" s="60">
        <f>ROW()-5</f>
        <v/>
      </c>
      <c r="B137" s="61">
        <f>IFERROR(INDEX(tbl_Finance[Date],$A137),"")</f>
        <v/>
      </c>
      <c r="C137" s="62">
        <f>IFERROR(INDEX(tbl_Finance[Xero Invoice No],$A137),"")</f>
        <v/>
      </c>
      <c r="D137" s="62">
        <f>IFERROR(INDEX(tbl_Finance[Client],$A137),"")</f>
        <v/>
      </c>
      <c r="E137" s="62">
        <f>IFERROR(INDEX(tbl_Finance[Job Number],$A137),"")</f>
        <v/>
      </c>
      <c r="F137" s="62">
        <f>IFERROR(INDEX(tbl_Finance[Cost Centre],$A137),"")</f>
        <v/>
      </c>
      <c r="G137" s="63">
        <f>IFERROR(INDEX(tbl_Finance[Ex GST],$A137),"")</f>
        <v/>
      </c>
      <c r="H137" s="61">
        <f>IFERROR(INDEX(tbl_Finance[Defer Start],$A137),"")</f>
        <v/>
      </c>
      <c r="I137" s="61">
        <f>IFERROR(INDEX(tbl_Finance[Defer End],$A137),"")</f>
        <v/>
      </c>
      <c r="J137" s="60">
        <f>IF(OR($H137="",$I137="",$G137=""),"",MAX(1,(YEAR($I137)-YEAR($H137))*12+MONTH($I137)-MONTH($H137)+1))</f>
        <v/>
      </c>
      <c r="K137" s="63">
        <f>IF($J137="","",$G137/$J137)</f>
        <v/>
      </c>
      <c r="L137" s="63">
        <f>IF($J137="",0,$K137*MAX(0,MIN(YEAR($C$3)*12+MONTH($C$3),YEAR($I137)*12+MONTH($I137))-(YEAR($H137)*12+MONTH($H137))+1))</f>
        <v/>
      </c>
      <c r="M137" s="63">
        <f>IF($J137="",0,$K137*MAX(0,MIN(YEAR($C$3)*12+MONTH($C$3)-1,YEAR($I137)*12+MONTH($I137))-(YEAR($H137)*12+MONTH($H137))+1))</f>
        <v/>
      </c>
      <c r="N137" s="63">
        <f>IF(OR($J137="",$B137=""),0,IF(YEAR($B137)*12+MONTH($B137)&lt;=YEAR($C$3)*12+MONTH($C$3),$G137,0))</f>
        <v/>
      </c>
      <c r="O137" s="63">
        <f>IF(OR($J137="",$B137=""),0,IF(YEAR($B137)*12+MONTH($B137)&lt;=YEAR($C$3)*12+MONTH($C$3)-1,$G137,0))</f>
        <v/>
      </c>
      <c r="P137" s="63">
        <f>$M137-$O137</f>
        <v/>
      </c>
      <c r="Q137" s="63">
        <f>($L137-$M137)-($N137-$O137)</f>
        <v/>
      </c>
      <c r="R137" s="63">
        <f>$L137-$N137</f>
        <v/>
      </c>
    </row>
    <row r="138">
      <c r="A138" s="60">
        <f>ROW()-5</f>
        <v/>
      </c>
      <c r="B138" s="61">
        <f>IFERROR(INDEX(tbl_Finance[Date],$A138),"")</f>
        <v/>
      </c>
      <c r="C138" s="62">
        <f>IFERROR(INDEX(tbl_Finance[Xero Invoice No],$A138),"")</f>
        <v/>
      </c>
      <c r="D138" s="62">
        <f>IFERROR(INDEX(tbl_Finance[Client],$A138),"")</f>
        <v/>
      </c>
      <c r="E138" s="62">
        <f>IFERROR(INDEX(tbl_Finance[Job Number],$A138),"")</f>
        <v/>
      </c>
      <c r="F138" s="62">
        <f>IFERROR(INDEX(tbl_Finance[Cost Centre],$A138),"")</f>
        <v/>
      </c>
      <c r="G138" s="63">
        <f>IFERROR(INDEX(tbl_Finance[Ex GST],$A138),"")</f>
        <v/>
      </c>
      <c r="H138" s="61">
        <f>IFERROR(INDEX(tbl_Finance[Defer Start],$A138),"")</f>
        <v/>
      </c>
      <c r="I138" s="61">
        <f>IFERROR(INDEX(tbl_Finance[Defer End],$A138),"")</f>
        <v/>
      </c>
      <c r="J138" s="60">
        <f>IF(OR($H138="",$I138="",$G138=""),"",MAX(1,(YEAR($I138)-YEAR($H138))*12+MONTH($I138)-MONTH($H138)+1))</f>
        <v/>
      </c>
      <c r="K138" s="63">
        <f>IF($J138="","",$G138/$J138)</f>
        <v/>
      </c>
      <c r="L138" s="63">
        <f>IF($J138="",0,$K138*MAX(0,MIN(YEAR($C$3)*12+MONTH($C$3),YEAR($I138)*12+MONTH($I138))-(YEAR($H138)*12+MONTH($H138))+1))</f>
        <v/>
      </c>
      <c r="M138" s="63">
        <f>IF($J138="",0,$K138*MAX(0,MIN(YEAR($C$3)*12+MONTH($C$3)-1,YEAR($I138)*12+MONTH($I138))-(YEAR($H138)*12+MONTH($H138))+1))</f>
        <v/>
      </c>
      <c r="N138" s="63">
        <f>IF(OR($J138="",$B138=""),0,IF(YEAR($B138)*12+MONTH($B138)&lt;=YEAR($C$3)*12+MONTH($C$3),$G138,0))</f>
        <v/>
      </c>
      <c r="O138" s="63">
        <f>IF(OR($J138="",$B138=""),0,IF(YEAR($B138)*12+MONTH($B138)&lt;=YEAR($C$3)*12+MONTH($C$3)-1,$G138,0))</f>
        <v/>
      </c>
      <c r="P138" s="63">
        <f>$M138-$O138</f>
        <v/>
      </c>
      <c r="Q138" s="63">
        <f>($L138-$M138)-($N138-$O138)</f>
        <v/>
      </c>
      <c r="R138" s="63">
        <f>$L138-$N138</f>
        <v/>
      </c>
    </row>
    <row r="139">
      <c r="A139" s="60">
        <f>ROW()-5</f>
        <v/>
      </c>
      <c r="B139" s="61">
        <f>IFERROR(INDEX(tbl_Finance[Date],$A139),"")</f>
        <v/>
      </c>
      <c r="C139" s="62">
        <f>IFERROR(INDEX(tbl_Finance[Xero Invoice No],$A139),"")</f>
        <v/>
      </c>
      <c r="D139" s="62">
        <f>IFERROR(INDEX(tbl_Finance[Client],$A139),"")</f>
        <v/>
      </c>
      <c r="E139" s="62">
        <f>IFERROR(INDEX(tbl_Finance[Job Number],$A139),"")</f>
        <v/>
      </c>
      <c r="F139" s="62">
        <f>IFERROR(INDEX(tbl_Finance[Cost Centre],$A139),"")</f>
        <v/>
      </c>
      <c r="G139" s="63">
        <f>IFERROR(INDEX(tbl_Finance[Ex GST],$A139),"")</f>
        <v/>
      </c>
      <c r="H139" s="61">
        <f>IFERROR(INDEX(tbl_Finance[Defer Start],$A139),"")</f>
        <v/>
      </c>
      <c r="I139" s="61">
        <f>IFERROR(INDEX(tbl_Finance[Defer End],$A139),"")</f>
        <v/>
      </c>
      <c r="J139" s="60">
        <f>IF(OR($H139="",$I139="",$G139=""),"",MAX(1,(YEAR($I139)-YEAR($H139))*12+MONTH($I139)-MONTH($H139)+1))</f>
        <v/>
      </c>
      <c r="K139" s="63">
        <f>IF($J139="","",$G139/$J139)</f>
        <v/>
      </c>
      <c r="L139" s="63">
        <f>IF($J139="",0,$K139*MAX(0,MIN(YEAR($C$3)*12+MONTH($C$3),YEAR($I139)*12+MONTH($I139))-(YEAR($H139)*12+MONTH($H139))+1))</f>
        <v/>
      </c>
      <c r="M139" s="63">
        <f>IF($J139="",0,$K139*MAX(0,MIN(YEAR($C$3)*12+MONTH($C$3)-1,YEAR($I139)*12+MONTH($I139))-(YEAR($H139)*12+MONTH($H139))+1))</f>
        <v/>
      </c>
      <c r="N139" s="63">
        <f>IF(OR($J139="",$B139=""),0,IF(YEAR($B139)*12+MONTH($B139)&lt;=YEAR($C$3)*12+MONTH($C$3),$G139,0))</f>
        <v/>
      </c>
      <c r="O139" s="63">
        <f>IF(OR($J139="",$B139=""),0,IF(YEAR($B139)*12+MONTH($B139)&lt;=YEAR($C$3)*12+MONTH($C$3)-1,$G139,0))</f>
        <v/>
      </c>
      <c r="P139" s="63">
        <f>$M139-$O139</f>
        <v/>
      </c>
      <c r="Q139" s="63">
        <f>($L139-$M139)-($N139-$O139)</f>
        <v/>
      </c>
      <c r="R139" s="63">
        <f>$L139-$N139</f>
        <v/>
      </c>
    </row>
    <row r="140">
      <c r="A140" s="60">
        <f>ROW()-5</f>
        <v/>
      </c>
      <c r="B140" s="61">
        <f>IFERROR(INDEX(tbl_Finance[Date],$A140),"")</f>
        <v/>
      </c>
      <c r="C140" s="62">
        <f>IFERROR(INDEX(tbl_Finance[Xero Invoice No],$A140),"")</f>
        <v/>
      </c>
      <c r="D140" s="62">
        <f>IFERROR(INDEX(tbl_Finance[Client],$A140),"")</f>
        <v/>
      </c>
      <c r="E140" s="62">
        <f>IFERROR(INDEX(tbl_Finance[Job Number],$A140),"")</f>
        <v/>
      </c>
      <c r="F140" s="62">
        <f>IFERROR(INDEX(tbl_Finance[Cost Centre],$A140),"")</f>
        <v/>
      </c>
      <c r="G140" s="63">
        <f>IFERROR(INDEX(tbl_Finance[Ex GST],$A140),"")</f>
        <v/>
      </c>
      <c r="H140" s="61">
        <f>IFERROR(INDEX(tbl_Finance[Defer Start],$A140),"")</f>
        <v/>
      </c>
      <c r="I140" s="61">
        <f>IFERROR(INDEX(tbl_Finance[Defer End],$A140),"")</f>
        <v/>
      </c>
      <c r="J140" s="60">
        <f>IF(OR($H140="",$I140="",$G140=""),"",MAX(1,(YEAR($I140)-YEAR($H140))*12+MONTH($I140)-MONTH($H140)+1))</f>
        <v/>
      </c>
      <c r="K140" s="63">
        <f>IF($J140="","",$G140/$J140)</f>
        <v/>
      </c>
      <c r="L140" s="63">
        <f>IF($J140="",0,$K140*MAX(0,MIN(YEAR($C$3)*12+MONTH($C$3),YEAR($I140)*12+MONTH($I140))-(YEAR($H140)*12+MONTH($H140))+1))</f>
        <v/>
      </c>
      <c r="M140" s="63">
        <f>IF($J140="",0,$K140*MAX(0,MIN(YEAR($C$3)*12+MONTH($C$3)-1,YEAR($I140)*12+MONTH($I140))-(YEAR($H140)*12+MONTH($H140))+1))</f>
        <v/>
      </c>
      <c r="N140" s="63">
        <f>IF(OR($J140="",$B140=""),0,IF(YEAR($B140)*12+MONTH($B140)&lt;=YEAR($C$3)*12+MONTH($C$3),$G140,0))</f>
        <v/>
      </c>
      <c r="O140" s="63">
        <f>IF(OR($J140="",$B140=""),0,IF(YEAR($B140)*12+MONTH($B140)&lt;=YEAR($C$3)*12+MONTH($C$3)-1,$G140,0))</f>
        <v/>
      </c>
      <c r="P140" s="63">
        <f>$M140-$O140</f>
        <v/>
      </c>
      <c r="Q140" s="63">
        <f>($L140-$M140)-($N140-$O140)</f>
        <v/>
      </c>
      <c r="R140" s="63">
        <f>$L140-$N140</f>
        <v/>
      </c>
    </row>
    <row r="141">
      <c r="A141" s="60">
        <f>ROW()-5</f>
        <v/>
      </c>
      <c r="B141" s="61">
        <f>IFERROR(INDEX(tbl_Finance[Date],$A141),"")</f>
        <v/>
      </c>
      <c r="C141" s="62">
        <f>IFERROR(INDEX(tbl_Finance[Xero Invoice No],$A141),"")</f>
        <v/>
      </c>
      <c r="D141" s="62">
        <f>IFERROR(INDEX(tbl_Finance[Client],$A141),"")</f>
        <v/>
      </c>
      <c r="E141" s="62">
        <f>IFERROR(INDEX(tbl_Finance[Job Number],$A141),"")</f>
        <v/>
      </c>
      <c r="F141" s="62">
        <f>IFERROR(INDEX(tbl_Finance[Cost Centre],$A141),"")</f>
        <v/>
      </c>
      <c r="G141" s="63">
        <f>IFERROR(INDEX(tbl_Finance[Ex GST],$A141),"")</f>
        <v/>
      </c>
      <c r="H141" s="61">
        <f>IFERROR(INDEX(tbl_Finance[Defer Start],$A141),"")</f>
        <v/>
      </c>
      <c r="I141" s="61">
        <f>IFERROR(INDEX(tbl_Finance[Defer End],$A141),"")</f>
        <v/>
      </c>
      <c r="J141" s="60">
        <f>IF(OR($H141="",$I141="",$G141=""),"",MAX(1,(YEAR($I141)-YEAR($H141))*12+MONTH($I141)-MONTH($H141)+1))</f>
        <v/>
      </c>
      <c r="K141" s="63">
        <f>IF($J141="","",$G141/$J141)</f>
        <v/>
      </c>
      <c r="L141" s="63">
        <f>IF($J141="",0,$K141*MAX(0,MIN(YEAR($C$3)*12+MONTH($C$3),YEAR($I141)*12+MONTH($I141))-(YEAR($H141)*12+MONTH($H141))+1))</f>
        <v/>
      </c>
      <c r="M141" s="63">
        <f>IF($J141="",0,$K141*MAX(0,MIN(YEAR($C$3)*12+MONTH($C$3)-1,YEAR($I141)*12+MONTH($I141))-(YEAR($H141)*12+MONTH($H141))+1))</f>
        <v/>
      </c>
      <c r="N141" s="63">
        <f>IF(OR($J141="",$B141=""),0,IF(YEAR($B141)*12+MONTH($B141)&lt;=YEAR($C$3)*12+MONTH($C$3),$G141,0))</f>
        <v/>
      </c>
      <c r="O141" s="63">
        <f>IF(OR($J141="",$B141=""),0,IF(YEAR($B141)*12+MONTH($B141)&lt;=YEAR($C$3)*12+MONTH($C$3)-1,$G141,0))</f>
        <v/>
      </c>
      <c r="P141" s="63">
        <f>$M141-$O141</f>
        <v/>
      </c>
      <c r="Q141" s="63">
        <f>($L141-$M141)-($N141-$O141)</f>
        <v/>
      </c>
      <c r="R141" s="63">
        <f>$L141-$N141</f>
        <v/>
      </c>
    </row>
    <row r="142">
      <c r="A142" s="60">
        <f>ROW()-5</f>
        <v/>
      </c>
      <c r="B142" s="61">
        <f>IFERROR(INDEX(tbl_Finance[Date],$A142),"")</f>
        <v/>
      </c>
      <c r="C142" s="62">
        <f>IFERROR(INDEX(tbl_Finance[Xero Invoice No],$A142),"")</f>
        <v/>
      </c>
      <c r="D142" s="62">
        <f>IFERROR(INDEX(tbl_Finance[Client],$A142),"")</f>
        <v/>
      </c>
      <c r="E142" s="62">
        <f>IFERROR(INDEX(tbl_Finance[Job Number],$A142),"")</f>
        <v/>
      </c>
      <c r="F142" s="62">
        <f>IFERROR(INDEX(tbl_Finance[Cost Centre],$A142),"")</f>
        <v/>
      </c>
      <c r="G142" s="63">
        <f>IFERROR(INDEX(tbl_Finance[Ex GST],$A142),"")</f>
        <v/>
      </c>
      <c r="H142" s="61">
        <f>IFERROR(INDEX(tbl_Finance[Defer Start],$A142),"")</f>
        <v/>
      </c>
      <c r="I142" s="61">
        <f>IFERROR(INDEX(tbl_Finance[Defer End],$A142),"")</f>
        <v/>
      </c>
      <c r="J142" s="60">
        <f>IF(OR($H142="",$I142="",$G142=""),"",MAX(1,(YEAR($I142)-YEAR($H142))*12+MONTH($I142)-MONTH($H142)+1))</f>
        <v/>
      </c>
      <c r="K142" s="63">
        <f>IF($J142="","",$G142/$J142)</f>
        <v/>
      </c>
      <c r="L142" s="63">
        <f>IF($J142="",0,$K142*MAX(0,MIN(YEAR($C$3)*12+MONTH($C$3),YEAR($I142)*12+MONTH($I142))-(YEAR($H142)*12+MONTH($H142))+1))</f>
        <v/>
      </c>
      <c r="M142" s="63">
        <f>IF($J142="",0,$K142*MAX(0,MIN(YEAR($C$3)*12+MONTH($C$3)-1,YEAR($I142)*12+MONTH($I142))-(YEAR($H142)*12+MONTH($H142))+1))</f>
        <v/>
      </c>
      <c r="N142" s="63">
        <f>IF(OR($J142="",$B142=""),0,IF(YEAR($B142)*12+MONTH($B142)&lt;=YEAR($C$3)*12+MONTH($C$3),$G142,0))</f>
        <v/>
      </c>
      <c r="O142" s="63">
        <f>IF(OR($J142="",$B142=""),0,IF(YEAR($B142)*12+MONTH($B142)&lt;=YEAR($C$3)*12+MONTH($C$3)-1,$G142,0))</f>
        <v/>
      </c>
      <c r="P142" s="63">
        <f>$M142-$O142</f>
        <v/>
      </c>
      <c r="Q142" s="63">
        <f>($L142-$M142)-($N142-$O142)</f>
        <v/>
      </c>
      <c r="R142" s="63">
        <f>$L142-$N142</f>
        <v/>
      </c>
    </row>
    <row r="143">
      <c r="A143" s="60">
        <f>ROW()-5</f>
        <v/>
      </c>
      <c r="B143" s="61">
        <f>IFERROR(INDEX(tbl_Finance[Date],$A143),"")</f>
        <v/>
      </c>
      <c r="C143" s="62">
        <f>IFERROR(INDEX(tbl_Finance[Xero Invoice No],$A143),"")</f>
        <v/>
      </c>
      <c r="D143" s="62">
        <f>IFERROR(INDEX(tbl_Finance[Client],$A143),"")</f>
        <v/>
      </c>
      <c r="E143" s="62">
        <f>IFERROR(INDEX(tbl_Finance[Job Number],$A143),"")</f>
        <v/>
      </c>
      <c r="F143" s="62">
        <f>IFERROR(INDEX(tbl_Finance[Cost Centre],$A143),"")</f>
        <v/>
      </c>
      <c r="G143" s="63">
        <f>IFERROR(INDEX(tbl_Finance[Ex GST],$A143),"")</f>
        <v/>
      </c>
      <c r="H143" s="61">
        <f>IFERROR(INDEX(tbl_Finance[Defer Start],$A143),"")</f>
        <v/>
      </c>
      <c r="I143" s="61">
        <f>IFERROR(INDEX(tbl_Finance[Defer End],$A143),"")</f>
        <v/>
      </c>
      <c r="J143" s="60">
        <f>IF(OR($H143="",$I143="",$G143=""),"",MAX(1,(YEAR($I143)-YEAR($H143))*12+MONTH($I143)-MONTH($H143)+1))</f>
        <v/>
      </c>
      <c r="K143" s="63">
        <f>IF($J143="","",$G143/$J143)</f>
        <v/>
      </c>
      <c r="L143" s="63">
        <f>IF($J143="",0,$K143*MAX(0,MIN(YEAR($C$3)*12+MONTH($C$3),YEAR($I143)*12+MONTH($I143))-(YEAR($H143)*12+MONTH($H143))+1))</f>
        <v/>
      </c>
      <c r="M143" s="63">
        <f>IF($J143="",0,$K143*MAX(0,MIN(YEAR($C$3)*12+MONTH($C$3)-1,YEAR($I143)*12+MONTH($I143))-(YEAR($H143)*12+MONTH($H143))+1))</f>
        <v/>
      </c>
      <c r="N143" s="63">
        <f>IF(OR($J143="",$B143=""),0,IF(YEAR($B143)*12+MONTH($B143)&lt;=YEAR($C$3)*12+MONTH($C$3),$G143,0))</f>
        <v/>
      </c>
      <c r="O143" s="63">
        <f>IF(OR($J143="",$B143=""),0,IF(YEAR($B143)*12+MONTH($B143)&lt;=YEAR($C$3)*12+MONTH($C$3)-1,$G143,0))</f>
        <v/>
      </c>
      <c r="P143" s="63">
        <f>$M143-$O143</f>
        <v/>
      </c>
      <c r="Q143" s="63">
        <f>($L143-$M143)-($N143-$O143)</f>
        <v/>
      </c>
      <c r="R143" s="63">
        <f>$L143-$N143</f>
        <v/>
      </c>
    </row>
    <row r="144">
      <c r="A144" s="60">
        <f>ROW()-5</f>
        <v/>
      </c>
      <c r="B144" s="61">
        <f>IFERROR(INDEX(tbl_Finance[Date],$A144),"")</f>
        <v/>
      </c>
      <c r="C144" s="62">
        <f>IFERROR(INDEX(tbl_Finance[Xero Invoice No],$A144),"")</f>
        <v/>
      </c>
      <c r="D144" s="62">
        <f>IFERROR(INDEX(tbl_Finance[Client],$A144),"")</f>
        <v/>
      </c>
      <c r="E144" s="62">
        <f>IFERROR(INDEX(tbl_Finance[Job Number],$A144),"")</f>
        <v/>
      </c>
      <c r="F144" s="62">
        <f>IFERROR(INDEX(tbl_Finance[Cost Centre],$A144),"")</f>
        <v/>
      </c>
      <c r="G144" s="63">
        <f>IFERROR(INDEX(tbl_Finance[Ex GST],$A144),"")</f>
        <v/>
      </c>
      <c r="H144" s="61">
        <f>IFERROR(INDEX(tbl_Finance[Defer Start],$A144),"")</f>
        <v/>
      </c>
      <c r="I144" s="61">
        <f>IFERROR(INDEX(tbl_Finance[Defer End],$A144),"")</f>
        <v/>
      </c>
      <c r="J144" s="60">
        <f>IF(OR($H144="",$I144="",$G144=""),"",MAX(1,(YEAR($I144)-YEAR($H144))*12+MONTH($I144)-MONTH($H144)+1))</f>
        <v/>
      </c>
      <c r="K144" s="63">
        <f>IF($J144="","",$G144/$J144)</f>
        <v/>
      </c>
      <c r="L144" s="63">
        <f>IF($J144="",0,$K144*MAX(0,MIN(YEAR($C$3)*12+MONTH($C$3),YEAR($I144)*12+MONTH($I144))-(YEAR($H144)*12+MONTH($H144))+1))</f>
        <v/>
      </c>
      <c r="M144" s="63">
        <f>IF($J144="",0,$K144*MAX(0,MIN(YEAR($C$3)*12+MONTH($C$3)-1,YEAR($I144)*12+MONTH($I144))-(YEAR($H144)*12+MONTH($H144))+1))</f>
        <v/>
      </c>
      <c r="N144" s="63">
        <f>IF(OR($J144="",$B144=""),0,IF(YEAR($B144)*12+MONTH($B144)&lt;=YEAR($C$3)*12+MONTH($C$3),$G144,0))</f>
        <v/>
      </c>
      <c r="O144" s="63">
        <f>IF(OR($J144="",$B144=""),0,IF(YEAR($B144)*12+MONTH($B144)&lt;=YEAR($C$3)*12+MONTH($C$3)-1,$G144,0))</f>
        <v/>
      </c>
      <c r="P144" s="63">
        <f>$M144-$O144</f>
        <v/>
      </c>
      <c r="Q144" s="63">
        <f>($L144-$M144)-($N144-$O144)</f>
        <v/>
      </c>
      <c r="R144" s="63">
        <f>$L144-$N144</f>
        <v/>
      </c>
    </row>
    <row r="145">
      <c r="A145" s="60">
        <f>ROW()-5</f>
        <v/>
      </c>
      <c r="B145" s="61">
        <f>IFERROR(INDEX(tbl_Finance[Date],$A145),"")</f>
        <v/>
      </c>
      <c r="C145" s="62">
        <f>IFERROR(INDEX(tbl_Finance[Xero Invoice No],$A145),"")</f>
        <v/>
      </c>
      <c r="D145" s="62">
        <f>IFERROR(INDEX(tbl_Finance[Client],$A145),"")</f>
        <v/>
      </c>
      <c r="E145" s="62">
        <f>IFERROR(INDEX(tbl_Finance[Job Number],$A145),"")</f>
        <v/>
      </c>
      <c r="F145" s="62">
        <f>IFERROR(INDEX(tbl_Finance[Cost Centre],$A145),"")</f>
        <v/>
      </c>
      <c r="G145" s="63">
        <f>IFERROR(INDEX(tbl_Finance[Ex GST],$A145),"")</f>
        <v/>
      </c>
      <c r="H145" s="61">
        <f>IFERROR(INDEX(tbl_Finance[Defer Start],$A145),"")</f>
        <v/>
      </c>
      <c r="I145" s="61">
        <f>IFERROR(INDEX(tbl_Finance[Defer End],$A145),"")</f>
        <v/>
      </c>
      <c r="J145" s="60">
        <f>IF(OR($H145="",$I145="",$G145=""),"",MAX(1,(YEAR($I145)-YEAR($H145))*12+MONTH($I145)-MONTH($H145)+1))</f>
        <v/>
      </c>
      <c r="K145" s="63">
        <f>IF($J145="","",$G145/$J145)</f>
        <v/>
      </c>
      <c r="L145" s="63">
        <f>IF($J145="",0,$K145*MAX(0,MIN(YEAR($C$3)*12+MONTH($C$3),YEAR($I145)*12+MONTH($I145))-(YEAR($H145)*12+MONTH($H145))+1))</f>
        <v/>
      </c>
      <c r="M145" s="63">
        <f>IF($J145="",0,$K145*MAX(0,MIN(YEAR($C$3)*12+MONTH($C$3)-1,YEAR($I145)*12+MONTH($I145))-(YEAR($H145)*12+MONTH($H145))+1))</f>
        <v/>
      </c>
      <c r="N145" s="63">
        <f>IF(OR($J145="",$B145=""),0,IF(YEAR($B145)*12+MONTH($B145)&lt;=YEAR($C$3)*12+MONTH($C$3),$G145,0))</f>
        <v/>
      </c>
      <c r="O145" s="63">
        <f>IF(OR($J145="",$B145=""),0,IF(YEAR($B145)*12+MONTH($B145)&lt;=YEAR($C$3)*12+MONTH($C$3)-1,$G145,0))</f>
        <v/>
      </c>
      <c r="P145" s="63">
        <f>$M145-$O145</f>
        <v/>
      </c>
      <c r="Q145" s="63">
        <f>($L145-$M145)-($N145-$O145)</f>
        <v/>
      </c>
      <c r="R145" s="63">
        <f>$L145-$N145</f>
        <v/>
      </c>
    </row>
    <row r="146">
      <c r="A146" s="60">
        <f>ROW()-5</f>
        <v/>
      </c>
      <c r="B146" s="61">
        <f>IFERROR(INDEX(tbl_Finance[Date],$A146),"")</f>
        <v/>
      </c>
      <c r="C146" s="62">
        <f>IFERROR(INDEX(tbl_Finance[Xero Invoice No],$A146),"")</f>
        <v/>
      </c>
      <c r="D146" s="62">
        <f>IFERROR(INDEX(tbl_Finance[Client],$A146),"")</f>
        <v/>
      </c>
      <c r="E146" s="62">
        <f>IFERROR(INDEX(tbl_Finance[Job Number],$A146),"")</f>
        <v/>
      </c>
      <c r="F146" s="62">
        <f>IFERROR(INDEX(tbl_Finance[Cost Centre],$A146),"")</f>
        <v/>
      </c>
      <c r="G146" s="63">
        <f>IFERROR(INDEX(tbl_Finance[Ex GST],$A146),"")</f>
        <v/>
      </c>
      <c r="H146" s="61">
        <f>IFERROR(INDEX(tbl_Finance[Defer Start],$A146),"")</f>
        <v/>
      </c>
      <c r="I146" s="61">
        <f>IFERROR(INDEX(tbl_Finance[Defer End],$A146),"")</f>
        <v/>
      </c>
      <c r="J146" s="60">
        <f>IF(OR($H146="",$I146="",$G146=""),"",MAX(1,(YEAR($I146)-YEAR($H146))*12+MONTH($I146)-MONTH($H146)+1))</f>
        <v/>
      </c>
      <c r="K146" s="63">
        <f>IF($J146="","",$G146/$J146)</f>
        <v/>
      </c>
      <c r="L146" s="63">
        <f>IF($J146="",0,$K146*MAX(0,MIN(YEAR($C$3)*12+MONTH($C$3),YEAR($I146)*12+MONTH($I146))-(YEAR($H146)*12+MONTH($H146))+1))</f>
        <v/>
      </c>
      <c r="M146" s="63">
        <f>IF($J146="",0,$K146*MAX(0,MIN(YEAR($C$3)*12+MONTH($C$3)-1,YEAR($I146)*12+MONTH($I146))-(YEAR($H146)*12+MONTH($H146))+1))</f>
        <v/>
      </c>
      <c r="N146" s="63">
        <f>IF(OR($J146="",$B146=""),0,IF(YEAR($B146)*12+MONTH($B146)&lt;=YEAR($C$3)*12+MONTH($C$3),$G146,0))</f>
        <v/>
      </c>
      <c r="O146" s="63">
        <f>IF(OR($J146="",$B146=""),0,IF(YEAR($B146)*12+MONTH($B146)&lt;=YEAR($C$3)*12+MONTH($C$3)-1,$G146,0))</f>
        <v/>
      </c>
      <c r="P146" s="63">
        <f>$M146-$O146</f>
        <v/>
      </c>
      <c r="Q146" s="63">
        <f>($L146-$M146)-($N146-$O146)</f>
        <v/>
      </c>
      <c r="R146" s="63">
        <f>$L146-$N146</f>
        <v/>
      </c>
    </row>
    <row r="147">
      <c r="A147" s="60">
        <f>ROW()-5</f>
        <v/>
      </c>
      <c r="B147" s="61">
        <f>IFERROR(INDEX(tbl_Finance[Date],$A147),"")</f>
        <v/>
      </c>
      <c r="C147" s="62">
        <f>IFERROR(INDEX(tbl_Finance[Xero Invoice No],$A147),"")</f>
        <v/>
      </c>
      <c r="D147" s="62">
        <f>IFERROR(INDEX(tbl_Finance[Client],$A147),"")</f>
        <v/>
      </c>
      <c r="E147" s="62">
        <f>IFERROR(INDEX(tbl_Finance[Job Number],$A147),"")</f>
        <v/>
      </c>
      <c r="F147" s="62">
        <f>IFERROR(INDEX(tbl_Finance[Cost Centre],$A147),"")</f>
        <v/>
      </c>
      <c r="G147" s="63">
        <f>IFERROR(INDEX(tbl_Finance[Ex GST],$A147),"")</f>
        <v/>
      </c>
      <c r="H147" s="61">
        <f>IFERROR(INDEX(tbl_Finance[Defer Start],$A147),"")</f>
        <v/>
      </c>
      <c r="I147" s="61">
        <f>IFERROR(INDEX(tbl_Finance[Defer End],$A147),"")</f>
        <v/>
      </c>
      <c r="J147" s="60">
        <f>IF(OR($H147="",$I147="",$G147=""),"",MAX(1,(YEAR($I147)-YEAR($H147))*12+MONTH($I147)-MONTH($H147)+1))</f>
        <v/>
      </c>
      <c r="K147" s="63">
        <f>IF($J147="","",$G147/$J147)</f>
        <v/>
      </c>
      <c r="L147" s="63">
        <f>IF($J147="",0,$K147*MAX(0,MIN(YEAR($C$3)*12+MONTH($C$3),YEAR($I147)*12+MONTH($I147))-(YEAR($H147)*12+MONTH($H147))+1))</f>
        <v/>
      </c>
      <c r="M147" s="63">
        <f>IF($J147="",0,$K147*MAX(0,MIN(YEAR($C$3)*12+MONTH($C$3)-1,YEAR($I147)*12+MONTH($I147))-(YEAR($H147)*12+MONTH($H147))+1))</f>
        <v/>
      </c>
      <c r="N147" s="63">
        <f>IF(OR($J147="",$B147=""),0,IF(YEAR($B147)*12+MONTH($B147)&lt;=YEAR($C$3)*12+MONTH($C$3),$G147,0))</f>
        <v/>
      </c>
      <c r="O147" s="63">
        <f>IF(OR($J147="",$B147=""),0,IF(YEAR($B147)*12+MONTH($B147)&lt;=YEAR($C$3)*12+MONTH($C$3)-1,$G147,0))</f>
        <v/>
      </c>
      <c r="P147" s="63">
        <f>$M147-$O147</f>
        <v/>
      </c>
      <c r="Q147" s="63">
        <f>($L147-$M147)-($N147-$O147)</f>
        <v/>
      </c>
      <c r="R147" s="63">
        <f>$L147-$N147</f>
        <v/>
      </c>
    </row>
    <row r="148">
      <c r="A148" s="60">
        <f>ROW()-5</f>
        <v/>
      </c>
      <c r="B148" s="61">
        <f>IFERROR(INDEX(tbl_Finance[Date],$A148),"")</f>
        <v/>
      </c>
      <c r="C148" s="62">
        <f>IFERROR(INDEX(tbl_Finance[Xero Invoice No],$A148),"")</f>
        <v/>
      </c>
      <c r="D148" s="62">
        <f>IFERROR(INDEX(tbl_Finance[Client],$A148),"")</f>
        <v/>
      </c>
      <c r="E148" s="62">
        <f>IFERROR(INDEX(tbl_Finance[Job Number],$A148),"")</f>
        <v/>
      </c>
      <c r="F148" s="62">
        <f>IFERROR(INDEX(tbl_Finance[Cost Centre],$A148),"")</f>
        <v/>
      </c>
      <c r="G148" s="63">
        <f>IFERROR(INDEX(tbl_Finance[Ex GST],$A148),"")</f>
        <v/>
      </c>
      <c r="H148" s="61">
        <f>IFERROR(INDEX(tbl_Finance[Defer Start],$A148),"")</f>
        <v/>
      </c>
      <c r="I148" s="61">
        <f>IFERROR(INDEX(tbl_Finance[Defer End],$A148),"")</f>
        <v/>
      </c>
      <c r="J148" s="60">
        <f>IF(OR($H148="",$I148="",$G148=""),"",MAX(1,(YEAR($I148)-YEAR($H148))*12+MONTH($I148)-MONTH($H148)+1))</f>
        <v/>
      </c>
      <c r="K148" s="63">
        <f>IF($J148="","",$G148/$J148)</f>
        <v/>
      </c>
      <c r="L148" s="63">
        <f>IF($J148="",0,$K148*MAX(0,MIN(YEAR($C$3)*12+MONTH($C$3),YEAR($I148)*12+MONTH($I148))-(YEAR($H148)*12+MONTH($H148))+1))</f>
        <v/>
      </c>
      <c r="M148" s="63">
        <f>IF($J148="",0,$K148*MAX(0,MIN(YEAR($C$3)*12+MONTH($C$3)-1,YEAR($I148)*12+MONTH($I148))-(YEAR($H148)*12+MONTH($H148))+1))</f>
        <v/>
      </c>
      <c r="N148" s="63">
        <f>IF(OR($J148="",$B148=""),0,IF(YEAR($B148)*12+MONTH($B148)&lt;=YEAR($C$3)*12+MONTH($C$3),$G148,0))</f>
        <v/>
      </c>
      <c r="O148" s="63">
        <f>IF(OR($J148="",$B148=""),0,IF(YEAR($B148)*12+MONTH($B148)&lt;=YEAR($C$3)*12+MONTH($C$3)-1,$G148,0))</f>
        <v/>
      </c>
      <c r="P148" s="63">
        <f>$M148-$O148</f>
        <v/>
      </c>
      <c r="Q148" s="63">
        <f>($L148-$M148)-($N148-$O148)</f>
        <v/>
      </c>
      <c r="R148" s="63">
        <f>$L148-$N148</f>
        <v/>
      </c>
    </row>
    <row r="149">
      <c r="A149" s="60">
        <f>ROW()-5</f>
        <v/>
      </c>
      <c r="B149" s="61">
        <f>IFERROR(INDEX(tbl_Finance[Date],$A149),"")</f>
        <v/>
      </c>
      <c r="C149" s="62">
        <f>IFERROR(INDEX(tbl_Finance[Xero Invoice No],$A149),"")</f>
        <v/>
      </c>
      <c r="D149" s="62">
        <f>IFERROR(INDEX(tbl_Finance[Client],$A149),"")</f>
        <v/>
      </c>
      <c r="E149" s="62">
        <f>IFERROR(INDEX(tbl_Finance[Job Number],$A149),"")</f>
        <v/>
      </c>
      <c r="F149" s="62">
        <f>IFERROR(INDEX(tbl_Finance[Cost Centre],$A149),"")</f>
        <v/>
      </c>
      <c r="G149" s="63">
        <f>IFERROR(INDEX(tbl_Finance[Ex GST],$A149),"")</f>
        <v/>
      </c>
      <c r="H149" s="61">
        <f>IFERROR(INDEX(tbl_Finance[Defer Start],$A149),"")</f>
        <v/>
      </c>
      <c r="I149" s="61">
        <f>IFERROR(INDEX(tbl_Finance[Defer End],$A149),"")</f>
        <v/>
      </c>
      <c r="J149" s="60">
        <f>IF(OR($H149="",$I149="",$G149=""),"",MAX(1,(YEAR($I149)-YEAR($H149))*12+MONTH($I149)-MONTH($H149)+1))</f>
        <v/>
      </c>
      <c r="K149" s="63">
        <f>IF($J149="","",$G149/$J149)</f>
        <v/>
      </c>
      <c r="L149" s="63">
        <f>IF($J149="",0,$K149*MAX(0,MIN(YEAR($C$3)*12+MONTH($C$3),YEAR($I149)*12+MONTH($I149))-(YEAR($H149)*12+MONTH($H149))+1))</f>
        <v/>
      </c>
      <c r="M149" s="63">
        <f>IF($J149="",0,$K149*MAX(0,MIN(YEAR($C$3)*12+MONTH($C$3)-1,YEAR($I149)*12+MONTH($I149))-(YEAR($H149)*12+MONTH($H149))+1))</f>
        <v/>
      </c>
      <c r="N149" s="63">
        <f>IF(OR($J149="",$B149=""),0,IF(YEAR($B149)*12+MONTH($B149)&lt;=YEAR($C$3)*12+MONTH($C$3),$G149,0))</f>
        <v/>
      </c>
      <c r="O149" s="63">
        <f>IF(OR($J149="",$B149=""),0,IF(YEAR($B149)*12+MONTH($B149)&lt;=YEAR($C$3)*12+MONTH($C$3)-1,$G149,0))</f>
        <v/>
      </c>
      <c r="P149" s="63">
        <f>$M149-$O149</f>
        <v/>
      </c>
      <c r="Q149" s="63">
        <f>($L149-$M149)-($N149-$O149)</f>
        <v/>
      </c>
      <c r="R149" s="63">
        <f>$L149-$N149</f>
        <v/>
      </c>
    </row>
    <row r="150">
      <c r="A150" s="60">
        <f>ROW()-5</f>
        <v/>
      </c>
      <c r="B150" s="61">
        <f>IFERROR(INDEX(tbl_Finance[Date],$A150),"")</f>
        <v/>
      </c>
      <c r="C150" s="62">
        <f>IFERROR(INDEX(tbl_Finance[Xero Invoice No],$A150),"")</f>
        <v/>
      </c>
      <c r="D150" s="62">
        <f>IFERROR(INDEX(tbl_Finance[Client],$A150),"")</f>
        <v/>
      </c>
      <c r="E150" s="62">
        <f>IFERROR(INDEX(tbl_Finance[Job Number],$A150),"")</f>
        <v/>
      </c>
      <c r="F150" s="62">
        <f>IFERROR(INDEX(tbl_Finance[Cost Centre],$A150),"")</f>
        <v/>
      </c>
      <c r="G150" s="63">
        <f>IFERROR(INDEX(tbl_Finance[Ex GST],$A150),"")</f>
        <v/>
      </c>
      <c r="H150" s="61">
        <f>IFERROR(INDEX(tbl_Finance[Defer Start],$A150),"")</f>
        <v/>
      </c>
      <c r="I150" s="61">
        <f>IFERROR(INDEX(tbl_Finance[Defer End],$A150),"")</f>
        <v/>
      </c>
      <c r="J150" s="60">
        <f>IF(OR($H150="",$I150="",$G150=""),"",MAX(1,(YEAR($I150)-YEAR($H150))*12+MONTH($I150)-MONTH($H150)+1))</f>
        <v/>
      </c>
      <c r="K150" s="63">
        <f>IF($J150="","",$G150/$J150)</f>
        <v/>
      </c>
      <c r="L150" s="63">
        <f>IF($J150="",0,$K150*MAX(0,MIN(YEAR($C$3)*12+MONTH($C$3),YEAR($I150)*12+MONTH($I150))-(YEAR($H150)*12+MONTH($H150))+1))</f>
        <v/>
      </c>
      <c r="M150" s="63">
        <f>IF($J150="",0,$K150*MAX(0,MIN(YEAR($C$3)*12+MONTH($C$3)-1,YEAR($I150)*12+MONTH($I150))-(YEAR($H150)*12+MONTH($H150))+1))</f>
        <v/>
      </c>
      <c r="N150" s="63">
        <f>IF(OR($J150="",$B150=""),0,IF(YEAR($B150)*12+MONTH($B150)&lt;=YEAR($C$3)*12+MONTH($C$3),$G150,0))</f>
        <v/>
      </c>
      <c r="O150" s="63">
        <f>IF(OR($J150="",$B150=""),0,IF(YEAR($B150)*12+MONTH($B150)&lt;=YEAR($C$3)*12+MONTH($C$3)-1,$G150,0))</f>
        <v/>
      </c>
      <c r="P150" s="63">
        <f>$M150-$O150</f>
        <v/>
      </c>
      <c r="Q150" s="63">
        <f>($L150-$M150)-($N150-$O150)</f>
        <v/>
      </c>
      <c r="R150" s="63">
        <f>$L150-$N150</f>
        <v/>
      </c>
    </row>
    <row r="151">
      <c r="A151" s="60">
        <f>ROW()-5</f>
        <v/>
      </c>
      <c r="B151" s="61">
        <f>IFERROR(INDEX(tbl_Finance[Date],$A151),"")</f>
        <v/>
      </c>
      <c r="C151" s="62">
        <f>IFERROR(INDEX(tbl_Finance[Xero Invoice No],$A151),"")</f>
        <v/>
      </c>
      <c r="D151" s="62">
        <f>IFERROR(INDEX(tbl_Finance[Client],$A151),"")</f>
        <v/>
      </c>
      <c r="E151" s="62">
        <f>IFERROR(INDEX(tbl_Finance[Job Number],$A151),"")</f>
        <v/>
      </c>
      <c r="F151" s="62">
        <f>IFERROR(INDEX(tbl_Finance[Cost Centre],$A151),"")</f>
        <v/>
      </c>
      <c r="G151" s="63">
        <f>IFERROR(INDEX(tbl_Finance[Ex GST],$A151),"")</f>
        <v/>
      </c>
      <c r="H151" s="61">
        <f>IFERROR(INDEX(tbl_Finance[Defer Start],$A151),"")</f>
        <v/>
      </c>
      <c r="I151" s="61">
        <f>IFERROR(INDEX(tbl_Finance[Defer End],$A151),"")</f>
        <v/>
      </c>
      <c r="J151" s="60">
        <f>IF(OR($H151="",$I151="",$G151=""),"",MAX(1,(YEAR($I151)-YEAR($H151))*12+MONTH($I151)-MONTH($H151)+1))</f>
        <v/>
      </c>
      <c r="K151" s="63">
        <f>IF($J151="","",$G151/$J151)</f>
        <v/>
      </c>
      <c r="L151" s="63">
        <f>IF($J151="",0,$K151*MAX(0,MIN(YEAR($C$3)*12+MONTH($C$3),YEAR($I151)*12+MONTH($I151))-(YEAR($H151)*12+MONTH($H151))+1))</f>
        <v/>
      </c>
      <c r="M151" s="63">
        <f>IF($J151="",0,$K151*MAX(0,MIN(YEAR($C$3)*12+MONTH($C$3)-1,YEAR($I151)*12+MONTH($I151))-(YEAR($H151)*12+MONTH($H151))+1))</f>
        <v/>
      </c>
      <c r="N151" s="63">
        <f>IF(OR($J151="",$B151=""),0,IF(YEAR($B151)*12+MONTH($B151)&lt;=YEAR($C$3)*12+MONTH($C$3),$G151,0))</f>
        <v/>
      </c>
      <c r="O151" s="63">
        <f>IF(OR($J151="",$B151=""),0,IF(YEAR($B151)*12+MONTH($B151)&lt;=YEAR($C$3)*12+MONTH($C$3)-1,$G151,0))</f>
        <v/>
      </c>
      <c r="P151" s="63">
        <f>$M151-$O151</f>
        <v/>
      </c>
      <c r="Q151" s="63">
        <f>($L151-$M151)-($N151-$O151)</f>
        <v/>
      </c>
      <c r="R151" s="63">
        <f>$L151-$N151</f>
        <v/>
      </c>
    </row>
    <row r="152">
      <c r="A152" s="60">
        <f>ROW()-5</f>
        <v/>
      </c>
      <c r="B152" s="61">
        <f>IFERROR(INDEX(tbl_Finance[Date],$A152),"")</f>
        <v/>
      </c>
      <c r="C152" s="62">
        <f>IFERROR(INDEX(tbl_Finance[Xero Invoice No],$A152),"")</f>
        <v/>
      </c>
      <c r="D152" s="62">
        <f>IFERROR(INDEX(tbl_Finance[Client],$A152),"")</f>
        <v/>
      </c>
      <c r="E152" s="62">
        <f>IFERROR(INDEX(tbl_Finance[Job Number],$A152),"")</f>
        <v/>
      </c>
      <c r="F152" s="62">
        <f>IFERROR(INDEX(tbl_Finance[Cost Centre],$A152),"")</f>
        <v/>
      </c>
      <c r="G152" s="63">
        <f>IFERROR(INDEX(tbl_Finance[Ex GST],$A152),"")</f>
        <v/>
      </c>
      <c r="H152" s="61">
        <f>IFERROR(INDEX(tbl_Finance[Defer Start],$A152),"")</f>
        <v/>
      </c>
      <c r="I152" s="61">
        <f>IFERROR(INDEX(tbl_Finance[Defer End],$A152),"")</f>
        <v/>
      </c>
      <c r="J152" s="60">
        <f>IF(OR($H152="",$I152="",$G152=""),"",MAX(1,(YEAR($I152)-YEAR($H152))*12+MONTH($I152)-MONTH($H152)+1))</f>
        <v/>
      </c>
      <c r="K152" s="63">
        <f>IF($J152="","",$G152/$J152)</f>
        <v/>
      </c>
      <c r="L152" s="63">
        <f>IF($J152="",0,$K152*MAX(0,MIN(YEAR($C$3)*12+MONTH($C$3),YEAR($I152)*12+MONTH($I152))-(YEAR($H152)*12+MONTH($H152))+1))</f>
        <v/>
      </c>
      <c r="M152" s="63">
        <f>IF($J152="",0,$K152*MAX(0,MIN(YEAR($C$3)*12+MONTH($C$3)-1,YEAR($I152)*12+MONTH($I152))-(YEAR($H152)*12+MONTH($H152))+1))</f>
        <v/>
      </c>
      <c r="N152" s="63">
        <f>IF(OR($J152="",$B152=""),0,IF(YEAR($B152)*12+MONTH($B152)&lt;=YEAR($C$3)*12+MONTH($C$3),$G152,0))</f>
        <v/>
      </c>
      <c r="O152" s="63">
        <f>IF(OR($J152="",$B152=""),0,IF(YEAR($B152)*12+MONTH($B152)&lt;=YEAR($C$3)*12+MONTH($C$3)-1,$G152,0))</f>
        <v/>
      </c>
      <c r="P152" s="63">
        <f>$M152-$O152</f>
        <v/>
      </c>
      <c r="Q152" s="63">
        <f>($L152-$M152)-($N152-$O152)</f>
        <v/>
      </c>
      <c r="R152" s="63">
        <f>$L152-$N152</f>
        <v/>
      </c>
    </row>
    <row r="153">
      <c r="A153" s="60">
        <f>ROW()-5</f>
        <v/>
      </c>
      <c r="B153" s="61">
        <f>IFERROR(INDEX(tbl_Finance[Date],$A153),"")</f>
        <v/>
      </c>
      <c r="C153" s="62">
        <f>IFERROR(INDEX(tbl_Finance[Xero Invoice No],$A153),"")</f>
        <v/>
      </c>
      <c r="D153" s="62">
        <f>IFERROR(INDEX(tbl_Finance[Client],$A153),"")</f>
        <v/>
      </c>
      <c r="E153" s="62">
        <f>IFERROR(INDEX(tbl_Finance[Job Number],$A153),"")</f>
        <v/>
      </c>
      <c r="F153" s="62">
        <f>IFERROR(INDEX(tbl_Finance[Cost Centre],$A153),"")</f>
        <v/>
      </c>
      <c r="G153" s="63">
        <f>IFERROR(INDEX(tbl_Finance[Ex GST],$A153),"")</f>
        <v/>
      </c>
      <c r="H153" s="61">
        <f>IFERROR(INDEX(tbl_Finance[Defer Start],$A153),"")</f>
        <v/>
      </c>
      <c r="I153" s="61">
        <f>IFERROR(INDEX(tbl_Finance[Defer End],$A153),"")</f>
        <v/>
      </c>
      <c r="J153" s="60">
        <f>IF(OR($H153="",$I153="",$G153=""),"",MAX(1,(YEAR($I153)-YEAR($H153))*12+MONTH($I153)-MONTH($H153)+1))</f>
        <v/>
      </c>
      <c r="K153" s="63">
        <f>IF($J153="","",$G153/$J153)</f>
        <v/>
      </c>
      <c r="L153" s="63">
        <f>IF($J153="",0,$K153*MAX(0,MIN(YEAR($C$3)*12+MONTH($C$3),YEAR($I153)*12+MONTH($I153))-(YEAR($H153)*12+MONTH($H153))+1))</f>
        <v/>
      </c>
      <c r="M153" s="63">
        <f>IF($J153="",0,$K153*MAX(0,MIN(YEAR($C$3)*12+MONTH($C$3)-1,YEAR($I153)*12+MONTH($I153))-(YEAR($H153)*12+MONTH($H153))+1))</f>
        <v/>
      </c>
      <c r="N153" s="63">
        <f>IF(OR($J153="",$B153=""),0,IF(YEAR($B153)*12+MONTH($B153)&lt;=YEAR($C$3)*12+MONTH($C$3),$G153,0))</f>
        <v/>
      </c>
      <c r="O153" s="63">
        <f>IF(OR($J153="",$B153=""),0,IF(YEAR($B153)*12+MONTH($B153)&lt;=YEAR($C$3)*12+MONTH($C$3)-1,$G153,0))</f>
        <v/>
      </c>
      <c r="P153" s="63">
        <f>$M153-$O153</f>
        <v/>
      </c>
      <c r="Q153" s="63">
        <f>($L153-$M153)-($N153-$O153)</f>
        <v/>
      </c>
      <c r="R153" s="63">
        <f>$L153-$N153</f>
        <v/>
      </c>
    </row>
    <row r="154">
      <c r="A154" s="60">
        <f>ROW()-5</f>
        <v/>
      </c>
      <c r="B154" s="61">
        <f>IFERROR(INDEX(tbl_Finance[Date],$A154),"")</f>
        <v/>
      </c>
      <c r="C154" s="62">
        <f>IFERROR(INDEX(tbl_Finance[Xero Invoice No],$A154),"")</f>
        <v/>
      </c>
      <c r="D154" s="62">
        <f>IFERROR(INDEX(tbl_Finance[Client],$A154),"")</f>
        <v/>
      </c>
      <c r="E154" s="62">
        <f>IFERROR(INDEX(tbl_Finance[Job Number],$A154),"")</f>
        <v/>
      </c>
      <c r="F154" s="62">
        <f>IFERROR(INDEX(tbl_Finance[Cost Centre],$A154),"")</f>
        <v/>
      </c>
      <c r="G154" s="63">
        <f>IFERROR(INDEX(tbl_Finance[Ex GST],$A154),"")</f>
        <v/>
      </c>
      <c r="H154" s="61">
        <f>IFERROR(INDEX(tbl_Finance[Defer Start],$A154),"")</f>
        <v/>
      </c>
      <c r="I154" s="61">
        <f>IFERROR(INDEX(tbl_Finance[Defer End],$A154),"")</f>
        <v/>
      </c>
      <c r="J154" s="60">
        <f>IF(OR($H154="",$I154="",$G154=""),"",MAX(1,(YEAR($I154)-YEAR($H154))*12+MONTH($I154)-MONTH($H154)+1))</f>
        <v/>
      </c>
      <c r="K154" s="63">
        <f>IF($J154="","",$G154/$J154)</f>
        <v/>
      </c>
      <c r="L154" s="63">
        <f>IF($J154="",0,$K154*MAX(0,MIN(YEAR($C$3)*12+MONTH($C$3),YEAR($I154)*12+MONTH($I154))-(YEAR($H154)*12+MONTH($H154))+1))</f>
        <v/>
      </c>
      <c r="M154" s="63">
        <f>IF($J154="",0,$K154*MAX(0,MIN(YEAR($C$3)*12+MONTH($C$3)-1,YEAR($I154)*12+MONTH($I154))-(YEAR($H154)*12+MONTH($H154))+1))</f>
        <v/>
      </c>
      <c r="N154" s="63">
        <f>IF(OR($J154="",$B154=""),0,IF(YEAR($B154)*12+MONTH($B154)&lt;=YEAR($C$3)*12+MONTH($C$3),$G154,0))</f>
        <v/>
      </c>
      <c r="O154" s="63">
        <f>IF(OR($J154="",$B154=""),0,IF(YEAR($B154)*12+MONTH($B154)&lt;=YEAR($C$3)*12+MONTH($C$3)-1,$G154,0))</f>
        <v/>
      </c>
      <c r="P154" s="63">
        <f>$M154-$O154</f>
        <v/>
      </c>
      <c r="Q154" s="63">
        <f>($L154-$M154)-($N154-$O154)</f>
        <v/>
      </c>
      <c r="R154" s="63">
        <f>$L154-$N154</f>
        <v/>
      </c>
    </row>
    <row r="155">
      <c r="A155" s="60">
        <f>ROW()-5</f>
        <v/>
      </c>
      <c r="B155" s="61">
        <f>IFERROR(INDEX(tbl_Finance[Date],$A155),"")</f>
        <v/>
      </c>
      <c r="C155" s="62">
        <f>IFERROR(INDEX(tbl_Finance[Xero Invoice No],$A155),"")</f>
        <v/>
      </c>
      <c r="D155" s="62">
        <f>IFERROR(INDEX(tbl_Finance[Client],$A155),"")</f>
        <v/>
      </c>
      <c r="E155" s="62">
        <f>IFERROR(INDEX(tbl_Finance[Job Number],$A155),"")</f>
        <v/>
      </c>
      <c r="F155" s="62">
        <f>IFERROR(INDEX(tbl_Finance[Cost Centre],$A155),"")</f>
        <v/>
      </c>
      <c r="G155" s="63">
        <f>IFERROR(INDEX(tbl_Finance[Ex GST],$A155),"")</f>
        <v/>
      </c>
      <c r="H155" s="61">
        <f>IFERROR(INDEX(tbl_Finance[Defer Start],$A155),"")</f>
        <v/>
      </c>
      <c r="I155" s="61">
        <f>IFERROR(INDEX(tbl_Finance[Defer End],$A155),"")</f>
        <v/>
      </c>
      <c r="J155" s="60">
        <f>IF(OR($H155="",$I155="",$G155=""),"",MAX(1,(YEAR($I155)-YEAR($H155))*12+MONTH($I155)-MONTH($H155)+1))</f>
        <v/>
      </c>
      <c r="K155" s="63">
        <f>IF($J155="","",$G155/$J155)</f>
        <v/>
      </c>
      <c r="L155" s="63">
        <f>IF($J155="",0,$K155*MAX(0,MIN(YEAR($C$3)*12+MONTH($C$3),YEAR($I155)*12+MONTH($I155))-(YEAR($H155)*12+MONTH($H155))+1))</f>
        <v/>
      </c>
      <c r="M155" s="63">
        <f>IF($J155="",0,$K155*MAX(0,MIN(YEAR($C$3)*12+MONTH($C$3)-1,YEAR($I155)*12+MONTH($I155))-(YEAR($H155)*12+MONTH($H155))+1))</f>
        <v/>
      </c>
      <c r="N155" s="63">
        <f>IF(OR($J155="",$B155=""),0,IF(YEAR($B155)*12+MONTH($B155)&lt;=YEAR($C$3)*12+MONTH($C$3),$G155,0))</f>
        <v/>
      </c>
      <c r="O155" s="63">
        <f>IF(OR($J155="",$B155=""),0,IF(YEAR($B155)*12+MONTH($B155)&lt;=YEAR($C$3)*12+MONTH($C$3)-1,$G155,0))</f>
        <v/>
      </c>
      <c r="P155" s="63">
        <f>$M155-$O155</f>
        <v/>
      </c>
      <c r="Q155" s="63">
        <f>($L155-$M155)-($N155-$O155)</f>
        <v/>
      </c>
      <c r="R155" s="63">
        <f>$L155-$N155</f>
        <v/>
      </c>
    </row>
    <row r="156">
      <c r="A156" s="60">
        <f>ROW()-5</f>
        <v/>
      </c>
      <c r="B156" s="61">
        <f>IFERROR(INDEX(tbl_Finance[Date],$A156),"")</f>
        <v/>
      </c>
      <c r="C156" s="62">
        <f>IFERROR(INDEX(tbl_Finance[Xero Invoice No],$A156),"")</f>
        <v/>
      </c>
      <c r="D156" s="62">
        <f>IFERROR(INDEX(tbl_Finance[Client],$A156),"")</f>
        <v/>
      </c>
      <c r="E156" s="62">
        <f>IFERROR(INDEX(tbl_Finance[Job Number],$A156),"")</f>
        <v/>
      </c>
      <c r="F156" s="62">
        <f>IFERROR(INDEX(tbl_Finance[Cost Centre],$A156),"")</f>
        <v/>
      </c>
      <c r="G156" s="63">
        <f>IFERROR(INDEX(tbl_Finance[Ex GST],$A156),"")</f>
        <v/>
      </c>
      <c r="H156" s="61">
        <f>IFERROR(INDEX(tbl_Finance[Defer Start],$A156),"")</f>
        <v/>
      </c>
      <c r="I156" s="61">
        <f>IFERROR(INDEX(tbl_Finance[Defer End],$A156),"")</f>
        <v/>
      </c>
      <c r="J156" s="60">
        <f>IF(OR($H156="",$I156="",$G156=""),"",MAX(1,(YEAR($I156)-YEAR($H156))*12+MONTH($I156)-MONTH($H156)+1))</f>
        <v/>
      </c>
      <c r="K156" s="63">
        <f>IF($J156="","",$G156/$J156)</f>
        <v/>
      </c>
      <c r="L156" s="63">
        <f>IF($J156="",0,$K156*MAX(0,MIN(YEAR($C$3)*12+MONTH($C$3),YEAR($I156)*12+MONTH($I156))-(YEAR($H156)*12+MONTH($H156))+1))</f>
        <v/>
      </c>
      <c r="M156" s="63">
        <f>IF($J156="",0,$K156*MAX(0,MIN(YEAR($C$3)*12+MONTH($C$3)-1,YEAR($I156)*12+MONTH($I156))-(YEAR($H156)*12+MONTH($H156))+1))</f>
        <v/>
      </c>
      <c r="N156" s="63">
        <f>IF(OR($J156="",$B156=""),0,IF(YEAR($B156)*12+MONTH($B156)&lt;=YEAR($C$3)*12+MONTH($C$3),$G156,0))</f>
        <v/>
      </c>
      <c r="O156" s="63">
        <f>IF(OR($J156="",$B156=""),0,IF(YEAR($B156)*12+MONTH($B156)&lt;=YEAR($C$3)*12+MONTH($C$3)-1,$G156,0))</f>
        <v/>
      </c>
      <c r="P156" s="63">
        <f>$M156-$O156</f>
        <v/>
      </c>
      <c r="Q156" s="63">
        <f>($L156-$M156)-($N156-$O156)</f>
        <v/>
      </c>
      <c r="R156" s="63">
        <f>$L156-$N156</f>
        <v/>
      </c>
    </row>
    <row r="157">
      <c r="A157" s="60">
        <f>ROW()-5</f>
        <v/>
      </c>
      <c r="B157" s="61">
        <f>IFERROR(INDEX(tbl_Finance[Date],$A157),"")</f>
        <v/>
      </c>
      <c r="C157" s="62">
        <f>IFERROR(INDEX(tbl_Finance[Xero Invoice No],$A157),"")</f>
        <v/>
      </c>
      <c r="D157" s="62">
        <f>IFERROR(INDEX(tbl_Finance[Client],$A157),"")</f>
        <v/>
      </c>
      <c r="E157" s="62">
        <f>IFERROR(INDEX(tbl_Finance[Job Number],$A157),"")</f>
        <v/>
      </c>
      <c r="F157" s="62">
        <f>IFERROR(INDEX(tbl_Finance[Cost Centre],$A157),"")</f>
        <v/>
      </c>
      <c r="G157" s="63">
        <f>IFERROR(INDEX(tbl_Finance[Ex GST],$A157),"")</f>
        <v/>
      </c>
      <c r="H157" s="61">
        <f>IFERROR(INDEX(tbl_Finance[Defer Start],$A157),"")</f>
        <v/>
      </c>
      <c r="I157" s="61">
        <f>IFERROR(INDEX(tbl_Finance[Defer End],$A157),"")</f>
        <v/>
      </c>
      <c r="J157" s="60">
        <f>IF(OR($H157="",$I157="",$G157=""),"",MAX(1,(YEAR($I157)-YEAR($H157))*12+MONTH($I157)-MONTH($H157)+1))</f>
        <v/>
      </c>
      <c r="K157" s="63">
        <f>IF($J157="","",$G157/$J157)</f>
        <v/>
      </c>
      <c r="L157" s="63">
        <f>IF($J157="",0,$K157*MAX(0,MIN(YEAR($C$3)*12+MONTH($C$3),YEAR($I157)*12+MONTH($I157))-(YEAR($H157)*12+MONTH($H157))+1))</f>
        <v/>
      </c>
      <c r="M157" s="63">
        <f>IF($J157="",0,$K157*MAX(0,MIN(YEAR($C$3)*12+MONTH($C$3)-1,YEAR($I157)*12+MONTH($I157))-(YEAR($H157)*12+MONTH($H157))+1))</f>
        <v/>
      </c>
      <c r="N157" s="63">
        <f>IF(OR($J157="",$B157=""),0,IF(YEAR($B157)*12+MONTH($B157)&lt;=YEAR($C$3)*12+MONTH($C$3),$G157,0))</f>
        <v/>
      </c>
      <c r="O157" s="63">
        <f>IF(OR($J157="",$B157=""),0,IF(YEAR($B157)*12+MONTH($B157)&lt;=YEAR($C$3)*12+MONTH($C$3)-1,$G157,0))</f>
        <v/>
      </c>
      <c r="P157" s="63">
        <f>$M157-$O157</f>
        <v/>
      </c>
      <c r="Q157" s="63">
        <f>($L157-$M157)-($N157-$O157)</f>
        <v/>
      </c>
      <c r="R157" s="63">
        <f>$L157-$N157</f>
        <v/>
      </c>
    </row>
    <row r="158">
      <c r="A158" s="60">
        <f>ROW()-5</f>
        <v/>
      </c>
      <c r="B158" s="61">
        <f>IFERROR(INDEX(tbl_Finance[Date],$A158),"")</f>
        <v/>
      </c>
      <c r="C158" s="62">
        <f>IFERROR(INDEX(tbl_Finance[Xero Invoice No],$A158),"")</f>
        <v/>
      </c>
      <c r="D158" s="62">
        <f>IFERROR(INDEX(tbl_Finance[Client],$A158),"")</f>
        <v/>
      </c>
      <c r="E158" s="62">
        <f>IFERROR(INDEX(tbl_Finance[Job Number],$A158),"")</f>
        <v/>
      </c>
      <c r="F158" s="62">
        <f>IFERROR(INDEX(tbl_Finance[Cost Centre],$A158),"")</f>
        <v/>
      </c>
      <c r="G158" s="63">
        <f>IFERROR(INDEX(tbl_Finance[Ex GST],$A158),"")</f>
        <v/>
      </c>
      <c r="H158" s="61">
        <f>IFERROR(INDEX(tbl_Finance[Defer Start],$A158),"")</f>
        <v/>
      </c>
      <c r="I158" s="61">
        <f>IFERROR(INDEX(tbl_Finance[Defer End],$A158),"")</f>
        <v/>
      </c>
      <c r="J158" s="60">
        <f>IF(OR($H158="",$I158="",$G158=""),"",MAX(1,(YEAR($I158)-YEAR($H158))*12+MONTH($I158)-MONTH($H158)+1))</f>
        <v/>
      </c>
      <c r="K158" s="63">
        <f>IF($J158="","",$G158/$J158)</f>
        <v/>
      </c>
      <c r="L158" s="63">
        <f>IF($J158="",0,$K158*MAX(0,MIN(YEAR($C$3)*12+MONTH($C$3),YEAR($I158)*12+MONTH($I158))-(YEAR($H158)*12+MONTH($H158))+1))</f>
        <v/>
      </c>
      <c r="M158" s="63">
        <f>IF($J158="",0,$K158*MAX(0,MIN(YEAR($C$3)*12+MONTH($C$3)-1,YEAR($I158)*12+MONTH($I158))-(YEAR($H158)*12+MONTH($H158))+1))</f>
        <v/>
      </c>
      <c r="N158" s="63">
        <f>IF(OR($J158="",$B158=""),0,IF(YEAR($B158)*12+MONTH($B158)&lt;=YEAR($C$3)*12+MONTH($C$3),$G158,0))</f>
        <v/>
      </c>
      <c r="O158" s="63">
        <f>IF(OR($J158="",$B158=""),0,IF(YEAR($B158)*12+MONTH($B158)&lt;=YEAR($C$3)*12+MONTH($C$3)-1,$G158,0))</f>
        <v/>
      </c>
      <c r="P158" s="63">
        <f>$M158-$O158</f>
        <v/>
      </c>
      <c r="Q158" s="63">
        <f>($L158-$M158)-($N158-$O158)</f>
        <v/>
      </c>
      <c r="R158" s="63">
        <f>$L158-$N158</f>
        <v/>
      </c>
    </row>
    <row r="159">
      <c r="A159" s="60">
        <f>ROW()-5</f>
        <v/>
      </c>
      <c r="B159" s="61">
        <f>IFERROR(INDEX(tbl_Finance[Date],$A159),"")</f>
        <v/>
      </c>
      <c r="C159" s="62">
        <f>IFERROR(INDEX(tbl_Finance[Xero Invoice No],$A159),"")</f>
        <v/>
      </c>
      <c r="D159" s="62">
        <f>IFERROR(INDEX(tbl_Finance[Client],$A159),"")</f>
        <v/>
      </c>
      <c r="E159" s="62">
        <f>IFERROR(INDEX(tbl_Finance[Job Number],$A159),"")</f>
        <v/>
      </c>
      <c r="F159" s="62">
        <f>IFERROR(INDEX(tbl_Finance[Cost Centre],$A159),"")</f>
        <v/>
      </c>
      <c r="G159" s="63">
        <f>IFERROR(INDEX(tbl_Finance[Ex GST],$A159),"")</f>
        <v/>
      </c>
      <c r="H159" s="61">
        <f>IFERROR(INDEX(tbl_Finance[Defer Start],$A159),"")</f>
        <v/>
      </c>
      <c r="I159" s="61">
        <f>IFERROR(INDEX(tbl_Finance[Defer End],$A159),"")</f>
        <v/>
      </c>
      <c r="J159" s="60">
        <f>IF(OR($H159="",$I159="",$G159=""),"",MAX(1,(YEAR($I159)-YEAR($H159))*12+MONTH($I159)-MONTH($H159)+1))</f>
        <v/>
      </c>
      <c r="K159" s="63">
        <f>IF($J159="","",$G159/$J159)</f>
        <v/>
      </c>
      <c r="L159" s="63">
        <f>IF($J159="",0,$K159*MAX(0,MIN(YEAR($C$3)*12+MONTH($C$3),YEAR($I159)*12+MONTH($I159))-(YEAR($H159)*12+MONTH($H159))+1))</f>
        <v/>
      </c>
      <c r="M159" s="63">
        <f>IF($J159="",0,$K159*MAX(0,MIN(YEAR($C$3)*12+MONTH($C$3)-1,YEAR($I159)*12+MONTH($I159))-(YEAR($H159)*12+MONTH($H159))+1))</f>
        <v/>
      </c>
      <c r="N159" s="63">
        <f>IF(OR($J159="",$B159=""),0,IF(YEAR($B159)*12+MONTH($B159)&lt;=YEAR($C$3)*12+MONTH($C$3),$G159,0))</f>
        <v/>
      </c>
      <c r="O159" s="63">
        <f>IF(OR($J159="",$B159=""),0,IF(YEAR($B159)*12+MONTH($B159)&lt;=YEAR($C$3)*12+MONTH($C$3)-1,$G159,0))</f>
        <v/>
      </c>
      <c r="P159" s="63">
        <f>$M159-$O159</f>
        <v/>
      </c>
      <c r="Q159" s="63">
        <f>($L159-$M159)-($N159-$O159)</f>
        <v/>
      </c>
      <c r="R159" s="63">
        <f>$L159-$N159</f>
        <v/>
      </c>
    </row>
    <row r="160">
      <c r="A160" s="60">
        <f>ROW()-5</f>
        <v/>
      </c>
      <c r="B160" s="61">
        <f>IFERROR(INDEX(tbl_Finance[Date],$A160),"")</f>
        <v/>
      </c>
      <c r="C160" s="62">
        <f>IFERROR(INDEX(tbl_Finance[Xero Invoice No],$A160),"")</f>
        <v/>
      </c>
      <c r="D160" s="62">
        <f>IFERROR(INDEX(tbl_Finance[Client],$A160),"")</f>
        <v/>
      </c>
      <c r="E160" s="62">
        <f>IFERROR(INDEX(tbl_Finance[Job Number],$A160),"")</f>
        <v/>
      </c>
      <c r="F160" s="62">
        <f>IFERROR(INDEX(tbl_Finance[Cost Centre],$A160),"")</f>
        <v/>
      </c>
      <c r="G160" s="63">
        <f>IFERROR(INDEX(tbl_Finance[Ex GST],$A160),"")</f>
        <v/>
      </c>
      <c r="H160" s="61">
        <f>IFERROR(INDEX(tbl_Finance[Defer Start],$A160),"")</f>
        <v/>
      </c>
      <c r="I160" s="61">
        <f>IFERROR(INDEX(tbl_Finance[Defer End],$A160),"")</f>
        <v/>
      </c>
      <c r="J160" s="60">
        <f>IF(OR($H160="",$I160="",$G160=""),"",MAX(1,(YEAR($I160)-YEAR($H160))*12+MONTH($I160)-MONTH($H160)+1))</f>
        <v/>
      </c>
      <c r="K160" s="63">
        <f>IF($J160="","",$G160/$J160)</f>
        <v/>
      </c>
      <c r="L160" s="63">
        <f>IF($J160="",0,$K160*MAX(0,MIN(YEAR($C$3)*12+MONTH($C$3),YEAR($I160)*12+MONTH($I160))-(YEAR($H160)*12+MONTH($H160))+1))</f>
        <v/>
      </c>
      <c r="M160" s="63">
        <f>IF($J160="",0,$K160*MAX(0,MIN(YEAR($C$3)*12+MONTH($C$3)-1,YEAR($I160)*12+MONTH($I160))-(YEAR($H160)*12+MONTH($H160))+1))</f>
        <v/>
      </c>
      <c r="N160" s="63">
        <f>IF(OR($J160="",$B160=""),0,IF(YEAR($B160)*12+MONTH($B160)&lt;=YEAR($C$3)*12+MONTH($C$3),$G160,0))</f>
        <v/>
      </c>
      <c r="O160" s="63">
        <f>IF(OR($J160="",$B160=""),0,IF(YEAR($B160)*12+MONTH($B160)&lt;=YEAR($C$3)*12+MONTH($C$3)-1,$G160,0))</f>
        <v/>
      </c>
      <c r="P160" s="63">
        <f>$M160-$O160</f>
        <v/>
      </c>
      <c r="Q160" s="63">
        <f>($L160-$M160)-($N160-$O160)</f>
        <v/>
      </c>
      <c r="R160" s="63">
        <f>$L160-$N160</f>
        <v/>
      </c>
    </row>
    <row r="161">
      <c r="A161" s="60">
        <f>ROW()-5</f>
        <v/>
      </c>
      <c r="B161" s="61">
        <f>IFERROR(INDEX(tbl_Finance[Date],$A161),"")</f>
        <v/>
      </c>
      <c r="C161" s="62">
        <f>IFERROR(INDEX(tbl_Finance[Xero Invoice No],$A161),"")</f>
        <v/>
      </c>
      <c r="D161" s="62">
        <f>IFERROR(INDEX(tbl_Finance[Client],$A161),"")</f>
        <v/>
      </c>
      <c r="E161" s="62">
        <f>IFERROR(INDEX(tbl_Finance[Job Number],$A161),"")</f>
        <v/>
      </c>
      <c r="F161" s="62">
        <f>IFERROR(INDEX(tbl_Finance[Cost Centre],$A161),"")</f>
        <v/>
      </c>
      <c r="G161" s="63">
        <f>IFERROR(INDEX(tbl_Finance[Ex GST],$A161),"")</f>
        <v/>
      </c>
      <c r="H161" s="61">
        <f>IFERROR(INDEX(tbl_Finance[Defer Start],$A161),"")</f>
        <v/>
      </c>
      <c r="I161" s="61">
        <f>IFERROR(INDEX(tbl_Finance[Defer End],$A161),"")</f>
        <v/>
      </c>
      <c r="J161" s="60">
        <f>IF(OR($H161="",$I161="",$G161=""),"",MAX(1,(YEAR($I161)-YEAR($H161))*12+MONTH($I161)-MONTH($H161)+1))</f>
        <v/>
      </c>
      <c r="K161" s="63">
        <f>IF($J161="","",$G161/$J161)</f>
        <v/>
      </c>
      <c r="L161" s="63">
        <f>IF($J161="",0,$K161*MAX(0,MIN(YEAR($C$3)*12+MONTH($C$3),YEAR($I161)*12+MONTH($I161))-(YEAR($H161)*12+MONTH($H161))+1))</f>
        <v/>
      </c>
      <c r="M161" s="63">
        <f>IF($J161="",0,$K161*MAX(0,MIN(YEAR($C$3)*12+MONTH($C$3)-1,YEAR($I161)*12+MONTH($I161))-(YEAR($H161)*12+MONTH($H161))+1))</f>
        <v/>
      </c>
      <c r="N161" s="63">
        <f>IF(OR($J161="",$B161=""),0,IF(YEAR($B161)*12+MONTH($B161)&lt;=YEAR($C$3)*12+MONTH($C$3),$G161,0))</f>
        <v/>
      </c>
      <c r="O161" s="63">
        <f>IF(OR($J161="",$B161=""),0,IF(YEAR($B161)*12+MONTH($B161)&lt;=YEAR($C$3)*12+MONTH($C$3)-1,$G161,0))</f>
        <v/>
      </c>
      <c r="P161" s="63">
        <f>$M161-$O161</f>
        <v/>
      </c>
      <c r="Q161" s="63">
        <f>($L161-$M161)-($N161-$O161)</f>
        <v/>
      </c>
      <c r="R161" s="63">
        <f>$L161-$N161</f>
        <v/>
      </c>
    </row>
    <row r="162">
      <c r="A162" s="60">
        <f>ROW()-5</f>
        <v/>
      </c>
      <c r="B162" s="61">
        <f>IFERROR(INDEX(tbl_Finance[Date],$A162),"")</f>
        <v/>
      </c>
      <c r="C162" s="62">
        <f>IFERROR(INDEX(tbl_Finance[Xero Invoice No],$A162),"")</f>
        <v/>
      </c>
      <c r="D162" s="62">
        <f>IFERROR(INDEX(tbl_Finance[Client],$A162),"")</f>
        <v/>
      </c>
      <c r="E162" s="62">
        <f>IFERROR(INDEX(tbl_Finance[Job Number],$A162),"")</f>
        <v/>
      </c>
      <c r="F162" s="62">
        <f>IFERROR(INDEX(tbl_Finance[Cost Centre],$A162),"")</f>
        <v/>
      </c>
      <c r="G162" s="63">
        <f>IFERROR(INDEX(tbl_Finance[Ex GST],$A162),"")</f>
        <v/>
      </c>
      <c r="H162" s="61">
        <f>IFERROR(INDEX(tbl_Finance[Defer Start],$A162),"")</f>
        <v/>
      </c>
      <c r="I162" s="61">
        <f>IFERROR(INDEX(tbl_Finance[Defer End],$A162),"")</f>
        <v/>
      </c>
      <c r="J162" s="60">
        <f>IF(OR($H162="",$I162="",$G162=""),"",MAX(1,(YEAR($I162)-YEAR($H162))*12+MONTH($I162)-MONTH($H162)+1))</f>
        <v/>
      </c>
      <c r="K162" s="63">
        <f>IF($J162="","",$G162/$J162)</f>
        <v/>
      </c>
      <c r="L162" s="63">
        <f>IF($J162="",0,$K162*MAX(0,MIN(YEAR($C$3)*12+MONTH($C$3),YEAR($I162)*12+MONTH($I162))-(YEAR($H162)*12+MONTH($H162))+1))</f>
        <v/>
      </c>
      <c r="M162" s="63">
        <f>IF($J162="",0,$K162*MAX(0,MIN(YEAR($C$3)*12+MONTH($C$3)-1,YEAR($I162)*12+MONTH($I162))-(YEAR($H162)*12+MONTH($H162))+1))</f>
        <v/>
      </c>
      <c r="N162" s="63">
        <f>IF(OR($J162="",$B162=""),0,IF(YEAR($B162)*12+MONTH($B162)&lt;=YEAR($C$3)*12+MONTH($C$3),$G162,0))</f>
        <v/>
      </c>
      <c r="O162" s="63">
        <f>IF(OR($J162="",$B162=""),0,IF(YEAR($B162)*12+MONTH($B162)&lt;=YEAR($C$3)*12+MONTH($C$3)-1,$G162,0))</f>
        <v/>
      </c>
      <c r="P162" s="63">
        <f>$M162-$O162</f>
        <v/>
      </c>
      <c r="Q162" s="63">
        <f>($L162-$M162)-($N162-$O162)</f>
        <v/>
      </c>
      <c r="R162" s="63">
        <f>$L162-$N162</f>
        <v/>
      </c>
    </row>
    <row r="163">
      <c r="A163" s="60">
        <f>ROW()-5</f>
        <v/>
      </c>
      <c r="B163" s="61">
        <f>IFERROR(INDEX(tbl_Finance[Date],$A163),"")</f>
        <v/>
      </c>
      <c r="C163" s="62">
        <f>IFERROR(INDEX(tbl_Finance[Xero Invoice No],$A163),"")</f>
        <v/>
      </c>
      <c r="D163" s="62">
        <f>IFERROR(INDEX(tbl_Finance[Client],$A163),"")</f>
        <v/>
      </c>
      <c r="E163" s="62">
        <f>IFERROR(INDEX(tbl_Finance[Job Number],$A163),"")</f>
        <v/>
      </c>
      <c r="F163" s="62">
        <f>IFERROR(INDEX(tbl_Finance[Cost Centre],$A163),"")</f>
        <v/>
      </c>
      <c r="G163" s="63">
        <f>IFERROR(INDEX(tbl_Finance[Ex GST],$A163),"")</f>
        <v/>
      </c>
      <c r="H163" s="61">
        <f>IFERROR(INDEX(tbl_Finance[Defer Start],$A163),"")</f>
        <v/>
      </c>
      <c r="I163" s="61">
        <f>IFERROR(INDEX(tbl_Finance[Defer End],$A163),"")</f>
        <v/>
      </c>
      <c r="J163" s="60">
        <f>IF(OR($H163="",$I163="",$G163=""),"",MAX(1,(YEAR($I163)-YEAR($H163))*12+MONTH($I163)-MONTH($H163)+1))</f>
        <v/>
      </c>
      <c r="K163" s="63">
        <f>IF($J163="","",$G163/$J163)</f>
        <v/>
      </c>
      <c r="L163" s="63">
        <f>IF($J163="",0,$K163*MAX(0,MIN(YEAR($C$3)*12+MONTH($C$3),YEAR($I163)*12+MONTH($I163))-(YEAR($H163)*12+MONTH($H163))+1))</f>
        <v/>
      </c>
      <c r="M163" s="63">
        <f>IF($J163="",0,$K163*MAX(0,MIN(YEAR($C$3)*12+MONTH($C$3)-1,YEAR($I163)*12+MONTH($I163))-(YEAR($H163)*12+MONTH($H163))+1))</f>
        <v/>
      </c>
      <c r="N163" s="63">
        <f>IF(OR($J163="",$B163=""),0,IF(YEAR($B163)*12+MONTH($B163)&lt;=YEAR($C$3)*12+MONTH($C$3),$G163,0))</f>
        <v/>
      </c>
      <c r="O163" s="63">
        <f>IF(OR($J163="",$B163=""),0,IF(YEAR($B163)*12+MONTH($B163)&lt;=YEAR($C$3)*12+MONTH($C$3)-1,$G163,0))</f>
        <v/>
      </c>
      <c r="P163" s="63">
        <f>$M163-$O163</f>
        <v/>
      </c>
      <c r="Q163" s="63">
        <f>($L163-$M163)-($N163-$O163)</f>
        <v/>
      </c>
      <c r="R163" s="63">
        <f>$L163-$N163</f>
        <v/>
      </c>
    </row>
    <row r="164">
      <c r="A164" s="60">
        <f>ROW()-5</f>
        <v/>
      </c>
      <c r="B164" s="61">
        <f>IFERROR(INDEX(tbl_Finance[Date],$A164),"")</f>
        <v/>
      </c>
      <c r="C164" s="62">
        <f>IFERROR(INDEX(tbl_Finance[Xero Invoice No],$A164),"")</f>
        <v/>
      </c>
      <c r="D164" s="62">
        <f>IFERROR(INDEX(tbl_Finance[Client],$A164),"")</f>
        <v/>
      </c>
      <c r="E164" s="62">
        <f>IFERROR(INDEX(tbl_Finance[Job Number],$A164),"")</f>
        <v/>
      </c>
      <c r="F164" s="62">
        <f>IFERROR(INDEX(tbl_Finance[Cost Centre],$A164),"")</f>
        <v/>
      </c>
      <c r="G164" s="63">
        <f>IFERROR(INDEX(tbl_Finance[Ex GST],$A164),"")</f>
        <v/>
      </c>
      <c r="H164" s="61">
        <f>IFERROR(INDEX(tbl_Finance[Defer Start],$A164),"")</f>
        <v/>
      </c>
      <c r="I164" s="61">
        <f>IFERROR(INDEX(tbl_Finance[Defer End],$A164),"")</f>
        <v/>
      </c>
      <c r="J164" s="60">
        <f>IF(OR($H164="",$I164="",$G164=""),"",MAX(1,(YEAR($I164)-YEAR($H164))*12+MONTH($I164)-MONTH($H164)+1))</f>
        <v/>
      </c>
      <c r="K164" s="63">
        <f>IF($J164="","",$G164/$J164)</f>
        <v/>
      </c>
      <c r="L164" s="63">
        <f>IF($J164="",0,$K164*MAX(0,MIN(YEAR($C$3)*12+MONTH($C$3),YEAR($I164)*12+MONTH($I164))-(YEAR($H164)*12+MONTH($H164))+1))</f>
        <v/>
      </c>
      <c r="M164" s="63">
        <f>IF($J164="",0,$K164*MAX(0,MIN(YEAR($C$3)*12+MONTH($C$3)-1,YEAR($I164)*12+MONTH($I164))-(YEAR($H164)*12+MONTH($H164))+1))</f>
        <v/>
      </c>
      <c r="N164" s="63">
        <f>IF(OR($J164="",$B164=""),0,IF(YEAR($B164)*12+MONTH($B164)&lt;=YEAR($C$3)*12+MONTH($C$3),$G164,0))</f>
        <v/>
      </c>
      <c r="O164" s="63">
        <f>IF(OR($J164="",$B164=""),0,IF(YEAR($B164)*12+MONTH($B164)&lt;=YEAR($C$3)*12+MONTH($C$3)-1,$G164,0))</f>
        <v/>
      </c>
      <c r="P164" s="63">
        <f>$M164-$O164</f>
        <v/>
      </c>
      <c r="Q164" s="63">
        <f>($L164-$M164)-($N164-$O164)</f>
        <v/>
      </c>
      <c r="R164" s="63">
        <f>$L164-$N164</f>
        <v/>
      </c>
    </row>
    <row r="165">
      <c r="A165" s="60">
        <f>ROW()-5</f>
        <v/>
      </c>
      <c r="B165" s="61">
        <f>IFERROR(INDEX(tbl_Finance[Date],$A165),"")</f>
        <v/>
      </c>
      <c r="C165" s="62">
        <f>IFERROR(INDEX(tbl_Finance[Xero Invoice No],$A165),"")</f>
        <v/>
      </c>
      <c r="D165" s="62">
        <f>IFERROR(INDEX(tbl_Finance[Client],$A165),"")</f>
        <v/>
      </c>
      <c r="E165" s="62">
        <f>IFERROR(INDEX(tbl_Finance[Job Number],$A165),"")</f>
        <v/>
      </c>
      <c r="F165" s="62">
        <f>IFERROR(INDEX(tbl_Finance[Cost Centre],$A165),"")</f>
        <v/>
      </c>
      <c r="G165" s="63">
        <f>IFERROR(INDEX(tbl_Finance[Ex GST],$A165),"")</f>
        <v/>
      </c>
      <c r="H165" s="61">
        <f>IFERROR(INDEX(tbl_Finance[Defer Start],$A165),"")</f>
        <v/>
      </c>
      <c r="I165" s="61">
        <f>IFERROR(INDEX(tbl_Finance[Defer End],$A165),"")</f>
        <v/>
      </c>
      <c r="J165" s="60">
        <f>IF(OR($H165="",$I165="",$G165=""),"",MAX(1,(YEAR($I165)-YEAR($H165))*12+MONTH($I165)-MONTH($H165)+1))</f>
        <v/>
      </c>
      <c r="K165" s="63">
        <f>IF($J165="","",$G165/$J165)</f>
        <v/>
      </c>
      <c r="L165" s="63">
        <f>IF($J165="",0,$K165*MAX(0,MIN(YEAR($C$3)*12+MONTH($C$3),YEAR($I165)*12+MONTH($I165))-(YEAR($H165)*12+MONTH($H165))+1))</f>
        <v/>
      </c>
      <c r="M165" s="63">
        <f>IF($J165="",0,$K165*MAX(0,MIN(YEAR($C$3)*12+MONTH($C$3)-1,YEAR($I165)*12+MONTH($I165))-(YEAR($H165)*12+MONTH($H165))+1))</f>
        <v/>
      </c>
      <c r="N165" s="63">
        <f>IF(OR($J165="",$B165=""),0,IF(YEAR($B165)*12+MONTH($B165)&lt;=YEAR($C$3)*12+MONTH($C$3),$G165,0))</f>
        <v/>
      </c>
      <c r="O165" s="63">
        <f>IF(OR($J165="",$B165=""),0,IF(YEAR($B165)*12+MONTH($B165)&lt;=YEAR($C$3)*12+MONTH($C$3)-1,$G165,0))</f>
        <v/>
      </c>
      <c r="P165" s="63">
        <f>$M165-$O165</f>
        <v/>
      </c>
      <c r="Q165" s="63">
        <f>($L165-$M165)-($N165-$O165)</f>
        <v/>
      </c>
      <c r="R165" s="63">
        <f>$L165-$N165</f>
        <v/>
      </c>
    </row>
    <row r="166">
      <c r="A166" s="60">
        <f>ROW()-5</f>
        <v/>
      </c>
      <c r="B166" s="61">
        <f>IFERROR(INDEX(tbl_Finance[Date],$A166),"")</f>
        <v/>
      </c>
      <c r="C166" s="62">
        <f>IFERROR(INDEX(tbl_Finance[Xero Invoice No],$A166),"")</f>
        <v/>
      </c>
      <c r="D166" s="62">
        <f>IFERROR(INDEX(tbl_Finance[Client],$A166),"")</f>
        <v/>
      </c>
      <c r="E166" s="62">
        <f>IFERROR(INDEX(tbl_Finance[Job Number],$A166),"")</f>
        <v/>
      </c>
      <c r="F166" s="62">
        <f>IFERROR(INDEX(tbl_Finance[Cost Centre],$A166),"")</f>
        <v/>
      </c>
      <c r="G166" s="63">
        <f>IFERROR(INDEX(tbl_Finance[Ex GST],$A166),"")</f>
        <v/>
      </c>
      <c r="H166" s="61">
        <f>IFERROR(INDEX(tbl_Finance[Defer Start],$A166),"")</f>
        <v/>
      </c>
      <c r="I166" s="61">
        <f>IFERROR(INDEX(tbl_Finance[Defer End],$A166),"")</f>
        <v/>
      </c>
      <c r="J166" s="60">
        <f>IF(OR($H166="",$I166="",$G166=""),"",MAX(1,(YEAR($I166)-YEAR($H166))*12+MONTH($I166)-MONTH($H166)+1))</f>
        <v/>
      </c>
      <c r="K166" s="63">
        <f>IF($J166="","",$G166/$J166)</f>
        <v/>
      </c>
      <c r="L166" s="63">
        <f>IF($J166="",0,$K166*MAX(0,MIN(YEAR($C$3)*12+MONTH($C$3),YEAR($I166)*12+MONTH($I166))-(YEAR($H166)*12+MONTH($H166))+1))</f>
        <v/>
      </c>
      <c r="M166" s="63">
        <f>IF($J166="",0,$K166*MAX(0,MIN(YEAR($C$3)*12+MONTH($C$3)-1,YEAR($I166)*12+MONTH($I166))-(YEAR($H166)*12+MONTH($H166))+1))</f>
        <v/>
      </c>
      <c r="N166" s="63">
        <f>IF(OR($J166="",$B166=""),0,IF(YEAR($B166)*12+MONTH($B166)&lt;=YEAR($C$3)*12+MONTH($C$3),$G166,0))</f>
        <v/>
      </c>
      <c r="O166" s="63">
        <f>IF(OR($J166="",$B166=""),0,IF(YEAR($B166)*12+MONTH($B166)&lt;=YEAR($C$3)*12+MONTH($C$3)-1,$G166,0))</f>
        <v/>
      </c>
      <c r="P166" s="63">
        <f>$M166-$O166</f>
        <v/>
      </c>
      <c r="Q166" s="63">
        <f>($L166-$M166)-($N166-$O166)</f>
        <v/>
      </c>
      <c r="R166" s="63">
        <f>$L166-$N166</f>
        <v/>
      </c>
    </row>
    <row r="167">
      <c r="A167" s="60">
        <f>ROW()-5</f>
        <v/>
      </c>
      <c r="B167" s="61">
        <f>IFERROR(INDEX(tbl_Finance[Date],$A167),"")</f>
        <v/>
      </c>
      <c r="C167" s="62">
        <f>IFERROR(INDEX(tbl_Finance[Xero Invoice No],$A167),"")</f>
        <v/>
      </c>
      <c r="D167" s="62">
        <f>IFERROR(INDEX(tbl_Finance[Client],$A167),"")</f>
        <v/>
      </c>
      <c r="E167" s="62">
        <f>IFERROR(INDEX(tbl_Finance[Job Number],$A167),"")</f>
        <v/>
      </c>
      <c r="F167" s="62">
        <f>IFERROR(INDEX(tbl_Finance[Cost Centre],$A167),"")</f>
        <v/>
      </c>
      <c r="G167" s="63">
        <f>IFERROR(INDEX(tbl_Finance[Ex GST],$A167),"")</f>
        <v/>
      </c>
      <c r="H167" s="61">
        <f>IFERROR(INDEX(tbl_Finance[Defer Start],$A167),"")</f>
        <v/>
      </c>
      <c r="I167" s="61">
        <f>IFERROR(INDEX(tbl_Finance[Defer End],$A167),"")</f>
        <v/>
      </c>
      <c r="J167" s="60">
        <f>IF(OR($H167="",$I167="",$G167=""),"",MAX(1,(YEAR($I167)-YEAR($H167))*12+MONTH($I167)-MONTH($H167)+1))</f>
        <v/>
      </c>
      <c r="K167" s="63">
        <f>IF($J167="","",$G167/$J167)</f>
        <v/>
      </c>
      <c r="L167" s="63">
        <f>IF($J167="",0,$K167*MAX(0,MIN(YEAR($C$3)*12+MONTH($C$3),YEAR($I167)*12+MONTH($I167))-(YEAR($H167)*12+MONTH($H167))+1))</f>
        <v/>
      </c>
      <c r="M167" s="63">
        <f>IF($J167="",0,$K167*MAX(0,MIN(YEAR($C$3)*12+MONTH($C$3)-1,YEAR($I167)*12+MONTH($I167))-(YEAR($H167)*12+MONTH($H167))+1))</f>
        <v/>
      </c>
      <c r="N167" s="63">
        <f>IF(OR($J167="",$B167=""),0,IF(YEAR($B167)*12+MONTH($B167)&lt;=YEAR($C$3)*12+MONTH($C$3),$G167,0))</f>
        <v/>
      </c>
      <c r="O167" s="63">
        <f>IF(OR($J167="",$B167=""),0,IF(YEAR($B167)*12+MONTH($B167)&lt;=YEAR($C$3)*12+MONTH($C$3)-1,$G167,0))</f>
        <v/>
      </c>
      <c r="P167" s="63">
        <f>$M167-$O167</f>
        <v/>
      </c>
      <c r="Q167" s="63">
        <f>($L167-$M167)-($N167-$O167)</f>
        <v/>
      </c>
      <c r="R167" s="63">
        <f>$L167-$N167</f>
        <v/>
      </c>
    </row>
    <row r="168">
      <c r="A168" s="60">
        <f>ROW()-5</f>
        <v/>
      </c>
      <c r="B168" s="61">
        <f>IFERROR(INDEX(tbl_Finance[Date],$A168),"")</f>
        <v/>
      </c>
      <c r="C168" s="62">
        <f>IFERROR(INDEX(tbl_Finance[Xero Invoice No],$A168),"")</f>
        <v/>
      </c>
      <c r="D168" s="62">
        <f>IFERROR(INDEX(tbl_Finance[Client],$A168),"")</f>
        <v/>
      </c>
      <c r="E168" s="62">
        <f>IFERROR(INDEX(tbl_Finance[Job Number],$A168),"")</f>
        <v/>
      </c>
      <c r="F168" s="62">
        <f>IFERROR(INDEX(tbl_Finance[Cost Centre],$A168),"")</f>
        <v/>
      </c>
      <c r="G168" s="63">
        <f>IFERROR(INDEX(tbl_Finance[Ex GST],$A168),"")</f>
        <v/>
      </c>
      <c r="H168" s="61">
        <f>IFERROR(INDEX(tbl_Finance[Defer Start],$A168),"")</f>
        <v/>
      </c>
      <c r="I168" s="61">
        <f>IFERROR(INDEX(tbl_Finance[Defer End],$A168),"")</f>
        <v/>
      </c>
      <c r="J168" s="60">
        <f>IF(OR($H168="",$I168="",$G168=""),"",MAX(1,(YEAR($I168)-YEAR($H168))*12+MONTH($I168)-MONTH($H168)+1))</f>
        <v/>
      </c>
      <c r="K168" s="63">
        <f>IF($J168="","",$G168/$J168)</f>
        <v/>
      </c>
      <c r="L168" s="63">
        <f>IF($J168="",0,$K168*MAX(0,MIN(YEAR($C$3)*12+MONTH($C$3),YEAR($I168)*12+MONTH($I168))-(YEAR($H168)*12+MONTH($H168))+1))</f>
        <v/>
      </c>
      <c r="M168" s="63">
        <f>IF($J168="",0,$K168*MAX(0,MIN(YEAR($C$3)*12+MONTH($C$3)-1,YEAR($I168)*12+MONTH($I168))-(YEAR($H168)*12+MONTH($H168))+1))</f>
        <v/>
      </c>
      <c r="N168" s="63">
        <f>IF(OR($J168="",$B168=""),0,IF(YEAR($B168)*12+MONTH($B168)&lt;=YEAR($C$3)*12+MONTH($C$3),$G168,0))</f>
        <v/>
      </c>
      <c r="O168" s="63">
        <f>IF(OR($J168="",$B168=""),0,IF(YEAR($B168)*12+MONTH($B168)&lt;=YEAR($C$3)*12+MONTH($C$3)-1,$G168,0))</f>
        <v/>
      </c>
      <c r="P168" s="63">
        <f>$M168-$O168</f>
        <v/>
      </c>
      <c r="Q168" s="63">
        <f>($L168-$M168)-($N168-$O168)</f>
        <v/>
      </c>
      <c r="R168" s="63">
        <f>$L168-$N168</f>
        <v/>
      </c>
    </row>
    <row r="169">
      <c r="A169" s="60">
        <f>ROW()-5</f>
        <v/>
      </c>
      <c r="B169" s="61">
        <f>IFERROR(INDEX(tbl_Finance[Date],$A169),"")</f>
        <v/>
      </c>
      <c r="C169" s="62">
        <f>IFERROR(INDEX(tbl_Finance[Xero Invoice No],$A169),"")</f>
        <v/>
      </c>
      <c r="D169" s="62">
        <f>IFERROR(INDEX(tbl_Finance[Client],$A169),"")</f>
        <v/>
      </c>
      <c r="E169" s="62">
        <f>IFERROR(INDEX(tbl_Finance[Job Number],$A169),"")</f>
        <v/>
      </c>
      <c r="F169" s="62">
        <f>IFERROR(INDEX(tbl_Finance[Cost Centre],$A169),"")</f>
        <v/>
      </c>
      <c r="G169" s="63">
        <f>IFERROR(INDEX(tbl_Finance[Ex GST],$A169),"")</f>
        <v/>
      </c>
      <c r="H169" s="61">
        <f>IFERROR(INDEX(tbl_Finance[Defer Start],$A169),"")</f>
        <v/>
      </c>
      <c r="I169" s="61">
        <f>IFERROR(INDEX(tbl_Finance[Defer End],$A169),"")</f>
        <v/>
      </c>
      <c r="J169" s="60">
        <f>IF(OR($H169="",$I169="",$G169=""),"",MAX(1,(YEAR($I169)-YEAR($H169))*12+MONTH($I169)-MONTH($H169)+1))</f>
        <v/>
      </c>
      <c r="K169" s="63">
        <f>IF($J169="","",$G169/$J169)</f>
        <v/>
      </c>
      <c r="L169" s="63">
        <f>IF($J169="",0,$K169*MAX(0,MIN(YEAR($C$3)*12+MONTH($C$3),YEAR($I169)*12+MONTH($I169))-(YEAR($H169)*12+MONTH($H169))+1))</f>
        <v/>
      </c>
      <c r="M169" s="63">
        <f>IF($J169="",0,$K169*MAX(0,MIN(YEAR($C$3)*12+MONTH($C$3)-1,YEAR($I169)*12+MONTH($I169))-(YEAR($H169)*12+MONTH($H169))+1))</f>
        <v/>
      </c>
      <c r="N169" s="63">
        <f>IF(OR($J169="",$B169=""),0,IF(YEAR($B169)*12+MONTH($B169)&lt;=YEAR($C$3)*12+MONTH($C$3),$G169,0))</f>
        <v/>
      </c>
      <c r="O169" s="63">
        <f>IF(OR($J169="",$B169=""),0,IF(YEAR($B169)*12+MONTH($B169)&lt;=YEAR($C$3)*12+MONTH($C$3)-1,$G169,0))</f>
        <v/>
      </c>
      <c r="P169" s="63">
        <f>$M169-$O169</f>
        <v/>
      </c>
      <c r="Q169" s="63">
        <f>($L169-$M169)-($N169-$O169)</f>
        <v/>
      </c>
      <c r="R169" s="63">
        <f>$L169-$N169</f>
        <v/>
      </c>
    </row>
    <row r="170">
      <c r="A170" s="60">
        <f>ROW()-5</f>
        <v/>
      </c>
      <c r="B170" s="61">
        <f>IFERROR(INDEX(tbl_Finance[Date],$A170),"")</f>
        <v/>
      </c>
      <c r="C170" s="62">
        <f>IFERROR(INDEX(tbl_Finance[Xero Invoice No],$A170),"")</f>
        <v/>
      </c>
      <c r="D170" s="62">
        <f>IFERROR(INDEX(tbl_Finance[Client],$A170),"")</f>
        <v/>
      </c>
      <c r="E170" s="62">
        <f>IFERROR(INDEX(tbl_Finance[Job Number],$A170),"")</f>
        <v/>
      </c>
      <c r="F170" s="62">
        <f>IFERROR(INDEX(tbl_Finance[Cost Centre],$A170),"")</f>
        <v/>
      </c>
      <c r="G170" s="63">
        <f>IFERROR(INDEX(tbl_Finance[Ex GST],$A170),"")</f>
        <v/>
      </c>
      <c r="H170" s="61">
        <f>IFERROR(INDEX(tbl_Finance[Defer Start],$A170),"")</f>
        <v/>
      </c>
      <c r="I170" s="61">
        <f>IFERROR(INDEX(tbl_Finance[Defer End],$A170),"")</f>
        <v/>
      </c>
      <c r="J170" s="60">
        <f>IF(OR($H170="",$I170="",$G170=""),"",MAX(1,(YEAR($I170)-YEAR($H170))*12+MONTH($I170)-MONTH($H170)+1))</f>
        <v/>
      </c>
      <c r="K170" s="63">
        <f>IF($J170="","",$G170/$J170)</f>
        <v/>
      </c>
      <c r="L170" s="63">
        <f>IF($J170="",0,$K170*MAX(0,MIN(YEAR($C$3)*12+MONTH($C$3),YEAR($I170)*12+MONTH($I170))-(YEAR($H170)*12+MONTH($H170))+1))</f>
        <v/>
      </c>
      <c r="M170" s="63">
        <f>IF($J170="",0,$K170*MAX(0,MIN(YEAR($C$3)*12+MONTH($C$3)-1,YEAR($I170)*12+MONTH($I170))-(YEAR($H170)*12+MONTH($H170))+1))</f>
        <v/>
      </c>
      <c r="N170" s="63">
        <f>IF(OR($J170="",$B170=""),0,IF(YEAR($B170)*12+MONTH($B170)&lt;=YEAR($C$3)*12+MONTH($C$3),$G170,0))</f>
        <v/>
      </c>
      <c r="O170" s="63">
        <f>IF(OR($J170="",$B170=""),0,IF(YEAR($B170)*12+MONTH($B170)&lt;=YEAR($C$3)*12+MONTH($C$3)-1,$G170,0))</f>
        <v/>
      </c>
      <c r="P170" s="63">
        <f>$M170-$O170</f>
        <v/>
      </c>
      <c r="Q170" s="63">
        <f>($L170-$M170)-($N170-$O170)</f>
        <v/>
      </c>
      <c r="R170" s="63">
        <f>$L170-$N170</f>
        <v/>
      </c>
    </row>
    <row r="171">
      <c r="A171" s="60">
        <f>ROW()-5</f>
        <v/>
      </c>
      <c r="B171" s="61">
        <f>IFERROR(INDEX(tbl_Finance[Date],$A171),"")</f>
        <v/>
      </c>
      <c r="C171" s="62">
        <f>IFERROR(INDEX(tbl_Finance[Xero Invoice No],$A171),"")</f>
        <v/>
      </c>
      <c r="D171" s="62">
        <f>IFERROR(INDEX(tbl_Finance[Client],$A171),"")</f>
        <v/>
      </c>
      <c r="E171" s="62">
        <f>IFERROR(INDEX(tbl_Finance[Job Number],$A171),"")</f>
        <v/>
      </c>
      <c r="F171" s="62">
        <f>IFERROR(INDEX(tbl_Finance[Cost Centre],$A171),"")</f>
        <v/>
      </c>
      <c r="G171" s="63">
        <f>IFERROR(INDEX(tbl_Finance[Ex GST],$A171),"")</f>
        <v/>
      </c>
      <c r="H171" s="61">
        <f>IFERROR(INDEX(tbl_Finance[Defer Start],$A171),"")</f>
        <v/>
      </c>
      <c r="I171" s="61">
        <f>IFERROR(INDEX(tbl_Finance[Defer End],$A171),"")</f>
        <v/>
      </c>
      <c r="J171" s="60">
        <f>IF(OR($H171="",$I171="",$G171=""),"",MAX(1,(YEAR($I171)-YEAR($H171))*12+MONTH($I171)-MONTH($H171)+1))</f>
        <v/>
      </c>
      <c r="K171" s="63">
        <f>IF($J171="","",$G171/$J171)</f>
        <v/>
      </c>
      <c r="L171" s="63">
        <f>IF($J171="",0,$K171*MAX(0,MIN(YEAR($C$3)*12+MONTH($C$3),YEAR($I171)*12+MONTH($I171))-(YEAR($H171)*12+MONTH($H171))+1))</f>
        <v/>
      </c>
      <c r="M171" s="63">
        <f>IF($J171="",0,$K171*MAX(0,MIN(YEAR($C$3)*12+MONTH($C$3)-1,YEAR($I171)*12+MONTH($I171))-(YEAR($H171)*12+MONTH($H171))+1))</f>
        <v/>
      </c>
      <c r="N171" s="63">
        <f>IF(OR($J171="",$B171=""),0,IF(YEAR($B171)*12+MONTH($B171)&lt;=YEAR($C$3)*12+MONTH($C$3),$G171,0))</f>
        <v/>
      </c>
      <c r="O171" s="63">
        <f>IF(OR($J171="",$B171=""),0,IF(YEAR($B171)*12+MONTH($B171)&lt;=YEAR($C$3)*12+MONTH($C$3)-1,$G171,0))</f>
        <v/>
      </c>
      <c r="P171" s="63">
        <f>$M171-$O171</f>
        <v/>
      </c>
      <c r="Q171" s="63">
        <f>($L171-$M171)-($N171-$O171)</f>
        <v/>
      </c>
      <c r="R171" s="63">
        <f>$L171-$N171</f>
        <v/>
      </c>
    </row>
    <row r="172">
      <c r="A172" s="60">
        <f>ROW()-5</f>
        <v/>
      </c>
      <c r="B172" s="61">
        <f>IFERROR(INDEX(tbl_Finance[Date],$A172),"")</f>
        <v/>
      </c>
      <c r="C172" s="62">
        <f>IFERROR(INDEX(tbl_Finance[Xero Invoice No],$A172),"")</f>
        <v/>
      </c>
      <c r="D172" s="62">
        <f>IFERROR(INDEX(tbl_Finance[Client],$A172),"")</f>
        <v/>
      </c>
      <c r="E172" s="62">
        <f>IFERROR(INDEX(tbl_Finance[Job Number],$A172),"")</f>
        <v/>
      </c>
      <c r="F172" s="62">
        <f>IFERROR(INDEX(tbl_Finance[Cost Centre],$A172),"")</f>
        <v/>
      </c>
      <c r="G172" s="63">
        <f>IFERROR(INDEX(tbl_Finance[Ex GST],$A172),"")</f>
        <v/>
      </c>
      <c r="H172" s="61">
        <f>IFERROR(INDEX(tbl_Finance[Defer Start],$A172),"")</f>
        <v/>
      </c>
      <c r="I172" s="61">
        <f>IFERROR(INDEX(tbl_Finance[Defer End],$A172),"")</f>
        <v/>
      </c>
      <c r="J172" s="60">
        <f>IF(OR($H172="",$I172="",$G172=""),"",MAX(1,(YEAR($I172)-YEAR($H172))*12+MONTH($I172)-MONTH($H172)+1))</f>
        <v/>
      </c>
      <c r="K172" s="63">
        <f>IF($J172="","",$G172/$J172)</f>
        <v/>
      </c>
      <c r="L172" s="63">
        <f>IF($J172="",0,$K172*MAX(0,MIN(YEAR($C$3)*12+MONTH($C$3),YEAR($I172)*12+MONTH($I172))-(YEAR($H172)*12+MONTH($H172))+1))</f>
        <v/>
      </c>
      <c r="M172" s="63">
        <f>IF($J172="",0,$K172*MAX(0,MIN(YEAR($C$3)*12+MONTH($C$3)-1,YEAR($I172)*12+MONTH($I172))-(YEAR($H172)*12+MONTH($H172))+1))</f>
        <v/>
      </c>
      <c r="N172" s="63">
        <f>IF(OR($J172="",$B172=""),0,IF(YEAR($B172)*12+MONTH($B172)&lt;=YEAR($C$3)*12+MONTH($C$3),$G172,0))</f>
        <v/>
      </c>
      <c r="O172" s="63">
        <f>IF(OR($J172="",$B172=""),0,IF(YEAR($B172)*12+MONTH($B172)&lt;=YEAR($C$3)*12+MONTH($C$3)-1,$G172,0))</f>
        <v/>
      </c>
      <c r="P172" s="63">
        <f>$M172-$O172</f>
        <v/>
      </c>
      <c r="Q172" s="63">
        <f>($L172-$M172)-($N172-$O172)</f>
        <v/>
      </c>
      <c r="R172" s="63">
        <f>$L172-$N172</f>
        <v/>
      </c>
    </row>
    <row r="173">
      <c r="A173" s="60">
        <f>ROW()-5</f>
        <v/>
      </c>
      <c r="B173" s="61">
        <f>IFERROR(INDEX(tbl_Finance[Date],$A173),"")</f>
        <v/>
      </c>
      <c r="C173" s="62">
        <f>IFERROR(INDEX(tbl_Finance[Xero Invoice No],$A173),"")</f>
        <v/>
      </c>
      <c r="D173" s="62">
        <f>IFERROR(INDEX(tbl_Finance[Client],$A173),"")</f>
        <v/>
      </c>
      <c r="E173" s="62">
        <f>IFERROR(INDEX(tbl_Finance[Job Number],$A173),"")</f>
        <v/>
      </c>
      <c r="F173" s="62">
        <f>IFERROR(INDEX(tbl_Finance[Cost Centre],$A173),"")</f>
        <v/>
      </c>
      <c r="G173" s="63">
        <f>IFERROR(INDEX(tbl_Finance[Ex GST],$A173),"")</f>
        <v/>
      </c>
      <c r="H173" s="61">
        <f>IFERROR(INDEX(tbl_Finance[Defer Start],$A173),"")</f>
        <v/>
      </c>
      <c r="I173" s="61">
        <f>IFERROR(INDEX(tbl_Finance[Defer End],$A173),"")</f>
        <v/>
      </c>
      <c r="J173" s="60">
        <f>IF(OR($H173="",$I173="",$G173=""),"",MAX(1,(YEAR($I173)-YEAR($H173))*12+MONTH($I173)-MONTH($H173)+1))</f>
        <v/>
      </c>
      <c r="K173" s="63">
        <f>IF($J173="","",$G173/$J173)</f>
        <v/>
      </c>
      <c r="L173" s="63">
        <f>IF($J173="",0,$K173*MAX(0,MIN(YEAR($C$3)*12+MONTH($C$3),YEAR($I173)*12+MONTH($I173))-(YEAR($H173)*12+MONTH($H173))+1))</f>
        <v/>
      </c>
      <c r="M173" s="63">
        <f>IF($J173="",0,$K173*MAX(0,MIN(YEAR($C$3)*12+MONTH($C$3)-1,YEAR($I173)*12+MONTH($I173))-(YEAR($H173)*12+MONTH($H173))+1))</f>
        <v/>
      </c>
      <c r="N173" s="63">
        <f>IF(OR($J173="",$B173=""),0,IF(YEAR($B173)*12+MONTH($B173)&lt;=YEAR($C$3)*12+MONTH($C$3),$G173,0))</f>
        <v/>
      </c>
      <c r="O173" s="63">
        <f>IF(OR($J173="",$B173=""),0,IF(YEAR($B173)*12+MONTH($B173)&lt;=YEAR($C$3)*12+MONTH($C$3)-1,$G173,0))</f>
        <v/>
      </c>
      <c r="P173" s="63">
        <f>$M173-$O173</f>
        <v/>
      </c>
      <c r="Q173" s="63">
        <f>($L173-$M173)-($N173-$O173)</f>
        <v/>
      </c>
      <c r="R173" s="63">
        <f>$L173-$N173</f>
        <v/>
      </c>
    </row>
    <row r="174">
      <c r="A174" s="60">
        <f>ROW()-5</f>
        <v/>
      </c>
      <c r="B174" s="61">
        <f>IFERROR(INDEX(tbl_Finance[Date],$A174),"")</f>
        <v/>
      </c>
      <c r="C174" s="62">
        <f>IFERROR(INDEX(tbl_Finance[Xero Invoice No],$A174),"")</f>
        <v/>
      </c>
      <c r="D174" s="62">
        <f>IFERROR(INDEX(tbl_Finance[Client],$A174),"")</f>
        <v/>
      </c>
      <c r="E174" s="62">
        <f>IFERROR(INDEX(tbl_Finance[Job Number],$A174),"")</f>
        <v/>
      </c>
      <c r="F174" s="62">
        <f>IFERROR(INDEX(tbl_Finance[Cost Centre],$A174),"")</f>
        <v/>
      </c>
      <c r="G174" s="63">
        <f>IFERROR(INDEX(tbl_Finance[Ex GST],$A174),"")</f>
        <v/>
      </c>
      <c r="H174" s="61">
        <f>IFERROR(INDEX(tbl_Finance[Defer Start],$A174),"")</f>
        <v/>
      </c>
      <c r="I174" s="61">
        <f>IFERROR(INDEX(tbl_Finance[Defer End],$A174),"")</f>
        <v/>
      </c>
      <c r="J174" s="60">
        <f>IF(OR($H174="",$I174="",$G174=""),"",MAX(1,(YEAR($I174)-YEAR($H174))*12+MONTH($I174)-MONTH($H174)+1))</f>
        <v/>
      </c>
      <c r="K174" s="63">
        <f>IF($J174="","",$G174/$J174)</f>
        <v/>
      </c>
      <c r="L174" s="63">
        <f>IF($J174="",0,$K174*MAX(0,MIN(YEAR($C$3)*12+MONTH($C$3),YEAR($I174)*12+MONTH($I174))-(YEAR($H174)*12+MONTH($H174))+1))</f>
        <v/>
      </c>
      <c r="M174" s="63">
        <f>IF($J174="",0,$K174*MAX(0,MIN(YEAR($C$3)*12+MONTH($C$3)-1,YEAR($I174)*12+MONTH($I174))-(YEAR($H174)*12+MONTH($H174))+1))</f>
        <v/>
      </c>
      <c r="N174" s="63">
        <f>IF(OR($J174="",$B174=""),0,IF(YEAR($B174)*12+MONTH($B174)&lt;=YEAR($C$3)*12+MONTH($C$3),$G174,0))</f>
        <v/>
      </c>
      <c r="O174" s="63">
        <f>IF(OR($J174="",$B174=""),0,IF(YEAR($B174)*12+MONTH($B174)&lt;=YEAR($C$3)*12+MONTH($C$3)-1,$G174,0))</f>
        <v/>
      </c>
      <c r="P174" s="63">
        <f>$M174-$O174</f>
        <v/>
      </c>
      <c r="Q174" s="63">
        <f>($L174-$M174)-($N174-$O174)</f>
        <v/>
      </c>
      <c r="R174" s="63">
        <f>$L174-$N174</f>
        <v/>
      </c>
    </row>
    <row r="175">
      <c r="A175" s="60">
        <f>ROW()-5</f>
        <v/>
      </c>
      <c r="B175" s="61">
        <f>IFERROR(INDEX(tbl_Finance[Date],$A175),"")</f>
        <v/>
      </c>
      <c r="C175" s="62">
        <f>IFERROR(INDEX(tbl_Finance[Xero Invoice No],$A175),"")</f>
        <v/>
      </c>
      <c r="D175" s="62">
        <f>IFERROR(INDEX(tbl_Finance[Client],$A175),"")</f>
        <v/>
      </c>
      <c r="E175" s="62">
        <f>IFERROR(INDEX(tbl_Finance[Job Number],$A175),"")</f>
        <v/>
      </c>
      <c r="F175" s="62">
        <f>IFERROR(INDEX(tbl_Finance[Cost Centre],$A175),"")</f>
        <v/>
      </c>
      <c r="G175" s="63">
        <f>IFERROR(INDEX(tbl_Finance[Ex GST],$A175),"")</f>
        <v/>
      </c>
      <c r="H175" s="61">
        <f>IFERROR(INDEX(tbl_Finance[Defer Start],$A175),"")</f>
        <v/>
      </c>
      <c r="I175" s="61">
        <f>IFERROR(INDEX(tbl_Finance[Defer End],$A175),"")</f>
        <v/>
      </c>
      <c r="J175" s="60">
        <f>IF(OR($H175="",$I175="",$G175=""),"",MAX(1,(YEAR($I175)-YEAR($H175))*12+MONTH($I175)-MONTH($H175)+1))</f>
        <v/>
      </c>
      <c r="K175" s="63">
        <f>IF($J175="","",$G175/$J175)</f>
        <v/>
      </c>
      <c r="L175" s="63">
        <f>IF($J175="",0,$K175*MAX(0,MIN(YEAR($C$3)*12+MONTH($C$3),YEAR($I175)*12+MONTH($I175))-(YEAR($H175)*12+MONTH($H175))+1))</f>
        <v/>
      </c>
      <c r="M175" s="63">
        <f>IF($J175="",0,$K175*MAX(0,MIN(YEAR($C$3)*12+MONTH($C$3)-1,YEAR($I175)*12+MONTH($I175))-(YEAR($H175)*12+MONTH($H175))+1))</f>
        <v/>
      </c>
      <c r="N175" s="63">
        <f>IF(OR($J175="",$B175=""),0,IF(YEAR($B175)*12+MONTH($B175)&lt;=YEAR($C$3)*12+MONTH($C$3),$G175,0))</f>
        <v/>
      </c>
      <c r="O175" s="63">
        <f>IF(OR($J175="",$B175=""),0,IF(YEAR($B175)*12+MONTH($B175)&lt;=YEAR($C$3)*12+MONTH($C$3)-1,$G175,0))</f>
        <v/>
      </c>
      <c r="P175" s="63">
        <f>$M175-$O175</f>
        <v/>
      </c>
      <c r="Q175" s="63">
        <f>($L175-$M175)-($N175-$O175)</f>
        <v/>
      </c>
      <c r="R175" s="63">
        <f>$L175-$N175</f>
        <v/>
      </c>
    </row>
    <row r="176">
      <c r="A176" s="60">
        <f>ROW()-5</f>
        <v/>
      </c>
      <c r="B176" s="61">
        <f>IFERROR(INDEX(tbl_Finance[Date],$A176),"")</f>
        <v/>
      </c>
      <c r="C176" s="62">
        <f>IFERROR(INDEX(tbl_Finance[Xero Invoice No],$A176),"")</f>
        <v/>
      </c>
      <c r="D176" s="62">
        <f>IFERROR(INDEX(tbl_Finance[Client],$A176),"")</f>
        <v/>
      </c>
      <c r="E176" s="62">
        <f>IFERROR(INDEX(tbl_Finance[Job Number],$A176),"")</f>
        <v/>
      </c>
      <c r="F176" s="62">
        <f>IFERROR(INDEX(tbl_Finance[Cost Centre],$A176),"")</f>
        <v/>
      </c>
      <c r="G176" s="63">
        <f>IFERROR(INDEX(tbl_Finance[Ex GST],$A176),"")</f>
        <v/>
      </c>
      <c r="H176" s="61">
        <f>IFERROR(INDEX(tbl_Finance[Defer Start],$A176),"")</f>
        <v/>
      </c>
      <c r="I176" s="61">
        <f>IFERROR(INDEX(tbl_Finance[Defer End],$A176),"")</f>
        <v/>
      </c>
      <c r="J176" s="60">
        <f>IF(OR($H176="",$I176="",$G176=""),"",MAX(1,(YEAR($I176)-YEAR($H176))*12+MONTH($I176)-MONTH($H176)+1))</f>
        <v/>
      </c>
      <c r="K176" s="63">
        <f>IF($J176="","",$G176/$J176)</f>
        <v/>
      </c>
      <c r="L176" s="63">
        <f>IF($J176="",0,$K176*MAX(0,MIN(YEAR($C$3)*12+MONTH($C$3),YEAR($I176)*12+MONTH($I176))-(YEAR($H176)*12+MONTH($H176))+1))</f>
        <v/>
      </c>
      <c r="M176" s="63">
        <f>IF($J176="",0,$K176*MAX(0,MIN(YEAR($C$3)*12+MONTH($C$3)-1,YEAR($I176)*12+MONTH($I176))-(YEAR($H176)*12+MONTH($H176))+1))</f>
        <v/>
      </c>
      <c r="N176" s="63">
        <f>IF(OR($J176="",$B176=""),0,IF(YEAR($B176)*12+MONTH($B176)&lt;=YEAR($C$3)*12+MONTH($C$3),$G176,0))</f>
        <v/>
      </c>
      <c r="O176" s="63">
        <f>IF(OR($J176="",$B176=""),0,IF(YEAR($B176)*12+MONTH($B176)&lt;=YEAR($C$3)*12+MONTH($C$3)-1,$G176,0))</f>
        <v/>
      </c>
      <c r="P176" s="63">
        <f>$M176-$O176</f>
        <v/>
      </c>
      <c r="Q176" s="63">
        <f>($L176-$M176)-($N176-$O176)</f>
        <v/>
      </c>
      <c r="R176" s="63">
        <f>$L176-$N176</f>
        <v/>
      </c>
    </row>
    <row r="177">
      <c r="A177" s="60">
        <f>ROW()-5</f>
        <v/>
      </c>
      <c r="B177" s="61">
        <f>IFERROR(INDEX(tbl_Finance[Date],$A177),"")</f>
        <v/>
      </c>
      <c r="C177" s="62">
        <f>IFERROR(INDEX(tbl_Finance[Xero Invoice No],$A177),"")</f>
        <v/>
      </c>
      <c r="D177" s="62">
        <f>IFERROR(INDEX(tbl_Finance[Client],$A177),"")</f>
        <v/>
      </c>
      <c r="E177" s="62">
        <f>IFERROR(INDEX(tbl_Finance[Job Number],$A177),"")</f>
        <v/>
      </c>
      <c r="F177" s="62">
        <f>IFERROR(INDEX(tbl_Finance[Cost Centre],$A177),"")</f>
        <v/>
      </c>
      <c r="G177" s="63">
        <f>IFERROR(INDEX(tbl_Finance[Ex GST],$A177),"")</f>
        <v/>
      </c>
      <c r="H177" s="61">
        <f>IFERROR(INDEX(tbl_Finance[Defer Start],$A177),"")</f>
        <v/>
      </c>
      <c r="I177" s="61">
        <f>IFERROR(INDEX(tbl_Finance[Defer End],$A177),"")</f>
        <v/>
      </c>
      <c r="J177" s="60">
        <f>IF(OR($H177="",$I177="",$G177=""),"",MAX(1,(YEAR($I177)-YEAR($H177))*12+MONTH($I177)-MONTH($H177)+1))</f>
        <v/>
      </c>
      <c r="K177" s="63">
        <f>IF($J177="","",$G177/$J177)</f>
        <v/>
      </c>
      <c r="L177" s="63">
        <f>IF($J177="",0,$K177*MAX(0,MIN(YEAR($C$3)*12+MONTH($C$3),YEAR($I177)*12+MONTH($I177))-(YEAR($H177)*12+MONTH($H177))+1))</f>
        <v/>
      </c>
      <c r="M177" s="63">
        <f>IF($J177="",0,$K177*MAX(0,MIN(YEAR($C$3)*12+MONTH($C$3)-1,YEAR($I177)*12+MONTH($I177))-(YEAR($H177)*12+MONTH($H177))+1))</f>
        <v/>
      </c>
      <c r="N177" s="63">
        <f>IF(OR($J177="",$B177=""),0,IF(YEAR($B177)*12+MONTH($B177)&lt;=YEAR($C$3)*12+MONTH($C$3),$G177,0))</f>
        <v/>
      </c>
      <c r="O177" s="63">
        <f>IF(OR($J177="",$B177=""),0,IF(YEAR($B177)*12+MONTH($B177)&lt;=YEAR($C$3)*12+MONTH($C$3)-1,$G177,0))</f>
        <v/>
      </c>
      <c r="P177" s="63">
        <f>$M177-$O177</f>
        <v/>
      </c>
      <c r="Q177" s="63">
        <f>($L177-$M177)-($N177-$O177)</f>
        <v/>
      </c>
      <c r="R177" s="63">
        <f>$L177-$N177</f>
        <v/>
      </c>
    </row>
    <row r="178">
      <c r="A178" s="60">
        <f>ROW()-5</f>
        <v/>
      </c>
      <c r="B178" s="61">
        <f>IFERROR(INDEX(tbl_Finance[Date],$A178),"")</f>
        <v/>
      </c>
      <c r="C178" s="62">
        <f>IFERROR(INDEX(tbl_Finance[Xero Invoice No],$A178),"")</f>
        <v/>
      </c>
      <c r="D178" s="62">
        <f>IFERROR(INDEX(tbl_Finance[Client],$A178),"")</f>
        <v/>
      </c>
      <c r="E178" s="62">
        <f>IFERROR(INDEX(tbl_Finance[Job Number],$A178),"")</f>
        <v/>
      </c>
      <c r="F178" s="62">
        <f>IFERROR(INDEX(tbl_Finance[Cost Centre],$A178),"")</f>
        <v/>
      </c>
      <c r="G178" s="63">
        <f>IFERROR(INDEX(tbl_Finance[Ex GST],$A178),"")</f>
        <v/>
      </c>
      <c r="H178" s="61">
        <f>IFERROR(INDEX(tbl_Finance[Defer Start],$A178),"")</f>
        <v/>
      </c>
      <c r="I178" s="61">
        <f>IFERROR(INDEX(tbl_Finance[Defer End],$A178),"")</f>
        <v/>
      </c>
      <c r="J178" s="60">
        <f>IF(OR($H178="",$I178="",$G178=""),"",MAX(1,(YEAR($I178)-YEAR($H178))*12+MONTH($I178)-MONTH($H178)+1))</f>
        <v/>
      </c>
      <c r="K178" s="63">
        <f>IF($J178="","",$G178/$J178)</f>
        <v/>
      </c>
      <c r="L178" s="63">
        <f>IF($J178="",0,$K178*MAX(0,MIN(YEAR($C$3)*12+MONTH($C$3),YEAR($I178)*12+MONTH($I178))-(YEAR($H178)*12+MONTH($H178))+1))</f>
        <v/>
      </c>
      <c r="M178" s="63">
        <f>IF($J178="",0,$K178*MAX(0,MIN(YEAR($C$3)*12+MONTH($C$3)-1,YEAR($I178)*12+MONTH($I178))-(YEAR($H178)*12+MONTH($H178))+1))</f>
        <v/>
      </c>
      <c r="N178" s="63">
        <f>IF(OR($J178="",$B178=""),0,IF(YEAR($B178)*12+MONTH($B178)&lt;=YEAR($C$3)*12+MONTH($C$3),$G178,0))</f>
        <v/>
      </c>
      <c r="O178" s="63">
        <f>IF(OR($J178="",$B178=""),0,IF(YEAR($B178)*12+MONTH($B178)&lt;=YEAR($C$3)*12+MONTH($C$3)-1,$G178,0))</f>
        <v/>
      </c>
      <c r="P178" s="63">
        <f>$M178-$O178</f>
        <v/>
      </c>
      <c r="Q178" s="63">
        <f>($L178-$M178)-($N178-$O178)</f>
        <v/>
      </c>
      <c r="R178" s="63">
        <f>$L178-$N178</f>
        <v/>
      </c>
    </row>
    <row r="179">
      <c r="A179" s="60">
        <f>ROW()-5</f>
        <v/>
      </c>
      <c r="B179" s="61">
        <f>IFERROR(INDEX(tbl_Finance[Date],$A179),"")</f>
        <v/>
      </c>
      <c r="C179" s="62">
        <f>IFERROR(INDEX(tbl_Finance[Xero Invoice No],$A179),"")</f>
        <v/>
      </c>
      <c r="D179" s="62">
        <f>IFERROR(INDEX(tbl_Finance[Client],$A179),"")</f>
        <v/>
      </c>
      <c r="E179" s="62">
        <f>IFERROR(INDEX(tbl_Finance[Job Number],$A179),"")</f>
        <v/>
      </c>
      <c r="F179" s="62">
        <f>IFERROR(INDEX(tbl_Finance[Cost Centre],$A179),"")</f>
        <v/>
      </c>
      <c r="G179" s="63">
        <f>IFERROR(INDEX(tbl_Finance[Ex GST],$A179),"")</f>
        <v/>
      </c>
      <c r="H179" s="61">
        <f>IFERROR(INDEX(tbl_Finance[Defer Start],$A179),"")</f>
        <v/>
      </c>
      <c r="I179" s="61">
        <f>IFERROR(INDEX(tbl_Finance[Defer End],$A179),"")</f>
        <v/>
      </c>
      <c r="J179" s="60">
        <f>IF(OR($H179="",$I179="",$G179=""),"",MAX(1,(YEAR($I179)-YEAR($H179))*12+MONTH($I179)-MONTH($H179)+1))</f>
        <v/>
      </c>
      <c r="K179" s="63">
        <f>IF($J179="","",$G179/$J179)</f>
        <v/>
      </c>
      <c r="L179" s="63">
        <f>IF($J179="",0,$K179*MAX(0,MIN(YEAR($C$3)*12+MONTH($C$3),YEAR($I179)*12+MONTH($I179))-(YEAR($H179)*12+MONTH($H179))+1))</f>
        <v/>
      </c>
      <c r="M179" s="63">
        <f>IF($J179="",0,$K179*MAX(0,MIN(YEAR($C$3)*12+MONTH($C$3)-1,YEAR($I179)*12+MONTH($I179))-(YEAR($H179)*12+MONTH($H179))+1))</f>
        <v/>
      </c>
      <c r="N179" s="63">
        <f>IF(OR($J179="",$B179=""),0,IF(YEAR($B179)*12+MONTH($B179)&lt;=YEAR($C$3)*12+MONTH($C$3),$G179,0))</f>
        <v/>
      </c>
      <c r="O179" s="63">
        <f>IF(OR($J179="",$B179=""),0,IF(YEAR($B179)*12+MONTH($B179)&lt;=YEAR($C$3)*12+MONTH($C$3)-1,$G179,0))</f>
        <v/>
      </c>
      <c r="P179" s="63">
        <f>$M179-$O179</f>
        <v/>
      </c>
      <c r="Q179" s="63">
        <f>($L179-$M179)-($N179-$O179)</f>
        <v/>
      </c>
      <c r="R179" s="63">
        <f>$L179-$N179</f>
        <v/>
      </c>
    </row>
    <row r="180">
      <c r="A180" s="60">
        <f>ROW()-5</f>
        <v/>
      </c>
      <c r="B180" s="61">
        <f>IFERROR(INDEX(tbl_Finance[Date],$A180),"")</f>
        <v/>
      </c>
      <c r="C180" s="62">
        <f>IFERROR(INDEX(tbl_Finance[Xero Invoice No],$A180),"")</f>
        <v/>
      </c>
      <c r="D180" s="62">
        <f>IFERROR(INDEX(tbl_Finance[Client],$A180),"")</f>
        <v/>
      </c>
      <c r="E180" s="62">
        <f>IFERROR(INDEX(tbl_Finance[Job Number],$A180),"")</f>
        <v/>
      </c>
      <c r="F180" s="62">
        <f>IFERROR(INDEX(tbl_Finance[Cost Centre],$A180),"")</f>
        <v/>
      </c>
      <c r="G180" s="63">
        <f>IFERROR(INDEX(tbl_Finance[Ex GST],$A180),"")</f>
        <v/>
      </c>
      <c r="H180" s="61">
        <f>IFERROR(INDEX(tbl_Finance[Defer Start],$A180),"")</f>
        <v/>
      </c>
      <c r="I180" s="61">
        <f>IFERROR(INDEX(tbl_Finance[Defer End],$A180),"")</f>
        <v/>
      </c>
      <c r="J180" s="60">
        <f>IF(OR($H180="",$I180="",$G180=""),"",MAX(1,(YEAR($I180)-YEAR($H180))*12+MONTH($I180)-MONTH($H180)+1))</f>
        <v/>
      </c>
      <c r="K180" s="63">
        <f>IF($J180="","",$G180/$J180)</f>
        <v/>
      </c>
      <c r="L180" s="63">
        <f>IF($J180="",0,$K180*MAX(0,MIN(YEAR($C$3)*12+MONTH($C$3),YEAR($I180)*12+MONTH($I180))-(YEAR($H180)*12+MONTH($H180))+1))</f>
        <v/>
      </c>
      <c r="M180" s="63">
        <f>IF($J180="",0,$K180*MAX(0,MIN(YEAR($C$3)*12+MONTH($C$3)-1,YEAR($I180)*12+MONTH($I180))-(YEAR($H180)*12+MONTH($H180))+1))</f>
        <v/>
      </c>
      <c r="N180" s="63">
        <f>IF(OR($J180="",$B180=""),0,IF(YEAR($B180)*12+MONTH($B180)&lt;=YEAR($C$3)*12+MONTH($C$3),$G180,0))</f>
        <v/>
      </c>
      <c r="O180" s="63">
        <f>IF(OR($J180="",$B180=""),0,IF(YEAR($B180)*12+MONTH($B180)&lt;=YEAR($C$3)*12+MONTH($C$3)-1,$G180,0))</f>
        <v/>
      </c>
      <c r="P180" s="63">
        <f>$M180-$O180</f>
        <v/>
      </c>
      <c r="Q180" s="63">
        <f>($L180-$M180)-($N180-$O180)</f>
        <v/>
      </c>
      <c r="R180" s="63">
        <f>$L180-$N180</f>
        <v/>
      </c>
    </row>
    <row r="181">
      <c r="A181" s="60">
        <f>ROW()-5</f>
        <v/>
      </c>
      <c r="B181" s="61">
        <f>IFERROR(INDEX(tbl_Finance[Date],$A181),"")</f>
        <v/>
      </c>
      <c r="C181" s="62">
        <f>IFERROR(INDEX(tbl_Finance[Xero Invoice No],$A181),"")</f>
        <v/>
      </c>
      <c r="D181" s="62">
        <f>IFERROR(INDEX(tbl_Finance[Client],$A181),"")</f>
        <v/>
      </c>
      <c r="E181" s="62">
        <f>IFERROR(INDEX(tbl_Finance[Job Number],$A181),"")</f>
        <v/>
      </c>
      <c r="F181" s="62">
        <f>IFERROR(INDEX(tbl_Finance[Cost Centre],$A181),"")</f>
        <v/>
      </c>
      <c r="G181" s="63">
        <f>IFERROR(INDEX(tbl_Finance[Ex GST],$A181),"")</f>
        <v/>
      </c>
      <c r="H181" s="61">
        <f>IFERROR(INDEX(tbl_Finance[Defer Start],$A181),"")</f>
        <v/>
      </c>
      <c r="I181" s="61">
        <f>IFERROR(INDEX(tbl_Finance[Defer End],$A181),"")</f>
        <v/>
      </c>
      <c r="J181" s="60">
        <f>IF(OR($H181="",$I181="",$G181=""),"",MAX(1,(YEAR($I181)-YEAR($H181))*12+MONTH($I181)-MONTH($H181)+1))</f>
        <v/>
      </c>
      <c r="K181" s="63">
        <f>IF($J181="","",$G181/$J181)</f>
        <v/>
      </c>
      <c r="L181" s="63">
        <f>IF($J181="",0,$K181*MAX(0,MIN(YEAR($C$3)*12+MONTH($C$3),YEAR($I181)*12+MONTH($I181))-(YEAR($H181)*12+MONTH($H181))+1))</f>
        <v/>
      </c>
      <c r="M181" s="63">
        <f>IF($J181="",0,$K181*MAX(0,MIN(YEAR($C$3)*12+MONTH($C$3)-1,YEAR($I181)*12+MONTH($I181))-(YEAR($H181)*12+MONTH($H181))+1))</f>
        <v/>
      </c>
      <c r="N181" s="63">
        <f>IF(OR($J181="",$B181=""),0,IF(YEAR($B181)*12+MONTH($B181)&lt;=YEAR($C$3)*12+MONTH($C$3),$G181,0))</f>
        <v/>
      </c>
      <c r="O181" s="63">
        <f>IF(OR($J181="",$B181=""),0,IF(YEAR($B181)*12+MONTH($B181)&lt;=YEAR($C$3)*12+MONTH($C$3)-1,$G181,0))</f>
        <v/>
      </c>
      <c r="P181" s="63">
        <f>$M181-$O181</f>
        <v/>
      </c>
      <c r="Q181" s="63">
        <f>($L181-$M181)-($N181-$O181)</f>
        <v/>
      </c>
      <c r="R181" s="63">
        <f>$L181-$N181</f>
        <v/>
      </c>
    </row>
    <row r="182">
      <c r="A182" s="60">
        <f>ROW()-5</f>
        <v/>
      </c>
      <c r="B182" s="61">
        <f>IFERROR(INDEX(tbl_Finance[Date],$A182),"")</f>
        <v/>
      </c>
      <c r="C182" s="62">
        <f>IFERROR(INDEX(tbl_Finance[Xero Invoice No],$A182),"")</f>
        <v/>
      </c>
      <c r="D182" s="62">
        <f>IFERROR(INDEX(tbl_Finance[Client],$A182),"")</f>
        <v/>
      </c>
      <c r="E182" s="62">
        <f>IFERROR(INDEX(tbl_Finance[Job Number],$A182),"")</f>
        <v/>
      </c>
      <c r="F182" s="62">
        <f>IFERROR(INDEX(tbl_Finance[Cost Centre],$A182),"")</f>
        <v/>
      </c>
      <c r="G182" s="63">
        <f>IFERROR(INDEX(tbl_Finance[Ex GST],$A182),"")</f>
        <v/>
      </c>
      <c r="H182" s="61">
        <f>IFERROR(INDEX(tbl_Finance[Defer Start],$A182),"")</f>
        <v/>
      </c>
      <c r="I182" s="61">
        <f>IFERROR(INDEX(tbl_Finance[Defer End],$A182),"")</f>
        <v/>
      </c>
      <c r="J182" s="60">
        <f>IF(OR($H182="",$I182="",$G182=""),"",MAX(1,(YEAR($I182)-YEAR($H182))*12+MONTH($I182)-MONTH($H182)+1))</f>
        <v/>
      </c>
      <c r="K182" s="63">
        <f>IF($J182="","",$G182/$J182)</f>
        <v/>
      </c>
      <c r="L182" s="63">
        <f>IF($J182="",0,$K182*MAX(0,MIN(YEAR($C$3)*12+MONTH($C$3),YEAR($I182)*12+MONTH($I182))-(YEAR($H182)*12+MONTH($H182))+1))</f>
        <v/>
      </c>
      <c r="M182" s="63">
        <f>IF($J182="",0,$K182*MAX(0,MIN(YEAR($C$3)*12+MONTH($C$3)-1,YEAR($I182)*12+MONTH($I182))-(YEAR($H182)*12+MONTH($H182))+1))</f>
        <v/>
      </c>
      <c r="N182" s="63">
        <f>IF(OR($J182="",$B182=""),0,IF(YEAR($B182)*12+MONTH($B182)&lt;=YEAR($C$3)*12+MONTH($C$3),$G182,0))</f>
        <v/>
      </c>
      <c r="O182" s="63">
        <f>IF(OR($J182="",$B182=""),0,IF(YEAR($B182)*12+MONTH($B182)&lt;=YEAR($C$3)*12+MONTH($C$3)-1,$G182,0))</f>
        <v/>
      </c>
      <c r="P182" s="63">
        <f>$M182-$O182</f>
        <v/>
      </c>
      <c r="Q182" s="63">
        <f>($L182-$M182)-($N182-$O182)</f>
        <v/>
      </c>
      <c r="R182" s="63">
        <f>$L182-$N182</f>
        <v/>
      </c>
    </row>
    <row r="183">
      <c r="A183" s="60">
        <f>ROW()-5</f>
        <v/>
      </c>
      <c r="B183" s="61">
        <f>IFERROR(INDEX(tbl_Finance[Date],$A183),"")</f>
        <v/>
      </c>
      <c r="C183" s="62">
        <f>IFERROR(INDEX(tbl_Finance[Xero Invoice No],$A183),"")</f>
        <v/>
      </c>
      <c r="D183" s="62">
        <f>IFERROR(INDEX(tbl_Finance[Client],$A183),"")</f>
        <v/>
      </c>
      <c r="E183" s="62">
        <f>IFERROR(INDEX(tbl_Finance[Job Number],$A183),"")</f>
        <v/>
      </c>
      <c r="F183" s="62">
        <f>IFERROR(INDEX(tbl_Finance[Cost Centre],$A183),"")</f>
        <v/>
      </c>
      <c r="G183" s="63">
        <f>IFERROR(INDEX(tbl_Finance[Ex GST],$A183),"")</f>
        <v/>
      </c>
      <c r="H183" s="61">
        <f>IFERROR(INDEX(tbl_Finance[Defer Start],$A183),"")</f>
        <v/>
      </c>
      <c r="I183" s="61">
        <f>IFERROR(INDEX(tbl_Finance[Defer End],$A183),"")</f>
        <v/>
      </c>
      <c r="J183" s="60">
        <f>IF(OR($H183="",$I183="",$G183=""),"",MAX(1,(YEAR($I183)-YEAR($H183))*12+MONTH($I183)-MONTH($H183)+1))</f>
        <v/>
      </c>
      <c r="K183" s="63">
        <f>IF($J183="","",$G183/$J183)</f>
        <v/>
      </c>
      <c r="L183" s="63">
        <f>IF($J183="",0,$K183*MAX(0,MIN(YEAR($C$3)*12+MONTH($C$3),YEAR($I183)*12+MONTH($I183))-(YEAR($H183)*12+MONTH($H183))+1))</f>
        <v/>
      </c>
      <c r="M183" s="63">
        <f>IF($J183="",0,$K183*MAX(0,MIN(YEAR($C$3)*12+MONTH($C$3)-1,YEAR($I183)*12+MONTH($I183))-(YEAR($H183)*12+MONTH($H183))+1))</f>
        <v/>
      </c>
      <c r="N183" s="63">
        <f>IF(OR($J183="",$B183=""),0,IF(YEAR($B183)*12+MONTH($B183)&lt;=YEAR($C$3)*12+MONTH($C$3),$G183,0))</f>
        <v/>
      </c>
      <c r="O183" s="63">
        <f>IF(OR($J183="",$B183=""),0,IF(YEAR($B183)*12+MONTH($B183)&lt;=YEAR($C$3)*12+MONTH($C$3)-1,$G183,0))</f>
        <v/>
      </c>
      <c r="P183" s="63">
        <f>$M183-$O183</f>
        <v/>
      </c>
      <c r="Q183" s="63">
        <f>($L183-$M183)-($N183-$O183)</f>
        <v/>
      </c>
      <c r="R183" s="63">
        <f>$L183-$N183</f>
        <v/>
      </c>
    </row>
    <row r="184">
      <c r="A184" s="60">
        <f>ROW()-5</f>
        <v/>
      </c>
      <c r="B184" s="61">
        <f>IFERROR(INDEX(tbl_Finance[Date],$A184),"")</f>
        <v/>
      </c>
      <c r="C184" s="62">
        <f>IFERROR(INDEX(tbl_Finance[Xero Invoice No],$A184),"")</f>
        <v/>
      </c>
      <c r="D184" s="62">
        <f>IFERROR(INDEX(tbl_Finance[Client],$A184),"")</f>
        <v/>
      </c>
      <c r="E184" s="62">
        <f>IFERROR(INDEX(tbl_Finance[Job Number],$A184),"")</f>
        <v/>
      </c>
      <c r="F184" s="62">
        <f>IFERROR(INDEX(tbl_Finance[Cost Centre],$A184),"")</f>
        <v/>
      </c>
      <c r="G184" s="63">
        <f>IFERROR(INDEX(tbl_Finance[Ex GST],$A184),"")</f>
        <v/>
      </c>
      <c r="H184" s="61">
        <f>IFERROR(INDEX(tbl_Finance[Defer Start],$A184),"")</f>
        <v/>
      </c>
      <c r="I184" s="61">
        <f>IFERROR(INDEX(tbl_Finance[Defer End],$A184),"")</f>
        <v/>
      </c>
      <c r="J184" s="60">
        <f>IF(OR($H184="",$I184="",$G184=""),"",MAX(1,(YEAR($I184)-YEAR($H184))*12+MONTH($I184)-MONTH($H184)+1))</f>
        <v/>
      </c>
      <c r="K184" s="63">
        <f>IF($J184="","",$G184/$J184)</f>
        <v/>
      </c>
      <c r="L184" s="63">
        <f>IF($J184="",0,$K184*MAX(0,MIN(YEAR($C$3)*12+MONTH($C$3),YEAR($I184)*12+MONTH($I184))-(YEAR($H184)*12+MONTH($H184))+1))</f>
        <v/>
      </c>
      <c r="M184" s="63">
        <f>IF($J184="",0,$K184*MAX(0,MIN(YEAR($C$3)*12+MONTH($C$3)-1,YEAR($I184)*12+MONTH($I184))-(YEAR($H184)*12+MONTH($H184))+1))</f>
        <v/>
      </c>
      <c r="N184" s="63">
        <f>IF(OR($J184="",$B184=""),0,IF(YEAR($B184)*12+MONTH($B184)&lt;=YEAR($C$3)*12+MONTH($C$3),$G184,0))</f>
        <v/>
      </c>
      <c r="O184" s="63">
        <f>IF(OR($J184="",$B184=""),0,IF(YEAR($B184)*12+MONTH($B184)&lt;=YEAR($C$3)*12+MONTH($C$3)-1,$G184,0))</f>
        <v/>
      </c>
      <c r="P184" s="63">
        <f>$M184-$O184</f>
        <v/>
      </c>
      <c r="Q184" s="63">
        <f>($L184-$M184)-($N184-$O184)</f>
        <v/>
      </c>
      <c r="R184" s="63">
        <f>$L184-$N184</f>
        <v/>
      </c>
    </row>
    <row r="185">
      <c r="A185" s="60">
        <f>ROW()-5</f>
        <v/>
      </c>
      <c r="B185" s="61">
        <f>IFERROR(INDEX(tbl_Finance[Date],$A185),"")</f>
        <v/>
      </c>
      <c r="C185" s="62">
        <f>IFERROR(INDEX(tbl_Finance[Xero Invoice No],$A185),"")</f>
        <v/>
      </c>
      <c r="D185" s="62">
        <f>IFERROR(INDEX(tbl_Finance[Client],$A185),"")</f>
        <v/>
      </c>
      <c r="E185" s="62">
        <f>IFERROR(INDEX(tbl_Finance[Job Number],$A185),"")</f>
        <v/>
      </c>
      <c r="F185" s="62">
        <f>IFERROR(INDEX(tbl_Finance[Cost Centre],$A185),"")</f>
        <v/>
      </c>
      <c r="G185" s="63">
        <f>IFERROR(INDEX(tbl_Finance[Ex GST],$A185),"")</f>
        <v/>
      </c>
      <c r="H185" s="61">
        <f>IFERROR(INDEX(tbl_Finance[Defer Start],$A185),"")</f>
        <v/>
      </c>
      <c r="I185" s="61">
        <f>IFERROR(INDEX(tbl_Finance[Defer End],$A185),"")</f>
        <v/>
      </c>
      <c r="J185" s="60">
        <f>IF(OR($H185="",$I185="",$G185=""),"",MAX(1,(YEAR($I185)-YEAR($H185))*12+MONTH($I185)-MONTH($H185)+1))</f>
        <v/>
      </c>
      <c r="K185" s="63">
        <f>IF($J185="","",$G185/$J185)</f>
        <v/>
      </c>
      <c r="L185" s="63">
        <f>IF($J185="",0,$K185*MAX(0,MIN(YEAR($C$3)*12+MONTH($C$3),YEAR($I185)*12+MONTH($I185))-(YEAR($H185)*12+MONTH($H185))+1))</f>
        <v/>
      </c>
      <c r="M185" s="63">
        <f>IF($J185="",0,$K185*MAX(0,MIN(YEAR($C$3)*12+MONTH($C$3)-1,YEAR($I185)*12+MONTH($I185))-(YEAR($H185)*12+MONTH($H185))+1))</f>
        <v/>
      </c>
      <c r="N185" s="63">
        <f>IF(OR($J185="",$B185=""),0,IF(YEAR($B185)*12+MONTH($B185)&lt;=YEAR($C$3)*12+MONTH($C$3),$G185,0))</f>
        <v/>
      </c>
      <c r="O185" s="63">
        <f>IF(OR($J185="",$B185=""),0,IF(YEAR($B185)*12+MONTH($B185)&lt;=YEAR($C$3)*12+MONTH($C$3)-1,$G185,0))</f>
        <v/>
      </c>
      <c r="P185" s="63">
        <f>$M185-$O185</f>
        <v/>
      </c>
      <c r="Q185" s="63">
        <f>($L185-$M185)-($N185-$O185)</f>
        <v/>
      </c>
      <c r="R185" s="63">
        <f>$L185-$N185</f>
        <v/>
      </c>
    </row>
    <row r="186">
      <c r="A186" s="60">
        <f>ROW()-5</f>
        <v/>
      </c>
      <c r="B186" s="61">
        <f>IFERROR(INDEX(tbl_Finance[Date],$A186),"")</f>
        <v/>
      </c>
      <c r="C186" s="62">
        <f>IFERROR(INDEX(tbl_Finance[Xero Invoice No],$A186),"")</f>
        <v/>
      </c>
      <c r="D186" s="62">
        <f>IFERROR(INDEX(tbl_Finance[Client],$A186),"")</f>
        <v/>
      </c>
      <c r="E186" s="62">
        <f>IFERROR(INDEX(tbl_Finance[Job Number],$A186),"")</f>
        <v/>
      </c>
      <c r="F186" s="62">
        <f>IFERROR(INDEX(tbl_Finance[Cost Centre],$A186),"")</f>
        <v/>
      </c>
      <c r="G186" s="63">
        <f>IFERROR(INDEX(tbl_Finance[Ex GST],$A186),"")</f>
        <v/>
      </c>
      <c r="H186" s="61">
        <f>IFERROR(INDEX(tbl_Finance[Defer Start],$A186),"")</f>
        <v/>
      </c>
      <c r="I186" s="61">
        <f>IFERROR(INDEX(tbl_Finance[Defer End],$A186),"")</f>
        <v/>
      </c>
      <c r="J186" s="60">
        <f>IF(OR($H186="",$I186="",$G186=""),"",MAX(1,(YEAR($I186)-YEAR($H186))*12+MONTH($I186)-MONTH($H186)+1))</f>
        <v/>
      </c>
      <c r="K186" s="63">
        <f>IF($J186="","",$G186/$J186)</f>
        <v/>
      </c>
      <c r="L186" s="63">
        <f>IF($J186="",0,$K186*MAX(0,MIN(YEAR($C$3)*12+MONTH($C$3),YEAR($I186)*12+MONTH($I186))-(YEAR($H186)*12+MONTH($H186))+1))</f>
        <v/>
      </c>
      <c r="M186" s="63">
        <f>IF($J186="",0,$K186*MAX(0,MIN(YEAR($C$3)*12+MONTH($C$3)-1,YEAR($I186)*12+MONTH($I186))-(YEAR($H186)*12+MONTH($H186))+1))</f>
        <v/>
      </c>
      <c r="N186" s="63">
        <f>IF(OR($J186="",$B186=""),0,IF(YEAR($B186)*12+MONTH($B186)&lt;=YEAR($C$3)*12+MONTH($C$3),$G186,0))</f>
        <v/>
      </c>
      <c r="O186" s="63">
        <f>IF(OR($J186="",$B186=""),0,IF(YEAR($B186)*12+MONTH($B186)&lt;=YEAR($C$3)*12+MONTH($C$3)-1,$G186,0))</f>
        <v/>
      </c>
      <c r="P186" s="63">
        <f>$M186-$O186</f>
        <v/>
      </c>
      <c r="Q186" s="63">
        <f>($L186-$M186)-($N186-$O186)</f>
        <v/>
      </c>
      <c r="R186" s="63">
        <f>$L186-$N186</f>
        <v/>
      </c>
    </row>
    <row r="187">
      <c r="A187" s="60">
        <f>ROW()-5</f>
        <v/>
      </c>
      <c r="B187" s="61">
        <f>IFERROR(INDEX(tbl_Finance[Date],$A187),"")</f>
        <v/>
      </c>
      <c r="C187" s="62">
        <f>IFERROR(INDEX(tbl_Finance[Xero Invoice No],$A187),"")</f>
        <v/>
      </c>
      <c r="D187" s="62">
        <f>IFERROR(INDEX(tbl_Finance[Client],$A187),"")</f>
        <v/>
      </c>
      <c r="E187" s="62">
        <f>IFERROR(INDEX(tbl_Finance[Job Number],$A187),"")</f>
        <v/>
      </c>
      <c r="F187" s="62">
        <f>IFERROR(INDEX(tbl_Finance[Cost Centre],$A187),"")</f>
        <v/>
      </c>
      <c r="G187" s="63">
        <f>IFERROR(INDEX(tbl_Finance[Ex GST],$A187),"")</f>
        <v/>
      </c>
      <c r="H187" s="61">
        <f>IFERROR(INDEX(tbl_Finance[Defer Start],$A187),"")</f>
        <v/>
      </c>
      <c r="I187" s="61">
        <f>IFERROR(INDEX(tbl_Finance[Defer End],$A187),"")</f>
        <v/>
      </c>
      <c r="J187" s="60">
        <f>IF(OR($H187="",$I187="",$G187=""),"",MAX(1,(YEAR($I187)-YEAR($H187))*12+MONTH($I187)-MONTH($H187)+1))</f>
        <v/>
      </c>
      <c r="K187" s="63">
        <f>IF($J187="","",$G187/$J187)</f>
        <v/>
      </c>
      <c r="L187" s="63">
        <f>IF($J187="",0,$K187*MAX(0,MIN(YEAR($C$3)*12+MONTH($C$3),YEAR($I187)*12+MONTH($I187))-(YEAR($H187)*12+MONTH($H187))+1))</f>
        <v/>
      </c>
      <c r="M187" s="63">
        <f>IF($J187="",0,$K187*MAX(0,MIN(YEAR($C$3)*12+MONTH($C$3)-1,YEAR($I187)*12+MONTH($I187))-(YEAR($H187)*12+MONTH($H187))+1))</f>
        <v/>
      </c>
      <c r="N187" s="63">
        <f>IF(OR($J187="",$B187=""),0,IF(YEAR($B187)*12+MONTH($B187)&lt;=YEAR($C$3)*12+MONTH($C$3),$G187,0))</f>
        <v/>
      </c>
      <c r="O187" s="63">
        <f>IF(OR($J187="",$B187=""),0,IF(YEAR($B187)*12+MONTH($B187)&lt;=YEAR($C$3)*12+MONTH($C$3)-1,$G187,0))</f>
        <v/>
      </c>
      <c r="P187" s="63">
        <f>$M187-$O187</f>
        <v/>
      </c>
      <c r="Q187" s="63">
        <f>($L187-$M187)-($N187-$O187)</f>
        <v/>
      </c>
      <c r="R187" s="63">
        <f>$L187-$N187</f>
        <v/>
      </c>
    </row>
    <row r="188">
      <c r="A188" s="60">
        <f>ROW()-5</f>
        <v/>
      </c>
      <c r="B188" s="61">
        <f>IFERROR(INDEX(tbl_Finance[Date],$A188),"")</f>
        <v/>
      </c>
      <c r="C188" s="62">
        <f>IFERROR(INDEX(tbl_Finance[Xero Invoice No],$A188),"")</f>
        <v/>
      </c>
      <c r="D188" s="62">
        <f>IFERROR(INDEX(tbl_Finance[Client],$A188),"")</f>
        <v/>
      </c>
      <c r="E188" s="62">
        <f>IFERROR(INDEX(tbl_Finance[Job Number],$A188),"")</f>
        <v/>
      </c>
      <c r="F188" s="62">
        <f>IFERROR(INDEX(tbl_Finance[Cost Centre],$A188),"")</f>
        <v/>
      </c>
      <c r="G188" s="63">
        <f>IFERROR(INDEX(tbl_Finance[Ex GST],$A188),"")</f>
        <v/>
      </c>
      <c r="H188" s="61">
        <f>IFERROR(INDEX(tbl_Finance[Defer Start],$A188),"")</f>
        <v/>
      </c>
      <c r="I188" s="61">
        <f>IFERROR(INDEX(tbl_Finance[Defer End],$A188),"")</f>
        <v/>
      </c>
      <c r="J188" s="60">
        <f>IF(OR($H188="",$I188="",$G188=""),"",MAX(1,(YEAR($I188)-YEAR($H188))*12+MONTH($I188)-MONTH($H188)+1))</f>
        <v/>
      </c>
      <c r="K188" s="63">
        <f>IF($J188="","",$G188/$J188)</f>
        <v/>
      </c>
      <c r="L188" s="63">
        <f>IF($J188="",0,$K188*MAX(0,MIN(YEAR($C$3)*12+MONTH($C$3),YEAR($I188)*12+MONTH($I188))-(YEAR($H188)*12+MONTH($H188))+1))</f>
        <v/>
      </c>
      <c r="M188" s="63">
        <f>IF($J188="",0,$K188*MAX(0,MIN(YEAR($C$3)*12+MONTH($C$3)-1,YEAR($I188)*12+MONTH($I188))-(YEAR($H188)*12+MONTH($H188))+1))</f>
        <v/>
      </c>
      <c r="N188" s="63">
        <f>IF(OR($J188="",$B188=""),0,IF(YEAR($B188)*12+MONTH($B188)&lt;=YEAR($C$3)*12+MONTH($C$3),$G188,0))</f>
        <v/>
      </c>
      <c r="O188" s="63">
        <f>IF(OR($J188="",$B188=""),0,IF(YEAR($B188)*12+MONTH($B188)&lt;=YEAR($C$3)*12+MONTH($C$3)-1,$G188,0))</f>
        <v/>
      </c>
      <c r="P188" s="63">
        <f>$M188-$O188</f>
        <v/>
      </c>
      <c r="Q188" s="63">
        <f>($L188-$M188)-($N188-$O188)</f>
        <v/>
      </c>
      <c r="R188" s="63">
        <f>$L188-$N188</f>
        <v/>
      </c>
    </row>
    <row r="189">
      <c r="A189" s="60">
        <f>ROW()-5</f>
        <v/>
      </c>
      <c r="B189" s="61">
        <f>IFERROR(INDEX(tbl_Finance[Date],$A189),"")</f>
        <v/>
      </c>
      <c r="C189" s="62">
        <f>IFERROR(INDEX(tbl_Finance[Xero Invoice No],$A189),"")</f>
        <v/>
      </c>
      <c r="D189" s="62">
        <f>IFERROR(INDEX(tbl_Finance[Client],$A189),"")</f>
        <v/>
      </c>
      <c r="E189" s="62">
        <f>IFERROR(INDEX(tbl_Finance[Job Number],$A189),"")</f>
        <v/>
      </c>
      <c r="F189" s="62">
        <f>IFERROR(INDEX(tbl_Finance[Cost Centre],$A189),"")</f>
        <v/>
      </c>
      <c r="G189" s="63">
        <f>IFERROR(INDEX(tbl_Finance[Ex GST],$A189),"")</f>
        <v/>
      </c>
      <c r="H189" s="61">
        <f>IFERROR(INDEX(tbl_Finance[Defer Start],$A189),"")</f>
        <v/>
      </c>
      <c r="I189" s="61">
        <f>IFERROR(INDEX(tbl_Finance[Defer End],$A189),"")</f>
        <v/>
      </c>
      <c r="J189" s="60">
        <f>IF(OR($H189="",$I189="",$G189=""),"",MAX(1,(YEAR($I189)-YEAR($H189))*12+MONTH($I189)-MONTH($H189)+1))</f>
        <v/>
      </c>
      <c r="K189" s="63">
        <f>IF($J189="","",$G189/$J189)</f>
        <v/>
      </c>
      <c r="L189" s="63">
        <f>IF($J189="",0,$K189*MAX(0,MIN(YEAR($C$3)*12+MONTH($C$3),YEAR($I189)*12+MONTH($I189))-(YEAR($H189)*12+MONTH($H189))+1))</f>
        <v/>
      </c>
      <c r="M189" s="63">
        <f>IF($J189="",0,$K189*MAX(0,MIN(YEAR($C$3)*12+MONTH($C$3)-1,YEAR($I189)*12+MONTH($I189))-(YEAR($H189)*12+MONTH($H189))+1))</f>
        <v/>
      </c>
      <c r="N189" s="63">
        <f>IF(OR($J189="",$B189=""),0,IF(YEAR($B189)*12+MONTH($B189)&lt;=YEAR($C$3)*12+MONTH($C$3),$G189,0))</f>
        <v/>
      </c>
      <c r="O189" s="63">
        <f>IF(OR($J189="",$B189=""),0,IF(YEAR($B189)*12+MONTH($B189)&lt;=YEAR($C$3)*12+MONTH($C$3)-1,$G189,0))</f>
        <v/>
      </c>
      <c r="P189" s="63">
        <f>$M189-$O189</f>
        <v/>
      </c>
      <c r="Q189" s="63">
        <f>($L189-$M189)-($N189-$O189)</f>
        <v/>
      </c>
      <c r="R189" s="63">
        <f>$L189-$N189</f>
        <v/>
      </c>
    </row>
    <row r="190">
      <c r="A190" s="60">
        <f>ROW()-5</f>
        <v/>
      </c>
      <c r="B190" s="61">
        <f>IFERROR(INDEX(tbl_Finance[Date],$A190),"")</f>
        <v/>
      </c>
      <c r="C190" s="62">
        <f>IFERROR(INDEX(tbl_Finance[Xero Invoice No],$A190),"")</f>
        <v/>
      </c>
      <c r="D190" s="62">
        <f>IFERROR(INDEX(tbl_Finance[Client],$A190),"")</f>
        <v/>
      </c>
      <c r="E190" s="62">
        <f>IFERROR(INDEX(tbl_Finance[Job Number],$A190),"")</f>
        <v/>
      </c>
      <c r="F190" s="62">
        <f>IFERROR(INDEX(tbl_Finance[Cost Centre],$A190),"")</f>
        <v/>
      </c>
      <c r="G190" s="63">
        <f>IFERROR(INDEX(tbl_Finance[Ex GST],$A190),"")</f>
        <v/>
      </c>
      <c r="H190" s="61">
        <f>IFERROR(INDEX(tbl_Finance[Defer Start],$A190),"")</f>
        <v/>
      </c>
      <c r="I190" s="61">
        <f>IFERROR(INDEX(tbl_Finance[Defer End],$A190),"")</f>
        <v/>
      </c>
      <c r="J190" s="60">
        <f>IF(OR($H190="",$I190="",$G190=""),"",MAX(1,(YEAR($I190)-YEAR($H190))*12+MONTH($I190)-MONTH($H190)+1))</f>
        <v/>
      </c>
      <c r="K190" s="63">
        <f>IF($J190="","",$G190/$J190)</f>
        <v/>
      </c>
      <c r="L190" s="63">
        <f>IF($J190="",0,$K190*MAX(0,MIN(YEAR($C$3)*12+MONTH($C$3),YEAR($I190)*12+MONTH($I190))-(YEAR($H190)*12+MONTH($H190))+1))</f>
        <v/>
      </c>
      <c r="M190" s="63">
        <f>IF($J190="",0,$K190*MAX(0,MIN(YEAR($C$3)*12+MONTH($C$3)-1,YEAR($I190)*12+MONTH($I190))-(YEAR($H190)*12+MONTH($H190))+1))</f>
        <v/>
      </c>
      <c r="N190" s="63">
        <f>IF(OR($J190="",$B190=""),0,IF(YEAR($B190)*12+MONTH($B190)&lt;=YEAR($C$3)*12+MONTH($C$3),$G190,0))</f>
        <v/>
      </c>
      <c r="O190" s="63">
        <f>IF(OR($J190="",$B190=""),0,IF(YEAR($B190)*12+MONTH($B190)&lt;=YEAR($C$3)*12+MONTH($C$3)-1,$G190,0))</f>
        <v/>
      </c>
      <c r="P190" s="63">
        <f>$M190-$O190</f>
        <v/>
      </c>
      <c r="Q190" s="63">
        <f>($L190-$M190)-($N190-$O190)</f>
        <v/>
      </c>
      <c r="R190" s="63">
        <f>$L190-$N190</f>
        <v/>
      </c>
    </row>
    <row r="191">
      <c r="A191" s="60">
        <f>ROW()-5</f>
        <v/>
      </c>
      <c r="B191" s="61">
        <f>IFERROR(INDEX(tbl_Finance[Date],$A191),"")</f>
        <v/>
      </c>
      <c r="C191" s="62">
        <f>IFERROR(INDEX(tbl_Finance[Xero Invoice No],$A191),"")</f>
        <v/>
      </c>
      <c r="D191" s="62">
        <f>IFERROR(INDEX(tbl_Finance[Client],$A191),"")</f>
        <v/>
      </c>
      <c r="E191" s="62">
        <f>IFERROR(INDEX(tbl_Finance[Job Number],$A191),"")</f>
        <v/>
      </c>
      <c r="F191" s="62">
        <f>IFERROR(INDEX(tbl_Finance[Cost Centre],$A191),"")</f>
        <v/>
      </c>
      <c r="G191" s="63">
        <f>IFERROR(INDEX(tbl_Finance[Ex GST],$A191),"")</f>
        <v/>
      </c>
      <c r="H191" s="61">
        <f>IFERROR(INDEX(tbl_Finance[Defer Start],$A191),"")</f>
        <v/>
      </c>
      <c r="I191" s="61">
        <f>IFERROR(INDEX(tbl_Finance[Defer End],$A191),"")</f>
        <v/>
      </c>
      <c r="J191" s="60">
        <f>IF(OR($H191="",$I191="",$G191=""),"",MAX(1,(YEAR($I191)-YEAR($H191))*12+MONTH($I191)-MONTH($H191)+1))</f>
        <v/>
      </c>
      <c r="K191" s="63">
        <f>IF($J191="","",$G191/$J191)</f>
        <v/>
      </c>
      <c r="L191" s="63">
        <f>IF($J191="",0,$K191*MAX(0,MIN(YEAR($C$3)*12+MONTH($C$3),YEAR($I191)*12+MONTH($I191))-(YEAR($H191)*12+MONTH($H191))+1))</f>
        <v/>
      </c>
      <c r="M191" s="63">
        <f>IF($J191="",0,$K191*MAX(0,MIN(YEAR($C$3)*12+MONTH($C$3)-1,YEAR($I191)*12+MONTH($I191))-(YEAR($H191)*12+MONTH($H191))+1))</f>
        <v/>
      </c>
      <c r="N191" s="63">
        <f>IF(OR($J191="",$B191=""),0,IF(YEAR($B191)*12+MONTH($B191)&lt;=YEAR($C$3)*12+MONTH($C$3),$G191,0))</f>
        <v/>
      </c>
      <c r="O191" s="63">
        <f>IF(OR($J191="",$B191=""),0,IF(YEAR($B191)*12+MONTH($B191)&lt;=YEAR($C$3)*12+MONTH($C$3)-1,$G191,0))</f>
        <v/>
      </c>
      <c r="P191" s="63">
        <f>$M191-$O191</f>
        <v/>
      </c>
      <c r="Q191" s="63">
        <f>($L191-$M191)-($N191-$O191)</f>
        <v/>
      </c>
      <c r="R191" s="63">
        <f>$L191-$N191</f>
        <v/>
      </c>
    </row>
    <row r="192">
      <c r="A192" s="60">
        <f>ROW()-5</f>
        <v/>
      </c>
      <c r="B192" s="61">
        <f>IFERROR(INDEX(tbl_Finance[Date],$A192),"")</f>
        <v/>
      </c>
      <c r="C192" s="62">
        <f>IFERROR(INDEX(tbl_Finance[Xero Invoice No],$A192),"")</f>
        <v/>
      </c>
      <c r="D192" s="62">
        <f>IFERROR(INDEX(tbl_Finance[Client],$A192),"")</f>
        <v/>
      </c>
      <c r="E192" s="62">
        <f>IFERROR(INDEX(tbl_Finance[Job Number],$A192),"")</f>
        <v/>
      </c>
      <c r="F192" s="62">
        <f>IFERROR(INDEX(tbl_Finance[Cost Centre],$A192),"")</f>
        <v/>
      </c>
      <c r="G192" s="63">
        <f>IFERROR(INDEX(tbl_Finance[Ex GST],$A192),"")</f>
        <v/>
      </c>
      <c r="H192" s="61">
        <f>IFERROR(INDEX(tbl_Finance[Defer Start],$A192),"")</f>
        <v/>
      </c>
      <c r="I192" s="61">
        <f>IFERROR(INDEX(tbl_Finance[Defer End],$A192),"")</f>
        <v/>
      </c>
      <c r="J192" s="60">
        <f>IF(OR($H192="",$I192="",$G192=""),"",MAX(1,(YEAR($I192)-YEAR($H192))*12+MONTH($I192)-MONTH($H192)+1))</f>
        <v/>
      </c>
      <c r="K192" s="63">
        <f>IF($J192="","",$G192/$J192)</f>
        <v/>
      </c>
      <c r="L192" s="63">
        <f>IF($J192="",0,$K192*MAX(0,MIN(YEAR($C$3)*12+MONTH($C$3),YEAR($I192)*12+MONTH($I192))-(YEAR($H192)*12+MONTH($H192))+1))</f>
        <v/>
      </c>
      <c r="M192" s="63">
        <f>IF($J192="",0,$K192*MAX(0,MIN(YEAR($C$3)*12+MONTH($C$3)-1,YEAR($I192)*12+MONTH($I192))-(YEAR($H192)*12+MONTH($H192))+1))</f>
        <v/>
      </c>
      <c r="N192" s="63">
        <f>IF(OR($J192="",$B192=""),0,IF(YEAR($B192)*12+MONTH($B192)&lt;=YEAR($C$3)*12+MONTH($C$3),$G192,0))</f>
        <v/>
      </c>
      <c r="O192" s="63">
        <f>IF(OR($J192="",$B192=""),0,IF(YEAR($B192)*12+MONTH($B192)&lt;=YEAR($C$3)*12+MONTH($C$3)-1,$G192,0))</f>
        <v/>
      </c>
      <c r="P192" s="63">
        <f>$M192-$O192</f>
        <v/>
      </c>
      <c r="Q192" s="63">
        <f>($L192-$M192)-($N192-$O192)</f>
        <v/>
      </c>
      <c r="R192" s="63">
        <f>$L192-$N192</f>
        <v/>
      </c>
    </row>
    <row r="193">
      <c r="A193" s="60">
        <f>ROW()-5</f>
        <v/>
      </c>
      <c r="B193" s="61">
        <f>IFERROR(INDEX(tbl_Finance[Date],$A193),"")</f>
        <v/>
      </c>
      <c r="C193" s="62">
        <f>IFERROR(INDEX(tbl_Finance[Xero Invoice No],$A193),"")</f>
        <v/>
      </c>
      <c r="D193" s="62">
        <f>IFERROR(INDEX(tbl_Finance[Client],$A193),"")</f>
        <v/>
      </c>
      <c r="E193" s="62">
        <f>IFERROR(INDEX(tbl_Finance[Job Number],$A193),"")</f>
        <v/>
      </c>
      <c r="F193" s="62">
        <f>IFERROR(INDEX(tbl_Finance[Cost Centre],$A193),"")</f>
        <v/>
      </c>
      <c r="G193" s="63">
        <f>IFERROR(INDEX(tbl_Finance[Ex GST],$A193),"")</f>
        <v/>
      </c>
      <c r="H193" s="61">
        <f>IFERROR(INDEX(tbl_Finance[Defer Start],$A193),"")</f>
        <v/>
      </c>
      <c r="I193" s="61">
        <f>IFERROR(INDEX(tbl_Finance[Defer End],$A193),"")</f>
        <v/>
      </c>
      <c r="J193" s="60">
        <f>IF(OR($H193="",$I193="",$G193=""),"",MAX(1,(YEAR($I193)-YEAR($H193))*12+MONTH($I193)-MONTH($H193)+1))</f>
        <v/>
      </c>
      <c r="K193" s="63">
        <f>IF($J193="","",$G193/$J193)</f>
        <v/>
      </c>
      <c r="L193" s="63">
        <f>IF($J193="",0,$K193*MAX(0,MIN(YEAR($C$3)*12+MONTH($C$3),YEAR($I193)*12+MONTH($I193))-(YEAR($H193)*12+MONTH($H193))+1))</f>
        <v/>
      </c>
      <c r="M193" s="63">
        <f>IF($J193="",0,$K193*MAX(0,MIN(YEAR($C$3)*12+MONTH($C$3)-1,YEAR($I193)*12+MONTH($I193))-(YEAR($H193)*12+MONTH($H193))+1))</f>
        <v/>
      </c>
      <c r="N193" s="63">
        <f>IF(OR($J193="",$B193=""),0,IF(YEAR($B193)*12+MONTH($B193)&lt;=YEAR($C$3)*12+MONTH($C$3),$G193,0))</f>
        <v/>
      </c>
      <c r="O193" s="63">
        <f>IF(OR($J193="",$B193=""),0,IF(YEAR($B193)*12+MONTH($B193)&lt;=YEAR($C$3)*12+MONTH($C$3)-1,$G193,0))</f>
        <v/>
      </c>
      <c r="P193" s="63">
        <f>$M193-$O193</f>
        <v/>
      </c>
      <c r="Q193" s="63">
        <f>($L193-$M193)-($N193-$O193)</f>
        <v/>
      </c>
      <c r="R193" s="63">
        <f>$L193-$N193</f>
        <v/>
      </c>
    </row>
    <row r="194">
      <c r="A194" s="60">
        <f>ROW()-5</f>
        <v/>
      </c>
      <c r="B194" s="61">
        <f>IFERROR(INDEX(tbl_Finance[Date],$A194),"")</f>
        <v/>
      </c>
      <c r="C194" s="62">
        <f>IFERROR(INDEX(tbl_Finance[Xero Invoice No],$A194),"")</f>
        <v/>
      </c>
      <c r="D194" s="62">
        <f>IFERROR(INDEX(tbl_Finance[Client],$A194),"")</f>
        <v/>
      </c>
      <c r="E194" s="62">
        <f>IFERROR(INDEX(tbl_Finance[Job Number],$A194),"")</f>
        <v/>
      </c>
      <c r="F194" s="62">
        <f>IFERROR(INDEX(tbl_Finance[Cost Centre],$A194),"")</f>
        <v/>
      </c>
      <c r="G194" s="63">
        <f>IFERROR(INDEX(tbl_Finance[Ex GST],$A194),"")</f>
        <v/>
      </c>
      <c r="H194" s="61">
        <f>IFERROR(INDEX(tbl_Finance[Defer Start],$A194),"")</f>
        <v/>
      </c>
      <c r="I194" s="61">
        <f>IFERROR(INDEX(tbl_Finance[Defer End],$A194),"")</f>
        <v/>
      </c>
      <c r="J194" s="60">
        <f>IF(OR($H194="",$I194="",$G194=""),"",MAX(1,(YEAR($I194)-YEAR($H194))*12+MONTH($I194)-MONTH($H194)+1))</f>
        <v/>
      </c>
      <c r="K194" s="63">
        <f>IF($J194="","",$G194/$J194)</f>
        <v/>
      </c>
      <c r="L194" s="63">
        <f>IF($J194="",0,$K194*MAX(0,MIN(YEAR($C$3)*12+MONTH($C$3),YEAR($I194)*12+MONTH($I194))-(YEAR($H194)*12+MONTH($H194))+1))</f>
        <v/>
      </c>
      <c r="M194" s="63">
        <f>IF($J194="",0,$K194*MAX(0,MIN(YEAR($C$3)*12+MONTH($C$3)-1,YEAR($I194)*12+MONTH($I194))-(YEAR($H194)*12+MONTH($H194))+1))</f>
        <v/>
      </c>
      <c r="N194" s="63">
        <f>IF(OR($J194="",$B194=""),0,IF(YEAR($B194)*12+MONTH($B194)&lt;=YEAR($C$3)*12+MONTH($C$3),$G194,0))</f>
        <v/>
      </c>
      <c r="O194" s="63">
        <f>IF(OR($J194="",$B194=""),0,IF(YEAR($B194)*12+MONTH($B194)&lt;=YEAR($C$3)*12+MONTH($C$3)-1,$G194,0))</f>
        <v/>
      </c>
      <c r="P194" s="63">
        <f>$M194-$O194</f>
        <v/>
      </c>
      <c r="Q194" s="63">
        <f>($L194-$M194)-($N194-$O194)</f>
        <v/>
      </c>
      <c r="R194" s="63">
        <f>$L194-$N194</f>
        <v/>
      </c>
    </row>
    <row r="195">
      <c r="A195" s="60">
        <f>ROW()-5</f>
        <v/>
      </c>
      <c r="B195" s="61">
        <f>IFERROR(INDEX(tbl_Finance[Date],$A195),"")</f>
        <v/>
      </c>
      <c r="C195" s="62">
        <f>IFERROR(INDEX(tbl_Finance[Xero Invoice No],$A195),"")</f>
        <v/>
      </c>
      <c r="D195" s="62">
        <f>IFERROR(INDEX(tbl_Finance[Client],$A195),"")</f>
        <v/>
      </c>
      <c r="E195" s="62">
        <f>IFERROR(INDEX(tbl_Finance[Job Number],$A195),"")</f>
        <v/>
      </c>
      <c r="F195" s="62">
        <f>IFERROR(INDEX(tbl_Finance[Cost Centre],$A195),"")</f>
        <v/>
      </c>
      <c r="G195" s="63">
        <f>IFERROR(INDEX(tbl_Finance[Ex GST],$A195),"")</f>
        <v/>
      </c>
      <c r="H195" s="61">
        <f>IFERROR(INDEX(tbl_Finance[Defer Start],$A195),"")</f>
        <v/>
      </c>
      <c r="I195" s="61">
        <f>IFERROR(INDEX(tbl_Finance[Defer End],$A195),"")</f>
        <v/>
      </c>
      <c r="J195" s="60">
        <f>IF(OR($H195="",$I195="",$G195=""),"",MAX(1,(YEAR($I195)-YEAR($H195))*12+MONTH($I195)-MONTH($H195)+1))</f>
        <v/>
      </c>
      <c r="K195" s="63">
        <f>IF($J195="","",$G195/$J195)</f>
        <v/>
      </c>
      <c r="L195" s="63">
        <f>IF($J195="",0,$K195*MAX(0,MIN(YEAR($C$3)*12+MONTH($C$3),YEAR($I195)*12+MONTH($I195))-(YEAR($H195)*12+MONTH($H195))+1))</f>
        <v/>
      </c>
      <c r="M195" s="63">
        <f>IF($J195="",0,$K195*MAX(0,MIN(YEAR($C$3)*12+MONTH($C$3)-1,YEAR($I195)*12+MONTH($I195))-(YEAR($H195)*12+MONTH($H195))+1))</f>
        <v/>
      </c>
      <c r="N195" s="63">
        <f>IF(OR($J195="",$B195=""),0,IF(YEAR($B195)*12+MONTH($B195)&lt;=YEAR($C$3)*12+MONTH($C$3),$G195,0))</f>
        <v/>
      </c>
      <c r="O195" s="63">
        <f>IF(OR($J195="",$B195=""),0,IF(YEAR($B195)*12+MONTH($B195)&lt;=YEAR($C$3)*12+MONTH($C$3)-1,$G195,0))</f>
        <v/>
      </c>
      <c r="P195" s="63">
        <f>$M195-$O195</f>
        <v/>
      </c>
      <c r="Q195" s="63">
        <f>($L195-$M195)-($N195-$O195)</f>
        <v/>
      </c>
      <c r="R195" s="63">
        <f>$L195-$N195</f>
        <v/>
      </c>
    </row>
    <row r="196">
      <c r="A196" s="60">
        <f>ROW()-5</f>
        <v/>
      </c>
      <c r="B196" s="61">
        <f>IFERROR(INDEX(tbl_Finance[Date],$A196),"")</f>
        <v/>
      </c>
      <c r="C196" s="62">
        <f>IFERROR(INDEX(tbl_Finance[Xero Invoice No],$A196),"")</f>
        <v/>
      </c>
      <c r="D196" s="62">
        <f>IFERROR(INDEX(tbl_Finance[Client],$A196),"")</f>
        <v/>
      </c>
      <c r="E196" s="62">
        <f>IFERROR(INDEX(tbl_Finance[Job Number],$A196),"")</f>
        <v/>
      </c>
      <c r="F196" s="62">
        <f>IFERROR(INDEX(tbl_Finance[Cost Centre],$A196),"")</f>
        <v/>
      </c>
      <c r="G196" s="63">
        <f>IFERROR(INDEX(tbl_Finance[Ex GST],$A196),"")</f>
        <v/>
      </c>
      <c r="H196" s="61">
        <f>IFERROR(INDEX(tbl_Finance[Defer Start],$A196),"")</f>
        <v/>
      </c>
      <c r="I196" s="61">
        <f>IFERROR(INDEX(tbl_Finance[Defer End],$A196),"")</f>
        <v/>
      </c>
      <c r="J196" s="60">
        <f>IF(OR($H196="",$I196="",$G196=""),"",MAX(1,(YEAR($I196)-YEAR($H196))*12+MONTH($I196)-MONTH($H196)+1))</f>
        <v/>
      </c>
      <c r="K196" s="63">
        <f>IF($J196="","",$G196/$J196)</f>
        <v/>
      </c>
      <c r="L196" s="63">
        <f>IF($J196="",0,$K196*MAX(0,MIN(YEAR($C$3)*12+MONTH($C$3),YEAR($I196)*12+MONTH($I196))-(YEAR($H196)*12+MONTH($H196))+1))</f>
        <v/>
      </c>
      <c r="M196" s="63">
        <f>IF($J196="",0,$K196*MAX(0,MIN(YEAR($C$3)*12+MONTH($C$3)-1,YEAR($I196)*12+MONTH($I196))-(YEAR($H196)*12+MONTH($H196))+1))</f>
        <v/>
      </c>
      <c r="N196" s="63">
        <f>IF(OR($J196="",$B196=""),0,IF(YEAR($B196)*12+MONTH($B196)&lt;=YEAR($C$3)*12+MONTH($C$3),$G196,0))</f>
        <v/>
      </c>
      <c r="O196" s="63">
        <f>IF(OR($J196="",$B196=""),0,IF(YEAR($B196)*12+MONTH($B196)&lt;=YEAR($C$3)*12+MONTH($C$3)-1,$G196,0))</f>
        <v/>
      </c>
      <c r="P196" s="63">
        <f>$M196-$O196</f>
        <v/>
      </c>
      <c r="Q196" s="63">
        <f>($L196-$M196)-($N196-$O196)</f>
        <v/>
      </c>
      <c r="R196" s="63">
        <f>$L196-$N196</f>
        <v/>
      </c>
    </row>
    <row r="197">
      <c r="A197" s="60">
        <f>ROW()-5</f>
        <v/>
      </c>
      <c r="B197" s="61">
        <f>IFERROR(INDEX(tbl_Finance[Date],$A197),"")</f>
        <v/>
      </c>
      <c r="C197" s="62">
        <f>IFERROR(INDEX(tbl_Finance[Xero Invoice No],$A197),"")</f>
        <v/>
      </c>
      <c r="D197" s="62">
        <f>IFERROR(INDEX(tbl_Finance[Client],$A197),"")</f>
        <v/>
      </c>
      <c r="E197" s="62">
        <f>IFERROR(INDEX(tbl_Finance[Job Number],$A197),"")</f>
        <v/>
      </c>
      <c r="F197" s="62">
        <f>IFERROR(INDEX(tbl_Finance[Cost Centre],$A197),"")</f>
        <v/>
      </c>
      <c r="G197" s="63">
        <f>IFERROR(INDEX(tbl_Finance[Ex GST],$A197),"")</f>
        <v/>
      </c>
      <c r="H197" s="61">
        <f>IFERROR(INDEX(tbl_Finance[Defer Start],$A197),"")</f>
        <v/>
      </c>
      <c r="I197" s="61">
        <f>IFERROR(INDEX(tbl_Finance[Defer End],$A197),"")</f>
        <v/>
      </c>
      <c r="J197" s="60">
        <f>IF(OR($H197="",$I197="",$G197=""),"",MAX(1,(YEAR($I197)-YEAR($H197))*12+MONTH($I197)-MONTH($H197)+1))</f>
        <v/>
      </c>
      <c r="K197" s="63">
        <f>IF($J197="","",$G197/$J197)</f>
        <v/>
      </c>
      <c r="L197" s="63">
        <f>IF($J197="",0,$K197*MAX(0,MIN(YEAR($C$3)*12+MONTH($C$3),YEAR($I197)*12+MONTH($I197))-(YEAR($H197)*12+MONTH($H197))+1))</f>
        <v/>
      </c>
      <c r="M197" s="63">
        <f>IF($J197="",0,$K197*MAX(0,MIN(YEAR($C$3)*12+MONTH($C$3)-1,YEAR($I197)*12+MONTH($I197))-(YEAR($H197)*12+MONTH($H197))+1))</f>
        <v/>
      </c>
      <c r="N197" s="63">
        <f>IF(OR($J197="",$B197=""),0,IF(YEAR($B197)*12+MONTH($B197)&lt;=YEAR($C$3)*12+MONTH($C$3),$G197,0))</f>
        <v/>
      </c>
      <c r="O197" s="63">
        <f>IF(OR($J197="",$B197=""),0,IF(YEAR($B197)*12+MONTH($B197)&lt;=YEAR($C$3)*12+MONTH($C$3)-1,$G197,0))</f>
        <v/>
      </c>
      <c r="P197" s="63">
        <f>$M197-$O197</f>
        <v/>
      </c>
      <c r="Q197" s="63">
        <f>($L197-$M197)-($N197-$O197)</f>
        <v/>
      </c>
      <c r="R197" s="63">
        <f>$L197-$N197</f>
        <v/>
      </c>
    </row>
    <row r="198">
      <c r="A198" s="60">
        <f>ROW()-5</f>
        <v/>
      </c>
      <c r="B198" s="61">
        <f>IFERROR(INDEX(tbl_Finance[Date],$A198),"")</f>
        <v/>
      </c>
      <c r="C198" s="62">
        <f>IFERROR(INDEX(tbl_Finance[Xero Invoice No],$A198),"")</f>
        <v/>
      </c>
      <c r="D198" s="62">
        <f>IFERROR(INDEX(tbl_Finance[Client],$A198),"")</f>
        <v/>
      </c>
      <c r="E198" s="62">
        <f>IFERROR(INDEX(tbl_Finance[Job Number],$A198),"")</f>
        <v/>
      </c>
      <c r="F198" s="62">
        <f>IFERROR(INDEX(tbl_Finance[Cost Centre],$A198),"")</f>
        <v/>
      </c>
      <c r="G198" s="63">
        <f>IFERROR(INDEX(tbl_Finance[Ex GST],$A198),"")</f>
        <v/>
      </c>
      <c r="H198" s="61">
        <f>IFERROR(INDEX(tbl_Finance[Defer Start],$A198),"")</f>
        <v/>
      </c>
      <c r="I198" s="61">
        <f>IFERROR(INDEX(tbl_Finance[Defer End],$A198),"")</f>
        <v/>
      </c>
      <c r="J198" s="60">
        <f>IF(OR($H198="",$I198="",$G198=""),"",MAX(1,(YEAR($I198)-YEAR($H198))*12+MONTH($I198)-MONTH($H198)+1))</f>
        <v/>
      </c>
      <c r="K198" s="63">
        <f>IF($J198="","",$G198/$J198)</f>
        <v/>
      </c>
      <c r="L198" s="63">
        <f>IF($J198="",0,$K198*MAX(0,MIN(YEAR($C$3)*12+MONTH($C$3),YEAR($I198)*12+MONTH($I198))-(YEAR($H198)*12+MONTH($H198))+1))</f>
        <v/>
      </c>
      <c r="M198" s="63">
        <f>IF($J198="",0,$K198*MAX(0,MIN(YEAR($C$3)*12+MONTH($C$3)-1,YEAR($I198)*12+MONTH($I198))-(YEAR($H198)*12+MONTH($H198))+1))</f>
        <v/>
      </c>
      <c r="N198" s="63">
        <f>IF(OR($J198="",$B198=""),0,IF(YEAR($B198)*12+MONTH($B198)&lt;=YEAR($C$3)*12+MONTH($C$3),$G198,0))</f>
        <v/>
      </c>
      <c r="O198" s="63">
        <f>IF(OR($J198="",$B198=""),0,IF(YEAR($B198)*12+MONTH($B198)&lt;=YEAR($C$3)*12+MONTH($C$3)-1,$G198,0))</f>
        <v/>
      </c>
      <c r="P198" s="63">
        <f>$M198-$O198</f>
        <v/>
      </c>
      <c r="Q198" s="63">
        <f>($L198-$M198)-($N198-$O198)</f>
        <v/>
      </c>
      <c r="R198" s="63">
        <f>$L198-$N198</f>
        <v/>
      </c>
    </row>
    <row r="199">
      <c r="A199" s="60">
        <f>ROW()-5</f>
        <v/>
      </c>
      <c r="B199" s="61">
        <f>IFERROR(INDEX(tbl_Finance[Date],$A199),"")</f>
        <v/>
      </c>
      <c r="C199" s="62">
        <f>IFERROR(INDEX(tbl_Finance[Xero Invoice No],$A199),"")</f>
        <v/>
      </c>
      <c r="D199" s="62">
        <f>IFERROR(INDEX(tbl_Finance[Client],$A199),"")</f>
        <v/>
      </c>
      <c r="E199" s="62">
        <f>IFERROR(INDEX(tbl_Finance[Job Number],$A199),"")</f>
        <v/>
      </c>
      <c r="F199" s="62">
        <f>IFERROR(INDEX(tbl_Finance[Cost Centre],$A199),"")</f>
        <v/>
      </c>
      <c r="G199" s="63">
        <f>IFERROR(INDEX(tbl_Finance[Ex GST],$A199),"")</f>
        <v/>
      </c>
      <c r="H199" s="61">
        <f>IFERROR(INDEX(tbl_Finance[Defer Start],$A199),"")</f>
        <v/>
      </c>
      <c r="I199" s="61">
        <f>IFERROR(INDEX(tbl_Finance[Defer End],$A199),"")</f>
        <v/>
      </c>
      <c r="J199" s="60">
        <f>IF(OR($H199="",$I199="",$G199=""),"",MAX(1,(YEAR($I199)-YEAR($H199))*12+MONTH($I199)-MONTH($H199)+1))</f>
        <v/>
      </c>
      <c r="K199" s="63">
        <f>IF($J199="","",$G199/$J199)</f>
        <v/>
      </c>
      <c r="L199" s="63">
        <f>IF($J199="",0,$K199*MAX(0,MIN(YEAR($C$3)*12+MONTH($C$3),YEAR($I199)*12+MONTH($I199))-(YEAR($H199)*12+MONTH($H199))+1))</f>
        <v/>
      </c>
      <c r="M199" s="63">
        <f>IF($J199="",0,$K199*MAX(0,MIN(YEAR($C$3)*12+MONTH($C$3)-1,YEAR($I199)*12+MONTH($I199))-(YEAR($H199)*12+MONTH($H199))+1))</f>
        <v/>
      </c>
      <c r="N199" s="63">
        <f>IF(OR($J199="",$B199=""),0,IF(YEAR($B199)*12+MONTH($B199)&lt;=YEAR($C$3)*12+MONTH($C$3),$G199,0))</f>
        <v/>
      </c>
      <c r="O199" s="63">
        <f>IF(OR($J199="",$B199=""),0,IF(YEAR($B199)*12+MONTH($B199)&lt;=YEAR($C$3)*12+MONTH($C$3)-1,$G199,0))</f>
        <v/>
      </c>
      <c r="P199" s="63">
        <f>$M199-$O199</f>
        <v/>
      </c>
      <c r="Q199" s="63">
        <f>($L199-$M199)-($N199-$O199)</f>
        <v/>
      </c>
      <c r="R199" s="63">
        <f>$L199-$N199</f>
        <v/>
      </c>
    </row>
    <row r="200">
      <c r="A200" s="60">
        <f>ROW()-5</f>
        <v/>
      </c>
      <c r="B200" s="61">
        <f>IFERROR(INDEX(tbl_Finance[Date],$A200),"")</f>
        <v/>
      </c>
      <c r="C200" s="62">
        <f>IFERROR(INDEX(tbl_Finance[Xero Invoice No],$A200),"")</f>
        <v/>
      </c>
      <c r="D200" s="62">
        <f>IFERROR(INDEX(tbl_Finance[Client],$A200),"")</f>
        <v/>
      </c>
      <c r="E200" s="62">
        <f>IFERROR(INDEX(tbl_Finance[Job Number],$A200),"")</f>
        <v/>
      </c>
      <c r="F200" s="62">
        <f>IFERROR(INDEX(tbl_Finance[Cost Centre],$A200),"")</f>
        <v/>
      </c>
      <c r="G200" s="63">
        <f>IFERROR(INDEX(tbl_Finance[Ex GST],$A200),"")</f>
        <v/>
      </c>
      <c r="H200" s="61">
        <f>IFERROR(INDEX(tbl_Finance[Defer Start],$A200),"")</f>
        <v/>
      </c>
      <c r="I200" s="61">
        <f>IFERROR(INDEX(tbl_Finance[Defer End],$A200),"")</f>
        <v/>
      </c>
      <c r="J200" s="60">
        <f>IF(OR($H200="",$I200="",$G200=""),"",MAX(1,(YEAR($I200)-YEAR($H200))*12+MONTH($I200)-MONTH($H200)+1))</f>
        <v/>
      </c>
      <c r="K200" s="63">
        <f>IF($J200="","",$G200/$J200)</f>
        <v/>
      </c>
      <c r="L200" s="63">
        <f>IF($J200="",0,$K200*MAX(0,MIN(YEAR($C$3)*12+MONTH($C$3),YEAR($I200)*12+MONTH($I200))-(YEAR($H200)*12+MONTH($H200))+1))</f>
        <v/>
      </c>
      <c r="M200" s="63">
        <f>IF($J200="",0,$K200*MAX(0,MIN(YEAR($C$3)*12+MONTH($C$3)-1,YEAR($I200)*12+MONTH($I200))-(YEAR($H200)*12+MONTH($H200))+1))</f>
        <v/>
      </c>
      <c r="N200" s="63">
        <f>IF(OR($J200="",$B200=""),0,IF(YEAR($B200)*12+MONTH($B200)&lt;=YEAR($C$3)*12+MONTH($C$3),$G200,0))</f>
        <v/>
      </c>
      <c r="O200" s="63">
        <f>IF(OR($J200="",$B200=""),0,IF(YEAR($B200)*12+MONTH($B200)&lt;=YEAR($C$3)*12+MONTH($C$3)-1,$G200,0))</f>
        <v/>
      </c>
      <c r="P200" s="63">
        <f>$M200-$O200</f>
        <v/>
      </c>
      <c r="Q200" s="63">
        <f>($L200-$M200)-($N200-$O200)</f>
        <v/>
      </c>
      <c r="R200" s="63">
        <f>$L200-$N200</f>
        <v/>
      </c>
    </row>
    <row r="201">
      <c r="A201" s="60">
        <f>ROW()-5</f>
        <v/>
      </c>
      <c r="B201" s="61">
        <f>IFERROR(INDEX(tbl_Finance[Date],$A201),"")</f>
        <v/>
      </c>
      <c r="C201" s="62">
        <f>IFERROR(INDEX(tbl_Finance[Xero Invoice No],$A201),"")</f>
        <v/>
      </c>
      <c r="D201" s="62">
        <f>IFERROR(INDEX(tbl_Finance[Client],$A201),"")</f>
        <v/>
      </c>
      <c r="E201" s="62">
        <f>IFERROR(INDEX(tbl_Finance[Job Number],$A201),"")</f>
        <v/>
      </c>
      <c r="F201" s="62">
        <f>IFERROR(INDEX(tbl_Finance[Cost Centre],$A201),"")</f>
        <v/>
      </c>
      <c r="G201" s="63">
        <f>IFERROR(INDEX(tbl_Finance[Ex GST],$A201),"")</f>
        <v/>
      </c>
      <c r="H201" s="61">
        <f>IFERROR(INDEX(tbl_Finance[Defer Start],$A201),"")</f>
        <v/>
      </c>
      <c r="I201" s="61">
        <f>IFERROR(INDEX(tbl_Finance[Defer End],$A201),"")</f>
        <v/>
      </c>
      <c r="J201" s="60">
        <f>IF(OR($H201="",$I201="",$G201=""),"",MAX(1,(YEAR($I201)-YEAR($H201))*12+MONTH($I201)-MONTH($H201)+1))</f>
        <v/>
      </c>
      <c r="K201" s="63">
        <f>IF($J201="","",$G201/$J201)</f>
        <v/>
      </c>
      <c r="L201" s="63">
        <f>IF($J201="",0,$K201*MAX(0,MIN(YEAR($C$3)*12+MONTH($C$3),YEAR($I201)*12+MONTH($I201))-(YEAR($H201)*12+MONTH($H201))+1))</f>
        <v/>
      </c>
      <c r="M201" s="63">
        <f>IF($J201="",0,$K201*MAX(0,MIN(YEAR($C$3)*12+MONTH($C$3)-1,YEAR($I201)*12+MONTH($I201))-(YEAR($H201)*12+MONTH($H201))+1))</f>
        <v/>
      </c>
      <c r="N201" s="63">
        <f>IF(OR($J201="",$B201=""),0,IF(YEAR($B201)*12+MONTH($B201)&lt;=YEAR($C$3)*12+MONTH($C$3),$G201,0))</f>
        <v/>
      </c>
      <c r="O201" s="63">
        <f>IF(OR($J201="",$B201=""),0,IF(YEAR($B201)*12+MONTH($B201)&lt;=YEAR($C$3)*12+MONTH($C$3)-1,$G201,0))</f>
        <v/>
      </c>
      <c r="P201" s="63">
        <f>$M201-$O201</f>
        <v/>
      </c>
      <c r="Q201" s="63">
        <f>($L201-$M201)-($N201-$O201)</f>
        <v/>
      </c>
      <c r="R201" s="63">
        <f>$L201-$N201</f>
        <v/>
      </c>
    </row>
    <row r="202">
      <c r="A202" s="60">
        <f>ROW()-5</f>
        <v/>
      </c>
      <c r="B202" s="61">
        <f>IFERROR(INDEX(tbl_Finance[Date],$A202),"")</f>
        <v/>
      </c>
      <c r="C202" s="62">
        <f>IFERROR(INDEX(tbl_Finance[Xero Invoice No],$A202),"")</f>
        <v/>
      </c>
      <c r="D202" s="62">
        <f>IFERROR(INDEX(tbl_Finance[Client],$A202),"")</f>
        <v/>
      </c>
      <c r="E202" s="62">
        <f>IFERROR(INDEX(tbl_Finance[Job Number],$A202),"")</f>
        <v/>
      </c>
      <c r="F202" s="62">
        <f>IFERROR(INDEX(tbl_Finance[Cost Centre],$A202),"")</f>
        <v/>
      </c>
      <c r="G202" s="63">
        <f>IFERROR(INDEX(tbl_Finance[Ex GST],$A202),"")</f>
        <v/>
      </c>
      <c r="H202" s="61">
        <f>IFERROR(INDEX(tbl_Finance[Defer Start],$A202),"")</f>
        <v/>
      </c>
      <c r="I202" s="61">
        <f>IFERROR(INDEX(tbl_Finance[Defer End],$A202),"")</f>
        <v/>
      </c>
      <c r="J202" s="60">
        <f>IF(OR($H202="",$I202="",$G202=""),"",MAX(1,(YEAR($I202)-YEAR($H202))*12+MONTH($I202)-MONTH($H202)+1))</f>
        <v/>
      </c>
      <c r="K202" s="63">
        <f>IF($J202="","",$G202/$J202)</f>
        <v/>
      </c>
      <c r="L202" s="63">
        <f>IF($J202="",0,$K202*MAX(0,MIN(YEAR($C$3)*12+MONTH($C$3),YEAR($I202)*12+MONTH($I202))-(YEAR($H202)*12+MONTH($H202))+1))</f>
        <v/>
      </c>
      <c r="M202" s="63">
        <f>IF($J202="",0,$K202*MAX(0,MIN(YEAR($C$3)*12+MONTH($C$3)-1,YEAR($I202)*12+MONTH($I202))-(YEAR($H202)*12+MONTH($H202))+1))</f>
        <v/>
      </c>
      <c r="N202" s="63">
        <f>IF(OR($J202="",$B202=""),0,IF(YEAR($B202)*12+MONTH($B202)&lt;=YEAR($C$3)*12+MONTH($C$3),$G202,0))</f>
        <v/>
      </c>
      <c r="O202" s="63">
        <f>IF(OR($J202="",$B202=""),0,IF(YEAR($B202)*12+MONTH($B202)&lt;=YEAR($C$3)*12+MONTH($C$3)-1,$G202,0))</f>
        <v/>
      </c>
      <c r="P202" s="63">
        <f>$M202-$O202</f>
        <v/>
      </c>
      <c r="Q202" s="63">
        <f>($L202-$M202)-($N202-$O202)</f>
        <v/>
      </c>
      <c r="R202" s="63">
        <f>$L202-$N202</f>
        <v/>
      </c>
    </row>
    <row r="203">
      <c r="A203" s="60">
        <f>ROW()-5</f>
        <v/>
      </c>
      <c r="B203" s="61">
        <f>IFERROR(INDEX(tbl_Finance[Date],$A203),"")</f>
        <v/>
      </c>
      <c r="C203" s="62">
        <f>IFERROR(INDEX(tbl_Finance[Xero Invoice No],$A203),"")</f>
        <v/>
      </c>
      <c r="D203" s="62">
        <f>IFERROR(INDEX(tbl_Finance[Client],$A203),"")</f>
        <v/>
      </c>
      <c r="E203" s="62">
        <f>IFERROR(INDEX(tbl_Finance[Job Number],$A203),"")</f>
        <v/>
      </c>
      <c r="F203" s="62">
        <f>IFERROR(INDEX(tbl_Finance[Cost Centre],$A203),"")</f>
        <v/>
      </c>
      <c r="G203" s="63">
        <f>IFERROR(INDEX(tbl_Finance[Ex GST],$A203),"")</f>
        <v/>
      </c>
      <c r="H203" s="61">
        <f>IFERROR(INDEX(tbl_Finance[Defer Start],$A203),"")</f>
        <v/>
      </c>
      <c r="I203" s="61">
        <f>IFERROR(INDEX(tbl_Finance[Defer End],$A203),"")</f>
        <v/>
      </c>
      <c r="J203" s="60">
        <f>IF(OR($H203="",$I203="",$G203=""),"",MAX(1,(YEAR($I203)-YEAR($H203))*12+MONTH($I203)-MONTH($H203)+1))</f>
        <v/>
      </c>
      <c r="K203" s="63">
        <f>IF($J203="","",$G203/$J203)</f>
        <v/>
      </c>
      <c r="L203" s="63">
        <f>IF($J203="",0,$K203*MAX(0,MIN(YEAR($C$3)*12+MONTH($C$3),YEAR($I203)*12+MONTH($I203))-(YEAR($H203)*12+MONTH($H203))+1))</f>
        <v/>
      </c>
      <c r="M203" s="63">
        <f>IF($J203="",0,$K203*MAX(0,MIN(YEAR($C$3)*12+MONTH($C$3)-1,YEAR($I203)*12+MONTH($I203))-(YEAR($H203)*12+MONTH($H203))+1))</f>
        <v/>
      </c>
      <c r="N203" s="63">
        <f>IF(OR($J203="",$B203=""),0,IF(YEAR($B203)*12+MONTH($B203)&lt;=YEAR($C$3)*12+MONTH($C$3),$G203,0))</f>
        <v/>
      </c>
      <c r="O203" s="63">
        <f>IF(OR($J203="",$B203=""),0,IF(YEAR($B203)*12+MONTH($B203)&lt;=YEAR($C$3)*12+MONTH($C$3)-1,$G203,0))</f>
        <v/>
      </c>
      <c r="P203" s="63">
        <f>$M203-$O203</f>
        <v/>
      </c>
      <c r="Q203" s="63">
        <f>($L203-$M203)-($N203-$O203)</f>
        <v/>
      </c>
      <c r="R203" s="63">
        <f>$L203-$N203</f>
        <v/>
      </c>
    </row>
    <row r="204">
      <c r="A204" s="60">
        <f>ROW()-5</f>
        <v/>
      </c>
      <c r="B204" s="61">
        <f>IFERROR(INDEX(tbl_Finance[Date],$A204),"")</f>
        <v/>
      </c>
      <c r="C204" s="62">
        <f>IFERROR(INDEX(tbl_Finance[Xero Invoice No],$A204),"")</f>
        <v/>
      </c>
      <c r="D204" s="62">
        <f>IFERROR(INDEX(tbl_Finance[Client],$A204),"")</f>
        <v/>
      </c>
      <c r="E204" s="62">
        <f>IFERROR(INDEX(tbl_Finance[Job Number],$A204),"")</f>
        <v/>
      </c>
      <c r="F204" s="62">
        <f>IFERROR(INDEX(tbl_Finance[Cost Centre],$A204),"")</f>
        <v/>
      </c>
      <c r="G204" s="63">
        <f>IFERROR(INDEX(tbl_Finance[Ex GST],$A204),"")</f>
        <v/>
      </c>
      <c r="H204" s="61">
        <f>IFERROR(INDEX(tbl_Finance[Defer Start],$A204),"")</f>
        <v/>
      </c>
      <c r="I204" s="61">
        <f>IFERROR(INDEX(tbl_Finance[Defer End],$A204),"")</f>
        <v/>
      </c>
      <c r="J204" s="60">
        <f>IF(OR($H204="",$I204="",$G204=""),"",MAX(1,(YEAR($I204)-YEAR($H204))*12+MONTH($I204)-MONTH($H204)+1))</f>
        <v/>
      </c>
      <c r="K204" s="63">
        <f>IF($J204="","",$G204/$J204)</f>
        <v/>
      </c>
      <c r="L204" s="63">
        <f>IF($J204="",0,$K204*MAX(0,MIN(YEAR($C$3)*12+MONTH($C$3),YEAR($I204)*12+MONTH($I204))-(YEAR($H204)*12+MONTH($H204))+1))</f>
        <v/>
      </c>
      <c r="M204" s="63">
        <f>IF($J204="",0,$K204*MAX(0,MIN(YEAR($C$3)*12+MONTH($C$3)-1,YEAR($I204)*12+MONTH($I204))-(YEAR($H204)*12+MONTH($H204))+1))</f>
        <v/>
      </c>
      <c r="N204" s="63">
        <f>IF(OR($J204="",$B204=""),0,IF(YEAR($B204)*12+MONTH($B204)&lt;=YEAR($C$3)*12+MONTH($C$3),$G204,0))</f>
        <v/>
      </c>
      <c r="O204" s="63">
        <f>IF(OR($J204="",$B204=""),0,IF(YEAR($B204)*12+MONTH($B204)&lt;=YEAR($C$3)*12+MONTH($C$3)-1,$G204,0))</f>
        <v/>
      </c>
      <c r="P204" s="63">
        <f>$M204-$O204</f>
        <v/>
      </c>
      <c r="Q204" s="63">
        <f>($L204-$M204)-($N204-$O204)</f>
        <v/>
      </c>
      <c r="R204" s="63">
        <f>$L204-$N204</f>
        <v/>
      </c>
    </row>
    <row r="205">
      <c r="A205" s="60">
        <f>ROW()-5</f>
        <v/>
      </c>
      <c r="B205" s="61">
        <f>IFERROR(INDEX(tbl_Finance[Date],$A205),"")</f>
        <v/>
      </c>
      <c r="C205" s="62">
        <f>IFERROR(INDEX(tbl_Finance[Xero Invoice No],$A205),"")</f>
        <v/>
      </c>
      <c r="D205" s="62">
        <f>IFERROR(INDEX(tbl_Finance[Client],$A205),"")</f>
        <v/>
      </c>
      <c r="E205" s="62">
        <f>IFERROR(INDEX(tbl_Finance[Job Number],$A205),"")</f>
        <v/>
      </c>
      <c r="F205" s="62">
        <f>IFERROR(INDEX(tbl_Finance[Cost Centre],$A205),"")</f>
        <v/>
      </c>
      <c r="G205" s="63">
        <f>IFERROR(INDEX(tbl_Finance[Ex GST],$A205),"")</f>
        <v/>
      </c>
      <c r="H205" s="61">
        <f>IFERROR(INDEX(tbl_Finance[Defer Start],$A205),"")</f>
        <v/>
      </c>
      <c r="I205" s="61">
        <f>IFERROR(INDEX(tbl_Finance[Defer End],$A205),"")</f>
        <v/>
      </c>
      <c r="J205" s="60">
        <f>IF(OR($H205="",$I205="",$G205=""),"",MAX(1,(YEAR($I205)-YEAR($H205))*12+MONTH($I205)-MONTH($H205)+1))</f>
        <v/>
      </c>
      <c r="K205" s="63">
        <f>IF($J205="","",$G205/$J205)</f>
        <v/>
      </c>
      <c r="L205" s="63">
        <f>IF($J205="",0,$K205*MAX(0,MIN(YEAR($C$3)*12+MONTH($C$3),YEAR($I205)*12+MONTH($I205))-(YEAR($H205)*12+MONTH($H205))+1))</f>
        <v/>
      </c>
      <c r="M205" s="63">
        <f>IF($J205="",0,$K205*MAX(0,MIN(YEAR($C$3)*12+MONTH($C$3)-1,YEAR($I205)*12+MONTH($I205))-(YEAR($H205)*12+MONTH($H205))+1))</f>
        <v/>
      </c>
      <c r="N205" s="63">
        <f>IF(OR($J205="",$B205=""),0,IF(YEAR($B205)*12+MONTH($B205)&lt;=YEAR($C$3)*12+MONTH($C$3),$G205,0))</f>
        <v/>
      </c>
      <c r="O205" s="63">
        <f>IF(OR($J205="",$B205=""),0,IF(YEAR($B205)*12+MONTH($B205)&lt;=YEAR($C$3)*12+MONTH($C$3)-1,$G205,0))</f>
        <v/>
      </c>
      <c r="P205" s="63">
        <f>$M205-$O205</f>
        <v/>
      </c>
      <c r="Q205" s="63">
        <f>($L205-$M205)-($N205-$O205)</f>
        <v/>
      </c>
      <c r="R205" s="63">
        <f>$L205-$N205</f>
        <v/>
      </c>
    </row>
    <row r="206">
      <c r="A206" s="60">
        <f>ROW()-5</f>
        <v/>
      </c>
      <c r="B206" s="61">
        <f>IFERROR(INDEX(tbl_Finance[Date],$A206),"")</f>
        <v/>
      </c>
      <c r="C206" s="62">
        <f>IFERROR(INDEX(tbl_Finance[Xero Invoice No],$A206),"")</f>
        <v/>
      </c>
      <c r="D206" s="62">
        <f>IFERROR(INDEX(tbl_Finance[Client],$A206),"")</f>
        <v/>
      </c>
      <c r="E206" s="62">
        <f>IFERROR(INDEX(tbl_Finance[Job Number],$A206),"")</f>
        <v/>
      </c>
      <c r="F206" s="62">
        <f>IFERROR(INDEX(tbl_Finance[Cost Centre],$A206),"")</f>
        <v/>
      </c>
      <c r="G206" s="63">
        <f>IFERROR(INDEX(tbl_Finance[Ex GST],$A206),"")</f>
        <v/>
      </c>
      <c r="H206" s="61">
        <f>IFERROR(INDEX(tbl_Finance[Defer Start],$A206),"")</f>
        <v/>
      </c>
      <c r="I206" s="61">
        <f>IFERROR(INDEX(tbl_Finance[Defer End],$A206),"")</f>
        <v/>
      </c>
      <c r="J206" s="60">
        <f>IF(OR($H206="",$I206="",$G206=""),"",MAX(1,(YEAR($I206)-YEAR($H206))*12+MONTH($I206)-MONTH($H206)+1))</f>
        <v/>
      </c>
      <c r="K206" s="63">
        <f>IF($J206="","",$G206/$J206)</f>
        <v/>
      </c>
      <c r="L206" s="63">
        <f>IF($J206="",0,$K206*MAX(0,MIN(YEAR($C$3)*12+MONTH($C$3),YEAR($I206)*12+MONTH($I206))-(YEAR($H206)*12+MONTH($H206))+1))</f>
        <v/>
      </c>
      <c r="M206" s="63">
        <f>IF($J206="",0,$K206*MAX(0,MIN(YEAR($C$3)*12+MONTH($C$3)-1,YEAR($I206)*12+MONTH($I206))-(YEAR($H206)*12+MONTH($H206))+1))</f>
        <v/>
      </c>
      <c r="N206" s="63">
        <f>IF(OR($J206="",$B206=""),0,IF(YEAR($B206)*12+MONTH($B206)&lt;=YEAR($C$3)*12+MONTH($C$3),$G206,0))</f>
        <v/>
      </c>
      <c r="O206" s="63">
        <f>IF(OR($J206="",$B206=""),0,IF(YEAR($B206)*12+MONTH($B206)&lt;=YEAR($C$3)*12+MONTH($C$3)-1,$G206,0))</f>
        <v/>
      </c>
      <c r="P206" s="63">
        <f>$M206-$O206</f>
        <v/>
      </c>
      <c r="Q206" s="63">
        <f>($L206-$M206)-($N206-$O206)</f>
        <v/>
      </c>
      <c r="R206" s="63">
        <f>$L206-$N206</f>
        <v/>
      </c>
    </row>
    <row r="207">
      <c r="A207" s="60">
        <f>ROW()-5</f>
        <v/>
      </c>
      <c r="B207" s="61">
        <f>IFERROR(INDEX(tbl_Finance[Date],$A207),"")</f>
        <v/>
      </c>
      <c r="C207" s="62">
        <f>IFERROR(INDEX(tbl_Finance[Xero Invoice No],$A207),"")</f>
        <v/>
      </c>
      <c r="D207" s="62">
        <f>IFERROR(INDEX(tbl_Finance[Client],$A207),"")</f>
        <v/>
      </c>
      <c r="E207" s="62">
        <f>IFERROR(INDEX(tbl_Finance[Job Number],$A207),"")</f>
        <v/>
      </c>
      <c r="F207" s="62">
        <f>IFERROR(INDEX(tbl_Finance[Cost Centre],$A207),"")</f>
        <v/>
      </c>
      <c r="G207" s="63">
        <f>IFERROR(INDEX(tbl_Finance[Ex GST],$A207),"")</f>
        <v/>
      </c>
      <c r="H207" s="61">
        <f>IFERROR(INDEX(tbl_Finance[Defer Start],$A207),"")</f>
        <v/>
      </c>
      <c r="I207" s="61">
        <f>IFERROR(INDEX(tbl_Finance[Defer End],$A207),"")</f>
        <v/>
      </c>
      <c r="J207" s="60">
        <f>IF(OR($H207="",$I207="",$G207=""),"",MAX(1,(YEAR($I207)-YEAR($H207))*12+MONTH($I207)-MONTH($H207)+1))</f>
        <v/>
      </c>
      <c r="K207" s="63">
        <f>IF($J207="","",$G207/$J207)</f>
        <v/>
      </c>
      <c r="L207" s="63">
        <f>IF($J207="",0,$K207*MAX(0,MIN(YEAR($C$3)*12+MONTH($C$3),YEAR($I207)*12+MONTH($I207))-(YEAR($H207)*12+MONTH($H207))+1))</f>
        <v/>
      </c>
      <c r="M207" s="63">
        <f>IF($J207="",0,$K207*MAX(0,MIN(YEAR($C$3)*12+MONTH($C$3)-1,YEAR($I207)*12+MONTH($I207))-(YEAR($H207)*12+MONTH($H207))+1))</f>
        <v/>
      </c>
      <c r="N207" s="63">
        <f>IF(OR($J207="",$B207=""),0,IF(YEAR($B207)*12+MONTH($B207)&lt;=YEAR($C$3)*12+MONTH($C$3),$G207,0))</f>
        <v/>
      </c>
      <c r="O207" s="63">
        <f>IF(OR($J207="",$B207=""),0,IF(YEAR($B207)*12+MONTH($B207)&lt;=YEAR($C$3)*12+MONTH($C$3)-1,$G207,0))</f>
        <v/>
      </c>
      <c r="P207" s="63">
        <f>$M207-$O207</f>
        <v/>
      </c>
      <c r="Q207" s="63">
        <f>($L207-$M207)-($N207-$O207)</f>
        <v/>
      </c>
      <c r="R207" s="63">
        <f>$L207-$N207</f>
        <v/>
      </c>
    </row>
    <row r="208">
      <c r="A208" s="60">
        <f>ROW()-5</f>
        <v/>
      </c>
      <c r="B208" s="61">
        <f>IFERROR(INDEX(tbl_Finance[Date],$A208),"")</f>
        <v/>
      </c>
      <c r="C208" s="62">
        <f>IFERROR(INDEX(tbl_Finance[Xero Invoice No],$A208),"")</f>
        <v/>
      </c>
      <c r="D208" s="62">
        <f>IFERROR(INDEX(tbl_Finance[Client],$A208),"")</f>
        <v/>
      </c>
      <c r="E208" s="62">
        <f>IFERROR(INDEX(tbl_Finance[Job Number],$A208),"")</f>
        <v/>
      </c>
      <c r="F208" s="62">
        <f>IFERROR(INDEX(tbl_Finance[Cost Centre],$A208),"")</f>
        <v/>
      </c>
      <c r="G208" s="63">
        <f>IFERROR(INDEX(tbl_Finance[Ex GST],$A208),"")</f>
        <v/>
      </c>
      <c r="H208" s="61">
        <f>IFERROR(INDEX(tbl_Finance[Defer Start],$A208),"")</f>
        <v/>
      </c>
      <c r="I208" s="61">
        <f>IFERROR(INDEX(tbl_Finance[Defer End],$A208),"")</f>
        <v/>
      </c>
      <c r="J208" s="60">
        <f>IF(OR($H208="",$I208="",$G208=""),"",MAX(1,(YEAR($I208)-YEAR($H208))*12+MONTH($I208)-MONTH($H208)+1))</f>
        <v/>
      </c>
      <c r="K208" s="63">
        <f>IF($J208="","",$G208/$J208)</f>
        <v/>
      </c>
      <c r="L208" s="63">
        <f>IF($J208="",0,$K208*MAX(0,MIN(YEAR($C$3)*12+MONTH($C$3),YEAR($I208)*12+MONTH($I208))-(YEAR($H208)*12+MONTH($H208))+1))</f>
        <v/>
      </c>
      <c r="M208" s="63">
        <f>IF($J208="",0,$K208*MAX(0,MIN(YEAR($C$3)*12+MONTH($C$3)-1,YEAR($I208)*12+MONTH($I208))-(YEAR($H208)*12+MONTH($H208))+1))</f>
        <v/>
      </c>
      <c r="N208" s="63">
        <f>IF(OR($J208="",$B208=""),0,IF(YEAR($B208)*12+MONTH($B208)&lt;=YEAR($C$3)*12+MONTH($C$3),$G208,0))</f>
        <v/>
      </c>
      <c r="O208" s="63">
        <f>IF(OR($J208="",$B208=""),0,IF(YEAR($B208)*12+MONTH($B208)&lt;=YEAR($C$3)*12+MONTH($C$3)-1,$G208,0))</f>
        <v/>
      </c>
      <c r="P208" s="63">
        <f>$M208-$O208</f>
        <v/>
      </c>
      <c r="Q208" s="63">
        <f>($L208-$M208)-($N208-$O208)</f>
        <v/>
      </c>
      <c r="R208" s="63">
        <f>$L208-$N208</f>
        <v/>
      </c>
    </row>
    <row r="209">
      <c r="A209" s="60">
        <f>ROW()-5</f>
        <v/>
      </c>
      <c r="B209" s="61">
        <f>IFERROR(INDEX(tbl_Finance[Date],$A209),"")</f>
        <v/>
      </c>
      <c r="C209" s="62">
        <f>IFERROR(INDEX(tbl_Finance[Xero Invoice No],$A209),"")</f>
        <v/>
      </c>
      <c r="D209" s="62">
        <f>IFERROR(INDEX(tbl_Finance[Client],$A209),"")</f>
        <v/>
      </c>
      <c r="E209" s="62">
        <f>IFERROR(INDEX(tbl_Finance[Job Number],$A209),"")</f>
        <v/>
      </c>
      <c r="F209" s="62">
        <f>IFERROR(INDEX(tbl_Finance[Cost Centre],$A209),"")</f>
        <v/>
      </c>
      <c r="G209" s="63">
        <f>IFERROR(INDEX(tbl_Finance[Ex GST],$A209),"")</f>
        <v/>
      </c>
      <c r="H209" s="61">
        <f>IFERROR(INDEX(tbl_Finance[Defer Start],$A209),"")</f>
        <v/>
      </c>
      <c r="I209" s="61">
        <f>IFERROR(INDEX(tbl_Finance[Defer End],$A209),"")</f>
        <v/>
      </c>
      <c r="J209" s="60">
        <f>IF(OR($H209="",$I209="",$G209=""),"",MAX(1,(YEAR($I209)-YEAR($H209))*12+MONTH($I209)-MONTH($H209)+1))</f>
        <v/>
      </c>
      <c r="K209" s="63">
        <f>IF($J209="","",$G209/$J209)</f>
        <v/>
      </c>
      <c r="L209" s="63">
        <f>IF($J209="",0,$K209*MAX(0,MIN(YEAR($C$3)*12+MONTH($C$3),YEAR($I209)*12+MONTH($I209))-(YEAR($H209)*12+MONTH($H209))+1))</f>
        <v/>
      </c>
      <c r="M209" s="63">
        <f>IF($J209="",0,$K209*MAX(0,MIN(YEAR($C$3)*12+MONTH($C$3)-1,YEAR($I209)*12+MONTH($I209))-(YEAR($H209)*12+MONTH($H209))+1))</f>
        <v/>
      </c>
      <c r="N209" s="63">
        <f>IF(OR($J209="",$B209=""),0,IF(YEAR($B209)*12+MONTH($B209)&lt;=YEAR($C$3)*12+MONTH($C$3),$G209,0))</f>
        <v/>
      </c>
      <c r="O209" s="63">
        <f>IF(OR($J209="",$B209=""),0,IF(YEAR($B209)*12+MONTH($B209)&lt;=YEAR($C$3)*12+MONTH($C$3)-1,$G209,0))</f>
        <v/>
      </c>
      <c r="P209" s="63">
        <f>$M209-$O209</f>
        <v/>
      </c>
      <c r="Q209" s="63">
        <f>($L209-$M209)-($N209-$O209)</f>
        <v/>
      </c>
      <c r="R209" s="63">
        <f>$L209-$N209</f>
        <v/>
      </c>
    </row>
    <row r="210">
      <c r="A210" s="60">
        <f>ROW()-5</f>
        <v/>
      </c>
      <c r="B210" s="61">
        <f>IFERROR(INDEX(tbl_Finance[Date],$A210),"")</f>
        <v/>
      </c>
      <c r="C210" s="62">
        <f>IFERROR(INDEX(tbl_Finance[Xero Invoice No],$A210),"")</f>
        <v/>
      </c>
      <c r="D210" s="62">
        <f>IFERROR(INDEX(tbl_Finance[Client],$A210),"")</f>
        <v/>
      </c>
      <c r="E210" s="62">
        <f>IFERROR(INDEX(tbl_Finance[Job Number],$A210),"")</f>
        <v/>
      </c>
      <c r="F210" s="62">
        <f>IFERROR(INDEX(tbl_Finance[Cost Centre],$A210),"")</f>
        <v/>
      </c>
      <c r="G210" s="63">
        <f>IFERROR(INDEX(tbl_Finance[Ex GST],$A210),"")</f>
        <v/>
      </c>
      <c r="H210" s="61">
        <f>IFERROR(INDEX(tbl_Finance[Defer Start],$A210),"")</f>
        <v/>
      </c>
      <c r="I210" s="61">
        <f>IFERROR(INDEX(tbl_Finance[Defer End],$A210),"")</f>
        <v/>
      </c>
      <c r="J210" s="60">
        <f>IF(OR($H210="",$I210="",$G210=""),"",MAX(1,(YEAR($I210)-YEAR($H210))*12+MONTH($I210)-MONTH($H210)+1))</f>
        <v/>
      </c>
      <c r="K210" s="63">
        <f>IF($J210="","",$G210/$J210)</f>
        <v/>
      </c>
      <c r="L210" s="63">
        <f>IF($J210="",0,$K210*MAX(0,MIN(YEAR($C$3)*12+MONTH($C$3),YEAR($I210)*12+MONTH($I210))-(YEAR($H210)*12+MONTH($H210))+1))</f>
        <v/>
      </c>
      <c r="M210" s="63">
        <f>IF($J210="",0,$K210*MAX(0,MIN(YEAR($C$3)*12+MONTH($C$3)-1,YEAR($I210)*12+MONTH($I210))-(YEAR($H210)*12+MONTH($H210))+1))</f>
        <v/>
      </c>
      <c r="N210" s="63">
        <f>IF(OR($J210="",$B210=""),0,IF(YEAR($B210)*12+MONTH($B210)&lt;=YEAR($C$3)*12+MONTH($C$3),$G210,0))</f>
        <v/>
      </c>
      <c r="O210" s="63">
        <f>IF(OR($J210="",$B210=""),0,IF(YEAR($B210)*12+MONTH($B210)&lt;=YEAR($C$3)*12+MONTH($C$3)-1,$G210,0))</f>
        <v/>
      </c>
      <c r="P210" s="63">
        <f>$M210-$O210</f>
        <v/>
      </c>
      <c r="Q210" s="63">
        <f>($L210-$M210)-($N210-$O210)</f>
        <v/>
      </c>
      <c r="R210" s="63">
        <f>$L210-$N210</f>
        <v/>
      </c>
    </row>
    <row r="211">
      <c r="A211" s="60">
        <f>ROW()-5</f>
        <v/>
      </c>
      <c r="B211" s="61">
        <f>IFERROR(INDEX(tbl_Finance[Date],$A211),"")</f>
        <v/>
      </c>
      <c r="C211" s="62">
        <f>IFERROR(INDEX(tbl_Finance[Xero Invoice No],$A211),"")</f>
        <v/>
      </c>
      <c r="D211" s="62">
        <f>IFERROR(INDEX(tbl_Finance[Client],$A211),"")</f>
        <v/>
      </c>
      <c r="E211" s="62">
        <f>IFERROR(INDEX(tbl_Finance[Job Number],$A211),"")</f>
        <v/>
      </c>
      <c r="F211" s="62">
        <f>IFERROR(INDEX(tbl_Finance[Cost Centre],$A211),"")</f>
        <v/>
      </c>
      <c r="G211" s="63">
        <f>IFERROR(INDEX(tbl_Finance[Ex GST],$A211),"")</f>
        <v/>
      </c>
      <c r="H211" s="61">
        <f>IFERROR(INDEX(tbl_Finance[Defer Start],$A211),"")</f>
        <v/>
      </c>
      <c r="I211" s="61">
        <f>IFERROR(INDEX(tbl_Finance[Defer End],$A211),"")</f>
        <v/>
      </c>
      <c r="J211" s="60">
        <f>IF(OR($H211="",$I211="",$G211=""),"",MAX(1,(YEAR($I211)-YEAR($H211))*12+MONTH($I211)-MONTH($H211)+1))</f>
        <v/>
      </c>
      <c r="K211" s="63">
        <f>IF($J211="","",$G211/$J211)</f>
        <v/>
      </c>
      <c r="L211" s="63">
        <f>IF($J211="",0,$K211*MAX(0,MIN(YEAR($C$3)*12+MONTH($C$3),YEAR($I211)*12+MONTH($I211))-(YEAR($H211)*12+MONTH($H211))+1))</f>
        <v/>
      </c>
      <c r="M211" s="63">
        <f>IF($J211="",0,$K211*MAX(0,MIN(YEAR($C$3)*12+MONTH($C$3)-1,YEAR($I211)*12+MONTH($I211))-(YEAR($H211)*12+MONTH($H211))+1))</f>
        <v/>
      </c>
      <c r="N211" s="63">
        <f>IF(OR($J211="",$B211=""),0,IF(YEAR($B211)*12+MONTH($B211)&lt;=YEAR($C$3)*12+MONTH($C$3),$G211,0))</f>
        <v/>
      </c>
      <c r="O211" s="63">
        <f>IF(OR($J211="",$B211=""),0,IF(YEAR($B211)*12+MONTH($B211)&lt;=YEAR($C$3)*12+MONTH($C$3)-1,$G211,0))</f>
        <v/>
      </c>
      <c r="P211" s="63">
        <f>$M211-$O211</f>
        <v/>
      </c>
      <c r="Q211" s="63">
        <f>($L211-$M211)-($N211-$O211)</f>
        <v/>
      </c>
      <c r="R211" s="63">
        <f>$L211-$N211</f>
        <v/>
      </c>
    </row>
    <row r="212">
      <c r="A212" s="60">
        <f>ROW()-5</f>
        <v/>
      </c>
      <c r="B212" s="61">
        <f>IFERROR(INDEX(tbl_Finance[Date],$A212),"")</f>
        <v/>
      </c>
      <c r="C212" s="62">
        <f>IFERROR(INDEX(tbl_Finance[Xero Invoice No],$A212),"")</f>
        <v/>
      </c>
      <c r="D212" s="62">
        <f>IFERROR(INDEX(tbl_Finance[Client],$A212),"")</f>
        <v/>
      </c>
      <c r="E212" s="62">
        <f>IFERROR(INDEX(tbl_Finance[Job Number],$A212),"")</f>
        <v/>
      </c>
      <c r="F212" s="62">
        <f>IFERROR(INDEX(tbl_Finance[Cost Centre],$A212),"")</f>
        <v/>
      </c>
      <c r="G212" s="63">
        <f>IFERROR(INDEX(tbl_Finance[Ex GST],$A212),"")</f>
        <v/>
      </c>
      <c r="H212" s="61">
        <f>IFERROR(INDEX(tbl_Finance[Defer Start],$A212),"")</f>
        <v/>
      </c>
      <c r="I212" s="61">
        <f>IFERROR(INDEX(tbl_Finance[Defer End],$A212),"")</f>
        <v/>
      </c>
      <c r="J212" s="60">
        <f>IF(OR($H212="",$I212="",$G212=""),"",MAX(1,(YEAR($I212)-YEAR($H212))*12+MONTH($I212)-MONTH($H212)+1))</f>
        <v/>
      </c>
      <c r="K212" s="63">
        <f>IF($J212="","",$G212/$J212)</f>
        <v/>
      </c>
      <c r="L212" s="63">
        <f>IF($J212="",0,$K212*MAX(0,MIN(YEAR($C$3)*12+MONTH($C$3),YEAR($I212)*12+MONTH($I212))-(YEAR($H212)*12+MONTH($H212))+1))</f>
        <v/>
      </c>
      <c r="M212" s="63">
        <f>IF($J212="",0,$K212*MAX(0,MIN(YEAR($C$3)*12+MONTH($C$3)-1,YEAR($I212)*12+MONTH($I212))-(YEAR($H212)*12+MONTH($H212))+1))</f>
        <v/>
      </c>
      <c r="N212" s="63">
        <f>IF(OR($J212="",$B212=""),0,IF(YEAR($B212)*12+MONTH($B212)&lt;=YEAR($C$3)*12+MONTH($C$3),$G212,0))</f>
        <v/>
      </c>
      <c r="O212" s="63">
        <f>IF(OR($J212="",$B212=""),0,IF(YEAR($B212)*12+MONTH($B212)&lt;=YEAR($C$3)*12+MONTH($C$3)-1,$G212,0))</f>
        <v/>
      </c>
      <c r="P212" s="63">
        <f>$M212-$O212</f>
        <v/>
      </c>
      <c r="Q212" s="63">
        <f>($L212-$M212)-($N212-$O212)</f>
        <v/>
      </c>
      <c r="R212" s="63">
        <f>$L212-$N212</f>
        <v/>
      </c>
    </row>
    <row r="213">
      <c r="A213" s="60">
        <f>ROW()-5</f>
        <v/>
      </c>
      <c r="B213" s="61">
        <f>IFERROR(INDEX(tbl_Finance[Date],$A213),"")</f>
        <v/>
      </c>
      <c r="C213" s="62">
        <f>IFERROR(INDEX(tbl_Finance[Xero Invoice No],$A213),"")</f>
        <v/>
      </c>
      <c r="D213" s="62">
        <f>IFERROR(INDEX(tbl_Finance[Client],$A213),"")</f>
        <v/>
      </c>
      <c r="E213" s="62">
        <f>IFERROR(INDEX(tbl_Finance[Job Number],$A213),"")</f>
        <v/>
      </c>
      <c r="F213" s="62">
        <f>IFERROR(INDEX(tbl_Finance[Cost Centre],$A213),"")</f>
        <v/>
      </c>
      <c r="G213" s="63">
        <f>IFERROR(INDEX(tbl_Finance[Ex GST],$A213),"")</f>
        <v/>
      </c>
      <c r="H213" s="61">
        <f>IFERROR(INDEX(tbl_Finance[Defer Start],$A213),"")</f>
        <v/>
      </c>
      <c r="I213" s="61">
        <f>IFERROR(INDEX(tbl_Finance[Defer End],$A213),"")</f>
        <v/>
      </c>
      <c r="J213" s="60">
        <f>IF(OR($H213="",$I213="",$G213=""),"",MAX(1,(YEAR($I213)-YEAR($H213))*12+MONTH($I213)-MONTH($H213)+1))</f>
        <v/>
      </c>
      <c r="K213" s="63">
        <f>IF($J213="","",$G213/$J213)</f>
        <v/>
      </c>
      <c r="L213" s="63">
        <f>IF($J213="",0,$K213*MAX(0,MIN(YEAR($C$3)*12+MONTH($C$3),YEAR($I213)*12+MONTH($I213))-(YEAR($H213)*12+MONTH($H213))+1))</f>
        <v/>
      </c>
      <c r="M213" s="63">
        <f>IF($J213="",0,$K213*MAX(0,MIN(YEAR($C$3)*12+MONTH($C$3)-1,YEAR($I213)*12+MONTH($I213))-(YEAR($H213)*12+MONTH($H213))+1))</f>
        <v/>
      </c>
      <c r="N213" s="63">
        <f>IF(OR($J213="",$B213=""),0,IF(YEAR($B213)*12+MONTH($B213)&lt;=YEAR($C$3)*12+MONTH($C$3),$G213,0))</f>
        <v/>
      </c>
      <c r="O213" s="63">
        <f>IF(OR($J213="",$B213=""),0,IF(YEAR($B213)*12+MONTH($B213)&lt;=YEAR($C$3)*12+MONTH($C$3)-1,$G213,0))</f>
        <v/>
      </c>
      <c r="P213" s="63">
        <f>$M213-$O213</f>
        <v/>
      </c>
      <c r="Q213" s="63">
        <f>($L213-$M213)-($N213-$O213)</f>
        <v/>
      </c>
      <c r="R213" s="63">
        <f>$L213-$N213</f>
        <v/>
      </c>
    </row>
    <row r="214">
      <c r="A214" s="60">
        <f>ROW()-5</f>
        <v/>
      </c>
      <c r="B214" s="61">
        <f>IFERROR(INDEX(tbl_Finance[Date],$A214),"")</f>
        <v/>
      </c>
      <c r="C214" s="62">
        <f>IFERROR(INDEX(tbl_Finance[Xero Invoice No],$A214),"")</f>
        <v/>
      </c>
      <c r="D214" s="62">
        <f>IFERROR(INDEX(tbl_Finance[Client],$A214),"")</f>
        <v/>
      </c>
      <c r="E214" s="62">
        <f>IFERROR(INDEX(tbl_Finance[Job Number],$A214),"")</f>
        <v/>
      </c>
      <c r="F214" s="62">
        <f>IFERROR(INDEX(tbl_Finance[Cost Centre],$A214),"")</f>
        <v/>
      </c>
      <c r="G214" s="63">
        <f>IFERROR(INDEX(tbl_Finance[Ex GST],$A214),"")</f>
        <v/>
      </c>
      <c r="H214" s="61">
        <f>IFERROR(INDEX(tbl_Finance[Defer Start],$A214),"")</f>
        <v/>
      </c>
      <c r="I214" s="61">
        <f>IFERROR(INDEX(tbl_Finance[Defer End],$A214),"")</f>
        <v/>
      </c>
      <c r="J214" s="60">
        <f>IF(OR($H214="",$I214="",$G214=""),"",MAX(1,(YEAR($I214)-YEAR($H214))*12+MONTH($I214)-MONTH($H214)+1))</f>
        <v/>
      </c>
      <c r="K214" s="63">
        <f>IF($J214="","",$G214/$J214)</f>
        <v/>
      </c>
      <c r="L214" s="63">
        <f>IF($J214="",0,$K214*MAX(0,MIN(YEAR($C$3)*12+MONTH($C$3),YEAR($I214)*12+MONTH($I214))-(YEAR($H214)*12+MONTH($H214))+1))</f>
        <v/>
      </c>
      <c r="M214" s="63">
        <f>IF($J214="",0,$K214*MAX(0,MIN(YEAR($C$3)*12+MONTH($C$3)-1,YEAR($I214)*12+MONTH($I214))-(YEAR($H214)*12+MONTH($H214))+1))</f>
        <v/>
      </c>
      <c r="N214" s="63">
        <f>IF(OR($J214="",$B214=""),0,IF(YEAR($B214)*12+MONTH($B214)&lt;=YEAR($C$3)*12+MONTH($C$3),$G214,0))</f>
        <v/>
      </c>
      <c r="O214" s="63">
        <f>IF(OR($J214="",$B214=""),0,IF(YEAR($B214)*12+MONTH($B214)&lt;=YEAR($C$3)*12+MONTH($C$3)-1,$G214,0))</f>
        <v/>
      </c>
      <c r="P214" s="63">
        <f>$M214-$O214</f>
        <v/>
      </c>
      <c r="Q214" s="63">
        <f>($L214-$M214)-($N214-$O214)</f>
        <v/>
      </c>
      <c r="R214" s="63">
        <f>$L214-$N214</f>
        <v/>
      </c>
    </row>
    <row r="215">
      <c r="A215" s="60">
        <f>ROW()-5</f>
        <v/>
      </c>
      <c r="B215" s="61">
        <f>IFERROR(INDEX(tbl_Finance[Date],$A215),"")</f>
        <v/>
      </c>
      <c r="C215" s="62">
        <f>IFERROR(INDEX(tbl_Finance[Xero Invoice No],$A215),"")</f>
        <v/>
      </c>
      <c r="D215" s="62">
        <f>IFERROR(INDEX(tbl_Finance[Client],$A215),"")</f>
        <v/>
      </c>
      <c r="E215" s="62">
        <f>IFERROR(INDEX(tbl_Finance[Job Number],$A215),"")</f>
        <v/>
      </c>
      <c r="F215" s="62">
        <f>IFERROR(INDEX(tbl_Finance[Cost Centre],$A215),"")</f>
        <v/>
      </c>
      <c r="G215" s="63">
        <f>IFERROR(INDEX(tbl_Finance[Ex GST],$A215),"")</f>
        <v/>
      </c>
      <c r="H215" s="61">
        <f>IFERROR(INDEX(tbl_Finance[Defer Start],$A215),"")</f>
        <v/>
      </c>
      <c r="I215" s="61">
        <f>IFERROR(INDEX(tbl_Finance[Defer End],$A215),"")</f>
        <v/>
      </c>
      <c r="J215" s="60">
        <f>IF(OR($H215="",$I215="",$G215=""),"",MAX(1,(YEAR($I215)-YEAR($H215))*12+MONTH($I215)-MONTH($H215)+1))</f>
        <v/>
      </c>
      <c r="K215" s="63">
        <f>IF($J215="","",$G215/$J215)</f>
        <v/>
      </c>
      <c r="L215" s="63">
        <f>IF($J215="",0,$K215*MAX(0,MIN(YEAR($C$3)*12+MONTH($C$3),YEAR($I215)*12+MONTH($I215))-(YEAR($H215)*12+MONTH($H215))+1))</f>
        <v/>
      </c>
      <c r="M215" s="63">
        <f>IF($J215="",0,$K215*MAX(0,MIN(YEAR($C$3)*12+MONTH($C$3)-1,YEAR($I215)*12+MONTH($I215))-(YEAR($H215)*12+MONTH($H215))+1))</f>
        <v/>
      </c>
      <c r="N215" s="63">
        <f>IF(OR($J215="",$B215=""),0,IF(YEAR($B215)*12+MONTH($B215)&lt;=YEAR($C$3)*12+MONTH($C$3),$G215,0))</f>
        <v/>
      </c>
      <c r="O215" s="63">
        <f>IF(OR($J215="",$B215=""),0,IF(YEAR($B215)*12+MONTH($B215)&lt;=YEAR($C$3)*12+MONTH($C$3)-1,$G215,0))</f>
        <v/>
      </c>
      <c r="P215" s="63">
        <f>$M215-$O215</f>
        <v/>
      </c>
      <c r="Q215" s="63">
        <f>($L215-$M215)-($N215-$O215)</f>
        <v/>
      </c>
      <c r="R215" s="63">
        <f>$L215-$N215</f>
        <v/>
      </c>
    </row>
    <row r="216">
      <c r="A216" s="60">
        <f>ROW()-5</f>
        <v/>
      </c>
      <c r="B216" s="61">
        <f>IFERROR(INDEX(tbl_Finance[Date],$A216),"")</f>
        <v/>
      </c>
      <c r="C216" s="62">
        <f>IFERROR(INDEX(tbl_Finance[Xero Invoice No],$A216),"")</f>
        <v/>
      </c>
      <c r="D216" s="62">
        <f>IFERROR(INDEX(tbl_Finance[Client],$A216),"")</f>
        <v/>
      </c>
      <c r="E216" s="62">
        <f>IFERROR(INDEX(tbl_Finance[Job Number],$A216),"")</f>
        <v/>
      </c>
      <c r="F216" s="62">
        <f>IFERROR(INDEX(tbl_Finance[Cost Centre],$A216),"")</f>
        <v/>
      </c>
      <c r="G216" s="63">
        <f>IFERROR(INDEX(tbl_Finance[Ex GST],$A216),"")</f>
        <v/>
      </c>
      <c r="H216" s="61">
        <f>IFERROR(INDEX(tbl_Finance[Defer Start],$A216),"")</f>
        <v/>
      </c>
      <c r="I216" s="61">
        <f>IFERROR(INDEX(tbl_Finance[Defer End],$A216),"")</f>
        <v/>
      </c>
      <c r="J216" s="60">
        <f>IF(OR($H216="",$I216="",$G216=""),"",MAX(1,(YEAR($I216)-YEAR($H216))*12+MONTH($I216)-MONTH($H216)+1))</f>
        <v/>
      </c>
      <c r="K216" s="63">
        <f>IF($J216="","",$G216/$J216)</f>
        <v/>
      </c>
      <c r="L216" s="63">
        <f>IF($J216="",0,$K216*MAX(0,MIN(YEAR($C$3)*12+MONTH($C$3),YEAR($I216)*12+MONTH($I216))-(YEAR($H216)*12+MONTH($H216))+1))</f>
        <v/>
      </c>
      <c r="M216" s="63">
        <f>IF($J216="",0,$K216*MAX(0,MIN(YEAR($C$3)*12+MONTH($C$3)-1,YEAR($I216)*12+MONTH($I216))-(YEAR($H216)*12+MONTH($H216))+1))</f>
        <v/>
      </c>
      <c r="N216" s="63">
        <f>IF(OR($J216="",$B216=""),0,IF(YEAR($B216)*12+MONTH($B216)&lt;=YEAR($C$3)*12+MONTH($C$3),$G216,0))</f>
        <v/>
      </c>
      <c r="O216" s="63">
        <f>IF(OR($J216="",$B216=""),0,IF(YEAR($B216)*12+MONTH($B216)&lt;=YEAR($C$3)*12+MONTH($C$3)-1,$G216,0))</f>
        <v/>
      </c>
      <c r="P216" s="63">
        <f>$M216-$O216</f>
        <v/>
      </c>
      <c r="Q216" s="63">
        <f>($L216-$M216)-($N216-$O216)</f>
        <v/>
      </c>
      <c r="R216" s="63">
        <f>$L216-$N216</f>
        <v/>
      </c>
    </row>
    <row r="217">
      <c r="A217" s="60">
        <f>ROW()-5</f>
        <v/>
      </c>
      <c r="B217" s="61">
        <f>IFERROR(INDEX(tbl_Finance[Date],$A217),"")</f>
        <v/>
      </c>
      <c r="C217" s="62">
        <f>IFERROR(INDEX(tbl_Finance[Xero Invoice No],$A217),"")</f>
        <v/>
      </c>
      <c r="D217" s="62">
        <f>IFERROR(INDEX(tbl_Finance[Client],$A217),"")</f>
        <v/>
      </c>
      <c r="E217" s="62">
        <f>IFERROR(INDEX(tbl_Finance[Job Number],$A217),"")</f>
        <v/>
      </c>
      <c r="F217" s="62">
        <f>IFERROR(INDEX(tbl_Finance[Cost Centre],$A217),"")</f>
        <v/>
      </c>
      <c r="G217" s="63">
        <f>IFERROR(INDEX(tbl_Finance[Ex GST],$A217),"")</f>
        <v/>
      </c>
      <c r="H217" s="61">
        <f>IFERROR(INDEX(tbl_Finance[Defer Start],$A217),"")</f>
        <v/>
      </c>
      <c r="I217" s="61">
        <f>IFERROR(INDEX(tbl_Finance[Defer End],$A217),"")</f>
        <v/>
      </c>
      <c r="J217" s="60">
        <f>IF(OR($H217="",$I217="",$G217=""),"",MAX(1,(YEAR($I217)-YEAR($H217))*12+MONTH($I217)-MONTH($H217)+1))</f>
        <v/>
      </c>
      <c r="K217" s="63">
        <f>IF($J217="","",$G217/$J217)</f>
        <v/>
      </c>
      <c r="L217" s="63">
        <f>IF($J217="",0,$K217*MAX(0,MIN(YEAR($C$3)*12+MONTH($C$3),YEAR($I217)*12+MONTH($I217))-(YEAR($H217)*12+MONTH($H217))+1))</f>
        <v/>
      </c>
      <c r="M217" s="63">
        <f>IF($J217="",0,$K217*MAX(0,MIN(YEAR($C$3)*12+MONTH($C$3)-1,YEAR($I217)*12+MONTH($I217))-(YEAR($H217)*12+MONTH($H217))+1))</f>
        <v/>
      </c>
      <c r="N217" s="63">
        <f>IF(OR($J217="",$B217=""),0,IF(YEAR($B217)*12+MONTH($B217)&lt;=YEAR($C$3)*12+MONTH($C$3),$G217,0))</f>
        <v/>
      </c>
      <c r="O217" s="63">
        <f>IF(OR($J217="",$B217=""),0,IF(YEAR($B217)*12+MONTH($B217)&lt;=YEAR($C$3)*12+MONTH($C$3)-1,$G217,0))</f>
        <v/>
      </c>
      <c r="P217" s="63">
        <f>$M217-$O217</f>
        <v/>
      </c>
      <c r="Q217" s="63">
        <f>($L217-$M217)-($N217-$O217)</f>
        <v/>
      </c>
      <c r="R217" s="63">
        <f>$L217-$N217</f>
        <v/>
      </c>
    </row>
    <row r="218">
      <c r="A218" s="60">
        <f>ROW()-5</f>
        <v/>
      </c>
      <c r="B218" s="61">
        <f>IFERROR(INDEX(tbl_Finance[Date],$A218),"")</f>
        <v/>
      </c>
      <c r="C218" s="62">
        <f>IFERROR(INDEX(tbl_Finance[Xero Invoice No],$A218),"")</f>
        <v/>
      </c>
      <c r="D218" s="62">
        <f>IFERROR(INDEX(tbl_Finance[Client],$A218),"")</f>
        <v/>
      </c>
      <c r="E218" s="62">
        <f>IFERROR(INDEX(tbl_Finance[Job Number],$A218),"")</f>
        <v/>
      </c>
      <c r="F218" s="62">
        <f>IFERROR(INDEX(tbl_Finance[Cost Centre],$A218),"")</f>
        <v/>
      </c>
      <c r="G218" s="63">
        <f>IFERROR(INDEX(tbl_Finance[Ex GST],$A218),"")</f>
        <v/>
      </c>
      <c r="H218" s="61">
        <f>IFERROR(INDEX(tbl_Finance[Defer Start],$A218),"")</f>
        <v/>
      </c>
      <c r="I218" s="61">
        <f>IFERROR(INDEX(tbl_Finance[Defer End],$A218),"")</f>
        <v/>
      </c>
      <c r="J218" s="60">
        <f>IF(OR($H218="",$I218="",$G218=""),"",MAX(1,(YEAR($I218)-YEAR($H218))*12+MONTH($I218)-MONTH($H218)+1))</f>
        <v/>
      </c>
      <c r="K218" s="63">
        <f>IF($J218="","",$G218/$J218)</f>
        <v/>
      </c>
      <c r="L218" s="63">
        <f>IF($J218="",0,$K218*MAX(0,MIN(YEAR($C$3)*12+MONTH($C$3),YEAR($I218)*12+MONTH($I218))-(YEAR($H218)*12+MONTH($H218))+1))</f>
        <v/>
      </c>
      <c r="M218" s="63">
        <f>IF($J218="",0,$K218*MAX(0,MIN(YEAR($C$3)*12+MONTH($C$3)-1,YEAR($I218)*12+MONTH($I218))-(YEAR($H218)*12+MONTH($H218))+1))</f>
        <v/>
      </c>
      <c r="N218" s="63">
        <f>IF(OR($J218="",$B218=""),0,IF(YEAR($B218)*12+MONTH($B218)&lt;=YEAR($C$3)*12+MONTH($C$3),$G218,0))</f>
        <v/>
      </c>
      <c r="O218" s="63">
        <f>IF(OR($J218="",$B218=""),0,IF(YEAR($B218)*12+MONTH($B218)&lt;=YEAR($C$3)*12+MONTH($C$3)-1,$G218,0))</f>
        <v/>
      </c>
      <c r="P218" s="63">
        <f>$M218-$O218</f>
        <v/>
      </c>
      <c r="Q218" s="63">
        <f>($L218-$M218)-($N218-$O218)</f>
        <v/>
      </c>
      <c r="R218" s="63">
        <f>$L218-$N218</f>
        <v/>
      </c>
    </row>
    <row r="219">
      <c r="A219" s="60">
        <f>ROW()-5</f>
        <v/>
      </c>
      <c r="B219" s="61">
        <f>IFERROR(INDEX(tbl_Finance[Date],$A219),"")</f>
        <v/>
      </c>
      <c r="C219" s="62">
        <f>IFERROR(INDEX(tbl_Finance[Xero Invoice No],$A219),"")</f>
        <v/>
      </c>
      <c r="D219" s="62">
        <f>IFERROR(INDEX(tbl_Finance[Client],$A219),"")</f>
        <v/>
      </c>
      <c r="E219" s="62">
        <f>IFERROR(INDEX(tbl_Finance[Job Number],$A219),"")</f>
        <v/>
      </c>
      <c r="F219" s="62">
        <f>IFERROR(INDEX(tbl_Finance[Cost Centre],$A219),"")</f>
        <v/>
      </c>
      <c r="G219" s="63">
        <f>IFERROR(INDEX(tbl_Finance[Ex GST],$A219),"")</f>
        <v/>
      </c>
      <c r="H219" s="61">
        <f>IFERROR(INDEX(tbl_Finance[Defer Start],$A219),"")</f>
        <v/>
      </c>
      <c r="I219" s="61">
        <f>IFERROR(INDEX(tbl_Finance[Defer End],$A219),"")</f>
        <v/>
      </c>
      <c r="J219" s="60">
        <f>IF(OR($H219="",$I219="",$G219=""),"",MAX(1,(YEAR($I219)-YEAR($H219))*12+MONTH($I219)-MONTH($H219)+1))</f>
        <v/>
      </c>
      <c r="K219" s="63">
        <f>IF($J219="","",$G219/$J219)</f>
        <v/>
      </c>
      <c r="L219" s="63">
        <f>IF($J219="",0,$K219*MAX(0,MIN(YEAR($C$3)*12+MONTH($C$3),YEAR($I219)*12+MONTH($I219))-(YEAR($H219)*12+MONTH($H219))+1))</f>
        <v/>
      </c>
      <c r="M219" s="63">
        <f>IF($J219="",0,$K219*MAX(0,MIN(YEAR($C$3)*12+MONTH($C$3)-1,YEAR($I219)*12+MONTH($I219))-(YEAR($H219)*12+MONTH($H219))+1))</f>
        <v/>
      </c>
      <c r="N219" s="63">
        <f>IF(OR($J219="",$B219=""),0,IF(YEAR($B219)*12+MONTH($B219)&lt;=YEAR($C$3)*12+MONTH($C$3),$G219,0))</f>
        <v/>
      </c>
      <c r="O219" s="63">
        <f>IF(OR($J219="",$B219=""),0,IF(YEAR($B219)*12+MONTH($B219)&lt;=YEAR($C$3)*12+MONTH($C$3)-1,$G219,0))</f>
        <v/>
      </c>
      <c r="P219" s="63">
        <f>$M219-$O219</f>
        <v/>
      </c>
      <c r="Q219" s="63">
        <f>($L219-$M219)-($N219-$O219)</f>
        <v/>
      </c>
      <c r="R219" s="63">
        <f>$L219-$N219</f>
        <v/>
      </c>
    </row>
    <row r="220">
      <c r="A220" s="60">
        <f>ROW()-5</f>
        <v/>
      </c>
      <c r="B220" s="61">
        <f>IFERROR(INDEX(tbl_Finance[Date],$A220),"")</f>
        <v/>
      </c>
      <c r="C220" s="62">
        <f>IFERROR(INDEX(tbl_Finance[Xero Invoice No],$A220),"")</f>
        <v/>
      </c>
      <c r="D220" s="62">
        <f>IFERROR(INDEX(tbl_Finance[Client],$A220),"")</f>
        <v/>
      </c>
      <c r="E220" s="62">
        <f>IFERROR(INDEX(tbl_Finance[Job Number],$A220),"")</f>
        <v/>
      </c>
      <c r="F220" s="62">
        <f>IFERROR(INDEX(tbl_Finance[Cost Centre],$A220),"")</f>
        <v/>
      </c>
      <c r="G220" s="63">
        <f>IFERROR(INDEX(tbl_Finance[Ex GST],$A220),"")</f>
        <v/>
      </c>
      <c r="H220" s="61">
        <f>IFERROR(INDEX(tbl_Finance[Defer Start],$A220),"")</f>
        <v/>
      </c>
      <c r="I220" s="61">
        <f>IFERROR(INDEX(tbl_Finance[Defer End],$A220),"")</f>
        <v/>
      </c>
      <c r="J220" s="60">
        <f>IF(OR($H220="",$I220="",$G220=""),"",MAX(1,(YEAR($I220)-YEAR($H220))*12+MONTH($I220)-MONTH($H220)+1))</f>
        <v/>
      </c>
      <c r="K220" s="63">
        <f>IF($J220="","",$G220/$J220)</f>
        <v/>
      </c>
      <c r="L220" s="63">
        <f>IF($J220="",0,$K220*MAX(0,MIN(YEAR($C$3)*12+MONTH($C$3),YEAR($I220)*12+MONTH($I220))-(YEAR($H220)*12+MONTH($H220))+1))</f>
        <v/>
      </c>
      <c r="M220" s="63">
        <f>IF($J220="",0,$K220*MAX(0,MIN(YEAR($C$3)*12+MONTH($C$3)-1,YEAR($I220)*12+MONTH($I220))-(YEAR($H220)*12+MONTH($H220))+1))</f>
        <v/>
      </c>
      <c r="N220" s="63">
        <f>IF(OR($J220="",$B220=""),0,IF(YEAR($B220)*12+MONTH($B220)&lt;=YEAR($C$3)*12+MONTH($C$3),$G220,0))</f>
        <v/>
      </c>
      <c r="O220" s="63">
        <f>IF(OR($J220="",$B220=""),0,IF(YEAR($B220)*12+MONTH($B220)&lt;=YEAR($C$3)*12+MONTH($C$3)-1,$G220,0))</f>
        <v/>
      </c>
      <c r="P220" s="63">
        <f>$M220-$O220</f>
        <v/>
      </c>
      <c r="Q220" s="63">
        <f>($L220-$M220)-($N220-$O220)</f>
        <v/>
      </c>
      <c r="R220" s="63">
        <f>$L220-$N220</f>
        <v/>
      </c>
    </row>
    <row r="221">
      <c r="A221" s="60">
        <f>ROW()-5</f>
        <v/>
      </c>
      <c r="B221" s="61">
        <f>IFERROR(INDEX(tbl_Finance[Date],$A221),"")</f>
        <v/>
      </c>
      <c r="C221" s="62">
        <f>IFERROR(INDEX(tbl_Finance[Xero Invoice No],$A221),"")</f>
        <v/>
      </c>
      <c r="D221" s="62">
        <f>IFERROR(INDEX(tbl_Finance[Client],$A221),"")</f>
        <v/>
      </c>
      <c r="E221" s="62">
        <f>IFERROR(INDEX(tbl_Finance[Job Number],$A221),"")</f>
        <v/>
      </c>
      <c r="F221" s="62">
        <f>IFERROR(INDEX(tbl_Finance[Cost Centre],$A221),"")</f>
        <v/>
      </c>
      <c r="G221" s="63">
        <f>IFERROR(INDEX(tbl_Finance[Ex GST],$A221),"")</f>
        <v/>
      </c>
      <c r="H221" s="61">
        <f>IFERROR(INDEX(tbl_Finance[Defer Start],$A221),"")</f>
        <v/>
      </c>
      <c r="I221" s="61">
        <f>IFERROR(INDEX(tbl_Finance[Defer End],$A221),"")</f>
        <v/>
      </c>
      <c r="J221" s="60">
        <f>IF(OR($H221="",$I221="",$G221=""),"",MAX(1,(YEAR($I221)-YEAR($H221))*12+MONTH($I221)-MONTH($H221)+1))</f>
        <v/>
      </c>
      <c r="K221" s="63">
        <f>IF($J221="","",$G221/$J221)</f>
        <v/>
      </c>
      <c r="L221" s="63">
        <f>IF($J221="",0,$K221*MAX(0,MIN(YEAR($C$3)*12+MONTH($C$3),YEAR($I221)*12+MONTH($I221))-(YEAR($H221)*12+MONTH($H221))+1))</f>
        <v/>
      </c>
      <c r="M221" s="63">
        <f>IF($J221="",0,$K221*MAX(0,MIN(YEAR($C$3)*12+MONTH($C$3)-1,YEAR($I221)*12+MONTH($I221))-(YEAR($H221)*12+MONTH($H221))+1))</f>
        <v/>
      </c>
      <c r="N221" s="63">
        <f>IF(OR($J221="",$B221=""),0,IF(YEAR($B221)*12+MONTH($B221)&lt;=YEAR($C$3)*12+MONTH($C$3),$G221,0))</f>
        <v/>
      </c>
      <c r="O221" s="63">
        <f>IF(OR($J221="",$B221=""),0,IF(YEAR($B221)*12+MONTH($B221)&lt;=YEAR($C$3)*12+MONTH($C$3)-1,$G221,0))</f>
        <v/>
      </c>
      <c r="P221" s="63">
        <f>$M221-$O221</f>
        <v/>
      </c>
      <c r="Q221" s="63">
        <f>($L221-$M221)-($N221-$O221)</f>
        <v/>
      </c>
      <c r="R221" s="63">
        <f>$L221-$N221</f>
        <v/>
      </c>
    </row>
    <row r="222">
      <c r="A222" s="60">
        <f>ROW()-5</f>
        <v/>
      </c>
      <c r="B222" s="61">
        <f>IFERROR(INDEX(tbl_Finance[Date],$A222),"")</f>
        <v/>
      </c>
      <c r="C222" s="62">
        <f>IFERROR(INDEX(tbl_Finance[Xero Invoice No],$A222),"")</f>
        <v/>
      </c>
      <c r="D222" s="62">
        <f>IFERROR(INDEX(tbl_Finance[Client],$A222),"")</f>
        <v/>
      </c>
      <c r="E222" s="62">
        <f>IFERROR(INDEX(tbl_Finance[Job Number],$A222),"")</f>
        <v/>
      </c>
      <c r="F222" s="62">
        <f>IFERROR(INDEX(tbl_Finance[Cost Centre],$A222),"")</f>
        <v/>
      </c>
      <c r="G222" s="63">
        <f>IFERROR(INDEX(tbl_Finance[Ex GST],$A222),"")</f>
        <v/>
      </c>
      <c r="H222" s="61">
        <f>IFERROR(INDEX(tbl_Finance[Defer Start],$A222),"")</f>
        <v/>
      </c>
      <c r="I222" s="61">
        <f>IFERROR(INDEX(tbl_Finance[Defer End],$A222),"")</f>
        <v/>
      </c>
      <c r="J222" s="60">
        <f>IF(OR($H222="",$I222="",$G222=""),"",MAX(1,(YEAR($I222)-YEAR($H222))*12+MONTH($I222)-MONTH($H222)+1))</f>
        <v/>
      </c>
      <c r="K222" s="63">
        <f>IF($J222="","",$G222/$J222)</f>
        <v/>
      </c>
      <c r="L222" s="63">
        <f>IF($J222="",0,$K222*MAX(0,MIN(YEAR($C$3)*12+MONTH($C$3),YEAR($I222)*12+MONTH($I222))-(YEAR($H222)*12+MONTH($H222))+1))</f>
        <v/>
      </c>
      <c r="M222" s="63">
        <f>IF($J222="",0,$K222*MAX(0,MIN(YEAR($C$3)*12+MONTH($C$3)-1,YEAR($I222)*12+MONTH($I222))-(YEAR($H222)*12+MONTH($H222))+1))</f>
        <v/>
      </c>
      <c r="N222" s="63">
        <f>IF(OR($J222="",$B222=""),0,IF(YEAR($B222)*12+MONTH($B222)&lt;=YEAR($C$3)*12+MONTH($C$3),$G222,0))</f>
        <v/>
      </c>
      <c r="O222" s="63">
        <f>IF(OR($J222="",$B222=""),0,IF(YEAR($B222)*12+MONTH($B222)&lt;=YEAR($C$3)*12+MONTH($C$3)-1,$G222,0))</f>
        <v/>
      </c>
      <c r="P222" s="63">
        <f>$M222-$O222</f>
        <v/>
      </c>
      <c r="Q222" s="63">
        <f>($L222-$M222)-($N222-$O222)</f>
        <v/>
      </c>
      <c r="R222" s="63">
        <f>$L222-$N222</f>
        <v/>
      </c>
    </row>
    <row r="223">
      <c r="A223" s="60">
        <f>ROW()-5</f>
        <v/>
      </c>
      <c r="B223" s="61">
        <f>IFERROR(INDEX(tbl_Finance[Date],$A223),"")</f>
        <v/>
      </c>
      <c r="C223" s="62">
        <f>IFERROR(INDEX(tbl_Finance[Xero Invoice No],$A223),"")</f>
        <v/>
      </c>
      <c r="D223" s="62">
        <f>IFERROR(INDEX(tbl_Finance[Client],$A223),"")</f>
        <v/>
      </c>
      <c r="E223" s="62">
        <f>IFERROR(INDEX(tbl_Finance[Job Number],$A223),"")</f>
        <v/>
      </c>
      <c r="F223" s="62">
        <f>IFERROR(INDEX(tbl_Finance[Cost Centre],$A223),"")</f>
        <v/>
      </c>
      <c r="G223" s="63">
        <f>IFERROR(INDEX(tbl_Finance[Ex GST],$A223),"")</f>
        <v/>
      </c>
      <c r="H223" s="61">
        <f>IFERROR(INDEX(tbl_Finance[Defer Start],$A223),"")</f>
        <v/>
      </c>
      <c r="I223" s="61">
        <f>IFERROR(INDEX(tbl_Finance[Defer End],$A223),"")</f>
        <v/>
      </c>
      <c r="J223" s="60">
        <f>IF(OR($H223="",$I223="",$G223=""),"",MAX(1,(YEAR($I223)-YEAR($H223))*12+MONTH($I223)-MONTH($H223)+1))</f>
        <v/>
      </c>
      <c r="K223" s="63">
        <f>IF($J223="","",$G223/$J223)</f>
        <v/>
      </c>
      <c r="L223" s="63">
        <f>IF($J223="",0,$K223*MAX(0,MIN(YEAR($C$3)*12+MONTH($C$3),YEAR($I223)*12+MONTH($I223))-(YEAR($H223)*12+MONTH($H223))+1))</f>
        <v/>
      </c>
      <c r="M223" s="63">
        <f>IF($J223="",0,$K223*MAX(0,MIN(YEAR($C$3)*12+MONTH($C$3)-1,YEAR($I223)*12+MONTH($I223))-(YEAR($H223)*12+MONTH($H223))+1))</f>
        <v/>
      </c>
      <c r="N223" s="63">
        <f>IF(OR($J223="",$B223=""),0,IF(YEAR($B223)*12+MONTH($B223)&lt;=YEAR($C$3)*12+MONTH($C$3),$G223,0))</f>
        <v/>
      </c>
      <c r="O223" s="63">
        <f>IF(OR($J223="",$B223=""),0,IF(YEAR($B223)*12+MONTH($B223)&lt;=YEAR($C$3)*12+MONTH($C$3)-1,$G223,0))</f>
        <v/>
      </c>
      <c r="P223" s="63">
        <f>$M223-$O223</f>
        <v/>
      </c>
      <c r="Q223" s="63">
        <f>($L223-$M223)-($N223-$O223)</f>
        <v/>
      </c>
      <c r="R223" s="63">
        <f>$L223-$N223</f>
        <v/>
      </c>
    </row>
    <row r="224">
      <c r="A224" s="60">
        <f>ROW()-5</f>
        <v/>
      </c>
      <c r="B224" s="61">
        <f>IFERROR(INDEX(tbl_Finance[Date],$A224),"")</f>
        <v/>
      </c>
      <c r="C224" s="62">
        <f>IFERROR(INDEX(tbl_Finance[Xero Invoice No],$A224),"")</f>
        <v/>
      </c>
      <c r="D224" s="62">
        <f>IFERROR(INDEX(tbl_Finance[Client],$A224),"")</f>
        <v/>
      </c>
      <c r="E224" s="62">
        <f>IFERROR(INDEX(tbl_Finance[Job Number],$A224),"")</f>
        <v/>
      </c>
      <c r="F224" s="62">
        <f>IFERROR(INDEX(tbl_Finance[Cost Centre],$A224),"")</f>
        <v/>
      </c>
      <c r="G224" s="63">
        <f>IFERROR(INDEX(tbl_Finance[Ex GST],$A224),"")</f>
        <v/>
      </c>
      <c r="H224" s="61">
        <f>IFERROR(INDEX(tbl_Finance[Defer Start],$A224),"")</f>
        <v/>
      </c>
      <c r="I224" s="61">
        <f>IFERROR(INDEX(tbl_Finance[Defer End],$A224),"")</f>
        <v/>
      </c>
      <c r="J224" s="60">
        <f>IF(OR($H224="",$I224="",$G224=""),"",MAX(1,(YEAR($I224)-YEAR($H224))*12+MONTH($I224)-MONTH($H224)+1))</f>
        <v/>
      </c>
      <c r="K224" s="63">
        <f>IF($J224="","",$G224/$J224)</f>
        <v/>
      </c>
      <c r="L224" s="63">
        <f>IF($J224="",0,$K224*MAX(0,MIN(YEAR($C$3)*12+MONTH($C$3),YEAR($I224)*12+MONTH($I224))-(YEAR($H224)*12+MONTH($H224))+1))</f>
        <v/>
      </c>
      <c r="M224" s="63">
        <f>IF($J224="",0,$K224*MAX(0,MIN(YEAR($C$3)*12+MONTH($C$3)-1,YEAR($I224)*12+MONTH($I224))-(YEAR($H224)*12+MONTH($H224))+1))</f>
        <v/>
      </c>
      <c r="N224" s="63">
        <f>IF(OR($J224="",$B224=""),0,IF(YEAR($B224)*12+MONTH($B224)&lt;=YEAR($C$3)*12+MONTH($C$3),$G224,0))</f>
        <v/>
      </c>
      <c r="O224" s="63">
        <f>IF(OR($J224="",$B224=""),0,IF(YEAR($B224)*12+MONTH($B224)&lt;=YEAR($C$3)*12+MONTH($C$3)-1,$G224,0))</f>
        <v/>
      </c>
      <c r="P224" s="63">
        <f>$M224-$O224</f>
        <v/>
      </c>
      <c r="Q224" s="63">
        <f>($L224-$M224)-($N224-$O224)</f>
        <v/>
      </c>
      <c r="R224" s="63">
        <f>$L224-$N224</f>
        <v/>
      </c>
    </row>
    <row r="225">
      <c r="A225" s="60">
        <f>ROW()-5</f>
        <v/>
      </c>
      <c r="B225" s="61">
        <f>IFERROR(INDEX(tbl_Finance[Date],$A225),"")</f>
        <v/>
      </c>
      <c r="C225" s="62">
        <f>IFERROR(INDEX(tbl_Finance[Xero Invoice No],$A225),"")</f>
        <v/>
      </c>
      <c r="D225" s="62">
        <f>IFERROR(INDEX(tbl_Finance[Client],$A225),"")</f>
        <v/>
      </c>
      <c r="E225" s="62">
        <f>IFERROR(INDEX(tbl_Finance[Job Number],$A225),"")</f>
        <v/>
      </c>
      <c r="F225" s="62">
        <f>IFERROR(INDEX(tbl_Finance[Cost Centre],$A225),"")</f>
        <v/>
      </c>
      <c r="G225" s="63">
        <f>IFERROR(INDEX(tbl_Finance[Ex GST],$A225),"")</f>
        <v/>
      </c>
      <c r="H225" s="61">
        <f>IFERROR(INDEX(tbl_Finance[Defer Start],$A225),"")</f>
        <v/>
      </c>
      <c r="I225" s="61">
        <f>IFERROR(INDEX(tbl_Finance[Defer End],$A225),"")</f>
        <v/>
      </c>
      <c r="J225" s="60">
        <f>IF(OR($H225="",$I225="",$G225=""),"",MAX(1,(YEAR($I225)-YEAR($H225))*12+MONTH($I225)-MONTH($H225)+1))</f>
        <v/>
      </c>
      <c r="K225" s="63">
        <f>IF($J225="","",$G225/$J225)</f>
        <v/>
      </c>
      <c r="L225" s="63">
        <f>IF($J225="",0,$K225*MAX(0,MIN(YEAR($C$3)*12+MONTH($C$3),YEAR($I225)*12+MONTH($I225))-(YEAR($H225)*12+MONTH($H225))+1))</f>
        <v/>
      </c>
      <c r="M225" s="63">
        <f>IF($J225="",0,$K225*MAX(0,MIN(YEAR($C$3)*12+MONTH($C$3)-1,YEAR($I225)*12+MONTH($I225))-(YEAR($H225)*12+MONTH($H225))+1))</f>
        <v/>
      </c>
      <c r="N225" s="63">
        <f>IF(OR($J225="",$B225=""),0,IF(YEAR($B225)*12+MONTH($B225)&lt;=YEAR($C$3)*12+MONTH($C$3),$G225,0))</f>
        <v/>
      </c>
      <c r="O225" s="63">
        <f>IF(OR($J225="",$B225=""),0,IF(YEAR($B225)*12+MONTH($B225)&lt;=YEAR($C$3)*12+MONTH($C$3)-1,$G225,0))</f>
        <v/>
      </c>
      <c r="P225" s="63">
        <f>$M225-$O225</f>
        <v/>
      </c>
      <c r="Q225" s="63">
        <f>($L225-$M225)-($N225-$O225)</f>
        <v/>
      </c>
      <c r="R225" s="63">
        <f>$L225-$N225</f>
        <v/>
      </c>
    </row>
    <row r="226">
      <c r="A226" s="60">
        <f>ROW()-5</f>
        <v/>
      </c>
      <c r="B226" s="61">
        <f>IFERROR(INDEX(tbl_Finance[Date],$A226),"")</f>
        <v/>
      </c>
      <c r="C226" s="62">
        <f>IFERROR(INDEX(tbl_Finance[Xero Invoice No],$A226),"")</f>
        <v/>
      </c>
      <c r="D226" s="62">
        <f>IFERROR(INDEX(tbl_Finance[Client],$A226),"")</f>
        <v/>
      </c>
      <c r="E226" s="62">
        <f>IFERROR(INDEX(tbl_Finance[Job Number],$A226),"")</f>
        <v/>
      </c>
      <c r="F226" s="62">
        <f>IFERROR(INDEX(tbl_Finance[Cost Centre],$A226),"")</f>
        <v/>
      </c>
      <c r="G226" s="63">
        <f>IFERROR(INDEX(tbl_Finance[Ex GST],$A226),"")</f>
        <v/>
      </c>
      <c r="H226" s="61">
        <f>IFERROR(INDEX(tbl_Finance[Defer Start],$A226),"")</f>
        <v/>
      </c>
      <c r="I226" s="61">
        <f>IFERROR(INDEX(tbl_Finance[Defer End],$A226),"")</f>
        <v/>
      </c>
      <c r="J226" s="60">
        <f>IF(OR($H226="",$I226="",$G226=""),"",MAX(1,(YEAR($I226)-YEAR($H226))*12+MONTH($I226)-MONTH($H226)+1))</f>
        <v/>
      </c>
      <c r="K226" s="63">
        <f>IF($J226="","",$G226/$J226)</f>
        <v/>
      </c>
      <c r="L226" s="63">
        <f>IF($J226="",0,$K226*MAX(0,MIN(YEAR($C$3)*12+MONTH($C$3),YEAR($I226)*12+MONTH($I226))-(YEAR($H226)*12+MONTH($H226))+1))</f>
        <v/>
      </c>
      <c r="M226" s="63">
        <f>IF($J226="",0,$K226*MAX(0,MIN(YEAR($C$3)*12+MONTH($C$3)-1,YEAR($I226)*12+MONTH($I226))-(YEAR($H226)*12+MONTH($H226))+1))</f>
        <v/>
      </c>
      <c r="N226" s="63">
        <f>IF(OR($J226="",$B226=""),0,IF(YEAR($B226)*12+MONTH($B226)&lt;=YEAR($C$3)*12+MONTH($C$3),$G226,0))</f>
        <v/>
      </c>
      <c r="O226" s="63">
        <f>IF(OR($J226="",$B226=""),0,IF(YEAR($B226)*12+MONTH($B226)&lt;=YEAR($C$3)*12+MONTH($C$3)-1,$G226,0))</f>
        <v/>
      </c>
      <c r="P226" s="63">
        <f>$M226-$O226</f>
        <v/>
      </c>
      <c r="Q226" s="63">
        <f>($L226-$M226)-($N226-$O226)</f>
        <v/>
      </c>
      <c r="R226" s="63">
        <f>$L226-$N226</f>
        <v/>
      </c>
    </row>
    <row r="227">
      <c r="A227" s="60">
        <f>ROW()-5</f>
        <v/>
      </c>
      <c r="B227" s="61">
        <f>IFERROR(INDEX(tbl_Finance[Date],$A227),"")</f>
        <v/>
      </c>
      <c r="C227" s="62">
        <f>IFERROR(INDEX(tbl_Finance[Xero Invoice No],$A227),"")</f>
        <v/>
      </c>
      <c r="D227" s="62">
        <f>IFERROR(INDEX(tbl_Finance[Client],$A227),"")</f>
        <v/>
      </c>
      <c r="E227" s="62">
        <f>IFERROR(INDEX(tbl_Finance[Job Number],$A227),"")</f>
        <v/>
      </c>
      <c r="F227" s="62">
        <f>IFERROR(INDEX(tbl_Finance[Cost Centre],$A227),"")</f>
        <v/>
      </c>
      <c r="G227" s="63">
        <f>IFERROR(INDEX(tbl_Finance[Ex GST],$A227),"")</f>
        <v/>
      </c>
      <c r="H227" s="61">
        <f>IFERROR(INDEX(tbl_Finance[Defer Start],$A227),"")</f>
        <v/>
      </c>
      <c r="I227" s="61">
        <f>IFERROR(INDEX(tbl_Finance[Defer End],$A227),"")</f>
        <v/>
      </c>
      <c r="J227" s="60">
        <f>IF(OR($H227="",$I227="",$G227=""),"",MAX(1,(YEAR($I227)-YEAR($H227))*12+MONTH($I227)-MONTH($H227)+1))</f>
        <v/>
      </c>
      <c r="K227" s="63">
        <f>IF($J227="","",$G227/$J227)</f>
        <v/>
      </c>
      <c r="L227" s="63">
        <f>IF($J227="",0,$K227*MAX(0,MIN(YEAR($C$3)*12+MONTH($C$3),YEAR($I227)*12+MONTH($I227))-(YEAR($H227)*12+MONTH($H227))+1))</f>
        <v/>
      </c>
      <c r="M227" s="63">
        <f>IF($J227="",0,$K227*MAX(0,MIN(YEAR($C$3)*12+MONTH($C$3)-1,YEAR($I227)*12+MONTH($I227))-(YEAR($H227)*12+MONTH($H227))+1))</f>
        <v/>
      </c>
      <c r="N227" s="63">
        <f>IF(OR($J227="",$B227=""),0,IF(YEAR($B227)*12+MONTH($B227)&lt;=YEAR($C$3)*12+MONTH($C$3),$G227,0))</f>
        <v/>
      </c>
      <c r="O227" s="63">
        <f>IF(OR($J227="",$B227=""),0,IF(YEAR($B227)*12+MONTH($B227)&lt;=YEAR($C$3)*12+MONTH($C$3)-1,$G227,0))</f>
        <v/>
      </c>
      <c r="P227" s="63">
        <f>$M227-$O227</f>
        <v/>
      </c>
      <c r="Q227" s="63">
        <f>($L227-$M227)-($N227-$O227)</f>
        <v/>
      </c>
      <c r="R227" s="63">
        <f>$L227-$N227</f>
        <v/>
      </c>
    </row>
    <row r="228">
      <c r="A228" s="60">
        <f>ROW()-5</f>
        <v/>
      </c>
      <c r="B228" s="61">
        <f>IFERROR(INDEX(tbl_Finance[Date],$A228),"")</f>
        <v/>
      </c>
      <c r="C228" s="62">
        <f>IFERROR(INDEX(tbl_Finance[Xero Invoice No],$A228),"")</f>
        <v/>
      </c>
      <c r="D228" s="62">
        <f>IFERROR(INDEX(tbl_Finance[Client],$A228),"")</f>
        <v/>
      </c>
      <c r="E228" s="62">
        <f>IFERROR(INDEX(tbl_Finance[Job Number],$A228),"")</f>
        <v/>
      </c>
      <c r="F228" s="62">
        <f>IFERROR(INDEX(tbl_Finance[Cost Centre],$A228),"")</f>
        <v/>
      </c>
      <c r="G228" s="63">
        <f>IFERROR(INDEX(tbl_Finance[Ex GST],$A228),"")</f>
        <v/>
      </c>
      <c r="H228" s="61">
        <f>IFERROR(INDEX(tbl_Finance[Defer Start],$A228),"")</f>
        <v/>
      </c>
      <c r="I228" s="61">
        <f>IFERROR(INDEX(tbl_Finance[Defer End],$A228),"")</f>
        <v/>
      </c>
      <c r="J228" s="60">
        <f>IF(OR($H228="",$I228="",$G228=""),"",MAX(1,(YEAR($I228)-YEAR($H228))*12+MONTH($I228)-MONTH($H228)+1))</f>
        <v/>
      </c>
      <c r="K228" s="63">
        <f>IF($J228="","",$G228/$J228)</f>
        <v/>
      </c>
      <c r="L228" s="63">
        <f>IF($J228="",0,$K228*MAX(0,MIN(YEAR($C$3)*12+MONTH($C$3),YEAR($I228)*12+MONTH($I228))-(YEAR($H228)*12+MONTH($H228))+1))</f>
        <v/>
      </c>
      <c r="M228" s="63">
        <f>IF($J228="",0,$K228*MAX(0,MIN(YEAR($C$3)*12+MONTH($C$3)-1,YEAR($I228)*12+MONTH($I228))-(YEAR($H228)*12+MONTH($H228))+1))</f>
        <v/>
      </c>
      <c r="N228" s="63">
        <f>IF(OR($J228="",$B228=""),0,IF(YEAR($B228)*12+MONTH($B228)&lt;=YEAR($C$3)*12+MONTH($C$3),$G228,0))</f>
        <v/>
      </c>
      <c r="O228" s="63">
        <f>IF(OR($J228="",$B228=""),0,IF(YEAR($B228)*12+MONTH($B228)&lt;=YEAR($C$3)*12+MONTH($C$3)-1,$G228,0))</f>
        <v/>
      </c>
      <c r="P228" s="63">
        <f>$M228-$O228</f>
        <v/>
      </c>
      <c r="Q228" s="63">
        <f>($L228-$M228)-($N228-$O228)</f>
        <v/>
      </c>
      <c r="R228" s="63">
        <f>$L228-$N228</f>
        <v/>
      </c>
    </row>
    <row r="229">
      <c r="A229" s="60">
        <f>ROW()-5</f>
        <v/>
      </c>
      <c r="B229" s="61">
        <f>IFERROR(INDEX(tbl_Finance[Date],$A229),"")</f>
        <v/>
      </c>
      <c r="C229" s="62">
        <f>IFERROR(INDEX(tbl_Finance[Xero Invoice No],$A229),"")</f>
        <v/>
      </c>
      <c r="D229" s="62">
        <f>IFERROR(INDEX(tbl_Finance[Client],$A229),"")</f>
        <v/>
      </c>
      <c r="E229" s="62">
        <f>IFERROR(INDEX(tbl_Finance[Job Number],$A229),"")</f>
        <v/>
      </c>
      <c r="F229" s="62">
        <f>IFERROR(INDEX(tbl_Finance[Cost Centre],$A229),"")</f>
        <v/>
      </c>
      <c r="G229" s="63">
        <f>IFERROR(INDEX(tbl_Finance[Ex GST],$A229),"")</f>
        <v/>
      </c>
      <c r="H229" s="61">
        <f>IFERROR(INDEX(tbl_Finance[Defer Start],$A229),"")</f>
        <v/>
      </c>
      <c r="I229" s="61">
        <f>IFERROR(INDEX(tbl_Finance[Defer End],$A229),"")</f>
        <v/>
      </c>
      <c r="J229" s="60">
        <f>IF(OR($H229="",$I229="",$G229=""),"",MAX(1,(YEAR($I229)-YEAR($H229))*12+MONTH($I229)-MONTH($H229)+1))</f>
        <v/>
      </c>
      <c r="K229" s="63">
        <f>IF($J229="","",$G229/$J229)</f>
        <v/>
      </c>
      <c r="L229" s="63">
        <f>IF($J229="",0,$K229*MAX(0,MIN(YEAR($C$3)*12+MONTH($C$3),YEAR($I229)*12+MONTH($I229))-(YEAR($H229)*12+MONTH($H229))+1))</f>
        <v/>
      </c>
      <c r="M229" s="63">
        <f>IF($J229="",0,$K229*MAX(0,MIN(YEAR($C$3)*12+MONTH($C$3)-1,YEAR($I229)*12+MONTH($I229))-(YEAR($H229)*12+MONTH($H229))+1))</f>
        <v/>
      </c>
      <c r="N229" s="63">
        <f>IF(OR($J229="",$B229=""),0,IF(YEAR($B229)*12+MONTH($B229)&lt;=YEAR($C$3)*12+MONTH($C$3),$G229,0))</f>
        <v/>
      </c>
      <c r="O229" s="63">
        <f>IF(OR($J229="",$B229=""),0,IF(YEAR($B229)*12+MONTH($B229)&lt;=YEAR($C$3)*12+MONTH($C$3)-1,$G229,0))</f>
        <v/>
      </c>
      <c r="P229" s="63">
        <f>$M229-$O229</f>
        <v/>
      </c>
      <c r="Q229" s="63">
        <f>($L229-$M229)-($N229-$O229)</f>
        <v/>
      </c>
      <c r="R229" s="63">
        <f>$L229-$N229</f>
        <v/>
      </c>
    </row>
    <row r="230">
      <c r="A230" s="60">
        <f>ROW()-5</f>
        <v/>
      </c>
      <c r="B230" s="61">
        <f>IFERROR(INDEX(tbl_Finance[Date],$A230),"")</f>
        <v/>
      </c>
      <c r="C230" s="62">
        <f>IFERROR(INDEX(tbl_Finance[Xero Invoice No],$A230),"")</f>
        <v/>
      </c>
      <c r="D230" s="62">
        <f>IFERROR(INDEX(tbl_Finance[Client],$A230),"")</f>
        <v/>
      </c>
      <c r="E230" s="62">
        <f>IFERROR(INDEX(tbl_Finance[Job Number],$A230),"")</f>
        <v/>
      </c>
      <c r="F230" s="62">
        <f>IFERROR(INDEX(tbl_Finance[Cost Centre],$A230),"")</f>
        <v/>
      </c>
      <c r="G230" s="63">
        <f>IFERROR(INDEX(tbl_Finance[Ex GST],$A230),"")</f>
        <v/>
      </c>
      <c r="H230" s="61">
        <f>IFERROR(INDEX(tbl_Finance[Defer Start],$A230),"")</f>
        <v/>
      </c>
      <c r="I230" s="61">
        <f>IFERROR(INDEX(tbl_Finance[Defer End],$A230),"")</f>
        <v/>
      </c>
      <c r="J230" s="60">
        <f>IF(OR($H230="",$I230="",$G230=""),"",MAX(1,(YEAR($I230)-YEAR($H230))*12+MONTH($I230)-MONTH($H230)+1))</f>
        <v/>
      </c>
      <c r="K230" s="63">
        <f>IF($J230="","",$G230/$J230)</f>
        <v/>
      </c>
      <c r="L230" s="63">
        <f>IF($J230="",0,$K230*MAX(0,MIN(YEAR($C$3)*12+MONTH($C$3),YEAR($I230)*12+MONTH($I230))-(YEAR($H230)*12+MONTH($H230))+1))</f>
        <v/>
      </c>
      <c r="M230" s="63">
        <f>IF($J230="",0,$K230*MAX(0,MIN(YEAR($C$3)*12+MONTH($C$3)-1,YEAR($I230)*12+MONTH($I230))-(YEAR($H230)*12+MONTH($H230))+1))</f>
        <v/>
      </c>
      <c r="N230" s="63">
        <f>IF(OR($J230="",$B230=""),0,IF(YEAR($B230)*12+MONTH($B230)&lt;=YEAR($C$3)*12+MONTH($C$3),$G230,0))</f>
        <v/>
      </c>
      <c r="O230" s="63">
        <f>IF(OR($J230="",$B230=""),0,IF(YEAR($B230)*12+MONTH($B230)&lt;=YEAR($C$3)*12+MONTH($C$3)-1,$G230,0))</f>
        <v/>
      </c>
      <c r="P230" s="63">
        <f>$M230-$O230</f>
        <v/>
      </c>
      <c r="Q230" s="63">
        <f>($L230-$M230)-($N230-$O230)</f>
        <v/>
      </c>
      <c r="R230" s="63">
        <f>$L230-$N230</f>
        <v/>
      </c>
    </row>
    <row r="231">
      <c r="A231" s="60">
        <f>ROW()-5</f>
        <v/>
      </c>
      <c r="B231" s="61">
        <f>IFERROR(INDEX(tbl_Finance[Date],$A231),"")</f>
        <v/>
      </c>
      <c r="C231" s="62">
        <f>IFERROR(INDEX(tbl_Finance[Xero Invoice No],$A231),"")</f>
        <v/>
      </c>
      <c r="D231" s="62">
        <f>IFERROR(INDEX(tbl_Finance[Client],$A231),"")</f>
        <v/>
      </c>
      <c r="E231" s="62">
        <f>IFERROR(INDEX(tbl_Finance[Job Number],$A231),"")</f>
        <v/>
      </c>
      <c r="F231" s="62">
        <f>IFERROR(INDEX(tbl_Finance[Cost Centre],$A231),"")</f>
        <v/>
      </c>
      <c r="G231" s="63">
        <f>IFERROR(INDEX(tbl_Finance[Ex GST],$A231),"")</f>
        <v/>
      </c>
      <c r="H231" s="61">
        <f>IFERROR(INDEX(tbl_Finance[Defer Start],$A231),"")</f>
        <v/>
      </c>
      <c r="I231" s="61">
        <f>IFERROR(INDEX(tbl_Finance[Defer End],$A231),"")</f>
        <v/>
      </c>
      <c r="J231" s="60">
        <f>IF(OR($H231="",$I231="",$G231=""),"",MAX(1,(YEAR($I231)-YEAR($H231))*12+MONTH($I231)-MONTH($H231)+1))</f>
        <v/>
      </c>
      <c r="K231" s="63">
        <f>IF($J231="","",$G231/$J231)</f>
        <v/>
      </c>
      <c r="L231" s="63">
        <f>IF($J231="",0,$K231*MAX(0,MIN(YEAR($C$3)*12+MONTH($C$3),YEAR($I231)*12+MONTH($I231))-(YEAR($H231)*12+MONTH($H231))+1))</f>
        <v/>
      </c>
      <c r="M231" s="63">
        <f>IF($J231="",0,$K231*MAX(0,MIN(YEAR($C$3)*12+MONTH($C$3)-1,YEAR($I231)*12+MONTH($I231))-(YEAR($H231)*12+MONTH($H231))+1))</f>
        <v/>
      </c>
      <c r="N231" s="63">
        <f>IF(OR($J231="",$B231=""),0,IF(YEAR($B231)*12+MONTH($B231)&lt;=YEAR($C$3)*12+MONTH($C$3),$G231,0))</f>
        <v/>
      </c>
      <c r="O231" s="63">
        <f>IF(OR($J231="",$B231=""),0,IF(YEAR($B231)*12+MONTH($B231)&lt;=YEAR($C$3)*12+MONTH($C$3)-1,$G231,0))</f>
        <v/>
      </c>
      <c r="P231" s="63">
        <f>$M231-$O231</f>
        <v/>
      </c>
      <c r="Q231" s="63">
        <f>($L231-$M231)-($N231-$O231)</f>
        <v/>
      </c>
      <c r="R231" s="63">
        <f>$L231-$N231</f>
        <v/>
      </c>
    </row>
    <row r="232">
      <c r="A232" s="60">
        <f>ROW()-5</f>
        <v/>
      </c>
      <c r="B232" s="61">
        <f>IFERROR(INDEX(tbl_Finance[Date],$A232),"")</f>
        <v/>
      </c>
      <c r="C232" s="62">
        <f>IFERROR(INDEX(tbl_Finance[Xero Invoice No],$A232),"")</f>
        <v/>
      </c>
      <c r="D232" s="62">
        <f>IFERROR(INDEX(tbl_Finance[Client],$A232),"")</f>
        <v/>
      </c>
      <c r="E232" s="62">
        <f>IFERROR(INDEX(tbl_Finance[Job Number],$A232),"")</f>
        <v/>
      </c>
      <c r="F232" s="62">
        <f>IFERROR(INDEX(tbl_Finance[Cost Centre],$A232),"")</f>
        <v/>
      </c>
      <c r="G232" s="63">
        <f>IFERROR(INDEX(tbl_Finance[Ex GST],$A232),"")</f>
        <v/>
      </c>
      <c r="H232" s="61">
        <f>IFERROR(INDEX(tbl_Finance[Defer Start],$A232),"")</f>
        <v/>
      </c>
      <c r="I232" s="61">
        <f>IFERROR(INDEX(tbl_Finance[Defer End],$A232),"")</f>
        <v/>
      </c>
      <c r="J232" s="60">
        <f>IF(OR($H232="",$I232="",$G232=""),"",MAX(1,(YEAR($I232)-YEAR($H232))*12+MONTH($I232)-MONTH($H232)+1))</f>
        <v/>
      </c>
      <c r="K232" s="63">
        <f>IF($J232="","",$G232/$J232)</f>
        <v/>
      </c>
      <c r="L232" s="63">
        <f>IF($J232="",0,$K232*MAX(0,MIN(YEAR($C$3)*12+MONTH($C$3),YEAR($I232)*12+MONTH($I232))-(YEAR($H232)*12+MONTH($H232))+1))</f>
        <v/>
      </c>
      <c r="M232" s="63">
        <f>IF($J232="",0,$K232*MAX(0,MIN(YEAR($C$3)*12+MONTH($C$3)-1,YEAR($I232)*12+MONTH($I232))-(YEAR($H232)*12+MONTH($H232))+1))</f>
        <v/>
      </c>
      <c r="N232" s="63">
        <f>IF(OR($J232="",$B232=""),0,IF(YEAR($B232)*12+MONTH($B232)&lt;=YEAR($C$3)*12+MONTH($C$3),$G232,0))</f>
        <v/>
      </c>
      <c r="O232" s="63">
        <f>IF(OR($J232="",$B232=""),0,IF(YEAR($B232)*12+MONTH($B232)&lt;=YEAR($C$3)*12+MONTH($C$3)-1,$G232,0))</f>
        <v/>
      </c>
      <c r="P232" s="63">
        <f>$M232-$O232</f>
        <v/>
      </c>
      <c r="Q232" s="63">
        <f>($L232-$M232)-($N232-$O232)</f>
        <v/>
      </c>
      <c r="R232" s="63">
        <f>$L232-$N232</f>
        <v/>
      </c>
    </row>
    <row r="233">
      <c r="A233" s="60">
        <f>ROW()-5</f>
        <v/>
      </c>
      <c r="B233" s="61">
        <f>IFERROR(INDEX(tbl_Finance[Date],$A233),"")</f>
        <v/>
      </c>
      <c r="C233" s="62">
        <f>IFERROR(INDEX(tbl_Finance[Xero Invoice No],$A233),"")</f>
        <v/>
      </c>
      <c r="D233" s="62">
        <f>IFERROR(INDEX(tbl_Finance[Client],$A233),"")</f>
        <v/>
      </c>
      <c r="E233" s="62">
        <f>IFERROR(INDEX(tbl_Finance[Job Number],$A233),"")</f>
        <v/>
      </c>
      <c r="F233" s="62">
        <f>IFERROR(INDEX(tbl_Finance[Cost Centre],$A233),"")</f>
        <v/>
      </c>
      <c r="G233" s="63">
        <f>IFERROR(INDEX(tbl_Finance[Ex GST],$A233),"")</f>
        <v/>
      </c>
      <c r="H233" s="61">
        <f>IFERROR(INDEX(tbl_Finance[Defer Start],$A233),"")</f>
        <v/>
      </c>
      <c r="I233" s="61">
        <f>IFERROR(INDEX(tbl_Finance[Defer End],$A233),"")</f>
        <v/>
      </c>
      <c r="J233" s="60">
        <f>IF(OR($H233="",$I233="",$G233=""),"",MAX(1,(YEAR($I233)-YEAR($H233))*12+MONTH($I233)-MONTH($H233)+1))</f>
        <v/>
      </c>
      <c r="K233" s="63">
        <f>IF($J233="","",$G233/$J233)</f>
        <v/>
      </c>
      <c r="L233" s="63">
        <f>IF($J233="",0,$K233*MAX(0,MIN(YEAR($C$3)*12+MONTH($C$3),YEAR($I233)*12+MONTH($I233))-(YEAR($H233)*12+MONTH($H233))+1))</f>
        <v/>
      </c>
      <c r="M233" s="63">
        <f>IF($J233="",0,$K233*MAX(0,MIN(YEAR($C$3)*12+MONTH($C$3)-1,YEAR($I233)*12+MONTH($I233))-(YEAR($H233)*12+MONTH($H233))+1))</f>
        <v/>
      </c>
      <c r="N233" s="63">
        <f>IF(OR($J233="",$B233=""),0,IF(YEAR($B233)*12+MONTH($B233)&lt;=YEAR($C$3)*12+MONTH($C$3),$G233,0))</f>
        <v/>
      </c>
      <c r="O233" s="63">
        <f>IF(OR($J233="",$B233=""),0,IF(YEAR($B233)*12+MONTH($B233)&lt;=YEAR($C$3)*12+MONTH($C$3)-1,$G233,0))</f>
        <v/>
      </c>
      <c r="P233" s="63">
        <f>$M233-$O233</f>
        <v/>
      </c>
      <c r="Q233" s="63">
        <f>($L233-$M233)-($N233-$O233)</f>
        <v/>
      </c>
      <c r="R233" s="63">
        <f>$L233-$N233</f>
        <v/>
      </c>
    </row>
    <row r="234">
      <c r="A234" s="60">
        <f>ROW()-5</f>
        <v/>
      </c>
      <c r="B234" s="61">
        <f>IFERROR(INDEX(tbl_Finance[Date],$A234),"")</f>
        <v/>
      </c>
      <c r="C234" s="62">
        <f>IFERROR(INDEX(tbl_Finance[Xero Invoice No],$A234),"")</f>
        <v/>
      </c>
      <c r="D234" s="62">
        <f>IFERROR(INDEX(tbl_Finance[Client],$A234),"")</f>
        <v/>
      </c>
      <c r="E234" s="62">
        <f>IFERROR(INDEX(tbl_Finance[Job Number],$A234),"")</f>
        <v/>
      </c>
      <c r="F234" s="62">
        <f>IFERROR(INDEX(tbl_Finance[Cost Centre],$A234),"")</f>
        <v/>
      </c>
      <c r="G234" s="63">
        <f>IFERROR(INDEX(tbl_Finance[Ex GST],$A234),"")</f>
        <v/>
      </c>
      <c r="H234" s="61">
        <f>IFERROR(INDEX(tbl_Finance[Defer Start],$A234),"")</f>
        <v/>
      </c>
      <c r="I234" s="61">
        <f>IFERROR(INDEX(tbl_Finance[Defer End],$A234),"")</f>
        <v/>
      </c>
      <c r="J234" s="60">
        <f>IF(OR($H234="",$I234="",$G234=""),"",MAX(1,(YEAR($I234)-YEAR($H234))*12+MONTH($I234)-MONTH($H234)+1))</f>
        <v/>
      </c>
      <c r="K234" s="63">
        <f>IF($J234="","",$G234/$J234)</f>
        <v/>
      </c>
      <c r="L234" s="63">
        <f>IF($J234="",0,$K234*MAX(0,MIN(YEAR($C$3)*12+MONTH($C$3),YEAR($I234)*12+MONTH($I234))-(YEAR($H234)*12+MONTH($H234))+1))</f>
        <v/>
      </c>
      <c r="M234" s="63">
        <f>IF($J234="",0,$K234*MAX(0,MIN(YEAR($C$3)*12+MONTH($C$3)-1,YEAR($I234)*12+MONTH($I234))-(YEAR($H234)*12+MONTH($H234))+1))</f>
        <v/>
      </c>
      <c r="N234" s="63">
        <f>IF(OR($J234="",$B234=""),0,IF(YEAR($B234)*12+MONTH($B234)&lt;=YEAR($C$3)*12+MONTH($C$3),$G234,0))</f>
        <v/>
      </c>
      <c r="O234" s="63">
        <f>IF(OR($J234="",$B234=""),0,IF(YEAR($B234)*12+MONTH($B234)&lt;=YEAR($C$3)*12+MONTH($C$3)-1,$G234,0))</f>
        <v/>
      </c>
      <c r="P234" s="63">
        <f>$M234-$O234</f>
        <v/>
      </c>
      <c r="Q234" s="63">
        <f>($L234-$M234)-($N234-$O234)</f>
        <v/>
      </c>
      <c r="R234" s="63">
        <f>$L234-$N234</f>
        <v/>
      </c>
    </row>
    <row r="235">
      <c r="A235" s="60">
        <f>ROW()-5</f>
        <v/>
      </c>
      <c r="B235" s="61">
        <f>IFERROR(INDEX(tbl_Finance[Date],$A235),"")</f>
        <v/>
      </c>
      <c r="C235" s="62">
        <f>IFERROR(INDEX(tbl_Finance[Xero Invoice No],$A235),"")</f>
        <v/>
      </c>
      <c r="D235" s="62">
        <f>IFERROR(INDEX(tbl_Finance[Client],$A235),"")</f>
        <v/>
      </c>
      <c r="E235" s="62">
        <f>IFERROR(INDEX(tbl_Finance[Job Number],$A235),"")</f>
        <v/>
      </c>
      <c r="F235" s="62">
        <f>IFERROR(INDEX(tbl_Finance[Cost Centre],$A235),"")</f>
        <v/>
      </c>
      <c r="G235" s="63">
        <f>IFERROR(INDEX(tbl_Finance[Ex GST],$A235),"")</f>
        <v/>
      </c>
      <c r="H235" s="61">
        <f>IFERROR(INDEX(tbl_Finance[Defer Start],$A235),"")</f>
        <v/>
      </c>
      <c r="I235" s="61">
        <f>IFERROR(INDEX(tbl_Finance[Defer End],$A235),"")</f>
        <v/>
      </c>
      <c r="J235" s="60">
        <f>IF(OR($H235="",$I235="",$G235=""),"",MAX(1,(YEAR($I235)-YEAR($H235))*12+MONTH($I235)-MONTH($H235)+1))</f>
        <v/>
      </c>
      <c r="K235" s="63">
        <f>IF($J235="","",$G235/$J235)</f>
        <v/>
      </c>
      <c r="L235" s="63">
        <f>IF($J235="",0,$K235*MAX(0,MIN(YEAR($C$3)*12+MONTH($C$3),YEAR($I235)*12+MONTH($I235))-(YEAR($H235)*12+MONTH($H235))+1))</f>
        <v/>
      </c>
      <c r="M235" s="63">
        <f>IF($J235="",0,$K235*MAX(0,MIN(YEAR($C$3)*12+MONTH($C$3)-1,YEAR($I235)*12+MONTH($I235))-(YEAR($H235)*12+MONTH($H235))+1))</f>
        <v/>
      </c>
      <c r="N235" s="63">
        <f>IF(OR($J235="",$B235=""),0,IF(YEAR($B235)*12+MONTH($B235)&lt;=YEAR($C$3)*12+MONTH($C$3),$G235,0))</f>
        <v/>
      </c>
      <c r="O235" s="63">
        <f>IF(OR($J235="",$B235=""),0,IF(YEAR($B235)*12+MONTH($B235)&lt;=YEAR($C$3)*12+MONTH($C$3)-1,$G235,0))</f>
        <v/>
      </c>
      <c r="P235" s="63">
        <f>$M235-$O235</f>
        <v/>
      </c>
      <c r="Q235" s="63">
        <f>($L235-$M235)-($N235-$O235)</f>
        <v/>
      </c>
      <c r="R235" s="63">
        <f>$L235-$N235</f>
        <v/>
      </c>
    </row>
    <row r="236">
      <c r="A236" s="60">
        <f>ROW()-5</f>
        <v/>
      </c>
      <c r="B236" s="61">
        <f>IFERROR(INDEX(tbl_Finance[Date],$A236),"")</f>
        <v/>
      </c>
      <c r="C236" s="62">
        <f>IFERROR(INDEX(tbl_Finance[Xero Invoice No],$A236),"")</f>
        <v/>
      </c>
      <c r="D236" s="62">
        <f>IFERROR(INDEX(tbl_Finance[Client],$A236),"")</f>
        <v/>
      </c>
      <c r="E236" s="62">
        <f>IFERROR(INDEX(tbl_Finance[Job Number],$A236),"")</f>
        <v/>
      </c>
      <c r="F236" s="62">
        <f>IFERROR(INDEX(tbl_Finance[Cost Centre],$A236),"")</f>
        <v/>
      </c>
      <c r="G236" s="63">
        <f>IFERROR(INDEX(tbl_Finance[Ex GST],$A236),"")</f>
        <v/>
      </c>
      <c r="H236" s="61">
        <f>IFERROR(INDEX(tbl_Finance[Defer Start],$A236),"")</f>
        <v/>
      </c>
      <c r="I236" s="61">
        <f>IFERROR(INDEX(tbl_Finance[Defer End],$A236),"")</f>
        <v/>
      </c>
      <c r="J236" s="60">
        <f>IF(OR($H236="",$I236="",$G236=""),"",MAX(1,(YEAR($I236)-YEAR($H236))*12+MONTH($I236)-MONTH($H236)+1))</f>
        <v/>
      </c>
      <c r="K236" s="63">
        <f>IF($J236="","",$G236/$J236)</f>
        <v/>
      </c>
      <c r="L236" s="63">
        <f>IF($J236="",0,$K236*MAX(0,MIN(YEAR($C$3)*12+MONTH($C$3),YEAR($I236)*12+MONTH($I236))-(YEAR($H236)*12+MONTH($H236))+1))</f>
        <v/>
      </c>
      <c r="M236" s="63">
        <f>IF($J236="",0,$K236*MAX(0,MIN(YEAR($C$3)*12+MONTH($C$3)-1,YEAR($I236)*12+MONTH($I236))-(YEAR($H236)*12+MONTH($H236))+1))</f>
        <v/>
      </c>
      <c r="N236" s="63">
        <f>IF(OR($J236="",$B236=""),0,IF(YEAR($B236)*12+MONTH($B236)&lt;=YEAR($C$3)*12+MONTH($C$3),$G236,0))</f>
        <v/>
      </c>
      <c r="O236" s="63">
        <f>IF(OR($J236="",$B236=""),0,IF(YEAR($B236)*12+MONTH($B236)&lt;=YEAR($C$3)*12+MONTH($C$3)-1,$G236,0))</f>
        <v/>
      </c>
      <c r="P236" s="63">
        <f>$M236-$O236</f>
        <v/>
      </c>
      <c r="Q236" s="63">
        <f>($L236-$M236)-($N236-$O236)</f>
        <v/>
      </c>
      <c r="R236" s="63">
        <f>$L236-$N236</f>
        <v/>
      </c>
    </row>
    <row r="237">
      <c r="A237" s="60">
        <f>ROW()-5</f>
        <v/>
      </c>
      <c r="B237" s="61">
        <f>IFERROR(INDEX(tbl_Finance[Date],$A237),"")</f>
        <v/>
      </c>
      <c r="C237" s="62">
        <f>IFERROR(INDEX(tbl_Finance[Xero Invoice No],$A237),"")</f>
        <v/>
      </c>
      <c r="D237" s="62">
        <f>IFERROR(INDEX(tbl_Finance[Client],$A237),"")</f>
        <v/>
      </c>
      <c r="E237" s="62">
        <f>IFERROR(INDEX(tbl_Finance[Job Number],$A237),"")</f>
        <v/>
      </c>
      <c r="F237" s="62">
        <f>IFERROR(INDEX(tbl_Finance[Cost Centre],$A237),"")</f>
        <v/>
      </c>
      <c r="G237" s="63">
        <f>IFERROR(INDEX(tbl_Finance[Ex GST],$A237),"")</f>
        <v/>
      </c>
      <c r="H237" s="61">
        <f>IFERROR(INDEX(tbl_Finance[Defer Start],$A237),"")</f>
        <v/>
      </c>
      <c r="I237" s="61">
        <f>IFERROR(INDEX(tbl_Finance[Defer End],$A237),"")</f>
        <v/>
      </c>
      <c r="J237" s="60">
        <f>IF(OR($H237="",$I237="",$G237=""),"",MAX(1,(YEAR($I237)-YEAR($H237))*12+MONTH($I237)-MONTH($H237)+1))</f>
        <v/>
      </c>
      <c r="K237" s="63">
        <f>IF($J237="","",$G237/$J237)</f>
        <v/>
      </c>
      <c r="L237" s="63">
        <f>IF($J237="",0,$K237*MAX(0,MIN(YEAR($C$3)*12+MONTH($C$3),YEAR($I237)*12+MONTH($I237))-(YEAR($H237)*12+MONTH($H237))+1))</f>
        <v/>
      </c>
      <c r="M237" s="63">
        <f>IF($J237="",0,$K237*MAX(0,MIN(YEAR($C$3)*12+MONTH($C$3)-1,YEAR($I237)*12+MONTH($I237))-(YEAR($H237)*12+MONTH($H237))+1))</f>
        <v/>
      </c>
      <c r="N237" s="63">
        <f>IF(OR($J237="",$B237=""),0,IF(YEAR($B237)*12+MONTH($B237)&lt;=YEAR($C$3)*12+MONTH($C$3),$G237,0))</f>
        <v/>
      </c>
      <c r="O237" s="63">
        <f>IF(OR($J237="",$B237=""),0,IF(YEAR($B237)*12+MONTH($B237)&lt;=YEAR($C$3)*12+MONTH($C$3)-1,$G237,0))</f>
        <v/>
      </c>
      <c r="P237" s="63">
        <f>$M237-$O237</f>
        <v/>
      </c>
      <c r="Q237" s="63">
        <f>($L237-$M237)-($N237-$O237)</f>
        <v/>
      </c>
      <c r="R237" s="63">
        <f>$L237-$N237</f>
        <v/>
      </c>
    </row>
    <row r="238">
      <c r="A238" s="60">
        <f>ROW()-5</f>
        <v/>
      </c>
      <c r="B238" s="61">
        <f>IFERROR(INDEX(tbl_Finance[Date],$A238),"")</f>
        <v/>
      </c>
      <c r="C238" s="62">
        <f>IFERROR(INDEX(tbl_Finance[Xero Invoice No],$A238),"")</f>
        <v/>
      </c>
      <c r="D238" s="62">
        <f>IFERROR(INDEX(tbl_Finance[Client],$A238),"")</f>
        <v/>
      </c>
      <c r="E238" s="62">
        <f>IFERROR(INDEX(tbl_Finance[Job Number],$A238),"")</f>
        <v/>
      </c>
      <c r="F238" s="62">
        <f>IFERROR(INDEX(tbl_Finance[Cost Centre],$A238),"")</f>
        <v/>
      </c>
      <c r="G238" s="63">
        <f>IFERROR(INDEX(tbl_Finance[Ex GST],$A238),"")</f>
        <v/>
      </c>
      <c r="H238" s="61">
        <f>IFERROR(INDEX(tbl_Finance[Defer Start],$A238),"")</f>
        <v/>
      </c>
      <c r="I238" s="61">
        <f>IFERROR(INDEX(tbl_Finance[Defer End],$A238),"")</f>
        <v/>
      </c>
      <c r="J238" s="60">
        <f>IF(OR($H238="",$I238="",$G238=""),"",MAX(1,(YEAR($I238)-YEAR($H238))*12+MONTH($I238)-MONTH($H238)+1))</f>
        <v/>
      </c>
      <c r="K238" s="63">
        <f>IF($J238="","",$G238/$J238)</f>
        <v/>
      </c>
      <c r="L238" s="63">
        <f>IF($J238="",0,$K238*MAX(0,MIN(YEAR($C$3)*12+MONTH($C$3),YEAR($I238)*12+MONTH($I238))-(YEAR($H238)*12+MONTH($H238))+1))</f>
        <v/>
      </c>
      <c r="M238" s="63">
        <f>IF($J238="",0,$K238*MAX(0,MIN(YEAR($C$3)*12+MONTH($C$3)-1,YEAR($I238)*12+MONTH($I238))-(YEAR($H238)*12+MONTH($H238))+1))</f>
        <v/>
      </c>
      <c r="N238" s="63">
        <f>IF(OR($J238="",$B238=""),0,IF(YEAR($B238)*12+MONTH($B238)&lt;=YEAR($C$3)*12+MONTH($C$3),$G238,0))</f>
        <v/>
      </c>
      <c r="O238" s="63">
        <f>IF(OR($J238="",$B238=""),0,IF(YEAR($B238)*12+MONTH($B238)&lt;=YEAR($C$3)*12+MONTH($C$3)-1,$G238,0))</f>
        <v/>
      </c>
      <c r="P238" s="63">
        <f>$M238-$O238</f>
        <v/>
      </c>
      <c r="Q238" s="63">
        <f>($L238-$M238)-($N238-$O238)</f>
        <v/>
      </c>
      <c r="R238" s="63">
        <f>$L238-$N238</f>
        <v/>
      </c>
    </row>
    <row r="239">
      <c r="A239" s="60">
        <f>ROW()-5</f>
        <v/>
      </c>
      <c r="B239" s="61">
        <f>IFERROR(INDEX(tbl_Finance[Date],$A239),"")</f>
        <v/>
      </c>
      <c r="C239" s="62">
        <f>IFERROR(INDEX(tbl_Finance[Xero Invoice No],$A239),"")</f>
        <v/>
      </c>
      <c r="D239" s="62">
        <f>IFERROR(INDEX(tbl_Finance[Client],$A239),"")</f>
        <v/>
      </c>
      <c r="E239" s="62">
        <f>IFERROR(INDEX(tbl_Finance[Job Number],$A239),"")</f>
        <v/>
      </c>
      <c r="F239" s="62">
        <f>IFERROR(INDEX(tbl_Finance[Cost Centre],$A239),"")</f>
        <v/>
      </c>
      <c r="G239" s="63">
        <f>IFERROR(INDEX(tbl_Finance[Ex GST],$A239),"")</f>
        <v/>
      </c>
      <c r="H239" s="61">
        <f>IFERROR(INDEX(tbl_Finance[Defer Start],$A239),"")</f>
        <v/>
      </c>
      <c r="I239" s="61">
        <f>IFERROR(INDEX(tbl_Finance[Defer End],$A239),"")</f>
        <v/>
      </c>
      <c r="J239" s="60">
        <f>IF(OR($H239="",$I239="",$G239=""),"",MAX(1,(YEAR($I239)-YEAR($H239))*12+MONTH($I239)-MONTH($H239)+1))</f>
        <v/>
      </c>
      <c r="K239" s="63">
        <f>IF($J239="","",$G239/$J239)</f>
        <v/>
      </c>
      <c r="L239" s="63">
        <f>IF($J239="",0,$K239*MAX(0,MIN(YEAR($C$3)*12+MONTH($C$3),YEAR($I239)*12+MONTH($I239))-(YEAR($H239)*12+MONTH($H239))+1))</f>
        <v/>
      </c>
      <c r="M239" s="63">
        <f>IF($J239="",0,$K239*MAX(0,MIN(YEAR($C$3)*12+MONTH($C$3)-1,YEAR($I239)*12+MONTH($I239))-(YEAR($H239)*12+MONTH($H239))+1))</f>
        <v/>
      </c>
      <c r="N239" s="63">
        <f>IF(OR($J239="",$B239=""),0,IF(YEAR($B239)*12+MONTH($B239)&lt;=YEAR($C$3)*12+MONTH($C$3),$G239,0))</f>
        <v/>
      </c>
      <c r="O239" s="63">
        <f>IF(OR($J239="",$B239=""),0,IF(YEAR($B239)*12+MONTH($B239)&lt;=YEAR($C$3)*12+MONTH($C$3)-1,$G239,0))</f>
        <v/>
      </c>
      <c r="P239" s="63">
        <f>$M239-$O239</f>
        <v/>
      </c>
      <c r="Q239" s="63">
        <f>($L239-$M239)-($N239-$O239)</f>
        <v/>
      </c>
      <c r="R239" s="63">
        <f>$L239-$N239</f>
        <v/>
      </c>
    </row>
    <row r="240">
      <c r="A240" s="60">
        <f>ROW()-5</f>
        <v/>
      </c>
      <c r="B240" s="61">
        <f>IFERROR(INDEX(tbl_Finance[Date],$A240),"")</f>
        <v/>
      </c>
      <c r="C240" s="62">
        <f>IFERROR(INDEX(tbl_Finance[Xero Invoice No],$A240),"")</f>
        <v/>
      </c>
      <c r="D240" s="62">
        <f>IFERROR(INDEX(tbl_Finance[Client],$A240),"")</f>
        <v/>
      </c>
      <c r="E240" s="62">
        <f>IFERROR(INDEX(tbl_Finance[Job Number],$A240),"")</f>
        <v/>
      </c>
      <c r="F240" s="62">
        <f>IFERROR(INDEX(tbl_Finance[Cost Centre],$A240),"")</f>
        <v/>
      </c>
      <c r="G240" s="63">
        <f>IFERROR(INDEX(tbl_Finance[Ex GST],$A240),"")</f>
        <v/>
      </c>
      <c r="H240" s="61">
        <f>IFERROR(INDEX(tbl_Finance[Defer Start],$A240),"")</f>
        <v/>
      </c>
      <c r="I240" s="61">
        <f>IFERROR(INDEX(tbl_Finance[Defer End],$A240),"")</f>
        <v/>
      </c>
      <c r="J240" s="60">
        <f>IF(OR($H240="",$I240="",$G240=""),"",MAX(1,(YEAR($I240)-YEAR($H240))*12+MONTH($I240)-MONTH($H240)+1))</f>
        <v/>
      </c>
      <c r="K240" s="63">
        <f>IF($J240="","",$G240/$J240)</f>
        <v/>
      </c>
      <c r="L240" s="63">
        <f>IF($J240="",0,$K240*MAX(0,MIN(YEAR($C$3)*12+MONTH($C$3),YEAR($I240)*12+MONTH($I240))-(YEAR($H240)*12+MONTH($H240))+1))</f>
        <v/>
      </c>
      <c r="M240" s="63">
        <f>IF($J240="",0,$K240*MAX(0,MIN(YEAR($C$3)*12+MONTH($C$3)-1,YEAR($I240)*12+MONTH($I240))-(YEAR($H240)*12+MONTH($H240))+1))</f>
        <v/>
      </c>
      <c r="N240" s="63">
        <f>IF(OR($J240="",$B240=""),0,IF(YEAR($B240)*12+MONTH($B240)&lt;=YEAR($C$3)*12+MONTH($C$3),$G240,0))</f>
        <v/>
      </c>
      <c r="O240" s="63">
        <f>IF(OR($J240="",$B240=""),0,IF(YEAR($B240)*12+MONTH($B240)&lt;=YEAR($C$3)*12+MONTH($C$3)-1,$G240,0))</f>
        <v/>
      </c>
      <c r="P240" s="63">
        <f>$M240-$O240</f>
        <v/>
      </c>
      <c r="Q240" s="63">
        <f>($L240-$M240)-($N240-$O240)</f>
        <v/>
      </c>
      <c r="R240" s="63">
        <f>$L240-$N240</f>
        <v/>
      </c>
    </row>
    <row r="241">
      <c r="A241" s="60">
        <f>ROW()-5</f>
        <v/>
      </c>
      <c r="B241" s="61">
        <f>IFERROR(INDEX(tbl_Finance[Date],$A241),"")</f>
        <v/>
      </c>
      <c r="C241" s="62">
        <f>IFERROR(INDEX(tbl_Finance[Xero Invoice No],$A241),"")</f>
        <v/>
      </c>
      <c r="D241" s="62">
        <f>IFERROR(INDEX(tbl_Finance[Client],$A241),"")</f>
        <v/>
      </c>
      <c r="E241" s="62">
        <f>IFERROR(INDEX(tbl_Finance[Job Number],$A241),"")</f>
        <v/>
      </c>
      <c r="F241" s="62">
        <f>IFERROR(INDEX(tbl_Finance[Cost Centre],$A241),"")</f>
        <v/>
      </c>
      <c r="G241" s="63">
        <f>IFERROR(INDEX(tbl_Finance[Ex GST],$A241),"")</f>
        <v/>
      </c>
      <c r="H241" s="61">
        <f>IFERROR(INDEX(tbl_Finance[Defer Start],$A241),"")</f>
        <v/>
      </c>
      <c r="I241" s="61">
        <f>IFERROR(INDEX(tbl_Finance[Defer End],$A241),"")</f>
        <v/>
      </c>
      <c r="J241" s="60">
        <f>IF(OR($H241="",$I241="",$G241=""),"",MAX(1,(YEAR($I241)-YEAR($H241))*12+MONTH($I241)-MONTH($H241)+1))</f>
        <v/>
      </c>
      <c r="K241" s="63">
        <f>IF($J241="","",$G241/$J241)</f>
        <v/>
      </c>
      <c r="L241" s="63">
        <f>IF($J241="",0,$K241*MAX(0,MIN(YEAR($C$3)*12+MONTH($C$3),YEAR($I241)*12+MONTH($I241))-(YEAR($H241)*12+MONTH($H241))+1))</f>
        <v/>
      </c>
      <c r="M241" s="63">
        <f>IF($J241="",0,$K241*MAX(0,MIN(YEAR($C$3)*12+MONTH($C$3)-1,YEAR($I241)*12+MONTH($I241))-(YEAR($H241)*12+MONTH($H241))+1))</f>
        <v/>
      </c>
      <c r="N241" s="63">
        <f>IF(OR($J241="",$B241=""),0,IF(YEAR($B241)*12+MONTH($B241)&lt;=YEAR($C$3)*12+MONTH($C$3),$G241,0))</f>
        <v/>
      </c>
      <c r="O241" s="63">
        <f>IF(OR($J241="",$B241=""),0,IF(YEAR($B241)*12+MONTH($B241)&lt;=YEAR($C$3)*12+MONTH($C$3)-1,$G241,0))</f>
        <v/>
      </c>
      <c r="P241" s="63">
        <f>$M241-$O241</f>
        <v/>
      </c>
      <c r="Q241" s="63">
        <f>($L241-$M241)-($N241-$O241)</f>
        <v/>
      </c>
      <c r="R241" s="63">
        <f>$L241-$N241</f>
        <v/>
      </c>
    </row>
    <row r="242">
      <c r="A242" s="60">
        <f>ROW()-5</f>
        <v/>
      </c>
      <c r="B242" s="61">
        <f>IFERROR(INDEX(tbl_Finance[Date],$A242),"")</f>
        <v/>
      </c>
      <c r="C242" s="62">
        <f>IFERROR(INDEX(tbl_Finance[Xero Invoice No],$A242),"")</f>
        <v/>
      </c>
      <c r="D242" s="62">
        <f>IFERROR(INDEX(tbl_Finance[Client],$A242),"")</f>
        <v/>
      </c>
      <c r="E242" s="62">
        <f>IFERROR(INDEX(tbl_Finance[Job Number],$A242),"")</f>
        <v/>
      </c>
      <c r="F242" s="62">
        <f>IFERROR(INDEX(tbl_Finance[Cost Centre],$A242),"")</f>
        <v/>
      </c>
      <c r="G242" s="63">
        <f>IFERROR(INDEX(tbl_Finance[Ex GST],$A242),"")</f>
        <v/>
      </c>
      <c r="H242" s="61">
        <f>IFERROR(INDEX(tbl_Finance[Defer Start],$A242),"")</f>
        <v/>
      </c>
      <c r="I242" s="61">
        <f>IFERROR(INDEX(tbl_Finance[Defer End],$A242),"")</f>
        <v/>
      </c>
      <c r="J242" s="60">
        <f>IF(OR($H242="",$I242="",$G242=""),"",MAX(1,(YEAR($I242)-YEAR($H242))*12+MONTH($I242)-MONTH($H242)+1))</f>
        <v/>
      </c>
      <c r="K242" s="63">
        <f>IF($J242="","",$G242/$J242)</f>
        <v/>
      </c>
      <c r="L242" s="63">
        <f>IF($J242="",0,$K242*MAX(0,MIN(YEAR($C$3)*12+MONTH($C$3),YEAR($I242)*12+MONTH($I242))-(YEAR($H242)*12+MONTH($H242))+1))</f>
        <v/>
      </c>
      <c r="M242" s="63">
        <f>IF($J242="",0,$K242*MAX(0,MIN(YEAR($C$3)*12+MONTH($C$3)-1,YEAR($I242)*12+MONTH($I242))-(YEAR($H242)*12+MONTH($H242))+1))</f>
        <v/>
      </c>
      <c r="N242" s="63">
        <f>IF(OR($J242="",$B242=""),0,IF(YEAR($B242)*12+MONTH($B242)&lt;=YEAR($C$3)*12+MONTH($C$3),$G242,0))</f>
        <v/>
      </c>
      <c r="O242" s="63">
        <f>IF(OR($J242="",$B242=""),0,IF(YEAR($B242)*12+MONTH($B242)&lt;=YEAR($C$3)*12+MONTH($C$3)-1,$G242,0))</f>
        <v/>
      </c>
      <c r="P242" s="63">
        <f>$M242-$O242</f>
        <v/>
      </c>
      <c r="Q242" s="63">
        <f>($L242-$M242)-($N242-$O242)</f>
        <v/>
      </c>
      <c r="R242" s="63">
        <f>$L242-$N242</f>
        <v/>
      </c>
    </row>
    <row r="243">
      <c r="A243" s="60">
        <f>ROW()-5</f>
        <v/>
      </c>
      <c r="B243" s="61">
        <f>IFERROR(INDEX(tbl_Finance[Date],$A243),"")</f>
        <v/>
      </c>
      <c r="C243" s="62">
        <f>IFERROR(INDEX(tbl_Finance[Xero Invoice No],$A243),"")</f>
        <v/>
      </c>
      <c r="D243" s="62">
        <f>IFERROR(INDEX(tbl_Finance[Client],$A243),"")</f>
        <v/>
      </c>
      <c r="E243" s="62">
        <f>IFERROR(INDEX(tbl_Finance[Job Number],$A243),"")</f>
        <v/>
      </c>
      <c r="F243" s="62">
        <f>IFERROR(INDEX(tbl_Finance[Cost Centre],$A243),"")</f>
        <v/>
      </c>
      <c r="G243" s="63">
        <f>IFERROR(INDEX(tbl_Finance[Ex GST],$A243),"")</f>
        <v/>
      </c>
      <c r="H243" s="61">
        <f>IFERROR(INDEX(tbl_Finance[Defer Start],$A243),"")</f>
        <v/>
      </c>
      <c r="I243" s="61">
        <f>IFERROR(INDEX(tbl_Finance[Defer End],$A243),"")</f>
        <v/>
      </c>
      <c r="J243" s="60">
        <f>IF(OR($H243="",$I243="",$G243=""),"",MAX(1,(YEAR($I243)-YEAR($H243))*12+MONTH($I243)-MONTH($H243)+1))</f>
        <v/>
      </c>
      <c r="K243" s="63">
        <f>IF($J243="","",$G243/$J243)</f>
        <v/>
      </c>
      <c r="L243" s="63">
        <f>IF($J243="",0,$K243*MAX(0,MIN(YEAR($C$3)*12+MONTH($C$3),YEAR($I243)*12+MONTH($I243))-(YEAR($H243)*12+MONTH($H243))+1))</f>
        <v/>
      </c>
      <c r="M243" s="63">
        <f>IF($J243="",0,$K243*MAX(0,MIN(YEAR($C$3)*12+MONTH($C$3)-1,YEAR($I243)*12+MONTH($I243))-(YEAR($H243)*12+MONTH($H243))+1))</f>
        <v/>
      </c>
      <c r="N243" s="63">
        <f>IF(OR($J243="",$B243=""),0,IF(YEAR($B243)*12+MONTH($B243)&lt;=YEAR($C$3)*12+MONTH($C$3),$G243,0))</f>
        <v/>
      </c>
      <c r="O243" s="63">
        <f>IF(OR($J243="",$B243=""),0,IF(YEAR($B243)*12+MONTH($B243)&lt;=YEAR($C$3)*12+MONTH($C$3)-1,$G243,0))</f>
        <v/>
      </c>
      <c r="P243" s="63">
        <f>$M243-$O243</f>
        <v/>
      </c>
      <c r="Q243" s="63">
        <f>($L243-$M243)-($N243-$O243)</f>
        <v/>
      </c>
      <c r="R243" s="63">
        <f>$L243-$N243</f>
        <v/>
      </c>
    </row>
    <row r="244">
      <c r="A244" s="60">
        <f>ROW()-5</f>
        <v/>
      </c>
      <c r="B244" s="61">
        <f>IFERROR(INDEX(tbl_Finance[Date],$A244),"")</f>
        <v/>
      </c>
      <c r="C244" s="62">
        <f>IFERROR(INDEX(tbl_Finance[Xero Invoice No],$A244),"")</f>
        <v/>
      </c>
      <c r="D244" s="62">
        <f>IFERROR(INDEX(tbl_Finance[Client],$A244),"")</f>
        <v/>
      </c>
      <c r="E244" s="62">
        <f>IFERROR(INDEX(tbl_Finance[Job Number],$A244),"")</f>
        <v/>
      </c>
      <c r="F244" s="62">
        <f>IFERROR(INDEX(tbl_Finance[Cost Centre],$A244),"")</f>
        <v/>
      </c>
      <c r="G244" s="63">
        <f>IFERROR(INDEX(tbl_Finance[Ex GST],$A244),"")</f>
        <v/>
      </c>
      <c r="H244" s="61">
        <f>IFERROR(INDEX(tbl_Finance[Defer Start],$A244),"")</f>
        <v/>
      </c>
      <c r="I244" s="61">
        <f>IFERROR(INDEX(tbl_Finance[Defer End],$A244),"")</f>
        <v/>
      </c>
      <c r="J244" s="60">
        <f>IF(OR($H244="",$I244="",$G244=""),"",MAX(1,(YEAR($I244)-YEAR($H244))*12+MONTH($I244)-MONTH($H244)+1))</f>
        <v/>
      </c>
      <c r="K244" s="63">
        <f>IF($J244="","",$G244/$J244)</f>
        <v/>
      </c>
      <c r="L244" s="63">
        <f>IF($J244="",0,$K244*MAX(0,MIN(YEAR($C$3)*12+MONTH($C$3),YEAR($I244)*12+MONTH($I244))-(YEAR($H244)*12+MONTH($H244))+1))</f>
        <v/>
      </c>
      <c r="M244" s="63">
        <f>IF($J244="",0,$K244*MAX(0,MIN(YEAR($C$3)*12+MONTH($C$3)-1,YEAR($I244)*12+MONTH($I244))-(YEAR($H244)*12+MONTH($H244))+1))</f>
        <v/>
      </c>
      <c r="N244" s="63">
        <f>IF(OR($J244="",$B244=""),0,IF(YEAR($B244)*12+MONTH($B244)&lt;=YEAR($C$3)*12+MONTH($C$3),$G244,0))</f>
        <v/>
      </c>
      <c r="O244" s="63">
        <f>IF(OR($J244="",$B244=""),0,IF(YEAR($B244)*12+MONTH($B244)&lt;=YEAR($C$3)*12+MONTH($C$3)-1,$G244,0))</f>
        <v/>
      </c>
      <c r="P244" s="63">
        <f>$M244-$O244</f>
        <v/>
      </c>
      <c r="Q244" s="63">
        <f>($L244-$M244)-($N244-$O244)</f>
        <v/>
      </c>
      <c r="R244" s="63">
        <f>$L244-$N244</f>
        <v/>
      </c>
    </row>
    <row r="245">
      <c r="A245" s="60">
        <f>ROW()-5</f>
        <v/>
      </c>
      <c r="B245" s="61">
        <f>IFERROR(INDEX(tbl_Finance[Date],$A245),"")</f>
        <v/>
      </c>
      <c r="C245" s="62">
        <f>IFERROR(INDEX(tbl_Finance[Xero Invoice No],$A245),"")</f>
        <v/>
      </c>
      <c r="D245" s="62">
        <f>IFERROR(INDEX(tbl_Finance[Client],$A245),"")</f>
        <v/>
      </c>
      <c r="E245" s="62">
        <f>IFERROR(INDEX(tbl_Finance[Job Number],$A245),"")</f>
        <v/>
      </c>
      <c r="F245" s="62">
        <f>IFERROR(INDEX(tbl_Finance[Cost Centre],$A245),"")</f>
        <v/>
      </c>
      <c r="G245" s="63">
        <f>IFERROR(INDEX(tbl_Finance[Ex GST],$A245),"")</f>
        <v/>
      </c>
      <c r="H245" s="61">
        <f>IFERROR(INDEX(tbl_Finance[Defer Start],$A245),"")</f>
        <v/>
      </c>
      <c r="I245" s="61">
        <f>IFERROR(INDEX(tbl_Finance[Defer End],$A245),"")</f>
        <v/>
      </c>
      <c r="J245" s="60">
        <f>IF(OR($H245="",$I245="",$G245=""),"",MAX(1,(YEAR($I245)-YEAR($H245))*12+MONTH($I245)-MONTH($H245)+1))</f>
        <v/>
      </c>
      <c r="K245" s="63">
        <f>IF($J245="","",$G245/$J245)</f>
        <v/>
      </c>
      <c r="L245" s="63">
        <f>IF($J245="",0,$K245*MAX(0,MIN(YEAR($C$3)*12+MONTH($C$3),YEAR($I245)*12+MONTH($I245))-(YEAR($H245)*12+MONTH($H245))+1))</f>
        <v/>
      </c>
      <c r="M245" s="63">
        <f>IF($J245="",0,$K245*MAX(0,MIN(YEAR($C$3)*12+MONTH($C$3)-1,YEAR($I245)*12+MONTH($I245))-(YEAR($H245)*12+MONTH($H245))+1))</f>
        <v/>
      </c>
      <c r="N245" s="63">
        <f>IF(OR($J245="",$B245=""),0,IF(YEAR($B245)*12+MONTH($B245)&lt;=YEAR($C$3)*12+MONTH($C$3),$G245,0))</f>
        <v/>
      </c>
      <c r="O245" s="63">
        <f>IF(OR($J245="",$B245=""),0,IF(YEAR($B245)*12+MONTH($B245)&lt;=YEAR($C$3)*12+MONTH($C$3)-1,$G245,0))</f>
        <v/>
      </c>
      <c r="P245" s="63">
        <f>$M245-$O245</f>
        <v/>
      </c>
      <c r="Q245" s="63">
        <f>($L245-$M245)-($N245-$O245)</f>
        <v/>
      </c>
      <c r="R245" s="63">
        <f>$L245-$N245</f>
        <v/>
      </c>
    </row>
    <row r="246">
      <c r="A246" s="60">
        <f>ROW()-5</f>
        <v/>
      </c>
      <c r="B246" s="61">
        <f>IFERROR(INDEX(tbl_Finance[Date],$A246),"")</f>
        <v/>
      </c>
      <c r="C246" s="62">
        <f>IFERROR(INDEX(tbl_Finance[Xero Invoice No],$A246),"")</f>
        <v/>
      </c>
      <c r="D246" s="62">
        <f>IFERROR(INDEX(tbl_Finance[Client],$A246),"")</f>
        <v/>
      </c>
      <c r="E246" s="62">
        <f>IFERROR(INDEX(tbl_Finance[Job Number],$A246),"")</f>
        <v/>
      </c>
      <c r="F246" s="62">
        <f>IFERROR(INDEX(tbl_Finance[Cost Centre],$A246),"")</f>
        <v/>
      </c>
      <c r="G246" s="63">
        <f>IFERROR(INDEX(tbl_Finance[Ex GST],$A246),"")</f>
        <v/>
      </c>
      <c r="H246" s="61">
        <f>IFERROR(INDEX(tbl_Finance[Defer Start],$A246),"")</f>
        <v/>
      </c>
      <c r="I246" s="61">
        <f>IFERROR(INDEX(tbl_Finance[Defer End],$A246),"")</f>
        <v/>
      </c>
      <c r="J246" s="60">
        <f>IF(OR($H246="",$I246="",$G246=""),"",MAX(1,(YEAR($I246)-YEAR($H246))*12+MONTH($I246)-MONTH($H246)+1))</f>
        <v/>
      </c>
      <c r="K246" s="63">
        <f>IF($J246="","",$G246/$J246)</f>
        <v/>
      </c>
      <c r="L246" s="63">
        <f>IF($J246="",0,$K246*MAX(0,MIN(YEAR($C$3)*12+MONTH($C$3),YEAR($I246)*12+MONTH($I246))-(YEAR($H246)*12+MONTH($H246))+1))</f>
        <v/>
      </c>
      <c r="M246" s="63">
        <f>IF($J246="",0,$K246*MAX(0,MIN(YEAR($C$3)*12+MONTH($C$3)-1,YEAR($I246)*12+MONTH($I246))-(YEAR($H246)*12+MONTH($H246))+1))</f>
        <v/>
      </c>
      <c r="N246" s="63">
        <f>IF(OR($J246="",$B246=""),0,IF(YEAR($B246)*12+MONTH($B246)&lt;=YEAR($C$3)*12+MONTH($C$3),$G246,0))</f>
        <v/>
      </c>
      <c r="O246" s="63">
        <f>IF(OR($J246="",$B246=""),0,IF(YEAR($B246)*12+MONTH($B246)&lt;=YEAR($C$3)*12+MONTH($C$3)-1,$G246,0))</f>
        <v/>
      </c>
      <c r="P246" s="63">
        <f>$M246-$O246</f>
        <v/>
      </c>
      <c r="Q246" s="63">
        <f>($L246-$M246)-($N246-$O246)</f>
        <v/>
      </c>
      <c r="R246" s="63">
        <f>$L246-$N246</f>
        <v/>
      </c>
    </row>
    <row r="247">
      <c r="A247" s="60">
        <f>ROW()-5</f>
        <v/>
      </c>
      <c r="B247" s="61">
        <f>IFERROR(INDEX(tbl_Finance[Date],$A247),"")</f>
        <v/>
      </c>
      <c r="C247" s="62">
        <f>IFERROR(INDEX(tbl_Finance[Xero Invoice No],$A247),"")</f>
        <v/>
      </c>
      <c r="D247" s="62">
        <f>IFERROR(INDEX(tbl_Finance[Client],$A247),"")</f>
        <v/>
      </c>
      <c r="E247" s="62">
        <f>IFERROR(INDEX(tbl_Finance[Job Number],$A247),"")</f>
        <v/>
      </c>
      <c r="F247" s="62">
        <f>IFERROR(INDEX(tbl_Finance[Cost Centre],$A247),"")</f>
        <v/>
      </c>
      <c r="G247" s="63">
        <f>IFERROR(INDEX(tbl_Finance[Ex GST],$A247),"")</f>
        <v/>
      </c>
      <c r="H247" s="61">
        <f>IFERROR(INDEX(tbl_Finance[Defer Start],$A247),"")</f>
        <v/>
      </c>
      <c r="I247" s="61">
        <f>IFERROR(INDEX(tbl_Finance[Defer End],$A247),"")</f>
        <v/>
      </c>
      <c r="J247" s="60">
        <f>IF(OR($H247="",$I247="",$G247=""),"",MAX(1,(YEAR($I247)-YEAR($H247))*12+MONTH($I247)-MONTH($H247)+1))</f>
        <v/>
      </c>
      <c r="K247" s="63">
        <f>IF($J247="","",$G247/$J247)</f>
        <v/>
      </c>
      <c r="L247" s="63">
        <f>IF($J247="",0,$K247*MAX(0,MIN(YEAR($C$3)*12+MONTH($C$3),YEAR($I247)*12+MONTH($I247))-(YEAR($H247)*12+MONTH($H247))+1))</f>
        <v/>
      </c>
      <c r="M247" s="63">
        <f>IF($J247="",0,$K247*MAX(0,MIN(YEAR($C$3)*12+MONTH($C$3)-1,YEAR($I247)*12+MONTH($I247))-(YEAR($H247)*12+MONTH($H247))+1))</f>
        <v/>
      </c>
      <c r="N247" s="63">
        <f>IF(OR($J247="",$B247=""),0,IF(YEAR($B247)*12+MONTH($B247)&lt;=YEAR($C$3)*12+MONTH($C$3),$G247,0))</f>
        <v/>
      </c>
      <c r="O247" s="63">
        <f>IF(OR($J247="",$B247=""),0,IF(YEAR($B247)*12+MONTH($B247)&lt;=YEAR($C$3)*12+MONTH($C$3)-1,$G247,0))</f>
        <v/>
      </c>
      <c r="P247" s="63">
        <f>$M247-$O247</f>
        <v/>
      </c>
      <c r="Q247" s="63">
        <f>($L247-$M247)-($N247-$O247)</f>
        <v/>
      </c>
      <c r="R247" s="63">
        <f>$L247-$N247</f>
        <v/>
      </c>
    </row>
    <row r="248">
      <c r="A248" s="60">
        <f>ROW()-5</f>
        <v/>
      </c>
      <c r="B248" s="61">
        <f>IFERROR(INDEX(tbl_Finance[Date],$A248),"")</f>
        <v/>
      </c>
      <c r="C248" s="62">
        <f>IFERROR(INDEX(tbl_Finance[Xero Invoice No],$A248),"")</f>
        <v/>
      </c>
      <c r="D248" s="62">
        <f>IFERROR(INDEX(tbl_Finance[Client],$A248),"")</f>
        <v/>
      </c>
      <c r="E248" s="62">
        <f>IFERROR(INDEX(tbl_Finance[Job Number],$A248),"")</f>
        <v/>
      </c>
      <c r="F248" s="62">
        <f>IFERROR(INDEX(tbl_Finance[Cost Centre],$A248),"")</f>
        <v/>
      </c>
      <c r="G248" s="63">
        <f>IFERROR(INDEX(tbl_Finance[Ex GST],$A248),"")</f>
        <v/>
      </c>
      <c r="H248" s="61">
        <f>IFERROR(INDEX(tbl_Finance[Defer Start],$A248),"")</f>
        <v/>
      </c>
      <c r="I248" s="61">
        <f>IFERROR(INDEX(tbl_Finance[Defer End],$A248),"")</f>
        <v/>
      </c>
      <c r="J248" s="60">
        <f>IF(OR($H248="",$I248="",$G248=""),"",MAX(1,(YEAR($I248)-YEAR($H248))*12+MONTH($I248)-MONTH($H248)+1))</f>
        <v/>
      </c>
      <c r="K248" s="63">
        <f>IF($J248="","",$G248/$J248)</f>
        <v/>
      </c>
      <c r="L248" s="63">
        <f>IF($J248="",0,$K248*MAX(0,MIN(YEAR($C$3)*12+MONTH($C$3),YEAR($I248)*12+MONTH($I248))-(YEAR($H248)*12+MONTH($H248))+1))</f>
        <v/>
      </c>
      <c r="M248" s="63">
        <f>IF($J248="",0,$K248*MAX(0,MIN(YEAR($C$3)*12+MONTH($C$3)-1,YEAR($I248)*12+MONTH($I248))-(YEAR($H248)*12+MONTH($H248))+1))</f>
        <v/>
      </c>
      <c r="N248" s="63">
        <f>IF(OR($J248="",$B248=""),0,IF(YEAR($B248)*12+MONTH($B248)&lt;=YEAR($C$3)*12+MONTH($C$3),$G248,0))</f>
        <v/>
      </c>
      <c r="O248" s="63">
        <f>IF(OR($J248="",$B248=""),0,IF(YEAR($B248)*12+MONTH($B248)&lt;=YEAR($C$3)*12+MONTH($C$3)-1,$G248,0))</f>
        <v/>
      </c>
      <c r="P248" s="63">
        <f>$M248-$O248</f>
        <v/>
      </c>
      <c r="Q248" s="63">
        <f>($L248-$M248)-($N248-$O248)</f>
        <v/>
      </c>
      <c r="R248" s="63">
        <f>$L248-$N248</f>
        <v/>
      </c>
    </row>
    <row r="249">
      <c r="A249" s="60">
        <f>ROW()-5</f>
        <v/>
      </c>
      <c r="B249" s="61">
        <f>IFERROR(INDEX(tbl_Finance[Date],$A249),"")</f>
        <v/>
      </c>
      <c r="C249" s="62">
        <f>IFERROR(INDEX(tbl_Finance[Xero Invoice No],$A249),"")</f>
        <v/>
      </c>
      <c r="D249" s="62">
        <f>IFERROR(INDEX(tbl_Finance[Client],$A249),"")</f>
        <v/>
      </c>
      <c r="E249" s="62">
        <f>IFERROR(INDEX(tbl_Finance[Job Number],$A249),"")</f>
        <v/>
      </c>
      <c r="F249" s="62">
        <f>IFERROR(INDEX(tbl_Finance[Cost Centre],$A249),"")</f>
        <v/>
      </c>
      <c r="G249" s="63">
        <f>IFERROR(INDEX(tbl_Finance[Ex GST],$A249),"")</f>
        <v/>
      </c>
      <c r="H249" s="61">
        <f>IFERROR(INDEX(tbl_Finance[Defer Start],$A249),"")</f>
        <v/>
      </c>
      <c r="I249" s="61">
        <f>IFERROR(INDEX(tbl_Finance[Defer End],$A249),"")</f>
        <v/>
      </c>
      <c r="J249" s="60">
        <f>IF(OR($H249="",$I249="",$G249=""),"",MAX(1,(YEAR($I249)-YEAR($H249))*12+MONTH($I249)-MONTH($H249)+1))</f>
        <v/>
      </c>
      <c r="K249" s="63">
        <f>IF($J249="","",$G249/$J249)</f>
        <v/>
      </c>
      <c r="L249" s="63">
        <f>IF($J249="",0,$K249*MAX(0,MIN(YEAR($C$3)*12+MONTH($C$3),YEAR($I249)*12+MONTH($I249))-(YEAR($H249)*12+MONTH($H249))+1))</f>
        <v/>
      </c>
      <c r="M249" s="63">
        <f>IF($J249="",0,$K249*MAX(0,MIN(YEAR($C$3)*12+MONTH($C$3)-1,YEAR($I249)*12+MONTH($I249))-(YEAR($H249)*12+MONTH($H249))+1))</f>
        <v/>
      </c>
      <c r="N249" s="63">
        <f>IF(OR($J249="",$B249=""),0,IF(YEAR($B249)*12+MONTH($B249)&lt;=YEAR($C$3)*12+MONTH($C$3),$G249,0))</f>
        <v/>
      </c>
      <c r="O249" s="63">
        <f>IF(OR($J249="",$B249=""),0,IF(YEAR($B249)*12+MONTH($B249)&lt;=YEAR($C$3)*12+MONTH($C$3)-1,$G249,0))</f>
        <v/>
      </c>
      <c r="P249" s="63">
        <f>$M249-$O249</f>
        <v/>
      </c>
      <c r="Q249" s="63">
        <f>($L249-$M249)-($N249-$O249)</f>
        <v/>
      </c>
      <c r="R249" s="63">
        <f>$L249-$N249</f>
        <v/>
      </c>
    </row>
    <row r="250">
      <c r="A250" s="60">
        <f>ROW()-5</f>
        <v/>
      </c>
      <c r="B250" s="61">
        <f>IFERROR(INDEX(tbl_Finance[Date],$A250),"")</f>
        <v/>
      </c>
      <c r="C250" s="62">
        <f>IFERROR(INDEX(tbl_Finance[Xero Invoice No],$A250),"")</f>
        <v/>
      </c>
      <c r="D250" s="62">
        <f>IFERROR(INDEX(tbl_Finance[Client],$A250),"")</f>
        <v/>
      </c>
      <c r="E250" s="62">
        <f>IFERROR(INDEX(tbl_Finance[Job Number],$A250),"")</f>
        <v/>
      </c>
      <c r="F250" s="62">
        <f>IFERROR(INDEX(tbl_Finance[Cost Centre],$A250),"")</f>
        <v/>
      </c>
      <c r="G250" s="63">
        <f>IFERROR(INDEX(tbl_Finance[Ex GST],$A250),"")</f>
        <v/>
      </c>
      <c r="H250" s="61">
        <f>IFERROR(INDEX(tbl_Finance[Defer Start],$A250),"")</f>
        <v/>
      </c>
      <c r="I250" s="61">
        <f>IFERROR(INDEX(tbl_Finance[Defer End],$A250),"")</f>
        <v/>
      </c>
      <c r="J250" s="60">
        <f>IF(OR($H250="",$I250="",$G250=""),"",MAX(1,(YEAR($I250)-YEAR($H250))*12+MONTH($I250)-MONTH($H250)+1))</f>
        <v/>
      </c>
      <c r="K250" s="63">
        <f>IF($J250="","",$G250/$J250)</f>
        <v/>
      </c>
      <c r="L250" s="63">
        <f>IF($J250="",0,$K250*MAX(0,MIN(YEAR($C$3)*12+MONTH($C$3),YEAR($I250)*12+MONTH($I250))-(YEAR($H250)*12+MONTH($H250))+1))</f>
        <v/>
      </c>
      <c r="M250" s="63">
        <f>IF($J250="",0,$K250*MAX(0,MIN(YEAR($C$3)*12+MONTH($C$3)-1,YEAR($I250)*12+MONTH($I250))-(YEAR($H250)*12+MONTH($H250))+1))</f>
        <v/>
      </c>
      <c r="N250" s="63">
        <f>IF(OR($J250="",$B250=""),0,IF(YEAR($B250)*12+MONTH($B250)&lt;=YEAR($C$3)*12+MONTH($C$3),$G250,0))</f>
        <v/>
      </c>
      <c r="O250" s="63">
        <f>IF(OR($J250="",$B250=""),0,IF(YEAR($B250)*12+MONTH($B250)&lt;=YEAR($C$3)*12+MONTH($C$3)-1,$G250,0))</f>
        <v/>
      </c>
      <c r="P250" s="63">
        <f>$M250-$O250</f>
        <v/>
      </c>
      <c r="Q250" s="63">
        <f>($L250-$M250)-($N250-$O250)</f>
        <v/>
      </c>
      <c r="R250" s="63">
        <f>$L250-$N250</f>
        <v/>
      </c>
    </row>
    <row r="251">
      <c r="A251" s="60">
        <f>ROW()-5</f>
        <v/>
      </c>
      <c r="B251" s="61">
        <f>IFERROR(INDEX(tbl_Finance[Date],$A251),"")</f>
        <v/>
      </c>
      <c r="C251" s="62">
        <f>IFERROR(INDEX(tbl_Finance[Xero Invoice No],$A251),"")</f>
        <v/>
      </c>
      <c r="D251" s="62">
        <f>IFERROR(INDEX(tbl_Finance[Client],$A251),"")</f>
        <v/>
      </c>
      <c r="E251" s="62">
        <f>IFERROR(INDEX(tbl_Finance[Job Number],$A251),"")</f>
        <v/>
      </c>
      <c r="F251" s="62">
        <f>IFERROR(INDEX(tbl_Finance[Cost Centre],$A251),"")</f>
        <v/>
      </c>
      <c r="G251" s="63">
        <f>IFERROR(INDEX(tbl_Finance[Ex GST],$A251),"")</f>
        <v/>
      </c>
      <c r="H251" s="61">
        <f>IFERROR(INDEX(tbl_Finance[Defer Start],$A251),"")</f>
        <v/>
      </c>
      <c r="I251" s="61">
        <f>IFERROR(INDEX(tbl_Finance[Defer End],$A251),"")</f>
        <v/>
      </c>
      <c r="J251" s="60">
        <f>IF(OR($H251="",$I251="",$G251=""),"",MAX(1,(YEAR($I251)-YEAR($H251))*12+MONTH($I251)-MONTH($H251)+1))</f>
        <v/>
      </c>
      <c r="K251" s="63">
        <f>IF($J251="","",$G251/$J251)</f>
        <v/>
      </c>
      <c r="L251" s="63">
        <f>IF($J251="",0,$K251*MAX(0,MIN(YEAR($C$3)*12+MONTH($C$3),YEAR($I251)*12+MONTH($I251))-(YEAR($H251)*12+MONTH($H251))+1))</f>
        <v/>
      </c>
      <c r="M251" s="63">
        <f>IF($J251="",0,$K251*MAX(0,MIN(YEAR($C$3)*12+MONTH($C$3)-1,YEAR($I251)*12+MONTH($I251))-(YEAR($H251)*12+MONTH($H251))+1))</f>
        <v/>
      </c>
      <c r="N251" s="63">
        <f>IF(OR($J251="",$B251=""),0,IF(YEAR($B251)*12+MONTH($B251)&lt;=YEAR($C$3)*12+MONTH($C$3),$G251,0))</f>
        <v/>
      </c>
      <c r="O251" s="63">
        <f>IF(OR($J251="",$B251=""),0,IF(YEAR($B251)*12+MONTH($B251)&lt;=YEAR($C$3)*12+MONTH($C$3)-1,$G251,0))</f>
        <v/>
      </c>
      <c r="P251" s="63">
        <f>$M251-$O251</f>
        <v/>
      </c>
      <c r="Q251" s="63">
        <f>($L251-$M251)-($N251-$O251)</f>
        <v/>
      </c>
      <c r="R251" s="63">
        <f>$L251-$N251</f>
        <v/>
      </c>
    </row>
    <row r="252">
      <c r="A252" s="60">
        <f>ROW()-5</f>
        <v/>
      </c>
      <c r="B252" s="61">
        <f>IFERROR(INDEX(tbl_Finance[Date],$A252),"")</f>
        <v/>
      </c>
      <c r="C252" s="62">
        <f>IFERROR(INDEX(tbl_Finance[Xero Invoice No],$A252),"")</f>
        <v/>
      </c>
      <c r="D252" s="62">
        <f>IFERROR(INDEX(tbl_Finance[Client],$A252),"")</f>
        <v/>
      </c>
      <c r="E252" s="62">
        <f>IFERROR(INDEX(tbl_Finance[Job Number],$A252),"")</f>
        <v/>
      </c>
      <c r="F252" s="62">
        <f>IFERROR(INDEX(tbl_Finance[Cost Centre],$A252),"")</f>
        <v/>
      </c>
      <c r="G252" s="63">
        <f>IFERROR(INDEX(tbl_Finance[Ex GST],$A252),"")</f>
        <v/>
      </c>
      <c r="H252" s="61">
        <f>IFERROR(INDEX(tbl_Finance[Defer Start],$A252),"")</f>
        <v/>
      </c>
      <c r="I252" s="61">
        <f>IFERROR(INDEX(tbl_Finance[Defer End],$A252),"")</f>
        <v/>
      </c>
      <c r="J252" s="60">
        <f>IF(OR($H252="",$I252="",$G252=""),"",MAX(1,(YEAR($I252)-YEAR($H252))*12+MONTH($I252)-MONTH($H252)+1))</f>
        <v/>
      </c>
      <c r="K252" s="63">
        <f>IF($J252="","",$G252/$J252)</f>
        <v/>
      </c>
      <c r="L252" s="63">
        <f>IF($J252="",0,$K252*MAX(0,MIN(YEAR($C$3)*12+MONTH($C$3),YEAR($I252)*12+MONTH($I252))-(YEAR($H252)*12+MONTH($H252))+1))</f>
        <v/>
      </c>
      <c r="M252" s="63">
        <f>IF($J252="",0,$K252*MAX(0,MIN(YEAR($C$3)*12+MONTH($C$3)-1,YEAR($I252)*12+MONTH($I252))-(YEAR($H252)*12+MONTH($H252))+1))</f>
        <v/>
      </c>
      <c r="N252" s="63">
        <f>IF(OR($J252="",$B252=""),0,IF(YEAR($B252)*12+MONTH($B252)&lt;=YEAR($C$3)*12+MONTH($C$3),$G252,0))</f>
        <v/>
      </c>
      <c r="O252" s="63">
        <f>IF(OR($J252="",$B252=""),0,IF(YEAR($B252)*12+MONTH($B252)&lt;=YEAR($C$3)*12+MONTH($C$3)-1,$G252,0))</f>
        <v/>
      </c>
      <c r="P252" s="63">
        <f>$M252-$O252</f>
        <v/>
      </c>
      <c r="Q252" s="63">
        <f>($L252-$M252)-($N252-$O252)</f>
        <v/>
      </c>
      <c r="R252" s="63">
        <f>$L252-$N252</f>
        <v/>
      </c>
    </row>
    <row r="253">
      <c r="A253" s="60">
        <f>ROW()-5</f>
        <v/>
      </c>
      <c r="B253" s="61">
        <f>IFERROR(INDEX(tbl_Finance[Date],$A253),"")</f>
        <v/>
      </c>
      <c r="C253" s="62">
        <f>IFERROR(INDEX(tbl_Finance[Xero Invoice No],$A253),"")</f>
        <v/>
      </c>
      <c r="D253" s="62">
        <f>IFERROR(INDEX(tbl_Finance[Client],$A253),"")</f>
        <v/>
      </c>
      <c r="E253" s="62">
        <f>IFERROR(INDEX(tbl_Finance[Job Number],$A253),"")</f>
        <v/>
      </c>
      <c r="F253" s="62">
        <f>IFERROR(INDEX(tbl_Finance[Cost Centre],$A253),"")</f>
        <v/>
      </c>
      <c r="G253" s="63">
        <f>IFERROR(INDEX(tbl_Finance[Ex GST],$A253),"")</f>
        <v/>
      </c>
      <c r="H253" s="61">
        <f>IFERROR(INDEX(tbl_Finance[Defer Start],$A253),"")</f>
        <v/>
      </c>
      <c r="I253" s="61">
        <f>IFERROR(INDEX(tbl_Finance[Defer End],$A253),"")</f>
        <v/>
      </c>
      <c r="J253" s="60">
        <f>IF(OR($H253="",$I253="",$G253=""),"",MAX(1,(YEAR($I253)-YEAR($H253))*12+MONTH($I253)-MONTH($H253)+1))</f>
        <v/>
      </c>
      <c r="K253" s="63">
        <f>IF($J253="","",$G253/$J253)</f>
        <v/>
      </c>
      <c r="L253" s="63">
        <f>IF($J253="",0,$K253*MAX(0,MIN(YEAR($C$3)*12+MONTH($C$3),YEAR($I253)*12+MONTH($I253))-(YEAR($H253)*12+MONTH($H253))+1))</f>
        <v/>
      </c>
      <c r="M253" s="63">
        <f>IF($J253="",0,$K253*MAX(0,MIN(YEAR($C$3)*12+MONTH($C$3)-1,YEAR($I253)*12+MONTH($I253))-(YEAR($H253)*12+MONTH($H253))+1))</f>
        <v/>
      </c>
      <c r="N253" s="63">
        <f>IF(OR($J253="",$B253=""),0,IF(YEAR($B253)*12+MONTH($B253)&lt;=YEAR($C$3)*12+MONTH($C$3),$G253,0))</f>
        <v/>
      </c>
      <c r="O253" s="63">
        <f>IF(OR($J253="",$B253=""),0,IF(YEAR($B253)*12+MONTH($B253)&lt;=YEAR($C$3)*12+MONTH($C$3)-1,$G253,0))</f>
        <v/>
      </c>
      <c r="P253" s="63">
        <f>$M253-$O253</f>
        <v/>
      </c>
      <c r="Q253" s="63">
        <f>($L253-$M253)-($N253-$O253)</f>
        <v/>
      </c>
      <c r="R253" s="63">
        <f>$L253-$N253</f>
        <v/>
      </c>
    </row>
    <row r="254">
      <c r="A254" s="60">
        <f>ROW()-5</f>
        <v/>
      </c>
      <c r="B254" s="61">
        <f>IFERROR(INDEX(tbl_Finance[Date],$A254),"")</f>
        <v/>
      </c>
      <c r="C254" s="62">
        <f>IFERROR(INDEX(tbl_Finance[Xero Invoice No],$A254),"")</f>
        <v/>
      </c>
      <c r="D254" s="62">
        <f>IFERROR(INDEX(tbl_Finance[Client],$A254),"")</f>
        <v/>
      </c>
      <c r="E254" s="62">
        <f>IFERROR(INDEX(tbl_Finance[Job Number],$A254),"")</f>
        <v/>
      </c>
      <c r="F254" s="62">
        <f>IFERROR(INDEX(tbl_Finance[Cost Centre],$A254),"")</f>
        <v/>
      </c>
      <c r="G254" s="63">
        <f>IFERROR(INDEX(tbl_Finance[Ex GST],$A254),"")</f>
        <v/>
      </c>
      <c r="H254" s="61">
        <f>IFERROR(INDEX(tbl_Finance[Defer Start],$A254),"")</f>
        <v/>
      </c>
      <c r="I254" s="61">
        <f>IFERROR(INDEX(tbl_Finance[Defer End],$A254),"")</f>
        <v/>
      </c>
      <c r="J254" s="60">
        <f>IF(OR($H254="",$I254="",$G254=""),"",MAX(1,(YEAR($I254)-YEAR($H254))*12+MONTH($I254)-MONTH($H254)+1))</f>
        <v/>
      </c>
      <c r="K254" s="63">
        <f>IF($J254="","",$G254/$J254)</f>
        <v/>
      </c>
      <c r="L254" s="63">
        <f>IF($J254="",0,$K254*MAX(0,MIN(YEAR($C$3)*12+MONTH($C$3),YEAR($I254)*12+MONTH($I254))-(YEAR($H254)*12+MONTH($H254))+1))</f>
        <v/>
      </c>
      <c r="M254" s="63">
        <f>IF($J254="",0,$K254*MAX(0,MIN(YEAR($C$3)*12+MONTH($C$3)-1,YEAR($I254)*12+MONTH($I254))-(YEAR($H254)*12+MONTH($H254))+1))</f>
        <v/>
      </c>
      <c r="N254" s="63">
        <f>IF(OR($J254="",$B254=""),0,IF(YEAR($B254)*12+MONTH($B254)&lt;=YEAR($C$3)*12+MONTH($C$3),$G254,0))</f>
        <v/>
      </c>
      <c r="O254" s="63">
        <f>IF(OR($J254="",$B254=""),0,IF(YEAR($B254)*12+MONTH($B254)&lt;=YEAR($C$3)*12+MONTH($C$3)-1,$G254,0))</f>
        <v/>
      </c>
      <c r="P254" s="63">
        <f>$M254-$O254</f>
        <v/>
      </c>
      <c r="Q254" s="63">
        <f>($L254-$M254)-($N254-$O254)</f>
        <v/>
      </c>
      <c r="R254" s="63">
        <f>$L254-$N254</f>
        <v/>
      </c>
    </row>
    <row r="255">
      <c r="A255" s="60">
        <f>ROW()-5</f>
        <v/>
      </c>
      <c r="B255" s="61">
        <f>IFERROR(INDEX(tbl_Finance[Date],$A255),"")</f>
        <v/>
      </c>
      <c r="C255" s="62">
        <f>IFERROR(INDEX(tbl_Finance[Xero Invoice No],$A255),"")</f>
        <v/>
      </c>
      <c r="D255" s="62">
        <f>IFERROR(INDEX(tbl_Finance[Client],$A255),"")</f>
        <v/>
      </c>
      <c r="E255" s="62">
        <f>IFERROR(INDEX(tbl_Finance[Job Number],$A255),"")</f>
        <v/>
      </c>
      <c r="F255" s="62">
        <f>IFERROR(INDEX(tbl_Finance[Cost Centre],$A255),"")</f>
        <v/>
      </c>
      <c r="G255" s="63">
        <f>IFERROR(INDEX(tbl_Finance[Ex GST],$A255),"")</f>
        <v/>
      </c>
      <c r="H255" s="61">
        <f>IFERROR(INDEX(tbl_Finance[Defer Start],$A255),"")</f>
        <v/>
      </c>
      <c r="I255" s="61">
        <f>IFERROR(INDEX(tbl_Finance[Defer End],$A255),"")</f>
        <v/>
      </c>
      <c r="J255" s="60">
        <f>IF(OR($H255="",$I255="",$G255=""),"",MAX(1,(YEAR($I255)-YEAR($H255))*12+MONTH($I255)-MONTH($H255)+1))</f>
        <v/>
      </c>
      <c r="K255" s="63">
        <f>IF($J255="","",$G255/$J255)</f>
        <v/>
      </c>
      <c r="L255" s="63">
        <f>IF($J255="",0,$K255*MAX(0,MIN(YEAR($C$3)*12+MONTH($C$3),YEAR($I255)*12+MONTH($I255))-(YEAR($H255)*12+MONTH($H255))+1))</f>
        <v/>
      </c>
      <c r="M255" s="63">
        <f>IF($J255="",0,$K255*MAX(0,MIN(YEAR($C$3)*12+MONTH($C$3)-1,YEAR($I255)*12+MONTH($I255))-(YEAR($H255)*12+MONTH($H255))+1))</f>
        <v/>
      </c>
      <c r="N255" s="63">
        <f>IF(OR($J255="",$B255=""),0,IF(YEAR($B255)*12+MONTH($B255)&lt;=YEAR($C$3)*12+MONTH($C$3),$G255,0))</f>
        <v/>
      </c>
      <c r="O255" s="63">
        <f>IF(OR($J255="",$B255=""),0,IF(YEAR($B255)*12+MONTH($B255)&lt;=YEAR($C$3)*12+MONTH($C$3)-1,$G255,0))</f>
        <v/>
      </c>
      <c r="P255" s="63">
        <f>$M255-$O255</f>
        <v/>
      </c>
      <c r="Q255" s="63">
        <f>($L255-$M255)-($N255-$O255)</f>
        <v/>
      </c>
      <c r="R255" s="63">
        <f>$L255-$N255</f>
        <v/>
      </c>
    </row>
    <row r="256">
      <c r="A256" s="60">
        <f>ROW()-5</f>
        <v/>
      </c>
      <c r="B256" s="61">
        <f>IFERROR(INDEX(tbl_Finance[Date],$A256),"")</f>
        <v/>
      </c>
      <c r="C256" s="62">
        <f>IFERROR(INDEX(tbl_Finance[Xero Invoice No],$A256),"")</f>
        <v/>
      </c>
      <c r="D256" s="62">
        <f>IFERROR(INDEX(tbl_Finance[Client],$A256),"")</f>
        <v/>
      </c>
      <c r="E256" s="62">
        <f>IFERROR(INDEX(tbl_Finance[Job Number],$A256),"")</f>
        <v/>
      </c>
      <c r="F256" s="62">
        <f>IFERROR(INDEX(tbl_Finance[Cost Centre],$A256),"")</f>
        <v/>
      </c>
      <c r="G256" s="63">
        <f>IFERROR(INDEX(tbl_Finance[Ex GST],$A256),"")</f>
        <v/>
      </c>
      <c r="H256" s="61">
        <f>IFERROR(INDEX(tbl_Finance[Defer Start],$A256),"")</f>
        <v/>
      </c>
      <c r="I256" s="61">
        <f>IFERROR(INDEX(tbl_Finance[Defer End],$A256),"")</f>
        <v/>
      </c>
      <c r="J256" s="60">
        <f>IF(OR($H256="",$I256="",$G256=""),"",MAX(1,(YEAR($I256)-YEAR($H256))*12+MONTH($I256)-MONTH($H256)+1))</f>
        <v/>
      </c>
      <c r="K256" s="63">
        <f>IF($J256="","",$G256/$J256)</f>
        <v/>
      </c>
      <c r="L256" s="63">
        <f>IF($J256="",0,$K256*MAX(0,MIN(YEAR($C$3)*12+MONTH($C$3),YEAR($I256)*12+MONTH($I256))-(YEAR($H256)*12+MONTH($H256))+1))</f>
        <v/>
      </c>
      <c r="M256" s="63">
        <f>IF($J256="",0,$K256*MAX(0,MIN(YEAR($C$3)*12+MONTH($C$3)-1,YEAR($I256)*12+MONTH($I256))-(YEAR($H256)*12+MONTH($H256))+1))</f>
        <v/>
      </c>
      <c r="N256" s="63">
        <f>IF(OR($J256="",$B256=""),0,IF(YEAR($B256)*12+MONTH($B256)&lt;=YEAR($C$3)*12+MONTH($C$3),$G256,0))</f>
        <v/>
      </c>
      <c r="O256" s="63">
        <f>IF(OR($J256="",$B256=""),0,IF(YEAR($B256)*12+MONTH($B256)&lt;=YEAR($C$3)*12+MONTH($C$3)-1,$G256,0))</f>
        <v/>
      </c>
      <c r="P256" s="63">
        <f>$M256-$O256</f>
        <v/>
      </c>
      <c r="Q256" s="63">
        <f>($L256-$M256)-($N256-$O256)</f>
        <v/>
      </c>
      <c r="R256" s="63">
        <f>$L256-$N256</f>
        <v/>
      </c>
    </row>
    <row r="257">
      <c r="A257" s="60">
        <f>ROW()-5</f>
        <v/>
      </c>
      <c r="B257" s="61">
        <f>IFERROR(INDEX(tbl_Finance[Date],$A257),"")</f>
        <v/>
      </c>
      <c r="C257" s="62">
        <f>IFERROR(INDEX(tbl_Finance[Xero Invoice No],$A257),"")</f>
        <v/>
      </c>
      <c r="D257" s="62">
        <f>IFERROR(INDEX(tbl_Finance[Client],$A257),"")</f>
        <v/>
      </c>
      <c r="E257" s="62">
        <f>IFERROR(INDEX(tbl_Finance[Job Number],$A257),"")</f>
        <v/>
      </c>
      <c r="F257" s="62">
        <f>IFERROR(INDEX(tbl_Finance[Cost Centre],$A257),"")</f>
        <v/>
      </c>
      <c r="G257" s="63">
        <f>IFERROR(INDEX(tbl_Finance[Ex GST],$A257),"")</f>
        <v/>
      </c>
      <c r="H257" s="61">
        <f>IFERROR(INDEX(tbl_Finance[Defer Start],$A257),"")</f>
        <v/>
      </c>
      <c r="I257" s="61">
        <f>IFERROR(INDEX(tbl_Finance[Defer End],$A257),"")</f>
        <v/>
      </c>
      <c r="J257" s="60">
        <f>IF(OR($H257="",$I257="",$G257=""),"",MAX(1,(YEAR($I257)-YEAR($H257))*12+MONTH($I257)-MONTH($H257)+1))</f>
        <v/>
      </c>
      <c r="K257" s="63">
        <f>IF($J257="","",$G257/$J257)</f>
        <v/>
      </c>
      <c r="L257" s="63">
        <f>IF($J257="",0,$K257*MAX(0,MIN(YEAR($C$3)*12+MONTH($C$3),YEAR($I257)*12+MONTH($I257))-(YEAR($H257)*12+MONTH($H257))+1))</f>
        <v/>
      </c>
      <c r="M257" s="63">
        <f>IF($J257="",0,$K257*MAX(0,MIN(YEAR($C$3)*12+MONTH($C$3)-1,YEAR($I257)*12+MONTH($I257))-(YEAR($H257)*12+MONTH($H257))+1))</f>
        <v/>
      </c>
      <c r="N257" s="63">
        <f>IF(OR($J257="",$B257=""),0,IF(YEAR($B257)*12+MONTH($B257)&lt;=YEAR($C$3)*12+MONTH($C$3),$G257,0))</f>
        <v/>
      </c>
      <c r="O257" s="63">
        <f>IF(OR($J257="",$B257=""),0,IF(YEAR($B257)*12+MONTH($B257)&lt;=YEAR($C$3)*12+MONTH($C$3)-1,$G257,0))</f>
        <v/>
      </c>
      <c r="P257" s="63">
        <f>$M257-$O257</f>
        <v/>
      </c>
      <c r="Q257" s="63">
        <f>($L257-$M257)-($N257-$O257)</f>
        <v/>
      </c>
      <c r="R257" s="63">
        <f>$L257-$N257</f>
        <v/>
      </c>
    </row>
    <row r="258">
      <c r="A258" s="60">
        <f>ROW()-5</f>
        <v/>
      </c>
      <c r="B258" s="61">
        <f>IFERROR(INDEX(tbl_Finance[Date],$A258),"")</f>
        <v/>
      </c>
      <c r="C258" s="62">
        <f>IFERROR(INDEX(tbl_Finance[Xero Invoice No],$A258),"")</f>
        <v/>
      </c>
      <c r="D258" s="62">
        <f>IFERROR(INDEX(tbl_Finance[Client],$A258),"")</f>
        <v/>
      </c>
      <c r="E258" s="62">
        <f>IFERROR(INDEX(tbl_Finance[Job Number],$A258),"")</f>
        <v/>
      </c>
      <c r="F258" s="62">
        <f>IFERROR(INDEX(tbl_Finance[Cost Centre],$A258),"")</f>
        <v/>
      </c>
      <c r="G258" s="63">
        <f>IFERROR(INDEX(tbl_Finance[Ex GST],$A258),"")</f>
        <v/>
      </c>
      <c r="H258" s="61">
        <f>IFERROR(INDEX(tbl_Finance[Defer Start],$A258),"")</f>
        <v/>
      </c>
      <c r="I258" s="61">
        <f>IFERROR(INDEX(tbl_Finance[Defer End],$A258),"")</f>
        <v/>
      </c>
      <c r="J258" s="60">
        <f>IF(OR($H258="",$I258="",$G258=""),"",MAX(1,(YEAR($I258)-YEAR($H258))*12+MONTH($I258)-MONTH($H258)+1))</f>
        <v/>
      </c>
      <c r="K258" s="63">
        <f>IF($J258="","",$G258/$J258)</f>
        <v/>
      </c>
      <c r="L258" s="63">
        <f>IF($J258="",0,$K258*MAX(0,MIN(YEAR($C$3)*12+MONTH($C$3),YEAR($I258)*12+MONTH($I258))-(YEAR($H258)*12+MONTH($H258))+1))</f>
        <v/>
      </c>
      <c r="M258" s="63">
        <f>IF($J258="",0,$K258*MAX(0,MIN(YEAR($C$3)*12+MONTH($C$3)-1,YEAR($I258)*12+MONTH($I258))-(YEAR($H258)*12+MONTH($H258))+1))</f>
        <v/>
      </c>
      <c r="N258" s="63">
        <f>IF(OR($J258="",$B258=""),0,IF(YEAR($B258)*12+MONTH($B258)&lt;=YEAR($C$3)*12+MONTH($C$3),$G258,0))</f>
        <v/>
      </c>
      <c r="O258" s="63">
        <f>IF(OR($J258="",$B258=""),0,IF(YEAR($B258)*12+MONTH($B258)&lt;=YEAR($C$3)*12+MONTH($C$3)-1,$G258,0))</f>
        <v/>
      </c>
      <c r="P258" s="63">
        <f>$M258-$O258</f>
        <v/>
      </c>
      <c r="Q258" s="63">
        <f>($L258-$M258)-($N258-$O258)</f>
        <v/>
      </c>
      <c r="R258" s="63">
        <f>$L258-$N258</f>
        <v/>
      </c>
    </row>
    <row r="259">
      <c r="A259" s="60">
        <f>ROW()-5</f>
        <v/>
      </c>
      <c r="B259" s="61">
        <f>IFERROR(INDEX(tbl_Finance[Date],$A259),"")</f>
        <v/>
      </c>
      <c r="C259" s="62">
        <f>IFERROR(INDEX(tbl_Finance[Xero Invoice No],$A259),"")</f>
        <v/>
      </c>
      <c r="D259" s="62">
        <f>IFERROR(INDEX(tbl_Finance[Client],$A259),"")</f>
        <v/>
      </c>
      <c r="E259" s="62">
        <f>IFERROR(INDEX(tbl_Finance[Job Number],$A259),"")</f>
        <v/>
      </c>
      <c r="F259" s="62">
        <f>IFERROR(INDEX(tbl_Finance[Cost Centre],$A259),"")</f>
        <v/>
      </c>
      <c r="G259" s="63">
        <f>IFERROR(INDEX(tbl_Finance[Ex GST],$A259),"")</f>
        <v/>
      </c>
      <c r="H259" s="61">
        <f>IFERROR(INDEX(tbl_Finance[Defer Start],$A259),"")</f>
        <v/>
      </c>
      <c r="I259" s="61">
        <f>IFERROR(INDEX(tbl_Finance[Defer End],$A259),"")</f>
        <v/>
      </c>
      <c r="J259" s="60">
        <f>IF(OR($H259="",$I259="",$G259=""),"",MAX(1,(YEAR($I259)-YEAR($H259))*12+MONTH($I259)-MONTH($H259)+1))</f>
        <v/>
      </c>
      <c r="K259" s="63">
        <f>IF($J259="","",$G259/$J259)</f>
        <v/>
      </c>
      <c r="L259" s="63">
        <f>IF($J259="",0,$K259*MAX(0,MIN(YEAR($C$3)*12+MONTH($C$3),YEAR($I259)*12+MONTH($I259))-(YEAR($H259)*12+MONTH($H259))+1))</f>
        <v/>
      </c>
      <c r="M259" s="63">
        <f>IF($J259="",0,$K259*MAX(0,MIN(YEAR($C$3)*12+MONTH($C$3)-1,YEAR($I259)*12+MONTH($I259))-(YEAR($H259)*12+MONTH($H259))+1))</f>
        <v/>
      </c>
      <c r="N259" s="63">
        <f>IF(OR($J259="",$B259=""),0,IF(YEAR($B259)*12+MONTH($B259)&lt;=YEAR($C$3)*12+MONTH($C$3),$G259,0))</f>
        <v/>
      </c>
      <c r="O259" s="63">
        <f>IF(OR($J259="",$B259=""),0,IF(YEAR($B259)*12+MONTH($B259)&lt;=YEAR($C$3)*12+MONTH($C$3)-1,$G259,0))</f>
        <v/>
      </c>
      <c r="P259" s="63">
        <f>$M259-$O259</f>
        <v/>
      </c>
      <c r="Q259" s="63">
        <f>($L259-$M259)-($N259-$O259)</f>
        <v/>
      </c>
      <c r="R259" s="63">
        <f>$L259-$N259</f>
        <v/>
      </c>
    </row>
    <row r="260">
      <c r="A260" s="60">
        <f>ROW()-5</f>
        <v/>
      </c>
      <c r="B260" s="61">
        <f>IFERROR(INDEX(tbl_Finance[Date],$A260),"")</f>
        <v/>
      </c>
      <c r="C260" s="62">
        <f>IFERROR(INDEX(tbl_Finance[Xero Invoice No],$A260),"")</f>
        <v/>
      </c>
      <c r="D260" s="62">
        <f>IFERROR(INDEX(tbl_Finance[Client],$A260),"")</f>
        <v/>
      </c>
      <c r="E260" s="62">
        <f>IFERROR(INDEX(tbl_Finance[Job Number],$A260),"")</f>
        <v/>
      </c>
      <c r="F260" s="62">
        <f>IFERROR(INDEX(tbl_Finance[Cost Centre],$A260),"")</f>
        <v/>
      </c>
      <c r="G260" s="63">
        <f>IFERROR(INDEX(tbl_Finance[Ex GST],$A260),"")</f>
        <v/>
      </c>
      <c r="H260" s="61">
        <f>IFERROR(INDEX(tbl_Finance[Defer Start],$A260),"")</f>
        <v/>
      </c>
      <c r="I260" s="61">
        <f>IFERROR(INDEX(tbl_Finance[Defer End],$A260),"")</f>
        <v/>
      </c>
      <c r="J260" s="60">
        <f>IF(OR($H260="",$I260="",$G260=""),"",MAX(1,(YEAR($I260)-YEAR($H260))*12+MONTH($I260)-MONTH($H260)+1))</f>
        <v/>
      </c>
      <c r="K260" s="63">
        <f>IF($J260="","",$G260/$J260)</f>
        <v/>
      </c>
      <c r="L260" s="63">
        <f>IF($J260="",0,$K260*MAX(0,MIN(YEAR($C$3)*12+MONTH($C$3),YEAR($I260)*12+MONTH($I260))-(YEAR($H260)*12+MONTH($H260))+1))</f>
        <v/>
      </c>
      <c r="M260" s="63">
        <f>IF($J260="",0,$K260*MAX(0,MIN(YEAR($C$3)*12+MONTH($C$3)-1,YEAR($I260)*12+MONTH($I260))-(YEAR($H260)*12+MONTH($H260))+1))</f>
        <v/>
      </c>
      <c r="N260" s="63">
        <f>IF(OR($J260="",$B260=""),0,IF(YEAR($B260)*12+MONTH($B260)&lt;=YEAR($C$3)*12+MONTH($C$3),$G260,0))</f>
        <v/>
      </c>
      <c r="O260" s="63">
        <f>IF(OR($J260="",$B260=""),0,IF(YEAR($B260)*12+MONTH($B260)&lt;=YEAR($C$3)*12+MONTH($C$3)-1,$G260,0))</f>
        <v/>
      </c>
      <c r="P260" s="63">
        <f>$M260-$O260</f>
        <v/>
      </c>
      <c r="Q260" s="63">
        <f>($L260-$M260)-($N260-$O260)</f>
        <v/>
      </c>
      <c r="R260" s="63">
        <f>$L260-$N260</f>
        <v/>
      </c>
    </row>
    <row r="261">
      <c r="A261" s="60">
        <f>ROW()-5</f>
        <v/>
      </c>
      <c r="B261" s="61">
        <f>IFERROR(INDEX(tbl_Finance[Date],$A261),"")</f>
        <v/>
      </c>
      <c r="C261" s="62">
        <f>IFERROR(INDEX(tbl_Finance[Xero Invoice No],$A261),"")</f>
        <v/>
      </c>
      <c r="D261" s="62">
        <f>IFERROR(INDEX(tbl_Finance[Client],$A261),"")</f>
        <v/>
      </c>
      <c r="E261" s="62">
        <f>IFERROR(INDEX(tbl_Finance[Job Number],$A261),"")</f>
        <v/>
      </c>
      <c r="F261" s="62">
        <f>IFERROR(INDEX(tbl_Finance[Cost Centre],$A261),"")</f>
        <v/>
      </c>
      <c r="G261" s="63">
        <f>IFERROR(INDEX(tbl_Finance[Ex GST],$A261),"")</f>
        <v/>
      </c>
      <c r="H261" s="61">
        <f>IFERROR(INDEX(tbl_Finance[Defer Start],$A261),"")</f>
        <v/>
      </c>
      <c r="I261" s="61">
        <f>IFERROR(INDEX(tbl_Finance[Defer End],$A261),"")</f>
        <v/>
      </c>
      <c r="J261" s="60">
        <f>IF(OR($H261="",$I261="",$G261=""),"",MAX(1,(YEAR($I261)-YEAR($H261))*12+MONTH($I261)-MONTH($H261)+1))</f>
        <v/>
      </c>
      <c r="K261" s="63">
        <f>IF($J261="","",$G261/$J261)</f>
        <v/>
      </c>
      <c r="L261" s="63">
        <f>IF($J261="",0,$K261*MAX(0,MIN(YEAR($C$3)*12+MONTH($C$3),YEAR($I261)*12+MONTH($I261))-(YEAR($H261)*12+MONTH($H261))+1))</f>
        <v/>
      </c>
      <c r="M261" s="63">
        <f>IF($J261="",0,$K261*MAX(0,MIN(YEAR($C$3)*12+MONTH($C$3)-1,YEAR($I261)*12+MONTH($I261))-(YEAR($H261)*12+MONTH($H261))+1))</f>
        <v/>
      </c>
      <c r="N261" s="63">
        <f>IF(OR($J261="",$B261=""),0,IF(YEAR($B261)*12+MONTH($B261)&lt;=YEAR($C$3)*12+MONTH($C$3),$G261,0))</f>
        <v/>
      </c>
      <c r="O261" s="63">
        <f>IF(OR($J261="",$B261=""),0,IF(YEAR($B261)*12+MONTH($B261)&lt;=YEAR($C$3)*12+MONTH($C$3)-1,$G261,0))</f>
        <v/>
      </c>
      <c r="P261" s="63">
        <f>$M261-$O261</f>
        <v/>
      </c>
      <c r="Q261" s="63">
        <f>($L261-$M261)-($N261-$O261)</f>
        <v/>
      </c>
      <c r="R261" s="63">
        <f>$L261-$N261</f>
        <v/>
      </c>
    </row>
    <row r="262">
      <c r="A262" s="60">
        <f>ROW()-5</f>
        <v/>
      </c>
      <c r="B262" s="61">
        <f>IFERROR(INDEX(tbl_Finance[Date],$A262),"")</f>
        <v/>
      </c>
      <c r="C262" s="62">
        <f>IFERROR(INDEX(tbl_Finance[Xero Invoice No],$A262),"")</f>
        <v/>
      </c>
      <c r="D262" s="62">
        <f>IFERROR(INDEX(tbl_Finance[Client],$A262),"")</f>
        <v/>
      </c>
      <c r="E262" s="62">
        <f>IFERROR(INDEX(tbl_Finance[Job Number],$A262),"")</f>
        <v/>
      </c>
      <c r="F262" s="62">
        <f>IFERROR(INDEX(tbl_Finance[Cost Centre],$A262),"")</f>
        <v/>
      </c>
      <c r="G262" s="63">
        <f>IFERROR(INDEX(tbl_Finance[Ex GST],$A262),"")</f>
        <v/>
      </c>
      <c r="H262" s="61">
        <f>IFERROR(INDEX(tbl_Finance[Defer Start],$A262),"")</f>
        <v/>
      </c>
      <c r="I262" s="61">
        <f>IFERROR(INDEX(tbl_Finance[Defer End],$A262),"")</f>
        <v/>
      </c>
      <c r="J262" s="60">
        <f>IF(OR($H262="",$I262="",$G262=""),"",MAX(1,(YEAR($I262)-YEAR($H262))*12+MONTH($I262)-MONTH($H262)+1))</f>
        <v/>
      </c>
      <c r="K262" s="63">
        <f>IF($J262="","",$G262/$J262)</f>
        <v/>
      </c>
      <c r="L262" s="63">
        <f>IF($J262="",0,$K262*MAX(0,MIN(YEAR($C$3)*12+MONTH($C$3),YEAR($I262)*12+MONTH($I262))-(YEAR($H262)*12+MONTH($H262))+1))</f>
        <v/>
      </c>
      <c r="M262" s="63">
        <f>IF($J262="",0,$K262*MAX(0,MIN(YEAR($C$3)*12+MONTH($C$3)-1,YEAR($I262)*12+MONTH($I262))-(YEAR($H262)*12+MONTH($H262))+1))</f>
        <v/>
      </c>
      <c r="N262" s="63">
        <f>IF(OR($J262="",$B262=""),0,IF(YEAR($B262)*12+MONTH($B262)&lt;=YEAR($C$3)*12+MONTH($C$3),$G262,0))</f>
        <v/>
      </c>
      <c r="O262" s="63">
        <f>IF(OR($J262="",$B262=""),0,IF(YEAR($B262)*12+MONTH($B262)&lt;=YEAR($C$3)*12+MONTH($C$3)-1,$G262,0))</f>
        <v/>
      </c>
      <c r="P262" s="63">
        <f>$M262-$O262</f>
        <v/>
      </c>
      <c r="Q262" s="63">
        <f>($L262-$M262)-($N262-$O262)</f>
        <v/>
      </c>
      <c r="R262" s="63">
        <f>$L262-$N262</f>
        <v/>
      </c>
    </row>
    <row r="263">
      <c r="A263" s="60">
        <f>ROW()-5</f>
        <v/>
      </c>
      <c r="B263" s="61">
        <f>IFERROR(INDEX(tbl_Finance[Date],$A263),"")</f>
        <v/>
      </c>
      <c r="C263" s="62">
        <f>IFERROR(INDEX(tbl_Finance[Xero Invoice No],$A263),"")</f>
        <v/>
      </c>
      <c r="D263" s="62">
        <f>IFERROR(INDEX(tbl_Finance[Client],$A263),"")</f>
        <v/>
      </c>
      <c r="E263" s="62">
        <f>IFERROR(INDEX(tbl_Finance[Job Number],$A263),"")</f>
        <v/>
      </c>
      <c r="F263" s="62">
        <f>IFERROR(INDEX(tbl_Finance[Cost Centre],$A263),"")</f>
        <v/>
      </c>
      <c r="G263" s="63">
        <f>IFERROR(INDEX(tbl_Finance[Ex GST],$A263),"")</f>
        <v/>
      </c>
      <c r="H263" s="61">
        <f>IFERROR(INDEX(tbl_Finance[Defer Start],$A263),"")</f>
        <v/>
      </c>
      <c r="I263" s="61">
        <f>IFERROR(INDEX(tbl_Finance[Defer End],$A263),"")</f>
        <v/>
      </c>
      <c r="J263" s="60">
        <f>IF(OR($H263="",$I263="",$G263=""),"",MAX(1,(YEAR($I263)-YEAR($H263))*12+MONTH($I263)-MONTH($H263)+1))</f>
        <v/>
      </c>
      <c r="K263" s="63">
        <f>IF($J263="","",$G263/$J263)</f>
        <v/>
      </c>
      <c r="L263" s="63">
        <f>IF($J263="",0,$K263*MAX(0,MIN(YEAR($C$3)*12+MONTH($C$3),YEAR($I263)*12+MONTH($I263))-(YEAR($H263)*12+MONTH($H263))+1))</f>
        <v/>
      </c>
      <c r="M263" s="63">
        <f>IF($J263="",0,$K263*MAX(0,MIN(YEAR($C$3)*12+MONTH($C$3)-1,YEAR($I263)*12+MONTH($I263))-(YEAR($H263)*12+MONTH($H263))+1))</f>
        <v/>
      </c>
      <c r="N263" s="63">
        <f>IF(OR($J263="",$B263=""),0,IF(YEAR($B263)*12+MONTH($B263)&lt;=YEAR($C$3)*12+MONTH($C$3),$G263,0))</f>
        <v/>
      </c>
      <c r="O263" s="63">
        <f>IF(OR($J263="",$B263=""),0,IF(YEAR($B263)*12+MONTH($B263)&lt;=YEAR($C$3)*12+MONTH($C$3)-1,$G263,0))</f>
        <v/>
      </c>
      <c r="P263" s="63">
        <f>$M263-$O263</f>
        <v/>
      </c>
      <c r="Q263" s="63">
        <f>($L263-$M263)-($N263-$O263)</f>
        <v/>
      </c>
      <c r="R263" s="63">
        <f>$L263-$N263</f>
        <v/>
      </c>
    </row>
    <row r="264">
      <c r="A264" s="60">
        <f>ROW()-5</f>
        <v/>
      </c>
      <c r="B264" s="61">
        <f>IFERROR(INDEX(tbl_Finance[Date],$A264),"")</f>
        <v/>
      </c>
      <c r="C264" s="62">
        <f>IFERROR(INDEX(tbl_Finance[Xero Invoice No],$A264),"")</f>
        <v/>
      </c>
      <c r="D264" s="62">
        <f>IFERROR(INDEX(tbl_Finance[Client],$A264),"")</f>
        <v/>
      </c>
      <c r="E264" s="62">
        <f>IFERROR(INDEX(tbl_Finance[Job Number],$A264),"")</f>
        <v/>
      </c>
      <c r="F264" s="62">
        <f>IFERROR(INDEX(tbl_Finance[Cost Centre],$A264),"")</f>
        <v/>
      </c>
      <c r="G264" s="63">
        <f>IFERROR(INDEX(tbl_Finance[Ex GST],$A264),"")</f>
        <v/>
      </c>
      <c r="H264" s="61">
        <f>IFERROR(INDEX(tbl_Finance[Defer Start],$A264),"")</f>
        <v/>
      </c>
      <c r="I264" s="61">
        <f>IFERROR(INDEX(tbl_Finance[Defer End],$A264),"")</f>
        <v/>
      </c>
      <c r="J264" s="60">
        <f>IF(OR($H264="",$I264="",$G264=""),"",MAX(1,(YEAR($I264)-YEAR($H264))*12+MONTH($I264)-MONTH($H264)+1))</f>
        <v/>
      </c>
      <c r="K264" s="63">
        <f>IF($J264="","",$G264/$J264)</f>
        <v/>
      </c>
      <c r="L264" s="63">
        <f>IF($J264="",0,$K264*MAX(0,MIN(YEAR($C$3)*12+MONTH($C$3),YEAR($I264)*12+MONTH($I264))-(YEAR($H264)*12+MONTH($H264))+1))</f>
        <v/>
      </c>
      <c r="M264" s="63">
        <f>IF($J264="",0,$K264*MAX(0,MIN(YEAR($C$3)*12+MONTH($C$3)-1,YEAR($I264)*12+MONTH($I264))-(YEAR($H264)*12+MONTH($H264))+1))</f>
        <v/>
      </c>
      <c r="N264" s="63">
        <f>IF(OR($J264="",$B264=""),0,IF(YEAR($B264)*12+MONTH($B264)&lt;=YEAR($C$3)*12+MONTH($C$3),$G264,0))</f>
        <v/>
      </c>
      <c r="O264" s="63">
        <f>IF(OR($J264="",$B264=""),0,IF(YEAR($B264)*12+MONTH($B264)&lt;=YEAR($C$3)*12+MONTH($C$3)-1,$G264,0))</f>
        <v/>
      </c>
      <c r="P264" s="63">
        <f>$M264-$O264</f>
        <v/>
      </c>
      <c r="Q264" s="63">
        <f>($L264-$M264)-($N264-$O264)</f>
        <v/>
      </c>
      <c r="R264" s="63">
        <f>$L264-$N264</f>
        <v/>
      </c>
    </row>
    <row r="265">
      <c r="A265" s="60">
        <f>ROW()-5</f>
        <v/>
      </c>
      <c r="B265" s="61">
        <f>IFERROR(INDEX(tbl_Finance[Date],$A265),"")</f>
        <v/>
      </c>
      <c r="C265" s="62">
        <f>IFERROR(INDEX(tbl_Finance[Xero Invoice No],$A265),"")</f>
        <v/>
      </c>
      <c r="D265" s="62">
        <f>IFERROR(INDEX(tbl_Finance[Client],$A265),"")</f>
        <v/>
      </c>
      <c r="E265" s="62">
        <f>IFERROR(INDEX(tbl_Finance[Job Number],$A265),"")</f>
        <v/>
      </c>
      <c r="F265" s="62">
        <f>IFERROR(INDEX(tbl_Finance[Cost Centre],$A265),"")</f>
        <v/>
      </c>
      <c r="G265" s="63">
        <f>IFERROR(INDEX(tbl_Finance[Ex GST],$A265),"")</f>
        <v/>
      </c>
      <c r="H265" s="61">
        <f>IFERROR(INDEX(tbl_Finance[Defer Start],$A265),"")</f>
        <v/>
      </c>
      <c r="I265" s="61">
        <f>IFERROR(INDEX(tbl_Finance[Defer End],$A265),"")</f>
        <v/>
      </c>
      <c r="J265" s="60">
        <f>IF(OR($H265="",$I265="",$G265=""),"",MAX(1,(YEAR($I265)-YEAR($H265))*12+MONTH($I265)-MONTH($H265)+1))</f>
        <v/>
      </c>
      <c r="K265" s="63">
        <f>IF($J265="","",$G265/$J265)</f>
        <v/>
      </c>
      <c r="L265" s="63">
        <f>IF($J265="",0,$K265*MAX(0,MIN(YEAR($C$3)*12+MONTH($C$3),YEAR($I265)*12+MONTH($I265))-(YEAR($H265)*12+MONTH($H265))+1))</f>
        <v/>
      </c>
      <c r="M265" s="63">
        <f>IF($J265="",0,$K265*MAX(0,MIN(YEAR($C$3)*12+MONTH($C$3)-1,YEAR($I265)*12+MONTH($I265))-(YEAR($H265)*12+MONTH($H265))+1))</f>
        <v/>
      </c>
      <c r="N265" s="63">
        <f>IF(OR($J265="",$B265=""),0,IF(YEAR($B265)*12+MONTH($B265)&lt;=YEAR($C$3)*12+MONTH($C$3),$G265,0))</f>
        <v/>
      </c>
      <c r="O265" s="63">
        <f>IF(OR($J265="",$B265=""),0,IF(YEAR($B265)*12+MONTH($B265)&lt;=YEAR($C$3)*12+MONTH($C$3)-1,$G265,0))</f>
        <v/>
      </c>
      <c r="P265" s="63">
        <f>$M265-$O265</f>
        <v/>
      </c>
      <c r="Q265" s="63">
        <f>($L265-$M265)-($N265-$O265)</f>
        <v/>
      </c>
      <c r="R265" s="63">
        <f>$L265-$N265</f>
        <v/>
      </c>
    </row>
    <row r="266">
      <c r="A266" s="60">
        <f>ROW()-5</f>
        <v/>
      </c>
      <c r="B266" s="61">
        <f>IFERROR(INDEX(tbl_Finance[Date],$A266),"")</f>
        <v/>
      </c>
      <c r="C266" s="62">
        <f>IFERROR(INDEX(tbl_Finance[Xero Invoice No],$A266),"")</f>
        <v/>
      </c>
      <c r="D266" s="62">
        <f>IFERROR(INDEX(tbl_Finance[Client],$A266),"")</f>
        <v/>
      </c>
      <c r="E266" s="62">
        <f>IFERROR(INDEX(tbl_Finance[Job Number],$A266),"")</f>
        <v/>
      </c>
      <c r="F266" s="62">
        <f>IFERROR(INDEX(tbl_Finance[Cost Centre],$A266),"")</f>
        <v/>
      </c>
      <c r="G266" s="63">
        <f>IFERROR(INDEX(tbl_Finance[Ex GST],$A266),"")</f>
        <v/>
      </c>
      <c r="H266" s="61">
        <f>IFERROR(INDEX(tbl_Finance[Defer Start],$A266),"")</f>
        <v/>
      </c>
      <c r="I266" s="61">
        <f>IFERROR(INDEX(tbl_Finance[Defer End],$A266),"")</f>
        <v/>
      </c>
      <c r="J266" s="60">
        <f>IF(OR($H266="",$I266="",$G266=""),"",MAX(1,(YEAR($I266)-YEAR($H266))*12+MONTH($I266)-MONTH($H266)+1))</f>
        <v/>
      </c>
      <c r="K266" s="63">
        <f>IF($J266="","",$G266/$J266)</f>
        <v/>
      </c>
      <c r="L266" s="63">
        <f>IF($J266="",0,$K266*MAX(0,MIN(YEAR($C$3)*12+MONTH($C$3),YEAR($I266)*12+MONTH($I266))-(YEAR($H266)*12+MONTH($H266))+1))</f>
        <v/>
      </c>
      <c r="M266" s="63">
        <f>IF($J266="",0,$K266*MAX(0,MIN(YEAR($C$3)*12+MONTH($C$3)-1,YEAR($I266)*12+MONTH($I266))-(YEAR($H266)*12+MONTH($H266))+1))</f>
        <v/>
      </c>
      <c r="N266" s="63">
        <f>IF(OR($J266="",$B266=""),0,IF(YEAR($B266)*12+MONTH($B266)&lt;=YEAR($C$3)*12+MONTH($C$3),$G266,0))</f>
        <v/>
      </c>
      <c r="O266" s="63">
        <f>IF(OR($J266="",$B266=""),0,IF(YEAR($B266)*12+MONTH($B266)&lt;=YEAR($C$3)*12+MONTH($C$3)-1,$G266,0))</f>
        <v/>
      </c>
      <c r="P266" s="63">
        <f>$M266-$O266</f>
        <v/>
      </c>
      <c r="Q266" s="63">
        <f>($L266-$M266)-($N266-$O266)</f>
        <v/>
      </c>
      <c r="R266" s="63">
        <f>$L266-$N266</f>
        <v/>
      </c>
    </row>
    <row r="267">
      <c r="A267" s="60">
        <f>ROW()-5</f>
        <v/>
      </c>
      <c r="B267" s="61">
        <f>IFERROR(INDEX(tbl_Finance[Date],$A267),"")</f>
        <v/>
      </c>
      <c r="C267" s="62">
        <f>IFERROR(INDEX(tbl_Finance[Xero Invoice No],$A267),"")</f>
        <v/>
      </c>
      <c r="D267" s="62">
        <f>IFERROR(INDEX(tbl_Finance[Client],$A267),"")</f>
        <v/>
      </c>
      <c r="E267" s="62">
        <f>IFERROR(INDEX(tbl_Finance[Job Number],$A267),"")</f>
        <v/>
      </c>
      <c r="F267" s="62">
        <f>IFERROR(INDEX(tbl_Finance[Cost Centre],$A267),"")</f>
        <v/>
      </c>
      <c r="G267" s="63">
        <f>IFERROR(INDEX(tbl_Finance[Ex GST],$A267),"")</f>
        <v/>
      </c>
      <c r="H267" s="61">
        <f>IFERROR(INDEX(tbl_Finance[Defer Start],$A267),"")</f>
        <v/>
      </c>
      <c r="I267" s="61">
        <f>IFERROR(INDEX(tbl_Finance[Defer End],$A267),"")</f>
        <v/>
      </c>
      <c r="J267" s="60">
        <f>IF(OR($H267="",$I267="",$G267=""),"",MAX(1,(YEAR($I267)-YEAR($H267))*12+MONTH($I267)-MONTH($H267)+1))</f>
        <v/>
      </c>
      <c r="K267" s="63">
        <f>IF($J267="","",$G267/$J267)</f>
        <v/>
      </c>
      <c r="L267" s="63">
        <f>IF($J267="",0,$K267*MAX(0,MIN(YEAR($C$3)*12+MONTH($C$3),YEAR($I267)*12+MONTH($I267))-(YEAR($H267)*12+MONTH($H267))+1))</f>
        <v/>
      </c>
      <c r="M267" s="63">
        <f>IF($J267="",0,$K267*MAX(0,MIN(YEAR($C$3)*12+MONTH($C$3)-1,YEAR($I267)*12+MONTH($I267))-(YEAR($H267)*12+MONTH($H267))+1))</f>
        <v/>
      </c>
      <c r="N267" s="63">
        <f>IF(OR($J267="",$B267=""),0,IF(YEAR($B267)*12+MONTH($B267)&lt;=YEAR($C$3)*12+MONTH($C$3),$G267,0))</f>
        <v/>
      </c>
      <c r="O267" s="63">
        <f>IF(OR($J267="",$B267=""),0,IF(YEAR($B267)*12+MONTH($B267)&lt;=YEAR($C$3)*12+MONTH($C$3)-1,$G267,0))</f>
        <v/>
      </c>
      <c r="P267" s="63">
        <f>$M267-$O267</f>
        <v/>
      </c>
      <c r="Q267" s="63">
        <f>($L267-$M267)-($N267-$O267)</f>
        <v/>
      </c>
      <c r="R267" s="63">
        <f>$L267-$N267</f>
        <v/>
      </c>
    </row>
    <row r="268">
      <c r="A268" s="60">
        <f>ROW()-5</f>
        <v/>
      </c>
      <c r="B268" s="61">
        <f>IFERROR(INDEX(tbl_Finance[Date],$A268),"")</f>
        <v/>
      </c>
      <c r="C268" s="62">
        <f>IFERROR(INDEX(tbl_Finance[Xero Invoice No],$A268),"")</f>
        <v/>
      </c>
      <c r="D268" s="62">
        <f>IFERROR(INDEX(tbl_Finance[Client],$A268),"")</f>
        <v/>
      </c>
      <c r="E268" s="62">
        <f>IFERROR(INDEX(tbl_Finance[Job Number],$A268),"")</f>
        <v/>
      </c>
      <c r="F268" s="62">
        <f>IFERROR(INDEX(tbl_Finance[Cost Centre],$A268),"")</f>
        <v/>
      </c>
      <c r="G268" s="63">
        <f>IFERROR(INDEX(tbl_Finance[Ex GST],$A268),"")</f>
        <v/>
      </c>
      <c r="H268" s="61">
        <f>IFERROR(INDEX(tbl_Finance[Defer Start],$A268),"")</f>
        <v/>
      </c>
      <c r="I268" s="61">
        <f>IFERROR(INDEX(tbl_Finance[Defer End],$A268),"")</f>
        <v/>
      </c>
      <c r="J268" s="60">
        <f>IF(OR($H268="",$I268="",$G268=""),"",MAX(1,(YEAR($I268)-YEAR($H268))*12+MONTH($I268)-MONTH($H268)+1))</f>
        <v/>
      </c>
      <c r="K268" s="63">
        <f>IF($J268="","",$G268/$J268)</f>
        <v/>
      </c>
      <c r="L268" s="63">
        <f>IF($J268="",0,$K268*MAX(0,MIN(YEAR($C$3)*12+MONTH($C$3),YEAR($I268)*12+MONTH($I268))-(YEAR($H268)*12+MONTH($H268))+1))</f>
        <v/>
      </c>
      <c r="M268" s="63">
        <f>IF($J268="",0,$K268*MAX(0,MIN(YEAR($C$3)*12+MONTH($C$3)-1,YEAR($I268)*12+MONTH($I268))-(YEAR($H268)*12+MONTH($H268))+1))</f>
        <v/>
      </c>
      <c r="N268" s="63">
        <f>IF(OR($J268="",$B268=""),0,IF(YEAR($B268)*12+MONTH($B268)&lt;=YEAR($C$3)*12+MONTH($C$3),$G268,0))</f>
        <v/>
      </c>
      <c r="O268" s="63">
        <f>IF(OR($J268="",$B268=""),0,IF(YEAR($B268)*12+MONTH($B268)&lt;=YEAR($C$3)*12+MONTH($C$3)-1,$G268,0))</f>
        <v/>
      </c>
      <c r="P268" s="63">
        <f>$M268-$O268</f>
        <v/>
      </c>
      <c r="Q268" s="63">
        <f>($L268-$M268)-($N268-$O268)</f>
        <v/>
      </c>
      <c r="R268" s="63">
        <f>$L268-$N268</f>
        <v/>
      </c>
    </row>
    <row r="269">
      <c r="A269" s="60">
        <f>ROW()-5</f>
        <v/>
      </c>
      <c r="B269" s="61">
        <f>IFERROR(INDEX(tbl_Finance[Date],$A269),"")</f>
        <v/>
      </c>
      <c r="C269" s="62">
        <f>IFERROR(INDEX(tbl_Finance[Xero Invoice No],$A269),"")</f>
        <v/>
      </c>
      <c r="D269" s="62">
        <f>IFERROR(INDEX(tbl_Finance[Client],$A269),"")</f>
        <v/>
      </c>
      <c r="E269" s="62">
        <f>IFERROR(INDEX(tbl_Finance[Job Number],$A269),"")</f>
        <v/>
      </c>
      <c r="F269" s="62">
        <f>IFERROR(INDEX(tbl_Finance[Cost Centre],$A269),"")</f>
        <v/>
      </c>
      <c r="G269" s="63">
        <f>IFERROR(INDEX(tbl_Finance[Ex GST],$A269),"")</f>
        <v/>
      </c>
      <c r="H269" s="61">
        <f>IFERROR(INDEX(tbl_Finance[Defer Start],$A269),"")</f>
        <v/>
      </c>
      <c r="I269" s="61">
        <f>IFERROR(INDEX(tbl_Finance[Defer End],$A269),"")</f>
        <v/>
      </c>
      <c r="J269" s="60">
        <f>IF(OR($H269="",$I269="",$G269=""),"",MAX(1,(YEAR($I269)-YEAR($H269))*12+MONTH($I269)-MONTH($H269)+1))</f>
        <v/>
      </c>
      <c r="K269" s="63">
        <f>IF($J269="","",$G269/$J269)</f>
        <v/>
      </c>
      <c r="L269" s="63">
        <f>IF($J269="",0,$K269*MAX(0,MIN(YEAR($C$3)*12+MONTH($C$3),YEAR($I269)*12+MONTH($I269))-(YEAR($H269)*12+MONTH($H269))+1))</f>
        <v/>
      </c>
      <c r="M269" s="63">
        <f>IF($J269="",0,$K269*MAX(0,MIN(YEAR($C$3)*12+MONTH($C$3)-1,YEAR($I269)*12+MONTH($I269))-(YEAR($H269)*12+MONTH($H269))+1))</f>
        <v/>
      </c>
      <c r="N269" s="63">
        <f>IF(OR($J269="",$B269=""),0,IF(YEAR($B269)*12+MONTH($B269)&lt;=YEAR($C$3)*12+MONTH($C$3),$G269,0))</f>
        <v/>
      </c>
      <c r="O269" s="63">
        <f>IF(OR($J269="",$B269=""),0,IF(YEAR($B269)*12+MONTH($B269)&lt;=YEAR($C$3)*12+MONTH($C$3)-1,$G269,0))</f>
        <v/>
      </c>
      <c r="P269" s="63">
        <f>$M269-$O269</f>
        <v/>
      </c>
      <c r="Q269" s="63">
        <f>($L269-$M269)-($N269-$O269)</f>
        <v/>
      </c>
      <c r="R269" s="63">
        <f>$L269-$N269</f>
        <v/>
      </c>
    </row>
    <row r="270">
      <c r="A270" s="60">
        <f>ROW()-5</f>
        <v/>
      </c>
      <c r="B270" s="61">
        <f>IFERROR(INDEX(tbl_Finance[Date],$A270),"")</f>
        <v/>
      </c>
      <c r="C270" s="62">
        <f>IFERROR(INDEX(tbl_Finance[Xero Invoice No],$A270),"")</f>
        <v/>
      </c>
      <c r="D270" s="62">
        <f>IFERROR(INDEX(tbl_Finance[Client],$A270),"")</f>
        <v/>
      </c>
      <c r="E270" s="62">
        <f>IFERROR(INDEX(tbl_Finance[Job Number],$A270),"")</f>
        <v/>
      </c>
      <c r="F270" s="62">
        <f>IFERROR(INDEX(tbl_Finance[Cost Centre],$A270),"")</f>
        <v/>
      </c>
      <c r="G270" s="63">
        <f>IFERROR(INDEX(tbl_Finance[Ex GST],$A270),"")</f>
        <v/>
      </c>
      <c r="H270" s="61">
        <f>IFERROR(INDEX(tbl_Finance[Defer Start],$A270),"")</f>
        <v/>
      </c>
      <c r="I270" s="61">
        <f>IFERROR(INDEX(tbl_Finance[Defer End],$A270),"")</f>
        <v/>
      </c>
      <c r="J270" s="60">
        <f>IF(OR($H270="",$I270="",$G270=""),"",MAX(1,(YEAR($I270)-YEAR($H270))*12+MONTH($I270)-MONTH($H270)+1))</f>
        <v/>
      </c>
      <c r="K270" s="63">
        <f>IF($J270="","",$G270/$J270)</f>
        <v/>
      </c>
      <c r="L270" s="63">
        <f>IF($J270="",0,$K270*MAX(0,MIN(YEAR($C$3)*12+MONTH($C$3),YEAR($I270)*12+MONTH($I270))-(YEAR($H270)*12+MONTH($H270))+1))</f>
        <v/>
      </c>
      <c r="M270" s="63">
        <f>IF($J270="",0,$K270*MAX(0,MIN(YEAR($C$3)*12+MONTH($C$3)-1,YEAR($I270)*12+MONTH($I270))-(YEAR($H270)*12+MONTH($H270))+1))</f>
        <v/>
      </c>
      <c r="N270" s="63">
        <f>IF(OR($J270="",$B270=""),0,IF(YEAR($B270)*12+MONTH($B270)&lt;=YEAR($C$3)*12+MONTH($C$3),$G270,0))</f>
        <v/>
      </c>
      <c r="O270" s="63">
        <f>IF(OR($J270="",$B270=""),0,IF(YEAR($B270)*12+MONTH($B270)&lt;=YEAR($C$3)*12+MONTH($C$3)-1,$G270,0))</f>
        <v/>
      </c>
      <c r="P270" s="63">
        <f>$M270-$O270</f>
        <v/>
      </c>
      <c r="Q270" s="63">
        <f>($L270-$M270)-($N270-$O270)</f>
        <v/>
      </c>
      <c r="R270" s="63">
        <f>$L270-$N270</f>
        <v/>
      </c>
    </row>
    <row r="271">
      <c r="A271" s="60">
        <f>ROW()-5</f>
        <v/>
      </c>
      <c r="B271" s="61">
        <f>IFERROR(INDEX(tbl_Finance[Date],$A271),"")</f>
        <v/>
      </c>
      <c r="C271" s="62">
        <f>IFERROR(INDEX(tbl_Finance[Xero Invoice No],$A271),"")</f>
        <v/>
      </c>
      <c r="D271" s="62">
        <f>IFERROR(INDEX(tbl_Finance[Client],$A271),"")</f>
        <v/>
      </c>
      <c r="E271" s="62">
        <f>IFERROR(INDEX(tbl_Finance[Job Number],$A271),"")</f>
        <v/>
      </c>
      <c r="F271" s="62">
        <f>IFERROR(INDEX(tbl_Finance[Cost Centre],$A271),"")</f>
        <v/>
      </c>
      <c r="G271" s="63">
        <f>IFERROR(INDEX(tbl_Finance[Ex GST],$A271),"")</f>
        <v/>
      </c>
      <c r="H271" s="61">
        <f>IFERROR(INDEX(tbl_Finance[Defer Start],$A271),"")</f>
        <v/>
      </c>
      <c r="I271" s="61">
        <f>IFERROR(INDEX(tbl_Finance[Defer End],$A271),"")</f>
        <v/>
      </c>
      <c r="J271" s="60">
        <f>IF(OR($H271="",$I271="",$G271=""),"",MAX(1,(YEAR($I271)-YEAR($H271))*12+MONTH($I271)-MONTH($H271)+1))</f>
        <v/>
      </c>
      <c r="K271" s="63">
        <f>IF($J271="","",$G271/$J271)</f>
        <v/>
      </c>
      <c r="L271" s="63">
        <f>IF($J271="",0,$K271*MAX(0,MIN(YEAR($C$3)*12+MONTH($C$3),YEAR($I271)*12+MONTH($I271))-(YEAR($H271)*12+MONTH($H271))+1))</f>
        <v/>
      </c>
      <c r="M271" s="63">
        <f>IF($J271="",0,$K271*MAX(0,MIN(YEAR($C$3)*12+MONTH($C$3)-1,YEAR($I271)*12+MONTH($I271))-(YEAR($H271)*12+MONTH($H271))+1))</f>
        <v/>
      </c>
      <c r="N271" s="63">
        <f>IF(OR($J271="",$B271=""),0,IF(YEAR($B271)*12+MONTH($B271)&lt;=YEAR($C$3)*12+MONTH($C$3),$G271,0))</f>
        <v/>
      </c>
      <c r="O271" s="63">
        <f>IF(OR($J271="",$B271=""),0,IF(YEAR($B271)*12+MONTH($B271)&lt;=YEAR($C$3)*12+MONTH($C$3)-1,$G271,0))</f>
        <v/>
      </c>
      <c r="P271" s="63">
        <f>$M271-$O271</f>
        <v/>
      </c>
      <c r="Q271" s="63">
        <f>($L271-$M271)-($N271-$O271)</f>
        <v/>
      </c>
      <c r="R271" s="63">
        <f>$L271-$N271</f>
        <v/>
      </c>
    </row>
    <row r="272">
      <c r="A272" s="60">
        <f>ROW()-5</f>
        <v/>
      </c>
      <c r="B272" s="61">
        <f>IFERROR(INDEX(tbl_Finance[Date],$A272),"")</f>
        <v/>
      </c>
      <c r="C272" s="62">
        <f>IFERROR(INDEX(tbl_Finance[Xero Invoice No],$A272),"")</f>
        <v/>
      </c>
      <c r="D272" s="62">
        <f>IFERROR(INDEX(tbl_Finance[Client],$A272),"")</f>
        <v/>
      </c>
      <c r="E272" s="62">
        <f>IFERROR(INDEX(tbl_Finance[Job Number],$A272),"")</f>
        <v/>
      </c>
      <c r="F272" s="62">
        <f>IFERROR(INDEX(tbl_Finance[Cost Centre],$A272),"")</f>
        <v/>
      </c>
      <c r="G272" s="63">
        <f>IFERROR(INDEX(tbl_Finance[Ex GST],$A272),"")</f>
        <v/>
      </c>
      <c r="H272" s="61">
        <f>IFERROR(INDEX(tbl_Finance[Defer Start],$A272),"")</f>
        <v/>
      </c>
      <c r="I272" s="61">
        <f>IFERROR(INDEX(tbl_Finance[Defer End],$A272),"")</f>
        <v/>
      </c>
      <c r="J272" s="60">
        <f>IF(OR($H272="",$I272="",$G272=""),"",MAX(1,(YEAR($I272)-YEAR($H272))*12+MONTH($I272)-MONTH($H272)+1))</f>
        <v/>
      </c>
      <c r="K272" s="63">
        <f>IF($J272="","",$G272/$J272)</f>
        <v/>
      </c>
      <c r="L272" s="63">
        <f>IF($J272="",0,$K272*MAX(0,MIN(YEAR($C$3)*12+MONTH($C$3),YEAR($I272)*12+MONTH($I272))-(YEAR($H272)*12+MONTH($H272))+1))</f>
        <v/>
      </c>
      <c r="M272" s="63">
        <f>IF($J272="",0,$K272*MAX(0,MIN(YEAR($C$3)*12+MONTH($C$3)-1,YEAR($I272)*12+MONTH($I272))-(YEAR($H272)*12+MONTH($H272))+1))</f>
        <v/>
      </c>
      <c r="N272" s="63">
        <f>IF(OR($J272="",$B272=""),0,IF(YEAR($B272)*12+MONTH($B272)&lt;=YEAR($C$3)*12+MONTH($C$3),$G272,0))</f>
        <v/>
      </c>
      <c r="O272" s="63">
        <f>IF(OR($J272="",$B272=""),0,IF(YEAR($B272)*12+MONTH($B272)&lt;=YEAR($C$3)*12+MONTH($C$3)-1,$G272,0))</f>
        <v/>
      </c>
      <c r="P272" s="63">
        <f>$M272-$O272</f>
        <v/>
      </c>
      <c r="Q272" s="63">
        <f>($L272-$M272)-($N272-$O272)</f>
        <v/>
      </c>
      <c r="R272" s="63">
        <f>$L272-$N272</f>
        <v/>
      </c>
    </row>
    <row r="273">
      <c r="A273" s="60">
        <f>ROW()-5</f>
        <v/>
      </c>
      <c r="B273" s="61">
        <f>IFERROR(INDEX(tbl_Finance[Date],$A273),"")</f>
        <v/>
      </c>
      <c r="C273" s="62">
        <f>IFERROR(INDEX(tbl_Finance[Xero Invoice No],$A273),"")</f>
        <v/>
      </c>
      <c r="D273" s="62">
        <f>IFERROR(INDEX(tbl_Finance[Client],$A273),"")</f>
        <v/>
      </c>
      <c r="E273" s="62">
        <f>IFERROR(INDEX(tbl_Finance[Job Number],$A273),"")</f>
        <v/>
      </c>
      <c r="F273" s="62">
        <f>IFERROR(INDEX(tbl_Finance[Cost Centre],$A273),"")</f>
        <v/>
      </c>
      <c r="G273" s="63">
        <f>IFERROR(INDEX(tbl_Finance[Ex GST],$A273),"")</f>
        <v/>
      </c>
      <c r="H273" s="61">
        <f>IFERROR(INDEX(tbl_Finance[Defer Start],$A273),"")</f>
        <v/>
      </c>
      <c r="I273" s="61">
        <f>IFERROR(INDEX(tbl_Finance[Defer End],$A273),"")</f>
        <v/>
      </c>
      <c r="J273" s="60">
        <f>IF(OR($H273="",$I273="",$G273=""),"",MAX(1,(YEAR($I273)-YEAR($H273))*12+MONTH($I273)-MONTH($H273)+1))</f>
        <v/>
      </c>
      <c r="K273" s="63">
        <f>IF($J273="","",$G273/$J273)</f>
        <v/>
      </c>
      <c r="L273" s="63">
        <f>IF($J273="",0,$K273*MAX(0,MIN(YEAR($C$3)*12+MONTH($C$3),YEAR($I273)*12+MONTH($I273))-(YEAR($H273)*12+MONTH($H273))+1))</f>
        <v/>
      </c>
      <c r="M273" s="63">
        <f>IF($J273="",0,$K273*MAX(0,MIN(YEAR($C$3)*12+MONTH($C$3)-1,YEAR($I273)*12+MONTH($I273))-(YEAR($H273)*12+MONTH($H273))+1))</f>
        <v/>
      </c>
      <c r="N273" s="63">
        <f>IF(OR($J273="",$B273=""),0,IF(YEAR($B273)*12+MONTH($B273)&lt;=YEAR($C$3)*12+MONTH($C$3),$G273,0))</f>
        <v/>
      </c>
      <c r="O273" s="63">
        <f>IF(OR($J273="",$B273=""),0,IF(YEAR($B273)*12+MONTH($B273)&lt;=YEAR($C$3)*12+MONTH($C$3)-1,$G273,0))</f>
        <v/>
      </c>
      <c r="P273" s="63">
        <f>$M273-$O273</f>
        <v/>
      </c>
      <c r="Q273" s="63">
        <f>($L273-$M273)-($N273-$O273)</f>
        <v/>
      </c>
      <c r="R273" s="63">
        <f>$L273-$N273</f>
        <v/>
      </c>
    </row>
    <row r="274">
      <c r="A274" s="60">
        <f>ROW()-5</f>
        <v/>
      </c>
      <c r="B274" s="61">
        <f>IFERROR(INDEX(tbl_Finance[Date],$A274),"")</f>
        <v/>
      </c>
      <c r="C274" s="62">
        <f>IFERROR(INDEX(tbl_Finance[Xero Invoice No],$A274),"")</f>
        <v/>
      </c>
      <c r="D274" s="62">
        <f>IFERROR(INDEX(tbl_Finance[Client],$A274),"")</f>
        <v/>
      </c>
      <c r="E274" s="62">
        <f>IFERROR(INDEX(tbl_Finance[Job Number],$A274),"")</f>
        <v/>
      </c>
      <c r="F274" s="62">
        <f>IFERROR(INDEX(tbl_Finance[Cost Centre],$A274),"")</f>
        <v/>
      </c>
      <c r="G274" s="63">
        <f>IFERROR(INDEX(tbl_Finance[Ex GST],$A274),"")</f>
        <v/>
      </c>
      <c r="H274" s="61">
        <f>IFERROR(INDEX(tbl_Finance[Defer Start],$A274),"")</f>
        <v/>
      </c>
      <c r="I274" s="61">
        <f>IFERROR(INDEX(tbl_Finance[Defer End],$A274),"")</f>
        <v/>
      </c>
      <c r="J274" s="60">
        <f>IF(OR($H274="",$I274="",$G274=""),"",MAX(1,(YEAR($I274)-YEAR($H274))*12+MONTH($I274)-MONTH($H274)+1))</f>
        <v/>
      </c>
      <c r="K274" s="63">
        <f>IF($J274="","",$G274/$J274)</f>
        <v/>
      </c>
      <c r="L274" s="63">
        <f>IF($J274="",0,$K274*MAX(0,MIN(YEAR($C$3)*12+MONTH($C$3),YEAR($I274)*12+MONTH($I274))-(YEAR($H274)*12+MONTH($H274))+1))</f>
        <v/>
      </c>
      <c r="M274" s="63">
        <f>IF($J274="",0,$K274*MAX(0,MIN(YEAR($C$3)*12+MONTH($C$3)-1,YEAR($I274)*12+MONTH($I274))-(YEAR($H274)*12+MONTH($H274))+1))</f>
        <v/>
      </c>
      <c r="N274" s="63">
        <f>IF(OR($J274="",$B274=""),0,IF(YEAR($B274)*12+MONTH($B274)&lt;=YEAR($C$3)*12+MONTH($C$3),$G274,0))</f>
        <v/>
      </c>
      <c r="O274" s="63">
        <f>IF(OR($J274="",$B274=""),0,IF(YEAR($B274)*12+MONTH($B274)&lt;=YEAR($C$3)*12+MONTH($C$3)-1,$G274,0))</f>
        <v/>
      </c>
      <c r="P274" s="63">
        <f>$M274-$O274</f>
        <v/>
      </c>
      <c r="Q274" s="63">
        <f>($L274-$M274)-($N274-$O274)</f>
        <v/>
      </c>
      <c r="R274" s="63">
        <f>$L274-$N274</f>
        <v/>
      </c>
    </row>
    <row r="275">
      <c r="A275" s="60">
        <f>ROW()-5</f>
        <v/>
      </c>
      <c r="B275" s="61">
        <f>IFERROR(INDEX(tbl_Finance[Date],$A275),"")</f>
        <v/>
      </c>
      <c r="C275" s="62">
        <f>IFERROR(INDEX(tbl_Finance[Xero Invoice No],$A275),"")</f>
        <v/>
      </c>
      <c r="D275" s="62">
        <f>IFERROR(INDEX(tbl_Finance[Client],$A275),"")</f>
        <v/>
      </c>
      <c r="E275" s="62">
        <f>IFERROR(INDEX(tbl_Finance[Job Number],$A275),"")</f>
        <v/>
      </c>
      <c r="F275" s="62">
        <f>IFERROR(INDEX(tbl_Finance[Cost Centre],$A275),"")</f>
        <v/>
      </c>
      <c r="G275" s="63">
        <f>IFERROR(INDEX(tbl_Finance[Ex GST],$A275),"")</f>
        <v/>
      </c>
      <c r="H275" s="61">
        <f>IFERROR(INDEX(tbl_Finance[Defer Start],$A275),"")</f>
        <v/>
      </c>
      <c r="I275" s="61">
        <f>IFERROR(INDEX(tbl_Finance[Defer End],$A275),"")</f>
        <v/>
      </c>
      <c r="J275" s="60">
        <f>IF(OR($H275="",$I275="",$G275=""),"",MAX(1,(YEAR($I275)-YEAR($H275))*12+MONTH($I275)-MONTH($H275)+1))</f>
        <v/>
      </c>
      <c r="K275" s="63">
        <f>IF($J275="","",$G275/$J275)</f>
        <v/>
      </c>
      <c r="L275" s="63">
        <f>IF($J275="",0,$K275*MAX(0,MIN(YEAR($C$3)*12+MONTH($C$3),YEAR($I275)*12+MONTH($I275))-(YEAR($H275)*12+MONTH($H275))+1))</f>
        <v/>
      </c>
      <c r="M275" s="63">
        <f>IF($J275="",0,$K275*MAX(0,MIN(YEAR($C$3)*12+MONTH($C$3)-1,YEAR($I275)*12+MONTH($I275))-(YEAR($H275)*12+MONTH($H275))+1))</f>
        <v/>
      </c>
      <c r="N275" s="63">
        <f>IF(OR($J275="",$B275=""),0,IF(YEAR($B275)*12+MONTH($B275)&lt;=YEAR($C$3)*12+MONTH($C$3),$G275,0))</f>
        <v/>
      </c>
      <c r="O275" s="63">
        <f>IF(OR($J275="",$B275=""),0,IF(YEAR($B275)*12+MONTH($B275)&lt;=YEAR($C$3)*12+MONTH($C$3)-1,$G275,0))</f>
        <v/>
      </c>
      <c r="P275" s="63">
        <f>$M275-$O275</f>
        <v/>
      </c>
      <c r="Q275" s="63">
        <f>($L275-$M275)-($N275-$O275)</f>
        <v/>
      </c>
      <c r="R275" s="63">
        <f>$L275-$N275</f>
        <v/>
      </c>
    </row>
    <row r="276">
      <c r="A276" s="60">
        <f>ROW()-5</f>
        <v/>
      </c>
      <c r="B276" s="61">
        <f>IFERROR(INDEX(tbl_Finance[Date],$A276),"")</f>
        <v/>
      </c>
      <c r="C276" s="62">
        <f>IFERROR(INDEX(tbl_Finance[Xero Invoice No],$A276),"")</f>
        <v/>
      </c>
      <c r="D276" s="62">
        <f>IFERROR(INDEX(tbl_Finance[Client],$A276),"")</f>
        <v/>
      </c>
      <c r="E276" s="62">
        <f>IFERROR(INDEX(tbl_Finance[Job Number],$A276),"")</f>
        <v/>
      </c>
      <c r="F276" s="62">
        <f>IFERROR(INDEX(tbl_Finance[Cost Centre],$A276),"")</f>
        <v/>
      </c>
      <c r="G276" s="63">
        <f>IFERROR(INDEX(tbl_Finance[Ex GST],$A276),"")</f>
        <v/>
      </c>
      <c r="H276" s="61">
        <f>IFERROR(INDEX(tbl_Finance[Defer Start],$A276),"")</f>
        <v/>
      </c>
      <c r="I276" s="61">
        <f>IFERROR(INDEX(tbl_Finance[Defer End],$A276),"")</f>
        <v/>
      </c>
      <c r="J276" s="60">
        <f>IF(OR($H276="",$I276="",$G276=""),"",MAX(1,(YEAR($I276)-YEAR($H276))*12+MONTH($I276)-MONTH($H276)+1))</f>
        <v/>
      </c>
      <c r="K276" s="63">
        <f>IF($J276="","",$G276/$J276)</f>
        <v/>
      </c>
      <c r="L276" s="63">
        <f>IF($J276="",0,$K276*MAX(0,MIN(YEAR($C$3)*12+MONTH($C$3),YEAR($I276)*12+MONTH($I276))-(YEAR($H276)*12+MONTH($H276))+1))</f>
        <v/>
      </c>
      <c r="M276" s="63">
        <f>IF($J276="",0,$K276*MAX(0,MIN(YEAR($C$3)*12+MONTH($C$3)-1,YEAR($I276)*12+MONTH($I276))-(YEAR($H276)*12+MONTH($H276))+1))</f>
        <v/>
      </c>
      <c r="N276" s="63">
        <f>IF(OR($J276="",$B276=""),0,IF(YEAR($B276)*12+MONTH($B276)&lt;=YEAR($C$3)*12+MONTH($C$3),$G276,0))</f>
        <v/>
      </c>
      <c r="O276" s="63">
        <f>IF(OR($J276="",$B276=""),0,IF(YEAR($B276)*12+MONTH($B276)&lt;=YEAR($C$3)*12+MONTH($C$3)-1,$G276,0))</f>
        <v/>
      </c>
      <c r="P276" s="63">
        <f>$M276-$O276</f>
        <v/>
      </c>
      <c r="Q276" s="63">
        <f>($L276-$M276)-($N276-$O276)</f>
        <v/>
      </c>
      <c r="R276" s="63">
        <f>$L276-$N276</f>
        <v/>
      </c>
    </row>
    <row r="277">
      <c r="A277" s="60">
        <f>ROW()-5</f>
        <v/>
      </c>
      <c r="B277" s="61">
        <f>IFERROR(INDEX(tbl_Finance[Date],$A277),"")</f>
        <v/>
      </c>
      <c r="C277" s="62">
        <f>IFERROR(INDEX(tbl_Finance[Xero Invoice No],$A277),"")</f>
        <v/>
      </c>
      <c r="D277" s="62">
        <f>IFERROR(INDEX(tbl_Finance[Client],$A277),"")</f>
        <v/>
      </c>
      <c r="E277" s="62">
        <f>IFERROR(INDEX(tbl_Finance[Job Number],$A277),"")</f>
        <v/>
      </c>
      <c r="F277" s="62">
        <f>IFERROR(INDEX(tbl_Finance[Cost Centre],$A277),"")</f>
        <v/>
      </c>
      <c r="G277" s="63">
        <f>IFERROR(INDEX(tbl_Finance[Ex GST],$A277),"")</f>
        <v/>
      </c>
      <c r="H277" s="61">
        <f>IFERROR(INDEX(tbl_Finance[Defer Start],$A277),"")</f>
        <v/>
      </c>
      <c r="I277" s="61">
        <f>IFERROR(INDEX(tbl_Finance[Defer End],$A277),"")</f>
        <v/>
      </c>
      <c r="J277" s="60">
        <f>IF(OR($H277="",$I277="",$G277=""),"",MAX(1,(YEAR($I277)-YEAR($H277))*12+MONTH($I277)-MONTH($H277)+1))</f>
        <v/>
      </c>
      <c r="K277" s="63">
        <f>IF($J277="","",$G277/$J277)</f>
        <v/>
      </c>
      <c r="L277" s="63">
        <f>IF($J277="",0,$K277*MAX(0,MIN(YEAR($C$3)*12+MONTH($C$3),YEAR($I277)*12+MONTH($I277))-(YEAR($H277)*12+MONTH($H277))+1))</f>
        <v/>
      </c>
      <c r="M277" s="63">
        <f>IF($J277="",0,$K277*MAX(0,MIN(YEAR($C$3)*12+MONTH($C$3)-1,YEAR($I277)*12+MONTH($I277))-(YEAR($H277)*12+MONTH($H277))+1))</f>
        <v/>
      </c>
      <c r="N277" s="63">
        <f>IF(OR($J277="",$B277=""),0,IF(YEAR($B277)*12+MONTH($B277)&lt;=YEAR($C$3)*12+MONTH($C$3),$G277,0))</f>
        <v/>
      </c>
      <c r="O277" s="63">
        <f>IF(OR($J277="",$B277=""),0,IF(YEAR($B277)*12+MONTH($B277)&lt;=YEAR($C$3)*12+MONTH($C$3)-1,$G277,0))</f>
        <v/>
      </c>
      <c r="P277" s="63">
        <f>$M277-$O277</f>
        <v/>
      </c>
      <c r="Q277" s="63">
        <f>($L277-$M277)-($N277-$O277)</f>
        <v/>
      </c>
      <c r="R277" s="63">
        <f>$L277-$N277</f>
        <v/>
      </c>
    </row>
    <row r="278">
      <c r="A278" s="60">
        <f>ROW()-5</f>
        <v/>
      </c>
      <c r="B278" s="61">
        <f>IFERROR(INDEX(tbl_Finance[Date],$A278),"")</f>
        <v/>
      </c>
      <c r="C278" s="62">
        <f>IFERROR(INDEX(tbl_Finance[Xero Invoice No],$A278),"")</f>
        <v/>
      </c>
      <c r="D278" s="62">
        <f>IFERROR(INDEX(tbl_Finance[Client],$A278),"")</f>
        <v/>
      </c>
      <c r="E278" s="62">
        <f>IFERROR(INDEX(tbl_Finance[Job Number],$A278),"")</f>
        <v/>
      </c>
      <c r="F278" s="62">
        <f>IFERROR(INDEX(tbl_Finance[Cost Centre],$A278),"")</f>
        <v/>
      </c>
      <c r="G278" s="63">
        <f>IFERROR(INDEX(tbl_Finance[Ex GST],$A278),"")</f>
        <v/>
      </c>
      <c r="H278" s="61">
        <f>IFERROR(INDEX(tbl_Finance[Defer Start],$A278),"")</f>
        <v/>
      </c>
      <c r="I278" s="61">
        <f>IFERROR(INDEX(tbl_Finance[Defer End],$A278),"")</f>
        <v/>
      </c>
      <c r="J278" s="60">
        <f>IF(OR($H278="",$I278="",$G278=""),"",MAX(1,(YEAR($I278)-YEAR($H278))*12+MONTH($I278)-MONTH($H278)+1))</f>
        <v/>
      </c>
      <c r="K278" s="63">
        <f>IF($J278="","",$G278/$J278)</f>
        <v/>
      </c>
      <c r="L278" s="63">
        <f>IF($J278="",0,$K278*MAX(0,MIN(YEAR($C$3)*12+MONTH($C$3),YEAR($I278)*12+MONTH($I278))-(YEAR($H278)*12+MONTH($H278))+1))</f>
        <v/>
      </c>
      <c r="M278" s="63">
        <f>IF($J278="",0,$K278*MAX(0,MIN(YEAR($C$3)*12+MONTH($C$3)-1,YEAR($I278)*12+MONTH($I278))-(YEAR($H278)*12+MONTH($H278))+1))</f>
        <v/>
      </c>
      <c r="N278" s="63">
        <f>IF(OR($J278="",$B278=""),0,IF(YEAR($B278)*12+MONTH($B278)&lt;=YEAR($C$3)*12+MONTH($C$3),$G278,0))</f>
        <v/>
      </c>
      <c r="O278" s="63">
        <f>IF(OR($J278="",$B278=""),0,IF(YEAR($B278)*12+MONTH($B278)&lt;=YEAR($C$3)*12+MONTH($C$3)-1,$G278,0))</f>
        <v/>
      </c>
      <c r="P278" s="63">
        <f>$M278-$O278</f>
        <v/>
      </c>
      <c r="Q278" s="63">
        <f>($L278-$M278)-($N278-$O278)</f>
        <v/>
      </c>
      <c r="R278" s="63">
        <f>$L278-$N278</f>
        <v/>
      </c>
    </row>
    <row r="279">
      <c r="A279" s="60">
        <f>ROW()-5</f>
        <v/>
      </c>
      <c r="B279" s="61">
        <f>IFERROR(INDEX(tbl_Finance[Date],$A279),"")</f>
        <v/>
      </c>
      <c r="C279" s="62">
        <f>IFERROR(INDEX(tbl_Finance[Xero Invoice No],$A279),"")</f>
        <v/>
      </c>
      <c r="D279" s="62">
        <f>IFERROR(INDEX(tbl_Finance[Client],$A279),"")</f>
        <v/>
      </c>
      <c r="E279" s="62">
        <f>IFERROR(INDEX(tbl_Finance[Job Number],$A279),"")</f>
        <v/>
      </c>
      <c r="F279" s="62">
        <f>IFERROR(INDEX(tbl_Finance[Cost Centre],$A279),"")</f>
        <v/>
      </c>
      <c r="G279" s="63">
        <f>IFERROR(INDEX(tbl_Finance[Ex GST],$A279),"")</f>
        <v/>
      </c>
      <c r="H279" s="61">
        <f>IFERROR(INDEX(tbl_Finance[Defer Start],$A279),"")</f>
        <v/>
      </c>
      <c r="I279" s="61">
        <f>IFERROR(INDEX(tbl_Finance[Defer End],$A279),"")</f>
        <v/>
      </c>
      <c r="J279" s="60">
        <f>IF(OR($H279="",$I279="",$G279=""),"",MAX(1,(YEAR($I279)-YEAR($H279))*12+MONTH($I279)-MONTH($H279)+1))</f>
        <v/>
      </c>
      <c r="K279" s="63">
        <f>IF($J279="","",$G279/$J279)</f>
        <v/>
      </c>
      <c r="L279" s="63">
        <f>IF($J279="",0,$K279*MAX(0,MIN(YEAR($C$3)*12+MONTH($C$3),YEAR($I279)*12+MONTH($I279))-(YEAR($H279)*12+MONTH($H279))+1))</f>
        <v/>
      </c>
      <c r="M279" s="63">
        <f>IF($J279="",0,$K279*MAX(0,MIN(YEAR($C$3)*12+MONTH($C$3)-1,YEAR($I279)*12+MONTH($I279))-(YEAR($H279)*12+MONTH($H279))+1))</f>
        <v/>
      </c>
      <c r="N279" s="63">
        <f>IF(OR($J279="",$B279=""),0,IF(YEAR($B279)*12+MONTH($B279)&lt;=YEAR($C$3)*12+MONTH($C$3),$G279,0))</f>
        <v/>
      </c>
      <c r="O279" s="63">
        <f>IF(OR($J279="",$B279=""),0,IF(YEAR($B279)*12+MONTH($B279)&lt;=YEAR($C$3)*12+MONTH($C$3)-1,$G279,0))</f>
        <v/>
      </c>
      <c r="P279" s="63">
        <f>$M279-$O279</f>
        <v/>
      </c>
      <c r="Q279" s="63">
        <f>($L279-$M279)-($N279-$O279)</f>
        <v/>
      </c>
      <c r="R279" s="63">
        <f>$L279-$N279</f>
        <v/>
      </c>
    </row>
    <row r="280">
      <c r="A280" s="60">
        <f>ROW()-5</f>
        <v/>
      </c>
      <c r="B280" s="61">
        <f>IFERROR(INDEX(tbl_Finance[Date],$A280),"")</f>
        <v/>
      </c>
      <c r="C280" s="62">
        <f>IFERROR(INDEX(tbl_Finance[Xero Invoice No],$A280),"")</f>
        <v/>
      </c>
      <c r="D280" s="62">
        <f>IFERROR(INDEX(tbl_Finance[Client],$A280),"")</f>
        <v/>
      </c>
      <c r="E280" s="62">
        <f>IFERROR(INDEX(tbl_Finance[Job Number],$A280),"")</f>
        <v/>
      </c>
      <c r="F280" s="62">
        <f>IFERROR(INDEX(tbl_Finance[Cost Centre],$A280),"")</f>
        <v/>
      </c>
      <c r="G280" s="63">
        <f>IFERROR(INDEX(tbl_Finance[Ex GST],$A280),"")</f>
        <v/>
      </c>
      <c r="H280" s="61">
        <f>IFERROR(INDEX(tbl_Finance[Defer Start],$A280),"")</f>
        <v/>
      </c>
      <c r="I280" s="61">
        <f>IFERROR(INDEX(tbl_Finance[Defer End],$A280),"")</f>
        <v/>
      </c>
      <c r="J280" s="60">
        <f>IF(OR($H280="",$I280="",$G280=""),"",MAX(1,(YEAR($I280)-YEAR($H280))*12+MONTH($I280)-MONTH($H280)+1))</f>
        <v/>
      </c>
      <c r="K280" s="63">
        <f>IF($J280="","",$G280/$J280)</f>
        <v/>
      </c>
      <c r="L280" s="63">
        <f>IF($J280="",0,$K280*MAX(0,MIN(YEAR($C$3)*12+MONTH($C$3),YEAR($I280)*12+MONTH($I280))-(YEAR($H280)*12+MONTH($H280))+1))</f>
        <v/>
      </c>
      <c r="M280" s="63">
        <f>IF($J280="",0,$K280*MAX(0,MIN(YEAR($C$3)*12+MONTH($C$3)-1,YEAR($I280)*12+MONTH($I280))-(YEAR($H280)*12+MONTH($H280))+1))</f>
        <v/>
      </c>
      <c r="N280" s="63">
        <f>IF(OR($J280="",$B280=""),0,IF(YEAR($B280)*12+MONTH($B280)&lt;=YEAR($C$3)*12+MONTH($C$3),$G280,0))</f>
        <v/>
      </c>
      <c r="O280" s="63">
        <f>IF(OR($J280="",$B280=""),0,IF(YEAR($B280)*12+MONTH($B280)&lt;=YEAR($C$3)*12+MONTH($C$3)-1,$G280,0))</f>
        <v/>
      </c>
      <c r="P280" s="63">
        <f>$M280-$O280</f>
        <v/>
      </c>
      <c r="Q280" s="63">
        <f>($L280-$M280)-($N280-$O280)</f>
        <v/>
      </c>
      <c r="R280" s="63">
        <f>$L280-$N280</f>
        <v/>
      </c>
    </row>
    <row r="281">
      <c r="A281" s="60">
        <f>ROW()-5</f>
        <v/>
      </c>
      <c r="B281" s="61">
        <f>IFERROR(INDEX(tbl_Finance[Date],$A281),"")</f>
        <v/>
      </c>
      <c r="C281" s="62">
        <f>IFERROR(INDEX(tbl_Finance[Xero Invoice No],$A281),"")</f>
        <v/>
      </c>
      <c r="D281" s="62">
        <f>IFERROR(INDEX(tbl_Finance[Client],$A281),"")</f>
        <v/>
      </c>
      <c r="E281" s="62">
        <f>IFERROR(INDEX(tbl_Finance[Job Number],$A281),"")</f>
        <v/>
      </c>
      <c r="F281" s="62">
        <f>IFERROR(INDEX(tbl_Finance[Cost Centre],$A281),"")</f>
        <v/>
      </c>
      <c r="G281" s="63">
        <f>IFERROR(INDEX(tbl_Finance[Ex GST],$A281),"")</f>
        <v/>
      </c>
      <c r="H281" s="61">
        <f>IFERROR(INDEX(tbl_Finance[Defer Start],$A281),"")</f>
        <v/>
      </c>
      <c r="I281" s="61">
        <f>IFERROR(INDEX(tbl_Finance[Defer End],$A281),"")</f>
        <v/>
      </c>
      <c r="J281" s="60">
        <f>IF(OR($H281="",$I281="",$G281=""),"",MAX(1,(YEAR($I281)-YEAR($H281))*12+MONTH($I281)-MONTH($H281)+1))</f>
        <v/>
      </c>
      <c r="K281" s="63">
        <f>IF($J281="","",$G281/$J281)</f>
        <v/>
      </c>
      <c r="L281" s="63">
        <f>IF($J281="",0,$K281*MAX(0,MIN(YEAR($C$3)*12+MONTH($C$3),YEAR($I281)*12+MONTH($I281))-(YEAR($H281)*12+MONTH($H281))+1))</f>
        <v/>
      </c>
      <c r="M281" s="63">
        <f>IF($J281="",0,$K281*MAX(0,MIN(YEAR($C$3)*12+MONTH($C$3)-1,YEAR($I281)*12+MONTH($I281))-(YEAR($H281)*12+MONTH($H281))+1))</f>
        <v/>
      </c>
      <c r="N281" s="63">
        <f>IF(OR($J281="",$B281=""),0,IF(YEAR($B281)*12+MONTH($B281)&lt;=YEAR($C$3)*12+MONTH($C$3),$G281,0))</f>
        <v/>
      </c>
      <c r="O281" s="63">
        <f>IF(OR($J281="",$B281=""),0,IF(YEAR($B281)*12+MONTH($B281)&lt;=YEAR($C$3)*12+MONTH($C$3)-1,$G281,0))</f>
        <v/>
      </c>
      <c r="P281" s="63">
        <f>$M281-$O281</f>
        <v/>
      </c>
      <c r="Q281" s="63">
        <f>($L281-$M281)-($N281-$O281)</f>
        <v/>
      </c>
      <c r="R281" s="63">
        <f>$L281-$N281</f>
        <v/>
      </c>
    </row>
    <row r="282">
      <c r="A282" s="60">
        <f>ROW()-5</f>
        <v/>
      </c>
      <c r="B282" s="61">
        <f>IFERROR(INDEX(tbl_Finance[Date],$A282),"")</f>
        <v/>
      </c>
      <c r="C282" s="62">
        <f>IFERROR(INDEX(tbl_Finance[Xero Invoice No],$A282),"")</f>
        <v/>
      </c>
      <c r="D282" s="62">
        <f>IFERROR(INDEX(tbl_Finance[Client],$A282),"")</f>
        <v/>
      </c>
      <c r="E282" s="62">
        <f>IFERROR(INDEX(tbl_Finance[Job Number],$A282),"")</f>
        <v/>
      </c>
      <c r="F282" s="62">
        <f>IFERROR(INDEX(tbl_Finance[Cost Centre],$A282),"")</f>
        <v/>
      </c>
      <c r="G282" s="63">
        <f>IFERROR(INDEX(tbl_Finance[Ex GST],$A282),"")</f>
        <v/>
      </c>
      <c r="H282" s="61">
        <f>IFERROR(INDEX(tbl_Finance[Defer Start],$A282),"")</f>
        <v/>
      </c>
      <c r="I282" s="61">
        <f>IFERROR(INDEX(tbl_Finance[Defer End],$A282),"")</f>
        <v/>
      </c>
      <c r="J282" s="60">
        <f>IF(OR($H282="",$I282="",$G282=""),"",MAX(1,(YEAR($I282)-YEAR($H282))*12+MONTH($I282)-MONTH($H282)+1))</f>
        <v/>
      </c>
      <c r="K282" s="63">
        <f>IF($J282="","",$G282/$J282)</f>
        <v/>
      </c>
      <c r="L282" s="63">
        <f>IF($J282="",0,$K282*MAX(0,MIN(YEAR($C$3)*12+MONTH($C$3),YEAR($I282)*12+MONTH($I282))-(YEAR($H282)*12+MONTH($H282))+1))</f>
        <v/>
      </c>
      <c r="M282" s="63">
        <f>IF($J282="",0,$K282*MAX(0,MIN(YEAR($C$3)*12+MONTH($C$3)-1,YEAR($I282)*12+MONTH($I282))-(YEAR($H282)*12+MONTH($H282))+1))</f>
        <v/>
      </c>
      <c r="N282" s="63">
        <f>IF(OR($J282="",$B282=""),0,IF(YEAR($B282)*12+MONTH($B282)&lt;=YEAR($C$3)*12+MONTH($C$3),$G282,0))</f>
        <v/>
      </c>
      <c r="O282" s="63">
        <f>IF(OR($J282="",$B282=""),0,IF(YEAR($B282)*12+MONTH($B282)&lt;=YEAR($C$3)*12+MONTH($C$3)-1,$G282,0))</f>
        <v/>
      </c>
      <c r="P282" s="63">
        <f>$M282-$O282</f>
        <v/>
      </c>
      <c r="Q282" s="63">
        <f>($L282-$M282)-($N282-$O282)</f>
        <v/>
      </c>
      <c r="R282" s="63">
        <f>$L282-$N282</f>
        <v/>
      </c>
    </row>
    <row r="283">
      <c r="A283" s="60">
        <f>ROW()-5</f>
        <v/>
      </c>
      <c r="B283" s="61">
        <f>IFERROR(INDEX(tbl_Finance[Date],$A283),"")</f>
        <v/>
      </c>
      <c r="C283" s="62">
        <f>IFERROR(INDEX(tbl_Finance[Xero Invoice No],$A283),"")</f>
        <v/>
      </c>
      <c r="D283" s="62">
        <f>IFERROR(INDEX(tbl_Finance[Client],$A283),"")</f>
        <v/>
      </c>
      <c r="E283" s="62">
        <f>IFERROR(INDEX(tbl_Finance[Job Number],$A283),"")</f>
        <v/>
      </c>
      <c r="F283" s="62">
        <f>IFERROR(INDEX(tbl_Finance[Cost Centre],$A283),"")</f>
        <v/>
      </c>
      <c r="G283" s="63">
        <f>IFERROR(INDEX(tbl_Finance[Ex GST],$A283),"")</f>
        <v/>
      </c>
      <c r="H283" s="61">
        <f>IFERROR(INDEX(tbl_Finance[Defer Start],$A283),"")</f>
        <v/>
      </c>
      <c r="I283" s="61">
        <f>IFERROR(INDEX(tbl_Finance[Defer End],$A283),"")</f>
        <v/>
      </c>
      <c r="J283" s="60">
        <f>IF(OR($H283="",$I283="",$G283=""),"",MAX(1,(YEAR($I283)-YEAR($H283))*12+MONTH($I283)-MONTH($H283)+1))</f>
        <v/>
      </c>
      <c r="K283" s="63">
        <f>IF($J283="","",$G283/$J283)</f>
        <v/>
      </c>
      <c r="L283" s="63">
        <f>IF($J283="",0,$K283*MAX(0,MIN(YEAR($C$3)*12+MONTH($C$3),YEAR($I283)*12+MONTH($I283))-(YEAR($H283)*12+MONTH($H283))+1))</f>
        <v/>
      </c>
      <c r="M283" s="63">
        <f>IF($J283="",0,$K283*MAX(0,MIN(YEAR($C$3)*12+MONTH($C$3)-1,YEAR($I283)*12+MONTH($I283))-(YEAR($H283)*12+MONTH($H283))+1))</f>
        <v/>
      </c>
      <c r="N283" s="63">
        <f>IF(OR($J283="",$B283=""),0,IF(YEAR($B283)*12+MONTH($B283)&lt;=YEAR($C$3)*12+MONTH($C$3),$G283,0))</f>
        <v/>
      </c>
      <c r="O283" s="63">
        <f>IF(OR($J283="",$B283=""),0,IF(YEAR($B283)*12+MONTH($B283)&lt;=YEAR($C$3)*12+MONTH($C$3)-1,$G283,0))</f>
        <v/>
      </c>
      <c r="P283" s="63">
        <f>$M283-$O283</f>
        <v/>
      </c>
      <c r="Q283" s="63">
        <f>($L283-$M283)-($N283-$O283)</f>
        <v/>
      </c>
      <c r="R283" s="63">
        <f>$L283-$N283</f>
        <v/>
      </c>
    </row>
    <row r="284">
      <c r="A284" s="60">
        <f>ROW()-5</f>
        <v/>
      </c>
      <c r="B284" s="61">
        <f>IFERROR(INDEX(tbl_Finance[Date],$A284),"")</f>
        <v/>
      </c>
      <c r="C284" s="62">
        <f>IFERROR(INDEX(tbl_Finance[Xero Invoice No],$A284),"")</f>
        <v/>
      </c>
      <c r="D284" s="62">
        <f>IFERROR(INDEX(tbl_Finance[Client],$A284),"")</f>
        <v/>
      </c>
      <c r="E284" s="62">
        <f>IFERROR(INDEX(tbl_Finance[Job Number],$A284),"")</f>
        <v/>
      </c>
      <c r="F284" s="62">
        <f>IFERROR(INDEX(tbl_Finance[Cost Centre],$A284),"")</f>
        <v/>
      </c>
      <c r="G284" s="63">
        <f>IFERROR(INDEX(tbl_Finance[Ex GST],$A284),"")</f>
        <v/>
      </c>
      <c r="H284" s="61">
        <f>IFERROR(INDEX(tbl_Finance[Defer Start],$A284),"")</f>
        <v/>
      </c>
      <c r="I284" s="61">
        <f>IFERROR(INDEX(tbl_Finance[Defer End],$A284),"")</f>
        <v/>
      </c>
      <c r="J284" s="60">
        <f>IF(OR($H284="",$I284="",$G284=""),"",MAX(1,(YEAR($I284)-YEAR($H284))*12+MONTH($I284)-MONTH($H284)+1))</f>
        <v/>
      </c>
      <c r="K284" s="63">
        <f>IF($J284="","",$G284/$J284)</f>
        <v/>
      </c>
      <c r="L284" s="63">
        <f>IF($J284="",0,$K284*MAX(0,MIN(YEAR($C$3)*12+MONTH($C$3),YEAR($I284)*12+MONTH($I284))-(YEAR($H284)*12+MONTH($H284))+1))</f>
        <v/>
      </c>
      <c r="M284" s="63">
        <f>IF($J284="",0,$K284*MAX(0,MIN(YEAR($C$3)*12+MONTH($C$3)-1,YEAR($I284)*12+MONTH($I284))-(YEAR($H284)*12+MONTH($H284))+1))</f>
        <v/>
      </c>
      <c r="N284" s="63">
        <f>IF(OR($J284="",$B284=""),0,IF(YEAR($B284)*12+MONTH($B284)&lt;=YEAR($C$3)*12+MONTH($C$3),$G284,0))</f>
        <v/>
      </c>
      <c r="O284" s="63">
        <f>IF(OR($J284="",$B284=""),0,IF(YEAR($B284)*12+MONTH($B284)&lt;=YEAR($C$3)*12+MONTH($C$3)-1,$G284,0))</f>
        <v/>
      </c>
      <c r="P284" s="63">
        <f>$M284-$O284</f>
        <v/>
      </c>
      <c r="Q284" s="63">
        <f>($L284-$M284)-($N284-$O284)</f>
        <v/>
      </c>
      <c r="R284" s="63">
        <f>$L284-$N284</f>
        <v/>
      </c>
    </row>
    <row r="285">
      <c r="A285" s="60">
        <f>ROW()-5</f>
        <v/>
      </c>
      <c r="B285" s="61">
        <f>IFERROR(INDEX(tbl_Finance[Date],$A285),"")</f>
        <v/>
      </c>
      <c r="C285" s="62">
        <f>IFERROR(INDEX(tbl_Finance[Xero Invoice No],$A285),"")</f>
        <v/>
      </c>
      <c r="D285" s="62">
        <f>IFERROR(INDEX(tbl_Finance[Client],$A285),"")</f>
        <v/>
      </c>
      <c r="E285" s="62">
        <f>IFERROR(INDEX(tbl_Finance[Job Number],$A285),"")</f>
        <v/>
      </c>
      <c r="F285" s="62">
        <f>IFERROR(INDEX(tbl_Finance[Cost Centre],$A285),"")</f>
        <v/>
      </c>
      <c r="G285" s="63">
        <f>IFERROR(INDEX(tbl_Finance[Ex GST],$A285),"")</f>
        <v/>
      </c>
      <c r="H285" s="61">
        <f>IFERROR(INDEX(tbl_Finance[Defer Start],$A285),"")</f>
        <v/>
      </c>
      <c r="I285" s="61">
        <f>IFERROR(INDEX(tbl_Finance[Defer End],$A285),"")</f>
        <v/>
      </c>
      <c r="J285" s="60">
        <f>IF(OR($H285="",$I285="",$G285=""),"",MAX(1,(YEAR($I285)-YEAR($H285))*12+MONTH($I285)-MONTH($H285)+1))</f>
        <v/>
      </c>
      <c r="K285" s="63">
        <f>IF($J285="","",$G285/$J285)</f>
        <v/>
      </c>
      <c r="L285" s="63">
        <f>IF($J285="",0,$K285*MAX(0,MIN(YEAR($C$3)*12+MONTH($C$3),YEAR($I285)*12+MONTH($I285))-(YEAR($H285)*12+MONTH($H285))+1))</f>
        <v/>
      </c>
      <c r="M285" s="63">
        <f>IF($J285="",0,$K285*MAX(0,MIN(YEAR($C$3)*12+MONTH($C$3)-1,YEAR($I285)*12+MONTH($I285))-(YEAR($H285)*12+MONTH($H285))+1))</f>
        <v/>
      </c>
      <c r="N285" s="63">
        <f>IF(OR($J285="",$B285=""),0,IF(YEAR($B285)*12+MONTH($B285)&lt;=YEAR($C$3)*12+MONTH($C$3),$G285,0))</f>
        <v/>
      </c>
      <c r="O285" s="63">
        <f>IF(OR($J285="",$B285=""),0,IF(YEAR($B285)*12+MONTH($B285)&lt;=YEAR($C$3)*12+MONTH($C$3)-1,$G285,0))</f>
        <v/>
      </c>
      <c r="P285" s="63">
        <f>$M285-$O285</f>
        <v/>
      </c>
      <c r="Q285" s="63">
        <f>($L285-$M285)-($N285-$O285)</f>
        <v/>
      </c>
      <c r="R285" s="63">
        <f>$L285-$N285</f>
        <v/>
      </c>
    </row>
    <row r="286">
      <c r="A286" s="60">
        <f>ROW()-5</f>
        <v/>
      </c>
      <c r="B286" s="61">
        <f>IFERROR(INDEX(tbl_Finance[Date],$A286),"")</f>
        <v/>
      </c>
      <c r="C286" s="62">
        <f>IFERROR(INDEX(tbl_Finance[Xero Invoice No],$A286),"")</f>
        <v/>
      </c>
      <c r="D286" s="62">
        <f>IFERROR(INDEX(tbl_Finance[Client],$A286),"")</f>
        <v/>
      </c>
      <c r="E286" s="62">
        <f>IFERROR(INDEX(tbl_Finance[Job Number],$A286),"")</f>
        <v/>
      </c>
      <c r="F286" s="62">
        <f>IFERROR(INDEX(tbl_Finance[Cost Centre],$A286),"")</f>
        <v/>
      </c>
      <c r="G286" s="63">
        <f>IFERROR(INDEX(tbl_Finance[Ex GST],$A286),"")</f>
        <v/>
      </c>
      <c r="H286" s="61">
        <f>IFERROR(INDEX(tbl_Finance[Defer Start],$A286),"")</f>
        <v/>
      </c>
      <c r="I286" s="61">
        <f>IFERROR(INDEX(tbl_Finance[Defer End],$A286),"")</f>
        <v/>
      </c>
      <c r="J286" s="60">
        <f>IF(OR($H286="",$I286="",$G286=""),"",MAX(1,(YEAR($I286)-YEAR($H286))*12+MONTH($I286)-MONTH($H286)+1))</f>
        <v/>
      </c>
      <c r="K286" s="63">
        <f>IF($J286="","",$G286/$J286)</f>
        <v/>
      </c>
      <c r="L286" s="63">
        <f>IF($J286="",0,$K286*MAX(0,MIN(YEAR($C$3)*12+MONTH($C$3),YEAR($I286)*12+MONTH($I286))-(YEAR($H286)*12+MONTH($H286))+1))</f>
        <v/>
      </c>
      <c r="M286" s="63">
        <f>IF($J286="",0,$K286*MAX(0,MIN(YEAR($C$3)*12+MONTH($C$3)-1,YEAR($I286)*12+MONTH($I286))-(YEAR($H286)*12+MONTH($H286))+1))</f>
        <v/>
      </c>
      <c r="N286" s="63">
        <f>IF(OR($J286="",$B286=""),0,IF(YEAR($B286)*12+MONTH($B286)&lt;=YEAR($C$3)*12+MONTH($C$3),$G286,0))</f>
        <v/>
      </c>
      <c r="O286" s="63">
        <f>IF(OR($J286="",$B286=""),0,IF(YEAR($B286)*12+MONTH($B286)&lt;=YEAR($C$3)*12+MONTH($C$3)-1,$G286,0))</f>
        <v/>
      </c>
      <c r="P286" s="63">
        <f>$M286-$O286</f>
        <v/>
      </c>
      <c r="Q286" s="63">
        <f>($L286-$M286)-($N286-$O286)</f>
        <v/>
      </c>
      <c r="R286" s="63">
        <f>$L286-$N286</f>
        <v/>
      </c>
    </row>
    <row r="287">
      <c r="A287" s="60">
        <f>ROW()-5</f>
        <v/>
      </c>
      <c r="B287" s="61">
        <f>IFERROR(INDEX(tbl_Finance[Date],$A287),"")</f>
        <v/>
      </c>
      <c r="C287" s="62">
        <f>IFERROR(INDEX(tbl_Finance[Xero Invoice No],$A287),"")</f>
        <v/>
      </c>
      <c r="D287" s="62">
        <f>IFERROR(INDEX(tbl_Finance[Client],$A287),"")</f>
        <v/>
      </c>
      <c r="E287" s="62">
        <f>IFERROR(INDEX(tbl_Finance[Job Number],$A287),"")</f>
        <v/>
      </c>
      <c r="F287" s="62">
        <f>IFERROR(INDEX(tbl_Finance[Cost Centre],$A287),"")</f>
        <v/>
      </c>
      <c r="G287" s="63">
        <f>IFERROR(INDEX(tbl_Finance[Ex GST],$A287),"")</f>
        <v/>
      </c>
      <c r="H287" s="61">
        <f>IFERROR(INDEX(tbl_Finance[Defer Start],$A287),"")</f>
        <v/>
      </c>
      <c r="I287" s="61">
        <f>IFERROR(INDEX(tbl_Finance[Defer End],$A287),"")</f>
        <v/>
      </c>
      <c r="J287" s="60">
        <f>IF(OR($H287="",$I287="",$G287=""),"",MAX(1,(YEAR($I287)-YEAR($H287))*12+MONTH($I287)-MONTH($H287)+1))</f>
        <v/>
      </c>
      <c r="K287" s="63">
        <f>IF($J287="","",$G287/$J287)</f>
        <v/>
      </c>
      <c r="L287" s="63">
        <f>IF($J287="",0,$K287*MAX(0,MIN(YEAR($C$3)*12+MONTH($C$3),YEAR($I287)*12+MONTH($I287))-(YEAR($H287)*12+MONTH($H287))+1))</f>
        <v/>
      </c>
      <c r="M287" s="63">
        <f>IF($J287="",0,$K287*MAX(0,MIN(YEAR($C$3)*12+MONTH($C$3)-1,YEAR($I287)*12+MONTH($I287))-(YEAR($H287)*12+MONTH($H287))+1))</f>
        <v/>
      </c>
      <c r="N287" s="63">
        <f>IF(OR($J287="",$B287=""),0,IF(YEAR($B287)*12+MONTH($B287)&lt;=YEAR($C$3)*12+MONTH($C$3),$G287,0))</f>
        <v/>
      </c>
      <c r="O287" s="63">
        <f>IF(OR($J287="",$B287=""),0,IF(YEAR($B287)*12+MONTH($B287)&lt;=YEAR($C$3)*12+MONTH($C$3)-1,$G287,0))</f>
        <v/>
      </c>
      <c r="P287" s="63">
        <f>$M287-$O287</f>
        <v/>
      </c>
      <c r="Q287" s="63">
        <f>($L287-$M287)-($N287-$O287)</f>
        <v/>
      </c>
      <c r="R287" s="63">
        <f>$L287-$N287</f>
        <v/>
      </c>
    </row>
    <row r="288">
      <c r="A288" s="60">
        <f>ROW()-5</f>
        <v/>
      </c>
      <c r="B288" s="61">
        <f>IFERROR(INDEX(tbl_Finance[Date],$A288),"")</f>
        <v/>
      </c>
      <c r="C288" s="62">
        <f>IFERROR(INDEX(tbl_Finance[Xero Invoice No],$A288),"")</f>
        <v/>
      </c>
      <c r="D288" s="62">
        <f>IFERROR(INDEX(tbl_Finance[Client],$A288),"")</f>
        <v/>
      </c>
      <c r="E288" s="62">
        <f>IFERROR(INDEX(tbl_Finance[Job Number],$A288),"")</f>
        <v/>
      </c>
      <c r="F288" s="62">
        <f>IFERROR(INDEX(tbl_Finance[Cost Centre],$A288),"")</f>
        <v/>
      </c>
      <c r="G288" s="63">
        <f>IFERROR(INDEX(tbl_Finance[Ex GST],$A288),"")</f>
        <v/>
      </c>
      <c r="H288" s="61">
        <f>IFERROR(INDEX(tbl_Finance[Defer Start],$A288),"")</f>
        <v/>
      </c>
      <c r="I288" s="61">
        <f>IFERROR(INDEX(tbl_Finance[Defer End],$A288),"")</f>
        <v/>
      </c>
      <c r="J288" s="60">
        <f>IF(OR($H288="",$I288="",$G288=""),"",MAX(1,(YEAR($I288)-YEAR($H288))*12+MONTH($I288)-MONTH($H288)+1))</f>
        <v/>
      </c>
      <c r="K288" s="63">
        <f>IF($J288="","",$G288/$J288)</f>
        <v/>
      </c>
      <c r="L288" s="63">
        <f>IF($J288="",0,$K288*MAX(0,MIN(YEAR($C$3)*12+MONTH($C$3),YEAR($I288)*12+MONTH($I288))-(YEAR($H288)*12+MONTH($H288))+1))</f>
        <v/>
      </c>
      <c r="M288" s="63">
        <f>IF($J288="",0,$K288*MAX(0,MIN(YEAR($C$3)*12+MONTH($C$3)-1,YEAR($I288)*12+MONTH($I288))-(YEAR($H288)*12+MONTH($H288))+1))</f>
        <v/>
      </c>
      <c r="N288" s="63">
        <f>IF(OR($J288="",$B288=""),0,IF(YEAR($B288)*12+MONTH($B288)&lt;=YEAR($C$3)*12+MONTH($C$3),$G288,0))</f>
        <v/>
      </c>
      <c r="O288" s="63">
        <f>IF(OR($J288="",$B288=""),0,IF(YEAR($B288)*12+MONTH($B288)&lt;=YEAR($C$3)*12+MONTH($C$3)-1,$G288,0))</f>
        <v/>
      </c>
      <c r="P288" s="63">
        <f>$M288-$O288</f>
        <v/>
      </c>
      <c r="Q288" s="63">
        <f>($L288-$M288)-($N288-$O288)</f>
        <v/>
      </c>
      <c r="R288" s="63">
        <f>$L288-$N288</f>
        <v/>
      </c>
    </row>
    <row r="289">
      <c r="A289" s="60">
        <f>ROW()-5</f>
        <v/>
      </c>
      <c r="B289" s="61">
        <f>IFERROR(INDEX(tbl_Finance[Date],$A289),"")</f>
        <v/>
      </c>
      <c r="C289" s="62">
        <f>IFERROR(INDEX(tbl_Finance[Xero Invoice No],$A289),"")</f>
        <v/>
      </c>
      <c r="D289" s="62">
        <f>IFERROR(INDEX(tbl_Finance[Client],$A289),"")</f>
        <v/>
      </c>
      <c r="E289" s="62">
        <f>IFERROR(INDEX(tbl_Finance[Job Number],$A289),"")</f>
        <v/>
      </c>
      <c r="F289" s="62">
        <f>IFERROR(INDEX(tbl_Finance[Cost Centre],$A289),"")</f>
        <v/>
      </c>
      <c r="G289" s="63">
        <f>IFERROR(INDEX(tbl_Finance[Ex GST],$A289),"")</f>
        <v/>
      </c>
      <c r="H289" s="61">
        <f>IFERROR(INDEX(tbl_Finance[Defer Start],$A289),"")</f>
        <v/>
      </c>
      <c r="I289" s="61">
        <f>IFERROR(INDEX(tbl_Finance[Defer End],$A289),"")</f>
        <v/>
      </c>
      <c r="J289" s="60">
        <f>IF(OR($H289="",$I289="",$G289=""),"",MAX(1,(YEAR($I289)-YEAR($H289))*12+MONTH($I289)-MONTH($H289)+1))</f>
        <v/>
      </c>
      <c r="K289" s="63">
        <f>IF($J289="","",$G289/$J289)</f>
        <v/>
      </c>
      <c r="L289" s="63">
        <f>IF($J289="",0,$K289*MAX(0,MIN(YEAR($C$3)*12+MONTH($C$3),YEAR($I289)*12+MONTH($I289))-(YEAR($H289)*12+MONTH($H289))+1))</f>
        <v/>
      </c>
      <c r="M289" s="63">
        <f>IF($J289="",0,$K289*MAX(0,MIN(YEAR($C$3)*12+MONTH($C$3)-1,YEAR($I289)*12+MONTH($I289))-(YEAR($H289)*12+MONTH($H289))+1))</f>
        <v/>
      </c>
      <c r="N289" s="63">
        <f>IF(OR($J289="",$B289=""),0,IF(YEAR($B289)*12+MONTH($B289)&lt;=YEAR($C$3)*12+MONTH($C$3),$G289,0))</f>
        <v/>
      </c>
      <c r="O289" s="63">
        <f>IF(OR($J289="",$B289=""),0,IF(YEAR($B289)*12+MONTH($B289)&lt;=YEAR($C$3)*12+MONTH($C$3)-1,$G289,0))</f>
        <v/>
      </c>
      <c r="P289" s="63">
        <f>$M289-$O289</f>
        <v/>
      </c>
      <c r="Q289" s="63">
        <f>($L289-$M289)-($N289-$O289)</f>
        <v/>
      </c>
      <c r="R289" s="63">
        <f>$L289-$N289</f>
        <v/>
      </c>
    </row>
    <row r="290">
      <c r="A290" s="60">
        <f>ROW()-5</f>
        <v/>
      </c>
      <c r="B290" s="61">
        <f>IFERROR(INDEX(tbl_Finance[Date],$A290),"")</f>
        <v/>
      </c>
      <c r="C290" s="62">
        <f>IFERROR(INDEX(tbl_Finance[Xero Invoice No],$A290),"")</f>
        <v/>
      </c>
      <c r="D290" s="62">
        <f>IFERROR(INDEX(tbl_Finance[Client],$A290),"")</f>
        <v/>
      </c>
      <c r="E290" s="62">
        <f>IFERROR(INDEX(tbl_Finance[Job Number],$A290),"")</f>
        <v/>
      </c>
      <c r="F290" s="62">
        <f>IFERROR(INDEX(tbl_Finance[Cost Centre],$A290),"")</f>
        <v/>
      </c>
      <c r="G290" s="63">
        <f>IFERROR(INDEX(tbl_Finance[Ex GST],$A290),"")</f>
        <v/>
      </c>
      <c r="H290" s="61">
        <f>IFERROR(INDEX(tbl_Finance[Defer Start],$A290),"")</f>
        <v/>
      </c>
      <c r="I290" s="61">
        <f>IFERROR(INDEX(tbl_Finance[Defer End],$A290),"")</f>
        <v/>
      </c>
      <c r="J290" s="60">
        <f>IF(OR($H290="",$I290="",$G290=""),"",MAX(1,(YEAR($I290)-YEAR($H290))*12+MONTH($I290)-MONTH($H290)+1))</f>
        <v/>
      </c>
      <c r="K290" s="63">
        <f>IF($J290="","",$G290/$J290)</f>
        <v/>
      </c>
      <c r="L290" s="63">
        <f>IF($J290="",0,$K290*MAX(0,MIN(YEAR($C$3)*12+MONTH($C$3),YEAR($I290)*12+MONTH($I290))-(YEAR($H290)*12+MONTH($H290))+1))</f>
        <v/>
      </c>
      <c r="M290" s="63">
        <f>IF($J290="",0,$K290*MAX(0,MIN(YEAR($C$3)*12+MONTH($C$3)-1,YEAR($I290)*12+MONTH($I290))-(YEAR($H290)*12+MONTH($H290))+1))</f>
        <v/>
      </c>
      <c r="N290" s="63">
        <f>IF(OR($J290="",$B290=""),0,IF(YEAR($B290)*12+MONTH($B290)&lt;=YEAR($C$3)*12+MONTH($C$3),$G290,0))</f>
        <v/>
      </c>
      <c r="O290" s="63">
        <f>IF(OR($J290="",$B290=""),0,IF(YEAR($B290)*12+MONTH($B290)&lt;=YEAR($C$3)*12+MONTH($C$3)-1,$G290,0))</f>
        <v/>
      </c>
      <c r="P290" s="63">
        <f>$M290-$O290</f>
        <v/>
      </c>
      <c r="Q290" s="63">
        <f>($L290-$M290)-($N290-$O290)</f>
        <v/>
      </c>
      <c r="R290" s="63">
        <f>$L290-$N290</f>
        <v/>
      </c>
    </row>
    <row r="291">
      <c r="A291" s="60">
        <f>ROW()-5</f>
        <v/>
      </c>
      <c r="B291" s="61">
        <f>IFERROR(INDEX(tbl_Finance[Date],$A291),"")</f>
        <v/>
      </c>
      <c r="C291" s="62">
        <f>IFERROR(INDEX(tbl_Finance[Xero Invoice No],$A291),"")</f>
        <v/>
      </c>
      <c r="D291" s="62">
        <f>IFERROR(INDEX(tbl_Finance[Client],$A291),"")</f>
        <v/>
      </c>
      <c r="E291" s="62">
        <f>IFERROR(INDEX(tbl_Finance[Job Number],$A291),"")</f>
        <v/>
      </c>
      <c r="F291" s="62">
        <f>IFERROR(INDEX(tbl_Finance[Cost Centre],$A291),"")</f>
        <v/>
      </c>
      <c r="G291" s="63">
        <f>IFERROR(INDEX(tbl_Finance[Ex GST],$A291),"")</f>
        <v/>
      </c>
      <c r="H291" s="61">
        <f>IFERROR(INDEX(tbl_Finance[Defer Start],$A291),"")</f>
        <v/>
      </c>
      <c r="I291" s="61">
        <f>IFERROR(INDEX(tbl_Finance[Defer End],$A291),"")</f>
        <v/>
      </c>
      <c r="J291" s="60">
        <f>IF(OR($H291="",$I291="",$G291=""),"",MAX(1,(YEAR($I291)-YEAR($H291))*12+MONTH($I291)-MONTH($H291)+1))</f>
        <v/>
      </c>
      <c r="K291" s="63">
        <f>IF($J291="","",$G291/$J291)</f>
        <v/>
      </c>
      <c r="L291" s="63">
        <f>IF($J291="",0,$K291*MAX(0,MIN(YEAR($C$3)*12+MONTH($C$3),YEAR($I291)*12+MONTH($I291))-(YEAR($H291)*12+MONTH($H291))+1))</f>
        <v/>
      </c>
      <c r="M291" s="63">
        <f>IF($J291="",0,$K291*MAX(0,MIN(YEAR($C$3)*12+MONTH($C$3)-1,YEAR($I291)*12+MONTH($I291))-(YEAR($H291)*12+MONTH($H291))+1))</f>
        <v/>
      </c>
      <c r="N291" s="63">
        <f>IF(OR($J291="",$B291=""),0,IF(YEAR($B291)*12+MONTH($B291)&lt;=YEAR($C$3)*12+MONTH($C$3),$G291,0))</f>
        <v/>
      </c>
      <c r="O291" s="63">
        <f>IF(OR($J291="",$B291=""),0,IF(YEAR($B291)*12+MONTH($B291)&lt;=YEAR($C$3)*12+MONTH($C$3)-1,$G291,0))</f>
        <v/>
      </c>
      <c r="P291" s="63">
        <f>$M291-$O291</f>
        <v/>
      </c>
      <c r="Q291" s="63">
        <f>($L291-$M291)-($N291-$O291)</f>
        <v/>
      </c>
      <c r="R291" s="63">
        <f>$L291-$N291</f>
        <v/>
      </c>
    </row>
    <row r="292">
      <c r="A292" s="60">
        <f>ROW()-5</f>
        <v/>
      </c>
      <c r="B292" s="61">
        <f>IFERROR(INDEX(tbl_Finance[Date],$A292),"")</f>
        <v/>
      </c>
      <c r="C292" s="62">
        <f>IFERROR(INDEX(tbl_Finance[Xero Invoice No],$A292),"")</f>
        <v/>
      </c>
      <c r="D292" s="62">
        <f>IFERROR(INDEX(tbl_Finance[Client],$A292),"")</f>
        <v/>
      </c>
      <c r="E292" s="62">
        <f>IFERROR(INDEX(tbl_Finance[Job Number],$A292),"")</f>
        <v/>
      </c>
      <c r="F292" s="62">
        <f>IFERROR(INDEX(tbl_Finance[Cost Centre],$A292),"")</f>
        <v/>
      </c>
      <c r="G292" s="63">
        <f>IFERROR(INDEX(tbl_Finance[Ex GST],$A292),"")</f>
        <v/>
      </c>
      <c r="H292" s="61">
        <f>IFERROR(INDEX(tbl_Finance[Defer Start],$A292),"")</f>
        <v/>
      </c>
      <c r="I292" s="61">
        <f>IFERROR(INDEX(tbl_Finance[Defer End],$A292),"")</f>
        <v/>
      </c>
      <c r="J292" s="60">
        <f>IF(OR($H292="",$I292="",$G292=""),"",MAX(1,(YEAR($I292)-YEAR($H292))*12+MONTH($I292)-MONTH($H292)+1))</f>
        <v/>
      </c>
      <c r="K292" s="63">
        <f>IF($J292="","",$G292/$J292)</f>
        <v/>
      </c>
      <c r="L292" s="63">
        <f>IF($J292="",0,$K292*MAX(0,MIN(YEAR($C$3)*12+MONTH($C$3),YEAR($I292)*12+MONTH($I292))-(YEAR($H292)*12+MONTH($H292))+1))</f>
        <v/>
      </c>
      <c r="M292" s="63">
        <f>IF($J292="",0,$K292*MAX(0,MIN(YEAR($C$3)*12+MONTH($C$3)-1,YEAR($I292)*12+MONTH($I292))-(YEAR($H292)*12+MONTH($H292))+1))</f>
        <v/>
      </c>
      <c r="N292" s="63">
        <f>IF(OR($J292="",$B292=""),0,IF(YEAR($B292)*12+MONTH($B292)&lt;=YEAR($C$3)*12+MONTH($C$3),$G292,0))</f>
        <v/>
      </c>
      <c r="O292" s="63">
        <f>IF(OR($J292="",$B292=""),0,IF(YEAR($B292)*12+MONTH($B292)&lt;=YEAR($C$3)*12+MONTH($C$3)-1,$G292,0))</f>
        <v/>
      </c>
      <c r="P292" s="63">
        <f>$M292-$O292</f>
        <v/>
      </c>
      <c r="Q292" s="63">
        <f>($L292-$M292)-($N292-$O292)</f>
        <v/>
      </c>
      <c r="R292" s="63">
        <f>$L292-$N292</f>
        <v/>
      </c>
    </row>
    <row r="293">
      <c r="A293" s="60">
        <f>ROW()-5</f>
        <v/>
      </c>
      <c r="B293" s="61">
        <f>IFERROR(INDEX(tbl_Finance[Date],$A293),"")</f>
        <v/>
      </c>
      <c r="C293" s="62">
        <f>IFERROR(INDEX(tbl_Finance[Xero Invoice No],$A293),"")</f>
        <v/>
      </c>
      <c r="D293" s="62">
        <f>IFERROR(INDEX(tbl_Finance[Client],$A293),"")</f>
        <v/>
      </c>
      <c r="E293" s="62">
        <f>IFERROR(INDEX(tbl_Finance[Job Number],$A293),"")</f>
        <v/>
      </c>
      <c r="F293" s="62">
        <f>IFERROR(INDEX(tbl_Finance[Cost Centre],$A293),"")</f>
        <v/>
      </c>
      <c r="G293" s="63">
        <f>IFERROR(INDEX(tbl_Finance[Ex GST],$A293),"")</f>
        <v/>
      </c>
      <c r="H293" s="61">
        <f>IFERROR(INDEX(tbl_Finance[Defer Start],$A293),"")</f>
        <v/>
      </c>
      <c r="I293" s="61">
        <f>IFERROR(INDEX(tbl_Finance[Defer End],$A293),"")</f>
        <v/>
      </c>
      <c r="J293" s="60">
        <f>IF(OR($H293="",$I293="",$G293=""),"",MAX(1,(YEAR($I293)-YEAR($H293))*12+MONTH($I293)-MONTH($H293)+1))</f>
        <v/>
      </c>
      <c r="K293" s="63">
        <f>IF($J293="","",$G293/$J293)</f>
        <v/>
      </c>
      <c r="L293" s="63">
        <f>IF($J293="",0,$K293*MAX(0,MIN(YEAR($C$3)*12+MONTH($C$3),YEAR($I293)*12+MONTH($I293))-(YEAR($H293)*12+MONTH($H293))+1))</f>
        <v/>
      </c>
      <c r="M293" s="63">
        <f>IF($J293="",0,$K293*MAX(0,MIN(YEAR($C$3)*12+MONTH($C$3)-1,YEAR($I293)*12+MONTH($I293))-(YEAR($H293)*12+MONTH($H293))+1))</f>
        <v/>
      </c>
      <c r="N293" s="63">
        <f>IF(OR($J293="",$B293=""),0,IF(YEAR($B293)*12+MONTH($B293)&lt;=YEAR($C$3)*12+MONTH($C$3),$G293,0))</f>
        <v/>
      </c>
      <c r="O293" s="63">
        <f>IF(OR($J293="",$B293=""),0,IF(YEAR($B293)*12+MONTH($B293)&lt;=YEAR($C$3)*12+MONTH($C$3)-1,$G293,0))</f>
        <v/>
      </c>
      <c r="P293" s="63">
        <f>$M293-$O293</f>
        <v/>
      </c>
      <c r="Q293" s="63">
        <f>($L293-$M293)-($N293-$O293)</f>
        <v/>
      </c>
      <c r="R293" s="63">
        <f>$L293-$N293</f>
        <v/>
      </c>
    </row>
    <row r="294">
      <c r="A294" s="60">
        <f>ROW()-5</f>
        <v/>
      </c>
      <c r="B294" s="61">
        <f>IFERROR(INDEX(tbl_Finance[Date],$A294),"")</f>
        <v/>
      </c>
      <c r="C294" s="62">
        <f>IFERROR(INDEX(tbl_Finance[Xero Invoice No],$A294),"")</f>
        <v/>
      </c>
      <c r="D294" s="62">
        <f>IFERROR(INDEX(tbl_Finance[Client],$A294),"")</f>
        <v/>
      </c>
      <c r="E294" s="62">
        <f>IFERROR(INDEX(tbl_Finance[Job Number],$A294),"")</f>
        <v/>
      </c>
      <c r="F294" s="62">
        <f>IFERROR(INDEX(tbl_Finance[Cost Centre],$A294),"")</f>
        <v/>
      </c>
      <c r="G294" s="63">
        <f>IFERROR(INDEX(tbl_Finance[Ex GST],$A294),"")</f>
        <v/>
      </c>
      <c r="H294" s="61">
        <f>IFERROR(INDEX(tbl_Finance[Defer Start],$A294),"")</f>
        <v/>
      </c>
      <c r="I294" s="61">
        <f>IFERROR(INDEX(tbl_Finance[Defer End],$A294),"")</f>
        <v/>
      </c>
      <c r="J294" s="60">
        <f>IF(OR($H294="",$I294="",$G294=""),"",MAX(1,(YEAR($I294)-YEAR($H294))*12+MONTH($I294)-MONTH($H294)+1))</f>
        <v/>
      </c>
      <c r="K294" s="63">
        <f>IF($J294="","",$G294/$J294)</f>
        <v/>
      </c>
      <c r="L294" s="63">
        <f>IF($J294="",0,$K294*MAX(0,MIN(YEAR($C$3)*12+MONTH($C$3),YEAR($I294)*12+MONTH($I294))-(YEAR($H294)*12+MONTH($H294))+1))</f>
        <v/>
      </c>
      <c r="M294" s="63">
        <f>IF($J294="",0,$K294*MAX(0,MIN(YEAR($C$3)*12+MONTH($C$3)-1,YEAR($I294)*12+MONTH($I294))-(YEAR($H294)*12+MONTH($H294))+1))</f>
        <v/>
      </c>
      <c r="N294" s="63">
        <f>IF(OR($J294="",$B294=""),0,IF(YEAR($B294)*12+MONTH($B294)&lt;=YEAR($C$3)*12+MONTH($C$3),$G294,0))</f>
        <v/>
      </c>
      <c r="O294" s="63">
        <f>IF(OR($J294="",$B294=""),0,IF(YEAR($B294)*12+MONTH($B294)&lt;=YEAR($C$3)*12+MONTH($C$3)-1,$G294,0))</f>
        <v/>
      </c>
      <c r="P294" s="63">
        <f>$M294-$O294</f>
        <v/>
      </c>
      <c r="Q294" s="63">
        <f>($L294-$M294)-($N294-$O294)</f>
        <v/>
      </c>
      <c r="R294" s="63">
        <f>$L294-$N294</f>
        <v/>
      </c>
    </row>
    <row r="295">
      <c r="A295" s="60">
        <f>ROW()-5</f>
        <v/>
      </c>
      <c r="B295" s="61">
        <f>IFERROR(INDEX(tbl_Finance[Date],$A295),"")</f>
        <v/>
      </c>
      <c r="C295" s="62">
        <f>IFERROR(INDEX(tbl_Finance[Xero Invoice No],$A295),"")</f>
        <v/>
      </c>
      <c r="D295" s="62">
        <f>IFERROR(INDEX(tbl_Finance[Client],$A295),"")</f>
        <v/>
      </c>
      <c r="E295" s="62">
        <f>IFERROR(INDEX(tbl_Finance[Job Number],$A295),"")</f>
        <v/>
      </c>
      <c r="F295" s="62">
        <f>IFERROR(INDEX(tbl_Finance[Cost Centre],$A295),"")</f>
        <v/>
      </c>
      <c r="G295" s="63">
        <f>IFERROR(INDEX(tbl_Finance[Ex GST],$A295),"")</f>
        <v/>
      </c>
      <c r="H295" s="61">
        <f>IFERROR(INDEX(tbl_Finance[Defer Start],$A295),"")</f>
        <v/>
      </c>
      <c r="I295" s="61">
        <f>IFERROR(INDEX(tbl_Finance[Defer End],$A295),"")</f>
        <v/>
      </c>
      <c r="J295" s="60">
        <f>IF(OR($H295="",$I295="",$G295=""),"",MAX(1,(YEAR($I295)-YEAR($H295))*12+MONTH($I295)-MONTH($H295)+1))</f>
        <v/>
      </c>
      <c r="K295" s="63">
        <f>IF($J295="","",$G295/$J295)</f>
        <v/>
      </c>
      <c r="L295" s="63">
        <f>IF($J295="",0,$K295*MAX(0,MIN(YEAR($C$3)*12+MONTH($C$3),YEAR($I295)*12+MONTH($I295))-(YEAR($H295)*12+MONTH($H295))+1))</f>
        <v/>
      </c>
      <c r="M295" s="63">
        <f>IF($J295="",0,$K295*MAX(0,MIN(YEAR($C$3)*12+MONTH($C$3)-1,YEAR($I295)*12+MONTH($I295))-(YEAR($H295)*12+MONTH($H295))+1))</f>
        <v/>
      </c>
      <c r="N295" s="63">
        <f>IF(OR($J295="",$B295=""),0,IF(YEAR($B295)*12+MONTH($B295)&lt;=YEAR($C$3)*12+MONTH($C$3),$G295,0))</f>
        <v/>
      </c>
      <c r="O295" s="63">
        <f>IF(OR($J295="",$B295=""),0,IF(YEAR($B295)*12+MONTH($B295)&lt;=YEAR($C$3)*12+MONTH($C$3)-1,$G295,0))</f>
        <v/>
      </c>
      <c r="P295" s="63">
        <f>$M295-$O295</f>
        <v/>
      </c>
      <c r="Q295" s="63">
        <f>($L295-$M295)-($N295-$O295)</f>
        <v/>
      </c>
      <c r="R295" s="63">
        <f>$L295-$N295</f>
        <v/>
      </c>
    </row>
    <row r="296">
      <c r="A296" s="60">
        <f>ROW()-5</f>
        <v/>
      </c>
      <c r="B296" s="61">
        <f>IFERROR(INDEX(tbl_Finance[Date],$A296),"")</f>
        <v/>
      </c>
      <c r="C296" s="62">
        <f>IFERROR(INDEX(tbl_Finance[Xero Invoice No],$A296),"")</f>
        <v/>
      </c>
      <c r="D296" s="62">
        <f>IFERROR(INDEX(tbl_Finance[Client],$A296),"")</f>
        <v/>
      </c>
      <c r="E296" s="62">
        <f>IFERROR(INDEX(tbl_Finance[Job Number],$A296),"")</f>
        <v/>
      </c>
      <c r="F296" s="62">
        <f>IFERROR(INDEX(tbl_Finance[Cost Centre],$A296),"")</f>
        <v/>
      </c>
      <c r="G296" s="63">
        <f>IFERROR(INDEX(tbl_Finance[Ex GST],$A296),"")</f>
        <v/>
      </c>
      <c r="H296" s="61">
        <f>IFERROR(INDEX(tbl_Finance[Defer Start],$A296),"")</f>
        <v/>
      </c>
      <c r="I296" s="61">
        <f>IFERROR(INDEX(tbl_Finance[Defer End],$A296),"")</f>
        <v/>
      </c>
      <c r="J296" s="60">
        <f>IF(OR($H296="",$I296="",$G296=""),"",MAX(1,(YEAR($I296)-YEAR($H296))*12+MONTH($I296)-MONTH($H296)+1))</f>
        <v/>
      </c>
      <c r="K296" s="63">
        <f>IF($J296="","",$G296/$J296)</f>
        <v/>
      </c>
      <c r="L296" s="63">
        <f>IF($J296="",0,$K296*MAX(0,MIN(YEAR($C$3)*12+MONTH($C$3),YEAR($I296)*12+MONTH($I296))-(YEAR($H296)*12+MONTH($H296))+1))</f>
        <v/>
      </c>
      <c r="M296" s="63">
        <f>IF($J296="",0,$K296*MAX(0,MIN(YEAR($C$3)*12+MONTH($C$3)-1,YEAR($I296)*12+MONTH($I296))-(YEAR($H296)*12+MONTH($H296))+1))</f>
        <v/>
      </c>
      <c r="N296" s="63">
        <f>IF(OR($J296="",$B296=""),0,IF(YEAR($B296)*12+MONTH($B296)&lt;=YEAR($C$3)*12+MONTH($C$3),$G296,0))</f>
        <v/>
      </c>
      <c r="O296" s="63">
        <f>IF(OR($J296="",$B296=""),0,IF(YEAR($B296)*12+MONTH($B296)&lt;=YEAR($C$3)*12+MONTH($C$3)-1,$G296,0))</f>
        <v/>
      </c>
      <c r="P296" s="63">
        <f>$M296-$O296</f>
        <v/>
      </c>
      <c r="Q296" s="63">
        <f>($L296-$M296)-($N296-$O296)</f>
        <v/>
      </c>
      <c r="R296" s="63">
        <f>$L296-$N296</f>
        <v/>
      </c>
    </row>
    <row r="297">
      <c r="A297" s="60">
        <f>ROW()-5</f>
        <v/>
      </c>
      <c r="B297" s="61">
        <f>IFERROR(INDEX(tbl_Finance[Date],$A297),"")</f>
        <v/>
      </c>
      <c r="C297" s="62">
        <f>IFERROR(INDEX(tbl_Finance[Xero Invoice No],$A297),"")</f>
        <v/>
      </c>
      <c r="D297" s="62">
        <f>IFERROR(INDEX(tbl_Finance[Client],$A297),"")</f>
        <v/>
      </c>
      <c r="E297" s="62">
        <f>IFERROR(INDEX(tbl_Finance[Job Number],$A297),"")</f>
        <v/>
      </c>
      <c r="F297" s="62">
        <f>IFERROR(INDEX(tbl_Finance[Cost Centre],$A297),"")</f>
        <v/>
      </c>
      <c r="G297" s="63">
        <f>IFERROR(INDEX(tbl_Finance[Ex GST],$A297),"")</f>
        <v/>
      </c>
      <c r="H297" s="61">
        <f>IFERROR(INDEX(tbl_Finance[Defer Start],$A297),"")</f>
        <v/>
      </c>
      <c r="I297" s="61">
        <f>IFERROR(INDEX(tbl_Finance[Defer End],$A297),"")</f>
        <v/>
      </c>
      <c r="J297" s="60">
        <f>IF(OR($H297="",$I297="",$G297=""),"",MAX(1,(YEAR($I297)-YEAR($H297))*12+MONTH($I297)-MONTH($H297)+1))</f>
        <v/>
      </c>
      <c r="K297" s="63">
        <f>IF($J297="","",$G297/$J297)</f>
        <v/>
      </c>
      <c r="L297" s="63">
        <f>IF($J297="",0,$K297*MAX(0,MIN(YEAR($C$3)*12+MONTH($C$3),YEAR($I297)*12+MONTH($I297))-(YEAR($H297)*12+MONTH($H297))+1))</f>
        <v/>
      </c>
      <c r="M297" s="63">
        <f>IF($J297="",0,$K297*MAX(0,MIN(YEAR($C$3)*12+MONTH($C$3)-1,YEAR($I297)*12+MONTH($I297))-(YEAR($H297)*12+MONTH($H297))+1))</f>
        <v/>
      </c>
      <c r="N297" s="63">
        <f>IF(OR($J297="",$B297=""),0,IF(YEAR($B297)*12+MONTH($B297)&lt;=YEAR($C$3)*12+MONTH($C$3),$G297,0))</f>
        <v/>
      </c>
      <c r="O297" s="63">
        <f>IF(OR($J297="",$B297=""),0,IF(YEAR($B297)*12+MONTH($B297)&lt;=YEAR($C$3)*12+MONTH($C$3)-1,$G297,0))</f>
        <v/>
      </c>
      <c r="P297" s="63">
        <f>$M297-$O297</f>
        <v/>
      </c>
      <c r="Q297" s="63">
        <f>($L297-$M297)-($N297-$O297)</f>
        <v/>
      </c>
      <c r="R297" s="63">
        <f>$L297-$N297</f>
        <v/>
      </c>
    </row>
    <row r="298">
      <c r="A298" s="60">
        <f>ROW()-5</f>
        <v/>
      </c>
      <c r="B298" s="61">
        <f>IFERROR(INDEX(tbl_Finance[Date],$A298),"")</f>
        <v/>
      </c>
      <c r="C298" s="62">
        <f>IFERROR(INDEX(tbl_Finance[Xero Invoice No],$A298),"")</f>
        <v/>
      </c>
      <c r="D298" s="62">
        <f>IFERROR(INDEX(tbl_Finance[Client],$A298),"")</f>
        <v/>
      </c>
      <c r="E298" s="62">
        <f>IFERROR(INDEX(tbl_Finance[Job Number],$A298),"")</f>
        <v/>
      </c>
      <c r="F298" s="62">
        <f>IFERROR(INDEX(tbl_Finance[Cost Centre],$A298),"")</f>
        <v/>
      </c>
      <c r="G298" s="63">
        <f>IFERROR(INDEX(tbl_Finance[Ex GST],$A298),"")</f>
        <v/>
      </c>
      <c r="H298" s="61">
        <f>IFERROR(INDEX(tbl_Finance[Defer Start],$A298),"")</f>
        <v/>
      </c>
      <c r="I298" s="61">
        <f>IFERROR(INDEX(tbl_Finance[Defer End],$A298),"")</f>
        <v/>
      </c>
      <c r="J298" s="60">
        <f>IF(OR($H298="",$I298="",$G298=""),"",MAX(1,(YEAR($I298)-YEAR($H298))*12+MONTH($I298)-MONTH($H298)+1))</f>
        <v/>
      </c>
      <c r="K298" s="63">
        <f>IF($J298="","",$G298/$J298)</f>
        <v/>
      </c>
      <c r="L298" s="63">
        <f>IF($J298="",0,$K298*MAX(0,MIN(YEAR($C$3)*12+MONTH($C$3),YEAR($I298)*12+MONTH($I298))-(YEAR($H298)*12+MONTH($H298))+1))</f>
        <v/>
      </c>
      <c r="M298" s="63">
        <f>IF($J298="",0,$K298*MAX(0,MIN(YEAR($C$3)*12+MONTH($C$3)-1,YEAR($I298)*12+MONTH($I298))-(YEAR($H298)*12+MONTH($H298))+1))</f>
        <v/>
      </c>
      <c r="N298" s="63">
        <f>IF(OR($J298="",$B298=""),0,IF(YEAR($B298)*12+MONTH($B298)&lt;=YEAR($C$3)*12+MONTH($C$3),$G298,0))</f>
        <v/>
      </c>
      <c r="O298" s="63">
        <f>IF(OR($J298="",$B298=""),0,IF(YEAR($B298)*12+MONTH($B298)&lt;=YEAR($C$3)*12+MONTH($C$3)-1,$G298,0))</f>
        <v/>
      </c>
      <c r="P298" s="63">
        <f>$M298-$O298</f>
        <v/>
      </c>
      <c r="Q298" s="63">
        <f>($L298-$M298)-($N298-$O298)</f>
        <v/>
      </c>
      <c r="R298" s="63">
        <f>$L298-$N298</f>
        <v/>
      </c>
    </row>
    <row r="299">
      <c r="A299" s="60">
        <f>ROW()-5</f>
        <v/>
      </c>
      <c r="B299" s="61">
        <f>IFERROR(INDEX(tbl_Finance[Date],$A299),"")</f>
        <v/>
      </c>
      <c r="C299" s="62">
        <f>IFERROR(INDEX(tbl_Finance[Xero Invoice No],$A299),"")</f>
        <v/>
      </c>
      <c r="D299" s="62">
        <f>IFERROR(INDEX(tbl_Finance[Client],$A299),"")</f>
        <v/>
      </c>
      <c r="E299" s="62">
        <f>IFERROR(INDEX(tbl_Finance[Job Number],$A299),"")</f>
        <v/>
      </c>
      <c r="F299" s="62">
        <f>IFERROR(INDEX(tbl_Finance[Cost Centre],$A299),"")</f>
        <v/>
      </c>
      <c r="G299" s="63">
        <f>IFERROR(INDEX(tbl_Finance[Ex GST],$A299),"")</f>
        <v/>
      </c>
      <c r="H299" s="61">
        <f>IFERROR(INDEX(tbl_Finance[Defer Start],$A299),"")</f>
        <v/>
      </c>
      <c r="I299" s="61">
        <f>IFERROR(INDEX(tbl_Finance[Defer End],$A299),"")</f>
        <v/>
      </c>
      <c r="J299" s="60">
        <f>IF(OR($H299="",$I299="",$G299=""),"",MAX(1,(YEAR($I299)-YEAR($H299))*12+MONTH($I299)-MONTH($H299)+1))</f>
        <v/>
      </c>
      <c r="K299" s="63">
        <f>IF($J299="","",$G299/$J299)</f>
        <v/>
      </c>
      <c r="L299" s="63">
        <f>IF($J299="",0,$K299*MAX(0,MIN(YEAR($C$3)*12+MONTH($C$3),YEAR($I299)*12+MONTH($I299))-(YEAR($H299)*12+MONTH($H299))+1))</f>
        <v/>
      </c>
      <c r="M299" s="63">
        <f>IF($J299="",0,$K299*MAX(0,MIN(YEAR($C$3)*12+MONTH($C$3)-1,YEAR($I299)*12+MONTH($I299))-(YEAR($H299)*12+MONTH($H299))+1))</f>
        <v/>
      </c>
      <c r="N299" s="63">
        <f>IF(OR($J299="",$B299=""),0,IF(YEAR($B299)*12+MONTH($B299)&lt;=YEAR($C$3)*12+MONTH($C$3),$G299,0))</f>
        <v/>
      </c>
      <c r="O299" s="63">
        <f>IF(OR($J299="",$B299=""),0,IF(YEAR($B299)*12+MONTH($B299)&lt;=YEAR($C$3)*12+MONTH($C$3)-1,$G299,0))</f>
        <v/>
      </c>
      <c r="P299" s="63">
        <f>$M299-$O299</f>
        <v/>
      </c>
      <c r="Q299" s="63">
        <f>($L299-$M299)-($N299-$O299)</f>
        <v/>
      </c>
      <c r="R299" s="63">
        <f>$L299-$N299</f>
        <v/>
      </c>
    </row>
    <row r="300">
      <c r="A300" s="60">
        <f>ROW()-5</f>
        <v/>
      </c>
      <c r="B300" s="61">
        <f>IFERROR(INDEX(tbl_Finance[Date],$A300),"")</f>
        <v/>
      </c>
      <c r="C300" s="62">
        <f>IFERROR(INDEX(tbl_Finance[Xero Invoice No],$A300),"")</f>
        <v/>
      </c>
      <c r="D300" s="62">
        <f>IFERROR(INDEX(tbl_Finance[Client],$A300),"")</f>
        <v/>
      </c>
      <c r="E300" s="62">
        <f>IFERROR(INDEX(tbl_Finance[Job Number],$A300),"")</f>
        <v/>
      </c>
      <c r="F300" s="62">
        <f>IFERROR(INDEX(tbl_Finance[Cost Centre],$A300),"")</f>
        <v/>
      </c>
      <c r="G300" s="63">
        <f>IFERROR(INDEX(tbl_Finance[Ex GST],$A300),"")</f>
        <v/>
      </c>
      <c r="H300" s="61">
        <f>IFERROR(INDEX(tbl_Finance[Defer Start],$A300),"")</f>
        <v/>
      </c>
      <c r="I300" s="61">
        <f>IFERROR(INDEX(tbl_Finance[Defer End],$A300),"")</f>
        <v/>
      </c>
      <c r="J300" s="60">
        <f>IF(OR($H300="",$I300="",$G300=""),"",MAX(1,(YEAR($I300)-YEAR($H300))*12+MONTH($I300)-MONTH($H300)+1))</f>
        <v/>
      </c>
      <c r="K300" s="63">
        <f>IF($J300="","",$G300/$J300)</f>
        <v/>
      </c>
      <c r="L300" s="63">
        <f>IF($J300="",0,$K300*MAX(0,MIN(YEAR($C$3)*12+MONTH($C$3),YEAR($I300)*12+MONTH($I300))-(YEAR($H300)*12+MONTH($H300))+1))</f>
        <v/>
      </c>
      <c r="M300" s="63">
        <f>IF($J300="",0,$K300*MAX(0,MIN(YEAR($C$3)*12+MONTH($C$3)-1,YEAR($I300)*12+MONTH($I300))-(YEAR($H300)*12+MONTH($H300))+1))</f>
        <v/>
      </c>
      <c r="N300" s="63">
        <f>IF(OR($J300="",$B300=""),0,IF(YEAR($B300)*12+MONTH($B300)&lt;=YEAR($C$3)*12+MONTH($C$3),$G300,0))</f>
        <v/>
      </c>
      <c r="O300" s="63">
        <f>IF(OR($J300="",$B300=""),0,IF(YEAR($B300)*12+MONTH($B300)&lt;=YEAR($C$3)*12+MONTH($C$3)-1,$G300,0))</f>
        <v/>
      </c>
      <c r="P300" s="63">
        <f>$M300-$O300</f>
        <v/>
      </c>
      <c r="Q300" s="63">
        <f>($L300-$M300)-($N300-$O300)</f>
        <v/>
      </c>
      <c r="R300" s="63">
        <f>$L300-$N300</f>
        <v/>
      </c>
    </row>
    <row r="301">
      <c r="A301" s="60">
        <f>ROW()-5</f>
        <v/>
      </c>
      <c r="B301" s="61">
        <f>IFERROR(INDEX(tbl_Finance[Date],$A301),"")</f>
        <v/>
      </c>
      <c r="C301" s="62">
        <f>IFERROR(INDEX(tbl_Finance[Xero Invoice No],$A301),"")</f>
        <v/>
      </c>
      <c r="D301" s="62">
        <f>IFERROR(INDEX(tbl_Finance[Client],$A301),"")</f>
        <v/>
      </c>
      <c r="E301" s="62">
        <f>IFERROR(INDEX(tbl_Finance[Job Number],$A301),"")</f>
        <v/>
      </c>
      <c r="F301" s="62">
        <f>IFERROR(INDEX(tbl_Finance[Cost Centre],$A301),"")</f>
        <v/>
      </c>
      <c r="G301" s="63">
        <f>IFERROR(INDEX(tbl_Finance[Ex GST],$A301),"")</f>
        <v/>
      </c>
      <c r="H301" s="61">
        <f>IFERROR(INDEX(tbl_Finance[Defer Start],$A301),"")</f>
        <v/>
      </c>
      <c r="I301" s="61">
        <f>IFERROR(INDEX(tbl_Finance[Defer End],$A301),"")</f>
        <v/>
      </c>
      <c r="J301" s="60">
        <f>IF(OR($H301="",$I301="",$G301=""),"",MAX(1,(YEAR($I301)-YEAR($H301))*12+MONTH($I301)-MONTH($H301)+1))</f>
        <v/>
      </c>
      <c r="K301" s="63">
        <f>IF($J301="","",$G301/$J301)</f>
        <v/>
      </c>
      <c r="L301" s="63">
        <f>IF($J301="",0,$K301*MAX(0,MIN(YEAR($C$3)*12+MONTH($C$3),YEAR($I301)*12+MONTH($I301))-(YEAR($H301)*12+MONTH($H301))+1))</f>
        <v/>
      </c>
      <c r="M301" s="63">
        <f>IF($J301="",0,$K301*MAX(0,MIN(YEAR($C$3)*12+MONTH($C$3)-1,YEAR($I301)*12+MONTH($I301))-(YEAR($H301)*12+MONTH($H301))+1))</f>
        <v/>
      </c>
      <c r="N301" s="63">
        <f>IF(OR($J301="",$B301=""),0,IF(YEAR($B301)*12+MONTH($B301)&lt;=YEAR($C$3)*12+MONTH($C$3),$G301,0))</f>
        <v/>
      </c>
      <c r="O301" s="63">
        <f>IF(OR($J301="",$B301=""),0,IF(YEAR($B301)*12+MONTH($B301)&lt;=YEAR($C$3)*12+MONTH($C$3)-1,$G301,0))</f>
        <v/>
      </c>
      <c r="P301" s="63">
        <f>$M301-$O301</f>
        <v/>
      </c>
      <c r="Q301" s="63">
        <f>($L301-$M301)-($N301-$O301)</f>
        <v/>
      </c>
      <c r="R301" s="63">
        <f>$L301-$N301</f>
        <v/>
      </c>
    </row>
    <row r="302">
      <c r="A302" s="60">
        <f>ROW()-5</f>
        <v/>
      </c>
      <c r="B302" s="61">
        <f>IFERROR(INDEX(tbl_Finance[Date],$A302),"")</f>
        <v/>
      </c>
      <c r="C302" s="62">
        <f>IFERROR(INDEX(tbl_Finance[Xero Invoice No],$A302),"")</f>
        <v/>
      </c>
      <c r="D302" s="62">
        <f>IFERROR(INDEX(tbl_Finance[Client],$A302),"")</f>
        <v/>
      </c>
      <c r="E302" s="62">
        <f>IFERROR(INDEX(tbl_Finance[Job Number],$A302),"")</f>
        <v/>
      </c>
      <c r="F302" s="62">
        <f>IFERROR(INDEX(tbl_Finance[Cost Centre],$A302),"")</f>
        <v/>
      </c>
      <c r="G302" s="63">
        <f>IFERROR(INDEX(tbl_Finance[Ex GST],$A302),"")</f>
        <v/>
      </c>
      <c r="H302" s="61">
        <f>IFERROR(INDEX(tbl_Finance[Defer Start],$A302),"")</f>
        <v/>
      </c>
      <c r="I302" s="61">
        <f>IFERROR(INDEX(tbl_Finance[Defer End],$A302),"")</f>
        <v/>
      </c>
      <c r="J302" s="60">
        <f>IF(OR($H302="",$I302="",$G302=""),"",MAX(1,(YEAR($I302)-YEAR($H302))*12+MONTH($I302)-MONTH($H302)+1))</f>
        <v/>
      </c>
      <c r="K302" s="63">
        <f>IF($J302="","",$G302/$J302)</f>
        <v/>
      </c>
      <c r="L302" s="63">
        <f>IF($J302="",0,$K302*MAX(0,MIN(YEAR($C$3)*12+MONTH($C$3),YEAR($I302)*12+MONTH($I302))-(YEAR($H302)*12+MONTH($H302))+1))</f>
        <v/>
      </c>
      <c r="M302" s="63">
        <f>IF($J302="",0,$K302*MAX(0,MIN(YEAR($C$3)*12+MONTH($C$3)-1,YEAR($I302)*12+MONTH($I302))-(YEAR($H302)*12+MONTH($H302))+1))</f>
        <v/>
      </c>
      <c r="N302" s="63">
        <f>IF(OR($J302="",$B302=""),0,IF(YEAR($B302)*12+MONTH($B302)&lt;=YEAR($C$3)*12+MONTH($C$3),$G302,0))</f>
        <v/>
      </c>
      <c r="O302" s="63">
        <f>IF(OR($J302="",$B302=""),0,IF(YEAR($B302)*12+MONTH($B302)&lt;=YEAR($C$3)*12+MONTH($C$3)-1,$G302,0))</f>
        <v/>
      </c>
      <c r="P302" s="63">
        <f>$M302-$O302</f>
        <v/>
      </c>
      <c r="Q302" s="63">
        <f>($L302-$M302)-($N302-$O302)</f>
        <v/>
      </c>
      <c r="R302" s="63">
        <f>$L302-$N302</f>
        <v/>
      </c>
    </row>
    <row r="303">
      <c r="A303" s="60">
        <f>ROW()-5</f>
        <v/>
      </c>
      <c r="B303" s="61">
        <f>IFERROR(INDEX(tbl_Finance[Date],$A303),"")</f>
        <v/>
      </c>
      <c r="C303" s="62">
        <f>IFERROR(INDEX(tbl_Finance[Xero Invoice No],$A303),"")</f>
        <v/>
      </c>
      <c r="D303" s="62">
        <f>IFERROR(INDEX(tbl_Finance[Client],$A303),"")</f>
        <v/>
      </c>
      <c r="E303" s="62">
        <f>IFERROR(INDEX(tbl_Finance[Job Number],$A303),"")</f>
        <v/>
      </c>
      <c r="F303" s="62">
        <f>IFERROR(INDEX(tbl_Finance[Cost Centre],$A303),"")</f>
        <v/>
      </c>
      <c r="G303" s="63">
        <f>IFERROR(INDEX(tbl_Finance[Ex GST],$A303),"")</f>
        <v/>
      </c>
      <c r="H303" s="61">
        <f>IFERROR(INDEX(tbl_Finance[Defer Start],$A303),"")</f>
        <v/>
      </c>
      <c r="I303" s="61">
        <f>IFERROR(INDEX(tbl_Finance[Defer End],$A303),"")</f>
        <v/>
      </c>
      <c r="J303" s="60">
        <f>IF(OR($H303="",$I303="",$G303=""),"",MAX(1,(YEAR($I303)-YEAR($H303))*12+MONTH($I303)-MONTH($H303)+1))</f>
        <v/>
      </c>
      <c r="K303" s="63">
        <f>IF($J303="","",$G303/$J303)</f>
        <v/>
      </c>
      <c r="L303" s="63">
        <f>IF($J303="",0,$K303*MAX(0,MIN(YEAR($C$3)*12+MONTH($C$3),YEAR($I303)*12+MONTH($I303))-(YEAR($H303)*12+MONTH($H303))+1))</f>
        <v/>
      </c>
      <c r="M303" s="63">
        <f>IF($J303="",0,$K303*MAX(0,MIN(YEAR($C$3)*12+MONTH($C$3)-1,YEAR($I303)*12+MONTH($I303))-(YEAR($H303)*12+MONTH($H303))+1))</f>
        <v/>
      </c>
      <c r="N303" s="63">
        <f>IF(OR($J303="",$B303=""),0,IF(YEAR($B303)*12+MONTH($B303)&lt;=YEAR($C$3)*12+MONTH($C$3),$G303,0))</f>
        <v/>
      </c>
      <c r="O303" s="63">
        <f>IF(OR($J303="",$B303=""),0,IF(YEAR($B303)*12+MONTH($B303)&lt;=YEAR($C$3)*12+MONTH($C$3)-1,$G303,0))</f>
        <v/>
      </c>
      <c r="P303" s="63">
        <f>$M303-$O303</f>
        <v/>
      </c>
      <c r="Q303" s="63">
        <f>($L303-$M303)-($N303-$O303)</f>
        <v/>
      </c>
      <c r="R303" s="63">
        <f>$L303-$N303</f>
        <v/>
      </c>
    </row>
    <row r="304">
      <c r="A304" s="60">
        <f>ROW()-5</f>
        <v/>
      </c>
      <c r="B304" s="61">
        <f>IFERROR(INDEX(tbl_Finance[Date],$A304),"")</f>
        <v/>
      </c>
      <c r="C304" s="62">
        <f>IFERROR(INDEX(tbl_Finance[Xero Invoice No],$A304),"")</f>
        <v/>
      </c>
      <c r="D304" s="62">
        <f>IFERROR(INDEX(tbl_Finance[Client],$A304),"")</f>
        <v/>
      </c>
      <c r="E304" s="62">
        <f>IFERROR(INDEX(tbl_Finance[Job Number],$A304),"")</f>
        <v/>
      </c>
      <c r="F304" s="62">
        <f>IFERROR(INDEX(tbl_Finance[Cost Centre],$A304),"")</f>
        <v/>
      </c>
      <c r="G304" s="63">
        <f>IFERROR(INDEX(tbl_Finance[Ex GST],$A304),"")</f>
        <v/>
      </c>
      <c r="H304" s="61">
        <f>IFERROR(INDEX(tbl_Finance[Defer Start],$A304),"")</f>
        <v/>
      </c>
      <c r="I304" s="61">
        <f>IFERROR(INDEX(tbl_Finance[Defer End],$A304),"")</f>
        <v/>
      </c>
      <c r="J304" s="60">
        <f>IF(OR($H304="",$I304="",$G304=""),"",MAX(1,(YEAR($I304)-YEAR($H304))*12+MONTH($I304)-MONTH($H304)+1))</f>
        <v/>
      </c>
      <c r="K304" s="63">
        <f>IF($J304="","",$G304/$J304)</f>
        <v/>
      </c>
      <c r="L304" s="63">
        <f>IF($J304="",0,$K304*MAX(0,MIN(YEAR($C$3)*12+MONTH($C$3),YEAR($I304)*12+MONTH($I304))-(YEAR($H304)*12+MONTH($H304))+1))</f>
        <v/>
      </c>
      <c r="M304" s="63">
        <f>IF($J304="",0,$K304*MAX(0,MIN(YEAR($C$3)*12+MONTH($C$3)-1,YEAR($I304)*12+MONTH($I304))-(YEAR($H304)*12+MONTH($H304))+1))</f>
        <v/>
      </c>
      <c r="N304" s="63">
        <f>IF(OR($J304="",$B304=""),0,IF(YEAR($B304)*12+MONTH($B304)&lt;=YEAR($C$3)*12+MONTH($C$3),$G304,0))</f>
        <v/>
      </c>
      <c r="O304" s="63">
        <f>IF(OR($J304="",$B304=""),0,IF(YEAR($B304)*12+MONTH($B304)&lt;=YEAR($C$3)*12+MONTH($C$3)-1,$G304,0))</f>
        <v/>
      </c>
      <c r="P304" s="63">
        <f>$M304-$O304</f>
        <v/>
      </c>
      <c r="Q304" s="63">
        <f>($L304-$M304)-($N304-$O304)</f>
        <v/>
      </c>
      <c r="R304" s="63">
        <f>$L304-$N304</f>
        <v/>
      </c>
    </row>
    <row r="305">
      <c r="A305" s="60">
        <f>ROW()-5</f>
        <v/>
      </c>
      <c r="B305" s="61">
        <f>IFERROR(INDEX(tbl_Finance[Date],$A305),"")</f>
        <v/>
      </c>
      <c r="C305" s="62">
        <f>IFERROR(INDEX(tbl_Finance[Xero Invoice No],$A305),"")</f>
        <v/>
      </c>
      <c r="D305" s="62">
        <f>IFERROR(INDEX(tbl_Finance[Client],$A305),"")</f>
        <v/>
      </c>
      <c r="E305" s="62">
        <f>IFERROR(INDEX(tbl_Finance[Job Number],$A305),"")</f>
        <v/>
      </c>
      <c r="F305" s="62">
        <f>IFERROR(INDEX(tbl_Finance[Cost Centre],$A305),"")</f>
        <v/>
      </c>
      <c r="G305" s="63">
        <f>IFERROR(INDEX(tbl_Finance[Ex GST],$A305),"")</f>
        <v/>
      </c>
      <c r="H305" s="61">
        <f>IFERROR(INDEX(tbl_Finance[Defer Start],$A305),"")</f>
        <v/>
      </c>
      <c r="I305" s="61">
        <f>IFERROR(INDEX(tbl_Finance[Defer End],$A305),"")</f>
        <v/>
      </c>
      <c r="J305" s="60">
        <f>IF(OR($H305="",$I305="",$G305=""),"",MAX(1,(YEAR($I305)-YEAR($H305))*12+MONTH($I305)-MONTH($H305)+1))</f>
        <v/>
      </c>
      <c r="K305" s="63">
        <f>IF($J305="","",$G305/$J305)</f>
        <v/>
      </c>
      <c r="L305" s="63">
        <f>IF($J305="",0,$K305*MAX(0,MIN(YEAR($C$3)*12+MONTH($C$3),YEAR($I305)*12+MONTH($I305))-(YEAR($H305)*12+MONTH($H305))+1))</f>
        <v/>
      </c>
      <c r="M305" s="63">
        <f>IF($J305="",0,$K305*MAX(0,MIN(YEAR($C$3)*12+MONTH($C$3)-1,YEAR($I305)*12+MONTH($I305))-(YEAR($H305)*12+MONTH($H305))+1))</f>
        <v/>
      </c>
      <c r="N305" s="63">
        <f>IF(OR($J305="",$B305=""),0,IF(YEAR($B305)*12+MONTH($B305)&lt;=YEAR($C$3)*12+MONTH($C$3),$G305,0))</f>
        <v/>
      </c>
      <c r="O305" s="63">
        <f>IF(OR($J305="",$B305=""),0,IF(YEAR($B305)*12+MONTH($B305)&lt;=YEAR($C$3)*12+MONTH($C$3)-1,$G305,0))</f>
        <v/>
      </c>
      <c r="P305" s="63">
        <f>$M305-$O305</f>
        <v/>
      </c>
      <c r="Q305" s="63">
        <f>($L305-$M305)-($N305-$O305)</f>
        <v/>
      </c>
      <c r="R305" s="63">
        <f>$L305-$N305</f>
        <v/>
      </c>
    </row>
    <row r="306">
      <c r="A306" s="60">
        <f>ROW()-5</f>
        <v/>
      </c>
      <c r="B306" s="61">
        <f>IFERROR(INDEX(tbl_Finance[Date],$A306),"")</f>
        <v/>
      </c>
      <c r="C306" s="62">
        <f>IFERROR(INDEX(tbl_Finance[Xero Invoice No],$A306),"")</f>
        <v/>
      </c>
      <c r="D306" s="62">
        <f>IFERROR(INDEX(tbl_Finance[Client],$A306),"")</f>
        <v/>
      </c>
      <c r="E306" s="62">
        <f>IFERROR(INDEX(tbl_Finance[Job Number],$A306),"")</f>
        <v/>
      </c>
      <c r="F306" s="62">
        <f>IFERROR(INDEX(tbl_Finance[Cost Centre],$A306),"")</f>
        <v/>
      </c>
      <c r="G306" s="63">
        <f>IFERROR(INDEX(tbl_Finance[Ex GST],$A306),"")</f>
        <v/>
      </c>
      <c r="H306" s="61">
        <f>IFERROR(INDEX(tbl_Finance[Defer Start],$A306),"")</f>
        <v/>
      </c>
      <c r="I306" s="61">
        <f>IFERROR(INDEX(tbl_Finance[Defer End],$A306),"")</f>
        <v/>
      </c>
      <c r="J306" s="60">
        <f>IF(OR($H306="",$I306="",$G306=""),"",MAX(1,(YEAR($I306)-YEAR($H306))*12+MONTH($I306)-MONTH($H306)+1))</f>
        <v/>
      </c>
      <c r="K306" s="63">
        <f>IF($J306="","",$G306/$J306)</f>
        <v/>
      </c>
      <c r="L306" s="63">
        <f>IF($J306="",0,$K306*MAX(0,MIN(YEAR($C$3)*12+MONTH($C$3),YEAR($I306)*12+MONTH($I306))-(YEAR($H306)*12+MONTH($H306))+1))</f>
        <v/>
      </c>
      <c r="M306" s="63">
        <f>IF($J306="",0,$K306*MAX(0,MIN(YEAR($C$3)*12+MONTH($C$3)-1,YEAR($I306)*12+MONTH($I306))-(YEAR($H306)*12+MONTH($H306))+1))</f>
        <v/>
      </c>
      <c r="N306" s="63">
        <f>IF(OR($J306="",$B306=""),0,IF(YEAR($B306)*12+MONTH($B306)&lt;=YEAR($C$3)*12+MONTH($C$3),$G306,0))</f>
        <v/>
      </c>
      <c r="O306" s="63">
        <f>IF(OR($J306="",$B306=""),0,IF(YEAR($B306)*12+MONTH($B306)&lt;=YEAR($C$3)*12+MONTH($C$3)-1,$G306,0))</f>
        <v/>
      </c>
      <c r="P306" s="63">
        <f>$M306-$O306</f>
        <v/>
      </c>
      <c r="Q306" s="63">
        <f>($L306-$M306)-($N306-$O306)</f>
        <v/>
      </c>
      <c r="R306" s="63">
        <f>$L306-$N306</f>
        <v/>
      </c>
    </row>
    <row r="307">
      <c r="A307" s="60">
        <f>ROW()-5</f>
        <v/>
      </c>
      <c r="B307" s="61">
        <f>IFERROR(INDEX(tbl_Finance[Date],$A307),"")</f>
        <v/>
      </c>
      <c r="C307" s="62">
        <f>IFERROR(INDEX(tbl_Finance[Xero Invoice No],$A307),"")</f>
        <v/>
      </c>
      <c r="D307" s="62">
        <f>IFERROR(INDEX(tbl_Finance[Client],$A307),"")</f>
        <v/>
      </c>
      <c r="E307" s="62">
        <f>IFERROR(INDEX(tbl_Finance[Job Number],$A307),"")</f>
        <v/>
      </c>
      <c r="F307" s="62">
        <f>IFERROR(INDEX(tbl_Finance[Cost Centre],$A307),"")</f>
        <v/>
      </c>
      <c r="G307" s="63">
        <f>IFERROR(INDEX(tbl_Finance[Ex GST],$A307),"")</f>
        <v/>
      </c>
      <c r="H307" s="61">
        <f>IFERROR(INDEX(tbl_Finance[Defer Start],$A307),"")</f>
        <v/>
      </c>
      <c r="I307" s="61">
        <f>IFERROR(INDEX(tbl_Finance[Defer End],$A307),"")</f>
        <v/>
      </c>
      <c r="J307" s="60">
        <f>IF(OR($H307="",$I307="",$G307=""),"",MAX(1,(YEAR($I307)-YEAR($H307))*12+MONTH($I307)-MONTH($H307)+1))</f>
        <v/>
      </c>
      <c r="K307" s="63">
        <f>IF($J307="","",$G307/$J307)</f>
        <v/>
      </c>
      <c r="L307" s="63">
        <f>IF($J307="",0,$K307*MAX(0,MIN(YEAR($C$3)*12+MONTH($C$3),YEAR($I307)*12+MONTH($I307))-(YEAR($H307)*12+MONTH($H307))+1))</f>
        <v/>
      </c>
      <c r="M307" s="63">
        <f>IF($J307="",0,$K307*MAX(0,MIN(YEAR($C$3)*12+MONTH($C$3)-1,YEAR($I307)*12+MONTH($I307))-(YEAR($H307)*12+MONTH($H307))+1))</f>
        <v/>
      </c>
      <c r="N307" s="63">
        <f>IF(OR($J307="",$B307=""),0,IF(YEAR($B307)*12+MONTH($B307)&lt;=YEAR($C$3)*12+MONTH($C$3),$G307,0))</f>
        <v/>
      </c>
      <c r="O307" s="63">
        <f>IF(OR($J307="",$B307=""),0,IF(YEAR($B307)*12+MONTH($B307)&lt;=YEAR($C$3)*12+MONTH($C$3)-1,$G307,0))</f>
        <v/>
      </c>
      <c r="P307" s="63">
        <f>$M307-$O307</f>
        <v/>
      </c>
      <c r="Q307" s="63">
        <f>($L307-$M307)-($N307-$O307)</f>
        <v/>
      </c>
      <c r="R307" s="63">
        <f>$L307-$N307</f>
        <v/>
      </c>
    </row>
    <row r="308">
      <c r="A308" s="60">
        <f>ROW()-5</f>
        <v/>
      </c>
      <c r="B308" s="61">
        <f>IFERROR(INDEX(tbl_Finance[Date],$A308),"")</f>
        <v/>
      </c>
      <c r="C308" s="62">
        <f>IFERROR(INDEX(tbl_Finance[Xero Invoice No],$A308),"")</f>
        <v/>
      </c>
      <c r="D308" s="62">
        <f>IFERROR(INDEX(tbl_Finance[Client],$A308),"")</f>
        <v/>
      </c>
      <c r="E308" s="62">
        <f>IFERROR(INDEX(tbl_Finance[Job Number],$A308),"")</f>
        <v/>
      </c>
      <c r="F308" s="62">
        <f>IFERROR(INDEX(tbl_Finance[Cost Centre],$A308),"")</f>
        <v/>
      </c>
      <c r="G308" s="63">
        <f>IFERROR(INDEX(tbl_Finance[Ex GST],$A308),"")</f>
        <v/>
      </c>
      <c r="H308" s="61">
        <f>IFERROR(INDEX(tbl_Finance[Defer Start],$A308),"")</f>
        <v/>
      </c>
      <c r="I308" s="61">
        <f>IFERROR(INDEX(tbl_Finance[Defer End],$A308),"")</f>
        <v/>
      </c>
      <c r="J308" s="60">
        <f>IF(OR($H308="",$I308="",$G308=""),"",MAX(1,(YEAR($I308)-YEAR($H308))*12+MONTH($I308)-MONTH($H308)+1))</f>
        <v/>
      </c>
      <c r="K308" s="63">
        <f>IF($J308="","",$G308/$J308)</f>
        <v/>
      </c>
      <c r="L308" s="63">
        <f>IF($J308="",0,$K308*MAX(0,MIN(YEAR($C$3)*12+MONTH($C$3),YEAR($I308)*12+MONTH($I308))-(YEAR($H308)*12+MONTH($H308))+1))</f>
        <v/>
      </c>
      <c r="M308" s="63">
        <f>IF($J308="",0,$K308*MAX(0,MIN(YEAR($C$3)*12+MONTH($C$3)-1,YEAR($I308)*12+MONTH($I308))-(YEAR($H308)*12+MONTH($H308))+1))</f>
        <v/>
      </c>
      <c r="N308" s="63">
        <f>IF(OR($J308="",$B308=""),0,IF(YEAR($B308)*12+MONTH($B308)&lt;=YEAR($C$3)*12+MONTH($C$3),$G308,0))</f>
        <v/>
      </c>
      <c r="O308" s="63">
        <f>IF(OR($J308="",$B308=""),0,IF(YEAR($B308)*12+MONTH($B308)&lt;=YEAR($C$3)*12+MONTH($C$3)-1,$G308,0))</f>
        <v/>
      </c>
      <c r="P308" s="63">
        <f>$M308-$O308</f>
        <v/>
      </c>
      <c r="Q308" s="63">
        <f>($L308-$M308)-($N308-$O308)</f>
        <v/>
      </c>
      <c r="R308" s="63">
        <f>$L308-$N308</f>
        <v/>
      </c>
    </row>
    <row r="309">
      <c r="A309" s="60">
        <f>ROW()-5</f>
        <v/>
      </c>
      <c r="B309" s="61">
        <f>IFERROR(INDEX(tbl_Finance[Date],$A309),"")</f>
        <v/>
      </c>
      <c r="C309" s="62">
        <f>IFERROR(INDEX(tbl_Finance[Xero Invoice No],$A309),"")</f>
        <v/>
      </c>
      <c r="D309" s="62">
        <f>IFERROR(INDEX(tbl_Finance[Client],$A309),"")</f>
        <v/>
      </c>
      <c r="E309" s="62">
        <f>IFERROR(INDEX(tbl_Finance[Job Number],$A309),"")</f>
        <v/>
      </c>
      <c r="F309" s="62">
        <f>IFERROR(INDEX(tbl_Finance[Cost Centre],$A309),"")</f>
        <v/>
      </c>
      <c r="G309" s="63">
        <f>IFERROR(INDEX(tbl_Finance[Ex GST],$A309),"")</f>
        <v/>
      </c>
      <c r="H309" s="61">
        <f>IFERROR(INDEX(tbl_Finance[Defer Start],$A309),"")</f>
        <v/>
      </c>
      <c r="I309" s="61">
        <f>IFERROR(INDEX(tbl_Finance[Defer End],$A309),"")</f>
        <v/>
      </c>
      <c r="J309" s="60">
        <f>IF(OR($H309="",$I309="",$G309=""),"",MAX(1,(YEAR($I309)-YEAR($H309))*12+MONTH($I309)-MONTH($H309)+1))</f>
        <v/>
      </c>
      <c r="K309" s="63">
        <f>IF($J309="","",$G309/$J309)</f>
        <v/>
      </c>
      <c r="L309" s="63">
        <f>IF($J309="",0,$K309*MAX(0,MIN(YEAR($C$3)*12+MONTH($C$3),YEAR($I309)*12+MONTH($I309))-(YEAR($H309)*12+MONTH($H309))+1))</f>
        <v/>
      </c>
      <c r="M309" s="63">
        <f>IF($J309="",0,$K309*MAX(0,MIN(YEAR($C$3)*12+MONTH($C$3)-1,YEAR($I309)*12+MONTH($I309))-(YEAR($H309)*12+MONTH($H309))+1))</f>
        <v/>
      </c>
      <c r="N309" s="63">
        <f>IF(OR($J309="",$B309=""),0,IF(YEAR($B309)*12+MONTH($B309)&lt;=YEAR($C$3)*12+MONTH($C$3),$G309,0))</f>
        <v/>
      </c>
      <c r="O309" s="63">
        <f>IF(OR($J309="",$B309=""),0,IF(YEAR($B309)*12+MONTH($B309)&lt;=YEAR($C$3)*12+MONTH($C$3)-1,$G309,0))</f>
        <v/>
      </c>
      <c r="P309" s="63">
        <f>$M309-$O309</f>
        <v/>
      </c>
      <c r="Q309" s="63">
        <f>($L309-$M309)-($N309-$O309)</f>
        <v/>
      </c>
      <c r="R309" s="63">
        <f>$L309-$N309</f>
        <v/>
      </c>
    </row>
    <row r="310">
      <c r="A310" s="60">
        <f>ROW()-5</f>
        <v/>
      </c>
      <c r="B310" s="61">
        <f>IFERROR(INDEX(tbl_Finance[Date],$A310),"")</f>
        <v/>
      </c>
      <c r="C310" s="62">
        <f>IFERROR(INDEX(tbl_Finance[Xero Invoice No],$A310),"")</f>
        <v/>
      </c>
      <c r="D310" s="62">
        <f>IFERROR(INDEX(tbl_Finance[Client],$A310),"")</f>
        <v/>
      </c>
      <c r="E310" s="62">
        <f>IFERROR(INDEX(tbl_Finance[Job Number],$A310),"")</f>
        <v/>
      </c>
      <c r="F310" s="62">
        <f>IFERROR(INDEX(tbl_Finance[Cost Centre],$A310),"")</f>
        <v/>
      </c>
      <c r="G310" s="63">
        <f>IFERROR(INDEX(tbl_Finance[Ex GST],$A310),"")</f>
        <v/>
      </c>
      <c r="H310" s="61">
        <f>IFERROR(INDEX(tbl_Finance[Defer Start],$A310),"")</f>
        <v/>
      </c>
      <c r="I310" s="61">
        <f>IFERROR(INDEX(tbl_Finance[Defer End],$A310),"")</f>
        <v/>
      </c>
      <c r="J310" s="60">
        <f>IF(OR($H310="",$I310="",$G310=""),"",MAX(1,(YEAR($I310)-YEAR($H310))*12+MONTH($I310)-MONTH($H310)+1))</f>
        <v/>
      </c>
      <c r="K310" s="63">
        <f>IF($J310="","",$G310/$J310)</f>
        <v/>
      </c>
      <c r="L310" s="63">
        <f>IF($J310="",0,$K310*MAX(0,MIN(YEAR($C$3)*12+MONTH($C$3),YEAR($I310)*12+MONTH($I310))-(YEAR($H310)*12+MONTH($H310))+1))</f>
        <v/>
      </c>
      <c r="M310" s="63">
        <f>IF($J310="",0,$K310*MAX(0,MIN(YEAR($C$3)*12+MONTH($C$3)-1,YEAR($I310)*12+MONTH($I310))-(YEAR($H310)*12+MONTH($H310))+1))</f>
        <v/>
      </c>
      <c r="N310" s="63">
        <f>IF(OR($J310="",$B310=""),0,IF(YEAR($B310)*12+MONTH($B310)&lt;=YEAR($C$3)*12+MONTH($C$3),$G310,0))</f>
        <v/>
      </c>
      <c r="O310" s="63">
        <f>IF(OR($J310="",$B310=""),0,IF(YEAR($B310)*12+MONTH($B310)&lt;=YEAR($C$3)*12+MONTH($C$3)-1,$G310,0))</f>
        <v/>
      </c>
      <c r="P310" s="63">
        <f>$M310-$O310</f>
        <v/>
      </c>
      <c r="Q310" s="63">
        <f>($L310-$M310)-($N310-$O310)</f>
        <v/>
      </c>
      <c r="R310" s="63">
        <f>$L310-$N310</f>
        <v/>
      </c>
    </row>
    <row r="311">
      <c r="A311" s="60">
        <f>ROW()-5</f>
        <v/>
      </c>
      <c r="B311" s="61">
        <f>IFERROR(INDEX(tbl_Finance[Date],$A311),"")</f>
        <v/>
      </c>
      <c r="C311" s="62">
        <f>IFERROR(INDEX(tbl_Finance[Xero Invoice No],$A311),"")</f>
        <v/>
      </c>
      <c r="D311" s="62">
        <f>IFERROR(INDEX(tbl_Finance[Client],$A311),"")</f>
        <v/>
      </c>
      <c r="E311" s="62">
        <f>IFERROR(INDEX(tbl_Finance[Job Number],$A311),"")</f>
        <v/>
      </c>
      <c r="F311" s="62">
        <f>IFERROR(INDEX(tbl_Finance[Cost Centre],$A311),"")</f>
        <v/>
      </c>
      <c r="G311" s="63">
        <f>IFERROR(INDEX(tbl_Finance[Ex GST],$A311),"")</f>
        <v/>
      </c>
      <c r="H311" s="61">
        <f>IFERROR(INDEX(tbl_Finance[Defer Start],$A311),"")</f>
        <v/>
      </c>
      <c r="I311" s="61">
        <f>IFERROR(INDEX(tbl_Finance[Defer End],$A311),"")</f>
        <v/>
      </c>
      <c r="J311" s="60">
        <f>IF(OR($H311="",$I311="",$G311=""),"",MAX(1,(YEAR($I311)-YEAR($H311))*12+MONTH($I311)-MONTH($H311)+1))</f>
        <v/>
      </c>
      <c r="K311" s="63">
        <f>IF($J311="","",$G311/$J311)</f>
        <v/>
      </c>
      <c r="L311" s="63">
        <f>IF($J311="",0,$K311*MAX(0,MIN(YEAR($C$3)*12+MONTH($C$3),YEAR($I311)*12+MONTH($I311))-(YEAR($H311)*12+MONTH($H311))+1))</f>
        <v/>
      </c>
      <c r="M311" s="63">
        <f>IF($J311="",0,$K311*MAX(0,MIN(YEAR($C$3)*12+MONTH($C$3)-1,YEAR($I311)*12+MONTH($I311))-(YEAR($H311)*12+MONTH($H311))+1))</f>
        <v/>
      </c>
      <c r="N311" s="63">
        <f>IF(OR($J311="",$B311=""),0,IF(YEAR($B311)*12+MONTH($B311)&lt;=YEAR($C$3)*12+MONTH($C$3),$G311,0))</f>
        <v/>
      </c>
      <c r="O311" s="63">
        <f>IF(OR($J311="",$B311=""),0,IF(YEAR($B311)*12+MONTH($B311)&lt;=YEAR($C$3)*12+MONTH($C$3)-1,$G311,0))</f>
        <v/>
      </c>
      <c r="P311" s="63">
        <f>$M311-$O311</f>
        <v/>
      </c>
      <c r="Q311" s="63">
        <f>($L311-$M311)-($N311-$O311)</f>
        <v/>
      </c>
      <c r="R311" s="63">
        <f>$L311-$N311</f>
        <v/>
      </c>
    </row>
    <row r="312">
      <c r="A312" s="60">
        <f>ROW()-5</f>
        <v/>
      </c>
      <c r="B312" s="61">
        <f>IFERROR(INDEX(tbl_Finance[Date],$A312),"")</f>
        <v/>
      </c>
      <c r="C312" s="62">
        <f>IFERROR(INDEX(tbl_Finance[Xero Invoice No],$A312),"")</f>
        <v/>
      </c>
      <c r="D312" s="62">
        <f>IFERROR(INDEX(tbl_Finance[Client],$A312),"")</f>
        <v/>
      </c>
      <c r="E312" s="62">
        <f>IFERROR(INDEX(tbl_Finance[Job Number],$A312),"")</f>
        <v/>
      </c>
      <c r="F312" s="62">
        <f>IFERROR(INDEX(tbl_Finance[Cost Centre],$A312),"")</f>
        <v/>
      </c>
      <c r="G312" s="63">
        <f>IFERROR(INDEX(tbl_Finance[Ex GST],$A312),"")</f>
        <v/>
      </c>
      <c r="H312" s="61">
        <f>IFERROR(INDEX(tbl_Finance[Defer Start],$A312),"")</f>
        <v/>
      </c>
      <c r="I312" s="61">
        <f>IFERROR(INDEX(tbl_Finance[Defer End],$A312),"")</f>
        <v/>
      </c>
      <c r="J312" s="60">
        <f>IF(OR($H312="",$I312="",$G312=""),"",MAX(1,(YEAR($I312)-YEAR($H312))*12+MONTH($I312)-MONTH($H312)+1))</f>
        <v/>
      </c>
      <c r="K312" s="63">
        <f>IF($J312="","",$G312/$J312)</f>
        <v/>
      </c>
      <c r="L312" s="63">
        <f>IF($J312="",0,$K312*MAX(0,MIN(YEAR($C$3)*12+MONTH($C$3),YEAR($I312)*12+MONTH($I312))-(YEAR($H312)*12+MONTH($H312))+1))</f>
        <v/>
      </c>
      <c r="M312" s="63">
        <f>IF($J312="",0,$K312*MAX(0,MIN(YEAR($C$3)*12+MONTH($C$3)-1,YEAR($I312)*12+MONTH($I312))-(YEAR($H312)*12+MONTH($H312))+1))</f>
        <v/>
      </c>
      <c r="N312" s="63">
        <f>IF(OR($J312="",$B312=""),0,IF(YEAR($B312)*12+MONTH($B312)&lt;=YEAR($C$3)*12+MONTH($C$3),$G312,0))</f>
        <v/>
      </c>
      <c r="O312" s="63">
        <f>IF(OR($J312="",$B312=""),0,IF(YEAR($B312)*12+MONTH($B312)&lt;=YEAR($C$3)*12+MONTH($C$3)-1,$G312,0))</f>
        <v/>
      </c>
      <c r="P312" s="63">
        <f>$M312-$O312</f>
        <v/>
      </c>
      <c r="Q312" s="63">
        <f>($L312-$M312)-($N312-$O312)</f>
        <v/>
      </c>
      <c r="R312" s="63">
        <f>$L312-$N312</f>
        <v/>
      </c>
    </row>
    <row r="313">
      <c r="A313" s="60">
        <f>ROW()-5</f>
        <v/>
      </c>
      <c r="B313" s="61">
        <f>IFERROR(INDEX(tbl_Finance[Date],$A313),"")</f>
        <v/>
      </c>
      <c r="C313" s="62">
        <f>IFERROR(INDEX(tbl_Finance[Xero Invoice No],$A313),"")</f>
        <v/>
      </c>
      <c r="D313" s="62">
        <f>IFERROR(INDEX(tbl_Finance[Client],$A313),"")</f>
        <v/>
      </c>
      <c r="E313" s="62">
        <f>IFERROR(INDEX(tbl_Finance[Job Number],$A313),"")</f>
        <v/>
      </c>
      <c r="F313" s="62">
        <f>IFERROR(INDEX(tbl_Finance[Cost Centre],$A313),"")</f>
        <v/>
      </c>
      <c r="G313" s="63">
        <f>IFERROR(INDEX(tbl_Finance[Ex GST],$A313),"")</f>
        <v/>
      </c>
      <c r="H313" s="61">
        <f>IFERROR(INDEX(tbl_Finance[Defer Start],$A313),"")</f>
        <v/>
      </c>
      <c r="I313" s="61">
        <f>IFERROR(INDEX(tbl_Finance[Defer End],$A313),"")</f>
        <v/>
      </c>
      <c r="J313" s="60">
        <f>IF(OR($H313="",$I313="",$G313=""),"",MAX(1,(YEAR($I313)-YEAR($H313))*12+MONTH($I313)-MONTH($H313)+1))</f>
        <v/>
      </c>
      <c r="K313" s="63">
        <f>IF($J313="","",$G313/$J313)</f>
        <v/>
      </c>
      <c r="L313" s="63">
        <f>IF($J313="",0,$K313*MAX(0,MIN(YEAR($C$3)*12+MONTH($C$3),YEAR($I313)*12+MONTH($I313))-(YEAR($H313)*12+MONTH($H313))+1))</f>
        <v/>
      </c>
      <c r="M313" s="63">
        <f>IF($J313="",0,$K313*MAX(0,MIN(YEAR($C$3)*12+MONTH($C$3)-1,YEAR($I313)*12+MONTH($I313))-(YEAR($H313)*12+MONTH($H313))+1))</f>
        <v/>
      </c>
      <c r="N313" s="63">
        <f>IF(OR($J313="",$B313=""),0,IF(YEAR($B313)*12+MONTH($B313)&lt;=YEAR($C$3)*12+MONTH($C$3),$G313,0))</f>
        <v/>
      </c>
      <c r="O313" s="63">
        <f>IF(OR($J313="",$B313=""),0,IF(YEAR($B313)*12+MONTH($B313)&lt;=YEAR($C$3)*12+MONTH($C$3)-1,$G313,0))</f>
        <v/>
      </c>
      <c r="P313" s="63">
        <f>$M313-$O313</f>
        <v/>
      </c>
      <c r="Q313" s="63">
        <f>($L313-$M313)-($N313-$O313)</f>
        <v/>
      </c>
      <c r="R313" s="63">
        <f>$L313-$N313</f>
        <v/>
      </c>
    </row>
    <row r="314">
      <c r="A314" s="60">
        <f>ROW()-5</f>
        <v/>
      </c>
      <c r="B314" s="61">
        <f>IFERROR(INDEX(tbl_Finance[Date],$A314),"")</f>
        <v/>
      </c>
      <c r="C314" s="62">
        <f>IFERROR(INDEX(tbl_Finance[Xero Invoice No],$A314),"")</f>
        <v/>
      </c>
      <c r="D314" s="62">
        <f>IFERROR(INDEX(tbl_Finance[Client],$A314),"")</f>
        <v/>
      </c>
      <c r="E314" s="62">
        <f>IFERROR(INDEX(tbl_Finance[Job Number],$A314),"")</f>
        <v/>
      </c>
      <c r="F314" s="62">
        <f>IFERROR(INDEX(tbl_Finance[Cost Centre],$A314),"")</f>
        <v/>
      </c>
      <c r="G314" s="63">
        <f>IFERROR(INDEX(tbl_Finance[Ex GST],$A314),"")</f>
        <v/>
      </c>
      <c r="H314" s="61">
        <f>IFERROR(INDEX(tbl_Finance[Defer Start],$A314),"")</f>
        <v/>
      </c>
      <c r="I314" s="61">
        <f>IFERROR(INDEX(tbl_Finance[Defer End],$A314),"")</f>
        <v/>
      </c>
      <c r="J314" s="60">
        <f>IF(OR($H314="",$I314="",$G314=""),"",MAX(1,(YEAR($I314)-YEAR($H314))*12+MONTH($I314)-MONTH($H314)+1))</f>
        <v/>
      </c>
      <c r="K314" s="63">
        <f>IF($J314="","",$G314/$J314)</f>
        <v/>
      </c>
      <c r="L314" s="63">
        <f>IF($J314="",0,$K314*MAX(0,MIN(YEAR($C$3)*12+MONTH($C$3),YEAR($I314)*12+MONTH($I314))-(YEAR($H314)*12+MONTH($H314))+1))</f>
        <v/>
      </c>
      <c r="M314" s="63">
        <f>IF($J314="",0,$K314*MAX(0,MIN(YEAR($C$3)*12+MONTH($C$3)-1,YEAR($I314)*12+MONTH($I314))-(YEAR($H314)*12+MONTH($H314))+1))</f>
        <v/>
      </c>
      <c r="N314" s="63">
        <f>IF(OR($J314="",$B314=""),0,IF(YEAR($B314)*12+MONTH($B314)&lt;=YEAR($C$3)*12+MONTH($C$3),$G314,0))</f>
        <v/>
      </c>
      <c r="O314" s="63">
        <f>IF(OR($J314="",$B314=""),0,IF(YEAR($B314)*12+MONTH($B314)&lt;=YEAR($C$3)*12+MONTH($C$3)-1,$G314,0))</f>
        <v/>
      </c>
      <c r="P314" s="63">
        <f>$M314-$O314</f>
        <v/>
      </c>
      <c r="Q314" s="63">
        <f>($L314-$M314)-($N314-$O314)</f>
        <v/>
      </c>
      <c r="R314" s="63">
        <f>$L314-$N314</f>
        <v/>
      </c>
    </row>
    <row r="315">
      <c r="A315" s="60">
        <f>ROW()-5</f>
        <v/>
      </c>
      <c r="B315" s="61">
        <f>IFERROR(INDEX(tbl_Finance[Date],$A315),"")</f>
        <v/>
      </c>
      <c r="C315" s="62">
        <f>IFERROR(INDEX(tbl_Finance[Xero Invoice No],$A315),"")</f>
        <v/>
      </c>
      <c r="D315" s="62">
        <f>IFERROR(INDEX(tbl_Finance[Client],$A315),"")</f>
        <v/>
      </c>
      <c r="E315" s="62">
        <f>IFERROR(INDEX(tbl_Finance[Job Number],$A315),"")</f>
        <v/>
      </c>
      <c r="F315" s="62">
        <f>IFERROR(INDEX(tbl_Finance[Cost Centre],$A315),"")</f>
        <v/>
      </c>
      <c r="G315" s="63">
        <f>IFERROR(INDEX(tbl_Finance[Ex GST],$A315),"")</f>
        <v/>
      </c>
      <c r="H315" s="61">
        <f>IFERROR(INDEX(tbl_Finance[Defer Start],$A315),"")</f>
        <v/>
      </c>
      <c r="I315" s="61">
        <f>IFERROR(INDEX(tbl_Finance[Defer End],$A315),"")</f>
        <v/>
      </c>
      <c r="J315" s="60">
        <f>IF(OR($H315="",$I315="",$G315=""),"",MAX(1,(YEAR($I315)-YEAR($H315))*12+MONTH($I315)-MONTH($H315)+1))</f>
        <v/>
      </c>
      <c r="K315" s="63">
        <f>IF($J315="","",$G315/$J315)</f>
        <v/>
      </c>
      <c r="L315" s="63">
        <f>IF($J315="",0,$K315*MAX(0,MIN(YEAR($C$3)*12+MONTH($C$3),YEAR($I315)*12+MONTH($I315))-(YEAR($H315)*12+MONTH($H315))+1))</f>
        <v/>
      </c>
      <c r="M315" s="63">
        <f>IF($J315="",0,$K315*MAX(0,MIN(YEAR($C$3)*12+MONTH($C$3)-1,YEAR($I315)*12+MONTH($I315))-(YEAR($H315)*12+MONTH($H315))+1))</f>
        <v/>
      </c>
      <c r="N315" s="63">
        <f>IF(OR($J315="",$B315=""),0,IF(YEAR($B315)*12+MONTH($B315)&lt;=YEAR($C$3)*12+MONTH($C$3),$G315,0))</f>
        <v/>
      </c>
      <c r="O315" s="63">
        <f>IF(OR($J315="",$B315=""),0,IF(YEAR($B315)*12+MONTH($B315)&lt;=YEAR($C$3)*12+MONTH($C$3)-1,$G315,0))</f>
        <v/>
      </c>
      <c r="P315" s="63">
        <f>$M315-$O315</f>
        <v/>
      </c>
      <c r="Q315" s="63">
        <f>($L315-$M315)-($N315-$O315)</f>
        <v/>
      </c>
      <c r="R315" s="63">
        <f>$L315-$N315</f>
        <v/>
      </c>
    </row>
    <row r="316">
      <c r="A316" s="60">
        <f>ROW()-5</f>
        <v/>
      </c>
      <c r="B316" s="61">
        <f>IFERROR(INDEX(tbl_Finance[Date],$A316),"")</f>
        <v/>
      </c>
      <c r="C316" s="62">
        <f>IFERROR(INDEX(tbl_Finance[Xero Invoice No],$A316),"")</f>
        <v/>
      </c>
      <c r="D316" s="62">
        <f>IFERROR(INDEX(tbl_Finance[Client],$A316),"")</f>
        <v/>
      </c>
      <c r="E316" s="62">
        <f>IFERROR(INDEX(tbl_Finance[Job Number],$A316),"")</f>
        <v/>
      </c>
      <c r="F316" s="62">
        <f>IFERROR(INDEX(tbl_Finance[Cost Centre],$A316),"")</f>
        <v/>
      </c>
      <c r="G316" s="63">
        <f>IFERROR(INDEX(tbl_Finance[Ex GST],$A316),"")</f>
        <v/>
      </c>
      <c r="H316" s="61">
        <f>IFERROR(INDEX(tbl_Finance[Defer Start],$A316),"")</f>
        <v/>
      </c>
      <c r="I316" s="61">
        <f>IFERROR(INDEX(tbl_Finance[Defer End],$A316),"")</f>
        <v/>
      </c>
      <c r="J316" s="60">
        <f>IF(OR($H316="",$I316="",$G316=""),"",MAX(1,(YEAR($I316)-YEAR($H316))*12+MONTH($I316)-MONTH($H316)+1))</f>
        <v/>
      </c>
      <c r="K316" s="63">
        <f>IF($J316="","",$G316/$J316)</f>
        <v/>
      </c>
      <c r="L316" s="63">
        <f>IF($J316="",0,$K316*MAX(0,MIN(YEAR($C$3)*12+MONTH($C$3),YEAR($I316)*12+MONTH($I316))-(YEAR($H316)*12+MONTH($H316))+1))</f>
        <v/>
      </c>
      <c r="M316" s="63">
        <f>IF($J316="",0,$K316*MAX(0,MIN(YEAR($C$3)*12+MONTH($C$3)-1,YEAR($I316)*12+MONTH($I316))-(YEAR($H316)*12+MONTH($H316))+1))</f>
        <v/>
      </c>
      <c r="N316" s="63">
        <f>IF(OR($J316="",$B316=""),0,IF(YEAR($B316)*12+MONTH($B316)&lt;=YEAR($C$3)*12+MONTH($C$3),$G316,0))</f>
        <v/>
      </c>
      <c r="O316" s="63">
        <f>IF(OR($J316="",$B316=""),0,IF(YEAR($B316)*12+MONTH($B316)&lt;=YEAR($C$3)*12+MONTH($C$3)-1,$G316,0))</f>
        <v/>
      </c>
      <c r="P316" s="63">
        <f>$M316-$O316</f>
        <v/>
      </c>
      <c r="Q316" s="63">
        <f>($L316-$M316)-($N316-$O316)</f>
        <v/>
      </c>
      <c r="R316" s="63">
        <f>$L316-$N316</f>
        <v/>
      </c>
    </row>
    <row r="317">
      <c r="A317" s="60">
        <f>ROW()-5</f>
        <v/>
      </c>
      <c r="B317" s="61">
        <f>IFERROR(INDEX(tbl_Finance[Date],$A317),"")</f>
        <v/>
      </c>
      <c r="C317" s="62">
        <f>IFERROR(INDEX(tbl_Finance[Xero Invoice No],$A317),"")</f>
        <v/>
      </c>
      <c r="D317" s="62">
        <f>IFERROR(INDEX(tbl_Finance[Client],$A317),"")</f>
        <v/>
      </c>
      <c r="E317" s="62">
        <f>IFERROR(INDEX(tbl_Finance[Job Number],$A317),"")</f>
        <v/>
      </c>
      <c r="F317" s="62">
        <f>IFERROR(INDEX(tbl_Finance[Cost Centre],$A317),"")</f>
        <v/>
      </c>
      <c r="G317" s="63">
        <f>IFERROR(INDEX(tbl_Finance[Ex GST],$A317),"")</f>
        <v/>
      </c>
      <c r="H317" s="61">
        <f>IFERROR(INDEX(tbl_Finance[Defer Start],$A317),"")</f>
        <v/>
      </c>
      <c r="I317" s="61">
        <f>IFERROR(INDEX(tbl_Finance[Defer End],$A317),"")</f>
        <v/>
      </c>
      <c r="J317" s="60">
        <f>IF(OR($H317="",$I317="",$G317=""),"",MAX(1,(YEAR($I317)-YEAR($H317))*12+MONTH($I317)-MONTH($H317)+1))</f>
        <v/>
      </c>
      <c r="K317" s="63">
        <f>IF($J317="","",$G317/$J317)</f>
        <v/>
      </c>
      <c r="L317" s="63">
        <f>IF($J317="",0,$K317*MAX(0,MIN(YEAR($C$3)*12+MONTH($C$3),YEAR($I317)*12+MONTH($I317))-(YEAR($H317)*12+MONTH($H317))+1))</f>
        <v/>
      </c>
      <c r="M317" s="63">
        <f>IF($J317="",0,$K317*MAX(0,MIN(YEAR($C$3)*12+MONTH($C$3)-1,YEAR($I317)*12+MONTH($I317))-(YEAR($H317)*12+MONTH($H317))+1))</f>
        <v/>
      </c>
      <c r="N317" s="63">
        <f>IF(OR($J317="",$B317=""),0,IF(YEAR($B317)*12+MONTH($B317)&lt;=YEAR($C$3)*12+MONTH($C$3),$G317,0))</f>
        <v/>
      </c>
      <c r="O317" s="63">
        <f>IF(OR($J317="",$B317=""),0,IF(YEAR($B317)*12+MONTH($B317)&lt;=YEAR($C$3)*12+MONTH($C$3)-1,$G317,0))</f>
        <v/>
      </c>
      <c r="P317" s="63">
        <f>$M317-$O317</f>
        <v/>
      </c>
      <c r="Q317" s="63">
        <f>($L317-$M317)-($N317-$O317)</f>
        <v/>
      </c>
      <c r="R317" s="63">
        <f>$L317-$N317</f>
        <v/>
      </c>
    </row>
    <row r="318">
      <c r="A318" s="60">
        <f>ROW()-5</f>
        <v/>
      </c>
      <c r="B318" s="61">
        <f>IFERROR(INDEX(tbl_Finance[Date],$A318),"")</f>
        <v/>
      </c>
      <c r="C318" s="62">
        <f>IFERROR(INDEX(tbl_Finance[Xero Invoice No],$A318),"")</f>
        <v/>
      </c>
      <c r="D318" s="62">
        <f>IFERROR(INDEX(tbl_Finance[Client],$A318),"")</f>
        <v/>
      </c>
      <c r="E318" s="62">
        <f>IFERROR(INDEX(tbl_Finance[Job Number],$A318),"")</f>
        <v/>
      </c>
      <c r="F318" s="62">
        <f>IFERROR(INDEX(tbl_Finance[Cost Centre],$A318),"")</f>
        <v/>
      </c>
      <c r="G318" s="63">
        <f>IFERROR(INDEX(tbl_Finance[Ex GST],$A318),"")</f>
        <v/>
      </c>
      <c r="H318" s="61">
        <f>IFERROR(INDEX(tbl_Finance[Defer Start],$A318),"")</f>
        <v/>
      </c>
      <c r="I318" s="61">
        <f>IFERROR(INDEX(tbl_Finance[Defer End],$A318),"")</f>
        <v/>
      </c>
      <c r="J318" s="60">
        <f>IF(OR($H318="",$I318="",$G318=""),"",MAX(1,(YEAR($I318)-YEAR($H318))*12+MONTH($I318)-MONTH($H318)+1))</f>
        <v/>
      </c>
      <c r="K318" s="63">
        <f>IF($J318="","",$G318/$J318)</f>
        <v/>
      </c>
      <c r="L318" s="63">
        <f>IF($J318="",0,$K318*MAX(0,MIN(YEAR($C$3)*12+MONTH($C$3),YEAR($I318)*12+MONTH($I318))-(YEAR($H318)*12+MONTH($H318))+1))</f>
        <v/>
      </c>
      <c r="M318" s="63">
        <f>IF($J318="",0,$K318*MAX(0,MIN(YEAR($C$3)*12+MONTH($C$3)-1,YEAR($I318)*12+MONTH($I318))-(YEAR($H318)*12+MONTH($H318))+1))</f>
        <v/>
      </c>
      <c r="N318" s="63">
        <f>IF(OR($J318="",$B318=""),0,IF(YEAR($B318)*12+MONTH($B318)&lt;=YEAR($C$3)*12+MONTH($C$3),$G318,0))</f>
        <v/>
      </c>
      <c r="O318" s="63">
        <f>IF(OR($J318="",$B318=""),0,IF(YEAR($B318)*12+MONTH($B318)&lt;=YEAR($C$3)*12+MONTH($C$3)-1,$G318,0))</f>
        <v/>
      </c>
      <c r="P318" s="63">
        <f>$M318-$O318</f>
        <v/>
      </c>
      <c r="Q318" s="63">
        <f>($L318-$M318)-($N318-$O318)</f>
        <v/>
      </c>
      <c r="R318" s="63">
        <f>$L318-$N318</f>
        <v/>
      </c>
    </row>
    <row r="319">
      <c r="A319" s="60">
        <f>ROW()-5</f>
        <v/>
      </c>
      <c r="B319" s="61">
        <f>IFERROR(INDEX(tbl_Finance[Date],$A319),"")</f>
        <v/>
      </c>
      <c r="C319" s="62">
        <f>IFERROR(INDEX(tbl_Finance[Xero Invoice No],$A319),"")</f>
        <v/>
      </c>
      <c r="D319" s="62">
        <f>IFERROR(INDEX(tbl_Finance[Client],$A319),"")</f>
        <v/>
      </c>
      <c r="E319" s="62">
        <f>IFERROR(INDEX(tbl_Finance[Job Number],$A319),"")</f>
        <v/>
      </c>
      <c r="F319" s="62">
        <f>IFERROR(INDEX(tbl_Finance[Cost Centre],$A319),"")</f>
        <v/>
      </c>
      <c r="G319" s="63">
        <f>IFERROR(INDEX(tbl_Finance[Ex GST],$A319),"")</f>
        <v/>
      </c>
      <c r="H319" s="61">
        <f>IFERROR(INDEX(tbl_Finance[Defer Start],$A319),"")</f>
        <v/>
      </c>
      <c r="I319" s="61">
        <f>IFERROR(INDEX(tbl_Finance[Defer End],$A319),"")</f>
        <v/>
      </c>
      <c r="J319" s="60">
        <f>IF(OR($H319="",$I319="",$G319=""),"",MAX(1,(YEAR($I319)-YEAR($H319))*12+MONTH($I319)-MONTH($H319)+1))</f>
        <v/>
      </c>
      <c r="K319" s="63">
        <f>IF($J319="","",$G319/$J319)</f>
        <v/>
      </c>
      <c r="L319" s="63">
        <f>IF($J319="",0,$K319*MAX(0,MIN(YEAR($C$3)*12+MONTH($C$3),YEAR($I319)*12+MONTH($I319))-(YEAR($H319)*12+MONTH($H319))+1))</f>
        <v/>
      </c>
      <c r="M319" s="63">
        <f>IF($J319="",0,$K319*MAX(0,MIN(YEAR($C$3)*12+MONTH($C$3)-1,YEAR($I319)*12+MONTH($I319))-(YEAR($H319)*12+MONTH($H319))+1))</f>
        <v/>
      </c>
      <c r="N319" s="63">
        <f>IF(OR($J319="",$B319=""),0,IF(YEAR($B319)*12+MONTH($B319)&lt;=YEAR($C$3)*12+MONTH($C$3),$G319,0))</f>
        <v/>
      </c>
      <c r="O319" s="63">
        <f>IF(OR($J319="",$B319=""),0,IF(YEAR($B319)*12+MONTH($B319)&lt;=YEAR($C$3)*12+MONTH($C$3)-1,$G319,0))</f>
        <v/>
      </c>
      <c r="P319" s="63">
        <f>$M319-$O319</f>
        <v/>
      </c>
      <c r="Q319" s="63">
        <f>($L319-$M319)-($N319-$O319)</f>
        <v/>
      </c>
      <c r="R319" s="63">
        <f>$L319-$N319</f>
        <v/>
      </c>
    </row>
    <row r="320">
      <c r="A320" s="60">
        <f>ROW()-5</f>
        <v/>
      </c>
      <c r="B320" s="61">
        <f>IFERROR(INDEX(tbl_Finance[Date],$A320),"")</f>
        <v/>
      </c>
      <c r="C320" s="62">
        <f>IFERROR(INDEX(tbl_Finance[Xero Invoice No],$A320),"")</f>
        <v/>
      </c>
      <c r="D320" s="62">
        <f>IFERROR(INDEX(tbl_Finance[Client],$A320),"")</f>
        <v/>
      </c>
      <c r="E320" s="62">
        <f>IFERROR(INDEX(tbl_Finance[Job Number],$A320),"")</f>
        <v/>
      </c>
      <c r="F320" s="62">
        <f>IFERROR(INDEX(tbl_Finance[Cost Centre],$A320),"")</f>
        <v/>
      </c>
      <c r="G320" s="63">
        <f>IFERROR(INDEX(tbl_Finance[Ex GST],$A320),"")</f>
        <v/>
      </c>
      <c r="H320" s="61">
        <f>IFERROR(INDEX(tbl_Finance[Defer Start],$A320),"")</f>
        <v/>
      </c>
      <c r="I320" s="61">
        <f>IFERROR(INDEX(tbl_Finance[Defer End],$A320),"")</f>
        <v/>
      </c>
      <c r="J320" s="60">
        <f>IF(OR($H320="",$I320="",$G320=""),"",MAX(1,(YEAR($I320)-YEAR($H320))*12+MONTH($I320)-MONTH($H320)+1))</f>
        <v/>
      </c>
      <c r="K320" s="63">
        <f>IF($J320="","",$G320/$J320)</f>
        <v/>
      </c>
      <c r="L320" s="63">
        <f>IF($J320="",0,$K320*MAX(0,MIN(YEAR($C$3)*12+MONTH($C$3),YEAR($I320)*12+MONTH($I320))-(YEAR($H320)*12+MONTH($H320))+1))</f>
        <v/>
      </c>
      <c r="M320" s="63">
        <f>IF($J320="",0,$K320*MAX(0,MIN(YEAR($C$3)*12+MONTH($C$3)-1,YEAR($I320)*12+MONTH($I320))-(YEAR($H320)*12+MONTH($H320))+1))</f>
        <v/>
      </c>
      <c r="N320" s="63">
        <f>IF(OR($J320="",$B320=""),0,IF(YEAR($B320)*12+MONTH($B320)&lt;=YEAR($C$3)*12+MONTH($C$3),$G320,0))</f>
        <v/>
      </c>
      <c r="O320" s="63">
        <f>IF(OR($J320="",$B320=""),0,IF(YEAR($B320)*12+MONTH($B320)&lt;=YEAR($C$3)*12+MONTH($C$3)-1,$G320,0))</f>
        <v/>
      </c>
      <c r="P320" s="63">
        <f>$M320-$O320</f>
        <v/>
      </c>
      <c r="Q320" s="63">
        <f>($L320-$M320)-($N320-$O320)</f>
        <v/>
      </c>
      <c r="R320" s="63">
        <f>$L320-$N320</f>
        <v/>
      </c>
    </row>
    <row r="321">
      <c r="A321" s="60">
        <f>ROW()-5</f>
        <v/>
      </c>
      <c r="B321" s="61">
        <f>IFERROR(INDEX(tbl_Finance[Date],$A321),"")</f>
        <v/>
      </c>
      <c r="C321" s="62">
        <f>IFERROR(INDEX(tbl_Finance[Xero Invoice No],$A321),"")</f>
        <v/>
      </c>
      <c r="D321" s="62">
        <f>IFERROR(INDEX(tbl_Finance[Client],$A321),"")</f>
        <v/>
      </c>
      <c r="E321" s="62">
        <f>IFERROR(INDEX(tbl_Finance[Job Number],$A321),"")</f>
        <v/>
      </c>
      <c r="F321" s="62">
        <f>IFERROR(INDEX(tbl_Finance[Cost Centre],$A321),"")</f>
        <v/>
      </c>
      <c r="G321" s="63">
        <f>IFERROR(INDEX(tbl_Finance[Ex GST],$A321),"")</f>
        <v/>
      </c>
      <c r="H321" s="61">
        <f>IFERROR(INDEX(tbl_Finance[Defer Start],$A321),"")</f>
        <v/>
      </c>
      <c r="I321" s="61">
        <f>IFERROR(INDEX(tbl_Finance[Defer End],$A321),"")</f>
        <v/>
      </c>
      <c r="J321" s="60">
        <f>IF(OR($H321="",$I321="",$G321=""),"",MAX(1,(YEAR($I321)-YEAR($H321))*12+MONTH($I321)-MONTH($H321)+1))</f>
        <v/>
      </c>
      <c r="K321" s="63">
        <f>IF($J321="","",$G321/$J321)</f>
        <v/>
      </c>
      <c r="L321" s="63">
        <f>IF($J321="",0,$K321*MAX(0,MIN(YEAR($C$3)*12+MONTH($C$3),YEAR($I321)*12+MONTH($I321))-(YEAR($H321)*12+MONTH($H321))+1))</f>
        <v/>
      </c>
      <c r="M321" s="63">
        <f>IF($J321="",0,$K321*MAX(0,MIN(YEAR($C$3)*12+MONTH($C$3)-1,YEAR($I321)*12+MONTH($I321))-(YEAR($H321)*12+MONTH($H321))+1))</f>
        <v/>
      </c>
      <c r="N321" s="63">
        <f>IF(OR($J321="",$B321=""),0,IF(YEAR($B321)*12+MONTH($B321)&lt;=YEAR($C$3)*12+MONTH($C$3),$G321,0))</f>
        <v/>
      </c>
      <c r="O321" s="63">
        <f>IF(OR($J321="",$B321=""),0,IF(YEAR($B321)*12+MONTH($B321)&lt;=YEAR($C$3)*12+MONTH($C$3)-1,$G321,0))</f>
        <v/>
      </c>
      <c r="P321" s="63">
        <f>$M321-$O321</f>
        <v/>
      </c>
      <c r="Q321" s="63">
        <f>($L321-$M321)-($N321-$O321)</f>
        <v/>
      </c>
      <c r="R321" s="63">
        <f>$L321-$N321</f>
        <v/>
      </c>
    </row>
    <row r="322">
      <c r="A322" s="60">
        <f>ROW()-5</f>
        <v/>
      </c>
      <c r="B322" s="61">
        <f>IFERROR(INDEX(tbl_Finance[Date],$A322),"")</f>
        <v/>
      </c>
      <c r="C322" s="62">
        <f>IFERROR(INDEX(tbl_Finance[Xero Invoice No],$A322),"")</f>
        <v/>
      </c>
      <c r="D322" s="62">
        <f>IFERROR(INDEX(tbl_Finance[Client],$A322),"")</f>
        <v/>
      </c>
      <c r="E322" s="62">
        <f>IFERROR(INDEX(tbl_Finance[Job Number],$A322),"")</f>
        <v/>
      </c>
      <c r="F322" s="62">
        <f>IFERROR(INDEX(tbl_Finance[Cost Centre],$A322),"")</f>
        <v/>
      </c>
      <c r="G322" s="63">
        <f>IFERROR(INDEX(tbl_Finance[Ex GST],$A322),"")</f>
        <v/>
      </c>
      <c r="H322" s="61">
        <f>IFERROR(INDEX(tbl_Finance[Defer Start],$A322),"")</f>
        <v/>
      </c>
      <c r="I322" s="61">
        <f>IFERROR(INDEX(tbl_Finance[Defer End],$A322),"")</f>
        <v/>
      </c>
      <c r="J322" s="60">
        <f>IF(OR($H322="",$I322="",$G322=""),"",MAX(1,(YEAR($I322)-YEAR($H322))*12+MONTH($I322)-MONTH($H322)+1))</f>
        <v/>
      </c>
      <c r="K322" s="63">
        <f>IF($J322="","",$G322/$J322)</f>
        <v/>
      </c>
      <c r="L322" s="63">
        <f>IF($J322="",0,$K322*MAX(0,MIN(YEAR($C$3)*12+MONTH($C$3),YEAR($I322)*12+MONTH($I322))-(YEAR($H322)*12+MONTH($H322))+1))</f>
        <v/>
      </c>
      <c r="M322" s="63">
        <f>IF($J322="",0,$K322*MAX(0,MIN(YEAR($C$3)*12+MONTH($C$3)-1,YEAR($I322)*12+MONTH($I322))-(YEAR($H322)*12+MONTH($H322))+1))</f>
        <v/>
      </c>
      <c r="N322" s="63">
        <f>IF(OR($J322="",$B322=""),0,IF(YEAR($B322)*12+MONTH($B322)&lt;=YEAR($C$3)*12+MONTH($C$3),$G322,0))</f>
        <v/>
      </c>
      <c r="O322" s="63">
        <f>IF(OR($J322="",$B322=""),0,IF(YEAR($B322)*12+MONTH($B322)&lt;=YEAR($C$3)*12+MONTH($C$3)-1,$G322,0))</f>
        <v/>
      </c>
      <c r="P322" s="63">
        <f>$M322-$O322</f>
        <v/>
      </c>
      <c r="Q322" s="63">
        <f>($L322-$M322)-($N322-$O322)</f>
        <v/>
      </c>
      <c r="R322" s="63">
        <f>$L322-$N322</f>
        <v/>
      </c>
    </row>
    <row r="323">
      <c r="A323" s="60">
        <f>ROW()-5</f>
        <v/>
      </c>
      <c r="B323" s="61">
        <f>IFERROR(INDEX(tbl_Finance[Date],$A323),"")</f>
        <v/>
      </c>
      <c r="C323" s="62">
        <f>IFERROR(INDEX(tbl_Finance[Xero Invoice No],$A323),"")</f>
        <v/>
      </c>
      <c r="D323" s="62">
        <f>IFERROR(INDEX(tbl_Finance[Client],$A323),"")</f>
        <v/>
      </c>
      <c r="E323" s="62">
        <f>IFERROR(INDEX(tbl_Finance[Job Number],$A323),"")</f>
        <v/>
      </c>
      <c r="F323" s="62">
        <f>IFERROR(INDEX(tbl_Finance[Cost Centre],$A323),"")</f>
        <v/>
      </c>
      <c r="G323" s="63">
        <f>IFERROR(INDEX(tbl_Finance[Ex GST],$A323),"")</f>
        <v/>
      </c>
      <c r="H323" s="61">
        <f>IFERROR(INDEX(tbl_Finance[Defer Start],$A323),"")</f>
        <v/>
      </c>
      <c r="I323" s="61">
        <f>IFERROR(INDEX(tbl_Finance[Defer End],$A323),"")</f>
        <v/>
      </c>
      <c r="J323" s="60">
        <f>IF(OR($H323="",$I323="",$G323=""),"",MAX(1,(YEAR($I323)-YEAR($H323))*12+MONTH($I323)-MONTH($H323)+1))</f>
        <v/>
      </c>
      <c r="K323" s="63">
        <f>IF($J323="","",$G323/$J323)</f>
        <v/>
      </c>
      <c r="L323" s="63">
        <f>IF($J323="",0,$K323*MAX(0,MIN(YEAR($C$3)*12+MONTH($C$3),YEAR($I323)*12+MONTH($I323))-(YEAR($H323)*12+MONTH($H323))+1))</f>
        <v/>
      </c>
      <c r="M323" s="63">
        <f>IF($J323="",0,$K323*MAX(0,MIN(YEAR($C$3)*12+MONTH($C$3)-1,YEAR($I323)*12+MONTH($I323))-(YEAR($H323)*12+MONTH($H323))+1))</f>
        <v/>
      </c>
      <c r="N323" s="63">
        <f>IF(OR($J323="",$B323=""),0,IF(YEAR($B323)*12+MONTH($B323)&lt;=YEAR($C$3)*12+MONTH($C$3),$G323,0))</f>
        <v/>
      </c>
      <c r="O323" s="63">
        <f>IF(OR($J323="",$B323=""),0,IF(YEAR($B323)*12+MONTH($B323)&lt;=YEAR($C$3)*12+MONTH($C$3)-1,$G323,0))</f>
        <v/>
      </c>
      <c r="P323" s="63">
        <f>$M323-$O323</f>
        <v/>
      </c>
      <c r="Q323" s="63">
        <f>($L323-$M323)-($N323-$O323)</f>
        <v/>
      </c>
      <c r="R323" s="63">
        <f>$L323-$N323</f>
        <v/>
      </c>
    </row>
    <row r="324">
      <c r="A324" s="60">
        <f>ROW()-5</f>
        <v/>
      </c>
      <c r="B324" s="61">
        <f>IFERROR(INDEX(tbl_Finance[Date],$A324),"")</f>
        <v/>
      </c>
      <c r="C324" s="62">
        <f>IFERROR(INDEX(tbl_Finance[Xero Invoice No],$A324),"")</f>
        <v/>
      </c>
      <c r="D324" s="62">
        <f>IFERROR(INDEX(tbl_Finance[Client],$A324),"")</f>
        <v/>
      </c>
      <c r="E324" s="62">
        <f>IFERROR(INDEX(tbl_Finance[Job Number],$A324),"")</f>
        <v/>
      </c>
      <c r="F324" s="62">
        <f>IFERROR(INDEX(tbl_Finance[Cost Centre],$A324),"")</f>
        <v/>
      </c>
      <c r="G324" s="63">
        <f>IFERROR(INDEX(tbl_Finance[Ex GST],$A324),"")</f>
        <v/>
      </c>
      <c r="H324" s="61">
        <f>IFERROR(INDEX(tbl_Finance[Defer Start],$A324),"")</f>
        <v/>
      </c>
      <c r="I324" s="61">
        <f>IFERROR(INDEX(tbl_Finance[Defer End],$A324),"")</f>
        <v/>
      </c>
      <c r="J324" s="60">
        <f>IF(OR($H324="",$I324="",$G324=""),"",MAX(1,(YEAR($I324)-YEAR($H324))*12+MONTH($I324)-MONTH($H324)+1))</f>
        <v/>
      </c>
      <c r="K324" s="63">
        <f>IF($J324="","",$G324/$J324)</f>
        <v/>
      </c>
      <c r="L324" s="63">
        <f>IF($J324="",0,$K324*MAX(0,MIN(YEAR($C$3)*12+MONTH($C$3),YEAR($I324)*12+MONTH($I324))-(YEAR($H324)*12+MONTH($H324))+1))</f>
        <v/>
      </c>
      <c r="M324" s="63">
        <f>IF($J324="",0,$K324*MAX(0,MIN(YEAR($C$3)*12+MONTH($C$3)-1,YEAR($I324)*12+MONTH($I324))-(YEAR($H324)*12+MONTH($H324))+1))</f>
        <v/>
      </c>
      <c r="N324" s="63">
        <f>IF(OR($J324="",$B324=""),0,IF(YEAR($B324)*12+MONTH($B324)&lt;=YEAR($C$3)*12+MONTH($C$3),$G324,0))</f>
        <v/>
      </c>
      <c r="O324" s="63">
        <f>IF(OR($J324="",$B324=""),0,IF(YEAR($B324)*12+MONTH($B324)&lt;=YEAR($C$3)*12+MONTH($C$3)-1,$G324,0))</f>
        <v/>
      </c>
      <c r="P324" s="63">
        <f>$M324-$O324</f>
        <v/>
      </c>
      <c r="Q324" s="63">
        <f>($L324-$M324)-($N324-$O324)</f>
        <v/>
      </c>
      <c r="R324" s="63">
        <f>$L324-$N324</f>
        <v/>
      </c>
    </row>
    <row r="325">
      <c r="A325" s="60">
        <f>ROW()-5</f>
        <v/>
      </c>
      <c r="B325" s="61">
        <f>IFERROR(INDEX(tbl_Finance[Date],$A325),"")</f>
        <v/>
      </c>
      <c r="C325" s="62">
        <f>IFERROR(INDEX(tbl_Finance[Xero Invoice No],$A325),"")</f>
        <v/>
      </c>
      <c r="D325" s="62">
        <f>IFERROR(INDEX(tbl_Finance[Client],$A325),"")</f>
        <v/>
      </c>
      <c r="E325" s="62">
        <f>IFERROR(INDEX(tbl_Finance[Job Number],$A325),"")</f>
        <v/>
      </c>
      <c r="F325" s="62">
        <f>IFERROR(INDEX(tbl_Finance[Cost Centre],$A325),"")</f>
        <v/>
      </c>
      <c r="G325" s="63">
        <f>IFERROR(INDEX(tbl_Finance[Ex GST],$A325),"")</f>
        <v/>
      </c>
      <c r="H325" s="61">
        <f>IFERROR(INDEX(tbl_Finance[Defer Start],$A325),"")</f>
        <v/>
      </c>
      <c r="I325" s="61">
        <f>IFERROR(INDEX(tbl_Finance[Defer End],$A325),"")</f>
        <v/>
      </c>
      <c r="J325" s="60">
        <f>IF(OR($H325="",$I325="",$G325=""),"",MAX(1,(YEAR($I325)-YEAR($H325))*12+MONTH($I325)-MONTH($H325)+1))</f>
        <v/>
      </c>
      <c r="K325" s="63">
        <f>IF($J325="","",$G325/$J325)</f>
        <v/>
      </c>
      <c r="L325" s="63">
        <f>IF($J325="",0,$K325*MAX(0,MIN(YEAR($C$3)*12+MONTH($C$3),YEAR($I325)*12+MONTH($I325))-(YEAR($H325)*12+MONTH($H325))+1))</f>
        <v/>
      </c>
      <c r="M325" s="63">
        <f>IF($J325="",0,$K325*MAX(0,MIN(YEAR($C$3)*12+MONTH($C$3)-1,YEAR($I325)*12+MONTH($I325))-(YEAR($H325)*12+MONTH($H325))+1))</f>
        <v/>
      </c>
      <c r="N325" s="63">
        <f>IF(OR($J325="",$B325=""),0,IF(YEAR($B325)*12+MONTH($B325)&lt;=YEAR($C$3)*12+MONTH($C$3),$G325,0))</f>
        <v/>
      </c>
      <c r="O325" s="63">
        <f>IF(OR($J325="",$B325=""),0,IF(YEAR($B325)*12+MONTH($B325)&lt;=YEAR($C$3)*12+MONTH($C$3)-1,$G325,0))</f>
        <v/>
      </c>
      <c r="P325" s="63">
        <f>$M325-$O325</f>
        <v/>
      </c>
      <c r="Q325" s="63">
        <f>($L325-$M325)-($N325-$O325)</f>
        <v/>
      </c>
      <c r="R325" s="63">
        <f>$L325-$N325</f>
        <v/>
      </c>
    </row>
    <row r="326">
      <c r="A326" s="60">
        <f>ROW()-5</f>
        <v/>
      </c>
      <c r="B326" s="61">
        <f>IFERROR(INDEX(tbl_Finance[Date],$A326),"")</f>
        <v/>
      </c>
      <c r="C326" s="62">
        <f>IFERROR(INDEX(tbl_Finance[Xero Invoice No],$A326),"")</f>
        <v/>
      </c>
      <c r="D326" s="62">
        <f>IFERROR(INDEX(tbl_Finance[Client],$A326),"")</f>
        <v/>
      </c>
      <c r="E326" s="62">
        <f>IFERROR(INDEX(tbl_Finance[Job Number],$A326),"")</f>
        <v/>
      </c>
      <c r="F326" s="62">
        <f>IFERROR(INDEX(tbl_Finance[Cost Centre],$A326),"")</f>
        <v/>
      </c>
      <c r="G326" s="63">
        <f>IFERROR(INDEX(tbl_Finance[Ex GST],$A326),"")</f>
        <v/>
      </c>
      <c r="H326" s="61">
        <f>IFERROR(INDEX(tbl_Finance[Defer Start],$A326),"")</f>
        <v/>
      </c>
      <c r="I326" s="61">
        <f>IFERROR(INDEX(tbl_Finance[Defer End],$A326),"")</f>
        <v/>
      </c>
      <c r="J326" s="60">
        <f>IF(OR($H326="",$I326="",$G326=""),"",MAX(1,(YEAR($I326)-YEAR($H326))*12+MONTH($I326)-MONTH($H326)+1))</f>
        <v/>
      </c>
      <c r="K326" s="63">
        <f>IF($J326="","",$G326/$J326)</f>
        <v/>
      </c>
      <c r="L326" s="63">
        <f>IF($J326="",0,$K326*MAX(0,MIN(YEAR($C$3)*12+MONTH($C$3),YEAR($I326)*12+MONTH($I326))-(YEAR($H326)*12+MONTH($H326))+1))</f>
        <v/>
      </c>
      <c r="M326" s="63">
        <f>IF($J326="",0,$K326*MAX(0,MIN(YEAR($C$3)*12+MONTH($C$3)-1,YEAR($I326)*12+MONTH($I326))-(YEAR($H326)*12+MONTH($H326))+1))</f>
        <v/>
      </c>
      <c r="N326" s="63">
        <f>IF(OR($J326="",$B326=""),0,IF(YEAR($B326)*12+MONTH($B326)&lt;=YEAR($C$3)*12+MONTH($C$3),$G326,0))</f>
        <v/>
      </c>
      <c r="O326" s="63">
        <f>IF(OR($J326="",$B326=""),0,IF(YEAR($B326)*12+MONTH($B326)&lt;=YEAR($C$3)*12+MONTH($C$3)-1,$G326,0))</f>
        <v/>
      </c>
      <c r="P326" s="63">
        <f>$M326-$O326</f>
        <v/>
      </c>
      <c r="Q326" s="63">
        <f>($L326-$M326)-($N326-$O326)</f>
        <v/>
      </c>
      <c r="R326" s="63">
        <f>$L326-$N326</f>
        <v/>
      </c>
    </row>
    <row r="327">
      <c r="A327" s="60">
        <f>ROW()-5</f>
        <v/>
      </c>
      <c r="B327" s="61">
        <f>IFERROR(INDEX(tbl_Finance[Date],$A327),"")</f>
        <v/>
      </c>
      <c r="C327" s="62">
        <f>IFERROR(INDEX(tbl_Finance[Xero Invoice No],$A327),"")</f>
        <v/>
      </c>
      <c r="D327" s="62">
        <f>IFERROR(INDEX(tbl_Finance[Client],$A327),"")</f>
        <v/>
      </c>
      <c r="E327" s="62">
        <f>IFERROR(INDEX(tbl_Finance[Job Number],$A327),"")</f>
        <v/>
      </c>
      <c r="F327" s="62">
        <f>IFERROR(INDEX(tbl_Finance[Cost Centre],$A327),"")</f>
        <v/>
      </c>
      <c r="G327" s="63">
        <f>IFERROR(INDEX(tbl_Finance[Ex GST],$A327),"")</f>
        <v/>
      </c>
      <c r="H327" s="61">
        <f>IFERROR(INDEX(tbl_Finance[Defer Start],$A327),"")</f>
        <v/>
      </c>
      <c r="I327" s="61">
        <f>IFERROR(INDEX(tbl_Finance[Defer End],$A327),"")</f>
        <v/>
      </c>
      <c r="J327" s="60">
        <f>IF(OR($H327="",$I327="",$G327=""),"",MAX(1,(YEAR($I327)-YEAR($H327))*12+MONTH($I327)-MONTH($H327)+1))</f>
        <v/>
      </c>
      <c r="K327" s="63">
        <f>IF($J327="","",$G327/$J327)</f>
        <v/>
      </c>
      <c r="L327" s="63">
        <f>IF($J327="",0,$K327*MAX(0,MIN(YEAR($C$3)*12+MONTH($C$3),YEAR($I327)*12+MONTH($I327))-(YEAR($H327)*12+MONTH($H327))+1))</f>
        <v/>
      </c>
      <c r="M327" s="63">
        <f>IF($J327="",0,$K327*MAX(0,MIN(YEAR($C$3)*12+MONTH($C$3)-1,YEAR($I327)*12+MONTH($I327))-(YEAR($H327)*12+MONTH($H327))+1))</f>
        <v/>
      </c>
      <c r="N327" s="63">
        <f>IF(OR($J327="",$B327=""),0,IF(YEAR($B327)*12+MONTH($B327)&lt;=YEAR($C$3)*12+MONTH($C$3),$G327,0))</f>
        <v/>
      </c>
      <c r="O327" s="63">
        <f>IF(OR($J327="",$B327=""),0,IF(YEAR($B327)*12+MONTH($B327)&lt;=YEAR($C$3)*12+MONTH($C$3)-1,$G327,0))</f>
        <v/>
      </c>
      <c r="P327" s="63">
        <f>$M327-$O327</f>
        <v/>
      </c>
      <c r="Q327" s="63">
        <f>($L327-$M327)-($N327-$O327)</f>
        <v/>
      </c>
      <c r="R327" s="63">
        <f>$L327-$N327</f>
        <v/>
      </c>
    </row>
    <row r="328">
      <c r="A328" s="60">
        <f>ROW()-5</f>
        <v/>
      </c>
      <c r="B328" s="61">
        <f>IFERROR(INDEX(tbl_Finance[Date],$A328),"")</f>
        <v/>
      </c>
      <c r="C328" s="62">
        <f>IFERROR(INDEX(tbl_Finance[Xero Invoice No],$A328),"")</f>
        <v/>
      </c>
      <c r="D328" s="62">
        <f>IFERROR(INDEX(tbl_Finance[Client],$A328),"")</f>
        <v/>
      </c>
      <c r="E328" s="62">
        <f>IFERROR(INDEX(tbl_Finance[Job Number],$A328),"")</f>
        <v/>
      </c>
      <c r="F328" s="62">
        <f>IFERROR(INDEX(tbl_Finance[Cost Centre],$A328),"")</f>
        <v/>
      </c>
      <c r="G328" s="63">
        <f>IFERROR(INDEX(tbl_Finance[Ex GST],$A328),"")</f>
        <v/>
      </c>
      <c r="H328" s="61">
        <f>IFERROR(INDEX(tbl_Finance[Defer Start],$A328),"")</f>
        <v/>
      </c>
      <c r="I328" s="61">
        <f>IFERROR(INDEX(tbl_Finance[Defer End],$A328),"")</f>
        <v/>
      </c>
      <c r="J328" s="60">
        <f>IF(OR($H328="",$I328="",$G328=""),"",MAX(1,(YEAR($I328)-YEAR($H328))*12+MONTH($I328)-MONTH($H328)+1))</f>
        <v/>
      </c>
      <c r="K328" s="63">
        <f>IF($J328="","",$G328/$J328)</f>
        <v/>
      </c>
      <c r="L328" s="63">
        <f>IF($J328="",0,$K328*MAX(0,MIN(YEAR($C$3)*12+MONTH($C$3),YEAR($I328)*12+MONTH($I328))-(YEAR($H328)*12+MONTH($H328))+1))</f>
        <v/>
      </c>
      <c r="M328" s="63">
        <f>IF($J328="",0,$K328*MAX(0,MIN(YEAR($C$3)*12+MONTH($C$3)-1,YEAR($I328)*12+MONTH($I328))-(YEAR($H328)*12+MONTH($H328))+1))</f>
        <v/>
      </c>
      <c r="N328" s="63">
        <f>IF(OR($J328="",$B328=""),0,IF(YEAR($B328)*12+MONTH($B328)&lt;=YEAR($C$3)*12+MONTH($C$3),$G328,0))</f>
        <v/>
      </c>
      <c r="O328" s="63">
        <f>IF(OR($J328="",$B328=""),0,IF(YEAR($B328)*12+MONTH($B328)&lt;=YEAR($C$3)*12+MONTH($C$3)-1,$G328,0))</f>
        <v/>
      </c>
      <c r="P328" s="63">
        <f>$M328-$O328</f>
        <v/>
      </c>
      <c r="Q328" s="63">
        <f>($L328-$M328)-($N328-$O328)</f>
        <v/>
      </c>
      <c r="R328" s="63">
        <f>$L328-$N328</f>
        <v/>
      </c>
    </row>
    <row r="329">
      <c r="A329" s="60">
        <f>ROW()-5</f>
        <v/>
      </c>
      <c r="B329" s="61">
        <f>IFERROR(INDEX(tbl_Finance[Date],$A329),"")</f>
        <v/>
      </c>
      <c r="C329" s="62">
        <f>IFERROR(INDEX(tbl_Finance[Xero Invoice No],$A329),"")</f>
        <v/>
      </c>
      <c r="D329" s="62">
        <f>IFERROR(INDEX(tbl_Finance[Client],$A329),"")</f>
        <v/>
      </c>
      <c r="E329" s="62">
        <f>IFERROR(INDEX(tbl_Finance[Job Number],$A329),"")</f>
        <v/>
      </c>
      <c r="F329" s="62">
        <f>IFERROR(INDEX(tbl_Finance[Cost Centre],$A329),"")</f>
        <v/>
      </c>
      <c r="G329" s="63">
        <f>IFERROR(INDEX(tbl_Finance[Ex GST],$A329),"")</f>
        <v/>
      </c>
      <c r="H329" s="61">
        <f>IFERROR(INDEX(tbl_Finance[Defer Start],$A329),"")</f>
        <v/>
      </c>
      <c r="I329" s="61">
        <f>IFERROR(INDEX(tbl_Finance[Defer End],$A329),"")</f>
        <v/>
      </c>
      <c r="J329" s="60">
        <f>IF(OR($H329="",$I329="",$G329=""),"",MAX(1,(YEAR($I329)-YEAR($H329))*12+MONTH($I329)-MONTH($H329)+1))</f>
        <v/>
      </c>
      <c r="K329" s="63">
        <f>IF($J329="","",$G329/$J329)</f>
        <v/>
      </c>
      <c r="L329" s="63">
        <f>IF($J329="",0,$K329*MAX(0,MIN(YEAR($C$3)*12+MONTH($C$3),YEAR($I329)*12+MONTH($I329))-(YEAR($H329)*12+MONTH($H329))+1))</f>
        <v/>
      </c>
      <c r="M329" s="63">
        <f>IF($J329="",0,$K329*MAX(0,MIN(YEAR($C$3)*12+MONTH($C$3)-1,YEAR($I329)*12+MONTH($I329))-(YEAR($H329)*12+MONTH($H329))+1))</f>
        <v/>
      </c>
      <c r="N329" s="63">
        <f>IF(OR($J329="",$B329=""),0,IF(YEAR($B329)*12+MONTH($B329)&lt;=YEAR($C$3)*12+MONTH($C$3),$G329,0))</f>
        <v/>
      </c>
      <c r="O329" s="63">
        <f>IF(OR($J329="",$B329=""),0,IF(YEAR($B329)*12+MONTH($B329)&lt;=YEAR($C$3)*12+MONTH($C$3)-1,$G329,0))</f>
        <v/>
      </c>
      <c r="P329" s="63">
        <f>$M329-$O329</f>
        <v/>
      </c>
      <c r="Q329" s="63">
        <f>($L329-$M329)-($N329-$O329)</f>
        <v/>
      </c>
      <c r="R329" s="63">
        <f>$L329-$N329</f>
        <v/>
      </c>
    </row>
    <row r="330">
      <c r="A330" s="60">
        <f>ROW()-5</f>
        <v/>
      </c>
      <c r="B330" s="61">
        <f>IFERROR(INDEX(tbl_Finance[Date],$A330),"")</f>
        <v/>
      </c>
      <c r="C330" s="62">
        <f>IFERROR(INDEX(tbl_Finance[Xero Invoice No],$A330),"")</f>
        <v/>
      </c>
      <c r="D330" s="62">
        <f>IFERROR(INDEX(tbl_Finance[Client],$A330),"")</f>
        <v/>
      </c>
      <c r="E330" s="62">
        <f>IFERROR(INDEX(tbl_Finance[Job Number],$A330),"")</f>
        <v/>
      </c>
      <c r="F330" s="62">
        <f>IFERROR(INDEX(tbl_Finance[Cost Centre],$A330),"")</f>
        <v/>
      </c>
      <c r="G330" s="63">
        <f>IFERROR(INDEX(tbl_Finance[Ex GST],$A330),"")</f>
        <v/>
      </c>
      <c r="H330" s="61">
        <f>IFERROR(INDEX(tbl_Finance[Defer Start],$A330),"")</f>
        <v/>
      </c>
      <c r="I330" s="61">
        <f>IFERROR(INDEX(tbl_Finance[Defer End],$A330),"")</f>
        <v/>
      </c>
      <c r="J330" s="60">
        <f>IF(OR($H330="",$I330="",$G330=""),"",MAX(1,(YEAR($I330)-YEAR($H330))*12+MONTH($I330)-MONTH($H330)+1))</f>
        <v/>
      </c>
      <c r="K330" s="63">
        <f>IF($J330="","",$G330/$J330)</f>
        <v/>
      </c>
      <c r="L330" s="63">
        <f>IF($J330="",0,$K330*MAX(0,MIN(YEAR($C$3)*12+MONTH($C$3),YEAR($I330)*12+MONTH($I330))-(YEAR($H330)*12+MONTH($H330))+1))</f>
        <v/>
      </c>
      <c r="M330" s="63">
        <f>IF($J330="",0,$K330*MAX(0,MIN(YEAR($C$3)*12+MONTH($C$3)-1,YEAR($I330)*12+MONTH($I330))-(YEAR($H330)*12+MONTH($H330))+1))</f>
        <v/>
      </c>
      <c r="N330" s="63">
        <f>IF(OR($J330="",$B330=""),0,IF(YEAR($B330)*12+MONTH($B330)&lt;=YEAR($C$3)*12+MONTH($C$3),$G330,0))</f>
        <v/>
      </c>
      <c r="O330" s="63">
        <f>IF(OR($J330="",$B330=""),0,IF(YEAR($B330)*12+MONTH($B330)&lt;=YEAR($C$3)*12+MONTH($C$3)-1,$G330,0))</f>
        <v/>
      </c>
      <c r="P330" s="63">
        <f>$M330-$O330</f>
        <v/>
      </c>
      <c r="Q330" s="63">
        <f>($L330-$M330)-($N330-$O330)</f>
        <v/>
      </c>
      <c r="R330" s="63">
        <f>$L330-$N330</f>
        <v/>
      </c>
    </row>
    <row r="331">
      <c r="A331" s="60">
        <f>ROW()-5</f>
        <v/>
      </c>
      <c r="B331" s="61">
        <f>IFERROR(INDEX(tbl_Finance[Date],$A331),"")</f>
        <v/>
      </c>
      <c r="C331" s="62">
        <f>IFERROR(INDEX(tbl_Finance[Xero Invoice No],$A331),"")</f>
        <v/>
      </c>
      <c r="D331" s="62">
        <f>IFERROR(INDEX(tbl_Finance[Client],$A331),"")</f>
        <v/>
      </c>
      <c r="E331" s="62">
        <f>IFERROR(INDEX(tbl_Finance[Job Number],$A331),"")</f>
        <v/>
      </c>
      <c r="F331" s="62">
        <f>IFERROR(INDEX(tbl_Finance[Cost Centre],$A331),"")</f>
        <v/>
      </c>
      <c r="G331" s="63">
        <f>IFERROR(INDEX(tbl_Finance[Ex GST],$A331),"")</f>
        <v/>
      </c>
      <c r="H331" s="61">
        <f>IFERROR(INDEX(tbl_Finance[Defer Start],$A331),"")</f>
        <v/>
      </c>
      <c r="I331" s="61">
        <f>IFERROR(INDEX(tbl_Finance[Defer End],$A331),"")</f>
        <v/>
      </c>
      <c r="J331" s="60">
        <f>IF(OR($H331="",$I331="",$G331=""),"",MAX(1,(YEAR($I331)-YEAR($H331))*12+MONTH($I331)-MONTH($H331)+1))</f>
        <v/>
      </c>
      <c r="K331" s="63">
        <f>IF($J331="","",$G331/$J331)</f>
        <v/>
      </c>
      <c r="L331" s="63">
        <f>IF($J331="",0,$K331*MAX(0,MIN(YEAR($C$3)*12+MONTH($C$3),YEAR($I331)*12+MONTH($I331))-(YEAR($H331)*12+MONTH($H331))+1))</f>
        <v/>
      </c>
      <c r="M331" s="63">
        <f>IF($J331="",0,$K331*MAX(0,MIN(YEAR($C$3)*12+MONTH($C$3)-1,YEAR($I331)*12+MONTH($I331))-(YEAR($H331)*12+MONTH($H331))+1))</f>
        <v/>
      </c>
      <c r="N331" s="63">
        <f>IF(OR($J331="",$B331=""),0,IF(YEAR($B331)*12+MONTH($B331)&lt;=YEAR($C$3)*12+MONTH($C$3),$G331,0))</f>
        <v/>
      </c>
      <c r="O331" s="63">
        <f>IF(OR($J331="",$B331=""),0,IF(YEAR($B331)*12+MONTH($B331)&lt;=YEAR($C$3)*12+MONTH($C$3)-1,$G331,0))</f>
        <v/>
      </c>
      <c r="P331" s="63">
        <f>$M331-$O331</f>
        <v/>
      </c>
      <c r="Q331" s="63">
        <f>($L331-$M331)-($N331-$O331)</f>
        <v/>
      </c>
      <c r="R331" s="63">
        <f>$L331-$N331</f>
        <v/>
      </c>
    </row>
    <row r="332">
      <c r="A332" s="60">
        <f>ROW()-5</f>
        <v/>
      </c>
      <c r="B332" s="61">
        <f>IFERROR(INDEX(tbl_Finance[Date],$A332),"")</f>
        <v/>
      </c>
      <c r="C332" s="62">
        <f>IFERROR(INDEX(tbl_Finance[Xero Invoice No],$A332),"")</f>
        <v/>
      </c>
      <c r="D332" s="62">
        <f>IFERROR(INDEX(tbl_Finance[Client],$A332),"")</f>
        <v/>
      </c>
      <c r="E332" s="62">
        <f>IFERROR(INDEX(tbl_Finance[Job Number],$A332),"")</f>
        <v/>
      </c>
      <c r="F332" s="62">
        <f>IFERROR(INDEX(tbl_Finance[Cost Centre],$A332),"")</f>
        <v/>
      </c>
      <c r="G332" s="63">
        <f>IFERROR(INDEX(tbl_Finance[Ex GST],$A332),"")</f>
        <v/>
      </c>
      <c r="H332" s="61">
        <f>IFERROR(INDEX(tbl_Finance[Defer Start],$A332),"")</f>
        <v/>
      </c>
      <c r="I332" s="61">
        <f>IFERROR(INDEX(tbl_Finance[Defer End],$A332),"")</f>
        <v/>
      </c>
      <c r="J332" s="60">
        <f>IF(OR($H332="",$I332="",$G332=""),"",MAX(1,(YEAR($I332)-YEAR($H332))*12+MONTH($I332)-MONTH($H332)+1))</f>
        <v/>
      </c>
      <c r="K332" s="63">
        <f>IF($J332="","",$G332/$J332)</f>
        <v/>
      </c>
      <c r="L332" s="63">
        <f>IF($J332="",0,$K332*MAX(0,MIN(YEAR($C$3)*12+MONTH($C$3),YEAR($I332)*12+MONTH($I332))-(YEAR($H332)*12+MONTH($H332))+1))</f>
        <v/>
      </c>
      <c r="M332" s="63">
        <f>IF($J332="",0,$K332*MAX(0,MIN(YEAR($C$3)*12+MONTH($C$3)-1,YEAR($I332)*12+MONTH($I332))-(YEAR($H332)*12+MONTH($H332))+1))</f>
        <v/>
      </c>
      <c r="N332" s="63">
        <f>IF(OR($J332="",$B332=""),0,IF(YEAR($B332)*12+MONTH($B332)&lt;=YEAR($C$3)*12+MONTH($C$3),$G332,0))</f>
        <v/>
      </c>
      <c r="O332" s="63">
        <f>IF(OR($J332="",$B332=""),0,IF(YEAR($B332)*12+MONTH($B332)&lt;=YEAR($C$3)*12+MONTH($C$3)-1,$G332,0))</f>
        <v/>
      </c>
      <c r="P332" s="63">
        <f>$M332-$O332</f>
        <v/>
      </c>
      <c r="Q332" s="63">
        <f>($L332-$M332)-($N332-$O332)</f>
        <v/>
      </c>
      <c r="R332" s="63">
        <f>$L332-$N332</f>
        <v/>
      </c>
    </row>
    <row r="333">
      <c r="A333" s="60">
        <f>ROW()-5</f>
        <v/>
      </c>
      <c r="B333" s="61">
        <f>IFERROR(INDEX(tbl_Finance[Date],$A333),"")</f>
        <v/>
      </c>
      <c r="C333" s="62">
        <f>IFERROR(INDEX(tbl_Finance[Xero Invoice No],$A333),"")</f>
        <v/>
      </c>
      <c r="D333" s="62">
        <f>IFERROR(INDEX(tbl_Finance[Client],$A333),"")</f>
        <v/>
      </c>
      <c r="E333" s="62">
        <f>IFERROR(INDEX(tbl_Finance[Job Number],$A333),"")</f>
        <v/>
      </c>
      <c r="F333" s="62">
        <f>IFERROR(INDEX(tbl_Finance[Cost Centre],$A333),"")</f>
        <v/>
      </c>
      <c r="G333" s="63">
        <f>IFERROR(INDEX(tbl_Finance[Ex GST],$A333),"")</f>
        <v/>
      </c>
      <c r="H333" s="61">
        <f>IFERROR(INDEX(tbl_Finance[Defer Start],$A333),"")</f>
        <v/>
      </c>
      <c r="I333" s="61">
        <f>IFERROR(INDEX(tbl_Finance[Defer End],$A333),"")</f>
        <v/>
      </c>
      <c r="J333" s="60">
        <f>IF(OR($H333="",$I333="",$G333=""),"",MAX(1,(YEAR($I333)-YEAR($H333))*12+MONTH($I333)-MONTH($H333)+1))</f>
        <v/>
      </c>
      <c r="K333" s="63">
        <f>IF($J333="","",$G333/$J333)</f>
        <v/>
      </c>
      <c r="L333" s="63">
        <f>IF($J333="",0,$K333*MAX(0,MIN(YEAR($C$3)*12+MONTH($C$3),YEAR($I333)*12+MONTH($I333))-(YEAR($H333)*12+MONTH($H333))+1))</f>
        <v/>
      </c>
      <c r="M333" s="63">
        <f>IF($J333="",0,$K333*MAX(0,MIN(YEAR($C$3)*12+MONTH($C$3)-1,YEAR($I333)*12+MONTH($I333))-(YEAR($H333)*12+MONTH($H333))+1))</f>
        <v/>
      </c>
      <c r="N333" s="63">
        <f>IF(OR($J333="",$B333=""),0,IF(YEAR($B333)*12+MONTH($B333)&lt;=YEAR($C$3)*12+MONTH($C$3),$G333,0))</f>
        <v/>
      </c>
      <c r="O333" s="63">
        <f>IF(OR($J333="",$B333=""),0,IF(YEAR($B333)*12+MONTH($B333)&lt;=YEAR($C$3)*12+MONTH($C$3)-1,$G333,0))</f>
        <v/>
      </c>
      <c r="P333" s="63">
        <f>$M333-$O333</f>
        <v/>
      </c>
      <c r="Q333" s="63">
        <f>($L333-$M333)-($N333-$O333)</f>
        <v/>
      </c>
      <c r="R333" s="63">
        <f>$L333-$N333</f>
        <v/>
      </c>
    </row>
    <row r="334">
      <c r="A334" s="60">
        <f>ROW()-5</f>
        <v/>
      </c>
      <c r="B334" s="61">
        <f>IFERROR(INDEX(tbl_Finance[Date],$A334),"")</f>
        <v/>
      </c>
      <c r="C334" s="62">
        <f>IFERROR(INDEX(tbl_Finance[Xero Invoice No],$A334),"")</f>
        <v/>
      </c>
      <c r="D334" s="62">
        <f>IFERROR(INDEX(tbl_Finance[Client],$A334),"")</f>
        <v/>
      </c>
      <c r="E334" s="62">
        <f>IFERROR(INDEX(tbl_Finance[Job Number],$A334),"")</f>
        <v/>
      </c>
      <c r="F334" s="62">
        <f>IFERROR(INDEX(tbl_Finance[Cost Centre],$A334),"")</f>
        <v/>
      </c>
      <c r="G334" s="63">
        <f>IFERROR(INDEX(tbl_Finance[Ex GST],$A334),"")</f>
        <v/>
      </c>
      <c r="H334" s="61">
        <f>IFERROR(INDEX(tbl_Finance[Defer Start],$A334),"")</f>
        <v/>
      </c>
      <c r="I334" s="61">
        <f>IFERROR(INDEX(tbl_Finance[Defer End],$A334),"")</f>
        <v/>
      </c>
      <c r="J334" s="60">
        <f>IF(OR($H334="",$I334="",$G334=""),"",MAX(1,(YEAR($I334)-YEAR($H334))*12+MONTH($I334)-MONTH($H334)+1))</f>
        <v/>
      </c>
      <c r="K334" s="63">
        <f>IF($J334="","",$G334/$J334)</f>
        <v/>
      </c>
      <c r="L334" s="63">
        <f>IF($J334="",0,$K334*MAX(0,MIN(YEAR($C$3)*12+MONTH($C$3),YEAR($I334)*12+MONTH($I334))-(YEAR($H334)*12+MONTH($H334))+1))</f>
        <v/>
      </c>
      <c r="M334" s="63">
        <f>IF($J334="",0,$K334*MAX(0,MIN(YEAR($C$3)*12+MONTH($C$3)-1,YEAR($I334)*12+MONTH($I334))-(YEAR($H334)*12+MONTH($H334))+1))</f>
        <v/>
      </c>
      <c r="N334" s="63">
        <f>IF(OR($J334="",$B334=""),0,IF(YEAR($B334)*12+MONTH($B334)&lt;=YEAR($C$3)*12+MONTH($C$3),$G334,0))</f>
        <v/>
      </c>
      <c r="O334" s="63">
        <f>IF(OR($J334="",$B334=""),0,IF(YEAR($B334)*12+MONTH($B334)&lt;=YEAR($C$3)*12+MONTH($C$3)-1,$G334,0))</f>
        <v/>
      </c>
      <c r="P334" s="63">
        <f>$M334-$O334</f>
        <v/>
      </c>
      <c r="Q334" s="63">
        <f>($L334-$M334)-($N334-$O334)</f>
        <v/>
      </c>
      <c r="R334" s="63">
        <f>$L334-$N334</f>
        <v/>
      </c>
    </row>
    <row r="335">
      <c r="A335" s="60">
        <f>ROW()-5</f>
        <v/>
      </c>
      <c r="B335" s="61">
        <f>IFERROR(INDEX(tbl_Finance[Date],$A335),"")</f>
        <v/>
      </c>
      <c r="C335" s="62">
        <f>IFERROR(INDEX(tbl_Finance[Xero Invoice No],$A335),"")</f>
        <v/>
      </c>
      <c r="D335" s="62">
        <f>IFERROR(INDEX(tbl_Finance[Client],$A335),"")</f>
        <v/>
      </c>
      <c r="E335" s="62">
        <f>IFERROR(INDEX(tbl_Finance[Job Number],$A335),"")</f>
        <v/>
      </c>
      <c r="F335" s="62">
        <f>IFERROR(INDEX(tbl_Finance[Cost Centre],$A335),"")</f>
        <v/>
      </c>
      <c r="G335" s="63">
        <f>IFERROR(INDEX(tbl_Finance[Ex GST],$A335),"")</f>
        <v/>
      </c>
      <c r="H335" s="61">
        <f>IFERROR(INDEX(tbl_Finance[Defer Start],$A335),"")</f>
        <v/>
      </c>
      <c r="I335" s="61">
        <f>IFERROR(INDEX(tbl_Finance[Defer End],$A335),"")</f>
        <v/>
      </c>
      <c r="J335" s="60">
        <f>IF(OR($H335="",$I335="",$G335=""),"",MAX(1,(YEAR($I335)-YEAR($H335))*12+MONTH($I335)-MONTH($H335)+1))</f>
        <v/>
      </c>
      <c r="K335" s="63">
        <f>IF($J335="","",$G335/$J335)</f>
        <v/>
      </c>
      <c r="L335" s="63">
        <f>IF($J335="",0,$K335*MAX(0,MIN(YEAR($C$3)*12+MONTH($C$3),YEAR($I335)*12+MONTH($I335))-(YEAR($H335)*12+MONTH($H335))+1))</f>
        <v/>
      </c>
      <c r="M335" s="63">
        <f>IF($J335="",0,$K335*MAX(0,MIN(YEAR($C$3)*12+MONTH($C$3)-1,YEAR($I335)*12+MONTH($I335))-(YEAR($H335)*12+MONTH($H335))+1))</f>
        <v/>
      </c>
      <c r="N335" s="63">
        <f>IF(OR($J335="",$B335=""),0,IF(YEAR($B335)*12+MONTH($B335)&lt;=YEAR($C$3)*12+MONTH($C$3),$G335,0))</f>
        <v/>
      </c>
      <c r="O335" s="63">
        <f>IF(OR($J335="",$B335=""),0,IF(YEAR($B335)*12+MONTH($B335)&lt;=YEAR($C$3)*12+MONTH($C$3)-1,$G335,0))</f>
        <v/>
      </c>
      <c r="P335" s="63">
        <f>$M335-$O335</f>
        <v/>
      </c>
      <c r="Q335" s="63">
        <f>($L335-$M335)-($N335-$O335)</f>
        <v/>
      </c>
      <c r="R335" s="63">
        <f>$L335-$N335</f>
        <v/>
      </c>
    </row>
    <row r="336">
      <c r="A336" s="60">
        <f>ROW()-5</f>
        <v/>
      </c>
      <c r="B336" s="61">
        <f>IFERROR(INDEX(tbl_Finance[Date],$A336),"")</f>
        <v/>
      </c>
      <c r="C336" s="62">
        <f>IFERROR(INDEX(tbl_Finance[Xero Invoice No],$A336),"")</f>
        <v/>
      </c>
      <c r="D336" s="62">
        <f>IFERROR(INDEX(tbl_Finance[Client],$A336),"")</f>
        <v/>
      </c>
      <c r="E336" s="62">
        <f>IFERROR(INDEX(tbl_Finance[Job Number],$A336),"")</f>
        <v/>
      </c>
      <c r="F336" s="62">
        <f>IFERROR(INDEX(tbl_Finance[Cost Centre],$A336),"")</f>
        <v/>
      </c>
      <c r="G336" s="63">
        <f>IFERROR(INDEX(tbl_Finance[Ex GST],$A336),"")</f>
        <v/>
      </c>
      <c r="H336" s="61">
        <f>IFERROR(INDEX(tbl_Finance[Defer Start],$A336),"")</f>
        <v/>
      </c>
      <c r="I336" s="61">
        <f>IFERROR(INDEX(tbl_Finance[Defer End],$A336),"")</f>
        <v/>
      </c>
      <c r="J336" s="60">
        <f>IF(OR($H336="",$I336="",$G336=""),"",MAX(1,(YEAR($I336)-YEAR($H336))*12+MONTH($I336)-MONTH($H336)+1))</f>
        <v/>
      </c>
      <c r="K336" s="63">
        <f>IF($J336="","",$G336/$J336)</f>
        <v/>
      </c>
      <c r="L336" s="63">
        <f>IF($J336="",0,$K336*MAX(0,MIN(YEAR($C$3)*12+MONTH($C$3),YEAR($I336)*12+MONTH($I336))-(YEAR($H336)*12+MONTH($H336))+1))</f>
        <v/>
      </c>
      <c r="M336" s="63">
        <f>IF($J336="",0,$K336*MAX(0,MIN(YEAR($C$3)*12+MONTH($C$3)-1,YEAR($I336)*12+MONTH($I336))-(YEAR($H336)*12+MONTH($H336))+1))</f>
        <v/>
      </c>
      <c r="N336" s="63">
        <f>IF(OR($J336="",$B336=""),0,IF(YEAR($B336)*12+MONTH($B336)&lt;=YEAR($C$3)*12+MONTH($C$3),$G336,0))</f>
        <v/>
      </c>
      <c r="O336" s="63">
        <f>IF(OR($J336="",$B336=""),0,IF(YEAR($B336)*12+MONTH($B336)&lt;=YEAR($C$3)*12+MONTH($C$3)-1,$G336,0))</f>
        <v/>
      </c>
      <c r="P336" s="63">
        <f>$M336-$O336</f>
        <v/>
      </c>
      <c r="Q336" s="63">
        <f>($L336-$M336)-($N336-$O336)</f>
        <v/>
      </c>
      <c r="R336" s="63">
        <f>$L336-$N336</f>
        <v/>
      </c>
    </row>
    <row r="337">
      <c r="A337" s="60">
        <f>ROW()-5</f>
        <v/>
      </c>
      <c r="B337" s="61">
        <f>IFERROR(INDEX(tbl_Finance[Date],$A337),"")</f>
        <v/>
      </c>
      <c r="C337" s="62">
        <f>IFERROR(INDEX(tbl_Finance[Xero Invoice No],$A337),"")</f>
        <v/>
      </c>
      <c r="D337" s="62">
        <f>IFERROR(INDEX(tbl_Finance[Client],$A337),"")</f>
        <v/>
      </c>
      <c r="E337" s="62">
        <f>IFERROR(INDEX(tbl_Finance[Job Number],$A337),"")</f>
        <v/>
      </c>
      <c r="F337" s="62">
        <f>IFERROR(INDEX(tbl_Finance[Cost Centre],$A337),"")</f>
        <v/>
      </c>
      <c r="G337" s="63">
        <f>IFERROR(INDEX(tbl_Finance[Ex GST],$A337),"")</f>
        <v/>
      </c>
      <c r="H337" s="61">
        <f>IFERROR(INDEX(tbl_Finance[Defer Start],$A337),"")</f>
        <v/>
      </c>
      <c r="I337" s="61">
        <f>IFERROR(INDEX(tbl_Finance[Defer End],$A337),"")</f>
        <v/>
      </c>
      <c r="J337" s="60">
        <f>IF(OR($H337="",$I337="",$G337=""),"",MAX(1,(YEAR($I337)-YEAR($H337))*12+MONTH($I337)-MONTH($H337)+1))</f>
        <v/>
      </c>
      <c r="K337" s="63">
        <f>IF($J337="","",$G337/$J337)</f>
        <v/>
      </c>
      <c r="L337" s="63">
        <f>IF($J337="",0,$K337*MAX(0,MIN(YEAR($C$3)*12+MONTH($C$3),YEAR($I337)*12+MONTH($I337))-(YEAR($H337)*12+MONTH($H337))+1))</f>
        <v/>
      </c>
      <c r="M337" s="63">
        <f>IF($J337="",0,$K337*MAX(0,MIN(YEAR($C$3)*12+MONTH($C$3)-1,YEAR($I337)*12+MONTH($I337))-(YEAR($H337)*12+MONTH($H337))+1))</f>
        <v/>
      </c>
      <c r="N337" s="63">
        <f>IF(OR($J337="",$B337=""),0,IF(YEAR($B337)*12+MONTH($B337)&lt;=YEAR($C$3)*12+MONTH($C$3),$G337,0))</f>
        <v/>
      </c>
      <c r="O337" s="63">
        <f>IF(OR($J337="",$B337=""),0,IF(YEAR($B337)*12+MONTH($B337)&lt;=YEAR($C$3)*12+MONTH($C$3)-1,$G337,0))</f>
        <v/>
      </c>
      <c r="P337" s="63">
        <f>$M337-$O337</f>
        <v/>
      </c>
      <c r="Q337" s="63">
        <f>($L337-$M337)-($N337-$O337)</f>
        <v/>
      </c>
      <c r="R337" s="63">
        <f>$L337-$N337</f>
        <v/>
      </c>
    </row>
    <row r="338">
      <c r="A338" s="60">
        <f>ROW()-5</f>
        <v/>
      </c>
      <c r="B338" s="61">
        <f>IFERROR(INDEX(tbl_Finance[Date],$A338),"")</f>
        <v/>
      </c>
      <c r="C338" s="62">
        <f>IFERROR(INDEX(tbl_Finance[Xero Invoice No],$A338),"")</f>
        <v/>
      </c>
      <c r="D338" s="62">
        <f>IFERROR(INDEX(tbl_Finance[Client],$A338),"")</f>
        <v/>
      </c>
      <c r="E338" s="62">
        <f>IFERROR(INDEX(tbl_Finance[Job Number],$A338),"")</f>
        <v/>
      </c>
      <c r="F338" s="62">
        <f>IFERROR(INDEX(tbl_Finance[Cost Centre],$A338),"")</f>
        <v/>
      </c>
      <c r="G338" s="63">
        <f>IFERROR(INDEX(tbl_Finance[Ex GST],$A338),"")</f>
        <v/>
      </c>
      <c r="H338" s="61">
        <f>IFERROR(INDEX(tbl_Finance[Defer Start],$A338),"")</f>
        <v/>
      </c>
      <c r="I338" s="61">
        <f>IFERROR(INDEX(tbl_Finance[Defer End],$A338),"")</f>
        <v/>
      </c>
      <c r="J338" s="60">
        <f>IF(OR($H338="",$I338="",$G338=""),"",MAX(1,(YEAR($I338)-YEAR($H338))*12+MONTH($I338)-MONTH($H338)+1))</f>
        <v/>
      </c>
      <c r="K338" s="63">
        <f>IF($J338="","",$G338/$J338)</f>
        <v/>
      </c>
      <c r="L338" s="63">
        <f>IF($J338="",0,$K338*MAX(0,MIN(YEAR($C$3)*12+MONTH($C$3),YEAR($I338)*12+MONTH($I338))-(YEAR($H338)*12+MONTH($H338))+1))</f>
        <v/>
      </c>
      <c r="M338" s="63">
        <f>IF($J338="",0,$K338*MAX(0,MIN(YEAR($C$3)*12+MONTH($C$3)-1,YEAR($I338)*12+MONTH($I338))-(YEAR($H338)*12+MONTH($H338))+1))</f>
        <v/>
      </c>
      <c r="N338" s="63">
        <f>IF(OR($J338="",$B338=""),0,IF(YEAR($B338)*12+MONTH($B338)&lt;=YEAR($C$3)*12+MONTH($C$3),$G338,0))</f>
        <v/>
      </c>
      <c r="O338" s="63">
        <f>IF(OR($J338="",$B338=""),0,IF(YEAR($B338)*12+MONTH($B338)&lt;=YEAR($C$3)*12+MONTH($C$3)-1,$G338,0))</f>
        <v/>
      </c>
      <c r="P338" s="63">
        <f>$M338-$O338</f>
        <v/>
      </c>
      <c r="Q338" s="63">
        <f>($L338-$M338)-($N338-$O338)</f>
        <v/>
      </c>
      <c r="R338" s="63">
        <f>$L338-$N338</f>
        <v/>
      </c>
    </row>
    <row r="339">
      <c r="A339" s="60">
        <f>ROW()-5</f>
        <v/>
      </c>
      <c r="B339" s="61">
        <f>IFERROR(INDEX(tbl_Finance[Date],$A339),"")</f>
        <v/>
      </c>
      <c r="C339" s="62">
        <f>IFERROR(INDEX(tbl_Finance[Xero Invoice No],$A339),"")</f>
        <v/>
      </c>
      <c r="D339" s="62">
        <f>IFERROR(INDEX(tbl_Finance[Client],$A339),"")</f>
        <v/>
      </c>
      <c r="E339" s="62">
        <f>IFERROR(INDEX(tbl_Finance[Job Number],$A339),"")</f>
        <v/>
      </c>
      <c r="F339" s="62">
        <f>IFERROR(INDEX(tbl_Finance[Cost Centre],$A339),"")</f>
        <v/>
      </c>
      <c r="G339" s="63">
        <f>IFERROR(INDEX(tbl_Finance[Ex GST],$A339),"")</f>
        <v/>
      </c>
      <c r="H339" s="61">
        <f>IFERROR(INDEX(tbl_Finance[Defer Start],$A339),"")</f>
        <v/>
      </c>
      <c r="I339" s="61">
        <f>IFERROR(INDEX(tbl_Finance[Defer End],$A339),"")</f>
        <v/>
      </c>
      <c r="J339" s="60">
        <f>IF(OR($H339="",$I339="",$G339=""),"",MAX(1,(YEAR($I339)-YEAR($H339))*12+MONTH($I339)-MONTH($H339)+1))</f>
        <v/>
      </c>
      <c r="K339" s="63">
        <f>IF($J339="","",$G339/$J339)</f>
        <v/>
      </c>
      <c r="L339" s="63">
        <f>IF($J339="",0,$K339*MAX(0,MIN(YEAR($C$3)*12+MONTH($C$3),YEAR($I339)*12+MONTH($I339))-(YEAR($H339)*12+MONTH($H339))+1))</f>
        <v/>
      </c>
      <c r="M339" s="63">
        <f>IF($J339="",0,$K339*MAX(0,MIN(YEAR($C$3)*12+MONTH($C$3)-1,YEAR($I339)*12+MONTH($I339))-(YEAR($H339)*12+MONTH($H339))+1))</f>
        <v/>
      </c>
      <c r="N339" s="63">
        <f>IF(OR($J339="",$B339=""),0,IF(YEAR($B339)*12+MONTH($B339)&lt;=YEAR($C$3)*12+MONTH($C$3),$G339,0))</f>
        <v/>
      </c>
      <c r="O339" s="63">
        <f>IF(OR($J339="",$B339=""),0,IF(YEAR($B339)*12+MONTH($B339)&lt;=YEAR($C$3)*12+MONTH($C$3)-1,$G339,0))</f>
        <v/>
      </c>
      <c r="P339" s="63">
        <f>$M339-$O339</f>
        <v/>
      </c>
      <c r="Q339" s="63">
        <f>($L339-$M339)-($N339-$O339)</f>
        <v/>
      </c>
      <c r="R339" s="63">
        <f>$L339-$N339</f>
        <v/>
      </c>
    </row>
    <row r="340">
      <c r="A340" s="60">
        <f>ROW()-5</f>
        <v/>
      </c>
      <c r="B340" s="61">
        <f>IFERROR(INDEX(tbl_Finance[Date],$A340),"")</f>
        <v/>
      </c>
      <c r="C340" s="62">
        <f>IFERROR(INDEX(tbl_Finance[Xero Invoice No],$A340),"")</f>
        <v/>
      </c>
      <c r="D340" s="62">
        <f>IFERROR(INDEX(tbl_Finance[Client],$A340),"")</f>
        <v/>
      </c>
      <c r="E340" s="62">
        <f>IFERROR(INDEX(tbl_Finance[Job Number],$A340),"")</f>
        <v/>
      </c>
      <c r="F340" s="62">
        <f>IFERROR(INDEX(tbl_Finance[Cost Centre],$A340),"")</f>
        <v/>
      </c>
      <c r="G340" s="63">
        <f>IFERROR(INDEX(tbl_Finance[Ex GST],$A340),"")</f>
        <v/>
      </c>
      <c r="H340" s="61">
        <f>IFERROR(INDEX(tbl_Finance[Defer Start],$A340),"")</f>
        <v/>
      </c>
      <c r="I340" s="61">
        <f>IFERROR(INDEX(tbl_Finance[Defer End],$A340),"")</f>
        <v/>
      </c>
      <c r="J340" s="60">
        <f>IF(OR($H340="",$I340="",$G340=""),"",MAX(1,(YEAR($I340)-YEAR($H340))*12+MONTH($I340)-MONTH($H340)+1))</f>
        <v/>
      </c>
      <c r="K340" s="63">
        <f>IF($J340="","",$G340/$J340)</f>
        <v/>
      </c>
      <c r="L340" s="63">
        <f>IF($J340="",0,$K340*MAX(0,MIN(YEAR($C$3)*12+MONTH($C$3),YEAR($I340)*12+MONTH($I340))-(YEAR($H340)*12+MONTH($H340))+1))</f>
        <v/>
      </c>
      <c r="M340" s="63">
        <f>IF($J340="",0,$K340*MAX(0,MIN(YEAR($C$3)*12+MONTH($C$3)-1,YEAR($I340)*12+MONTH($I340))-(YEAR($H340)*12+MONTH($H340))+1))</f>
        <v/>
      </c>
      <c r="N340" s="63">
        <f>IF(OR($J340="",$B340=""),0,IF(YEAR($B340)*12+MONTH($B340)&lt;=YEAR($C$3)*12+MONTH($C$3),$G340,0))</f>
        <v/>
      </c>
      <c r="O340" s="63">
        <f>IF(OR($J340="",$B340=""),0,IF(YEAR($B340)*12+MONTH($B340)&lt;=YEAR($C$3)*12+MONTH($C$3)-1,$G340,0))</f>
        <v/>
      </c>
      <c r="P340" s="63">
        <f>$M340-$O340</f>
        <v/>
      </c>
      <c r="Q340" s="63">
        <f>($L340-$M340)-($N340-$O340)</f>
        <v/>
      </c>
      <c r="R340" s="63">
        <f>$L340-$N340</f>
        <v/>
      </c>
    </row>
    <row r="341">
      <c r="A341" s="60">
        <f>ROW()-5</f>
        <v/>
      </c>
      <c r="B341" s="61">
        <f>IFERROR(INDEX(tbl_Finance[Date],$A341),"")</f>
        <v/>
      </c>
      <c r="C341" s="62">
        <f>IFERROR(INDEX(tbl_Finance[Xero Invoice No],$A341),"")</f>
        <v/>
      </c>
      <c r="D341" s="62">
        <f>IFERROR(INDEX(tbl_Finance[Client],$A341),"")</f>
        <v/>
      </c>
      <c r="E341" s="62">
        <f>IFERROR(INDEX(tbl_Finance[Job Number],$A341),"")</f>
        <v/>
      </c>
      <c r="F341" s="62">
        <f>IFERROR(INDEX(tbl_Finance[Cost Centre],$A341),"")</f>
        <v/>
      </c>
      <c r="G341" s="63">
        <f>IFERROR(INDEX(tbl_Finance[Ex GST],$A341),"")</f>
        <v/>
      </c>
      <c r="H341" s="61">
        <f>IFERROR(INDEX(tbl_Finance[Defer Start],$A341),"")</f>
        <v/>
      </c>
      <c r="I341" s="61">
        <f>IFERROR(INDEX(tbl_Finance[Defer End],$A341),"")</f>
        <v/>
      </c>
      <c r="J341" s="60">
        <f>IF(OR($H341="",$I341="",$G341=""),"",MAX(1,(YEAR($I341)-YEAR($H341))*12+MONTH($I341)-MONTH($H341)+1))</f>
        <v/>
      </c>
      <c r="K341" s="63">
        <f>IF($J341="","",$G341/$J341)</f>
        <v/>
      </c>
      <c r="L341" s="63">
        <f>IF($J341="",0,$K341*MAX(0,MIN(YEAR($C$3)*12+MONTH($C$3),YEAR($I341)*12+MONTH($I341))-(YEAR($H341)*12+MONTH($H341))+1))</f>
        <v/>
      </c>
      <c r="M341" s="63">
        <f>IF($J341="",0,$K341*MAX(0,MIN(YEAR($C$3)*12+MONTH($C$3)-1,YEAR($I341)*12+MONTH($I341))-(YEAR($H341)*12+MONTH($H341))+1))</f>
        <v/>
      </c>
      <c r="N341" s="63">
        <f>IF(OR($J341="",$B341=""),0,IF(YEAR($B341)*12+MONTH($B341)&lt;=YEAR($C$3)*12+MONTH($C$3),$G341,0))</f>
        <v/>
      </c>
      <c r="O341" s="63">
        <f>IF(OR($J341="",$B341=""),0,IF(YEAR($B341)*12+MONTH($B341)&lt;=YEAR($C$3)*12+MONTH($C$3)-1,$G341,0))</f>
        <v/>
      </c>
      <c r="P341" s="63">
        <f>$M341-$O341</f>
        <v/>
      </c>
      <c r="Q341" s="63">
        <f>($L341-$M341)-($N341-$O341)</f>
        <v/>
      </c>
      <c r="R341" s="63">
        <f>$L341-$N341</f>
        <v/>
      </c>
    </row>
    <row r="342">
      <c r="A342" s="60">
        <f>ROW()-5</f>
        <v/>
      </c>
      <c r="B342" s="61">
        <f>IFERROR(INDEX(tbl_Finance[Date],$A342),"")</f>
        <v/>
      </c>
      <c r="C342" s="62">
        <f>IFERROR(INDEX(tbl_Finance[Xero Invoice No],$A342),"")</f>
        <v/>
      </c>
      <c r="D342" s="62">
        <f>IFERROR(INDEX(tbl_Finance[Client],$A342),"")</f>
        <v/>
      </c>
      <c r="E342" s="62">
        <f>IFERROR(INDEX(tbl_Finance[Job Number],$A342),"")</f>
        <v/>
      </c>
      <c r="F342" s="62">
        <f>IFERROR(INDEX(tbl_Finance[Cost Centre],$A342),"")</f>
        <v/>
      </c>
      <c r="G342" s="63">
        <f>IFERROR(INDEX(tbl_Finance[Ex GST],$A342),"")</f>
        <v/>
      </c>
      <c r="H342" s="61">
        <f>IFERROR(INDEX(tbl_Finance[Defer Start],$A342),"")</f>
        <v/>
      </c>
      <c r="I342" s="61">
        <f>IFERROR(INDEX(tbl_Finance[Defer End],$A342),"")</f>
        <v/>
      </c>
      <c r="J342" s="60">
        <f>IF(OR($H342="",$I342="",$G342=""),"",MAX(1,(YEAR($I342)-YEAR($H342))*12+MONTH($I342)-MONTH($H342)+1))</f>
        <v/>
      </c>
      <c r="K342" s="63">
        <f>IF($J342="","",$G342/$J342)</f>
        <v/>
      </c>
      <c r="L342" s="63">
        <f>IF($J342="",0,$K342*MAX(0,MIN(YEAR($C$3)*12+MONTH($C$3),YEAR($I342)*12+MONTH($I342))-(YEAR($H342)*12+MONTH($H342))+1))</f>
        <v/>
      </c>
      <c r="M342" s="63">
        <f>IF($J342="",0,$K342*MAX(0,MIN(YEAR($C$3)*12+MONTH($C$3)-1,YEAR($I342)*12+MONTH($I342))-(YEAR($H342)*12+MONTH($H342))+1))</f>
        <v/>
      </c>
      <c r="N342" s="63">
        <f>IF(OR($J342="",$B342=""),0,IF(YEAR($B342)*12+MONTH($B342)&lt;=YEAR($C$3)*12+MONTH($C$3),$G342,0))</f>
        <v/>
      </c>
      <c r="O342" s="63">
        <f>IF(OR($J342="",$B342=""),0,IF(YEAR($B342)*12+MONTH($B342)&lt;=YEAR($C$3)*12+MONTH($C$3)-1,$G342,0))</f>
        <v/>
      </c>
      <c r="P342" s="63">
        <f>$M342-$O342</f>
        <v/>
      </c>
      <c r="Q342" s="63">
        <f>($L342-$M342)-($N342-$O342)</f>
        <v/>
      </c>
      <c r="R342" s="63">
        <f>$L342-$N342</f>
        <v/>
      </c>
    </row>
    <row r="343">
      <c r="A343" s="60">
        <f>ROW()-5</f>
        <v/>
      </c>
      <c r="B343" s="61">
        <f>IFERROR(INDEX(tbl_Finance[Date],$A343),"")</f>
        <v/>
      </c>
      <c r="C343" s="62">
        <f>IFERROR(INDEX(tbl_Finance[Xero Invoice No],$A343),"")</f>
        <v/>
      </c>
      <c r="D343" s="62">
        <f>IFERROR(INDEX(tbl_Finance[Client],$A343),"")</f>
        <v/>
      </c>
      <c r="E343" s="62">
        <f>IFERROR(INDEX(tbl_Finance[Job Number],$A343),"")</f>
        <v/>
      </c>
      <c r="F343" s="62">
        <f>IFERROR(INDEX(tbl_Finance[Cost Centre],$A343),"")</f>
        <v/>
      </c>
      <c r="G343" s="63">
        <f>IFERROR(INDEX(tbl_Finance[Ex GST],$A343),"")</f>
        <v/>
      </c>
      <c r="H343" s="61">
        <f>IFERROR(INDEX(tbl_Finance[Defer Start],$A343),"")</f>
        <v/>
      </c>
      <c r="I343" s="61">
        <f>IFERROR(INDEX(tbl_Finance[Defer End],$A343),"")</f>
        <v/>
      </c>
      <c r="J343" s="60">
        <f>IF(OR($H343="",$I343="",$G343=""),"",MAX(1,(YEAR($I343)-YEAR($H343))*12+MONTH($I343)-MONTH($H343)+1))</f>
        <v/>
      </c>
      <c r="K343" s="63">
        <f>IF($J343="","",$G343/$J343)</f>
        <v/>
      </c>
      <c r="L343" s="63">
        <f>IF($J343="",0,$K343*MAX(0,MIN(YEAR($C$3)*12+MONTH($C$3),YEAR($I343)*12+MONTH($I343))-(YEAR($H343)*12+MONTH($H343))+1))</f>
        <v/>
      </c>
      <c r="M343" s="63">
        <f>IF($J343="",0,$K343*MAX(0,MIN(YEAR($C$3)*12+MONTH($C$3)-1,YEAR($I343)*12+MONTH($I343))-(YEAR($H343)*12+MONTH($H343))+1))</f>
        <v/>
      </c>
      <c r="N343" s="63">
        <f>IF(OR($J343="",$B343=""),0,IF(YEAR($B343)*12+MONTH($B343)&lt;=YEAR($C$3)*12+MONTH($C$3),$G343,0))</f>
        <v/>
      </c>
      <c r="O343" s="63">
        <f>IF(OR($J343="",$B343=""),0,IF(YEAR($B343)*12+MONTH($B343)&lt;=YEAR($C$3)*12+MONTH($C$3)-1,$G343,0))</f>
        <v/>
      </c>
      <c r="P343" s="63">
        <f>$M343-$O343</f>
        <v/>
      </c>
      <c r="Q343" s="63">
        <f>($L343-$M343)-($N343-$O343)</f>
        <v/>
      </c>
      <c r="R343" s="63">
        <f>$L343-$N343</f>
        <v/>
      </c>
    </row>
    <row r="344">
      <c r="A344" s="60">
        <f>ROW()-5</f>
        <v/>
      </c>
      <c r="B344" s="61">
        <f>IFERROR(INDEX(tbl_Finance[Date],$A344),"")</f>
        <v/>
      </c>
      <c r="C344" s="62">
        <f>IFERROR(INDEX(tbl_Finance[Xero Invoice No],$A344),"")</f>
        <v/>
      </c>
      <c r="D344" s="62">
        <f>IFERROR(INDEX(tbl_Finance[Client],$A344),"")</f>
        <v/>
      </c>
      <c r="E344" s="62">
        <f>IFERROR(INDEX(tbl_Finance[Job Number],$A344),"")</f>
        <v/>
      </c>
      <c r="F344" s="62">
        <f>IFERROR(INDEX(tbl_Finance[Cost Centre],$A344),"")</f>
        <v/>
      </c>
      <c r="G344" s="63">
        <f>IFERROR(INDEX(tbl_Finance[Ex GST],$A344),"")</f>
        <v/>
      </c>
      <c r="H344" s="61">
        <f>IFERROR(INDEX(tbl_Finance[Defer Start],$A344),"")</f>
        <v/>
      </c>
      <c r="I344" s="61">
        <f>IFERROR(INDEX(tbl_Finance[Defer End],$A344),"")</f>
        <v/>
      </c>
      <c r="J344" s="60">
        <f>IF(OR($H344="",$I344="",$G344=""),"",MAX(1,(YEAR($I344)-YEAR($H344))*12+MONTH($I344)-MONTH($H344)+1))</f>
        <v/>
      </c>
      <c r="K344" s="63">
        <f>IF($J344="","",$G344/$J344)</f>
        <v/>
      </c>
      <c r="L344" s="63">
        <f>IF($J344="",0,$K344*MAX(0,MIN(YEAR($C$3)*12+MONTH($C$3),YEAR($I344)*12+MONTH($I344))-(YEAR($H344)*12+MONTH($H344))+1))</f>
        <v/>
      </c>
      <c r="M344" s="63">
        <f>IF($J344="",0,$K344*MAX(0,MIN(YEAR($C$3)*12+MONTH($C$3)-1,YEAR($I344)*12+MONTH($I344))-(YEAR($H344)*12+MONTH($H344))+1))</f>
        <v/>
      </c>
      <c r="N344" s="63">
        <f>IF(OR($J344="",$B344=""),0,IF(YEAR($B344)*12+MONTH($B344)&lt;=YEAR($C$3)*12+MONTH($C$3),$G344,0))</f>
        <v/>
      </c>
      <c r="O344" s="63">
        <f>IF(OR($J344="",$B344=""),0,IF(YEAR($B344)*12+MONTH($B344)&lt;=YEAR($C$3)*12+MONTH($C$3)-1,$G344,0))</f>
        <v/>
      </c>
      <c r="P344" s="63">
        <f>$M344-$O344</f>
        <v/>
      </c>
      <c r="Q344" s="63">
        <f>($L344-$M344)-($N344-$O344)</f>
        <v/>
      </c>
      <c r="R344" s="63">
        <f>$L344-$N344</f>
        <v/>
      </c>
    </row>
    <row r="345">
      <c r="A345" s="60">
        <f>ROW()-5</f>
        <v/>
      </c>
      <c r="B345" s="61">
        <f>IFERROR(INDEX(tbl_Finance[Date],$A345),"")</f>
        <v/>
      </c>
      <c r="C345" s="62">
        <f>IFERROR(INDEX(tbl_Finance[Xero Invoice No],$A345),"")</f>
        <v/>
      </c>
      <c r="D345" s="62">
        <f>IFERROR(INDEX(tbl_Finance[Client],$A345),"")</f>
        <v/>
      </c>
      <c r="E345" s="62">
        <f>IFERROR(INDEX(tbl_Finance[Job Number],$A345),"")</f>
        <v/>
      </c>
      <c r="F345" s="62">
        <f>IFERROR(INDEX(tbl_Finance[Cost Centre],$A345),"")</f>
        <v/>
      </c>
      <c r="G345" s="63">
        <f>IFERROR(INDEX(tbl_Finance[Ex GST],$A345),"")</f>
        <v/>
      </c>
      <c r="H345" s="61">
        <f>IFERROR(INDEX(tbl_Finance[Defer Start],$A345),"")</f>
        <v/>
      </c>
      <c r="I345" s="61">
        <f>IFERROR(INDEX(tbl_Finance[Defer End],$A345),"")</f>
        <v/>
      </c>
      <c r="J345" s="60">
        <f>IF(OR($H345="",$I345="",$G345=""),"",MAX(1,(YEAR($I345)-YEAR($H345))*12+MONTH($I345)-MONTH($H345)+1))</f>
        <v/>
      </c>
      <c r="K345" s="63">
        <f>IF($J345="","",$G345/$J345)</f>
        <v/>
      </c>
      <c r="L345" s="63">
        <f>IF($J345="",0,$K345*MAX(0,MIN(YEAR($C$3)*12+MONTH($C$3),YEAR($I345)*12+MONTH($I345))-(YEAR($H345)*12+MONTH($H345))+1))</f>
        <v/>
      </c>
      <c r="M345" s="63">
        <f>IF($J345="",0,$K345*MAX(0,MIN(YEAR($C$3)*12+MONTH($C$3)-1,YEAR($I345)*12+MONTH($I345))-(YEAR($H345)*12+MONTH($H345))+1))</f>
        <v/>
      </c>
      <c r="N345" s="63">
        <f>IF(OR($J345="",$B345=""),0,IF(YEAR($B345)*12+MONTH($B345)&lt;=YEAR($C$3)*12+MONTH($C$3),$G345,0))</f>
        <v/>
      </c>
      <c r="O345" s="63">
        <f>IF(OR($J345="",$B345=""),0,IF(YEAR($B345)*12+MONTH($B345)&lt;=YEAR($C$3)*12+MONTH($C$3)-1,$G345,0))</f>
        <v/>
      </c>
      <c r="P345" s="63">
        <f>$M345-$O345</f>
        <v/>
      </c>
      <c r="Q345" s="63">
        <f>($L345-$M345)-($N345-$O345)</f>
        <v/>
      </c>
      <c r="R345" s="63">
        <f>$L345-$N345</f>
        <v/>
      </c>
    </row>
    <row r="346">
      <c r="A346" s="60">
        <f>ROW()-5</f>
        <v/>
      </c>
      <c r="B346" s="61">
        <f>IFERROR(INDEX(tbl_Finance[Date],$A346),"")</f>
        <v/>
      </c>
      <c r="C346" s="62">
        <f>IFERROR(INDEX(tbl_Finance[Xero Invoice No],$A346),"")</f>
        <v/>
      </c>
      <c r="D346" s="62">
        <f>IFERROR(INDEX(tbl_Finance[Client],$A346),"")</f>
        <v/>
      </c>
      <c r="E346" s="62">
        <f>IFERROR(INDEX(tbl_Finance[Job Number],$A346),"")</f>
        <v/>
      </c>
      <c r="F346" s="62">
        <f>IFERROR(INDEX(tbl_Finance[Cost Centre],$A346),"")</f>
        <v/>
      </c>
      <c r="G346" s="63">
        <f>IFERROR(INDEX(tbl_Finance[Ex GST],$A346),"")</f>
        <v/>
      </c>
      <c r="H346" s="61">
        <f>IFERROR(INDEX(tbl_Finance[Defer Start],$A346),"")</f>
        <v/>
      </c>
      <c r="I346" s="61">
        <f>IFERROR(INDEX(tbl_Finance[Defer End],$A346),"")</f>
        <v/>
      </c>
      <c r="J346" s="60">
        <f>IF(OR($H346="",$I346="",$G346=""),"",MAX(1,(YEAR($I346)-YEAR($H346))*12+MONTH($I346)-MONTH($H346)+1))</f>
        <v/>
      </c>
      <c r="K346" s="63">
        <f>IF($J346="","",$G346/$J346)</f>
        <v/>
      </c>
      <c r="L346" s="63">
        <f>IF($J346="",0,$K346*MAX(0,MIN(YEAR($C$3)*12+MONTH($C$3),YEAR($I346)*12+MONTH($I346))-(YEAR($H346)*12+MONTH($H346))+1))</f>
        <v/>
      </c>
      <c r="M346" s="63">
        <f>IF($J346="",0,$K346*MAX(0,MIN(YEAR($C$3)*12+MONTH($C$3)-1,YEAR($I346)*12+MONTH($I346))-(YEAR($H346)*12+MONTH($H346))+1))</f>
        <v/>
      </c>
      <c r="N346" s="63">
        <f>IF(OR($J346="",$B346=""),0,IF(YEAR($B346)*12+MONTH($B346)&lt;=YEAR($C$3)*12+MONTH($C$3),$G346,0))</f>
        <v/>
      </c>
      <c r="O346" s="63">
        <f>IF(OR($J346="",$B346=""),0,IF(YEAR($B346)*12+MONTH($B346)&lt;=YEAR($C$3)*12+MONTH($C$3)-1,$G346,0))</f>
        <v/>
      </c>
      <c r="P346" s="63">
        <f>$M346-$O346</f>
        <v/>
      </c>
      <c r="Q346" s="63">
        <f>($L346-$M346)-($N346-$O346)</f>
        <v/>
      </c>
      <c r="R346" s="63">
        <f>$L346-$N346</f>
        <v/>
      </c>
    </row>
    <row r="347">
      <c r="A347" s="60">
        <f>ROW()-5</f>
        <v/>
      </c>
      <c r="B347" s="61">
        <f>IFERROR(INDEX(tbl_Finance[Date],$A347),"")</f>
        <v/>
      </c>
      <c r="C347" s="62">
        <f>IFERROR(INDEX(tbl_Finance[Xero Invoice No],$A347),"")</f>
        <v/>
      </c>
      <c r="D347" s="62">
        <f>IFERROR(INDEX(tbl_Finance[Client],$A347),"")</f>
        <v/>
      </c>
      <c r="E347" s="62">
        <f>IFERROR(INDEX(tbl_Finance[Job Number],$A347),"")</f>
        <v/>
      </c>
      <c r="F347" s="62">
        <f>IFERROR(INDEX(tbl_Finance[Cost Centre],$A347),"")</f>
        <v/>
      </c>
      <c r="G347" s="63">
        <f>IFERROR(INDEX(tbl_Finance[Ex GST],$A347),"")</f>
        <v/>
      </c>
      <c r="H347" s="61">
        <f>IFERROR(INDEX(tbl_Finance[Defer Start],$A347),"")</f>
        <v/>
      </c>
      <c r="I347" s="61">
        <f>IFERROR(INDEX(tbl_Finance[Defer End],$A347),"")</f>
        <v/>
      </c>
      <c r="J347" s="60">
        <f>IF(OR($H347="",$I347="",$G347=""),"",MAX(1,(YEAR($I347)-YEAR($H347))*12+MONTH($I347)-MONTH($H347)+1))</f>
        <v/>
      </c>
      <c r="K347" s="63">
        <f>IF($J347="","",$G347/$J347)</f>
        <v/>
      </c>
      <c r="L347" s="63">
        <f>IF($J347="",0,$K347*MAX(0,MIN(YEAR($C$3)*12+MONTH($C$3),YEAR($I347)*12+MONTH($I347))-(YEAR($H347)*12+MONTH($H347))+1))</f>
        <v/>
      </c>
      <c r="M347" s="63">
        <f>IF($J347="",0,$K347*MAX(0,MIN(YEAR($C$3)*12+MONTH($C$3)-1,YEAR($I347)*12+MONTH($I347))-(YEAR($H347)*12+MONTH($H347))+1))</f>
        <v/>
      </c>
      <c r="N347" s="63">
        <f>IF(OR($J347="",$B347=""),0,IF(YEAR($B347)*12+MONTH($B347)&lt;=YEAR($C$3)*12+MONTH($C$3),$G347,0))</f>
        <v/>
      </c>
      <c r="O347" s="63">
        <f>IF(OR($J347="",$B347=""),0,IF(YEAR($B347)*12+MONTH($B347)&lt;=YEAR($C$3)*12+MONTH($C$3)-1,$G347,0))</f>
        <v/>
      </c>
      <c r="P347" s="63">
        <f>$M347-$O347</f>
        <v/>
      </c>
      <c r="Q347" s="63">
        <f>($L347-$M347)-($N347-$O347)</f>
        <v/>
      </c>
      <c r="R347" s="63">
        <f>$L347-$N347</f>
        <v/>
      </c>
    </row>
    <row r="348">
      <c r="A348" s="60">
        <f>ROW()-5</f>
        <v/>
      </c>
      <c r="B348" s="61">
        <f>IFERROR(INDEX(tbl_Finance[Date],$A348),"")</f>
        <v/>
      </c>
      <c r="C348" s="62">
        <f>IFERROR(INDEX(tbl_Finance[Xero Invoice No],$A348),"")</f>
        <v/>
      </c>
      <c r="D348" s="62">
        <f>IFERROR(INDEX(tbl_Finance[Client],$A348),"")</f>
        <v/>
      </c>
      <c r="E348" s="62">
        <f>IFERROR(INDEX(tbl_Finance[Job Number],$A348),"")</f>
        <v/>
      </c>
      <c r="F348" s="62">
        <f>IFERROR(INDEX(tbl_Finance[Cost Centre],$A348),"")</f>
        <v/>
      </c>
      <c r="G348" s="63">
        <f>IFERROR(INDEX(tbl_Finance[Ex GST],$A348),"")</f>
        <v/>
      </c>
      <c r="H348" s="61">
        <f>IFERROR(INDEX(tbl_Finance[Defer Start],$A348),"")</f>
        <v/>
      </c>
      <c r="I348" s="61">
        <f>IFERROR(INDEX(tbl_Finance[Defer End],$A348),"")</f>
        <v/>
      </c>
      <c r="J348" s="60">
        <f>IF(OR($H348="",$I348="",$G348=""),"",MAX(1,(YEAR($I348)-YEAR($H348))*12+MONTH($I348)-MONTH($H348)+1))</f>
        <v/>
      </c>
      <c r="K348" s="63">
        <f>IF($J348="","",$G348/$J348)</f>
        <v/>
      </c>
      <c r="L348" s="63">
        <f>IF($J348="",0,$K348*MAX(0,MIN(YEAR($C$3)*12+MONTH($C$3),YEAR($I348)*12+MONTH($I348))-(YEAR($H348)*12+MONTH($H348))+1))</f>
        <v/>
      </c>
      <c r="M348" s="63">
        <f>IF($J348="",0,$K348*MAX(0,MIN(YEAR($C$3)*12+MONTH($C$3)-1,YEAR($I348)*12+MONTH($I348))-(YEAR($H348)*12+MONTH($H348))+1))</f>
        <v/>
      </c>
      <c r="N348" s="63">
        <f>IF(OR($J348="",$B348=""),0,IF(YEAR($B348)*12+MONTH($B348)&lt;=YEAR($C$3)*12+MONTH($C$3),$G348,0))</f>
        <v/>
      </c>
      <c r="O348" s="63">
        <f>IF(OR($J348="",$B348=""),0,IF(YEAR($B348)*12+MONTH($B348)&lt;=YEAR($C$3)*12+MONTH($C$3)-1,$G348,0))</f>
        <v/>
      </c>
      <c r="P348" s="63">
        <f>$M348-$O348</f>
        <v/>
      </c>
      <c r="Q348" s="63">
        <f>($L348-$M348)-($N348-$O348)</f>
        <v/>
      </c>
      <c r="R348" s="63">
        <f>$L348-$N348</f>
        <v/>
      </c>
    </row>
    <row r="349">
      <c r="A349" s="60">
        <f>ROW()-5</f>
        <v/>
      </c>
      <c r="B349" s="61">
        <f>IFERROR(INDEX(tbl_Finance[Date],$A349),"")</f>
        <v/>
      </c>
      <c r="C349" s="62">
        <f>IFERROR(INDEX(tbl_Finance[Xero Invoice No],$A349),"")</f>
        <v/>
      </c>
      <c r="D349" s="62">
        <f>IFERROR(INDEX(tbl_Finance[Client],$A349),"")</f>
        <v/>
      </c>
      <c r="E349" s="62">
        <f>IFERROR(INDEX(tbl_Finance[Job Number],$A349),"")</f>
        <v/>
      </c>
      <c r="F349" s="62">
        <f>IFERROR(INDEX(tbl_Finance[Cost Centre],$A349),"")</f>
        <v/>
      </c>
      <c r="G349" s="63">
        <f>IFERROR(INDEX(tbl_Finance[Ex GST],$A349),"")</f>
        <v/>
      </c>
      <c r="H349" s="61">
        <f>IFERROR(INDEX(tbl_Finance[Defer Start],$A349),"")</f>
        <v/>
      </c>
      <c r="I349" s="61">
        <f>IFERROR(INDEX(tbl_Finance[Defer End],$A349),"")</f>
        <v/>
      </c>
      <c r="J349" s="60">
        <f>IF(OR($H349="",$I349="",$G349=""),"",MAX(1,(YEAR($I349)-YEAR($H349))*12+MONTH($I349)-MONTH($H349)+1))</f>
        <v/>
      </c>
      <c r="K349" s="63">
        <f>IF($J349="","",$G349/$J349)</f>
        <v/>
      </c>
      <c r="L349" s="63">
        <f>IF($J349="",0,$K349*MAX(0,MIN(YEAR($C$3)*12+MONTH($C$3),YEAR($I349)*12+MONTH($I349))-(YEAR($H349)*12+MONTH($H349))+1))</f>
        <v/>
      </c>
      <c r="M349" s="63">
        <f>IF($J349="",0,$K349*MAX(0,MIN(YEAR($C$3)*12+MONTH($C$3)-1,YEAR($I349)*12+MONTH($I349))-(YEAR($H349)*12+MONTH($H349))+1))</f>
        <v/>
      </c>
      <c r="N349" s="63">
        <f>IF(OR($J349="",$B349=""),0,IF(YEAR($B349)*12+MONTH($B349)&lt;=YEAR($C$3)*12+MONTH($C$3),$G349,0))</f>
        <v/>
      </c>
      <c r="O349" s="63">
        <f>IF(OR($J349="",$B349=""),0,IF(YEAR($B349)*12+MONTH($B349)&lt;=YEAR($C$3)*12+MONTH($C$3)-1,$G349,0))</f>
        <v/>
      </c>
      <c r="P349" s="63">
        <f>$M349-$O349</f>
        <v/>
      </c>
      <c r="Q349" s="63">
        <f>($L349-$M349)-($N349-$O349)</f>
        <v/>
      </c>
      <c r="R349" s="63">
        <f>$L349-$N349</f>
        <v/>
      </c>
    </row>
    <row r="350">
      <c r="A350" s="60">
        <f>ROW()-5</f>
        <v/>
      </c>
      <c r="B350" s="61">
        <f>IFERROR(INDEX(tbl_Finance[Date],$A350),"")</f>
        <v/>
      </c>
      <c r="C350" s="62">
        <f>IFERROR(INDEX(tbl_Finance[Xero Invoice No],$A350),"")</f>
        <v/>
      </c>
      <c r="D350" s="62">
        <f>IFERROR(INDEX(tbl_Finance[Client],$A350),"")</f>
        <v/>
      </c>
      <c r="E350" s="62">
        <f>IFERROR(INDEX(tbl_Finance[Job Number],$A350),"")</f>
        <v/>
      </c>
      <c r="F350" s="62">
        <f>IFERROR(INDEX(tbl_Finance[Cost Centre],$A350),"")</f>
        <v/>
      </c>
      <c r="G350" s="63">
        <f>IFERROR(INDEX(tbl_Finance[Ex GST],$A350),"")</f>
        <v/>
      </c>
      <c r="H350" s="61">
        <f>IFERROR(INDEX(tbl_Finance[Defer Start],$A350),"")</f>
        <v/>
      </c>
      <c r="I350" s="61">
        <f>IFERROR(INDEX(tbl_Finance[Defer End],$A350),"")</f>
        <v/>
      </c>
      <c r="J350" s="60">
        <f>IF(OR($H350="",$I350="",$G350=""),"",MAX(1,(YEAR($I350)-YEAR($H350))*12+MONTH($I350)-MONTH($H350)+1))</f>
        <v/>
      </c>
      <c r="K350" s="63">
        <f>IF($J350="","",$G350/$J350)</f>
        <v/>
      </c>
      <c r="L350" s="63">
        <f>IF($J350="",0,$K350*MAX(0,MIN(YEAR($C$3)*12+MONTH($C$3),YEAR($I350)*12+MONTH($I350))-(YEAR($H350)*12+MONTH($H350))+1))</f>
        <v/>
      </c>
      <c r="M350" s="63">
        <f>IF($J350="",0,$K350*MAX(0,MIN(YEAR($C$3)*12+MONTH($C$3)-1,YEAR($I350)*12+MONTH($I350))-(YEAR($H350)*12+MONTH($H350))+1))</f>
        <v/>
      </c>
      <c r="N350" s="63">
        <f>IF(OR($J350="",$B350=""),0,IF(YEAR($B350)*12+MONTH($B350)&lt;=YEAR($C$3)*12+MONTH($C$3),$G350,0))</f>
        <v/>
      </c>
      <c r="O350" s="63">
        <f>IF(OR($J350="",$B350=""),0,IF(YEAR($B350)*12+MONTH($B350)&lt;=YEAR($C$3)*12+MONTH($C$3)-1,$G350,0))</f>
        <v/>
      </c>
      <c r="P350" s="63">
        <f>$M350-$O350</f>
        <v/>
      </c>
      <c r="Q350" s="63">
        <f>($L350-$M350)-($N350-$O350)</f>
        <v/>
      </c>
      <c r="R350" s="63">
        <f>$L350-$N350</f>
        <v/>
      </c>
    </row>
    <row r="351">
      <c r="A351" s="60">
        <f>ROW()-5</f>
        <v/>
      </c>
      <c r="B351" s="61">
        <f>IFERROR(INDEX(tbl_Finance[Date],$A351),"")</f>
        <v/>
      </c>
      <c r="C351" s="62">
        <f>IFERROR(INDEX(tbl_Finance[Xero Invoice No],$A351),"")</f>
        <v/>
      </c>
      <c r="D351" s="62">
        <f>IFERROR(INDEX(tbl_Finance[Client],$A351),"")</f>
        <v/>
      </c>
      <c r="E351" s="62">
        <f>IFERROR(INDEX(tbl_Finance[Job Number],$A351),"")</f>
        <v/>
      </c>
      <c r="F351" s="62">
        <f>IFERROR(INDEX(tbl_Finance[Cost Centre],$A351),"")</f>
        <v/>
      </c>
      <c r="G351" s="63">
        <f>IFERROR(INDEX(tbl_Finance[Ex GST],$A351),"")</f>
        <v/>
      </c>
      <c r="H351" s="61">
        <f>IFERROR(INDEX(tbl_Finance[Defer Start],$A351),"")</f>
        <v/>
      </c>
      <c r="I351" s="61">
        <f>IFERROR(INDEX(tbl_Finance[Defer End],$A351),"")</f>
        <v/>
      </c>
      <c r="J351" s="60">
        <f>IF(OR($H351="",$I351="",$G351=""),"",MAX(1,(YEAR($I351)-YEAR($H351))*12+MONTH($I351)-MONTH($H351)+1))</f>
        <v/>
      </c>
      <c r="K351" s="63">
        <f>IF($J351="","",$G351/$J351)</f>
        <v/>
      </c>
      <c r="L351" s="63">
        <f>IF($J351="",0,$K351*MAX(0,MIN(YEAR($C$3)*12+MONTH($C$3),YEAR($I351)*12+MONTH($I351))-(YEAR($H351)*12+MONTH($H351))+1))</f>
        <v/>
      </c>
      <c r="M351" s="63">
        <f>IF($J351="",0,$K351*MAX(0,MIN(YEAR($C$3)*12+MONTH($C$3)-1,YEAR($I351)*12+MONTH($I351))-(YEAR($H351)*12+MONTH($H351))+1))</f>
        <v/>
      </c>
      <c r="N351" s="63">
        <f>IF(OR($J351="",$B351=""),0,IF(YEAR($B351)*12+MONTH($B351)&lt;=YEAR($C$3)*12+MONTH($C$3),$G351,0))</f>
        <v/>
      </c>
      <c r="O351" s="63">
        <f>IF(OR($J351="",$B351=""),0,IF(YEAR($B351)*12+MONTH($B351)&lt;=YEAR($C$3)*12+MONTH($C$3)-1,$G351,0))</f>
        <v/>
      </c>
      <c r="P351" s="63">
        <f>$M351-$O351</f>
        <v/>
      </c>
      <c r="Q351" s="63">
        <f>($L351-$M351)-($N351-$O351)</f>
        <v/>
      </c>
      <c r="R351" s="63">
        <f>$L351-$N351</f>
        <v/>
      </c>
    </row>
    <row r="352">
      <c r="A352" s="60">
        <f>ROW()-5</f>
        <v/>
      </c>
      <c r="B352" s="61">
        <f>IFERROR(INDEX(tbl_Finance[Date],$A352),"")</f>
        <v/>
      </c>
      <c r="C352" s="62">
        <f>IFERROR(INDEX(tbl_Finance[Xero Invoice No],$A352),"")</f>
        <v/>
      </c>
      <c r="D352" s="62">
        <f>IFERROR(INDEX(tbl_Finance[Client],$A352),"")</f>
        <v/>
      </c>
      <c r="E352" s="62">
        <f>IFERROR(INDEX(tbl_Finance[Job Number],$A352),"")</f>
        <v/>
      </c>
      <c r="F352" s="62">
        <f>IFERROR(INDEX(tbl_Finance[Cost Centre],$A352),"")</f>
        <v/>
      </c>
      <c r="G352" s="63">
        <f>IFERROR(INDEX(tbl_Finance[Ex GST],$A352),"")</f>
        <v/>
      </c>
      <c r="H352" s="61">
        <f>IFERROR(INDEX(tbl_Finance[Defer Start],$A352),"")</f>
        <v/>
      </c>
      <c r="I352" s="61">
        <f>IFERROR(INDEX(tbl_Finance[Defer End],$A352),"")</f>
        <v/>
      </c>
      <c r="J352" s="60">
        <f>IF(OR($H352="",$I352="",$G352=""),"",MAX(1,(YEAR($I352)-YEAR($H352))*12+MONTH($I352)-MONTH($H352)+1))</f>
        <v/>
      </c>
      <c r="K352" s="63">
        <f>IF($J352="","",$G352/$J352)</f>
        <v/>
      </c>
      <c r="L352" s="63">
        <f>IF($J352="",0,$K352*MAX(0,MIN(YEAR($C$3)*12+MONTH($C$3),YEAR($I352)*12+MONTH($I352))-(YEAR($H352)*12+MONTH($H352))+1))</f>
        <v/>
      </c>
      <c r="M352" s="63">
        <f>IF($J352="",0,$K352*MAX(0,MIN(YEAR($C$3)*12+MONTH($C$3)-1,YEAR($I352)*12+MONTH($I352))-(YEAR($H352)*12+MONTH($H352))+1))</f>
        <v/>
      </c>
      <c r="N352" s="63">
        <f>IF(OR($J352="",$B352=""),0,IF(YEAR($B352)*12+MONTH($B352)&lt;=YEAR($C$3)*12+MONTH($C$3),$G352,0))</f>
        <v/>
      </c>
      <c r="O352" s="63">
        <f>IF(OR($J352="",$B352=""),0,IF(YEAR($B352)*12+MONTH($B352)&lt;=YEAR($C$3)*12+MONTH($C$3)-1,$G352,0))</f>
        <v/>
      </c>
      <c r="P352" s="63">
        <f>$M352-$O352</f>
        <v/>
      </c>
      <c r="Q352" s="63">
        <f>($L352-$M352)-($N352-$O352)</f>
        <v/>
      </c>
      <c r="R352" s="63">
        <f>$L352-$N352</f>
        <v/>
      </c>
    </row>
    <row r="353">
      <c r="A353" s="60">
        <f>ROW()-5</f>
        <v/>
      </c>
      <c r="B353" s="61">
        <f>IFERROR(INDEX(tbl_Finance[Date],$A353),"")</f>
        <v/>
      </c>
      <c r="C353" s="62">
        <f>IFERROR(INDEX(tbl_Finance[Xero Invoice No],$A353),"")</f>
        <v/>
      </c>
      <c r="D353" s="62">
        <f>IFERROR(INDEX(tbl_Finance[Client],$A353),"")</f>
        <v/>
      </c>
      <c r="E353" s="62">
        <f>IFERROR(INDEX(tbl_Finance[Job Number],$A353),"")</f>
        <v/>
      </c>
      <c r="F353" s="62">
        <f>IFERROR(INDEX(tbl_Finance[Cost Centre],$A353),"")</f>
        <v/>
      </c>
      <c r="G353" s="63">
        <f>IFERROR(INDEX(tbl_Finance[Ex GST],$A353),"")</f>
        <v/>
      </c>
      <c r="H353" s="61">
        <f>IFERROR(INDEX(tbl_Finance[Defer Start],$A353),"")</f>
        <v/>
      </c>
      <c r="I353" s="61">
        <f>IFERROR(INDEX(tbl_Finance[Defer End],$A353),"")</f>
        <v/>
      </c>
      <c r="J353" s="60">
        <f>IF(OR($H353="",$I353="",$G353=""),"",MAX(1,(YEAR($I353)-YEAR($H353))*12+MONTH($I353)-MONTH($H353)+1))</f>
        <v/>
      </c>
      <c r="K353" s="63">
        <f>IF($J353="","",$G353/$J353)</f>
        <v/>
      </c>
      <c r="L353" s="63">
        <f>IF($J353="",0,$K353*MAX(0,MIN(YEAR($C$3)*12+MONTH($C$3),YEAR($I353)*12+MONTH($I353))-(YEAR($H353)*12+MONTH($H353))+1))</f>
        <v/>
      </c>
      <c r="M353" s="63">
        <f>IF($J353="",0,$K353*MAX(0,MIN(YEAR($C$3)*12+MONTH($C$3)-1,YEAR($I353)*12+MONTH($I353))-(YEAR($H353)*12+MONTH($H353))+1))</f>
        <v/>
      </c>
      <c r="N353" s="63">
        <f>IF(OR($J353="",$B353=""),0,IF(YEAR($B353)*12+MONTH($B353)&lt;=YEAR($C$3)*12+MONTH($C$3),$G353,0))</f>
        <v/>
      </c>
      <c r="O353" s="63">
        <f>IF(OR($J353="",$B353=""),0,IF(YEAR($B353)*12+MONTH($B353)&lt;=YEAR($C$3)*12+MONTH($C$3)-1,$G353,0))</f>
        <v/>
      </c>
      <c r="P353" s="63">
        <f>$M353-$O353</f>
        <v/>
      </c>
      <c r="Q353" s="63">
        <f>($L353-$M353)-($N353-$O353)</f>
        <v/>
      </c>
      <c r="R353" s="63">
        <f>$L353-$N353</f>
        <v/>
      </c>
    </row>
    <row r="354">
      <c r="A354" s="60">
        <f>ROW()-5</f>
        <v/>
      </c>
      <c r="B354" s="61">
        <f>IFERROR(INDEX(tbl_Finance[Date],$A354),"")</f>
        <v/>
      </c>
      <c r="C354" s="62">
        <f>IFERROR(INDEX(tbl_Finance[Xero Invoice No],$A354),"")</f>
        <v/>
      </c>
      <c r="D354" s="62">
        <f>IFERROR(INDEX(tbl_Finance[Client],$A354),"")</f>
        <v/>
      </c>
      <c r="E354" s="62">
        <f>IFERROR(INDEX(tbl_Finance[Job Number],$A354),"")</f>
        <v/>
      </c>
      <c r="F354" s="62">
        <f>IFERROR(INDEX(tbl_Finance[Cost Centre],$A354),"")</f>
        <v/>
      </c>
      <c r="G354" s="63">
        <f>IFERROR(INDEX(tbl_Finance[Ex GST],$A354),"")</f>
        <v/>
      </c>
      <c r="H354" s="61">
        <f>IFERROR(INDEX(tbl_Finance[Defer Start],$A354),"")</f>
        <v/>
      </c>
      <c r="I354" s="61">
        <f>IFERROR(INDEX(tbl_Finance[Defer End],$A354),"")</f>
        <v/>
      </c>
      <c r="J354" s="60">
        <f>IF(OR($H354="",$I354="",$G354=""),"",MAX(1,(YEAR($I354)-YEAR($H354))*12+MONTH($I354)-MONTH($H354)+1))</f>
        <v/>
      </c>
      <c r="K354" s="63">
        <f>IF($J354="","",$G354/$J354)</f>
        <v/>
      </c>
      <c r="L354" s="63">
        <f>IF($J354="",0,$K354*MAX(0,MIN(YEAR($C$3)*12+MONTH($C$3),YEAR($I354)*12+MONTH($I354))-(YEAR($H354)*12+MONTH($H354))+1))</f>
        <v/>
      </c>
      <c r="M354" s="63">
        <f>IF($J354="",0,$K354*MAX(0,MIN(YEAR($C$3)*12+MONTH($C$3)-1,YEAR($I354)*12+MONTH($I354))-(YEAR($H354)*12+MONTH($H354))+1))</f>
        <v/>
      </c>
      <c r="N354" s="63">
        <f>IF(OR($J354="",$B354=""),0,IF(YEAR($B354)*12+MONTH($B354)&lt;=YEAR($C$3)*12+MONTH($C$3),$G354,0))</f>
        <v/>
      </c>
      <c r="O354" s="63">
        <f>IF(OR($J354="",$B354=""),0,IF(YEAR($B354)*12+MONTH($B354)&lt;=YEAR($C$3)*12+MONTH($C$3)-1,$G354,0))</f>
        <v/>
      </c>
      <c r="P354" s="63">
        <f>$M354-$O354</f>
        <v/>
      </c>
      <c r="Q354" s="63">
        <f>($L354-$M354)-($N354-$O354)</f>
        <v/>
      </c>
      <c r="R354" s="63">
        <f>$L354-$N354</f>
        <v/>
      </c>
    </row>
    <row r="355">
      <c r="A355" s="60">
        <f>ROW()-5</f>
        <v/>
      </c>
      <c r="B355" s="61">
        <f>IFERROR(INDEX(tbl_Finance[Date],$A355),"")</f>
        <v/>
      </c>
      <c r="C355" s="62">
        <f>IFERROR(INDEX(tbl_Finance[Xero Invoice No],$A355),"")</f>
        <v/>
      </c>
      <c r="D355" s="62">
        <f>IFERROR(INDEX(tbl_Finance[Client],$A355),"")</f>
        <v/>
      </c>
      <c r="E355" s="62">
        <f>IFERROR(INDEX(tbl_Finance[Job Number],$A355),"")</f>
        <v/>
      </c>
      <c r="F355" s="62">
        <f>IFERROR(INDEX(tbl_Finance[Cost Centre],$A355),"")</f>
        <v/>
      </c>
      <c r="G355" s="63">
        <f>IFERROR(INDEX(tbl_Finance[Ex GST],$A355),"")</f>
        <v/>
      </c>
      <c r="H355" s="61">
        <f>IFERROR(INDEX(tbl_Finance[Defer Start],$A355),"")</f>
        <v/>
      </c>
      <c r="I355" s="61">
        <f>IFERROR(INDEX(tbl_Finance[Defer End],$A355),"")</f>
        <v/>
      </c>
      <c r="J355" s="60">
        <f>IF(OR($H355="",$I355="",$G355=""),"",MAX(1,(YEAR($I355)-YEAR($H355))*12+MONTH($I355)-MONTH($H355)+1))</f>
        <v/>
      </c>
      <c r="K355" s="63">
        <f>IF($J355="","",$G355/$J355)</f>
        <v/>
      </c>
      <c r="L355" s="63">
        <f>IF($J355="",0,$K355*MAX(0,MIN(YEAR($C$3)*12+MONTH($C$3),YEAR($I355)*12+MONTH($I355))-(YEAR($H355)*12+MONTH($H355))+1))</f>
        <v/>
      </c>
      <c r="M355" s="63">
        <f>IF($J355="",0,$K355*MAX(0,MIN(YEAR($C$3)*12+MONTH($C$3)-1,YEAR($I355)*12+MONTH($I355))-(YEAR($H355)*12+MONTH($H355))+1))</f>
        <v/>
      </c>
      <c r="N355" s="63">
        <f>IF(OR($J355="",$B355=""),0,IF(YEAR($B355)*12+MONTH($B355)&lt;=YEAR($C$3)*12+MONTH($C$3),$G355,0))</f>
        <v/>
      </c>
      <c r="O355" s="63">
        <f>IF(OR($J355="",$B355=""),0,IF(YEAR($B355)*12+MONTH($B355)&lt;=YEAR($C$3)*12+MONTH($C$3)-1,$G355,0))</f>
        <v/>
      </c>
      <c r="P355" s="63">
        <f>$M355-$O355</f>
        <v/>
      </c>
      <c r="Q355" s="63">
        <f>($L355-$M355)-($N355-$O355)</f>
        <v/>
      </c>
      <c r="R355" s="63">
        <f>$L355-$N355</f>
        <v/>
      </c>
    </row>
    <row r="356">
      <c r="A356" s="60">
        <f>ROW()-5</f>
        <v/>
      </c>
      <c r="B356" s="61">
        <f>IFERROR(INDEX(tbl_Finance[Date],$A356),"")</f>
        <v/>
      </c>
      <c r="C356" s="62">
        <f>IFERROR(INDEX(tbl_Finance[Xero Invoice No],$A356),"")</f>
        <v/>
      </c>
      <c r="D356" s="62">
        <f>IFERROR(INDEX(tbl_Finance[Client],$A356),"")</f>
        <v/>
      </c>
      <c r="E356" s="62">
        <f>IFERROR(INDEX(tbl_Finance[Job Number],$A356),"")</f>
        <v/>
      </c>
      <c r="F356" s="62">
        <f>IFERROR(INDEX(tbl_Finance[Cost Centre],$A356),"")</f>
        <v/>
      </c>
      <c r="G356" s="63">
        <f>IFERROR(INDEX(tbl_Finance[Ex GST],$A356),"")</f>
        <v/>
      </c>
      <c r="H356" s="61">
        <f>IFERROR(INDEX(tbl_Finance[Defer Start],$A356),"")</f>
        <v/>
      </c>
      <c r="I356" s="61">
        <f>IFERROR(INDEX(tbl_Finance[Defer End],$A356),"")</f>
        <v/>
      </c>
      <c r="J356" s="60">
        <f>IF(OR($H356="",$I356="",$G356=""),"",MAX(1,(YEAR($I356)-YEAR($H356))*12+MONTH($I356)-MONTH($H356)+1))</f>
        <v/>
      </c>
      <c r="K356" s="63">
        <f>IF($J356="","",$G356/$J356)</f>
        <v/>
      </c>
      <c r="L356" s="63">
        <f>IF($J356="",0,$K356*MAX(0,MIN(YEAR($C$3)*12+MONTH($C$3),YEAR($I356)*12+MONTH($I356))-(YEAR($H356)*12+MONTH($H356))+1))</f>
        <v/>
      </c>
      <c r="M356" s="63">
        <f>IF($J356="",0,$K356*MAX(0,MIN(YEAR($C$3)*12+MONTH($C$3)-1,YEAR($I356)*12+MONTH($I356))-(YEAR($H356)*12+MONTH($H356))+1))</f>
        <v/>
      </c>
      <c r="N356" s="63">
        <f>IF(OR($J356="",$B356=""),0,IF(YEAR($B356)*12+MONTH($B356)&lt;=YEAR($C$3)*12+MONTH($C$3),$G356,0))</f>
        <v/>
      </c>
      <c r="O356" s="63">
        <f>IF(OR($J356="",$B356=""),0,IF(YEAR($B356)*12+MONTH($B356)&lt;=YEAR($C$3)*12+MONTH($C$3)-1,$G356,0))</f>
        <v/>
      </c>
      <c r="P356" s="63">
        <f>$M356-$O356</f>
        <v/>
      </c>
      <c r="Q356" s="63">
        <f>($L356-$M356)-($N356-$O356)</f>
        <v/>
      </c>
      <c r="R356" s="63">
        <f>$L356-$N356</f>
        <v/>
      </c>
    </row>
    <row r="357">
      <c r="A357" s="60">
        <f>ROW()-5</f>
        <v/>
      </c>
      <c r="B357" s="61">
        <f>IFERROR(INDEX(tbl_Finance[Date],$A357),"")</f>
        <v/>
      </c>
      <c r="C357" s="62">
        <f>IFERROR(INDEX(tbl_Finance[Xero Invoice No],$A357),"")</f>
        <v/>
      </c>
      <c r="D357" s="62">
        <f>IFERROR(INDEX(tbl_Finance[Client],$A357),"")</f>
        <v/>
      </c>
      <c r="E357" s="62">
        <f>IFERROR(INDEX(tbl_Finance[Job Number],$A357),"")</f>
        <v/>
      </c>
      <c r="F357" s="62">
        <f>IFERROR(INDEX(tbl_Finance[Cost Centre],$A357),"")</f>
        <v/>
      </c>
      <c r="G357" s="63">
        <f>IFERROR(INDEX(tbl_Finance[Ex GST],$A357),"")</f>
        <v/>
      </c>
      <c r="H357" s="61">
        <f>IFERROR(INDEX(tbl_Finance[Defer Start],$A357),"")</f>
        <v/>
      </c>
      <c r="I357" s="61">
        <f>IFERROR(INDEX(tbl_Finance[Defer End],$A357),"")</f>
        <v/>
      </c>
      <c r="J357" s="60">
        <f>IF(OR($H357="",$I357="",$G357=""),"",MAX(1,(YEAR($I357)-YEAR($H357))*12+MONTH($I357)-MONTH($H357)+1))</f>
        <v/>
      </c>
      <c r="K357" s="63">
        <f>IF($J357="","",$G357/$J357)</f>
        <v/>
      </c>
      <c r="L357" s="63">
        <f>IF($J357="",0,$K357*MAX(0,MIN(YEAR($C$3)*12+MONTH($C$3),YEAR($I357)*12+MONTH($I357))-(YEAR($H357)*12+MONTH($H357))+1))</f>
        <v/>
      </c>
      <c r="M357" s="63">
        <f>IF($J357="",0,$K357*MAX(0,MIN(YEAR($C$3)*12+MONTH($C$3)-1,YEAR($I357)*12+MONTH($I357))-(YEAR($H357)*12+MONTH($H357))+1))</f>
        <v/>
      </c>
      <c r="N357" s="63">
        <f>IF(OR($J357="",$B357=""),0,IF(YEAR($B357)*12+MONTH($B357)&lt;=YEAR($C$3)*12+MONTH($C$3),$G357,0))</f>
        <v/>
      </c>
      <c r="O357" s="63">
        <f>IF(OR($J357="",$B357=""),0,IF(YEAR($B357)*12+MONTH($B357)&lt;=YEAR($C$3)*12+MONTH($C$3)-1,$G357,0))</f>
        <v/>
      </c>
      <c r="P357" s="63">
        <f>$M357-$O357</f>
        <v/>
      </c>
      <c r="Q357" s="63">
        <f>($L357-$M357)-($N357-$O357)</f>
        <v/>
      </c>
      <c r="R357" s="63">
        <f>$L357-$N357</f>
        <v/>
      </c>
    </row>
    <row r="358">
      <c r="A358" s="60">
        <f>ROW()-5</f>
        <v/>
      </c>
      <c r="B358" s="61">
        <f>IFERROR(INDEX(tbl_Finance[Date],$A358),"")</f>
        <v/>
      </c>
      <c r="C358" s="62">
        <f>IFERROR(INDEX(tbl_Finance[Xero Invoice No],$A358),"")</f>
        <v/>
      </c>
      <c r="D358" s="62">
        <f>IFERROR(INDEX(tbl_Finance[Client],$A358),"")</f>
        <v/>
      </c>
      <c r="E358" s="62">
        <f>IFERROR(INDEX(tbl_Finance[Job Number],$A358),"")</f>
        <v/>
      </c>
      <c r="F358" s="62">
        <f>IFERROR(INDEX(tbl_Finance[Cost Centre],$A358),"")</f>
        <v/>
      </c>
      <c r="G358" s="63">
        <f>IFERROR(INDEX(tbl_Finance[Ex GST],$A358),"")</f>
        <v/>
      </c>
      <c r="H358" s="61">
        <f>IFERROR(INDEX(tbl_Finance[Defer Start],$A358),"")</f>
        <v/>
      </c>
      <c r="I358" s="61">
        <f>IFERROR(INDEX(tbl_Finance[Defer End],$A358),"")</f>
        <v/>
      </c>
      <c r="J358" s="60">
        <f>IF(OR($H358="",$I358="",$G358=""),"",MAX(1,(YEAR($I358)-YEAR($H358))*12+MONTH($I358)-MONTH($H358)+1))</f>
        <v/>
      </c>
      <c r="K358" s="63">
        <f>IF($J358="","",$G358/$J358)</f>
        <v/>
      </c>
      <c r="L358" s="63">
        <f>IF($J358="",0,$K358*MAX(0,MIN(YEAR($C$3)*12+MONTH($C$3),YEAR($I358)*12+MONTH($I358))-(YEAR($H358)*12+MONTH($H358))+1))</f>
        <v/>
      </c>
      <c r="M358" s="63">
        <f>IF($J358="",0,$K358*MAX(0,MIN(YEAR($C$3)*12+MONTH($C$3)-1,YEAR($I358)*12+MONTH($I358))-(YEAR($H358)*12+MONTH($H358))+1))</f>
        <v/>
      </c>
      <c r="N358" s="63">
        <f>IF(OR($J358="",$B358=""),0,IF(YEAR($B358)*12+MONTH($B358)&lt;=YEAR($C$3)*12+MONTH($C$3),$G358,0))</f>
        <v/>
      </c>
      <c r="O358" s="63">
        <f>IF(OR($J358="",$B358=""),0,IF(YEAR($B358)*12+MONTH($B358)&lt;=YEAR($C$3)*12+MONTH($C$3)-1,$G358,0))</f>
        <v/>
      </c>
      <c r="P358" s="63">
        <f>$M358-$O358</f>
        <v/>
      </c>
      <c r="Q358" s="63">
        <f>($L358-$M358)-($N358-$O358)</f>
        <v/>
      </c>
      <c r="R358" s="63">
        <f>$L358-$N358</f>
        <v/>
      </c>
    </row>
    <row r="359">
      <c r="A359" s="60">
        <f>ROW()-5</f>
        <v/>
      </c>
      <c r="B359" s="61">
        <f>IFERROR(INDEX(tbl_Finance[Date],$A359),"")</f>
        <v/>
      </c>
      <c r="C359" s="62">
        <f>IFERROR(INDEX(tbl_Finance[Xero Invoice No],$A359),"")</f>
        <v/>
      </c>
      <c r="D359" s="62">
        <f>IFERROR(INDEX(tbl_Finance[Client],$A359),"")</f>
        <v/>
      </c>
      <c r="E359" s="62">
        <f>IFERROR(INDEX(tbl_Finance[Job Number],$A359),"")</f>
        <v/>
      </c>
      <c r="F359" s="62">
        <f>IFERROR(INDEX(tbl_Finance[Cost Centre],$A359),"")</f>
        <v/>
      </c>
      <c r="G359" s="63">
        <f>IFERROR(INDEX(tbl_Finance[Ex GST],$A359),"")</f>
        <v/>
      </c>
      <c r="H359" s="61">
        <f>IFERROR(INDEX(tbl_Finance[Defer Start],$A359),"")</f>
        <v/>
      </c>
      <c r="I359" s="61">
        <f>IFERROR(INDEX(tbl_Finance[Defer End],$A359),"")</f>
        <v/>
      </c>
      <c r="J359" s="60">
        <f>IF(OR($H359="",$I359="",$G359=""),"",MAX(1,(YEAR($I359)-YEAR($H359))*12+MONTH($I359)-MONTH($H359)+1))</f>
        <v/>
      </c>
      <c r="K359" s="63">
        <f>IF($J359="","",$G359/$J359)</f>
        <v/>
      </c>
      <c r="L359" s="63">
        <f>IF($J359="",0,$K359*MAX(0,MIN(YEAR($C$3)*12+MONTH($C$3),YEAR($I359)*12+MONTH($I359))-(YEAR($H359)*12+MONTH($H359))+1))</f>
        <v/>
      </c>
      <c r="M359" s="63">
        <f>IF($J359="",0,$K359*MAX(0,MIN(YEAR($C$3)*12+MONTH($C$3)-1,YEAR($I359)*12+MONTH($I359))-(YEAR($H359)*12+MONTH($H359))+1))</f>
        <v/>
      </c>
      <c r="N359" s="63">
        <f>IF(OR($J359="",$B359=""),0,IF(YEAR($B359)*12+MONTH($B359)&lt;=YEAR($C$3)*12+MONTH($C$3),$G359,0))</f>
        <v/>
      </c>
      <c r="O359" s="63">
        <f>IF(OR($J359="",$B359=""),0,IF(YEAR($B359)*12+MONTH($B359)&lt;=YEAR($C$3)*12+MONTH($C$3)-1,$G359,0))</f>
        <v/>
      </c>
      <c r="P359" s="63">
        <f>$M359-$O359</f>
        <v/>
      </c>
      <c r="Q359" s="63">
        <f>($L359-$M359)-($N359-$O359)</f>
        <v/>
      </c>
      <c r="R359" s="63">
        <f>$L359-$N359</f>
        <v/>
      </c>
    </row>
    <row r="360">
      <c r="A360" s="60">
        <f>ROW()-5</f>
        <v/>
      </c>
      <c r="B360" s="61">
        <f>IFERROR(INDEX(tbl_Finance[Date],$A360),"")</f>
        <v/>
      </c>
      <c r="C360" s="62">
        <f>IFERROR(INDEX(tbl_Finance[Xero Invoice No],$A360),"")</f>
        <v/>
      </c>
      <c r="D360" s="62">
        <f>IFERROR(INDEX(tbl_Finance[Client],$A360),"")</f>
        <v/>
      </c>
      <c r="E360" s="62">
        <f>IFERROR(INDEX(tbl_Finance[Job Number],$A360),"")</f>
        <v/>
      </c>
      <c r="F360" s="62">
        <f>IFERROR(INDEX(tbl_Finance[Cost Centre],$A360),"")</f>
        <v/>
      </c>
      <c r="G360" s="63">
        <f>IFERROR(INDEX(tbl_Finance[Ex GST],$A360),"")</f>
        <v/>
      </c>
      <c r="H360" s="61">
        <f>IFERROR(INDEX(tbl_Finance[Defer Start],$A360),"")</f>
        <v/>
      </c>
      <c r="I360" s="61">
        <f>IFERROR(INDEX(tbl_Finance[Defer End],$A360),"")</f>
        <v/>
      </c>
      <c r="J360" s="60">
        <f>IF(OR($H360="",$I360="",$G360=""),"",MAX(1,(YEAR($I360)-YEAR($H360))*12+MONTH($I360)-MONTH($H360)+1))</f>
        <v/>
      </c>
      <c r="K360" s="63">
        <f>IF($J360="","",$G360/$J360)</f>
        <v/>
      </c>
      <c r="L360" s="63">
        <f>IF($J360="",0,$K360*MAX(0,MIN(YEAR($C$3)*12+MONTH($C$3),YEAR($I360)*12+MONTH($I360))-(YEAR($H360)*12+MONTH($H360))+1))</f>
        <v/>
      </c>
      <c r="M360" s="63">
        <f>IF($J360="",0,$K360*MAX(0,MIN(YEAR($C$3)*12+MONTH($C$3)-1,YEAR($I360)*12+MONTH($I360))-(YEAR($H360)*12+MONTH($H360))+1))</f>
        <v/>
      </c>
      <c r="N360" s="63">
        <f>IF(OR($J360="",$B360=""),0,IF(YEAR($B360)*12+MONTH($B360)&lt;=YEAR($C$3)*12+MONTH($C$3),$G360,0))</f>
        <v/>
      </c>
      <c r="O360" s="63">
        <f>IF(OR($J360="",$B360=""),0,IF(YEAR($B360)*12+MONTH($B360)&lt;=YEAR($C$3)*12+MONTH($C$3)-1,$G360,0))</f>
        <v/>
      </c>
      <c r="P360" s="63">
        <f>$M360-$O360</f>
        <v/>
      </c>
      <c r="Q360" s="63">
        <f>($L360-$M360)-($N360-$O360)</f>
        <v/>
      </c>
      <c r="R360" s="63">
        <f>$L360-$N360</f>
        <v/>
      </c>
    </row>
    <row r="361">
      <c r="A361" s="60">
        <f>ROW()-5</f>
        <v/>
      </c>
      <c r="B361" s="61">
        <f>IFERROR(INDEX(tbl_Finance[Date],$A361),"")</f>
        <v/>
      </c>
      <c r="C361" s="62">
        <f>IFERROR(INDEX(tbl_Finance[Xero Invoice No],$A361),"")</f>
        <v/>
      </c>
      <c r="D361" s="62">
        <f>IFERROR(INDEX(tbl_Finance[Client],$A361),"")</f>
        <v/>
      </c>
      <c r="E361" s="62">
        <f>IFERROR(INDEX(tbl_Finance[Job Number],$A361),"")</f>
        <v/>
      </c>
      <c r="F361" s="62">
        <f>IFERROR(INDEX(tbl_Finance[Cost Centre],$A361),"")</f>
        <v/>
      </c>
      <c r="G361" s="63">
        <f>IFERROR(INDEX(tbl_Finance[Ex GST],$A361),"")</f>
        <v/>
      </c>
      <c r="H361" s="61">
        <f>IFERROR(INDEX(tbl_Finance[Defer Start],$A361),"")</f>
        <v/>
      </c>
      <c r="I361" s="61">
        <f>IFERROR(INDEX(tbl_Finance[Defer End],$A361),"")</f>
        <v/>
      </c>
      <c r="J361" s="60">
        <f>IF(OR($H361="",$I361="",$G361=""),"",MAX(1,(YEAR($I361)-YEAR($H361))*12+MONTH($I361)-MONTH($H361)+1))</f>
        <v/>
      </c>
      <c r="K361" s="63">
        <f>IF($J361="","",$G361/$J361)</f>
        <v/>
      </c>
      <c r="L361" s="63">
        <f>IF($J361="",0,$K361*MAX(0,MIN(YEAR($C$3)*12+MONTH($C$3),YEAR($I361)*12+MONTH($I361))-(YEAR($H361)*12+MONTH($H361))+1))</f>
        <v/>
      </c>
      <c r="M361" s="63">
        <f>IF($J361="",0,$K361*MAX(0,MIN(YEAR($C$3)*12+MONTH($C$3)-1,YEAR($I361)*12+MONTH($I361))-(YEAR($H361)*12+MONTH($H361))+1))</f>
        <v/>
      </c>
      <c r="N361" s="63">
        <f>IF(OR($J361="",$B361=""),0,IF(YEAR($B361)*12+MONTH($B361)&lt;=YEAR($C$3)*12+MONTH($C$3),$G361,0))</f>
        <v/>
      </c>
      <c r="O361" s="63">
        <f>IF(OR($J361="",$B361=""),0,IF(YEAR($B361)*12+MONTH($B361)&lt;=YEAR($C$3)*12+MONTH($C$3)-1,$G361,0))</f>
        <v/>
      </c>
      <c r="P361" s="63">
        <f>$M361-$O361</f>
        <v/>
      </c>
      <c r="Q361" s="63">
        <f>($L361-$M361)-($N361-$O361)</f>
        <v/>
      </c>
      <c r="R361" s="63">
        <f>$L361-$N361</f>
        <v/>
      </c>
    </row>
    <row r="362">
      <c r="A362" s="60">
        <f>ROW()-5</f>
        <v/>
      </c>
      <c r="B362" s="61">
        <f>IFERROR(INDEX(tbl_Finance[Date],$A362),"")</f>
        <v/>
      </c>
      <c r="C362" s="62">
        <f>IFERROR(INDEX(tbl_Finance[Xero Invoice No],$A362),"")</f>
        <v/>
      </c>
      <c r="D362" s="62">
        <f>IFERROR(INDEX(tbl_Finance[Client],$A362),"")</f>
        <v/>
      </c>
      <c r="E362" s="62">
        <f>IFERROR(INDEX(tbl_Finance[Job Number],$A362),"")</f>
        <v/>
      </c>
      <c r="F362" s="62">
        <f>IFERROR(INDEX(tbl_Finance[Cost Centre],$A362),"")</f>
        <v/>
      </c>
      <c r="G362" s="63">
        <f>IFERROR(INDEX(tbl_Finance[Ex GST],$A362),"")</f>
        <v/>
      </c>
      <c r="H362" s="61">
        <f>IFERROR(INDEX(tbl_Finance[Defer Start],$A362),"")</f>
        <v/>
      </c>
      <c r="I362" s="61">
        <f>IFERROR(INDEX(tbl_Finance[Defer End],$A362),"")</f>
        <v/>
      </c>
      <c r="J362" s="60">
        <f>IF(OR($H362="",$I362="",$G362=""),"",MAX(1,(YEAR($I362)-YEAR($H362))*12+MONTH($I362)-MONTH($H362)+1))</f>
        <v/>
      </c>
      <c r="K362" s="63">
        <f>IF($J362="","",$G362/$J362)</f>
        <v/>
      </c>
      <c r="L362" s="63">
        <f>IF($J362="",0,$K362*MAX(0,MIN(YEAR($C$3)*12+MONTH($C$3),YEAR($I362)*12+MONTH($I362))-(YEAR($H362)*12+MONTH($H362))+1))</f>
        <v/>
      </c>
      <c r="M362" s="63">
        <f>IF($J362="",0,$K362*MAX(0,MIN(YEAR($C$3)*12+MONTH($C$3)-1,YEAR($I362)*12+MONTH($I362))-(YEAR($H362)*12+MONTH($H362))+1))</f>
        <v/>
      </c>
      <c r="N362" s="63">
        <f>IF(OR($J362="",$B362=""),0,IF(YEAR($B362)*12+MONTH($B362)&lt;=YEAR($C$3)*12+MONTH($C$3),$G362,0))</f>
        <v/>
      </c>
      <c r="O362" s="63">
        <f>IF(OR($J362="",$B362=""),0,IF(YEAR($B362)*12+MONTH($B362)&lt;=YEAR($C$3)*12+MONTH($C$3)-1,$G362,0))</f>
        <v/>
      </c>
      <c r="P362" s="63">
        <f>$M362-$O362</f>
        <v/>
      </c>
      <c r="Q362" s="63">
        <f>($L362-$M362)-($N362-$O362)</f>
        <v/>
      </c>
      <c r="R362" s="63">
        <f>$L362-$N362</f>
        <v/>
      </c>
    </row>
    <row r="363">
      <c r="A363" s="60">
        <f>ROW()-5</f>
        <v/>
      </c>
      <c r="B363" s="61">
        <f>IFERROR(INDEX(tbl_Finance[Date],$A363),"")</f>
        <v/>
      </c>
      <c r="C363" s="62">
        <f>IFERROR(INDEX(tbl_Finance[Xero Invoice No],$A363),"")</f>
        <v/>
      </c>
      <c r="D363" s="62">
        <f>IFERROR(INDEX(tbl_Finance[Client],$A363),"")</f>
        <v/>
      </c>
      <c r="E363" s="62">
        <f>IFERROR(INDEX(tbl_Finance[Job Number],$A363),"")</f>
        <v/>
      </c>
      <c r="F363" s="62">
        <f>IFERROR(INDEX(tbl_Finance[Cost Centre],$A363),"")</f>
        <v/>
      </c>
      <c r="G363" s="63">
        <f>IFERROR(INDEX(tbl_Finance[Ex GST],$A363),"")</f>
        <v/>
      </c>
      <c r="H363" s="61">
        <f>IFERROR(INDEX(tbl_Finance[Defer Start],$A363),"")</f>
        <v/>
      </c>
      <c r="I363" s="61">
        <f>IFERROR(INDEX(tbl_Finance[Defer End],$A363),"")</f>
        <v/>
      </c>
      <c r="J363" s="60">
        <f>IF(OR($H363="",$I363="",$G363=""),"",MAX(1,(YEAR($I363)-YEAR($H363))*12+MONTH($I363)-MONTH($H363)+1))</f>
        <v/>
      </c>
      <c r="K363" s="63">
        <f>IF($J363="","",$G363/$J363)</f>
        <v/>
      </c>
      <c r="L363" s="63">
        <f>IF($J363="",0,$K363*MAX(0,MIN(YEAR($C$3)*12+MONTH($C$3),YEAR($I363)*12+MONTH($I363))-(YEAR($H363)*12+MONTH($H363))+1))</f>
        <v/>
      </c>
      <c r="M363" s="63">
        <f>IF($J363="",0,$K363*MAX(0,MIN(YEAR($C$3)*12+MONTH($C$3)-1,YEAR($I363)*12+MONTH($I363))-(YEAR($H363)*12+MONTH($H363))+1))</f>
        <v/>
      </c>
      <c r="N363" s="63">
        <f>IF(OR($J363="",$B363=""),0,IF(YEAR($B363)*12+MONTH($B363)&lt;=YEAR($C$3)*12+MONTH($C$3),$G363,0))</f>
        <v/>
      </c>
      <c r="O363" s="63">
        <f>IF(OR($J363="",$B363=""),0,IF(YEAR($B363)*12+MONTH($B363)&lt;=YEAR($C$3)*12+MONTH($C$3)-1,$G363,0))</f>
        <v/>
      </c>
      <c r="P363" s="63">
        <f>$M363-$O363</f>
        <v/>
      </c>
      <c r="Q363" s="63">
        <f>($L363-$M363)-($N363-$O363)</f>
        <v/>
      </c>
      <c r="R363" s="63">
        <f>$L363-$N363</f>
        <v/>
      </c>
    </row>
    <row r="364">
      <c r="A364" s="60">
        <f>ROW()-5</f>
        <v/>
      </c>
      <c r="B364" s="61">
        <f>IFERROR(INDEX(tbl_Finance[Date],$A364),"")</f>
        <v/>
      </c>
      <c r="C364" s="62">
        <f>IFERROR(INDEX(tbl_Finance[Xero Invoice No],$A364),"")</f>
        <v/>
      </c>
      <c r="D364" s="62">
        <f>IFERROR(INDEX(tbl_Finance[Client],$A364),"")</f>
        <v/>
      </c>
      <c r="E364" s="62">
        <f>IFERROR(INDEX(tbl_Finance[Job Number],$A364),"")</f>
        <v/>
      </c>
      <c r="F364" s="62">
        <f>IFERROR(INDEX(tbl_Finance[Cost Centre],$A364),"")</f>
        <v/>
      </c>
      <c r="G364" s="63">
        <f>IFERROR(INDEX(tbl_Finance[Ex GST],$A364),"")</f>
        <v/>
      </c>
      <c r="H364" s="61">
        <f>IFERROR(INDEX(tbl_Finance[Defer Start],$A364),"")</f>
        <v/>
      </c>
      <c r="I364" s="61">
        <f>IFERROR(INDEX(tbl_Finance[Defer End],$A364),"")</f>
        <v/>
      </c>
      <c r="J364" s="60">
        <f>IF(OR($H364="",$I364="",$G364=""),"",MAX(1,(YEAR($I364)-YEAR($H364))*12+MONTH($I364)-MONTH($H364)+1))</f>
        <v/>
      </c>
      <c r="K364" s="63">
        <f>IF($J364="","",$G364/$J364)</f>
        <v/>
      </c>
      <c r="L364" s="63">
        <f>IF($J364="",0,$K364*MAX(0,MIN(YEAR($C$3)*12+MONTH($C$3),YEAR($I364)*12+MONTH($I364))-(YEAR($H364)*12+MONTH($H364))+1))</f>
        <v/>
      </c>
      <c r="M364" s="63">
        <f>IF($J364="",0,$K364*MAX(0,MIN(YEAR($C$3)*12+MONTH($C$3)-1,YEAR($I364)*12+MONTH($I364))-(YEAR($H364)*12+MONTH($H364))+1))</f>
        <v/>
      </c>
      <c r="N364" s="63">
        <f>IF(OR($J364="",$B364=""),0,IF(YEAR($B364)*12+MONTH($B364)&lt;=YEAR($C$3)*12+MONTH($C$3),$G364,0))</f>
        <v/>
      </c>
      <c r="O364" s="63">
        <f>IF(OR($J364="",$B364=""),0,IF(YEAR($B364)*12+MONTH($B364)&lt;=YEAR($C$3)*12+MONTH($C$3)-1,$G364,0))</f>
        <v/>
      </c>
      <c r="P364" s="63">
        <f>$M364-$O364</f>
        <v/>
      </c>
      <c r="Q364" s="63">
        <f>($L364-$M364)-($N364-$O364)</f>
        <v/>
      </c>
      <c r="R364" s="63">
        <f>$L364-$N364</f>
        <v/>
      </c>
    </row>
    <row r="365">
      <c r="A365" s="60">
        <f>ROW()-5</f>
        <v/>
      </c>
      <c r="B365" s="61">
        <f>IFERROR(INDEX(tbl_Finance[Date],$A365),"")</f>
        <v/>
      </c>
      <c r="C365" s="62">
        <f>IFERROR(INDEX(tbl_Finance[Xero Invoice No],$A365),"")</f>
        <v/>
      </c>
      <c r="D365" s="62">
        <f>IFERROR(INDEX(tbl_Finance[Client],$A365),"")</f>
        <v/>
      </c>
      <c r="E365" s="62">
        <f>IFERROR(INDEX(tbl_Finance[Job Number],$A365),"")</f>
        <v/>
      </c>
      <c r="F365" s="62">
        <f>IFERROR(INDEX(tbl_Finance[Cost Centre],$A365),"")</f>
        <v/>
      </c>
      <c r="G365" s="63">
        <f>IFERROR(INDEX(tbl_Finance[Ex GST],$A365),"")</f>
        <v/>
      </c>
      <c r="H365" s="61">
        <f>IFERROR(INDEX(tbl_Finance[Defer Start],$A365),"")</f>
        <v/>
      </c>
      <c r="I365" s="61">
        <f>IFERROR(INDEX(tbl_Finance[Defer End],$A365),"")</f>
        <v/>
      </c>
      <c r="J365" s="60">
        <f>IF(OR($H365="",$I365="",$G365=""),"",MAX(1,(YEAR($I365)-YEAR($H365))*12+MONTH($I365)-MONTH($H365)+1))</f>
        <v/>
      </c>
      <c r="K365" s="63">
        <f>IF($J365="","",$G365/$J365)</f>
        <v/>
      </c>
      <c r="L365" s="63">
        <f>IF($J365="",0,$K365*MAX(0,MIN(YEAR($C$3)*12+MONTH($C$3),YEAR($I365)*12+MONTH($I365))-(YEAR($H365)*12+MONTH($H365))+1))</f>
        <v/>
      </c>
      <c r="M365" s="63">
        <f>IF($J365="",0,$K365*MAX(0,MIN(YEAR($C$3)*12+MONTH($C$3)-1,YEAR($I365)*12+MONTH($I365))-(YEAR($H365)*12+MONTH($H365))+1))</f>
        <v/>
      </c>
      <c r="N365" s="63">
        <f>IF(OR($J365="",$B365=""),0,IF(YEAR($B365)*12+MONTH($B365)&lt;=YEAR($C$3)*12+MONTH($C$3),$G365,0))</f>
        <v/>
      </c>
      <c r="O365" s="63">
        <f>IF(OR($J365="",$B365=""),0,IF(YEAR($B365)*12+MONTH($B365)&lt;=YEAR($C$3)*12+MONTH($C$3)-1,$G365,0))</f>
        <v/>
      </c>
      <c r="P365" s="63">
        <f>$M365-$O365</f>
        <v/>
      </c>
      <c r="Q365" s="63">
        <f>($L365-$M365)-($N365-$O365)</f>
        <v/>
      </c>
      <c r="R365" s="63">
        <f>$L365-$N365</f>
        <v/>
      </c>
    </row>
    <row r="366">
      <c r="A366" s="60">
        <f>ROW()-5</f>
        <v/>
      </c>
      <c r="B366" s="61">
        <f>IFERROR(INDEX(tbl_Finance[Date],$A366),"")</f>
        <v/>
      </c>
      <c r="C366" s="62">
        <f>IFERROR(INDEX(tbl_Finance[Xero Invoice No],$A366),"")</f>
        <v/>
      </c>
      <c r="D366" s="62">
        <f>IFERROR(INDEX(tbl_Finance[Client],$A366),"")</f>
        <v/>
      </c>
      <c r="E366" s="62">
        <f>IFERROR(INDEX(tbl_Finance[Job Number],$A366),"")</f>
        <v/>
      </c>
      <c r="F366" s="62">
        <f>IFERROR(INDEX(tbl_Finance[Cost Centre],$A366),"")</f>
        <v/>
      </c>
      <c r="G366" s="63">
        <f>IFERROR(INDEX(tbl_Finance[Ex GST],$A366),"")</f>
        <v/>
      </c>
      <c r="H366" s="61">
        <f>IFERROR(INDEX(tbl_Finance[Defer Start],$A366),"")</f>
        <v/>
      </c>
      <c r="I366" s="61">
        <f>IFERROR(INDEX(tbl_Finance[Defer End],$A366),"")</f>
        <v/>
      </c>
      <c r="J366" s="60">
        <f>IF(OR($H366="",$I366="",$G366=""),"",MAX(1,(YEAR($I366)-YEAR($H366))*12+MONTH($I366)-MONTH($H366)+1))</f>
        <v/>
      </c>
      <c r="K366" s="63">
        <f>IF($J366="","",$G366/$J366)</f>
        <v/>
      </c>
      <c r="L366" s="63">
        <f>IF($J366="",0,$K366*MAX(0,MIN(YEAR($C$3)*12+MONTH($C$3),YEAR($I366)*12+MONTH($I366))-(YEAR($H366)*12+MONTH($H366))+1))</f>
        <v/>
      </c>
      <c r="M366" s="63">
        <f>IF($J366="",0,$K366*MAX(0,MIN(YEAR($C$3)*12+MONTH($C$3)-1,YEAR($I366)*12+MONTH($I366))-(YEAR($H366)*12+MONTH($H366))+1))</f>
        <v/>
      </c>
      <c r="N366" s="63">
        <f>IF(OR($J366="",$B366=""),0,IF(YEAR($B366)*12+MONTH($B366)&lt;=YEAR($C$3)*12+MONTH($C$3),$G366,0))</f>
        <v/>
      </c>
      <c r="O366" s="63">
        <f>IF(OR($J366="",$B366=""),0,IF(YEAR($B366)*12+MONTH($B366)&lt;=YEAR($C$3)*12+MONTH($C$3)-1,$G366,0))</f>
        <v/>
      </c>
      <c r="P366" s="63">
        <f>$M366-$O366</f>
        <v/>
      </c>
      <c r="Q366" s="63">
        <f>($L366-$M366)-($N366-$O366)</f>
        <v/>
      </c>
      <c r="R366" s="63">
        <f>$L366-$N366</f>
        <v/>
      </c>
    </row>
    <row r="367">
      <c r="A367" s="60">
        <f>ROW()-5</f>
        <v/>
      </c>
      <c r="B367" s="61">
        <f>IFERROR(INDEX(tbl_Finance[Date],$A367),"")</f>
        <v/>
      </c>
      <c r="C367" s="62">
        <f>IFERROR(INDEX(tbl_Finance[Xero Invoice No],$A367),"")</f>
        <v/>
      </c>
      <c r="D367" s="62">
        <f>IFERROR(INDEX(tbl_Finance[Client],$A367),"")</f>
        <v/>
      </c>
      <c r="E367" s="62">
        <f>IFERROR(INDEX(tbl_Finance[Job Number],$A367),"")</f>
        <v/>
      </c>
      <c r="F367" s="62">
        <f>IFERROR(INDEX(tbl_Finance[Cost Centre],$A367),"")</f>
        <v/>
      </c>
      <c r="G367" s="63">
        <f>IFERROR(INDEX(tbl_Finance[Ex GST],$A367),"")</f>
        <v/>
      </c>
      <c r="H367" s="61">
        <f>IFERROR(INDEX(tbl_Finance[Defer Start],$A367),"")</f>
        <v/>
      </c>
      <c r="I367" s="61">
        <f>IFERROR(INDEX(tbl_Finance[Defer End],$A367),"")</f>
        <v/>
      </c>
      <c r="J367" s="60">
        <f>IF(OR($H367="",$I367="",$G367=""),"",MAX(1,(YEAR($I367)-YEAR($H367))*12+MONTH($I367)-MONTH($H367)+1))</f>
        <v/>
      </c>
      <c r="K367" s="63">
        <f>IF($J367="","",$G367/$J367)</f>
        <v/>
      </c>
      <c r="L367" s="63">
        <f>IF($J367="",0,$K367*MAX(0,MIN(YEAR($C$3)*12+MONTH($C$3),YEAR($I367)*12+MONTH($I367))-(YEAR($H367)*12+MONTH($H367))+1))</f>
        <v/>
      </c>
      <c r="M367" s="63">
        <f>IF($J367="",0,$K367*MAX(0,MIN(YEAR($C$3)*12+MONTH($C$3)-1,YEAR($I367)*12+MONTH($I367))-(YEAR($H367)*12+MONTH($H367))+1))</f>
        <v/>
      </c>
      <c r="N367" s="63">
        <f>IF(OR($J367="",$B367=""),0,IF(YEAR($B367)*12+MONTH($B367)&lt;=YEAR($C$3)*12+MONTH($C$3),$G367,0))</f>
        <v/>
      </c>
      <c r="O367" s="63">
        <f>IF(OR($J367="",$B367=""),0,IF(YEAR($B367)*12+MONTH($B367)&lt;=YEAR($C$3)*12+MONTH($C$3)-1,$G367,0))</f>
        <v/>
      </c>
      <c r="P367" s="63">
        <f>$M367-$O367</f>
        <v/>
      </c>
      <c r="Q367" s="63">
        <f>($L367-$M367)-($N367-$O367)</f>
        <v/>
      </c>
      <c r="R367" s="63">
        <f>$L367-$N367</f>
        <v/>
      </c>
    </row>
    <row r="368">
      <c r="A368" s="60">
        <f>ROW()-5</f>
        <v/>
      </c>
      <c r="B368" s="61">
        <f>IFERROR(INDEX(tbl_Finance[Date],$A368),"")</f>
        <v/>
      </c>
      <c r="C368" s="62">
        <f>IFERROR(INDEX(tbl_Finance[Xero Invoice No],$A368),"")</f>
        <v/>
      </c>
      <c r="D368" s="62">
        <f>IFERROR(INDEX(tbl_Finance[Client],$A368),"")</f>
        <v/>
      </c>
      <c r="E368" s="62">
        <f>IFERROR(INDEX(tbl_Finance[Job Number],$A368),"")</f>
        <v/>
      </c>
      <c r="F368" s="62">
        <f>IFERROR(INDEX(tbl_Finance[Cost Centre],$A368),"")</f>
        <v/>
      </c>
      <c r="G368" s="63">
        <f>IFERROR(INDEX(tbl_Finance[Ex GST],$A368),"")</f>
        <v/>
      </c>
      <c r="H368" s="61">
        <f>IFERROR(INDEX(tbl_Finance[Defer Start],$A368),"")</f>
        <v/>
      </c>
      <c r="I368" s="61">
        <f>IFERROR(INDEX(tbl_Finance[Defer End],$A368),"")</f>
        <v/>
      </c>
      <c r="J368" s="60">
        <f>IF(OR($H368="",$I368="",$G368=""),"",MAX(1,(YEAR($I368)-YEAR($H368))*12+MONTH($I368)-MONTH($H368)+1))</f>
        <v/>
      </c>
      <c r="K368" s="63">
        <f>IF($J368="","",$G368/$J368)</f>
        <v/>
      </c>
      <c r="L368" s="63">
        <f>IF($J368="",0,$K368*MAX(0,MIN(YEAR($C$3)*12+MONTH($C$3),YEAR($I368)*12+MONTH($I368))-(YEAR($H368)*12+MONTH($H368))+1))</f>
        <v/>
      </c>
      <c r="M368" s="63">
        <f>IF($J368="",0,$K368*MAX(0,MIN(YEAR($C$3)*12+MONTH($C$3)-1,YEAR($I368)*12+MONTH($I368))-(YEAR($H368)*12+MONTH($H368))+1))</f>
        <v/>
      </c>
      <c r="N368" s="63">
        <f>IF(OR($J368="",$B368=""),0,IF(YEAR($B368)*12+MONTH($B368)&lt;=YEAR($C$3)*12+MONTH($C$3),$G368,0))</f>
        <v/>
      </c>
      <c r="O368" s="63">
        <f>IF(OR($J368="",$B368=""),0,IF(YEAR($B368)*12+MONTH($B368)&lt;=YEAR($C$3)*12+MONTH($C$3)-1,$G368,0))</f>
        <v/>
      </c>
      <c r="P368" s="63">
        <f>$M368-$O368</f>
        <v/>
      </c>
      <c r="Q368" s="63">
        <f>($L368-$M368)-($N368-$O368)</f>
        <v/>
      </c>
      <c r="R368" s="63">
        <f>$L368-$N368</f>
        <v/>
      </c>
    </row>
    <row r="369">
      <c r="A369" s="60">
        <f>ROW()-5</f>
        <v/>
      </c>
      <c r="B369" s="61">
        <f>IFERROR(INDEX(tbl_Finance[Date],$A369),"")</f>
        <v/>
      </c>
      <c r="C369" s="62">
        <f>IFERROR(INDEX(tbl_Finance[Xero Invoice No],$A369),"")</f>
        <v/>
      </c>
      <c r="D369" s="62">
        <f>IFERROR(INDEX(tbl_Finance[Client],$A369),"")</f>
        <v/>
      </c>
      <c r="E369" s="62">
        <f>IFERROR(INDEX(tbl_Finance[Job Number],$A369),"")</f>
        <v/>
      </c>
      <c r="F369" s="62">
        <f>IFERROR(INDEX(tbl_Finance[Cost Centre],$A369),"")</f>
        <v/>
      </c>
      <c r="G369" s="63">
        <f>IFERROR(INDEX(tbl_Finance[Ex GST],$A369),"")</f>
        <v/>
      </c>
      <c r="H369" s="61">
        <f>IFERROR(INDEX(tbl_Finance[Defer Start],$A369),"")</f>
        <v/>
      </c>
      <c r="I369" s="61">
        <f>IFERROR(INDEX(tbl_Finance[Defer End],$A369),"")</f>
        <v/>
      </c>
      <c r="J369" s="60">
        <f>IF(OR($H369="",$I369="",$G369=""),"",MAX(1,(YEAR($I369)-YEAR($H369))*12+MONTH($I369)-MONTH($H369)+1))</f>
        <v/>
      </c>
      <c r="K369" s="63">
        <f>IF($J369="","",$G369/$J369)</f>
        <v/>
      </c>
      <c r="L369" s="63">
        <f>IF($J369="",0,$K369*MAX(0,MIN(YEAR($C$3)*12+MONTH($C$3),YEAR($I369)*12+MONTH($I369))-(YEAR($H369)*12+MONTH($H369))+1))</f>
        <v/>
      </c>
      <c r="M369" s="63">
        <f>IF($J369="",0,$K369*MAX(0,MIN(YEAR($C$3)*12+MONTH($C$3)-1,YEAR($I369)*12+MONTH($I369))-(YEAR($H369)*12+MONTH($H369))+1))</f>
        <v/>
      </c>
      <c r="N369" s="63">
        <f>IF(OR($J369="",$B369=""),0,IF(YEAR($B369)*12+MONTH($B369)&lt;=YEAR($C$3)*12+MONTH($C$3),$G369,0))</f>
        <v/>
      </c>
      <c r="O369" s="63">
        <f>IF(OR($J369="",$B369=""),0,IF(YEAR($B369)*12+MONTH($B369)&lt;=YEAR($C$3)*12+MONTH($C$3)-1,$G369,0))</f>
        <v/>
      </c>
      <c r="P369" s="63">
        <f>$M369-$O369</f>
        <v/>
      </c>
      <c r="Q369" s="63">
        <f>($L369-$M369)-($N369-$O369)</f>
        <v/>
      </c>
      <c r="R369" s="63">
        <f>$L369-$N369</f>
        <v/>
      </c>
    </row>
    <row r="370">
      <c r="A370" s="60">
        <f>ROW()-5</f>
        <v/>
      </c>
      <c r="B370" s="61">
        <f>IFERROR(INDEX(tbl_Finance[Date],$A370),"")</f>
        <v/>
      </c>
      <c r="C370" s="62">
        <f>IFERROR(INDEX(tbl_Finance[Xero Invoice No],$A370),"")</f>
        <v/>
      </c>
      <c r="D370" s="62">
        <f>IFERROR(INDEX(tbl_Finance[Client],$A370),"")</f>
        <v/>
      </c>
      <c r="E370" s="62">
        <f>IFERROR(INDEX(tbl_Finance[Job Number],$A370),"")</f>
        <v/>
      </c>
      <c r="F370" s="62">
        <f>IFERROR(INDEX(tbl_Finance[Cost Centre],$A370),"")</f>
        <v/>
      </c>
      <c r="G370" s="63">
        <f>IFERROR(INDEX(tbl_Finance[Ex GST],$A370),"")</f>
        <v/>
      </c>
      <c r="H370" s="61">
        <f>IFERROR(INDEX(tbl_Finance[Defer Start],$A370),"")</f>
        <v/>
      </c>
      <c r="I370" s="61">
        <f>IFERROR(INDEX(tbl_Finance[Defer End],$A370),"")</f>
        <v/>
      </c>
      <c r="J370" s="60">
        <f>IF(OR($H370="",$I370="",$G370=""),"",MAX(1,(YEAR($I370)-YEAR($H370))*12+MONTH($I370)-MONTH($H370)+1))</f>
        <v/>
      </c>
      <c r="K370" s="63">
        <f>IF($J370="","",$G370/$J370)</f>
        <v/>
      </c>
      <c r="L370" s="63">
        <f>IF($J370="",0,$K370*MAX(0,MIN(YEAR($C$3)*12+MONTH($C$3),YEAR($I370)*12+MONTH($I370))-(YEAR($H370)*12+MONTH($H370))+1))</f>
        <v/>
      </c>
      <c r="M370" s="63">
        <f>IF($J370="",0,$K370*MAX(0,MIN(YEAR($C$3)*12+MONTH($C$3)-1,YEAR($I370)*12+MONTH($I370))-(YEAR($H370)*12+MONTH($H370))+1))</f>
        <v/>
      </c>
      <c r="N370" s="63">
        <f>IF(OR($J370="",$B370=""),0,IF(YEAR($B370)*12+MONTH($B370)&lt;=YEAR($C$3)*12+MONTH($C$3),$G370,0))</f>
        <v/>
      </c>
      <c r="O370" s="63">
        <f>IF(OR($J370="",$B370=""),0,IF(YEAR($B370)*12+MONTH($B370)&lt;=YEAR($C$3)*12+MONTH($C$3)-1,$G370,0))</f>
        <v/>
      </c>
      <c r="P370" s="63">
        <f>$M370-$O370</f>
        <v/>
      </c>
      <c r="Q370" s="63">
        <f>($L370-$M370)-($N370-$O370)</f>
        <v/>
      </c>
      <c r="R370" s="63">
        <f>$L370-$N370</f>
        <v/>
      </c>
    </row>
    <row r="371">
      <c r="A371" s="60">
        <f>ROW()-5</f>
        <v/>
      </c>
      <c r="B371" s="61">
        <f>IFERROR(INDEX(tbl_Finance[Date],$A371),"")</f>
        <v/>
      </c>
      <c r="C371" s="62">
        <f>IFERROR(INDEX(tbl_Finance[Xero Invoice No],$A371),"")</f>
        <v/>
      </c>
      <c r="D371" s="62">
        <f>IFERROR(INDEX(tbl_Finance[Client],$A371),"")</f>
        <v/>
      </c>
      <c r="E371" s="62">
        <f>IFERROR(INDEX(tbl_Finance[Job Number],$A371),"")</f>
        <v/>
      </c>
      <c r="F371" s="62">
        <f>IFERROR(INDEX(tbl_Finance[Cost Centre],$A371),"")</f>
        <v/>
      </c>
      <c r="G371" s="63">
        <f>IFERROR(INDEX(tbl_Finance[Ex GST],$A371),"")</f>
        <v/>
      </c>
      <c r="H371" s="61">
        <f>IFERROR(INDEX(tbl_Finance[Defer Start],$A371),"")</f>
        <v/>
      </c>
      <c r="I371" s="61">
        <f>IFERROR(INDEX(tbl_Finance[Defer End],$A371),"")</f>
        <v/>
      </c>
      <c r="J371" s="60">
        <f>IF(OR($H371="",$I371="",$G371=""),"",MAX(1,(YEAR($I371)-YEAR($H371))*12+MONTH($I371)-MONTH($H371)+1))</f>
        <v/>
      </c>
      <c r="K371" s="63">
        <f>IF($J371="","",$G371/$J371)</f>
        <v/>
      </c>
      <c r="L371" s="63">
        <f>IF($J371="",0,$K371*MAX(0,MIN(YEAR($C$3)*12+MONTH($C$3),YEAR($I371)*12+MONTH($I371))-(YEAR($H371)*12+MONTH($H371))+1))</f>
        <v/>
      </c>
      <c r="M371" s="63">
        <f>IF($J371="",0,$K371*MAX(0,MIN(YEAR($C$3)*12+MONTH($C$3)-1,YEAR($I371)*12+MONTH($I371))-(YEAR($H371)*12+MONTH($H371))+1))</f>
        <v/>
      </c>
      <c r="N371" s="63">
        <f>IF(OR($J371="",$B371=""),0,IF(YEAR($B371)*12+MONTH($B371)&lt;=YEAR($C$3)*12+MONTH($C$3),$G371,0))</f>
        <v/>
      </c>
      <c r="O371" s="63">
        <f>IF(OR($J371="",$B371=""),0,IF(YEAR($B371)*12+MONTH($B371)&lt;=YEAR($C$3)*12+MONTH($C$3)-1,$G371,0))</f>
        <v/>
      </c>
      <c r="P371" s="63">
        <f>$M371-$O371</f>
        <v/>
      </c>
      <c r="Q371" s="63">
        <f>($L371-$M371)-($N371-$O371)</f>
        <v/>
      </c>
      <c r="R371" s="63">
        <f>$L371-$N371</f>
        <v/>
      </c>
    </row>
    <row r="372">
      <c r="A372" s="60">
        <f>ROW()-5</f>
        <v/>
      </c>
      <c r="B372" s="61">
        <f>IFERROR(INDEX(tbl_Finance[Date],$A372),"")</f>
        <v/>
      </c>
      <c r="C372" s="62">
        <f>IFERROR(INDEX(tbl_Finance[Xero Invoice No],$A372),"")</f>
        <v/>
      </c>
      <c r="D372" s="62">
        <f>IFERROR(INDEX(tbl_Finance[Client],$A372),"")</f>
        <v/>
      </c>
      <c r="E372" s="62">
        <f>IFERROR(INDEX(tbl_Finance[Job Number],$A372),"")</f>
        <v/>
      </c>
      <c r="F372" s="62">
        <f>IFERROR(INDEX(tbl_Finance[Cost Centre],$A372),"")</f>
        <v/>
      </c>
      <c r="G372" s="63">
        <f>IFERROR(INDEX(tbl_Finance[Ex GST],$A372),"")</f>
        <v/>
      </c>
      <c r="H372" s="61">
        <f>IFERROR(INDEX(tbl_Finance[Defer Start],$A372),"")</f>
        <v/>
      </c>
      <c r="I372" s="61">
        <f>IFERROR(INDEX(tbl_Finance[Defer End],$A372),"")</f>
        <v/>
      </c>
      <c r="J372" s="60">
        <f>IF(OR($H372="",$I372="",$G372=""),"",MAX(1,(YEAR($I372)-YEAR($H372))*12+MONTH($I372)-MONTH($H372)+1))</f>
        <v/>
      </c>
      <c r="K372" s="63">
        <f>IF($J372="","",$G372/$J372)</f>
        <v/>
      </c>
      <c r="L372" s="63">
        <f>IF($J372="",0,$K372*MAX(0,MIN(YEAR($C$3)*12+MONTH($C$3),YEAR($I372)*12+MONTH($I372))-(YEAR($H372)*12+MONTH($H372))+1))</f>
        <v/>
      </c>
      <c r="M372" s="63">
        <f>IF($J372="",0,$K372*MAX(0,MIN(YEAR($C$3)*12+MONTH($C$3)-1,YEAR($I372)*12+MONTH($I372))-(YEAR($H372)*12+MONTH($H372))+1))</f>
        <v/>
      </c>
      <c r="N372" s="63">
        <f>IF(OR($J372="",$B372=""),0,IF(YEAR($B372)*12+MONTH($B372)&lt;=YEAR($C$3)*12+MONTH($C$3),$G372,0))</f>
        <v/>
      </c>
      <c r="O372" s="63">
        <f>IF(OR($J372="",$B372=""),0,IF(YEAR($B372)*12+MONTH($B372)&lt;=YEAR($C$3)*12+MONTH($C$3)-1,$G372,0))</f>
        <v/>
      </c>
      <c r="P372" s="63">
        <f>$M372-$O372</f>
        <v/>
      </c>
      <c r="Q372" s="63">
        <f>($L372-$M372)-($N372-$O372)</f>
        <v/>
      </c>
      <c r="R372" s="63">
        <f>$L372-$N372</f>
        <v/>
      </c>
    </row>
    <row r="373">
      <c r="A373" s="60">
        <f>ROW()-5</f>
        <v/>
      </c>
      <c r="B373" s="61">
        <f>IFERROR(INDEX(tbl_Finance[Date],$A373),"")</f>
        <v/>
      </c>
      <c r="C373" s="62">
        <f>IFERROR(INDEX(tbl_Finance[Xero Invoice No],$A373),"")</f>
        <v/>
      </c>
      <c r="D373" s="62">
        <f>IFERROR(INDEX(tbl_Finance[Client],$A373),"")</f>
        <v/>
      </c>
      <c r="E373" s="62">
        <f>IFERROR(INDEX(tbl_Finance[Job Number],$A373),"")</f>
        <v/>
      </c>
      <c r="F373" s="62">
        <f>IFERROR(INDEX(tbl_Finance[Cost Centre],$A373),"")</f>
        <v/>
      </c>
      <c r="G373" s="63">
        <f>IFERROR(INDEX(tbl_Finance[Ex GST],$A373),"")</f>
        <v/>
      </c>
      <c r="H373" s="61">
        <f>IFERROR(INDEX(tbl_Finance[Defer Start],$A373),"")</f>
        <v/>
      </c>
      <c r="I373" s="61">
        <f>IFERROR(INDEX(tbl_Finance[Defer End],$A373),"")</f>
        <v/>
      </c>
      <c r="J373" s="60">
        <f>IF(OR($H373="",$I373="",$G373=""),"",MAX(1,(YEAR($I373)-YEAR($H373))*12+MONTH($I373)-MONTH($H373)+1))</f>
        <v/>
      </c>
      <c r="K373" s="63">
        <f>IF($J373="","",$G373/$J373)</f>
        <v/>
      </c>
      <c r="L373" s="63">
        <f>IF($J373="",0,$K373*MAX(0,MIN(YEAR($C$3)*12+MONTH($C$3),YEAR($I373)*12+MONTH($I373))-(YEAR($H373)*12+MONTH($H373))+1))</f>
        <v/>
      </c>
      <c r="M373" s="63">
        <f>IF($J373="",0,$K373*MAX(0,MIN(YEAR($C$3)*12+MONTH($C$3)-1,YEAR($I373)*12+MONTH($I373))-(YEAR($H373)*12+MONTH($H373))+1))</f>
        <v/>
      </c>
      <c r="N373" s="63">
        <f>IF(OR($J373="",$B373=""),0,IF(YEAR($B373)*12+MONTH($B373)&lt;=YEAR($C$3)*12+MONTH($C$3),$G373,0))</f>
        <v/>
      </c>
      <c r="O373" s="63">
        <f>IF(OR($J373="",$B373=""),0,IF(YEAR($B373)*12+MONTH($B373)&lt;=YEAR($C$3)*12+MONTH($C$3)-1,$G373,0))</f>
        <v/>
      </c>
      <c r="P373" s="63">
        <f>$M373-$O373</f>
        <v/>
      </c>
      <c r="Q373" s="63">
        <f>($L373-$M373)-($N373-$O373)</f>
        <v/>
      </c>
      <c r="R373" s="63">
        <f>$L373-$N373</f>
        <v/>
      </c>
    </row>
    <row r="374">
      <c r="A374" s="60">
        <f>ROW()-5</f>
        <v/>
      </c>
      <c r="B374" s="61">
        <f>IFERROR(INDEX(tbl_Finance[Date],$A374),"")</f>
        <v/>
      </c>
      <c r="C374" s="62">
        <f>IFERROR(INDEX(tbl_Finance[Xero Invoice No],$A374),"")</f>
        <v/>
      </c>
      <c r="D374" s="62">
        <f>IFERROR(INDEX(tbl_Finance[Client],$A374),"")</f>
        <v/>
      </c>
      <c r="E374" s="62">
        <f>IFERROR(INDEX(tbl_Finance[Job Number],$A374),"")</f>
        <v/>
      </c>
      <c r="F374" s="62">
        <f>IFERROR(INDEX(tbl_Finance[Cost Centre],$A374),"")</f>
        <v/>
      </c>
      <c r="G374" s="63">
        <f>IFERROR(INDEX(tbl_Finance[Ex GST],$A374),"")</f>
        <v/>
      </c>
      <c r="H374" s="61">
        <f>IFERROR(INDEX(tbl_Finance[Defer Start],$A374),"")</f>
        <v/>
      </c>
      <c r="I374" s="61">
        <f>IFERROR(INDEX(tbl_Finance[Defer End],$A374),"")</f>
        <v/>
      </c>
      <c r="J374" s="60">
        <f>IF(OR($H374="",$I374="",$G374=""),"",MAX(1,(YEAR($I374)-YEAR($H374))*12+MONTH($I374)-MONTH($H374)+1))</f>
        <v/>
      </c>
      <c r="K374" s="63">
        <f>IF($J374="","",$G374/$J374)</f>
        <v/>
      </c>
      <c r="L374" s="63">
        <f>IF($J374="",0,$K374*MAX(0,MIN(YEAR($C$3)*12+MONTH($C$3),YEAR($I374)*12+MONTH($I374))-(YEAR($H374)*12+MONTH($H374))+1))</f>
        <v/>
      </c>
      <c r="M374" s="63">
        <f>IF($J374="",0,$K374*MAX(0,MIN(YEAR($C$3)*12+MONTH($C$3)-1,YEAR($I374)*12+MONTH($I374))-(YEAR($H374)*12+MONTH($H374))+1))</f>
        <v/>
      </c>
      <c r="N374" s="63">
        <f>IF(OR($J374="",$B374=""),0,IF(YEAR($B374)*12+MONTH($B374)&lt;=YEAR($C$3)*12+MONTH($C$3),$G374,0))</f>
        <v/>
      </c>
      <c r="O374" s="63">
        <f>IF(OR($J374="",$B374=""),0,IF(YEAR($B374)*12+MONTH($B374)&lt;=YEAR($C$3)*12+MONTH($C$3)-1,$G374,0))</f>
        <v/>
      </c>
      <c r="P374" s="63">
        <f>$M374-$O374</f>
        <v/>
      </c>
      <c r="Q374" s="63">
        <f>($L374-$M374)-($N374-$O374)</f>
        <v/>
      </c>
      <c r="R374" s="63">
        <f>$L374-$N374</f>
        <v/>
      </c>
    </row>
    <row r="375">
      <c r="A375" s="60">
        <f>ROW()-5</f>
        <v/>
      </c>
      <c r="B375" s="61">
        <f>IFERROR(INDEX(tbl_Finance[Date],$A375),"")</f>
        <v/>
      </c>
      <c r="C375" s="62">
        <f>IFERROR(INDEX(tbl_Finance[Xero Invoice No],$A375),"")</f>
        <v/>
      </c>
      <c r="D375" s="62">
        <f>IFERROR(INDEX(tbl_Finance[Client],$A375),"")</f>
        <v/>
      </c>
      <c r="E375" s="62">
        <f>IFERROR(INDEX(tbl_Finance[Job Number],$A375),"")</f>
        <v/>
      </c>
      <c r="F375" s="62">
        <f>IFERROR(INDEX(tbl_Finance[Cost Centre],$A375),"")</f>
        <v/>
      </c>
      <c r="G375" s="63">
        <f>IFERROR(INDEX(tbl_Finance[Ex GST],$A375),"")</f>
        <v/>
      </c>
      <c r="H375" s="61">
        <f>IFERROR(INDEX(tbl_Finance[Defer Start],$A375),"")</f>
        <v/>
      </c>
      <c r="I375" s="61">
        <f>IFERROR(INDEX(tbl_Finance[Defer End],$A375),"")</f>
        <v/>
      </c>
      <c r="J375" s="60">
        <f>IF(OR($H375="",$I375="",$G375=""),"",MAX(1,(YEAR($I375)-YEAR($H375))*12+MONTH($I375)-MONTH($H375)+1))</f>
        <v/>
      </c>
      <c r="K375" s="63">
        <f>IF($J375="","",$G375/$J375)</f>
        <v/>
      </c>
      <c r="L375" s="63">
        <f>IF($J375="",0,$K375*MAX(0,MIN(YEAR($C$3)*12+MONTH($C$3),YEAR($I375)*12+MONTH($I375))-(YEAR($H375)*12+MONTH($H375))+1))</f>
        <v/>
      </c>
      <c r="M375" s="63">
        <f>IF($J375="",0,$K375*MAX(0,MIN(YEAR($C$3)*12+MONTH($C$3)-1,YEAR($I375)*12+MONTH($I375))-(YEAR($H375)*12+MONTH($H375))+1))</f>
        <v/>
      </c>
      <c r="N375" s="63">
        <f>IF(OR($J375="",$B375=""),0,IF(YEAR($B375)*12+MONTH($B375)&lt;=YEAR($C$3)*12+MONTH($C$3),$G375,0))</f>
        <v/>
      </c>
      <c r="O375" s="63">
        <f>IF(OR($J375="",$B375=""),0,IF(YEAR($B375)*12+MONTH($B375)&lt;=YEAR($C$3)*12+MONTH($C$3)-1,$G375,0))</f>
        <v/>
      </c>
      <c r="P375" s="63">
        <f>$M375-$O375</f>
        <v/>
      </c>
      <c r="Q375" s="63">
        <f>($L375-$M375)-($N375-$O375)</f>
        <v/>
      </c>
      <c r="R375" s="63">
        <f>$L375-$N375</f>
        <v/>
      </c>
    </row>
    <row r="376">
      <c r="A376" s="60">
        <f>ROW()-5</f>
        <v/>
      </c>
      <c r="B376" s="61">
        <f>IFERROR(INDEX(tbl_Finance[Date],$A376),"")</f>
        <v/>
      </c>
      <c r="C376" s="62">
        <f>IFERROR(INDEX(tbl_Finance[Xero Invoice No],$A376),"")</f>
        <v/>
      </c>
      <c r="D376" s="62">
        <f>IFERROR(INDEX(tbl_Finance[Client],$A376),"")</f>
        <v/>
      </c>
      <c r="E376" s="62">
        <f>IFERROR(INDEX(tbl_Finance[Job Number],$A376),"")</f>
        <v/>
      </c>
      <c r="F376" s="62">
        <f>IFERROR(INDEX(tbl_Finance[Cost Centre],$A376),"")</f>
        <v/>
      </c>
      <c r="G376" s="63">
        <f>IFERROR(INDEX(tbl_Finance[Ex GST],$A376),"")</f>
        <v/>
      </c>
      <c r="H376" s="61">
        <f>IFERROR(INDEX(tbl_Finance[Defer Start],$A376),"")</f>
        <v/>
      </c>
      <c r="I376" s="61">
        <f>IFERROR(INDEX(tbl_Finance[Defer End],$A376),"")</f>
        <v/>
      </c>
      <c r="J376" s="60">
        <f>IF(OR($H376="",$I376="",$G376=""),"",MAX(1,(YEAR($I376)-YEAR($H376))*12+MONTH($I376)-MONTH($H376)+1))</f>
        <v/>
      </c>
      <c r="K376" s="63">
        <f>IF($J376="","",$G376/$J376)</f>
        <v/>
      </c>
      <c r="L376" s="63">
        <f>IF($J376="",0,$K376*MAX(0,MIN(YEAR($C$3)*12+MONTH($C$3),YEAR($I376)*12+MONTH($I376))-(YEAR($H376)*12+MONTH($H376))+1))</f>
        <v/>
      </c>
      <c r="M376" s="63">
        <f>IF($J376="",0,$K376*MAX(0,MIN(YEAR($C$3)*12+MONTH($C$3)-1,YEAR($I376)*12+MONTH($I376))-(YEAR($H376)*12+MONTH($H376))+1))</f>
        <v/>
      </c>
      <c r="N376" s="63">
        <f>IF(OR($J376="",$B376=""),0,IF(YEAR($B376)*12+MONTH($B376)&lt;=YEAR($C$3)*12+MONTH($C$3),$G376,0))</f>
        <v/>
      </c>
      <c r="O376" s="63">
        <f>IF(OR($J376="",$B376=""),0,IF(YEAR($B376)*12+MONTH($B376)&lt;=YEAR($C$3)*12+MONTH($C$3)-1,$G376,0))</f>
        <v/>
      </c>
      <c r="P376" s="63">
        <f>$M376-$O376</f>
        <v/>
      </c>
      <c r="Q376" s="63">
        <f>($L376-$M376)-($N376-$O376)</f>
        <v/>
      </c>
      <c r="R376" s="63">
        <f>$L376-$N376</f>
        <v/>
      </c>
    </row>
    <row r="377">
      <c r="A377" s="60">
        <f>ROW()-5</f>
        <v/>
      </c>
      <c r="B377" s="61">
        <f>IFERROR(INDEX(tbl_Finance[Date],$A377),"")</f>
        <v/>
      </c>
      <c r="C377" s="62">
        <f>IFERROR(INDEX(tbl_Finance[Xero Invoice No],$A377),"")</f>
        <v/>
      </c>
      <c r="D377" s="62">
        <f>IFERROR(INDEX(tbl_Finance[Client],$A377),"")</f>
        <v/>
      </c>
      <c r="E377" s="62">
        <f>IFERROR(INDEX(tbl_Finance[Job Number],$A377),"")</f>
        <v/>
      </c>
      <c r="F377" s="62">
        <f>IFERROR(INDEX(tbl_Finance[Cost Centre],$A377),"")</f>
        <v/>
      </c>
      <c r="G377" s="63">
        <f>IFERROR(INDEX(tbl_Finance[Ex GST],$A377),"")</f>
        <v/>
      </c>
      <c r="H377" s="61">
        <f>IFERROR(INDEX(tbl_Finance[Defer Start],$A377),"")</f>
        <v/>
      </c>
      <c r="I377" s="61">
        <f>IFERROR(INDEX(tbl_Finance[Defer End],$A377),"")</f>
        <v/>
      </c>
      <c r="J377" s="60">
        <f>IF(OR($H377="",$I377="",$G377=""),"",MAX(1,(YEAR($I377)-YEAR($H377))*12+MONTH($I377)-MONTH($H377)+1))</f>
        <v/>
      </c>
      <c r="K377" s="63">
        <f>IF($J377="","",$G377/$J377)</f>
        <v/>
      </c>
      <c r="L377" s="63">
        <f>IF($J377="",0,$K377*MAX(0,MIN(YEAR($C$3)*12+MONTH($C$3),YEAR($I377)*12+MONTH($I377))-(YEAR($H377)*12+MONTH($H377))+1))</f>
        <v/>
      </c>
      <c r="M377" s="63">
        <f>IF($J377="",0,$K377*MAX(0,MIN(YEAR($C$3)*12+MONTH($C$3)-1,YEAR($I377)*12+MONTH($I377))-(YEAR($H377)*12+MONTH($H377))+1))</f>
        <v/>
      </c>
      <c r="N377" s="63">
        <f>IF(OR($J377="",$B377=""),0,IF(YEAR($B377)*12+MONTH($B377)&lt;=YEAR($C$3)*12+MONTH($C$3),$G377,0))</f>
        <v/>
      </c>
      <c r="O377" s="63">
        <f>IF(OR($J377="",$B377=""),0,IF(YEAR($B377)*12+MONTH($B377)&lt;=YEAR($C$3)*12+MONTH($C$3)-1,$G377,0))</f>
        <v/>
      </c>
      <c r="P377" s="63">
        <f>$M377-$O377</f>
        <v/>
      </c>
      <c r="Q377" s="63">
        <f>($L377-$M377)-($N377-$O377)</f>
        <v/>
      </c>
      <c r="R377" s="63">
        <f>$L377-$N377</f>
        <v/>
      </c>
    </row>
    <row r="378">
      <c r="A378" s="60">
        <f>ROW()-5</f>
        <v/>
      </c>
      <c r="B378" s="61">
        <f>IFERROR(INDEX(tbl_Finance[Date],$A378),"")</f>
        <v/>
      </c>
      <c r="C378" s="62">
        <f>IFERROR(INDEX(tbl_Finance[Xero Invoice No],$A378),"")</f>
        <v/>
      </c>
      <c r="D378" s="62">
        <f>IFERROR(INDEX(tbl_Finance[Client],$A378),"")</f>
        <v/>
      </c>
      <c r="E378" s="62">
        <f>IFERROR(INDEX(tbl_Finance[Job Number],$A378),"")</f>
        <v/>
      </c>
      <c r="F378" s="62">
        <f>IFERROR(INDEX(tbl_Finance[Cost Centre],$A378),"")</f>
        <v/>
      </c>
      <c r="G378" s="63">
        <f>IFERROR(INDEX(tbl_Finance[Ex GST],$A378),"")</f>
        <v/>
      </c>
      <c r="H378" s="61">
        <f>IFERROR(INDEX(tbl_Finance[Defer Start],$A378),"")</f>
        <v/>
      </c>
      <c r="I378" s="61">
        <f>IFERROR(INDEX(tbl_Finance[Defer End],$A378),"")</f>
        <v/>
      </c>
      <c r="J378" s="60">
        <f>IF(OR($H378="",$I378="",$G378=""),"",MAX(1,(YEAR($I378)-YEAR($H378))*12+MONTH($I378)-MONTH($H378)+1))</f>
        <v/>
      </c>
      <c r="K378" s="63">
        <f>IF($J378="","",$G378/$J378)</f>
        <v/>
      </c>
      <c r="L378" s="63">
        <f>IF($J378="",0,$K378*MAX(0,MIN(YEAR($C$3)*12+MONTH($C$3),YEAR($I378)*12+MONTH($I378))-(YEAR($H378)*12+MONTH($H378))+1))</f>
        <v/>
      </c>
      <c r="M378" s="63">
        <f>IF($J378="",0,$K378*MAX(0,MIN(YEAR($C$3)*12+MONTH($C$3)-1,YEAR($I378)*12+MONTH($I378))-(YEAR($H378)*12+MONTH($H378))+1))</f>
        <v/>
      </c>
      <c r="N378" s="63">
        <f>IF(OR($J378="",$B378=""),0,IF(YEAR($B378)*12+MONTH($B378)&lt;=YEAR($C$3)*12+MONTH($C$3),$G378,0))</f>
        <v/>
      </c>
      <c r="O378" s="63">
        <f>IF(OR($J378="",$B378=""),0,IF(YEAR($B378)*12+MONTH($B378)&lt;=YEAR($C$3)*12+MONTH($C$3)-1,$G378,0))</f>
        <v/>
      </c>
      <c r="P378" s="63">
        <f>$M378-$O378</f>
        <v/>
      </c>
      <c r="Q378" s="63">
        <f>($L378-$M378)-($N378-$O378)</f>
        <v/>
      </c>
      <c r="R378" s="63">
        <f>$L378-$N378</f>
        <v/>
      </c>
    </row>
    <row r="379">
      <c r="A379" s="60">
        <f>ROW()-5</f>
        <v/>
      </c>
      <c r="B379" s="61">
        <f>IFERROR(INDEX(tbl_Finance[Date],$A379),"")</f>
        <v/>
      </c>
      <c r="C379" s="62">
        <f>IFERROR(INDEX(tbl_Finance[Xero Invoice No],$A379),"")</f>
        <v/>
      </c>
      <c r="D379" s="62">
        <f>IFERROR(INDEX(tbl_Finance[Client],$A379),"")</f>
        <v/>
      </c>
      <c r="E379" s="62">
        <f>IFERROR(INDEX(tbl_Finance[Job Number],$A379),"")</f>
        <v/>
      </c>
      <c r="F379" s="62">
        <f>IFERROR(INDEX(tbl_Finance[Cost Centre],$A379),"")</f>
        <v/>
      </c>
      <c r="G379" s="63">
        <f>IFERROR(INDEX(tbl_Finance[Ex GST],$A379),"")</f>
        <v/>
      </c>
      <c r="H379" s="61">
        <f>IFERROR(INDEX(tbl_Finance[Defer Start],$A379),"")</f>
        <v/>
      </c>
      <c r="I379" s="61">
        <f>IFERROR(INDEX(tbl_Finance[Defer End],$A379),"")</f>
        <v/>
      </c>
      <c r="J379" s="60">
        <f>IF(OR($H379="",$I379="",$G379=""),"",MAX(1,(YEAR($I379)-YEAR($H379))*12+MONTH($I379)-MONTH($H379)+1))</f>
        <v/>
      </c>
      <c r="K379" s="63">
        <f>IF($J379="","",$G379/$J379)</f>
        <v/>
      </c>
      <c r="L379" s="63">
        <f>IF($J379="",0,$K379*MAX(0,MIN(YEAR($C$3)*12+MONTH($C$3),YEAR($I379)*12+MONTH($I379))-(YEAR($H379)*12+MONTH($H379))+1))</f>
        <v/>
      </c>
      <c r="M379" s="63">
        <f>IF($J379="",0,$K379*MAX(0,MIN(YEAR($C$3)*12+MONTH($C$3)-1,YEAR($I379)*12+MONTH($I379))-(YEAR($H379)*12+MONTH($H379))+1))</f>
        <v/>
      </c>
      <c r="N379" s="63">
        <f>IF(OR($J379="",$B379=""),0,IF(YEAR($B379)*12+MONTH($B379)&lt;=YEAR($C$3)*12+MONTH($C$3),$G379,0))</f>
        <v/>
      </c>
      <c r="O379" s="63">
        <f>IF(OR($J379="",$B379=""),0,IF(YEAR($B379)*12+MONTH($B379)&lt;=YEAR($C$3)*12+MONTH($C$3)-1,$G379,0))</f>
        <v/>
      </c>
      <c r="P379" s="63">
        <f>$M379-$O379</f>
        <v/>
      </c>
      <c r="Q379" s="63">
        <f>($L379-$M379)-($N379-$O379)</f>
        <v/>
      </c>
      <c r="R379" s="63">
        <f>$L379-$N379</f>
        <v/>
      </c>
    </row>
    <row r="380">
      <c r="A380" s="60">
        <f>ROW()-5</f>
        <v/>
      </c>
      <c r="B380" s="61">
        <f>IFERROR(INDEX(tbl_Finance[Date],$A380),"")</f>
        <v/>
      </c>
      <c r="C380" s="62">
        <f>IFERROR(INDEX(tbl_Finance[Xero Invoice No],$A380),"")</f>
        <v/>
      </c>
      <c r="D380" s="62">
        <f>IFERROR(INDEX(tbl_Finance[Client],$A380),"")</f>
        <v/>
      </c>
      <c r="E380" s="62">
        <f>IFERROR(INDEX(tbl_Finance[Job Number],$A380),"")</f>
        <v/>
      </c>
      <c r="F380" s="62">
        <f>IFERROR(INDEX(tbl_Finance[Cost Centre],$A380),"")</f>
        <v/>
      </c>
      <c r="G380" s="63">
        <f>IFERROR(INDEX(tbl_Finance[Ex GST],$A380),"")</f>
        <v/>
      </c>
      <c r="H380" s="61">
        <f>IFERROR(INDEX(tbl_Finance[Defer Start],$A380),"")</f>
        <v/>
      </c>
      <c r="I380" s="61">
        <f>IFERROR(INDEX(tbl_Finance[Defer End],$A380),"")</f>
        <v/>
      </c>
      <c r="J380" s="60">
        <f>IF(OR($H380="",$I380="",$G380=""),"",MAX(1,(YEAR($I380)-YEAR($H380))*12+MONTH($I380)-MONTH($H380)+1))</f>
        <v/>
      </c>
      <c r="K380" s="63">
        <f>IF($J380="","",$G380/$J380)</f>
        <v/>
      </c>
      <c r="L380" s="63">
        <f>IF($J380="",0,$K380*MAX(0,MIN(YEAR($C$3)*12+MONTH($C$3),YEAR($I380)*12+MONTH($I380))-(YEAR($H380)*12+MONTH($H380))+1))</f>
        <v/>
      </c>
      <c r="M380" s="63">
        <f>IF($J380="",0,$K380*MAX(0,MIN(YEAR($C$3)*12+MONTH($C$3)-1,YEAR($I380)*12+MONTH($I380))-(YEAR($H380)*12+MONTH($H380))+1))</f>
        <v/>
      </c>
      <c r="N380" s="63">
        <f>IF(OR($J380="",$B380=""),0,IF(YEAR($B380)*12+MONTH($B380)&lt;=YEAR($C$3)*12+MONTH($C$3),$G380,0))</f>
        <v/>
      </c>
      <c r="O380" s="63">
        <f>IF(OR($J380="",$B380=""),0,IF(YEAR($B380)*12+MONTH($B380)&lt;=YEAR($C$3)*12+MONTH($C$3)-1,$G380,0))</f>
        <v/>
      </c>
      <c r="P380" s="63">
        <f>$M380-$O380</f>
        <v/>
      </c>
      <c r="Q380" s="63">
        <f>($L380-$M380)-($N380-$O380)</f>
        <v/>
      </c>
      <c r="R380" s="63">
        <f>$L380-$N380</f>
        <v/>
      </c>
    </row>
    <row r="381">
      <c r="A381" s="60">
        <f>ROW()-5</f>
        <v/>
      </c>
      <c r="B381" s="61">
        <f>IFERROR(INDEX(tbl_Finance[Date],$A381),"")</f>
        <v/>
      </c>
      <c r="C381" s="62">
        <f>IFERROR(INDEX(tbl_Finance[Xero Invoice No],$A381),"")</f>
        <v/>
      </c>
      <c r="D381" s="62">
        <f>IFERROR(INDEX(tbl_Finance[Client],$A381),"")</f>
        <v/>
      </c>
      <c r="E381" s="62">
        <f>IFERROR(INDEX(tbl_Finance[Job Number],$A381),"")</f>
        <v/>
      </c>
      <c r="F381" s="62">
        <f>IFERROR(INDEX(tbl_Finance[Cost Centre],$A381),"")</f>
        <v/>
      </c>
      <c r="G381" s="63">
        <f>IFERROR(INDEX(tbl_Finance[Ex GST],$A381),"")</f>
        <v/>
      </c>
      <c r="H381" s="61">
        <f>IFERROR(INDEX(tbl_Finance[Defer Start],$A381),"")</f>
        <v/>
      </c>
      <c r="I381" s="61">
        <f>IFERROR(INDEX(tbl_Finance[Defer End],$A381),"")</f>
        <v/>
      </c>
      <c r="J381" s="60">
        <f>IF(OR($H381="",$I381="",$G381=""),"",MAX(1,(YEAR($I381)-YEAR($H381))*12+MONTH($I381)-MONTH($H381)+1))</f>
        <v/>
      </c>
      <c r="K381" s="63">
        <f>IF($J381="","",$G381/$J381)</f>
        <v/>
      </c>
      <c r="L381" s="63">
        <f>IF($J381="",0,$K381*MAX(0,MIN(YEAR($C$3)*12+MONTH($C$3),YEAR($I381)*12+MONTH($I381))-(YEAR($H381)*12+MONTH($H381))+1))</f>
        <v/>
      </c>
      <c r="M381" s="63">
        <f>IF($J381="",0,$K381*MAX(0,MIN(YEAR($C$3)*12+MONTH($C$3)-1,YEAR($I381)*12+MONTH($I381))-(YEAR($H381)*12+MONTH($H381))+1))</f>
        <v/>
      </c>
      <c r="N381" s="63">
        <f>IF(OR($J381="",$B381=""),0,IF(YEAR($B381)*12+MONTH($B381)&lt;=YEAR($C$3)*12+MONTH($C$3),$G381,0))</f>
        <v/>
      </c>
      <c r="O381" s="63">
        <f>IF(OR($J381="",$B381=""),0,IF(YEAR($B381)*12+MONTH($B381)&lt;=YEAR($C$3)*12+MONTH($C$3)-1,$G381,0))</f>
        <v/>
      </c>
      <c r="P381" s="63">
        <f>$M381-$O381</f>
        <v/>
      </c>
      <c r="Q381" s="63">
        <f>($L381-$M381)-($N381-$O381)</f>
        <v/>
      </c>
      <c r="R381" s="63">
        <f>$L381-$N381</f>
        <v/>
      </c>
    </row>
    <row r="382">
      <c r="A382" s="60">
        <f>ROW()-5</f>
        <v/>
      </c>
      <c r="B382" s="61">
        <f>IFERROR(INDEX(tbl_Finance[Date],$A382),"")</f>
        <v/>
      </c>
      <c r="C382" s="62">
        <f>IFERROR(INDEX(tbl_Finance[Xero Invoice No],$A382),"")</f>
        <v/>
      </c>
      <c r="D382" s="62">
        <f>IFERROR(INDEX(tbl_Finance[Client],$A382),"")</f>
        <v/>
      </c>
      <c r="E382" s="62">
        <f>IFERROR(INDEX(tbl_Finance[Job Number],$A382),"")</f>
        <v/>
      </c>
      <c r="F382" s="62">
        <f>IFERROR(INDEX(tbl_Finance[Cost Centre],$A382),"")</f>
        <v/>
      </c>
      <c r="G382" s="63">
        <f>IFERROR(INDEX(tbl_Finance[Ex GST],$A382),"")</f>
        <v/>
      </c>
      <c r="H382" s="61">
        <f>IFERROR(INDEX(tbl_Finance[Defer Start],$A382),"")</f>
        <v/>
      </c>
      <c r="I382" s="61">
        <f>IFERROR(INDEX(tbl_Finance[Defer End],$A382),"")</f>
        <v/>
      </c>
      <c r="J382" s="60">
        <f>IF(OR($H382="",$I382="",$G382=""),"",MAX(1,(YEAR($I382)-YEAR($H382))*12+MONTH($I382)-MONTH($H382)+1))</f>
        <v/>
      </c>
      <c r="K382" s="63">
        <f>IF($J382="","",$G382/$J382)</f>
        <v/>
      </c>
      <c r="L382" s="63">
        <f>IF($J382="",0,$K382*MAX(0,MIN(YEAR($C$3)*12+MONTH($C$3),YEAR($I382)*12+MONTH($I382))-(YEAR($H382)*12+MONTH($H382))+1))</f>
        <v/>
      </c>
      <c r="M382" s="63">
        <f>IF($J382="",0,$K382*MAX(0,MIN(YEAR($C$3)*12+MONTH($C$3)-1,YEAR($I382)*12+MONTH($I382))-(YEAR($H382)*12+MONTH($H382))+1))</f>
        <v/>
      </c>
      <c r="N382" s="63">
        <f>IF(OR($J382="",$B382=""),0,IF(YEAR($B382)*12+MONTH($B382)&lt;=YEAR($C$3)*12+MONTH($C$3),$G382,0))</f>
        <v/>
      </c>
      <c r="O382" s="63">
        <f>IF(OR($J382="",$B382=""),0,IF(YEAR($B382)*12+MONTH($B382)&lt;=YEAR($C$3)*12+MONTH($C$3)-1,$G382,0))</f>
        <v/>
      </c>
      <c r="P382" s="63">
        <f>$M382-$O382</f>
        <v/>
      </c>
      <c r="Q382" s="63">
        <f>($L382-$M382)-($N382-$O382)</f>
        <v/>
      </c>
      <c r="R382" s="63">
        <f>$L382-$N382</f>
        <v/>
      </c>
    </row>
    <row r="383">
      <c r="A383" s="60">
        <f>ROW()-5</f>
        <v/>
      </c>
      <c r="B383" s="61">
        <f>IFERROR(INDEX(tbl_Finance[Date],$A383),"")</f>
        <v/>
      </c>
      <c r="C383" s="62">
        <f>IFERROR(INDEX(tbl_Finance[Xero Invoice No],$A383),"")</f>
        <v/>
      </c>
      <c r="D383" s="62">
        <f>IFERROR(INDEX(tbl_Finance[Client],$A383),"")</f>
        <v/>
      </c>
      <c r="E383" s="62">
        <f>IFERROR(INDEX(tbl_Finance[Job Number],$A383),"")</f>
        <v/>
      </c>
      <c r="F383" s="62">
        <f>IFERROR(INDEX(tbl_Finance[Cost Centre],$A383),"")</f>
        <v/>
      </c>
      <c r="G383" s="63">
        <f>IFERROR(INDEX(tbl_Finance[Ex GST],$A383),"")</f>
        <v/>
      </c>
      <c r="H383" s="61">
        <f>IFERROR(INDEX(tbl_Finance[Defer Start],$A383),"")</f>
        <v/>
      </c>
      <c r="I383" s="61">
        <f>IFERROR(INDEX(tbl_Finance[Defer End],$A383),"")</f>
        <v/>
      </c>
      <c r="J383" s="60">
        <f>IF(OR($H383="",$I383="",$G383=""),"",MAX(1,(YEAR($I383)-YEAR($H383))*12+MONTH($I383)-MONTH($H383)+1))</f>
        <v/>
      </c>
      <c r="K383" s="63">
        <f>IF($J383="","",$G383/$J383)</f>
        <v/>
      </c>
      <c r="L383" s="63">
        <f>IF($J383="",0,$K383*MAX(0,MIN(YEAR($C$3)*12+MONTH($C$3),YEAR($I383)*12+MONTH($I383))-(YEAR($H383)*12+MONTH($H383))+1))</f>
        <v/>
      </c>
      <c r="M383" s="63">
        <f>IF($J383="",0,$K383*MAX(0,MIN(YEAR($C$3)*12+MONTH($C$3)-1,YEAR($I383)*12+MONTH($I383))-(YEAR($H383)*12+MONTH($H383))+1))</f>
        <v/>
      </c>
      <c r="N383" s="63">
        <f>IF(OR($J383="",$B383=""),0,IF(YEAR($B383)*12+MONTH($B383)&lt;=YEAR($C$3)*12+MONTH($C$3),$G383,0))</f>
        <v/>
      </c>
      <c r="O383" s="63">
        <f>IF(OR($J383="",$B383=""),0,IF(YEAR($B383)*12+MONTH($B383)&lt;=YEAR($C$3)*12+MONTH($C$3)-1,$G383,0))</f>
        <v/>
      </c>
      <c r="P383" s="63">
        <f>$M383-$O383</f>
        <v/>
      </c>
      <c r="Q383" s="63">
        <f>($L383-$M383)-($N383-$O383)</f>
        <v/>
      </c>
      <c r="R383" s="63">
        <f>$L383-$N383</f>
        <v/>
      </c>
    </row>
    <row r="384">
      <c r="A384" s="60">
        <f>ROW()-5</f>
        <v/>
      </c>
      <c r="B384" s="61">
        <f>IFERROR(INDEX(tbl_Finance[Date],$A384),"")</f>
        <v/>
      </c>
      <c r="C384" s="62">
        <f>IFERROR(INDEX(tbl_Finance[Xero Invoice No],$A384),"")</f>
        <v/>
      </c>
      <c r="D384" s="62">
        <f>IFERROR(INDEX(tbl_Finance[Client],$A384),"")</f>
        <v/>
      </c>
      <c r="E384" s="62">
        <f>IFERROR(INDEX(tbl_Finance[Job Number],$A384),"")</f>
        <v/>
      </c>
      <c r="F384" s="62">
        <f>IFERROR(INDEX(tbl_Finance[Cost Centre],$A384),"")</f>
        <v/>
      </c>
      <c r="G384" s="63">
        <f>IFERROR(INDEX(tbl_Finance[Ex GST],$A384),"")</f>
        <v/>
      </c>
      <c r="H384" s="61">
        <f>IFERROR(INDEX(tbl_Finance[Defer Start],$A384),"")</f>
        <v/>
      </c>
      <c r="I384" s="61">
        <f>IFERROR(INDEX(tbl_Finance[Defer End],$A384),"")</f>
        <v/>
      </c>
      <c r="J384" s="60">
        <f>IF(OR($H384="",$I384="",$G384=""),"",MAX(1,(YEAR($I384)-YEAR($H384))*12+MONTH($I384)-MONTH($H384)+1))</f>
        <v/>
      </c>
      <c r="K384" s="63">
        <f>IF($J384="","",$G384/$J384)</f>
        <v/>
      </c>
      <c r="L384" s="63">
        <f>IF($J384="",0,$K384*MAX(0,MIN(YEAR($C$3)*12+MONTH($C$3),YEAR($I384)*12+MONTH($I384))-(YEAR($H384)*12+MONTH($H384))+1))</f>
        <v/>
      </c>
      <c r="M384" s="63">
        <f>IF($J384="",0,$K384*MAX(0,MIN(YEAR($C$3)*12+MONTH($C$3)-1,YEAR($I384)*12+MONTH($I384))-(YEAR($H384)*12+MONTH($H384))+1))</f>
        <v/>
      </c>
      <c r="N384" s="63">
        <f>IF(OR($J384="",$B384=""),0,IF(YEAR($B384)*12+MONTH($B384)&lt;=YEAR($C$3)*12+MONTH($C$3),$G384,0))</f>
        <v/>
      </c>
      <c r="O384" s="63">
        <f>IF(OR($J384="",$B384=""),0,IF(YEAR($B384)*12+MONTH($B384)&lt;=YEAR($C$3)*12+MONTH($C$3)-1,$G384,0))</f>
        <v/>
      </c>
      <c r="P384" s="63">
        <f>$M384-$O384</f>
        <v/>
      </c>
      <c r="Q384" s="63">
        <f>($L384-$M384)-($N384-$O384)</f>
        <v/>
      </c>
      <c r="R384" s="63">
        <f>$L384-$N384</f>
        <v/>
      </c>
    </row>
    <row r="385">
      <c r="A385" s="60">
        <f>ROW()-5</f>
        <v/>
      </c>
      <c r="B385" s="61">
        <f>IFERROR(INDEX(tbl_Finance[Date],$A385),"")</f>
        <v/>
      </c>
      <c r="C385" s="62">
        <f>IFERROR(INDEX(tbl_Finance[Xero Invoice No],$A385),"")</f>
        <v/>
      </c>
      <c r="D385" s="62">
        <f>IFERROR(INDEX(tbl_Finance[Client],$A385),"")</f>
        <v/>
      </c>
      <c r="E385" s="62">
        <f>IFERROR(INDEX(tbl_Finance[Job Number],$A385),"")</f>
        <v/>
      </c>
      <c r="F385" s="62">
        <f>IFERROR(INDEX(tbl_Finance[Cost Centre],$A385),"")</f>
        <v/>
      </c>
      <c r="G385" s="63">
        <f>IFERROR(INDEX(tbl_Finance[Ex GST],$A385),"")</f>
        <v/>
      </c>
      <c r="H385" s="61">
        <f>IFERROR(INDEX(tbl_Finance[Defer Start],$A385),"")</f>
        <v/>
      </c>
      <c r="I385" s="61">
        <f>IFERROR(INDEX(tbl_Finance[Defer End],$A385),"")</f>
        <v/>
      </c>
      <c r="J385" s="60">
        <f>IF(OR($H385="",$I385="",$G385=""),"",MAX(1,(YEAR($I385)-YEAR($H385))*12+MONTH($I385)-MONTH($H385)+1))</f>
        <v/>
      </c>
      <c r="K385" s="63">
        <f>IF($J385="","",$G385/$J385)</f>
        <v/>
      </c>
      <c r="L385" s="63">
        <f>IF($J385="",0,$K385*MAX(0,MIN(YEAR($C$3)*12+MONTH($C$3),YEAR($I385)*12+MONTH($I385))-(YEAR($H385)*12+MONTH($H385))+1))</f>
        <v/>
      </c>
      <c r="M385" s="63">
        <f>IF($J385="",0,$K385*MAX(0,MIN(YEAR($C$3)*12+MONTH($C$3)-1,YEAR($I385)*12+MONTH($I385))-(YEAR($H385)*12+MONTH($H385))+1))</f>
        <v/>
      </c>
      <c r="N385" s="63">
        <f>IF(OR($J385="",$B385=""),0,IF(YEAR($B385)*12+MONTH($B385)&lt;=YEAR($C$3)*12+MONTH($C$3),$G385,0))</f>
        <v/>
      </c>
      <c r="O385" s="63">
        <f>IF(OR($J385="",$B385=""),0,IF(YEAR($B385)*12+MONTH($B385)&lt;=YEAR($C$3)*12+MONTH($C$3)-1,$G385,0))</f>
        <v/>
      </c>
      <c r="P385" s="63">
        <f>$M385-$O385</f>
        <v/>
      </c>
      <c r="Q385" s="63">
        <f>($L385-$M385)-($N385-$O385)</f>
        <v/>
      </c>
      <c r="R385" s="63">
        <f>$L385-$N385</f>
        <v/>
      </c>
    </row>
    <row r="386">
      <c r="A386" s="60">
        <f>ROW()-5</f>
        <v/>
      </c>
      <c r="B386" s="61">
        <f>IFERROR(INDEX(tbl_Finance[Date],$A386),"")</f>
        <v/>
      </c>
      <c r="C386" s="62">
        <f>IFERROR(INDEX(tbl_Finance[Xero Invoice No],$A386),"")</f>
        <v/>
      </c>
      <c r="D386" s="62">
        <f>IFERROR(INDEX(tbl_Finance[Client],$A386),"")</f>
        <v/>
      </c>
      <c r="E386" s="62">
        <f>IFERROR(INDEX(tbl_Finance[Job Number],$A386),"")</f>
        <v/>
      </c>
      <c r="F386" s="62">
        <f>IFERROR(INDEX(tbl_Finance[Cost Centre],$A386),"")</f>
        <v/>
      </c>
      <c r="G386" s="63">
        <f>IFERROR(INDEX(tbl_Finance[Ex GST],$A386),"")</f>
        <v/>
      </c>
      <c r="H386" s="61">
        <f>IFERROR(INDEX(tbl_Finance[Defer Start],$A386),"")</f>
        <v/>
      </c>
      <c r="I386" s="61">
        <f>IFERROR(INDEX(tbl_Finance[Defer End],$A386),"")</f>
        <v/>
      </c>
      <c r="J386" s="60">
        <f>IF(OR($H386="",$I386="",$G386=""),"",MAX(1,(YEAR($I386)-YEAR($H386))*12+MONTH($I386)-MONTH($H386)+1))</f>
        <v/>
      </c>
      <c r="K386" s="63">
        <f>IF($J386="","",$G386/$J386)</f>
        <v/>
      </c>
      <c r="L386" s="63">
        <f>IF($J386="",0,$K386*MAX(0,MIN(YEAR($C$3)*12+MONTH($C$3),YEAR($I386)*12+MONTH($I386))-(YEAR($H386)*12+MONTH($H386))+1))</f>
        <v/>
      </c>
      <c r="M386" s="63">
        <f>IF($J386="",0,$K386*MAX(0,MIN(YEAR($C$3)*12+MONTH($C$3)-1,YEAR($I386)*12+MONTH($I386))-(YEAR($H386)*12+MONTH($H386))+1))</f>
        <v/>
      </c>
      <c r="N386" s="63">
        <f>IF(OR($J386="",$B386=""),0,IF(YEAR($B386)*12+MONTH($B386)&lt;=YEAR($C$3)*12+MONTH($C$3),$G386,0))</f>
        <v/>
      </c>
      <c r="O386" s="63">
        <f>IF(OR($J386="",$B386=""),0,IF(YEAR($B386)*12+MONTH($B386)&lt;=YEAR($C$3)*12+MONTH($C$3)-1,$G386,0))</f>
        <v/>
      </c>
      <c r="P386" s="63">
        <f>$M386-$O386</f>
        <v/>
      </c>
      <c r="Q386" s="63">
        <f>($L386-$M386)-($N386-$O386)</f>
        <v/>
      </c>
      <c r="R386" s="63">
        <f>$L386-$N386</f>
        <v/>
      </c>
    </row>
    <row r="387">
      <c r="A387" s="60">
        <f>ROW()-5</f>
        <v/>
      </c>
      <c r="B387" s="61">
        <f>IFERROR(INDEX(tbl_Finance[Date],$A387),"")</f>
        <v/>
      </c>
      <c r="C387" s="62">
        <f>IFERROR(INDEX(tbl_Finance[Xero Invoice No],$A387),"")</f>
        <v/>
      </c>
      <c r="D387" s="62">
        <f>IFERROR(INDEX(tbl_Finance[Client],$A387),"")</f>
        <v/>
      </c>
      <c r="E387" s="62">
        <f>IFERROR(INDEX(tbl_Finance[Job Number],$A387),"")</f>
        <v/>
      </c>
      <c r="F387" s="62">
        <f>IFERROR(INDEX(tbl_Finance[Cost Centre],$A387),"")</f>
        <v/>
      </c>
      <c r="G387" s="63">
        <f>IFERROR(INDEX(tbl_Finance[Ex GST],$A387),"")</f>
        <v/>
      </c>
      <c r="H387" s="61">
        <f>IFERROR(INDEX(tbl_Finance[Defer Start],$A387),"")</f>
        <v/>
      </c>
      <c r="I387" s="61">
        <f>IFERROR(INDEX(tbl_Finance[Defer End],$A387),"")</f>
        <v/>
      </c>
      <c r="J387" s="60">
        <f>IF(OR($H387="",$I387="",$G387=""),"",MAX(1,(YEAR($I387)-YEAR($H387))*12+MONTH($I387)-MONTH($H387)+1))</f>
        <v/>
      </c>
      <c r="K387" s="63">
        <f>IF($J387="","",$G387/$J387)</f>
        <v/>
      </c>
      <c r="L387" s="63">
        <f>IF($J387="",0,$K387*MAX(0,MIN(YEAR($C$3)*12+MONTH($C$3),YEAR($I387)*12+MONTH($I387))-(YEAR($H387)*12+MONTH($H387))+1))</f>
        <v/>
      </c>
      <c r="M387" s="63">
        <f>IF($J387="",0,$K387*MAX(0,MIN(YEAR($C$3)*12+MONTH($C$3)-1,YEAR($I387)*12+MONTH($I387))-(YEAR($H387)*12+MONTH($H387))+1))</f>
        <v/>
      </c>
      <c r="N387" s="63">
        <f>IF(OR($J387="",$B387=""),0,IF(YEAR($B387)*12+MONTH($B387)&lt;=YEAR($C$3)*12+MONTH($C$3),$G387,0))</f>
        <v/>
      </c>
      <c r="O387" s="63">
        <f>IF(OR($J387="",$B387=""),0,IF(YEAR($B387)*12+MONTH($B387)&lt;=YEAR($C$3)*12+MONTH($C$3)-1,$G387,0))</f>
        <v/>
      </c>
      <c r="P387" s="63">
        <f>$M387-$O387</f>
        <v/>
      </c>
      <c r="Q387" s="63">
        <f>($L387-$M387)-($N387-$O387)</f>
        <v/>
      </c>
      <c r="R387" s="63">
        <f>$L387-$N387</f>
        <v/>
      </c>
    </row>
    <row r="388">
      <c r="A388" s="60">
        <f>ROW()-5</f>
        <v/>
      </c>
      <c r="B388" s="61">
        <f>IFERROR(INDEX(tbl_Finance[Date],$A388),"")</f>
        <v/>
      </c>
      <c r="C388" s="62">
        <f>IFERROR(INDEX(tbl_Finance[Xero Invoice No],$A388),"")</f>
        <v/>
      </c>
      <c r="D388" s="62">
        <f>IFERROR(INDEX(tbl_Finance[Client],$A388),"")</f>
        <v/>
      </c>
      <c r="E388" s="62">
        <f>IFERROR(INDEX(tbl_Finance[Job Number],$A388),"")</f>
        <v/>
      </c>
      <c r="F388" s="62">
        <f>IFERROR(INDEX(tbl_Finance[Cost Centre],$A388),"")</f>
        <v/>
      </c>
      <c r="G388" s="63">
        <f>IFERROR(INDEX(tbl_Finance[Ex GST],$A388),"")</f>
        <v/>
      </c>
      <c r="H388" s="61">
        <f>IFERROR(INDEX(tbl_Finance[Defer Start],$A388),"")</f>
        <v/>
      </c>
      <c r="I388" s="61">
        <f>IFERROR(INDEX(tbl_Finance[Defer End],$A388),"")</f>
        <v/>
      </c>
      <c r="J388" s="60">
        <f>IF(OR($H388="",$I388="",$G388=""),"",MAX(1,(YEAR($I388)-YEAR($H388))*12+MONTH($I388)-MONTH($H388)+1))</f>
        <v/>
      </c>
      <c r="K388" s="63">
        <f>IF($J388="","",$G388/$J388)</f>
        <v/>
      </c>
      <c r="L388" s="63">
        <f>IF($J388="",0,$K388*MAX(0,MIN(YEAR($C$3)*12+MONTH($C$3),YEAR($I388)*12+MONTH($I388))-(YEAR($H388)*12+MONTH($H388))+1))</f>
        <v/>
      </c>
      <c r="M388" s="63">
        <f>IF($J388="",0,$K388*MAX(0,MIN(YEAR($C$3)*12+MONTH($C$3)-1,YEAR($I388)*12+MONTH($I388))-(YEAR($H388)*12+MONTH($H388))+1))</f>
        <v/>
      </c>
      <c r="N388" s="63">
        <f>IF(OR($J388="",$B388=""),0,IF(YEAR($B388)*12+MONTH($B388)&lt;=YEAR($C$3)*12+MONTH($C$3),$G388,0))</f>
        <v/>
      </c>
      <c r="O388" s="63">
        <f>IF(OR($J388="",$B388=""),0,IF(YEAR($B388)*12+MONTH($B388)&lt;=YEAR($C$3)*12+MONTH($C$3)-1,$G388,0))</f>
        <v/>
      </c>
      <c r="P388" s="63">
        <f>$M388-$O388</f>
        <v/>
      </c>
      <c r="Q388" s="63">
        <f>($L388-$M388)-($N388-$O388)</f>
        <v/>
      </c>
      <c r="R388" s="63">
        <f>$L388-$N388</f>
        <v/>
      </c>
    </row>
    <row r="389">
      <c r="A389" s="60">
        <f>ROW()-5</f>
        <v/>
      </c>
      <c r="B389" s="61">
        <f>IFERROR(INDEX(tbl_Finance[Date],$A389),"")</f>
        <v/>
      </c>
      <c r="C389" s="62">
        <f>IFERROR(INDEX(tbl_Finance[Xero Invoice No],$A389),"")</f>
        <v/>
      </c>
      <c r="D389" s="62">
        <f>IFERROR(INDEX(tbl_Finance[Client],$A389),"")</f>
        <v/>
      </c>
      <c r="E389" s="62">
        <f>IFERROR(INDEX(tbl_Finance[Job Number],$A389),"")</f>
        <v/>
      </c>
      <c r="F389" s="62">
        <f>IFERROR(INDEX(tbl_Finance[Cost Centre],$A389),"")</f>
        <v/>
      </c>
      <c r="G389" s="63">
        <f>IFERROR(INDEX(tbl_Finance[Ex GST],$A389),"")</f>
        <v/>
      </c>
      <c r="H389" s="61">
        <f>IFERROR(INDEX(tbl_Finance[Defer Start],$A389),"")</f>
        <v/>
      </c>
      <c r="I389" s="61">
        <f>IFERROR(INDEX(tbl_Finance[Defer End],$A389),"")</f>
        <v/>
      </c>
      <c r="J389" s="60">
        <f>IF(OR($H389="",$I389="",$G389=""),"",MAX(1,(YEAR($I389)-YEAR($H389))*12+MONTH($I389)-MONTH($H389)+1))</f>
        <v/>
      </c>
      <c r="K389" s="63">
        <f>IF($J389="","",$G389/$J389)</f>
        <v/>
      </c>
      <c r="L389" s="63">
        <f>IF($J389="",0,$K389*MAX(0,MIN(YEAR($C$3)*12+MONTH($C$3),YEAR($I389)*12+MONTH($I389))-(YEAR($H389)*12+MONTH($H389))+1))</f>
        <v/>
      </c>
      <c r="M389" s="63">
        <f>IF($J389="",0,$K389*MAX(0,MIN(YEAR($C$3)*12+MONTH($C$3)-1,YEAR($I389)*12+MONTH($I389))-(YEAR($H389)*12+MONTH($H389))+1))</f>
        <v/>
      </c>
      <c r="N389" s="63">
        <f>IF(OR($J389="",$B389=""),0,IF(YEAR($B389)*12+MONTH($B389)&lt;=YEAR($C$3)*12+MONTH($C$3),$G389,0))</f>
        <v/>
      </c>
      <c r="O389" s="63">
        <f>IF(OR($J389="",$B389=""),0,IF(YEAR($B389)*12+MONTH($B389)&lt;=YEAR($C$3)*12+MONTH($C$3)-1,$G389,0))</f>
        <v/>
      </c>
      <c r="P389" s="63">
        <f>$M389-$O389</f>
        <v/>
      </c>
      <c r="Q389" s="63">
        <f>($L389-$M389)-($N389-$O389)</f>
        <v/>
      </c>
      <c r="R389" s="63">
        <f>$L389-$N389</f>
        <v/>
      </c>
    </row>
    <row r="390">
      <c r="A390" s="60">
        <f>ROW()-5</f>
        <v/>
      </c>
      <c r="B390" s="61">
        <f>IFERROR(INDEX(tbl_Finance[Date],$A390),"")</f>
        <v/>
      </c>
      <c r="C390" s="62">
        <f>IFERROR(INDEX(tbl_Finance[Xero Invoice No],$A390),"")</f>
        <v/>
      </c>
      <c r="D390" s="62">
        <f>IFERROR(INDEX(tbl_Finance[Client],$A390),"")</f>
        <v/>
      </c>
      <c r="E390" s="62">
        <f>IFERROR(INDEX(tbl_Finance[Job Number],$A390),"")</f>
        <v/>
      </c>
      <c r="F390" s="62">
        <f>IFERROR(INDEX(tbl_Finance[Cost Centre],$A390),"")</f>
        <v/>
      </c>
      <c r="G390" s="63">
        <f>IFERROR(INDEX(tbl_Finance[Ex GST],$A390),"")</f>
        <v/>
      </c>
      <c r="H390" s="61">
        <f>IFERROR(INDEX(tbl_Finance[Defer Start],$A390),"")</f>
        <v/>
      </c>
      <c r="I390" s="61">
        <f>IFERROR(INDEX(tbl_Finance[Defer End],$A390),"")</f>
        <v/>
      </c>
      <c r="J390" s="60">
        <f>IF(OR($H390="",$I390="",$G390=""),"",MAX(1,(YEAR($I390)-YEAR($H390))*12+MONTH($I390)-MONTH($H390)+1))</f>
        <v/>
      </c>
      <c r="K390" s="63">
        <f>IF($J390="","",$G390/$J390)</f>
        <v/>
      </c>
      <c r="L390" s="63">
        <f>IF($J390="",0,$K390*MAX(0,MIN(YEAR($C$3)*12+MONTH($C$3),YEAR($I390)*12+MONTH($I390))-(YEAR($H390)*12+MONTH($H390))+1))</f>
        <v/>
      </c>
      <c r="M390" s="63">
        <f>IF($J390="",0,$K390*MAX(0,MIN(YEAR($C$3)*12+MONTH($C$3)-1,YEAR($I390)*12+MONTH($I390))-(YEAR($H390)*12+MONTH($H390))+1))</f>
        <v/>
      </c>
      <c r="N390" s="63">
        <f>IF(OR($J390="",$B390=""),0,IF(YEAR($B390)*12+MONTH($B390)&lt;=YEAR($C$3)*12+MONTH($C$3),$G390,0))</f>
        <v/>
      </c>
      <c r="O390" s="63">
        <f>IF(OR($J390="",$B390=""),0,IF(YEAR($B390)*12+MONTH($B390)&lt;=YEAR($C$3)*12+MONTH($C$3)-1,$G390,0))</f>
        <v/>
      </c>
      <c r="P390" s="63">
        <f>$M390-$O390</f>
        <v/>
      </c>
      <c r="Q390" s="63">
        <f>($L390-$M390)-($N390-$O390)</f>
        <v/>
      </c>
      <c r="R390" s="63">
        <f>$L390-$N390</f>
        <v/>
      </c>
    </row>
    <row r="391">
      <c r="A391" s="60">
        <f>ROW()-5</f>
        <v/>
      </c>
      <c r="B391" s="61">
        <f>IFERROR(INDEX(tbl_Finance[Date],$A391),"")</f>
        <v/>
      </c>
      <c r="C391" s="62">
        <f>IFERROR(INDEX(tbl_Finance[Xero Invoice No],$A391),"")</f>
        <v/>
      </c>
      <c r="D391" s="62">
        <f>IFERROR(INDEX(tbl_Finance[Client],$A391),"")</f>
        <v/>
      </c>
      <c r="E391" s="62">
        <f>IFERROR(INDEX(tbl_Finance[Job Number],$A391),"")</f>
        <v/>
      </c>
      <c r="F391" s="62">
        <f>IFERROR(INDEX(tbl_Finance[Cost Centre],$A391),"")</f>
        <v/>
      </c>
      <c r="G391" s="63">
        <f>IFERROR(INDEX(tbl_Finance[Ex GST],$A391),"")</f>
        <v/>
      </c>
      <c r="H391" s="61">
        <f>IFERROR(INDEX(tbl_Finance[Defer Start],$A391),"")</f>
        <v/>
      </c>
      <c r="I391" s="61">
        <f>IFERROR(INDEX(tbl_Finance[Defer End],$A391),"")</f>
        <v/>
      </c>
      <c r="J391" s="60">
        <f>IF(OR($H391="",$I391="",$G391=""),"",MAX(1,(YEAR($I391)-YEAR($H391))*12+MONTH($I391)-MONTH($H391)+1))</f>
        <v/>
      </c>
      <c r="K391" s="63">
        <f>IF($J391="","",$G391/$J391)</f>
        <v/>
      </c>
      <c r="L391" s="63">
        <f>IF($J391="",0,$K391*MAX(0,MIN(YEAR($C$3)*12+MONTH($C$3),YEAR($I391)*12+MONTH($I391))-(YEAR($H391)*12+MONTH($H391))+1))</f>
        <v/>
      </c>
      <c r="M391" s="63">
        <f>IF($J391="",0,$K391*MAX(0,MIN(YEAR($C$3)*12+MONTH($C$3)-1,YEAR($I391)*12+MONTH($I391))-(YEAR($H391)*12+MONTH($H391))+1))</f>
        <v/>
      </c>
      <c r="N391" s="63">
        <f>IF(OR($J391="",$B391=""),0,IF(YEAR($B391)*12+MONTH($B391)&lt;=YEAR($C$3)*12+MONTH($C$3),$G391,0))</f>
        <v/>
      </c>
      <c r="O391" s="63">
        <f>IF(OR($J391="",$B391=""),0,IF(YEAR($B391)*12+MONTH($B391)&lt;=YEAR($C$3)*12+MONTH($C$3)-1,$G391,0))</f>
        <v/>
      </c>
      <c r="P391" s="63">
        <f>$M391-$O391</f>
        <v/>
      </c>
      <c r="Q391" s="63">
        <f>($L391-$M391)-($N391-$O391)</f>
        <v/>
      </c>
      <c r="R391" s="63">
        <f>$L391-$N391</f>
        <v/>
      </c>
    </row>
    <row r="392">
      <c r="A392" s="60">
        <f>ROW()-5</f>
        <v/>
      </c>
      <c r="B392" s="61">
        <f>IFERROR(INDEX(tbl_Finance[Date],$A392),"")</f>
        <v/>
      </c>
      <c r="C392" s="62">
        <f>IFERROR(INDEX(tbl_Finance[Xero Invoice No],$A392),"")</f>
        <v/>
      </c>
      <c r="D392" s="62">
        <f>IFERROR(INDEX(tbl_Finance[Client],$A392),"")</f>
        <v/>
      </c>
      <c r="E392" s="62">
        <f>IFERROR(INDEX(tbl_Finance[Job Number],$A392),"")</f>
        <v/>
      </c>
      <c r="F392" s="62">
        <f>IFERROR(INDEX(tbl_Finance[Cost Centre],$A392),"")</f>
        <v/>
      </c>
      <c r="G392" s="63">
        <f>IFERROR(INDEX(tbl_Finance[Ex GST],$A392),"")</f>
        <v/>
      </c>
      <c r="H392" s="61">
        <f>IFERROR(INDEX(tbl_Finance[Defer Start],$A392),"")</f>
        <v/>
      </c>
      <c r="I392" s="61">
        <f>IFERROR(INDEX(tbl_Finance[Defer End],$A392),"")</f>
        <v/>
      </c>
      <c r="J392" s="60">
        <f>IF(OR($H392="",$I392="",$G392=""),"",MAX(1,(YEAR($I392)-YEAR($H392))*12+MONTH($I392)-MONTH($H392)+1))</f>
        <v/>
      </c>
      <c r="K392" s="63">
        <f>IF($J392="","",$G392/$J392)</f>
        <v/>
      </c>
      <c r="L392" s="63">
        <f>IF($J392="",0,$K392*MAX(0,MIN(YEAR($C$3)*12+MONTH($C$3),YEAR($I392)*12+MONTH($I392))-(YEAR($H392)*12+MONTH($H392))+1))</f>
        <v/>
      </c>
      <c r="M392" s="63">
        <f>IF($J392="",0,$K392*MAX(0,MIN(YEAR($C$3)*12+MONTH($C$3)-1,YEAR($I392)*12+MONTH($I392))-(YEAR($H392)*12+MONTH($H392))+1))</f>
        <v/>
      </c>
      <c r="N392" s="63">
        <f>IF(OR($J392="",$B392=""),0,IF(YEAR($B392)*12+MONTH($B392)&lt;=YEAR($C$3)*12+MONTH($C$3),$G392,0))</f>
        <v/>
      </c>
      <c r="O392" s="63">
        <f>IF(OR($J392="",$B392=""),0,IF(YEAR($B392)*12+MONTH($B392)&lt;=YEAR($C$3)*12+MONTH($C$3)-1,$G392,0))</f>
        <v/>
      </c>
      <c r="P392" s="63">
        <f>$M392-$O392</f>
        <v/>
      </c>
      <c r="Q392" s="63">
        <f>($L392-$M392)-($N392-$O392)</f>
        <v/>
      </c>
      <c r="R392" s="63">
        <f>$L392-$N392</f>
        <v/>
      </c>
    </row>
    <row r="393">
      <c r="A393" s="60">
        <f>ROW()-5</f>
        <v/>
      </c>
      <c r="B393" s="61">
        <f>IFERROR(INDEX(tbl_Finance[Date],$A393),"")</f>
        <v/>
      </c>
      <c r="C393" s="62">
        <f>IFERROR(INDEX(tbl_Finance[Xero Invoice No],$A393),"")</f>
        <v/>
      </c>
      <c r="D393" s="62">
        <f>IFERROR(INDEX(tbl_Finance[Client],$A393),"")</f>
        <v/>
      </c>
      <c r="E393" s="62">
        <f>IFERROR(INDEX(tbl_Finance[Job Number],$A393),"")</f>
        <v/>
      </c>
      <c r="F393" s="62">
        <f>IFERROR(INDEX(tbl_Finance[Cost Centre],$A393),"")</f>
        <v/>
      </c>
      <c r="G393" s="63">
        <f>IFERROR(INDEX(tbl_Finance[Ex GST],$A393),"")</f>
        <v/>
      </c>
      <c r="H393" s="61">
        <f>IFERROR(INDEX(tbl_Finance[Defer Start],$A393),"")</f>
        <v/>
      </c>
      <c r="I393" s="61">
        <f>IFERROR(INDEX(tbl_Finance[Defer End],$A393),"")</f>
        <v/>
      </c>
      <c r="J393" s="60">
        <f>IF(OR($H393="",$I393="",$G393=""),"",MAX(1,(YEAR($I393)-YEAR($H393))*12+MONTH($I393)-MONTH($H393)+1))</f>
        <v/>
      </c>
      <c r="K393" s="63">
        <f>IF($J393="","",$G393/$J393)</f>
        <v/>
      </c>
      <c r="L393" s="63">
        <f>IF($J393="",0,$K393*MAX(0,MIN(YEAR($C$3)*12+MONTH($C$3),YEAR($I393)*12+MONTH($I393))-(YEAR($H393)*12+MONTH($H393))+1))</f>
        <v/>
      </c>
      <c r="M393" s="63">
        <f>IF($J393="",0,$K393*MAX(0,MIN(YEAR($C$3)*12+MONTH($C$3)-1,YEAR($I393)*12+MONTH($I393))-(YEAR($H393)*12+MONTH($H393))+1))</f>
        <v/>
      </c>
      <c r="N393" s="63">
        <f>IF(OR($J393="",$B393=""),0,IF(YEAR($B393)*12+MONTH($B393)&lt;=YEAR($C$3)*12+MONTH($C$3),$G393,0))</f>
        <v/>
      </c>
      <c r="O393" s="63">
        <f>IF(OR($J393="",$B393=""),0,IF(YEAR($B393)*12+MONTH($B393)&lt;=YEAR($C$3)*12+MONTH($C$3)-1,$G393,0))</f>
        <v/>
      </c>
      <c r="P393" s="63">
        <f>$M393-$O393</f>
        <v/>
      </c>
      <c r="Q393" s="63">
        <f>($L393-$M393)-($N393-$O393)</f>
        <v/>
      </c>
      <c r="R393" s="63">
        <f>$L393-$N393</f>
        <v/>
      </c>
    </row>
    <row r="394">
      <c r="A394" s="60">
        <f>ROW()-5</f>
        <v/>
      </c>
      <c r="B394" s="61">
        <f>IFERROR(INDEX(tbl_Finance[Date],$A394),"")</f>
        <v/>
      </c>
      <c r="C394" s="62">
        <f>IFERROR(INDEX(tbl_Finance[Xero Invoice No],$A394),"")</f>
        <v/>
      </c>
      <c r="D394" s="62">
        <f>IFERROR(INDEX(tbl_Finance[Client],$A394),"")</f>
        <v/>
      </c>
      <c r="E394" s="62">
        <f>IFERROR(INDEX(tbl_Finance[Job Number],$A394),"")</f>
        <v/>
      </c>
      <c r="F394" s="62">
        <f>IFERROR(INDEX(tbl_Finance[Cost Centre],$A394),"")</f>
        <v/>
      </c>
      <c r="G394" s="63">
        <f>IFERROR(INDEX(tbl_Finance[Ex GST],$A394),"")</f>
        <v/>
      </c>
      <c r="H394" s="61">
        <f>IFERROR(INDEX(tbl_Finance[Defer Start],$A394),"")</f>
        <v/>
      </c>
      <c r="I394" s="61">
        <f>IFERROR(INDEX(tbl_Finance[Defer End],$A394),"")</f>
        <v/>
      </c>
      <c r="J394" s="60">
        <f>IF(OR($H394="",$I394="",$G394=""),"",MAX(1,(YEAR($I394)-YEAR($H394))*12+MONTH($I394)-MONTH($H394)+1))</f>
        <v/>
      </c>
      <c r="K394" s="63">
        <f>IF($J394="","",$G394/$J394)</f>
        <v/>
      </c>
      <c r="L394" s="63">
        <f>IF($J394="",0,$K394*MAX(0,MIN(YEAR($C$3)*12+MONTH($C$3),YEAR($I394)*12+MONTH($I394))-(YEAR($H394)*12+MONTH($H394))+1))</f>
        <v/>
      </c>
      <c r="M394" s="63">
        <f>IF($J394="",0,$K394*MAX(0,MIN(YEAR($C$3)*12+MONTH($C$3)-1,YEAR($I394)*12+MONTH($I394))-(YEAR($H394)*12+MONTH($H394))+1))</f>
        <v/>
      </c>
      <c r="N394" s="63">
        <f>IF(OR($J394="",$B394=""),0,IF(YEAR($B394)*12+MONTH($B394)&lt;=YEAR($C$3)*12+MONTH($C$3),$G394,0))</f>
        <v/>
      </c>
      <c r="O394" s="63">
        <f>IF(OR($J394="",$B394=""),0,IF(YEAR($B394)*12+MONTH($B394)&lt;=YEAR($C$3)*12+MONTH($C$3)-1,$G394,0))</f>
        <v/>
      </c>
      <c r="P394" s="63">
        <f>$M394-$O394</f>
        <v/>
      </c>
      <c r="Q394" s="63">
        <f>($L394-$M394)-($N394-$O394)</f>
        <v/>
      </c>
      <c r="R394" s="63">
        <f>$L394-$N394</f>
        <v/>
      </c>
    </row>
    <row r="395">
      <c r="A395" s="60">
        <f>ROW()-5</f>
        <v/>
      </c>
      <c r="B395" s="61">
        <f>IFERROR(INDEX(tbl_Finance[Date],$A395),"")</f>
        <v/>
      </c>
      <c r="C395" s="62">
        <f>IFERROR(INDEX(tbl_Finance[Xero Invoice No],$A395),"")</f>
        <v/>
      </c>
      <c r="D395" s="62">
        <f>IFERROR(INDEX(tbl_Finance[Client],$A395),"")</f>
        <v/>
      </c>
      <c r="E395" s="62">
        <f>IFERROR(INDEX(tbl_Finance[Job Number],$A395),"")</f>
        <v/>
      </c>
      <c r="F395" s="62">
        <f>IFERROR(INDEX(tbl_Finance[Cost Centre],$A395),"")</f>
        <v/>
      </c>
      <c r="G395" s="63">
        <f>IFERROR(INDEX(tbl_Finance[Ex GST],$A395),"")</f>
        <v/>
      </c>
      <c r="H395" s="61">
        <f>IFERROR(INDEX(tbl_Finance[Defer Start],$A395),"")</f>
        <v/>
      </c>
      <c r="I395" s="61">
        <f>IFERROR(INDEX(tbl_Finance[Defer End],$A395),"")</f>
        <v/>
      </c>
      <c r="J395" s="60">
        <f>IF(OR($H395="",$I395="",$G395=""),"",MAX(1,(YEAR($I395)-YEAR($H395))*12+MONTH($I395)-MONTH($H395)+1))</f>
        <v/>
      </c>
      <c r="K395" s="63">
        <f>IF($J395="","",$G395/$J395)</f>
        <v/>
      </c>
      <c r="L395" s="63">
        <f>IF($J395="",0,$K395*MAX(0,MIN(YEAR($C$3)*12+MONTH($C$3),YEAR($I395)*12+MONTH($I395))-(YEAR($H395)*12+MONTH($H395))+1))</f>
        <v/>
      </c>
      <c r="M395" s="63">
        <f>IF($J395="",0,$K395*MAX(0,MIN(YEAR($C$3)*12+MONTH($C$3)-1,YEAR($I395)*12+MONTH($I395))-(YEAR($H395)*12+MONTH($H395))+1))</f>
        <v/>
      </c>
      <c r="N395" s="63">
        <f>IF(OR($J395="",$B395=""),0,IF(YEAR($B395)*12+MONTH($B395)&lt;=YEAR($C$3)*12+MONTH($C$3),$G395,0))</f>
        <v/>
      </c>
      <c r="O395" s="63">
        <f>IF(OR($J395="",$B395=""),0,IF(YEAR($B395)*12+MONTH($B395)&lt;=YEAR($C$3)*12+MONTH($C$3)-1,$G395,0))</f>
        <v/>
      </c>
      <c r="P395" s="63">
        <f>$M395-$O395</f>
        <v/>
      </c>
      <c r="Q395" s="63">
        <f>($L395-$M395)-($N395-$O395)</f>
        <v/>
      </c>
      <c r="R395" s="63">
        <f>$L395-$N395</f>
        <v/>
      </c>
    </row>
    <row r="396">
      <c r="A396" s="60">
        <f>ROW()-5</f>
        <v/>
      </c>
      <c r="B396" s="61">
        <f>IFERROR(INDEX(tbl_Finance[Date],$A396),"")</f>
        <v/>
      </c>
      <c r="C396" s="62">
        <f>IFERROR(INDEX(tbl_Finance[Xero Invoice No],$A396),"")</f>
        <v/>
      </c>
      <c r="D396" s="62">
        <f>IFERROR(INDEX(tbl_Finance[Client],$A396),"")</f>
        <v/>
      </c>
      <c r="E396" s="62">
        <f>IFERROR(INDEX(tbl_Finance[Job Number],$A396),"")</f>
        <v/>
      </c>
      <c r="F396" s="62">
        <f>IFERROR(INDEX(tbl_Finance[Cost Centre],$A396),"")</f>
        <v/>
      </c>
      <c r="G396" s="63">
        <f>IFERROR(INDEX(tbl_Finance[Ex GST],$A396),"")</f>
        <v/>
      </c>
      <c r="H396" s="61">
        <f>IFERROR(INDEX(tbl_Finance[Defer Start],$A396),"")</f>
        <v/>
      </c>
      <c r="I396" s="61">
        <f>IFERROR(INDEX(tbl_Finance[Defer End],$A396),"")</f>
        <v/>
      </c>
      <c r="J396" s="60">
        <f>IF(OR($H396="",$I396="",$G396=""),"",MAX(1,(YEAR($I396)-YEAR($H396))*12+MONTH($I396)-MONTH($H396)+1))</f>
        <v/>
      </c>
      <c r="K396" s="63">
        <f>IF($J396="","",$G396/$J396)</f>
        <v/>
      </c>
      <c r="L396" s="63">
        <f>IF($J396="",0,$K396*MAX(0,MIN(YEAR($C$3)*12+MONTH($C$3),YEAR($I396)*12+MONTH($I396))-(YEAR($H396)*12+MONTH($H396))+1))</f>
        <v/>
      </c>
      <c r="M396" s="63">
        <f>IF($J396="",0,$K396*MAX(0,MIN(YEAR($C$3)*12+MONTH($C$3)-1,YEAR($I396)*12+MONTH($I396))-(YEAR($H396)*12+MONTH($H396))+1))</f>
        <v/>
      </c>
      <c r="N396" s="63">
        <f>IF(OR($J396="",$B396=""),0,IF(YEAR($B396)*12+MONTH($B396)&lt;=YEAR($C$3)*12+MONTH($C$3),$G396,0))</f>
        <v/>
      </c>
      <c r="O396" s="63">
        <f>IF(OR($J396="",$B396=""),0,IF(YEAR($B396)*12+MONTH($B396)&lt;=YEAR($C$3)*12+MONTH($C$3)-1,$G396,0))</f>
        <v/>
      </c>
      <c r="P396" s="63">
        <f>$M396-$O396</f>
        <v/>
      </c>
      <c r="Q396" s="63">
        <f>($L396-$M396)-($N396-$O396)</f>
        <v/>
      </c>
      <c r="R396" s="63">
        <f>$L396-$N396</f>
        <v/>
      </c>
    </row>
    <row r="397">
      <c r="A397" s="60">
        <f>ROW()-5</f>
        <v/>
      </c>
      <c r="B397" s="61">
        <f>IFERROR(INDEX(tbl_Finance[Date],$A397),"")</f>
        <v/>
      </c>
      <c r="C397" s="62">
        <f>IFERROR(INDEX(tbl_Finance[Xero Invoice No],$A397),"")</f>
        <v/>
      </c>
      <c r="D397" s="62">
        <f>IFERROR(INDEX(tbl_Finance[Client],$A397),"")</f>
        <v/>
      </c>
      <c r="E397" s="62">
        <f>IFERROR(INDEX(tbl_Finance[Job Number],$A397),"")</f>
        <v/>
      </c>
      <c r="F397" s="62">
        <f>IFERROR(INDEX(tbl_Finance[Cost Centre],$A397),"")</f>
        <v/>
      </c>
      <c r="G397" s="63">
        <f>IFERROR(INDEX(tbl_Finance[Ex GST],$A397),"")</f>
        <v/>
      </c>
      <c r="H397" s="61">
        <f>IFERROR(INDEX(tbl_Finance[Defer Start],$A397),"")</f>
        <v/>
      </c>
      <c r="I397" s="61">
        <f>IFERROR(INDEX(tbl_Finance[Defer End],$A397),"")</f>
        <v/>
      </c>
      <c r="J397" s="60">
        <f>IF(OR($H397="",$I397="",$G397=""),"",MAX(1,(YEAR($I397)-YEAR($H397))*12+MONTH($I397)-MONTH($H397)+1))</f>
        <v/>
      </c>
      <c r="K397" s="63">
        <f>IF($J397="","",$G397/$J397)</f>
        <v/>
      </c>
      <c r="L397" s="63">
        <f>IF($J397="",0,$K397*MAX(0,MIN(YEAR($C$3)*12+MONTH($C$3),YEAR($I397)*12+MONTH($I397))-(YEAR($H397)*12+MONTH($H397))+1))</f>
        <v/>
      </c>
      <c r="M397" s="63">
        <f>IF($J397="",0,$K397*MAX(0,MIN(YEAR($C$3)*12+MONTH($C$3)-1,YEAR($I397)*12+MONTH($I397))-(YEAR($H397)*12+MONTH($H397))+1))</f>
        <v/>
      </c>
      <c r="N397" s="63">
        <f>IF(OR($J397="",$B397=""),0,IF(YEAR($B397)*12+MONTH($B397)&lt;=YEAR($C$3)*12+MONTH($C$3),$G397,0))</f>
        <v/>
      </c>
      <c r="O397" s="63">
        <f>IF(OR($J397="",$B397=""),0,IF(YEAR($B397)*12+MONTH($B397)&lt;=YEAR($C$3)*12+MONTH($C$3)-1,$G397,0))</f>
        <v/>
      </c>
      <c r="P397" s="63">
        <f>$M397-$O397</f>
        <v/>
      </c>
      <c r="Q397" s="63">
        <f>($L397-$M397)-($N397-$O397)</f>
        <v/>
      </c>
      <c r="R397" s="63">
        <f>$L397-$N397</f>
        <v/>
      </c>
    </row>
    <row r="398">
      <c r="A398" s="60">
        <f>ROW()-5</f>
        <v/>
      </c>
      <c r="B398" s="61">
        <f>IFERROR(INDEX(tbl_Finance[Date],$A398),"")</f>
        <v/>
      </c>
      <c r="C398" s="62">
        <f>IFERROR(INDEX(tbl_Finance[Xero Invoice No],$A398),"")</f>
        <v/>
      </c>
      <c r="D398" s="62">
        <f>IFERROR(INDEX(tbl_Finance[Client],$A398),"")</f>
        <v/>
      </c>
      <c r="E398" s="62">
        <f>IFERROR(INDEX(tbl_Finance[Job Number],$A398),"")</f>
        <v/>
      </c>
      <c r="F398" s="62">
        <f>IFERROR(INDEX(tbl_Finance[Cost Centre],$A398),"")</f>
        <v/>
      </c>
      <c r="G398" s="63">
        <f>IFERROR(INDEX(tbl_Finance[Ex GST],$A398),"")</f>
        <v/>
      </c>
      <c r="H398" s="61">
        <f>IFERROR(INDEX(tbl_Finance[Defer Start],$A398),"")</f>
        <v/>
      </c>
      <c r="I398" s="61">
        <f>IFERROR(INDEX(tbl_Finance[Defer End],$A398),"")</f>
        <v/>
      </c>
      <c r="J398" s="60">
        <f>IF(OR($H398="",$I398="",$G398=""),"",MAX(1,(YEAR($I398)-YEAR($H398))*12+MONTH($I398)-MONTH($H398)+1))</f>
        <v/>
      </c>
      <c r="K398" s="63">
        <f>IF($J398="","",$G398/$J398)</f>
        <v/>
      </c>
      <c r="L398" s="63">
        <f>IF($J398="",0,$K398*MAX(0,MIN(YEAR($C$3)*12+MONTH($C$3),YEAR($I398)*12+MONTH($I398))-(YEAR($H398)*12+MONTH($H398))+1))</f>
        <v/>
      </c>
      <c r="M398" s="63">
        <f>IF($J398="",0,$K398*MAX(0,MIN(YEAR($C$3)*12+MONTH($C$3)-1,YEAR($I398)*12+MONTH($I398))-(YEAR($H398)*12+MONTH($H398))+1))</f>
        <v/>
      </c>
      <c r="N398" s="63">
        <f>IF(OR($J398="",$B398=""),0,IF(YEAR($B398)*12+MONTH($B398)&lt;=YEAR($C$3)*12+MONTH($C$3),$G398,0))</f>
        <v/>
      </c>
      <c r="O398" s="63">
        <f>IF(OR($J398="",$B398=""),0,IF(YEAR($B398)*12+MONTH($B398)&lt;=YEAR($C$3)*12+MONTH($C$3)-1,$G398,0))</f>
        <v/>
      </c>
      <c r="P398" s="63">
        <f>$M398-$O398</f>
        <v/>
      </c>
      <c r="Q398" s="63">
        <f>($L398-$M398)-($N398-$O398)</f>
        <v/>
      </c>
      <c r="R398" s="63">
        <f>$L398-$N398</f>
        <v/>
      </c>
    </row>
    <row r="399">
      <c r="A399" s="60">
        <f>ROW()-5</f>
        <v/>
      </c>
      <c r="B399" s="61">
        <f>IFERROR(INDEX(tbl_Finance[Date],$A399),"")</f>
        <v/>
      </c>
      <c r="C399" s="62">
        <f>IFERROR(INDEX(tbl_Finance[Xero Invoice No],$A399),"")</f>
        <v/>
      </c>
      <c r="D399" s="62">
        <f>IFERROR(INDEX(tbl_Finance[Client],$A399),"")</f>
        <v/>
      </c>
      <c r="E399" s="62">
        <f>IFERROR(INDEX(tbl_Finance[Job Number],$A399),"")</f>
        <v/>
      </c>
      <c r="F399" s="62">
        <f>IFERROR(INDEX(tbl_Finance[Cost Centre],$A399),"")</f>
        <v/>
      </c>
      <c r="G399" s="63">
        <f>IFERROR(INDEX(tbl_Finance[Ex GST],$A399),"")</f>
        <v/>
      </c>
      <c r="H399" s="61">
        <f>IFERROR(INDEX(tbl_Finance[Defer Start],$A399),"")</f>
        <v/>
      </c>
      <c r="I399" s="61">
        <f>IFERROR(INDEX(tbl_Finance[Defer End],$A399),"")</f>
        <v/>
      </c>
      <c r="J399" s="60">
        <f>IF(OR($H399="",$I399="",$G399=""),"",MAX(1,(YEAR($I399)-YEAR($H399))*12+MONTH($I399)-MONTH($H399)+1))</f>
        <v/>
      </c>
      <c r="K399" s="63">
        <f>IF($J399="","",$G399/$J399)</f>
        <v/>
      </c>
      <c r="L399" s="63">
        <f>IF($J399="",0,$K399*MAX(0,MIN(YEAR($C$3)*12+MONTH($C$3),YEAR($I399)*12+MONTH($I399))-(YEAR($H399)*12+MONTH($H399))+1))</f>
        <v/>
      </c>
      <c r="M399" s="63">
        <f>IF($J399="",0,$K399*MAX(0,MIN(YEAR($C$3)*12+MONTH($C$3)-1,YEAR($I399)*12+MONTH($I399))-(YEAR($H399)*12+MONTH($H399))+1))</f>
        <v/>
      </c>
      <c r="N399" s="63">
        <f>IF(OR($J399="",$B399=""),0,IF(YEAR($B399)*12+MONTH($B399)&lt;=YEAR($C$3)*12+MONTH($C$3),$G399,0))</f>
        <v/>
      </c>
      <c r="O399" s="63">
        <f>IF(OR($J399="",$B399=""),0,IF(YEAR($B399)*12+MONTH($B399)&lt;=YEAR($C$3)*12+MONTH($C$3)-1,$G399,0))</f>
        <v/>
      </c>
      <c r="P399" s="63">
        <f>$M399-$O399</f>
        <v/>
      </c>
      <c r="Q399" s="63">
        <f>($L399-$M399)-($N399-$O399)</f>
        <v/>
      </c>
      <c r="R399" s="63">
        <f>$L399-$N399</f>
        <v/>
      </c>
    </row>
    <row r="400">
      <c r="A400" s="60">
        <f>ROW()-5</f>
        <v/>
      </c>
      <c r="B400" s="61">
        <f>IFERROR(INDEX(tbl_Finance[Date],$A400),"")</f>
        <v/>
      </c>
      <c r="C400" s="62">
        <f>IFERROR(INDEX(tbl_Finance[Xero Invoice No],$A400),"")</f>
        <v/>
      </c>
      <c r="D400" s="62">
        <f>IFERROR(INDEX(tbl_Finance[Client],$A400),"")</f>
        <v/>
      </c>
      <c r="E400" s="62">
        <f>IFERROR(INDEX(tbl_Finance[Job Number],$A400),"")</f>
        <v/>
      </c>
      <c r="F400" s="62">
        <f>IFERROR(INDEX(tbl_Finance[Cost Centre],$A400),"")</f>
        <v/>
      </c>
      <c r="G400" s="63">
        <f>IFERROR(INDEX(tbl_Finance[Ex GST],$A400),"")</f>
        <v/>
      </c>
      <c r="H400" s="61">
        <f>IFERROR(INDEX(tbl_Finance[Defer Start],$A400),"")</f>
        <v/>
      </c>
      <c r="I400" s="61">
        <f>IFERROR(INDEX(tbl_Finance[Defer End],$A400),"")</f>
        <v/>
      </c>
      <c r="J400" s="60">
        <f>IF(OR($H400="",$I400="",$G400=""),"",MAX(1,(YEAR($I400)-YEAR($H400))*12+MONTH($I400)-MONTH($H400)+1))</f>
        <v/>
      </c>
      <c r="K400" s="63">
        <f>IF($J400="","",$G400/$J400)</f>
        <v/>
      </c>
      <c r="L400" s="63">
        <f>IF($J400="",0,$K400*MAX(0,MIN(YEAR($C$3)*12+MONTH($C$3),YEAR($I400)*12+MONTH($I400))-(YEAR($H400)*12+MONTH($H400))+1))</f>
        <v/>
      </c>
      <c r="M400" s="63">
        <f>IF($J400="",0,$K400*MAX(0,MIN(YEAR($C$3)*12+MONTH($C$3)-1,YEAR($I400)*12+MONTH($I400))-(YEAR($H400)*12+MONTH($H400))+1))</f>
        <v/>
      </c>
      <c r="N400" s="63">
        <f>IF(OR($J400="",$B400=""),0,IF(YEAR($B400)*12+MONTH($B400)&lt;=YEAR($C$3)*12+MONTH($C$3),$G400,0))</f>
        <v/>
      </c>
      <c r="O400" s="63">
        <f>IF(OR($J400="",$B400=""),0,IF(YEAR($B400)*12+MONTH($B400)&lt;=YEAR($C$3)*12+MONTH($C$3)-1,$G400,0))</f>
        <v/>
      </c>
      <c r="P400" s="63">
        <f>$M400-$O400</f>
        <v/>
      </c>
      <c r="Q400" s="63">
        <f>($L400-$M400)-($N400-$O400)</f>
        <v/>
      </c>
      <c r="R400" s="63">
        <f>$L400-$N400</f>
        <v/>
      </c>
    </row>
    <row r="401">
      <c r="A401" s="60">
        <f>ROW()-5</f>
        <v/>
      </c>
      <c r="B401" s="61">
        <f>IFERROR(INDEX(tbl_Finance[Date],$A401),"")</f>
        <v/>
      </c>
      <c r="C401" s="62">
        <f>IFERROR(INDEX(tbl_Finance[Xero Invoice No],$A401),"")</f>
        <v/>
      </c>
      <c r="D401" s="62">
        <f>IFERROR(INDEX(tbl_Finance[Client],$A401),"")</f>
        <v/>
      </c>
      <c r="E401" s="62">
        <f>IFERROR(INDEX(tbl_Finance[Job Number],$A401),"")</f>
        <v/>
      </c>
      <c r="F401" s="62">
        <f>IFERROR(INDEX(tbl_Finance[Cost Centre],$A401),"")</f>
        <v/>
      </c>
      <c r="G401" s="63">
        <f>IFERROR(INDEX(tbl_Finance[Ex GST],$A401),"")</f>
        <v/>
      </c>
      <c r="H401" s="61">
        <f>IFERROR(INDEX(tbl_Finance[Defer Start],$A401),"")</f>
        <v/>
      </c>
      <c r="I401" s="61">
        <f>IFERROR(INDEX(tbl_Finance[Defer End],$A401),"")</f>
        <v/>
      </c>
      <c r="J401" s="60">
        <f>IF(OR($H401="",$I401="",$G401=""),"",MAX(1,(YEAR($I401)-YEAR($H401))*12+MONTH($I401)-MONTH($H401)+1))</f>
        <v/>
      </c>
      <c r="K401" s="63">
        <f>IF($J401="","",$G401/$J401)</f>
        <v/>
      </c>
      <c r="L401" s="63">
        <f>IF($J401="",0,$K401*MAX(0,MIN(YEAR($C$3)*12+MONTH($C$3),YEAR($I401)*12+MONTH($I401))-(YEAR($H401)*12+MONTH($H401))+1))</f>
        <v/>
      </c>
      <c r="M401" s="63">
        <f>IF($J401="",0,$K401*MAX(0,MIN(YEAR($C$3)*12+MONTH($C$3)-1,YEAR($I401)*12+MONTH($I401))-(YEAR($H401)*12+MONTH($H401))+1))</f>
        <v/>
      </c>
      <c r="N401" s="63">
        <f>IF(OR($J401="",$B401=""),0,IF(YEAR($B401)*12+MONTH($B401)&lt;=YEAR($C$3)*12+MONTH($C$3),$G401,0))</f>
        <v/>
      </c>
      <c r="O401" s="63">
        <f>IF(OR($J401="",$B401=""),0,IF(YEAR($B401)*12+MONTH($B401)&lt;=YEAR($C$3)*12+MONTH($C$3)-1,$G401,0))</f>
        <v/>
      </c>
      <c r="P401" s="63">
        <f>$M401-$O401</f>
        <v/>
      </c>
      <c r="Q401" s="63">
        <f>($L401-$M401)-($N401-$O401)</f>
        <v/>
      </c>
      <c r="R401" s="63">
        <f>$L401-$N401</f>
        <v/>
      </c>
    </row>
    <row r="402">
      <c r="A402" s="60">
        <f>ROW()-5</f>
        <v/>
      </c>
      <c r="B402" s="61">
        <f>IFERROR(INDEX(tbl_Finance[Date],$A402),"")</f>
        <v/>
      </c>
      <c r="C402" s="62">
        <f>IFERROR(INDEX(tbl_Finance[Xero Invoice No],$A402),"")</f>
        <v/>
      </c>
      <c r="D402" s="62">
        <f>IFERROR(INDEX(tbl_Finance[Client],$A402),"")</f>
        <v/>
      </c>
      <c r="E402" s="62">
        <f>IFERROR(INDEX(tbl_Finance[Job Number],$A402),"")</f>
        <v/>
      </c>
      <c r="F402" s="62">
        <f>IFERROR(INDEX(tbl_Finance[Cost Centre],$A402),"")</f>
        <v/>
      </c>
      <c r="G402" s="63">
        <f>IFERROR(INDEX(tbl_Finance[Ex GST],$A402),"")</f>
        <v/>
      </c>
      <c r="H402" s="61">
        <f>IFERROR(INDEX(tbl_Finance[Defer Start],$A402),"")</f>
        <v/>
      </c>
      <c r="I402" s="61">
        <f>IFERROR(INDEX(tbl_Finance[Defer End],$A402),"")</f>
        <v/>
      </c>
      <c r="J402" s="60">
        <f>IF(OR($H402="",$I402="",$G402=""),"",MAX(1,(YEAR($I402)-YEAR($H402))*12+MONTH($I402)-MONTH($H402)+1))</f>
        <v/>
      </c>
      <c r="K402" s="63">
        <f>IF($J402="","",$G402/$J402)</f>
        <v/>
      </c>
      <c r="L402" s="63">
        <f>IF($J402="",0,$K402*MAX(0,MIN(YEAR($C$3)*12+MONTH($C$3),YEAR($I402)*12+MONTH($I402))-(YEAR($H402)*12+MONTH($H402))+1))</f>
        <v/>
      </c>
      <c r="M402" s="63">
        <f>IF($J402="",0,$K402*MAX(0,MIN(YEAR($C$3)*12+MONTH($C$3)-1,YEAR($I402)*12+MONTH($I402))-(YEAR($H402)*12+MONTH($H402))+1))</f>
        <v/>
      </c>
      <c r="N402" s="63">
        <f>IF(OR($J402="",$B402=""),0,IF(YEAR($B402)*12+MONTH($B402)&lt;=YEAR($C$3)*12+MONTH($C$3),$G402,0))</f>
        <v/>
      </c>
      <c r="O402" s="63">
        <f>IF(OR($J402="",$B402=""),0,IF(YEAR($B402)*12+MONTH($B402)&lt;=YEAR($C$3)*12+MONTH($C$3)-1,$G402,0))</f>
        <v/>
      </c>
      <c r="P402" s="63">
        <f>$M402-$O402</f>
        <v/>
      </c>
      <c r="Q402" s="63">
        <f>($L402-$M402)-($N402-$O402)</f>
        <v/>
      </c>
      <c r="R402" s="63">
        <f>$L402-$N402</f>
        <v/>
      </c>
    </row>
    <row r="403">
      <c r="A403" s="60">
        <f>ROW()-5</f>
        <v/>
      </c>
      <c r="B403" s="61">
        <f>IFERROR(INDEX(tbl_Finance[Date],$A403),"")</f>
        <v/>
      </c>
      <c r="C403" s="62">
        <f>IFERROR(INDEX(tbl_Finance[Xero Invoice No],$A403),"")</f>
        <v/>
      </c>
      <c r="D403" s="62">
        <f>IFERROR(INDEX(tbl_Finance[Client],$A403),"")</f>
        <v/>
      </c>
      <c r="E403" s="62">
        <f>IFERROR(INDEX(tbl_Finance[Job Number],$A403),"")</f>
        <v/>
      </c>
      <c r="F403" s="62">
        <f>IFERROR(INDEX(tbl_Finance[Cost Centre],$A403),"")</f>
        <v/>
      </c>
      <c r="G403" s="63">
        <f>IFERROR(INDEX(tbl_Finance[Ex GST],$A403),"")</f>
        <v/>
      </c>
      <c r="H403" s="61">
        <f>IFERROR(INDEX(tbl_Finance[Defer Start],$A403),"")</f>
        <v/>
      </c>
      <c r="I403" s="61">
        <f>IFERROR(INDEX(tbl_Finance[Defer End],$A403),"")</f>
        <v/>
      </c>
      <c r="J403" s="60">
        <f>IF(OR($H403="",$I403="",$G403=""),"",MAX(1,(YEAR($I403)-YEAR($H403))*12+MONTH($I403)-MONTH($H403)+1))</f>
        <v/>
      </c>
      <c r="K403" s="63">
        <f>IF($J403="","",$G403/$J403)</f>
        <v/>
      </c>
      <c r="L403" s="63">
        <f>IF($J403="",0,$K403*MAX(0,MIN(YEAR($C$3)*12+MONTH($C$3),YEAR($I403)*12+MONTH($I403))-(YEAR($H403)*12+MONTH($H403))+1))</f>
        <v/>
      </c>
      <c r="M403" s="63">
        <f>IF($J403="",0,$K403*MAX(0,MIN(YEAR($C$3)*12+MONTH($C$3)-1,YEAR($I403)*12+MONTH($I403))-(YEAR($H403)*12+MONTH($H403))+1))</f>
        <v/>
      </c>
      <c r="N403" s="63">
        <f>IF(OR($J403="",$B403=""),0,IF(YEAR($B403)*12+MONTH($B403)&lt;=YEAR($C$3)*12+MONTH($C$3),$G403,0))</f>
        <v/>
      </c>
      <c r="O403" s="63">
        <f>IF(OR($J403="",$B403=""),0,IF(YEAR($B403)*12+MONTH($B403)&lt;=YEAR($C$3)*12+MONTH($C$3)-1,$G403,0))</f>
        <v/>
      </c>
      <c r="P403" s="63">
        <f>$M403-$O403</f>
        <v/>
      </c>
      <c r="Q403" s="63">
        <f>($L403-$M403)-($N403-$O403)</f>
        <v/>
      </c>
      <c r="R403" s="63">
        <f>$L403-$N403</f>
        <v/>
      </c>
    </row>
    <row r="404">
      <c r="A404" s="60">
        <f>ROW()-5</f>
        <v/>
      </c>
      <c r="B404" s="61">
        <f>IFERROR(INDEX(tbl_Finance[Date],$A404),"")</f>
        <v/>
      </c>
      <c r="C404" s="62">
        <f>IFERROR(INDEX(tbl_Finance[Xero Invoice No],$A404),"")</f>
        <v/>
      </c>
      <c r="D404" s="62">
        <f>IFERROR(INDEX(tbl_Finance[Client],$A404),"")</f>
        <v/>
      </c>
      <c r="E404" s="62">
        <f>IFERROR(INDEX(tbl_Finance[Job Number],$A404),"")</f>
        <v/>
      </c>
      <c r="F404" s="62">
        <f>IFERROR(INDEX(tbl_Finance[Cost Centre],$A404),"")</f>
        <v/>
      </c>
      <c r="G404" s="63">
        <f>IFERROR(INDEX(tbl_Finance[Ex GST],$A404),"")</f>
        <v/>
      </c>
      <c r="H404" s="61">
        <f>IFERROR(INDEX(tbl_Finance[Defer Start],$A404),"")</f>
        <v/>
      </c>
      <c r="I404" s="61">
        <f>IFERROR(INDEX(tbl_Finance[Defer End],$A404),"")</f>
        <v/>
      </c>
      <c r="J404" s="60">
        <f>IF(OR($H404="",$I404="",$G404=""),"",MAX(1,(YEAR($I404)-YEAR($H404))*12+MONTH($I404)-MONTH($H404)+1))</f>
        <v/>
      </c>
      <c r="K404" s="63">
        <f>IF($J404="","",$G404/$J404)</f>
        <v/>
      </c>
      <c r="L404" s="63">
        <f>IF($J404="",0,$K404*MAX(0,MIN(YEAR($C$3)*12+MONTH($C$3),YEAR($I404)*12+MONTH($I404))-(YEAR($H404)*12+MONTH($H404))+1))</f>
        <v/>
      </c>
      <c r="M404" s="63">
        <f>IF($J404="",0,$K404*MAX(0,MIN(YEAR($C$3)*12+MONTH($C$3)-1,YEAR($I404)*12+MONTH($I404))-(YEAR($H404)*12+MONTH($H404))+1))</f>
        <v/>
      </c>
      <c r="N404" s="63">
        <f>IF(OR($J404="",$B404=""),0,IF(YEAR($B404)*12+MONTH($B404)&lt;=YEAR($C$3)*12+MONTH($C$3),$G404,0))</f>
        <v/>
      </c>
      <c r="O404" s="63">
        <f>IF(OR($J404="",$B404=""),0,IF(YEAR($B404)*12+MONTH($B404)&lt;=YEAR($C$3)*12+MONTH($C$3)-1,$G404,0))</f>
        <v/>
      </c>
      <c r="P404" s="63">
        <f>$M404-$O404</f>
        <v/>
      </c>
      <c r="Q404" s="63">
        <f>($L404-$M404)-($N404-$O404)</f>
        <v/>
      </c>
      <c r="R404" s="63">
        <f>$L404-$N404</f>
        <v/>
      </c>
    </row>
    <row r="405">
      <c r="A405" s="60">
        <f>ROW()-5</f>
        <v/>
      </c>
      <c r="B405" s="61">
        <f>IFERROR(INDEX(tbl_Finance[Date],$A405),"")</f>
        <v/>
      </c>
      <c r="C405" s="62">
        <f>IFERROR(INDEX(tbl_Finance[Xero Invoice No],$A405),"")</f>
        <v/>
      </c>
      <c r="D405" s="62">
        <f>IFERROR(INDEX(tbl_Finance[Client],$A405),"")</f>
        <v/>
      </c>
      <c r="E405" s="62">
        <f>IFERROR(INDEX(tbl_Finance[Job Number],$A405),"")</f>
        <v/>
      </c>
      <c r="F405" s="62">
        <f>IFERROR(INDEX(tbl_Finance[Cost Centre],$A405),"")</f>
        <v/>
      </c>
      <c r="G405" s="63">
        <f>IFERROR(INDEX(tbl_Finance[Ex GST],$A405),"")</f>
        <v/>
      </c>
      <c r="H405" s="61">
        <f>IFERROR(INDEX(tbl_Finance[Defer Start],$A405),"")</f>
        <v/>
      </c>
      <c r="I405" s="61">
        <f>IFERROR(INDEX(tbl_Finance[Defer End],$A405),"")</f>
        <v/>
      </c>
      <c r="J405" s="60">
        <f>IF(OR($H405="",$I405="",$G405=""),"",MAX(1,(YEAR($I405)-YEAR($H405))*12+MONTH($I405)-MONTH($H405)+1))</f>
        <v/>
      </c>
      <c r="K405" s="63">
        <f>IF($J405="","",$G405/$J405)</f>
        <v/>
      </c>
      <c r="L405" s="63">
        <f>IF($J405="",0,$K405*MAX(0,MIN(YEAR($C$3)*12+MONTH($C$3),YEAR($I405)*12+MONTH($I405))-(YEAR($H405)*12+MONTH($H405))+1))</f>
        <v/>
      </c>
      <c r="M405" s="63">
        <f>IF($J405="",0,$K405*MAX(0,MIN(YEAR($C$3)*12+MONTH($C$3)-1,YEAR($I405)*12+MONTH($I405))-(YEAR($H405)*12+MONTH($H405))+1))</f>
        <v/>
      </c>
      <c r="N405" s="63">
        <f>IF(OR($J405="",$B405=""),0,IF(YEAR($B405)*12+MONTH($B405)&lt;=YEAR($C$3)*12+MONTH($C$3),$G405,0))</f>
        <v/>
      </c>
      <c r="O405" s="63">
        <f>IF(OR($J405="",$B405=""),0,IF(YEAR($B405)*12+MONTH($B405)&lt;=YEAR($C$3)*12+MONTH($C$3)-1,$G405,0))</f>
        <v/>
      </c>
      <c r="P405" s="63">
        <f>$M405-$O405</f>
        <v/>
      </c>
      <c r="Q405" s="63">
        <f>($L405-$M405)-($N405-$O405)</f>
        <v/>
      </c>
      <c r="R405" s="63">
        <f>$L405-$N405</f>
        <v/>
      </c>
    </row>
    <row r="406">
      <c r="A406" s="60">
        <f>ROW()-5</f>
        <v/>
      </c>
      <c r="B406" s="61">
        <f>IFERROR(INDEX(tbl_Finance[Date],$A406),"")</f>
        <v/>
      </c>
      <c r="C406" s="62">
        <f>IFERROR(INDEX(tbl_Finance[Xero Invoice No],$A406),"")</f>
        <v/>
      </c>
      <c r="D406" s="62">
        <f>IFERROR(INDEX(tbl_Finance[Client],$A406),"")</f>
        <v/>
      </c>
      <c r="E406" s="62">
        <f>IFERROR(INDEX(tbl_Finance[Job Number],$A406),"")</f>
        <v/>
      </c>
      <c r="F406" s="62">
        <f>IFERROR(INDEX(tbl_Finance[Cost Centre],$A406),"")</f>
        <v/>
      </c>
      <c r="G406" s="63">
        <f>IFERROR(INDEX(tbl_Finance[Ex GST],$A406),"")</f>
        <v/>
      </c>
      <c r="H406" s="61">
        <f>IFERROR(INDEX(tbl_Finance[Defer Start],$A406),"")</f>
        <v/>
      </c>
      <c r="I406" s="61">
        <f>IFERROR(INDEX(tbl_Finance[Defer End],$A406),"")</f>
        <v/>
      </c>
      <c r="J406" s="60">
        <f>IF(OR($H406="",$I406="",$G406=""),"",MAX(1,(YEAR($I406)-YEAR($H406))*12+MONTH($I406)-MONTH($H406)+1))</f>
        <v/>
      </c>
      <c r="K406" s="63">
        <f>IF($J406="","",$G406/$J406)</f>
        <v/>
      </c>
      <c r="L406" s="63">
        <f>IF($J406="",0,$K406*MAX(0,MIN(YEAR($C$3)*12+MONTH($C$3),YEAR($I406)*12+MONTH($I406))-(YEAR($H406)*12+MONTH($H406))+1))</f>
        <v/>
      </c>
      <c r="M406" s="63">
        <f>IF($J406="",0,$K406*MAX(0,MIN(YEAR($C$3)*12+MONTH($C$3)-1,YEAR($I406)*12+MONTH($I406))-(YEAR($H406)*12+MONTH($H406))+1))</f>
        <v/>
      </c>
      <c r="N406" s="63">
        <f>IF(OR($J406="",$B406=""),0,IF(YEAR($B406)*12+MONTH($B406)&lt;=YEAR($C$3)*12+MONTH($C$3),$G406,0))</f>
        <v/>
      </c>
      <c r="O406" s="63">
        <f>IF(OR($J406="",$B406=""),0,IF(YEAR($B406)*12+MONTH($B406)&lt;=YEAR($C$3)*12+MONTH($C$3)-1,$G406,0))</f>
        <v/>
      </c>
      <c r="P406" s="63">
        <f>$M406-$O406</f>
        <v/>
      </c>
      <c r="Q406" s="63">
        <f>($L406-$M406)-($N406-$O406)</f>
        <v/>
      </c>
      <c r="R406" s="63">
        <f>$L406-$N406</f>
        <v/>
      </c>
    </row>
    <row r="407">
      <c r="A407" s="60">
        <f>ROW()-5</f>
        <v/>
      </c>
      <c r="B407" s="61">
        <f>IFERROR(INDEX(tbl_Finance[Date],$A407),"")</f>
        <v/>
      </c>
      <c r="C407" s="62">
        <f>IFERROR(INDEX(tbl_Finance[Xero Invoice No],$A407),"")</f>
        <v/>
      </c>
      <c r="D407" s="62">
        <f>IFERROR(INDEX(tbl_Finance[Client],$A407),"")</f>
        <v/>
      </c>
      <c r="E407" s="62">
        <f>IFERROR(INDEX(tbl_Finance[Job Number],$A407),"")</f>
        <v/>
      </c>
      <c r="F407" s="62">
        <f>IFERROR(INDEX(tbl_Finance[Cost Centre],$A407),"")</f>
        <v/>
      </c>
      <c r="G407" s="63">
        <f>IFERROR(INDEX(tbl_Finance[Ex GST],$A407),"")</f>
        <v/>
      </c>
      <c r="H407" s="61">
        <f>IFERROR(INDEX(tbl_Finance[Defer Start],$A407),"")</f>
        <v/>
      </c>
      <c r="I407" s="61">
        <f>IFERROR(INDEX(tbl_Finance[Defer End],$A407),"")</f>
        <v/>
      </c>
      <c r="J407" s="60">
        <f>IF(OR($H407="",$I407="",$G407=""),"",MAX(1,(YEAR($I407)-YEAR($H407))*12+MONTH($I407)-MONTH($H407)+1))</f>
        <v/>
      </c>
      <c r="K407" s="63">
        <f>IF($J407="","",$G407/$J407)</f>
        <v/>
      </c>
      <c r="L407" s="63">
        <f>IF($J407="",0,$K407*MAX(0,MIN(YEAR($C$3)*12+MONTH($C$3),YEAR($I407)*12+MONTH($I407))-(YEAR($H407)*12+MONTH($H407))+1))</f>
        <v/>
      </c>
      <c r="M407" s="63">
        <f>IF($J407="",0,$K407*MAX(0,MIN(YEAR($C$3)*12+MONTH($C$3)-1,YEAR($I407)*12+MONTH($I407))-(YEAR($H407)*12+MONTH($H407))+1))</f>
        <v/>
      </c>
      <c r="N407" s="63">
        <f>IF(OR($J407="",$B407=""),0,IF(YEAR($B407)*12+MONTH($B407)&lt;=YEAR($C$3)*12+MONTH($C$3),$G407,0))</f>
        <v/>
      </c>
      <c r="O407" s="63">
        <f>IF(OR($J407="",$B407=""),0,IF(YEAR($B407)*12+MONTH($B407)&lt;=YEAR($C$3)*12+MONTH($C$3)-1,$G407,0))</f>
        <v/>
      </c>
      <c r="P407" s="63">
        <f>$M407-$O407</f>
        <v/>
      </c>
      <c r="Q407" s="63">
        <f>($L407-$M407)-($N407-$O407)</f>
        <v/>
      </c>
      <c r="R407" s="63">
        <f>$L407-$N407</f>
        <v/>
      </c>
    </row>
    <row r="408">
      <c r="A408" s="60">
        <f>ROW()-5</f>
        <v/>
      </c>
      <c r="B408" s="61">
        <f>IFERROR(INDEX(tbl_Finance[Date],$A408),"")</f>
        <v/>
      </c>
      <c r="C408" s="62">
        <f>IFERROR(INDEX(tbl_Finance[Xero Invoice No],$A408),"")</f>
        <v/>
      </c>
      <c r="D408" s="62">
        <f>IFERROR(INDEX(tbl_Finance[Client],$A408),"")</f>
        <v/>
      </c>
      <c r="E408" s="62">
        <f>IFERROR(INDEX(tbl_Finance[Job Number],$A408),"")</f>
        <v/>
      </c>
      <c r="F408" s="62">
        <f>IFERROR(INDEX(tbl_Finance[Cost Centre],$A408),"")</f>
        <v/>
      </c>
      <c r="G408" s="63">
        <f>IFERROR(INDEX(tbl_Finance[Ex GST],$A408),"")</f>
        <v/>
      </c>
      <c r="H408" s="61">
        <f>IFERROR(INDEX(tbl_Finance[Defer Start],$A408),"")</f>
        <v/>
      </c>
      <c r="I408" s="61">
        <f>IFERROR(INDEX(tbl_Finance[Defer End],$A408),"")</f>
        <v/>
      </c>
      <c r="J408" s="60">
        <f>IF(OR($H408="",$I408="",$G408=""),"",MAX(1,(YEAR($I408)-YEAR($H408))*12+MONTH($I408)-MONTH($H408)+1))</f>
        <v/>
      </c>
      <c r="K408" s="63">
        <f>IF($J408="","",$G408/$J408)</f>
        <v/>
      </c>
      <c r="L408" s="63">
        <f>IF($J408="",0,$K408*MAX(0,MIN(YEAR($C$3)*12+MONTH($C$3),YEAR($I408)*12+MONTH($I408))-(YEAR($H408)*12+MONTH($H408))+1))</f>
        <v/>
      </c>
      <c r="M408" s="63">
        <f>IF($J408="",0,$K408*MAX(0,MIN(YEAR($C$3)*12+MONTH($C$3)-1,YEAR($I408)*12+MONTH($I408))-(YEAR($H408)*12+MONTH($H408))+1))</f>
        <v/>
      </c>
      <c r="N408" s="63">
        <f>IF(OR($J408="",$B408=""),0,IF(YEAR($B408)*12+MONTH($B408)&lt;=YEAR($C$3)*12+MONTH($C$3),$G408,0))</f>
        <v/>
      </c>
      <c r="O408" s="63">
        <f>IF(OR($J408="",$B408=""),0,IF(YEAR($B408)*12+MONTH($B408)&lt;=YEAR($C$3)*12+MONTH($C$3)-1,$G408,0))</f>
        <v/>
      </c>
      <c r="P408" s="63">
        <f>$M408-$O408</f>
        <v/>
      </c>
      <c r="Q408" s="63">
        <f>($L408-$M408)-($N408-$O408)</f>
        <v/>
      </c>
      <c r="R408" s="63">
        <f>$L408-$N408</f>
        <v/>
      </c>
    </row>
    <row r="409">
      <c r="A409" s="60">
        <f>ROW()-5</f>
        <v/>
      </c>
      <c r="B409" s="61">
        <f>IFERROR(INDEX(tbl_Finance[Date],$A409),"")</f>
        <v/>
      </c>
      <c r="C409" s="62">
        <f>IFERROR(INDEX(tbl_Finance[Xero Invoice No],$A409),"")</f>
        <v/>
      </c>
      <c r="D409" s="62">
        <f>IFERROR(INDEX(tbl_Finance[Client],$A409),"")</f>
        <v/>
      </c>
      <c r="E409" s="62">
        <f>IFERROR(INDEX(tbl_Finance[Job Number],$A409),"")</f>
        <v/>
      </c>
      <c r="F409" s="62">
        <f>IFERROR(INDEX(tbl_Finance[Cost Centre],$A409),"")</f>
        <v/>
      </c>
      <c r="G409" s="63">
        <f>IFERROR(INDEX(tbl_Finance[Ex GST],$A409),"")</f>
        <v/>
      </c>
      <c r="H409" s="61">
        <f>IFERROR(INDEX(tbl_Finance[Defer Start],$A409),"")</f>
        <v/>
      </c>
      <c r="I409" s="61">
        <f>IFERROR(INDEX(tbl_Finance[Defer End],$A409),"")</f>
        <v/>
      </c>
      <c r="J409" s="60">
        <f>IF(OR($H409="",$I409="",$G409=""),"",MAX(1,(YEAR($I409)-YEAR($H409))*12+MONTH($I409)-MONTH($H409)+1))</f>
        <v/>
      </c>
      <c r="K409" s="63">
        <f>IF($J409="","",$G409/$J409)</f>
        <v/>
      </c>
      <c r="L409" s="63">
        <f>IF($J409="",0,$K409*MAX(0,MIN(YEAR($C$3)*12+MONTH($C$3),YEAR($I409)*12+MONTH($I409))-(YEAR($H409)*12+MONTH($H409))+1))</f>
        <v/>
      </c>
      <c r="M409" s="63">
        <f>IF($J409="",0,$K409*MAX(0,MIN(YEAR($C$3)*12+MONTH($C$3)-1,YEAR($I409)*12+MONTH($I409))-(YEAR($H409)*12+MONTH($H409))+1))</f>
        <v/>
      </c>
      <c r="N409" s="63">
        <f>IF(OR($J409="",$B409=""),0,IF(YEAR($B409)*12+MONTH($B409)&lt;=YEAR($C$3)*12+MONTH($C$3),$G409,0))</f>
        <v/>
      </c>
      <c r="O409" s="63">
        <f>IF(OR($J409="",$B409=""),0,IF(YEAR($B409)*12+MONTH($B409)&lt;=YEAR($C$3)*12+MONTH($C$3)-1,$G409,0))</f>
        <v/>
      </c>
      <c r="P409" s="63">
        <f>$M409-$O409</f>
        <v/>
      </c>
      <c r="Q409" s="63">
        <f>($L409-$M409)-($N409-$O409)</f>
        <v/>
      </c>
      <c r="R409" s="63">
        <f>$L409-$N409</f>
        <v/>
      </c>
    </row>
    <row r="410">
      <c r="A410" s="60">
        <f>ROW()-5</f>
        <v/>
      </c>
      <c r="B410" s="61">
        <f>IFERROR(INDEX(tbl_Finance[Date],$A410),"")</f>
        <v/>
      </c>
      <c r="C410" s="62">
        <f>IFERROR(INDEX(tbl_Finance[Xero Invoice No],$A410),"")</f>
        <v/>
      </c>
      <c r="D410" s="62">
        <f>IFERROR(INDEX(tbl_Finance[Client],$A410),"")</f>
        <v/>
      </c>
      <c r="E410" s="62">
        <f>IFERROR(INDEX(tbl_Finance[Job Number],$A410),"")</f>
        <v/>
      </c>
      <c r="F410" s="62">
        <f>IFERROR(INDEX(tbl_Finance[Cost Centre],$A410),"")</f>
        <v/>
      </c>
      <c r="G410" s="63">
        <f>IFERROR(INDEX(tbl_Finance[Ex GST],$A410),"")</f>
        <v/>
      </c>
      <c r="H410" s="61">
        <f>IFERROR(INDEX(tbl_Finance[Defer Start],$A410),"")</f>
        <v/>
      </c>
      <c r="I410" s="61">
        <f>IFERROR(INDEX(tbl_Finance[Defer End],$A410),"")</f>
        <v/>
      </c>
      <c r="J410" s="60">
        <f>IF(OR($H410="",$I410="",$G410=""),"",MAX(1,(YEAR($I410)-YEAR($H410))*12+MONTH($I410)-MONTH($H410)+1))</f>
        <v/>
      </c>
      <c r="K410" s="63">
        <f>IF($J410="","",$G410/$J410)</f>
        <v/>
      </c>
      <c r="L410" s="63">
        <f>IF($J410="",0,$K410*MAX(0,MIN(YEAR($C$3)*12+MONTH($C$3),YEAR($I410)*12+MONTH($I410))-(YEAR($H410)*12+MONTH($H410))+1))</f>
        <v/>
      </c>
      <c r="M410" s="63">
        <f>IF($J410="",0,$K410*MAX(0,MIN(YEAR($C$3)*12+MONTH($C$3)-1,YEAR($I410)*12+MONTH($I410))-(YEAR($H410)*12+MONTH($H410))+1))</f>
        <v/>
      </c>
      <c r="N410" s="63">
        <f>IF(OR($J410="",$B410=""),0,IF(YEAR($B410)*12+MONTH($B410)&lt;=YEAR($C$3)*12+MONTH($C$3),$G410,0))</f>
        <v/>
      </c>
      <c r="O410" s="63">
        <f>IF(OR($J410="",$B410=""),0,IF(YEAR($B410)*12+MONTH($B410)&lt;=YEAR($C$3)*12+MONTH($C$3)-1,$G410,0))</f>
        <v/>
      </c>
      <c r="P410" s="63">
        <f>$M410-$O410</f>
        <v/>
      </c>
      <c r="Q410" s="63">
        <f>($L410-$M410)-($N410-$O410)</f>
        <v/>
      </c>
      <c r="R410" s="63">
        <f>$L410-$N410</f>
        <v/>
      </c>
    </row>
    <row r="411">
      <c r="A411" s="60">
        <f>ROW()-5</f>
        <v/>
      </c>
      <c r="B411" s="61">
        <f>IFERROR(INDEX(tbl_Finance[Date],$A411),"")</f>
        <v/>
      </c>
      <c r="C411" s="62">
        <f>IFERROR(INDEX(tbl_Finance[Xero Invoice No],$A411),"")</f>
        <v/>
      </c>
      <c r="D411" s="62">
        <f>IFERROR(INDEX(tbl_Finance[Client],$A411),"")</f>
        <v/>
      </c>
      <c r="E411" s="62">
        <f>IFERROR(INDEX(tbl_Finance[Job Number],$A411),"")</f>
        <v/>
      </c>
      <c r="F411" s="62">
        <f>IFERROR(INDEX(tbl_Finance[Cost Centre],$A411),"")</f>
        <v/>
      </c>
      <c r="G411" s="63">
        <f>IFERROR(INDEX(tbl_Finance[Ex GST],$A411),"")</f>
        <v/>
      </c>
      <c r="H411" s="61">
        <f>IFERROR(INDEX(tbl_Finance[Defer Start],$A411),"")</f>
        <v/>
      </c>
      <c r="I411" s="61">
        <f>IFERROR(INDEX(tbl_Finance[Defer End],$A411),"")</f>
        <v/>
      </c>
      <c r="J411" s="60">
        <f>IF(OR($H411="",$I411="",$G411=""),"",MAX(1,(YEAR($I411)-YEAR($H411))*12+MONTH($I411)-MONTH($H411)+1))</f>
        <v/>
      </c>
      <c r="K411" s="63">
        <f>IF($J411="","",$G411/$J411)</f>
        <v/>
      </c>
      <c r="L411" s="63">
        <f>IF($J411="",0,$K411*MAX(0,MIN(YEAR($C$3)*12+MONTH($C$3),YEAR($I411)*12+MONTH($I411))-(YEAR($H411)*12+MONTH($H411))+1))</f>
        <v/>
      </c>
      <c r="M411" s="63">
        <f>IF($J411="",0,$K411*MAX(0,MIN(YEAR($C$3)*12+MONTH($C$3)-1,YEAR($I411)*12+MONTH($I411))-(YEAR($H411)*12+MONTH($H411))+1))</f>
        <v/>
      </c>
      <c r="N411" s="63">
        <f>IF(OR($J411="",$B411=""),0,IF(YEAR($B411)*12+MONTH($B411)&lt;=YEAR($C$3)*12+MONTH($C$3),$G411,0))</f>
        <v/>
      </c>
      <c r="O411" s="63">
        <f>IF(OR($J411="",$B411=""),0,IF(YEAR($B411)*12+MONTH($B411)&lt;=YEAR($C$3)*12+MONTH($C$3)-1,$G411,0))</f>
        <v/>
      </c>
      <c r="P411" s="63">
        <f>$M411-$O411</f>
        <v/>
      </c>
      <c r="Q411" s="63">
        <f>($L411-$M411)-($N411-$O411)</f>
        <v/>
      </c>
      <c r="R411" s="63">
        <f>$L411-$N411</f>
        <v/>
      </c>
    </row>
    <row r="412">
      <c r="A412" s="60">
        <f>ROW()-5</f>
        <v/>
      </c>
      <c r="B412" s="61">
        <f>IFERROR(INDEX(tbl_Finance[Date],$A412),"")</f>
        <v/>
      </c>
      <c r="C412" s="62">
        <f>IFERROR(INDEX(tbl_Finance[Xero Invoice No],$A412),"")</f>
        <v/>
      </c>
      <c r="D412" s="62">
        <f>IFERROR(INDEX(tbl_Finance[Client],$A412),"")</f>
        <v/>
      </c>
      <c r="E412" s="62">
        <f>IFERROR(INDEX(tbl_Finance[Job Number],$A412),"")</f>
        <v/>
      </c>
      <c r="F412" s="62">
        <f>IFERROR(INDEX(tbl_Finance[Cost Centre],$A412),"")</f>
        <v/>
      </c>
      <c r="G412" s="63">
        <f>IFERROR(INDEX(tbl_Finance[Ex GST],$A412),"")</f>
        <v/>
      </c>
      <c r="H412" s="61">
        <f>IFERROR(INDEX(tbl_Finance[Defer Start],$A412),"")</f>
        <v/>
      </c>
      <c r="I412" s="61">
        <f>IFERROR(INDEX(tbl_Finance[Defer End],$A412),"")</f>
        <v/>
      </c>
      <c r="J412" s="60">
        <f>IF(OR($H412="",$I412="",$G412=""),"",MAX(1,(YEAR($I412)-YEAR($H412))*12+MONTH($I412)-MONTH($H412)+1))</f>
        <v/>
      </c>
      <c r="K412" s="63">
        <f>IF($J412="","",$G412/$J412)</f>
        <v/>
      </c>
      <c r="L412" s="63">
        <f>IF($J412="",0,$K412*MAX(0,MIN(YEAR($C$3)*12+MONTH($C$3),YEAR($I412)*12+MONTH($I412))-(YEAR($H412)*12+MONTH($H412))+1))</f>
        <v/>
      </c>
      <c r="M412" s="63">
        <f>IF($J412="",0,$K412*MAX(0,MIN(YEAR($C$3)*12+MONTH($C$3)-1,YEAR($I412)*12+MONTH($I412))-(YEAR($H412)*12+MONTH($H412))+1))</f>
        <v/>
      </c>
      <c r="N412" s="63">
        <f>IF(OR($J412="",$B412=""),0,IF(YEAR($B412)*12+MONTH($B412)&lt;=YEAR($C$3)*12+MONTH($C$3),$G412,0))</f>
        <v/>
      </c>
      <c r="O412" s="63">
        <f>IF(OR($J412="",$B412=""),0,IF(YEAR($B412)*12+MONTH($B412)&lt;=YEAR($C$3)*12+MONTH($C$3)-1,$G412,0))</f>
        <v/>
      </c>
      <c r="P412" s="63">
        <f>$M412-$O412</f>
        <v/>
      </c>
      <c r="Q412" s="63">
        <f>($L412-$M412)-($N412-$O412)</f>
        <v/>
      </c>
      <c r="R412" s="63">
        <f>$L412-$N412</f>
        <v/>
      </c>
    </row>
    <row r="413">
      <c r="A413" s="60">
        <f>ROW()-5</f>
        <v/>
      </c>
      <c r="B413" s="61">
        <f>IFERROR(INDEX(tbl_Finance[Date],$A413),"")</f>
        <v/>
      </c>
      <c r="C413" s="62">
        <f>IFERROR(INDEX(tbl_Finance[Xero Invoice No],$A413),"")</f>
        <v/>
      </c>
      <c r="D413" s="62">
        <f>IFERROR(INDEX(tbl_Finance[Client],$A413),"")</f>
        <v/>
      </c>
      <c r="E413" s="62">
        <f>IFERROR(INDEX(tbl_Finance[Job Number],$A413),"")</f>
        <v/>
      </c>
      <c r="F413" s="62">
        <f>IFERROR(INDEX(tbl_Finance[Cost Centre],$A413),"")</f>
        <v/>
      </c>
      <c r="G413" s="63">
        <f>IFERROR(INDEX(tbl_Finance[Ex GST],$A413),"")</f>
        <v/>
      </c>
      <c r="H413" s="61">
        <f>IFERROR(INDEX(tbl_Finance[Defer Start],$A413),"")</f>
        <v/>
      </c>
      <c r="I413" s="61">
        <f>IFERROR(INDEX(tbl_Finance[Defer End],$A413),"")</f>
        <v/>
      </c>
      <c r="J413" s="60">
        <f>IF(OR($H413="",$I413="",$G413=""),"",MAX(1,(YEAR($I413)-YEAR($H413))*12+MONTH($I413)-MONTH($H413)+1))</f>
        <v/>
      </c>
      <c r="K413" s="63">
        <f>IF($J413="","",$G413/$J413)</f>
        <v/>
      </c>
      <c r="L413" s="63">
        <f>IF($J413="",0,$K413*MAX(0,MIN(YEAR($C$3)*12+MONTH($C$3),YEAR($I413)*12+MONTH($I413))-(YEAR($H413)*12+MONTH($H413))+1))</f>
        <v/>
      </c>
      <c r="M413" s="63">
        <f>IF($J413="",0,$K413*MAX(0,MIN(YEAR($C$3)*12+MONTH($C$3)-1,YEAR($I413)*12+MONTH($I413))-(YEAR($H413)*12+MONTH($H413))+1))</f>
        <v/>
      </c>
      <c r="N413" s="63">
        <f>IF(OR($J413="",$B413=""),0,IF(YEAR($B413)*12+MONTH($B413)&lt;=YEAR($C$3)*12+MONTH($C$3),$G413,0))</f>
        <v/>
      </c>
      <c r="O413" s="63">
        <f>IF(OR($J413="",$B413=""),0,IF(YEAR($B413)*12+MONTH($B413)&lt;=YEAR($C$3)*12+MONTH($C$3)-1,$G413,0))</f>
        <v/>
      </c>
      <c r="P413" s="63">
        <f>$M413-$O413</f>
        <v/>
      </c>
      <c r="Q413" s="63">
        <f>($L413-$M413)-($N413-$O413)</f>
        <v/>
      </c>
      <c r="R413" s="63">
        <f>$L413-$N413</f>
        <v/>
      </c>
    </row>
    <row r="414">
      <c r="A414" s="60">
        <f>ROW()-5</f>
        <v/>
      </c>
      <c r="B414" s="61">
        <f>IFERROR(INDEX(tbl_Finance[Date],$A414),"")</f>
        <v/>
      </c>
      <c r="C414" s="62">
        <f>IFERROR(INDEX(tbl_Finance[Xero Invoice No],$A414),"")</f>
        <v/>
      </c>
      <c r="D414" s="62">
        <f>IFERROR(INDEX(tbl_Finance[Client],$A414),"")</f>
        <v/>
      </c>
      <c r="E414" s="62">
        <f>IFERROR(INDEX(tbl_Finance[Job Number],$A414),"")</f>
        <v/>
      </c>
      <c r="F414" s="62">
        <f>IFERROR(INDEX(tbl_Finance[Cost Centre],$A414),"")</f>
        <v/>
      </c>
      <c r="G414" s="63">
        <f>IFERROR(INDEX(tbl_Finance[Ex GST],$A414),"")</f>
        <v/>
      </c>
      <c r="H414" s="61">
        <f>IFERROR(INDEX(tbl_Finance[Defer Start],$A414),"")</f>
        <v/>
      </c>
      <c r="I414" s="61">
        <f>IFERROR(INDEX(tbl_Finance[Defer End],$A414),"")</f>
        <v/>
      </c>
      <c r="J414" s="60">
        <f>IF(OR($H414="",$I414="",$G414=""),"",MAX(1,(YEAR($I414)-YEAR($H414))*12+MONTH($I414)-MONTH($H414)+1))</f>
        <v/>
      </c>
      <c r="K414" s="63">
        <f>IF($J414="","",$G414/$J414)</f>
        <v/>
      </c>
      <c r="L414" s="63">
        <f>IF($J414="",0,$K414*MAX(0,MIN(YEAR($C$3)*12+MONTH($C$3),YEAR($I414)*12+MONTH($I414))-(YEAR($H414)*12+MONTH($H414))+1))</f>
        <v/>
      </c>
      <c r="M414" s="63">
        <f>IF($J414="",0,$K414*MAX(0,MIN(YEAR($C$3)*12+MONTH($C$3)-1,YEAR($I414)*12+MONTH($I414))-(YEAR($H414)*12+MONTH($H414))+1))</f>
        <v/>
      </c>
      <c r="N414" s="63">
        <f>IF(OR($J414="",$B414=""),0,IF(YEAR($B414)*12+MONTH($B414)&lt;=YEAR($C$3)*12+MONTH($C$3),$G414,0))</f>
        <v/>
      </c>
      <c r="O414" s="63">
        <f>IF(OR($J414="",$B414=""),0,IF(YEAR($B414)*12+MONTH($B414)&lt;=YEAR($C$3)*12+MONTH($C$3)-1,$G414,0))</f>
        <v/>
      </c>
      <c r="P414" s="63">
        <f>$M414-$O414</f>
        <v/>
      </c>
      <c r="Q414" s="63">
        <f>($L414-$M414)-($N414-$O414)</f>
        <v/>
      </c>
      <c r="R414" s="63">
        <f>$L414-$N414</f>
        <v/>
      </c>
    </row>
    <row r="415">
      <c r="A415" s="60">
        <f>ROW()-5</f>
        <v/>
      </c>
      <c r="B415" s="61">
        <f>IFERROR(INDEX(tbl_Finance[Date],$A415),"")</f>
        <v/>
      </c>
      <c r="C415" s="62">
        <f>IFERROR(INDEX(tbl_Finance[Xero Invoice No],$A415),"")</f>
        <v/>
      </c>
      <c r="D415" s="62">
        <f>IFERROR(INDEX(tbl_Finance[Client],$A415),"")</f>
        <v/>
      </c>
      <c r="E415" s="62">
        <f>IFERROR(INDEX(tbl_Finance[Job Number],$A415),"")</f>
        <v/>
      </c>
      <c r="F415" s="62">
        <f>IFERROR(INDEX(tbl_Finance[Cost Centre],$A415),"")</f>
        <v/>
      </c>
      <c r="G415" s="63">
        <f>IFERROR(INDEX(tbl_Finance[Ex GST],$A415),"")</f>
        <v/>
      </c>
      <c r="H415" s="61">
        <f>IFERROR(INDEX(tbl_Finance[Defer Start],$A415),"")</f>
        <v/>
      </c>
      <c r="I415" s="61">
        <f>IFERROR(INDEX(tbl_Finance[Defer End],$A415),"")</f>
        <v/>
      </c>
      <c r="J415" s="60">
        <f>IF(OR($H415="",$I415="",$G415=""),"",MAX(1,(YEAR($I415)-YEAR($H415))*12+MONTH($I415)-MONTH($H415)+1))</f>
        <v/>
      </c>
      <c r="K415" s="63">
        <f>IF($J415="","",$G415/$J415)</f>
        <v/>
      </c>
      <c r="L415" s="63">
        <f>IF($J415="",0,$K415*MAX(0,MIN(YEAR($C$3)*12+MONTH($C$3),YEAR($I415)*12+MONTH($I415))-(YEAR($H415)*12+MONTH($H415))+1))</f>
        <v/>
      </c>
      <c r="M415" s="63">
        <f>IF($J415="",0,$K415*MAX(0,MIN(YEAR($C$3)*12+MONTH($C$3)-1,YEAR($I415)*12+MONTH($I415))-(YEAR($H415)*12+MONTH($H415))+1))</f>
        <v/>
      </c>
      <c r="N415" s="63">
        <f>IF(OR($J415="",$B415=""),0,IF(YEAR($B415)*12+MONTH($B415)&lt;=YEAR($C$3)*12+MONTH($C$3),$G415,0))</f>
        <v/>
      </c>
      <c r="O415" s="63">
        <f>IF(OR($J415="",$B415=""),0,IF(YEAR($B415)*12+MONTH($B415)&lt;=YEAR($C$3)*12+MONTH($C$3)-1,$G415,0))</f>
        <v/>
      </c>
      <c r="P415" s="63">
        <f>$M415-$O415</f>
        <v/>
      </c>
      <c r="Q415" s="63">
        <f>($L415-$M415)-($N415-$O415)</f>
        <v/>
      </c>
      <c r="R415" s="63">
        <f>$L415-$N415</f>
        <v/>
      </c>
    </row>
    <row r="416">
      <c r="A416" s="60">
        <f>ROW()-5</f>
        <v/>
      </c>
      <c r="B416" s="61">
        <f>IFERROR(INDEX(tbl_Finance[Date],$A416),"")</f>
        <v/>
      </c>
      <c r="C416" s="62">
        <f>IFERROR(INDEX(tbl_Finance[Xero Invoice No],$A416),"")</f>
        <v/>
      </c>
      <c r="D416" s="62">
        <f>IFERROR(INDEX(tbl_Finance[Client],$A416),"")</f>
        <v/>
      </c>
      <c r="E416" s="62">
        <f>IFERROR(INDEX(tbl_Finance[Job Number],$A416),"")</f>
        <v/>
      </c>
      <c r="F416" s="62">
        <f>IFERROR(INDEX(tbl_Finance[Cost Centre],$A416),"")</f>
        <v/>
      </c>
      <c r="G416" s="63">
        <f>IFERROR(INDEX(tbl_Finance[Ex GST],$A416),"")</f>
        <v/>
      </c>
      <c r="H416" s="61">
        <f>IFERROR(INDEX(tbl_Finance[Defer Start],$A416),"")</f>
        <v/>
      </c>
      <c r="I416" s="61">
        <f>IFERROR(INDEX(tbl_Finance[Defer End],$A416),"")</f>
        <v/>
      </c>
      <c r="J416" s="60">
        <f>IF(OR($H416="",$I416="",$G416=""),"",MAX(1,(YEAR($I416)-YEAR($H416))*12+MONTH($I416)-MONTH($H416)+1))</f>
        <v/>
      </c>
      <c r="K416" s="63">
        <f>IF($J416="","",$G416/$J416)</f>
        <v/>
      </c>
      <c r="L416" s="63">
        <f>IF($J416="",0,$K416*MAX(0,MIN(YEAR($C$3)*12+MONTH($C$3),YEAR($I416)*12+MONTH($I416))-(YEAR($H416)*12+MONTH($H416))+1))</f>
        <v/>
      </c>
      <c r="M416" s="63">
        <f>IF($J416="",0,$K416*MAX(0,MIN(YEAR($C$3)*12+MONTH($C$3)-1,YEAR($I416)*12+MONTH($I416))-(YEAR($H416)*12+MONTH($H416))+1))</f>
        <v/>
      </c>
      <c r="N416" s="63">
        <f>IF(OR($J416="",$B416=""),0,IF(YEAR($B416)*12+MONTH($B416)&lt;=YEAR($C$3)*12+MONTH($C$3),$G416,0))</f>
        <v/>
      </c>
      <c r="O416" s="63">
        <f>IF(OR($J416="",$B416=""),0,IF(YEAR($B416)*12+MONTH($B416)&lt;=YEAR($C$3)*12+MONTH($C$3)-1,$G416,0))</f>
        <v/>
      </c>
      <c r="P416" s="63">
        <f>$M416-$O416</f>
        <v/>
      </c>
      <c r="Q416" s="63">
        <f>($L416-$M416)-($N416-$O416)</f>
        <v/>
      </c>
      <c r="R416" s="63">
        <f>$L416-$N416</f>
        <v/>
      </c>
    </row>
    <row r="417">
      <c r="A417" s="60">
        <f>ROW()-5</f>
        <v/>
      </c>
      <c r="B417" s="61">
        <f>IFERROR(INDEX(tbl_Finance[Date],$A417),"")</f>
        <v/>
      </c>
      <c r="C417" s="62">
        <f>IFERROR(INDEX(tbl_Finance[Xero Invoice No],$A417),"")</f>
        <v/>
      </c>
      <c r="D417" s="62">
        <f>IFERROR(INDEX(tbl_Finance[Client],$A417),"")</f>
        <v/>
      </c>
      <c r="E417" s="62">
        <f>IFERROR(INDEX(tbl_Finance[Job Number],$A417),"")</f>
        <v/>
      </c>
      <c r="F417" s="62">
        <f>IFERROR(INDEX(tbl_Finance[Cost Centre],$A417),"")</f>
        <v/>
      </c>
      <c r="G417" s="63">
        <f>IFERROR(INDEX(tbl_Finance[Ex GST],$A417),"")</f>
        <v/>
      </c>
      <c r="H417" s="61">
        <f>IFERROR(INDEX(tbl_Finance[Defer Start],$A417),"")</f>
        <v/>
      </c>
      <c r="I417" s="61">
        <f>IFERROR(INDEX(tbl_Finance[Defer End],$A417),"")</f>
        <v/>
      </c>
      <c r="J417" s="60">
        <f>IF(OR($H417="",$I417="",$G417=""),"",MAX(1,(YEAR($I417)-YEAR($H417))*12+MONTH($I417)-MONTH($H417)+1))</f>
        <v/>
      </c>
      <c r="K417" s="63">
        <f>IF($J417="","",$G417/$J417)</f>
        <v/>
      </c>
      <c r="L417" s="63">
        <f>IF($J417="",0,$K417*MAX(0,MIN(YEAR($C$3)*12+MONTH($C$3),YEAR($I417)*12+MONTH($I417))-(YEAR($H417)*12+MONTH($H417))+1))</f>
        <v/>
      </c>
      <c r="M417" s="63">
        <f>IF($J417="",0,$K417*MAX(0,MIN(YEAR($C$3)*12+MONTH($C$3)-1,YEAR($I417)*12+MONTH($I417))-(YEAR($H417)*12+MONTH($H417))+1))</f>
        <v/>
      </c>
      <c r="N417" s="63">
        <f>IF(OR($J417="",$B417=""),0,IF(YEAR($B417)*12+MONTH($B417)&lt;=YEAR($C$3)*12+MONTH($C$3),$G417,0))</f>
        <v/>
      </c>
      <c r="O417" s="63">
        <f>IF(OR($J417="",$B417=""),0,IF(YEAR($B417)*12+MONTH($B417)&lt;=YEAR($C$3)*12+MONTH($C$3)-1,$G417,0))</f>
        <v/>
      </c>
      <c r="P417" s="63">
        <f>$M417-$O417</f>
        <v/>
      </c>
      <c r="Q417" s="63">
        <f>($L417-$M417)-($N417-$O417)</f>
        <v/>
      </c>
      <c r="R417" s="63">
        <f>$L417-$N417</f>
        <v/>
      </c>
    </row>
    <row r="418">
      <c r="A418" s="60">
        <f>ROW()-5</f>
        <v/>
      </c>
      <c r="B418" s="61">
        <f>IFERROR(INDEX(tbl_Finance[Date],$A418),"")</f>
        <v/>
      </c>
      <c r="C418" s="62">
        <f>IFERROR(INDEX(tbl_Finance[Xero Invoice No],$A418),"")</f>
        <v/>
      </c>
      <c r="D418" s="62">
        <f>IFERROR(INDEX(tbl_Finance[Client],$A418),"")</f>
        <v/>
      </c>
      <c r="E418" s="62">
        <f>IFERROR(INDEX(tbl_Finance[Job Number],$A418),"")</f>
        <v/>
      </c>
      <c r="F418" s="62">
        <f>IFERROR(INDEX(tbl_Finance[Cost Centre],$A418),"")</f>
        <v/>
      </c>
      <c r="G418" s="63">
        <f>IFERROR(INDEX(tbl_Finance[Ex GST],$A418),"")</f>
        <v/>
      </c>
      <c r="H418" s="61">
        <f>IFERROR(INDEX(tbl_Finance[Defer Start],$A418),"")</f>
        <v/>
      </c>
      <c r="I418" s="61">
        <f>IFERROR(INDEX(tbl_Finance[Defer End],$A418),"")</f>
        <v/>
      </c>
      <c r="J418" s="60">
        <f>IF(OR($H418="",$I418="",$G418=""),"",MAX(1,(YEAR($I418)-YEAR($H418))*12+MONTH($I418)-MONTH($H418)+1))</f>
        <v/>
      </c>
      <c r="K418" s="63">
        <f>IF($J418="","",$G418/$J418)</f>
        <v/>
      </c>
      <c r="L418" s="63">
        <f>IF($J418="",0,$K418*MAX(0,MIN(YEAR($C$3)*12+MONTH($C$3),YEAR($I418)*12+MONTH($I418))-(YEAR($H418)*12+MONTH($H418))+1))</f>
        <v/>
      </c>
      <c r="M418" s="63">
        <f>IF($J418="",0,$K418*MAX(0,MIN(YEAR($C$3)*12+MONTH($C$3)-1,YEAR($I418)*12+MONTH($I418))-(YEAR($H418)*12+MONTH($H418))+1))</f>
        <v/>
      </c>
      <c r="N418" s="63">
        <f>IF(OR($J418="",$B418=""),0,IF(YEAR($B418)*12+MONTH($B418)&lt;=YEAR($C$3)*12+MONTH($C$3),$G418,0))</f>
        <v/>
      </c>
      <c r="O418" s="63">
        <f>IF(OR($J418="",$B418=""),0,IF(YEAR($B418)*12+MONTH($B418)&lt;=YEAR($C$3)*12+MONTH($C$3)-1,$G418,0))</f>
        <v/>
      </c>
      <c r="P418" s="63">
        <f>$M418-$O418</f>
        <v/>
      </c>
      <c r="Q418" s="63">
        <f>($L418-$M418)-($N418-$O418)</f>
        <v/>
      </c>
      <c r="R418" s="63">
        <f>$L418-$N418</f>
        <v/>
      </c>
    </row>
    <row r="419">
      <c r="A419" s="60">
        <f>ROW()-5</f>
        <v/>
      </c>
      <c r="B419" s="61">
        <f>IFERROR(INDEX(tbl_Finance[Date],$A419),"")</f>
        <v/>
      </c>
      <c r="C419" s="62">
        <f>IFERROR(INDEX(tbl_Finance[Xero Invoice No],$A419),"")</f>
        <v/>
      </c>
      <c r="D419" s="62">
        <f>IFERROR(INDEX(tbl_Finance[Client],$A419),"")</f>
        <v/>
      </c>
      <c r="E419" s="62">
        <f>IFERROR(INDEX(tbl_Finance[Job Number],$A419),"")</f>
        <v/>
      </c>
      <c r="F419" s="62">
        <f>IFERROR(INDEX(tbl_Finance[Cost Centre],$A419),"")</f>
        <v/>
      </c>
      <c r="G419" s="63">
        <f>IFERROR(INDEX(tbl_Finance[Ex GST],$A419),"")</f>
        <v/>
      </c>
      <c r="H419" s="61">
        <f>IFERROR(INDEX(tbl_Finance[Defer Start],$A419),"")</f>
        <v/>
      </c>
      <c r="I419" s="61">
        <f>IFERROR(INDEX(tbl_Finance[Defer End],$A419),"")</f>
        <v/>
      </c>
      <c r="J419" s="60">
        <f>IF(OR($H419="",$I419="",$G419=""),"",MAX(1,(YEAR($I419)-YEAR($H419))*12+MONTH($I419)-MONTH($H419)+1))</f>
        <v/>
      </c>
      <c r="K419" s="63">
        <f>IF($J419="","",$G419/$J419)</f>
        <v/>
      </c>
      <c r="L419" s="63">
        <f>IF($J419="",0,$K419*MAX(0,MIN(YEAR($C$3)*12+MONTH($C$3),YEAR($I419)*12+MONTH($I419))-(YEAR($H419)*12+MONTH($H419))+1))</f>
        <v/>
      </c>
      <c r="M419" s="63">
        <f>IF($J419="",0,$K419*MAX(0,MIN(YEAR($C$3)*12+MONTH($C$3)-1,YEAR($I419)*12+MONTH($I419))-(YEAR($H419)*12+MONTH($H419))+1))</f>
        <v/>
      </c>
      <c r="N419" s="63">
        <f>IF(OR($J419="",$B419=""),0,IF(YEAR($B419)*12+MONTH($B419)&lt;=YEAR($C$3)*12+MONTH($C$3),$G419,0))</f>
        <v/>
      </c>
      <c r="O419" s="63">
        <f>IF(OR($J419="",$B419=""),0,IF(YEAR($B419)*12+MONTH($B419)&lt;=YEAR($C$3)*12+MONTH($C$3)-1,$G419,0))</f>
        <v/>
      </c>
      <c r="P419" s="63">
        <f>$M419-$O419</f>
        <v/>
      </c>
      <c r="Q419" s="63">
        <f>($L419-$M419)-($N419-$O419)</f>
        <v/>
      </c>
      <c r="R419" s="63">
        <f>$L419-$N419</f>
        <v/>
      </c>
    </row>
    <row r="420">
      <c r="A420" s="60">
        <f>ROW()-5</f>
        <v/>
      </c>
      <c r="B420" s="61">
        <f>IFERROR(INDEX(tbl_Finance[Date],$A420),"")</f>
        <v/>
      </c>
      <c r="C420" s="62">
        <f>IFERROR(INDEX(tbl_Finance[Xero Invoice No],$A420),"")</f>
        <v/>
      </c>
      <c r="D420" s="62">
        <f>IFERROR(INDEX(tbl_Finance[Client],$A420),"")</f>
        <v/>
      </c>
      <c r="E420" s="62">
        <f>IFERROR(INDEX(tbl_Finance[Job Number],$A420),"")</f>
        <v/>
      </c>
      <c r="F420" s="62">
        <f>IFERROR(INDEX(tbl_Finance[Cost Centre],$A420),"")</f>
        <v/>
      </c>
      <c r="G420" s="63">
        <f>IFERROR(INDEX(tbl_Finance[Ex GST],$A420),"")</f>
        <v/>
      </c>
      <c r="H420" s="61">
        <f>IFERROR(INDEX(tbl_Finance[Defer Start],$A420),"")</f>
        <v/>
      </c>
      <c r="I420" s="61">
        <f>IFERROR(INDEX(tbl_Finance[Defer End],$A420),"")</f>
        <v/>
      </c>
      <c r="J420" s="60">
        <f>IF(OR($H420="",$I420="",$G420=""),"",MAX(1,(YEAR($I420)-YEAR($H420))*12+MONTH($I420)-MONTH($H420)+1))</f>
        <v/>
      </c>
      <c r="K420" s="63">
        <f>IF($J420="","",$G420/$J420)</f>
        <v/>
      </c>
      <c r="L420" s="63">
        <f>IF($J420="",0,$K420*MAX(0,MIN(YEAR($C$3)*12+MONTH($C$3),YEAR($I420)*12+MONTH($I420))-(YEAR($H420)*12+MONTH($H420))+1))</f>
        <v/>
      </c>
      <c r="M420" s="63">
        <f>IF($J420="",0,$K420*MAX(0,MIN(YEAR($C$3)*12+MONTH($C$3)-1,YEAR($I420)*12+MONTH($I420))-(YEAR($H420)*12+MONTH($H420))+1))</f>
        <v/>
      </c>
      <c r="N420" s="63">
        <f>IF(OR($J420="",$B420=""),0,IF(YEAR($B420)*12+MONTH($B420)&lt;=YEAR($C$3)*12+MONTH($C$3),$G420,0))</f>
        <v/>
      </c>
      <c r="O420" s="63">
        <f>IF(OR($J420="",$B420=""),0,IF(YEAR($B420)*12+MONTH($B420)&lt;=YEAR($C$3)*12+MONTH($C$3)-1,$G420,0))</f>
        <v/>
      </c>
      <c r="P420" s="63">
        <f>$M420-$O420</f>
        <v/>
      </c>
      <c r="Q420" s="63">
        <f>($L420-$M420)-($N420-$O420)</f>
        <v/>
      </c>
      <c r="R420" s="63">
        <f>$L420-$N420</f>
        <v/>
      </c>
    </row>
    <row r="421">
      <c r="A421" s="60">
        <f>ROW()-5</f>
        <v/>
      </c>
      <c r="B421" s="61">
        <f>IFERROR(INDEX(tbl_Finance[Date],$A421),"")</f>
        <v/>
      </c>
      <c r="C421" s="62">
        <f>IFERROR(INDEX(tbl_Finance[Xero Invoice No],$A421),"")</f>
        <v/>
      </c>
      <c r="D421" s="62">
        <f>IFERROR(INDEX(tbl_Finance[Client],$A421),"")</f>
        <v/>
      </c>
      <c r="E421" s="62">
        <f>IFERROR(INDEX(tbl_Finance[Job Number],$A421),"")</f>
        <v/>
      </c>
      <c r="F421" s="62">
        <f>IFERROR(INDEX(tbl_Finance[Cost Centre],$A421),"")</f>
        <v/>
      </c>
      <c r="G421" s="63">
        <f>IFERROR(INDEX(tbl_Finance[Ex GST],$A421),"")</f>
        <v/>
      </c>
      <c r="H421" s="61">
        <f>IFERROR(INDEX(tbl_Finance[Defer Start],$A421),"")</f>
        <v/>
      </c>
      <c r="I421" s="61">
        <f>IFERROR(INDEX(tbl_Finance[Defer End],$A421),"")</f>
        <v/>
      </c>
      <c r="J421" s="60">
        <f>IF(OR($H421="",$I421="",$G421=""),"",MAX(1,(YEAR($I421)-YEAR($H421))*12+MONTH($I421)-MONTH($H421)+1))</f>
        <v/>
      </c>
      <c r="K421" s="63">
        <f>IF($J421="","",$G421/$J421)</f>
        <v/>
      </c>
      <c r="L421" s="63">
        <f>IF($J421="",0,$K421*MAX(0,MIN(YEAR($C$3)*12+MONTH($C$3),YEAR($I421)*12+MONTH($I421))-(YEAR($H421)*12+MONTH($H421))+1))</f>
        <v/>
      </c>
      <c r="M421" s="63">
        <f>IF($J421="",0,$K421*MAX(0,MIN(YEAR($C$3)*12+MONTH($C$3)-1,YEAR($I421)*12+MONTH($I421))-(YEAR($H421)*12+MONTH($H421))+1))</f>
        <v/>
      </c>
      <c r="N421" s="63">
        <f>IF(OR($J421="",$B421=""),0,IF(YEAR($B421)*12+MONTH($B421)&lt;=YEAR($C$3)*12+MONTH($C$3),$G421,0))</f>
        <v/>
      </c>
      <c r="O421" s="63">
        <f>IF(OR($J421="",$B421=""),0,IF(YEAR($B421)*12+MONTH($B421)&lt;=YEAR($C$3)*12+MONTH($C$3)-1,$G421,0))</f>
        <v/>
      </c>
      <c r="P421" s="63">
        <f>$M421-$O421</f>
        <v/>
      </c>
      <c r="Q421" s="63">
        <f>($L421-$M421)-($N421-$O421)</f>
        <v/>
      </c>
      <c r="R421" s="63">
        <f>$L421-$N421</f>
        <v/>
      </c>
    </row>
    <row r="422">
      <c r="A422" s="60">
        <f>ROW()-5</f>
        <v/>
      </c>
      <c r="B422" s="61">
        <f>IFERROR(INDEX(tbl_Finance[Date],$A422),"")</f>
        <v/>
      </c>
      <c r="C422" s="62">
        <f>IFERROR(INDEX(tbl_Finance[Xero Invoice No],$A422),"")</f>
        <v/>
      </c>
      <c r="D422" s="62">
        <f>IFERROR(INDEX(tbl_Finance[Client],$A422),"")</f>
        <v/>
      </c>
      <c r="E422" s="62">
        <f>IFERROR(INDEX(tbl_Finance[Job Number],$A422),"")</f>
        <v/>
      </c>
      <c r="F422" s="62">
        <f>IFERROR(INDEX(tbl_Finance[Cost Centre],$A422),"")</f>
        <v/>
      </c>
      <c r="G422" s="63">
        <f>IFERROR(INDEX(tbl_Finance[Ex GST],$A422),"")</f>
        <v/>
      </c>
      <c r="H422" s="61">
        <f>IFERROR(INDEX(tbl_Finance[Defer Start],$A422),"")</f>
        <v/>
      </c>
      <c r="I422" s="61">
        <f>IFERROR(INDEX(tbl_Finance[Defer End],$A422),"")</f>
        <v/>
      </c>
      <c r="J422" s="60">
        <f>IF(OR($H422="",$I422="",$G422=""),"",MAX(1,(YEAR($I422)-YEAR($H422))*12+MONTH($I422)-MONTH($H422)+1))</f>
        <v/>
      </c>
      <c r="K422" s="63">
        <f>IF($J422="","",$G422/$J422)</f>
        <v/>
      </c>
      <c r="L422" s="63">
        <f>IF($J422="",0,$K422*MAX(0,MIN(YEAR($C$3)*12+MONTH($C$3),YEAR($I422)*12+MONTH($I422))-(YEAR($H422)*12+MONTH($H422))+1))</f>
        <v/>
      </c>
      <c r="M422" s="63">
        <f>IF($J422="",0,$K422*MAX(0,MIN(YEAR($C$3)*12+MONTH($C$3)-1,YEAR($I422)*12+MONTH($I422))-(YEAR($H422)*12+MONTH($H422))+1))</f>
        <v/>
      </c>
      <c r="N422" s="63">
        <f>IF(OR($J422="",$B422=""),0,IF(YEAR($B422)*12+MONTH($B422)&lt;=YEAR($C$3)*12+MONTH($C$3),$G422,0))</f>
        <v/>
      </c>
      <c r="O422" s="63">
        <f>IF(OR($J422="",$B422=""),0,IF(YEAR($B422)*12+MONTH($B422)&lt;=YEAR($C$3)*12+MONTH($C$3)-1,$G422,0))</f>
        <v/>
      </c>
      <c r="P422" s="63">
        <f>$M422-$O422</f>
        <v/>
      </c>
      <c r="Q422" s="63">
        <f>($L422-$M422)-($N422-$O422)</f>
        <v/>
      </c>
      <c r="R422" s="63">
        <f>$L422-$N422</f>
        <v/>
      </c>
    </row>
    <row r="423">
      <c r="A423" s="60">
        <f>ROW()-5</f>
        <v/>
      </c>
      <c r="B423" s="61">
        <f>IFERROR(INDEX(tbl_Finance[Date],$A423),"")</f>
        <v/>
      </c>
      <c r="C423" s="62">
        <f>IFERROR(INDEX(tbl_Finance[Xero Invoice No],$A423),"")</f>
        <v/>
      </c>
      <c r="D423" s="62">
        <f>IFERROR(INDEX(tbl_Finance[Client],$A423),"")</f>
        <v/>
      </c>
      <c r="E423" s="62">
        <f>IFERROR(INDEX(tbl_Finance[Job Number],$A423),"")</f>
        <v/>
      </c>
      <c r="F423" s="62">
        <f>IFERROR(INDEX(tbl_Finance[Cost Centre],$A423),"")</f>
        <v/>
      </c>
      <c r="G423" s="63">
        <f>IFERROR(INDEX(tbl_Finance[Ex GST],$A423),"")</f>
        <v/>
      </c>
      <c r="H423" s="61">
        <f>IFERROR(INDEX(tbl_Finance[Defer Start],$A423),"")</f>
        <v/>
      </c>
      <c r="I423" s="61">
        <f>IFERROR(INDEX(tbl_Finance[Defer End],$A423),"")</f>
        <v/>
      </c>
      <c r="J423" s="60">
        <f>IF(OR($H423="",$I423="",$G423=""),"",MAX(1,(YEAR($I423)-YEAR($H423))*12+MONTH($I423)-MONTH($H423)+1))</f>
        <v/>
      </c>
      <c r="K423" s="63">
        <f>IF($J423="","",$G423/$J423)</f>
        <v/>
      </c>
      <c r="L423" s="63">
        <f>IF($J423="",0,$K423*MAX(0,MIN(YEAR($C$3)*12+MONTH($C$3),YEAR($I423)*12+MONTH($I423))-(YEAR($H423)*12+MONTH($H423))+1))</f>
        <v/>
      </c>
      <c r="M423" s="63">
        <f>IF($J423="",0,$K423*MAX(0,MIN(YEAR($C$3)*12+MONTH($C$3)-1,YEAR($I423)*12+MONTH($I423))-(YEAR($H423)*12+MONTH($H423))+1))</f>
        <v/>
      </c>
      <c r="N423" s="63">
        <f>IF(OR($J423="",$B423=""),0,IF(YEAR($B423)*12+MONTH($B423)&lt;=YEAR($C$3)*12+MONTH($C$3),$G423,0))</f>
        <v/>
      </c>
      <c r="O423" s="63">
        <f>IF(OR($J423="",$B423=""),0,IF(YEAR($B423)*12+MONTH($B423)&lt;=YEAR($C$3)*12+MONTH($C$3)-1,$G423,0))</f>
        <v/>
      </c>
      <c r="P423" s="63">
        <f>$M423-$O423</f>
        <v/>
      </c>
      <c r="Q423" s="63">
        <f>($L423-$M423)-($N423-$O423)</f>
        <v/>
      </c>
      <c r="R423" s="63">
        <f>$L423-$N423</f>
        <v/>
      </c>
    </row>
    <row r="424">
      <c r="A424" s="60">
        <f>ROW()-5</f>
        <v/>
      </c>
      <c r="B424" s="61">
        <f>IFERROR(INDEX(tbl_Finance[Date],$A424),"")</f>
        <v/>
      </c>
      <c r="C424" s="62">
        <f>IFERROR(INDEX(tbl_Finance[Xero Invoice No],$A424),"")</f>
        <v/>
      </c>
      <c r="D424" s="62">
        <f>IFERROR(INDEX(tbl_Finance[Client],$A424),"")</f>
        <v/>
      </c>
      <c r="E424" s="62">
        <f>IFERROR(INDEX(tbl_Finance[Job Number],$A424),"")</f>
        <v/>
      </c>
      <c r="F424" s="62">
        <f>IFERROR(INDEX(tbl_Finance[Cost Centre],$A424),"")</f>
        <v/>
      </c>
      <c r="G424" s="63">
        <f>IFERROR(INDEX(tbl_Finance[Ex GST],$A424),"")</f>
        <v/>
      </c>
      <c r="H424" s="61">
        <f>IFERROR(INDEX(tbl_Finance[Defer Start],$A424),"")</f>
        <v/>
      </c>
      <c r="I424" s="61">
        <f>IFERROR(INDEX(tbl_Finance[Defer End],$A424),"")</f>
        <v/>
      </c>
      <c r="J424" s="60">
        <f>IF(OR($H424="",$I424="",$G424=""),"",MAX(1,(YEAR($I424)-YEAR($H424))*12+MONTH($I424)-MONTH($H424)+1))</f>
        <v/>
      </c>
      <c r="K424" s="63">
        <f>IF($J424="","",$G424/$J424)</f>
        <v/>
      </c>
      <c r="L424" s="63">
        <f>IF($J424="",0,$K424*MAX(0,MIN(YEAR($C$3)*12+MONTH($C$3),YEAR($I424)*12+MONTH($I424))-(YEAR($H424)*12+MONTH($H424))+1))</f>
        <v/>
      </c>
      <c r="M424" s="63">
        <f>IF($J424="",0,$K424*MAX(0,MIN(YEAR($C$3)*12+MONTH($C$3)-1,YEAR($I424)*12+MONTH($I424))-(YEAR($H424)*12+MONTH($H424))+1))</f>
        <v/>
      </c>
      <c r="N424" s="63">
        <f>IF(OR($J424="",$B424=""),0,IF(YEAR($B424)*12+MONTH($B424)&lt;=YEAR($C$3)*12+MONTH($C$3),$G424,0))</f>
        <v/>
      </c>
      <c r="O424" s="63">
        <f>IF(OR($J424="",$B424=""),0,IF(YEAR($B424)*12+MONTH($B424)&lt;=YEAR($C$3)*12+MONTH($C$3)-1,$G424,0))</f>
        <v/>
      </c>
      <c r="P424" s="63">
        <f>$M424-$O424</f>
        <v/>
      </c>
      <c r="Q424" s="63">
        <f>($L424-$M424)-($N424-$O424)</f>
        <v/>
      </c>
      <c r="R424" s="63">
        <f>$L424-$N424</f>
        <v/>
      </c>
    </row>
    <row r="425">
      <c r="A425" s="60">
        <f>ROW()-5</f>
        <v/>
      </c>
      <c r="B425" s="61">
        <f>IFERROR(INDEX(tbl_Finance[Date],$A425),"")</f>
        <v/>
      </c>
      <c r="C425" s="62">
        <f>IFERROR(INDEX(tbl_Finance[Xero Invoice No],$A425),"")</f>
        <v/>
      </c>
      <c r="D425" s="62">
        <f>IFERROR(INDEX(tbl_Finance[Client],$A425),"")</f>
        <v/>
      </c>
      <c r="E425" s="62">
        <f>IFERROR(INDEX(tbl_Finance[Job Number],$A425),"")</f>
        <v/>
      </c>
      <c r="F425" s="62">
        <f>IFERROR(INDEX(tbl_Finance[Cost Centre],$A425),"")</f>
        <v/>
      </c>
      <c r="G425" s="63">
        <f>IFERROR(INDEX(tbl_Finance[Ex GST],$A425),"")</f>
        <v/>
      </c>
      <c r="H425" s="61">
        <f>IFERROR(INDEX(tbl_Finance[Defer Start],$A425),"")</f>
        <v/>
      </c>
      <c r="I425" s="61">
        <f>IFERROR(INDEX(tbl_Finance[Defer End],$A425),"")</f>
        <v/>
      </c>
      <c r="J425" s="60">
        <f>IF(OR($H425="",$I425="",$G425=""),"",MAX(1,(YEAR($I425)-YEAR($H425))*12+MONTH($I425)-MONTH($H425)+1))</f>
        <v/>
      </c>
      <c r="K425" s="63">
        <f>IF($J425="","",$G425/$J425)</f>
        <v/>
      </c>
      <c r="L425" s="63">
        <f>IF($J425="",0,$K425*MAX(0,MIN(YEAR($C$3)*12+MONTH($C$3),YEAR($I425)*12+MONTH($I425))-(YEAR($H425)*12+MONTH($H425))+1))</f>
        <v/>
      </c>
      <c r="M425" s="63">
        <f>IF($J425="",0,$K425*MAX(0,MIN(YEAR($C$3)*12+MONTH($C$3)-1,YEAR($I425)*12+MONTH($I425))-(YEAR($H425)*12+MONTH($H425))+1))</f>
        <v/>
      </c>
      <c r="N425" s="63">
        <f>IF(OR($J425="",$B425=""),0,IF(YEAR($B425)*12+MONTH($B425)&lt;=YEAR($C$3)*12+MONTH($C$3),$G425,0))</f>
        <v/>
      </c>
      <c r="O425" s="63">
        <f>IF(OR($J425="",$B425=""),0,IF(YEAR($B425)*12+MONTH($B425)&lt;=YEAR($C$3)*12+MONTH($C$3)-1,$G425,0))</f>
        <v/>
      </c>
      <c r="P425" s="63">
        <f>$M425-$O425</f>
        <v/>
      </c>
      <c r="Q425" s="63">
        <f>($L425-$M425)-($N425-$O425)</f>
        <v/>
      </c>
      <c r="R425" s="63">
        <f>$L425-$N425</f>
        <v/>
      </c>
    </row>
    <row r="426">
      <c r="A426" s="60">
        <f>ROW()-5</f>
        <v/>
      </c>
      <c r="B426" s="61">
        <f>IFERROR(INDEX(tbl_Finance[Date],$A426),"")</f>
        <v/>
      </c>
      <c r="C426" s="62">
        <f>IFERROR(INDEX(tbl_Finance[Xero Invoice No],$A426),"")</f>
        <v/>
      </c>
      <c r="D426" s="62">
        <f>IFERROR(INDEX(tbl_Finance[Client],$A426),"")</f>
        <v/>
      </c>
      <c r="E426" s="62">
        <f>IFERROR(INDEX(tbl_Finance[Job Number],$A426),"")</f>
        <v/>
      </c>
      <c r="F426" s="62">
        <f>IFERROR(INDEX(tbl_Finance[Cost Centre],$A426),"")</f>
        <v/>
      </c>
      <c r="G426" s="63">
        <f>IFERROR(INDEX(tbl_Finance[Ex GST],$A426),"")</f>
        <v/>
      </c>
      <c r="H426" s="61">
        <f>IFERROR(INDEX(tbl_Finance[Defer Start],$A426),"")</f>
        <v/>
      </c>
      <c r="I426" s="61">
        <f>IFERROR(INDEX(tbl_Finance[Defer End],$A426),"")</f>
        <v/>
      </c>
      <c r="J426" s="60">
        <f>IF(OR($H426="",$I426="",$G426=""),"",MAX(1,(YEAR($I426)-YEAR($H426))*12+MONTH($I426)-MONTH($H426)+1))</f>
        <v/>
      </c>
      <c r="K426" s="63">
        <f>IF($J426="","",$G426/$J426)</f>
        <v/>
      </c>
      <c r="L426" s="63">
        <f>IF($J426="",0,$K426*MAX(0,MIN(YEAR($C$3)*12+MONTH($C$3),YEAR($I426)*12+MONTH($I426))-(YEAR($H426)*12+MONTH($H426))+1))</f>
        <v/>
      </c>
      <c r="M426" s="63">
        <f>IF($J426="",0,$K426*MAX(0,MIN(YEAR($C$3)*12+MONTH($C$3)-1,YEAR($I426)*12+MONTH($I426))-(YEAR($H426)*12+MONTH($H426))+1))</f>
        <v/>
      </c>
      <c r="N426" s="63">
        <f>IF(OR($J426="",$B426=""),0,IF(YEAR($B426)*12+MONTH($B426)&lt;=YEAR($C$3)*12+MONTH($C$3),$G426,0))</f>
        <v/>
      </c>
      <c r="O426" s="63">
        <f>IF(OR($J426="",$B426=""),0,IF(YEAR($B426)*12+MONTH($B426)&lt;=YEAR($C$3)*12+MONTH($C$3)-1,$G426,0))</f>
        <v/>
      </c>
      <c r="P426" s="63">
        <f>$M426-$O426</f>
        <v/>
      </c>
      <c r="Q426" s="63">
        <f>($L426-$M426)-($N426-$O426)</f>
        <v/>
      </c>
      <c r="R426" s="63">
        <f>$L426-$N426</f>
        <v/>
      </c>
    </row>
    <row r="427">
      <c r="A427" s="60">
        <f>ROW()-5</f>
        <v/>
      </c>
      <c r="B427" s="61">
        <f>IFERROR(INDEX(tbl_Finance[Date],$A427),"")</f>
        <v/>
      </c>
      <c r="C427" s="62">
        <f>IFERROR(INDEX(tbl_Finance[Xero Invoice No],$A427),"")</f>
        <v/>
      </c>
      <c r="D427" s="62">
        <f>IFERROR(INDEX(tbl_Finance[Client],$A427),"")</f>
        <v/>
      </c>
      <c r="E427" s="62">
        <f>IFERROR(INDEX(tbl_Finance[Job Number],$A427),"")</f>
        <v/>
      </c>
      <c r="F427" s="62">
        <f>IFERROR(INDEX(tbl_Finance[Cost Centre],$A427),"")</f>
        <v/>
      </c>
      <c r="G427" s="63">
        <f>IFERROR(INDEX(tbl_Finance[Ex GST],$A427),"")</f>
        <v/>
      </c>
      <c r="H427" s="61">
        <f>IFERROR(INDEX(tbl_Finance[Defer Start],$A427),"")</f>
        <v/>
      </c>
      <c r="I427" s="61">
        <f>IFERROR(INDEX(tbl_Finance[Defer End],$A427),"")</f>
        <v/>
      </c>
      <c r="J427" s="60">
        <f>IF(OR($H427="",$I427="",$G427=""),"",MAX(1,(YEAR($I427)-YEAR($H427))*12+MONTH($I427)-MONTH($H427)+1))</f>
        <v/>
      </c>
      <c r="K427" s="63">
        <f>IF($J427="","",$G427/$J427)</f>
        <v/>
      </c>
      <c r="L427" s="63">
        <f>IF($J427="",0,$K427*MAX(0,MIN(YEAR($C$3)*12+MONTH($C$3),YEAR($I427)*12+MONTH($I427))-(YEAR($H427)*12+MONTH($H427))+1))</f>
        <v/>
      </c>
      <c r="M427" s="63">
        <f>IF($J427="",0,$K427*MAX(0,MIN(YEAR($C$3)*12+MONTH($C$3)-1,YEAR($I427)*12+MONTH($I427))-(YEAR($H427)*12+MONTH($H427))+1))</f>
        <v/>
      </c>
      <c r="N427" s="63">
        <f>IF(OR($J427="",$B427=""),0,IF(YEAR($B427)*12+MONTH($B427)&lt;=YEAR($C$3)*12+MONTH($C$3),$G427,0))</f>
        <v/>
      </c>
      <c r="O427" s="63">
        <f>IF(OR($J427="",$B427=""),0,IF(YEAR($B427)*12+MONTH($B427)&lt;=YEAR($C$3)*12+MONTH($C$3)-1,$G427,0))</f>
        <v/>
      </c>
      <c r="P427" s="63">
        <f>$M427-$O427</f>
        <v/>
      </c>
      <c r="Q427" s="63">
        <f>($L427-$M427)-($N427-$O427)</f>
        <v/>
      </c>
      <c r="R427" s="63">
        <f>$L427-$N427</f>
        <v/>
      </c>
    </row>
    <row r="428">
      <c r="A428" s="60">
        <f>ROW()-5</f>
        <v/>
      </c>
      <c r="B428" s="61">
        <f>IFERROR(INDEX(tbl_Finance[Date],$A428),"")</f>
        <v/>
      </c>
      <c r="C428" s="62">
        <f>IFERROR(INDEX(tbl_Finance[Xero Invoice No],$A428),"")</f>
        <v/>
      </c>
      <c r="D428" s="62">
        <f>IFERROR(INDEX(tbl_Finance[Client],$A428),"")</f>
        <v/>
      </c>
      <c r="E428" s="62">
        <f>IFERROR(INDEX(tbl_Finance[Job Number],$A428),"")</f>
        <v/>
      </c>
      <c r="F428" s="62">
        <f>IFERROR(INDEX(tbl_Finance[Cost Centre],$A428),"")</f>
        <v/>
      </c>
      <c r="G428" s="63">
        <f>IFERROR(INDEX(tbl_Finance[Ex GST],$A428),"")</f>
        <v/>
      </c>
      <c r="H428" s="61">
        <f>IFERROR(INDEX(tbl_Finance[Defer Start],$A428),"")</f>
        <v/>
      </c>
      <c r="I428" s="61">
        <f>IFERROR(INDEX(tbl_Finance[Defer End],$A428),"")</f>
        <v/>
      </c>
      <c r="J428" s="60">
        <f>IF(OR($H428="",$I428="",$G428=""),"",MAX(1,(YEAR($I428)-YEAR($H428))*12+MONTH($I428)-MONTH($H428)+1))</f>
        <v/>
      </c>
      <c r="K428" s="63">
        <f>IF($J428="","",$G428/$J428)</f>
        <v/>
      </c>
      <c r="L428" s="63">
        <f>IF($J428="",0,$K428*MAX(0,MIN(YEAR($C$3)*12+MONTH($C$3),YEAR($I428)*12+MONTH($I428))-(YEAR($H428)*12+MONTH($H428))+1))</f>
        <v/>
      </c>
      <c r="M428" s="63">
        <f>IF($J428="",0,$K428*MAX(0,MIN(YEAR($C$3)*12+MONTH($C$3)-1,YEAR($I428)*12+MONTH($I428))-(YEAR($H428)*12+MONTH($H428))+1))</f>
        <v/>
      </c>
      <c r="N428" s="63">
        <f>IF(OR($J428="",$B428=""),0,IF(YEAR($B428)*12+MONTH($B428)&lt;=YEAR($C$3)*12+MONTH($C$3),$G428,0))</f>
        <v/>
      </c>
      <c r="O428" s="63">
        <f>IF(OR($J428="",$B428=""),0,IF(YEAR($B428)*12+MONTH($B428)&lt;=YEAR($C$3)*12+MONTH($C$3)-1,$G428,0))</f>
        <v/>
      </c>
      <c r="P428" s="63">
        <f>$M428-$O428</f>
        <v/>
      </c>
      <c r="Q428" s="63">
        <f>($L428-$M428)-($N428-$O428)</f>
        <v/>
      </c>
      <c r="R428" s="63">
        <f>$L428-$N428</f>
        <v/>
      </c>
    </row>
    <row r="429">
      <c r="A429" s="60">
        <f>ROW()-5</f>
        <v/>
      </c>
      <c r="B429" s="61">
        <f>IFERROR(INDEX(tbl_Finance[Date],$A429),"")</f>
        <v/>
      </c>
      <c r="C429" s="62">
        <f>IFERROR(INDEX(tbl_Finance[Xero Invoice No],$A429),"")</f>
        <v/>
      </c>
      <c r="D429" s="62">
        <f>IFERROR(INDEX(tbl_Finance[Client],$A429),"")</f>
        <v/>
      </c>
      <c r="E429" s="62">
        <f>IFERROR(INDEX(tbl_Finance[Job Number],$A429),"")</f>
        <v/>
      </c>
      <c r="F429" s="62">
        <f>IFERROR(INDEX(tbl_Finance[Cost Centre],$A429),"")</f>
        <v/>
      </c>
      <c r="G429" s="63">
        <f>IFERROR(INDEX(tbl_Finance[Ex GST],$A429),"")</f>
        <v/>
      </c>
      <c r="H429" s="61">
        <f>IFERROR(INDEX(tbl_Finance[Defer Start],$A429),"")</f>
        <v/>
      </c>
      <c r="I429" s="61">
        <f>IFERROR(INDEX(tbl_Finance[Defer End],$A429),"")</f>
        <v/>
      </c>
      <c r="J429" s="60">
        <f>IF(OR($H429="",$I429="",$G429=""),"",MAX(1,(YEAR($I429)-YEAR($H429))*12+MONTH($I429)-MONTH($H429)+1))</f>
        <v/>
      </c>
      <c r="K429" s="63">
        <f>IF($J429="","",$G429/$J429)</f>
        <v/>
      </c>
      <c r="L429" s="63">
        <f>IF($J429="",0,$K429*MAX(0,MIN(YEAR($C$3)*12+MONTH($C$3),YEAR($I429)*12+MONTH($I429))-(YEAR($H429)*12+MONTH($H429))+1))</f>
        <v/>
      </c>
      <c r="M429" s="63">
        <f>IF($J429="",0,$K429*MAX(0,MIN(YEAR($C$3)*12+MONTH($C$3)-1,YEAR($I429)*12+MONTH($I429))-(YEAR($H429)*12+MONTH($H429))+1))</f>
        <v/>
      </c>
      <c r="N429" s="63">
        <f>IF(OR($J429="",$B429=""),0,IF(YEAR($B429)*12+MONTH($B429)&lt;=YEAR($C$3)*12+MONTH($C$3),$G429,0))</f>
        <v/>
      </c>
      <c r="O429" s="63">
        <f>IF(OR($J429="",$B429=""),0,IF(YEAR($B429)*12+MONTH($B429)&lt;=YEAR($C$3)*12+MONTH($C$3)-1,$G429,0))</f>
        <v/>
      </c>
      <c r="P429" s="63">
        <f>$M429-$O429</f>
        <v/>
      </c>
      <c r="Q429" s="63">
        <f>($L429-$M429)-($N429-$O429)</f>
        <v/>
      </c>
      <c r="R429" s="63">
        <f>$L429-$N429</f>
        <v/>
      </c>
    </row>
    <row r="430">
      <c r="A430" s="60">
        <f>ROW()-5</f>
        <v/>
      </c>
      <c r="B430" s="61">
        <f>IFERROR(INDEX(tbl_Finance[Date],$A430),"")</f>
        <v/>
      </c>
      <c r="C430" s="62">
        <f>IFERROR(INDEX(tbl_Finance[Xero Invoice No],$A430),"")</f>
        <v/>
      </c>
      <c r="D430" s="62">
        <f>IFERROR(INDEX(tbl_Finance[Client],$A430),"")</f>
        <v/>
      </c>
      <c r="E430" s="62">
        <f>IFERROR(INDEX(tbl_Finance[Job Number],$A430),"")</f>
        <v/>
      </c>
      <c r="F430" s="62">
        <f>IFERROR(INDEX(tbl_Finance[Cost Centre],$A430),"")</f>
        <v/>
      </c>
      <c r="G430" s="63">
        <f>IFERROR(INDEX(tbl_Finance[Ex GST],$A430),"")</f>
        <v/>
      </c>
      <c r="H430" s="61">
        <f>IFERROR(INDEX(tbl_Finance[Defer Start],$A430),"")</f>
        <v/>
      </c>
      <c r="I430" s="61">
        <f>IFERROR(INDEX(tbl_Finance[Defer End],$A430),"")</f>
        <v/>
      </c>
      <c r="J430" s="60">
        <f>IF(OR($H430="",$I430="",$G430=""),"",MAX(1,(YEAR($I430)-YEAR($H430))*12+MONTH($I430)-MONTH($H430)+1))</f>
        <v/>
      </c>
      <c r="K430" s="63">
        <f>IF($J430="","",$G430/$J430)</f>
        <v/>
      </c>
      <c r="L430" s="63">
        <f>IF($J430="",0,$K430*MAX(0,MIN(YEAR($C$3)*12+MONTH($C$3),YEAR($I430)*12+MONTH($I430))-(YEAR($H430)*12+MONTH($H430))+1))</f>
        <v/>
      </c>
      <c r="M430" s="63">
        <f>IF($J430="",0,$K430*MAX(0,MIN(YEAR($C$3)*12+MONTH($C$3)-1,YEAR($I430)*12+MONTH($I430))-(YEAR($H430)*12+MONTH($H430))+1))</f>
        <v/>
      </c>
      <c r="N430" s="63">
        <f>IF(OR($J430="",$B430=""),0,IF(YEAR($B430)*12+MONTH($B430)&lt;=YEAR($C$3)*12+MONTH($C$3),$G430,0))</f>
        <v/>
      </c>
      <c r="O430" s="63">
        <f>IF(OR($J430="",$B430=""),0,IF(YEAR($B430)*12+MONTH($B430)&lt;=YEAR($C$3)*12+MONTH($C$3)-1,$G430,0))</f>
        <v/>
      </c>
      <c r="P430" s="63">
        <f>$M430-$O430</f>
        <v/>
      </c>
      <c r="Q430" s="63">
        <f>($L430-$M430)-($N430-$O430)</f>
        <v/>
      </c>
      <c r="R430" s="63">
        <f>$L430-$N430</f>
        <v/>
      </c>
    </row>
    <row r="431">
      <c r="A431" s="60">
        <f>ROW()-5</f>
        <v/>
      </c>
      <c r="B431" s="61">
        <f>IFERROR(INDEX(tbl_Finance[Date],$A431),"")</f>
        <v/>
      </c>
      <c r="C431" s="62">
        <f>IFERROR(INDEX(tbl_Finance[Xero Invoice No],$A431),"")</f>
        <v/>
      </c>
      <c r="D431" s="62">
        <f>IFERROR(INDEX(tbl_Finance[Client],$A431),"")</f>
        <v/>
      </c>
      <c r="E431" s="62">
        <f>IFERROR(INDEX(tbl_Finance[Job Number],$A431),"")</f>
        <v/>
      </c>
      <c r="F431" s="62">
        <f>IFERROR(INDEX(tbl_Finance[Cost Centre],$A431),"")</f>
        <v/>
      </c>
      <c r="G431" s="63">
        <f>IFERROR(INDEX(tbl_Finance[Ex GST],$A431),"")</f>
        <v/>
      </c>
      <c r="H431" s="61">
        <f>IFERROR(INDEX(tbl_Finance[Defer Start],$A431),"")</f>
        <v/>
      </c>
      <c r="I431" s="61">
        <f>IFERROR(INDEX(tbl_Finance[Defer End],$A431),"")</f>
        <v/>
      </c>
      <c r="J431" s="60">
        <f>IF(OR($H431="",$I431="",$G431=""),"",MAX(1,(YEAR($I431)-YEAR($H431))*12+MONTH($I431)-MONTH($H431)+1))</f>
        <v/>
      </c>
      <c r="K431" s="63">
        <f>IF($J431="","",$G431/$J431)</f>
        <v/>
      </c>
      <c r="L431" s="63">
        <f>IF($J431="",0,$K431*MAX(0,MIN(YEAR($C$3)*12+MONTH($C$3),YEAR($I431)*12+MONTH($I431))-(YEAR($H431)*12+MONTH($H431))+1))</f>
        <v/>
      </c>
      <c r="M431" s="63">
        <f>IF($J431="",0,$K431*MAX(0,MIN(YEAR($C$3)*12+MONTH($C$3)-1,YEAR($I431)*12+MONTH($I431))-(YEAR($H431)*12+MONTH($H431))+1))</f>
        <v/>
      </c>
      <c r="N431" s="63">
        <f>IF(OR($J431="",$B431=""),0,IF(YEAR($B431)*12+MONTH($B431)&lt;=YEAR($C$3)*12+MONTH($C$3),$G431,0))</f>
        <v/>
      </c>
      <c r="O431" s="63">
        <f>IF(OR($J431="",$B431=""),0,IF(YEAR($B431)*12+MONTH($B431)&lt;=YEAR($C$3)*12+MONTH($C$3)-1,$G431,0))</f>
        <v/>
      </c>
      <c r="P431" s="63">
        <f>$M431-$O431</f>
        <v/>
      </c>
      <c r="Q431" s="63">
        <f>($L431-$M431)-($N431-$O431)</f>
        <v/>
      </c>
      <c r="R431" s="63">
        <f>$L431-$N431</f>
        <v/>
      </c>
    </row>
    <row r="432">
      <c r="A432" s="60">
        <f>ROW()-5</f>
        <v/>
      </c>
      <c r="B432" s="61">
        <f>IFERROR(INDEX(tbl_Finance[Date],$A432),"")</f>
        <v/>
      </c>
      <c r="C432" s="62">
        <f>IFERROR(INDEX(tbl_Finance[Xero Invoice No],$A432),"")</f>
        <v/>
      </c>
      <c r="D432" s="62">
        <f>IFERROR(INDEX(tbl_Finance[Client],$A432),"")</f>
        <v/>
      </c>
      <c r="E432" s="62">
        <f>IFERROR(INDEX(tbl_Finance[Job Number],$A432),"")</f>
        <v/>
      </c>
      <c r="F432" s="62">
        <f>IFERROR(INDEX(tbl_Finance[Cost Centre],$A432),"")</f>
        <v/>
      </c>
      <c r="G432" s="63">
        <f>IFERROR(INDEX(tbl_Finance[Ex GST],$A432),"")</f>
        <v/>
      </c>
      <c r="H432" s="61">
        <f>IFERROR(INDEX(tbl_Finance[Defer Start],$A432),"")</f>
        <v/>
      </c>
      <c r="I432" s="61">
        <f>IFERROR(INDEX(tbl_Finance[Defer End],$A432),"")</f>
        <v/>
      </c>
      <c r="J432" s="60">
        <f>IF(OR($H432="",$I432="",$G432=""),"",MAX(1,(YEAR($I432)-YEAR($H432))*12+MONTH($I432)-MONTH($H432)+1))</f>
        <v/>
      </c>
      <c r="K432" s="63">
        <f>IF($J432="","",$G432/$J432)</f>
        <v/>
      </c>
      <c r="L432" s="63">
        <f>IF($J432="",0,$K432*MAX(0,MIN(YEAR($C$3)*12+MONTH($C$3),YEAR($I432)*12+MONTH($I432))-(YEAR($H432)*12+MONTH($H432))+1))</f>
        <v/>
      </c>
      <c r="M432" s="63">
        <f>IF($J432="",0,$K432*MAX(0,MIN(YEAR($C$3)*12+MONTH($C$3)-1,YEAR($I432)*12+MONTH($I432))-(YEAR($H432)*12+MONTH($H432))+1))</f>
        <v/>
      </c>
      <c r="N432" s="63">
        <f>IF(OR($J432="",$B432=""),0,IF(YEAR($B432)*12+MONTH($B432)&lt;=YEAR($C$3)*12+MONTH($C$3),$G432,0))</f>
        <v/>
      </c>
      <c r="O432" s="63">
        <f>IF(OR($J432="",$B432=""),0,IF(YEAR($B432)*12+MONTH($B432)&lt;=YEAR($C$3)*12+MONTH($C$3)-1,$G432,0))</f>
        <v/>
      </c>
      <c r="P432" s="63">
        <f>$M432-$O432</f>
        <v/>
      </c>
      <c r="Q432" s="63">
        <f>($L432-$M432)-($N432-$O432)</f>
        <v/>
      </c>
      <c r="R432" s="63">
        <f>$L432-$N432</f>
        <v/>
      </c>
    </row>
    <row r="433">
      <c r="A433" s="60">
        <f>ROW()-5</f>
        <v/>
      </c>
      <c r="B433" s="61">
        <f>IFERROR(INDEX(tbl_Finance[Date],$A433),"")</f>
        <v/>
      </c>
      <c r="C433" s="62">
        <f>IFERROR(INDEX(tbl_Finance[Xero Invoice No],$A433),"")</f>
        <v/>
      </c>
      <c r="D433" s="62">
        <f>IFERROR(INDEX(tbl_Finance[Client],$A433),"")</f>
        <v/>
      </c>
      <c r="E433" s="62">
        <f>IFERROR(INDEX(tbl_Finance[Job Number],$A433),"")</f>
        <v/>
      </c>
      <c r="F433" s="62">
        <f>IFERROR(INDEX(tbl_Finance[Cost Centre],$A433),"")</f>
        <v/>
      </c>
      <c r="G433" s="63">
        <f>IFERROR(INDEX(tbl_Finance[Ex GST],$A433),"")</f>
        <v/>
      </c>
      <c r="H433" s="61">
        <f>IFERROR(INDEX(tbl_Finance[Defer Start],$A433),"")</f>
        <v/>
      </c>
      <c r="I433" s="61">
        <f>IFERROR(INDEX(tbl_Finance[Defer End],$A433),"")</f>
        <v/>
      </c>
      <c r="J433" s="60">
        <f>IF(OR($H433="",$I433="",$G433=""),"",MAX(1,(YEAR($I433)-YEAR($H433))*12+MONTH($I433)-MONTH($H433)+1))</f>
        <v/>
      </c>
      <c r="K433" s="63">
        <f>IF($J433="","",$G433/$J433)</f>
        <v/>
      </c>
      <c r="L433" s="63">
        <f>IF($J433="",0,$K433*MAX(0,MIN(YEAR($C$3)*12+MONTH($C$3),YEAR($I433)*12+MONTH($I433))-(YEAR($H433)*12+MONTH($H433))+1))</f>
        <v/>
      </c>
      <c r="M433" s="63">
        <f>IF($J433="",0,$K433*MAX(0,MIN(YEAR($C$3)*12+MONTH($C$3)-1,YEAR($I433)*12+MONTH($I433))-(YEAR($H433)*12+MONTH($H433))+1))</f>
        <v/>
      </c>
      <c r="N433" s="63">
        <f>IF(OR($J433="",$B433=""),0,IF(YEAR($B433)*12+MONTH($B433)&lt;=YEAR($C$3)*12+MONTH($C$3),$G433,0))</f>
        <v/>
      </c>
      <c r="O433" s="63">
        <f>IF(OR($J433="",$B433=""),0,IF(YEAR($B433)*12+MONTH($B433)&lt;=YEAR($C$3)*12+MONTH($C$3)-1,$G433,0))</f>
        <v/>
      </c>
      <c r="P433" s="63">
        <f>$M433-$O433</f>
        <v/>
      </c>
      <c r="Q433" s="63">
        <f>($L433-$M433)-($N433-$O433)</f>
        <v/>
      </c>
      <c r="R433" s="63">
        <f>$L433-$N433</f>
        <v/>
      </c>
    </row>
    <row r="434">
      <c r="A434" s="60">
        <f>ROW()-5</f>
        <v/>
      </c>
      <c r="B434" s="61">
        <f>IFERROR(INDEX(tbl_Finance[Date],$A434),"")</f>
        <v/>
      </c>
      <c r="C434" s="62">
        <f>IFERROR(INDEX(tbl_Finance[Xero Invoice No],$A434),"")</f>
        <v/>
      </c>
      <c r="D434" s="62">
        <f>IFERROR(INDEX(tbl_Finance[Client],$A434),"")</f>
        <v/>
      </c>
      <c r="E434" s="62">
        <f>IFERROR(INDEX(tbl_Finance[Job Number],$A434),"")</f>
        <v/>
      </c>
      <c r="F434" s="62">
        <f>IFERROR(INDEX(tbl_Finance[Cost Centre],$A434),"")</f>
        <v/>
      </c>
      <c r="G434" s="63">
        <f>IFERROR(INDEX(tbl_Finance[Ex GST],$A434),"")</f>
        <v/>
      </c>
      <c r="H434" s="61">
        <f>IFERROR(INDEX(tbl_Finance[Defer Start],$A434),"")</f>
        <v/>
      </c>
      <c r="I434" s="61">
        <f>IFERROR(INDEX(tbl_Finance[Defer End],$A434),"")</f>
        <v/>
      </c>
      <c r="J434" s="60">
        <f>IF(OR($H434="",$I434="",$G434=""),"",MAX(1,(YEAR($I434)-YEAR($H434))*12+MONTH($I434)-MONTH($H434)+1))</f>
        <v/>
      </c>
      <c r="K434" s="63">
        <f>IF($J434="","",$G434/$J434)</f>
        <v/>
      </c>
      <c r="L434" s="63">
        <f>IF($J434="",0,$K434*MAX(0,MIN(YEAR($C$3)*12+MONTH($C$3),YEAR($I434)*12+MONTH($I434))-(YEAR($H434)*12+MONTH($H434))+1))</f>
        <v/>
      </c>
      <c r="M434" s="63">
        <f>IF($J434="",0,$K434*MAX(0,MIN(YEAR($C$3)*12+MONTH($C$3)-1,YEAR($I434)*12+MONTH($I434))-(YEAR($H434)*12+MONTH($H434))+1))</f>
        <v/>
      </c>
      <c r="N434" s="63">
        <f>IF(OR($J434="",$B434=""),0,IF(YEAR($B434)*12+MONTH($B434)&lt;=YEAR($C$3)*12+MONTH($C$3),$G434,0))</f>
        <v/>
      </c>
      <c r="O434" s="63">
        <f>IF(OR($J434="",$B434=""),0,IF(YEAR($B434)*12+MONTH($B434)&lt;=YEAR($C$3)*12+MONTH($C$3)-1,$G434,0))</f>
        <v/>
      </c>
      <c r="P434" s="63">
        <f>$M434-$O434</f>
        <v/>
      </c>
      <c r="Q434" s="63">
        <f>($L434-$M434)-($N434-$O434)</f>
        <v/>
      </c>
      <c r="R434" s="63">
        <f>$L434-$N434</f>
        <v/>
      </c>
    </row>
    <row r="435">
      <c r="A435" s="60">
        <f>ROW()-5</f>
        <v/>
      </c>
      <c r="B435" s="61">
        <f>IFERROR(INDEX(tbl_Finance[Date],$A435),"")</f>
        <v/>
      </c>
      <c r="C435" s="62">
        <f>IFERROR(INDEX(tbl_Finance[Xero Invoice No],$A435),"")</f>
        <v/>
      </c>
      <c r="D435" s="62">
        <f>IFERROR(INDEX(tbl_Finance[Client],$A435),"")</f>
        <v/>
      </c>
      <c r="E435" s="62">
        <f>IFERROR(INDEX(tbl_Finance[Job Number],$A435),"")</f>
        <v/>
      </c>
      <c r="F435" s="62">
        <f>IFERROR(INDEX(tbl_Finance[Cost Centre],$A435),"")</f>
        <v/>
      </c>
      <c r="G435" s="63">
        <f>IFERROR(INDEX(tbl_Finance[Ex GST],$A435),"")</f>
        <v/>
      </c>
      <c r="H435" s="61">
        <f>IFERROR(INDEX(tbl_Finance[Defer Start],$A435),"")</f>
        <v/>
      </c>
      <c r="I435" s="61">
        <f>IFERROR(INDEX(tbl_Finance[Defer End],$A435),"")</f>
        <v/>
      </c>
      <c r="J435" s="60">
        <f>IF(OR($H435="",$I435="",$G435=""),"",MAX(1,(YEAR($I435)-YEAR($H435))*12+MONTH($I435)-MONTH($H435)+1))</f>
        <v/>
      </c>
      <c r="K435" s="63">
        <f>IF($J435="","",$G435/$J435)</f>
        <v/>
      </c>
      <c r="L435" s="63">
        <f>IF($J435="",0,$K435*MAX(0,MIN(YEAR($C$3)*12+MONTH($C$3),YEAR($I435)*12+MONTH($I435))-(YEAR($H435)*12+MONTH($H435))+1))</f>
        <v/>
      </c>
      <c r="M435" s="63">
        <f>IF($J435="",0,$K435*MAX(0,MIN(YEAR($C$3)*12+MONTH($C$3)-1,YEAR($I435)*12+MONTH($I435))-(YEAR($H435)*12+MONTH($H435))+1))</f>
        <v/>
      </c>
      <c r="N435" s="63">
        <f>IF(OR($J435="",$B435=""),0,IF(YEAR($B435)*12+MONTH($B435)&lt;=YEAR($C$3)*12+MONTH($C$3),$G435,0))</f>
        <v/>
      </c>
      <c r="O435" s="63">
        <f>IF(OR($J435="",$B435=""),0,IF(YEAR($B435)*12+MONTH($B435)&lt;=YEAR($C$3)*12+MONTH($C$3)-1,$G435,0))</f>
        <v/>
      </c>
      <c r="P435" s="63">
        <f>$M435-$O435</f>
        <v/>
      </c>
      <c r="Q435" s="63">
        <f>($L435-$M435)-($N435-$O435)</f>
        <v/>
      </c>
      <c r="R435" s="63">
        <f>$L435-$N435</f>
        <v/>
      </c>
    </row>
    <row r="436">
      <c r="A436" s="60">
        <f>ROW()-5</f>
        <v/>
      </c>
      <c r="B436" s="61">
        <f>IFERROR(INDEX(tbl_Finance[Date],$A436),"")</f>
        <v/>
      </c>
      <c r="C436" s="62">
        <f>IFERROR(INDEX(tbl_Finance[Xero Invoice No],$A436),"")</f>
        <v/>
      </c>
      <c r="D436" s="62">
        <f>IFERROR(INDEX(tbl_Finance[Client],$A436),"")</f>
        <v/>
      </c>
      <c r="E436" s="62">
        <f>IFERROR(INDEX(tbl_Finance[Job Number],$A436),"")</f>
        <v/>
      </c>
      <c r="F436" s="62">
        <f>IFERROR(INDEX(tbl_Finance[Cost Centre],$A436),"")</f>
        <v/>
      </c>
      <c r="G436" s="63">
        <f>IFERROR(INDEX(tbl_Finance[Ex GST],$A436),"")</f>
        <v/>
      </c>
      <c r="H436" s="61">
        <f>IFERROR(INDEX(tbl_Finance[Defer Start],$A436),"")</f>
        <v/>
      </c>
      <c r="I436" s="61">
        <f>IFERROR(INDEX(tbl_Finance[Defer End],$A436),"")</f>
        <v/>
      </c>
      <c r="J436" s="60">
        <f>IF(OR($H436="",$I436="",$G436=""),"",MAX(1,(YEAR($I436)-YEAR($H436))*12+MONTH($I436)-MONTH($H436)+1))</f>
        <v/>
      </c>
      <c r="K436" s="63">
        <f>IF($J436="","",$G436/$J436)</f>
        <v/>
      </c>
      <c r="L436" s="63">
        <f>IF($J436="",0,$K436*MAX(0,MIN(YEAR($C$3)*12+MONTH($C$3),YEAR($I436)*12+MONTH($I436))-(YEAR($H436)*12+MONTH($H436))+1))</f>
        <v/>
      </c>
      <c r="M436" s="63">
        <f>IF($J436="",0,$K436*MAX(0,MIN(YEAR($C$3)*12+MONTH($C$3)-1,YEAR($I436)*12+MONTH($I436))-(YEAR($H436)*12+MONTH($H436))+1))</f>
        <v/>
      </c>
      <c r="N436" s="63">
        <f>IF(OR($J436="",$B436=""),0,IF(YEAR($B436)*12+MONTH($B436)&lt;=YEAR($C$3)*12+MONTH($C$3),$G436,0))</f>
        <v/>
      </c>
      <c r="O436" s="63">
        <f>IF(OR($J436="",$B436=""),0,IF(YEAR($B436)*12+MONTH($B436)&lt;=YEAR($C$3)*12+MONTH($C$3)-1,$G436,0))</f>
        <v/>
      </c>
      <c r="P436" s="63">
        <f>$M436-$O436</f>
        <v/>
      </c>
      <c r="Q436" s="63">
        <f>($L436-$M436)-($N436-$O436)</f>
        <v/>
      </c>
      <c r="R436" s="63">
        <f>$L436-$N436</f>
        <v/>
      </c>
    </row>
    <row r="437">
      <c r="A437" s="60">
        <f>ROW()-5</f>
        <v/>
      </c>
      <c r="B437" s="61">
        <f>IFERROR(INDEX(tbl_Finance[Date],$A437),"")</f>
        <v/>
      </c>
      <c r="C437" s="62">
        <f>IFERROR(INDEX(tbl_Finance[Xero Invoice No],$A437),"")</f>
        <v/>
      </c>
      <c r="D437" s="62">
        <f>IFERROR(INDEX(tbl_Finance[Client],$A437),"")</f>
        <v/>
      </c>
      <c r="E437" s="62">
        <f>IFERROR(INDEX(tbl_Finance[Job Number],$A437),"")</f>
        <v/>
      </c>
      <c r="F437" s="62">
        <f>IFERROR(INDEX(tbl_Finance[Cost Centre],$A437),"")</f>
        <v/>
      </c>
      <c r="G437" s="63">
        <f>IFERROR(INDEX(tbl_Finance[Ex GST],$A437),"")</f>
        <v/>
      </c>
      <c r="H437" s="61">
        <f>IFERROR(INDEX(tbl_Finance[Defer Start],$A437),"")</f>
        <v/>
      </c>
      <c r="I437" s="61">
        <f>IFERROR(INDEX(tbl_Finance[Defer End],$A437),"")</f>
        <v/>
      </c>
      <c r="J437" s="60">
        <f>IF(OR($H437="",$I437="",$G437=""),"",MAX(1,(YEAR($I437)-YEAR($H437))*12+MONTH($I437)-MONTH($H437)+1))</f>
        <v/>
      </c>
      <c r="K437" s="63">
        <f>IF($J437="","",$G437/$J437)</f>
        <v/>
      </c>
      <c r="L437" s="63">
        <f>IF($J437="",0,$K437*MAX(0,MIN(YEAR($C$3)*12+MONTH($C$3),YEAR($I437)*12+MONTH($I437))-(YEAR($H437)*12+MONTH($H437))+1))</f>
        <v/>
      </c>
      <c r="M437" s="63">
        <f>IF($J437="",0,$K437*MAX(0,MIN(YEAR($C$3)*12+MONTH($C$3)-1,YEAR($I437)*12+MONTH($I437))-(YEAR($H437)*12+MONTH($H437))+1))</f>
        <v/>
      </c>
      <c r="N437" s="63">
        <f>IF(OR($J437="",$B437=""),0,IF(YEAR($B437)*12+MONTH($B437)&lt;=YEAR($C$3)*12+MONTH($C$3),$G437,0))</f>
        <v/>
      </c>
      <c r="O437" s="63">
        <f>IF(OR($J437="",$B437=""),0,IF(YEAR($B437)*12+MONTH($B437)&lt;=YEAR($C$3)*12+MONTH($C$3)-1,$G437,0))</f>
        <v/>
      </c>
      <c r="P437" s="63">
        <f>$M437-$O437</f>
        <v/>
      </c>
      <c r="Q437" s="63">
        <f>($L437-$M437)-($N437-$O437)</f>
        <v/>
      </c>
      <c r="R437" s="63">
        <f>$L437-$N437</f>
        <v/>
      </c>
    </row>
    <row r="438">
      <c r="A438" s="60">
        <f>ROW()-5</f>
        <v/>
      </c>
      <c r="B438" s="61">
        <f>IFERROR(INDEX(tbl_Finance[Date],$A438),"")</f>
        <v/>
      </c>
      <c r="C438" s="62">
        <f>IFERROR(INDEX(tbl_Finance[Xero Invoice No],$A438),"")</f>
        <v/>
      </c>
      <c r="D438" s="62">
        <f>IFERROR(INDEX(tbl_Finance[Client],$A438),"")</f>
        <v/>
      </c>
      <c r="E438" s="62">
        <f>IFERROR(INDEX(tbl_Finance[Job Number],$A438),"")</f>
        <v/>
      </c>
      <c r="F438" s="62">
        <f>IFERROR(INDEX(tbl_Finance[Cost Centre],$A438),"")</f>
        <v/>
      </c>
      <c r="G438" s="63">
        <f>IFERROR(INDEX(tbl_Finance[Ex GST],$A438),"")</f>
        <v/>
      </c>
      <c r="H438" s="61">
        <f>IFERROR(INDEX(tbl_Finance[Defer Start],$A438),"")</f>
        <v/>
      </c>
      <c r="I438" s="61">
        <f>IFERROR(INDEX(tbl_Finance[Defer End],$A438),"")</f>
        <v/>
      </c>
      <c r="J438" s="60">
        <f>IF(OR($H438="",$I438="",$G438=""),"",MAX(1,(YEAR($I438)-YEAR($H438))*12+MONTH($I438)-MONTH($H438)+1))</f>
        <v/>
      </c>
      <c r="K438" s="63">
        <f>IF($J438="","",$G438/$J438)</f>
        <v/>
      </c>
      <c r="L438" s="63">
        <f>IF($J438="",0,$K438*MAX(0,MIN(YEAR($C$3)*12+MONTH($C$3),YEAR($I438)*12+MONTH($I438))-(YEAR($H438)*12+MONTH($H438))+1))</f>
        <v/>
      </c>
      <c r="M438" s="63">
        <f>IF($J438="",0,$K438*MAX(0,MIN(YEAR($C$3)*12+MONTH($C$3)-1,YEAR($I438)*12+MONTH($I438))-(YEAR($H438)*12+MONTH($H438))+1))</f>
        <v/>
      </c>
      <c r="N438" s="63">
        <f>IF(OR($J438="",$B438=""),0,IF(YEAR($B438)*12+MONTH($B438)&lt;=YEAR($C$3)*12+MONTH($C$3),$G438,0))</f>
        <v/>
      </c>
      <c r="O438" s="63">
        <f>IF(OR($J438="",$B438=""),0,IF(YEAR($B438)*12+MONTH($B438)&lt;=YEAR($C$3)*12+MONTH($C$3)-1,$G438,0))</f>
        <v/>
      </c>
      <c r="P438" s="63">
        <f>$M438-$O438</f>
        <v/>
      </c>
      <c r="Q438" s="63">
        <f>($L438-$M438)-($N438-$O438)</f>
        <v/>
      </c>
      <c r="R438" s="63">
        <f>$L438-$N438</f>
        <v/>
      </c>
    </row>
    <row r="439">
      <c r="A439" s="60">
        <f>ROW()-5</f>
        <v/>
      </c>
      <c r="B439" s="61">
        <f>IFERROR(INDEX(tbl_Finance[Date],$A439),"")</f>
        <v/>
      </c>
      <c r="C439" s="62">
        <f>IFERROR(INDEX(tbl_Finance[Xero Invoice No],$A439),"")</f>
        <v/>
      </c>
      <c r="D439" s="62">
        <f>IFERROR(INDEX(tbl_Finance[Client],$A439),"")</f>
        <v/>
      </c>
      <c r="E439" s="62">
        <f>IFERROR(INDEX(tbl_Finance[Job Number],$A439),"")</f>
        <v/>
      </c>
      <c r="F439" s="62">
        <f>IFERROR(INDEX(tbl_Finance[Cost Centre],$A439),"")</f>
        <v/>
      </c>
      <c r="G439" s="63">
        <f>IFERROR(INDEX(tbl_Finance[Ex GST],$A439),"")</f>
        <v/>
      </c>
      <c r="H439" s="61">
        <f>IFERROR(INDEX(tbl_Finance[Defer Start],$A439),"")</f>
        <v/>
      </c>
      <c r="I439" s="61">
        <f>IFERROR(INDEX(tbl_Finance[Defer End],$A439),"")</f>
        <v/>
      </c>
      <c r="J439" s="60">
        <f>IF(OR($H439="",$I439="",$G439=""),"",MAX(1,(YEAR($I439)-YEAR($H439))*12+MONTH($I439)-MONTH($H439)+1))</f>
        <v/>
      </c>
      <c r="K439" s="63">
        <f>IF($J439="","",$G439/$J439)</f>
        <v/>
      </c>
      <c r="L439" s="63">
        <f>IF($J439="",0,$K439*MAX(0,MIN(YEAR($C$3)*12+MONTH($C$3),YEAR($I439)*12+MONTH($I439))-(YEAR($H439)*12+MONTH($H439))+1))</f>
        <v/>
      </c>
      <c r="M439" s="63">
        <f>IF($J439="",0,$K439*MAX(0,MIN(YEAR($C$3)*12+MONTH($C$3)-1,YEAR($I439)*12+MONTH($I439))-(YEAR($H439)*12+MONTH($H439))+1))</f>
        <v/>
      </c>
      <c r="N439" s="63">
        <f>IF(OR($J439="",$B439=""),0,IF(YEAR($B439)*12+MONTH($B439)&lt;=YEAR($C$3)*12+MONTH($C$3),$G439,0))</f>
        <v/>
      </c>
      <c r="O439" s="63">
        <f>IF(OR($J439="",$B439=""),0,IF(YEAR($B439)*12+MONTH($B439)&lt;=YEAR($C$3)*12+MONTH($C$3)-1,$G439,0))</f>
        <v/>
      </c>
      <c r="P439" s="63">
        <f>$M439-$O439</f>
        <v/>
      </c>
      <c r="Q439" s="63">
        <f>($L439-$M439)-($N439-$O439)</f>
        <v/>
      </c>
      <c r="R439" s="63">
        <f>$L439-$N439</f>
        <v/>
      </c>
    </row>
    <row r="440">
      <c r="A440" s="60">
        <f>ROW()-5</f>
        <v/>
      </c>
      <c r="B440" s="61">
        <f>IFERROR(INDEX(tbl_Finance[Date],$A440),"")</f>
        <v/>
      </c>
      <c r="C440" s="62">
        <f>IFERROR(INDEX(tbl_Finance[Xero Invoice No],$A440),"")</f>
        <v/>
      </c>
      <c r="D440" s="62">
        <f>IFERROR(INDEX(tbl_Finance[Client],$A440),"")</f>
        <v/>
      </c>
      <c r="E440" s="62">
        <f>IFERROR(INDEX(tbl_Finance[Job Number],$A440),"")</f>
        <v/>
      </c>
      <c r="F440" s="62">
        <f>IFERROR(INDEX(tbl_Finance[Cost Centre],$A440),"")</f>
        <v/>
      </c>
      <c r="G440" s="63">
        <f>IFERROR(INDEX(tbl_Finance[Ex GST],$A440),"")</f>
        <v/>
      </c>
      <c r="H440" s="61">
        <f>IFERROR(INDEX(tbl_Finance[Defer Start],$A440),"")</f>
        <v/>
      </c>
      <c r="I440" s="61">
        <f>IFERROR(INDEX(tbl_Finance[Defer End],$A440),"")</f>
        <v/>
      </c>
      <c r="J440" s="60">
        <f>IF(OR($H440="",$I440="",$G440=""),"",MAX(1,(YEAR($I440)-YEAR($H440))*12+MONTH($I440)-MONTH($H440)+1))</f>
        <v/>
      </c>
      <c r="K440" s="63">
        <f>IF($J440="","",$G440/$J440)</f>
        <v/>
      </c>
      <c r="L440" s="63">
        <f>IF($J440="",0,$K440*MAX(0,MIN(YEAR($C$3)*12+MONTH($C$3),YEAR($I440)*12+MONTH($I440))-(YEAR($H440)*12+MONTH($H440))+1))</f>
        <v/>
      </c>
      <c r="M440" s="63">
        <f>IF($J440="",0,$K440*MAX(0,MIN(YEAR($C$3)*12+MONTH($C$3)-1,YEAR($I440)*12+MONTH($I440))-(YEAR($H440)*12+MONTH($H440))+1))</f>
        <v/>
      </c>
      <c r="N440" s="63">
        <f>IF(OR($J440="",$B440=""),0,IF(YEAR($B440)*12+MONTH($B440)&lt;=YEAR($C$3)*12+MONTH($C$3),$G440,0))</f>
        <v/>
      </c>
      <c r="O440" s="63">
        <f>IF(OR($J440="",$B440=""),0,IF(YEAR($B440)*12+MONTH($B440)&lt;=YEAR($C$3)*12+MONTH($C$3)-1,$G440,0))</f>
        <v/>
      </c>
      <c r="P440" s="63">
        <f>$M440-$O440</f>
        <v/>
      </c>
      <c r="Q440" s="63">
        <f>($L440-$M440)-($N440-$O440)</f>
        <v/>
      </c>
      <c r="R440" s="63">
        <f>$L440-$N440</f>
        <v/>
      </c>
    </row>
    <row r="441">
      <c r="A441" s="60">
        <f>ROW()-5</f>
        <v/>
      </c>
      <c r="B441" s="61">
        <f>IFERROR(INDEX(tbl_Finance[Date],$A441),"")</f>
        <v/>
      </c>
      <c r="C441" s="62">
        <f>IFERROR(INDEX(tbl_Finance[Xero Invoice No],$A441),"")</f>
        <v/>
      </c>
      <c r="D441" s="62">
        <f>IFERROR(INDEX(tbl_Finance[Client],$A441),"")</f>
        <v/>
      </c>
      <c r="E441" s="62">
        <f>IFERROR(INDEX(tbl_Finance[Job Number],$A441),"")</f>
        <v/>
      </c>
      <c r="F441" s="62">
        <f>IFERROR(INDEX(tbl_Finance[Cost Centre],$A441),"")</f>
        <v/>
      </c>
      <c r="G441" s="63">
        <f>IFERROR(INDEX(tbl_Finance[Ex GST],$A441),"")</f>
        <v/>
      </c>
      <c r="H441" s="61">
        <f>IFERROR(INDEX(tbl_Finance[Defer Start],$A441),"")</f>
        <v/>
      </c>
      <c r="I441" s="61">
        <f>IFERROR(INDEX(tbl_Finance[Defer End],$A441),"")</f>
        <v/>
      </c>
      <c r="J441" s="60">
        <f>IF(OR($H441="",$I441="",$G441=""),"",MAX(1,(YEAR($I441)-YEAR($H441))*12+MONTH($I441)-MONTH($H441)+1))</f>
        <v/>
      </c>
      <c r="K441" s="63">
        <f>IF($J441="","",$G441/$J441)</f>
        <v/>
      </c>
      <c r="L441" s="63">
        <f>IF($J441="",0,$K441*MAX(0,MIN(YEAR($C$3)*12+MONTH($C$3),YEAR($I441)*12+MONTH($I441))-(YEAR($H441)*12+MONTH($H441))+1))</f>
        <v/>
      </c>
      <c r="M441" s="63">
        <f>IF($J441="",0,$K441*MAX(0,MIN(YEAR($C$3)*12+MONTH($C$3)-1,YEAR($I441)*12+MONTH($I441))-(YEAR($H441)*12+MONTH($H441))+1))</f>
        <v/>
      </c>
      <c r="N441" s="63">
        <f>IF(OR($J441="",$B441=""),0,IF(YEAR($B441)*12+MONTH($B441)&lt;=YEAR($C$3)*12+MONTH($C$3),$G441,0))</f>
        <v/>
      </c>
      <c r="O441" s="63">
        <f>IF(OR($J441="",$B441=""),0,IF(YEAR($B441)*12+MONTH($B441)&lt;=YEAR($C$3)*12+MONTH($C$3)-1,$G441,0))</f>
        <v/>
      </c>
      <c r="P441" s="63">
        <f>$M441-$O441</f>
        <v/>
      </c>
      <c r="Q441" s="63">
        <f>($L441-$M441)-($N441-$O441)</f>
        <v/>
      </c>
      <c r="R441" s="63">
        <f>$L441-$N441</f>
        <v/>
      </c>
    </row>
    <row r="442">
      <c r="A442" s="60">
        <f>ROW()-5</f>
        <v/>
      </c>
      <c r="B442" s="61">
        <f>IFERROR(INDEX(tbl_Finance[Date],$A442),"")</f>
        <v/>
      </c>
      <c r="C442" s="62">
        <f>IFERROR(INDEX(tbl_Finance[Xero Invoice No],$A442),"")</f>
        <v/>
      </c>
      <c r="D442" s="62">
        <f>IFERROR(INDEX(tbl_Finance[Client],$A442),"")</f>
        <v/>
      </c>
      <c r="E442" s="62">
        <f>IFERROR(INDEX(tbl_Finance[Job Number],$A442),"")</f>
        <v/>
      </c>
      <c r="F442" s="62">
        <f>IFERROR(INDEX(tbl_Finance[Cost Centre],$A442),"")</f>
        <v/>
      </c>
      <c r="G442" s="63">
        <f>IFERROR(INDEX(tbl_Finance[Ex GST],$A442),"")</f>
        <v/>
      </c>
      <c r="H442" s="61">
        <f>IFERROR(INDEX(tbl_Finance[Defer Start],$A442),"")</f>
        <v/>
      </c>
      <c r="I442" s="61">
        <f>IFERROR(INDEX(tbl_Finance[Defer End],$A442),"")</f>
        <v/>
      </c>
      <c r="J442" s="60">
        <f>IF(OR($H442="",$I442="",$G442=""),"",MAX(1,(YEAR($I442)-YEAR($H442))*12+MONTH($I442)-MONTH($H442)+1))</f>
        <v/>
      </c>
      <c r="K442" s="63">
        <f>IF($J442="","",$G442/$J442)</f>
        <v/>
      </c>
      <c r="L442" s="63">
        <f>IF($J442="",0,$K442*MAX(0,MIN(YEAR($C$3)*12+MONTH($C$3),YEAR($I442)*12+MONTH($I442))-(YEAR($H442)*12+MONTH($H442))+1))</f>
        <v/>
      </c>
      <c r="M442" s="63">
        <f>IF($J442="",0,$K442*MAX(0,MIN(YEAR($C$3)*12+MONTH($C$3)-1,YEAR($I442)*12+MONTH($I442))-(YEAR($H442)*12+MONTH($H442))+1))</f>
        <v/>
      </c>
      <c r="N442" s="63">
        <f>IF(OR($J442="",$B442=""),0,IF(YEAR($B442)*12+MONTH($B442)&lt;=YEAR($C$3)*12+MONTH($C$3),$G442,0))</f>
        <v/>
      </c>
      <c r="O442" s="63">
        <f>IF(OR($J442="",$B442=""),0,IF(YEAR($B442)*12+MONTH($B442)&lt;=YEAR($C$3)*12+MONTH($C$3)-1,$G442,0))</f>
        <v/>
      </c>
      <c r="P442" s="63">
        <f>$M442-$O442</f>
        <v/>
      </c>
      <c r="Q442" s="63">
        <f>($L442-$M442)-($N442-$O442)</f>
        <v/>
      </c>
      <c r="R442" s="63">
        <f>$L442-$N442</f>
        <v/>
      </c>
    </row>
    <row r="443">
      <c r="A443" s="60">
        <f>ROW()-5</f>
        <v/>
      </c>
      <c r="B443" s="61">
        <f>IFERROR(INDEX(tbl_Finance[Date],$A443),"")</f>
        <v/>
      </c>
      <c r="C443" s="62">
        <f>IFERROR(INDEX(tbl_Finance[Xero Invoice No],$A443),"")</f>
        <v/>
      </c>
      <c r="D443" s="62">
        <f>IFERROR(INDEX(tbl_Finance[Client],$A443),"")</f>
        <v/>
      </c>
      <c r="E443" s="62">
        <f>IFERROR(INDEX(tbl_Finance[Job Number],$A443),"")</f>
        <v/>
      </c>
      <c r="F443" s="62">
        <f>IFERROR(INDEX(tbl_Finance[Cost Centre],$A443),"")</f>
        <v/>
      </c>
      <c r="G443" s="63">
        <f>IFERROR(INDEX(tbl_Finance[Ex GST],$A443),"")</f>
        <v/>
      </c>
      <c r="H443" s="61">
        <f>IFERROR(INDEX(tbl_Finance[Defer Start],$A443),"")</f>
        <v/>
      </c>
      <c r="I443" s="61">
        <f>IFERROR(INDEX(tbl_Finance[Defer End],$A443),"")</f>
        <v/>
      </c>
      <c r="J443" s="60">
        <f>IF(OR($H443="",$I443="",$G443=""),"",MAX(1,(YEAR($I443)-YEAR($H443))*12+MONTH($I443)-MONTH($H443)+1))</f>
        <v/>
      </c>
      <c r="K443" s="63">
        <f>IF($J443="","",$G443/$J443)</f>
        <v/>
      </c>
      <c r="L443" s="63">
        <f>IF($J443="",0,$K443*MAX(0,MIN(YEAR($C$3)*12+MONTH($C$3),YEAR($I443)*12+MONTH($I443))-(YEAR($H443)*12+MONTH($H443))+1))</f>
        <v/>
      </c>
      <c r="M443" s="63">
        <f>IF($J443="",0,$K443*MAX(0,MIN(YEAR($C$3)*12+MONTH($C$3)-1,YEAR($I443)*12+MONTH($I443))-(YEAR($H443)*12+MONTH($H443))+1))</f>
        <v/>
      </c>
      <c r="N443" s="63">
        <f>IF(OR($J443="",$B443=""),0,IF(YEAR($B443)*12+MONTH($B443)&lt;=YEAR($C$3)*12+MONTH($C$3),$G443,0))</f>
        <v/>
      </c>
      <c r="O443" s="63">
        <f>IF(OR($J443="",$B443=""),0,IF(YEAR($B443)*12+MONTH($B443)&lt;=YEAR($C$3)*12+MONTH($C$3)-1,$G443,0))</f>
        <v/>
      </c>
      <c r="P443" s="63">
        <f>$M443-$O443</f>
        <v/>
      </c>
      <c r="Q443" s="63">
        <f>($L443-$M443)-($N443-$O443)</f>
        <v/>
      </c>
      <c r="R443" s="63">
        <f>$L443-$N443</f>
        <v/>
      </c>
    </row>
    <row r="444">
      <c r="A444" s="60">
        <f>ROW()-5</f>
        <v/>
      </c>
      <c r="B444" s="61">
        <f>IFERROR(INDEX(tbl_Finance[Date],$A444),"")</f>
        <v/>
      </c>
      <c r="C444" s="62">
        <f>IFERROR(INDEX(tbl_Finance[Xero Invoice No],$A444),"")</f>
        <v/>
      </c>
      <c r="D444" s="62">
        <f>IFERROR(INDEX(tbl_Finance[Client],$A444),"")</f>
        <v/>
      </c>
      <c r="E444" s="62">
        <f>IFERROR(INDEX(tbl_Finance[Job Number],$A444),"")</f>
        <v/>
      </c>
      <c r="F444" s="62">
        <f>IFERROR(INDEX(tbl_Finance[Cost Centre],$A444),"")</f>
        <v/>
      </c>
      <c r="G444" s="63">
        <f>IFERROR(INDEX(tbl_Finance[Ex GST],$A444),"")</f>
        <v/>
      </c>
      <c r="H444" s="61">
        <f>IFERROR(INDEX(tbl_Finance[Defer Start],$A444),"")</f>
        <v/>
      </c>
      <c r="I444" s="61">
        <f>IFERROR(INDEX(tbl_Finance[Defer End],$A444),"")</f>
        <v/>
      </c>
      <c r="J444" s="60">
        <f>IF(OR($H444="",$I444="",$G444=""),"",MAX(1,(YEAR($I444)-YEAR($H444))*12+MONTH($I444)-MONTH($H444)+1))</f>
        <v/>
      </c>
      <c r="K444" s="63">
        <f>IF($J444="","",$G444/$J444)</f>
        <v/>
      </c>
      <c r="L444" s="63">
        <f>IF($J444="",0,$K444*MAX(0,MIN(YEAR($C$3)*12+MONTH($C$3),YEAR($I444)*12+MONTH($I444))-(YEAR($H444)*12+MONTH($H444))+1))</f>
        <v/>
      </c>
      <c r="M444" s="63">
        <f>IF($J444="",0,$K444*MAX(0,MIN(YEAR($C$3)*12+MONTH($C$3)-1,YEAR($I444)*12+MONTH($I444))-(YEAR($H444)*12+MONTH($H444))+1))</f>
        <v/>
      </c>
      <c r="N444" s="63">
        <f>IF(OR($J444="",$B444=""),0,IF(YEAR($B444)*12+MONTH($B444)&lt;=YEAR($C$3)*12+MONTH($C$3),$G444,0))</f>
        <v/>
      </c>
      <c r="O444" s="63">
        <f>IF(OR($J444="",$B444=""),0,IF(YEAR($B444)*12+MONTH($B444)&lt;=YEAR($C$3)*12+MONTH($C$3)-1,$G444,0))</f>
        <v/>
      </c>
      <c r="P444" s="63">
        <f>$M444-$O444</f>
        <v/>
      </c>
      <c r="Q444" s="63">
        <f>($L444-$M444)-($N444-$O444)</f>
        <v/>
      </c>
      <c r="R444" s="63">
        <f>$L444-$N444</f>
        <v/>
      </c>
    </row>
    <row r="445">
      <c r="A445" s="60">
        <f>ROW()-5</f>
        <v/>
      </c>
      <c r="B445" s="61">
        <f>IFERROR(INDEX(tbl_Finance[Date],$A445),"")</f>
        <v/>
      </c>
      <c r="C445" s="62">
        <f>IFERROR(INDEX(tbl_Finance[Xero Invoice No],$A445),"")</f>
        <v/>
      </c>
      <c r="D445" s="62">
        <f>IFERROR(INDEX(tbl_Finance[Client],$A445),"")</f>
        <v/>
      </c>
      <c r="E445" s="62">
        <f>IFERROR(INDEX(tbl_Finance[Job Number],$A445),"")</f>
        <v/>
      </c>
      <c r="F445" s="62">
        <f>IFERROR(INDEX(tbl_Finance[Cost Centre],$A445),"")</f>
        <v/>
      </c>
      <c r="G445" s="63">
        <f>IFERROR(INDEX(tbl_Finance[Ex GST],$A445),"")</f>
        <v/>
      </c>
      <c r="H445" s="61">
        <f>IFERROR(INDEX(tbl_Finance[Defer Start],$A445),"")</f>
        <v/>
      </c>
      <c r="I445" s="61">
        <f>IFERROR(INDEX(tbl_Finance[Defer End],$A445),"")</f>
        <v/>
      </c>
      <c r="J445" s="60">
        <f>IF(OR($H445="",$I445="",$G445=""),"",MAX(1,(YEAR($I445)-YEAR($H445))*12+MONTH($I445)-MONTH($H445)+1))</f>
        <v/>
      </c>
      <c r="K445" s="63">
        <f>IF($J445="","",$G445/$J445)</f>
        <v/>
      </c>
      <c r="L445" s="63">
        <f>IF($J445="",0,$K445*MAX(0,MIN(YEAR($C$3)*12+MONTH($C$3),YEAR($I445)*12+MONTH($I445))-(YEAR($H445)*12+MONTH($H445))+1))</f>
        <v/>
      </c>
      <c r="M445" s="63">
        <f>IF($J445="",0,$K445*MAX(0,MIN(YEAR($C$3)*12+MONTH($C$3)-1,YEAR($I445)*12+MONTH($I445))-(YEAR($H445)*12+MONTH($H445))+1))</f>
        <v/>
      </c>
      <c r="N445" s="63">
        <f>IF(OR($J445="",$B445=""),0,IF(YEAR($B445)*12+MONTH($B445)&lt;=YEAR($C$3)*12+MONTH($C$3),$G445,0))</f>
        <v/>
      </c>
      <c r="O445" s="63">
        <f>IF(OR($J445="",$B445=""),0,IF(YEAR($B445)*12+MONTH($B445)&lt;=YEAR($C$3)*12+MONTH($C$3)-1,$G445,0))</f>
        <v/>
      </c>
      <c r="P445" s="63">
        <f>$M445-$O445</f>
        <v/>
      </c>
      <c r="Q445" s="63">
        <f>($L445-$M445)-($N445-$O445)</f>
        <v/>
      </c>
      <c r="R445" s="63">
        <f>$L445-$N445</f>
        <v/>
      </c>
    </row>
    <row r="446">
      <c r="A446" s="60">
        <f>ROW()-5</f>
        <v/>
      </c>
      <c r="B446" s="61">
        <f>IFERROR(INDEX(tbl_Finance[Date],$A446),"")</f>
        <v/>
      </c>
      <c r="C446" s="62">
        <f>IFERROR(INDEX(tbl_Finance[Xero Invoice No],$A446),"")</f>
        <v/>
      </c>
      <c r="D446" s="62">
        <f>IFERROR(INDEX(tbl_Finance[Client],$A446),"")</f>
        <v/>
      </c>
      <c r="E446" s="62">
        <f>IFERROR(INDEX(tbl_Finance[Job Number],$A446),"")</f>
        <v/>
      </c>
      <c r="F446" s="62">
        <f>IFERROR(INDEX(tbl_Finance[Cost Centre],$A446),"")</f>
        <v/>
      </c>
      <c r="G446" s="63">
        <f>IFERROR(INDEX(tbl_Finance[Ex GST],$A446),"")</f>
        <v/>
      </c>
      <c r="H446" s="61">
        <f>IFERROR(INDEX(tbl_Finance[Defer Start],$A446),"")</f>
        <v/>
      </c>
      <c r="I446" s="61">
        <f>IFERROR(INDEX(tbl_Finance[Defer End],$A446),"")</f>
        <v/>
      </c>
      <c r="J446" s="60">
        <f>IF(OR($H446="",$I446="",$G446=""),"",MAX(1,(YEAR($I446)-YEAR($H446))*12+MONTH($I446)-MONTH($H446)+1))</f>
        <v/>
      </c>
      <c r="K446" s="63">
        <f>IF($J446="","",$G446/$J446)</f>
        <v/>
      </c>
      <c r="L446" s="63">
        <f>IF($J446="",0,$K446*MAX(0,MIN(YEAR($C$3)*12+MONTH($C$3),YEAR($I446)*12+MONTH($I446))-(YEAR($H446)*12+MONTH($H446))+1))</f>
        <v/>
      </c>
      <c r="M446" s="63">
        <f>IF($J446="",0,$K446*MAX(0,MIN(YEAR($C$3)*12+MONTH($C$3)-1,YEAR($I446)*12+MONTH($I446))-(YEAR($H446)*12+MONTH($H446))+1))</f>
        <v/>
      </c>
      <c r="N446" s="63">
        <f>IF(OR($J446="",$B446=""),0,IF(YEAR($B446)*12+MONTH($B446)&lt;=YEAR($C$3)*12+MONTH($C$3),$G446,0))</f>
        <v/>
      </c>
      <c r="O446" s="63">
        <f>IF(OR($J446="",$B446=""),0,IF(YEAR($B446)*12+MONTH($B446)&lt;=YEAR($C$3)*12+MONTH($C$3)-1,$G446,0))</f>
        <v/>
      </c>
      <c r="P446" s="63">
        <f>$M446-$O446</f>
        <v/>
      </c>
      <c r="Q446" s="63">
        <f>($L446-$M446)-($N446-$O446)</f>
        <v/>
      </c>
      <c r="R446" s="63">
        <f>$L446-$N446</f>
        <v/>
      </c>
    </row>
    <row r="447">
      <c r="A447" s="60">
        <f>ROW()-5</f>
        <v/>
      </c>
      <c r="B447" s="61">
        <f>IFERROR(INDEX(tbl_Finance[Date],$A447),"")</f>
        <v/>
      </c>
      <c r="C447" s="62">
        <f>IFERROR(INDEX(tbl_Finance[Xero Invoice No],$A447),"")</f>
        <v/>
      </c>
      <c r="D447" s="62">
        <f>IFERROR(INDEX(tbl_Finance[Client],$A447),"")</f>
        <v/>
      </c>
      <c r="E447" s="62">
        <f>IFERROR(INDEX(tbl_Finance[Job Number],$A447),"")</f>
        <v/>
      </c>
      <c r="F447" s="62">
        <f>IFERROR(INDEX(tbl_Finance[Cost Centre],$A447),"")</f>
        <v/>
      </c>
      <c r="G447" s="63">
        <f>IFERROR(INDEX(tbl_Finance[Ex GST],$A447),"")</f>
        <v/>
      </c>
      <c r="H447" s="61">
        <f>IFERROR(INDEX(tbl_Finance[Defer Start],$A447),"")</f>
        <v/>
      </c>
      <c r="I447" s="61">
        <f>IFERROR(INDEX(tbl_Finance[Defer End],$A447),"")</f>
        <v/>
      </c>
      <c r="J447" s="60">
        <f>IF(OR($H447="",$I447="",$G447=""),"",MAX(1,(YEAR($I447)-YEAR($H447))*12+MONTH($I447)-MONTH($H447)+1))</f>
        <v/>
      </c>
      <c r="K447" s="63">
        <f>IF($J447="","",$G447/$J447)</f>
        <v/>
      </c>
      <c r="L447" s="63">
        <f>IF($J447="",0,$K447*MAX(0,MIN(YEAR($C$3)*12+MONTH($C$3),YEAR($I447)*12+MONTH($I447))-(YEAR($H447)*12+MONTH($H447))+1))</f>
        <v/>
      </c>
      <c r="M447" s="63">
        <f>IF($J447="",0,$K447*MAX(0,MIN(YEAR($C$3)*12+MONTH($C$3)-1,YEAR($I447)*12+MONTH($I447))-(YEAR($H447)*12+MONTH($H447))+1))</f>
        <v/>
      </c>
      <c r="N447" s="63">
        <f>IF(OR($J447="",$B447=""),0,IF(YEAR($B447)*12+MONTH($B447)&lt;=YEAR($C$3)*12+MONTH($C$3),$G447,0))</f>
        <v/>
      </c>
      <c r="O447" s="63">
        <f>IF(OR($J447="",$B447=""),0,IF(YEAR($B447)*12+MONTH($B447)&lt;=YEAR($C$3)*12+MONTH($C$3)-1,$G447,0))</f>
        <v/>
      </c>
      <c r="P447" s="63">
        <f>$M447-$O447</f>
        <v/>
      </c>
      <c r="Q447" s="63">
        <f>($L447-$M447)-($N447-$O447)</f>
        <v/>
      </c>
      <c r="R447" s="63">
        <f>$L447-$N447</f>
        <v/>
      </c>
    </row>
    <row r="448">
      <c r="A448" s="60">
        <f>ROW()-5</f>
        <v/>
      </c>
      <c r="B448" s="61">
        <f>IFERROR(INDEX(tbl_Finance[Date],$A448),"")</f>
        <v/>
      </c>
      <c r="C448" s="62">
        <f>IFERROR(INDEX(tbl_Finance[Xero Invoice No],$A448),"")</f>
        <v/>
      </c>
      <c r="D448" s="62">
        <f>IFERROR(INDEX(tbl_Finance[Client],$A448),"")</f>
        <v/>
      </c>
      <c r="E448" s="62">
        <f>IFERROR(INDEX(tbl_Finance[Job Number],$A448),"")</f>
        <v/>
      </c>
      <c r="F448" s="62">
        <f>IFERROR(INDEX(tbl_Finance[Cost Centre],$A448),"")</f>
        <v/>
      </c>
      <c r="G448" s="63">
        <f>IFERROR(INDEX(tbl_Finance[Ex GST],$A448),"")</f>
        <v/>
      </c>
      <c r="H448" s="61">
        <f>IFERROR(INDEX(tbl_Finance[Defer Start],$A448),"")</f>
        <v/>
      </c>
      <c r="I448" s="61">
        <f>IFERROR(INDEX(tbl_Finance[Defer End],$A448),"")</f>
        <v/>
      </c>
      <c r="J448" s="60">
        <f>IF(OR($H448="",$I448="",$G448=""),"",MAX(1,(YEAR($I448)-YEAR($H448))*12+MONTH($I448)-MONTH($H448)+1))</f>
        <v/>
      </c>
      <c r="K448" s="63">
        <f>IF($J448="","",$G448/$J448)</f>
        <v/>
      </c>
      <c r="L448" s="63">
        <f>IF($J448="",0,$K448*MAX(0,MIN(YEAR($C$3)*12+MONTH($C$3),YEAR($I448)*12+MONTH($I448))-(YEAR($H448)*12+MONTH($H448))+1))</f>
        <v/>
      </c>
      <c r="M448" s="63">
        <f>IF($J448="",0,$K448*MAX(0,MIN(YEAR($C$3)*12+MONTH($C$3)-1,YEAR($I448)*12+MONTH($I448))-(YEAR($H448)*12+MONTH($H448))+1))</f>
        <v/>
      </c>
      <c r="N448" s="63">
        <f>IF(OR($J448="",$B448=""),0,IF(YEAR($B448)*12+MONTH($B448)&lt;=YEAR($C$3)*12+MONTH($C$3),$G448,0))</f>
        <v/>
      </c>
      <c r="O448" s="63">
        <f>IF(OR($J448="",$B448=""),0,IF(YEAR($B448)*12+MONTH($B448)&lt;=YEAR($C$3)*12+MONTH($C$3)-1,$G448,0))</f>
        <v/>
      </c>
      <c r="P448" s="63">
        <f>$M448-$O448</f>
        <v/>
      </c>
      <c r="Q448" s="63">
        <f>($L448-$M448)-($N448-$O448)</f>
        <v/>
      </c>
      <c r="R448" s="63">
        <f>$L448-$N448</f>
        <v/>
      </c>
    </row>
    <row r="449">
      <c r="A449" s="60">
        <f>ROW()-5</f>
        <v/>
      </c>
      <c r="B449" s="61">
        <f>IFERROR(INDEX(tbl_Finance[Date],$A449),"")</f>
        <v/>
      </c>
      <c r="C449" s="62">
        <f>IFERROR(INDEX(tbl_Finance[Xero Invoice No],$A449),"")</f>
        <v/>
      </c>
      <c r="D449" s="62">
        <f>IFERROR(INDEX(tbl_Finance[Client],$A449),"")</f>
        <v/>
      </c>
      <c r="E449" s="62">
        <f>IFERROR(INDEX(tbl_Finance[Job Number],$A449),"")</f>
        <v/>
      </c>
      <c r="F449" s="62">
        <f>IFERROR(INDEX(tbl_Finance[Cost Centre],$A449),"")</f>
        <v/>
      </c>
      <c r="G449" s="63">
        <f>IFERROR(INDEX(tbl_Finance[Ex GST],$A449),"")</f>
        <v/>
      </c>
      <c r="H449" s="61">
        <f>IFERROR(INDEX(tbl_Finance[Defer Start],$A449),"")</f>
        <v/>
      </c>
      <c r="I449" s="61">
        <f>IFERROR(INDEX(tbl_Finance[Defer End],$A449),"")</f>
        <v/>
      </c>
      <c r="J449" s="60">
        <f>IF(OR($H449="",$I449="",$G449=""),"",MAX(1,(YEAR($I449)-YEAR($H449))*12+MONTH($I449)-MONTH($H449)+1))</f>
        <v/>
      </c>
      <c r="K449" s="63">
        <f>IF($J449="","",$G449/$J449)</f>
        <v/>
      </c>
      <c r="L449" s="63">
        <f>IF($J449="",0,$K449*MAX(0,MIN(YEAR($C$3)*12+MONTH($C$3),YEAR($I449)*12+MONTH($I449))-(YEAR($H449)*12+MONTH($H449))+1))</f>
        <v/>
      </c>
      <c r="M449" s="63">
        <f>IF($J449="",0,$K449*MAX(0,MIN(YEAR($C$3)*12+MONTH($C$3)-1,YEAR($I449)*12+MONTH($I449))-(YEAR($H449)*12+MONTH($H449))+1))</f>
        <v/>
      </c>
      <c r="N449" s="63">
        <f>IF(OR($J449="",$B449=""),0,IF(YEAR($B449)*12+MONTH($B449)&lt;=YEAR($C$3)*12+MONTH($C$3),$G449,0))</f>
        <v/>
      </c>
      <c r="O449" s="63">
        <f>IF(OR($J449="",$B449=""),0,IF(YEAR($B449)*12+MONTH($B449)&lt;=YEAR($C$3)*12+MONTH($C$3)-1,$G449,0))</f>
        <v/>
      </c>
      <c r="P449" s="63">
        <f>$M449-$O449</f>
        <v/>
      </c>
      <c r="Q449" s="63">
        <f>($L449-$M449)-($N449-$O449)</f>
        <v/>
      </c>
      <c r="R449" s="63">
        <f>$L449-$N449</f>
        <v/>
      </c>
    </row>
    <row r="450">
      <c r="A450" s="60">
        <f>ROW()-5</f>
        <v/>
      </c>
      <c r="B450" s="61">
        <f>IFERROR(INDEX(tbl_Finance[Date],$A450),"")</f>
        <v/>
      </c>
      <c r="C450" s="62">
        <f>IFERROR(INDEX(tbl_Finance[Xero Invoice No],$A450),"")</f>
        <v/>
      </c>
      <c r="D450" s="62">
        <f>IFERROR(INDEX(tbl_Finance[Client],$A450),"")</f>
        <v/>
      </c>
      <c r="E450" s="62">
        <f>IFERROR(INDEX(tbl_Finance[Job Number],$A450),"")</f>
        <v/>
      </c>
      <c r="F450" s="62">
        <f>IFERROR(INDEX(tbl_Finance[Cost Centre],$A450),"")</f>
        <v/>
      </c>
      <c r="G450" s="63">
        <f>IFERROR(INDEX(tbl_Finance[Ex GST],$A450),"")</f>
        <v/>
      </c>
      <c r="H450" s="61">
        <f>IFERROR(INDEX(tbl_Finance[Defer Start],$A450),"")</f>
        <v/>
      </c>
      <c r="I450" s="61">
        <f>IFERROR(INDEX(tbl_Finance[Defer End],$A450),"")</f>
        <v/>
      </c>
      <c r="J450" s="60">
        <f>IF(OR($H450="",$I450="",$G450=""),"",MAX(1,(YEAR($I450)-YEAR($H450))*12+MONTH($I450)-MONTH($H450)+1))</f>
        <v/>
      </c>
      <c r="K450" s="63">
        <f>IF($J450="","",$G450/$J450)</f>
        <v/>
      </c>
      <c r="L450" s="63">
        <f>IF($J450="",0,$K450*MAX(0,MIN(YEAR($C$3)*12+MONTH($C$3),YEAR($I450)*12+MONTH($I450))-(YEAR($H450)*12+MONTH($H450))+1))</f>
        <v/>
      </c>
      <c r="M450" s="63">
        <f>IF($J450="",0,$K450*MAX(0,MIN(YEAR($C$3)*12+MONTH($C$3)-1,YEAR($I450)*12+MONTH($I450))-(YEAR($H450)*12+MONTH($H450))+1))</f>
        <v/>
      </c>
      <c r="N450" s="63">
        <f>IF(OR($J450="",$B450=""),0,IF(YEAR($B450)*12+MONTH($B450)&lt;=YEAR($C$3)*12+MONTH($C$3),$G450,0))</f>
        <v/>
      </c>
      <c r="O450" s="63">
        <f>IF(OR($J450="",$B450=""),0,IF(YEAR($B450)*12+MONTH($B450)&lt;=YEAR($C$3)*12+MONTH($C$3)-1,$G450,0))</f>
        <v/>
      </c>
      <c r="P450" s="63">
        <f>$M450-$O450</f>
        <v/>
      </c>
      <c r="Q450" s="63">
        <f>($L450-$M450)-($N450-$O450)</f>
        <v/>
      </c>
      <c r="R450" s="63">
        <f>$L450-$N450</f>
        <v/>
      </c>
    </row>
    <row r="451">
      <c r="A451" s="60">
        <f>ROW()-5</f>
        <v/>
      </c>
      <c r="B451" s="61">
        <f>IFERROR(INDEX(tbl_Finance[Date],$A451),"")</f>
        <v/>
      </c>
      <c r="C451" s="62">
        <f>IFERROR(INDEX(tbl_Finance[Xero Invoice No],$A451),"")</f>
        <v/>
      </c>
      <c r="D451" s="62">
        <f>IFERROR(INDEX(tbl_Finance[Client],$A451),"")</f>
        <v/>
      </c>
      <c r="E451" s="62">
        <f>IFERROR(INDEX(tbl_Finance[Job Number],$A451),"")</f>
        <v/>
      </c>
      <c r="F451" s="62">
        <f>IFERROR(INDEX(tbl_Finance[Cost Centre],$A451),"")</f>
        <v/>
      </c>
      <c r="G451" s="63">
        <f>IFERROR(INDEX(tbl_Finance[Ex GST],$A451),"")</f>
        <v/>
      </c>
      <c r="H451" s="61">
        <f>IFERROR(INDEX(tbl_Finance[Defer Start],$A451),"")</f>
        <v/>
      </c>
      <c r="I451" s="61">
        <f>IFERROR(INDEX(tbl_Finance[Defer End],$A451),"")</f>
        <v/>
      </c>
      <c r="J451" s="60">
        <f>IF(OR($H451="",$I451="",$G451=""),"",MAX(1,(YEAR($I451)-YEAR($H451))*12+MONTH($I451)-MONTH($H451)+1))</f>
        <v/>
      </c>
      <c r="K451" s="63">
        <f>IF($J451="","",$G451/$J451)</f>
        <v/>
      </c>
      <c r="L451" s="63">
        <f>IF($J451="",0,$K451*MAX(0,MIN(YEAR($C$3)*12+MONTH($C$3),YEAR($I451)*12+MONTH($I451))-(YEAR($H451)*12+MONTH($H451))+1))</f>
        <v/>
      </c>
      <c r="M451" s="63">
        <f>IF($J451="",0,$K451*MAX(0,MIN(YEAR($C$3)*12+MONTH($C$3)-1,YEAR($I451)*12+MONTH($I451))-(YEAR($H451)*12+MONTH($H451))+1))</f>
        <v/>
      </c>
      <c r="N451" s="63">
        <f>IF(OR($J451="",$B451=""),0,IF(YEAR($B451)*12+MONTH($B451)&lt;=YEAR($C$3)*12+MONTH($C$3),$G451,0))</f>
        <v/>
      </c>
      <c r="O451" s="63">
        <f>IF(OR($J451="",$B451=""),0,IF(YEAR($B451)*12+MONTH($B451)&lt;=YEAR($C$3)*12+MONTH($C$3)-1,$G451,0))</f>
        <v/>
      </c>
      <c r="P451" s="63">
        <f>$M451-$O451</f>
        <v/>
      </c>
      <c r="Q451" s="63">
        <f>($L451-$M451)-($N451-$O451)</f>
        <v/>
      </c>
      <c r="R451" s="63">
        <f>$L451-$N451</f>
        <v/>
      </c>
    </row>
    <row r="452">
      <c r="A452" s="60">
        <f>ROW()-5</f>
        <v/>
      </c>
      <c r="B452" s="61">
        <f>IFERROR(INDEX(tbl_Finance[Date],$A452),"")</f>
        <v/>
      </c>
      <c r="C452" s="62">
        <f>IFERROR(INDEX(tbl_Finance[Xero Invoice No],$A452),"")</f>
        <v/>
      </c>
      <c r="D452" s="62">
        <f>IFERROR(INDEX(tbl_Finance[Client],$A452),"")</f>
        <v/>
      </c>
      <c r="E452" s="62">
        <f>IFERROR(INDEX(tbl_Finance[Job Number],$A452),"")</f>
        <v/>
      </c>
      <c r="F452" s="62">
        <f>IFERROR(INDEX(tbl_Finance[Cost Centre],$A452),"")</f>
        <v/>
      </c>
      <c r="G452" s="63">
        <f>IFERROR(INDEX(tbl_Finance[Ex GST],$A452),"")</f>
        <v/>
      </c>
      <c r="H452" s="61">
        <f>IFERROR(INDEX(tbl_Finance[Defer Start],$A452),"")</f>
        <v/>
      </c>
      <c r="I452" s="61">
        <f>IFERROR(INDEX(tbl_Finance[Defer End],$A452),"")</f>
        <v/>
      </c>
      <c r="J452" s="60">
        <f>IF(OR($H452="",$I452="",$G452=""),"",MAX(1,(YEAR($I452)-YEAR($H452))*12+MONTH($I452)-MONTH($H452)+1))</f>
        <v/>
      </c>
      <c r="K452" s="63">
        <f>IF($J452="","",$G452/$J452)</f>
        <v/>
      </c>
      <c r="L452" s="63">
        <f>IF($J452="",0,$K452*MAX(0,MIN(YEAR($C$3)*12+MONTH($C$3),YEAR($I452)*12+MONTH($I452))-(YEAR($H452)*12+MONTH($H452))+1))</f>
        <v/>
      </c>
      <c r="M452" s="63">
        <f>IF($J452="",0,$K452*MAX(0,MIN(YEAR($C$3)*12+MONTH($C$3)-1,YEAR($I452)*12+MONTH($I452))-(YEAR($H452)*12+MONTH($H452))+1))</f>
        <v/>
      </c>
      <c r="N452" s="63">
        <f>IF(OR($J452="",$B452=""),0,IF(YEAR($B452)*12+MONTH($B452)&lt;=YEAR($C$3)*12+MONTH($C$3),$G452,0))</f>
        <v/>
      </c>
      <c r="O452" s="63">
        <f>IF(OR($J452="",$B452=""),0,IF(YEAR($B452)*12+MONTH($B452)&lt;=YEAR($C$3)*12+MONTH($C$3)-1,$G452,0))</f>
        <v/>
      </c>
      <c r="P452" s="63">
        <f>$M452-$O452</f>
        <v/>
      </c>
      <c r="Q452" s="63">
        <f>($L452-$M452)-($N452-$O452)</f>
        <v/>
      </c>
      <c r="R452" s="63">
        <f>$L452-$N452</f>
        <v/>
      </c>
    </row>
    <row r="453">
      <c r="A453" s="60">
        <f>ROW()-5</f>
        <v/>
      </c>
      <c r="B453" s="61">
        <f>IFERROR(INDEX(tbl_Finance[Date],$A453),"")</f>
        <v/>
      </c>
      <c r="C453" s="62">
        <f>IFERROR(INDEX(tbl_Finance[Xero Invoice No],$A453),"")</f>
        <v/>
      </c>
      <c r="D453" s="62">
        <f>IFERROR(INDEX(tbl_Finance[Client],$A453),"")</f>
        <v/>
      </c>
      <c r="E453" s="62">
        <f>IFERROR(INDEX(tbl_Finance[Job Number],$A453),"")</f>
        <v/>
      </c>
      <c r="F453" s="62">
        <f>IFERROR(INDEX(tbl_Finance[Cost Centre],$A453),"")</f>
        <v/>
      </c>
      <c r="G453" s="63">
        <f>IFERROR(INDEX(tbl_Finance[Ex GST],$A453),"")</f>
        <v/>
      </c>
      <c r="H453" s="61">
        <f>IFERROR(INDEX(tbl_Finance[Defer Start],$A453),"")</f>
        <v/>
      </c>
      <c r="I453" s="61">
        <f>IFERROR(INDEX(tbl_Finance[Defer End],$A453),"")</f>
        <v/>
      </c>
      <c r="J453" s="60">
        <f>IF(OR($H453="",$I453="",$G453=""),"",MAX(1,(YEAR($I453)-YEAR($H453))*12+MONTH($I453)-MONTH($H453)+1))</f>
        <v/>
      </c>
      <c r="K453" s="63">
        <f>IF($J453="","",$G453/$J453)</f>
        <v/>
      </c>
      <c r="L453" s="63">
        <f>IF($J453="",0,$K453*MAX(0,MIN(YEAR($C$3)*12+MONTH($C$3),YEAR($I453)*12+MONTH($I453))-(YEAR($H453)*12+MONTH($H453))+1))</f>
        <v/>
      </c>
      <c r="M453" s="63">
        <f>IF($J453="",0,$K453*MAX(0,MIN(YEAR($C$3)*12+MONTH($C$3)-1,YEAR($I453)*12+MONTH($I453))-(YEAR($H453)*12+MONTH($H453))+1))</f>
        <v/>
      </c>
      <c r="N453" s="63">
        <f>IF(OR($J453="",$B453=""),0,IF(YEAR($B453)*12+MONTH($B453)&lt;=YEAR($C$3)*12+MONTH($C$3),$G453,0))</f>
        <v/>
      </c>
      <c r="O453" s="63">
        <f>IF(OR($J453="",$B453=""),0,IF(YEAR($B453)*12+MONTH($B453)&lt;=YEAR($C$3)*12+MONTH($C$3)-1,$G453,0))</f>
        <v/>
      </c>
      <c r="P453" s="63">
        <f>$M453-$O453</f>
        <v/>
      </c>
      <c r="Q453" s="63">
        <f>($L453-$M453)-($N453-$O453)</f>
        <v/>
      </c>
      <c r="R453" s="63">
        <f>$L453-$N453</f>
        <v/>
      </c>
    </row>
    <row r="454">
      <c r="A454" s="60">
        <f>ROW()-5</f>
        <v/>
      </c>
      <c r="B454" s="61">
        <f>IFERROR(INDEX(tbl_Finance[Date],$A454),"")</f>
        <v/>
      </c>
      <c r="C454" s="62">
        <f>IFERROR(INDEX(tbl_Finance[Xero Invoice No],$A454),"")</f>
        <v/>
      </c>
      <c r="D454" s="62">
        <f>IFERROR(INDEX(tbl_Finance[Client],$A454),"")</f>
        <v/>
      </c>
      <c r="E454" s="62">
        <f>IFERROR(INDEX(tbl_Finance[Job Number],$A454),"")</f>
        <v/>
      </c>
      <c r="F454" s="62">
        <f>IFERROR(INDEX(tbl_Finance[Cost Centre],$A454),"")</f>
        <v/>
      </c>
      <c r="G454" s="63">
        <f>IFERROR(INDEX(tbl_Finance[Ex GST],$A454),"")</f>
        <v/>
      </c>
      <c r="H454" s="61">
        <f>IFERROR(INDEX(tbl_Finance[Defer Start],$A454),"")</f>
        <v/>
      </c>
      <c r="I454" s="61">
        <f>IFERROR(INDEX(tbl_Finance[Defer End],$A454),"")</f>
        <v/>
      </c>
      <c r="J454" s="60">
        <f>IF(OR($H454="",$I454="",$G454=""),"",MAX(1,(YEAR($I454)-YEAR($H454))*12+MONTH($I454)-MONTH($H454)+1))</f>
        <v/>
      </c>
      <c r="K454" s="63">
        <f>IF($J454="","",$G454/$J454)</f>
        <v/>
      </c>
      <c r="L454" s="63">
        <f>IF($J454="",0,$K454*MAX(0,MIN(YEAR($C$3)*12+MONTH($C$3),YEAR($I454)*12+MONTH($I454))-(YEAR($H454)*12+MONTH($H454))+1))</f>
        <v/>
      </c>
      <c r="M454" s="63">
        <f>IF($J454="",0,$K454*MAX(0,MIN(YEAR($C$3)*12+MONTH($C$3)-1,YEAR($I454)*12+MONTH($I454))-(YEAR($H454)*12+MONTH($H454))+1))</f>
        <v/>
      </c>
      <c r="N454" s="63">
        <f>IF(OR($J454="",$B454=""),0,IF(YEAR($B454)*12+MONTH($B454)&lt;=YEAR($C$3)*12+MONTH($C$3),$G454,0))</f>
        <v/>
      </c>
      <c r="O454" s="63">
        <f>IF(OR($J454="",$B454=""),0,IF(YEAR($B454)*12+MONTH($B454)&lt;=YEAR($C$3)*12+MONTH($C$3)-1,$G454,0))</f>
        <v/>
      </c>
      <c r="P454" s="63">
        <f>$M454-$O454</f>
        <v/>
      </c>
      <c r="Q454" s="63">
        <f>($L454-$M454)-($N454-$O454)</f>
        <v/>
      </c>
      <c r="R454" s="63">
        <f>$L454-$N454</f>
        <v/>
      </c>
    </row>
    <row r="455">
      <c r="A455" s="60">
        <f>ROW()-5</f>
        <v/>
      </c>
      <c r="B455" s="61">
        <f>IFERROR(INDEX(tbl_Finance[Date],$A455),"")</f>
        <v/>
      </c>
      <c r="C455" s="62">
        <f>IFERROR(INDEX(tbl_Finance[Xero Invoice No],$A455),"")</f>
        <v/>
      </c>
      <c r="D455" s="62">
        <f>IFERROR(INDEX(tbl_Finance[Client],$A455),"")</f>
        <v/>
      </c>
      <c r="E455" s="62">
        <f>IFERROR(INDEX(tbl_Finance[Job Number],$A455),"")</f>
        <v/>
      </c>
      <c r="F455" s="62">
        <f>IFERROR(INDEX(tbl_Finance[Cost Centre],$A455),"")</f>
        <v/>
      </c>
      <c r="G455" s="63">
        <f>IFERROR(INDEX(tbl_Finance[Ex GST],$A455),"")</f>
        <v/>
      </c>
      <c r="H455" s="61">
        <f>IFERROR(INDEX(tbl_Finance[Defer Start],$A455),"")</f>
        <v/>
      </c>
      <c r="I455" s="61">
        <f>IFERROR(INDEX(tbl_Finance[Defer End],$A455),"")</f>
        <v/>
      </c>
      <c r="J455" s="60">
        <f>IF(OR($H455="",$I455="",$G455=""),"",MAX(1,(YEAR($I455)-YEAR($H455))*12+MONTH($I455)-MONTH($H455)+1))</f>
        <v/>
      </c>
      <c r="K455" s="63">
        <f>IF($J455="","",$G455/$J455)</f>
        <v/>
      </c>
      <c r="L455" s="63">
        <f>IF($J455="",0,$K455*MAX(0,MIN(YEAR($C$3)*12+MONTH($C$3),YEAR($I455)*12+MONTH($I455))-(YEAR($H455)*12+MONTH($H455))+1))</f>
        <v/>
      </c>
      <c r="M455" s="63">
        <f>IF($J455="",0,$K455*MAX(0,MIN(YEAR($C$3)*12+MONTH($C$3)-1,YEAR($I455)*12+MONTH($I455))-(YEAR($H455)*12+MONTH($H455))+1))</f>
        <v/>
      </c>
      <c r="N455" s="63">
        <f>IF(OR($J455="",$B455=""),0,IF(YEAR($B455)*12+MONTH($B455)&lt;=YEAR($C$3)*12+MONTH($C$3),$G455,0))</f>
        <v/>
      </c>
      <c r="O455" s="63">
        <f>IF(OR($J455="",$B455=""),0,IF(YEAR($B455)*12+MONTH($B455)&lt;=YEAR($C$3)*12+MONTH($C$3)-1,$G455,0))</f>
        <v/>
      </c>
      <c r="P455" s="63">
        <f>$M455-$O455</f>
        <v/>
      </c>
      <c r="Q455" s="63">
        <f>($L455-$M455)-($N455-$O455)</f>
        <v/>
      </c>
      <c r="R455" s="63">
        <f>$L455-$N455</f>
        <v/>
      </c>
    </row>
    <row r="456">
      <c r="A456" s="60">
        <f>ROW()-5</f>
        <v/>
      </c>
      <c r="B456" s="61">
        <f>IFERROR(INDEX(tbl_Finance[Date],$A456),"")</f>
        <v/>
      </c>
      <c r="C456" s="62">
        <f>IFERROR(INDEX(tbl_Finance[Xero Invoice No],$A456),"")</f>
        <v/>
      </c>
      <c r="D456" s="62">
        <f>IFERROR(INDEX(tbl_Finance[Client],$A456),"")</f>
        <v/>
      </c>
      <c r="E456" s="62">
        <f>IFERROR(INDEX(tbl_Finance[Job Number],$A456),"")</f>
        <v/>
      </c>
      <c r="F456" s="62">
        <f>IFERROR(INDEX(tbl_Finance[Cost Centre],$A456),"")</f>
        <v/>
      </c>
      <c r="G456" s="63">
        <f>IFERROR(INDEX(tbl_Finance[Ex GST],$A456),"")</f>
        <v/>
      </c>
      <c r="H456" s="61">
        <f>IFERROR(INDEX(tbl_Finance[Defer Start],$A456),"")</f>
        <v/>
      </c>
      <c r="I456" s="61">
        <f>IFERROR(INDEX(tbl_Finance[Defer End],$A456),"")</f>
        <v/>
      </c>
      <c r="J456" s="60">
        <f>IF(OR($H456="",$I456="",$G456=""),"",MAX(1,(YEAR($I456)-YEAR($H456))*12+MONTH($I456)-MONTH($H456)+1))</f>
        <v/>
      </c>
      <c r="K456" s="63">
        <f>IF($J456="","",$G456/$J456)</f>
        <v/>
      </c>
      <c r="L456" s="63">
        <f>IF($J456="",0,$K456*MAX(0,MIN(YEAR($C$3)*12+MONTH($C$3),YEAR($I456)*12+MONTH($I456))-(YEAR($H456)*12+MONTH($H456))+1))</f>
        <v/>
      </c>
      <c r="M456" s="63">
        <f>IF($J456="",0,$K456*MAX(0,MIN(YEAR($C$3)*12+MONTH($C$3)-1,YEAR($I456)*12+MONTH($I456))-(YEAR($H456)*12+MONTH($H456))+1))</f>
        <v/>
      </c>
      <c r="N456" s="63">
        <f>IF(OR($J456="",$B456=""),0,IF(YEAR($B456)*12+MONTH($B456)&lt;=YEAR($C$3)*12+MONTH($C$3),$G456,0))</f>
        <v/>
      </c>
      <c r="O456" s="63">
        <f>IF(OR($J456="",$B456=""),0,IF(YEAR($B456)*12+MONTH($B456)&lt;=YEAR($C$3)*12+MONTH($C$3)-1,$G456,0))</f>
        <v/>
      </c>
      <c r="P456" s="63">
        <f>$M456-$O456</f>
        <v/>
      </c>
      <c r="Q456" s="63">
        <f>($L456-$M456)-($N456-$O456)</f>
        <v/>
      </c>
      <c r="R456" s="63">
        <f>$L456-$N456</f>
        <v/>
      </c>
    </row>
    <row r="457">
      <c r="A457" s="60">
        <f>ROW()-5</f>
        <v/>
      </c>
      <c r="B457" s="61">
        <f>IFERROR(INDEX(tbl_Finance[Date],$A457),"")</f>
        <v/>
      </c>
      <c r="C457" s="62">
        <f>IFERROR(INDEX(tbl_Finance[Xero Invoice No],$A457),"")</f>
        <v/>
      </c>
      <c r="D457" s="62">
        <f>IFERROR(INDEX(tbl_Finance[Client],$A457),"")</f>
        <v/>
      </c>
      <c r="E457" s="62">
        <f>IFERROR(INDEX(tbl_Finance[Job Number],$A457),"")</f>
        <v/>
      </c>
      <c r="F457" s="62">
        <f>IFERROR(INDEX(tbl_Finance[Cost Centre],$A457),"")</f>
        <v/>
      </c>
      <c r="G457" s="63">
        <f>IFERROR(INDEX(tbl_Finance[Ex GST],$A457),"")</f>
        <v/>
      </c>
      <c r="H457" s="61">
        <f>IFERROR(INDEX(tbl_Finance[Defer Start],$A457),"")</f>
        <v/>
      </c>
      <c r="I457" s="61">
        <f>IFERROR(INDEX(tbl_Finance[Defer End],$A457),"")</f>
        <v/>
      </c>
      <c r="J457" s="60">
        <f>IF(OR($H457="",$I457="",$G457=""),"",MAX(1,(YEAR($I457)-YEAR($H457))*12+MONTH($I457)-MONTH($H457)+1))</f>
        <v/>
      </c>
      <c r="K457" s="63">
        <f>IF($J457="","",$G457/$J457)</f>
        <v/>
      </c>
      <c r="L457" s="63">
        <f>IF($J457="",0,$K457*MAX(0,MIN(YEAR($C$3)*12+MONTH($C$3),YEAR($I457)*12+MONTH($I457))-(YEAR($H457)*12+MONTH($H457))+1))</f>
        <v/>
      </c>
      <c r="M457" s="63">
        <f>IF($J457="",0,$K457*MAX(0,MIN(YEAR($C$3)*12+MONTH($C$3)-1,YEAR($I457)*12+MONTH($I457))-(YEAR($H457)*12+MONTH($H457))+1))</f>
        <v/>
      </c>
      <c r="N457" s="63">
        <f>IF(OR($J457="",$B457=""),0,IF(YEAR($B457)*12+MONTH($B457)&lt;=YEAR($C$3)*12+MONTH($C$3),$G457,0))</f>
        <v/>
      </c>
      <c r="O457" s="63">
        <f>IF(OR($J457="",$B457=""),0,IF(YEAR($B457)*12+MONTH($B457)&lt;=YEAR($C$3)*12+MONTH($C$3)-1,$G457,0))</f>
        <v/>
      </c>
      <c r="P457" s="63">
        <f>$M457-$O457</f>
        <v/>
      </c>
      <c r="Q457" s="63">
        <f>($L457-$M457)-($N457-$O457)</f>
        <v/>
      </c>
      <c r="R457" s="63">
        <f>$L457-$N457</f>
        <v/>
      </c>
    </row>
    <row r="458">
      <c r="A458" s="60">
        <f>ROW()-5</f>
        <v/>
      </c>
      <c r="B458" s="61">
        <f>IFERROR(INDEX(tbl_Finance[Date],$A458),"")</f>
        <v/>
      </c>
      <c r="C458" s="62">
        <f>IFERROR(INDEX(tbl_Finance[Xero Invoice No],$A458),"")</f>
        <v/>
      </c>
      <c r="D458" s="62">
        <f>IFERROR(INDEX(tbl_Finance[Client],$A458),"")</f>
        <v/>
      </c>
      <c r="E458" s="62">
        <f>IFERROR(INDEX(tbl_Finance[Job Number],$A458),"")</f>
        <v/>
      </c>
      <c r="F458" s="62">
        <f>IFERROR(INDEX(tbl_Finance[Cost Centre],$A458),"")</f>
        <v/>
      </c>
      <c r="G458" s="63">
        <f>IFERROR(INDEX(tbl_Finance[Ex GST],$A458),"")</f>
        <v/>
      </c>
      <c r="H458" s="61">
        <f>IFERROR(INDEX(tbl_Finance[Defer Start],$A458),"")</f>
        <v/>
      </c>
      <c r="I458" s="61">
        <f>IFERROR(INDEX(tbl_Finance[Defer End],$A458),"")</f>
        <v/>
      </c>
      <c r="J458" s="60">
        <f>IF(OR($H458="",$I458="",$G458=""),"",MAX(1,(YEAR($I458)-YEAR($H458))*12+MONTH($I458)-MONTH($H458)+1))</f>
        <v/>
      </c>
      <c r="K458" s="63">
        <f>IF($J458="","",$G458/$J458)</f>
        <v/>
      </c>
      <c r="L458" s="63">
        <f>IF($J458="",0,$K458*MAX(0,MIN(YEAR($C$3)*12+MONTH($C$3),YEAR($I458)*12+MONTH($I458))-(YEAR($H458)*12+MONTH($H458))+1))</f>
        <v/>
      </c>
      <c r="M458" s="63">
        <f>IF($J458="",0,$K458*MAX(0,MIN(YEAR($C$3)*12+MONTH($C$3)-1,YEAR($I458)*12+MONTH($I458))-(YEAR($H458)*12+MONTH($H458))+1))</f>
        <v/>
      </c>
      <c r="N458" s="63">
        <f>IF(OR($J458="",$B458=""),0,IF(YEAR($B458)*12+MONTH($B458)&lt;=YEAR($C$3)*12+MONTH($C$3),$G458,0))</f>
        <v/>
      </c>
      <c r="O458" s="63">
        <f>IF(OR($J458="",$B458=""),0,IF(YEAR($B458)*12+MONTH($B458)&lt;=YEAR($C$3)*12+MONTH($C$3)-1,$G458,0))</f>
        <v/>
      </c>
      <c r="P458" s="63">
        <f>$M458-$O458</f>
        <v/>
      </c>
      <c r="Q458" s="63">
        <f>($L458-$M458)-($N458-$O458)</f>
        <v/>
      </c>
      <c r="R458" s="63">
        <f>$L458-$N458</f>
        <v/>
      </c>
    </row>
    <row r="459">
      <c r="A459" s="60">
        <f>ROW()-5</f>
        <v/>
      </c>
      <c r="B459" s="61">
        <f>IFERROR(INDEX(tbl_Finance[Date],$A459),"")</f>
        <v/>
      </c>
      <c r="C459" s="62">
        <f>IFERROR(INDEX(tbl_Finance[Xero Invoice No],$A459),"")</f>
        <v/>
      </c>
      <c r="D459" s="62">
        <f>IFERROR(INDEX(tbl_Finance[Client],$A459),"")</f>
        <v/>
      </c>
      <c r="E459" s="62">
        <f>IFERROR(INDEX(tbl_Finance[Job Number],$A459),"")</f>
        <v/>
      </c>
      <c r="F459" s="62">
        <f>IFERROR(INDEX(tbl_Finance[Cost Centre],$A459),"")</f>
        <v/>
      </c>
      <c r="G459" s="63">
        <f>IFERROR(INDEX(tbl_Finance[Ex GST],$A459),"")</f>
        <v/>
      </c>
      <c r="H459" s="61">
        <f>IFERROR(INDEX(tbl_Finance[Defer Start],$A459),"")</f>
        <v/>
      </c>
      <c r="I459" s="61">
        <f>IFERROR(INDEX(tbl_Finance[Defer End],$A459),"")</f>
        <v/>
      </c>
      <c r="J459" s="60">
        <f>IF(OR($H459="",$I459="",$G459=""),"",MAX(1,(YEAR($I459)-YEAR($H459))*12+MONTH($I459)-MONTH($H459)+1))</f>
        <v/>
      </c>
      <c r="K459" s="63">
        <f>IF($J459="","",$G459/$J459)</f>
        <v/>
      </c>
      <c r="L459" s="63">
        <f>IF($J459="",0,$K459*MAX(0,MIN(YEAR($C$3)*12+MONTH($C$3),YEAR($I459)*12+MONTH($I459))-(YEAR($H459)*12+MONTH($H459))+1))</f>
        <v/>
      </c>
      <c r="M459" s="63">
        <f>IF($J459="",0,$K459*MAX(0,MIN(YEAR($C$3)*12+MONTH($C$3)-1,YEAR($I459)*12+MONTH($I459))-(YEAR($H459)*12+MONTH($H459))+1))</f>
        <v/>
      </c>
      <c r="N459" s="63">
        <f>IF(OR($J459="",$B459=""),0,IF(YEAR($B459)*12+MONTH($B459)&lt;=YEAR($C$3)*12+MONTH($C$3),$G459,0))</f>
        <v/>
      </c>
      <c r="O459" s="63">
        <f>IF(OR($J459="",$B459=""),0,IF(YEAR($B459)*12+MONTH($B459)&lt;=YEAR($C$3)*12+MONTH($C$3)-1,$G459,0))</f>
        <v/>
      </c>
      <c r="P459" s="63">
        <f>$M459-$O459</f>
        <v/>
      </c>
      <c r="Q459" s="63">
        <f>($L459-$M459)-($N459-$O459)</f>
        <v/>
      </c>
      <c r="R459" s="63">
        <f>$L459-$N459</f>
        <v/>
      </c>
    </row>
    <row r="460">
      <c r="A460" s="60">
        <f>ROW()-5</f>
        <v/>
      </c>
      <c r="B460" s="61">
        <f>IFERROR(INDEX(tbl_Finance[Date],$A460),"")</f>
        <v/>
      </c>
      <c r="C460" s="62">
        <f>IFERROR(INDEX(tbl_Finance[Xero Invoice No],$A460),"")</f>
        <v/>
      </c>
      <c r="D460" s="62">
        <f>IFERROR(INDEX(tbl_Finance[Client],$A460),"")</f>
        <v/>
      </c>
      <c r="E460" s="62">
        <f>IFERROR(INDEX(tbl_Finance[Job Number],$A460),"")</f>
        <v/>
      </c>
      <c r="F460" s="62">
        <f>IFERROR(INDEX(tbl_Finance[Cost Centre],$A460),"")</f>
        <v/>
      </c>
      <c r="G460" s="63">
        <f>IFERROR(INDEX(tbl_Finance[Ex GST],$A460),"")</f>
        <v/>
      </c>
      <c r="H460" s="61">
        <f>IFERROR(INDEX(tbl_Finance[Defer Start],$A460),"")</f>
        <v/>
      </c>
      <c r="I460" s="61">
        <f>IFERROR(INDEX(tbl_Finance[Defer End],$A460),"")</f>
        <v/>
      </c>
      <c r="J460" s="60">
        <f>IF(OR($H460="",$I460="",$G460=""),"",MAX(1,(YEAR($I460)-YEAR($H460))*12+MONTH($I460)-MONTH($H460)+1))</f>
        <v/>
      </c>
      <c r="K460" s="63">
        <f>IF($J460="","",$G460/$J460)</f>
        <v/>
      </c>
      <c r="L460" s="63">
        <f>IF($J460="",0,$K460*MAX(0,MIN(YEAR($C$3)*12+MONTH($C$3),YEAR($I460)*12+MONTH($I460))-(YEAR($H460)*12+MONTH($H460))+1))</f>
        <v/>
      </c>
      <c r="M460" s="63">
        <f>IF($J460="",0,$K460*MAX(0,MIN(YEAR($C$3)*12+MONTH($C$3)-1,YEAR($I460)*12+MONTH($I460))-(YEAR($H460)*12+MONTH($H460))+1))</f>
        <v/>
      </c>
      <c r="N460" s="63">
        <f>IF(OR($J460="",$B460=""),0,IF(YEAR($B460)*12+MONTH($B460)&lt;=YEAR($C$3)*12+MONTH($C$3),$G460,0))</f>
        <v/>
      </c>
      <c r="O460" s="63">
        <f>IF(OR($J460="",$B460=""),0,IF(YEAR($B460)*12+MONTH($B460)&lt;=YEAR($C$3)*12+MONTH($C$3)-1,$G460,0))</f>
        <v/>
      </c>
      <c r="P460" s="63">
        <f>$M460-$O460</f>
        <v/>
      </c>
      <c r="Q460" s="63">
        <f>($L460-$M460)-($N460-$O460)</f>
        <v/>
      </c>
      <c r="R460" s="63">
        <f>$L460-$N460</f>
        <v/>
      </c>
    </row>
    <row r="461">
      <c r="A461" s="60">
        <f>ROW()-5</f>
        <v/>
      </c>
      <c r="B461" s="61">
        <f>IFERROR(INDEX(tbl_Finance[Date],$A461),"")</f>
        <v/>
      </c>
      <c r="C461" s="62">
        <f>IFERROR(INDEX(tbl_Finance[Xero Invoice No],$A461),"")</f>
        <v/>
      </c>
      <c r="D461" s="62">
        <f>IFERROR(INDEX(tbl_Finance[Client],$A461),"")</f>
        <v/>
      </c>
      <c r="E461" s="62">
        <f>IFERROR(INDEX(tbl_Finance[Job Number],$A461),"")</f>
        <v/>
      </c>
      <c r="F461" s="62">
        <f>IFERROR(INDEX(tbl_Finance[Cost Centre],$A461),"")</f>
        <v/>
      </c>
      <c r="G461" s="63">
        <f>IFERROR(INDEX(tbl_Finance[Ex GST],$A461),"")</f>
        <v/>
      </c>
      <c r="H461" s="61">
        <f>IFERROR(INDEX(tbl_Finance[Defer Start],$A461),"")</f>
        <v/>
      </c>
      <c r="I461" s="61">
        <f>IFERROR(INDEX(tbl_Finance[Defer End],$A461),"")</f>
        <v/>
      </c>
      <c r="J461" s="60">
        <f>IF(OR($H461="",$I461="",$G461=""),"",MAX(1,(YEAR($I461)-YEAR($H461))*12+MONTH($I461)-MONTH($H461)+1))</f>
        <v/>
      </c>
      <c r="K461" s="63">
        <f>IF($J461="","",$G461/$J461)</f>
        <v/>
      </c>
      <c r="L461" s="63">
        <f>IF($J461="",0,$K461*MAX(0,MIN(YEAR($C$3)*12+MONTH($C$3),YEAR($I461)*12+MONTH($I461))-(YEAR($H461)*12+MONTH($H461))+1))</f>
        <v/>
      </c>
      <c r="M461" s="63">
        <f>IF($J461="",0,$K461*MAX(0,MIN(YEAR($C$3)*12+MONTH($C$3)-1,YEAR($I461)*12+MONTH($I461))-(YEAR($H461)*12+MONTH($H461))+1))</f>
        <v/>
      </c>
      <c r="N461" s="63">
        <f>IF(OR($J461="",$B461=""),0,IF(YEAR($B461)*12+MONTH($B461)&lt;=YEAR($C$3)*12+MONTH($C$3),$G461,0))</f>
        <v/>
      </c>
      <c r="O461" s="63">
        <f>IF(OR($J461="",$B461=""),0,IF(YEAR($B461)*12+MONTH($B461)&lt;=YEAR($C$3)*12+MONTH($C$3)-1,$G461,0))</f>
        <v/>
      </c>
      <c r="P461" s="63">
        <f>$M461-$O461</f>
        <v/>
      </c>
      <c r="Q461" s="63">
        <f>($L461-$M461)-($N461-$O461)</f>
        <v/>
      </c>
      <c r="R461" s="63">
        <f>$L461-$N461</f>
        <v/>
      </c>
    </row>
    <row r="462">
      <c r="A462" s="60">
        <f>ROW()-5</f>
        <v/>
      </c>
      <c r="B462" s="61">
        <f>IFERROR(INDEX(tbl_Finance[Date],$A462),"")</f>
        <v/>
      </c>
      <c r="C462" s="62">
        <f>IFERROR(INDEX(tbl_Finance[Xero Invoice No],$A462),"")</f>
        <v/>
      </c>
      <c r="D462" s="62">
        <f>IFERROR(INDEX(tbl_Finance[Client],$A462),"")</f>
        <v/>
      </c>
      <c r="E462" s="62">
        <f>IFERROR(INDEX(tbl_Finance[Job Number],$A462),"")</f>
        <v/>
      </c>
      <c r="F462" s="62">
        <f>IFERROR(INDEX(tbl_Finance[Cost Centre],$A462),"")</f>
        <v/>
      </c>
      <c r="G462" s="63">
        <f>IFERROR(INDEX(tbl_Finance[Ex GST],$A462),"")</f>
        <v/>
      </c>
      <c r="H462" s="61">
        <f>IFERROR(INDEX(tbl_Finance[Defer Start],$A462),"")</f>
        <v/>
      </c>
      <c r="I462" s="61">
        <f>IFERROR(INDEX(tbl_Finance[Defer End],$A462),"")</f>
        <v/>
      </c>
      <c r="J462" s="60">
        <f>IF(OR($H462="",$I462="",$G462=""),"",MAX(1,(YEAR($I462)-YEAR($H462))*12+MONTH($I462)-MONTH($H462)+1))</f>
        <v/>
      </c>
      <c r="K462" s="63">
        <f>IF($J462="","",$G462/$J462)</f>
        <v/>
      </c>
      <c r="L462" s="63">
        <f>IF($J462="",0,$K462*MAX(0,MIN(YEAR($C$3)*12+MONTH($C$3),YEAR($I462)*12+MONTH($I462))-(YEAR($H462)*12+MONTH($H462))+1))</f>
        <v/>
      </c>
      <c r="M462" s="63">
        <f>IF($J462="",0,$K462*MAX(0,MIN(YEAR($C$3)*12+MONTH($C$3)-1,YEAR($I462)*12+MONTH($I462))-(YEAR($H462)*12+MONTH($H462))+1))</f>
        <v/>
      </c>
      <c r="N462" s="63">
        <f>IF(OR($J462="",$B462=""),0,IF(YEAR($B462)*12+MONTH($B462)&lt;=YEAR($C$3)*12+MONTH($C$3),$G462,0))</f>
        <v/>
      </c>
      <c r="O462" s="63">
        <f>IF(OR($J462="",$B462=""),0,IF(YEAR($B462)*12+MONTH($B462)&lt;=YEAR($C$3)*12+MONTH($C$3)-1,$G462,0))</f>
        <v/>
      </c>
      <c r="P462" s="63">
        <f>$M462-$O462</f>
        <v/>
      </c>
      <c r="Q462" s="63">
        <f>($L462-$M462)-($N462-$O462)</f>
        <v/>
      </c>
      <c r="R462" s="63">
        <f>$L462-$N462</f>
        <v/>
      </c>
    </row>
    <row r="463">
      <c r="A463" s="60">
        <f>ROW()-5</f>
        <v/>
      </c>
      <c r="B463" s="61">
        <f>IFERROR(INDEX(tbl_Finance[Date],$A463),"")</f>
        <v/>
      </c>
      <c r="C463" s="62">
        <f>IFERROR(INDEX(tbl_Finance[Xero Invoice No],$A463),"")</f>
        <v/>
      </c>
      <c r="D463" s="62">
        <f>IFERROR(INDEX(tbl_Finance[Client],$A463),"")</f>
        <v/>
      </c>
      <c r="E463" s="62">
        <f>IFERROR(INDEX(tbl_Finance[Job Number],$A463),"")</f>
        <v/>
      </c>
      <c r="F463" s="62">
        <f>IFERROR(INDEX(tbl_Finance[Cost Centre],$A463),"")</f>
        <v/>
      </c>
      <c r="G463" s="63">
        <f>IFERROR(INDEX(tbl_Finance[Ex GST],$A463),"")</f>
        <v/>
      </c>
      <c r="H463" s="61">
        <f>IFERROR(INDEX(tbl_Finance[Defer Start],$A463),"")</f>
        <v/>
      </c>
      <c r="I463" s="61">
        <f>IFERROR(INDEX(tbl_Finance[Defer End],$A463),"")</f>
        <v/>
      </c>
      <c r="J463" s="60">
        <f>IF(OR($H463="",$I463="",$G463=""),"",MAX(1,(YEAR($I463)-YEAR($H463))*12+MONTH($I463)-MONTH($H463)+1))</f>
        <v/>
      </c>
      <c r="K463" s="63">
        <f>IF($J463="","",$G463/$J463)</f>
        <v/>
      </c>
      <c r="L463" s="63">
        <f>IF($J463="",0,$K463*MAX(0,MIN(YEAR($C$3)*12+MONTH($C$3),YEAR($I463)*12+MONTH($I463))-(YEAR($H463)*12+MONTH($H463))+1))</f>
        <v/>
      </c>
      <c r="M463" s="63">
        <f>IF($J463="",0,$K463*MAX(0,MIN(YEAR($C$3)*12+MONTH($C$3)-1,YEAR($I463)*12+MONTH($I463))-(YEAR($H463)*12+MONTH($H463))+1))</f>
        <v/>
      </c>
      <c r="N463" s="63">
        <f>IF(OR($J463="",$B463=""),0,IF(YEAR($B463)*12+MONTH($B463)&lt;=YEAR($C$3)*12+MONTH($C$3),$G463,0))</f>
        <v/>
      </c>
      <c r="O463" s="63">
        <f>IF(OR($J463="",$B463=""),0,IF(YEAR($B463)*12+MONTH($B463)&lt;=YEAR($C$3)*12+MONTH($C$3)-1,$G463,0))</f>
        <v/>
      </c>
      <c r="P463" s="63">
        <f>$M463-$O463</f>
        <v/>
      </c>
      <c r="Q463" s="63">
        <f>($L463-$M463)-($N463-$O463)</f>
        <v/>
      </c>
      <c r="R463" s="63">
        <f>$L463-$N463</f>
        <v/>
      </c>
    </row>
    <row r="464">
      <c r="A464" s="60">
        <f>ROW()-5</f>
        <v/>
      </c>
      <c r="B464" s="61">
        <f>IFERROR(INDEX(tbl_Finance[Date],$A464),"")</f>
        <v/>
      </c>
      <c r="C464" s="62">
        <f>IFERROR(INDEX(tbl_Finance[Xero Invoice No],$A464),"")</f>
        <v/>
      </c>
      <c r="D464" s="62">
        <f>IFERROR(INDEX(tbl_Finance[Client],$A464),"")</f>
        <v/>
      </c>
      <c r="E464" s="62">
        <f>IFERROR(INDEX(tbl_Finance[Job Number],$A464),"")</f>
        <v/>
      </c>
      <c r="F464" s="62">
        <f>IFERROR(INDEX(tbl_Finance[Cost Centre],$A464),"")</f>
        <v/>
      </c>
      <c r="G464" s="63">
        <f>IFERROR(INDEX(tbl_Finance[Ex GST],$A464),"")</f>
        <v/>
      </c>
      <c r="H464" s="61">
        <f>IFERROR(INDEX(tbl_Finance[Defer Start],$A464),"")</f>
        <v/>
      </c>
      <c r="I464" s="61">
        <f>IFERROR(INDEX(tbl_Finance[Defer End],$A464),"")</f>
        <v/>
      </c>
      <c r="J464" s="60">
        <f>IF(OR($H464="",$I464="",$G464=""),"",MAX(1,(YEAR($I464)-YEAR($H464))*12+MONTH($I464)-MONTH($H464)+1))</f>
        <v/>
      </c>
      <c r="K464" s="63">
        <f>IF($J464="","",$G464/$J464)</f>
        <v/>
      </c>
      <c r="L464" s="63">
        <f>IF($J464="",0,$K464*MAX(0,MIN(YEAR($C$3)*12+MONTH($C$3),YEAR($I464)*12+MONTH($I464))-(YEAR($H464)*12+MONTH($H464))+1))</f>
        <v/>
      </c>
      <c r="M464" s="63">
        <f>IF($J464="",0,$K464*MAX(0,MIN(YEAR($C$3)*12+MONTH($C$3)-1,YEAR($I464)*12+MONTH($I464))-(YEAR($H464)*12+MONTH($H464))+1))</f>
        <v/>
      </c>
      <c r="N464" s="63">
        <f>IF(OR($J464="",$B464=""),0,IF(YEAR($B464)*12+MONTH($B464)&lt;=YEAR($C$3)*12+MONTH($C$3),$G464,0))</f>
        <v/>
      </c>
      <c r="O464" s="63">
        <f>IF(OR($J464="",$B464=""),0,IF(YEAR($B464)*12+MONTH($B464)&lt;=YEAR($C$3)*12+MONTH($C$3)-1,$G464,0))</f>
        <v/>
      </c>
      <c r="P464" s="63">
        <f>$M464-$O464</f>
        <v/>
      </c>
      <c r="Q464" s="63">
        <f>($L464-$M464)-($N464-$O464)</f>
        <v/>
      </c>
      <c r="R464" s="63">
        <f>$L464-$N464</f>
        <v/>
      </c>
    </row>
    <row r="465">
      <c r="A465" s="60">
        <f>ROW()-5</f>
        <v/>
      </c>
      <c r="B465" s="61">
        <f>IFERROR(INDEX(tbl_Finance[Date],$A465),"")</f>
        <v/>
      </c>
      <c r="C465" s="62">
        <f>IFERROR(INDEX(tbl_Finance[Xero Invoice No],$A465),"")</f>
        <v/>
      </c>
      <c r="D465" s="62">
        <f>IFERROR(INDEX(tbl_Finance[Client],$A465),"")</f>
        <v/>
      </c>
      <c r="E465" s="62">
        <f>IFERROR(INDEX(tbl_Finance[Job Number],$A465),"")</f>
        <v/>
      </c>
      <c r="F465" s="62">
        <f>IFERROR(INDEX(tbl_Finance[Cost Centre],$A465),"")</f>
        <v/>
      </c>
      <c r="G465" s="63">
        <f>IFERROR(INDEX(tbl_Finance[Ex GST],$A465),"")</f>
        <v/>
      </c>
      <c r="H465" s="61">
        <f>IFERROR(INDEX(tbl_Finance[Defer Start],$A465),"")</f>
        <v/>
      </c>
      <c r="I465" s="61">
        <f>IFERROR(INDEX(tbl_Finance[Defer End],$A465),"")</f>
        <v/>
      </c>
      <c r="J465" s="60">
        <f>IF(OR($H465="",$I465="",$G465=""),"",MAX(1,(YEAR($I465)-YEAR($H465))*12+MONTH($I465)-MONTH($H465)+1))</f>
        <v/>
      </c>
      <c r="K465" s="63">
        <f>IF($J465="","",$G465/$J465)</f>
        <v/>
      </c>
      <c r="L465" s="63">
        <f>IF($J465="",0,$K465*MAX(0,MIN(YEAR($C$3)*12+MONTH($C$3),YEAR($I465)*12+MONTH($I465))-(YEAR($H465)*12+MONTH($H465))+1))</f>
        <v/>
      </c>
      <c r="M465" s="63">
        <f>IF($J465="",0,$K465*MAX(0,MIN(YEAR($C$3)*12+MONTH($C$3)-1,YEAR($I465)*12+MONTH($I465))-(YEAR($H465)*12+MONTH($H465))+1))</f>
        <v/>
      </c>
      <c r="N465" s="63">
        <f>IF(OR($J465="",$B465=""),0,IF(YEAR($B465)*12+MONTH($B465)&lt;=YEAR($C$3)*12+MONTH($C$3),$G465,0))</f>
        <v/>
      </c>
      <c r="O465" s="63">
        <f>IF(OR($J465="",$B465=""),0,IF(YEAR($B465)*12+MONTH($B465)&lt;=YEAR($C$3)*12+MONTH($C$3)-1,$G465,0))</f>
        <v/>
      </c>
      <c r="P465" s="63">
        <f>$M465-$O465</f>
        <v/>
      </c>
      <c r="Q465" s="63">
        <f>($L465-$M465)-($N465-$O465)</f>
        <v/>
      </c>
      <c r="R465" s="63">
        <f>$L465-$N465</f>
        <v/>
      </c>
    </row>
    <row r="466">
      <c r="A466" s="60">
        <f>ROW()-5</f>
        <v/>
      </c>
      <c r="B466" s="61">
        <f>IFERROR(INDEX(tbl_Finance[Date],$A466),"")</f>
        <v/>
      </c>
      <c r="C466" s="62">
        <f>IFERROR(INDEX(tbl_Finance[Xero Invoice No],$A466),"")</f>
        <v/>
      </c>
      <c r="D466" s="62">
        <f>IFERROR(INDEX(tbl_Finance[Client],$A466),"")</f>
        <v/>
      </c>
      <c r="E466" s="62">
        <f>IFERROR(INDEX(tbl_Finance[Job Number],$A466),"")</f>
        <v/>
      </c>
      <c r="F466" s="62">
        <f>IFERROR(INDEX(tbl_Finance[Cost Centre],$A466),"")</f>
        <v/>
      </c>
      <c r="G466" s="63">
        <f>IFERROR(INDEX(tbl_Finance[Ex GST],$A466),"")</f>
        <v/>
      </c>
      <c r="H466" s="61">
        <f>IFERROR(INDEX(tbl_Finance[Defer Start],$A466),"")</f>
        <v/>
      </c>
      <c r="I466" s="61">
        <f>IFERROR(INDEX(tbl_Finance[Defer End],$A466),"")</f>
        <v/>
      </c>
      <c r="J466" s="60">
        <f>IF(OR($H466="",$I466="",$G466=""),"",MAX(1,(YEAR($I466)-YEAR($H466))*12+MONTH($I466)-MONTH($H466)+1))</f>
        <v/>
      </c>
      <c r="K466" s="63">
        <f>IF($J466="","",$G466/$J466)</f>
        <v/>
      </c>
      <c r="L466" s="63">
        <f>IF($J466="",0,$K466*MAX(0,MIN(YEAR($C$3)*12+MONTH($C$3),YEAR($I466)*12+MONTH($I466))-(YEAR($H466)*12+MONTH($H466))+1))</f>
        <v/>
      </c>
      <c r="M466" s="63">
        <f>IF($J466="",0,$K466*MAX(0,MIN(YEAR($C$3)*12+MONTH($C$3)-1,YEAR($I466)*12+MONTH($I466))-(YEAR($H466)*12+MONTH($H466))+1))</f>
        <v/>
      </c>
      <c r="N466" s="63">
        <f>IF(OR($J466="",$B466=""),0,IF(YEAR($B466)*12+MONTH($B466)&lt;=YEAR($C$3)*12+MONTH($C$3),$G466,0))</f>
        <v/>
      </c>
      <c r="O466" s="63">
        <f>IF(OR($J466="",$B466=""),0,IF(YEAR($B466)*12+MONTH($B466)&lt;=YEAR($C$3)*12+MONTH($C$3)-1,$G466,0))</f>
        <v/>
      </c>
      <c r="P466" s="63">
        <f>$M466-$O466</f>
        <v/>
      </c>
      <c r="Q466" s="63">
        <f>($L466-$M466)-($N466-$O466)</f>
        <v/>
      </c>
      <c r="R466" s="63">
        <f>$L466-$N466</f>
        <v/>
      </c>
    </row>
    <row r="467">
      <c r="A467" s="60">
        <f>ROW()-5</f>
        <v/>
      </c>
      <c r="B467" s="61">
        <f>IFERROR(INDEX(tbl_Finance[Date],$A467),"")</f>
        <v/>
      </c>
      <c r="C467" s="62">
        <f>IFERROR(INDEX(tbl_Finance[Xero Invoice No],$A467),"")</f>
        <v/>
      </c>
      <c r="D467" s="62">
        <f>IFERROR(INDEX(tbl_Finance[Client],$A467),"")</f>
        <v/>
      </c>
      <c r="E467" s="62">
        <f>IFERROR(INDEX(tbl_Finance[Job Number],$A467),"")</f>
        <v/>
      </c>
      <c r="F467" s="62">
        <f>IFERROR(INDEX(tbl_Finance[Cost Centre],$A467),"")</f>
        <v/>
      </c>
      <c r="G467" s="63">
        <f>IFERROR(INDEX(tbl_Finance[Ex GST],$A467),"")</f>
        <v/>
      </c>
      <c r="H467" s="61">
        <f>IFERROR(INDEX(tbl_Finance[Defer Start],$A467),"")</f>
        <v/>
      </c>
      <c r="I467" s="61">
        <f>IFERROR(INDEX(tbl_Finance[Defer End],$A467),"")</f>
        <v/>
      </c>
      <c r="J467" s="60">
        <f>IF(OR($H467="",$I467="",$G467=""),"",MAX(1,(YEAR($I467)-YEAR($H467))*12+MONTH($I467)-MONTH($H467)+1))</f>
        <v/>
      </c>
      <c r="K467" s="63">
        <f>IF($J467="","",$G467/$J467)</f>
        <v/>
      </c>
      <c r="L467" s="63">
        <f>IF($J467="",0,$K467*MAX(0,MIN(YEAR($C$3)*12+MONTH($C$3),YEAR($I467)*12+MONTH($I467))-(YEAR($H467)*12+MONTH($H467))+1))</f>
        <v/>
      </c>
      <c r="M467" s="63">
        <f>IF($J467="",0,$K467*MAX(0,MIN(YEAR($C$3)*12+MONTH($C$3)-1,YEAR($I467)*12+MONTH($I467))-(YEAR($H467)*12+MONTH($H467))+1))</f>
        <v/>
      </c>
      <c r="N467" s="63">
        <f>IF(OR($J467="",$B467=""),0,IF(YEAR($B467)*12+MONTH($B467)&lt;=YEAR($C$3)*12+MONTH($C$3),$G467,0))</f>
        <v/>
      </c>
      <c r="O467" s="63">
        <f>IF(OR($J467="",$B467=""),0,IF(YEAR($B467)*12+MONTH($B467)&lt;=YEAR($C$3)*12+MONTH($C$3)-1,$G467,0))</f>
        <v/>
      </c>
      <c r="P467" s="63">
        <f>$M467-$O467</f>
        <v/>
      </c>
      <c r="Q467" s="63">
        <f>($L467-$M467)-($N467-$O467)</f>
        <v/>
      </c>
      <c r="R467" s="63">
        <f>$L467-$N467</f>
        <v/>
      </c>
    </row>
    <row r="468">
      <c r="A468" s="60">
        <f>ROW()-5</f>
        <v/>
      </c>
      <c r="B468" s="61">
        <f>IFERROR(INDEX(tbl_Finance[Date],$A468),"")</f>
        <v/>
      </c>
      <c r="C468" s="62">
        <f>IFERROR(INDEX(tbl_Finance[Xero Invoice No],$A468),"")</f>
        <v/>
      </c>
      <c r="D468" s="62">
        <f>IFERROR(INDEX(tbl_Finance[Client],$A468),"")</f>
        <v/>
      </c>
      <c r="E468" s="62">
        <f>IFERROR(INDEX(tbl_Finance[Job Number],$A468),"")</f>
        <v/>
      </c>
      <c r="F468" s="62">
        <f>IFERROR(INDEX(tbl_Finance[Cost Centre],$A468),"")</f>
        <v/>
      </c>
      <c r="G468" s="63">
        <f>IFERROR(INDEX(tbl_Finance[Ex GST],$A468),"")</f>
        <v/>
      </c>
      <c r="H468" s="61">
        <f>IFERROR(INDEX(tbl_Finance[Defer Start],$A468),"")</f>
        <v/>
      </c>
      <c r="I468" s="61">
        <f>IFERROR(INDEX(tbl_Finance[Defer End],$A468),"")</f>
        <v/>
      </c>
      <c r="J468" s="60">
        <f>IF(OR($H468="",$I468="",$G468=""),"",MAX(1,(YEAR($I468)-YEAR($H468))*12+MONTH($I468)-MONTH($H468)+1))</f>
        <v/>
      </c>
      <c r="K468" s="63">
        <f>IF($J468="","",$G468/$J468)</f>
        <v/>
      </c>
      <c r="L468" s="63">
        <f>IF($J468="",0,$K468*MAX(0,MIN(YEAR($C$3)*12+MONTH($C$3),YEAR($I468)*12+MONTH($I468))-(YEAR($H468)*12+MONTH($H468))+1))</f>
        <v/>
      </c>
      <c r="M468" s="63">
        <f>IF($J468="",0,$K468*MAX(0,MIN(YEAR($C$3)*12+MONTH($C$3)-1,YEAR($I468)*12+MONTH($I468))-(YEAR($H468)*12+MONTH($H468))+1))</f>
        <v/>
      </c>
      <c r="N468" s="63">
        <f>IF(OR($J468="",$B468=""),0,IF(YEAR($B468)*12+MONTH($B468)&lt;=YEAR($C$3)*12+MONTH($C$3),$G468,0))</f>
        <v/>
      </c>
      <c r="O468" s="63">
        <f>IF(OR($J468="",$B468=""),0,IF(YEAR($B468)*12+MONTH($B468)&lt;=YEAR($C$3)*12+MONTH($C$3)-1,$G468,0))</f>
        <v/>
      </c>
      <c r="P468" s="63">
        <f>$M468-$O468</f>
        <v/>
      </c>
      <c r="Q468" s="63">
        <f>($L468-$M468)-($N468-$O468)</f>
        <v/>
      </c>
      <c r="R468" s="63">
        <f>$L468-$N468</f>
        <v/>
      </c>
    </row>
    <row r="469">
      <c r="A469" s="60">
        <f>ROW()-5</f>
        <v/>
      </c>
      <c r="B469" s="61">
        <f>IFERROR(INDEX(tbl_Finance[Date],$A469),"")</f>
        <v/>
      </c>
      <c r="C469" s="62">
        <f>IFERROR(INDEX(tbl_Finance[Xero Invoice No],$A469),"")</f>
        <v/>
      </c>
      <c r="D469" s="62">
        <f>IFERROR(INDEX(tbl_Finance[Client],$A469),"")</f>
        <v/>
      </c>
      <c r="E469" s="62">
        <f>IFERROR(INDEX(tbl_Finance[Job Number],$A469),"")</f>
        <v/>
      </c>
      <c r="F469" s="62">
        <f>IFERROR(INDEX(tbl_Finance[Cost Centre],$A469),"")</f>
        <v/>
      </c>
      <c r="G469" s="63">
        <f>IFERROR(INDEX(tbl_Finance[Ex GST],$A469),"")</f>
        <v/>
      </c>
      <c r="H469" s="61">
        <f>IFERROR(INDEX(tbl_Finance[Defer Start],$A469),"")</f>
        <v/>
      </c>
      <c r="I469" s="61">
        <f>IFERROR(INDEX(tbl_Finance[Defer End],$A469),"")</f>
        <v/>
      </c>
      <c r="J469" s="60">
        <f>IF(OR($H469="",$I469="",$G469=""),"",MAX(1,(YEAR($I469)-YEAR($H469))*12+MONTH($I469)-MONTH($H469)+1))</f>
        <v/>
      </c>
      <c r="K469" s="63">
        <f>IF($J469="","",$G469/$J469)</f>
        <v/>
      </c>
      <c r="L469" s="63">
        <f>IF($J469="",0,$K469*MAX(0,MIN(YEAR($C$3)*12+MONTH($C$3),YEAR($I469)*12+MONTH($I469))-(YEAR($H469)*12+MONTH($H469))+1))</f>
        <v/>
      </c>
      <c r="M469" s="63">
        <f>IF($J469="",0,$K469*MAX(0,MIN(YEAR($C$3)*12+MONTH($C$3)-1,YEAR($I469)*12+MONTH($I469))-(YEAR($H469)*12+MONTH($H469))+1))</f>
        <v/>
      </c>
      <c r="N469" s="63">
        <f>IF(OR($J469="",$B469=""),0,IF(YEAR($B469)*12+MONTH($B469)&lt;=YEAR($C$3)*12+MONTH($C$3),$G469,0))</f>
        <v/>
      </c>
      <c r="O469" s="63">
        <f>IF(OR($J469="",$B469=""),0,IF(YEAR($B469)*12+MONTH($B469)&lt;=YEAR($C$3)*12+MONTH($C$3)-1,$G469,0))</f>
        <v/>
      </c>
      <c r="P469" s="63">
        <f>$M469-$O469</f>
        <v/>
      </c>
      <c r="Q469" s="63">
        <f>($L469-$M469)-($N469-$O469)</f>
        <v/>
      </c>
      <c r="R469" s="63">
        <f>$L469-$N469</f>
        <v/>
      </c>
    </row>
    <row r="470">
      <c r="A470" s="60">
        <f>ROW()-5</f>
        <v/>
      </c>
      <c r="B470" s="61">
        <f>IFERROR(INDEX(tbl_Finance[Date],$A470),"")</f>
        <v/>
      </c>
      <c r="C470" s="62">
        <f>IFERROR(INDEX(tbl_Finance[Xero Invoice No],$A470),"")</f>
        <v/>
      </c>
      <c r="D470" s="62">
        <f>IFERROR(INDEX(tbl_Finance[Client],$A470),"")</f>
        <v/>
      </c>
      <c r="E470" s="62">
        <f>IFERROR(INDEX(tbl_Finance[Job Number],$A470),"")</f>
        <v/>
      </c>
      <c r="F470" s="62">
        <f>IFERROR(INDEX(tbl_Finance[Cost Centre],$A470),"")</f>
        <v/>
      </c>
      <c r="G470" s="63">
        <f>IFERROR(INDEX(tbl_Finance[Ex GST],$A470),"")</f>
        <v/>
      </c>
      <c r="H470" s="61">
        <f>IFERROR(INDEX(tbl_Finance[Defer Start],$A470),"")</f>
        <v/>
      </c>
      <c r="I470" s="61">
        <f>IFERROR(INDEX(tbl_Finance[Defer End],$A470),"")</f>
        <v/>
      </c>
      <c r="J470" s="60">
        <f>IF(OR($H470="",$I470="",$G470=""),"",MAX(1,(YEAR($I470)-YEAR($H470))*12+MONTH($I470)-MONTH($H470)+1))</f>
        <v/>
      </c>
      <c r="K470" s="63">
        <f>IF($J470="","",$G470/$J470)</f>
        <v/>
      </c>
      <c r="L470" s="63">
        <f>IF($J470="",0,$K470*MAX(0,MIN(YEAR($C$3)*12+MONTH($C$3),YEAR($I470)*12+MONTH($I470))-(YEAR($H470)*12+MONTH($H470))+1))</f>
        <v/>
      </c>
      <c r="M470" s="63">
        <f>IF($J470="",0,$K470*MAX(0,MIN(YEAR($C$3)*12+MONTH($C$3)-1,YEAR($I470)*12+MONTH($I470))-(YEAR($H470)*12+MONTH($H470))+1))</f>
        <v/>
      </c>
      <c r="N470" s="63">
        <f>IF(OR($J470="",$B470=""),0,IF(YEAR($B470)*12+MONTH($B470)&lt;=YEAR($C$3)*12+MONTH($C$3),$G470,0))</f>
        <v/>
      </c>
      <c r="O470" s="63">
        <f>IF(OR($J470="",$B470=""),0,IF(YEAR($B470)*12+MONTH($B470)&lt;=YEAR($C$3)*12+MONTH($C$3)-1,$G470,0))</f>
        <v/>
      </c>
      <c r="P470" s="63">
        <f>$M470-$O470</f>
        <v/>
      </c>
      <c r="Q470" s="63">
        <f>($L470-$M470)-($N470-$O470)</f>
        <v/>
      </c>
      <c r="R470" s="63">
        <f>$L470-$N470</f>
        <v/>
      </c>
    </row>
    <row r="471">
      <c r="A471" s="60">
        <f>ROW()-5</f>
        <v/>
      </c>
      <c r="B471" s="61">
        <f>IFERROR(INDEX(tbl_Finance[Date],$A471),"")</f>
        <v/>
      </c>
      <c r="C471" s="62">
        <f>IFERROR(INDEX(tbl_Finance[Xero Invoice No],$A471),"")</f>
        <v/>
      </c>
      <c r="D471" s="62">
        <f>IFERROR(INDEX(tbl_Finance[Client],$A471),"")</f>
        <v/>
      </c>
      <c r="E471" s="62">
        <f>IFERROR(INDEX(tbl_Finance[Job Number],$A471),"")</f>
        <v/>
      </c>
      <c r="F471" s="62">
        <f>IFERROR(INDEX(tbl_Finance[Cost Centre],$A471),"")</f>
        <v/>
      </c>
      <c r="G471" s="63">
        <f>IFERROR(INDEX(tbl_Finance[Ex GST],$A471),"")</f>
        <v/>
      </c>
      <c r="H471" s="61">
        <f>IFERROR(INDEX(tbl_Finance[Defer Start],$A471),"")</f>
        <v/>
      </c>
      <c r="I471" s="61">
        <f>IFERROR(INDEX(tbl_Finance[Defer End],$A471),"")</f>
        <v/>
      </c>
      <c r="J471" s="60">
        <f>IF(OR($H471="",$I471="",$G471=""),"",MAX(1,(YEAR($I471)-YEAR($H471))*12+MONTH($I471)-MONTH($H471)+1))</f>
        <v/>
      </c>
      <c r="K471" s="63">
        <f>IF($J471="","",$G471/$J471)</f>
        <v/>
      </c>
      <c r="L471" s="63">
        <f>IF($J471="",0,$K471*MAX(0,MIN(YEAR($C$3)*12+MONTH($C$3),YEAR($I471)*12+MONTH($I471))-(YEAR($H471)*12+MONTH($H471))+1))</f>
        <v/>
      </c>
      <c r="M471" s="63">
        <f>IF($J471="",0,$K471*MAX(0,MIN(YEAR($C$3)*12+MONTH($C$3)-1,YEAR($I471)*12+MONTH($I471))-(YEAR($H471)*12+MONTH($H471))+1))</f>
        <v/>
      </c>
      <c r="N471" s="63">
        <f>IF(OR($J471="",$B471=""),0,IF(YEAR($B471)*12+MONTH($B471)&lt;=YEAR($C$3)*12+MONTH($C$3),$G471,0))</f>
        <v/>
      </c>
      <c r="O471" s="63">
        <f>IF(OR($J471="",$B471=""),0,IF(YEAR($B471)*12+MONTH($B471)&lt;=YEAR($C$3)*12+MONTH($C$3)-1,$G471,0))</f>
        <v/>
      </c>
      <c r="P471" s="63">
        <f>$M471-$O471</f>
        <v/>
      </c>
      <c r="Q471" s="63">
        <f>($L471-$M471)-($N471-$O471)</f>
        <v/>
      </c>
      <c r="R471" s="63">
        <f>$L471-$N471</f>
        <v/>
      </c>
    </row>
    <row r="472">
      <c r="A472" s="60">
        <f>ROW()-5</f>
        <v/>
      </c>
      <c r="B472" s="61">
        <f>IFERROR(INDEX(tbl_Finance[Date],$A472),"")</f>
        <v/>
      </c>
      <c r="C472" s="62">
        <f>IFERROR(INDEX(tbl_Finance[Xero Invoice No],$A472),"")</f>
        <v/>
      </c>
      <c r="D472" s="62">
        <f>IFERROR(INDEX(tbl_Finance[Client],$A472),"")</f>
        <v/>
      </c>
      <c r="E472" s="62">
        <f>IFERROR(INDEX(tbl_Finance[Job Number],$A472),"")</f>
        <v/>
      </c>
      <c r="F472" s="62">
        <f>IFERROR(INDEX(tbl_Finance[Cost Centre],$A472),"")</f>
        <v/>
      </c>
      <c r="G472" s="63">
        <f>IFERROR(INDEX(tbl_Finance[Ex GST],$A472),"")</f>
        <v/>
      </c>
      <c r="H472" s="61">
        <f>IFERROR(INDEX(tbl_Finance[Defer Start],$A472),"")</f>
        <v/>
      </c>
      <c r="I472" s="61">
        <f>IFERROR(INDEX(tbl_Finance[Defer End],$A472),"")</f>
        <v/>
      </c>
      <c r="J472" s="60">
        <f>IF(OR($H472="",$I472="",$G472=""),"",MAX(1,(YEAR($I472)-YEAR($H472))*12+MONTH($I472)-MONTH($H472)+1))</f>
        <v/>
      </c>
      <c r="K472" s="63">
        <f>IF($J472="","",$G472/$J472)</f>
        <v/>
      </c>
      <c r="L472" s="63">
        <f>IF($J472="",0,$K472*MAX(0,MIN(YEAR($C$3)*12+MONTH($C$3),YEAR($I472)*12+MONTH($I472))-(YEAR($H472)*12+MONTH($H472))+1))</f>
        <v/>
      </c>
      <c r="M472" s="63">
        <f>IF($J472="",0,$K472*MAX(0,MIN(YEAR($C$3)*12+MONTH($C$3)-1,YEAR($I472)*12+MONTH($I472))-(YEAR($H472)*12+MONTH($H472))+1))</f>
        <v/>
      </c>
      <c r="N472" s="63">
        <f>IF(OR($J472="",$B472=""),0,IF(YEAR($B472)*12+MONTH($B472)&lt;=YEAR($C$3)*12+MONTH($C$3),$G472,0))</f>
        <v/>
      </c>
      <c r="O472" s="63">
        <f>IF(OR($J472="",$B472=""),0,IF(YEAR($B472)*12+MONTH($B472)&lt;=YEAR($C$3)*12+MONTH($C$3)-1,$G472,0))</f>
        <v/>
      </c>
      <c r="P472" s="63">
        <f>$M472-$O472</f>
        <v/>
      </c>
      <c r="Q472" s="63">
        <f>($L472-$M472)-($N472-$O472)</f>
        <v/>
      </c>
      <c r="R472" s="63">
        <f>$L472-$N472</f>
        <v/>
      </c>
    </row>
    <row r="473">
      <c r="A473" s="60">
        <f>ROW()-5</f>
        <v/>
      </c>
      <c r="B473" s="61">
        <f>IFERROR(INDEX(tbl_Finance[Date],$A473),"")</f>
        <v/>
      </c>
      <c r="C473" s="62">
        <f>IFERROR(INDEX(tbl_Finance[Xero Invoice No],$A473),"")</f>
        <v/>
      </c>
      <c r="D473" s="62">
        <f>IFERROR(INDEX(tbl_Finance[Client],$A473),"")</f>
        <v/>
      </c>
      <c r="E473" s="62">
        <f>IFERROR(INDEX(tbl_Finance[Job Number],$A473),"")</f>
        <v/>
      </c>
      <c r="F473" s="62">
        <f>IFERROR(INDEX(tbl_Finance[Cost Centre],$A473),"")</f>
        <v/>
      </c>
      <c r="G473" s="63">
        <f>IFERROR(INDEX(tbl_Finance[Ex GST],$A473),"")</f>
        <v/>
      </c>
      <c r="H473" s="61">
        <f>IFERROR(INDEX(tbl_Finance[Defer Start],$A473),"")</f>
        <v/>
      </c>
      <c r="I473" s="61">
        <f>IFERROR(INDEX(tbl_Finance[Defer End],$A473),"")</f>
        <v/>
      </c>
      <c r="J473" s="60">
        <f>IF(OR($H473="",$I473="",$G473=""),"",MAX(1,(YEAR($I473)-YEAR($H473))*12+MONTH($I473)-MONTH($H473)+1))</f>
        <v/>
      </c>
      <c r="K473" s="63">
        <f>IF($J473="","",$G473/$J473)</f>
        <v/>
      </c>
      <c r="L473" s="63">
        <f>IF($J473="",0,$K473*MAX(0,MIN(YEAR($C$3)*12+MONTH($C$3),YEAR($I473)*12+MONTH($I473))-(YEAR($H473)*12+MONTH($H473))+1))</f>
        <v/>
      </c>
      <c r="M473" s="63">
        <f>IF($J473="",0,$K473*MAX(0,MIN(YEAR($C$3)*12+MONTH($C$3)-1,YEAR($I473)*12+MONTH($I473))-(YEAR($H473)*12+MONTH($H473))+1))</f>
        <v/>
      </c>
      <c r="N473" s="63">
        <f>IF(OR($J473="",$B473=""),0,IF(YEAR($B473)*12+MONTH($B473)&lt;=YEAR($C$3)*12+MONTH($C$3),$G473,0))</f>
        <v/>
      </c>
      <c r="O473" s="63">
        <f>IF(OR($J473="",$B473=""),0,IF(YEAR($B473)*12+MONTH($B473)&lt;=YEAR($C$3)*12+MONTH($C$3)-1,$G473,0))</f>
        <v/>
      </c>
      <c r="P473" s="63">
        <f>$M473-$O473</f>
        <v/>
      </c>
      <c r="Q473" s="63">
        <f>($L473-$M473)-($N473-$O473)</f>
        <v/>
      </c>
      <c r="R473" s="63">
        <f>$L473-$N473</f>
        <v/>
      </c>
    </row>
    <row r="474">
      <c r="A474" s="60">
        <f>ROW()-5</f>
        <v/>
      </c>
      <c r="B474" s="61">
        <f>IFERROR(INDEX(tbl_Finance[Date],$A474),"")</f>
        <v/>
      </c>
      <c r="C474" s="62">
        <f>IFERROR(INDEX(tbl_Finance[Xero Invoice No],$A474),"")</f>
        <v/>
      </c>
      <c r="D474" s="62">
        <f>IFERROR(INDEX(tbl_Finance[Client],$A474),"")</f>
        <v/>
      </c>
      <c r="E474" s="62">
        <f>IFERROR(INDEX(tbl_Finance[Job Number],$A474),"")</f>
        <v/>
      </c>
      <c r="F474" s="62">
        <f>IFERROR(INDEX(tbl_Finance[Cost Centre],$A474),"")</f>
        <v/>
      </c>
      <c r="G474" s="63">
        <f>IFERROR(INDEX(tbl_Finance[Ex GST],$A474),"")</f>
        <v/>
      </c>
      <c r="H474" s="61">
        <f>IFERROR(INDEX(tbl_Finance[Defer Start],$A474),"")</f>
        <v/>
      </c>
      <c r="I474" s="61">
        <f>IFERROR(INDEX(tbl_Finance[Defer End],$A474),"")</f>
        <v/>
      </c>
      <c r="J474" s="60">
        <f>IF(OR($H474="",$I474="",$G474=""),"",MAX(1,(YEAR($I474)-YEAR($H474))*12+MONTH($I474)-MONTH($H474)+1))</f>
        <v/>
      </c>
      <c r="K474" s="63">
        <f>IF($J474="","",$G474/$J474)</f>
        <v/>
      </c>
      <c r="L474" s="63">
        <f>IF($J474="",0,$K474*MAX(0,MIN(YEAR($C$3)*12+MONTH($C$3),YEAR($I474)*12+MONTH($I474))-(YEAR($H474)*12+MONTH($H474))+1))</f>
        <v/>
      </c>
      <c r="M474" s="63">
        <f>IF($J474="",0,$K474*MAX(0,MIN(YEAR($C$3)*12+MONTH($C$3)-1,YEAR($I474)*12+MONTH($I474))-(YEAR($H474)*12+MONTH($H474))+1))</f>
        <v/>
      </c>
      <c r="N474" s="63">
        <f>IF(OR($J474="",$B474=""),0,IF(YEAR($B474)*12+MONTH($B474)&lt;=YEAR($C$3)*12+MONTH($C$3),$G474,0))</f>
        <v/>
      </c>
      <c r="O474" s="63">
        <f>IF(OR($J474="",$B474=""),0,IF(YEAR($B474)*12+MONTH($B474)&lt;=YEAR($C$3)*12+MONTH($C$3)-1,$G474,0))</f>
        <v/>
      </c>
      <c r="P474" s="63">
        <f>$M474-$O474</f>
        <v/>
      </c>
      <c r="Q474" s="63">
        <f>($L474-$M474)-($N474-$O474)</f>
        <v/>
      </c>
      <c r="R474" s="63">
        <f>$L474-$N474</f>
        <v/>
      </c>
    </row>
    <row r="475">
      <c r="A475" s="60">
        <f>ROW()-5</f>
        <v/>
      </c>
      <c r="B475" s="61">
        <f>IFERROR(INDEX(tbl_Finance[Date],$A475),"")</f>
        <v/>
      </c>
      <c r="C475" s="62">
        <f>IFERROR(INDEX(tbl_Finance[Xero Invoice No],$A475),"")</f>
        <v/>
      </c>
      <c r="D475" s="62">
        <f>IFERROR(INDEX(tbl_Finance[Client],$A475),"")</f>
        <v/>
      </c>
      <c r="E475" s="62">
        <f>IFERROR(INDEX(tbl_Finance[Job Number],$A475),"")</f>
        <v/>
      </c>
      <c r="F475" s="62">
        <f>IFERROR(INDEX(tbl_Finance[Cost Centre],$A475),"")</f>
        <v/>
      </c>
      <c r="G475" s="63">
        <f>IFERROR(INDEX(tbl_Finance[Ex GST],$A475),"")</f>
        <v/>
      </c>
      <c r="H475" s="61">
        <f>IFERROR(INDEX(tbl_Finance[Defer Start],$A475),"")</f>
        <v/>
      </c>
      <c r="I475" s="61">
        <f>IFERROR(INDEX(tbl_Finance[Defer End],$A475),"")</f>
        <v/>
      </c>
      <c r="J475" s="60">
        <f>IF(OR($H475="",$I475="",$G475=""),"",MAX(1,(YEAR($I475)-YEAR($H475))*12+MONTH($I475)-MONTH($H475)+1))</f>
        <v/>
      </c>
      <c r="K475" s="63">
        <f>IF($J475="","",$G475/$J475)</f>
        <v/>
      </c>
      <c r="L475" s="63">
        <f>IF($J475="",0,$K475*MAX(0,MIN(YEAR($C$3)*12+MONTH($C$3),YEAR($I475)*12+MONTH($I475))-(YEAR($H475)*12+MONTH($H475))+1))</f>
        <v/>
      </c>
      <c r="M475" s="63">
        <f>IF($J475="",0,$K475*MAX(0,MIN(YEAR($C$3)*12+MONTH($C$3)-1,YEAR($I475)*12+MONTH($I475))-(YEAR($H475)*12+MONTH($H475))+1))</f>
        <v/>
      </c>
      <c r="N475" s="63">
        <f>IF(OR($J475="",$B475=""),0,IF(YEAR($B475)*12+MONTH($B475)&lt;=YEAR($C$3)*12+MONTH($C$3),$G475,0))</f>
        <v/>
      </c>
      <c r="O475" s="63">
        <f>IF(OR($J475="",$B475=""),0,IF(YEAR($B475)*12+MONTH($B475)&lt;=YEAR($C$3)*12+MONTH($C$3)-1,$G475,0))</f>
        <v/>
      </c>
      <c r="P475" s="63">
        <f>$M475-$O475</f>
        <v/>
      </c>
      <c r="Q475" s="63">
        <f>($L475-$M475)-($N475-$O475)</f>
        <v/>
      </c>
      <c r="R475" s="63">
        <f>$L475-$N475</f>
        <v/>
      </c>
    </row>
    <row r="476">
      <c r="A476" s="60">
        <f>ROW()-5</f>
        <v/>
      </c>
      <c r="B476" s="61">
        <f>IFERROR(INDEX(tbl_Finance[Date],$A476),"")</f>
        <v/>
      </c>
      <c r="C476" s="62">
        <f>IFERROR(INDEX(tbl_Finance[Xero Invoice No],$A476),"")</f>
        <v/>
      </c>
      <c r="D476" s="62">
        <f>IFERROR(INDEX(tbl_Finance[Client],$A476),"")</f>
        <v/>
      </c>
      <c r="E476" s="62">
        <f>IFERROR(INDEX(tbl_Finance[Job Number],$A476),"")</f>
        <v/>
      </c>
      <c r="F476" s="62">
        <f>IFERROR(INDEX(tbl_Finance[Cost Centre],$A476),"")</f>
        <v/>
      </c>
      <c r="G476" s="63">
        <f>IFERROR(INDEX(tbl_Finance[Ex GST],$A476),"")</f>
        <v/>
      </c>
      <c r="H476" s="61">
        <f>IFERROR(INDEX(tbl_Finance[Defer Start],$A476),"")</f>
        <v/>
      </c>
      <c r="I476" s="61">
        <f>IFERROR(INDEX(tbl_Finance[Defer End],$A476),"")</f>
        <v/>
      </c>
      <c r="J476" s="60">
        <f>IF(OR($H476="",$I476="",$G476=""),"",MAX(1,(YEAR($I476)-YEAR($H476))*12+MONTH($I476)-MONTH($H476)+1))</f>
        <v/>
      </c>
      <c r="K476" s="63">
        <f>IF($J476="","",$G476/$J476)</f>
        <v/>
      </c>
      <c r="L476" s="63">
        <f>IF($J476="",0,$K476*MAX(0,MIN(YEAR($C$3)*12+MONTH($C$3),YEAR($I476)*12+MONTH($I476))-(YEAR($H476)*12+MONTH($H476))+1))</f>
        <v/>
      </c>
      <c r="M476" s="63">
        <f>IF($J476="",0,$K476*MAX(0,MIN(YEAR($C$3)*12+MONTH($C$3)-1,YEAR($I476)*12+MONTH($I476))-(YEAR($H476)*12+MONTH($H476))+1))</f>
        <v/>
      </c>
      <c r="N476" s="63">
        <f>IF(OR($J476="",$B476=""),0,IF(YEAR($B476)*12+MONTH($B476)&lt;=YEAR($C$3)*12+MONTH($C$3),$G476,0))</f>
        <v/>
      </c>
      <c r="O476" s="63">
        <f>IF(OR($J476="",$B476=""),0,IF(YEAR($B476)*12+MONTH($B476)&lt;=YEAR($C$3)*12+MONTH($C$3)-1,$G476,0))</f>
        <v/>
      </c>
      <c r="P476" s="63">
        <f>$M476-$O476</f>
        <v/>
      </c>
      <c r="Q476" s="63">
        <f>($L476-$M476)-($N476-$O476)</f>
        <v/>
      </c>
      <c r="R476" s="63">
        <f>$L476-$N476</f>
        <v/>
      </c>
    </row>
    <row r="477">
      <c r="A477" s="60">
        <f>ROW()-5</f>
        <v/>
      </c>
      <c r="B477" s="61">
        <f>IFERROR(INDEX(tbl_Finance[Date],$A477),"")</f>
        <v/>
      </c>
      <c r="C477" s="62">
        <f>IFERROR(INDEX(tbl_Finance[Xero Invoice No],$A477),"")</f>
        <v/>
      </c>
      <c r="D477" s="62">
        <f>IFERROR(INDEX(tbl_Finance[Client],$A477),"")</f>
        <v/>
      </c>
      <c r="E477" s="62">
        <f>IFERROR(INDEX(tbl_Finance[Job Number],$A477),"")</f>
        <v/>
      </c>
      <c r="F477" s="62">
        <f>IFERROR(INDEX(tbl_Finance[Cost Centre],$A477),"")</f>
        <v/>
      </c>
      <c r="G477" s="63">
        <f>IFERROR(INDEX(tbl_Finance[Ex GST],$A477),"")</f>
        <v/>
      </c>
      <c r="H477" s="61">
        <f>IFERROR(INDEX(tbl_Finance[Defer Start],$A477),"")</f>
        <v/>
      </c>
      <c r="I477" s="61">
        <f>IFERROR(INDEX(tbl_Finance[Defer End],$A477),"")</f>
        <v/>
      </c>
      <c r="J477" s="60">
        <f>IF(OR($H477="",$I477="",$G477=""),"",MAX(1,(YEAR($I477)-YEAR($H477))*12+MONTH($I477)-MONTH($H477)+1))</f>
        <v/>
      </c>
      <c r="K477" s="63">
        <f>IF($J477="","",$G477/$J477)</f>
        <v/>
      </c>
      <c r="L477" s="63">
        <f>IF($J477="",0,$K477*MAX(0,MIN(YEAR($C$3)*12+MONTH($C$3),YEAR($I477)*12+MONTH($I477))-(YEAR($H477)*12+MONTH($H477))+1))</f>
        <v/>
      </c>
      <c r="M477" s="63">
        <f>IF($J477="",0,$K477*MAX(0,MIN(YEAR($C$3)*12+MONTH($C$3)-1,YEAR($I477)*12+MONTH($I477))-(YEAR($H477)*12+MONTH($H477))+1))</f>
        <v/>
      </c>
      <c r="N477" s="63">
        <f>IF(OR($J477="",$B477=""),0,IF(YEAR($B477)*12+MONTH($B477)&lt;=YEAR($C$3)*12+MONTH($C$3),$G477,0))</f>
        <v/>
      </c>
      <c r="O477" s="63">
        <f>IF(OR($J477="",$B477=""),0,IF(YEAR($B477)*12+MONTH($B477)&lt;=YEAR($C$3)*12+MONTH($C$3)-1,$G477,0))</f>
        <v/>
      </c>
      <c r="P477" s="63">
        <f>$M477-$O477</f>
        <v/>
      </c>
      <c r="Q477" s="63">
        <f>($L477-$M477)-($N477-$O477)</f>
        <v/>
      </c>
      <c r="R477" s="63">
        <f>$L477-$N477</f>
        <v/>
      </c>
    </row>
    <row r="478">
      <c r="A478" s="60">
        <f>ROW()-5</f>
        <v/>
      </c>
      <c r="B478" s="61">
        <f>IFERROR(INDEX(tbl_Finance[Date],$A478),"")</f>
        <v/>
      </c>
      <c r="C478" s="62">
        <f>IFERROR(INDEX(tbl_Finance[Xero Invoice No],$A478),"")</f>
        <v/>
      </c>
      <c r="D478" s="62">
        <f>IFERROR(INDEX(tbl_Finance[Client],$A478),"")</f>
        <v/>
      </c>
      <c r="E478" s="62">
        <f>IFERROR(INDEX(tbl_Finance[Job Number],$A478),"")</f>
        <v/>
      </c>
      <c r="F478" s="62">
        <f>IFERROR(INDEX(tbl_Finance[Cost Centre],$A478),"")</f>
        <v/>
      </c>
      <c r="G478" s="63">
        <f>IFERROR(INDEX(tbl_Finance[Ex GST],$A478),"")</f>
        <v/>
      </c>
      <c r="H478" s="61">
        <f>IFERROR(INDEX(tbl_Finance[Defer Start],$A478),"")</f>
        <v/>
      </c>
      <c r="I478" s="61">
        <f>IFERROR(INDEX(tbl_Finance[Defer End],$A478),"")</f>
        <v/>
      </c>
      <c r="J478" s="60">
        <f>IF(OR($H478="",$I478="",$G478=""),"",MAX(1,(YEAR($I478)-YEAR($H478))*12+MONTH($I478)-MONTH($H478)+1))</f>
        <v/>
      </c>
      <c r="K478" s="63">
        <f>IF($J478="","",$G478/$J478)</f>
        <v/>
      </c>
      <c r="L478" s="63">
        <f>IF($J478="",0,$K478*MAX(0,MIN(YEAR($C$3)*12+MONTH($C$3),YEAR($I478)*12+MONTH($I478))-(YEAR($H478)*12+MONTH($H478))+1))</f>
        <v/>
      </c>
      <c r="M478" s="63">
        <f>IF($J478="",0,$K478*MAX(0,MIN(YEAR($C$3)*12+MONTH($C$3)-1,YEAR($I478)*12+MONTH($I478))-(YEAR($H478)*12+MONTH($H478))+1))</f>
        <v/>
      </c>
      <c r="N478" s="63">
        <f>IF(OR($J478="",$B478=""),0,IF(YEAR($B478)*12+MONTH($B478)&lt;=YEAR($C$3)*12+MONTH($C$3),$G478,0))</f>
        <v/>
      </c>
      <c r="O478" s="63">
        <f>IF(OR($J478="",$B478=""),0,IF(YEAR($B478)*12+MONTH($B478)&lt;=YEAR($C$3)*12+MONTH($C$3)-1,$G478,0))</f>
        <v/>
      </c>
      <c r="P478" s="63">
        <f>$M478-$O478</f>
        <v/>
      </c>
      <c r="Q478" s="63">
        <f>($L478-$M478)-($N478-$O478)</f>
        <v/>
      </c>
      <c r="R478" s="63">
        <f>$L478-$N478</f>
        <v/>
      </c>
    </row>
    <row r="479">
      <c r="A479" s="60">
        <f>ROW()-5</f>
        <v/>
      </c>
      <c r="B479" s="61">
        <f>IFERROR(INDEX(tbl_Finance[Date],$A479),"")</f>
        <v/>
      </c>
      <c r="C479" s="62">
        <f>IFERROR(INDEX(tbl_Finance[Xero Invoice No],$A479),"")</f>
        <v/>
      </c>
      <c r="D479" s="62">
        <f>IFERROR(INDEX(tbl_Finance[Client],$A479),"")</f>
        <v/>
      </c>
      <c r="E479" s="62">
        <f>IFERROR(INDEX(tbl_Finance[Job Number],$A479),"")</f>
        <v/>
      </c>
      <c r="F479" s="62">
        <f>IFERROR(INDEX(tbl_Finance[Cost Centre],$A479),"")</f>
        <v/>
      </c>
      <c r="G479" s="63">
        <f>IFERROR(INDEX(tbl_Finance[Ex GST],$A479),"")</f>
        <v/>
      </c>
      <c r="H479" s="61">
        <f>IFERROR(INDEX(tbl_Finance[Defer Start],$A479),"")</f>
        <v/>
      </c>
      <c r="I479" s="61">
        <f>IFERROR(INDEX(tbl_Finance[Defer End],$A479),"")</f>
        <v/>
      </c>
      <c r="J479" s="60">
        <f>IF(OR($H479="",$I479="",$G479=""),"",MAX(1,(YEAR($I479)-YEAR($H479))*12+MONTH($I479)-MONTH($H479)+1))</f>
        <v/>
      </c>
      <c r="K479" s="63">
        <f>IF($J479="","",$G479/$J479)</f>
        <v/>
      </c>
      <c r="L479" s="63">
        <f>IF($J479="",0,$K479*MAX(0,MIN(YEAR($C$3)*12+MONTH($C$3),YEAR($I479)*12+MONTH($I479))-(YEAR($H479)*12+MONTH($H479))+1))</f>
        <v/>
      </c>
      <c r="M479" s="63">
        <f>IF($J479="",0,$K479*MAX(0,MIN(YEAR($C$3)*12+MONTH($C$3)-1,YEAR($I479)*12+MONTH($I479))-(YEAR($H479)*12+MONTH($H479))+1))</f>
        <v/>
      </c>
      <c r="N479" s="63">
        <f>IF(OR($J479="",$B479=""),0,IF(YEAR($B479)*12+MONTH($B479)&lt;=YEAR($C$3)*12+MONTH($C$3),$G479,0))</f>
        <v/>
      </c>
      <c r="O479" s="63">
        <f>IF(OR($J479="",$B479=""),0,IF(YEAR($B479)*12+MONTH($B479)&lt;=YEAR($C$3)*12+MONTH($C$3)-1,$G479,0))</f>
        <v/>
      </c>
      <c r="P479" s="63">
        <f>$M479-$O479</f>
        <v/>
      </c>
      <c r="Q479" s="63">
        <f>($L479-$M479)-($N479-$O479)</f>
        <v/>
      </c>
      <c r="R479" s="63">
        <f>$L479-$N479</f>
        <v/>
      </c>
    </row>
    <row r="480">
      <c r="A480" s="60">
        <f>ROW()-5</f>
        <v/>
      </c>
      <c r="B480" s="61">
        <f>IFERROR(INDEX(tbl_Finance[Date],$A480),"")</f>
        <v/>
      </c>
      <c r="C480" s="62">
        <f>IFERROR(INDEX(tbl_Finance[Xero Invoice No],$A480),"")</f>
        <v/>
      </c>
      <c r="D480" s="62">
        <f>IFERROR(INDEX(tbl_Finance[Client],$A480),"")</f>
        <v/>
      </c>
      <c r="E480" s="62">
        <f>IFERROR(INDEX(tbl_Finance[Job Number],$A480),"")</f>
        <v/>
      </c>
      <c r="F480" s="62">
        <f>IFERROR(INDEX(tbl_Finance[Cost Centre],$A480),"")</f>
        <v/>
      </c>
      <c r="G480" s="63">
        <f>IFERROR(INDEX(tbl_Finance[Ex GST],$A480),"")</f>
        <v/>
      </c>
      <c r="H480" s="61">
        <f>IFERROR(INDEX(tbl_Finance[Defer Start],$A480),"")</f>
        <v/>
      </c>
      <c r="I480" s="61">
        <f>IFERROR(INDEX(tbl_Finance[Defer End],$A480),"")</f>
        <v/>
      </c>
      <c r="J480" s="60">
        <f>IF(OR($H480="",$I480="",$G480=""),"",MAX(1,(YEAR($I480)-YEAR($H480))*12+MONTH($I480)-MONTH($H480)+1))</f>
        <v/>
      </c>
      <c r="K480" s="63">
        <f>IF($J480="","",$G480/$J480)</f>
        <v/>
      </c>
      <c r="L480" s="63">
        <f>IF($J480="",0,$K480*MAX(0,MIN(YEAR($C$3)*12+MONTH($C$3),YEAR($I480)*12+MONTH($I480))-(YEAR($H480)*12+MONTH($H480))+1))</f>
        <v/>
      </c>
      <c r="M480" s="63">
        <f>IF($J480="",0,$K480*MAX(0,MIN(YEAR($C$3)*12+MONTH($C$3)-1,YEAR($I480)*12+MONTH($I480))-(YEAR($H480)*12+MONTH($H480))+1))</f>
        <v/>
      </c>
      <c r="N480" s="63">
        <f>IF(OR($J480="",$B480=""),0,IF(YEAR($B480)*12+MONTH($B480)&lt;=YEAR($C$3)*12+MONTH($C$3),$G480,0))</f>
        <v/>
      </c>
      <c r="O480" s="63">
        <f>IF(OR($J480="",$B480=""),0,IF(YEAR($B480)*12+MONTH($B480)&lt;=YEAR($C$3)*12+MONTH($C$3)-1,$G480,0))</f>
        <v/>
      </c>
      <c r="P480" s="63">
        <f>$M480-$O480</f>
        <v/>
      </c>
      <c r="Q480" s="63">
        <f>($L480-$M480)-($N480-$O480)</f>
        <v/>
      </c>
      <c r="R480" s="63">
        <f>$L480-$N480</f>
        <v/>
      </c>
    </row>
    <row r="481">
      <c r="A481" s="60">
        <f>ROW()-5</f>
        <v/>
      </c>
      <c r="B481" s="61">
        <f>IFERROR(INDEX(tbl_Finance[Date],$A481),"")</f>
        <v/>
      </c>
      <c r="C481" s="62">
        <f>IFERROR(INDEX(tbl_Finance[Xero Invoice No],$A481),"")</f>
        <v/>
      </c>
      <c r="D481" s="62">
        <f>IFERROR(INDEX(tbl_Finance[Client],$A481),"")</f>
        <v/>
      </c>
      <c r="E481" s="62">
        <f>IFERROR(INDEX(tbl_Finance[Job Number],$A481),"")</f>
        <v/>
      </c>
      <c r="F481" s="62">
        <f>IFERROR(INDEX(tbl_Finance[Cost Centre],$A481),"")</f>
        <v/>
      </c>
      <c r="G481" s="63">
        <f>IFERROR(INDEX(tbl_Finance[Ex GST],$A481),"")</f>
        <v/>
      </c>
      <c r="H481" s="61">
        <f>IFERROR(INDEX(tbl_Finance[Defer Start],$A481),"")</f>
        <v/>
      </c>
      <c r="I481" s="61">
        <f>IFERROR(INDEX(tbl_Finance[Defer End],$A481),"")</f>
        <v/>
      </c>
      <c r="J481" s="60">
        <f>IF(OR($H481="",$I481="",$G481=""),"",MAX(1,(YEAR($I481)-YEAR($H481))*12+MONTH($I481)-MONTH($H481)+1))</f>
        <v/>
      </c>
      <c r="K481" s="63">
        <f>IF($J481="","",$G481/$J481)</f>
        <v/>
      </c>
      <c r="L481" s="63">
        <f>IF($J481="",0,$K481*MAX(0,MIN(YEAR($C$3)*12+MONTH($C$3),YEAR($I481)*12+MONTH($I481))-(YEAR($H481)*12+MONTH($H481))+1))</f>
        <v/>
      </c>
      <c r="M481" s="63">
        <f>IF($J481="",0,$K481*MAX(0,MIN(YEAR($C$3)*12+MONTH($C$3)-1,YEAR($I481)*12+MONTH($I481))-(YEAR($H481)*12+MONTH($H481))+1))</f>
        <v/>
      </c>
      <c r="N481" s="63">
        <f>IF(OR($J481="",$B481=""),0,IF(YEAR($B481)*12+MONTH($B481)&lt;=YEAR($C$3)*12+MONTH($C$3),$G481,0))</f>
        <v/>
      </c>
      <c r="O481" s="63">
        <f>IF(OR($J481="",$B481=""),0,IF(YEAR($B481)*12+MONTH($B481)&lt;=YEAR($C$3)*12+MONTH($C$3)-1,$G481,0))</f>
        <v/>
      </c>
      <c r="P481" s="63">
        <f>$M481-$O481</f>
        <v/>
      </c>
      <c r="Q481" s="63">
        <f>($L481-$M481)-($N481-$O481)</f>
        <v/>
      </c>
      <c r="R481" s="63">
        <f>$L481-$N481</f>
        <v/>
      </c>
    </row>
    <row r="482">
      <c r="A482" s="60">
        <f>ROW()-5</f>
        <v/>
      </c>
      <c r="B482" s="61">
        <f>IFERROR(INDEX(tbl_Finance[Date],$A482),"")</f>
        <v/>
      </c>
      <c r="C482" s="62">
        <f>IFERROR(INDEX(tbl_Finance[Xero Invoice No],$A482),"")</f>
        <v/>
      </c>
      <c r="D482" s="62">
        <f>IFERROR(INDEX(tbl_Finance[Client],$A482),"")</f>
        <v/>
      </c>
      <c r="E482" s="62">
        <f>IFERROR(INDEX(tbl_Finance[Job Number],$A482),"")</f>
        <v/>
      </c>
      <c r="F482" s="62">
        <f>IFERROR(INDEX(tbl_Finance[Cost Centre],$A482),"")</f>
        <v/>
      </c>
      <c r="G482" s="63">
        <f>IFERROR(INDEX(tbl_Finance[Ex GST],$A482),"")</f>
        <v/>
      </c>
      <c r="H482" s="61">
        <f>IFERROR(INDEX(tbl_Finance[Defer Start],$A482),"")</f>
        <v/>
      </c>
      <c r="I482" s="61">
        <f>IFERROR(INDEX(tbl_Finance[Defer End],$A482),"")</f>
        <v/>
      </c>
      <c r="J482" s="60">
        <f>IF(OR($H482="",$I482="",$G482=""),"",MAX(1,(YEAR($I482)-YEAR($H482))*12+MONTH($I482)-MONTH($H482)+1))</f>
        <v/>
      </c>
      <c r="K482" s="63">
        <f>IF($J482="","",$G482/$J482)</f>
        <v/>
      </c>
      <c r="L482" s="63">
        <f>IF($J482="",0,$K482*MAX(0,MIN(YEAR($C$3)*12+MONTH($C$3),YEAR($I482)*12+MONTH($I482))-(YEAR($H482)*12+MONTH($H482))+1))</f>
        <v/>
      </c>
      <c r="M482" s="63">
        <f>IF($J482="",0,$K482*MAX(0,MIN(YEAR($C$3)*12+MONTH($C$3)-1,YEAR($I482)*12+MONTH($I482))-(YEAR($H482)*12+MONTH($H482))+1))</f>
        <v/>
      </c>
      <c r="N482" s="63">
        <f>IF(OR($J482="",$B482=""),0,IF(YEAR($B482)*12+MONTH($B482)&lt;=YEAR($C$3)*12+MONTH($C$3),$G482,0))</f>
        <v/>
      </c>
      <c r="O482" s="63">
        <f>IF(OR($J482="",$B482=""),0,IF(YEAR($B482)*12+MONTH($B482)&lt;=YEAR($C$3)*12+MONTH($C$3)-1,$G482,0))</f>
        <v/>
      </c>
      <c r="P482" s="63">
        <f>$M482-$O482</f>
        <v/>
      </c>
      <c r="Q482" s="63">
        <f>($L482-$M482)-($N482-$O482)</f>
        <v/>
      </c>
      <c r="R482" s="63">
        <f>$L482-$N482</f>
        <v/>
      </c>
    </row>
    <row r="483">
      <c r="A483" s="60">
        <f>ROW()-5</f>
        <v/>
      </c>
      <c r="B483" s="61">
        <f>IFERROR(INDEX(tbl_Finance[Date],$A483),"")</f>
        <v/>
      </c>
      <c r="C483" s="62">
        <f>IFERROR(INDEX(tbl_Finance[Xero Invoice No],$A483),"")</f>
        <v/>
      </c>
      <c r="D483" s="62">
        <f>IFERROR(INDEX(tbl_Finance[Client],$A483),"")</f>
        <v/>
      </c>
      <c r="E483" s="62">
        <f>IFERROR(INDEX(tbl_Finance[Job Number],$A483),"")</f>
        <v/>
      </c>
      <c r="F483" s="62">
        <f>IFERROR(INDEX(tbl_Finance[Cost Centre],$A483),"")</f>
        <v/>
      </c>
      <c r="G483" s="63">
        <f>IFERROR(INDEX(tbl_Finance[Ex GST],$A483),"")</f>
        <v/>
      </c>
      <c r="H483" s="61">
        <f>IFERROR(INDEX(tbl_Finance[Defer Start],$A483),"")</f>
        <v/>
      </c>
      <c r="I483" s="61">
        <f>IFERROR(INDEX(tbl_Finance[Defer End],$A483),"")</f>
        <v/>
      </c>
      <c r="J483" s="60">
        <f>IF(OR($H483="",$I483="",$G483=""),"",MAX(1,(YEAR($I483)-YEAR($H483))*12+MONTH($I483)-MONTH($H483)+1))</f>
        <v/>
      </c>
      <c r="K483" s="63">
        <f>IF($J483="","",$G483/$J483)</f>
        <v/>
      </c>
      <c r="L483" s="63">
        <f>IF($J483="",0,$K483*MAX(0,MIN(YEAR($C$3)*12+MONTH($C$3),YEAR($I483)*12+MONTH($I483))-(YEAR($H483)*12+MONTH($H483))+1))</f>
        <v/>
      </c>
      <c r="M483" s="63">
        <f>IF($J483="",0,$K483*MAX(0,MIN(YEAR($C$3)*12+MONTH($C$3)-1,YEAR($I483)*12+MONTH($I483))-(YEAR($H483)*12+MONTH($H483))+1))</f>
        <v/>
      </c>
      <c r="N483" s="63">
        <f>IF(OR($J483="",$B483=""),0,IF(YEAR($B483)*12+MONTH($B483)&lt;=YEAR($C$3)*12+MONTH($C$3),$G483,0))</f>
        <v/>
      </c>
      <c r="O483" s="63">
        <f>IF(OR($J483="",$B483=""),0,IF(YEAR($B483)*12+MONTH($B483)&lt;=YEAR($C$3)*12+MONTH($C$3)-1,$G483,0))</f>
        <v/>
      </c>
      <c r="P483" s="63">
        <f>$M483-$O483</f>
        <v/>
      </c>
      <c r="Q483" s="63">
        <f>($L483-$M483)-($N483-$O483)</f>
        <v/>
      </c>
      <c r="R483" s="63">
        <f>$L483-$N483</f>
        <v/>
      </c>
    </row>
    <row r="484">
      <c r="A484" s="60">
        <f>ROW()-5</f>
        <v/>
      </c>
      <c r="B484" s="61">
        <f>IFERROR(INDEX(tbl_Finance[Date],$A484),"")</f>
        <v/>
      </c>
      <c r="C484" s="62">
        <f>IFERROR(INDEX(tbl_Finance[Xero Invoice No],$A484),"")</f>
        <v/>
      </c>
      <c r="D484" s="62">
        <f>IFERROR(INDEX(tbl_Finance[Client],$A484),"")</f>
        <v/>
      </c>
      <c r="E484" s="62">
        <f>IFERROR(INDEX(tbl_Finance[Job Number],$A484),"")</f>
        <v/>
      </c>
      <c r="F484" s="62">
        <f>IFERROR(INDEX(tbl_Finance[Cost Centre],$A484),"")</f>
        <v/>
      </c>
      <c r="G484" s="63">
        <f>IFERROR(INDEX(tbl_Finance[Ex GST],$A484),"")</f>
        <v/>
      </c>
      <c r="H484" s="61">
        <f>IFERROR(INDEX(tbl_Finance[Defer Start],$A484),"")</f>
        <v/>
      </c>
      <c r="I484" s="61">
        <f>IFERROR(INDEX(tbl_Finance[Defer End],$A484),"")</f>
        <v/>
      </c>
      <c r="J484" s="60">
        <f>IF(OR($H484="",$I484="",$G484=""),"",MAX(1,(YEAR($I484)-YEAR($H484))*12+MONTH($I484)-MONTH($H484)+1))</f>
        <v/>
      </c>
      <c r="K484" s="63">
        <f>IF($J484="","",$G484/$J484)</f>
        <v/>
      </c>
      <c r="L484" s="63">
        <f>IF($J484="",0,$K484*MAX(0,MIN(YEAR($C$3)*12+MONTH($C$3),YEAR($I484)*12+MONTH($I484))-(YEAR($H484)*12+MONTH($H484))+1))</f>
        <v/>
      </c>
      <c r="M484" s="63">
        <f>IF($J484="",0,$K484*MAX(0,MIN(YEAR($C$3)*12+MONTH($C$3)-1,YEAR($I484)*12+MONTH($I484))-(YEAR($H484)*12+MONTH($H484))+1))</f>
        <v/>
      </c>
      <c r="N484" s="63">
        <f>IF(OR($J484="",$B484=""),0,IF(YEAR($B484)*12+MONTH($B484)&lt;=YEAR($C$3)*12+MONTH($C$3),$G484,0))</f>
        <v/>
      </c>
      <c r="O484" s="63">
        <f>IF(OR($J484="",$B484=""),0,IF(YEAR($B484)*12+MONTH($B484)&lt;=YEAR($C$3)*12+MONTH($C$3)-1,$G484,0))</f>
        <v/>
      </c>
      <c r="P484" s="63">
        <f>$M484-$O484</f>
        <v/>
      </c>
      <c r="Q484" s="63">
        <f>($L484-$M484)-($N484-$O484)</f>
        <v/>
      </c>
      <c r="R484" s="63">
        <f>$L484-$N484</f>
        <v/>
      </c>
    </row>
    <row r="485">
      <c r="A485" s="60">
        <f>ROW()-5</f>
        <v/>
      </c>
      <c r="B485" s="61">
        <f>IFERROR(INDEX(tbl_Finance[Date],$A485),"")</f>
        <v/>
      </c>
      <c r="C485" s="62">
        <f>IFERROR(INDEX(tbl_Finance[Xero Invoice No],$A485),"")</f>
        <v/>
      </c>
      <c r="D485" s="62">
        <f>IFERROR(INDEX(tbl_Finance[Client],$A485),"")</f>
        <v/>
      </c>
      <c r="E485" s="62">
        <f>IFERROR(INDEX(tbl_Finance[Job Number],$A485),"")</f>
        <v/>
      </c>
      <c r="F485" s="62">
        <f>IFERROR(INDEX(tbl_Finance[Cost Centre],$A485),"")</f>
        <v/>
      </c>
      <c r="G485" s="63">
        <f>IFERROR(INDEX(tbl_Finance[Ex GST],$A485),"")</f>
        <v/>
      </c>
      <c r="H485" s="61">
        <f>IFERROR(INDEX(tbl_Finance[Defer Start],$A485),"")</f>
        <v/>
      </c>
      <c r="I485" s="61">
        <f>IFERROR(INDEX(tbl_Finance[Defer End],$A485),"")</f>
        <v/>
      </c>
      <c r="J485" s="60">
        <f>IF(OR($H485="",$I485="",$G485=""),"",MAX(1,(YEAR($I485)-YEAR($H485))*12+MONTH($I485)-MONTH($H485)+1))</f>
        <v/>
      </c>
      <c r="K485" s="63">
        <f>IF($J485="","",$G485/$J485)</f>
        <v/>
      </c>
      <c r="L485" s="63">
        <f>IF($J485="",0,$K485*MAX(0,MIN(YEAR($C$3)*12+MONTH($C$3),YEAR($I485)*12+MONTH($I485))-(YEAR($H485)*12+MONTH($H485))+1))</f>
        <v/>
      </c>
      <c r="M485" s="63">
        <f>IF($J485="",0,$K485*MAX(0,MIN(YEAR($C$3)*12+MONTH($C$3)-1,YEAR($I485)*12+MONTH($I485))-(YEAR($H485)*12+MONTH($H485))+1))</f>
        <v/>
      </c>
      <c r="N485" s="63">
        <f>IF(OR($J485="",$B485=""),0,IF(YEAR($B485)*12+MONTH($B485)&lt;=YEAR($C$3)*12+MONTH($C$3),$G485,0))</f>
        <v/>
      </c>
      <c r="O485" s="63">
        <f>IF(OR($J485="",$B485=""),0,IF(YEAR($B485)*12+MONTH($B485)&lt;=YEAR($C$3)*12+MONTH($C$3)-1,$G485,0))</f>
        <v/>
      </c>
      <c r="P485" s="63">
        <f>$M485-$O485</f>
        <v/>
      </c>
      <c r="Q485" s="63">
        <f>($L485-$M485)-($N485-$O485)</f>
        <v/>
      </c>
      <c r="R485" s="63">
        <f>$L485-$N485</f>
        <v/>
      </c>
    </row>
    <row r="486">
      <c r="A486" s="60">
        <f>ROW()-5</f>
        <v/>
      </c>
      <c r="B486" s="61">
        <f>IFERROR(INDEX(tbl_Finance[Date],$A486),"")</f>
        <v/>
      </c>
      <c r="C486" s="62">
        <f>IFERROR(INDEX(tbl_Finance[Xero Invoice No],$A486),"")</f>
        <v/>
      </c>
      <c r="D486" s="62">
        <f>IFERROR(INDEX(tbl_Finance[Client],$A486),"")</f>
        <v/>
      </c>
      <c r="E486" s="62">
        <f>IFERROR(INDEX(tbl_Finance[Job Number],$A486),"")</f>
        <v/>
      </c>
      <c r="F486" s="62">
        <f>IFERROR(INDEX(tbl_Finance[Cost Centre],$A486),"")</f>
        <v/>
      </c>
      <c r="G486" s="63">
        <f>IFERROR(INDEX(tbl_Finance[Ex GST],$A486),"")</f>
        <v/>
      </c>
      <c r="H486" s="61">
        <f>IFERROR(INDEX(tbl_Finance[Defer Start],$A486),"")</f>
        <v/>
      </c>
      <c r="I486" s="61">
        <f>IFERROR(INDEX(tbl_Finance[Defer End],$A486),"")</f>
        <v/>
      </c>
      <c r="J486" s="60">
        <f>IF(OR($H486="",$I486="",$G486=""),"",MAX(1,(YEAR($I486)-YEAR($H486))*12+MONTH($I486)-MONTH($H486)+1))</f>
        <v/>
      </c>
      <c r="K486" s="63">
        <f>IF($J486="","",$G486/$J486)</f>
        <v/>
      </c>
      <c r="L486" s="63">
        <f>IF($J486="",0,$K486*MAX(0,MIN(YEAR($C$3)*12+MONTH($C$3),YEAR($I486)*12+MONTH($I486))-(YEAR($H486)*12+MONTH($H486))+1))</f>
        <v/>
      </c>
      <c r="M486" s="63">
        <f>IF($J486="",0,$K486*MAX(0,MIN(YEAR($C$3)*12+MONTH($C$3)-1,YEAR($I486)*12+MONTH($I486))-(YEAR($H486)*12+MONTH($H486))+1))</f>
        <v/>
      </c>
      <c r="N486" s="63">
        <f>IF(OR($J486="",$B486=""),0,IF(YEAR($B486)*12+MONTH($B486)&lt;=YEAR($C$3)*12+MONTH($C$3),$G486,0))</f>
        <v/>
      </c>
      <c r="O486" s="63">
        <f>IF(OR($J486="",$B486=""),0,IF(YEAR($B486)*12+MONTH($B486)&lt;=YEAR($C$3)*12+MONTH($C$3)-1,$G486,0))</f>
        <v/>
      </c>
      <c r="P486" s="63">
        <f>$M486-$O486</f>
        <v/>
      </c>
      <c r="Q486" s="63">
        <f>($L486-$M486)-($N486-$O486)</f>
        <v/>
      </c>
      <c r="R486" s="63">
        <f>$L486-$N486</f>
        <v/>
      </c>
    </row>
    <row r="487">
      <c r="A487" s="60">
        <f>ROW()-5</f>
        <v/>
      </c>
      <c r="B487" s="61">
        <f>IFERROR(INDEX(tbl_Finance[Date],$A487),"")</f>
        <v/>
      </c>
      <c r="C487" s="62">
        <f>IFERROR(INDEX(tbl_Finance[Xero Invoice No],$A487),"")</f>
        <v/>
      </c>
      <c r="D487" s="62">
        <f>IFERROR(INDEX(tbl_Finance[Client],$A487),"")</f>
        <v/>
      </c>
      <c r="E487" s="62">
        <f>IFERROR(INDEX(tbl_Finance[Job Number],$A487),"")</f>
        <v/>
      </c>
      <c r="F487" s="62">
        <f>IFERROR(INDEX(tbl_Finance[Cost Centre],$A487),"")</f>
        <v/>
      </c>
      <c r="G487" s="63">
        <f>IFERROR(INDEX(tbl_Finance[Ex GST],$A487),"")</f>
        <v/>
      </c>
      <c r="H487" s="61">
        <f>IFERROR(INDEX(tbl_Finance[Defer Start],$A487),"")</f>
        <v/>
      </c>
      <c r="I487" s="61">
        <f>IFERROR(INDEX(tbl_Finance[Defer End],$A487),"")</f>
        <v/>
      </c>
      <c r="J487" s="60">
        <f>IF(OR($H487="",$I487="",$G487=""),"",MAX(1,(YEAR($I487)-YEAR($H487))*12+MONTH($I487)-MONTH($H487)+1))</f>
        <v/>
      </c>
      <c r="K487" s="63">
        <f>IF($J487="","",$G487/$J487)</f>
        <v/>
      </c>
      <c r="L487" s="63">
        <f>IF($J487="",0,$K487*MAX(0,MIN(YEAR($C$3)*12+MONTH($C$3),YEAR($I487)*12+MONTH($I487))-(YEAR($H487)*12+MONTH($H487))+1))</f>
        <v/>
      </c>
      <c r="M487" s="63">
        <f>IF($J487="",0,$K487*MAX(0,MIN(YEAR($C$3)*12+MONTH($C$3)-1,YEAR($I487)*12+MONTH($I487))-(YEAR($H487)*12+MONTH($H487))+1))</f>
        <v/>
      </c>
      <c r="N487" s="63">
        <f>IF(OR($J487="",$B487=""),0,IF(YEAR($B487)*12+MONTH($B487)&lt;=YEAR($C$3)*12+MONTH($C$3),$G487,0))</f>
        <v/>
      </c>
      <c r="O487" s="63">
        <f>IF(OR($J487="",$B487=""),0,IF(YEAR($B487)*12+MONTH($B487)&lt;=YEAR($C$3)*12+MONTH($C$3)-1,$G487,0))</f>
        <v/>
      </c>
      <c r="P487" s="63">
        <f>$M487-$O487</f>
        <v/>
      </c>
      <c r="Q487" s="63">
        <f>($L487-$M487)-($N487-$O487)</f>
        <v/>
      </c>
      <c r="R487" s="63">
        <f>$L487-$N487</f>
        <v/>
      </c>
    </row>
    <row r="488">
      <c r="A488" s="60">
        <f>ROW()-5</f>
        <v/>
      </c>
      <c r="B488" s="61">
        <f>IFERROR(INDEX(tbl_Finance[Date],$A488),"")</f>
        <v/>
      </c>
      <c r="C488" s="62">
        <f>IFERROR(INDEX(tbl_Finance[Xero Invoice No],$A488),"")</f>
        <v/>
      </c>
      <c r="D488" s="62">
        <f>IFERROR(INDEX(tbl_Finance[Client],$A488),"")</f>
        <v/>
      </c>
      <c r="E488" s="62">
        <f>IFERROR(INDEX(tbl_Finance[Job Number],$A488),"")</f>
        <v/>
      </c>
      <c r="F488" s="62">
        <f>IFERROR(INDEX(tbl_Finance[Cost Centre],$A488),"")</f>
        <v/>
      </c>
      <c r="G488" s="63">
        <f>IFERROR(INDEX(tbl_Finance[Ex GST],$A488),"")</f>
        <v/>
      </c>
      <c r="H488" s="61">
        <f>IFERROR(INDEX(tbl_Finance[Defer Start],$A488),"")</f>
        <v/>
      </c>
      <c r="I488" s="61">
        <f>IFERROR(INDEX(tbl_Finance[Defer End],$A488),"")</f>
        <v/>
      </c>
      <c r="J488" s="60">
        <f>IF(OR($H488="",$I488="",$G488=""),"",MAX(1,(YEAR($I488)-YEAR($H488))*12+MONTH($I488)-MONTH($H488)+1))</f>
        <v/>
      </c>
      <c r="K488" s="63">
        <f>IF($J488="","",$G488/$J488)</f>
        <v/>
      </c>
      <c r="L488" s="63">
        <f>IF($J488="",0,$K488*MAX(0,MIN(YEAR($C$3)*12+MONTH($C$3),YEAR($I488)*12+MONTH($I488))-(YEAR($H488)*12+MONTH($H488))+1))</f>
        <v/>
      </c>
      <c r="M488" s="63">
        <f>IF($J488="",0,$K488*MAX(0,MIN(YEAR($C$3)*12+MONTH($C$3)-1,YEAR($I488)*12+MONTH($I488))-(YEAR($H488)*12+MONTH($H488))+1))</f>
        <v/>
      </c>
      <c r="N488" s="63">
        <f>IF(OR($J488="",$B488=""),0,IF(YEAR($B488)*12+MONTH($B488)&lt;=YEAR($C$3)*12+MONTH($C$3),$G488,0))</f>
        <v/>
      </c>
      <c r="O488" s="63">
        <f>IF(OR($J488="",$B488=""),0,IF(YEAR($B488)*12+MONTH($B488)&lt;=YEAR($C$3)*12+MONTH($C$3)-1,$G488,0))</f>
        <v/>
      </c>
      <c r="P488" s="63">
        <f>$M488-$O488</f>
        <v/>
      </c>
      <c r="Q488" s="63">
        <f>($L488-$M488)-($N488-$O488)</f>
        <v/>
      </c>
      <c r="R488" s="63">
        <f>$L488-$N488</f>
        <v/>
      </c>
    </row>
    <row r="489">
      <c r="A489" s="60">
        <f>ROW()-5</f>
        <v/>
      </c>
      <c r="B489" s="61">
        <f>IFERROR(INDEX(tbl_Finance[Date],$A489),"")</f>
        <v/>
      </c>
      <c r="C489" s="62">
        <f>IFERROR(INDEX(tbl_Finance[Xero Invoice No],$A489),"")</f>
        <v/>
      </c>
      <c r="D489" s="62">
        <f>IFERROR(INDEX(tbl_Finance[Client],$A489),"")</f>
        <v/>
      </c>
      <c r="E489" s="62">
        <f>IFERROR(INDEX(tbl_Finance[Job Number],$A489),"")</f>
        <v/>
      </c>
      <c r="F489" s="62">
        <f>IFERROR(INDEX(tbl_Finance[Cost Centre],$A489),"")</f>
        <v/>
      </c>
      <c r="G489" s="63">
        <f>IFERROR(INDEX(tbl_Finance[Ex GST],$A489),"")</f>
        <v/>
      </c>
      <c r="H489" s="61">
        <f>IFERROR(INDEX(tbl_Finance[Defer Start],$A489),"")</f>
        <v/>
      </c>
      <c r="I489" s="61">
        <f>IFERROR(INDEX(tbl_Finance[Defer End],$A489),"")</f>
        <v/>
      </c>
      <c r="J489" s="60">
        <f>IF(OR($H489="",$I489="",$G489=""),"",MAX(1,(YEAR($I489)-YEAR($H489))*12+MONTH($I489)-MONTH($H489)+1))</f>
        <v/>
      </c>
      <c r="K489" s="63">
        <f>IF($J489="","",$G489/$J489)</f>
        <v/>
      </c>
      <c r="L489" s="63">
        <f>IF($J489="",0,$K489*MAX(0,MIN(YEAR($C$3)*12+MONTH($C$3),YEAR($I489)*12+MONTH($I489))-(YEAR($H489)*12+MONTH($H489))+1))</f>
        <v/>
      </c>
      <c r="M489" s="63">
        <f>IF($J489="",0,$K489*MAX(0,MIN(YEAR($C$3)*12+MONTH($C$3)-1,YEAR($I489)*12+MONTH($I489))-(YEAR($H489)*12+MONTH($H489))+1))</f>
        <v/>
      </c>
      <c r="N489" s="63">
        <f>IF(OR($J489="",$B489=""),0,IF(YEAR($B489)*12+MONTH($B489)&lt;=YEAR($C$3)*12+MONTH($C$3),$G489,0))</f>
        <v/>
      </c>
      <c r="O489" s="63">
        <f>IF(OR($J489="",$B489=""),0,IF(YEAR($B489)*12+MONTH($B489)&lt;=YEAR($C$3)*12+MONTH($C$3)-1,$G489,0))</f>
        <v/>
      </c>
      <c r="P489" s="63">
        <f>$M489-$O489</f>
        <v/>
      </c>
      <c r="Q489" s="63">
        <f>($L489-$M489)-($N489-$O489)</f>
        <v/>
      </c>
      <c r="R489" s="63">
        <f>$L489-$N489</f>
        <v/>
      </c>
    </row>
    <row r="490">
      <c r="A490" s="60">
        <f>ROW()-5</f>
        <v/>
      </c>
      <c r="B490" s="61">
        <f>IFERROR(INDEX(tbl_Finance[Date],$A490),"")</f>
        <v/>
      </c>
      <c r="C490" s="62">
        <f>IFERROR(INDEX(tbl_Finance[Xero Invoice No],$A490),"")</f>
        <v/>
      </c>
      <c r="D490" s="62">
        <f>IFERROR(INDEX(tbl_Finance[Client],$A490),"")</f>
        <v/>
      </c>
      <c r="E490" s="62">
        <f>IFERROR(INDEX(tbl_Finance[Job Number],$A490),"")</f>
        <v/>
      </c>
      <c r="F490" s="62">
        <f>IFERROR(INDEX(tbl_Finance[Cost Centre],$A490),"")</f>
        <v/>
      </c>
      <c r="G490" s="63">
        <f>IFERROR(INDEX(tbl_Finance[Ex GST],$A490),"")</f>
        <v/>
      </c>
      <c r="H490" s="61">
        <f>IFERROR(INDEX(tbl_Finance[Defer Start],$A490),"")</f>
        <v/>
      </c>
      <c r="I490" s="61">
        <f>IFERROR(INDEX(tbl_Finance[Defer End],$A490),"")</f>
        <v/>
      </c>
      <c r="J490" s="60">
        <f>IF(OR($H490="",$I490="",$G490=""),"",MAX(1,(YEAR($I490)-YEAR($H490))*12+MONTH($I490)-MONTH($H490)+1))</f>
        <v/>
      </c>
      <c r="K490" s="63">
        <f>IF($J490="","",$G490/$J490)</f>
        <v/>
      </c>
      <c r="L490" s="63">
        <f>IF($J490="",0,$K490*MAX(0,MIN(YEAR($C$3)*12+MONTH($C$3),YEAR($I490)*12+MONTH($I490))-(YEAR($H490)*12+MONTH($H490))+1))</f>
        <v/>
      </c>
      <c r="M490" s="63">
        <f>IF($J490="",0,$K490*MAX(0,MIN(YEAR($C$3)*12+MONTH($C$3)-1,YEAR($I490)*12+MONTH($I490))-(YEAR($H490)*12+MONTH($H490))+1))</f>
        <v/>
      </c>
      <c r="N490" s="63">
        <f>IF(OR($J490="",$B490=""),0,IF(YEAR($B490)*12+MONTH($B490)&lt;=YEAR($C$3)*12+MONTH($C$3),$G490,0))</f>
        <v/>
      </c>
      <c r="O490" s="63">
        <f>IF(OR($J490="",$B490=""),0,IF(YEAR($B490)*12+MONTH($B490)&lt;=YEAR($C$3)*12+MONTH($C$3)-1,$G490,0))</f>
        <v/>
      </c>
      <c r="P490" s="63">
        <f>$M490-$O490</f>
        <v/>
      </c>
      <c r="Q490" s="63">
        <f>($L490-$M490)-($N490-$O490)</f>
        <v/>
      </c>
      <c r="R490" s="63">
        <f>$L490-$N490</f>
        <v/>
      </c>
    </row>
    <row r="491">
      <c r="A491" s="60">
        <f>ROW()-5</f>
        <v/>
      </c>
      <c r="B491" s="61">
        <f>IFERROR(INDEX(tbl_Finance[Date],$A491),"")</f>
        <v/>
      </c>
      <c r="C491" s="62">
        <f>IFERROR(INDEX(tbl_Finance[Xero Invoice No],$A491),"")</f>
        <v/>
      </c>
      <c r="D491" s="62">
        <f>IFERROR(INDEX(tbl_Finance[Client],$A491),"")</f>
        <v/>
      </c>
      <c r="E491" s="62">
        <f>IFERROR(INDEX(tbl_Finance[Job Number],$A491),"")</f>
        <v/>
      </c>
      <c r="F491" s="62">
        <f>IFERROR(INDEX(tbl_Finance[Cost Centre],$A491),"")</f>
        <v/>
      </c>
      <c r="G491" s="63">
        <f>IFERROR(INDEX(tbl_Finance[Ex GST],$A491),"")</f>
        <v/>
      </c>
      <c r="H491" s="61">
        <f>IFERROR(INDEX(tbl_Finance[Defer Start],$A491),"")</f>
        <v/>
      </c>
      <c r="I491" s="61">
        <f>IFERROR(INDEX(tbl_Finance[Defer End],$A491),"")</f>
        <v/>
      </c>
      <c r="J491" s="60">
        <f>IF(OR($H491="",$I491="",$G491=""),"",MAX(1,(YEAR($I491)-YEAR($H491))*12+MONTH($I491)-MONTH($H491)+1))</f>
        <v/>
      </c>
      <c r="K491" s="63">
        <f>IF($J491="","",$G491/$J491)</f>
        <v/>
      </c>
      <c r="L491" s="63">
        <f>IF($J491="",0,$K491*MAX(0,MIN(YEAR($C$3)*12+MONTH($C$3),YEAR($I491)*12+MONTH($I491))-(YEAR($H491)*12+MONTH($H491))+1))</f>
        <v/>
      </c>
      <c r="M491" s="63">
        <f>IF($J491="",0,$K491*MAX(0,MIN(YEAR($C$3)*12+MONTH($C$3)-1,YEAR($I491)*12+MONTH($I491))-(YEAR($H491)*12+MONTH($H491))+1))</f>
        <v/>
      </c>
      <c r="N491" s="63">
        <f>IF(OR($J491="",$B491=""),0,IF(YEAR($B491)*12+MONTH($B491)&lt;=YEAR($C$3)*12+MONTH($C$3),$G491,0))</f>
        <v/>
      </c>
      <c r="O491" s="63">
        <f>IF(OR($J491="",$B491=""),0,IF(YEAR($B491)*12+MONTH($B491)&lt;=YEAR($C$3)*12+MONTH($C$3)-1,$G491,0))</f>
        <v/>
      </c>
      <c r="P491" s="63">
        <f>$M491-$O491</f>
        <v/>
      </c>
      <c r="Q491" s="63">
        <f>($L491-$M491)-($N491-$O491)</f>
        <v/>
      </c>
      <c r="R491" s="63">
        <f>$L491-$N491</f>
        <v/>
      </c>
    </row>
    <row r="492">
      <c r="A492" s="60">
        <f>ROW()-5</f>
        <v/>
      </c>
      <c r="B492" s="61">
        <f>IFERROR(INDEX(tbl_Finance[Date],$A492),"")</f>
        <v/>
      </c>
      <c r="C492" s="62">
        <f>IFERROR(INDEX(tbl_Finance[Xero Invoice No],$A492),"")</f>
        <v/>
      </c>
      <c r="D492" s="62">
        <f>IFERROR(INDEX(tbl_Finance[Client],$A492),"")</f>
        <v/>
      </c>
      <c r="E492" s="62">
        <f>IFERROR(INDEX(tbl_Finance[Job Number],$A492),"")</f>
        <v/>
      </c>
      <c r="F492" s="62">
        <f>IFERROR(INDEX(tbl_Finance[Cost Centre],$A492),"")</f>
        <v/>
      </c>
      <c r="G492" s="63">
        <f>IFERROR(INDEX(tbl_Finance[Ex GST],$A492),"")</f>
        <v/>
      </c>
      <c r="H492" s="61">
        <f>IFERROR(INDEX(tbl_Finance[Defer Start],$A492),"")</f>
        <v/>
      </c>
      <c r="I492" s="61">
        <f>IFERROR(INDEX(tbl_Finance[Defer End],$A492),"")</f>
        <v/>
      </c>
      <c r="J492" s="60">
        <f>IF(OR($H492="",$I492="",$G492=""),"",MAX(1,(YEAR($I492)-YEAR($H492))*12+MONTH($I492)-MONTH($H492)+1))</f>
        <v/>
      </c>
      <c r="K492" s="63">
        <f>IF($J492="","",$G492/$J492)</f>
        <v/>
      </c>
      <c r="L492" s="63">
        <f>IF($J492="",0,$K492*MAX(0,MIN(YEAR($C$3)*12+MONTH($C$3),YEAR($I492)*12+MONTH($I492))-(YEAR($H492)*12+MONTH($H492))+1))</f>
        <v/>
      </c>
      <c r="M492" s="63">
        <f>IF($J492="",0,$K492*MAX(0,MIN(YEAR($C$3)*12+MONTH($C$3)-1,YEAR($I492)*12+MONTH($I492))-(YEAR($H492)*12+MONTH($H492))+1))</f>
        <v/>
      </c>
      <c r="N492" s="63">
        <f>IF(OR($J492="",$B492=""),0,IF(YEAR($B492)*12+MONTH($B492)&lt;=YEAR($C$3)*12+MONTH($C$3),$G492,0))</f>
        <v/>
      </c>
      <c r="O492" s="63">
        <f>IF(OR($J492="",$B492=""),0,IF(YEAR($B492)*12+MONTH($B492)&lt;=YEAR($C$3)*12+MONTH($C$3)-1,$G492,0))</f>
        <v/>
      </c>
      <c r="P492" s="63">
        <f>$M492-$O492</f>
        <v/>
      </c>
      <c r="Q492" s="63">
        <f>($L492-$M492)-($N492-$O492)</f>
        <v/>
      </c>
      <c r="R492" s="63">
        <f>$L492-$N492</f>
        <v/>
      </c>
    </row>
    <row r="493">
      <c r="A493" s="60">
        <f>ROW()-5</f>
        <v/>
      </c>
      <c r="B493" s="61">
        <f>IFERROR(INDEX(tbl_Finance[Date],$A493),"")</f>
        <v/>
      </c>
      <c r="C493" s="62">
        <f>IFERROR(INDEX(tbl_Finance[Xero Invoice No],$A493),"")</f>
        <v/>
      </c>
      <c r="D493" s="62">
        <f>IFERROR(INDEX(tbl_Finance[Client],$A493),"")</f>
        <v/>
      </c>
      <c r="E493" s="62">
        <f>IFERROR(INDEX(tbl_Finance[Job Number],$A493),"")</f>
        <v/>
      </c>
      <c r="F493" s="62">
        <f>IFERROR(INDEX(tbl_Finance[Cost Centre],$A493),"")</f>
        <v/>
      </c>
      <c r="G493" s="63">
        <f>IFERROR(INDEX(tbl_Finance[Ex GST],$A493),"")</f>
        <v/>
      </c>
      <c r="H493" s="61">
        <f>IFERROR(INDEX(tbl_Finance[Defer Start],$A493),"")</f>
        <v/>
      </c>
      <c r="I493" s="61">
        <f>IFERROR(INDEX(tbl_Finance[Defer End],$A493),"")</f>
        <v/>
      </c>
      <c r="J493" s="60">
        <f>IF(OR($H493="",$I493="",$G493=""),"",MAX(1,(YEAR($I493)-YEAR($H493))*12+MONTH($I493)-MONTH($H493)+1))</f>
        <v/>
      </c>
      <c r="K493" s="63">
        <f>IF($J493="","",$G493/$J493)</f>
        <v/>
      </c>
      <c r="L493" s="63">
        <f>IF($J493="",0,$K493*MAX(0,MIN(YEAR($C$3)*12+MONTH($C$3),YEAR($I493)*12+MONTH($I493))-(YEAR($H493)*12+MONTH($H493))+1))</f>
        <v/>
      </c>
      <c r="M493" s="63">
        <f>IF($J493="",0,$K493*MAX(0,MIN(YEAR($C$3)*12+MONTH($C$3)-1,YEAR($I493)*12+MONTH($I493))-(YEAR($H493)*12+MONTH($H493))+1))</f>
        <v/>
      </c>
      <c r="N493" s="63">
        <f>IF(OR($J493="",$B493=""),0,IF(YEAR($B493)*12+MONTH($B493)&lt;=YEAR($C$3)*12+MONTH($C$3),$G493,0))</f>
        <v/>
      </c>
      <c r="O493" s="63">
        <f>IF(OR($J493="",$B493=""),0,IF(YEAR($B493)*12+MONTH($B493)&lt;=YEAR($C$3)*12+MONTH($C$3)-1,$G493,0))</f>
        <v/>
      </c>
      <c r="P493" s="63">
        <f>$M493-$O493</f>
        <v/>
      </c>
      <c r="Q493" s="63">
        <f>($L493-$M493)-($N493-$O493)</f>
        <v/>
      </c>
      <c r="R493" s="63">
        <f>$L493-$N493</f>
        <v/>
      </c>
    </row>
    <row r="494">
      <c r="A494" s="60">
        <f>ROW()-5</f>
        <v/>
      </c>
      <c r="B494" s="61">
        <f>IFERROR(INDEX(tbl_Finance[Date],$A494),"")</f>
        <v/>
      </c>
      <c r="C494" s="62">
        <f>IFERROR(INDEX(tbl_Finance[Xero Invoice No],$A494),"")</f>
        <v/>
      </c>
      <c r="D494" s="62">
        <f>IFERROR(INDEX(tbl_Finance[Client],$A494),"")</f>
        <v/>
      </c>
      <c r="E494" s="62">
        <f>IFERROR(INDEX(tbl_Finance[Job Number],$A494),"")</f>
        <v/>
      </c>
      <c r="F494" s="62">
        <f>IFERROR(INDEX(tbl_Finance[Cost Centre],$A494),"")</f>
        <v/>
      </c>
      <c r="G494" s="63">
        <f>IFERROR(INDEX(tbl_Finance[Ex GST],$A494),"")</f>
        <v/>
      </c>
      <c r="H494" s="61">
        <f>IFERROR(INDEX(tbl_Finance[Defer Start],$A494),"")</f>
        <v/>
      </c>
      <c r="I494" s="61">
        <f>IFERROR(INDEX(tbl_Finance[Defer End],$A494),"")</f>
        <v/>
      </c>
      <c r="J494" s="60">
        <f>IF(OR($H494="",$I494="",$G494=""),"",MAX(1,(YEAR($I494)-YEAR($H494))*12+MONTH($I494)-MONTH($H494)+1))</f>
        <v/>
      </c>
      <c r="K494" s="63">
        <f>IF($J494="","",$G494/$J494)</f>
        <v/>
      </c>
      <c r="L494" s="63">
        <f>IF($J494="",0,$K494*MAX(0,MIN(YEAR($C$3)*12+MONTH($C$3),YEAR($I494)*12+MONTH($I494))-(YEAR($H494)*12+MONTH($H494))+1))</f>
        <v/>
      </c>
      <c r="M494" s="63">
        <f>IF($J494="",0,$K494*MAX(0,MIN(YEAR($C$3)*12+MONTH($C$3)-1,YEAR($I494)*12+MONTH($I494))-(YEAR($H494)*12+MONTH($H494))+1))</f>
        <v/>
      </c>
      <c r="N494" s="63">
        <f>IF(OR($J494="",$B494=""),0,IF(YEAR($B494)*12+MONTH($B494)&lt;=YEAR($C$3)*12+MONTH($C$3),$G494,0))</f>
        <v/>
      </c>
      <c r="O494" s="63">
        <f>IF(OR($J494="",$B494=""),0,IF(YEAR($B494)*12+MONTH($B494)&lt;=YEAR($C$3)*12+MONTH($C$3)-1,$G494,0))</f>
        <v/>
      </c>
      <c r="P494" s="63">
        <f>$M494-$O494</f>
        <v/>
      </c>
      <c r="Q494" s="63">
        <f>($L494-$M494)-($N494-$O494)</f>
        <v/>
      </c>
      <c r="R494" s="63">
        <f>$L494-$N494</f>
        <v/>
      </c>
    </row>
    <row r="495">
      <c r="A495" s="60">
        <f>ROW()-5</f>
        <v/>
      </c>
      <c r="B495" s="61">
        <f>IFERROR(INDEX(tbl_Finance[Date],$A495),"")</f>
        <v/>
      </c>
      <c r="C495" s="62">
        <f>IFERROR(INDEX(tbl_Finance[Xero Invoice No],$A495),"")</f>
        <v/>
      </c>
      <c r="D495" s="62">
        <f>IFERROR(INDEX(tbl_Finance[Client],$A495),"")</f>
        <v/>
      </c>
      <c r="E495" s="62">
        <f>IFERROR(INDEX(tbl_Finance[Job Number],$A495),"")</f>
        <v/>
      </c>
      <c r="F495" s="62">
        <f>IFERROR(INDEX(tbl_Finance[Cost Centre],$A495),"")</f>
        <v/>
      </c>
      <c r="G495" s="63">
        <f>IFERROR(INDEX(tbl_Finance[Ex GST],$A495),"")</f>
        <v/>
      </c>
      <c r="H495" s="61">
        <f>IFERROR(INDEX(tbl_Finance[Defer Start],$A495),"")</f>
        <v/>
      </c>
      <c r="I495" s="61">
        <f>IFERROR(INDEX(tbl_Finance[Defer End],$A495),"")</f>
        <v/>
      </c>
      <c r="J495" s="60">
        <f>IF(OR($H495="",$I495="",$G495=""),"",MAX(1,(YEAR($I495)-YEAR($H495))*12+MONTH($I495)-MONTH($H495)+1))</f>
        <v/>
      </c>
      <c r="K495" s="63">
        <f>IF($J495="","",$G495/$J495)</f>
        <v/>
      </c>
      <c r="L495" s="63">
        <f>IF($J495="",0,$K495*MAX(0,MIN(YEAR($C$3)*12+MONTH($C$3),YEAR($I495)*12+MONTH($I495))-(YEAR($H495)*12+MONTH($H495))+1))</f>
        <v/>
      </c>
      <c r="M495" s="63">
        <f>IF($J495="",0,$K495*MAX(0,MIN(YEAR($C$3)*12+MONTH($C$3)-1,YEAR($I495)*12+MONTH($I495))-(YEAR($H495)*12+MONTH($H495))+1))</f>
        <v/>
      </c>
      <c r="N495" s="63">
        <f>IF(OR($J495="",$B495=""),0,IF(YEAR($B495)*12+MONTH($B495)&lt;=YEAR($C$3)*12+MONTH($C$3),$G495,0))</f>
        <v/>
      </c>
      <c r="O495" s="63">
        <f>IF(OR($J495="",$B495=""),0,IF(YEAR($B495)*12+MONTH($B495)&lt;=YEAR($C$3)*12+MONTH($C$3)-1,$G495,0))</f>
        <v/>
      </c>
      <c r="P495" s="63">
        <f>$M495-$O495</f>
        <v/>
      </c>
      <c r="Q495" s="63">
        <f>($L495-$M495)-($N495-$O495)</f>
        <v/>
      </c>
      <c r="R495" s="63">
        <f>$L495-$N495</f>
        <v/>
      </c>
    </row>
    <row r="496">
      <c r="A496" s="60">
        <f>ROW()-5</f>
        <v/>
      </c>
      <c r="B496" s="61">
        <f>IFERROR(INDEX(tbl_Finance[Date],$A496),"")</f>
        <v/>
      </c>
      <c r="C496" s="62">
        <f>IFERROR(INDEX(tbl_Finance[Xero Invoice No],$A496),"")</f>
        <v/>
      </c>
      <c r="D496" s="62">
        <f>IFERROR(INDEX(tbl_Finance[Client],$A496),"")</f>
        <v/>
      </c>
      <c r="E496" s="62">
        <f>IFERROR(INDEX(tbl_Finance[Job Number],$A496),"")</f>
        <v/>
      </c>
      <c r="F496" s="62">
        <f>IFERROR(INDEX(tbl_Finance[Cost Centre],$A496),"")</f>
        <v/>
      </c>
      <c r="G496" s="63">
        <f>IFERROR(INDEX(tbl_Finance[Ex GST],$A496),"")</f>
        <v/>
      </c>
      <c r="H496" s="61">
        <f>IFERROR(INDEX(tbl_Finance[Defer Start],$A496),"")</f>
        <v/>
      </c>
      <c r="I496" s="61">
        <f>IFERROR(INDEX(tbl_Finance[Defer End],$A496),"")</f>
        <v/>
      </c>
      <c r="J496" s="60">
        <f>IF(OR($H496="",$I496="",$G496=""),"",MAX(1,(YEAR($I496)-YEAR($H496))*12+MONTH($I496)-MONTH($H496)+1))</f>
        <v/>
      </c>
      <c r="K496" s="63">
        <f>IF($J496="","",$G496/$J496)</f>
        <v/>
      </c>
      <c r="L496" s="63">
        <f>IF($J496="",0,$K496*MAX(0,MIN(YEAR($C$3)*12+MONTH($C$3),YEAR($I496)*12+MONTH($I496))-(YEAR($H496)*12+MONTH($H496))+1))</f>
        <v/>
      </c>
      <c r="M496" s="63">
        <f>IF($J496="",0,$K496*MAX(0,MIN(YEAR($C$3)*12+MONTH($C$3)-1,YEAR($I496)*12+MONTH($I496))-(YEAR($H496)*12+MONTH($H496))+1))</f>
        <v/>
      </c>
      <c r="N496" s="63">
        <f>IF(OR($J496="",$B496=""),0,IF(YEAR($B496)*12+MONTH($B496)&lt;=YEAR($C$3)*12+MONTH($C$3),$G496,0))</f>
        <v/>
      </c>
      <c r="O496" s="63">
        <f>IF(OR($J496="",$B496=""),0,IF(YEAR($B496)*12+MONTH($B496)&lt;=YEAR($C$3)*12+MONTH($C$3)-1,$G496,0))</f>
        <v/>
      </c>
      <c r="P496" s="63">
        <f>$M496-$O496</f>
        <v/>
      </c>
      <c r="Q496" s="63">
        <f>($L496-$M496)-($N496-$O496)</f>
        <v/>
      </c>
      <c r="R496" s="63">
        <f>$L496-$N496</f>
        <v/>
      </c>
    </row>
    <row r="497">
      <c r="A497" s="60">
        <f>ROW()-5</f>
        <v/>
      </c>
      <c r="B497" s="61">
        <f>IFERROR(INDEX(tbl_Finance[Date],$A497),"")</f>
        <v/>
      </c>
      <c r="C497" s="62">
        <f>IFERROR(INDEX(tbl_Finance[Xero Invoice No],$A497),"")</f>
        <v/>
      </c>
      <c r="D497" s="62">
        <f>IFERROR(INDEX(tbl_Finance[Client],$A497),"")</f>
        <v/>
      </c>
      <c r="E497" s="62">
        <f>IFERROR(INDEX(tbl_Finance[Job Number],$A497),"")</f>
        <v/>
      </c>
      <c r="F497" s="62">
        <f>IFERROR(INDEX(tbl_Finance[Cost Centre],$A497),"")</f>
        <v/>
      </c>
      <c r="G497" s="63">
        <f>IFERROR(INDEX(tbl_Finance[Ex GST],$A497),"")</f>
        <v/>
      </c>
      <c r="H497" s="61">
        <f>IFERROR(INDEX(tbl_Finance[Defer Start],$A497),"")</f>
        <v/>
      </c>
      <c r="I497" s="61">
        <f>IFERROR(INDEX(tbl_Finance[Defer End],$A497),"")</f>
        <v/>
      </c>
      <c r="J497" s="60">
        <f>IF(OR($H497="",$I497="",$G497=""),"",MAX(1,(YEAR($I497)-YEAR($H497))*12+MONTH($I497)-MONTH($H497)+1))</f>
        <v/>
      </c>
      <c r="K497" s="63">
        <f>IF($J497="","",$G497/$J497)</f>
        <v/>
      </c>
      <c r="L497" s="63">
        <f>IF($J497="",0,$K497*MAX(0,MIN(YEAR($C$3)*12+MONTH($C$3),YEAR($I497)*12+MONTH($I497))-(YEAR($H497)*12+MONTH($H497))+1))</f>
        <v/>
      </c>
      <c r="M497" s="63">
        <f>IF($J497="",0,$K497*MAX(0,MIN(YEAR($C$3)*12+MONTH($C$3)-1,YEAR($I497)*12+MONTH($I497))-(YEAR($H497)*12+MONTH($H497))+1))</f>
        <v/>
      </c>
      <c r="N497" s="63">
        <f>IF(OR($J497="",$B497=""),0,IF(YEAR($B497)*12+MONTH($B497)&lt;=YEAR($C$3)*12+MONTH($C$3),$G497,0))</f>
        <v/>
      </c>
      <c r="O497" s="63">
        <f>IF(OR($J497="",$B497=""),0,IF(YEAR($B497)*12+MONTH($B497)&lt;=YEAR($C$3)*12+MONTH($C$3)-1,$G497,0))</f>
        <v/>
      </c>
      <c r="P497" s="63">
        <f>$M497-$O497</f>
        <v/>
      </c>
      <c r="Q497" s="63">
        <f>($L497-$M497)-($N497-$O497)</f>
        <v/>
      </c>
      <c r="R497" s="63">
        <f>$L497-$N497</f>
        <v/>
      </c>
    </row>
    <row r="498">
      <c r="A498" s="60">
        <f>ROW()-5</f>
        <v/>
      </c>
      <c r="B498" s="61">
        <f>IFERROR(INDEX(tbl_Finance[Date],$A498),"")</f>
        <v/>
      </c>
      <c r="C498" s="62">
        <f>IFERROR(INDEX(tbl_Finance[Xero Invoice No],$A498),"")</f>
        <v/>
      </c>
      <c r="D498" s="62">
        <f>IFERROR(INDEX(tbl_Finance[Client],$A498),"")</f>
        <v/>
      </c>
      <c r="E498" s="62">
        <f>IFERROR(INDEX(tbl_Finance[Job Number],$A498),"")</f>
        <v/>
      </c>
      <c r="F498" s="62">
        <f>IFERROR(INDEX(tbl_Finance[Cost Centre],$A498),"")</f>
        <v/>
      </c>
      <c r="G498" s="63">
        <f>IFERROR(INDEX(tbl_Finance[Ex GST],$A498),"")</f>
        <v/>
      </c>
      <c r="H498" s="61">
        <f>IFERROR(INDEX(tbl_Finance[Defer Start],$A498),"")</f>
        <v/>
      </c>
      <c r="I498" s="61">
        <f>IFERROR(INDEX(tbl_Finance[Defer End],$A498),"")</f>
        <v/>
      </c>
      <c r="J498" s="60">
        <f>IF(OR($H498="",$I498="",$G498=""),"",MAX(1,(YEAR($I498)-YEAR($H498))*12+MONTH($I498)-MONTH($H498)+1))</f>
        <v/>
      </c>
      <c r="K498" s="63">
        <f>IF($J498="","",$G498/$J498)</f>
        <v/>
      </c>
      <c r="L498" s="63">
        <f>IF($J498="",0,$K498*MAX(0,MIN(YEAR($C$3)*12+MONTH($C$3),YEAR($I498)*12+MONTH($I498))-(YEAR($H498)*12+MONTH($H498))+1))</f>
        <v/>
      </c>
      <c r="M498" s="63">
        <f>IF($J498="",0,$K498*MAX(0,MIN(YEAR($C$3)*12+MONTH($C$3)-1,YEAR($I498)*12+MONTH($I498))-(YEAR($H498)*12+MONTH($H498))+1))</f>
        <v/>
      </c>
      <c r="N498" s="63">
        <f>IF(OR($J498="",$B498=""),0,IF(YEAR($B498)*12+MONTH($B498)&lt;=YEAR($C$3)*12+MONTH($C$3),$G498,0))</f>
        <v/>
      </c>
      <c r="O498" s="63">
        <f>IF(OR($J498="",$B498=""),0,IF(YEAR($B498)*12+MONTH($B498)&lt;=YEAR($C$3)*12+MONTH($C$3)-1,$G498,0))</f>
        <v/>
      </c>
      <c r="P498" s="63">
        <f>$M498-$O498</f>
        <v/>
      </c>
      <c r="Q498" s="63">
        <f>($L498-$M498)-($N498-$O498)</f>
        <v/>
      </c>
      <c r="R498" s="63">
        <f>$L498-$N498</f>
        <v/>
      </c>
    </row>
    <row r="499">
      <c r="A499" s="60">
        <f>ROW()-5</f>
        <v/>
      </c>
      <c r="B499" s="61">
        <f>IFERROR(INDEX(tbl_Finance[Date],$A499),"")</f>
        <v/>
      </c>
      <c r="C499" s="62">
        <f>IFERROR(INDEX(tbl_Finance[Xero Invoice No],$A499),"")</f>
        <v/>
      </c>
      <c r="D499" s="62">
        <f>IFERROR(INDEX(tbl_Finance[Client],$A499),"")</f>
        <v/>
      </c>
      <c r="E499" s="62">
        <f>IFERROR(INDEX(tbl_Finance[Job Number],$A499),"")</f>
        <v/>
      </c>
      <c r="F499" s="62">
        <f>IFERROR(INDEX(tbl_Finance[Cost Centre],$A499),"")</f>
        <v/>
      </c>
      <c r="G499" s="63">
        <f>IFERROR(INDEX(tbl_Finance[Ex GST],$A499),"")</f>
        <v/>
      </c>
      <c r="H499" s="61">
        <f>IFERROR(INDEX(tbl_Finance[Defer Start],$A499),"")</f>
        <v/>
      </c>
      <c r="I499" s="61">
        <f>IFERROR(INDEX(tbl_Finance[Defer End],$A499),"")</f>
        <v/>
      </c>
      <c r="J499" s="60">
        <f>IF(OR($H499="",$I499="",$G499=""),"",MAX(1,(YEAR($I499)-YEAR($H499))*12+MONTH($I499)-MONTH($H499)+1))</f>
        <v/>
      </c>
      <c r="K499" s="63">
        <f>IF($J499="","",$G499/$J499)</f>
        <v/>
      </c>
      <c r="L499" s="63">
        <f>IF($J499="",0,$K499*MAX(0,MIN(YEAR($C$3)*12+MONTH($C$3),YEAR($I499)*12+MONTH($I499))-(YEAR($H499)*12+MONTH($H499))+1))</f>
        <v/>
      </c>
      <c r="M499" s="63">
        <f>IF($J499="",0,$K499*MAX(0,MIN(YEAR($C$3)*12+MONTH($C$3)-1,YEAR($I499)*12+MONTH($I499))-(YEAR($H499)*12+MONTH($H499))+1))</f>
        <v/>
      </c>
      <c r="N499" s="63">
        <f>IF(OR($J499="",$B499=""),0,IF(YEAR($B499)*12+MONTH($B499)&lt;=YEAR($C$3)*12+MONTH($C$3),$G499,0))</f>
        <v/>
      </c>
      <c r="O499" s="63">
        <f>IF(OR($J499="",$B499=""),0,IF(YEAR($B499)*12+MONTH($B499)&lt;=YEAR($C$3)*12+MONTH($C$3)-1,$G499,0))</f>
        <v/>
      </c>
      <c r="P499" s="63">
        <f>$M499-$O499</f>
        <v/>
      </c>
      <c r="Q499" s="63">
        <f>($L499-$M499)-($N499-$O499)</f>
        <v/>
      </c>
      <c r="R499" s="63">
        <f>$L499-$N499</f>
        <v/>
      </c>
    </row>
    <row r="500">
      <c r="A500" s="60">
        <f>ROW()-5</f>
        <v/>
      </c>
      <c r="B500" s="61">
        <f>IFERROR(INDEX(tbl_Finance[Date],$A500),"")</f>
        <v/>
      </c>
      <c r="C500" s="62">
        <f>IFERROR(INDEX(tbl_Finance[Xero Invoice No],$A500),"")</f>
        <v/>
      </c>
      <c r="D500" s="62">
        <f>IFERROR(INDEX(tbl_Finance[Client],$A500),"")</f>
        <v/>
      </c>
      <c r="E500" s="62">
        <f>IFERROR(INDEX(tbl_Finance[Job Number],$A500),"")</f>
        <v/>
      </c>
      <c r="F500" s="62">
        <f>IFERROR(INDEX(tbl_Finance[Cost Centre],$A500),"")</f>
        <v/>
      </c>
      <c r="G500" s="63">
        <f>IFERROR(INDEX(tbl_Finance[Ex GST],$A500),"")</f>
        <v/>
      </c>
      <c r="H500" s="61">
        <f>IFERROR(INDEX(tbl_Finance[Defer Start],$A500),"")</f>
        <v/>
      </c>
      <c r="I500" s="61">
        <f>IFERROR(INDEX(tbl_Finance[Defer End],$A500),"")</f>
        <v/>
      </c>
      <c r="J500" s="60">
        <f>IF(OR($H500="",$I500="",$G500=""),"",MAX(1,(YEAR($I500)-YEAR($H500))*12+MONTH($I500)-MONTH($H500)+1))</f>
        <v/>
      </c>
      <c r="K500" s="63">
        <f>IF($J500="","",$G500/$J500)</f>
        <v/>
      </c>
      <c r="L500" s="63">
        <f>IF($J500="",0,$K500*MAX(0,MIN(YEAR($C$3)*12+MONTH($C$3),YEAR($I500)*12+MONTH($I500))-(YEAR($H500)*12+MONTH($H500))+1))</f>
        <v/>
      </c>
      <c r="M500" s="63">
        <f>IF($J500="",0,$K500*MAX(0,MIN(YEAR($C$3)*12+MONTH($C$3)-1,YEAR($I500)*12+MONTH($I500))-(YEAR($H500)*12+MONTH($H500))+1))</f>
        <v/>
      </c>
      <c r="N500" s="63">
        <f>IF(OR($J500="",$B500=""),0,IF(YEAR($B500)*12+MONTH($B500)&lt;=YEAR($C$3)*12+MONTH($C$3),$G500,0))</f>
        <v/>
      </c>
      <c r="O500" s="63">
        <f>IF(OR($J500="",$B500=""),0,IF(YEAR($B500)*12+MONTH($B500)&lt;=YEAR($C$3)*12+MONTH($C$3)-1,$G500,0))</f>
        <v/>
      </c>
      <c r="P500" s="63">
        <f>$M500-$O500</f>
        <v/>
      </c>
      <c r="Q500" s="63">
        <f>($L500-$M500)-($N500-$O500)</f>
        <v/>
      </c>
      <c r="R500" s="63">
        <f>$L500-$N500</f>
        <v/>
      </c>
    </row>
    <row r="501">
      <c r="A501" s="60">
        <f>ROW()-5</f>
        <v/>
      </c>
      <c r="B501" s="61">
        <f>IFERROR(INDEX(tbl_Finance[Date],$A501),"")</f>
        <v/>
      </c>
      <c r="C501" s="62">
        <f>IFERROR(INDEX(tbl_Finance[Xero Invoice No],$A501),"")</f>
        <v/>
      </c>
      <c r="D501" s="62">
        <f>IFERROR(INDEX(tbl_Finance[Client],$A501),"")</f>
        <v/>
      </c>
      <c r="E501" s="62">
        <f>IFERROR(INDEX(tbl_Finance[Job Number],$A501),"")</f>
        <v/>
      </c>
      <c r="F501" s="62">
        <f>IFERROR(INDEX(tbl_Finance[Cost Centre],$A501),"")</f>
        <v/>
      </c>
      <c r="G501" s="63">
        <f>IFERROR(INDEX(tbl_Finance[Ex GST],$A501),"")</f>
        <v/>
      </c>
      <c r="H501" s="61">
        <f>IFERROR(INDEX(tbl_Finance[Defer Start],$A501),"")</f>
        <v/>
      </c>
      <c r="I501" s="61">
        <f>IFERROR(INDEX(tbl_Finance[Defer End],$A501),"")</f>
        <v/>
      </c>
      <c r="J501" s="60">
        <f>IF(OR($H501="",$I501="",$G501=""),"",MAX(1,(YEAR($I501)-YEAR($H501))*12+MONTH($I501)-MONTH($H501)+1))</f>
        <v/>
      </c>
      <c r="K501" s="63">
        <f>IF($J501="","",$G501/$J501)</f>
        <v/>
      </c>
      <c r="L501" s="63">
        <f>IF($J501="",0,$K501*MAX(0,MIN(YEAR($C$3)*12+MONTH($C$3),YEAR($I501)*12+MONTH($I501))-(YEAR($H501)*12+MONTH($H501))+1))</f>
        <v/>
      </c>
      <c r="M501" s="63">
        <f>IF($J501="",0,$K501*MAX(0,MIN(YEAR($C$3)*12+MONTH($C$3)-1,YEAR($I501)*12+MONTH($I501))-(YEAR($H501)*12+MONTH($H501))+1))</f>
        <v/>
      </c>
      <c r="N501" s="63">
        <f>IF(OR($J501="",$B501=""),0,IF(YEAR($B501)*12+MONTH($B501)&lt;=YEAR($C$3)*12+MONTH($C$3),$G501,0))</f>
        <v/>
      </c>
      <c r="O501" s="63">
        <f>IF(OR($J501="",$B501=""),0,IF(YEAR($B501)*12+MONTH($B501)&lt;=YEAR($C$3)*12+MONTH($C$3)-1,$G501,0))</f>
        <v/>
      </c>
      <c r="P501" s="63">
        <f>$M501-$O501</f>
        <v/>
      </c>
      <c r="Q501" s="63">
        <f>($L501-$M501)-($N501-$O501)</f>
        <v/>
      </c>
      <c r="R501" s="63">
        <f>$L501-$N501</f>
        <v/>
      </c>
    </row>
    <row r="502">
      <c r="A502" s="60">
        <f>ROW()-5</f>
        <v/>
      </c>
      <c r="B502" s="61">
        <f>IFERROR(INDEX(tbl_Finance[Date],$A502),"")</f>
        <v/>
      </c>
      <c r="C502" s="62">
        <f>IFERROR(INDEX(tbl_Finance[Xero Invoice No],$A502),"")</f>
        <v/>
      </c>
      <c r="D502" s="62">
        <f>IFERROR(INDEX(tbl_Finance[Client],$A502),"")</f>
        <v/>
      </c>
      <c r="E502" s="62">
        <f>IFERROR(INDEX(tbl_Finance[Job Number],$A502),"")</f>
        <v/>
      </c>
      <c r="F502" s="62">
        <f>IFERROR(INDEX(tbl_Finance[Cost Centre],$A502),"")</f>
        <v/>
      </c>
      <c r="G502" s="63">
        <f>IFERROR(INDEX(tbl_Finance[Ex GST],$A502),"")</f>
        <v/>
      </c>
      <c r="H502" s="61">
        <f>IFERROR(INDEX(tbl_Finance[Defer Start],$A502),"")</f>
        <v/>
      </c>
      <c r="I502" s="61">
        <f>IFERROR(INDEX(tbl_Finance[Defer End],$A502),"")</f>
        <v/>
      </c>
      <c r="J502" s="60">
        <f>IF(OR($H502="",$I502="",$G502=""),"",MAX(1,(YEAR($I502)-YEAR($H502))*12+MONTH($I502)-MONTH($H502)+1))</f>
        <v/>
      </c>
      <c r="K502" s="63">
        <f>IF($J502="","",$G502/$J502)</f>
        <v/>
      </c>
      <c r="L502" s="63">
        <f>IF($J502="",0,$K502*MAX(0,MIN(YEAR($C$3)*12+MONTH($C$3),YEAR($I502)*12+MONTH($I502))-(YEAR($H502)*12+MONTH($H502))+1))</f>
        <v/>
      </c>
      <c r="M502" s="63">
        <f>IF($J502="",0,$K502*MAX(0,MIN(YEAR($C$3)*12+MONTH($C$3)-1,YEAR($I502)*12+MONTH($I502))-(YEAR($H502)*12+MONTH($H502))+1))</f>
        <v/>
      </c>
      <c r="N502" s="63">
        <f>IF(OR($J502="",$B502=""),0,IF(YEAR($B502)*12+MONTH($B502)&lt;=YEAR($C$3)*12+MONTH($C$3),$G502,0))</f>
        <v/>
      </c>
      <c r="O502" s="63">
        <f>IF(OR($J502="",$B502=""),0,IF(YEAR($B502)*12+MONTH($B502)&lt;=YEAR($C$3)*12+MONTH($C$3)-1,$G502,0))</f>
        <v/>
      </c>
      <c r="P502" s="63">
        <f>$M502-$O502</f>
        <v/>
      </c>
      <c r="Q502" s="63">
        <f>($L502-$M502)-($N502-$O502)</f>
        <v/>
      </c>
      <c r="R502" s="63">
        <f>$L502-$N502</f>
        <v/>
      </c>
    </row>
    <row r="503">
      <c r="A503" s="60">
        <f>ROW()-5</f>
        <v/>
      </c>
      <c r="B503" s="61">
        <f>IFERROR(INDEX(tbl_Finance[Date],$A503),"")</f>
        <v/>
      </c>
      <c r="C503" s="62">
        <f>IFERROR(INDEX(tbl_Finance[Xero Invoice No],$A503),"")</f>
        <v/>
      </c>
      <c r="D503" s="62">
        <f>IFERROR(INDEX(tbl_Finance[Client],$A503),"")</f>
        <v/>
      </c>
      <c r="E503" s="62">
        <f>IFERROR(INDEX(tbl_Finance[Job Number],$A503),"")</f>
        <v/>
      </c>
      <c r="F503" s="62">
        <f>IFERROR(INDEX(tbl_Finance[Cost Centre],$A503),"")</f>
        <v/>
      </c>
      <c r="G503" s="63">
        <f>IFERROR(INDEX(tbl_Finance[Ex GST],$A503),"")</f>
        <v/>
      </c>
      <c r="H503" s="61">
        <f>IFERROR(INDEX(tbl_Finance[Defer Start],$A503),"")</f>
        <v/>
      </c>
      <c r="I503" s="61">
        <f>IFERROR(INDEX(tbl_Finance[Defer End],$A503),"")</f>
        <v/>
      </c>
      <c r="J503" s="60">
        <f>IF(OR($H503="",$I503="",$G503=""),"",MAX(1,(YEAR($I503)-YEAR($H503))*12+MONTH($I503)-MONTH($H503)+1))</f>
        <v/>
      </c>
      <c r="K503" s="63">
        <f>IF($J503="","",$G503/$J503)</f>
        <v/>
      </c>
      <c r="L503" s="63">
        <f>IF($J503="",0,$K503*MAX(0,MIN(YEAR($C$3)*12+MONTH($C$3),YEAR($I503)*12+MONTH($I503))-(YEAR($H503)*12+MONTH($H503))+1))</f>
        <v/>
      </c>
      <c r="M503" s="63">
        <f>IF($J503="",0,$K503*MAX(0,MIN(YEAR($C$3)*12+MONTH($C$3)-1,YEAR($I503)*12+MONTH($I503))-(YEAR($H503)*12+MONTH($H503))+1))</f>
        <v/>
      </c>
      <c r="N503" s="63">
        <f>IF(OR($J503="",$B503=""),0,IF(YEAR($B503)*12+MONTH($B503)&lt;=YEAR($C$3)*12+MONTH($C$3),$G503,0))</f>
        <v/>
      </c>
      <c r="O503" s="63">
        <f>IF(OR($J503="",$B503=""),0,IF(YEAR($B503)*12+MONTH($B503)&lt;=YEAR($C$3)*12+MONTH($C$3)-1,$G503,0))</f>
        <v/>
      </c>
      <c r="P503" s="63">
        <f>$M503-$O503</f>
        <v/>
      </c>
      <c r="Q503" s="63">
        <f>($L503-$M503)-($N503-$O503)</f>
        <v/>
      </c>
      <c r="R503" s="63">
        <f>$L503-$N503</f>
        <v/>
      </c>
    </row>
    <row r="504">
      <c r="A504" s="60">
        <f>ROW()-5</f>
        <v/>
      </c>
      <c r="B504" s="61">
        <f>IFERROR(INDEX(tbl_Finance[Date],$A504),"")</f>
        <v/>
      </c>
      <c r="C504" s="62">
        <f>IFERROR(INDEX(tbl_Finance[Xero Invoice No],$A504),"")</f>
        <v/>
      </c>
      <c r="D504" s="62">
        <f>IFERROR(INDEX(tbl_Finance[Client],$A504),"")</f>
        <v/>
      </c>
      <c r="E504" s="62">
        <f>IFERROR(INDEX(tbl_Finance[Job Number],$A504),"")</f>
        <v/>
      </c>
      <c r="F504" s="62">
        <f>IFERROR(INDEX(tbl_Finance[Cost Centre],$A504),"")</f>
        <v/>
      </c>
      <c r="G504" s="63">
        <f>IFERROR(INDEX(tbl_Finance[Ex GST],$A504),"")</f>
        <v/>
      </c>
      <c r="H504" s="61">
        <f>IFERROR(INDEX(tbl_Finance[Defer Start],$A504),"")</f>
        <v/>
      </c>
      <c r="I504" s="61">
        <f>IFERROR(INDEX(tbl_Finance[Defer End],$A504),"")</f>
        <v/>
      </c>
      <c r="J504" s="60">
        <f>IF(OR($H504="",$I504="",$G504=""),"",MAX(1,(YEAR($I504)-YEAR($H504))*12+MONTH($I504)-MONTH($H504)+1))</f>
        <v/>
      </c>
      <c r="K504" s="63">
        <f>IF($J504="","",$G504/$J504)</f>
        <v/>
      </c>
      <c r="L504" s="63">
        <f>IF($J504="",0,$K504*MAX(0,MIN(YEAR($C$3)*12+MONTH($C$3),YEAR($I504)*12+MONTH($I504))-(YEAR($H504)*12+MONTH($H504))+1))</f>
        <v/>
      </c>
      <c r="M504" s="63">
        <f>IF($J504="",0,$K504*MAX(0,MIN(YEAR($C$3)*12+MONTH($C$3)-1,YEAR($I504)*12+MONTH($I504))-(YEAR($H504)*12+MONTH($H504))+1))</f>
        <v/>
      </c>
      <c r="N504" s="63">
        <f>IF(OR($J504="",$B504=""),0,IF(YEAR($B504)*12+MONTH($B504)&lt;=YEAR($C$3)*12+MONTH($C$3),$G504,0))</f>
        <v/>
      </c>
      <c r="O504" s="63">
        <f>IF(OR($J504="",$B504=""),0,IF(YEAR($B504)*12+MONTH($B504)&lt;=YEAR($C$3)*12+MONTH($C$3)-1,$G504,0))</f>
        <v/>
      </c>
      <c r="P504" s="63">
        <f>$M504-$O504</f>
        <v/>
      </c>
      <c r="Q504" s="63">
        <f>($L504-$M504)-($N504-$O504)</f>
        <v/>
      </c>
      <c r="R504" s="63">
        <f>$L504-$N504</f>
        <v/>
      </c>
    </row>
    <row r="505">
      <c r="A505" s="60">
        <f>ROW()-5</f>
        <v/>
      </c>
      <c r="B505" s="61">
        <f>IFERROR(INDEX(tbl_Finance[Date],$A505),"")</f>
        <v/>
      </c>
      <c r="C505" s="62">
        <f>IFERROR(INDEX(tbl_Finance[Xero Invoice No],$A505),"")</f>
        <v/>
      </c>
      <c r="D505" s="62">
        <f>IFERROR(INDEX(tbl_Finance[Client],$A505),"")</f>
        <v/>
      </c>
      <c r="E505" s="62">
        <f>IFERROR(INDEX(tbl_Finance[Job Number],$A505),"")</f>
        <v/>
      </c>
      <c r="F505" s="62">
        <f>IFERROR(INDEX(tbl_Finance[Cost Centre],$A505),"")</f>
        <v/>
      </c>
      <c r="G505" s="63">
        <f>IFERROR(INDEX(tbl_Finance[Ex GST],$A505),"")</f>
        <v/>
      </c>
      <c r="H505" s="61">
        <f>IFERROR(INDEX(tbl_Finance[Defer Start],$A505),"")</f>
        <v/>
      </c>
      <c r="I505" s="61">
        <f>IFERROR(INDEX(tbl_Finance[Defer End],$A505),"")</f>
        <v/>
      </c>
      <c r="J505" s="60">
        <f>IF(OR($H505="",$I505="",$G505=""),"",MAX(1,(YEAR($I505)-YEAR($H505))*12+MONTH($I505)-MONTH($H505)+1))</f>
        <v/>
      </c>
      <c r="K505" s="63">
        <f>IF($J505="","",$G505/$J505)</f>
        <v/>
      </c>
      <c r="L505" s="63">
        <f>IF($J505="",0,$K505*MAX(0,MIN(YEAR($C$3)*12+MONTH($C$3),YEAR($I505)*12+MONTH($I505))-(YEAR($H505)*12+MONTH($H505))+1))</f>
        <v/>
      </c>
      <c r="M505" s="63">
        <f>IF($J505="",0,$K505*MAX(0,MIN(YEAR($C$3)*12+MONTH($C$3)-1,YEAR($I505)*12+MONTH($I505))-(YEAR($H505)*12+MONTH($H505))+1))</f>
        <v/>
      </c>
      <c r="N505" s="63">
        <f>IF(OR($J505="",$B505=""),0,IF(YEAR($B505)*12+MONTH($B505)&lt;=YEAR($C$3)*12+MONTH($C$3),$G505,0))</f>
        <v/>
      </c>
      <c r="O505" s="63">
        <f>IF(OR($J505="",$B505=""),0,IF(YEAR($B505)*12+MONTH($B505)&lt;=YEAR($C$3)*12+MONTH($C$3)-1,$G505,0))</f>
        <v/>
      </c>
      <c r="P505" s="63">
        <f>$M505-$O505</f>
        <v/>
      </c>
      <c r="Q505" s="63">
        <f>($L505-$M505)-($N505-$O505)</f>
        <v/>
      </c>
      <c r="R505" s="63">
        <f>$L505-$N505</f>
        <v/>
      </c>
    </row>
    <row r="506">
      <c r="A506" s="60">
        <f>ROW()-5</f>
        <v/>
      </c>
      <c r="B506" s="61">
        <f>IFERROR(INDEX(tbl_Finance[Date],$A506),"")</f>
        <v/>
      </c>
      <c r="C506" s="62">
        <f>IFERROR(INDEX(tbl_Finance[Xero Invoice No],$A506),"")</f>
        <v/>
      </c>
      <c r="D506" s="62">
        <f>IFERROR(INDEX(tbl_Finance[Client],$A506),"")</f>
        <v/>
      </c>
      <c r="E506" s="62">
        <f>IFERROR(INDEX(tbl_Finance[Job Number],$A506),"")</f>
        <v/>
      </c>
      <c r="F506" s="62">
        <f>IFERROR(INDEX(tbl_Finance[Cost Centre],$A506),"")</f>
        <v/>
      </c>
      <c r="G506" s="63">
        <f>IFERROR(INDEX(tbl_Finance[Ex GST],$A506),"")</f>
        <v/>
      </c>
      <c r="H506" s="61">
        <f>IFERROR(INDEX(tbl_Finance[Defer Start],$A506),"")</f>
        <v/>
      </c>
      <c r="I506" s="61">
        <f>IFERROR(INDEX(tbl_Finance[Defer End],$A506),"")</f>
        <v/>
      </c>
      <c r="J506" s="60">
        <f>IF(OR($H506="",$I506="",$G506=""),"",MAX(1,(YEAR($I506)-YEAR($H506))*12+MONTH($I506)-MONTH($H506)+1))</f>
        <v/>
      </c>
      <c r="K506" s="63">
        <f>IF($J506="","",$G506/$J506)</f>
        <v/>
      </c>
      <c r="L506" s="63">
        <f>IF($J506="",0,$K506*MAX(0,MIN(YEAR($C$3)*12+MONTH($C$3),YEAR($I506)*12+MONTH($I506))-(YEAR($H506)*12+MONTH($H506))+1))</f>
        <v/>
      </c>
      <c r="M506" s="63">
        <f>IF($J506="",0,$K506*MAX(0,MIN(YEAR($C$3)*12+MONTH($C$3)-1,YEAR($I506)*12+MONTH($I506))-(YEAR($H506)*12+MONTH($H506))+1))</f>
        <v/>
      </c>
      <c r="N506" s="63">
        <f>IF(OR($J506="",$B506=""),0,IF(YEAR($B506)*12+MONTH($B506)&lt;=YEAR($C$3)*12+MONTH($C$3),$G506,0))</f>
        <v/>
      </c>
      <c r="O506" s="63">
        <f>IF(OR($J506="",$B506=""),0,IF(YEAR($B506)*12+MONTH($B506)&lt;=YEAR($C$3)*12+MONTH($C$3)-1,$G506,0))</f>
        <v/>
      </c>
      <c r="P506" s="63">
        <f>$M506-$O506</f>
        <v/>
      </c>
      <c r="Q506" s="63">
        <f>($L506-$M506)-($N506-$O506)</f>
        <v/>
      </c>
      <c r="R506" s="63">
        <f>$L506-$N506</f>
        <v/>
      </c>
    </row>
    <row r="507">
      <c r="A507" s="60">
        <f>ROW()-5</f>
        <v/>
      </c>
      <c r="B507" s="61">
        <f>IFERROR(INDEX(tbl_Finance[Date],$A507),"")</f>
        <v/>
      </c>
      <c r="C507" s="62">
        <f>IFERROR(INDEX(tbl_Finance[Xero Invoice No],$A507),"")</f>
        <v/>
      </c>
      <c r="D507" s="62">
        <f>IFERROR(INDEX(tbl_Finance[Client],$A507),"")</f>
        <v/>
      </c>
      <c r="E507" s="62">
        <f>IFERROR(INDEX(tbl_Finance[Job Number],$A507),"")</f>
        <v/>
      </c>
      <c r="F507" s="62">
        <f>IFERROR(INDEX(tbl_Finance[Cost Centre],$A507),"")</f>
        <v/>
      </c>
      <c r="G507" s="63">
        <f>IFERROR(INDEX(tbl_Finance[Ex GST],$A507),"")</f>
        <v/>
      </c>
      <c r="H507" s="61">
        <f>IFERROR(INDEX(tbl_Finance[Defer Start],$A507),"")</f>
        <v/>
      </c>
      <c r="I507" s="61">
        <f>IFERROR(INDEX(tbl_Finance[Defer End],$A507),"")</f>
        <v/>
      </c>
      <c r="J507" s="60">
        <f>IF(OR($H507="",$I507="",$G507=""),"",MAX(1,(YEAR($I507)-YEAR($H507))*12+MONTH($I507)-MONTH($H507)+1))</f>
        <v/>
      </c>
      <c r="K507" s="63">
        <f>IF($J507="","",$G507/$J507)</f>
        <v/>
      </c>
      <c r="L507" s="63">
        <f>IF($J507="",0,$K507*MAX(0,MIN(YEAR($C$3)*12+MONTH($C$3),YEAR($I507)*12+MONTH($I507))-(YEAR($H507)*12+MONTH($H507))+1))</f>
        <v/>
      </c>
      <c r="M507" s="63">
        <f>IF($J507="",0,$K507*MAX(0,MIN(YEAR($C$3)*12+MONTH($C$3)-1,YEAR($I507)*12+MONTH($I507))-(YEAR($H507)*12+MONTH($H507))+1))</f>
        <v/>
      </c>
      <c r="N507" s="63">
        <f>IF(OR($J507="",$B507=""),0,IF(YEAR($B507)*12+MONTH($B507)&lt;=YEAR($C$3)*12+MONTH($C$3),$G507,0))</f>
        <v/>
      </c>
      <c r="O507" s="63">
        <f>IF(OR($J507="",$B507=""),0,IF(YEAR($B507)*12+MONTH($B507)&lt;=YEAR($C$3)*12+MONTH($C$3)-1,$G507,0))</f>
        <v/>
      </c>
      <c r="P507" s="63">
        <f>$M507-$O507</f>
        <v/>
      </c>
      <c r="Q507" s="63">
        <f>($L507-$M507)-($N507-$O507)</f>
        <v/>
      </c>
      <c r="R507" s="63">
        <f>$L507-$N507</f>
        <v/>
      </c>
    </row>
    <row r="508">
      <c r="A508" s="60">
        <f>ROW()-5</f>
        <v/>
      </c>
      <c r="B508" s="61">
        <f>IFERROR(INDEX(tbl_Finance[Date],$A508),"")</f>
        <v/>
      </c>
      <c r="C508" s="62">
        <f>IFERROR(INDEX(tbl_Finance[Xero Invoice No],$A508),"")</f>
        <v/>
      </c>
      <c r="D508" s="62">
        <f>IFERROR(INDEX(tbl_Finance[Client],$A508),"")</f>
        <v/>
      </c>
      <c r="E508" s="62">
        <f>IFERROR(INDEX(tbl_Finance[Job Number],$A508),"")</f>
        <v/>
      </c>
      <c r="F508" s="62">
        <f>IFERROR(INDEX(tbl_Finance[Cost Centre],$A508),"")</f>
        <v/>
      </c>
      <c r="G508" s="63">
        <f>IFERROR(INDEX(tbl_Finance[Ex GST],$A508),"")</f>
        <v/>
      </c>
      <c r="H508" s="61">
        <f>IFERROR(INDEX(tbl_Finance[Defer Start],$A508),"")</f>
        <v/>
      </c>
      <c r="I508" s="61">
        <f>IFERROR(INDEX(tbl_Finance[Defer End],$A508),"")</f>
        <v/>
      </c>
      <c r="J508" s="60">
        <f>IF(OR($H508="",$I508="",$G508=""),"",MAX(1,(YEAR($I508)-YEAR($H508))*12+MONTH($I508)-MONTH($H508)+1))</f>
        <v/>
      </c>
      <c r="K508" s="63">
        <f>IF($J508="","",$G508/$J508)</f>
        <v/>
      </c>
      <c r="L508" s="63">
        <f>IF($J508="",0,$K508*MAX(0,MIN(YEAR($C$3)*12+MONTH($C$3),YEAR($I508)*12+MONTH($I508))-(YEAR($H508)*12+MONTH($H508))+1))</f>
        <v/>
      </c>
      <c r="M508" s="63">
        <f>IF($J508="",0,$K508*MAX(0,MIN(YEAR($C$3)*12+MONTH($C$3)-1,YEAR($I508)*12+MONTH($I508))-(YEAR($H508)*12+MONTH($H508))+1))</f>
        <v/>
      </c>
      <c r="N508" s="63">
        <f>IF(OR($J508="",$B508=""),0,IF(YEAR($B508)*12+MONTH($B508)&lt;=YEAR($C$3)*12+MONTH($C$3),$G508,0))</f>
        <v/>
      </c>
      <c r="O508" s="63">
        <f>IF(OR($J508="",$B508=""),0,IF(YEAR($B508)*12+MONTH($B508)&lt;=YEAR($C$3)*12+MONTH($C$3)-1,$G508,0))</f>
        <v/>
      </c>
      <c r="P508" s="63">
        <f>$M508-$O508</f>
        <v/>
      </c>
      <c r="Q508" s="63">
        <f>($L508-$M508)-($N508-$O508)</f>
        <v/>
      </c>
      <c r="R508" s="63">
        <f>$L508-$N508</f>
        <v/>
      </c>
    </row>
    <row r="509">
      <c r="A509" s="60">
        <f>ROW()-5</f>
        <v/>
      </c>
      <c r="B509" s="61">
        <f>IFERROR(INDEX(tbl_Finance[Date],$A509),"")</f>
        <v/>
      </c>
      <c r="C509" s="62">
        <f>IFERROR(INDEX(tbl_Finance[Xero Invoice No],$A509),"")</f>
        <v/>
      </c>
      <c r="D509" s="62">
        <f>IFERROR(INDEX(tbl_Finance[Client],$A509),"")</f>
        <v/>
      </c>
      <c r="E509" s="62">
        <f>IFERROR(INDEX(tbl_Finance[Job Number],$A509),"")</f>
        <v/>
      </c>
      <c r="F509" s="62">
        <f>IFERROR(INDEX(tbl_Finance[Cost Centre],$A509),"")</f>
        <v/>
      </c>
      <c r="G509" s="63">
        <f>IFERROR(INDEX(tbl_Finance[Ex GST],$A509),"")</f>
        <v/>
      </c>
      <c r="H509" s="61">
        <f>IFERROR(INDEX(tbl_Finance[Defer Start],$A509),"")</f>
        <v/>
      </c>
      <c r="I509" s="61">
        <f>IFERROR(INDEX(tbl_Finance[Defer End],$A509),"")</f>
        <v/>
      </c>
      <c r="J509" s="60">
        <f>IF(OR($H509="",$I509="",$G509=""),"",MAX(1,(YEAR($I509)-YEAR($H509))*12+MONTH($I509)-MONTH($H509)+1))</f>
        <v/>
      </c>
      <c r="K509" s="63">
        <f>IF($J509="","",$G509/$J509)</f>
        <v/>
      </c>
      <c r="L509" s="63">
        <f>IF($J509="",0,$K509*MAX(0,MIN(YEAR($C$3)*12+MONTH($C$3),YEAR($I509)*12+MONTH($I509))-(YEAR($H509)*12+MONTH($H509))+1))</f>
        <v/>
      </c>
      <c r="M509" s="63">
        <f>IF($J509="",0,$K509*MAX(0,MIN(YEAR($C$3)*12+MONTH($C$3)-1,YEAR($I509)*12+MONTH($I509))-(YEAR($H509)*12+MONTH($H509))+1))</f>
        <v/>
      </c>
      <c r="N509" s="63">
        <f>IF(OR($J509="",$B509=""),0,IF(YEAR($B509)*12+MONTH($B509)&lt;=YEAR($C$3)*12+MONTH($C$3),$G509,0))</f>
        <v/>
      </c>
      <c r="O509" s="63">
        <f>IF(OR($J509="",$B509=""),0,IF(YEAR($B509)*12+MONTH($B509)&lt;=YEAR($C$3)*12+MONTH($C$3)-1,$G509,0))</f>
        <v/>
      </c>
      <c r="P509" s="63">
        <f>$M509-$O509</f>
        <v/>
      </c>
      <c r="Q509" s="63">
        <f>($L509-$M509)-($N509-$O509)</f>
        <v/>
      </c>
      <c r="R509" s="63">
        <f>$L509-$N509</f>
        <v/>
      </c>
    </row>
    <row r="510">
      <c r="A510" s="60">
        <f>ROW()-5</f>
        <v/>
      </c>
      <c r="B510" s="61">
        <f>IFERROR(INDEX(tbl_Finance[Date],$A510),"")</f>
        <v/>
      </c>
      <c r="C510" s="62">
        <f>IFERROR(INDEX(tbl_Finance[Xero Invoice No],$A510),"")</f>
        <v/>
      </c>
      <c r="D510" s="62">
        <f>IFERROR(INDEX(tbl_Finance[Client],$A510),"")</f>
        <v/>
      </c>
      <c r="E510" s="62">
        <f>IFERROR(INDEX(tbl_Finance[Job Number],$A510),"")</f>
        <v/>
      </c>
      <c r="F510" s="62">
        <f>IFERROR(INDEX(tbl_Finance[Cost Centre],$A510),"")</f>
        <v/>
      </c>
      <c r="G510" s="63">
        <f>IFERROR(INDEX(tbl_Finance[Ex GST],$A510),"")</f>
        <v/>
      </c>
      <c r="H510" s="61">
        <f>IFERROR(INDEX(tbl_Finance[Defer Start],$A510),"")</f>
        <v/>
      </c>
      <c r="I510" s="61">
        <f>IFERROR(INDEX(tbl_Finance[Defer End],$A510),"")</f>
        <v/>
      </c>
      <c r="J510" s="60">
        <f>IF(OR($H510="",$I510="",$G510=""),"",MAX(1,(YEAR($I510)-YEAR($H510))*12+MONTH($I510)-MONTH($H510)+1))</f>
        <v/>
      </c>
      <c r="K510" s="63">
        <f>IF($J510="","",$G510/$J510)</f>
        <v/>
      </c>
      <c r="L510" s="63">
        <f>IF($J510="",0,$K510*MAX(0,MIN(YEAR($C$3)*12+MONTH($C$3),YEAR($I510)*12+MONTH($I510))-(YEAR($H510)*12+MONTH($H510))+1))</f>
        <v/>
      </c>
      <c r="M510" s="63">
        <f>IF($J510="",0,$K510*MAX(0,MIN(YEAR($C$3)*12+MONTH($C$3)-1,YEAR($I510)*12+MONTH($I510))-(YEAR($H510)*12+MONTH($H510))+1))</f>
        <v/>
      </c>
      <c r="N510" s="63">
        <f>IF(OR($J510="",$B510=""),0,IF(YEAR($B510)*12+MONTH($B510)&lt;=YEAR($C$3)*12+MONTH($C$3),$G510,0))</f>
        <v/>
      </c>
      <c r="O510" s="63">
        <f>IF(OR($J510="",$B510=""),0,IF(YEAR($B510)*12+MONTH($B510)&lt;=YEAR($C$3)*12+MONTH($C$3)-1,$G510,0))</f>
        <v/>
      </c>
      <c r="P510" s="63">
        <f>$M510-$O510</f>
        <v/>
      </c>
      <c r="Q510" s="63">
        <f>($L510-$M510)-($N510-$O510)</f>
        <v/>
      </c>
      <c r="R510" s="63">
        <f>$L510-$N510</f>
        <v/>
      </c>
    </row>
    <row r="511">
      <c r="A511" s="60">
        <f>ROW()-5</f>
        <v/>
      </c>
      <c r="B511" s="61">
        <f>IFERROR(INDEX(tbl_Finance[Date],$A511),"")</f>
        <v/>
      </c>
      <c r="C511" s="62">
        <f>IFERROR(INDEX(tbl_Finance[Xero Invoice No],$A511),"")</f>
        <v/>
      </c>
      <c r="D511" s="62">
        <f>IFERROR(INDEX(tbl_Finance[Client],$A511),"")</f>
        <v/>
      </c>
      <c r="E511" s="62">
        <f>IFERROR(INDEX(tbl_Finance[Job Number],$A511),"")</f>
        <v/>
      </c>
      <c r="F511" s="62">
        <f>IFERROR(INDEX(tbl_Finance[Cost Centre],$A511),"")</f>
        <v/>
      </c>
      <c r="G511" s="63">
        <f>IFERROR(INDEX(tbl_Finance[Ex GST],$A511),"")</f>
        <v/>
      </c>
      <c r="H511" s="61">
        <f>IFERROR(INDEX(tbl_Finance[Defer Start],$A511),"")</f>
        <v/>
      </c>
      <c r="I511" s="61">
        <f>IFERROR(INDEX(tbl_Finance[Defer End],$A511),"")</f>
        <v/>
      </c>
      <c r="J511" s="60">
        <f>IF(OR($H511="",$I511="",$G511=""),"",MAX(1,(YEAR($I511)-YEAR($H511))*12+MONTH($I511)-MONTH($H511)+1))</f>
        <v/>
      </c>
      <c r="K511" s="63">
        <f>IF($J511="","",$G511/$J511)</f>
        <v/>
      </c>
      <c r="L511" s="63">
        <f>IF($J511="",0,$K511*MAX(0,MIN(YEAR($C$3)*12+MONTH($C$3),YEAR($I511)*12+MONTH($I511))-(YEAR($H511)*12+MONTH($H511))+1))</f>
        <v/>
      </c>
      <c r="M511" s="63">
        <f>IF($J511="",0,$K511*MAX(0,MIN(YEAR($C$3)*12+MONTH($C$3)-1,YEAR($I511)*12+MONTH($I511))-(YEAR($H511)*12+MONTH($H511))+1))</f>
        <v/>
      </c>
      <c r="N511" s="63">
        <f>IF(OR($J511="",$B511=""),0,IF(YEAR($B511)*12+MONTH($B511)&lt;=YEAR($C$3)*12+MONTH($C$3),$G511,0))</f>
        <v/>
      </c>
      <c r="O511" s="63">
        <f>IF(OR($J511="",$B511=""),0,IF(YEAR($B511)*12+MONTH($B511)&lt;=YEAR($C$3)*12+MONTH($C$3)-1,$G511,0))</f>
        <v/>
      </c>
      <c r="P511" s="63">
        <f>$M511-$O511</f>
        <v/>
      </c>
      <c r="Q511" s="63">
        <f>($L511-$M511)-($N511-$O511)</f>
        <v/>
      </c>
      <c r="R511" s="63">
        <f>$L511-$N511</f>
        <v/>
      </c>
    </row>
    <row r="512">
      <c r="A512" s="60">
        <f>ROW()-5</f>
        <v/>
      </c>
      <c r="B512" s="61">
        <f>IFERROR(INDEX(tbl_Finance[Date],$A512),"")</f>
        <v/>
      </c>
      <c r="C512" s="62">
        <f>IFERROR(INDEX(tbl_Finance[Xero Invoice No],$A512),"")</f>
        <v/>
      </c>
      <c r="D512" s="62">
        <f>IFERROR(INDEX(tbl_Finance[Client],$A512),"")</f>
        <v/>
      </c>
      <c r="E512" s="62">
        <f>IFERROR(INDEX(tbl_Finance[Job Number],$A512),"")</f>
        <v/>
      </c>
      <c r="F512" s="62">
        <f>IFERROR(INDEX(tbl_Finance[Cost Centre],$A512),"")</f>
        <v/>
      </c>
      <c r="G512" s="63">
        <f>IFERROR(INDEX(tbl_Finance[Ex GST],$A512),"")</f>
        <v/>
      </c>
      <c r="H512" s="61">
        <f>IFERROR(INDEX(tbl_Finance[Defer Start],$A512),"")</f>
        <v/>
      </c>
      <c r="I512" s="61">
        <f>IFERROR(INDEX(tbl_Finance[Defer End],$A512),"")</f>
        <v/>
      </c>
      <c r="J512" s="60">
        <f>IF(OR($H512="",$I512="",$G512=""),"",MAX(1,(YEAR($I512)-YEAR($H512))*12+MONTH($I512)-MONTH($H512)+1))</f>
        <v/>
      </c>
      <c r="K512" s="63">
        <f>IF($J512="","",$G512/$J512)</f>
        <v/>
      </c>
      <c r="L512" s="63">
        <f>IF($J512="",0,$K512*MAX(0,MIN(YEAR($C$3)*12+MONTH($C$3),YEAR($I512)*12+MONTH($I512))-(YEAR($H512)*12+MONTH($H512))+1))</f>
        <v/>
      </c>
      <c r="M512" s="63">
        <f>IF($J512="",0,$K512*MAX(0,MIN(YEAR($C$3)*12+MONTH($C$3)-1,YEAR($I512)*12+MONTH($I512))-(YEAR($H512)*12+MONTH($H512))+1))</f>
        <v/>
      </c>
      <c r="N512" s="63">
        <f>IF(OR($J512="",$B512=""),0,IF(YEAR($B512)*12+MONTH($B512)&lt;=YEAR($C$3)*12+MONTH($C$3),$G512,0))</f>
        <v/>
      </c>
      <c r="O512" s="63">
        <f>IF(OR($J512="",$B512=""),0,IF(YEAR($B512)*12+MONTH($B512)&lt;=YEAR($C$3)*12+MONTH($C$3)-1,$G512,0))</f>
        <v/>
      </c>
      <c r="P512" s="63">
        <f>$M512-$O512</f>
        <v/>
      </c>
      <c r="Q512" s="63">
        <f>($L512-$M512)-($N512-$O512)</f>
        <v/>
      </c>
      <c r="R512" s="63">
        <f>$L512-$N512</f>
        <v/>
      </c>
    </row>
    <row r="513">
      <c r="A513" s="60">
        <f>ROW()-5</f>
        <v/>
      </c>
      <c r="B513" s="61">
        <f>IFERROR(INDEX(tbl_Finance[Date],$A513),"")</f>
        <v/>
      </c>
      <c r="C513" s="62">
        <f>IFERROR(INDEX(tbl_Finance[Xero Invoice No],$A513),"")</f>
        <v/>
      </c>
      <c r="D513" s="62">
        <f>IFERROR(INDEX(tbl_Finance[Client],$A513),"")</f>
        <v/>
      </c>
      <c r="E513" s="62">
        <f>IFERROR(INDEX(tbl_Finance[Job Number],$A513),"")</f>
        <v/>
      </c>
      <c r="F513" s="62">
        <f>IFERROR(INDEX(tbl_Finance[Cost Centre],$A513),"")</f>
        <v/>
      </c>
      <c r="G513" s="63">
        <f>IFERROR(INDEX(tbl_Finance[Ex GST],$A513),"")</f>
        <v/>
      </c>
      <c r="H513" s="61">
        <f>IFERROR(INDEX(tbl_Finance[Defer Start],$A513),"")</f>
        <v/>
      </c>
      <c r="I513" s="61">
        <f>IFERROR(INDEX(tbl_Finance[Defer End],$A513),"")</f>
        <v/>
      </c>
      <c r="J513" s="60">
        <f>IF(OR($H513="",$I513="",$G513=""),"",MAX(1,(YEAR($I513)-YEAR($H513))*12+MONTH($I513)-MONTH($H513)+1))</f>
        <v/>
      </c>
      <c r="K513" s="63">
        <f>IF($J513="","",$G513/$J513)</f>
        <v/>
      </c>
      <c r="L513" s="63">
        <f>IF($J513="",0,$K513*MAX(0,MIN(YEAR($C$3)*12+MONTH($C$3),YEAR($I513)*12+MONTH($I513))-(YEAR($H513)*12+MONTH($H513))+1))</f>
        <v/>
      </c>
      <c r="M513" s="63">
        <f>IF($J513="",0,$K513*MAX(0,MIN(YEAR($C$3)*12+MONTH($C$3)-1,YEAR($I513)*12+MONTH($I513))-(YEAR($H513)*12+MONTH($H513))+1))</f>
        <v/>
      </c>
      <c r="N513" s="63">
        <f>IF(OR($J513="",$B513=""),0,IF(YEAR($B513)*12+MONTH($B513)&lt;=YEAR($C$3)*12+MONTH($C$3),$G513,0))</f>
        <v/>
      </c>
      <c r="O513" s="63">
        <f>IF(OR($J513="",$B513=""),0,IF(YEAR($B513)*12+MONTH($B513)&lt;=YEAR($C$3)*12+MONTH($C$3)-1,$G513,0))</f>
        <v/>
      </c>
      <c r="P513" s="63">
        <f>$M513-$O513</f>
        <v/>
      </c>
      <c r="Q513" s="63">
        <f>($L513-$M513)-($N513-$O513)</f>
        <v/>
      </c>
      <c r="R513" s="63">
        <f>$L513-$N513</f>
        <v/>
      </c>
    </row>
    <row r="514">
      <c r="A514" s="60">
        <f>ROW()-5</f>
        <v/>
      </c>
      <c r="B514" s="61">
        <f>IFERROR(INDEX(tbl_Finance[Date],$A514),"")</f>
        <v/>
      </c>
      <c r="C514" s="62">
        <f>IFERROR(INDEX(tbl_Finance[Xero Invoice No],$A514),"")</f>
        <v/>
      </c>
      <c r="D514" s="62">
        <f>IFERROR(INDEX(tbl_Finance[Client],$A514),"")</f>
        <v/>
      </c>
      <c r="E514" s="62">
        <f>IFERROR(INDEX(tbl_Finance[Job Number],$A514),"")</f>
        <v/>
      </c>
      <c r="F514" s="62">
        <f>IFERROR(INDEX(tbl_Finance[Cost Centre],$A514),"")</f>
        <v/>
      </c>
      <c r="G514" s="63">
        <f>IFERROR(INDEX(tbl_Finance[Ex GST],$A514),"")</f>
        <v/>
      </c>
      <c r="H514" s="61">
        <f>IFERROR(INDEX(tbl_Finance[Defer Start],$A514),"")</f>
        <v/>
      </c>
      <c r="I514" s="61">
        <f>IFERROR(INDEX(tbl_Finance[Defer End],$A514),"")</f>
        <v/>
      </c>
      <c r="J514" s="60">
        <f>IF(OR($H514="",$I514="",$G514=""),"",MAX(1,(YEAR($I514)-YEAR($H514))*12+MONTH($I514)-MONTH($H514)+1))</f>
        <v/>
      </c>
      <c r="K514" s="63">
        <f>IF($J514="","",$G514/$J514)</f>
        <v/>
      </c>
      <c r="L514" s="63">
        <f>IF($J514="",0,$K514*MAX(0,MIN(YEAR($C$3)*12+MONTH($C$3),YEAR($I514)*12+MONTH($I514))-(YEAR($H514)*12+MONTH($H514))+1))</f>
        <v/>
      </c>
      <c r="M514" s="63">
        <f>IF($J514="",0,$K514*MAX(0,MIN(YEAR($C$3)*12+MONTH($C$3)-1,YEAR($I514)*12+MONTH($I514))-(YEAR($H514)*12+MONTH($H514))+1))</f>
        <v/>
      </c>
      <c r="N514" s="63">
        <f>IF(OR($J514="",$B514=""),0,IF(YEAR($B514)*12+MONTH($B514)&lt;=YEAR($C$3)*12+MONTH($C$3),$G514,0))</f>
        <v/>
      </c>
      <c r="O514" s="63">
        <f>IF(OR($J514="",$B514=""),0,IF(YEAR($B514)*12+MONTH($B514)&lt;=YEAR($C$3)*12+MONTH($C$3)-1,$G514,0))</f>
        <v/>
      </c>
      <c r="P514" s="63">
        <f>$M514-$O514</f>
        <v/>
      </c>
      <c r="Q514" s="63">
        <f>($L514-$M514)-($N514-$O514)</f>
        <v/>
      </c>
      <c r="R514" s="63">
        <f>$L514-$N514</f>
        <v/>
      </c>
    </row>
    <row r="515">
      <c r="A515" s="60">
        <f>ROW()-5</f>
        <v/>
      </c>
      <c r="B515" s="61">
        <f>IFERROR(INDEX(tbl_Finance[Date],$A515),"")</f>
        <v/>
      </c>
      <c r="C515" s="62">
        <f>IFERROR(INDEX(tbl_Finance[Xero Invoice No],$A515),"")</f>
        <v/>
      </c>
      <c r="D515" s="62">
        <f>IFERROR(INDEX(tbl_Finance[Client],$A515),"")</f>
        <v/>
      </c>
      <c r="E515" s="62">
        <f>IFERROR(INDEX(tbl_Finance[Job Number],$A515),"")</f>
        <v/>
      </c>
      <c r="F515" s="62">
        <f>IFERROR(INDEX(tbl_Finance[Cost Centre],$A515),"")</f>
        <v/>
      </c>
      <c r="G515" s="63">
        <f>IFERROR(INDEX(tbl_Finance[Ex GST],$A515),"")</f>
        <v/>
      </c>
      <c r="H515" s="61">
        <f>IFERROR(INDEX(tbl_Finance[Defer Start],$A515),"")</f>
        <v/>
      </c>
      <c r="I515" s="61">
        <f>IFERROR(INDEX(tbl_Finance[Defer End],$A515),"")</f>
        <v/>
      </c>
      <c r="J515" s="60">
        <f>IF(OR($H515="",$I515="",$G515=""),"",MAX(1,(YEAR($I515)-YEAR($H515))*12+MONTH($I515)-MONTH($H515)+1))</f>
        <v/>
      </c>
      <c r="K515" s="63">
        <f>IF($J515="","",$G515/$J515)</f>
        <v/>
      </c>
      <c r="L515" s="63">
        <f>IF($J515="",0,$K515*MAX(0,MIN(YEAR($C$3)*12+MONTH($C$3),YEAR($I515)*12+MONTH($I515))-(YEAR($H515)*12+MONTH($H515))+1))</f>
        <v/>
      </c>
      <c r="M515" s="63">
        <f>IF($J515="",0,$K515*MAX(0,MIN(YEAR($C$3)*12+MONTH($C$3)-1,YEAR($I515)*12+MONTH($I515))-(YEAR($H515)*12+MONTH($H515))+1))</f>
        <v/>
      </c>
      <c r="N515" s="63">
        <f>IF(OR($J515="",$B515=""),0,IF(YEAR($B515)*12+MONTH($B515)&lt;=YEAR($C$3)*12+MONTH($C$3),$G515,0))</f>
        <v/>
      </c>
      <c r="O515" s="63">
        <f>IF(OR($J515="",$B515=""),0,IF(YEAR($B515)*12+MONTH($B515)&lt;=YEAR($C$3)*12+MONTH($C$3)-1,$G515,0))</f>
        <v/>
      </c>
      <c r="P515" s="63">
        <f>$M515-$O515</f>
        <v/>
      </c>
      <c r="Q515" s="63">
        <f>($L515-$M515)-($N515-$O515)</f>
        <v/>
      </c>
      <c r="R515" s="63">
        <f>$L515-$N515</f>
        <v/>
      </c>
    </row>
    <row r="516">
      <c r="A516" s="60">
        <f>ROW()-5</f>
        <v/>
      </c>
      <c r="B516" s="61">
        <f>IFERROR(INDEX(tbl_Finance[Date],$A516),"")</f>
        <v/>
      </c>
      <c r="C516" s="62">
        <f>IFERROR(INDEX(tbl_Finance[Xero Invoice No],$A516),"")</f>
        <v/>
      </c>
      <c r="D516" s="62">
        <f>IFERROR(INDEX(tbl_Finance[Client],$A516),"")</f>
        <v/>
      </c>
      <c r="E516" s="62">
        <f>IFERROR(INDEX(tbl_Finance[Job Number],$A516),"")</f>
        <v/>
      </c>
      <c r="F516" s="62">
        <f>IFERROR(INDEX(tbl_Finance[Cost Centre],$A516),"")</f>
        <v/>
      </c>
      <c r="G516" s="63">
        <f>IFERROR(INDEX(tbl_Finance[Ex GST],$A516),"")</f>
        <v/>
      </c>
      <c r="H516" s="61">
        <f>IFERROR(INDEX(tbl_Finance[Defer Start],$A516),"")</f>
        <v/>
      </c>
      <c r="I516" s="61">
        <f>IFERROR(INDEX(tbl_Finance[Defer End],$A516),"")</f>
        <v/>
      </c>
      <c r="J516" s="60">
        <f>IF(OR($H516="",$I516="",$G516=""),"",MAX(1,(YEAR($I516)-YEAR($H516))*12+MONTH($I516)-MONTH($H516)+1))</f>
        <v/>
      </c>
      <c r="K516" s="63">
        <f>IF($J516="","",$G516/$J516)</f>
        <v/>
      </c>
      <c r="L516" s="63">
        <f>IF($J516="",0,$K516*MAX(0,MIN(YEAR($C$3)*12+MONTH($C$3),YEAR($I516)*12+MONTH($I516))-(YEAR($H516)*12+MONTH($H516))+1))</f>
        <v/>
      </c>
      <c r="M516" s="63">
        <f>IF($J516="",0,$K516*MAX(0,MIN(YEAR($C$3)*12+MONTH($C$3)-1,YEAR($I516)*12+MONTH($I516))-(YEAR($H516)*12+MONTH($H516))+1))</f>
        <v/>
      </c>
      <c r="N516" s="63">
        <f>IF(OR($J516="",$B516=""),0,IF(YEAR($B516)*12+MONTH($B516)&lt;=YEAR($C$3)*12+MONTH($C$3),$G516,0))</f>
        <v/>
      </c>
      <c r="O516" s="63">
        <f>IF(OR($J516="",$B516=""),0,IF(YEAR($B516)*12+MONTH($B516)&lt;=YEAR($C$3)*12+MONTH($C$3)-1,$G516,0))</f>
        <v/>
      </c>
      <c r="P516" s="63">
        <f>$M516-$O516</f>
        <v/>
      </c>
      <c r="Q516" s="63">
        <f>($L516-$M516)-($N516-$O516)</f>
        <v/>
      </c>
      <c r="R516" s="63">
        <f>$L516-$N516</f>
        <v/>
      </c>
    </row>
    <row r="517">
      <c r="A517" s="60">
        <f>ROW()-5</f>
        <v/>
      </c>
      <c r="B517" s="61">
        <f>IFERROR(INDEX(tbl_Finance[Date],$A517),"")</f>
        <v/>
      </c>
      <c r="C517" s="62">
        <f>IFERROR(INDEX(tbl_Finance[Xero Invoice No],$A517),"")</f>
        <v/>
      </c>
      <c r="D517" s="62">
        <f>IFERROR(INDEX(tbl_Finance[Client],$A517),"")</f>
        <v/>
      </c>
      <c r="E517" s="62">
        <f>IFERROR(INDEX(tbl_Finance[Job Number],$A517),"")</f>
        <v/>
      </c>
      <c r="F517" s="62">
        <f>IFERROR(INDEX(tbl_Finance[Cost Centre],$A517),"")</f>
        <v/>
      </c>
      <c r="G517" s="63">
        <f>IFERROR(INDEX(tbl_Finance[Ex GST],$A517),"")</f>
        <v/>
      </c>
      <c r="H517" s="61">
        <f>IFERROR(INDEX(tbl_Finance[Defer Start],$A517),"")</f>
        <v/>
      </c>
      <c r="I517" s="61">
        <f>IFERROR(INDEX(tbl_Finance[Defer End],$A517),"")</f>
        <v/>
      </c>
      <c r="J517" s="60">
        <f>IF(OR($H517="",$I517="",$G517=""),"",MAX(1,(YEAR($I517)-YEAR($H517))*12+MONTH($I517)-MONTH($H517)+1))</f>
        <v/>
      </c>
      <c r="K517" s="63">
        <f>IF($J517="","",$G517/$J517)</f>
        <v/>
      </c>
      <c r="L517" s="63">
        <f>IF($J517="",0,$K517*MAX(0,MIN(YEAR($C$3)*12+MONTH($C$3),YEAR($I517)*12+MONTH($I517))-(YEAR($H517)*12+MONTH($H517))+1))</f>
        <v/>
      </c>
      <c r="M517" s="63">
        <f>IF($J517="",0,$K517*MAX(0,MIN(YEAR($C$3)*12+MONTH($C$3)-1,YEAR($I517)*12+MONTH($I517))-(YEAR($H517)*12+MONTH($H517))+1))</f>
        <v/>
      </c>
      <c r="N517" s="63">
        <f>IF(OR($J517="",$B517=""),0,IF(YEAR($B517)*12+MONTH($B517)&lt;=YEAR($C$3)*12+MONTH($C$3),$G517,0))</f>
        <v/>
      </c>
      <c r="O517" s="63">
        <f>IF(OR($J517="",$B517=""),0,IF(YEAR($B517)*12+MONTH($B517)&lt;=YEAR($C$3)*12+MONTH($C$3)-1,$G517,0))</f>
        <v/>
      </c>
      <c r="P517" s="63">
        <f>$M517-$O517</f>
        <v/>
      </c>
      <c r="Q517" s="63">
        <f>($L517-$M517)-($N517-$O517)</f>
        <v/>
      </c>
      <c r="R517" s="63">
        <f>$L517-$N517</f>
        <v/>
      </c>
    </row>
    <row r="518">
      <c r="A518" s="60">
        <f>ROW()-5</f>
        <v/>
      </c>
      <c r="B518" s="61">
        <f>IFERROR(INDEX(tbl_Finance[Date],$A518),"")</f>
        <v/>
      </c>
      <c r="C518" s="62">
        <f>IFERROR(INDEX(tbl_Finance[Xero Invoice No],$A518),"")</f>
        <v/>
      </c>
      <c r="D518" s="62">
        <f>IFERROR(INDEX(tbl_Finance[Client],$A518),"")</f>
        <v/>
      </c>
      <c r="E518" s="62">
        <f>IFERROR(INDEX(tbl_Finance[Job Number],$A518),"")</f>
        <v/>
      </c>
      <c r="F518" s="62">
        <f>IFERROR(INDEX(tbl_Finance[Cost Centre],$A518),"")</f>
        <v/>
      </c>
      <c r="G518" s="63">
        <f>IFERROR(INDEX(tbl_Finance[Ex GST],$A518),"")</f>
        <v/>
      </c>
      <c r="H518" s="61">
        <f>IFERROR(INDEX(tbl_Finance[Defer Start],$A518),"")</f>
        <v/>
      </c>
      <c r="I518" s="61">
        <f>IFERROR(INDEX(tbl_Finance[Defer End],$A518),"")</f>
        <v/>
      </c>
      <c r="J518" s="60">
        <f>IF(OR($H518="",$I518="",$G518=""),"",MAX(1,(YEAR($I518)-YEAR($H518))*12+MONTH($I518)-MONTH($H518)+1))</f>
        <v/>
      </c>
      <c r="K518" s="63">
        <f>IF($J518="","",$G518/$J518)</f>
        <v/>
      </c>
      <c r="L518" s="63">
        <f>IF($J518="",0,$K518*MAX(0,MIN(YEAR($C$3)*12+MONTH($C$3),YEAR($I518)*12+MONTH($I518))-(YEAR($H518)*12+MONTH($H518))+1))</f>
        <v/>
      </c>
      <c r="M518" s="63">
        <f>IF($J518="",0,$K518*MAX(0,MIN(YEAR($C$3)*12+MONTH($C$3)-1,YEAR($I518)*12+MONTH($I518))-(YEAR($H518)*12+MONTH($H518))+1))</f>
        <v/>
      </c>
      <c r="N518" s="63">
        <f>IF(OR($J518="",$B518=""),0,IF(YEAR($B518)*12+MONTH($B518)&lt;=YEAR($C$3)*12+MONTH($C$3),$G518,0))</f>
        <v/>
      </c>
      <c r="O518" s="63">
        <f>IF(OR($J518="",$B518=""),0,IF(YEAR($B518)*12+MONTH($B518)&lt;=YEAR($C$3)*12+MONTH($C$3)-1,$G518,0))</f>
        <v/>
      </c>
      <c r="P518" s="63">
        <f>$M518-$O518</f>
        <v/>
      </c>
      <c r="Q518" s="63">
        <f>($L518-$M518)-($N518-$O518)</f>
        <v/>
      </c>
      <c r="R518" s="63">
        <f>$L518-$N518</f>
        <v/>
      </c>
    </row>
    <row r="519">
      <c r="A519" s="60">
        <f>ROW()-5</f>
        <v/>
      </c>
      <c r="B519" s="61">
        <f>IFERROR(INDEX(tbl_Finance[Date],$A519),"")</f>
        <v/>
      </c>
      <c r="C519" s="62">
        <f>IFERROR(INDEX(tbl_Finance[Xero Invoice No],$A519),"")</f>
        <v/>
      </c>
      <c r="D519" s="62">
        <f>IFERROR(INDEX(tbl_Finance[Client],$A519),"")</f>
        <v/>
      </c>
      <c r="E519" s="62">
        <f>IFERROR(INDEX(tbl_Finance[Job Number],$A519),"")</f>
        <v/>
      </c>
      <c r="F519" s="62">
        <f>IFERROR(INDEX(tbl_Finance[Cost Centre],$A519),"")</f>
        <v/>
      </c>
      <c r="G519" s="63">
        <f>IFERROR(INDEX(tbl_Finance[Ex GST],$A519),"")</f>
        <v/>
      </c>
      <c r="H519" s="61">
        <f>IFERROR(INDEX(tbl_Finance[Defer Start],$A519),"")</f>
        <v/>
      </c>
      <c r="I519" s="61">
        <f>IFERROR(INDEX(tbl_Finance[Defer End],$A519),"")</f>
        <v/>
      </c>
      <c r="J519" s="60">
        <f>IF(OR($H519="",$I519="",$G519=""),"",MAX(1,(YEAR($I519)-YEAR($H519))*12+MONTH($I519)-MONTH($H519)+1))</f>
        <v/>
      </c>
      <c r="K519" s="63">
        <f>IF($J519="","",$G519/$J519)</f>
        <v/>
      </c>
      <c r="L519" s="63">
        <f>IF($J519="",0,$K519*MAX(0,MIN(YEAR($C$3)*12+MONTH($C$3),YEAR($I519)*12+MONTH($I519))-(YEAR($H519)*12+MONTH($H519))+1))</f>
        <v/>
      </c>
      <c r="M519" s="63">
        <f>IF($J519="",0,$K519*MAX(0,MIN(YEAR($C$3)*12+MONTH($C$3)-1,YEAR($I519)*12+MONTH($I519))-(YEAR($H519)*12+MONTH($H519))+1))</f>
        <v/>
      </c>
      <c r="N519" s="63">
        <f>IF(OR($J519="",$B519=""),0,IF(YEAR($B519)*12+MONTH($B519)&lt;=YEAR($C$3)*12+MONTH($C$3),$G519,0))</f>
        <v/>
      </c>
      <c r="O519" s="63">
        <f>IF(OR($J519="",$B519=""),0,IF(YEAR($B519)*12+MONTH($B519)&lt;=YEAR($C$3)*12+MONTH($C$3)-1,$G519,0))</f>
        <v/>
      </c>
      <c r="P519" s="63">
        <f>$M519-$O519</f>
        <v/>
      </c>
      <c r="Q519" s="63">
        <f>($L519-$M519)-($N519-$O519)</f>
        <v/>
      </c>
      <c r="R519" s="63">
        <f>$L519-$N519</f>
        <v/>
      </c>
    </row>
    <row r="520">
      <c r="A520" s="60">
        <f>ROW()-5</f>
        <v/>
      </c>
      <c r="B520" s="61">
        <f>IFERROR(INDEX(tbl_Finance[Date],$A520),"")</f>
        <v/>
      </c>
      <c r="C520" s="62">
        <f>IFERROR(INDEX(tbl_Finance[Xero Invoice No],$A520),"")</f>
        <v/>
      </c>
      <c r="D520" s="62">
        <f>IFERROR(INDEX(tbl_Finance[Client],$A520),"")</f>
        <v/>
      </c>
      <c r="E520" s="62">
        <f>IFERROR(INDEX(tbl_Finance[Job Number],$A520),"")</f>
        <v/>
      </c>
      <c r="F520" s="62">
        <f>IFERROR(INDEX(tbl_Finance[Cost Centre],$A520),"")</f>
        <v/>
      </c>
      <c r="G520" s="63">
        <f>IFERROR(INDEX(tbl_Finance[Ex GST],$A520),"")</f>
        <v/>
      </c>
      <c r="H520" s="61">
        <f>IFERROR(INDEX(tbl_Finance[Defer Start],$A520),"")</f>
        <v/>
      </c>
      <c r="I520" s="61">
        <f>IFERROR(INDEX(tbl_Finance[Defer End],$A520),"")</f>
        <v/>
      </c>
      <c r="J520" s="60">
        <f>IF(OR($H520="",$I520="",$G520=""),"",MAX(1,(YEAR($I520)-YEAR($H520))*12+MONTH($I520)-MONTH($H520)+1))</f>
        <v/>
      </c>
      <c r="K520" s="63">
        <f>IF($J520="","",$G520/$J520)</f>
        <v/>
      </c>
      <c r="L520" s="63">
        <f>IF($J520="",0,$K520*MAX(0,MIN(YEAR($C$3)*12+MONTH($C$3),YEAR($I520)*12+MONTH($I520))-(YEAR($H520)*12+MONTH($H520))+1))</f>
        <v/>
      </c>
      <c r="M520" s="63">
        <f>IF($J520="",0,$K520*MAX(0,MIN(YEAR($C$3)*12+MONTH($C$3)-1,YEAR($I520)*12+MONTH($I520))-(YEAR($H520)*12+MONTH($H520))+1))</f>
        <v/>
      </c>
      <c r="N520" s="63">
        <f>IF(OR($J520="",$B520=""),0,IF(YEAR($B520)*12+MONTH($B520)&lt;=YEAR($C$3)*12+MONTH($C$3),$G520,0))</f>
        <v/>
      </c>
      <c r="O520" s="63">
        <f>IF(OR($J520="",$B520=""),0,IF(YEAR($B520)*12+MONTH($B520)&lt;=YEAR($C$3)*12+MONTH($C$3)-1,$G520,0))</f>
        <v/>
      </c>
      <c r="P520" s="63">
        <f>$M520-$O520</f>
        <v/>
      </c>
      <c r="Q520" s="63">
        <f>($L520-$M520)-($N520-$O520)</f>
        <v/>
      </c>
      <c r="R520" s="63">
        <f>$L520-$N520</f>
        <v/>
      </c>
    </row>
    <row r="521">
      <c r="A521" s="60">
        <f>ROW()-5</f>
        <v/>
      </c>
      <c r="B521" s="61">
        <f>IFERROR(INDEX(tbl_Finance[Date],$A521),"")</f>
        <v/>
      </c>
      <c r="C521" s="62">
        <f>IFERROR(INDEX(tbl_Finance[Xero Invoice No],$A521),"")</f>
        <v/>
      </c>
      <c r="D521" s="62">
        <f>IFERROR(INDEX(tbl_Finance[Client],$A521),"")</f>
        <v/>
      </c>
      <c r="E521" s="62">
        <f>IFERROR(INDEX(tbl_Finance[Job Number],$A521),"")</f>
        <v/>
      </c>
      <c r="F521" s="62">
        <f>IFERROR(INDEX(tbl_Finance[Cost Centre],$A521),"")</f>
        <v/>
      </c>
      <c r="G521" s="63">
        <f>IFERROR(INDEX(tbl_Finance[Ex GST],$A521),"")</f>
        <v/>
      </c>
      <c r="H521" s="61">
        <f>IFERROR(INDEX(tbl_Finance[Defer Start],$A521),"")</f>
        <v/>
      </c>
      <c r="I521" s="61">
        <f>IFERROR(INDEX(tbl_Finance[Defer End],$A521),"")</f>
        <v/>
      </c>
      <c r="J521" s="60">
        <f>IF(OR($H521="",$I521="",$G521=""),"",MAX(1,(YEAR($I521)-YEAR($H521))*12+MONTH($I521)-MONTH($H521)+1))</f>
        <v/>
      </c>
      <c r="K521" s="63">
        <f>IF($J521="","",$G521/$J521)</f>
        <v/>
      </c>
      <c r="L521" s="63">
        <f>IF($J521="",0,$K521*MAX(0,MIN(YEAR($C$3)*12+MONTH($C$3),YEAR($I521)*12+MONTH($I521))-(YEAR($H521)*12+MONTH($H521))+1))</f>
        <v/>
      </c>
      <c r="M521" s="63">
        <f>IF($J521="",0,$K521*MAX(0,MIN(YEAR($C$3)*12+MONTH($C$3)-1,YEAR($I521)*12+MONTH($I521))-(YEAR($H521)*12+MONTH($H521))+1))</f>
        <v/>
      </c>
      <c r="N521" s="63">
        <f>IF(OR($J521="",$B521=""),0,IF(YEAR($B521)*12+MONTH($B521)&lt;=YEAR($C$3)*12+MONTH($C$3),$G521,0))</f>
        <v/>
      </c>
      <c r="O521" s="63">
        <f>IF(OR($J521="",$B521=""),0,IF(YEAR($B521)*12+MONTH($B521)&lt;=YEAR($C$3)*12+MONTH($C$3)-1,$G521,0))</f>
        <v/>
      </c>
      <c r="P521" s="63">
        <f>$M521-$O521</f>
        <v/>
      </c>
      <c r="Q521" s="63">
        <f>($L521-$M521)-($N521-$O521)</f>
        <v/>
      </c>
      <c r="R521" s="63">
        <f>$L521-$N521</f>
        <v/>
      </c>
    </row>
    <row r="522">
      <c r="A522" s="60">
        <f>ROW()-5</f>
        <v/>
      </c>
      <c r="B522" s="61">
        <f>IFERROR(INDEX(tbl_Finance[Date],$A522),"")</f>
        <v/>
      </c>
      <c r="C522" s="62">
        <f>IFERROR(INDEX(tbl_Finance[Xero Invoice No],$A522),"")</f>
        <v/>
      </c>
      <c r="D522" s="62">
        <f>IFERROR(INDEX(tbl_Finance[Client],$A522),"")</f>
        <v/>
      </c>
      <c r="E522" s="62">
        <f>IFERROR(INDEX(tbl_Finance[Job Number],$A522),"")</f>
        <v/>
      </c>
      <c r="F522" s="62">
        <f>IFERROR(INDEX(tbl_Finance[Cost Centre],$A522),"")</f>
        <v/>
      </c>
      <c r="G522" s="63">
        <f>IFERROR(INDEX(tbl_Finance[Ex GST],$A522),"")</f>
        <v/>
      </c>
      <c r="H522" s="61">
        <f>IFERROR(INDEX(tbl_Finance[Defer Start],$A522),"")</f>
        <v/>
      </c>
      <c r="I522" s="61">
        <f>IFERROR(INDEX(tbl_Finance[Defer End],$A522),"")</f>
        <v/>
      </c>
      <c r="J522" s="60">
        <f>IF(OR($H522="",$I522="",$G522=""),"",MAX(1,(YEAR($I522)-YEAR($H522))*12+MONTH($I522)-MONTH($H522)+1))</f>
        <v/>
      </c>
      <c r="K522" s="63">
        <f>IF($J522="","",$G522/$J522)</f>
        <v/>
      </c>
      <c r="L522" s="63">
        <f>IF($J522="",0,$K522*MAX(0,MIN(YEAR($C$3)*12+MONTH($C$3),YEAR($I522)*12+MONTH($I522))-(YEAR($H522)*12+MONTH($H522))+1))</f>
        <v/>
      </c>
      <c r="M522" s="63">
        <f>IF($J522="",0,$K522*MAX(0,MIN(YEAR($C$3)*12+MONTH($C$3)-1,YEAR($I522)*12+MONTH($I522))-(YEAR($H522)*12+MONTH($H522))+1))</f>
        <v/>
      </c>
      <c r="N522" s="63">
        <f>IF(OR($J522="",$B522=""),0,IF(YEAR($B522)*12+MONTH($B522)&lt;=YEAR($C$3)*12+MONTH($C$3),$G522,0))</f>
        <v/>
      </c>
      <c r="O522" s="63">
        <f>IF(OR($J522="",$B522=""),0,IF(YEAR($B522)*12+MONTH($B522)&lt;=YEAR($C$3)*12+MONTH($C$3)-1,$G522,0))</f>
        <v/>
      </c>
      <c r="P522" s="63">
        <f>$M522-$O522</f>
        <v/>
      </c>
      <c r="Q522" s="63">
        <f>($L522-$M522)-($N522-$O522)</f>
        <v/>
      </c>
      <c r="R522" s="63">
        <f>$L522-$N522</f>
        <v/>
      </c>
    </row>
    <row r="523">
      <c r="A523" s="60">
        <f>ROW()-5</f>
        <v/>
      </c>
      <c r="B523" s="61">
        <f>IFERROR(INDEX(tbl_Finance[Date],$A523),"")</f>
        <v/>
      </c>
      <c r="C523" s="62">
        <f>IFERROR(INDEX(tbl_Finance[Xero Invoice No],$A523),"")</f>
        <v/>
      </c>
      <c r="D523" s="62">
        <f>IFERROR(INDEX(tbl_Finance[Client],$A523),"")</f>
        <v/>
      </c>
      <c r="E523" s="62">
        <f>IFERROR(INDEX(tbl_Finance[Job Number],$A523),"")</f>
        <v/>
      </c>
      <c r="F523" s="62">
        <f>IFERROR(INDEX(tbl_Finance[Cost Centre],$A523),"")</f>
        <v/>
      </c>
      <c r="G523" s="63">
        <f>IFERROR(INDEX(tbl_Finance[Ex GST],$A523),"")</f>
        <v/>
      </c>
      <c r="H523" s="61">
        <f>IFERROR(INDEX(tbl_Finance[Defer Start],$A523),"")</f>
        <v/>
      </c>
      <c r="I523" s="61">
        <f>IFERROR(INDEX(tbl_Finance[Defer End],$A523),"")</f>
        <v/>
      </c>
      <c r="J523" s="60">
        <f>IF(OR($H523="",$I523="",$G523=""),"",MAX(1,(YEAR($I523)-YEAR($H523))*12+MONTH($I523)-MONTH($H523)+1))</f>
        <v/>
      </c>
      <c r="K523" s="63">
        <f>IF($J523="","",$G523/$J523)</f>
        <v/>
      </c>
      <c r="L523" s="63">
        <f>IF($J523="",0,$K523*MAX(0,MIN(YEAR($C$3)*12+MONTH($C$3),YEAR($I523)*12+MONTH($I523))-(YEAR($H523)*12+MONTH($H523))+1))</f>
        <v/>
      </c>
      <c r="M523" s="63">
        <f>IF($J523="",0,$K523*MAX(0,MIN(YEAR($C$3)*12+MONTH($C$3)-1,YEAR($I523)*12+MONTH($I523))-(YEAR($H523)*12+MONTH($H523))+1))</f>
        <v/>
      </c>
      <c r="N523" s="63">
        <f>IF(OR($J523="",$B523=""),0,IF(YEAR($B523)*12+MONTH($B523)&lt;=YEAR($C$3)*12+MONTH($C$3),$G523,0))</f>
        <v/>
      </c>
      <c r="O523" s="63">
        <f>IF(OR($J523="",$B523=""),0,IF(YEAR($B523)*12+MONTH($B523)&lt;=YEAR($C$3)*12+MONTH($C$3)-1,$G523,0))</f>
        <v/>
      </c>
      <c r="P523" s="63">
        <f>$M523-$O523</f>
        <v/>
      </c>
      <c r="Q523" s="63">
        <f>($L523-$M523)-($N523-$O523)</f>
        <v/>
      </c>
      <c r="R523" s="63">
        <f>$L523-$N523</f>
        <v/>
      </c>
    </row>
    <row r="524">
      <c r="A524" s="60">
        <f>ROW()-5</f>
        <v/>
      </c>
      <c r="B524" s="61">
        <f>IFERROR(INDEX(tbl_Finance[Date],$A524),"")</f>
        <v/>
      </c>
      <c r="C524" s="62">
        <f>IFERROR(INDEX(tbl_Finance[Xero Invoice No],$A524),"")</f>
        <v/>
      </c>
      <c r="D524" s="62">
        <f>IFERROR(INDEX(tbl_Finance[Client],$A524),"")</f>
        <v/>
      </c>
      <c r="E524" s="62">
        <f>IFERROR(INDEX(tbl_Finance[Job Number],$A524),"")</f>
        <v/>
      </c>
      <c r="F524" s="62">
        <f>IFERROR(INDEX(tbl_Finance[Cost Centre],$A524),"")</f>
        <v/>
      </c>
      <c r="G524" s="63">
        <f>IFERROR(INDEX(tbl_Finance[Ex GST],$A524),"")</f>
        <v/>
      </c>
      <c r="H524" s="61">
        <f>IFERROR(INDEX(tbl_Finance[Defer Start],$A524),"")</f>
        <v/>
      </c>
      <c r="I524" s="61">
        <f>IFERROR(INDEX(tbl_Finance[Defer End],$A524),"")</f>
        <v/>
      </c>
      <c r="J524" s="60">
        <f>IF(OR($H524="",$I524="",$G524=""),"",MAX(1,(YEAR($I524)-YEAR($H524))*12+MONTH($I524)-MONTH($H524)+1))</f>
        <v/>
      </c>
      <c r="K524" s="63">
        <f>IF($J524="","",$G524/$J524)</f>
        <v/>
      </c>
      <c r="L524" s="63">
        <f>IF($J524="",0,$K524*MAX(0,MIN(YEAR($C$3)*12+MONTH($C$3),YEAR($I524)*12+MONTH($I524))-(YEAR($H524)*12+MONTH($H524))+1))</f>
        <v/>
      </c>
      <c r="M524" s="63">
        <f>IF($J524="",0,$K524*MAX(0,MIN(YEAR($C$3)*12+MONTH($C$3)-1,YEAR($I524)*12+MONTH($I524))-(YEAR($H524)*12+MONTH($H524))+1))</f>
        <v/>
      </c>
      <c r="N524" s="63">
        <f>IF(OR($J524="",$B524=""),0,IF(YEAR($B524)*12+MONTH($B524)&lt;=YEAR($C$3)*12+MONTH($C$3),$G524,0))</f>
        <v/>
      </c>
      <c r="O524" s="63">
        <f>IF(OR($J524="",$B524=""),0,IF(YEAR($B524)*12+MONTH($B524)&lt;=YEAR($C$3)*12+MONTH($C$3)-1,$G524,0))</f>
        <v/>
      </c>
      <c r="P524" s="63">
        <f>$M524-$O524</f>
        <v/>
      </c>
      <c r="Q524" s="63">
        <f>($L524-$M524)-($N524-$O524)</f>
        <v/>
      </c>
      <c r="R524" s="63">
        <f>$L524-$N524</f>
        <v/>
      </c>
    </row>
    <row r="525">
      <c r="A525" s="60">
        <f>ROW()-5</f>
        <v/>
      </c>
      <c r="B525" s="61">
        <f>IFERROR(INDEX(tbl_Finance[Date],$A525),"")</f>
        <v/>
      </c>
      <c r="C525" s="62">
        <f>IFERROR(INDEX(tbl_Finance[Xero Invoice No],$A525),"")</f>
        <v/>
      </c>
      <c r="D525" s="62">
        <f>IFERROR(INDEX(tbl_Finance[Client],$A525),"")</f>
        <v/>
      </c>
      <c r="E525" s="62">
        <f>IFERROR(INDEX(tbl_Finance[Job Number],$A525),"")</f>
        <v/>
      </c>
      <c r="F525" s="62">
        <f>IFERROR(INDEX(tbl_Finance[Cost Centre],$A525),"")</f>
        <v/>
      </c>
      <c r="G525" s="63">
        <f>IFERROR(INDEX(tbl_Finance[Ex GST],$A525),"")</f>
        <v/>
      </c>
      <c r="H525" s="61">
        <f>IFERROR(INDEX(tbl_Finance[Defer Start],$A525),"")</f>
        <v/>
      </c>
      <c r="I525" s="61">
        <f>IFERROR(INDEX(tbl_Finance[Defer End],$A525),"")</f>
        <v/>
      </c>
      <c r="J525" s="60">
        <f>IF(OR($H525="",$I525="",$G525=""),"",MAX(1,(YEAR($I525)-YEAR($H525))*12+MONTH($I525)-MONTH($H525)+1))</f>
        <v/>
      </c>
      <c r="K525" s="63">
        <f>IF($J525="","",$G525/$J525)</f>
        <v/>
      </c>
      <c r="L525" s="63">
        <f>IF($J525="",0,$K525*MAX(0,MIN(YEAR($C$3)*12+MONTH($C$3),YEAR($I525)*12+MONTH($I525))-(YEAR($H525)*12+MONTH($H525))+1))</f>
        <v/>
      </c>
      <c r="M525" s="63">
        <f>IF($J525="",0,$K525*MAX(0,MIN(YEAR($C$3)*12+MONTH($C$3)-1,YEAR($I525)*12+MONTH($I525))-(YEAR($H525)*12+MONTH($H525))+1))</f>
        <v/>
      </c>
      <c r="N525" s="63">
        <f>IF(OR($J525="",$B525=""),0,IF(YEAR($B525)*12+MONTH($B525)&lt;=YEAR($C$3)*12+MONTH($C$3),$G525,0))</f>
        <v/>
      </c>
      <c r="O525" s="63">
        <f>IF(OR($J525="",$B525=""),0,IF(YEAR($B525)*12+MONTH($B525)&lt;=YEAR($C$3)*12+MONTH($C$3)-1,$G525,0))</f>
        <v/>
      </c>
      <c r="P525" s="63">
        <f>$M525-$O525</f>
        <v/>
      </c>
      <c r="Q525" s="63">
        <f>($L525-$M525)-($N525-$O525)</f>
        <v/>
      </c>
      <c r="R525" s="63">
        <f>$L525-$N525</f>
        <v/>
      </c>
    </row>
    <row r="526">
      <c r="A526" s="60">
        <f>ROW()-5</f>
        <v/>
      </c>
      <c r="B526" s="61">
        <f>IFERROR(INDEX(tbl_Finance[Date],$A526),"")</f>
        <v/>
      </c>
      <c r="C526" s="62">
        <f>IFERROR(INDEX(tbl_Finance[Xero Invoice No],$A526),"")</f>
        <v/>
      </c>
      <c r="D526" s="62">
        <f>IFERROR(INDEX(tbl_Finance[Client],$A526),"")</f>
        <v/>
      </c>
      <c r="E526" s="62">
        <f>IFERROR(INDEX(tbl_Finance[Job Number],$A526),"")</f>
        <v/>
      </c>
      <c r="F526" s="62">
        <f>IFERROR(INDEX(tbl_Finance[Cost Centre],$A526),"")</f>
        <v/>
      </c>
      <c r="G526" s="63">
        <f>IFERROR(INDEX(tbl_Finance[Ex GST],$A526),"")</f>
        <v/>
      </c>
      <c r="H526" s="61">
        <f>IFERROR(INDEX(tbl_Finance[Defer Start],$A526),"")</f>
        <v/>
      </c>
      <c r="I526" s="61">
        <f>IFERROR(INDEX(tbl_Finance[Defer End],$A526),"")</f>
        <v/>
      </c>
      <c r="J526" s="60">
        <f>IF(OR($H526="",$I526="",$G526=""),"",MAX(1,(YEAR($I526)-YEAR($H526))*12+MONTH($I526)-MONTH($H526)+1))</f>
        <v/>
      </c>
      <c r="K526" s="63">
        <f>IF($J526="","",$G526/$J526)</f>
        <v/>
      </c>
      <c r="L526" s="63">
        <f>IF($J526="",0,$K526*MAX(0,MIN(YEAR($C$3)*12+MONTH($C$3),YEAR($I526)*12+MONTH($I526))-(YEAR($H526)*12+MONTH($H526))+1))</f>
        <v/>
      </c>
      <c r="M526" s="63">
        <f>IF($J526="",0,$K526*MAX(0,MIN(YEAR($C$3)*12+MONTH($C$3)-1,YEAR($I526)*12+MONTH($I526))-(YEAR($H526)*12+MONTH($H526))+1))</f>
        <v/>
      </c>
      <c r="N526" s="63">
        <f>IF(OR($J526="",$B526=""),0,IF(YEAR($B526)*12+MONTH($B526)&lt;=YEAR($C$3)*12+MONTH($C$3),$G526,0))</f>
        <v/>
      </c>
      <c r="O526" s="63">
        <f>IF(OR($J526="",$B526=""),0,IF(YEAR($B526)*12+MONTH($B526)&lt;=YEAR($C$3)*12+MONTH($C$3)-1,$G526,0))</f>
        <v/>
      </c>
      <c r="P526" s="63">
        <f>$M526-$O526</f>
        <v/>
      </c>
      <c r="Q526" s="63">
        <f>($L526-$M526)-($N526-$O526)</f>
        <v/>
      </c>
      <c r="R526" s="63">
        <f>$L526-$N526</f>
        <v/>
      </c>
    </row>
    <row r="527">
      <c r="A527" s="60">
        <f>ROW()-5</f>
        <v/>
      </c>
      <c r="B527" s="61">
        <f>IFERROR(INDEX(tbl_Finance[Date],$A527),"")</f>
        <v/>
      </c>
      <c r="C527" s="62">
        <f>IFERROR(INDEX(tbl_Finance[Xero Invoice No],$A527),"")</f>
        <v/>
      </c>
      <c r="D527" s="62">
        <f>IFERROR(INDEX(tbl_Finance[Client],$A527),"")</f>
        <v/>
      </c>
      <c r="E527" s="62">
        <f>IFERROR(INDEX(tbl_Finance[Job Number],$A527),"")</f>
        <v/>
      </c>
      <c r="F527" s="62">
        <f>IFERROR(INDEX(tbl_Finance[Cost Centre],$A527),"")</f>
        <v/>
      </c>
      <c r="G527" s="63">
        <f>IFERROR(INDEX(tbl_Finance[Ex GST],$A527),"")</f>
        <v/>
      </c>
      <c r="H527" s="61">
        <f>IFERROR(INDEX(tbl_Finance[Defer Start],$A527),"")</f>
        <v/>
      </c>
      <c r="I527" s="61">
        <f>IFERROR(INDEX(tbl_Finance[Defer End],$A527),"")</f>
        <v/>
      </c>
      <c r="J527" s="60">
        <f>IF(OR($H527="",$I527="",$G527=""),"",MAX(1,(YEAR($I527)-YEAR($H527))*12+MONTH($I527)-MONTH($H527)+1))</f>
        <v/>
      </c>
      <c r="K527" s="63">
        <f>IF($J527="","",$G527/$J527)</f>
        <v/>
      </c>
      <c r="L527" s="63">
        <f>IF($J527="",0,$K527*MAX(0,MIN(YEAR($C$3)*12+MONTH($C$3),YEAR($I527)*12+MONTH($I527))-(YEAR($H527)*12+MONTH($H527))+1))</f>
        <v/>
      </c>
      <c r="M527" s="63">
        <f>IF($J527="",0,$K527*MAX(0,MIN(YEAR($C$3)*12+MONTH($C$3)-1,YEAR($I527)*12+MONTH($I527))-(YEAR($H527)*12+MONTH($H527))+1))</f>
        <v/>
      </c>
      <c r="N527" s="63">
        <f>IF(OR($J527="",$B527=""),0,IF(YEAR($B527)*12+MONTH($B527)&lt;=YEAR($C$3)*12+MONTH($C$3),$G527,0))</f>
        <v/>
      </c>
      <c r="O527" s="63">
        <f>IF(OR($J527="",$B527=""),0,IF(YEAR($B527)*12+MONTH($B527)&lt;=YEAR($C$3)*12+MONTH($C$3)-1,$G527,0))</f>
        <v/>
      </c>
      <c r="P527" s="63">
        <f>$M527-$O527</f>
        <v/>
      </c>
      <c r="Q527" s="63">
        <f>($L527-$M527)-($N527-$O527)</f>
        <v/>
      </c>
      <c r="R527" s="63">
        <f>$L527-$N527</f>
        <v/>
      </c>
    </row>
    <row r="528">
      <c r="A528" s="60">
        <f>ROW()-5</f>
        <v/>
      </c>
      <c r="B528" s="61">
        <f>IFERROR(INDEX(tbl_Finance[Date],$A528),"")</f>
        <v/>
      </c>
      <c r="C528" s="62">
        <f>IFERROR(INDEX(tbl_Finance[Xero Invoice No],$A528),"")</f>
        <v/>
      </c>
      <c r="D528" s="62">
        <f>IFERROR(INDEX(tbl_Finance[Client],$A528),"")</f>
        <v/>
      </c>
      <c r="E528" s="62">
        <f>IFERROR(INDEX(tbl_Finance[Job Number],$A528),"")</f>
        <v/>
      </c>
      <c r="F528" s="62">
        <f>IFERROR(INDEX(tbl_Finance[Cost Centre],$A528),"")</f>
        <v/>
      </c>
      <c r="G528" s="63">
        <f>IFERROR(INDEX(tbl_Finance[Ex GST],$A528),"")</f>
        <v/>
      </c>
      <c r="H528" s="61">
        <f>IFERROR(INDEX(tbl_Finance[Defer Start],$A528),"")</f>
        <v/>
      </c>
      <c r="I528" s="61">
        <f>IFERROR(INDEX(tbl_Finance[Defer End],$A528),"")</f>
        <v/>
      </c>
      <c r="J528" s="60">
        <f>IF(OR($H528="",$I528="",$G528=""),"",MAX(1,(YEAR($I528)-YEAR($H528))*12+MONTH($I528)-MONTH($H528)+1))</f>
        <v/>
      </c>
      <c r="K528" s="63">
        <f>IF($J528="","",$G528/$J528)</f>
        <v/>
      </c>
      <c r="L528" s="63">
        <f>IF($J528="",0,$K528*MAX(0,MIN(YEAR($C$3)*12+MONTH($C$3),YEAR($I528)*12+MONTH($I528))-(YEAR($H528)*12+MONTH($H528))+1))</f>
        <v/>
      </c>
      <c r="M528" s="63">
        <f>IF($J528="",0,$K528*MAX(0,MIN(YEAR($C$3)*12+MONTH($C$3)-1,YEAR($I528)*12+MONTH($I528))-(YEAR($H528)*12+MONTH($H528))+1))</f>
        <v/>
      </c>
      <c r="N528" s="63">
        <f>IF(OR($J528="",$B528=""),0,IF(YEAR($B528)*12+MONTH($B528)&lt;=YEAR($C$3)*12+MONTH($C$3),$G528,0))</f>
        <v/>
      </c>
      <c r="O528" s="63">
        <f>IF(OR($J528="",$B528=""),0,IF(YEAR($B528)*12+MONTH($B528)&lt;=YEAR($C$3)*12+MONTH($C$3)-1,$G528,0))</f>
        <v/>
      </c>
      <c r="P528" s="63">
        <f>$M528-$O528</f>
        <v/>
      </c>
      <c r="Q528" s="63">
        <f>($L528-$M528)-($N528-$O528)</f>
        <v/>
      </c>
      <c r="R528" s="63">
        <f>$L528-$N528</f>
        <v/>
      </c>
    </row>
    <row r="529">
      <c r="A529" s="60">
        <f>ROW()-5</f>
        <v/>
      </c>
      <c r="B529" s="61">
        <f>IFERROR(INDEX(tbl_Finance[Date],$A529),"")</f>
        <v/>
      </c>
      <c r="C529" s="62">
        <f>IFERROR(INDEX(tbl_Finance[Xero Invoice No],$A529),"")</f>
        <v/>
      </c>
      <c r="D529" s="62">
        <f>IFERROR(INDEX(tbl_Finance[Client],$A529),"")</f>
        <v/>
      </c>
      <c r="E529" s="62">
        <f>IFERROR(INDEX(tbl_Finance[Job Number],$A529),"")</f>
        <v/>
      </c>
      <c r="F529" s="62">
        <f>IFERROR(INDEX(tbl_Finance[Cost Centre],$A529),"")</f>
        <v/>
      </c>
      <c r="G529" s="63">
        <f>IFERROR(INDEX(tbl_Finance[Ex GST],$A529),"")</f>
        <v/>
      </c>
      <c r="H529" s="61">
        <f>IFERROR(INDEX(tbl_Finance[Defer Start],$A529),"")</f>
        <v/>
      </c>
      <c r="I529" s="61">
        <f>IFERROR(INDEX(tbl_Finance[Defer End],$A529),"")</f>
        <v/>
      </c>
      <c r="J529" s="60">
        <f>IF(OR($H529="",$I529="",$G529=""),"",MAX(1,(YEAR($I529)-YEAR($H529))*12+MONTH($I529)-MONTH($H529)+1))</f>
        <v/>
      </c>
      <c r="K529" s="63">
        <f>IF($J529="","",$G529/$J529)</f>
        <v/>
      </c>
      <c r="L529" s="63">
        <f>IF($J529="",0,$K529*MAX(0,MIN(YEAR($C$3)*12+MONTH($C$3),YEAR($I529)*12+MONTH($I529))-(YEAR($H529)*12+MONTH($H529))+1))</f>
        <v/>
      </c>
      <c r="M529" s="63">
        <f>IF($J529="",0,$K529*MAX(0,MIN(YEAR($C$3)*12+MONTH($C$3)-1,YEAR($I529)*12+MONTH($I529))-(YEAR($H529)*12+MONTH($H529))+1))</f>
        <v/>
      </c>
      <c r="N529" s="63">
        <f>IF(OR($J529="",$B529=""),0,IF(YEAR($B529)*12+MONTH($B529)&lt;=YEAR($C$3)*12+MONTH($C$3),$G529,0))</f>
        <v/>
      </c>
      <c r="O529" s="63">
        <f>IF(OR($J529="",$B529=""),0,IF(YEAR($B529)*12+MONTH($B529)&lt;=YEAR($C$3)*12+MONTH($C$3)-1,$G529,0))</f>
        <v/>
      </c>
      <c r="P529" s="63">
        <f>$M529-$O529</f>
        <v/>
      </c>
      <c r="Q529" s="63">
        <f>($L529-$M529)-($N529-$O529)</f>
        <v/>
      </c>
      <c r="R529" s="63">
        <f>$L529-$N529</f>
        <v/>
      </c>
    </row>
    <row r="530">
      <c r="A530" s="60">
        <f>ROW()-5</f>
        <v/>
      </c>
      <c r="B530" s="61">
        <f>IFERROR(INDEX(tbl_Finance[Date],$A530),"")</f>
        <v/>
      </c>
      <c r="C530" s="62">
        <f>IFERROR(INDEX(tbl_Finance[Xero Invoice No],$A530),"")</f>
        <v/>
      </c>
      <c r="D530" s="62">
        <f>IFERROR(INDEX(tbl_Finance[Client],$A530),"")</f>
        <v/>
      </c>
      <c r="E530" s="62">
        <f>IFERROR(INDEX(tbl_Finance[Job Number],$A530),"")</f>
        <v/>
      </c>
      <c r="F530" s="62">
        <f>IFERROR(INDEX(tbl_Finance[Cost Centre],$A530),"")</f>
        <v/>
      </c>
      <c r="G530" s="63">
        <f>IFERROR(INDEX(tbl_Finance[Ex GST],$A530),"")</f>
        <v/>
      </c>
      <c r="H530" s="61">
        <f>IFERROR(INDEX(tbl_Finance[Defer Start],$A530),"")</f>
        <v/>
      </c>
      <c r="I530" s="61">
        <f>IFERROR(INDEX(tbl_Finance[Defer End],$A530),"")</f>
        <v/>
      </c>
      <c r="J530" s="60">
        <f>IF(OR($H530="",$I530="",$G530=""),"",MAX(1,(YEAR($I530)-YEAR($H530))*12+MONTH($I530)-MONTH($H530)+1))</f>
        <v/>
      </c>
      <c r="K530" s="63">
        <f>IF($J530="","",$G530/$J530)</f>
        <v/>
      </c>
      <c r="L530" s="63">
        <f>IF($J530="",0,$K530*MAX(0,MIN(YEAR($C$3)*12+MONTH($C$3),YEAR($I530)*12+MONTH($I530))-(YEAR($H530)*12+MONTH($H530))+1))</f>
        <v/>
      </c>
      <c r="M530" s="63">
        <f>IF($J530="",0,$K530*MAX(0,MIN(YEAR($C$3)*12+MONTH($C$3)-1,YEAR($I530)*12+MONTH($I530))-(YEAR($H530)*12+MONTH($H530))+1))</f>
        <v/>
      </c>
      <c r="N530" s="63">
        <f>IF(OR($J530="",$B530=""),0,IF(YEAR($B530)*12+MONTH($B530)&lt;=YEAR($C$3)*12+MONTH($C$3),$G530,0))</f>
        <v/>
      </c>
      <c r="O530" s="63">
        <f>IF(OR($J530="",$B530=""),0,IF(YEAR($B530)*12+MONTH($B530)&lt;=YEAR($C$3)*12+MONTH($C$3)-1,$G530,0))</f>
        <v/>
      </c>
      <c r="P530" s="63">
        <f>$M530-$O530</f>
        <v/>
      </c>
      <c r="Q530" s="63">
        <f>($L530-$M530)-($N530-$O530)</f>
        <v/>
      </c>
      <c r="R530" s="63">
        <f>$L530-$N530</f>
        <v/>
      </c>
    </row>
    <row r="531">
      <c r="A531" s="60">
        <f>ROW()-5</f>
        <v/>
      </c>
      <c r="B531" s="61">
        <f>IFERROR(INDEX(tbl_Finance[Date],$A531),"")</f>
        <v/>
      </c>
      <c r="C531" s="62">
        <f>IFERROR(INDEX(tbl_Finance[Xero Invoice No],$A531),"")</f>
        <v/>
      </c>
      <c r="D531" s="62">
        <f>IFERROR(INDEX(tbl_Finance[Client],$A531),"")</f>
        <v/>
      </c>
      <c r="E531" s="62">
        <f>IFERROR(INDEX(tbl_Finance[Job Number],$A531),"")</f>
        <v/>
      </c>
      <c r="F531" s="62">
        <f>IFERROR(INDEX(tbl_Finance[Cost Centre],$A531),"")</f>
        <v/>
      </c>
      <c r="G531" s="63">
        <f>IFERROR(INDEX(tbl_Finance[Ex GST],$A531),"")</f>
        <v/>
      </c>
      <c r="H531" s="61">
        <f>IFERROR(INDEX(tbl_Finance[Defer Start],$A531),"")</f>
        <v/>
      </c>
      <c r="I531" s="61">
        <f>IFERROR(INDEX(tbl_Finance[Defer End],$A531),"")</f>
        <v/>
      </c>
      <c r="J531" s="60">
        <f>IF(OR($H531="",$I531="",$G531=""),"",MAX(1,(YEAR($I531)-YEAR($H531))*12+MONTH($I531)-MONTH($H531)+1))</f>
        <v/>
      </c>
      <c r="K531" s="63">
        <f>IF($J531="","",$G531/$J531)</f>
        <v/>
      </c>
      <c r="L531" s="63">
        <f>IF($J531="",0,$K531*MAX(0,MIN(YEAR($C$3)*12+MONTH($C$3),YEAR($I531)*12+MONTH($I531))-(YEAR($H531)*12+MONTH($H531))+1))</f>
        <v/>
      </c>
      <c r="M531" s="63">
        <f>IF($J531="",0,$K531*MAX(0,MIN(YEAR($C$3)*12+MONTH($C$3)-1,YEAR($I531)*12+MONTH($I531))-(YEAR($H531)*12+MONTH($H531))+1))</f>
        <v/>
      </c>
      <c r="N531" s="63">
        <f>IF(OR($J531="",$B531=""),0,IF(YEAR($B531)*12+MONTH($B531)&lt;=YEAR($C$3)*12+MONTH($C$3),$G531,0))</f>
        <v/>
      </c>
      <c r="O531" s="63">
        <f>IF(OR($J531="",$B531=""),0,IF(YEAR($B531)*12+MONTH($B531)&lt;=YEAR($C$3)*12+MONTH($C$3)-1,$G531,0))</f>
        <v/>
      </c>
      <c r="P531" s="63">
        <f>$M531-$O531</f>
        <v/>
      </c>
      <c r="Q531" s="63">
        <f>($L531-$M531)-($N531-$O531)</f>
        <v/>
      </c>
      <c r="R531" s="63">
        <f>$L531-$N531</f>
        <v/>
      </c>
    </row>
    <row r="532">
      <c r="A532" s="60">
        <f>ROW()-5</f>
        <v/>
      </c>
      <c r="B532" s="61">
        <f>IFERROR(INDEX(tbl_Finance[Date],$A532),"")</f>
        <v/>
      </c>
      <c r="C532" s="62">
        <f>IFERROR(INDEX(tbl_Finance[Xero Invoice No],$A532),"")</f>
        <v/>
      </c>
      <c r="D532" s="62">
        <f>IFERROR(INDEX(tbl_Finance[Client],$A532),"")</f>
        <v/>
      </c>
      <c r="E532" s="62">
        <f>IFERROR(INDEX(tbl_Finance[Job Number],$A532),"")</f>
        <v/>
      </c>
      <c r="F532" s="62">
        <f>IFERROR(INDEX(tbl_Finance[Cost Centre],$A532),"")</f>
        <v/>
      </c>
      <c r="G532" s="63">
        <f>IFERROR(INDEX(tbl_Finance[Ex GST],$A532),"")</f>
        <v/>
      </c>
      <c r="H532" s="61">
        <f>IFERROR(INDEX(tbl_Finance[Defer Start],$A532),"")</f>
        <v/>
      </c>
      <c r="I532" s="61">
        <f>IFERROR(INDEX(tbl_Finance[Defer End],$A532),"")</f>
        <v/>
      </c>
      <c r="J532" s="60">
        <f>IF(OR($H532="",$I532="",$G532=""),"",MAX(1,(YEAR($I532)-YEAR($H532))*12+MONTH($I532)-MONTH($H532)+1))</f>
        <v/>
      </c>
      <c r="K532" s="63">
        <f>IF($J532="","",$G532/$J532)</f>
        <v/>
      </c>
      <c r="L532" s="63">
        <f>IF($J532="",0,$K532*MAX(0,MIN(YEAR($C$3)*12+MONTH($C$3),YEAR($I532)*12+MONTH($I532))-(YEAR($H532)*12+MONTH($H532))+1))</f>
        <v/>
      </c>
      <c r="M532" s="63">
        <f>IF($J532="",0,$K532*MAX(0,MIN(YEAR($C$3)*12+MONTH($C$3)-1,YEAR($I532)*12+MONTH($I532))-(YEAR($H532)*12+MONTH($H532))+1))</f>
        <v/>
      </c>
      <c r="N532" s="63">
        <f>IF(OR($J532="",$B532=""),0,IF(YEAR($B532)*12+MONTH($B532)&lt;=YEAR($C$3)*12+MONTH($C$3),$G532,0))</f>
        <v/>
      </c>
      <c r="O532" s="63">
        <f>IF(OR($J532="",$B532=""),0,IF(YEAR($B532)*12+MONTH($B532)&lt;=YEAR($C$3)*12+MONTH($C$3)-1,$G532,0))</f>
        <v/>
      </c>
      <c r="P532" s="63">
        <f>$M532-$O532</f>
        <v/>
      </c>
      <c r="Q532" s="63">
        <f>($L532-$M532)-($N532-$O532)</f>
        <v/>
      </c>
      <c r="R532" s="63">
        <f>$L532-$N532</f>
        <v/>
      </c>
    </row>
    <row r="533">
      <c r="A533" s="60">
        <f>ROW()-5</f>
        <v/>
      </c>
      <c r="B533" s="61">
        <f>IFERROR(INDEX(tbl_Finance[Date],$A533),"")</f>
        <v/>
      </c>
      <c r="C533" s="62">
        <f>IFERROR(INDEX(tbl_Finance[Xero Invoice No],$A533),"")</f>
        <v/>
      </c>
      <c r="D533" s="62">
        <f>IFERROR(INDEX(tbl_Finance[Client],$A533),"")</f>
        <v/>
      </c>
      <c r="E533" s="62">
        <f>IFERROR(INDEX(tbl_Finance[Job Number],$A533),"")</f>
        <v/>
      </c>
      <c r="F533" s="62">
        <f>IFERROR(INDEX(tbl_Finance[Cost Centre],$A533),"")</f>
        <v/>
      </c>
      <c r="G533" s="63">
        <f>IFERROR(INDEX(tbl_Finance[Ex GST],$A533),"")</f>
        <v/>
      </c>
      <c r="H533" s="61">
        <f>IFERROR(INDEX(tbl_Finance[Defer Start],$A533),"")</f>
        <v/>
      </c>
      <c r="I533" s="61">
        <f>IFERROR(INDEX(tbl_Finance[Defer End],$A533),"")</f>
        <v/>
      </c>
      <c r="J533" s="60">
        <f>IF(OR($H533="",$I533="",$G533=""),"",MAX(1,(YEAR($I533)-YEAR($H533))*12+MONTH($I533)-MONTH($H533)+1))</f>
        <v/>
      </c>
      <c r="K533" s="63">
        <f>IF($J533="","",$G533/$J533)</f>
        <v/>
      </c>
      <c r="L533" s="63">
        <f>IF($J533="",0,$K533*MAX(0,MIN(YEAR($C$3)*12+MONTH($C$3),YEAR($I533)*12+MONTH($I533))-(YEAR($H533)*12+MONTH($H533))+1))</f>
        <v/>
      </c>
      <c r="M533" s="63">
        <f>IF($J533="",0,$K533*MAX(0,MIN(YEAR($C$3)*12+MONTH($C$3)-1,YEAR($I533)*12+MONTH($I533))-(YEAR($H533)*12+MONTH($H533))+1))</f>
        <v/>
      </c>
      <c r="N533" s="63">
        <f>IF(OR($J533="",$B533=""),0,IF(YEAR($B533)*12+MONTH($B533)&lt;=YEAR($C$3)*12+MONTH($C$3),$G533,0))</f>
        <v/>
      </c>
      <c r="O533" s="63">
        <f>IF(OR($J533="",$B533=""),0,IF(YEAR($B533)*12+MONTH($B533)&lt;=YEAR($C$3)*12+MONTH($C$3)-1,$G533,0))</f>
        <v/>
      </c>
      <c r="P533" s="63">
        <f>$M533-$O533</f>
        <v/>
      </c>
      <c r="Q533" s="63">
        <f>($L533-$M533)-($N533-$O533)</f>
        <v/>
      </c>
      <c r="R533" s="63">
        <f>$L533-$N533</f>
        <v/>
      </c>
    </row>
    <row r="534">
      <c r="A534" s="60">
        <f>ROW()-5</f>
        <v/>
      </c>
      <c r="B534" s="61">
        <f>IFERROR(INDEX(tbl_Finance[Date],$A534),"")</f>
        <v/>
      </c>
      <c r="C534" s="62">
        <f>IFERROR(INDEX(tbl_Finance[Xero Invoice No],$A534),"")</f>
        <v/>
      </c>
      <c r="D534" s="62">
        <f>IFERROR(INDEX(tbl_Finance[Client],$A534),"")</f>
        <v/>
      </c>
      <c r="E534" s="62">
        <f>IFERROR(INDEX(tbl_Finance[Job Number],$A534),"")</f>
        <v/>
      </c>
      <c r="F534" s="62">
        <f>IFERROR(INDEX(tbl_Finance[Cost Centre],$A534),"")</f>
        <v/>
      </c>
      <c r="G534" s="63">
        <f>IFERROR(INDEX(tbl_Finance[Ex GST],$A534),"")</f>
        <v/>
      </c>
      <c r="H534" s="61">
        <f>IFERROR(INDEX(tbl_Finance[Defer Start],$A534),"")</f>
        <v/>
      </c>
      <c r="I534" s="61">
        <f>IFERROR(INDEX(tbl_Finance[Defer End],$A534),"")</f>
        <v/>
      </c>
      <c r="J534" s="60">
        <f>IF(OR($H534="",$I534="",$G534=""),"",MAX(1,(YEAR($I534)-YEAR($H534))*12+MONTH($I534)-MONTH($H534)+1))</f>
        <v/>
      </c>
      <c r="K534" s="63">
        <f>IF($J534="","",$G534/$J534)</f>
        <v/>
      </c>
      <c r="L534" s="63">
        <f>IF($J534="",0,$K534*MAX(0,MIN(YEAR($C$3)*12+MONTH($C$3),YEAR($I534)*12+MONTH($I534))-(YEAR($H534)*12+MONTH($H534))+1))</f>
        <v/>
      </c>
      <c r="M534" s="63">
        <f>IF($J534="",0,$K534*MAX(0,MIN(YEAR($C$3)*12+MONTH($C$3)-1,YEAR($I534)*12+MONTH($I534))-(YEAR($H534)*12+MONTH($H534))+1))</f>
        <v/>
      </c>
      <c r="N534" s="63">
        <f>IF(OR($J534="",$B534=""),0,IF(YEAR($B534)*12+MONTH($B534)&lt;=YEAR($C$3)*12+MONTH($C$3),$G534,0))</f>
        <v/>
      </c>
      <c r="O534" s="63">
        <f>IF(OR($J534="",$B534=""),0,IF(YEAR($B534)*12+MONTH($B534)&lt;=YEAR($C$3)*12+MONTH($C$3)-1,$G534,0))</f>
        <v/>
      </c>
      <c r="P534" s="63">
        <f>$M534-$O534</f>
        <v/>
      </c>
      <c r="Q534" s="63">
        <f>($L534-$M534)-($N534-$O534)</f>
        <v/>
      </c>
      <c r="R534" s="63">
        <f>$L534-$N534</f>
        <v/>
      </c>
    </row>
    <row r="535">
      <c r="A535" s="60">
        <f>ROW()-5</f>
        <v/>
      </c>
      <c r="B535" s="61">
        <f>IFERROR(INDEX(tbl_Finance[Date],$A535),"")</f>
        <v/>
      </c>
      <c r="C535" s="62">
        <f>IFERROR(INDEX(tbl_Finance[Xero Invoice No],$A535),"")</f>
        <v/>
      </c>
      <c r="D535" s="62">
        <f>IFERROR(INDEX(tbl_Finance[Client],$A535),"")</f>
        <v/>
      </c>
      <c r="E535" s="62">
        <f>IFERROR(INDEX(tbl_Finance[Job Number],$A535),"")</f>
        <v/>
      </c>
      <c r="F535" s="62">
        <f>IFERROR(INDEX(tbl_Finance[Cost Centre],$A535),"")</f>
        <v/>
      </c>
      <c r="G535" s="63">
        <f>IFERROR(INDEX(tbl_Finance[Ex GST],$A535),"")</f>
        <v/>
      </c>
      <c r="H535" s="61">
        <f>IFERROR(INDEX(tbl_Finance[Defer Start],$A535),"")</f>
        <v/>
      </c>
      <c r="I535" s="61">
        <f>IFERROR(INDEX(tbl_Finance[Defer End],$A535),"")</f>
        <v/>
      </c>
      <c r="J535" s="60">
        <f>IF(OR($H535="",$I535="",$G535=""),"",MAX(1,(YEAR($I535)-YEAR($H535))*12+MONTH($I535)-MONTH($H535)+1))</f>
        <v/>
      </c>
      <c r="K535" s="63">
        <f>IF($J535="","",$G535/$J535)</f>
        <v/>
      </c>
      <c r="L535" s="63">
        <f>IF($J535="",0,$K535*MAX(0,MIN(YEAR($C$3)*12+MONTH($C$3),YEAR($I535)*12+MONTH($I535))-(YEAR($H535)*12+MONTH($H535))+1))</f>
        <v/>
      </c>
      <c r="M535" s="63">
        <f>IF($J535="",0,$K535*MAX(0,MIN(YEAR($C$3)*12+MONTH($C$3)-1,YEAR($I535)*12+MONTH($I535))-(YEAR($H535)*12+MONTH($H535))+1))</f>
        <v/>
      </c>
      <c r="N535" s="63">
        <f>IF(OR($J535="",$B535=""),0,IF(YEAR($B535)*12+MONTH($B535)&lt;=YEAR($C$3)*12+MONTH($C$3),$G535,0))</f>
        <v/>
      </c>
      <c r="O535" s="63">
        <f>IF(OR($J535="",$B535=""),0,IF(YEAR($B535)*12+MONTH($B535)&lt;=YEAR($C$3)*12+MONTH($C$3)-1,$G535,0))</f>
        <v/>
      </c>
      <c r="P535" s="63">
        <f>$M535-$O535</f>
        <v/>
      </c>
      <c r="Q535" s="63">
        <f>($L535-$M535)-($N535-$O535)</f>
        <v/>
      </c>
      <c r="R535" s="63">
        <f>$L535-$N535</f>
        <v/>
      </c>
    </row>
    <row r="536">
      <c r="A536" s="60">
        <f>ROW()-5</f>
        <v/>
      </c>
      <c r="B536" s="61">
        <f>IFERROR(INDEX(tbl_Finance[Date],$A536),"")</f>
        <v/>
      </c>
      <c r="C536" s="62">
        <f>IFERROR(INDEX(tbl_Finance[Xero Invoice No],$A536),"")</f>
        <v/>
      </c>
      <c r="D536" s="62">
        <f>IFERROR(INDEX(tbl_Finance[Client],$A536),"")</f>
        <v/>
      </c>
      <c r="E536" s="62">
        <f>IFERROR(INDEX(tbl_Finance[Job Number],$A536),"")</f>
        <v/>
      </c>
      <c r="F536" s="62">
        <f>IFERROR(INDEX(tbl_Finance[Cost Centre],$A536),"")</f>
        <v/>
      </c>
      <c r="G536" s="63">
        <f>IFERROR(INDEX(tbl_Finance[Ex GST],$A536),"")</f>
        <v/>
      </c>
      <c r="H536" s="61">
        <f>IFERROR(INDEX(tbl_Finance[Defer Start],$A536),"")</f>
        <v/>
      </c>
      <c r="I536" s="61">
        <f>IFERROR(INDEX(tbl_Finance[Defer End],$A536),"")</f>
        <v/>
      </c>
      <c r="J536" s="60">
        <f>IF(OR($H536="",$I536="",$G536=""),"",MAX(1,(YEAR($I536)-YEAR($H536))*12+MONTH($I536)-MONTH($H536)+1))</f>
        <v/>
      </c>
      <c r="K536" s="63">
        <f>IF($J536="","",$G536/$J536)</f>
        <v/>
      </c>
      <c r="L536" s="63">
        <f>IF($J536="",0,$K536*MAX(0,MIN(YEAR($C$3)*12+MONTH($C$3),YEAR($I536)*12+MONTH($I536))-(YEAR($H536)*12+MONTH($H536))+1))</f>
        <v/>
      </c>
      <c r="M536" s="63">
        <f>IF($J536="",0,$K536*MAX(0,MIN(YEAR($C$3)*12+MONTH($C$3)-1,YEAR($I536)*12+MONTH($I536))-(YEAR($H536)*12+MONTH($H536))+1))</f>
        <v/>
      </c>
      <c r="N536" s="63">
        <f>IF(OR($J536="",$B536=""),0,IF(YEAR($B536)*12+MONTH($B536)&lt;=YEAR($C$3)*12+MONTH($C$3),$G536,0))</f>
        <v/>
      </c>
      <c r="O536" s="63">
        <f>IF(OR($J536="",$B536=""),0,IF(YEAR($B536)*12+MONTH($B536)&lt;=YEAR($C$3)*12+MONTH($C$3)-1,$G536,0))</f>
        <v/>
      </c>
      <c r="P536" s="63">
        <f>$M536-$O536</f>
        <v/>
      </c>
      <c r="Q536" s="63">
        <f>($L536-$M536)-($N536-$O536)</f>
        <v/>
      </c>
      <c r="R536" s="63">
        <f>$L536-$N536</f>
        <v/>
      </c>
    </row>
    <row r="537">
      <c r="A537" s="60">
        <f>ROW()-5</f>
        <v/>
      </c>
      <c r="B537" s="61">
        <f>IFERROR(INDEX(tbl_Finance[Date],$A537),"")</f>
        <v/>
      </c>
      <c r="C537" s="62">
        <f>IFERROR(INDEX(tbl_Finance[Xero Invoice No],$A537),"")</f>
        <v/>
      </c>
      <c r="D537" s="62">
        <f>IFERROR(INDEX(tbl_Finance[Client],$A537),"")</f>
        <v/>
      </c>
      <c r="E537" s="62">
        <f>IFERROR(INDEX(tbl_Finance[Job Number],$A537),"")</f>
        <v/>
      </c>
      <c r="F537" s="62">
        <f>IFERROR(INDEX(tbl_Finance[Cost Centre],$A537),"")</f>
        <v/>
      </c>
      <c r="G537" s="63">
        <f>IFERROR(INDEX(tbl_Finance[Ex GST],$A537),"")</f>
        <v/>
      </c>
      <c r="H537" s="61">
        <f>IFERROR(INDEX(tbl_Finance[Defer Start],$A537),"")</f>
        <v/>
      </c>
      <c r="I537" s="61">
        <f>IFERROR(INDEX(tbl_Finance[Defer End],$A537),"")</f>
        <v/>
      </c>
      <c r="J537" s="60">
        <f>IF(OR($H537="",$I537="",$G537=""),"",MAX(1,(YEAR($I537)-YEAR($H537))*12+MONTH($I537)-MONTH($H537)+1))</f>
        <v/>
      </c>
      <c r="K537" s="63">
        <f>IF($J537="","",$G537/$J537)</f>
        <v/>
      </c>
      <c r="L537" s="63">
        <f>IF($J537="",0,$K537*MAX(0,MIN(YEAR($C$3)*12+MONTH($C$3),YEAR($I537)*12+MONTH($I537))-(YEAR($H537)*12+MONTH($H537))+1))</f>
        <v/>
      </c>
      <c r="M537" s="63">
        <f>IF($J537="",0,$K537*MAX(0,MIN(YEAR($C$3)*12+MONTH($C$3)-1,YEAR($I537)*12+MONTH($I537))-(YEAR($H537)*12+MONTH($H537))+1))</f>
        <v/>
      </c>
      <c r="N537" s="63">
        <f>IF(OR($J537="",$B537=""),0,IF(YEAR($B537)*12+MONTH($B537)&lt;=YEAR($C$3)*12+MONTH($C$3),$G537,0))</f>
        <v/>
      </c>
      <c r="O537" s="63">
        <f>IF(OR($J537="",$B537=""),0,IF(YEAR($B537)*12+MONTH($B537)&lt;=YEAR($C$3)*12+MONTH($C$3)-1,$G537,0))</f>
        <v/>
      </c>
      <c r="P537" s="63">
        <f>$M537-$O537</f>
        <v/>
      </c>
      <c r="Q537" s="63">
        <f>($L537-$M537)-($N537-$O537)</f>
        <v/>
      </c>
      <c r="R537" s="63">
        <f>$L537-$N537</f>
        <v/>
      </c>
    </row>
    <row r="538">
      <c r="A538" s="60">
        <f>ROW()-5</f>
        <v/>
      </c>
      <c r="B538" s="61">
        <f>IFERROR(INDEX(tbl_Finance[Date],$A538),"")</f>
        <v/>
      </c>
      <c r="C538" s="62">
        <f>IFERROR(INDEX(tbl_Finance[Xero Invoice No],$A538),"")</f>
        <v/>
      </c>
      <c r="D538" s="62">
        <f>IFERROR(INDEX(tbl_Finance[Client],$A538),"")</f>
        <v/>
      </c>
      <c r="E538" s="62">
        <f>IFERROR(INDEX(tbl_Finance[Job Number],$A538),"")</f>
        <v/>
      </c>
      <c r="F538" s="62">
        <f>IFERROR(INDEX(tbl_Finance[Cost Centre],$A538),"")</f>
        <v/>
      </c>
      <c r="G538" s="63">
        <f>IFERROR(INDEX(tbl_Finance[Ex GST],$A538),"")</f>
        <v/>
      </c>
      <c r="H538" s="61">
        <f>IFERROR(INDEX(tbl_Finance[Defer Start],$A538),"")</f>
        <v/>
      </c>
      <c r="I538" s="61">
        <f>IFERROR(INDEX(tbl_Finance[Defer End],$A538),"")</f>
        <v/>
      </c>
      <c r="J538" s="60">
        <f>IF(OR($H538="",$I538="",$G538=""),"",MAX(1,(YEAR($I538)-YEAR($H538))*12+MONTH($I538)-MONTH($H538)+1))</f>
        <v/>
      </c>
      <c r="K538" s="63">
        <f>IF($J538="","",$G538/$J538)</f>
        <v/>
      </c>
      <c r="L538" s="63">
        <f>IF($J538="",0,$K538*MAX(0,MIN(YEAR($C$3)*12+MONTH($C$3),YEAR($I538)*12+MONTH($I538))-(YEAR($H538)*12+MONTH($H538))+1))</f>
        <v/>
      </c>
      <c r="M538" s="63">
        <f>IF($J538="",0,$K538*MAX(0,MIN(YEAR($C$3)*12+MONTH($C$3)-1,YEAR($I538)*12+MONTH($I538))-(YEAR($H538)*12+MONTH($H538))+1))</f>
        <v/>
      </c>
      <c r="N538" s="63">
        <f>IF(OR($J538="",$B538=""),0,IF(YEAR($B538)*12+MONTH($B538)&lt;=YEAR($C$3)*12+MONTH($C$3),$G538,0))</f>
        <v/>
      </c>
      <c r="O538" s="63">
        <f>IF(OR($J538="",$B538=""),0,IF(YEAR($B538)*12+MONTH($B538)&lt;=YEAR($C$3)*12+MONTH($C$3)-1,$G538,0))</f>
        <v/>
      </c>
      <c r="P538" s="63">
        <f>$M538-$O538</f>
        <v/>
      </c>
      <c r="Q538" s="63">
        <f>($L538-$M538)-($N538-$O538)</f>
        <v/>
      </c>
      <c r="R538" s="63">
        <f>$L538-$N538</f>
        <v/>
      </c>
    </row>
    <row r="539">
      <c r="A539" s="60">
        <f>ROW()-5</f>
        <v/>
      </c>
      <c r="B539" s="61">
        <f>IFERROR(INDEX(tbl_Finance[Date],$A539),"")</f>
        <v/>
      </c>
      <c r="C539" s="62">
        <f>IFERROR(INDEX(tbl_Finance[Xero Invoice No],$A539),"")</f>
        <v/>
      </c>
      <c r="D539" s="62">
        <f>IFERROR(INDEX(tbl_Finance[Client],$A539),"")</f>
        <v/>
      </c>
      <c r="E539" s="62">
        <f>IFERROR(INDEX(tbl_Finance[Job Number],$A539),"")</f>
        <v/>
      </c>
      <c r="F539" s="62">
        <f>IFERROR(INDEX(tbl_Finance[Cost Centre],$A539),"")</f>
        <v/>
      </c>
      <c r="G539" s="63">
        <f>IFERROR(INDEX(tbl_Finance[Ex GST],$A539),"")</f>
        <v/>
      </c>
      <c r="H539" s="61">
        <f>IFERROR(INDEX(tbl_Finance[Defer Start],$A539),"")</f>
        <v/>
      </c>
      <c r="I539" s="61">
        <f>IFERROR(INDEX(tbl_Finance[Defer End],$A539),"")</f>
        <v/>
      </c>
      <c r="J539" s="60">
        <f>IF(OR($H539="",$I539="",$G539=""),"",MAX(1,(YEAR($I539)-YEAR($H539))*12+MONTH($I539)-MONTH($H539)+1))</f>
        <v/>
      </c>
      <c r="K539" s="63">
        <f>IF($J539="","",$G539/$J539)</f>
        <v/>
      </c>
      <c r="L539" s="63">
        <f>IF($J539="",0,$K539*MAX(0,MIN(YEAR($C$3)*12+MONTH($C$3),YEAR($I539)*12+MONTH($I539))-(YEAR($H539)*12+MONTH($H539))+1))</f>
        <v/>
      </c>
      <c r="M539" s="63">
        <f>IF($J539="",0,$K539*MAX(0,MIN(YEAR($C$3)*12+MONTH($C$3)-1,YEAR($I539)*12+MONTH($I539))-(YEAR($H539)*12+MONTH($H539))+1))</f>
        <v/>
      </c>
      <c r="N539" s="63">
        <f>IF(OR($J539="",$B539=""),0,IF(YEAR($B539)*12+MONTH($B539)&lt;=YEAR($C$3)*12+MONTH($C$3),$G539,0))</f>
        <v/>
      </c>
      <c r="O539" s="63">
        <f>IF(OR($J539="",$B539=""),0,IF(YEAR($B539)*12+MONTH($B539)&lt;=YEAR($C$3)*12+MONTH($C$3)-1,$G539,0))</f>
        <v/>
      </c>
      <c r="P539" s="63">
        <f>$M539-$O539</f>
        <v/>
      </c>
      <c r="Q539" s="63">
        <f>($L539-$M539)-($N539-$O539)</f>
        <v/>
      </c>
      <c r="R539" s="63">
        <f>$L539-$N539</f>
        <v/>
      </c>
    </row>
    <row r="540">
      <c r="A540" s="60">
        <f>ROW()-5</f>
        <v/>
      </c>
      <c r="B540" s="61">
        <f>IFERROR(INDEX(tbl_Finance[Date],$A540),"")</f>
        <v/>
      </c>
      <c r="C540" s="62">
        <f>IFERROR(INDEX(tbl_Finance[Xero Invoice No],$A540),"")</f>
        <v/>
      </c>
      <c r="D540" s="62">
        <f>IFERROR(INDEX(tbl_Finance[Client],$A540),"")</f>
        <v/>
      </c>
      <c r="E540" s="62">
        <f>IFERROR(INDEX(tbl_Finance[Job Number],$A540),"")</f>
        <v/>
      </c>
      <c r="F540" s="62">
        <f>IFERROR(INDEX(tbl_Finance[Cost Centre],$A540),"")</f>
        <v/>
      </c>
      <c r="G540" s="63">
        <f>IFERROR(INDEX(tbl_Finance[Ex GST],$A540),"")</f>
        <v/>
      </c>
      <c r="H540" s="61">
        <f>IFERROR(INDEX(tbl_Finance[Defer Start],$A540),"")</f>
        <v/>
      </c>
      <c r="I540" s="61">
        <f>IFERROR(INDEX(tbl_Finance[Defer End],$A540),"")</f>
        <v/>
      </c>
      <c r="J540" s="60">
        <f>IF(OR($H540="",$I540="",$G540=""),"",MAX(1,(YEAR($I540)-YEAR($H540))*12+MONTH($I540)-MONTH($H540)+1))</f>
        <v/>
      </c>
      <c r="K540" s="63">
        <f>IF($J540="","",$G540/$J540)</f>
        <v/>
      </c>
      <c r="L540" s="63">
        <f>IF($J540="",0,$K540*MAX(0,MIN(YEAR($C$3)*12+MONTH($C$3),YEAR($I540)*12+MONTH($I540))-(YEAR($H540)*12+MONTH($H540))+1))</f>
        <v/>
      </c>
      <c r="M540" s="63">
        <f>IF($J540="",0,$K540*MAX(0,MIN(YEAR($C$3)*12+MONTH($C$3)-1,YEAR($I540)*12+MONTH($I540))-(YEAR($H540)*12+MONTH($H540))+1))</f>
        <v/>
      </c>
      <c r="N540" s="63">
        <f>IF(OR($J540="",$B540=""),0,IF(YEAR($B540)*12+MONTH($B540)&lt;=YEAR($C$3)*12+MONTH($C$3),$G540,0))</f>
        <v/>
      </c>
      <c r="O540" s="63">
        <f>IF(OR($J540="",$B540=""),0,IF(YEAR($B540)*12+MONTH($B540)&lt;=YEAR($C$3)*12+MONTH($C$3)-1,$G540,0))</f>
        <v/>
      </c>
      <c r="P540" s="63">
        <f>$M540-$O540</f>
        <v/>
      </c>
      <c r="Q540" s="63">
        <f>($L540-$M540)-($N540-$O540)</f>
        <v/>
      </c>
      <c r="R540" s="63">
        <f>$L540-$N540</f>
        <v/>
      </c>
    </row>
    <row r="541">
      <c r="A541" s="60">
        <f>ROW()-5</f>
        <v/>
      </c>
      <c r="B541" s="61">
        <f>IFERROR(INDEX(tbl_Finance[Date],$A541),"")</f>
        <v/>
      </c>
      <c r="C541" s="62">
        <f>IFERROR(INDEX(tbl_Finance[Xero Invoice No],$A541),"")</f>
        <v/>
      </c>
      <c r="D541" s="62">
        <f>IFERROR(INDEX(tbl_Finance[Client],$A541),"")</f>
        <v/>
      </c>
      <c r="E541" s="62">
        <f>IFERROR(INDEX(tbl_Finance[Job Number],$A541),"")</f>
        <v/>
      </c>
      <c r="F541" s="62">
        <f>IFERROR(INDEX(tbl_Finance[Cost Centre],$A541),"")</f>
        <v/>
      </c>
      <c r="G541" s="63">
        <f>IFERROR(INDEX(tbl_Finance[Ex GST],$A541),"")</f>
        <v/>
      </c>
      <c r="H541" s="61">
        <f>IFERROR(INDEX(tbl_Finance[Defer Start],$A541),"")</f>
        <v/>
      </c>
      <c r="I541" s="61">
        <f>IFERROR(INDEX(tbl_Finance[Defer End],$A541),"")</f>
        <v/>
      </c>
      <c r="J541" s="60">
        <f>IF(OR($H541="",$I541="",$G541=""),"",MAX(1,(YEAR($I541)-YEAR($H541))*12+MONTH($I541)-MONTH($H541)+1))</f>
        <v/>
      </c>
      <c r="K541" s="63">
        <f>IF($J541="","",$G541/$J541)</f>
        <v/>
      </c>
      <c r="L541" s="63">
        <f>IF($J541="",0,$K541*MAX(0,MIN(YEAR($C$3)*12+MONTH($C$3),YEAR($I541)*12+MONTH($I541))-(YEAR($H541)*12+MONTH($H541))+1))</f>
        <v/>
      </c>
      <c r="M541" s="63">
        <f>IF($J541="",0,$K541*MAX(0,MIN(YEAR($C$3)*12+MONTH($C$3)-1,YEAR($I541)*12+MONTH($I541))-(YEAR($H541)*12+MONTH($H541))+1))</f>
        <v/>
      </c>
      <c r="N541" s="63">
        <f>IF(OR($J541="",$B541=""),0,IF(YEAR($B541)*12+MONTH($B541)&lt;=YEAR($C$3)*12+MONTH($C$3),$G541,0))</f>
        <v/>
      </c>
      <c r="O541" s="63">
        <f>IF(OR($J541="",$B541=""),0,IF(YEAR($B541)*12+MONTH($B541)&lt;=YEAR($C$3)*12+MONTH($C$3)-1,$G541,0))</f>
        <v/>
      </c>
      <c r="P541" s="63">
        <f>$M541-$O541</f>
        <v/>
      </c>
      <c r="Q541" s="63">
        <f>($L541-$M541)-($N541-$O541)</f>
        <v/>
      </c>
      <c r="R541" s="63">
        <f>$L541-$N541</f>
        <v/>
      </c>
    </row>
    <row r="542">
      <c r="A542" s="60">
        <f>ROW()-5</f>
        <v/>
      </c>
      <c r="B542" s="61">
        <f>IFERROR(INDEX(tbl_Finance[Date],$A542),"")</f>
        <v/>
      </c>
      <c r="C542" s="62">
        <f>IFERROR(INDEX(tbl_Finance[Xero Invoice No],$A542),"")</f>
        <v/>
      </c>
      <c r="D542" s="62">
        <f>IFERROR(INDEX(tbl_Finance[Client],$A542),"")</f>
        <v/>
      </c>
      <c r="E542" s="62">
        <f>IFERROR(INDEX(tbl_Finance[Job Number],$A542),"")</f>
        <v/>
      </c>
      <c r="F542" s="62">
        <f>IFERROR(INDEX(tbl_Finance[Cost Centre],$A542),"")</f>
        <v/>
      </c>
      <c r="G542" s="63">
        <f>IFERROR(INDEX(tbl_Finance[Ex GST],$A542),"")</f>
        <v/>
      </c>
      <c r="H542" s="61">
        <f>IFERROR(INDEX(tbl_Finance[Defer Start],$A542),"")</f>
        <v/>
      </c>
      <c r="I542" s="61">
        <f>IFERROR(INDEX(tbl_Finance[Defer End],$A542),"")</f>
        <v/>
      </c>
      <c r="J542" s="60">
        <f>IF(OR($H542="",$I542="",$G542=""),"",MAX(1,(YEAR($I542)-YEAR($H542))*12+MONTH($I542)-MONTH($H542)+1))</f>
        <v/>
      </c>
      <c r="K542" s="63">
        <f>IF($J542="","",$G542/$J542)</f>
        <v/>
      </c>
      <c r="L542" s="63">
        <f>IF($J542="",0,$K542*MAX(0,MIN(YEAR($C$3)*12+MONTH($C$3),YEAR($I542)*12+MONTH($I542))-(YEAR($H542)*12+MONTH($H542))+1))</f>
        <v/>
      </c>
      <c r="M542" s="63">
        <f>IF($J542="",0,$K542*MAX(0,MIN(YEAR($C$3)*12+MONTH($C$3)-1,YEAR($I542)*12+MONTH($I542))-(YEAR($H542)*12+MONTH($H542))+1))</f>
        <v/>
      </c>
      <c r="N542" s="63">
        <f>IF(OR($J542="",$B542=""),0,IF(YEAR($B542)*12+MONTH($B542)&lt;=YEAR($C$3)*12+MONTH($C$3),$G542,0))</f>
        <v/>
      </c>
      <c r="O542" s="63">
        <f>IF(OR($J542="",$B542=""),0,IF(YEAR($B542)*12+MONTH($B542)&lt;=YEAR($C$3)*12+MONTH($C$3)-1,$G542,0))</f>
        <v/>
      </c>
      <c r="P542" s="63">
        <f>$M542-$O542</f>
        <v/>
      </c>
      <c r="Q542" s="63">
        <f>($L542-$M542)-($N542-$O542)</f>
        <v/>
      </c>
      <c r="R542" s="63">
        <f>$L542-$N542</f>
        <v/>
      </c>
    </row>
    <row r="543">
      <c r="A543" s="60">
        <f>ROW()-5</f>
        <v/>
      </c>
      <c r="B543" s="61">
        <f>IFERROR(INDEX(tbl_Finance[Date],$A543),"")</f>
        <v/>
      </c>
      <c r="C543" s="62">
        <f>IFERROR(INDEX(tbl_Finance[Xero Invoice No],$A543),"")</f>
        <v/>
      </c>
      <c r="D543" s="62">
        <f>IFERROR(INDEX(tbl_Finance[Client],$A543),"")</f>
        <v/>
      </c>
      <c r="E543" s="62">
        <f>IFERROR(INDEX(tbl_Finance[Job Number],$A543),"")</f>
        <v/>
      </c>
      <c r="F543" s="62">
        <f>IFERROR(INDEX(tbl_Finance[Cost Centre],$A543),"")</f>
        <v/>
      </c>
      <c r="G543" s="63">
        <f>IFERROR(INDEX(tbl_Finance[Ex GST],$A543),"")</f>
        <v/>
      </c>
      <c r="H543" s="61">
        <f>IFERROR(INDEX(tbl_Finance[Defer Start],$A543),"")</f>
        <v/>
      </c>
      <c r="I543" s="61">
        <f>IFERROR(INDEX(tbl_Finance[Defer End],$A543),"")</f>
        <v/>
      </c>
      <c r="J543" s="60">
        <f>IF(OR($H543="",$I543="",$G543=""),"",MAX(1,(YEAR($I543)-YEAR($H543))*12+MONTH($I543)-MONTH($H543)+1))</f>
        <v/>
      </c>
      <c r="K543" s="63">
        <f>IF($J543="","",$G543/$J543)</f>
        <v/>
      </c>
      <c r="L543" s="63">
        <f>IF($J543="",0,$K543*MAX(0,MIN(YEAR($C$3)*12+MONTH($C$3),YEAR($I543)*12+MONTH($I543))-(YEAR($H543)*12+MONTH($H543))+1))</f>
        <v/>
      </c>
      <c r="M543" s="63">
        <f>IF($J543="",0,$K543*MAX(0,MIN(YEAR($C$3)*12+MONTH($C$3)-1,YEAR($I543)*12+MONTH($I543))-(YEAR($H543)*12+MONTH($H543))+1))</f>
        <v/>
      </c>
      <c r="N543" s="63">
        <f>IF(OR($J543="",$B543=""),0,IF(YEAR($B543)*12+MONTH($B543)&lt;=YEAR($C$3)*12+MONTH($C$3),$G543,0))</f>
        <v/>
      </c>
      <c r="O543" s="63">
        <f>IF(OR($J543="",$B543=""),0,IF(YEAR($B543)*12+MONTH($B543)&lt;=YEAR($C$3)*12+MONTH($C$3)-1,$G543,0))</f>
        <v/>
      </c>
      <c r="P543" s="63">
        <f>$M543-$O543</f>
        <v/>
      </c>
      <c r="Q543" s="63">
        <f>($L543-$M543)-($N543-$O543)</f>
        <v/>
      </c>
      <c r="R543" s="63">
        <f>$L543-$N543</f>
        <v/>
      </c>
    </row>
    <row r="544">
      <c r="A544" s="60">
        <f>ROW()-5</f>
        <v/>
      </c>
      <c r="B544" s="61">
        <f>IFERROR(INDEX(tbl_Finance[Date],$A544),"")</f>
        <v/>
      </c>
      <c r="C544" s="62">
        <f>IFERROR(INDEX(tbl_Finance[Xero Invoice No],$A544),"")</f>
        <v/>
      </c>
      <c r="D544" s="62">
        <f>IFERROR(INDEX(tbl_Finance[Client],$A544),"")</f>
        <v/>
      </c>
      <c r="E544" s="62">
        <f>IFERROR(INDEX(tbl_Finance[Job Number],$A544),"")</f>
        <v/>
      </c>
      <c r="F544" s="62">
        <f>IFERROR(INDEX(tbl_Finance[Cost Centre],$A544),"")</f>
        <v/>
      </c>
      <c r="G544" s="63">
        <f>IFERROR(INDEX(tbl_Finance[Ex GST],$A544),"")</f>
        <v/>
      </c>
      <c r="H544" s="61">
        <f>IFERROR(INDEX(tbl_Finance[Defer Start],$A544),"")</f>
        <v/>
      </c>
      <c r="I544" s="61">
        <f>IFERROR(INDEX(tbl_Finance[Defer End],$A544),"")</f>
        <v/>
      </c>
      <c r="J544" s="60">
        <f>IF(OR($H544="",$I544="",$G544=""),"",MAX(1,(YEAR($I544)-YEAR($H544))*12+MONTH($I544)-MONTH($H544)+1))</f>
        <v/>
      </c>
      <c r="K544" s="63">
        <f>IF($J544="","",$G544/$J544)</f>
        <v/>
      </c>
      <c r="L544" s="63">
        <f>IF($J544="",0,$K544*MAX(0,MIN(YEAR($C$3)*12+MONTH($C$3),YEAR($I544)*12+MONTH($I544))-(YEAR($H544)*12+MONTH($H544))+1))</f>
        <v/>
      </c>
      <c r="M544" s="63">
        <f>IF($J544="",0,$K544*MAX(0,MIN(YEAR($C$3)*12+MONTH($C$3)-1,YEAR($I544)*12+MONTH($I544))-(YEAR($H544)*12+MONTH($H544))+1))</f>
        <v/>
      </c>
      <c r="N544" s="63">
        <f>IF(OR($J544="",$B544=""),0,IF(YEAR($B544)*12+MONTH($B544)&lt;=YEAR($C$3)*12+MONTH($C$3),$G544,0))</f>
        <v/>
      </c>
      <c r="O544" s="63">
        <f>IF(OR($J544="",$B544=""),0,IF(YEAR($B544)*12+MONTH($B544)&lt;=YEAR($C$3)*12+MONTH($C$3)-1,$G544,0))</f>
        <v/>
      </c>
      <c r="P544" s="63">
        <f>$M544-$O544</f>
        <v/>
      </c>
      <c r="Q544" s="63">
        <f>($L544-$M544)-($N544-$O544)</f>
        <v/>
      </c>
      <c r="R544" s="63">
        <f>$L544-$N544</f>
        <v/>
      </c>
    </row>
    <row r="545">
      <c r="A545" s="60">
        <f>ROW()-5</f>
        <v/>
      </c>
      <c r="B545" s="61">
        <f>IFERROR(INDEX(tbl_Finance[Date],$A545),"")</f>
        <v/>
      </c>
      <c r="C545" s="62">
        <f>IFERROR(INDEX(tbl_Finance[Xero Invoice No],$A545),"")</f>
        <v/>
      </c>
      <c r="D545" s="62">
        <f>IFERROR(INDEX(tbl_Finance[Client],$A545),"")</f>
        <v/>
      </c>
      <c r="E545" s="62">
        <f>IFERROR(INDEX(tbl_Finance[Job Number],$A545),"")</f>
        <v/>
      </c>
      <c r="F545" s="62">
        <f>IFERROR(INDEX(tbl_Finance[Cost Centre],$A545),"")</f>
        <v/>
      </c>
      <c r="G545" s="63">
        <f>IFERROR(INDEX(tbl_Finance[Ex GST],$A545),"")</f>
        <v/>
      </c>
      <c r="H545" s="61">
        <f>IFERROR(INDEX(tbl_Finance[Defer Start],$A545),"")</f>
        <v/>
      </c>
      <c r="I545" s="61">
        <f>IFERROR(INDEX(tbl_Finance[Defer End],$A545),"")</f>
        <v/>
      </c>
      <c r="J545" s="60">
        <f>IF(OR($H545="",$I545="",$G545=""),"",MAX(1,(YEAR($I545)-YEAR($H545))*12+MONTH($I545)-MONTH($H545)+1))</f>
        <v/>
      </c>
      <c r="K545" s="63">
        <f>IF($J545="","",$G545/$J545)</f>
        <v/>
      </c>
      <c r="L545" s="63">
        <f>IF($J545="",0,$K545*MAX(0,MIN(YEAR($C$3)*12+MONTH($C$3),YEAR($I545)*12+MONTH($I545))-(YEAR($H545)*12+MONTH($H545))+1))</f>
        <v/>
      </c>
      <c r="M545" s="63">
        <f>IF($J545="",0,$K545*MAX(0,MIN(YEAR($C$3)*12+MONTH($C$3)-1,YEAR($I545)*12+MONTH($I545))-(YEAR($H545)*12+MONTH($H545))+1))</f>
        <v/>
      </c>
      <c r="N545" s="63">
        <f>IF(OR($J545="",$B545=""),0,IF(YEAR($B545)*12+MONTH($B545)&lt;=YEAR($C$3)*12+MONTH($C$3),$G545,0))</f>
        <v/>
      </c>
      <c r="O545" s="63">
        <f>IF(OR($J545="",$B545=""),0,IF(YEAR($B545)*12+MONTH($B545)&lt;=YEAR($C$3)*12+MONTH($C$3)-1,$G545,0))</f>
        <v/>
      </c>
      <c r="P545" s="63">
        <f>$M545-$O545</f>
        <v/>
      </c>
      <c r="Q545" s="63">
        <f>($L545-$M545)-($N545-$O545)</f>
        <v/>
      </c>
      <c r="R545" s="63">
        <f>$L545-$N545</f>
        <v/>
      </c>
    </row>
    <row r="546">
      <c r="A546" s="60">
        <f>ROW()-5</f>
        <v/>
      </c>
      <c r="B546" s="61">
        <f>IFERROR(INDEX(tbl_Finance[Date],$A546),"")</f>
        <v/>
      </c>
      <c r="C546" s="62">
        <f>IFERROR(INDEX(tbl_Finance[Xero Invoice No],$A546),"")</f>
        <v/>
      </c>
      <c r="D546" s="62">
        <f>IFERROR(INDEX(tbl_Finance[Client],$A546),"")</f>
        <v/>
      </c>
      <c r="E546" s="62">
        <f>IFERROR(INDEX(tbl_Finance[Job Number],$A546),"")</f>
        <v/>
      </c>
      <c r="F546" s="62">
        <f>IFERROR(INDEX(tbl_Finance[Cost Centre],$A546),"")</f>
        <v/>
      </c>
      <c r="G546" s="63">
        <f>IFERROR(INDEX(tbl_Finance[Ex GST],$A546),"")</f>
        <v/>
      </c>
      <c r="H546" s="61">
        <f>IFERROR(INDEX(tbl_Finance[Defer Start],$A546),"")</f>
        <v/>
      </c>
      <c r="I546" s="61">
        <f>IFERROR(INDEX(tbl_Finance[Defer End],$A546),"")</f>
        <v/>
      </c>
      <c r="J546" s="60">
        <f>IF(OR($H546="",$I546="",$G546=""),"",MAX(1,(YEAR($I546)-YEAR($H546))*12+MONTH($I546)-MONTH($H546)+1))</f>
        <v/>
      </c>
      <c r="K546" s="63">
        <f>IF($J546="","",$G546/$J546)</f>
        <v/>
      </c>
      <c r="L546" s="63">
        <f>IF($J546="",0,$K546*MAX(0,MIN(YEAR($C$3)*12+MONTH($C$3),YEAR($I546)*12+MONTH($I546))-(YEAR($H546)*12+MONTH($H546))+1))</f>
        <v/>
      </c>
      <c r="M546" s="63">
        <f>IF($J546="",0,$K546*MAX(0,MIN(YEAR($C$3)*12+MONTH($C$3)-1,YEAR($I546)*12+MONTH($I546))-(YEAR($H546)*12+MONTH($H546))+1))</f>
        <v/>
      </c>
      <c r="N546" s="63">
        <f>IF(OR($J546="",$B546=""),0,IF(YEAR($B546)*12+MONTH($B546)&lt;=YEAR($C$3)*12+MONTH($C$3),$G546,0))</f>
        <v/>
      </c>
      <c r="O546" s="63">
        <f>IF(OR($J546="",$B546=""),0,IF(YEAR($B546)*12+MONTH($B546)&lt;=YEAR($C$3)*12+MONTH($C$3)-1,$G546,0))</f>
        <v/>
      </c>
      <c r="P546" s="63">
        <f>$M546-$O546</f>
        <v/>
      </c>
      <c r="Q546" s="63">
        <f>($L546-$M546)-($N546-$O546)</f>
        <v/>
      </c>
      <c r="R546" s="63">
        <f>$L546-$N546</f>
        <v/>
      </c>
    </row>
    <row r="547">
      <c r="A547" s="60">
        <f>ROW()-5</f>
        <v/>
      </c>
      <c r="B547" s="61">
        <f>IFERROR(INDEX(tbl_Finance[Date],$A547),"")</f>
        <v/>
      </c>
      <c r="C547" s="62">
        <f>IFERROR(INDEX(tbl_Finance[Xero Invoice No],$A547),"")</f>
        <v/>
      </c>
      <c r="D547" s="62">
        <f>IFERROR(INDEX(tbl_Finance[Client],$A547),"")</f>
        <v/>
      </c>
      <c r="E547" s="62">
        <f>IFERROR(INDEX(tbl_Finance[Job Number],$A547),"")</f>
        <v/>
      </c>
      <c r="F547" s="62">
        <f>IFERROR(INDEX(tbl_Finance[Cost Centre],$A547),"")</f>
        <v/>
      </c>
      <c r="G547" s="63">
        <f>IFERROR(INDEX(tbl_Finance[Ex GST],$A547),"")</f>
        <v/>
      </c>
      <c r="H547" s="61">
        <f>IFERROR(INDEX(tbl_Finance[Defer Start],$A547),"")</f>
        <v/>
      </c>
      <c r="I547" s="61">
        <f>IFERROR(INDEX(tbl_Finance[Defer End],$A547),"")</f>
        <v/>
      </c>
      <c r="J547" s="60">
        <f>IF(OR($H547="",$I547="",$G547=""),"",MAX(1,(YEAR($I547)-YEAR($H547))*12+MONTH($I547)-MONTH($H547)+1))</f>
        <v/>
      </c>
      <c r="K547" s="63">
        <f>IF($J547="","",$G547/$J547)</f>
        <v/>
      </c>
      <c r="L547" s="63">
        <f>IF($J547="",0,$K547*MAX(0,MIN(YEAR($C$3)*12+MONTH($C$3),YEAR($I547)*12+MONTH($I547))-(YEAR($H547)*12+MONTH($H547))+1))</f>
        <v/>
      </c>
      <c r="M547" s="63">
        <f>IF($J547="",0,$K547*MAX(0,MIN(YEAR($C$3)*12+MONTH($C$3)-1,YEAR($I547)*12+MONTH($I547))-(YEAR($H547)*12+MONTH($H547))+1))</f>
        <v/>
      </c>
      <c r="N547" s="63">
        <f>IF(OR($J547="",$B547=""),0,IF(YEAR($B547)*12+MONTH($B547)&lt;=YEAR($C$3)*12+MONTH($C$3),$G547,0))</f>
        <v/>
      </c>
      <c r="O547" s="63">
        <f>IF(OR($J547="",$B547=""),0,IF(YEAR($B547)*12+MONTH($B547)&lt;=YEAR($C$3)*12+MONTH($C$3)-1,$G547,0))</f>
        <v/>
      </c>
      <c r="P547" s="63">
        <f>$M547-$O547</f>
        <v/>
      </c>
      <c r="Q547" s="63">
        <f>($L547-$M547)-($N547-$O547)</f>
        <v/>
      </c>
      <c r="R547" s="63">
        <f>$L547-$N547</f>
        <v/>
      </c>
    </row>
    <row r="548">
      <c r="A548" s="60">
        <f>ROW()-5</f>
        <v/>
      </c>
      <c r="B548" s="61">
        <f>IFERROR(INDEX(tbl_Finance[Date],$A548),"")</f>
        <v/>
      </c>
      <c r="C548" s="62">
        <f>IFERROR(INDEX(tbl_Finance[Xero Invoice No],$A548),"")</f>
        <v/>
      </c>
      <c r="D548" s="62">
        <f>IFERROR(INDEX(tbl_Finance[Client],$A548),"")</f>
        <v/>
      </c>
      <c r="E548" s="62">
        <f>IFERROR(INDEX(tbl_Finance[Job Number],$A548),"")</f>
        <v/>
      </c>
      <c r="F548" s="62">
        <f>IFERROR(INDEX(tbl_Finance[Cost Centre],$A548),"")</f>
        <v/>
      </c>
      <c r="G548" s="63">
        <f>IFERROR(INDEX(tbl_Finance[Ex GST],$A548),"")</f>
        <v/>
      </c>
      <c r="H548" s="61">
        <f>IFERROR(INDEX(tbl_Finance[Defer Start],$A548),"")</f>
        <v/>
      </c>
      <c r="I548" s="61">
        <f>IFERROR(INDEX(tbl_Finance[Defer End],$A548),"")</f>
        <v/>
      </c>
      <c r="J548" s="60">
        <f>IF(OR($H548="",$I548="",$G548=""),"",MAX(1,(YEAR($I548)-YEAR($H548))*12+MONTH($I548)-MONTH($H548)+1))</f>
        <v/>
      </c>
      <c r="K548" s="63">
        <f>IF($J548="","",$G548/$J548)</f>
        <v/>
      </c>
      <c r="L548" s="63">
        <f>IF($J548="",0,$K548*MAX(0,MIN(YEAR($C$3)*12+MONTH($C$3),YEAR($I548)*12+MONTH($I548))-(YEAR($H548)*12+MONTH($H548))+1))</f>
        <v/>
      </c>
      <c r="M548" s="63">
        <f>IF($J548="",0,$K548*MAX(0,MIN(YEAR($C$3)*12+MONTH($C$3)-1,YEAR($I548)*12+MONTH($I548))-(YEAR($H548)*12+MONTH($H548))+1))</f>
        <v/>
      </c>
      <c r="N548" s="63">
        <f>IF(OR($J548="",$B548=""),0,IF(YEAR($B548)*12+MONTH($B548)&lt;=YEAR($C$3)*12+MONTH($C$3),$G548,0))</f>
        <v/>
      </c>
      <c r="O548" s="63">
        <f>IF(OR($J548="",$B548=""),0,IF(YEAR($B548)*12+MONTH($B548)&lt;=YEAR($C$3)*12+MONTH($C$3)-1,$G548,0))</f>
        <v/>
      </c>
      <c r="P548" s="63">
        <f>$M548-$O548</f>
        <v/>
      </c>
      <c r="Q548" s="63">
        <f>($L548-$M548)-($N548-$O548)</f>
        <v/>
      </c>
      <c r="R548" s="63">
        <f>$L548-$N548</f>
        <v/>
      </c>
    </row>
    <row r="549">
      <c r="A549" s="60">
        <f>ROW()-5</f>
        <v/>
      </c>
      <c r="B549" s="61">
        <f>IFERROR(INDEX(tbl_Finance[Date],$A549),"")</f>
        <v/>
      </c>
      <c r="C549" s="62">
        <f>IFERROR(INDEX(tbl_Finance[Xero Invoice No],$A549),"")</f>
        <v/>
      </c>
      <c r="D549" s="62">
        <f>IFERROR(INDEX(tbl_Finance[Client],$A549),"")</f>
        <v/>
      </c>
      <c r="E549" s="62">
        <f>IFERROR(INDEX(tbl_Finance[Job Number],$A549),"")</f>
        <v/>
      </c>
      <c r="F549" s="62">
        <f>IFERROR(INDEX(tbl_Finance[Cost Centre],$A549),"")</f>
        <v/>
      </c>
      <c r="G549" s="63">
        <f>IFERROR(INDEX(tbl_Finance[Ex GST],$A549),"")</f>
        <v/>
      </c>
      <c r="H549" s="61">
        <f>IFERROR(INDEX(tbl_Finance[Defer Start],$A549),"")</f>
        <v/>
      </c>
      <c r="I549" s="61">
        <f>IFERROR(INDEX(tbl_Finance[Defer End],$A549),"")</f>
        <v/>
      </c>
      <c r="J549" s="60">
        <f>IF(OR($H549="",$I549="",$G549=""),"",MAX(1,(YEAR($I549)-YEAR($H549))*12+MONTH($I549)-MONTH($H549)+1))</f>
        <v/>
      </c>
      <c r="K549" s="63">
        <f>IF($J549="","",$G549/$J549)</f>
        <v/>
      </c>
      <c r="L549" s="63">
        <f>IF($J549="",0,$K549*MAX(0,MIN(YEAR($C$3)*12+MONTH($C$3),YEAR($I549)*12+MONTH($I549))-(YEAR($H549)*12+MONTH($H549))+1))</f>
        <v/>
      </c>
      <c r="M549" s="63">
        <f>IF($J549="",0,$K549*MAX(0,MIN(YEAR($C$3)*12+MONTH($C$3)-1,YEAR($I549)*12+MONTH($I549))-(YEAR($H549)*12+MONTH($H549))+1))</f>
        <v/>
      </c>
      <c r="N549" s="63">
        <f>IF(OR($J549="",$B549=""),0,IF(YEAR($B549)*12+MONTH($B549)&lt;=YEAR($C$3)*12+MONTH($C$3),$G549,0))</f>
        <v/>
      </c>
      <c r="O549" s="63">
        <f>IF(OR($J549="",$B549=""),0,IF(YEAR($B549)*12+MONTH($B549)&lt;=YEAR($C$3)*12+MONTH($C$3)-1,$G549,0))</f>
        <v/>
      </c>
      <c r="P549" s="63">
        <f>$M549-$O549</f>
        <v/>
      </c>
      <c r="Q549" s="63">
        <f>($L549-$M549)-($N549-$O549)</f>
        <v/>
      </c>
      <c r="R549" s="63">
        <f>$L549-$N549</f>
        <v/>
      </c>
    </row>
    <row r="550">
      <c r="A550" s="60">
        <f>ROW()-5</f>
        <v/>
      </c>
      <c r="B550" s="61">
        <f>IFERROR(INDEX(tbl_Finance[Date],$A550),"")</f>
        <v/>
      </c>
      <c r="C550" s="62">
        <f>IFERROR(INDEX(tbl_Finance[Xero Invoice No],$A550),"")</f>
        <v/>
      </c>
      <c r="D550" s="62">
        <f>IFERROR(INDEX(tbl_Finance[Client],$A550),"")</f>
        <v/>
      </c>
      <c r="E550" s="62">
        <f>IFERROR(INDEX(tbl_Finance[Job Number],$A550),"")</f>
        <v/>
      </c>
      <c r="F550" s="62">
        <f>IFERROR(INDEX(tbl_Finance[Cost Centre],$A550),"")</f>
        <v/>
      </c>
      <c r="G550" s="63">
        <f>IFERROR(INDEX(tbl_Finance[Ex GST],$A550),"")</f>
        <v/>
      </c>
      <c r="H550" s="61">
        <f>IFERROR(INDEX(tbl_Finance[Defer Start],$A550),"")</f>
        <v/>
      </c>
      <c r="I550" s="61">
        <f>IFERROR(INDEX(tbl_Finance[Defer End],$A550),"")</f>
        <v/>
      </c>
      <c r="J550" s="60">
        <f>IF(OR($H550="",$I550="",$G550=""),"",MAX(1,(YEAR($I550)-YEAR($H550))*12+MONTH($I550)-MONTH($H550)+1))</f>
        <v/>
      </c>
      <c r="K550" s="63">
        <f>IF($J550="","",$G550/$J550)</f>
        <v/>
      </c>
      <c r="L550" s="63">
        <f>IF($J550="",0,$K550*MAX(0,MIN(YEAR($C$3)*12+MONTH($C$3),YEAR($I550)*12+MONTH($I550))-(YEAR($H550)*12+MONTH($H550))+1))</f>
        <v/>
      </c>
      <c r="M550" s="63">
        <f>IF($J550="",0,$K550*MAX(0,MIN(YEAR($C$3)*12+MONTH($C$3)-1,YEAR($I550)*12+MONTH($I550))-(YEAR($H550)*12+MONTH($H550))+1))</f>
        <v/>
      </c>
      <c r="N550" s="63">
        <f>IF(OR($J550="",$B550=""),0,IF(YEAR($B550)*12+MONTH($B550)&lt;=YEAR($C$3)*12+MONTH($C$3),$G550,0))</f>
        <v/>
      </c>
      <c r="O550" s="63">
        <f>IF(OR($J550="",$B550=""),0,IF(YEAR($B550)*12+MONTH($B550)&lt;=YEAR($C$3)*12+MONTH($C$3)-1,$G550,0))</f>
        <v/>
      </c>
      <c r="P550" s="63">
        <f>$M550-$O550</f>
        <v/>
      </c>
      <c r="Q550" s="63">
        <f>($L550-$M550)-($N550-$O550)</f>
        <v/>
      </c>
      <c r="R550" s="63">
        <f>$L550-$N550</f>
        <v/>
      </c>
    </row>
    <row r="551">
      <c r="A551" s="60">
        <f>ROW()-5</f>
        <v/>
      </c>
      <c r="B551" s="61">
        <f>IFERROR(INDEX(tbl_Finance[Date],$A551),"")</f>
        <v/>
      </c>
      <c r="C551" s="62">
        <f>IFERROR(INDEX(tbl_Finance[Xero Invoice No],$A551),"")</f>
        <v/>
      </c>
      <c r="D551" s="62">
        <f>IFERROR(INDEX(tbl_Finance[Client],$A551),"")</f>
        <v/>
      </c>
      <c r="E551" s="62">
        <f>IFERROR(INDEX(tbl_Finance[Job Number],$A551),"")</f>
        <v/>
      </c>
      <c r="F551" s="62">
        <f>IFERROR(INDEX(tbl_Finance[Cost Centre],$A551),"")</f>
        <v/>
      </c>
      <c r="G551" s="63">
        <f>IFERROR(INDEX(tbl_Finance[Ex GST],$A551),"")</f>
        <v/>
      </c>
      <c r="H551" s="61">
        <f>IFERROR(INDEX(tbl_Finance[Defer Start],$A551),"")</f>
        <v/>
      </c>
      <c r="I551" s="61">
        <f>IFERROR(INDEX(tbl_Finance[Defer End],$A551),"")</f>
        <v/>
      </c>
      <c r="J551" s="60">
        <f>IF(OR($H551="",$I551="",$G551=""),"",MAX(1,(YEAR($I551)-YEAR($H551))*12+MONTH($I551)-MONTH($H551)+1))</f>
        <v/>
      </c>
      <c r="K551" s="63">
        <f>IF($J551="","",$G551/$J551)</f>
        <v/>
      </c>
      <c r="L551" s="63">
        <f>IF($J551="",0,$K551*MAX(0,MIN(YEAR($C$3)*12+MONTH($C$3),YEAR($I551)*12+MONTH($I551))-(YEAR($H551)*12+MONTH($H551))+1))</f>
        <v/>
      </c>
      <c r="M551" s="63">
        <f>IF($J551="",0,$K551*MAX(0,MIN(YEAR($C$3)*12+MONTH($C$3)-1,YEAR($I551)*12+MONTH($I551))-(YEAR($H551)*12+MONTH($H551))+1))</f>
        <v/>
      </c>
      <c r="N551" s="63">
        <f>IF(OR($J551="",$B551=""),0,IF(YEAR($B551)*12+MONTH($B551)&lt;=YEAR($C$3)*12+MONTH($C$3),$G551,0))</f>
        <v/>
      </c>
      <c r="O551" s="63">
        <f>IF(OR($J551="",$B551=""),0,IF(YEAR($B551)*12+MONTH($B551)&lt;=YEAR($C$3)*12+MONTH($C$3)-1,$G551,0))</f>
        <v/>
      </c>
      <c r="P551" s="63">
        <f>$M551-$O551</f>
        <v/>
      </c>
      <c r="Q551" s="63">
        <f>($L551-$M551)-($N551-$O551)</f>
        <v/>
      </c>
      <c r="R551" s="63">
        <f>$L551-$N551</f>
        <v/>
      </c>
    </row>
    <row r="552">
      <c r="A552" s="60">
        <f>ROW()-5</f>
        <v/>
      </c>
      <c r="B552" s="61">
        <f>IFERROR(INDEX(tbl_Finance[Date],$A552),"")</f>
        <v/>
      </c>
      <c r="C552" s="62">
        <f>IFERROR(INDEX(tbl_Finance[Xero Invoice No],$A552),"")</f>
        <v/>
      </c>
      <c r="D552" s="62">
        <f>IFERROR(INDEX(tbl_Finance[Client],$A552),"")</f>
        <v/>
      </c>
      <c r="E552" s="62">
        <f>IFERROR(INDEX(tbl_Finance[Job Number],$A552),"")</f>
        <v/>
      </c>
      <c r="F552" s="62">
        <f>IFERROR(INDEX(tbl_Finance[Cost Centre],$A552),"")</f>
        <v/>
      </c>
      <c r="G552" s="63">
        <f>IFERROR(INDEX(tbl_Finance[Ex GST],$A552),"")</f>
        <v/>
      </c>
      <c r="H552" s="61">
        <f>IFERROR(INDEX(tbl_Finance[Defer Start],$A552),"")</f>
        <v/>
      </c>
      <c r="I552" s="61">
        <f>IFERROR(INDEX(tbl_Finance[Defer End],$A552),"")</f>
        <v/>
      </c>
      <c r="J552" s="60">
        <f>IF(OR($H552="",$I552="",$G552=""),"",MAX(1,(YEAR($I552)-YEAR($H552))*12+MONTH($I552)-MONTH($H552)+1))</f>
        <v/>
      </c>
      <c r="K552" s="63">
        <f>IF($J552="","",$G552/$J552)</f>
        <v/>
      </c>
      <c r="L552" s="63">
        <f>IF($J552="",0,$K552*MAX(0,MIN(YEAR($C$3)*12+MONTH($C$3),YEAR($I552)*12+MONTH($I552))-(YEAR($H552)*12+MONTH($H552))+1))</f>
        <v/>
      </c>
      <c r="M552" s="63">
        <f>IF($J552="",0,$K552*MAX(0,MIN(YEAR($C$3)*12+MONTH($C$3)-1,YEAR($I552)*12+MONTH($I552))-(YEAR($H552)*12+MONTH($H552))+1))</f>
        <v/>
      </c>
      <c r="N552" s="63">
        <f>IF(OR($J552="",$B552=""),0,IF(YEAR($B552)*12+MONTH($B552)&lt;=YEAR($C$3)*12+MONTH($C$3),$G552,0))</f>
        <v/>
      </c>
      <c r="O552" s="63">
        <f>IF(OR($J552="",$B552=""),0,IF(YEAR($B552)*12+MONTH($B552)&lt;=YEAR($C$3)*12+MONTH($C$3)-1,$G552,0))</f>
        <v/>
      </c>
      <c r="P552" s="63">
        <f>$M552-$O552</f>
        <v/>
      </c>
      <c r="Q552" s="63">
        <f>($L552-$M552)-($N552-$O552)</f>
        <v/>
      </c>
      <c r="R552" s="63">
        <f>$L552-$N552</f>
        <v/>
      </c>
    </row>
    <row r="553">
      <c r="A553" s="60">
        <f>ROW()-5</f>
        <v/>
      </c>
      <c r="B553" s="61">
        <f>IFERROR(INDEX(tbl_Finance[Date],$A553),"")</f>
        <v/>
      </c>
      <c r="C553" s="62">
        <f>IFERROR(INDEX(tbl_Finance[Xero Invoice No],$A553),"")</f>
        <v/>
      </c>
      <c r="D553" s="62">
        <f>IFERROR(INDEX(tbl_Finance[Client],$A553),"")</f>
        <v/>
      </c>
      <c r="E553" s="62">
        <f>IFERROR(INDEX(tbl_Finance[Job Number],$A553),"")</f>
        <v/>
      </c>
      <c r="F553" s="62">
        <f>IFERROR(INDEX(tbl_Finance[Cost Centre],$A553),"")</f>
        <v/>
      </c>
      <c r="G553" s="63">
        <f>IFERROR(INDEX(tbl_Finance[Ex GST],$A553),"")</f>
        <v/>
      </c>
      <c r="H553" s="61">
        <f>IFERROR(INDEX(tbl_Finance[Defer Start],$A553),"")</f>
        <v/>
      </c>
      <c r="I553" s="61">
        <f>IFERROR(INDEX(tbl_Finance[Defer End],$A553),"")</f>
        <v/>
      </c>
      <c r="J553" s="60">
        <f>IF(OR($H553="",$I553="",$G553=""),"",MAX(1,(YEAR($I553)-YEAR($H553))*12+MONTH($I553)-MONTH($H553)+1))</f>
        <v/>
      </c>
      <c r="K553" s="63">
        <f>IF($J553="","",$G553/$J553)</f>
        <v/>
      </c>
      <c r="L553" s="63">
        <f>IF($J553="",0,$K553*MAX(0,MIN(YEAR($C$3)*12+MONTH($C$3),YEAR($I553)*12+MONTH($I553))-(YEAR($H553)*12+MONTH($H553))+1))</f>
        <v/>
      </c>
      <c r="M553" s="63">
        <f>IF($J553="",0,$K553*MAX(0,MIN(YEAR($C$3)*12+MONTH($C$3)-1,YEAR($I553)*12+MONTH($I553))-(YEAR($H553)*12+MONTH($H553))+1))</f>
        <v/>
      </c>
      <c r="N553" s="63">
        <f>IF(OR($J553="",$B553=""),0,IF(YEAR($B553)*12+MONTH($B553)&lt;=YEAR($C$3)*12+MONTH($C$3),$G553,0))</f>
        <v/>
      </c>
      <c r="O553" s="63">
        <f>IF(OR($J553="",$B553=""),0,IF(YEAR($B553)*12+MONTH($B553)&lt;=YEAR($C$3)*12+MONTH($C$3)-1,$G553,0))</f>
        <v/>
      </c>
      <c r="P553" s="63">
        <f>$M553-$O553</f>
        <v/>
      </c>
      <c r="Q553" s="63">
        <f>($L553-$M553)-($N553-$O553)</f>
        <v/>
      </c>
      <c r="R553" s="63">
        <f>$L553-$N553</f>
        <v/>
      </c>
    </row>
    <row r="554">
      <c r="A554" s="60">
        <f>ROW()-5</f>
        <v/>
      </c>
      <c r="B554" s="61">
        <f>IFERROR(INDEX(tbl_Finance[Date],$A554),"")</f>
        <v/>
      </c>
      <c r="C554" s="62">
        <f>IFERROR(INDEX(tbl_Finance[Xero Invoice No],$A554),"")</f>
        <v/>
      </c>
      <c r="D554" s="62">
        <f>IFERROR(INDEX(tbl_Finance[Client],$A554),"")</f>
        <v/>
      </c>
      <c r="E554" s="62">
        <f>IFERROR(INDEX(tbl_Finance[Job Number],$A554),"")</f>
        <v/>
      </c>
      <c r="F554" s="62">
        <f>IFERROR(INDEX(tbl_Finance[Cost Centre],$A554),"")</f>
        <v/>
      </c>
      <c r="G554" s="63">
        <f>IFERROR(INDEX(tbl_Finance[Ex GST],$A554),"")</f>
        <v/>
      </c>
      <c r="H554" s="61">
        <f>IFERROR(INDEX(tbl_Finance[Defer Start],$A554),"")</f>
        <v/>
      </c>
      <c r="I554" s="61">
        <f>IFERROR(INDEX(tbl_Finance[Defer End],$A554),"")</f>
        <v/>
      </c>
      <c r="J554" s="60">
        <f>IF(OR($H554="",$I554="",$G554=""),"",MAX(1,(YEAR($I554)-YEAR($H554))*12+MONTH($I554)-MONTH($H554)+1))</f>
        <v/>
      </c>
      <c r="K554" s="63">
        <f>IF($J554="","",$G554/$J554)</f>
        <v/>
      </c>
      <c r="L554" s="63">
        <f>IF($J554="",0,$K554*MAX(0,MIN(YEAR($C$3)*12+MONTH($C$3),YEAR($I554)*12+MONTH($I554))-(YEAR($H554)*12+MONTH($H554))+1))</f>
        <v/>
      </c>
      <c r="M554" s="63">
        <f>IF($J554="",0,$K554*MAX(0,MIN(YEAR($C$3)*12+MONTH($C$3)-1,YEAR($I554)*12+MONTH($I554))-(YEAR($H554)*12+MONTH($H554))+1))</f>
        <v/>
      </c>
      <c r="N554" s="63">
        <f>IF(OR($J554="",$B554=""),0,IF(YEAR($B554)*12+MONTH($B554)&lt;=YEAR($C$3)*12+MONTH($C$3),$G554,0))</f>
        <v/>
      </c>
      <c r="O554" s="63">
        <f>IF(OR($J554="",$B554=""),0,IF(YEAR($B554)*12+MONTH($B554)&lt;=YEAR($C$3)*12+MONTH($C$3)-1,$G554,0))</f>
        <v/>
      </c>
      <c r="P554" s="63">
        <f>$M554-$O554</f>
        <v/>
      </c>
      <c r="Q554" s="63">
        <f>($L554-$M554)-($N554-$O554)</f>
        <v/>
      </c>
      <c r="R554" s="63">
        <f>$L554-$N554</f>
        <v/>
      </c>
    </row>
    <row r="555">
      <c r="A555" s="60">
        <f>ROW()-5</f>
        <v/>
      </c>
      <c r="B555" s="61">
        <f>IFERROR(INDEX(tbl_Finance[Date],$A555),"")</f>
        <v/>
      </c>
      <c r="C555" s="62">
        <f>IFERROR(INDEX(tbl_Finance[Xero Invoice No],$A555),"")</f>
        <v/>
      </c>
      <c r="D555" s="62">
        <f>IFERROR(INDEX(tbl_Finance[Client],$A555),"")</f>
        <v/>
      </c>
      <c r="E555" s="62">
        <f>IFERROR(INDEX(tbl_Finance[Job Number],$A555),"")</f>
        <v/>
      </c>
      <c r="F555" s="62">
        <f>IFERROR(INDEX(tbl_Finance[Cost Centre],$A555),"")</f>
        <v/>
      </c>
      <c r="G555" s="63">
        <f>IFERROR(INDEX(tbl_Finance[Ex GST],$A555),"")</f>
        <v/>
      </c>
      <c r="H555" s="61">
        <f>IFERROR(INDEX(tbl_Finance[Defer Start],$A555),"")</f>
        <v/>
      </c>
      <c r="I555" s="61">
        <f>IFERROR(INDEX(tbl_Finance[Defer End],$A555),"")</f>
        <v/>
      </c>
      <c r="J555" s="60">
        <f>IF(OR($H555="",$I555="",$G555=""),"",MAX(1,(YEAR($I555)-YEAR($H555))*12+MONTH($I555)-MONTH($H555)+1))</f>
        <v/>
      </c>
      <c r="K555" s="63">
        <f>IF($J555="","",$G555/$J555)</f>
        <v/>
      </c>
      <c r="L555" s="63">
        <f>IF($J555="",0,$K555*MAX(0,MIN(YEAR($C$3)*12+MONTH($C$3),YEAR($I555)*12+MONTH($I555))-(YEAR($H555)*12+MONTH($H555))+1))</f>
        <v/>
      </c>
      <c r="M555" s="63">
        <f>IF($J555="",0,$K555*MAX(0,MIN(YEAR($C$3)*12+MONTH($C$3)-1,YEAR($I555)*12+MONTH($I555))-(YEAR($H555)*12+MONTH($H555))+1))</f>
        <v/>
      </c>
      <c r="N555" s="63">
        <f>IF(OR($J555="",$B555=""),0,IF(YEAR($B555)*12+MONTH($B555)&lt;=YEAR($C$3)*12+MONTH($C$3),$G555,0))</f>
        <v/>
      </c>
      <c r="O555" s="63">
        <f>IF(OR($J555="",$B555=""),0,IF(YEAR($B555)*12+MONTH($B555)&lt;=YEAR($C$3)*12+MONTH($C$3)-1,$G555,0))</f>
        <v/>
      </c>
      <c r="P555" s="63">
        <f>$M555-$O555</f>
        <v/>
      </c>
      <c r="Q555" s="63">
        <f>($L555-$M555)-($N555-$O555)</f>
        <v/>
      </c>
      <c r="R555" s="63">
        <f>$L555-$N555</f>
        <v/>
      </c>
    </row>
    <row r="556">
      <c r="A556" s="60">
        <f>ROW()-5</f>
        <v/>
      </c>
      <c r="B556" s="61">
        <f>IFERROR(INDEX(tbl_Finance[Date],$A556),"")</f>
        <v/>
      </c>
      <c r="C556" s="62">
        <f>IFERROR(INDEX(tbl_Finance[Xero Invoice No],$A556),"")</f>
        <v/>
      </c>
      <c r="D556" s="62">
        <f>IFERROR(INDEX(tbl_Finance[Client],$A556),"")</f>
        <v/>
      </c>
      <c r="E556" s="62">
        <f>IFERROR(INDEX(tbl_Finance[Job Number],$A556),"")</f>
        <v/>
      </c>
      <c r="F556" s="62">
        <f>IFERROR(INDEX(tbl_Finance[Cost Centre],$A556),"")</f>
        <v/>
      </c>
      <c r="G556" s="63">
        <f>IFERROR(INDEX(tbl_Finance[Ex GST],$A556),"")</f>
        <v/>
      </c>
      <c r="H556" s="61">
        <f>IFERROR(INDEX(tbl_Finance[Defer Start],$A556),"")</f>
        <v/>
      </c>
      <c r="I556" s="61">
        <f>IFERROR(INDEX(tbl_Finance[Defer End],$A556),"")</f>
        <v/>
      </c>
      <c r="J556" s="60">
        <f>IF(OR($H556="",$I556="",$G556=""),"",MAX(1,(YEAR($I556)-YEAR($H556))*12+MONTH($I556)-MONTH($H556)+1))</f>
        <v/>
      </c>
      <c r="K556" s="63">
        <f>IF($J556="","",$G556/$J556)</f>
        <v/>
      </c>
      <c r="L556" s="63">
        <f>IF($J556="",0,$K556*MAX(0,MIN(YEAR($C$3)*12+MONTH($C$3),YEAR($I556)*12+MONTH($I556))-(YEAR($H556)*12+MONTH($H556))+1))</f>
        <v/>
      </c>
      <c r="M556" s="63">
        <f>IF($J556="",0,$K556*MAX(0,MIN(YEAR($C$3)*12+MONTH($C$3)-1,YEAR($I556)*12+MONTH($I556))-(YEAR($H556)*12+MONTH($H556))+1))</f>
        <v/>
      </c>
      <c r="N556" s="63">
        <f>IF(OR($J556="",$B556=""),0,IF(YEAR($B556)*12+MONTH($B556)&lt;=YEAR($C$3)*12+MONTH($C$3),$G556,0))</f>
        <v/>
      </c>
      <c r="O556" s="63">
        <f>IF(OR($J556="",$B556=""),0,IF(YEAR($B556)*12+MONTH($B556)&lt;=YEAR($C$3)*12+MONTH($C$3)-1,$G556,0))</f>
        <v/>
      </c>
      <c r="P556" s="63">
        <f>$M556-$O556</f>
        <v/>
      </c>
      <c r="Q556" s="63">
        <f>($L556-$M556)-($N556-$O556)</f>
        <v/>
      </c>
      <c r="R556" s="63">
        <f>$L556-$N556</f>
        <v/>
      </c>
    </row>
    <row r="557">
      <c r="A557" s="60">
        <f>ROW()-5</f>
        <v/>
      </c>
      <c r="B557" s="61">
        <f>IFERROR(INDEX(tbl_Finance[Date],$A557),"")</f>
        <v/>
      </c>
      <c r="C557" s="62">
        <f>IFERROR(INDEX(tbl_Finance[Xero Invoice No],$A557),"")</f>
        <v/>
      </c>
      <c r="D557" s="62">
        <f>IFERROR(INDEX(tbl_Finance[Client],$A557),"")</f>
        <v/>
      </c>
      <c r="E557" s="62">
        <f>IFERROR(INDEX(tbl_Finance[Job Number],$A557),"")</f>
        <v/>
      </c>
      <c r="F557" s="62">
        <f>IFERROR(INDEX(tbl_Finance[Cost Centre],$A557),"")</f>
        <v/>
      </c>
      <c r="G557" s="63">
        <f>IFERROR(INDEX(tbl_Finance[Ex GST],$A557),"")</f>
        <v/>
      </c>
      <c r="H557" s="61">
        <f>IFERROR(INDEX(tbl_Finance[Defer Start],$A557),"")</f>
        <v/>
      </c>
      <c r="I557" s="61">
        <f>IFERROR(INDEX(tbl_Finance[Defer End],$A557),"")</f>
        <v/>
      </c>
      <c r="J557" s="60">
        <f>IF(OR($H557="",$I557="",$G557=""),"",MAX(1,(YEAR($I557)-YEAR($H557))*12+MONTH($I557)-MONTH($H557)+1))</f>
        <v/>
      </c>
      <c r="K557" s="63">
        <f>IF($J557="","",$G557/$J557)</f>
        <v/>
      </c>
      <c r="L557" s="63">
        <f>IF($J557="",0,$K557*MAX(0,MIN(YEAR($C$3)*12+MONTH($C$3),YEAR($I557)*12+MONTH($I557))-(YEAR($H557)*12+MONTH($H557))+1))</f>
        <v/>
      </c>
      <c r="M557" s="63">
        <f>IF($J557="",0,$K557*MAX(0,MIN(YEAR($C$3)*12+MONTH($C$3)-1,YEAR($I557)*12+MONTH($I557))-(YEAR($H557)*12+MONTH($H557))+1))</f>
        <v/>
      </c>
      <c r="N557" s="63">
        <f>IF(OR($J557="",$B557=""),0,IF(YEAR($B557)*12+MONTH($B557)&lt;=YEAR($C$3)*12+MONTH($C$3),$G557,0))</f>
        <v/>
      </c>
      <c r="O557" s="63">
        <f>IF(OR($J557="",$B557=""),0,IF(YEAR($B557)*12+MONTH($B557)&lt;=YEAR($C$3)*12+MONTH($C$3)-1,$G557,0))</f>
        <v/>
      </c>
      <c r="P557" s="63">
        <f>$M557-$O557</f>
        <v/>
      </c>
      <c r="Q557" s="63">
        <f>($L557-$M557)-($N557-$O557)</f>
        <v/>
      </c>
      <c r="R557" s="63">
        <f>$L557-$N557</f>
        <v/>
      </c>
    </row>
    <row r="558">
      <c r="A558" s="60">
        <f>ROW()-5</f>
        <v/>
      </c>
      <c r="B558" s="61">
        <f>IFERROR(INDEX(tbl_Finance[Date],$A558),"")</f>
        <v/>
      </c>
      <c r="C558" s="62">
        <f>IFERROR(INDEX(tbl_Finance[Xero Invoice No],$A558),"")</f>
        <v/>
      </c>
      <c r="D558" s="62">
        <f>IFERROR(INDEX(tbl_Finance[Client],$A558),"")</f>
        <v/>
      </c>
      <c r="E558" s="62">
        <f>IFERROR(INDEX(tbl_Finance[Job Number],$A558),"")</f>
        <v/>
      </c>
      <c r="F558" s="62">
        <f>IFERROR(INDEX(tbl_Finance[Cost Centre],$A558),"")</f>
        <v/>
      </c>
      <c r="G558" s="63">
        <f>IFERROR(INDEX(tbl_Finance[Ex GST],$A558),"")</f>
        <v/>
      </c>
      <c r="H558" s="61">
        <f>IFERROR(INDEX(tbl_Finance[Defer Start],$A558),"")</f>
        <v/>
      </c>
      <c r="I558" s="61">
        <f>IFERROR(INDEX(tbl_Finance[Defer End],$A558),"")</f>
        <v/>
      </c>
      <c r="J558" s="60">
        <f>IF(OR($H558="",$I558="",$G558=""),"",MAX(1,(YEAR($I558)-YEAR($H558))*12+MONTH($I558)-MONTH($H558)+1))</f>
        <v/>
      </c>
      <c r="K558" s="63">
        <f>IF($J558="","",$G558/$J558)</f>
        <v/>
      </c>
      <c r="L558" s="63">
        <f>IF($J558="",0,$K558*MAX(0,MIN(YEAR($C$3)*12+MONTH($C$3),YEAR($I558)*12+MONTH($I558))-(YEAR($H558)*12+MONTH($H558))+1))</f>
        <v/>
      </c>
      <c r="M558" s="63">
        <f>IF($J558="",0,$K558*MAX(0,MIN(YEAR($C$3)*12+MONTH($C$3)-1,YEAR($I558)*12+MONTH($I558))-(YEAR($H558)*12+MONTH($H558))+1))</f>
        <v/>
      </c>
      <c r="N558" s="63">
        <f>IF(OR($J558="",$B558=""),0,IF(YEAR($B558)*12+MONTH($B558)&lt;=YEAR($C$3)*12+MONTH($C$3),$G558,0))</f>
        <v/>
      </c>
      <c r="O558" s="63">
        <f>IF(OR($J558="",$B558=""),0,IF(YEAR($B558)*12+MONTH($B558)&lt;=YEAR($C$3)*12+MONTH($C$3)-1,$G558,0))</f>
        <v/>
      </c>
      <c r="P558" s="63">
        <f>$M558-$O558</f>
        <v/>
      </c>
      <c r="Q558" s="63">
        <f>($L558-$M558)-($N558-$O558)</f>
        <v/>
      </c>
      <c r="R558" s="63">
        <f>$L558-$N558</f>
        <v/>
      </c>
    </row>
    <row r="559">
      <c r="A559" s="60">
        <f>ROW()-5</f>
        <v/>
      </c>
      <c r="B559" s="61">
        <f>IFERROR(INDEX(tbl_Finance[Date],$A559),"")</f>
        <v/>
      </c>
      <c r="C559" s="62">
        <f>IFERROR(INDEX(tbl_Finance[Xero Invoice No],$A559),"")</f>
        <v/>
      </c>
      <c r="D559" s="62">
        <f>IFERROR(INDEX(tbl_Finance[Client],$A559),"")</f>
        <v/>
      </c>
      <c r="E559" s="62">
        <f>IFERROR(INDEX(tbl_Finance[Job Number],$A559),"")</f>
        <v/>
      </c>
      <c r="F559" s="62">
        <f>IFERROR(INDEX(tbl_Finance[Cost Centre],$A559),"")</f>
        <v/>
      </c>
      <c r="G559" s="63">
        <f>IFERROR(INDEX(tbl_Finance[Ex GST],$A559),"")</f>
        <v/>
      </c>
      <c r="H559" s="61">
        <f>IFERROR(INDEX(tbl_Finance[Defer Start],$A559),"")</f>
        <v/>
      </c>
      <c r="I559" s="61">
        <f>IFERROR(INDEX(tbl_Finance[Defer End],$A559),"")</f>
        <v/>
      </c>
      <c r="J559" s="60">
        <f>IF(OR($H559="",$I559="",$G559=""),"",MAX(1,(YEAR($I559)-YEAR($H559))*12+MONTH($I559)-MONTH($H559)+1))</f>
        <v/>
      </c>
      <c r="K559" s="63">
        <f>IF($J559="","",$G559/$J559)</f>
        <v/>
      </c>
      <c r="L559" s="63">
        <f>IF($J559="",0,$K559*MAX(0,MIN(YEAR($C$3)*12+MONTH($C$3),YEAR($I559)*12+MONTH($I559))-(YEAR($H559)*12+MONTH($H559))+1))</f>
        <v/>
      </c>
      <c r="M559" s="63">
        <f>IF($J559="",0,$K559*MAX(0,MIN(YEAR($C$3)*12+MONTH($C$3)-1,YEAR($I559)*12+MONTH($I559))-(YEAR($H559)*12+MONTH($H559))+1))</f>
        <v/>
      </c>
      <c r="N559" s="63">
        <f>IF(OR($J559="",$B559=""),0,IF(YEAR($B559)*12+MONTH($B559)&lt;=YEAR($C$3)*12+MONTH($C$3),$G559,0))</f>
        <v/>
      </c>
      <c r="O559" s="63">
        <f>IF(OR($J559="",$B559=""),0,IF(YEAR($B559)*12+MONTH($B559)&lt;=YEAR($C$3)*12+MONTH($C$3)-1,$G559,0))</f>
        <v/>
      </c>
      <c r="P559" s="63">
        <f>$M559-$O559</f>
        <v/>
      </c>
      <c r="Q559" s="63">
        <f>($L559-$M559)-($N559-$O559)</f>
        <v/>
      </c>
      <c r="R559" s="63">
        <f>$L559-$N559</f>
        <v/>
      </c>
    </row>
    <row r="560">
      <c r="A560" s="60">
        <f>ROW()-5</f>
        <v/>
      </c>
      <c r="B560" s="61">
        <f>IFERROR(INDEX(tbl_Finance[Date],$A560),"")</f>
        <v/>
      </c>
      <c r="C560" s="62">
        <f>IFERROR(INDEX(tbl_Finance[Xero Invoice No],$A560),"")</f>
        <v/>
      </c>
      <c r="D560" s="62">
        <f>IFERROR(INDEX(tbl_Finance[Client],$A560),"")</f>
        <v/>
      </c>
      <c r="E560" s="62">
        <f>IFERROR(INDEX(tbl_Finance[Job Number],$A560),"")</f>
        <v/>
      </c>
      <c r="F560" s="62">
        <f>IFERROR(INDEX(tbl_Finance[Cost Centre],$A560),"")</f>
        <v/>
      </c>
      <c r="G560" s="63">
        <f>IFERROR(INDEX(tbl_Finance[Ex GST],$A560),"")</f>
        <v/>
      </c>
      <c r="H560" s="61">
        <f>IFERROR(INDEX(tbl_Finance[Defer Start],$A560),"")</f>
        <v/>
      </c>
      <c r="I560" s="61">
        <f>IFERROR(INDEX(tbl_Finance[Defer End],$A560),"")</f>
        <v/>
      </c>
      <c r="J560" s="60">
        <f>IF(OR($H560="",$I560="",$G560=""),"",MAX(1,(YEAR($I560)-YEAR($H560))*12+MONTH($I560)-MONTH($H560)+1))</f>
        <v/>
      </c>
      <c r="K560" s="63">
        <f>IF($J560="","",$G560/$J560)</f>
        <v/>
      </c>
      <c r="L560" s="63">
        <f>IF($J560="",0,$K560*MAX(0,MIN(YEAR($C$3)*12+MONTH($C$3),YEAR($I560)*12+MONTH($I560))-(YEAR($H560)*12+MONTH($H560))+1))</f>
        <v/>
      </c>
      <c r="M560" s="63">
        <f>IF($J560="",0,$K560*MAX(0,MIN(YEAR($C$3)*12+MONTH($C$3)-1,YEAR($I560)*12+MONTH($I560))-(YEAR($H560)*12+MONTH($H560))+1))</f>
        <v/>
      </c>
      <c r="N560" s="63">
        <f>IF(OR($J560="",$B560=""),0,IF(YEAR($B560)*12+MONTH($B560)&lt;=YEAR($C$3)*12+MONTH($C$3),$G560,0))</f>
        <v/>
      </c>
      <c r="O560" s="63">
        <f>IF(OR($J560="",$B560=""),0,IF(YEAR($B560)*12+MONTH($B560)&lt;=YEAR($C$3)*12+MONTH($C$3)-1,$G560,0))</f>
        <v/>
      </c>
      <c r="P560" s="63">
        <f>$M560-$O560</f>
        <v/>
      </c>
      <c r="Q560" s="63">
        <f>($L560-$M560)-($N560-$O560)</f>
        <v/>
      </c>
      <c r="R560" s="63">
        <f>$L560-$N560</f>
        <v/>
      </c>
    </row>
    <row r="561">
      <c r="A561" s="60">
        <f>ROW()-5</f>
        <v/>
      </c>
      <c r="B561" s="61">
        <f>IFERROR(INDEX(tbl_Finance[Date],$A561),"")</f>
        <v/>
      </c>
      <c r="C561" s="62">
        <f>IFERROR(INDEX(tbl_Finance[Xero Invoice No],$A561),"")</f>
        <v/>
      </c>
      <c r="D561" s="62">
        <f>IFERROR(INDEX(tbl_Finance[Client],$A561),"")</f>
        <v/>
      </c>
      <c r="E561" s="62">
        <f>IFERROR(INDEX(tbl_Finance[Job Number],$A561),"")</f>
        <v/>
      </c>
      <c r="F561" s="62">
        <f>IFERROR(INDEX(tbl_Finance[Cost Centre],$A561),"")</f>
        <v/>
      </c>
      <c r="G561" s="63">
        <f>IFERROR(INDEX(tbl_Finance[Ex GST],$A561),"")</f>
        <v/>
      </c>
      <c r="H561" s="61">
        <f>IFERROR(INDEX(tbl_Finance[Defer Start],$A561),"")</f>
        <v/>
      </c>
      <c r="I561" s="61">
        <f>IFERROR(INDEX(tbl_Finance[Defer End],$A561),"")</f>
        <v/>
      </c>
      <c r="J561" s="60">
        <f>IF(OR($H561="",$I561="",$G561=""),"",MAX(1,(YEAR($I561)-YEAR($H561))*12+MONTH($I561)-MONTH($H561)+1))</f>
        <v/>
      </c>
      <c r="K561" s="63">
        <f>IF($J561="","",$G561/$J561)</f>
        <v/>
      </c>
      <c r="L561" s="63">
        <f>IF($J561="",0,$K561*MAX(0,MIN(YEAR($C$3)*12+MONTH($C$3),YEAR($I561)*12+MONTH($I561))-(YEAR($H561)*12+MONTH($H561))+1))</f>
        <v/>
      </c>
      <c r="M561" s="63">
        <f>IF($J561="",0,$K561*MAX(0,MIN(YEAR($C$3)*12+MONTH($C$3)-1,YEAR($I561)*12+MONTH($I561))-(YEAR($H561)*12+MONTH($H561))+1))</f>
        <v/>
      </c>
      <c r="N561" s="63">
        <f>IF(OR($J561="",$B561=""),0,IF(YEAR($B561)*12+MONTH($B561)&lt;=YEAR($C$3)*12+MONTH($C$3),$G561,0))</f>
        <v/>
      </c>
      <c r="O561" s="63">
        <f>IF(OR($J561="",$B561=""),0,IF(YEAR($B561)*12+MONTH($B561)&lt;=YEAR($C$3)*12+MONTH($C$3)-1,$G561,0))</f>
        <v/>
      </c>
      <c r="P561" s="63">
        <f>$M561-$O561</f>
        <v/>
      </c>
      <c r="Q561" s="63">
        <f>($L561-$M561)-($N561-$O561)</f>
        <v/>
      </c>
      <c r="R561" s="63">
        <f>$L561-$N561</f>
        <v/>
      </c>
    </row>
    <row r="562">
      <c r="A562" s="60">
        <f>ROW()-5</f>
        <v/>
      </c>
      <c r="B562" s="61">
        <f>IFERROR(INDEX(tbl_Finance[Date],$A562),"")</f>
        <v/>
      </c>
      <c r="C562" s="62">
        <f>IFERROR(INDEX(tbl_Finance[Xero Invoice No],$A562),"")</f>
        <v/>
      </c>
      <c r="D562" s="62">
        <f>IFERROR(INDEX(tbl_Finance[Client],$A562),"")</f>
        <v/>
      </c>
      <c r="E562" s="62">
        <f>IFERROR(INDEX(tbl_Finance[Job Number],$A562),"")</f>
        <v/>
      </c>
      <c r="F562" s="62">
        <f>IFERROR(INDEX(tbl_Finance[Cost Centre],$A562),"")</f>
        <v/>
      </c>
      <c r="G562" s="63">
        <f>IFERROR(INDEX(tbl_Finance[Ex GST],$A562),"")</f>
        <v/>
      </c>
      <c r="H562" s="61">
        <f>IFERROR(INDEX(tbl_Finance[Defer Start],$A562),"")</f>
        <v/>
      </c>
      <c r="I562" s="61">
        <f>IFERROR(INDEX(tbl_Finance[Defer End],$A562),"")</f>
        <v/>
      </c>
      <c r="J562" s="60">
        <f>IF(OR($H562="",$I562="",$G562=""),"",MAX(1,(YEAR($I562)-YEAR($H562))*12+MONTH($I562)-MONTH($H562)+1))</f>
        <v/>
      </c>
      <c r="K562" s="63">
        <f>IF($J562="","",$G562/$J562)</f>
        <v/>
      </c>
      <c r="L562" s="63">
        <f>IF($J562="",0,$K562*MAX(0,MIN(YEAR($C$3)*12+MONTH($C$3),YEAR($I562)*12+MONTH($I562))-(YEAR($H562)*12+MONTH($H562))+1))</f>
        <v/>
      </c>
      <c r="M562" s="63">
        <f>IF($J562="",0,$K562*MAX(0,MIN(YEAR($C$3)*12+MONTH($C$3)-1,YEAR($I562)*12+MONTH($I562))-(YEAR($H562)*12+MONTH($H562))+1))</f>
        <v/>
      </c>
      <c r="N562" s="63">
        <f>IF(OR($J562="",$B562=""),0,IF(YEAR($B562)*12+MONTH($B562)&lt;=YEAR($C$3)*12+MONTH($C$3),$G562,0))</f>
        <v/>
      </c>
      <c r="O562" s="63">
        <f>IF(OR($J562="",$B562=""),0,IF(YEAR($B562)*12+MONTH($B562)&lt;=YEAR($C$3)*12+MONTH($C$3)-1,$G562,0))</f>
        <v/>
      </c>
      <c r="P562" s="63">
        <f>$M562-$O562</f>
        <v/>
      </c>
      <c r="Q562" s="63">
        <f>($L562-$M562)-($N562-$O562)</f>
        <v/>
      </c>
      <c r="R562" s="63">
        <f>$L562-$N562</f>
        <v/>
      </c>
    </row>
    <row r="563">
      <c r="A563" s="60">
        <f>ROW()-5</f>
        <v/>
      </c>
      <c r="B563" s="61">
        <f>IFERROR(INDEX(tbl_Finance[Date],$A563),"")</f>
        <v/>
      </c>
      <c r="C563" s="62">
        <f>IFERROR(INDEX(tbl_Finance[Xero Invoice No],$A563),"")</f>
        <v/>
      </c>
      <c r="D563" s="62">
        <f>IFERROR(INDEX(tbl_Finance[Client],$A563),"")</f>
        <v/>
      </c>
      <c r="E563" s="62">
        <f>IFERROR(INDEX(tbl_Finance[Job Number],$A563),"")</f>
        <v/>
      </c>
      <c r="F563" s="62">
        <f>IFERROR(INDEX(tbl_Finance[Cost Centre],$A563),"")</f>
        <v/>
      </c>
      <c r="G563" s="63">
        <f>IFERROR(INDEX(tbl_Finance[Ex GST],$A563),"")</f>
        <v/>
      </c>
      <c r="H563" s="61">
        <f>IFERROR(INDEX(tbl_Finance[Defer Start],$A563),"")</f>
        <v/>
      </c>
      <c r="I563" s="61">
        <f>IFERROR(INDEX(tbl_Finance[Defer End],$A563),"")</f>
        <v/>
      </c>
      <c r="J563" s="60">
        <f>IF(OR($H563="",$I563="",$G563=""),"",MAX(1,(YEAR($I563)-YEAR($H563))*12+MONTH($I563)-MONTH($H563)+1))</f>
        <v/>
      </c>
      <c r="K563" s="63">
        <f>IF($J563="","",$G563/$J563)</f>
        <v/>
      </c>
      <c r="L563" s="63">
        <f>IF($J563="",0,$K563*MAX(0,MIN(YEAR($C$3)*12+MONTH($C$3),YEAR($I563)*12+MONTH($I563))-(YEAR($H563)*12+MONTH($H563))+1))</f>
        <v/>
      </c>
      <c r="M563" s="63">
        <f>IF($J563="",0,$K563*MAX(0,MIN(YEAR($C$3)*12+MONTH($C$3)-1,YEAR($I563)*12+MONTH($I563))-(YEAR($H563)*12+MONTH($H563))+1))</f>
        <v/>
      </c>
      <c r="N563" s="63">
        <f>IF(OR($J563="",$B563=""),0,IF(YEAR($B563)*12+MONTH($B563)&lt;=YEAR($C$3)*12+MONTH($C$3),$G563,0))</f>
        <v/>
      </c>
      <c r="O563" s="63">
        <f>IF(OR($J563="",$B563=""),0,IF(YEAR($B563)*12+MONTH($B563)&lt;=YEAR($C$3)*12+MONTH($C$3)-1,$G563,0))</f>
        <v/>
      </c>
      <c r="P563" s="63">
        <f>$M563-$O563</f>
        <v/>
      </c>
      <c r="Q563" s="63">
        <f>($L563-$M563)-($N563-$O563)</f>
        <v/>
      </c>
      <c r="R563" s="63">
        <f>$L563-$N563</f>
        <v/>
      </c>
    </row>
    <row r="564">
      <c r="A564" s="60">
        <f>ROW()-5</f>
        <v/>
      </c>
      <c r="B564" s="61">
        <f>IFERROR(INDEX(tbl_Finance[Date],$A564),"")</f>
        <v/>
      </c>
      <c r="C564" s="62">
        <f>IFERROR(INDEX(tbl_Finance[Xero Invoice No],$A564),"")</f>
        <v/>
      </c>
      <c r="D564" s="62">
        <f>IFERROR(INDEX(tbl_Finance[Client],$A564),"")</f>
        <v/>
      </c>
      <c r="E564" s="62">
        <f>IFERROR(INDEX(tbl_Finance[Job Number],$A564),"")</f>
        <v/>
      </c>
      <c r="F564" s="62">
        <f>IFERROR(INDEX(tbl_Finance[Cost Centre],$A564),"")</f>
        <v/>
      </c>
      <c r="G564" s="63">
        <f>IFERROR(INDEX(tbl_Finance[Ex GST],$A564),"")</f>
        <v/>
      </c>
      <c r="H564" s="61">
        <f>IFERROR(INDEX(tbl_Finance[Defer Start],$A564),"")</f>
        <v/>
      </c>
      <c r="I564" s="61">
        <f>IFERROR(INDEX(tbl_Finance[Defer End],$A564),"")</f>
        <v/>
      </c>
      <c r="J564" s="60">
        <f>IF(OR($H564="",$I564="",$G564=""),"",MAX(1,(YEAR($I564)-YEAR($H564))*12+MONTH($I564)-MONTH($H564)+1))</f>
        <v/>
      </c>
      <c r="K564" s="63">
        <f>IF($J564="","",$G564/$J564)</f>
        <v/>
      </c>
      <c r="L564" s="63">
        <f>IF($J564="",0,$K564*MAX(0,MIN(YEAR($C$3)*12+MONTH($C$3),YEAR($I564)*12+MONTH($I564))-(YEAR($H564)*12+MONTH($H564))+1))</f>
        <v/>
      </c>
      <c r="M564" s="63">
        <f>IF($J564="",0,$K564*MAX(0,MIN(YEAR($C$3)*12+MONTH($C$3)-1,YEAR($I564)*12+MONTH($I564))-(YEAR($H564)*12+MONTH($H564))+1))</f>
        <v/>
      </c>
      <c r="N564" s="63">
        <f>IF(OR($J564="",$B564=""),0,IF(YEAR($B564)*12+MONTH($B564)&lt;=YEAR($C$3)*12+MONTH($C$3),$G564,0))</f>
        <v/>
      </c>
      <c r="O564" s="63">
        <f>IF(OR($J564="",$B564=""),0,IF(YEAR($B564)*12+MONTH($B564)&lt;=YEAR($C$3)*12+MONTH($C$3)-1,$G564,0))</f>
        <v/>
      </c>
      <c r="P564" s="63">
        <f>$M564-$O564</f>
        <v/>
      </c>
      <c r="Q564" s="63">
        <f>($L564-$M564)-($N564-$O564)</f>
        <v/>
      </c>
      <c r="R564" s="63">
        <f>$L564-$N564</f>
        <v/>
      </c>
    </row>
    <row r="565">
      <c r="A565" s="60">
        <f>ROW()-5</f>
        <v/>
      </c>
      <c r="B565" s="61">
        <f>IFERROR(INDEX(tbl_Finance[Date],$A565),"")</f>
        <v/>
      </c>
      <c r="C565" s="62">
        <f>IFERROR(INDEX(tbl_Finance[Xero Invoice No],$A565),"")</f>
        <v/>
      </c>
      <c r="D565" s="62">
        <f>IFERROR(INDEX(tbl_Finance[Client],$A565),"")</f>
        <v/>
      </c>
      <c r="E565" s="62">
        <f>IFERROR(INDEX(tbl_Finance[Job Number],$A565),"")</f>
        <v/>
      </c>
      <c r="F565" s="62">
        <f>IFERROR(INDEX(tbl_Finance[Cost Centre],$A565),"")</f>
        <v/>
      </c>
      <c r="G565" s="63">
        <f>IFERROR(INDEX(tbl_Finance[Ex GST],$A565),"")</f>
        <v/>
      </c>
      <c r="H565" s="61">
        <f>IFERROR(INDEX(tbl_Finance[Defer Start],$A565),"")</f>
        <v/>
      </c>
      <c r="I565" s="61">
        <f>IFERROR(INDEX(tbl_Finance[Defer End],$A565),"")</f>
        <v/>
      </c>
      <c r="J565" s="60">
        <f>IF(OR($H565="",$I565="",$G565=""),"",MAX(1,(YEAR($I565)-YEAR($H565))*12+MONTH($I565)-MONTH($H565)+1))</f>
        <v/>
      </c>
      <c r="K565" s="63">
        <f>IF($J565="","",$G565/$J565)</f>
        <v/>
      </c>
      <c r="L565" s="63">
        <f>IF($J565="",0,$K565*MAX(0,MIN(YEAR($C$3)*12+MONTH($C$3),YEAR($I565)*12+MONTH($I565))-(YEAR($H565)*12+MONTH($H565))+1))</f>
        <v/>
      </c>
      <c r="M565" s="63">
        <f>IF($J565="",0,$K565*MAX(0,MIN(YEAR($C$3)*12+MONTH($C$3)-1,YEAR($I565)*12+MONTH($I565))-(YEAR($H565)*12+MONTH($H565))+1))</f>
        <v/>
      </c>
      <c r="N565" s="63">
        <f>IF(OR($J565="",$B565=""),0,IF(YEAR($B565)*12+MONTH($B565)&lt;=YEAR($C$3)*12+MONTH($C$3),$G565,0))</f>
        <v/>
      </c>
      <c r="O565" s="63">
        <f>IF(OR($J565="",$B565=""),0,IF(YEAR($B565)*12+MONTH($B565)&lt;=YEAR($C$3)*12+MONTH($C$3)-1,$G565,0))</f>
        <v/>
      </c>
      <c r="P565" s="63">
        <f>$M565-$O565</f>
        <v/>
      </c>
      <c r="Q565" s="63">
        <f>($L565-$M565)-($N565-$O565)</f>
        <v/>
      </c>
      <c r="R565" s="63">
        <f>$L565-$N565</f>
        <v/>
      </c>
    </row>
    <row r="566">
      <c r="A566" s="60">
        <f>ROW()-5</f>
        <v/>
      </c>
      <c r="B566" s="61">
        <f>IFERROR(INDEX(tbl_Finance[Date],$A566),"")</f>
        <v/>
      </c>
      <c r="C566" s="62">
        <f>IFERROR(INDEX(tbl_Finance[Xero Invoice No],$A566),"")</f>
        <v/>
      </c>
      <c r="D566" s="62">
        <f>IFERROR(INDEX(tbl_Finance[Client],$A566),"")</f>
        <v/>
      </c>
      <c r="E566" s="62">
        <f>IFERROR(INDEX(tbl_Finance[Job Number],$A566),"")</f>
        <v/>
      </c>
      <c r="F566" s="62">
        <f>IFERROR(INDEX(tbl_Finance[Cost Centre],$A566),"")</f>
        <v/>
      </c>
      <c r="G566" s="63">
        <f>IFERROR(INDEX(tbl_Finance[Ex GST],$A566),"")</f>
        <v/>
      </c>
      <c r="H566" s="61">
        <f>IFERROR(INDEX(tbl_Finance[Defer Start],$A566),"")</f>
        <v/>
      </c>
      <c r="I566" s="61">
        <f>IFERROR(INDEX(tbl_Finance[Defer End],$A566),"")</f>
        <v/>
      </c>
      <c r="J566" s="60">
        <f>IF(OR($H566="",$I566="",$G566=""),"",MAX(1,(YEAR($I566)-YEAR($H566))*12+MONTH($I566)-MONTH($H566)+1))</f>
        <v/>
      </c>
      <c r="K566" s="63">
        <f>IF($J566="","",$G566/$J566)</f>
        <v/>
      </c>
      <c r="L566" s="63">
        <f>IF($J566="",0,$K566*MAX(0,MIN(YEAR($C$3)*12+MONTH($C$3),YEAR($I566)*12+MONTH($I566))-(YEAR($H566)*12+MONTH($H566))+1))</f>
        <v/>
      </c>
      <c r="M566" s="63">
        <f>IF($J566="",0,$K566*MAX(0,MIN(YEAR($C$3)*12+MONTH($C$3)-1,YEAR($I566)*12+MONTH($I566))-(YEAR($H566)*12+MONTH($H566))+1))</f>
        <v/>
      </c>
      <c r="N566" s="63">
        <f>IF(OR($J566="",$B566=""),0,IF(YEAR($B566)*12+MONTH($B566)&lt;=YEAR($C$3)*12+MONTH($C$3),$G566,0))</f>
        <v/>
      </c>
      <c r="O566" s="63">
        <f>IF(OR($J566="",$B566=""),0,IF(YEAR($B566)*12+MONTH($B566)&lt;=YEAR($C$3)*12+MONTH($C$3)-1,$G566,0))</f>
        <v/>
      </c>
      <c r="P566" s="63">
        <f>$M566-$O566</f>
        <v/>
      </c>
      <c r="Q566" s="63">
        <f>($L566-$M566)-($N566-$O566)</f>
        <v/>
      </c>
      <c r="R566" s="63">
        <f>$L566-$N566</f>
        <v/>
      </c>
    </row>
    <row r="567">
      <c r="A567" s="60">
        <f>ROW()-5</f>
        <v/>
      </c>
      <c r="B567" s="61">
        <f>IFERROR(INDEX(tbl_Finance[Date],$A567),"")</f>
        <v/>
      </c>
      <c r="C567" s="62">
        <f>IFERROR(INDEX(tbl_Finance[Xero Invoice No],$A567),"")</f>
        <v/>
      </c>
      <c r="D567" s="62">
        <f>IFERROR(INDEX(tbl_Finance[Client],$A567),"")</f>
        <v/>
      </c>
      <c r="E567" s="62">
        <f>IFERROR(INDEX(tbl_Finance[Job Number],$A567),"")</f>
        <v/>
      </c>
      <c r="F567" s="62">
        <f>IFERROR(INDEX(tbl_Finance[Cost Centre],$A567),"")</f>
        <v/>
      </c>
      <c r="G567" s="63">
        <f>IFERROR(INDEX(tbl_Finance[Ex GST],$A567),"")</f>
        <v/>
      </c>
      <c r="H567" s="61">
        <f>IFERROR(INDEX(tbl_Finance[Defer Start],$A567),"")</f>
        <v/>
      </c>
      <c r="I567" s="61">
        <f>IFERROR(INDEX(tbl_Finance[Defer End],$A567),"")</f>
        <v/>
      </c>
      <c r="J567" s="60">
        <f>IF(OR($H567="",$I567="",$G567=""),"",MAX(1,(YEAR($I567)-YEAR($H567))*12+MONTH($I567)-MONTH($H567)+1))</f>
        <v/>
      </c>
      <c r="K567" s="63">
        <f>IF($J567="","",$G567/$J567)</f>
        <v/>
      </c>
      <c r="L567" s="63">
        <f>IF($J567="",0,$K567*MAX(0,MIN(YEAR($C$3)*12+MONTH($C$3),YEAR($I567)*12+MONTH($I567))-(YEAR($H567)*12+MONTH($H567))+1))</f>
        <v/>
      </c>
      <c r="M567" s="63">
        <f>IF($J567="",0,$K567*MAX(0,MIN(YEAR($C$3)*12+MONTH($C$3)-1,YEAR($I567)*12+MONTH($I567))-(YEAR($H567)*12+MONTH($H567))+1))</f>
        <v/>
      </c>
      <c r="N567" s="63">
        <f>IF(OR($J567="",$B567=""),0,IF(YEAR($B567)*12+MONTH($B567)&lt;=YEAR($C$3)*12+MONTH($C$3),$G567,0))</f>
        <v/>
      </c>
      <c r="O567" s="63">
        <f>IF(OR($J567="",$B567=""),0,IF(YEAR($B567)*12+MONTH($B567)&lt;=YEAR($C$3)*12+MONTH($C$3)-1,$G567,0))</f>
        <v/>
      </c>
      <c r="P567" s="63">
        <f>$M567-$O567</f>
        <v/>
      </c>
      <c r="Q567" s="63">
        <f>($L567-$M567)-($N567-$O567)</f>
        <v/>
      </c>
      <c r="R567" s="63">
        <f>$L567-$N567</f>
        <v/>
      </c>
    </row>
    <row r="568">
      <c r="A568" s="60">
        <f>ROW()-5</f>
        <v/>
      </c>
      <c r="B568" s="61">
        <f>IFERROR(INDEX(tbl_Finance[Date],$A568),"")</f>
        <v/>
      </c>
      <c r="C568" s="62">
        <f>IFERROR(INDEX(tbl_Finance[Xero Invoice No],$A568),"")</f>
        <v/>
      </c>
      <c r="D568" s="62">
        <f>IFERROR(INDEX(tbl_Finance[Client],$A568),"")</f>
        <v/>
      </c>
      <c r="E568" s="62">
        <f>IFERROR(INDEX(tbl_Finance[Job Number],$A568),"")</f>
        <v/>
      </c>
      <c r="F568" s="62">
        <f>IFERROR(INDEX(tbl_Finance[Cost Centre],$A568),"")</f>
        <v/>
      </c>
      <c r="G568" s="63">
        <f>IFERROR(INDEX(tbl_Finance[Ex GST],$A568),"")</f>
        <v/>
      </c>
      <c r="H568" s="61">
        <f>IFERROR(INDEX(tbl_Finance[Defer Start],$A568),"")</f>
        <v/>
      </c>
      <c r="I568" s="61">
        <f>IFERROR(INDEX(tbl_Finance[Defer End],$A568),"")</f>
        <v/>
      </c>
      <c r="J568" s="60">
        <f>IF(OR($H568="",$I568="",$G568=""),"",MAX(1,(YEAR($I568)-YEAR($H568))*12+MONTH($I568)-MONTH($H568)+1))</f>
        <v/>
      </c>
      <c r="K568" s="63">
        <f>IF($J568="","",$G568/$J568)</f>
        <v/>
      </c>
      <c r="L568" s="63">
        <f>IF($J568="",0,$K568*MAX(0,MIN(YEAR($C$3)*12+MONTH($C$3),YEAR($I568)*12+MONTH($I568))-(YEAR($H568)*12+MONTH($H568))+1))</f>
        <v/>
      </c>
      <c r="M568" s="63">
        <f>IF($J568="",0,$K568*MAX(0,MIN(YEAR($C$3)*12+MONTH($C$3)-1,YEAR($I568)*12+MONTH($I568))-(YEAR($H568)*12+MONTH($H568))+1))</f>
        <v/>
      </c>
      <c r="N568" s="63">
        <f>IF(OR($J568="",$B568=""),0,IF(YEAR($B568)*12+MONTH($B568)&lt;=YEAR($C$3)*12+MONTH($C$3),$G568,0))</f>
        <v/>
      </c>
      <c r="O568" s="63">
        <f>IF(OR($J568="",$B568=""),0,IF(YEAR($B568)*12+MONTH($B568)&lt;=YEAR($C$3)*12+MONTH($C$3)-1,$G568,0))</f>
        <v/>
      </c>
      <c r="P568" s="63">
        <f>$M568-$O568</f>
        <v/>
      </c>
      <c r="Q568" s="63">
        <f>($L568-$M568)-($N568-$O568)</f>
        <v/>
      </c>
      <c r="R568" s="63">
        <f>$L568-$N568</f>
        <v/>
      </c>
    </row>
    <row r="569">
      <c r="A569" s="60">
        <f>ROW()-5</f>
        <v/>
      </c>
      <c r="B569" s="61">
        <f>IFERROR(INDEX(tbl_Finance[Date],$A569),"")</f>
        <v/>
      </c>
      <c r="C569" s="62">
        <f>IFERROR(INDEX(tbl_Finance[Xero Invoice No],$A569),"")</f>
        <v/>
      </c>
      <c r="D569" s="62">
        <f>IFERROR(INDEX(tbl_Finance[Client],$A569),"")</f>
        <v/>
      </c>
      <c r="E569" s="62">
        <f>IFERROR(INDEX(tbl_Finance[Job Number],$A569),"")</f>
        <v/>
      </c>
      <c r="F569" s="62">
        <f>IFERROR(INDEX(tbl_Finance[Cost Centre],$A569),"")</f>
        <v/>
      </c>
      <c r="G569" s="63">
        <f>IFERROR(INDEX(tbl_Finance[Ex GST],$A569),"")</f>
        <v/>
      </c>
      <c r="H569" s="61">
        <f>IFERROR(INDEX(tbl_Finance[Defer Start],$A569),"")</f>
        <v/>
      </c>
      <c r="I569" s="61">
        <f>IFERROR(INDEX(tbl_Finance[Defer End],$A569),"")</f>
        <v/>
      </c>
      <c r="J569" s="60">
        <f>IF(OR($H569="",$I569="",$G569=""),"",MAX(1,(YEAR($I569)-YEAR($H569))*12+MONTH($I569)-MONTH($H569)+1))</f>
        <v/>
      </c>
      <c r="K569" s="63">
        <f>IF($J569="","",$G569/$J569)</f>
        <v/>
      </c>
      <c r="L569" s="63">
        <f>IF($J569="",0,$K569*MAX(0,MIN(YEAR($C$3)*12+MONTH($C$3),YEAR($I569)*12+MONTH($I569))-(YEAR($H569)*12+MONTH($H569))+1))</f>
        <v/>
      </c>
      <c r="M569" s="63">
        <f>IF($J569="",0,$K569*MAX(0,MIN(YEAR($C$3)*12+MONTH($C$3)-1,YEAR($I569)*12+MONTH($I569))-(YEAR($H569)*12+MONTH($H569))+1))</f>
        <v/>
      </c>
      <c r="N569" s="63">
        <f>IF(OR($J569="",$B569=""),0,IF(YEAR($B569)*12+MONTH($B569)&lt;=YEAR($C$3)*12+MONTH($C$3),$G569,0))</f>
        <v/>
      </c>
      <c r="O569" s="63">
        <f>IF(OR($J569="",$B569=""),0,IF(YEAR($B569)*12+MONTH($B569)&lt;=YEAR($C$3)*12+MONTH($C$3)-1,$G569,0))</f>
        <v/>
      </c>
      <c r="P569" s="63">
        <f>$M569-$O569</f>
        <v/>
      </c>
      <c r="Q569" s="63">
        <f>($L569-$M569)-($N569-$O569)</f>
        <v/>
      </c>
      <c r="R569" s="63">
        <f>$L569-$N569</f>
        <v/>
      </c>
    </row>
    <row r="570">
      <c r="A570" s="60">
        <f>ROW()-5</f>
        <v/>
      </c>
      <c r="B570" s="61">
        <f>IFERROR(INDEX(tbl_Finance[Date],$A570),"")</f>
        <v/>
      </c>
      <c r="C570" s="62">
        <f>IFERROR(INDEX(tbl_Finance[Xero Invoice No],$A570),"")</f>
        <v/>
      </c>
      <c r="D570" s="62">
        <f>IFERROR(INDEX(tbl_Finance[Client],$A570),"")</f>
        <v/>
      </c>
      <c r="E570" s="62">
        <f>IFERROR(INDEX(tbl_Finance[Job Number],$A570),"")</f>
        <v/>
      </c>
      <c r="F570" s="62">
        <f>IFERROR(INDEX(tbl_Finance[Cost Centre],$A570),"")</f>
        <v/>
      </c>
      <c r="G570" s="63">
        <f>IFERROR(INDEX(tbl_Finance[Ex GST],$A570),"")</f>
        <v/>
      </c>
      <c r="H570" s="61">
        <f>IFERROR(INDEX(tbl_Finance[Defer Start],$A570),"")</f>
        <v/>
      </c>
      <c r="I570" s="61">
        <f>IFERROR(INDEX(tbl_Finance[Defer End],$A570),"")</f>
        <v/>
      </c>
      <c r="J570" s="60">
        <f>IF(OR($H570="",$I570="",$G570=""),"",MAX(1,(YEAR($I570)-YEAR($H570))*12+MONTH($I570)-MONTH($H570)+1))</f>
        <v/>
      </c>
      <c r="K570" s="63">
        <f>IF($J570="","",$G570/$J570)</f>
        <v/>
      </c>
      <c r="L570" s="63">
        <f>IF($J570="",0,$K570*MAX(0,MIN(YEAR($C$3)*12+MONTH($C$3),YEAR($I570)*12+MONTH($I570))-(YEAR($H570)*12+MONTH($H570))+1))</f>
        <v/>
      </c>
      <c r="M570" s="63">
        <f>IF($J570="",0,$K570*MAX(0,MIN(YEAR($C$3)*12+MONTH($C$3)-1,YEAR($I570)*12+MONTH($I570))-(YEAR($H570)*12+MONTH($H570))+1))</f>
        <v/>
      </c>
      <c r="N570" s="63">
        <f>IF(OR($J570="",$B570=""),0,IF(YEAR($B570)*12+MONTH($B570)&lt;=YEAR($C$3)*12+MONTH($C$3),$G570,0))</f>
        <v/>
      </c>
      <c r="O570" s="63">
        <f>IF(OR($J570="",$B570=""),0,IF(YEAR($B570)*12+MONTH($B570)&lt;=YEAR($C$3)*12+MONTH($C$3)-1,$G570,0))</f>
        <v/>
      </c>
      <c r="P570" s="63">
        <f>$M570-$O570</f>
        <v/>
      </c>
      <c r="Q570" s="63">
        <f>($L570-$M570)-($N570-$O570)</f>
        <v/>
      </c>
      <c r="R570" s="63">
        <f>$L570-$N570</f>
        <v/>
      </c>
    </row>
    <row r="571">
      <c r="A571" s="60">
        <f>ROW()-5</f>
        <v/>
      </c>
      <c r="B571" s="61">
        <f>IFERROR(INDEX(tbl_Finance[Date],$A571),"")</f>
        <v/>
      </c>
      <c r="C571" s="62">
        <f>IFERROR(INDEX(tbl_Finance[Xero Invoice No],$A571),"")</f>
        <v/>
      </c>
      <c r="D571" s="62">
        <f>IFERROR(INDEX(tbl_Finance[Client],$A571),"")</f>
        <v/>
      </c>
      <c r="E571" s="62">
        <f>IFERROR(INDEX(tbl_Finance[Job Number],$A571),"")</f>
        <v/>
      </c>
      <c r="F571" s="62">
        <f>IFERROR(INDEX(tbl_Finance[Cost Centre],$A571),"")</f>
        <v/>
      </c>
      <c r="G571" s="63">
        <f>IFERROR(INDEX(tbl_Finance[Ex GST],$A571),"")</f>
        <v/>
      </c>
      <c r="H571" s="61">
        <f>IFERROR(INDEX(tbl_Finance[Defer Start],$A571),"")</f>
        <v/>
      </c>
      <c r="I571" s="61">
        <f>IFERROR(INDEX(tbl_Finance[Defer End],$A571),"")</f>
        <v/>
      </c>
      <c r="J571" s="60">
        <f>IF(OR($H571="",$I571="",$G571=""),"",MAX(1,(YEAR($I571)-YEAR($H571))*12+MONTH($I571)-MONTH($H571)+1))</f>
        <v/>
      </c>
      <c r="K571" s="63">
        <f>IF($J571="","",$G571/$J571)</f>
        <v/>
      </c>
      <c r="L571" s="63">
        <f>IF($J571="",0,$K571*MAX(0,MIN(YEAR($C$3)*12+MONTH($C$3),YEAR($I571)*12+MONTH($I571))-(YEAR($H571)*12+MONTH($H571))+1))</f>
        <v/>
      </c>
      <c r="M571" s="63">
        <f>IF($J571="",0,$K571*MAX(0,MIN(YEAR($C$3)*12+MONTH($C$3)-1,YEAR($I571)*12+MONTH($I571))-(YEAR($H571)*12+MONTH($H571))+1))</f>
        <v/>
      </c>
      <c r="N571" s="63">
        <f>IF(OR($J571="",$B571=""),0,IF(YEAR($B571)*12+MONTH($B571)&lt;=YEAR($C$3)*12+MONTH($C$3),$G571,0))</f>
        <v/>
      </c>
      <c r="O571" s="63">
        <f>IF(OR($J571="",$B571=""),0,IF(YEAR($B571)*12+MONTH($B571)&lt;=YEAR($C$3)*12+MONTH($C$3)-1,$G571,0))</f>
        <v/>
      </c>
      <c r="P571" s="63">
        <f>$M571-$O571</f>
        <v/>
      </c>
      <c r="Q571" s="63">
        <f>($L571-$M571)-($N571-$O571)</f>
        <v/>
      </c>
      <c r="R571" s="63">
        <f>$L571-$N571</f>
        <v/>
      </c>
    </row>
    <row r="572">
      <c r="A572" s="60">
        <f>ROW()-5</f>
        <v/>
      </c>
      <c r="B572" s="61">
        <f>IFERROR(INDEX(tbl_Finance[Date],$A572),"")</f>
        <v/>
      </c>
      <c r="C572" s="62">
        <f>IFERROR(INDEX(tbl_Finance[Xero Invoice No],$A572),"")</f>
        <v/>
      </c>
      <c r="D572" s="62">
        <f>IFERROR(INDEX(tbl_Finance[Client],$A572),"")</f>
        <v/>
      </c>
      <c r="E572" s="62">
        <f>IFERROR(INDEX(tbl_Finance[Job Number],$A572),"")</f>
        <v/>
      </c>
      <c r="F572" s="62">
        <f>IFERROR(INDEX(tbl_Finance[Cost Centre],$A572),"")</f>
        <v/>
      </c>
      <c r="G572" s="63">
        <f>IFERROR(INDEX(tbl_Finance[Ex GST],$A572),"")</f>
        <v/>
      </c>
      <c r="H572" s="61">
        <f>IFERROR(INDEX(tbl_Finance[Defer Start],$A572),"")</f>
        <v/>
      </c>
      <c r="I572" s="61">
        <f>IFERROR(INDEX(tbl_Finance[Defer End],$A572),"")</f>
        <v/>
      </c>
      <c r="J572" s="60">
        <f>IF(OR($H572="",$I572="",$G572=""),"",MAX(1,(YEAR($I572)-YEAR($H572))*12+MONTH($I572)-MONTH($H572)+1))</f>
        <v/>
      </c>
      <c r="K572" s="63">
        <f>IF($J572="","",$G572/$J572)</f>
        <v/>
      </c>
      <c r="L572" s="63">
        <f>IF($J572="",0,$K572*MAX(0,MIN(YEAR($C$3)*12+MONTH($C$3),YEAR($I572)*12+MONTH($I572))-(YEAR($H572)*12+MONTH($H572))+1))</f>
        <v/>
      </c>
      <c r="M572" s="63">
        <f>IF($J572="",0,$K572*MAX(0,MIN(YEAR($C$3)*12+MONTH($C$3)-1,YEAR($I572)*12+MONTH($I572))-(YEAR($H572)*12+MONTH($H572))+1))</f>
        <v/>
      </c>
      <c r="N572" s="63">
        <f>IF(OR($J572="",$B572=""),0,IF(YEAR($B572)*12+MONTH($B572)&lt;=YEAR($C$3)*12+MONTH($C$3),$G572,0))</f>
        <v/>
      </c>
      <c r="O572" s="63">
        <f>IF(OR($J572="",$B572=""),0,IF(YEAR($B572)*12+MONTH($B572)&lt;=YEAR($C$3)*12+MONTH($C$3)-1,$G572,0))</f>
        <v/>
      </c>
      <c r="P572" s="63">
        <f>$M572-$O572</f>
        <v/>
      </c>
      <c r="Q572" s="63">
        <f>($L572-$M572)-($N572-$O572)</f>
        <v/>
      </c>
      <c r="R572" s="63">
        <f>$L572-$N572</f>
        <v/>
      </c>
    </row>
    <row r="573">
      <c r="A573" s="60">
        <f>ROW()-5</f>
        <v/>
      </c>
      <c r="B573" s="61">
        <f>IFERROR(INDEX(tbl_Finance[Date],$A573),"")</f>
        <v/>
      </c>
      <c r="C573" s="62">
        <f>IFERROR(INDEX(tbl_Finance[Xero Invoice No],$A573),"")</f>
        <v/>
      </c>
      <c r="D573" s="62">
        <f>IFERROR(INDEX(tbl_Finance[Client],$A573),"")</f>
        <v/>
      </c>
      <c r="E573" s="62">
        <f>IFERROR(INDEX(tbl_Finance[Job Number],$A573),"")</f>
        <v/>
      </c>
      <c r="F573" s="62">
        <f>IFERROR(INDEX(tbl_Finance[Cost Centre],$A573),"")</f>
        <v/>
      </c>
      <c r="G573" s="63">
        <f>IFERROR(INDEX(tbl_Finance[Ex GST],$A573),"")</f>
        <v/>
      </c>
      <c r="H573" s="61">
        <f>IFERROR(INDEX(tbl_Finance[Defer Start],$A573),"")</f>
        <v/>
      </c>
      <c r="I573" s="61">
        <f>IFERROR(INDEX(tbl_Finance[Defer End],$A573),"")</f>
        <v/>
      </c>
      <c r="J573" s="60">
        <f>IF(OR($H573="",$I573="",$G573=""),"",MAX(1,(YEAR($I573)-YEAR($H573))*12+MONTH($I573)-MONTH($H573)+1))</f>
        <v/>
      </c>
      <c r="K573" s="63">
        <f>IF($J573="","",$G573/$J573)</f>
        <v/>
      </c>
      <c r="L573" s="63">
        <f>IF($J573="",0,$K573*MAX(0,MIN(YEAR($C$3)*12+MONTH($C$3),YEAR($I573)*12+MONTH($I573))-(YEAR($H573)*12+MONTH($H573))+1))</f>
        <v/>
      </c>
      <c r="M573" s="63">
        <f>IF($J573="",0,$K573*MAX(0,MIN(YEAR($C$3)*12+MONTH($C$3)-1,YEAR($I573)*12+MONTH($I573))-(YEAR($H573)*12+MONTH($H573))+1))</f>
        <v/>
      </c>
      <c r="N573" s="63">
        <f>IF(OR($J573="",$B573=""),0,IF(YEAR($B573)*12+MONTH($B573)&lt;=YEAR($C$3)*12+MONTH($C$3),$G573,0))</f>
        <v/>
      </c>
      <c r="O573" s="63">
        <f>IF(OR($J573="",$B573=""),0,IF(YEAR($B573)*12+MONTH($B573)&lt;=YEAR($C$3)*12+MONTH($C$3)-1,$G573,0))</f>
        <v/>
      </c>
      <c r="P573" s="63">
        <f>$M573-$O573</f>
        <v/>
      </c>
      <c r="Q573" s="63">
        <f>($L573-$M573)-($N573-$O573)</f>
        <v/>
      </c>
      <c r="R573" s="63">
        <f>$L573-$N573</f>
        <v/>
      </c>
    </row>
    <row r="574">
      <c r="A574" s="60">
        <f>ROW()-5</f>
        <v/>
      </c>
      <c r="B574" s="61">
        <f>IFERROR(INDEX(tbl_Finance[Date],$A574),"")</f>
        <v/>
      </c>
      <c r="C574" s="62">
        <f>IFERROR(INDEX(tbl_Finance[Xero Invoice No],$A574),"")</f>
        <v/>
      </c>
      <c r="D574" s="62">
        <f>IFERROR(INDEX(tbl_Finance[Client],$A574),"")</f>
        <v/>
      </c>
      <c r="E574" s="62">
        <f>IFERROR(INDEX(tbl_Finance[Job Number],$A574),"")</f>
        <v/>
      </c>
      <c r="F574" s="62">
        <f>IFERROR(INDEX(tbl_Finance[Cost Centre],$A574),"")</f>
        <v/>
      </c>
      <c r="G574" s="63">
        <f>IFERROR(INDEX(tbl_Finance[Ex GST],$A574),"")</f>
        <v/>
      </c>
      <c r="H574" s="61">
        <f>IFERROR(INDEX(tbl_Finance[Defer Start],$A574),"")</f>
        <v/>
      </c>
      <c r="I574" s="61">
        <f>IFERROR(INDEX(tbl_Finance[Defer End],$A574),"")</f>
        <v/>
      </c>
      <c r="J574" s="60">
        <f>IF(OR($H574="",$I574="",$G574=""),"",MAX(1,(YEAR($I574)-YEAR($H574))*12+MONTH($I574)-MONTH($H574)+1))</f>
        <v/>
      </c>
      <c r="K574" s="63">
        <f>IF($J574="","",$G574/$J574)</f>
        <v/>
      </c>
      <c r="L574" s="63">
        <f>IF($J574="",0,$K574*MAX(0,MIN(YEAR($C$3)*12+MONTH($C$3),YEAR($I574)*12+MONTH($I574))-(YEAR($H574)*12+MONTH($H574))+1))</f>
        <v/>
      </c>
      <c r="M574" s="63">
        <f>IF($J574="",0,$K574*MAX(0,MIN(YEAR($C$3)*12+MONTH($C$3)-1,YEAR($I574)*12+MONTH($I574))-(YEAR($H574)*12+MONTH($H574))+1))</f>
        <v/>
      </c>
      <c r="N574" s="63">
        <f>IF(OR($J574="",$B574=""),0,IF(YEAR($B574)*12+MONTH($B574)&lt;=YEAR($C$3)*12+MONTH($C$3),$G574,0))</f>
        <v/>
      </c>
      <c r="O574" s="63">
        <f>IF(OR($J574="",$B574=""),0,IF(YEAR($B574)*12+MONTH($B574)&lt;=YEAR($C$3)*12+MONTH($C$3)-1,$G574,0))</f>
        <v/>
      </c>
      <c r="P574" s="63">
        <f>$M574-$O574</f>
        <v/>
      </c>
      <c r="Q574" s="63">
        <f>($L574-$M574)-($N574-$O574)</f>
        <v/>
      </c>
      <c r="R574" s="63">
        <f>$L574-$N574</f>
        <v/>
      </c>
    </row>
    <row r="575">
      <c r="A575" s="60">
        <f>ROW()-5</f>
        <v/>
      </c>
      <c r="B575" s="61">
        <f>IFERROR(INDEX(tbl_Finance[Date],$A575),"")</f>
        <v/>
      </c>
      <c r="C575" s="62">
        <f>IFERROR(INDEX(tbl_Finance[Xero Invoice No],$A575),"")</f>
        <v/>
      </c>
      <c r="D575" s="62">
        <f>IFERROR(INDEX(tbl_Finance[Client],$A575),"")</f>
        <v/>
      </c>
      <c r="E575" s="62">
        <f>IFERROR(INDEX(tbl_Finance[Job Number],$A575),"")</f>
        <v/>
      </c>
      <c r="F575" s="62">
        <f>IFERROR(INDEX(tbl_Finance[Cost Centre],$A575),"")</f>
        <v/>
      </c>
      <c r="G575" s="63">
        <f>IFERROR(INDEX(tbl_Finance[Ex GST],$A575),"")</f>
        <v/>
      </c>
      <c r="H575" s="61">
        <f>IFERROR(INDEX(tbl_Finance[Defer Start],$A575),"")</f>
        <v/>
      </c>
      <c r="I575" s="61">
        <f>IFERROR(INDEX(tbl_Finance[Defer End],$A575),"")</f>
        <v/>
      </c>
      <c r="J575" s="60">
        <f>IF(OR($H575="",$I575="",$G575=""),"",MAX(1,(YEAR($I575)-YEAR($H575))*12+MONTH($I575)-MONTH($H575)+1))</f>
        <v/>
      </c>
      <c r="K575" s="63">
        <f>IF($J575="","",$G575/$J575)</f>
        <v/>
      </c>
      <c r="L575" s="63">
        <f>IF($J575="",0,$K575*MAX(0,MIN(YEAR($C$3)*12+MONTH($C$3),YEAR($I575)*12+MONTH($I575))-(YEAR($H575)*12+MONTH($H575))+1))</f>
        <v/>
      </c>
      <c r="M575" s="63">
        <f>IF($J575="",0,$K575*MAX(0,MIN(YEAR($C$3)*12+MONTH($C$3)-1,YEAR($I575)*12+MONTH($I575))-(YEAR($H575)*12+MONTH($H575))+1))</f>
        <v/>
      </c>
      <c r="N575" s="63">
        <f>IF(OR($J575="",$B575=""),0,IF(YEAR($B575)*12+MONTH($B575)&lt;=YEAR($C$3)*12+MONTH($C$3),$G575,0))</f>
        <v/>
      </c>
      <c r="O575" s="63">
        <f>IF(OR($J575="",$B575=""),0,IF(YEAR($B575)*12+MONTH($B575)&lt;=YEAR($C$3)*12+MONTH($C$3)-1,$G575,0))</f>
        <v/>
      </c>
      <c r="P575" s="63">
        <f>$M575-$O575</f>
        <v/>
      </c>
      <c r="Q575" s="63">
        <f>($L575-$M575)-($N575-$O575)</f>
        <v/>
      </c>
      <c r="R575" s="63">
        <f>$L575-$N575</f>
        <v/>
      </c>
    </row>
    <row r="576">
      <c r="A576" s="60">
        <f>ROW()-5</f>
        <v/>
      </c>
      <c r="B576" s="61">
        <f>IFERROR(INDEX(tbl_Finance[Date],$A576),"")</f>
        <v/>
      </c>
      <c r="C576" s="62">
        <f>IFERROR(INDEX(tbl_Finance[Xero Invoice No],$A576),"")</f>
        <v/>
      </c>
      <c r="D576" s="62">
        <f>IFERROR(INDEX(tbl_Finance[Client],$A576),"")</f>
        <v/>
      </c>
      <c r="E576" s="62">
        <f>IFERROR(INDEX(tbl_Finance[Job Number],$A576),"")</f>
        <v/>
      </c>
      <c r="F576" s="62">
        <f>IFERROR(INDEX(tbl_Finance[Cost Centre],$A576),"")</f>
        <v/>
      </c>
      <c r="G576" s="63">
        <f>IFERROR(INDEX(tbl_Finance[Ex GST],$A576),"")</f>
        <v/>
      </c>
      <c r="H576" s="61">
        <f>IFERROR(INDEX(tbl_Finance[Defer Start],$A576),"")</f>
        <v/>
      </c>
      <c r="I576" s="61">
        <f>IFERROR(INDEX(tbl_Finance[Defer End],$A576),"")</f>
        <v/>
      </c>
      <c r="J576" s="60">
        <f>IF(OR($H576="",$I576="",$G576=""),"",MAX(1,(YEAR($I576)-YEAR($H576))*12+MONTH($I576)-MONTH($H576)+1))</f>
        <v/>
      </c>
      <c r="K576" s="63">
        <f>IF($J576="","",$G576/$J576)</f>
        <v/>
      </c>
      <c r="L576" s="63">
        <f>IF($J576="",0,$K576*MAX(0,MIN(YEAR($C$3)*12+MONTH($C$3),YEAR($I576)*12+MONTH($I576))-(YEAR($H576)*12+MONTH($H576))+1))</f>
        <v/>
      </c>
      <c r="M576" s="63">
        <f>IF($J576="",0,$K576*MAX(0,MIN(YEAR($C$3)*12+MONTH($C$3)-1,YEAR($I576)*12+MONTH($I576))-(YEAR($H576)*12+MONTH($H576))+1))</f>
        <v/>
      </c>
      <c r="N576" s="63">
        <f>IF(OR($J576="",$B576=""),0,IF(YEAR($B576)*12+MONTH($B576)&lt;=YEAR($C$3)*12+MONTH($C$3),$G576,0))</f>
        <v/>
      </c>
      <c r="O576" s="63">
        <f>IF(OR($J576="",$B576=""),0,IF(YEAR($B576)*12+MONTH($B576)&lt;=YEAR($C$3)*12+MONTH($C$3)-1,$G576,0))</f>
        <v/>
      </c>
      <c r="P576" s="63">
        <f>$M576-$O576</f>
        <v/>
      </c>
      <c r="Q576" s="63">
        <f>($L576-$M576)-($N576-$O576)</f>
        <v/>
      </c>
      <c r="R576" s="63">
        <f>$L576-$N576</f>
        <v/>
      </c>
    </row>
    <row r="577">
      <c r="A577" s="60">
        <f>ROW()-5</f>
        <v/>
      </c>
      <c r="B577" s="61">
        <f>IFERROR(INDEX(tbl_Finance[Date],$A577),"")</f>
        <v/>
      </c>
      <c r="C577" s="62">
        <f>IFERROR(INDEX(tbl_Finance[Xero Invoice No],$A577),"")</f>
        <v/>
      </c>
      <c r="D577" s="62">
        <f>IFERROR(INDEX(tbl_Finance[Client],$A577),"")</f>
        <v/>
      </c>
      <c r="E577" s="62">
        <f>IFERROR(INDEX(tbl_Finance[Job Number],$A577),"")</f>
        <v/>
      </c>
      <c r="F577" s="62">
        <f>IFERROR(INDEX(tbl_Finance[Cost Centre],$A577),"")</f>
        <v/>
      </c>
      <c r="G577" s="63">
        <f>IFERROR(INDEX(tbl_Finance[Ex GST],$A577),"")</f>
        <v/>
      </c>
      <c r="H577" s="61">
        <f>IFERROR(INDEX(tbl_Finance[Defer Start],$A577),"")</f>
        <v/>
      </c>
      <c r="I577" s="61">
        <f>IFERROR(INDEX(tbl_Finance[Defer End],$A577),"")</f>
        <v/>
      </c>
      <c r="J577" s="60">
        <f>IF(OR($H577="",$I577="",$G577=""),"",MAX(1,(YEAR($I577)-YEAR($H577))*12+MONTH($I577)-MONTH($H577)+1))</f>
        <v/>
      </c>
      <c r="K577" s="63">
        <f>IF($J577="","",$G577/$J577)</f>
        <v/>
      </c>
      <c r="L577" s="63">
        <f>IF($J577="",0,$K577*MAX(0,MIN(YEAR($C$3)*12+MONTH($C$3),YEAR($I577)*12+MONTH($I577))-(YEAR($H577)*12+MONTH($H577))+1))</f>
        <v/>
      </c>
      <c r="M577" s="63">
        <f>IF($J577="",0,$K577*MAX(0,MIN(YEAR($C$3)*12+MONTH($C$3)-1,YEAR($I577)*12+MONTH($I577))-(YEAR($H577)*12+MONTH($H577))+1))</f>
        <v/>
      </c>
      <c r="N577" s="63">
        <f>IF(OR($J577="",$B577=""),0,IF(YEAR($B577)*12+MONTH($B577)&lt;=YEAR($C$3)*12+MONTH($C$3),$G577,0))</f>
        <v/>
      </c>
      <c r="O577" s="63">
        <f>IF(OR($J577="",$B577=""),0,IF(YEAR($B577)*12+MONTH($B577)&lt;=YEAR($C$3)*12+MONTH($C$3)-1,$G577,0))</f>
        <v/>
      </c>
      <c r="P577" s="63">
        <f>$M577-$O577</f>
        <v/>
      </c>
      <c r="Q577" s="63">
        <f>($L577-$M577)-($N577-$O577)</f>
        <v/>
      </c>
      <c r="R577" s="63">
        <f>$L577-$N577</f>
        <v/>
      </c>
    </row>
    <row r="578">
      <c r="A578" s="60">
        <f>ROW()-5</f>
        <v/>
      </c>
      <c r="B578" s="61">
        <f>IFERROR(INDEX(tbl_Finance[Date],$A578),"")</f>
        <v/>
      </c>
      <c r="C578" s="62">
        <f>IFERROR(INDEX(tbl_Finance[Xero Invoice No],$A578),"")</f>
        <v/>
      </c>
      <c r="D578" s="62">
        <f>IFERROR(INDEX(tbl_Finance[Client],$A578),"")</f>
        <v/>
      </c>
      <c r="E578" s="62">
        <f>IFERROR(INDEX(tbl_Finance[Job Number],$A578),"")</f>
        <v/>
      </c>
      <c r="F578" s="62">
        <f>IFERROR(INDEX(tbl_Finance[Cost Centre],$A578),"")</f>
        <v/>
      </c>
      <c r="G578" s="63">
        <f>IFERROR(INDEX(tbl_Finance[Ex GST],$A578),"")</f>
        <v/>
      </c>
      <c r="H578" s="61">
        <f>IFERROR(INDEX(tbl_Finance[Defer Start],$A578),"")</f>
        <v/>
      </c>
      <c r="I578" s="61">
        <f>IFERROR(INDEX(tbl_Finance[Defer End],$A578),"")</f>
        <v/>
      </c>
      <c r="J578" s="60">
        <f>IF(OR($H578="",$I578="",$G578=""),"",MAX(1,(YEAR($I578)-YEAR($H578))*12+MONTH($I578)-MONTH($H578)+1))</f>
        <v/>
      </c>
      <c r="K578" s="63">
        <f>IF($J578="","",$G578/$J578)</f>
        <v/>
      </c>
      <c r="L578" s="63">
        <f>IF($J578="",0,$K578*MAX(0,MIN(YEAR($C$3)*12+MONTH($C$3),YEAR($I578)*12+MONTH($I578))-(YEAR($H578)*12+MONTH($H578))+1))</f>
        <v/>
      </c>
      <c r="M578" s="63">
        <f>IF($J578="",0,$K578*MAX(0,MIN(YEAR($C$3)*12+MONTH($C$3)-1,YEAR($I578)*12+MONTH($I578))-(YEAR($H578)*12+MONTH($H578))+1))</f>
        <v/>
      </c>
      <c r="N578" s="63">
        <f>IF(OR($J578="",$B578=""),0,IF(YEAR($B578)*12+MONTH($B578)&lt;=YEAR($C$3)*12+MONTH($C$3),$G578,0))</f>
        <v/>
      </c>
      <c r="O578" s="63">
        <f>IF(OR($J578="",$B578=""),0,IF(YEAR($B578)*12+MONTH($B578)&lt;=YEAR($C$3)*12+MONTH($C$3)-1,$G578,0))</f>
        <v/>
      </c>
      <c r="P578" s="63">
        <f>$M578-$O578</f>
        <v/>
      </c>
      <c r="Q578" s="63">
        <f>($L578-$M578)-($N578-$O578)</f>
        <v/>
      </c>
      <c r="R578" s="63">
        <f>$L578-$N578</f>
        <v/>
      </c>
    </row>
    <row r="579">
      <c r="A579" s="60">
        <f>ROW()-5</f>
        <v/>
      </c>
      <c r="B579" s="61">
        <f>IFERROR(INDEX(tbl_Finance[Date],$A579),"")</f>
        <v/>
      </c>
      <c r="C579" s="62">
        <f>IFERROR(INDEX(tbl_Finance[Xero Invoice No],$A579),"")</f>
        <v/>
      </c>
      <c r="D579" s="62">
        <f>IFERROR(INDEX(tbl_Finance[Client],$A579),"")</f>
        <v/>
      </c>
      <c r="E579" s="62">
        <f>IFERROR(INDEX(tbl_Finance[Job Number],$A579),"")</f>
        <v/>
      </c>
      <c r="F579" s="62">
        <f>IFERROR(INDEX(tbl_Finance[Cost Centre],$A579),"")</f>
        <v/>
      </c>
      <c r="G579" s="63">
        <f>IFERROR(INDEX(tbl_Finance[Ex GST],$A579),"")</f>
        <v/>
      </c>
      <c r="H579" s="61">
        <f>IFERROR(INDEX(tbl_Finance[Defer Start],$A579),"")</f>
        <v/>
      </c>
      <c r="I579" s="61">
        <f>IFERROR(INDEX(tbl_Finance[Defer End],$A579),"")</f>
        <v/>
      </c>
      <c r="J579" s="60">
        <f>IF(OR($H579="",$I579="",$G579=""),"",MAX(1,(YEAR($I579)-YEAR($H579))*12+MONTH($I579)-MONTH($H579)+1))</f>
        <v/>
      </c>
      <c r="K579" s="63">
        <f>IF($J579="","",$G579/$J579)</f>
        <v/>
      </c>
      <c r="L579" s="63">
        <f>IF($J579="",0,$K579*MAX(0,MIN(YEAR($C$3)*12+MONTH($C$3),YEAR($I579)*12+MONTH($I579))-(YEAR($H579)*12+MONTH($H579))+1))</f>
        <v/>
      </c>
      <c r="M579" s="63">
        <f>IF($J579="",0,$K579*MAX(0,MIN(YEAR($C$3)*12+MONTH($C$3)-1,YEAR($I579)*12+MONTH($I579))-(YEAR($H579)*12+MONTH($H579))+1))</f>
        <v/>
      </c>
      <c r="N579" s="63">
        <f>IF(OR($J579="",$B579=""),0,IF(YEAR($B579)*12+MONTH($B579)&lt;=YEAR($C$3)*12+MONTH($C$3),$G579,0))</f>
        <v/>
      </c>
      <c r="O579" s="63">
        <f>IF(OR($J579="",$B579=""),0,IF(YEAR($B579)*12+MONTH($B579)&lt;=YEAR($C$3)*12+MONTH($C$3)-1,$G579,0))</f>
        <v/>
      </c>
      <c r="P579" s="63">
        <f>$M579-$O579</f>
        <v/>
      </c>
      <c r="Q579" s="63">
        <f>($L579-$M579)-($N579-$O579)</f>
        <v/>
      </c>
      <c r="R579" s="63">
        <f>$L579-$N579</f>
        <v/>
      </c>
    </row>
  </sheetData>
  <autoFilter ref="A5:R579"/>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1350</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5" t="n"/>
      <c r="P5" s="24" t="n"/>
      <c r="Q5" s="24" t="inlineStr">
        <is>
          <t>174.05 hours</t>
        </is>
      </c>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585/586/1755</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5" t="n"/>
      <c r="P6" s="24" t="n"/>
      <c r="Q6" s="24" t="inlineStr">
        <is>
          <t>Deduct 3hrs for TN 01/07 &amp; 6hrs for NP 14/07</t>
        </is>
      </c>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587</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5" t="n"/>
      <c r="P7" s="24" t="n"/>
      <c r="Q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2846/1401/725/1400/1530/1862/2402/2849/974</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5" t="n"/>
      <c r="P8" s="24" t="n"/>
      <c r="Q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732/1144</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5" t="n"/>
      <c r="P9" s="24" t="n"/>
      <c r="Q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2192</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5" t="n"/>
      <c r="P10" s="24" t="n"/>
      <c r="Q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2488</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5" t="n"/>
      <c r="P11" s="24" t="n"/>
      <c r="Q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26021602</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5" t="n"/>
      <c r="P12" s="24" t="n"/>
      <c r="Q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26043001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5" t="n"/>
      <c r="P13" s="24" t="n"/>
      <c r="Q13" s="24" t="inlineStr">
        <is>
          <t>Deduct 8hrs CN for 03/07</t>
        </is>
      </c>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25101301B</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5" t="n"/>
      <c r="P14" s="24" t="n"/>
      <c r="Q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2880</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5" t="n"/>
      <c r="P15" s="24" t="n"/>
      <c r="Q15" s="24" t="inlineStr">
        <is>
          <t>2 months extension</t>
        </is>
      </c>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3056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5" t="n"/>
      <c r="P16" s="24" t="n"/>
      <c r="Q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20250731</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5" t="n"/>
      <c r="P17" s="24" t="n"/>
      <c r="Q17" s="24" t="inlineStr">
        <is>
          <t>PO2601703215</t>
        </is>
      </c>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1668</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5" t="n"/>
      <c r="P18" s="24" t="n"/>
      <c r="Q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2540</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5" t="n"/>
      <c r="P19" s="24" t="n"/>
      <c r="Q19" s="24" t="inlineStr">
        <is>
          <t>PO2601703274</t>
        </is>
      </c>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26062501/2347</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5" t="n"/>
      <c r="P20" s="24" t="n"/>
      <c r="Q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2026021101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5" t="n"/>
      <c r="P21" s="24" t="n"/>
      <c r="Q21" s="24" t="inlineStr">
        <is>
          <t>Invoice 1/2</t>
        </is>
      </c>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26022301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5" t="n"/>
      <c r="P22" s="24" t="n"/>
      <c r="Q22" s="24" t="inlineStr">
        <is>
          <t>Split TBC - Xero split this with production ($850)</t>
        </is>
      </c>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2608502</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5" t="n"/>
      <c r="P23" s="24" t="n"/>
      <c r="Q23" s="24" t="inlineStr">
        <is>
          <t>8419.62 differe from invoice amount</t>
        </is>
      </c>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26073102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5" t="n"/>
      <c r="P24" s="24" t="n"/>
      <c r="Q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26081301</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5" t="n"/>
      <c r="P25" s="24" t="n"/>
      <c r="Q25" s="24" t="inlineStr">
        <is>
          <t>November</t>
        </is>
      </c>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585, 586</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5" t="n"/>
      <c r="P26" s="24" t="n"/>
      <c r="Q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26073103</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5" t="n"/>
      <c r="P27" s="24" t="n"/>
      <c r="Q27"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26082801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5" t="n"/>
      <c r="P28" s="24" t="n"/>
      <c r="Q28" s="24" t="inlineStr">
        <is>
          <t>This was not actually for Shell - error in quote. End client was Wotton Kearney.</t>
        </is>
      </c>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2608603</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5" t="n"/>
      <c r="P29" s="24" t="n"/>
      <c r="Q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26073107</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5" t="n"/>
      <c r="P30" s="24" t="n"/>
      <c r="Q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26082704</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5" t="n"/>
      <c r="P31" s="24" t="n"/>
      <c r="Q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5" t="n"/>
      <c r="P32" s="24" t="n"/>
      <c r="Q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5" t="n"/>
      <c r="P33" s="24" t="n"/>
      <c r="Q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5" t="n"/>
      <c r="P34" s="24" t="n"/>
      <c r="Q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5" t="n"/>
      <c r="P35" s="24" t="n"/>
      <c r="Q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5" t="n"/>
      <c r="P36" s="24" t="n"/>
      <c r="Q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5" t="n"/>
      <c r="P37" s="24" t="n"/>
      <c r="Q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5" t="n"/>
      <c r="P38" s="24" t="n"/>
      <c r="Q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5" t="n"/>
      <c r="P39" s="24" t="n"/>
      <c r="Q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5" t="n"/>
      <c r="P40" s="24" t="n"/>
      <c r="Q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5" t="n"/>
      <c r="P41" s="24" t="n"/>
      <c r="Q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5" t="n"/>
      <c r="P42" s="24" t="n"/>
      <c r="Q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5" t="n"/>
      <c r="P43" s="24" t="n"/>
      <c r="Q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5" t="n"/>
      <c r="P44" s="24" t="n"/>
      <c r="Q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5" t="n"/>
      <c r="P45" s="24" t="n"/>
      <c r="Q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5" t="n"/>
      <c r="P46" s="24" t="n"/>
      <c r="Q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5" t="n"/>
      <c r="P47" s="24" t="n"/>
      <c r="Q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5" t="n"/>
      <c r="P48" s="24" t="n"/>
      <c r="Q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5" t="n"/>
      <c r="P49" s="24" t="n"/>
      <c r="Q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5" t="n"/>
      <c r="P50" s="24" t="n"/>
      <c r="Q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5" t="n"/>
      <c r="P51" s="24" t="n"/>
      <c r="Q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5" t="n"/>
      <c r="P52" s="24" t="n"/>
      <c r="Q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5" t="n"/>
      <c r="P53" s="24" t="n"/>
      <c r="Q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5" t="n"/>
      <c r="P54" s="24" t="n"/>
      <c r="Q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5" t="n"/>
      <c r="P55" s="24" t="n"/>
      <c r="Q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5" t="n"/>
      <c r="P56" s="24" t="n"/>
      <c r="Q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5" t="n"/>
      <c r="P57" s="24" t="n"/>
      <c r="Q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5" t="n"/>
      <c r="P58" s="24" t="n"/>
      <c r="Q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5" t="n"/>
      <c r="P59" s="24" t="n"/>
      <c r="Q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5" t="n"/>
      <c r="P60" s="24" t="n"/>
      <c r="Q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5" t="n"/>
      <c r="P61" s="24" t="n"/>
      <c r="Q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5" t="n"/>
      <c r="P62" s="24" t="n"/>
      <c r="Q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5" t="n"/>
      <c r="P63" s="24" t="n"/>
      <c r="Q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5" t="n"/>
      <c r="P64" s="24" t="n"/>
      <c r="Q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5" t="n"/>
      <c r="P65" s="24" t="n"/>
      <c r="Q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5" t="n"/>
      <c r="P66" s="24" t="n"/>
      <c r="Q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5" t="n"/>
      <c r="P67" s="24" t="n"/>
      <c r="Q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5" t="n"/>
      <c r="P68" s="24" t="n"/>
      <c r="Q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5" t="n"/>
      <c r="P69" s="24" t="n"/>
      <c r="Q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5" t="n"/>
      <c r="P70" s="24" t="n"/>
      <c r="Q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5" t="n"/>
      <c r="P71" s="24" t="n"/>
      <c r="Q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5" t="n"/>
      <c r="P72" s="24" t="n"/>
      <c r="Q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5" t="n"/>
      <c r="P73" s="24" t="n"/>
      <c r="Q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5" t="n"/>
      <c r="P74" s="24" t="n"/>
      <c r="Q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5" t="n"/>
      <c r="P75" s="24" t="n"/>
      <c r="Q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5" t="n"/>
      <c r="P76" s="24" t="n"/>
      <c r="Q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5" t="n"/>
      <c r="P77" s="24" t="n"/>
      <c r="Q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5" t="n"/>
      <c r="P78" s="24" t="n"/>
      <c r="Q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5" t="n"/>
      <c r="P79" s="24" t="n"/>
      <c r="Q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5" t="n"/>
      <c r="P80" s="24" t="n"/>
      <c r="Q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5" t="n"/>
      <c r="P81" s="24" t="n"/>
      <c r="Q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5" t="n"/>
      <c r="P82" s="24" t="n"/>
      <c r="Q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5" t="n"/>
      <c r="P83" s="24" t="n"/>
      <c r="Q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5" t="n"/>
      <c r="P84" s="24" t="n"/>
      <c r="Q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5" t="n"/>
      <c r="P85" s="24" t="n"/>
      <c r="Q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5" t="n"/>
      <c r="P86" s="24" t="n"/>
      <c r="Q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5" t="n"/>
      <c r="P87" s="24" t="n"/>
      <c r="Q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5" t="n"/>
      <c r="P88" s="24" t="n"/>
      <c r="Q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5" t="n"/>
      <c r="P89" s="24" t="n"/>
      <c r="Q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5" t="n"/>
      <c r="P90" s="24" t="n"/>
      <c r="Q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5" t="n"/>
      <c r="P91" s="24" t="n"/>
      <c r="Q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5" t="n"/>
      <c r="P92" s="24" t="n"/>
      <c r="Q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5" t="n"/>
      <c r="P93" s="24" t="n"/>
      <c r="Q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5" t="n"/>
      <c r="P94" s="24" t="n"/>
      <c r="Q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5" t="n"/>
      <c r="P95" s="24" t="n"/>
      <c r="Q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5" t="n"/>
      <c r="P96" s="24" t="n"/>
      <c r="Q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5" t="n"/>
      <c r="P97" s="24" t="n"/>
      <c r="Q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5" t="n"/>
      <c r="P98" s="24" t="n"/>
      <c r="Q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5" t="n"/>
      <c r="P99" s="24" t="n"/>
      <c r="Q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5" t="n"/>
      <c r="P100" s="24" t="n"/>
      <c r="Q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5" t="n"/>
      <c r="P101" s="24" t="n"/>
      <c r="Q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5" t="n"/>
      <c r="P102" s="24" t="n"/>
      <c r="Q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5" t="n"/>
      <c r="P103" s="24" t="n"/>
      <c r="Q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5" t="n"/>
      <c r="P104" s="24" t="n"/>
      <c r="Q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5" t="n"/>
      <c r="P105" s="24" t="n"/>
      <c r="Q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5" t="n"/>
      <c r="P106" s="24" t="n"/>
      <c r="Q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5" t="n"/>
      <c r="P107" s="24" t="n"/>
      <c r="Q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5" t="n"/>
      <c r="P108" s="24" t="n"/>
      <c r="Q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5" t="n"/>
      <c r="P109" s="24" t="n"/>
      <c r="Q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5" t="n"/>
      <c r="P110" s="24" t="n"/>
      <c r="Q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5" t="n"/>
      <c r="P111" s="24" t="n"/>
      <c r="Q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5" t="n"/>
      <c r="P112" s="24" t="n"/>
      <c r="Q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5" t="n"/>
      <c r="P113" s="24" t="n"/>
      <c r="Q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5" t="n"/>
      <c r="P114" s="24" t="n"/>
      <c r="Q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5" t="n"/>
      <c r="P115" s="24" t="n"/>
      <c r="Q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5" t="n"/>
      <c r="P116" s="24" t="n"/>
      <c r="Q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5" t="n"/>
      <c r="P117" s="24" t="n"/>
      <c r="Q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5" t="n"/>
      <c r="P118" s="24" t="n"/>
      <c r="Q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5" t="n"/>
      <c r="P119" s="24" t="n"/>
      <c r="Q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5" t="n"/>
      <c r="P120" s="24" t="n"/>
      <c r="Q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5" t="n"/>
      <c r="P121" s="24" t="n"/>
      <c r="Q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5" t="n"/>
      <c r="P122" s="24" t="n"/>
      <c r="Q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5" t="n"/>
      <c r="P123" s="24" t="n"/>
      <c r="Q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5" t="n"/>
      <c r="P124" s="24" t="n"/>
      <c r="Q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5" t="n"/>
      <c r="P125" s="24" t="n"/>
      <c r="Q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5" t="n"/>
      <c r="P126" s="24" t="n"/>
      <c r="Q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5" t="n"/>
      <c r="P127" s="24" t="n"/>
      <c r="Q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5" t="n"/>
      <c r="P128" s="24" t="n"/>
      <c r="Q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5" t="n"/>
      <c r="P129" s="24" t="n"/>
      <c r="Q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5" t="n"/>
      <c r="P130" s="24" t="n"/>
      <c r="Q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5" t="n"/>
      <c r="P131" s="24" t="n"/>
      <c r="Q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5" t="n"/>
      <c r="P132" s="24" t="n"/>
      <c r="Q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5" t="n"/>
      <c r="P133" s="24" t="n"/>
      <c r="Q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5" t="n"/>
      <c r="P134" s="24" t="n"/>
      <c r="Q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5" t="n"/>
      <c r="P135" s="24" t="n"/>
      <c r="Q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5" t="n"/>
      <c r="P136" s="24" t="n"/>
      <c r="Q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5" t="n"/>
      <c r="P137" s="24" t="n"/>
      <c r="Q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5" t="n"/>
      <c r="P138" s="24" t="n"/>
      <c r="Q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5" t="n"/>
      <c r="P139" s="24" t="n"/>
      <c r="Q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5" t="n"/>
      <c r="P140" s="24" t="n"/>
      <c r="Q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5" t="n"/>
      <c r="P141" s="24" t="n"/>
      <c r="Q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5" t="n"/>
      <c r="P142" s="24" t="n"/>
      <c r="Q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5" t="n"/>
      <c r="P143" s="24" t="n"/>
      <c r="Q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5" t="n"/>
      <c r="P144" s="24" t="n"/>
      <c r="Q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5" t="n"/>
      <c r="P145" s="24" t="n"/>
      <c r="Q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5" t="n"/>
      <c r="P146" s="24" t="n"/>
      <c r="Q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5" t="n"/>
      <c r="P147" s="24" t="n"/>
      <c r="Q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5" t="n"/>
      <c r="P148" s="24" t="n"/>
      <c r="Q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5" t="n"/>
      <c r="P149" s="24" t="n"/>
      <c r="Q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5" t="n"/>
      <c r="P150" s="24" t="n"/>
      <c r="Q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5" t="n"/>
      <c r="P151" s="24" t="n"/>
      <c r="Q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5" t="n"/>
      <c r="P152" s="24" t="n"/>
      <c r="Q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5" t="n"/>
      <c r="P153" s="24" t="n"/>
      <c r="Q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5" t="n"/>
      <c r="P154" s="24" t="n"/>
      <c r="Q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5" t="n"/>
      <c r="P155" s="24" t="n"/>
      <c r="Q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5" t="n"/>
      <c r="P156" s="24" t="n"/>
      <c r="Q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5" t="n"/>
      <c r="P157" s="24" t="n"/>
      <c r="Q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5" t="n"/>
      <c r="P158" s="24" t="n"/>
      <c r="Q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5" t="n"/>
      <c r="P159" s="24" t="n"/>
      <c r="Q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5" t="n"/>
      <c r="P160" s="24" t="n"/>
      <c r="Q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5" t="n"/>
      <c r="P161" s="24" t="n"/>
      <c r="Q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5" t="n"/>
      <c r="P162" s="24" t="n"/>
      <c r="Q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5" t="n"/>
      <c r="P163" s="24" t="n"/>
      <c r="Q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5" t="n"/>
      <c r="P164" s="24" t="n"/>
      <c r="Q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5" t="n"/>
      <c r="P165" s="24" t="n"/>
      <c r="Q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5" t="n"/>
      <c r="P166" s="24" t="n"/>
      <c r="Q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5" t="n"/>
      <c r="P167" s="24" t="n"/>
      <c r="Q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5" t="n"/>
      <c r="P168" s="24" t="n"/>
      <c r="Q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5" t="n"/>
      <c r="P169" s="24" t="n"/>
      <c r="Q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5" t="n"/>
      <c r="P170" s="24" t="n"/>
      <c r="Q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5" t="n"/>
      <c r="P171" s="24" t="n"/>
      <c r="Q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5" t="n"/>
      <c r="P172" s="24" t="n"/>
      <c r="Q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5" t="n"/>
      <c r="P173" s="24" t="n"/>
      <c r="Q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5" t="n"/>
      <c r="P174" s="24" t="n"/>
      <c r="Q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5" t="n"/>
      <c r="P175" s="24" t="n"/>
      <c r="Q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5" t="n"/>
      <c r="P176" s="24" t="n"/>
      <c r="Q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5" t="n"/>
      <c r="P177" s="24" t="n"/>
      <c r="Q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5" t="n"/>
      <c r="P178" s="24" t="n"/>
      <c r="Q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5" t="n"/>
      <c r="P179" s="24" t="n"/>
      <c r="Q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5" t="n"/>
      <c r="P180" s="24" t="n"/>
      <c r="Q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5" t="n"/>
      <c r="P181" s="24" t="n"/>
      <c r="Q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5" t="n"/>
      <c r="P182" s="24" t="n"/>
      <c r="Q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5" t="n"/>
      <c r="P183" s="24" t="n"/>
      <c r="Q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5" t="n"/>
      <c r="P184" s="24" t="n"/>
      <c r="Q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5" t="n"/>
      <c r="P185" s="24" t="n"/>
      <c r="Q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5" t="n"/>
      <c r="P186" s="24" t="n"/>
      <c r="Q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5" t="n"/>
      <c r="P187" s="24" t="n"/>
      <c r="Q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5" t="n"/>
      <c r="P188" s="24" t="n"/>
      <c r="Q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5" t="n"/>
      <c r="P189" s="24" t="n"/>
      <c r="Q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5" t="n"/>
      <c r="P190" s="24" t="n"/>
      <c r="Q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5" t="n"/>
      <c r="P191" s="24" t="n"/>
      <c r="Q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5" t="n"/>
      <c r="P192" s="24" t="n"/>
      <c r="Q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5" t="n"/>
      <c r="P193" s="24" t="n"/>
      <c r="Q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5" t="n"/>
      <c r="P194" s="24" t="n"/>
      <c r="Q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5" t="n"/>
      <c r="P195" s="24" t="n"/>
      <c r="Q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5" t="n"/>
      <c r="P196" s="24" t="n"/>
      <c r="Q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5" t="n"/>
      <c r="P197" s="24" t="n"/>
      <c r="Q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5" t="n"/>
      <c r="P198" s="24" t="n"/>
      <c r="Q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5" t="n"/>
      <c r="P199" s="24" t="n"/>
      <c r="Q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5" t="n"/>
      <c r="P200" s="24" t="n"/>
      <c r="Q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5" t="n"/>
      <c r="P201" s="24" t="n"/>
      <c r="Q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5" t="n"/>
      <c r="P202" s="24" t="n"/>
      <c r="Q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5" t="n"/>
      <c r="P203" s="24" t="n"/>
      <c r="Q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5" t="n"/>
      <c r="P204" s="24" t="n"/>
      <c r="Q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5" t="n"/>
      <c r="P205" s="24" t="n"/>
      <c r="Q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5" t="n"/>
      <c r="P206" s="24" t="n"/>
      <c r="Q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5" t="n"/>
      <c r="P207" s="24" t="n"/>
      <c r="Q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5" t="n"/>
      <c r="P208" s="24" t="n"/>
      <c r="Q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5" t="n"/>
      <c r="P209" s="24" t="n"/>
      <c r="Q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5" t="n"/>
      <c r="P210" s="24" t="n"/>
      <c r="Q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5" t="n"/>
      <c r="P211" s="24" t="n"/>
      <c r="Q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5" t="n"/>
      <c r="P212" s="24" t="n"/>
      <c r="Q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5" t="n"/>
      <c r="P213" s="24" t="n"/>
      <c r="Q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5" t="n"/>
      <c r="P214" s="24" t="n"/>
      <c r="Q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5" t="n"/>
      <c r="P215" s="24" t="n"/>
      <c r="Q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5" t="n"/>
      <c r="P216" s="24" t="n"/>
      <c r="Q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5" t="n"/>
      <c r="P217" s="24" t="n"/>
      <c r="Q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5" t="n"/>
      <c r="P218" s="24" t="n"/>
      <c r="Q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5" t="n"/>
      <c r="P219" s="24" t="n"/>
      <c r="Q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5" t="n"/>
      <c r="P220" s="24" t="n"/>
      <c r="Q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5" t="n"/>
      <c r="P221" s="24" t="n"/>
      <c r="Q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5" t="n"/>
      <c r="P222" s="24" t="n"/>
      <c r="Q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5" t="n"/>
      <c r="P223" s="24" t="n"/>
      <c r="Q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5" t="n"/>
      <c r="P224" s="24" t="n"/>
      <c r="Q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5" t="n"/>
      <c r="P225" s="24" t="n"/>
      <c r="Q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5" t="n"/>
      <c r="P226" s="24" t="n"/>
      <c r="Q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5" t="n"/>
      <c r="P227" s="24" t="n"/>
      <c r="Q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5" t="n"/>
      <c r="P228" s="24" t="n"/>
      <c r="Q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5" t="n"/>
      <c r="P229" s="24" t="n"/>
      <c r="Q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5" t="n"/>
      <c r="P230" s="24" t="n"/>
      <c r="Q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5" t="n"/>
      <c r="P231" s="24" t="n"/>
      <c r="Q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5" t="n"/>
      <c r="P232" s="24" t="n"/>
      <c r="Q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5" t="n"/>
      <c r="P233" s="24" t="n"/>
      <c r="Q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5" t="n"/>
      <c r="P234" s="24" t="n"/>
      <c r="Q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5" t="n"/>
      <c r="P235" s="24" t="n"/>
      <c r="Q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5" t="n"/>
      <c r="P236" s="24" t="n"/>
      <c r="Q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5" t="n"/>
      <c r="P237" s="24" t="n"/>
      <c r="Q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5" t="n"/>
      <c r="P238" s="24" t="n"/>
      <c r="Q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5" t="n"/>
      <c r="P239" s="24" t="n"/>
      <c r="Q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5" t="n"/>
      <c r="P240" s="24" t="n"/>
      <c r="Q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5" t="n"/>
      <c r="P241" s="24" t="n"/>
      <c r="Q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5" t="n"/>
      <c r="P242" s="24" t="n"/>
      <c r="Q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5" t="n"/>
      <c r="P243" s="24" t="n"/>
      <c r="Q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5" t="n"/>
      <c r="P244" s="24" t="n"/>
      <c r="Q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5" t="n"/>
      <c r="P245" s="24" t="n"/>
      <c r="Q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5" t="n"/>
      <c r="P246" s="24" t="n"/>
      <c r="Q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5" t="n"/>
      <c r="P247" s="24" t="n"/>
      <c r="Q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5" t="n"/>
      <c r="P248" s="24" t="n"/>
      <c r="Q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5" t="n"/>
      <c r="P249" s="24" t="n"/>
      <c r="Q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5" t="n"/>
      <c r="P250" s="24" t="n"/>
      <c r="Q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5" t="n"/>
      <c r="P251" s="24" t="n"/>
      <c r="Q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5" t="n"/>
      <c r="P252" s="24" t="n"/>
      <c r="Q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5" t="n"/>
      <c r="P253" s="24" t="n"/>
      <c r="Q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5" t="n"/>
      <c r="P254" s="24" t="n"/>
      <c r="Q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5" t="n"/>
      <c r="P255" s="24" t="n"/>
      <c r="Q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5" t="n"/>
      <c r="P256" s="24" t="n"/>
      <c r="Q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5" t="n"/>
      <c r="P257" s="24" t="n"/>
      <c r="Q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5" t="n"/>
      <c r="P258" s="24" t="n"/>
      <c r="Q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5" t="n"/>
      <c r="P259" s="24" t="n"/>
      <c r="Q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5" t="n"/>
      <c r="P260" s="24" t="n"/>
      <c r="Q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5" t="n"/>
      <c r="P261" s="24" t="n"/>
      <c r="Q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5" t="n"/>
      <c r="P262" s="24" t="n"/>
      <c r="Q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5" t="n"/>
      <c r="P263" s="24" t="n"/>
      <c r="Q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5" t="n"/>
      <c r="P264" s="24" t="n"/>
      <c r="Q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5" t="n"/>
      <c r="P265" s="24" t="n"/>
      <c r="Q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5" t="n"/>
      <c r="P266" s="24" t="n"/>
      <c r="Q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5" t="n"/>
      <c r="P267" s="24" t="n"/>
      <c r="Q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5" t="n"/>
      <c r="P268" s="24" t="n"/>
      <c r="Q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5" t="n"/>
      <c r="P269" s="24" t="n"/>
      <c r="Q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5" t="n"/>
      <c r="P270" s="24" t="n"/>
      <c r="Q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5" t="n"/>
      <c r="P271" s="24" t="n"/>
      <c r="Q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5" t="n"/>
      <c r="P272" s="24" t="n"/>
      <c r="Q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5" t="n"/>
      <c r="P273" s="24" t="n"/>
      <c r="Q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5" t="n"/>
      <c r="P274" s="24" t="n"/>
      <c r="Q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5" t="n"/>
      <c r="P275" s="24" t="n"/>
      <c r="Q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5" t="n"/>
      <c r="P276" s="24" t="n"/>
      <c r="Q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5" t="n"/>
      <c r="P277" s="24" t="n"/>
      <c r="Q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5" t="n"/>
      <c r="P278" s="24" t="n"/>
      <c r="Q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5" t="n"/>
      <c r="P279" s="24" t="n"/>
      <c r="Q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5" t="n"/>
      <c r="P280" s="24" t="n"/>
      <c r="Q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5" t="n"/>
      <c r="P281" s="24" t="n"/>
      <c r="Q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5" t="n"/>
      <c r="P282" s="24" t="n"/>
      <c r="Q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5" t="n"/>
      <c r="P283" s="24" t="n"/>
      <c r="Q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5" t="n"/>
      <c r="P284" s="24" t="n"/>
      <c r="Q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5" t="n"/>
      <c r="P285" s="24" t="n"/>
      <c r="Q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5" t="n"/>
      <c r="P286" s="24" t="n"/>
      <c r="Q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5" t="n"/>
      <c r="P287" s="24" t="n"/>
      <c r="Q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5" t="n"/>
      <c r="P288" s="24" t="n"/>
      <c r="Q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5" t="n"/>
      <c r="P289" s="24" t="n"/>
      <c r="Q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5" t="n"/>
      <c r="P290" s="24" t="n"/>
      <c r="Q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5" t="n"/>
      <c r="P291" s="24" t="n"/>
      <c r="Q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5" t="n"/>
      <c r="P292" s="24" t="n"/>
      <c r="Q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5" t="n"/>
      <c r="P293" s="24" t="n"/>
      <c r="Q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5" t="n"/>
      <c r="P294" s="24" t="n"/>
      <c r="Q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5" t="n"/>
      <c r="P295" s="24" t="n"/>
      <c r="Q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5" t="n"/>
      <c r="P296" s="24" t="n"/>
      <c r="Q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5" t="n"/>
      <c r="P297" s="24" t="n"/>
      <c r="Q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5" t="n"/>
      <c r="P298" s="24" t="n"/>
      <c r="Q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5" t="n"/>
      <c r="P299" s="24" t="n"/>
      <c r="Q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5" t="n"/>
      <c r="P300" s="24" t="n"/>
      <c r="Q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5" t="n"/>
      <c r="P301" s="24" t="n"/>
      <c r="Q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5" t="n"/>
      <c r="P302" s="24" t="n"/>
      <c r="Q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5" t="n"/>
      <c r="P303" s="24" t="n"/>
      <c r="Q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5" t="n"/>
      <c r="P304" s="24" t="n"/>
      <c r="Q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5" t="n"/>
      <c r="P305" s="24" t="n"/>
      <c r="Q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5" t="n"/>
      <c r="P306" s="24" t="n"/>
      <c r="Q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5" t="n"/>
      <c r="P307" s="24" t="n"/>
      <c r="Q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5" t="n"/>
      <c r="P308" s="24" t="n"/>
      <c r="Q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5" t="n"/>
      <c r="P309" s="24" t="n"/>
      <c r="Q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5" t="n"/>
      <c r="P310" s="24" t="n"/>
      <c r="Q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5" t="n"/>
      <c r="P311" s="24" t="n"/>
      <c r="Q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5" t="n"/>
      <c r="P312" s="24" t="n"/>
      <c r="Q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5" t="n"/>
      <c r="P313" s="24" t="n"/>
      <c r="Q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5" t="n"/>
      <c r="P314" s="24" t="n"/>
      <c r="Q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5" t="n"/>
      <c r="P315" s="24" t="n"/>
      <c r="Q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5" t="n"/>
      <c r="P316" s="24" t="n"/>
      <c r="Q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5" t="n"/>
      <c r="P317" s="24" t="n"/>
      <c r="Q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5" t="n"/>
      <c r="P318" s="24" t="n"/>
      <c r="Q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5" t="n"/>
      <c r="P319" s="24" t="n"/>
      <c r="Q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5" t="n"/>
      <c r="P320" s="24" t="n"/>
      <c r="Q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5" t="n"/>
      <c r="P321" s="24" t="n"/>
      <c r="Q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5" t="n"/>
      <c r="P322" s="24" t="n"/>
      <c r="Q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5" t="n"/>
      <c r="P323" s="24" t="n"/>
      <c r="Q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5" t="n"/>
      <c r="P324" s="24" t="n"/>
      <c r="Q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5" t="n"/>
      <c r="P325" s="24" t="n"/>
      <c r="Q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5" t="n"/>
      <c r="P326" s="24" t="n"/>
      <c r="Q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5" t="n"/>
      <c r="P327" s="24" t="n"/>
      <c r="Q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5" t="n"/>
      <c r="P328" s="24" t="n"/>
      <c r="Q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5" t="n"/>
      <c r="P329" s="24" t="n"/>
      <c r="Q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5" t="n"/>
      <c r="P330" s="24" t="n"/>
      <c r="Q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5" t="n"/>
      <c r="P331" s="24" t="n"/>
      <c r="Q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5" t="n"/>
      <c r="P332" s="24" t="n"/>
      <c r="Q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5" t="n"/>
      <c r="P333" s="24" t="n"/>
      <c r="Q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5" t="n"/>
      <c r="P334" s="24" t="n"/>
      <c r="Q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5" t="n"/>
      <c r="P335" s="24" t="n"/>
      <c r="Q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5" t="n"/>
      <c r="P336" s="24" t="n"/>
      <c r="Q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5" t="n"/>
      <c r="P337" s="24" t="n"/>
      <c r="Q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5" t="n"/>
      <c r="P338" s="24" t="n"/>
      <c r="Q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5" t="n"/>
      <c r="P339" s="24" t="n"/>
      <c r="Q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5" t="n"/>
      <c r="P340" s="24" t="n"/>
      <c r="Q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5" t="n"/>
      <c r="P341" s="24" t="n"/>
      <c r="Q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5" t="n"/>
      <c r="P342" s="24" t="n"/>
      <c r="Q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5" t="n"/>
      <c r="P343" s="24" t="n"/>
      <c r="Q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5" t="n"/>
      <c r="P344" s="24" t="n"/>
      <c r="Q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5" t="n"/>
      <c r="P345" s="24" t="n"/>
      <c r="Q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5" t="n"/>
      <c r="P346" s="24" t="n"/>
      <c r="Q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5" t="n"/>
      <c r="P347" s="24" t="n"/>
      <c r="Q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5" t="n"/>
      <c r="P348" s="24" t="n"/>
      <c r="Q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5" t="n"/>
      <c r="P349" s="24" t="n"/>
      <c r="Q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5" t="n"/>
      <c r="P350" s="24" t="n"/>
      <c r="Q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5" t="n"/>
      <c r="P351" s="24" t="n"/>
      <c r="Q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5" t="n"/>
      <c r="P352" s="24" t="n"/>
      <c r="Q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5" t="n"/>
      <c r="P353" s="24" t="n"/>
      <c r="Q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5" t="n"/>
      <c r="P354" s="24" t="n"/>
      <c r="Q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5" t="n"/>
      <c r="P355" s="24" t="n"/>
      <c r="Q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5" t="n"/>
      <c r="P356" s="24" t="n"/>
      <c r="Q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5" t="n"/>
      <c r="P357" s="24" t="n"/>
      <c r="Q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5" t="n"/>
      <c r="P358" s="24" t="n"/>
      <c r="Q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5" t="n"/>
      <c r="P359" s="24" t="n"/>
      <c r="Q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5" t="n"/>
      <c r="P360" s="24" t="n"/>
      <c r="Q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5" t="n"/>
      <c r="P361" s="24" t="n"/>
      <c r="Q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5" t="n"/>
      <c r="P362" s="24" t="n"/>
      <c r="Q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5" t="n"/>
      <c r="P363" s="24" t="n"/>
      <c r="Q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5" t="n"/>
      <c r="P364" s="24" t="n"/>
      <c r="Q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5" t="n"/>
      <c r="P365" s="24" t="n"/>
      <c r="Q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5" t="n"/>
      <c r="P366" s="24" t="n"/>
      <c r="Q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5" t="n"/>
      <c r="P367" s="24" t="n"/>
      <c r="Q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5" t="n"/>
      <c r="P368" s="24" t="n"/>
      <c r="Q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5" t="n"/>
      <c r="P369" s="24" t="n"/>
      <c r="Q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5" t="n"/>
      <c r="P370" s="24" t="n"/>
      <c r="Q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5" t="n"/>
      <c r="P371" s="24" t="n"/>
      <c r="Q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5" t="n"/>
      <c r="P372" s="24" t="n"/>
      <c r="Q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5" t="n"/>
      <c r="P373" s="24" t="n"/>
      <c r="Q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5" t="n"/>
      <c r="P374" s="24" t="n"/>
      <c r="Q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5" t="n"/>
      <c r="P375" s="24" t="n"/>
      <c r="Q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5" t="n"/>
      <c r="P376" s="24" t="n"/>
      <c r="Q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5" t="n"/>
      <c r="P377" s="24" t="n"/>
      <c r="Q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5" t="n"/>
      <c r="P378" s="24" t="n"/>
      <c r="Q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5" t="n"/>
      <c r="P379" s="24" t="n"/>
      <c r="Q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5" t="n"/>
      <c r="P380" s="24" t="n"/>
      <c r="Q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5" t="n"/>
      <c r="P381" s="24" t="n"/>
      <c r="Q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5" t="n"/>
      <c r="P382" s="24" t="n"/>
      <c r="Q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5" t="n"/>
      <c r="P383" s="24" t="n"/>
      <c r="Q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5" t="n"/>
      <c r="P384" s="24" t="n"/>
      <c r="Q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5" t="n"/>
      <c r="P385" s="24" t="n"/>
      <c r="Q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5" t="n"/>
      <c r="P386" s="24" t="n"/>
      <c r="Q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5" t="n"/>
      <c r="P387" s="24" t="n"/>
      <c r="Q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5" t="n"/>
      <c r="P388" s="24" t="n"/>
      <c r="Q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5" t="n"/>
      <c r="P389" s="24" t="n"/>
      <c r="Q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5" t="n"/>
      <c r="P390" s="24" t="n"/>
      <c r="Q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5" t="n"/>
      <c r="P391" s="24" t="n"/>
      <c r="Q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5" t="n"/>
      <c r="P392" s="24" t="n"/>
      <c r="Q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5" t="n"/>
      <c r="P393" s="24" t="n"/>
      <c r="Q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5" t="n"/>
      <c r="P394" s="24" t="n"/>
      <c r="Q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5" t="n"/>
      <c r="P395" s="24" t="n"/>
      <c r="Q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5" t="n"/>
      <c r="P396" s="24" t="n"/>
      <c r="Q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5" t="n"/>
      <c r="P397" s="24" t="n"/>
      <c r="Q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5" t="n"/>
      <c r="P398" s="24" t="n"/>
      <c r="Q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5" t="n"/>
      <c r="P399" s="24" t="n"/>
      <c r="Q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5" t="n"/>
      <c r="P400" s="24" t="n"/>
      <c r="Q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5" t="n"/>
      <c r="P401" s="24" t="n"/>
      <c r="Q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5" t="n"/>
      <c r="P402" s="24" t="n"/>
      <c r="Q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5" t="n"/>
      <c r="P403" s="24" t="n"/>
      <c r="Q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5" t="n"/>
      <c r="P404" s="24" t="n"/>
      <c r="Q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4" t="n"/>
      <c r="N405" s="25">
        <f>IF(M405="","",HYPERLINK(IF(LEFT(M405,4)="http",M405,set_QwilrBase&amp;M405),"Open quote"))</f>
        <v/>
      </c>
      <c r="O405" s="65" t="n"/>
      <c r="P405" s="24" t="n"/>
      <c r="Q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4" t="n"/>
      <c r="N406" s="25">
        <f>IF(M406="","",HYPERLINK(IF(LEFT(M406,4)="http",M406,set_QwilrBase&amp;M406),"Open quote"))</f>
        <v/>
      </c>
      <c r="O406" s="65" t="n"/>
      <c r="P406" s="24" t="n"/>
      <c r="Q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4" t="n"/>
      <c r="N407" s="25">
        <f>IF(M407="","",HYPERLINK(IF(LEFT(M407,4)="http",M407,set_QwilrBase&amp;M407),"Open quote"))</f>
        <v/>
      </c>
      <c r="O407" s="65" t="n"/>
      <c r="P407" s="24" t="n"/>
      <c r="Q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4" t="n"/>
      <c r="N408" s="25">
        <f>IF(M408="","",HYPERLINK(IF(LEFT(M408,4)="http",M408,set_QwilrBase&amp;M408),"Open quote"))</f>
        <v/>
      </c>
      <c r="O408" s="65" t="n"/>
      <c r="P408" s="24" t="n"/>
      <c r="Q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4" t="n"/>
      <c r="N409" s="25">
        <f>IF(M409="","",HYPERLINK(IF(LEFT(M409,4)="http",M409,set_QwilrBase&amp;M409),"Open quote"))</f>
        <v/>
      </c>
      <c r="O409" s="65" t="n"/>
      <c r="P409" s="24" t="n"/>
      <c r="Q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4" t="n"/>
      <c r="N410" s="25">
        <f>IF(M410="","",HYPERLINK(IF(LEFT(M410,4)="http",M410,set_QwilrBase&amp;M410),"Open quote"))</f>
        <v/>
      </c>
      <c r="O410" s="65" t="n"/>
      <c r="P410" s="24" t="n"/>
      <c r="Q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4" t="n"/>
      <c r="N411" s="25">
        <f>IF(M411="","",HYPERLINK(IF(LEFT(M411,4)="http",M411,set_QwilrBase&amp;M411),"Open quote"))</f>
        <v/>
      </c>
      <c r="O411" s="65" t="n"/>
      <c r="P411" s="24" t="n"/>
      <c r="Q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4" t="n"/>
      <c r="N412" s="25">
        <f>IF(M412="","",HYPERLINK(IF(LEFT(M412,4)="http",M412,set_QwilrBase&amp;M412),"Open quote"))</f>
        <v/>
      </c>
      <c r="O412" s="65" t="n"/>
      <c r="P412" s="24" t="n"/>
      <c r="Q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4" t="n"/>
      <c r="N413" s="25">
        <f>IF(M413="","",HYPERLINK(IF(LEFT(M413,4)="http",M413,set_QwilrBase&amp;M413),"Open quote"))</f>
        <v/>
      </c>
      <c r="O413" s="65" t="n"/>
      <c r="P413" s="24" t="n"/>
      <c r="Q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4" t="n"/>
      <c r="N414" s="25">
        <f>IF(M414="","",HYPERLINK(IF(LEFT(M414,4)="http",M414,set_QwilrBase&amp;M414),"Open quote"))</f>
        <v/>
      </c>
      <c r="O414" s="65" t="n"/>
      <c r="P414" s="24" t="n"/>
      <c r="Q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4" t="n"/>
      <c r="N415" s="25">
        <f>IF(M415="","",HYPERLINK(IF(LEFT(M415,4)="http",M415,set_QwilrBase&amp;M415),"Open quote"))</f>
        <v/>
      </c>
      <c r="O415" s="65" t="n"/>
      <c r="P415" s="24" t="n"/>
      <c r="Q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4" t="n"/>
      <c r="N416" s="25">
        <f>IF(M416="","",HYPERLINK(IF(LEFT(M416,4)="http",M416,set_QwilrBase&amp;M416),"Open quote"))</f>
        <v/>
      </c>
      <c r="O416" s="65" t="n"/>
      <c r="P416" s="24" t="n"/>
      <c r="Q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4" t="n"/>
      <c r="N417" s="25">
        <f>IF(M417="","",HYPERLINK(IF(LEFT(M417,4)="http",M417,set_QwilrBase&amp;M417),"Open quote"))</f>
        <v/>
      </c>
      <c r="O417" s="65" t="n"/>
      <c r="P417" s="24" t="n"/>
      <c r="Q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4" t="n"/>
      <c r="N418" s="25">
        <f>IF(M418="","",HYPERLINK(IF(LEFT(M418,4)="http",M418,set_QwilrBase&amp;M418),"Open quote"))</f>
        <v/>
      </c>
      <c r="O418" s="65" t="n"/>
      <c r="P418" s="24" t="n"/>
      <c r="Q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4" t="n"/>
      <c r="N419" s="25">
        <f>IF(M419="","",HYPERLINK(IF(LEFT(M419,4)="http",M419,set_QwilrBase&amp;M419),"Open quote"))</f>
        <v/>
      </c>
      <c r="O419" s="65" t="n"/>
      <c r="P419" s="24" t="n"/>
      <c r="Q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4" t="n"/>
      <c r="N420" s="25">
        <f>IF(M420="","",HYPERLINK(IF(LEFT(M420,4)="http",M420,set_QwilrBase&amp;M420),"Open quote"))</f>
        <v/>
      </c>
      <c r="O420" s="65" t="n"/>
      <c r="P420" s="24" t="n"/>
      <c r="Q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4" t="n"/>
      <c r="N421" s="25">
        <f>IF(M421="","",HYPERLINK(IF(LEFT(M421,4)="http",M421,set_QwilrBase&amp;M421),"Open quote"))</f>
        <v/>
      </c>
      <c r="O421" s="65" t="n"/>
      <c r="P421" s="24" t="n"/>
      <c r="Q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4" t="n"/>
      <c r="N422" s="25">
        <f>IF(M422="","",HYPERLINK(IF(LEFT(M422,4)="http",M422,set_QwilrBase&amp;M422),"Open quote"))</f>
        <v/>
      </c>
      <c r="O422" s="65" t="n"/>
      <c r="P422" s="24" t="n"/>
      <c r="Q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4" t="n"/>
      <c r="N423" s="25">
        <f>IF(M423="","",HYPERLINK(IF(LEFT(M423,4)="http",M423,set_QwilrBase&amp;M423),"Open quote"))</f>
        <v/>
      </c>
      <c r="O423" s="65" t="n"/>
      <c r="P423" s="24" t="n"/>
      <c r="Q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4" t="n"/>
      <c r="N424" s="25">
        <f>IF(M424="","",HYPERLINK(IF(LEFT(M424,4)="http",M424,set_QwilrBase&amp;M424),"Open quote"))</f>
        <v/>
      </c>
      <c r="O424" s="65" t="n"/>
      <c r="P424" s="24" t="n"/>
      <c r="Q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4" t="n"/>
      <c r="N425" s="25">
        <f>IF(M425="","",HYPERLINK(IF(LEFT(M425,4)="http",M425,set_QwilrBase&amp;M425),"Open quote"))</f>
        <v/>
      </c>
      <c r="O425" s="65" t="n"/>
      <c r="P425" s="24" t="n"/>
      <c r="Q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4" t="n"/>
      <c r="N426" s="25">
        <f>IF(M426="","",HYPERLINK(IF(LEFT(M426,4)="http",M426,set_QwilrBase&amp;M426),"Open quote"))</f>
        <v/>
      </c>
      <c r="O426" s="65" t="n"/>
      <c r="P426" s="24" t="n"/>
      <c r="Q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4" t="n"/>
      <c r="N427" s="25">
        <f>IF(M427="","",HYPERLINK(IF(LEFT(M427,4)="http",M427,set_QwilrBase&amp;M427),"Open quote"))</f>
        <v/>
      </c>
      <c r="O427" s="65" t="n"/>
      <c r="P427" s="24" t="n"/>
      <c r="Q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4" t="n"/>
      <c r="N428" s="25">
        <f>IF(M428="","",HYPERLINK(IF(LEFT(M428,4)="http",M428,set_QwilrBase&amp;M428),"Open quote"))</f>
        <v/>
      </c>
      <c r="O428" s="65" t="n"/>
      <c r="P428" s="24" t="n"/>
      <c r="Q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4" t="n"/>
      <c r="N429" s="25">
        <f>IF(M429="","",HYPERLINK(IF(LEFT(M429,4)="http",M429,set_QwilrBase&amp;M429),"Open quote"))</f>
        <v/>
      </c>
      <c r="O429" s="65" t="n"/>
      <c r="P429" s="24" t="n"/>
      <c r="Q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4" t="n"/>
      <c r="N430" s="25">
        <f>IF(M430="","",HYPERLINK(IF(LEFT(M430,4)="http",M430,set_QwilrBase&amp;M430),"Open quote"))</f>
        <v/>
      </c>
      <c r="O430" s="65" t="n"/>
      <c r="P430" s="24" t="n"/>
      <c r="Q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4" t="n"/>
      <c r="N431" s="25">
        <f>IF(M431="","",HYPERLINK(IF(LEFT(M431,4)="http",M431,set_QwilrBase&amp;M431),"Open quote"))</f>
        <v/>
      </c>
      <c r="O431" s="65" t="n"/>
      <c r="P431" s="24" t="n"/>
      <c r="Q431"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2602309</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inlineStr">
        <is>
          <t>Ben.woodlock@elkiem.com</t>
        </is>
      </c>
      <c r="P5" s="24" t="n"/>
      <c r="Q5" s="22" t="inlineStr">
        <is>
          <t>7/1/2026</t>
        </is>
      </c>
      <c r="R5" s="24" t="inlineStr">
        <is>
          <t>5879</t>
        </is>
      </c>
      <c r="S5" s="25">
        <f>IF(R5="","",IF(AND(LEFT(R5,4)&lt;&gt;"http",set_RMSBase=""),"",HYPERLINK(IF(LEFT(R5,4)="http",R5,set_RMSBase&amp;R5),"Open opportunity")))</f>
        <v/>
      </c>
      <c r="T5" s="24" t="n"/>
      <c r="U5" s="25">
        <f>IF(T5="","",HYPERLINK(IF(LEFT(T5,4)="http",T5,set_QwilrBase&amp;T5),"Open quote"))</f>
        <v/>
      </c>
      <c r="V5" s="25">
        <f>IF(C5="","",C5)</f>
        <v/>
      </c>
      <c r="W5" s="24" t="inlineStr">
        <is>
          <t>Y</t>
        </is>
      </c>
      <c r="X5" s="26" t="n"/>
      <c r="Y5" s="27">
        <f>IF(C5="","",H5+N(X5))</f>
        <v/>
      </c>
      <c r="Z5" s="29">
        <f>IFERROR(X5/Y5,"")</f>
        <v/>
      </c>
      <c r="AA5" s="26" t="n"/>
      <c r="AB5" s="26" t="n"/>
      <c r="AC5" s="26" t="n"/>
      <c r="AD5" s="26" t="n">
        <v>229.56</v>
      </c>
      <c r="AE5" s="27">
        <f>IF(C5="","",SUMIFS(tbl_Finance[Ex GST],tbl_Finance[Job Number],C5&amp;"",tbl_Finance[Cost Centre],"VIDEO"))</f>
        <v/>
      </c>
      <c r="AF5" s="29">
        <f>IFERROR(AE5/H5,"")</f>
        <v/>
      </c>
      <c r="AG5" s="27">
        <f>IF(C5="","",N(AA5)+N(AB5)+N(AC5)+N(AD5))</f>
        <v/>
      </c>
      <c r="AH5" s="27">
        <f>IF(C5="","",H5-AG5)</f>
        <v/>
      </c>
      <c r="AI5" s="29">
        <f>IFERROR(AH5/H5,"")</f>
        <v/>
      </c>
      <c r="AJ5" s="65" t="n"/>
      <c r="AK5" s="65" t="n"/>
      <c r="AL5" s="65" t="n"/>
      <c r="AM5" s="65" t="n"/>
      <c r="AN5" s="65" t="n">
        <v>4</v>
      </c>
      <c r="AO5" s="24" t="n"/>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26032301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inlineStr">
        <is>
          <t>lindsay.botten@outlook.com</t>
        </is>
      </c>
      <c r="P6" s="24" t="n"/>
      <c r="Q6" s="22" t="inlineStr">
        <is>
          <t>7/1/2026</t>
        </is>
      </c>
      <c r="R6" s="24" t="inlineStr">
        <is>
          <t>5924</t>
        </is>
      </c>
      <c r="S6" s="25">
        <f>IF(R6="","",IF(AND(LEFT(R6,4)&lt;&gt;"http",set_RMSBase=""),"",HYPERLINK(IF(LEFT(R6,4)="http",R6,set_RMSBase&amp;R6),"Open opportunity")))</f>
        <v/>
      </c>
      <c r="T6" s="24" t="n"/>
      <c r="U6" s="25">
        <f>IF(T6="","",HYPERLINK(IF(LEFT(T6,4)="http",T6,set_QwilrBase&amp;T6),"Open quote"))</f>
        <v/>
      </c>
      <c r="V6" s="25">
        <f>IF(C6="","",C6)</f>
        <v/>
      </c>
      <c r="W6" s="24" t="inlineStr">
        <is>
          <t>Y</t>
        </is>
      </c>
      <c r="X6" s="26" t="n">
        <v>334</v>
      </c>
      <c r="Y6" s="27">
        <f>IF(C6="","",H6+N(X6))</f>
        <v/>
      </c>
      <c r="Z6" s="29">
        <f>IFERROR(X6/Y6,"")</f>
        <v/>
      </c>
      <c r="AA6" s="26" t="n"/>
      <c r="AB6" s="26" t="n"/>
      <c r="AC6" s="26" t="n"/>
      <c r="AD6" s="26" t="n">
        <v>977.23</v>
      </c>
      <c r="AE6" s="27">
        <f>IF(C6="","",SUMIFS(tbl_Finance[Ex GST],tbl_Finance[Job Number],C6&amp;"",tbl_Finance[Cost Centre],"VIDEO"))</f>
        <v/>
      </c>
      <c r="AF6" s="29">
        <f>IFERROR(AE6/H6,"")</f>
        <v/>
      </c>
      <c r="AG6" s="27">
        <f>IF(C6="","",N(AA6)+N(AB6)+N(AC6)+N(AD6))</f>
        <v/>
      </c>
      <c r="AH6" s="27">
        <f>IF(C6="","",H6-AG6)</f>
        <v/>
      </c>
      <c r="AI6" s="29">
        <f>IFERROR(AH6/H6,"")</f>
        <v/>
      </c>
      <c r="AJ6" s="65" t="n">
        <v>4</v>
      </c>
      <c r="AK6" s="65" t="n"/>
      <c r="AL6" s="65" t="n"/>
      <c r="AM6" s="65" t="n"/>
      <c r="AN6" s="65" t="n">
        <v>10</v>
      </c>
      <c r="AO6" s="24" t="n"/>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26062201</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inlineStr">
        <is>
          <t>libby.kovac@au.pwc.com</t>
        </is>
      </c>
      <c r="P7" s="24" t="n"/>
      <c r="Q7" s="22" t="inlineStr">
        <is>
          <t>7/2/2026</t>
        </is>
      </c>
      <c r="R7" s="24" t="inlineStr">
        <is>
          <t>6076</t>
        </is>
      </c>
      <c r="S7" s="25">
        <f>IF(R7="","",IF(AND(LEFT(R7,4)&lt;&gt;"http",set_RMSBase=""),"",HYPERLINK(IF(LEFT(R7,4)="http",R7,set_RMSBase&amp;R7),"Open opportunity")))</f>
        <v/>
      </c>
      <c r="T7" s="24" t="n"/>
      <c r="U7" s="25">
        <f>IF(T7="","",HYPERLINK(IF(LEFT(T7,4)="http",T7,set_QwilrBase&amp;T7),"Open quote"))</f>
        <v/>
      </c>
      <c r="V7" s="25">
        <f>IF(C7="","",C7)</f>
        <v/>
      </c>
      <c r="W7" s="24" t="inlineStr">
        <is>
          <t>Y</t>
        </is>
      </c>
      <c r="X7" s="26" t="n"/>
      <c r="Y7" s="27">
        <f>IF(C7="","",H7+N(X7))</f>
        <v/>
      </c>
      <c r="Z7" s="29">
        <f>IFERROR(X7/Y7,"")</f>
        <v/>
      </c>
      <c r="AA7" s="26" t="n"/>
      <c r="AB7" s="26" t="n"/>
      <c r="AC7" s="26" t="n"/>
      <c r="AD7" s="26" t="n">
        <v>821.5599999999999</v>
      </c>
      <c r="AE7" s="27">
        <f>IF(C7="","",SUMIFS(tbl_Finance[Ex GST],tbl_Finance[Job Number],C7&amp;"",tbl_Finance[Cost Centre],"VIDEO"))</f>
        <v/>
      </c>
      <c r="AF7" s="29">
        <f>IFERROR(AE7/H7,"")</f>
        <v/>
      </c>
      <c r="AG7" s="27">
        <f>IF(C7="","",N(AA7)+N(AB7)+N(AC7)+N(AD7))</f>
        <v/>
      </c>
      <c r="AH7" s="27">
        <f>IF(C7="","",H7-AG7)</f>
        <v/>
      </c>
      <c r="AI7" s="29">
        <f>IFERROR(AH7/H7,"")</f>
        <v/>
      </c>
      <c r="AJ7" s="65" t="n">
        <v>8</v>
      </c>
      <c r="AK7" s="65" t="n"/>
      <c r="AL7" s="65" t="n">
        <v>1</v>
      </c>
      <c r="AM7" s="65" t="n"/>
      <c r="AN7" s="65" t="n">
        <v>8</v>
      </c>
      <c r="AO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2605802</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inlineStr">
        <is>
          <t>Ben.woodlock@elkiem.com</t>
        </is>
      </c>
      <c r="P8" s="24" t="n"/>
      <c r="Q8" s="22" t="inlineStr">
        <is>
          <t>7/15/2026</t>
        </is>
      </c>
      <c r="R8" s="24" t="inlineStr">
        <is>
          <t>6013</t>
        </is>
      </c>
      <c r="S8" s="25">
        <f>IF(R8="","",IF(AND(LEFT(R8,4)&lt;&gt;"http",set_RMSBase=""),"",HYPERLINK(IF(LEFT(R8,4)="http",R8,set_RMSBase&amp;R8),"Open opportunity")))</f>
        <v/>
      </c>
      <c r="T8" s="24" t="n"/>
      <c r="U8" s="25">
        <f>IF(T8="","",HYPERLINK(IF(LEFT(T8,4)="http",T8,set_QwilrBase&amp;T8),"Open quote"))</f>
        <v/>
      </c>
      <c r="V8" s="25">
        <f>IF(C8="","",C8)</f>
        <v/>
      </c>
      <c r="W8" s="24" t="inlineStr">
        <is>
          <t>Y</t>
        </is>
      </c>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5" t="n"/>
      <c r="AK8" s="65" t="n"/>
      <c r="AL8" s="65" t="n">
        <v>2</v>
      </c>
      <c r="AM8" s="65" t="n"/>
      <c r="AN8" s="65" t="n">
        <v>4</v>
      </c>
      <c r="AO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2607701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inlineStr">
        <is>
          <t>brian@litecard.com.au</t>
        </is>
      </c>
      <c r="P9" s="24" t="n"/>
      <c r="Q9" s="22" t="inlineStr">
        <is>
          <t>7/16/2026</t>
        </is>
      </c>
      <c r="R9" s="24" t="inlineStr">
        <is>
          <t>6089</t>
        </is>
      </c>
      <c r="S9" s="25">
        <f>IF(R9="","",IF(AND(LEFT(R9,4)&lt;&gt;"http",set_RMSBase=""),"",HYPERLINK(IF(LEFT(R9,4)="http",R9,set_RMSBase&amp;R9),"Open opportunity")))</f>
        <v/>
      </c>
      <c r="T9" s="24" t="n"/>
      <c r="U9" s="25">
        <f>IF(T9="","",HYPERLINK(IF(LEFT(T9,4)="http",T9,set_QwilrBase&amp;T9),"Open quote"))</f>
        <v/>
      </c>
      <c r="V9" s="25">
        <f>IF(C9="","",C9)</f>
        <v/>
      </c>
      <c r="W9" s="24" t="inlineStr">
        <is>
          <t>Y</t>
        </is>
      </c>
      <c r="X9" s="26" t="n">
        <v>465</v>
      </c>
      <c r="Y9" s="27">
        <f>IF(C9="","",H9+N(X9))</f>
        <v/>
      </c>
      <c r="Z9" s="29">
        <f>IFERROR(X9/Y9,"")</f>
        <v/>
      </c>
      <c r="AA9" s="26" t="n"/>
      <c r="AB9" s="26" t="n"/>
      <c r="AC9" s="26" t="n"/>
      <c r="AD9" s="26" t="n">
        <v>312.18</v>
      </c>
      <c r="AE9" s="27">
        <f>IF(C9="","",SUMIFS(tbl_Finance[Ex GST],tbl_Finance[Job Number],C9&amp;"",tbl_Finance[Cost Centre],"VIDEO"))</f>
        <v/>
      </c>
      <c r="AF9" s="29">
        <f>IFERROR(AE9/H9,"")</f>
        <v/>
      </c>
      <c r="AG9" s="27">
        <f>IF(C9="","",N(AA9)+N(AB9)+N(AC9)+N(AD9))</f>
        <v/>
      </c>
      <c r="AH9" s="27">
        <f>IF(C9="","",H9-AG9)</f>
        <v/>
      </c>
      <c r="AI9" s="29">
        <f>IFERROR(AH9/H9,"")</f>
        <v/>
      </c>
      <c r="AJ9" s="65" t="n">
        <v>4</v>
      </c>
      <c r="AK9" s="65" t="n"/>
      <c r="AL9" s="65" t="n"/>
      <c r="AM9" s="65" t="n"/>
      <c r="AN9" s="65" t="n">
        <v>2</v>
      </c>
      <c r="AO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26052703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inlineStr">
        <is>
          <t>helenkingham@microsoft.com</t>
        </is>
      </c>
      <c r="P10" s="24" t="n"/>
      <c r="Q10" s="22" t="n">
        <v>46224</v>
      </c>
      <c r="R10" s="24" t="inlineStr">
        <is>
          <t>6034</t>
        </is>
      </c>
      <c r="S10" s="25">
        <f>IF(R10="","",IF(AND(LEFT(R10,4)&lt;&gt;"http",set_RMSBase=""),"",HYPERLINK(IF(LEFT(R10,4)="http",R10,set_RMSBase&amp;R10),"Open opportunity")))</f>
        <v/>
      </c>
      <c r="T10" s="24" t="n"/>
      <c r="U10" s="25">
        <f>IF(T10="","",HYPERLINK(IF(LEFT(T10,4)="http",T10,set_QwilrBase&amp;T10),"Open quote"))</f>
        <v/>
      </c>
      <c r="V10" s="25">
        <f>IF(C10="","",C10)</f>
        <v/>
      </c>
      <c r="W10" s="24" t="inlineStr">
        <is>
          <t>Y</t>
        </is>
      </c>
      <c r="X10" s="26" t="n">
        <v>580</v>
      </c>
      <c r="Y10" s="27">
        <f>IF(C10="","",H10+N(X10))</f>
        <v/>
      </c>
      <c r="Z10" s="29">
        <f>IFERROR(X10/Y10,"")</f>
        <v/>
      </c>
      <c r="AA10" s="26" t="n">
        <v>631.5</v>
      </c>
      <c r="AB10" s="26" t="n"/>
      <c r="AC10" s="26" t="n"/>
      <c r="AD10" s="26" t="n">
        <v>3148.7</v>
      </c>
      <c r="AE10" s="27">
        <f>IF(C10="","",SUMIFS(tbl_Finance[Ex GST],tbl_Finance[Job Number],C10&amp;"",tbl_Finance[Cost Centre],"VIDEO"))</f>
        <v/>
      </c>
      <c r="AF10" s="29">
        <f>IFERROR(AE10/H10,"")</f>
        <v/>
      </c>
      <c r="AG10" s="27">
        <f>IF(C10="","",N(AA10)+N(AB10)+N(AC10)+N(AD10))</f>
        <v/>
      </c>
      <c r="AH10" s="27">
        <f>IF(C10="","",H10-AG10)</f>
        <v/>
      </c>
      <c r="AI10" s="29">
        <f>IFERROR(AH10/H10,"")</f>
        <v/>
      </c>
      <c r="AJ10" s="65" t="n">
        <v>4</v>
      </c>
      <c r="AK10" s="65" t="n"/>
      <c r="AL10" s="65" t="n"/>
      <c r="AM10" s="65" t="n"/>
      <c r="AN10" s="65" t="n">
        <v>44</v>
      </c>
      <c r="AO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26041603</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inlineStr">
        <is>
          <t>jo.rosewarne@optiver.com.au</t>
        </is>
      </c>
      <c r="P11" s="24" t="n"/>
      <c r="Q11" s="22" t="n">
        <v>46226</v>
      </c>
      <c r="R11" s="24" t="inlineStr">
        <is>
          <t>6085</t>
        </is>
      </c>
      <c r="S11" s="25">
        <f>IF(R11="","",IF(AND(LEFT(R11,4)&lt;&gt;"http",set_RMSBase=""),"",HYPERLINK(IF(LEFT(R11,4)="http",R11,set_RMSBase&amp;R11),"Open opportunity")))</f>
        <v/>
      </c>
      <c r="T11" s="24" t="n"/>
      <c r="U11" s="25">
        <f>IF(T11="","",HYPERLINK(IF(LEFT(T11,4)="http",T11,set_QwilrBase&amp;T11),"Open quote"))</f>
        <v/>
      </c>
      <c r="V11" s="25">
        <f>IF(C11="","",C11)</f>
        <v/>
      </c>
      <c r="W11" s="24" t="inlineStr">
        <is>
          <t>Y</t>
        </is>
      </c>
      <c r="X11" s="26" t="n"/>
      <c r="Y11" s="27">
        <f>IF(C11="","",H11+N(X11))</f>
        <v/>
      </c>
      <c r="Z11" s="29">
        <f>IFERROR(X11/Y11,"")</f>
        <v/>
      </c>
      <c r="AA11" s="26" t="n"/>
      <c r="AB11" s="26" t="n"/>
      <c r="AC11" s="26" t="n"/>
      <c r="AD11" s="26" t="n">
        <v>153.84</v>
      </c>
      <c r="AE11" s="27">
        <f>IF(C11="","",SUMIFS(tbl_Finance[Ex GST],tbl_Finance[Job Number],C11&amp;"",tbl_Finance[Cost Centre],"VIDEO"))</f>
        <v/>
      </c>
      <c r="AF11" s="29">
        <f>IFERROR(AE11/H11,"")</f>
        <v/>
      </c>
      <c r="AG11" s="27">
        <f>IF(C11="","",N(AA11)+N(AB11)+N(AC11)+N(AD11))</f>
        <v/>
      </c>
      <c r="AH11" s="27">
        <f>IF(C11="","",H11-AG11)</f>
        <v/>
      </c>
      <c r="AI11" s="29">
        <f>IFERROR(AH11/H11,"")</f>
        <v/>
      </c>
      <c r="AJ11" s="65" t="n"/>
      <c r="AK11" s="65" t="n"/>
      <c r="AL11" s="65" t="n"/>
      <c r="AM11" s="65" t="n"/>
      <c r="AN11" s="65" t="n">
        <v>4</v>
      </c>
      <c r="AO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2605403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inlineStr">
        <is>
          <t>Timothy.Hicks@arup.com</t>
        </is>
      </c>
      <c r="P12" s="24" t="n"/>
      <c r="Q12" s="22" t="n">
        <v>46226</v>
      </c>
      <c r="R12" s="24" t="inlineStr">
        <is>
          <t>5956</t>
        </is>
      </c>
      <c r="S12" s="25">
        <f>IF(R12="","",IF(AND(LEFT(R12,4)&lt;&gt;"http",set_RMSBase=""),"",HYPERLINK(IF(LEFT(R12,4)="http",R12,set_RMSBase&amp;R12),"Open opportunity")))</f>
        <v/>
      </c>
      <c r="T12" s="24" t="n"/>
      <c r="U12" s="25">
        <f>IF(T12="","",HYPERLINK(IF(LEFT(T12,4)="http",T12,set_QwilrBase&amp;T12),"Open quote"))</f>
        <v/>
      </c>
      <c r="V12" s="25">
        <f>IF(C12="","",C12)</f>
        <v/>
      </c>
      <c r="W12" s="24" t="inlineStr">
        <is>
          <t>Y</t>
        </is>
      </c>
      <c r="X12" s="26" t="n">
        <v>839</v>
      </c>
      <c r="Y12" s="27">
        <f>IF(C12="","",H12+N(X12))</f>
        <v/>
      </c>
      <c r="Z12" s="29">
        <f>IFERROR(X12/Y12,"")</f>
        <v/>
      </c>
      <c r="AA12" s="26" t="n"/>
      <c r="AB12" s="26" t="n"/>
      <c r="AC12" s="26" t="n"/>
      <c r="AD12" s="26" t="n">
        <v>1375.96</v>
      </c>
      <c r="AE12" s="27">
        <f>IF(C12="","",SUMIFS(tbl_Finance[Ex GST],tbl_Finance[Job Number],C12&amp;"",tbl_Finance[Cost Centre],"VIDEO"))</f>
        <v/>
      </c>
      <c r="AF12" s="29">
        <f>IFERROR(AE12/H12,"")</f>
        <v/>
      </c>
      <c r="AG12" s="27">
        <f>IF(C12="","",N(AA12)+N(AB12)+N(AC12)+N(AD12))</f>
        <v/>
      </c>
      <c r="AH12" s="27">
        <f>IF(C12="","",H12-AG12)</f>
        <v/>
      </c>
      <c r="AI12" s="29">
        <f>IFERROR(AH12/H12,"")</f>
        <v/>
      </c>
      <c r="AJ12" s="65" t="n"/>
      <c r="AK12" s="65" t="n"/>
      <c r="AL12" s="65" t="n"/>
      <c r="AM12" s="65" t="n"/>
      <c r="AN12" s="65" t="n">
        <v>16</v>
      </c>
      <c r="AO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2607901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inlineStr">
        <is>
          <t>lisa.caraccio@on24.com</t>
        </is>
      </c>
      <c r="P13" s="24" t="n"/>
      <c r="Q13" s="22" t="n">
        <v>46226</v>
      </c>
      <c r="R13" s="24" t="inlineStr">
        <is>
          <t>6097</t>
        </is>
      </c>
      <c r="S13" s="25">
        <f>IF(R13="","",IF(AND(LEFT(R13,4)&lt;&gt;"http",set_RMSBase=""),"",HYPERLINK(IF(LEFT(R13,4)="http",R13,set_RMSBase&amp;R13),"Open opportunity")))</f>
        <v/>
      </c>
      <c r="T13" s="24" t="n"/>
      <c r="U13" s="25">
        <f>IF(T13="","",HYPERLINK(IF(LEFT(T13,4)="http",T13,set_QwilrBase&amp;T13),"Open quote"))</f>
        <v/>
      </c>
      <c r="V13" s="25">
        <f>IF(C13="","",C13)</f>
        <v/>
      </c>
      <c r="W13" s="24" t="inlineStr">
        <is>
          <t>Y</t>
        </is>
      </c>
      <c r="X13" s="26" t="n">
        <v>95</v>
      </c>
      <c r="Y13" s="27">
        <f>IF(C13="","",H13+N(X13))</f>
        <v/>
      </c>
      <c r="Z13" s="29">
        <f>IFERROR(X13/Y13,"")</f>
        <v/>
      </c>
      <c r="AA13" s="26" t="n"/>
      <c r="AB13" s="26" t="n"/>
      <c r="AC13" s="26" t="n"/>
      <c r="AD13" s="26" t="n">
        <v>453.31</v>
      </c>
      <c r="AE13" s="27">
        <f>IF(C13="","",SUMIFS(tbl_Finance[Ex GST],tbl_Finance[Job Number],C13&amp;"",tbl_Finance[Cost Centre],"VIDEO"))</f>
        <v/>
      </c>
      <c r="AF13" s="29">
        <f>IFERROR(AE13/H13,"")</f>
        <v/>
      </c>
      <c r="AG13" s="27">
        <f>IF(C13="","",N(AA13)+N(AB13)+N(AC13)+N(AD13))</f>
        <v/>
      </c>
      <c r="AH13" s="27">
        <f>IF(C13="","",H13-AG13)</f>
        <v/>
      </c>
      <c r="AI13" s="29">
        <f>IFERROR(AH13/H13,"")</f>
        <v/>
      </c>
      <c r="AJ13" s="65" t="n"/>
      <c r="AK13" s="65" t="n"/>
      <c r="AL13" s="65" t="n"/>
      <c r="AM13" s="65" t="n"/>
      <c r="AN13" s="65" t="n">
        <v>6</v>
      </c>
      <c r="AO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26063001</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inlineStr">
        <is>
          <t>park_za_888@hotmail.com</t>
        </is>
      </c>
      <c r="P14" s="24" t="n"/>
      <c r="Q14" s="22" t="n">
        <v>46229</v>
      </c>
      <c r="R14" s="24" t="inlineStr">
        <is>
          <t>6114</t>
        </is>
      </c>
      <c r="S14" s="25">
        <f>IF(R14="","",IF(AND(LEFT(R14,4)&lt;&gt;"http",set_RMSBase=""),"",HYPERLINK(IF(LEFT(R14,4)="http",R14,set_RMSBase&amp;R14),"Open opportunity")))</f>
        <v/>
      </c>
      <c r="T14" s="24" t="n"/>
      <c r="U14" s="25">
        <f>IF(T14="","",HYPERLINK(IF(LEFT(T14,4)="http",T14,set_QwilrBase&amp;T14),"Open quote"))</f>
        <v/>
      </c>
      <c r="V14" s="25">
        <f>IF(C14="","",C14)</f>
        <v/>
      </c>
      <c r="W14" s="24" t="inlineStr">
        <is>
          <t>Y</t>
        </is>
      </c>
      <c r="X14" s="26" t="n"/>
      <c r="Y14" s="27">
        <f>IF(C14="","",H14+N(X14))</f>
        <v/>
      </c>
      <c r="Z14" s="29">
        <f>IFERROR(X14/Y14,"")</f>
        <v/>
      </c>
      <c r="AA14" s="26" t="n">
        <v>850</v>
      </c>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5" t="n"/>
      <c r="AK14" s="65" t="n"/>
      <c r="AL14" s="65" t="n"/>
      <c r="AM14" s="65" t="n"/>
      <c r="AN14" s="65" t="n"/>
      <c r="AO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2604202</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inlineStr">
        <is>
          <t>amy.johnson@ventia.com</t>
        </is>
      </c>
      <c r="P15" s="24" t="n"/>
      <c r="Q15" s="22" t="n">
        <v>46231</v>
      </c>
      <c r="R15" s="24" t="inlineStr">
        <is>
          <t>6099</t>
        </is>
      </c>
      <c r="S15" s="25">
        <f>IF(R15="","",IF(AND(LEFT(R15,4)&lt;&gt;"http",set_RMSBase=""),"",HYPERLINK(IF(LEFT(R15,4)="http",R15,set_RMSBase&amp;R15),"Open opportunity")))</f>
        <v/>
      </c>
      <c r="T15" s="24" t="n"/>
      <c r="U15" s="25">
        <f>IF(T15="","",HYPERLINK(IF(LEFT(T15,4)="http",T15,set_QwilrBase&amp;T15),"Open quote"))</f>
        <v/>
      </c>
      <c r="V15" s="25">
        <f>IF(C15="","",C15)</f>
        <v/>
      </c>
      <c r="W15" s="24" t="inlineStr">
        <is>
          <t>Y</t>
        </is>
      </c>
      <c r="X15" s="26" t="n">
        <v>4452.72</v>
      </c>
      <c r="Y15" s="27">
        <f>IF(C15="","",H15+N(X15))</f>
        <v/>
      </c>
      <c r="Z15" s="29">
        <f>IFERROR(X15/Y15,"")</f>
        <v/>
      </c>
      <c r="AA15" s="26" t="n">
        <v>19155.02</v>
      </c>
      <c r="AB15" s="26" t="n"/>
      <c r="AC15" s="26" t="n"/>
      <c r="AD15" s="26" t="n">
        <v>462.23</v>
      </c>
      <c r="AE15" s="27">
        <f>IF(C15="","",SUMIFS(tbl_Finance[Ex GST],tbl_Finance[Job Number],C15&amp;"",tbl_Finance[Cost Centre],"VIDEO"))</f>
        <v/>
      </c>
      <c r="AF15" s="29">
        <f>IFERROR(AE15/H15,"")</f>
        <v/>
      </c>
      <c r="AG15" s="27">
        <f>IF(C15="","",N(AA15)+N(AB15)+N(AC15)+N(AD15))</f>
        <v/>
      </c>
      <c r="AH15" s="27">
        <f>IF(C15="","",H15-AG15)</f>
        <v/>
      </c>
      <c r="AI15" s="29">
        <f>IFERROR(AH15/H15,"")</f>
        <v/>
      </c>
      <c r="AJ15" s="65" t="n"/>
      <c r="AK15" s="65" t="n"/>
      <c r="AL15" s="65" t="n">
        <v>8</v>
      </c>
      <c r="AM15" s="65" t="n"/>
      <c r="AN15" s="65" t="n">
        <v>142</v>
      </c>
      <c r="AO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26062202</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inlineStr">
        <is>
          <t>libby.kovac@au.pwc.com</t>
        </is>
      </c>
      <c r="P16" s="24" t="n"/>
      <c r="Q16" s="22" t="n">
        <v>46232</v>
      </c>
      <c r="R16" s="24" t="inlineStr">
        <is>
          <t>6075</t>
        </is>
      </c>
      <c r="S16" s="25">
        <f>IF(R16="","",IF(AND(LEFT(R16,4)&lt;&gt;"http",set_RMSBase=""),"",HYPERLINK(IF(LEFT(R16,4)="http",R16,set_RMSBase&amp;R16),"Open opportunity")))</f>
        <v/>
      </c>
      <c r="T16" s="24" t="n"/>
      <c r="U16" s="25">
        <f>IF(T16="","",HYPERLINK(IF(LEFT(T16,4)="http",T16,set_QwilrBase&amp;T16),"Open quote"))</f>
        <v/>
      </c>
      <c r="V16" s="25">
        <f>IF(C16="","",C16)</f>
        <v/>
      </c>
      <c r="W16" s="24" t="inlineStr">
        <is>
          <t>Y</t>
        </is>
      </c>
      <c r="X16" s="26" t="n"/>
      <c r="Y16" s="27">
        <f>IF(C16="","",H16+N(X16))</f>
        <v/>
      </c>
      <c r="Z16" s="29">
        <f>IFERROR(X16/Y16,"")</f>
        <v/>
      </c>
      <c r="AA16" s="26" t="n"/>
      <c r="AB16" s="26" t="n"/>
      <c r="AC16" s="26" t="n"/>
      <c r="AD16" s="26" t="n">
        <v>812.09</v>
      </c>
      <c r="AE16" s="27">
        <f>IF(C16="","",SUMIFS(tbl_Finance[Ex GST],tbl_Finance[Job Number],C16&amp;"",tbl_Finance[Cost Centre],"VIDEO"))</f>
        <v/>
      </c>
      <c r="AF16" s="29">
        <f>IFERROR(AE16/H16,"")</f>
        <v/>
      </c>
      <c r="AG16" s="27">
        <f>IF(C16="","",N(AA16)+N(AB16)+N(AC16)+N(AD16))</f>
        <v/>
      </c>
      <c r="AH16" s="27">
        <f>IF(C16="","",H16-AG16)</f>
        <v/>
      </c>
      <c r="AI16" s="29">
        <f>IFERROR(AH16/H16,"")</f>
        <v/>
      </c>
      <c r="AJ16" s="65" t="n">
        <v>8</v>
      </c>
      <c r="AK16" s="65" t="n"/>
      <c r="AL16" s="65" t="n">
        <v>1</v>
      </c>
      <c r="AM16" s="65" t="n"/>
      <c r="AN16" s="65" t="n">
        <v>8</v>
      </c>
      <c r="AO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26071303</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inlineStr">
        <is>
          <t>Lauren.Quinn@ventia.com</t>
        </is>
      </c>
      <c r="P17" s="24" t="n"/>
      <c r="Q17" s="22" t="n">
        <v>46233</v>
      </c>
      <c r="R17" s="24" t="inlineStr">
        <is>
          <t>6125</t>
        </is>
      </c>
      <c r="S17" s="25">
        <f>IF(R17="","",IF(AND(LEFT(R17,4)&lt;&gt;"http",set_RMSBase=""),"",HYPERLINK(IF(LEFT(R17,4)="http",R17,set_RMSBase&amp;R17),"Open opportunity")))</f>
        <v/>
      </c>
      <c r="T17" s="24" t="n"/>
      <c r="U17" s="25">
        <f>IF(T17="","",HYPERLINK(IF(LEFT(T17,4)="http",T17,set_QwilrBase&amp;T17),"Open quote"))</f>
        <v/>
      </c>
      <c r="V17" s="25">
        <f>IF(C17="","",C17)</f>
        <v/>
      </c>
      <c r="W17" s="24" t="inlineStr">
        <is>
          <t>Y</t>
        </is>
      </c>
      <c r="X17" s="26" t="n"/>
      <c r="Y17" s="27">
        <f>IF(C17="","",H17+N(X17))</f>
        <v/>
      </c>
      <c r="Z17" s="29">
        <f>IFERROR(X17/Y17,"")</f>
        <v/>
      </c>
      <c r="AA17" s="26" t="n">
        <v>9487</v>
      </c>
      <c r="AB17" s="26" t="n"/>
      <c r="AC17" s="26" t="n"/>
      <c r="AD17" s="26" t="n">
        <v>283.18</v>
      </c>
      <c r="AE17" s="27">
        <f>IF(C17="","",SUMIFS(tbl_Finance[Ex GST],tbl_Finance[Job Number],C17&amp;"",tbl_Finance[Cost Centre],"VIDEO"))</f>
        <v/>
      </c>
      <c r="AF17" s="29">
        <f>IFERROR(AE17/H17,"")</f>
        <v/>
      </c>
      <c r="AG17" s="27">
        <f>IF(C17="","",N(AA17)+N(AB17)+N(AC17)+N(AD17))</f>
        <v/>
      </c>
      <c r="AH17" s="27">
        <f>IF(C17="","",H17-AG17)</f>
        <v/>
      </c>
      <c r="AI17" s="29">
        <f>IFERROR(AH17/H17,"")</f>
        <v/>
      </c>
      <c r="AJ17" s="65" t="n"/>
      <c r="AK17" s="65" t="n"/>
      <c r="AL17" s="65" t="n"/>
      <c r="AM17" s="65" t="n"/>
      <c r="AN17" s="65" t="n">
        <v>40</v>
      </c>
      <c r="AO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26061702</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inlineStr">
        <is>
          <t>l.cordt@garvan.org.au</t>
        </is>
      </c>
      <c r="P18" s="24" t="n"/>
      <c r="Q18" s="22" t="n">
        <v>46234</v>
      </c>
      <c r="R18" s="24" t="inlineStr">
        <is>
          <t>6066</t>
        </is>
      </c>
      <c r="S18" s="25">
        <f>IF(R18="","",IF(AND(LEFT(R18,4)&lt;&gt;"http",set_RMSBase=""),"",HYPERLINK(IF(LEFT(R18,4)="http",R18,set_RMSBase&amp;R18),"Open opportunity")))</f>
        <v/>
      </c>
      <c r="T18" s="24" t="n"/>
      <c r="U18" s="25">
        <f>IF(T18="","",HYPERLINK(IF(LEFT(T18,4)="http",T18,set_QwilrBase&amp;T18),"Open quote"))</f>
        <v/>
      </c>
      <c r="V18" s="25">
        <f>IF(C18="","",C18)</f>
        <v/>
      </c>
      <c r="W18" s="24" t="inlineStr">
        <is>
          <t>Y</t>
        </is>
      </c>
      <c r="X18" s="26" t="n"/>
      <c r="Y18" s="27">
        <f>IF(C18="","",H18+N(X18))</f>
        <v/>
      </c>
      <c r="Z18" s="29">
        <f>IFERROR(X18/Y18,"")</f>
        <v/>
      </c>
      <c r="AA18" s="26" t="n"/>
      <c r="AB18" s="26" t="n"/>
      <c r="AC18" s="26" t="n"/>
      <c r="AD18" s="26" t="n">
        <v>626.92</v>
      </c>
      <c r="AE18" s="27">
        <f>IF(C18="","",SUMIFS(tbl_Finance[Ex GST],tbl_Finance[Job Number],C18&amp;"",tbl_Finance[Cost Centre],"VIDEO"))</f>
        <v/>
      </c>
      <c r="AF18" s="29">
        <f>IFERROR(AE18/H18,"")</f>
        <v/>
      </c>
      <c r="AG18" s="27">
        <f>IF(C18="","",N(AA18)+N(AB18)+N(AC18)+N(AD18))</f>
        <v/>
      </c>
      <c r="AH18" s="27">
        <f>IF(C18="","",H18-AG18)</f>
        <v/>
      </c>
      <c r="AI18" s="29">
        <f>IFERROR(AH18/H18,"")</f>
        <v/>
      </c>
      <c r="AJ18" s="65" t="n"/>
      <c r="AK18" s="65" t="n"/>
      <c r="AL18" s="65" t="n"/>
      <c r="AM18" s="65" t="n"/>
      <c r="AN18" s="65" t="n">
        <v>10</v>
      </c>
      <c r="AO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26061701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inlineStr">
        <is>
          <t>steve.chezzi@cba.com.au</t>
        </is>
      </c>
      <c r="P19" s="24" t="n"/>
      <c r="Q19" s="22" t="n">
        <v>46234</v>
      </c>
      <c r="R19" s="24" t="inlineStr">
        <is>
          <t>6145</t>
        </is>
      </c>
      <c r="S19" s="25">
        <f>IF(R19="","",IF(AND(LEFT(R19,4)&lt;&gt;"http",set_RMSBase=""),"",HYPERLINK(IF(LEFT(R19,4)="http",R19,set_RMSBase&amp;R19),"Open opportunity")))</f>
        <v/>
      </c>
      <c r="T19" s="24" t="n"/>
      <c r="U19" s="25">
        <f>IF(T19="","",HYPERLINK(IF(LEFT(T19,4)="http",T19,set_QwilrBase&amp;T19),"Open quote"))</f>
        <v/>
      </c>
      <c r="V19" s="25">
        <f>IF(C19="","",C19)</f>
        <v/>
      </c>
      <c r="W19" s="24" t="inlineStr">
        <is>
          <t>Y</t>
        </is>
      </c>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5" t="n"/>
      <c r="AK19" s="65" t="n"/>
      <c r="AL19" s="65" t="n"/>
      <c r="AM19" s="65" t="n"/>
      <c r="AN19" s="65" t="n"/>
      <c r="AO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2512804</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inlineStr">
        <is>
          <t>lindsay.botten@outlook.com</t>
        </is>
      </c>
      <c r="P20" s="24" t="n"/>
      <c r="Q20" s="22" t="n">
        <v>46239</v>
      </c>
      <c r="R20" s="24" t="inlineStr">
        <is>
          <t>5826</t>
        </is>
      </c>
      <c r="S20" s="25">
        <f>IF(R20="","",IF(AND(LEFT(R20,4)&lt;&gt;"http",set_RMSBase=""),"",HYPERLINK(IF(LEFT(R20,4)="http",R20,set_RMSBase&amp;R20),"Open opportunity")))</f>
        <v/>
      </c>
      <c r="T20" s="24" t="n"/>
      <c r="U20" s="25">
        <f>IF(T20="","",HYPERLINK(IF(LEFT(T20,4)="http",T20,set_QwilrBase&amp;T20),"Open quote"))</f>
        <v/>
      </c>
      <c r="V20" s="25">
        <f>IF(C20="","",C20)</f>
        <v/>
      </c>
      <c r="W20" s="24" t="inlineStr">
        <is>
          <t>Y</t>
        </is>
      </c>
      <c r="X20" s="26" t="n">
        <v>334</v>
      </c>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5" t="n">
        <v>4</v>
      </c>
      <c r="AK20" s="65" t="n"/>
      <c r="AL20" s="65" t="n"/>
      <c r="AM20" s="65" t="n"/>
      <c r="AN20" s="65" t="n">
        <v>12</v>
      </c>
      <c r="AO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2607703</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inlineStr">
        <is>
          <t>m.gonzalezhuerta@garvan.org.au</t>
        </is>
      </c>
      <c r="P21" s="24" t="n"/>
      <c r="Q21" s="22" t="n">
        <v>46240</v>
      </c>
      <c r="R21" s="24" t="inlineStr">
        <is>
          <t>6088</t>
        </is>
      </c>
      <c r="S21" s="25">
        <f>IF(R21="","",IF(AND(LEFT(R21,4)&lt;&gt;"http",set_RMSBase=""),"",HYPERLINK(IF(LEFT(R21,4)="http",R21,set_RMSBase&amp;R21),"Open opportunity")))</f>
        <v/>
      </c>
      <c r="T21" s="24" t="n"/>
      <c r="U21" s="25">
        <f>IF(T21="","",HYPERLINK(IF(LEFT(T21,4)="http",T21,set_QwilrBase&amp;T21),"Open quote"))</f>
        <v/>
      </c>
      <c r="V21" s="25">
        <f>IF(C21="","",C21)</f>
        <v/>
      </c>
      <c r="W21" s="24" t="inlineStr">
        <is>
          <t>Y</t>
        </is>
      </c>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5" t="n"/>
      <c r="AK21" s="65" t="n"/>
      <c r="AL21" s="65" t="n"/>
      <c r="AM21" s="65" t="n"/>
      <c r="AN21" s="65" t="n">
        <v>11</v>
      </c>
      <c r="AO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26072902</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inlineStr">
        <is>
          <t>libby.kovac@au.pwc.com</t>
        </is>
      </c>
      <c r="P22" s="24" t="n"/>
      <c r="Q22" s="22" t="n">
        <v>46240</v>
      </c>
      <c r="R22" s="24" t="inlineStr">
        <is>
          <t>6128</t>
        </is>
      </c>
      <c r="S22" s="25">
        <f>IF(R22="","",IF(AND(LEFT(R22,4)&lt;&gt;"http",set_RMSBase=""),"",HYPERLINK(IF(LEFT(R22,4)="http",R22,set_RMSBase&amp;R22),"Open opportunity")))</f>
        <v/>
      </c>
      <c r="T22" s="24" t="n"/>
      <c r="U22" s="25">
        <f>IF(T22="","",HYPERLINK(IF(LEFT(T22,4)="http",T22,set_QwilrBase&amp;T22),"Open quote"))</f>
        <v/>
      </c>
      <c r="V22" s="25">
        <f>IF(C22="","",C22)</f>
        <v/>
      </c>
      <c r="W22" s="24" t="inlineStr">
        <is>
          <t>Y</t>
        </is>
      </c>
      <c r="X22" s="26" t="n"/>
      <c r="Y22" s="27">
        <f>IF(C22="","",H22+N(X22))</f>
        <v/>
      </c>
      <c r="Z22" s="29">
        <f>IFERROR(X22/Y22,"")</f>
        <v/>
      </c>
      <c r="AA22" s="26" t="n">
        <v>1092.36</v>
      </c>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5" t="n">
        <v>4</v>
      </c>
      <c r="AK22" s="65" t="n"/>
      <c r="AL22" s="65" t="n">
        <v>1</v>
      </c>
      <c r="AM22" s="65" t="n"/>
      <c r="AN22" s="65" t="n">
        <v>10</v>
      </c>
      <c r="AO22" s="24" t="n"/>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26071901</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inlineStr">
        <is>
          <t>ben.woodlock@elkiem.com</t>
        </is>
      </c>
      <c r="P23" s="24" t="n"/>
      <c r="Q23" s="22" t="n">
        <v>46245</v>
      </c>
      <c r="R23" s="24" t="inlineStr">
        <is>
          <t>6127</t>
        </is>
      </c>
      <c r="S23" s="25">
        <f>IF(R23="","",IF(AND(LEFT(R23,4)&lt;&gt;"http",set_RMSBase=""),"",HYPERLINK(IF(LEFT(R23,4)="http",R23,set_RMSBase&amp;R23),"Open opportunity")))</f>
        <v/>
      </c>
      <c r="T23" s="24" t="n"/>
      <c r="U23" s="25">
        <f>IF(T23="","",HYPERLINK(IF(LEFT(T23,4)="http",T23,set_QwilrBase&amp;T23),"Open quote"))</f>
        <v/>
      </c>
      <c r="V23" s="25">
        <f>IF(C23="","",C23)</f>
        <v/>
      </c>
      <c r="W23" s="24" t="inlineStr">
        <is>
          <t>Y</t>
        </is>
      </c>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5" t="n"/>
      <c r="AK23" s="65" t="n"/>
      <c r="AL23" s="65" t="n"/>
      <c r="AM23" s="65" t="n"/>
      <c r="AN23" s="65" t="n">
        <v>4</v>
      </c>
      <c r="AO23" s="24" t="n"/>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26063002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inlineStr">
        <is>
          <t>taniaa@ceoinstitute.com</t>
        </is>
      </c>
      <c r="P24" s="24" t="n"/>
      <c r="Q24" s="22" t="n">
        <v>46245</v>
      </c>
      <c r="R24" s="24" t="inlineStr">
        <is>
          <t>6084</t>
        </is>
      </c>
      <c r="S24" s="25">
        <f>IF(R24="","",IF(AND(LEFT(R24,4)&lt;&gt;"http",set_RMSBase=""),"",HYPERLINK(IF(LEFT(R24,4)="http",R24,set_RMSBase&amp;R24),"Open opportunity")))</f>
        <v/>
      </c>
      <c r="T24" s="24" t="n"/>
      <c r="U24" s="25">
        <f>IF(T24="","",HYPERLINK(IF(LEFT(T24,4)="http",T24,set_QwilrBase&amp;T24),"Open quote"))</f>
        <v/>
      </c>
      <c r="V24" s="25">
        <f>IF(C24="","",C24)</f>
        <v/>
      </c>
      <c r="W24" s="24" t="inlineStr">
        <is>
          <t>Y</t>
        </is>
      </c>
      <c r="X24" s="26" t="n">
        <v>2104.4</v>
      </c>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5" t="n">
        <v>7</v>
      </c>
      <c r="AK24" s="65" t="n"/>
      <c r="AL24" s="65" t="n">
        <v>2</v>
      </c>
      <c r="AM24" s="65" t="n"/>
      <c r="AN24" s="65" t="n">
        <v>37</v>
      </c>
      <c r="AO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26072903</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inlineStr">
        <is>
          <t>libby.kovac@au.pwc.com</t>
        </is>
      </c>
      <c r="P25" s="24" t="n"/>
      <c r="Q25" s="22" t="n">
        <v>46245</v>
      </c>
      <c r="R25" s="24" t="inlineStr">
        <is>
          <t>6134</t>
        </is>
      </c>
      <c r="S25" s="25">
        <f>IF(R25="","",IF(AND(LEFT(R25,4)&lt;&gt;"http",set_RMSBase=""),"",HYPERLINK(IF(LEFT(R25,4)="http",R25,set_RMSBase&amp;R25),"Open opportunity")))</f>
        <v/>
      </c>
      <c r="T25" s="24" t="n"/>
      <c r="U25" s="25">
        <f>IF(T25="","",HYPERLINK(IF(LEFT(T25,4)="http",T25,set_QwilrBase&amp;T25),"Open quote"))</f>
        <v/>
      </c>
      <c r="V25" s="25">
        <f>IF(C25="","",C25)</f>
        <v/>
      </c>
      <c r="W25" s="24" t="inlineStr">
        <is>
          <t>Y</t>
        </is>
      </c>
      <c r="X25" s="26" t="n"/>
      <c r="Y25" s="27">
        <f>IF(C25="","",H25+N(X25))</f>
        <v/>
      </c>
      <c r="Z25" s="29">
        <f>IFERROR(X25/Y25,"")</f>
        <v/>
      </c>
      <c r="AA25" s="26" t="n">
        <v>1092.36</v>
      </c>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5" t="n">
        <v>9</v>
      </c>
      <c r="AK25" s="65" t="n"/>
      <c r="AL25" s="65" t="n"/>
      <c r="AM25" s="65" t="n"/>
      <c r="AN25" s="65" t="n">
        <v>9</v>
      </c>
      <c r="AO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26061104</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inlineStr">
        <is>
          <t>events@cm.mpms.mufg.com</t>
        </is>
      </c>
      <c r="P26" s="24" t="n"/>
      <c r="Q26" s="22" t="n">
        <v>46246</v>
      </c>
      <c r="R26" s="24" t="inlineStr">
        <is>
          <t>Proj: 0016</t>
        </is>
      </c>
      <c r="S26" s="25">
        <f>IF(R26="","",IF(AND(LEFT(R26,4)&lt;&gt;"http",set_RMSBase=""),"",HYPERLINK(IF(LEFT(R26,4)="http",R26,set_RMSBase&amp;R26),"Open opportunity")))</f>
        <v/>
      </c>
      <c r="T26" s="24" t="n"/>
      <c r="U26" s="25">
        <f>IF(T26="","",HYPERLINK(IF(LEFT(T26,4)="http",T26,set_QwilrBase&amp;T26),"Open quote"))</f>
        <v/>
      </c>
      <c r="V26" s="25">
        <f>IF(C26="","",C26)</f>
        <v/>
      </c>
      <c r="W26" s="24" t="inlineStr">
        <is>
          <t>Y</t>
        </is>
      </c>
      <c r="X26" s="26" t="n">
        <v>5271.5</v>
      </c>
      <c r="Y26" s="27">
        <f>IF(C26="","",H26+N(X26))</f>
        <v/>
      </c>
      <c r="Z26" s="29">
        <f>IFERROR(X26/Y26,"")</f>
        <v/>
      </c>
      <c r="AA26" s="26" t="n">
        <v>980.16</v>
      </c>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5" t="n">
        <v>8</v>
      </c>
      <c r="AK26" s="65" t="n"/>
      <c r="AL26" s="65" t="n">
        <v>12</v>
      </c>
      <c r="AM26" s="65" t="n"/>
      <c r="AN26" s="65" t="n">
        <v>104</v>
      </c>
      <c r="AO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26061105</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inlineStr">
        <is>
          <t>Rebecca.Rodger@cba.com.au</t>
        </is>
      </c>
      <c r="P27" s="24" t="n"/>
      <c r="Q27" s="22" t="n">
        <v>46246</v>
      </c>
      <c r="R27" s="24" t="inlineStr">
        <is>
          <t>6093</t>
        </is>
      </c>
      <c r="S27" s="25">
        <f>IF(R27="","",IF(AND(LEFT(R27,4)&lt;&gt;"http",set_RMSBase=""),"",HYPERLINK(IF(LEFT(R27,4)="http",R27,set_RMSBase&amp;R27),"Open opportunity")))</f>
        <v/>
      </c>
      <c r="T27" s="24" t="n"/>
      <c r="U27" s="25">
        <f>IF(T27="","",HYPERLINK(IF(LEFT(T27,4)="http",T27,set_QwilrBase&amp;T27),"Open quote"))</f>
        <v/>
      </c>
      <c r="V27" s="25">
        <f>IF(C27="","",C27)</f>
        <v/>
      </c>
      <c r="W27" s="24" t="inlineStr">
        <is>
          <t>Y</t>
        </is>
      </c>
      <c r="X27" s="26" t="n">
        <v>1680</v>
      </c>
      <c r="Y27" s="27">
        <f>IF(C27="","",H27+N(X27))</f>
        <v/>
      </c>
      <c r="Z27" s="29">
        <f>IFERROR(X27/Y27,"")</f>
        <v/>
      </c>
      <c r="AA27" s="26" t="n">
        <v>3111.2</v>
      </c>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5" t="n"/>
      <c r="AK27" s="65" t="n"/>
      <c r="AL27" s="65" t="n"/>
      <c r="AM27" s="65" t="n"/>
      <c r="AN27" s="65" t="n">
        <v>16</v>
      </c>
      <c r="AO27" s="24" t="n"/>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2605401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inlineStr">
        <is>
          <t>KDraisey@agl.com.au</t>
        </is>
      </c>
      <c r="P28" s="24" t="n"/>
      <c r="Q28" s="22" t="n">
        <v>46246</v>
      </c>
      <c r="R28" s="24" t="inlineStr">
        <is>
          <t>Proj: 0019</t>
        </is>
      </c>
      <c r="S28" s="25">
        <f>IF(R28="","",IF(AND(LEFT(R28,4)&lt;&gt;"http",set_RMSBase=""),"",HYPERLINK(IF(LEFT(R28,4)="http",R28,set_RMSBase&amp;R28),"Open opportunity")))</f>
        <v/>
      </c>
      <c r="T28" s="24" t="n"/>
      <c r="U28" s="25">
        <f>IF(T28="","",HYPERLINK(IF(LEFT(T28,4)="http",T28,set_QwilrBase&amp;T28),"Open quote"))</f>
        <v/>
      </c>
      <c r="V28" s="25">
        <f>IF(C28="","",C28)</f>
        <v/>
      </c>
      <c r="W28" s="24" t="inlineStr">
        <is>
          <t>Y</t>
        </is>
      </c>
      <c r="X28" s="26" t="n">
        <v>2351.5</v>
      </c>
      <c r="Y28" s="27">
        <f>IF(C28="","",H28+N(X28))</f>
        <v/>
      </c>
      <c r="Z28" s="29">
        <f>IFERROR(X28/Y28,"")</f>
        <v/>
      </c>
      <c r="AA28" s="26" t="n">
        <v>3520.25</v>
      </c>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5" t="n"/>
      <c r="AK28" s="65" t="n">
        <v>8</v>
      </c>
      <c r="AL28" s="65" t="n"/>
      <c r="AM28" s="65" t="n"/>
      <c r="AN28" s="65" t="n">
        <v>18</v>
      </c>
      <c r="AO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2605402</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inlineStr">
        <is>
          <t>KDraisey@agl.com.au</t>
        </is>
      </c>
      <c r="P29" s="24" t="n"/>
      <c r="Q29" s="22" t="n">
        <v>46246</v>
      </c>
      <c r="R29" s="24" t="inlineStr">
        <is>
          <t>Proj: 0019</t>
        </is>
      </c>
      <c r="S29" s="25">
        <f>IF(R29="","",IF(AND(LEFT(R29,4)&lt;&gt;"http",set_RMSBase=""),"",HYPERLINK(IF(LEFT(R29,4)="http",R29,set_RMSBase&amp;R29),"Open opportunity")))</f>
        <v/>
      </c>
      <c r="T29" s="24" t="n"/>
      <c r="U29" s="25">
        <f>IF(T29="","",HYPERLINK(IF(LEFT(T29,4)="http",T29,set_QwilrBase&amp;T29),"Open quote"))</f>
        <v/>
      </c>
      <c r="V29" s="25">
        <f>IF(C29="","",C29)</f>
        <v/>
      </c>
      <c r="W29" s="24" t="inlineStr">
        <is>
          <t>Y</t>
        </is>
      </c>
      <c r="X29" s="26" t="n">
        <v>1309.25</v>
      </c>
      <c r="Y29" s="27">
        <f>IF(C29="","",H29+N(X29))</f>
        <v/>
      </c>
      <c r="Z29" s="29">
        <f>IFERROR(X29/Y29,"")</f>
        <v/>
      </c>
      <c r="AA29" s="26" t="n">
        <v>706.67</v>
      </c>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5" t="n">
        <v>4</v>
      </c>
      <c r="AK29" s="65" t="n"/>
      <c r="AL29" s="65" t="n"/>
      <c r="AM29" s="65" t="n"/>
      <c r="AN29" s="65" t="n">
        <v>31</v>
      </c>
      <c r="AO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2608604</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inlineStr">
        <is>
          <t>Aimee.Kuipers@asx.com.au</t>
        </is>
      </c>
      <c r="P30" s="24" t="n"/>
      <c r="Q30" s="22" t="n">
        <v>46247</v>
      </c>
      <c r="R30" s="24" t="inlineStr">
        <is>
          <t>6138</t>
        </is>
      </c>
      <c r="S30" s="25">
        <f>IF(R30="","",IF(AND(LEFT(R30,4)&lt;&gt;"http",set_RMSBase=""),"",HYPERLINK(IF(LEFT(R30,4)="http",R30,set_RMSBase&amp;R30),"Open opportunity")))</f>
        <v/>
      </c>
      <c r="T30" s="24" t="n"/>
      <c r="U30" s="25">
        <f>IF(T30="","",HYPERLINK(IF(LEFT(T30,4)="http",T30,set_QwilrBase&amp;T30),"Open quote"))</f>
        <v/>
      </c>
      <c r="V30" s="25">
        <f>IF(C30="","",C30)</f>
        <v/>
      </c>
      <c r="W30" s="24" t="inlineStr">
        <is>
          <t>Y</t>
        </is>
      </c>
      <c r="X30" s="26" t="n">
        <v>25</v>
      </c>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5" t="n">
        <v>4</v>
      </c>
      <c r="AK30" s="65" t="n"/>
      <c r="AL30" s="65" t="n">
        <v>2</v>
      </c>
      <c r="AM30" s="65" t="n"/>
      <c r="AN30" s="65" t="n">
        <v>6</v>
      </c>
      <c r="AO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26052702</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inlineStr">
        <is>
          <t>simon.starr@asx.com.au</t>
        </is>
      </c>
      <c r="P31" s="24" t="n"/>
      <c r="Q31" s="22" t="n">
        <v>46247</v>
      </c>
      <c r="R31" s="24" t="inlineStr">
        <is>
          <t>6045</t>
        </is>
      </c>
      <c r="S31" s="25">
        <f>IF(R31="","",IF(AND(LEFT(R31,4)&lt;&gt;"http",set_RMSBase=""),"",HYPERLINK(IF(LEFT(R31,4)="http",R31,set_RMSBase&amp;R31),"Open opportunity")))</f>
        <v/>
      </c>
      <c r="T31" s="24" t="n"/>
      <c r="U31" s="25">
        <f>IF(T31="","",HYPERLINK(IF(LEFT(T31,4)="http",T31,set_QwilrBase&amp;T31),"Open quote"))</f>
        <v/>
      </c>
      <c r="V31" s="25">
        <f>IF(C31="","",C31)</f>
        <v/>
      </c>
      <c r="W31" s="24" t="inlineStr">
        <is>
          <t>Y</t>
        </is>
      </c>
      <c r="X31" s="26" t="n">
        <v>2181</v>
      </c>
      <c r="Y31" s="27">
        <f>IF(C31="","",H31+N(X31))</f>
        <v/>
      </c>
      <c r="Z31" s="29">
        <f>IFERROR(X31/Y31,"")</f>
        <v/>
      </c>
      <c r="AA31" s="26" t="n">
        <v>5005.78</v>
      </c>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5" t="n"/>
      <c r="AK31" s="65" t="n"/>
      <c r="AL31" s="65" t="n">
        <v>6</v>
      </c>
      <c r="AM31" s="65" t="n"/>
      <c r="AN31" s="65" t="n">
        <v>78</v>
      </c>
      <c r="AO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26072906</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inlineStr">
        <is>
          <t>vicky.duan@asx.com.au</t>
        </is>
      </c>
      <c r="P32" s="24" t="n"/>
      <c r="Q32" s="22" t="n">
        <v>46252</v>
      </c>
      <c r="R32" s="24" t="inlineStr">
        <is>
          <t>6130</t>
        </is>
      </c>
      <c r="S32" s="25">
        <f>IF(R32="","",IF(AND(LEFT(R32,4)&lt;&gt;"http",set_RMSBase=""),"",HYPERLINK(IF(LEFT(R32,4)="http",R32,set_RMSBase&amp;R32),"Open opportunity")))</f>
        <v/>
      </c>
      <c r="T32" s="24" t="n"/>
      <c r="U32" s="25">
        <f>IF(T32="","",HYPERLINK(IF(LEFT(T32,4)="http",T32,set_QwilrBase&amp;T32),"Open quote"))</f>
        <v/>
      </c>
      <c r="V32" s="25">
        <f>IF(C32="","",C32)</f>
        <v/>
      </c>
      <c r="W32" s="24" t="inlineStr">
        <is>
          <t>Y</t>
        </is>
      </c>
      <c r="X32" s="26" t="n">
        <v>148.8</v>
      </c>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5" t="n">
        <v>8</v>
      </c>
      <c r="AK32" s="65" t="n">
        <v>8</v>
      </c>
      <c r="AL32" s="65" t="n"/>
      <c r="AM32" s="65" t="n"/>
      <c r="AN32" s="65" t="n">
        <v>8</v>
      </c>
      <c r="AO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inlineStr">
        <is>
          <t>2603104</t>
        </is>
      </c>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inlineStr">
        <is>
          <t>jbarrish@cochlear.com</t>
        </is>
      </c>
      <c r="P33" s="24" t="n"/>
      <c r="Q33" s="22" t="n">
        <v>46252</v>
      </c>
      <c r="R33" s="24" t="inlineStr">
        <is>
          <t>6091</t>
        </is>
      </c>
      <c r="S33" s="25">
        <f>IF(R33="","",IF(AND(LEFT(R33,4)&lt;&gt;"http",set_RMSBase=""),"",HYPERLINK(IF(LEFT(R33,4)="http",R33,set_RMSBase&amp;R33),"Open opportunity")))</f>
        <v/>
      </c>
      <c r="T33" s="24" t="n"/>
      <c r="U33" s="25">
        <f>IF(T33="","",HYPERLINK(IF(LEFT(T33,4)="http",T33,set_QwilrBase&amp;T33),"Open quote"))</f>
        <v/>
      </c>
      <c r="V33" s="25">
        <f>IF(C33="","",C33)</f>
        <v/>
      </c>
      <c r="W33" s="24" t="inlineStr">
        <is>
          <t>Y</t>
        </is>
      </c>
      <c r="X33" s="26" t="n">
        <v>2984.5</v>
      </c>
      <c r="Y33" s="27">
        <f>IF(C33="","",H33+N(X33))</f>
        <v/>
      </c>
      <c r="Z33" s="29">
        <f>IFERROR(X33/Y33,"")</f>
        <v/>
      </c>
      <c r="AA33" s="26" t="n">
        <v>2166.76</v>
      </c>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5" t="n">
        <v>8</v>
      </c>
      <c r="AK33" s="65" t="n"/>
      <c r="AL33" s="65" t="n"/>
      <c r="AM33" s="65" t="n"/>
      <c r="AN33" s="65" t="n">
        <v>18</v>
      </c>
      <c r="AO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inlineStr">
        <is>
          <t>26072802</t>
        </is>
      </c>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inlineStr">
        <is>
          <t>lisa.caraccio@on24.com</t>
        </is>
      </c>
      <c r="P34" s="24" t="n"/>
      <c r="Q34" s="22" t="n">
        <v>46252</v>
      </c>
      <c r="R34" s="24" t="inlineStr">
        <is>
          <t>6131</t>
        </is>
      </c>
      <c r="S34" s="25">
        <f>IF(R34="","",IF(AND(LEFT(R34,4)&lt;&gt;"http",set_RMSBase=""),"",HYPERLINK(IF(LEFT(R34,4)="http",R34,set_RMSBase&amp;R34),"Open opportunity")))</f>
        <v/>
      </c>
      <c r="T34" s="24" t="n"/>
      <c r="U34" s="25">
        <f>IF(T34="","",HYPERLINK(IF(LEFT(T34,4)="http",T34,set_QwilrBase&amp;T34),"Open quote"))</f>
        <v/>
      </c>
      <c r="V34" s="25">
        <f>IF(C34="","",C34)</f>
        <v/>
      </c>
      <c r="W34" s="24" t="inlineStr">
        <is>
          <t>Y</t>
        </is>
      </c>
      <c r="X34" s="26" t="n">
        <v>95</v>
      </c>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5" t="n"/>
      <c r="AK34" s="65" t="n"/>
      <c r="AL34" s="65" t="n"/>
      <c r="AM34" s="65" t="n"/>
      <c r="AN34" s="65" t="n">
        <v>6.5</v>
      </c>
      <c r="AO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inlineStr">
        <is>
          <t>26081402</t>
        </is>
      </c>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inlineStr">
        <is>
          <t>Mahan.Noori@dimensional.com.au</t>
        </is>
      </c>
      <c r="P35" s="24" t="n"/>
      <c r="Q35" s="22" t="n">
        <v>46253</v>
      </c>
      <c r="R35" s="24" t="inlineStr">
        <is>
          <t>6153</t>
        </is>
      </c>
      <c r="S35" s="25">
        <f>IF(R35="","",IF(AND(LEFT(R35,4)&lt;&gt;"http",set_RMSBase=""),"",HYPERLINK(IF(LEFT(R35,4)="http",R35,set_RMSBase&amp;R35),"Open opportunity")))</f>
        <v/>
      </c>
      <c r="T35" s="24" t="n"/>
      <c r="U35" s="25">
        <f>IF(T35="","",HYPERLINK(IF(LEFT(T35,4)="http",T35,set_QwilrBase&amp;T35),"Open quote"))</f>
        <v/>
      </c>
      <c r="V35" s="25">
        <f>IF(C35="","",C35)</f>
        <v/>
      </c>
      <c r="W35" s="24" t="inlineStr">
        <is>
          <t>Y</t>
        </is>
      </c>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5" t="n"/>
      <c r="AK35" s="65" t="n"/>
      <c r="AL35" s="65" t="n"/>
      <c r="AM35" s="65" t="n"/>
      <c r="AN35" s="65" t="n">
        <v>4</v>
      </c>
      <c r="AO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inlineStr">
        <is>
          <t>26061106</t>
        </is>
      </c>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inlineStr">
        <is>
          <t>sharne.flanagan@thelotterycorporation.com</t>
        </is>
      </c>
      <c r="P36" s="24" t="n"/>
      <c r="Q36" s="22" t="n">
        <v>46253</v>
      </c>
      <c r="R36" s="24" t="inlineStr">
        <is>
          <t>5853</t>
        </is>
      </c>
      <c r="S36" s="25">
        <f>IF(R36="","",IF(AND(LEFT(R36,4)&lt;&gt;"http",set_RMSBase=""),"",HYPERLINK(IF(LEFT(R36,4)="http",R36,set_RMSBase&amp;R36),"Open opportunity")))</f>
        <v/>
      </c>
      <c r="T36" s="24" t="n"/>
      <c r="U36" s="25">
        <f>IF(T36="","",HYPERLINK(IF(LEFT(T36,4)="http",T36,set_QwilrBase&amp;T36),"Open quote"))</f>
        <v/>
      </c>
      <c r="V36" s="25">
        <f>IF(C36="","",C36)</f>
        <v/>
      </c>
      <c r="W36" s="24" t="inlineStr">
        <is>
          <t>Y</t>
        </is>
      </c>
      <c r="X36" s="26" t="n">
        <v>611.5</v>
      </c>
      <c r="Y36" s="27">
        <f>IF(C36="","",H36+N(X36))</f>
        <v/>
      </c>
      <c r="Z36" s="29">
        <f>IFERROR(X36/Y36,"")</f>
        <v/>
      </c>
      <c r="AA36" s="26" t="n">
        <v>4272.26</v>
      </c>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5" t="n"/>
      <c r="AK36" s="65" t="n">
        <v>4</v>
      </c>
      <c r="AL36" s="65" t="n">
        <v>2</v>
      </c>
      <c r="AM36" s="65" t="n"/>
      <c r="AN36" s="65" t="n">
        <v>25</v>
      </c>
      <c r="AO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inlineStr">
        <is>
          <t>26061107</t>
        </is>
      </c>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inlineStr">
        <is>
          <t>mitchell.dale@downergroup.com</t>
        </is>
      </c>
      <c r="P37" s="24" t="n"/>
      <c r="Q37" s="22" t="n">
        <v>46254</v>
      </c>
      <c r="R37" s="24" t="inlineStr">
        <is>
          <t>6092</t>
        </is>
      </c>
      <c r="S37" s="25">
        <f>IF(R37="","",IF(AND(LEFT(R37,4)&lt;&gt;"http",set_RMSBase=""),"",HYPERLINK(IF(LEFT(R37,4)="http",R37,set_RMSBase&amp;R37),"Open opportunity")))</f>
        <v/>
      </c>
      <c r="T37" s="24" t="n"/>
      <c r="U37" s="25">
        <f>IF(T37="","",HYPERLINK(IF(LEFT(T37,4)="http",T37,set_QwilrBase&amp;T37),"Open quote"))</f>
        <v/>
      </c>
      <c r="V37" s="25">
        <f>IF(C37="","",C37)</f>
        <v/>
      </c>
      <c r="W37" s="24" t="inlineStr">
        <is>
          <t>Y</t>
        </is>
      </c>
      <c r="X37" s="26" t="n">
        <v>885.75</v>
      </c>
      <c r="Y37" s="27">
        <f>IF(C37="","",H37+N(X37))</f>
        <v/>
      </c>
      <c r="Z37" s="29">
        <f>IFERROR(X37/Y37,"")</f>
        <v/>
      </c>
      <c r="AA37" s="26" t="n">
        <v>1221.04</v>
      </c>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5" t="n"/>
      <c r="AK37" s="65" t="n"/>
      <c r="AL37" s="65" t="n">
        <v>3</v>
      </c>
      <c r="AM37" s="65" t="n"/>
      <c r="AN37" s="65" t="n">
        <v>18</v>
      </c>
      <c r="AO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inlineStr">
        <is>
          <t>26073110</t>
        </is>
      </c>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inlineStr">
        <is>
          <t>m.gonzalezhuerta@garvan.org.au</t>
        </is>
      </c>
      <c r="P38" s="24" t="n"/>
      <c r="Q38" s="22" t="n">
        <v>46254</v>
      </c>
      <c r="R38" s="24" t="inlineStr">
        <is>
          <t>6117</t>
        </is>
      </c>
      <c r="S38" s="25">
        <f>IF(R38="","",IF(AND(LEFT(R38,4)&lt;&gt;"http",set_RMSBase=""),"",HYPERLINK(IF(LEFT(R38,4)="http",R38,set_RMSBase&amp;R38),"Open opportunity")))</f>
        <v/>
      </c>
      <c r="T38" s="24" t="n"/>
      <c r="U38" s="25">
        <f>IF(T38="","",HYPERLINK(IF(LEFT(T38,4)="http",T38,set_QwilrBase&amp;T38),"Open quote"))</f>
        <v/>
      </c>
      <c r="V38" s="25">
        <f>IF(C38="","",C38)</f>
        <v/>
      </c>
      <c r="W38" s="24" t="inlineStr">
        <is>
          <t>Y</t>
        </is>
      </c>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5" t="n"/>
      <c r="AK38" s="65" t="n"/>
      <c r="AL38" s="65" t="n">
        <v>1</v>
      </c>
      <c r="AM38" s="65" t="n"/>
      <c r="AN38" s="65" t="n">
        <v>8</v>
      </c>
      <c r="AO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inlineStr">
        <is>
          <t>25121208</t>
        </is>
      </c>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inlineStr">
        <is>
          <t>anna.sampson@apa.com.au</t>
        </is>
      </c>
      <c r="P39" s="24" t="n"/>
      <c r="Q39" s="22" t="n">
        <v>46254</v>
      </c>
      <c r="R39" s="24" t="inlineStr">
        <is>
          <t>5821</t>
        </is>
      </c>
      <c r="S39" s="25">
        <f>IF(R39="","",IF(AND(LEFT(R39,4)&lt;&gt;"http",set_RMSBase=""),"",HYPERLINK(IF(LEFT(R39,4)="http",R39,set_RMSBase&amp;R39),"Open opportunity")))</f>
        <v/>
      </c>
      <c r="T39" s="24" t="n"/>
      <c r="U39" s="25">
        <f>IF(T39="","",HYPERLINK(IF(LEFT(T39,4)="http",T39,set_QwilrBase&amp;T39),"Open quote"))</f>
        <v/>
      </c>
      <c r="V39" s="25">
        <f>IF(C39="","",C39)</f>
        <v/>
      </c>
      <c r="W39" s="24" t="inlineStr">
        <is>
          <t>Y</t>
        </is>
      </c>
      <c r="X39" s="26" t="n">
        <v>3652.5</v>
      </c>
      <c r="Y39" s="27">
        <f>IF(C39="","",H39+N(X39))</f>
        <v/>
      </c>
      <c r="Z39" s="29">
        <f>IFERROR(X39/Y39,"")</f>
        <v/>
      </c>
      <c r="AA39" s="26" t="n">
        <v>1805.72</v>
      </c>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5" t="n"/>
      <c r="AK39" s="65" t="n"/>
      <c r="AL39" s="65" t="n">
        <v>2</v>
      </c>
      <c r="AM39" s="65" t="n"/>
      <c r="AN39" s="65" t="n">
        <v>20</v>
      </c>
      <c r="AO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inlineStr">
        <is>
          <t>26061108</t>
        </is>
      </c>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inlineStr">
        <is>
          <t>steph.bennett@apa.com.au</t>
        </is>
      </c>
      <c r="P40" s="24" t="n"/>
      <c r="Q40" s="22" t="n">
        <v>46254</v>
      </c>
      <c r="R40" s="24" t="inlineStr">
        <is>
          <t>6073</t>
        </is>
      </c>
      <c r="S40" s="25">
        <f>IF(R40="","",IF(AND(LEFT(R40,4)&lt;&gt;"http",set_RMSBase=""),"",HYPERLINK(IF(LEFT(R40,4)="http",R40,set_RMSBase&amp;R40),"Open opportunity")))</f>
        <v/>
      </c>
      <c r="T40" s="24" t="n"/>
      <c r="U40" s="25">
        <f>IF(T40="","",HYPERLINK(IF(LEFT(T40,4)="http",T40,set_QwilrBase&amp;T40),"Open quote"))</f>
        <v/>
      </c>
      <c r="V40" s="25">
        <f>IF(C40="","",C40)</f>
        <v/>
      </c>
      <c r="W40" s="24" t="inlineStr">
        <is>
          <t>Y</t>
        </is>
      </c>
      <c r="X40" s="26" t="n">
        <v>1651.4</v>
      </c>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5" t="n">
        <v>5</v>
      </c>
      <c r="AK40" s="65" t="n"/>
      <c r="AL40" s="65" t="n">
        <v>6</v>
      </c>
      <c r="AM40" s="65" t="n"/>
      <c r="AN40" s="65" t="n">
        <v>45</v>
      </c>
      <c r="AO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inlineStr">
        <is>
          <t>26061109</t>
        </is>
      </c>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inlineStr">
        <is>
          <t>amy.johnson@ventia.com</t>
        </is>
      </c>
      <c r="P41" s="24" t="n"/>
      <c r="Q41" s="22" t="n">
        <v>46258</v>
      </c>
      <c r="R41" s="24" t="inlineStr">
        <is>
          <t>6095</t>
        </is>
      </c>
      <c r="S41" s="25">
        <f>IF(R41="","",IF(AND(LEFT(R41,4)&lt;&gt;"http",set_RMSBase=""),"",HYPERLINK(IF(LEFT(R41,4)="http",R41,set_RMSBase&amp;R41),"Open opportunity")))</f>
        <v/>
      </c>
      <c r="T41" s="24" t="n"/>
      <c r="U41" s="25">
        <f>IF(T41="","",HYPERLINK(IF(LEFT(T41,4)="http",T41,set_QwilrBase&amp;T41),"Open quote"))</f>
        <v/>
      </c>
      <c r="V41" s="25">
        <f>IF(C41="","",C41)</f>
        <v/>
      </c>
      <c r="W41" s="24" t="inlineStr">
        <is>
          <t>Y</t>
        </is>
      </c>
      <c r="X41" s="26" t="n">
        <v>524.5</v>
      </c>
      <c r="Y41" s="27">
        <f>IF(C41="","",H41+N(X41))</f>
        <v/>
      </c>
      <c r="Z41" s="29">
        <f>IFERROR(X41/Y41,"")</f>
        <v/>
      </c>
      <c r="AA41" s="26" t="n">
        <v>1350</v>
      </c>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5" t="n">
        <v>4</v>
      </c>
      <c r="AK41" s="65" t="n"/>
      <c r="AL41" s="65" t="n"/>
      <c r="AM41" s="65" t="n"/>
      <c r="AN41" s="65" t="n">
        <v>41</v>
      </c>
      <c r="AO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inlineStr">
        <is>
          <t>26071501</t>
        </is>
      </c>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inlineStr">
        <is>
          <t>chantal.travers@ventia.com</t>
        </is>
      </c>
      <c r="P42" s="24" t="n"/>
      <c r="Q42" s="22" t="n">
        <v>46258</v>
      </c>
      <c r="R42" s="24" t="inlineStr">
        <is>
          <t>6094</t>
        </is>
      </c>
      <c r="S42" s="25">
        <f>IF(R42="","",IF(AND(LEFT(R42,4)&lt;&gt;"http",set_RMSBase=""),"",HYPERLINK(IF(LEFT(R42,4)="http",R42,set_RMSBase&amp;R42),"Open opportunity")))</f>
        <v/>
      </c>
      <c r="T42" s="24" t="n"/>
      <c r="U42" s="25">
        <f>IF(T42="","",HYPERLINK(IF(LEFT(T42,4)="http",T42,set_QwilrBase&amp;T42),"Open quote"))</f>
        <v/>
      </c>
      <c r="V42" s="25">
        <f>IF(C42="","",C42)</f>
        <v/>
      </c>
      <c r="W42" s="24" t="inlineStr">
        <is>
          <t>Y</t>
        </is>
      </c>
      <c r="X42" s="26" t="n">
        <v>495</v>
      </c>
      <c r="Y42" s="27">
        <f>IF(C42="","",H42+N(X42))</f>
        <v/>
      </c>
      <c r="Z42" s="29">
        <f>IFERROR(X42/Y42,"")</f>
        <v/>
      </c>
      <c r="AA42" s="26" t="n">
        <v>2303.09</v>
      </c>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5" t="n"/>
      <c r="AK42" s="65" t="n"/>
      <c r="AL42" s="65" t="n"/>
      <c r="AM42" s="65" t="n"/>
      <c r="AN42" s="65" t="n">
        <v>11</v>
      </c>
      <c r="AO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inlineStr">
        <is>
          <t>26073111</t>
        </is>
      </c>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inlineStr">
        <is>
          <t>mitchell.dale@downergroup.com</t>
        </is>
      </c>
      <c r="P43" s="24" t="n"/>
      <c r="Q43" s="22" t="n">
        <v>46259</v>
      </c>
      <c r="R43" s="24" t="inlineStr">
        <is>
          <t>6144</t>
        </is>
      </c>
      <c r="S43" s="25">
        <f>IF(R43="","",IF(AND(LEFT(R43,4)&lt;&gt;"http",set_RMSBase=""),"",HYPERLINK(IF(LEFT(R43,4)="http",R43,set_RMSBase&amp;R43),"Open opportunity")))</f>
        <v/>
      </c>
      <c r="T43" s="24" t="n"/>
      <c r="U43" s="25">
        <f>IF(T43="","",HYPERLINK(IF(LEFT(T43,4)="http",T43,set_QwilrBase&amp;T43),"Open quote"))</f>
        <v/>
      </c>
      <c r="V43" s="25">
        <f>IF(C43="","",C43)</f>
        <v/>
      </c>
      <c r="W43" s="24" t="inlineStr">
        <is>
          <t>Y</t>
        </is>
      </c>
      <c r="X43" s="26" t="n">
        <v>2281.25</v>
      </c>
      <c r="Y43" s="27">
        <f>IF(C43="","",H43+N(X43))</f>
        <v/>
      </c>
      <c r="Z43" s="29">
        <f>IFERROR(X43/Y43,"")</f>
        <v/>
      </c>
      <c r="AA43" s="26" t="n">
        <v>14754.3</v>
      </c>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5" t="n">
        <v>5</v>
      </c>
      <c r="AK43" s="65" t="n"/>
      <c r="AL43" s="65" t="n">
        <v>3</v>
      </c>
      <c r="AM43" s="65" t="n"/>
      <c r="AN43" s="65" t="n">
        <v>37</v>
      </c>
      <c r="AO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inlineStr">
        <is>
          <t>2606904</t>
        </is>
      </c>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inlineStr">
        <is>
          <t>pia.witt@symal.com.au</t>
        </is>
      </c>
      <c r="P44" s="24" t="n"/>
      <c r="Q44" s="22" t="n">
        <v>46259</v>
      </c>
      <c r="R44" s="24" t="inlineStr">
        <is>
          <t>6044</t>
        </is>
      </c>
      <c r="S44" s="25">
        <f>IF(R44="","",IF(AND(LEFT(R44,4)&lt;&gt;"http",set_RMSBase=""),"",HYPERLINK(IF(LEFT(R44,4)="http",R44,set_RMSBase&amp;R44),"Open opportunity")))</f>
        <v/>
      </c>
      <c r="T44" s="24" t="n"/>
      <c r="U44" s="25">
        <f>IF(T44="","",HYPERLINK(IF(LEFT(T44,4)="http",T44,set_QwilrBase&amp;T44),"Open quote"))</f>
        <v/>
      </c>
      <c r="V44" s="25">
        <f>IF(C44="","",C44)</f>
        <v/>
      </c>
      <c r="W44" s="24" t="inlineStr">
        <is>
          <t>Y</t>
        </is>
      </c>
      <c r="X44" s="26" t="n">
        <v>3563</v>
      </c>
      <c r="Y44" s="27">
        <f>IF(C44="","",H44+N(X44))</f>
        <v/>
      </c>
      <c r="Z44" s="29">
        <f>IFERROR(X44/Y44,"")</f>
        <v/>
      </c>
      <c r="AA44" s="26" t="n">
        <v>1874</v>
      </c>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5" t="n"/>
      <c r="AK44" s="65" t="n"/>
      <c r="AL44" s="65" t="n">
        <v>2</v>
      </c>
      <c r="AM44" s="65" t="n"/>
      <c r="AN44" s="65" t="n">
        <v>22</v>
      </c>
      <c r="AO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inlineStr">
        <is>
          <t>26061001</t>
        </is>
      </c>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inlineStr">
        <is>
          <t>t.choi@garvan.org.au</t>
        </is>
      </c>
      <c r="P45" s="24" t="n"/>
      <c r="Q45" s="22" t="n">
        <v>46259</v>
      </c>
      <c r="R45" s="24" t="inlineStr">
        <is>
          <t>6055</t>
        </is>
      </c>
      <c r="S45" s="25">
        <f>IF(R45="","",IF(AND(LEFT(R45,4)&lt;&gt;"http",set_RMSBase=""),"",HYPERLINK(IF(LEFT(R45,4)="http",R45,set_RMSBase&amp;R45),"Open opportunity")))</f>
        <v/>
      </c>
      <c r="T45" s="24" t="n"/>
      <c r="U45" s="25">
        <f>IF(T45="","",HYPERLINK(IF(LEFT(T45,4)="http",T45,set_QwilrBase&amp;T45),"Open quote"))</f>
        <v/>
      </c>
      <c r="V45" s="25">
        <f>IF(C45="","",C45)</f>
        <v/>
      </c>
      <c r="W45" s="24" t="inlineStr">
        <is>
          <t>Y</t>
        </is>
      </c>
      <c r="X45" s="26" t="n">
        <v>90</v>
      </c>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5" t="n"/>
      <c r="AK45" s="65" t="n"/>
      <c r="AL45" s="65" t="n">
        <v>1</v>
      </c>
      <c r="AM45" s="65" t="n"/>
      <c r="AN45" s="65" t="n">
        <v>4</v>
      </c>
      <c r="AO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inlineStr">
        <is>
          <t>26073105</t>
        </is>
      </c>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inlineStr">
        <is>
          <t>ben.woodlock@elkiem.com</t>
        </is>
      </c>
      <c r="P46" s="24" t="n"/>
      <c r="Q46" s="22" t="n">
        <v>46259</v>
      </c>
      <c r="R46" s="24" t="inlineStr">
        <is>
          <t>6129</t>
        </is>
      </c>
      <c r="S46" s="25">
        <f>IF(R46="","",IF(AND(LEFT(R46,4)&lt;&gt;"http",set_RMSBase=""),"",HYPERLINK(IF(LEFT(R46,4)="http",R46,set_RMSBase&amp;R46),"Open opportunity")))</f>
        <v/>
      </c>
      <c r="T46" s="24" t="n"/>
      <c r="U46" s="25">
        <f>IF(T46="","",HYPERLINK(IF(LEFT(T46,4)="http",T46,set_QwilrBase&amp;T46),"Open quote"))</f>
        <v/>
      </c>
      <c r="V46" s="25">
        <f>IF(C46="","",C46)</f>
        <v/>
      </c>
      <c r="W46" s="24" t="inlineStr">
        <is>
          <t>Y</t>
        </is>
      </c>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5" t="n"/>
      <c r="AK46" s="65" t="n"/>
      <c r="AL46" s="65" t="n"/>
      <c r="AM46" s="65" t="n"/>
      <c r="AN46" s="65" t="n">
        <v>4</v>
      </c>
      <c r="AO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inlineStr">
        <is>
          <t>2608702</t>
        </is>
      </c>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inlineStr">
        <is>
          <t>anna.sampson@apa.com.au</t>
        </is>
      </c>
      <c r="P47" s="24" t="n"/>
      <c r="Q47" s="22" t="n">
        <v>46260</v>
      </c>
      <c r="R47" s="24" t="inlineStr">
        <is>
          <t>6149</t>
        </is>
      </c>
      <c r="S47" s="25">
        <f>IF(R47="","",IF(AND(LEFT(R47,4)&lt;&gt;"http",set_RMSBase=""),"",HYPERLINK(IF(LEFT(R47,4)="http",R47,set_RMSBase&amp;R47),"Open opportunity")))</f>
        <v/>
      </c>
      <c r="T47" s="24" t="n"/>
      <c r="U47" s="25">
        <f>IF(T47="","",HYPERLINK(IF(LEFT(T47,4)="http",T47,set_QwilrBase&amp;T47),"Open quote"))</f>
        <v/>
      </c>
      <c r="V47" s="25">
        <f>IF(C47="","",C47)</f>
        <v/>
      </c>
      <c r="W47" s="24" t="inlineStr">
        <is>
          <t>Y</t>
        </is>
      </c>
      <c r="X47" s="26" t="n"/>
      <c r="Y47" s="27">
        <f>IF(C47="","",H47+N(X47))</f>
        <v/>
      </c>
      <c r="Z47" s="29">
        <f>IFERROR(X47/Y47,"")</f>
        <v/>
      </c>
      <c r="AA47" s="26" t="n">
        <v>784.5</v>
      </c>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5" t="n"/>
      <c r="AK47" s="65" t="n"/>
      <c r="AL47" s="65" t="n"/>
      <c r="AM47" s="65" t="n"/>
      <c r="AN47" s="65" t="n"/>
      <c r="AO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inlineStr">
        <is>
          <t>2606903</t>
        </is>
      </c>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inlineStr">
        <is>
          <t>Saranya.Nagpal@virginaustralia.com</t>
        </is>
      </c>
      <c r="P48" s="24" t="n"/>
      <c r="Q48" s="22" t="n">
        <v>46262</v>
      </c>
      <c r="R48" s="24" t="inlineStr">
        <is>
          <t>6024</t>
        </is>
      </c>
      <c r="S48" s="25">
        <f>IF(R48="","",IF(AND(LEFT(R48,4)&lt;&gt;"http",set_RMSBase=""),"",HYPERLINK(IF(LEFT(R48,4)="http",R48,set_RMSBase&amp;R48),"Open opportunity")))</f>
        <v/>
      </c>
      <c r="T48" s="24" t="n"/>
      <c r="U48" s="25">
        <f>IF(T48="","",HYPERLINK(IF(LEFT(T48,4)="http",T48,set_QwilrBase&amp;T48),"Open quote"))</f>
        <v/>
      </c>
      <c r="V48" s="25">
        <f>IF(C48="","",C48)</f>
        <v/>
      </c>
      <c r="W48" s="24" t="inlineStr">
        <is>
          <t>Y</t>
        </is>
      </c>
      <c r="X48" s="26" t="n">
        <v>3530.5</v>
      </c>
      <c r="Y48" s="27">
        <f>IF(C48="","",H48+N(X48))</f>
        <v/>
      </c>
      <c r="Z48" s="29">
        <f>IFERROR(X48/Y48,"")</f>
        <v/>
      </c>
      <c r="AA48" s="26" t="n">
        <v>4749.88</v>
      </c>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5" t="n"/>
      <c r="AK48" s="65" t="n"/>
      <c r="AL48" s="65" t="n">
        <v>4</v>
      </c>
      <c r="AM48" s="65" t="n"/>
      <c r="AN48" s="65" t="n">
        <v>23</v>
      </c>
      <c r="AO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inlineStr">
        <is>
          <t>26072003</t>
        </is>
      </c>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inlineStr">
        <is>
          <t>Steve.chezzi@cba.com.au</t>
        </is>
      </c>
      <c r="P49" s="24" t="n"/>
      <c r="Q49" s="22" t="n">
        <v>46265</v>
      </c>
      <c r="R49" s="24" t="inlineStr">
        <is>
          <t>6169</t>
        </is>
      </c>
      <c r="S49" s="25">
        <f>IF(R49="","",IF(AND(LEFT(R49,4)&lt;&gt;"http",set_RMSBase=""),"",HYPERLINK(IF(LEFT(R49,4)="http",R49,set_RMSBase&amp;R49),"Open opportunity")))</f>
        <v/>
      </c>
      <c r="T49" s="24" t="n"/>
      <c r="U49" s="25">
        <f>IF(T49="","",HYPERLINK(IF(LEFT(T49,4)="http",T49,set_QwilrBase&amp;T49),"Open quote"))</f>
        <v/>
      </c>
      <c r="V49" s="25">
        <f>IF(C49="","",C49)</f>
        <v/>
      </c>
      <c r="W49" s="24" t="inlineStr">
        <is>
          <t>Y</t>
        </is>
      </c>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5" t="n"/>
      <c r="AK49" s="65" t="n"/>
      <c r="AL49" s="65" t="n"/>
      <c r="AM49" s="65" t="n"/>
      <c r="AN49" s="65" t="n">
        <v>56</v>
      </c>
      <c r="AO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inlineStr">
        <is>
          <t>26061609/26061608/26061607/26061108</t>
        </is>
      </c>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inlineStr">
        <is>
          <t>N/A</t>
        </is>
      </c>
      <c r="R50" s="24" t="inlineStr">
        <is>
          <t>Proj: 0017</t>
        </is>
      </c>
      <c r="S50" s="25">
        <f>IF(R50="","",IF(AND(LEFT(R50,4)&lt;&gt;"http",set_RMSBase=""),"",HYPERLINK(IF(LEFT(R50,4)="http",R50,set_RMSBase&amp;R50),"Open opportunity")))</f>
        <v/>
      </c>
      <c r="T50" s="24" t="n"/>
      <c r="U50" s="25">
        <f>IF(T50="","",HYPERLINK(IF(LEFT(T50,4)="http",T50,set_QwilrBase&amp;T50),"Open quote"))</f>
        <v/>
      </c>
      <c r="V50" s="25">
        <f>IF(C50="","",C50)</f>
        <v/>
      </c>
      <c r="W50" s="24" t="inlineStr">
        <is>
          <t>Y</t>
        </is>
      </c>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5" t="n"/>
      <c r="AK50" s="65" t="n"/>
      <c r="AL50" s="65" t="n"/>
      <c r="AM50" s="65" t="n"/>
      <c r="AN50" s="65" t="n"/>
      <c r="AO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inlineStr">
        <is>
          <t>9100</t>
        </is>
      </c>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inlineStr">
        <is>
          <t>jaaz.salanoa@ctsav.com.au</t>
        </is>
      </c>
      <c r="P51" s="24" t="n"/>
      <c r="Q51" s="22" t="inlineStr">
        <is>
          <t>N/A</t>
        </is>
      </c>
      <c r="R51" s="24" t="n"/>
      <c r="S51" s="25">
        <f>IF(R51="","",IF(AND(LEFT(R51,4)&lt;&gt;"http",set_RMSBase=""),"",HYPERLINK(IF(LEFT(R51,4)="http",R51,set_RMSBase&amp;R51),"Open opportunity")))</f>
        <v/>
      </c>
      <c r="T51" s="24" t="n"/>
      <c r="U51" s="25">
        <f>IF(T51="","",HYPERLINK(IF(LEFT(T51,4)="http",T51,set_QwilrBase&amp;T51),"Open quote"))</f>
        <v/>
      </c>
      <c r="V51" s="25">
        <f>IF(C51="","",C51)</f>
        <v/>
      </c>
      <c r="W51" s="24" t="inlineStr">
        <is>
          <t>Y</t>
        </is>
      </c>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5" t="n"/>
      <c r="AK51" s="65" t="n"/>
      <c r="AL51" s="65" t="n"/>
      <c r="AM51" s="65" t="n"/>
      <c r="AN51" s="65" t="n"/>
      <c r="AO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inlineStr">
        <is>
          <t>26061602</t>
        </is>
      </c>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inlineStr">
        <is>
          <t>oliver.mariano@asx.com.au</t>
        </is>
      </c>
      <c r="P52" s="24" t="n"/>
      <c r="Q52" s="22" t="n">
        <v>46266</v>
      </c>
      <c r="R52" s="24" t="inlineStr">
        <is>
          <t>5849</t>
        </is>
      </c>
      <c r="S52" s="25">
        <f>IF(R52="","",IF(AND(LEFT(R52,4)&lt;&gt;"http",set_RMSBase=""),"",HYPERLINK(IF(LEFT(R52,4)="http",R52,set_RMSBase&amp;R52),"Open opportunity")))</f>
        <v/>
      </c>
      <c r="T52" s="24" t="n"/>
      <c r="U52" s="25">
        <f>IF(T52="","",HYPERLINK(IF(LEFT(T52,4)="http",T52,set_QwilrBase&amp;T52),"Open quote"))</f>
        <v/>
      </c>
      <c r="V52" s="25">
        <f>IF(C52="","",C52)</f>
        <v/>
      </c>
      <c r="W52" s="24" t="inlineStr">
        <is>
          <t>Y</t>
        </is>
      </c>
      <c r="X52" s="26" t="n">
        <v>261</v>
      </c>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5" t="n"/>
      <c r="AK52" s="65" t="n">
        <v>9</v>
      </c>
      <c r="AL52" s="65" t="n"/>
      <c r="AM52" s="65" t="n"/>
      <c r="AN52" s="65" t="n">
        <v>16</v>
      </c>
      <c r="AO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inlineStr">
        <is>
          <t>26071701</t>
        </is>
      </c>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inlineStr">
        <is>
          <t>Aimee.Kuipers@asx.com.au</t>
        </is>
      </c>
      <c r="P53" s="24" t="n"/>
      <c r="Q53" s="22" t="n">
        <v>46266</v>
      </c>
      <c r="R53" s="24" t="inlineStr">
        <is>
          <t>6143</t>
        </is>
      </c>
      <c r="S53" s="25">
        <f>IF(R53="","",IF(AND(LEFT(R53,4)&lt;&gt;"http",set_RMSBase=""),"",HYPERLINK(IF(LEFT(R53,4)="http",R53,set_RMSBase&amp;R53),"Open opportunity")))</f>
        <v/>
      </c>
      <c r="T53" s="24" t="n"/>
      <c r="U53" s="25">
        <f>IF(T53="","",HYPERLINK(IF(LEFT(T53,4)="http",T53,set_QwilrBase&amp;T53),"Open quote"))</f>
        <v/>
      </c>
      <c r="V53" s="25">
        <f>IF(C53="","",C53)</f>
        <v/>
      </c>
      <c r="W53" s="24" t="inlineStr">
        <is>
          <t>Y</t>
        </is>
      </c>
      <c r="X53" s="26" t="n">
        <v>180</v>
      </c>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5" t="n">
        <v>4</v>
      </c>
      <c r="AK53" s="65" t="n"/>
      <c r="AL53" s="65" t="n"/>
      <c r="AM53" s="65" t="n"/>
      <c r="AN53" s="65" t="n">
        <v>31</v>
      </c>
      <c r="AO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inlineStr">
        <is>
          <t>2608404</t>
        </is>
      </c>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inlineStr">
        <is>
          <t>juan.velozo@svha.org.au</t>
        </is>
      </c>
      <c r="P54" s="24" t="n"/>
      <c r="Q54" s="22" t="n">
        <v>46267</v>
      </c>
      <c r="R54" s="24" t="inlineStr">
        <is>
          <t>6115</t>
        </is>
      </c>
      <c r="S54" s="25">
        <f>IF(R54="","",IF(AND(LEFT(R54,4)&lt;&gt;"http",set_RMSBase=""),"",HYPERLINK(IF(LEFT(R54,4)="http",R54,set_RMSBase&amp;R54),"Open opportunity")))</f>
        <v/>
      </c>
      <c r="T54" s="24" t="n"/>
      <c r="U54" s="25">
        <f>IF(T54="","",HYPERLINK(IF(LEFT(T54,4)="http",T54,set_QwilrBase&amp;T54),"Open quote"))</f>
        <v/>
      </c>
      <c r="V54" s="25">
        <f>IF(C54="","",C54)</f>
        <v/>
      </c>
      <c r="W54" s="24" t="inlineStr">
        <is>
          <t>Y</t>
        </is>
      </c>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5" t="n"/>
      <c r="AK54" s="65" t="n">
        <v>1</v>
      </c>
      <c r="AL54" s="65" t="n">
        <v>1</v>
      </c>
      <c r="AM54" s="65" t="n"/>
      <c r="AN54" s="65" t="n">
        <v>4</v>
      </c>
      <c r="AO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inlineStr">
        <is>
          <t>26081904</t>
        </is>
      </c>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inlineStr">
        <is>
          <t>r.vieyra@garvan.org.au</t>
        </is>
      </c>
      <c r="P55" s="24" t="n"/>
      <c r="Q55" s="22" t="n">
        <v>46267</v>
      </c>
      <c r="R55" s="24" t="inlineStr">
        <is>
          <t>6160</t>
        </is>
      </c>
      <c r="S55" s="25">
        <f>IF(R55="","",IF(AND(LEFT(R55,4)&lt;&gt;"http",set_RMSBase=""),"",HYPERLINK(IF(LEFT(R55,4)="http",R55,set_RMSBase&amp;R55),"Open opportunity")))</f>
        <v/>
      </c>
      <c r="T55" s="24" t="n"/>
      <c r="U55" s="25">
        <f>IF(T55="","",HYPERLINK(IF(LEFT(T55,4)="http",T55,set_QwilrBase&amp;T55),"Open quote"))</f>
        <v/>
      </c>
      <c r="V55" s="25">
        <f>IF(C55="","",C55)</f>
        <v/>
      </c>
      <c r="W55" s="24" t="inlineStr">
        <is>
          <t>Y</t>
        </is>
      </c>
      <c r="X55" s="26" t="n">
        <v>90</v>
      </c>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5" t="n"/>
      <c r="AK55" s="65" t="n">
        <v>1</v>
      </c>
      <c r="AL55" s="65" t="n">
        <v>1</v>
      </c>
      <c r="AM55" s="65" t="n"/>
      <c r="AN55" s="65" t="n">
        <v>5</v>
      </c>
      <c r="AO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inlineStr">
        <is>
          <t>26032302</t>
        </is>
      </c>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inlineStr">
        <is>
          <t>lindsay.botten@outlook.com</t>
        </is>
      </c>
      <c r="P56" s="24" t="n"/>
      <c r="Q56" s="22" t="n">
        <v>46267</v>
      </c>
      <c r="R56" s="24" t="inlineStr">
        <is>
          <t>5925</t>
        </is>
      </c>
      <c r="S56" s="25">
        <f>IF(R56="","",IF(AND(LEFT(R56,4)&lt;&gt;"http",set_RMSBase=""),"",HYPERLINK(IF(LEFT(R56,4)="http",R56,set_RMSBase&amp;R56),"Open opportunity")))</f>
        <v/>
      </c>
      <c r="T56" s="24" t="n"/>
      <c r="U56" s="25">
        <f>IF(T56="","",HYPERLINK(IF(LEFT(T56,4)="http",T56,set_QwilrBase&amp;T56),"Open quote"))</f>
        <v/>
      </c>
      <c r="V56" s="25">
        <f>IF(C56="","",C56)</f>
        <v/>
      </c>
      <c r="W56" s="24" t="inlineStr">
        <is>
          <t>Y</t>
        </is>
      </c>
      <c r="X56" s="26" t="n">
        <v>334</v>
      </c>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5" t="n">
        <v>4</v>
      </c>
      <c r="AK56" s="65" t="n"/>
      <c r="AL56" s="65" t="n"/>
      <c r="AM56" s="65" t="n"/>
      <c r="AN56" s="65" t="n">
        <v>12</v>
      </c>
      <c r="AO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inlineStr">
        <is>
          <t>26072102</t>
        </is>
      </c>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inlineStr">
        <is>
          <t>amy.johnson@ventia.com</t>
        </is>
      </c>
      <c r="P57" s="24" t="n"/>
      <c r="Q57" s="22" t="n">
        <v>46275</v>
      </c>
      <c r="R57" s="24" t="inlineStr">
        <is>
          <t>6122</t>
        </is>
      </c>
      <c r="S57" s="25">
        <f>IF(R57="","",IF(AND(LEFT(R57,4)&lt;&gt;"http",set_RMSBase=""),"",HYPERLINK(IF(LEFT(R57,4)="http",R57,set_RMSBase&amp;R57),"Open opportunity")))</f>
        <v/>
      </c>
      <c r="T57" s="24" t="n"/>
      <c r="U57" s="25">
        <f>IF(T57="","",HYPERLINK(IF(LEFT(T57,4)="http",T57,set_QwilrBase&amp;T57),"Open quote"))</f>
        <v/>
      </c>
      <c r="V57" s="25">
        <f>IF(C57="","",C57)</f>
        <v/>
      </c>
      <c r="W57" s="24" t="inlineStr">
        <is>
          <t>Y</t>
        </is>
      </c>
      <c r="X57" s="26" t="n">
        <v>2005.65</v>
      </c>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5" t="n">
        <v>4</v>
      </c>
      <c r="AK57" s="65" t="n"/>
      <c r="AL57" s="65" t="n"/>
      <c r="AM57" s="65" t="n"/>
      <c r="AN57" s="65" t="n">
        <v>28</v>
      </c>
      <c r="AO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inlineStr">
        <is>
          <t>26082703</t>
        </is>
      </c>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inlineStr">
        <is>
          <t>candice.gaillard@apa.com.au</t>
        </is>
      </c>
      <c r="P58" s="24" t="n"/>
      <c r="Q58" s="22" t="n">
        <v>46275</v>
      </c>
      <c r="R58" s="24" t="inlineStr">
        <is>
          <t>6168</t>
        </is>
      </c>
      <c r="S58" s="25">
        <f>IF(R58="","",IF(AND(LEFT(R58,4)&lt;&gt;"http",set_RMSBase=""),"",HYPERLINK(IF(LEFT(R58,4)="http",R58,set_RMSBase&amp;R58),"Open opportunity")))</f>
        <v/>
      </c>
      <c r="T58" s="24" t="n"/>
      <c r="U58" s="25">
        <f>IF(T58="","",HYPERLINK(IF(LEFT(T58,4)="http",T58,set_QwilrBase&amp;T58),"Open quote"))</f>
        <v/>
      </c>
      <c r="V58" s="25">
        <f>IF(C58="","",C58)</f>
        <v/>
      </c>
      <c r="W58" s="24" t="inlineStr">
        <is>
          <t>Y</t>
        </is>
      </c>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5" t="n"/>
      <c r="AK58" s="65" t="n"/>
      <c r="AL58" s="65" t="n"/>
      <c r="AM58" s="65" t="n"/>
      <c r="AN58" s="65" t="n">
        <v>6</v>
      </c>
      <c r="AO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inlineStr">
        <is>
          <t>2608701</t>
        </is>
      </c>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inlineStr">
        <is>
          <t>ben.woodlock@elkiem.com</t>
        </is>
      </c>
      <c r="P59" s="24" t="n"/>
      <c r="Q59" s="22" t="n">
        <v>46275</v>
      </c>
      <c r="R59" s="24" t="inlineStr">
        <is>
          <t>6148</t>
        </is>
      </c>
      <c r="S59" s="25">
        <f>IF(R59="","",IF(AND(LEFT(R59,4)&lt;&gt;"http",set_RMSBase=""),"",HYPERLINK(IF(LEFT(R59,4)="http",R59,set_RMSBase&amp;R59),"Open opportunity")))</f>
        <v/>
      </c>
      <c r="T59" s="24" t="n"/>
      <c r="U59" s="25">
        <f>IF(T59="","",HYPERLINK(IF(LEFT(T59,4)="http",T59,set_QwilrBase&amp;T59),"Open quote"))</f>
        <v/>
      </c>
      <c r="V59" s="25">
        <f>IF(C59="","",C59)</f>
        <v/>
      </c>
      <c r="W59" s="24" t="inlineStr">
        <is>
          <t>Y</t>
        </is>
      </c>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5" t="n"/>
      <c r="AK59" s="65" t="n"/>
      <c r="AL59" s="65" t="n"/>
      <c r="AM59" s="65" t="n"/>
      <c r="AN59" s="65" t="n">
        <v>4</v>
      </c>
      <c r="AO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inlineStr">
        <is>
          <t>2609801</t>
        </is>
      </c>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inlineStr">
        <is>
          <t>ben.woodlock@elkiem.com</t>
        </is>
      </c>
      <c r="P60" s="24" t="n"/>
      <c r="Q60" s="22" t="n">
        <v>46281</v>
      </c>
      <c r="R60" s="24" t="inlineStr">
        <is>
          <t>6175</t>
        </is>
      </c>
      <c r="S60" s="25">
        <f>IF(R60="","",IF(AND(LEFT(R60,4)&lt;&gt;"http",set_RMSBase=""),"",HYPERLINK(IF(LEFT(R60,4)="http",R60,set_RMSBase&amp;R60),"Open opportunity")))</f>
        <v/>
      </c>
      <c r="T60" s="24" t="n"/>
      <c r="U60" s="25">
        <f>IF(T60="","",HYPERLINK(IF(LEFT(T60,4)="http",T60,set_QwilrBase&amp;T60),"Open quote"))</f>
        <v/>
      </c>
      <c r="V60" s="25">
        <f>IF(C60="","",C60)</f>
        <v/>
      </c>
      <c r="W60" s="24" t="inlineStr">
        <is>
          <t>Y</t>
        </is>
      </c>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5" t="n"/>
      <c r="AK60" s="65" t="n"/>
      <c r="AL60" s="65" t="n"/>
      <c r="AM60" s="65" t="n"/>
      <c r="AN60" s="65" t="n">
        <v>4</v>
      </c>
      <c r="AO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inlineStr">
        <is>
          <t>26082502</t>
        </is>
      </c>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inlineStr">
        <is>
          <t>jbell@iccsydney.com</t>
        </is>
      </c>
      <c r="P61" s="24" t="n"/>
      <c r="Q61" s="22" t="n">
        <v>46271</v>
      </c>
      <c r="R61" s="24" t="inlineStr">
        <is>
          <t>6186</t>
        </is>
      </c>
      <c r="S61" s="25">
        <f>IF(R61="","",IF(AND(LEFT(R61,4)&lt;&gt;"http",set_RMSBase=""),"",HYPERLINK(IF(LEFT(R61,4)="http",R61,set_RMSBase&amp;R61),"Open opportunity")))</f>
        <v/>
      </c>
      <c r="T61" s="24" t="n"/>
      <c r="U61" s="25">
        <f>IF(T61="","",HYPERLINK(IF(LEFT(T61,4)="http",T61,set_QwilrBase&amp;T61),"Open quote"))</f>
        <v/>
      </c>
      <c r="V61" s="25">
        <f>IF(C61="","",C61)</f>
        <v/>
      </c>
      <c r="W61" s="24" t="inlineStr">
        <is>
          <t>Y</t>
        </is>
      </c>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5" t="n"/>
      <c r="AK61" s="65" t="n"/>
      <c r="AL61" s="65" t="n"/>
      <c r="AM61" s="65" t="n"/>
      <c r="AN61" s="65" t="n">
        <v>55</v>
      </c>
      <c r="AO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inlineStr">
        <is>
          <t>26082503</t>
        </is>
      </c>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inlineStr">
        <is>
          <t>jbell@iccsydney.com</t>
        </is>
      </c>
      <c r="P62" s="24" t="n"/>
      <c r="Q62" s="22" t="n">
        <v>46279</v>
      </c>
      <c r="R62" s="24" t="inlineStr">
        <is>
          <t>6187</t>
        </is>
      </c>
      <c r="S62" s="25">
        <f>IF(R62="","",IF(AND(LEFT(R62,4)&lt;&gt;"http",set_RMSBase=""),"",HYPERLINK(IF(LEFT(R62,4)="http",R62,set_RMSBase&amp;R62),"Open opportunity")))</f>
        <v/>
      </c>
      <c r="T62" s="24" t="n"/>
      <c r="U62" s="25">
        <f>IF(T62="","",HYPERLINK(IF(LEFT(T62,4)="http",T62,set_QwilrBase&amp;T62),"Open quote"))</f>
        <v/>
      </c>
      <c r="V62" s="25">
        <f>IF(C62="","",C62)</f>
        <v/>
      </c>
      <c r="W62" s="24" t="inlineStr">
        <is>
          <t>Y</t>
        </is>
      </c>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5" t="n"/>
      <c r="AK62" s="65" t="n"/>
      <c r="AL62" s="65" t="n"/>
      <c r="AM62" s="65" t="n"/>
      <c r="AN62" s="65" t="n">
        <v>10.5</v>
      </c>
      <c r="AO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5" t="n"/>
      <c r="AK63" s="65" t="n"/>
      <c r="AL63" s="65" t="n"/>
      <c r="AM63" s="65" t="n"/>
      <c r="AN63" s="65" t="n"/>
      <c r="AO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5" t="n"/>
      <c r="AK64" s="65" t="n"/>
      <c r="AL64" s="65" t="n"/>
      <c r="AM64" s="65" t="n"/>
      <c r="AN64" s="65" t="n"/>
      <c r="AO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5" t="n"/>
      <c r="AK65" s="65" t="n"/>
      <c r="AL65" s="65" t="n"/>
      <c r="AM65" s="65" t="n"/>
      <c r="AN65" s="65" t="n"/>
      <c r="AO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5" t="n"/>
      <c r="AK66" s="65" t="n"/>
      <c r="AL66" s="65" t="n"/>
      <c r="AM66" s="65" t="n"/>
      <c r="AN66" s="65" t="n"/>
      <c r="AO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5" t="n"/>
      <c r="AK67" s="65" t="n"/>
      <c r="AL67" s="65" t="n"/>
      <c r="AM67" s="65" t="n"/>
      <c r="AN67" s="65" t="n"/>
      <c r="AO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5" t="n"/>
      <c r="AK68" s="65" t="n"/>
      <c r="AL68" s="65" t="n"/>
      <c r="AM68" s="65" t="n"/>
      <c r="AN68" s="65" t="n"/>
      <c r="AO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5" t="n"/>
      <c r="AK69" s="65" t="n"/>
      <c r="AL69" s="65" t="n"/>
      <c r="AM69" s="65" t="n"/>
      <c r="AN69" s="65" t="n"/>
      <c r="AO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5" t="n"/>
      <c r="AK70" s="65" t="n"/>
      <c r="AL70" s="65" t="n"/>
      <c r="AM70" s="65" t="n"/>
      <c r="AN70" s="65" t="n"/>
      <c r="AO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5" t="n"/>
      <c r="AK71" s="65" t="n"/>
      <c r="AL71" s="65" t="n"/>
      <c r="AM71" s="65" t="n"/>
      <c r="AN71" s="65" t="n"/>
      <c r="AO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5" t="n"/>
      <c r="AK72" s="65" t="n"/>
      <c r="AL72" s="65" t="n"/>
      <c r="AM72" s="65" t="n"/>
      <c r="AN72" s="65" t="n"/>
      <c r="AO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5" t="n"/>
      <c r="AK73" s="65" t="n"/>
      <c r="AL73" s="65" t="n"/>
      <c r="AM73" s="65" t="n"/>
      <c r="AN73" s="65" t="n"/>
      <c r="AO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5" t="n"/>
      <c r="AK74" s="65" t="n"/>
      <c r="AL74" s="65" t="n"/>
      <c r="AM74" s="65" t="n"/>
      <c r="AN74" s="65" t="n"/>
      <c r="AO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5" t="n"/>
      <c r="AK75" s="65" t="n"/>
      <c r="AL75" s="65" t="n"/>
      <c r="AM75" s="65" t="n"/>
      <c r="AN75" s="65" t="n"/>
      <c r="AO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5" t="n"/>
      <c r="AK76" s="65" t="n"/>
      <c r="AL76" s="65" t="n"/>
      <c r="AM76" s="65" t="n"/>
      <c r="AN76" s="65" t="n"/>
      <c r="AO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5" t="n"/>
      <c r="AK77" s="65" t="n"/>
      <c r="AL77" s="65" t="n"/>
      <c r="AM77" s="65" t="n"/>
      <c r="AN77" s="65" t="n"/>
      <c r="AO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5" t="n"/>
      <c r="AK78" s="65" t="n"/>
      <c r="AL78" s="65" t="n"/>
      <c r="AM78" s="65" t="n"/>
      <c r="AN78" s="65" t="n"/>
      <c r="AO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5" t="n"/>
      <c r="AK79" s="65" t="n"/>
      <c r="AL79" s="65" t="n"/>
      <c r="AM79" s="65" t="n"/>
      <c r="AN79" s="65" t="n"/>
      <c r="AO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5" t="n"/>
      <c r="AK80" s="65" t="n"/>
      <c r="AL80" s="65" t="n"/>
      <c r="AM80" s="65" t="n"/>
      <c r="AN80" s="65" t="n"/>
      <c r="AO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5" t="n"/>
      <c r="AK81" s="65" t="n"/>
      <c r="AL81" s="65" t="n"/>
      <c r="AM81" s="65" t="n"/>
      <c r="AN81" s="65" t="n"/>
      <c r="AO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5" t="n"/>
      <c r="AK82" s="65" t="n"/>
      <c r="AL82" s="65" t="n"/>
      <c r="AM82" s="65" t="n"/>
      <c r="AN82" s="65" t="n"/>
      <c r="AO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5" t="n"/>
      <c r="AK83" s="65" t="n"/>
      <c r="AL83" s="65" t="n"/>
      <c r="AM83" s="65" t="n"/>
      <c r="AN83" s="65" t="n"/>
      <c r="AO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5" t="n"/>
      <c r="AK84" s="65" t="n"/>
      <c r="AL84" s="65" t="n"/>
      <c r="AM84" s="65" t="n"/>
      <c r="AN84" s="65" t="n"/>
      <c r="AO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5" t="n"/>
      <c r="AK85" s="65" t="n"/>
      <c r="AL85" s="65" t="n"/>
      <c r="AM85" s="65" t="n"/>
      <c r="AN85" s="65" t="n"/>
      <c r="AO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5" t="n"/>
      <c r="AK86" s="65" t="n"/>
      <c r="AL86" s="65" t="n"/>
      <c r="AM86" s="65" t="n"/>
      <c r="AN86" s="65" t="n"/>
      <c r="AO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5" t="n"/>
      <c r="AK87" s="65" t="n"/>
      <c r="AL87" s="65" t="n"/>
      <c r="AM87" s="65" t="n"/>
      <c r="AN87" s="65" t="n"/>
      <c r="AO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5" t="n"/>
      <c r="AK88" s="65" t="n"/>
      <c r="AL88" s="65" t="n"/>
      <c r="AM88" s="65" t="n"/>
      <c r="AN88" s="65" t="n"/>
      <c r="AO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5" t="n"/>
      <c r="AK89" s="65" t="n"/>
      <c r="AL89" s="65" t="n"/>
      <c r="AM89" s="65" t="n"/>
      <c r="AN89" s="65" t="n"/>
      <c r="AO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5" t="n"/>
      <c r="AK90" s="65" t="n"/>
      <c r="AL90" s="65" t="n"/>
      <c r="AM90" s="65" t="n"/>
      <c r="AN90" s="65" t="n"/>
      <c r="AO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5" t="n"/>
      <c r="AK91" s="65" t="n"/>
      <c r="AL91" s="65" t="n"/>
      <c r="AM91" s="65" t="n"/>
      <c r="AN91" s="65" t="n"/>
      <c r="AO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5" t="n"/>
      <c r="AK92" s="65" t="n"/>
      <c r="AL92" s="65" t="n"/>
      <c r="AM92" s="65" t="n"/>
      <c r="AN92" s="65" t="n"/>
      <c r="AO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5" t="n"/>
      <c r="AK93" s="65" t="n"/>
      <c r="AL93" s="65" t="n"/>
      <c r="AM93" s="65" t="n"/>
      <c r="AN93" s="65" t="n"/>
      <c r="AO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5" t="n"/>
      <c r="AK94" s="65" t="n"/>
      <c r="AL94" s="65" t="n"/>
      <c r="AM94" s="65" t="n"/>
      <c r="AN94" s="65" t="n"/>
      <c r="AO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5" t="n"/>
      <c r="AK95" s="65" t="n"/>
      <c r="AL95" s="65" t="n"/>
      <c r="AM95" s="65" t="n"/>
      <c r="AN95" s="65" t="n"/>
      <c r="AO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5" t="n"/>
      <c r="AK96" s="65" t="n"/>
      <c r="AL96" s="65" t="n"/>
      <c r="AM96" s="65" t="n"/>
      <c r="AN96" s="65" t="n"/>
      <c r="AO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5" t="n"/>
      <c r="AK97" s="65" t="n"/>
      <c r="AL97" s="65" t="n"/>
      <c r="AM97" s="65" t="n"/>
      <c r="AN97" s="65" t="n"/>
      <c r="AO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5" t="n"/>
      <c r="AK98" s="65" t="n"/>
      <c r="AL98" s="65" t="n"/>
      <c r="AM98" s="65" t="n"/>
      <c r="AN98" s="65" t="n"/>
      <c r="AO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5" t="n"/>
      <c r="AK99" s="65" t="n"/>
      <c r="AL99" s="65" t="n"/>
      <c r="AM99" s="65" t="n"/>
      <c r="AN99" s="65" t="n"/>
      <c r="AO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5" t="n"/>
      <c r="AK100" s="65" t="n"/>
      <c r="AL100" s="65" t="n"/>
      <c r="AM100" s="65" t="n"/>
      <c r="AN100" s="65" t="n"/>
      <c r="AO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5" t="n"/>
      <c r="AK101" s="65" t="n"/>
      <c r="AL101" s="65" t="n"/>
      <c r="AM101" s="65" t="n"/>
      <c r="AN101" s="65" t="n"/>
      <c r="AO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5" t="n"/>
      <c r="AK102" s="65" t="n"/>
      <c r="AL102" s="65" t="n"/>
      <c r="AM102" s="65" t="n"/>
      <c r="AN102" s="65" t="n"/>
      <c r="AO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5" t="n"/>
      <c r="AK103" s="65" t="n"/>
      <c r="AL103" s="65" t="n"/>
      <c r="AM103" s="65" t="n"/>
      <c r="AN103" s="65" t="n"/>
      <c r="AO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5" t="n"/>
      <c r="AK104" s="65" t="n"/>
      <c r="AL104" s="65" t="n"/>
      <c r="AM104" s="65" t="n"/>
      <c r="AN104" s="65" t="n"/>
      <c r="AO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5" t="n"/>
      <c r="AK105" s="65" t="n"/>
      <c r="AL105" s="65" t="n"/>
      <c r="AM105" s="65" t="n"/>
      <c r="AN105" s="65" t="n"/>
      <c r="AO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5" t="n"/>
      <c r="AK106" s="65" t="n"/>
      <c r="AL106" s="65" t="n"/>
      <c r="AM106" s="65" t="n"/>
      <c r="AN106" s="65" t="n"/>
      <c r="AO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5" t="n"/>
      <c r="AK107" s="65" t="n"/>
      <c r="AL107" s="65" t="n"/>
      <c r="AM107" s="65" t="n"/>
      <c r="AN107" s="65" t="n"/>
      <c r="AO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5" t="n"/>
      <c r="AK108" s="65" t="n"/>
      <c r="AL108" s="65" t="n"/>
      <c r="AM108" s="65" t="n"/>
      <c r="AN108" s="65" t="n"/>
      <c r="AO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5" t="n"/>
      <c r="AK109" s="65" t="n"/>
      <c r="AL109" s="65" t="n"/>
      <c r="AM109" s="65" t="n"/>
      <c r="AN109" s="65" t="n"/>
      <c r="AO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5" t="n"/>
      <c r="AK110" s="65" t="n"/>
      <c r="AL110" s="65" t="n"/>
      <c r="AM110" s="65" t="n"/>
      <c r="AN110" s="65" t="n"/>
      <c r="AO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5" t="n"/>
      <c r="AK111" s="65" t="n"/>
      <c r="AL111" s="65" t="n"/>
      <c r="AM111" s="65" t="n"/>
      <c r="AN111" s="65" t="n"/>
      <c r="AO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5" t="n"/>
      <c r="AK112" s="65" t="n"/>
      <c r="AL112" s="65" t="n"/>
      <c r="AM112" s="65" t="n"/>
      <c r="AN112" s="65" t="n"/>
      <c r="AO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5" t="n"/>
      <c r="AK113" s="65" t="n"/>
      <c r="AL113" s="65" t="n"/>
      <c r="AM113" s="65" t="n"/>
      <c r="AN113" s="65" t="n"/>
      <c r="AO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5" t="n"/>
      <c r="AK114" s="65" t="n"/>
      <c r="AL114" s="65" t="n"/>
      <c r="AM114" s="65" t="n"/>
      <c r="AN114" s="65" t="n"/>
      <c r="AO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5" t="n"/>
      <c r="AK115" s="65" t="n"/>
      <c r="AL115" s="65" t="n"/>
      <c r="AM115" s="65" t="n"/>
      <c r="AN115" s="65" t="n"/>
      <c r="AO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5" t="n"/>
      <c r="AK116" s="65" t="n"/>
      <c r="AL116" s="65" t="n"/>
      <c r="AM116" s="65" t="n"/>
      <c r="AN116" s="65" t="n"/>
      <c r="AO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5" t="n"/>
      <c r="AK117" s="65" t="n"/>
      <c r="AL117" s="65" t="n"/>
      <c r="AM117" s="65" t="n"/>
      <c r="AN117" s="65" t="n"/>
      <c r="AO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5" t="n"/>
      <c r="AK118" s="65" t="n"/>
      <c r="AL118" s="65" t="n"/>
      <c r="AM118" s="65" t="n"/>
      <c r="AN118" s="65" t="n"/>
      <c r="AO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5" t="n"/>
      <c r="AK119" s="65" t="n"/>
      <c r="AL119" s="65" t="n"/>
      <c r="AM119" s="65" t="n"/>
      <c r="AN119" s="65" t="n"/>
      <c r="AO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5" t="n"/>
      <c r="AK120" s="65" t="n"/>
      <c r="AL120" s="65" t="n"/>
      <c r="AM120" s="65" t="n"/>
      <c r="AN120" s="65" t="n"/>
      <c r="AO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5" t="n"/>
      <c r="AK121" s="65" t="n"/>
      <c r="AL121" s="65" t="n"/>
      <c r="AM121" s="65" t="n"/>
      <c r="AN121" s="65" t="n"/>
      <c r="AO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5" t="n"/>
      <c r="AK122" s="65" t="n"/>
      <c r="AL122" s="65" t="n"/>
      <c r="AM122" s="65" t="n"/>
      <c r="AN122" s="65" t="n"/>
      <c r="AO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5" t="n"/>
      <c r="AK123" s="65" t="n"/>
      <c r="AL123" s="65" t="n"/>
      <c r="AM123" s="65" t="n"/>
      <c r="AN123" s="65" t="n"/>
      <c r="AO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5" t="n"/>
      <c r="AK124" s="65" t="n"/>
      <c r="AL124" s="65" t="n"/>
      <c r="AM124" s="65" t="n"/>
      <c r="AN124" s="65" t="n"/>
      <c r="AO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5" t="n"/>
      <c r="AK125" s="65" t="n"/>
      <c r="AL125" s="65" t="n"/>
      <c r="AM125" s="65" t="n"/>
      <c r="AN125" s="65" t="n"/>
      <c r="AO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5" t="n"/>
      <c r="AK126" s="65" t="n"/>
      <c r="AL126" s="65" t="n"/>
      <c r="AM126" s="65" t="n"/>
      <c r="AN126" s="65" t="n"/>
      <c r="AO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5" t="n"/>
      <c r="AK127" s="65" t="n"/>
      <c r="AL127" s="65" t="n"/>
      <c r="AM127" s="65" t="n"/>
      <c r="AN127" s="65" t="n"/>
      <c r="AO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5" t="n"/>
      <c r="AK128" s="65" t="n"/>
      <c r="AL128" s="65" t="n"/>
      <c r="AM128" s="65" t="n"/>
      <c r="AN128" s="65" t="n"/>
      <c r="AO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5" t="n"/>
      <c r="AK129" s="65" t="n"/>
      <c r="AL129" s="65" t="n"/>
      <c r="AM129" s="65" t="n"/>
      <c r="AN129" s="65" t="n"/>
      <c r="AO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5" t="n"/>
      <c r="AK130" s="65" t="n"/>
      <c r="AL130" s="65" t="n"/>
      <c r="AM130" s="65" t="n"/>
      <c r="AN130" s="65" t="n"/>
      <c r="AO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5" t="n"/>
      <c r="AK131" s="65" t="n"/>
      <c r="AL131" s="65" t="n"/>
      <c r="AM131" s="65" t="n"/>
      <c r="AN131" s="65" t="n"/>
      <c r="AO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5" t="n"/>
      <c r="AK132" s="65" t="n"/>
      <c r="AL132" s="65" t="n"/>
      <c r="AM132" s="65" t="n"/>
      <c r="AN132" s="65" t="n"/>
      <c r="AO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5" t="n"/>
      <c r="AK133" s="65" t="n"/>
      <c r="AL133" s="65" t="n"/>
      <c r="AM133" s="65" t="n"/>
      <c r="AN133" s="65" t="n"/>
      <c r="AO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5" t="n"/>
      <c r="AK134" s="65" t="n"/>
      <c r="AL134" s="65" t="n"/>
      <c r="AM134" s="65" t="n"/>
      <c r="AN134" s="65" t="n"/>
      <c r="AO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5" t="n"/>
      <c r="AK135" s="65" t="n"/>
      <c r="AL135" s="65" t="n"/>
      <c r="AM135" s="65" t="n"/>
      <c r="AN135" s="65" t="n"/>
      <c r="AO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5" t="n"/>
      <c r="AK136" s="65" t="n"/>
      <c r="AL136" s="65" t="n"/>
      <c r="AM136" s="65" t="n"/>
      <c r="AN136" s="65" t="n"/>
      <c r="AO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5" t="n"/>
      <c r="AK137" s="65" t="n"/>
      <c r="AL137" s="65" t="n"/>
      <c r="AM137" s="65" t="n"/>
      <c r="AN137" s="65" t="n"/>
      <c r="AO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5" t="n"/>
      <c r="AK138" s="65" t="n"/>
      <c r="AL138" s="65" t="n"/>
      <c r="AM138" s="65" t="n"/>
      <c r="AN138" s="65" t="n"/>
      <c r="AO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5" t="n"/>
      <c r="AK139" s="65" t="n"/>
      <c r="AL139" s="65" t="n"/>
      <c r="AM139" s="65" t="n"/>
      <c r="AN139" s="65" t="n"/>
      <c r="AO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5" t="n"/>
      <c r="AK140" s="65" t="n"/>
      <c r="AL140" s="65" t="n"/>
      <c r="AM140" s="65" t="n"/>
      <c r="AN140" s="65" t="n"/>
      <c r="AO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5" t="n"/>
      <c r="AK141" s="65" t="n"/>
      <c r="AL141" s="65" t="n"/>
      <c r="AM141" s="65" t="n"/>
      <c r="AN141" s="65" t="n"/>
      <c r="AO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5" t="n"/>
      <c r="AK142" s="65" t="n"/>
      <c r="AL142" s="65" t="n"/>
      <c r="AM142" s="65" t="n"/>
      <c r="AN142" s="65" t="n"/>
      <c r="AO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5" t="n"/>
      <c r="AK143" s="65" t="n"/>
      <c r="AL143" s="65" t="n"/>
      <c r="AM143" s="65" t="n"/>
      <c r="AN143" s="65" t="n"/>
      <c r="AO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5" t="n"/>
      <c r="AK144" s="65" t="n"/>
      <c r="AL144" s="65" t="n"/>
      <c r="AM144" s="65" t="n"/>
      <c r="AN144" s="65" t="n"/>
      <c r="AO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5" t="n"/>
      <c r="AK145" s="65" t="n"/>
      <c r="AL145" s="65" t="n"/>
      <c r="AM145" s="65" t="n"/>
      <c r="AN145" s="65" t="n"/>
      <c r="AO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5" t="n"/>
      <c r="AK146" s="65" t="n"/>
      <c r="AL146" s="65" t="n"/>
      <c r="AM146" s="65" t="n"/>
      <c r="AN146" s="65" t="n"/>
      <c r="AO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5" t="n"/>
      <c r="AK147" s="65" t="n"/>
      <c r="AL147" s="65" t="n"/>
      <c r="AM147" s="65" t="n"/>
      <c r="AN147" s="65" t="n"/>
      <c r="AO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5" t="n"/>
      <c r="AK148" s="65" t="n"/>
      <c r="AL148" s="65" t="n"/>
      <c r="AM148" s="65" t="n"/>
      <c r="AN148" s="65" t="n"/>
      <c r="AO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5" t="n"/>
      <c r="AK149" s="65" t="n"/>
      <c r="AL149" s="65" t="n"/>
      <c r="AM149" s="65" t="n"/>
      <c r="AN149" s="65" t="n"/>
      <c r="AO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5" t="n"/>
      <c r="AK150" s="65" t="n"/>
      <c r="AL150" s="65" t="n"/>
      <c r="AM150" s="65" t="n"/>
      <c r="AN150" s="65" t="n"/>
      <c r="AO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5" t="n"/>
      <c r="AK151" s="65" t="n"/>
      <c r="AL151" s="65" t="n"/>
      <c r="AM151" s="65" t="n"/>
      <c r="AN151" s="65" t="n"/>
      <c r="AO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5" t="n"/>
      <c r="AK152" s="65" t="n"/>
      <c r="AL152" s="65" t="n"/>
      <c r="AM152" s="65" t="n"/>
      <c r="AN152" s="65" t="n"/>
      <c r="AO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5" t="n"/>
      <c r="AK153" s="65" t="n"/>
      <c r="AL153" s="65" t="n"/>
      <c r="AM153" s="65" t="n"/>
      <c r="AN153" s="65" t="n"/>
      <c r="AO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5" t="n"/>
      <c r="AK154" s="65" t="n"/>
      <c r="AL154" s="65" t="n"/>
      <c r="AM154" s="65" t="n"/>
      <c r="AN154" s="65" t="n"/>
      <c r="AO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5" t="n"/>
      <c r="AK155" s="65" t="n"/>
      <c r="AL155" s="65" t="n"/>
      <c r="AM155" s="65" t="n"/>
      <c r="AN155" s="65" t="n"/>
      <c r="AO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5" t="n"/>
      <c r="AK156" s="65" t="n"/>
      <c r="AL156" s="65" t="n"/>
      <c r="AM156" s="65" t="n"/>
      <c r="AN156" s="65" t="n"/>
      <c r="AO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5" t="n"/>
      <c r="AK157" s="65" t="n"/>
      <c r="AL157" s="65" t="n"/>
      <c r="AM157" s="65" t="n"/>
      <c r="AN157" s="65" t="n"/>
      <c r="AO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5" t="n"/>
      <c r="AK158" s="65" t="n"/>
      <c r="AL158" s="65" t="n"/>
      <c r="AM158" s="65" t="n"/>
      <c r="AN158" s="65" t="n"/>
      <c r="AO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5" t="n"/>
      <c r="AK159" s="65" t="n"/>
      <c r="AL159" s="65" t="n"/>
      <c r="AM159" s="65" t="n"/>
      <c r="AN159" s="65" t="n"/>
      <c r="AO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5" t="n"/>
      <c r="AK160" s="65" t="n"/>
      <c r="AL160" s="65" t="n"/>
      <c r="AM160" s="65" t="n"/>
      <c r="AN160" s="65" t="n"/>
      <c r="AO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5" t="n"/>
      <c r="AK161" s="65" t="n"/>
      <c r="AL161" s="65" t="n"/>
      <c r="AM161" s="65" t="n"/>
      <c r="AN161" s="65" t="n"/>
      <c r="AO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5" t="n"/>
      <c r="AK162" s="65" t="n"/>
      <c r="AL162" s="65" t="n"/>
      <c r="AM162" s="65" t="n"/>
      <c r="AN162" s="65" t="n"/>
      <c r="AO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5" t="n"/>
      <c r="AK163" s="65" t="n"/>
      <c r="AL163" s="65" t="n"/>
      <c r="AM163" s="65" t="n"/>
      <c r="AN163" s="65" t="n"/>
      <c r="AO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5" t="n"/>
      <c r="AK164" s="65" t="n"/>
      <c r="AL164" s="65" t="n"/>
      <c r="AM164" s="65" t="n"/>
      <c r="AN164" s="65" t="n"/>
      <c r="AO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5" t="n"/>
      <c r="AK165" s="65" t="n"/>
      <c r="AL165" s="65" t="n"/>
      <c r="AM165" s="65" t="n"/>
      <c r="AN165" s="65" t="n"/>
      <c r="AO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5" t="n"/>
      <c r="AK166" s="65" t="n"/>
      <c r="AL166" s="65" t="n"/>
      <c r="AM166" s="65" t="n"/>
      <c r="AN166" s="65" t="n"/>
      <c r="AO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5" t="n"/>
      <c r="AK167" s="65" t="n"/>
      <c r="AL167" s="65" t="n"/>
      <c r="AM167" s="65" t="n"/>
      <c r="AN167" s="65" t="n"/>
      <c r="AO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5" t="n"/>
      <c r="AK168" s="65" t="n"/>
      <c r="AL168" s="65" t="n"/>
      <c r="AM168" s="65" t="n"/>
      <c r="AN168" s="65" t="n"/>
      <c r="AO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5" t="n"/>
      <c r="AK169" s="65" t="n"/>
      <c r="AL169" s="65" t="n"/>
      <c r="AM169" s="65" t="n"/>
      <c r="AN169" s="65" t="n"/>
      <c r="AO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5" t="n"/>
      <c r="AK170" s="65" t="n"/>
      <c r="AL170" s="65" t="n"/>
      <c r="AM170" s="65" t="n"/>
      <c r="AN170" s="65" t="n"/>
      <c r="AO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5" t="n"/>
      <c r="AK171" s="65" t="n"/>
      <c r="AL171" s="65" t="n"/>
      <c r="AM171" s="65" t="n"/>
      <c r="AN171" s="65" t="n"/>
      <c r="AO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5" t="n"/>
      <c r="AK172" s="65" t="n"/>
      <c r="AL172" s="65" t="n"/>
      <c r="AM172" s="65" t="n"/>
      <c r="AN172" s="65" t="n"/>
      <c r="AO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5" t="n"/>
      <c r="AK173" s="65" t="n"/>
      <c r="AL173" s="65" t="n"/>
      <c r="AM173" s="65" t="n"/>
      <c r="AN173" s="65" t="n"/>
      <c r="AO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5" t="n"/>
      <c r="AK174" s="65" t="n"/>
      <c r="AL174" s="65" t="n"/>
      <c r="AM174" s="65" t="n"/>
      <c r="AN174" s="65" t="n"/>
      <c r="AO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5" t="n"/>
      <c r="AK175" s="65" t="n"/>
      <c r="AL175" s="65" t="n"/>
      <c r="AM175" s="65" t="n"/>
      <c r="AN175" s="65" t="n"/>
      <c r="AO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5" t="n"/>
      <c r="AK176" s="65" t="n"/>
      <c r="AL176" s="65" t="n"/>
      <c r="AM176" s="65" t="n"/>
      <c r="AN176" s="65" t="n"/>
      <c r="AO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5" t="n"/>
      <c r="AK177" s="65" t="n"/>
      <c r="AL177" s="65" t="n"/>
      <c r="AM177" s="65" t="n"/>
      <c r="AN177" s="65" t="n"/>
      <c r="AO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5" t="n"/>
      <c r="AK178" s="65" t="n"/>
      <c r="AL178" s="65" t="n"/>
      <c r="AM178" s="65" t="n"/>
      <c r="AN178" s="65" t="n"/>
      <c r="AO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5" t="n"/>
      <c r="AK179" s="65" t="n"/>
      <c r="AL179" s="65" t="n"/>
      <c r="AM179" s="65" t="n"/>
      <c r="AN179" s="65" t="n"/>
      <c r="AO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5" t="n"/>
      <c r="AK180" s="65" t="n"/>
      <c r="AL180" s="65" t="n"/>
      <c r="AM180" s="65" t="n"/>
      <c r="AN180" s="65" t="n"/>
      <c r="AO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5" t="n"/>
      <c r="AK181" s="65" t="n"/>
      <c r="AL181" s="65" t="n"/>
      <c r="AM181" s="65" t="n"/>
      <c r="AN181" s="65" t="n"/>
      <c r="AO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5" t="n"/>
      <c r="AK182" s="65" t="n"/>
      <c r="AL182" s="65" t="n"/>
      <c r="AM182" s="65" t="n"/>
      <c r="AN182" s="65" t="n"/>
      <c r="AO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5" t="n"/>
      <c r="AK183" s="65" t="n"/>
      <c r="AL183" s="65" t="n"/>
      <c r="AM183" s="65" t="n"/>
      <c r="AN183" s="65" t="n"/>
      <c r="AO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5" t="n"/>
      <c r="AK184" s="65" t="n"/>
      <c r="AL184" s="65" t="n"/>
      <c r="AM184" s="65" t="n"/>
      <c r="AN184" s="65" t="n"/>
      <c r="AO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5" t="n"/>
      <c r="AK185" s="65" t="n"/>
      <c r="AL185" s="65" t="n"/>
      <c r="AM185" s="65" t="n"/>
      <c r="AN185" s="65" t="n"/>
      <c r="AO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5" t="n"/>
      <c r="AK186" s="65" t="n"/>
      <c r="AL186" s="65" t="n"/>
      <c r="AM186" s="65" t="n"/>
      <c r="AN186" s="65" t="n"/>
      <c r="AO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5" t="n"/>
      <c r="AK187" s="65" t="n"/>
      <c r="AL187" s="65" t="n"/>
      <c r="AM187" s="65" t="n"/>
      <c r="AN187" s="65" t="n"/>
      <c r="AO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5" t="n"/>
      <c r="AK188" s="65" t="n"/>
      <c r="AL188" s="65" t="n"/>
      <c r="AM188" s="65" t="n"/>
      <c r="AN188" s="65" t="n"/>
      <c r="AO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5" t="n"/>
      <c r="AK189" s="65" t="n"/>
      <c r="AL189" s="65" t="n"/>
      <c r="AM189" s="65" t="n"/>
      <c r="AN189" s="65" t="n"/>
      <c r="AO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5" t="n"/>
      <c r="AK190" s="65" t="n"/>
      <c r="AL190" s="65" t="n"/>
      <c r="AM190" s="65" t="n"/>
      <c r="AN190" s="65" t="n"/>
      <c r="AO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5" t="n"/>
      <c r="AK191" s="65" t="n"/>
      <c r="AL191" s="65" t="n"/>
      <c r="AM191" s="65" t="n"/>
      <c r="AN191" s="65" t="n"/>
      <c r="AO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5" t="n"/>
      <c r="AK192" s="65" t="n"/>
      <c r="AL192" s="65" t="n"/>
      <c r="AM192" s="65" t="n"/>
      <c r="AN192" s="65" t="n"/>
      <c r="AO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5" t="n"/>
      <c r="AK193" s="65" t="n"/>
      <c r="AL193" s="65" t="n"/>
      <c r="AM193" s="65" t="n"/>
      <c r="AN193" s="65" t="n"/>
      <c r="AO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5" t="n"/>
      <c r="AK194" s="65" t="n"/>
      <c r="AL194" s="65" t="n"/>
      <c r="AM194" s="65" t="n"/>
      <c r="AN194" s="65" t="n"/>
      <c r="AO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5" t="n"/>
      <c r="AK195" s="65" t="n"/>
      <c r="AL195" s="65" t="n"/>
      <c r="AM195" s="65" t="n"/>
      <c r="AN195" s="65" t="n"/>
      <c r="AO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5" t="n"/>
      <c r="AK196" s="65" t="n"/>
      <c r="AL196" s="65" t="n"/>
      <c r="AM196" s="65" t="n"/>
      <c r="AN196" s="65" t="n"/>
      <c r="AO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5" t="n"/>
      <c r="AK197" s="65" t="n"/>
      <c r="AL197" s="65" t="n"/>
      <c r="AM197" s="65" t="n"/>
      <c r="AN197" s="65" t="n"/>
      <c r="AO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5" t="n"/>
      <c r="AK198" s="65" t="n"/>
      <c r="AL198" s="65" t="n"/>
      <c r="AM198" s="65" t="n"/>
      <c r="AN198" s="65" t="n"/>
      <c r="AO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5" t="n"/>
      <c r="AK199" s="65" t="n"/>
      <c r="AL199" s="65" t="n"/>
      <c r="AM199" s="65" t="n"/>
      <c r="AN199" s="65" t="n"/>
      <c r="AO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5" t="n"/>
      <c r="AK200" s="65" t="n"/>
      <c r="AL200" s="65" t="n"/>
      <c r="AM200" s="65" t="n"/>
      <c r="AN200" s="65" t="n"/>
      <c r="AO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5" t="n"/>
      <c r="AK201" s="65" t="n"/>
      <c r="AL201" s="65" t="n"/>
      <c r="AM201" s="65" t="n"/>
      <c r="AN201" s="65" t="n"/>
      <c r="AO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5" t="n"/>
      <c r="AK202" s="65" t="n"/>
      <c r="AL202" s="65" t="n"/>
      <c r="AM202" s="65" t="n"/>
      <c r="AN202" s="65" t="n"/>
      <c r="AO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5" t="n"/>
      <c r="AK203" s="65" t="n"/>
      <c r="AL203" s="65" t="n"/>
      <c r="AM203" s="65" t="n"/>
      <c r="AN203" s="65" t="n"/>
      <c r="AO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5" t="n"/>
      <c r="AK204" s="65" t="n"/>
      <c r="AL204" s="65" t="n"/>
      <c r="AM204" s="65" t="n"/>
      <c r="AN204" s="65" t="n"/>
      <c r="AO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5" t="n"/>
      <c r="AK205" s="65" t="n"/>
      <c r="AL205" s="65" t="n"/>
      <c r="AM205" s="65" t="n"/>
      <c r="AN205" s="65" t="n"/>
      <c r="AO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5" t="n"/>
      <c r="AK206" s="65" t="n"/>
      <c r="AL206" s="65" t="n"/>
      <c r="AM206" s="65" t="n"/>
      <c r="AN206" s="65" t="n"/>
      <c r="AO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5" t="n"/>
      <c r="AK207" s="65" t="n"/>
      <c r="AL207" s="65" t="n"/>
      <c r="AM207" s="65" t="n"/>
      <c r="AN207" s="65" t="n"/>
      <c r="AO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5" t="n"/>
      <c r="AK208" s="65" t="n"/>
      <c r="AL208" s="65" t="n"/>
      <c r="AM208" s="65" t="n"/>
      <c r="AN208" s="65" t="n"/>
      <c r="AO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5" t="n"/>
      <c r="AK209" s="65" t="n"/>
      <c r="AL209" s="65" t="n"/>
      <c r="AM209" s="65" t="n"/>
      <c r="AN209" s="65" t="n"/>
      <c r="AO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5" t="n"/>
      <c r="AK210" s="65" t="n"/>
      <c r="AL210" s="65" t="n"/>
      <c r="AM210" s="65" t="n"/>
      <c r="AN210" s="65" t="n"/>
      <c r="AO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5" t="n"/>
      <c r="AK211" s="65" t="n"/>
      <c r="AL211" s="65" t="n"/>
      <c r="AM211" s="65" t="n"/>
      <c r="AN211" s="65" t="n"/>
      <c r="AO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5" t="n"/>
      <c r="AK212" s="65" t="n"/>
      <c r="AL212" s="65" t="n"/>
      <c r="AM212" s="65" t="n"/>
      <c r="AN212" s="65" t="n"/>
      <c r="AO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5" t="n"/>
      <c r="AK213" s="65" t="n"/>
      <c r="AL213" s="65" t="n"/>
      <c r="AM213" s="65" t="n"/>
      <c r="AN213" s="65" t="n"/>
      <c r="AO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5" t="n"/>
      <c r="AK214" s="65" t="n"/>
      <c r="AL214" s="65" t="n"/>
      <c r="AM214" s="65" t="n"/>
      <c r="AN214" s="65" t="n"/>
      <c r="AO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5" t="n"/>
      <c r="AK215" s="65" t="n"/>
      <c r="AL215" s="65" t="n"/>
      <c r="AM215" s="65" t="n"/>
      <c r="AN215" s="65" t="n"/>
      <c r="AO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5" t="n"/>
      <c r="AK216" s="65" t="n"/>
      <c r="AL216" s="65" t="n"/>
      <c r="AM216" s="65" t="n"/>
      <c r="AN216" s="65" t="n"/>
      <c r="AO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5" t="n"/>
      <c r="AK217" s="65" t="n"/>
      <c r="AL217" s="65" t="n"/>
      <c r="AM217" s="65" t="n"/>
      <c r="AN217" s="65" t="n"/>
      <c r="AO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5" t="n"/>
      <c r="AK218" s="65" t="n"/>
      <c r="AL218" s="65" t="n"/>
      <c r="AM218" s="65" t="n"/>
      <c r="AN218" s="65" t="n"/>
      <c r="AO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5" t="n"/>
      <c r="AK219" s="65" t="n"/>
      <c r="AL219" s="65" t="n"/>
      <c r="AM219" s="65" t="n"/>
      <c r="AN219" s="65" t="n"/>
      <c r="AO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5" t="n"/>
      <c r="AK220" s="65" t="n"/>
      <c r="AL220" s="65" t="n"/>
      <c r="AM220" s="65" t="n"/>
      <c r="AN220" s="65" t="n"/>
      <c r="AO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5" t="n"/>
      <c r="AK221" s="65" t="n"/>
      <c r="AL221" s="65" t="n"/>
      <c r="AM221" s="65" t="n"/>
      <c r="AN221" s="65" t="n"/>
      <c r="AO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5" t="n"/>
      <c r="AK222" s="65" t="n"/>
      <c r="AL222" s="65" t="n"/>
      <c r="AM222" s="65" t="n"/>
      <c r="AN222" s="65" t="n"/>
      <c r="AO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5" t="n"/>
      <c r="AK223" s="65" t="n"/>
      <c r="AL223" s="65" t="n"/>
      <c r="AM223" s="65" t="n"/>
      <c r="AN223" s="65" t="n"/>
      <c r="AO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5" t="n"/>
      <c r="AK224" s="65" t="n"/>
      <c r="AL224" s="65" t="n"/>
      <c r="AM224" s="65" t="n"/>
      <c r="AN224" s="65" t="n"/>
      <c r="AO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5" t="n"/>
      <c r="AK225" s="65" t="n"/>
      <c r="AL225" s="65" t="n"/>
      <c r="AM225" s="65" t="n"/>
      <c r="AN225" s="65" t="n"/>
      <c r="AO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5" t="n"/>
      <c r="AK226" s="65" t="n"/>
      <c r="AL226" s="65" t="n"/>
      <c r="AM226" s="65" t="n"/>
      <c r="AN226" s="65" t="n"/>
      <c r="AO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5" t="n"/>
      <c r="AK227" s="65" t="n"/>
      <c r="AL227" s="65" t="n"/>
      <c r="AM227" s="65" t="n"/>
      <c r="AN227" s="65" t="n"/>
      <c r="AO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5" t="n"/>
      <c r="AK228" s="65" t="n"/>
      <c r="AL228" s="65" t="n"/>
      <c r="AM228" s="65" t="n"/>
      <c r="AN228" s="65" t="n"/>
      <c r="AO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5" t="n"/>
      <c r="AK229" s="65" t="n"/>
      <c r="AL229" s="65" t="n"/>
      <c r="AM229" s="65" t="n"/>
      <c r="AN229" s="65" t="n"/>
      <c r="AO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5" t="n"/>
      <c r="AK230" s="65" t="n"/>
      <c r="AL230" s="65" t="n"/>
      <c r="AM230" s="65" t="n"/>
      <c r="AN230" s="65" t="n"/>
      <c r="AO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5" t="n"/>
      <c r="AK231" s="65" t="n"/>
      <c r="AL231" s="65" t="n"/>
      <c r="AM231" s="65" t="n"/>
      <c r="AN231" s="65" t="n"/>
      <c r="AO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5" t="n"/>
      <c r="AK232" s="65" t="n"/>
      <c r="AL232" s="65" t="n"/>
      <c r="AM232" s="65" t="n"/>
      <c r="AN232" s="65" t="n"/>
      <c r="AO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5" t="n"/>
      <c r="AK233" s="65" t="n"/>
      <c r="AL233" s="65" t="n"/>
      <c r="AM233" s="65" t="n"/>
      <c r="AN233" s="65" t="n"/>
      <c r="AO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5" t="n"/>
      <c r="AK234" s="65" t="n"/>
      <c r="AL234" s="65" t="n"/>
      <c r="AM234" s="65" t="n"/>
      <c r="AN234" s="65" t="n"/>
      <c r="AO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5" t="n"/>
      <c r="AK235" s="65" t="n"/>
      <c r="AL235" s="65" t="n"/>
      <c r="AM235" s="65" t="n"/>
      <c r="AN235" s="65" t="n"/>
      <c r="AO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5" t="n"/>
      <c r="AK236" s="65" t="n"/>
      <c r="AL236" s="65" t="n"/>
      <c r="AM236" s="65" t="n"/>
      <c r="AN236" s="65" t="n"/>
      <c r="AO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5" t="n"/>
      <c r="AK237" s="65" t="n"/>
      <c r="AL237" s="65" t="n"/>
      <c r="AM237" s="65" t="n"/>
      <c r="AN237" s="65" t="n"/>
      <c r="AO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5" t="n"/>
      <c r="AK238" s="65" t="n"/>
      <c r="AL238" s="65" t="n"/>
      <c r="AM238" s="65" t="n"/>
      <c r="AN238" s="65" t="n"/>
      <c r="AO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5" t="n"/>
      <c r="AK239" s="65" t="n"/>
      <c r="AL239" s="65" t="n"/>
      <c r="AM239" s="65" t="n"/>
      <c r="AN239" s="65" t="n"/>
      <c r="AO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5" t="n"/>
      <c r="AK240" s="65" t="n"/>
      <c r="AL240" s="65" t="n"/>
      <c r="AM240" s="65" t="n"/>
      <c r="AN240" s="65" t="n"/>
      <c r="AO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5" t="n"/>
      <c r="AK241" s="65" t="n"/>
      <c r="AL241" s="65" t="n"/>
      <c r="AM241" s="65" t="n"/>
      <c r="AN241" s="65" t="n"/>
      <c r="AO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5" t="n"/>
      <c r="AK242" s="65" t="n"/>
      <c r="AL242" s="65" t="n"/>
      <c r="AM242" s="65" t="n"/>
      <c r="AN242" s="65" t="n"/>
      <c r="AO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5" t="n"/>
      <c r="AK243" s="65" t="n"/>
      <c r="AL243" s="65" t="n"/>
      <c r="AM243" s="65" t="n"/>
      <c r="AN243" s="65" t="n"/>
      <c r="AO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5" t="n"/>
      <c r="AK244" s="65" t="n"/>
      <c r="AL244" s="65" t="n"/>
      <c r="AM244" s="65" t="n"/>
      <c r="AN244" s="65" t="n"/>
      <c r="AO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5" t="n"/>
      <c r="AK245" s="65" t="n"/>
      <c r="AL245" s="65" t="n"/>
      <c r="AM245" s="65" t="n"/>
      <c r="AN245" s="65" t="n"/>
      <c r="AO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5" t="n"/>
      <c r="AK246" s="65" t="n"/>
      <c r="AL246" s="65" t="n"/>
      <c r="AM246" s="65" t="n"/>
      <c r="AN246" s="65" t="n"/>
      <c r="AO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5" t="n"/>
      <c r="AK247" s="65" t="n"/>
      <c r="AL247" s="65" t="n"/>
      <c r="AM247" s="65" t="n"/>
      <c r="AN247" s="65" t="n"/>
      <c r="AO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5" t="n"/>
      <c r="AK248" s="65" t="n"/>
      <c r="AL248" s="65" t="n"/>
      <c r="AM248" s="65" t="n"/>
      <c r="AN248" s="65" t="n"/>
      <c r="AO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5" t="n"/>
      <c r="AK249" s="65" t="n"/>
      <c r="AL249" s="65" t="n"/>
      <c r="AM249" s="65" t="n"/>
      <c r="AN249" s="65" t="n"/>
      <c r="AO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5" t="n"/>
      <c r="AK250" s="65" t="n"/>
      <c r="AL250" s="65" t="n"/>
      <c r="AM250" s="65" t="n"/>
      <c r="AN250" s="65" t="n"/>
      <c r="AO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5" t="n"/>
      <c r="AK251" s="65" t="n"/>
      <c r="AL251" s="65" t="n"/>
      <c r="AM251" s="65" t="n"/>
      <c r="AN251" s="65" t="n"/>
      <c r="AO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5" t="n"/>
      <c r="AK252" s="65" t="n"/>
      <c r="AL252" s="65" t="n"/>
      <c r="AM252" s="65" t="n"/>
      <c r="AN252" s="65" t="n"/>
      <c r="AO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5" t="n"/>
      <c r="AK253" s="65" t="n"/>
      <c r="AL253" s="65" t="n"/>
      <c r="AM253" s="65" t="n"/>
      <c r="AN253" s="65" t="n"/>
      <c r="AO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5" t="n"/>
      <c r="AK254" s="65" t="n"/>
      <c r="AL254" s="65" t="n"/>
      <c r="AM254" s="65" t="n"/>
      <c r="AN254" s="65" t="n"/>
      <c r="AO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5" t="n"/>
      <c r="AK255" s="65" t="n"/>
      <c r="AL255" s="65" t="n"/>
      <c r="AM255" s="65" t="n"/>
      <c r="AN255" s="65" t="n"/>
      <c r="AO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5" t="n"/>
      <c r="AK256" s="65" t="n"/>
      <c r="AL256" s="65" t="n"/>
      <c r="AM256" s="65" t="n"/>
      <c r="AN256" s="65" t="n"/>
      <c r="AO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5" t="n"/>
      <c r="AK257" s="65" t="n"/>
      <c r="AL257" s="65" t="n"/>
      <c r="AM257" s="65" t="n"/>
      <c r="AN257" s="65" t="n"/>
      <c r="AO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5" t="n"/>
      <c r="AK258" s="65" t="n"/>
      <c r="AL258" s="65" t="n"/>
      <c r="AM258" s="65" t="n"/>
      <c r="AN258" s="65" t="n"/>
      <c r="AO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5" t="n"/>
      <c r="AK259" s="65" t="n"/>
      <c r="AL259" s="65" t="n"/>
      <c r="AM259" s="65" t="n"/>
      <c r="AN259" s="65" t="n"/>
      <c r="AO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5" t="n"/>
      <c r="AK260" s="65" t="n"/>
      <c r="AL260" s="65" t="n"/>
      <c r="AM260" s="65" t="n"/>
      <c r="AN260" s="65" t="n"/>
      <c r="AO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5" t="n"/>
      <c r="AK261" s="65" t="n"/>
      <c r="AL261" s="65" t="n"/>
      <c r="AM261" s="65" t="n"/>
      <c r="AN261" s="65" t="n"/>
      <c r="AO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5" t="n"/>
      <c r="AK262" s="65" t="n"/>
      <c r="AL262" s="65" t="n"/>
      <c r="AM262" s="65" t="n"/>
      <c r="AN262" s="65" t="n"/>
      <c r="AO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5" t="n"/>
      <c r="AK263" s="65" t="n"/>
      <c r="AL263" s="65" t="n"/>
      <c r="AM263" s="65" t="n"/>
      <c r="AN263" s="65" t="n"/>
      <c r="AO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5" t="n"/>
      <c r="AK264" s="65" t="n"/>
      <c r="AL264" s="65" t="n"/>
      <c r="AM264" s="65" t="n"/>
      <c r="AN264" s="65" t="n"/>
      <c r="AO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5" t="n"/>
      <c r="AK265" s="65" t="n"/>
      <c r="AL265" s="65" t="n"/>
      <c r="AM265" s="65" t="n"/>
      <c r="AN265" s="65" t="n"/>
      <c r="AO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5" t="n"/>
      <c r="AK266" s="65" t="n"/>
      <c r="AL266" s="65" t="n"/>
      <c r="AM266" s="65" t="n"/>
      <c r="AN266" s="65" t="n"/>
      <c r="AO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5" t="n"/>
      <c r="AK267" s="65" t="n"/>
      <c r="AL267" s="65" t="n"/>
      <c r="AM267" s="65" t="n"/>
      <c r="AN267" s="65" t="n"/>
      <c r="AO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5" t="n"/>
      <c r="AK268" s="65" t="n"/>
      <c r="AL268" s="65" t="n"/>
      <c r="AM268" s="65" t="n"/>
      <c r="AN268" s="65" t="n"/>
      <c r="AO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5" t="n"/>
      <c r="AK269" s="65" t="n"/>
      <c r="AL269" s="65" t="n"/>
      <c r="AM269" s="65" t="n"/>
      <c r="AN269" s="65" t="n"/>
      <c r="AO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5" t="n"/>
      <c r="AK270" s="65" t="n"/>
      <c r="AL270" s="65" t="n"/>
      <c r="AM270" s="65" t="n"/>
      <c r="AN270" s="65" t="n"/>
      <c r="AO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5" t="n"/>
      <c r="AK271" s="65" t="n"/>
      <c r="AL271" s="65" t="n"/>
      <c r="AM271" s="65" t="n"/>
      <c r="AN271" s="65" t="n"/>
      <c r="AO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5" t="n"/>
      <c r="AK272" s="65" t="n"/>
      <c r="AL272" s="65" t="n"/>
      <c r="AM272" s="65" t="n"/>
      <c r="AN272" s="65" t="n"/>
      <c r="AO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5" t="n"/>
      <c r="AK273" s="65" t="n"/>
      <c r="AL273" s="65" t="n"/>
      <c r="AM273" s="65" t="n"/>
      <c r="AN273" s="65" t="n"/>
      <c r="AO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5" t="n"/>
      <c r="AK274" s="65" t="n"/>
      <c r="AL274" s="65" t="n"/>
      <c r="AM274" s="65" t="n"/>
      <c r="AN274" s="65" t="n"/>
      <c r="AO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5" t="n"/>
      <c r="AK275" s="65" t="n"/>
      <c r="AL275" s="65" t="n"/>
      <c r="AM275" s="65" t="n"/>
      <c r="AN275" s="65" t="n"/>
      <c r="AO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5" t="n"/>
      <c r="AK276" s="65" t="n"/>
      <c r="AL276" s="65" t="n"/>
      <c r="AM276" s="65" t="n"/>
      <c r="AN276" s="65" t="n"/>
      <c r="AO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5" t="n"/>
      <c r="AK277" s="65" t="n"/>
      <c r="AL277" s="65" t="n"/>
      <c r="AM277" s="65" t="n"/>
      <c r="AN277" s="65" t="n"/>
      <c r="AO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5" t="n"/>
      <c r="AK278" s="65" t="n"/>
      <c r="AL278" s="65" t="n"/>
      <c r="AM278" s="65" t="n"/>
      <c r="AN278" s="65" t="n"/>
      <c r="AO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5" t="n"/>
      <c r="AK279" s="65" t="n"/>
      <c r="AL279" s="65" t="n"/>
      <c r="AM279" s="65" t="n"/>
      <c r="AN279" s="65" t="n"/>
      <c r="AO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5" t="n"/>
      <c r="AK280" s="65" t="n"/>
      <c r="AL280" s="65" t="n"/>
      <c r="AM280" s="65" t="n"/>
      <c r="AN280" s="65" t="n"/>
      <c r="AO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5" t="n"/>
      <c r="AK281" s="65" t="n"/>
      <c r="AL281" s="65" t="n"/>
      <c r="AM281" s="65" t="n"/>
      <c r="AN281" s="65" t="n"/>
      <c r="AO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5" t="n"/>
      <c r="AK282" s="65" t="n"/>
      <c r="AL282" s="65" t="n"/>
      <c r="AM282" s="65" t="n"/>
      <c r="AN282" s="65" t="n"/>
      <c r="AO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5" t="n"/>
      <c r="AK283" s="65" t="n"/>
      <c r="AL283" s="65" t="n"/>
      <c r="AM283" s="65" t="n"/>
      <c r="AN283" s="65" t="n"/>
      <c r="AO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5" t="n"/>
      <c r="AK284" s="65" t="n"/>
      <c r="AL284" s="65" t="n"/>
      <c r="AM284" s="65" t="n"/>
      <c r="AN284" s="65" t="n"/>
      <c r="AO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5" t="n"/>
      <c r="AK285" s="65" t="n"/>
      <c r="AL285" s="65" t="n"/>
      <c r="AM285" s="65" t="n"/>
      <c r="AN285" s="65" t="n"/>
      <c r="AO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5" t="n"/>
      <c r="AK286" s="65" t="n"/>
      <c r="AL286" s="65" t="n"/>
      <c r="AM286" s="65" t="n"/>
      <c r="AN286" s="65" t="n"/>
      <c r="AO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5" t="n"/>
      <c r="AK287" s="65" t="n"/>
      <c r="AL287" s="65" t="n"/>
      <c r="AM287" s="65" t="n"/>
      <c r="AN287" s="65" t="n"/>
      <c r="AO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5" t="n"/>
      <c r="AK288" s="65" t="n"/>
      <c r="AL288" s="65" t="n"/>
      <c r="AM288" s="65" t="n"/>
      <c r="AN288" s="65" t="n"/>
      <c r="AO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5" t="n"/>
      <c r="AK289" s="65" t="n"/>
      <c r="AL289" s="65" t="n"/>
      <c r="AM289" s="65" t="n"/>
      <c r="AN289" s="65" t="n"/>
      <c r="AO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5" t="n"/>
      <c r="AK290" s="65" t="n"/>
      <c r="AL290" s="65" t="n"/>
      <c r="AM290" s="65" t="n"/>
      <c r="AN290" s="65" t="n"/>
      <c r="AO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5" t="n"/>
      <c r="AK291" s="65" t="n"/>
      <c r="AL291" s="65" t="n"/>
      <c r="AM291" s="65" t="n"/>
      <c r="AN291" s="65" t="n"/>
      <c r="AO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5" t="n"/>
      <c r="AK292" s="65" t="n"/>
      <c r="AL292" s="65" t="n"/>
      <c r="AM292" s="65" t="n"/>
      <c r="AN292" s="65" t="n"/>
      <c r="AO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5" t="n"/>
      <c r="AK293" s="65" t="n"/>
      <c r="AL293" s="65" t="n"/>
      <c r="AM293" s="65" t="n"/>
      <c r="AN293" s="65" t="n"/>
      <c r="AO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5" t="n"/>
      <c r="AK294" s="65" t="n"/>
      <c r="AL294" s="65" t="n"/>
      <c r="AM294" s="65" t="n"/>
      <c r="AN294" s="65" t="n"/>
      <c r="AO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5" t="n"/>
      <c r="AK295" s="65" t="n"/>
      <c r="AL295" s="65" t="n"/>
      <c r="AM295" s="65" t="n"/>
      <c r="AN295" s="65" t="n"/>
      <c r="AO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5" t="n"/>
      <c r="AK296" s="65" t="n"/>
      <c r="AL296" s="65" t="n"/>
      <c r="AM296" s="65" t="n"/>
      <c r="AN296" s="65" t="n"/>
      <c r="AO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5" t="n"/>
      <c r="AK297" s="65" t="n"/>
      <c r="AL297" s="65" t="n"/>
      <c r="AM297" s="65" t="n"/>
      <c r="AN297" s="65" t="n"/>
      <c r="AO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5" t="n"/>
      <c r="AK298" s="65" t="n"/>
      <c r="AL298" s="65" t="n"/>
      <c r="AM298" s="65" t="n"/>
      <c r="AN298" s="65" t="n"/>
      <c r="AO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5" t="n"/>
      <c r="AK299" s="65" t="n"/>
      <c r="AL299" s="65" t="n"/>
      <c r="AM299" s="65" t="n"/>
      <c r="AN299" s="65" t="n"/>
      <c r="AO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5" t="n"/>
      <c r="AK300" s="65" t="n"/>
      <c r="AL300" s="65" t="n"/>
      <c r="AM300" s="65" t="n"/>
      <c r="AN300" s="65" t="n"/>
      <c r="AO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5" t="n"/>
      <c r="AK301" s="65" t="n"/>
      <c r="AL301" s="65" t="n"/>
      <c r="AM301" s="65" t="n"/>
      <c r="AN301" s="65" t="n"/>
      <c r="AO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5" t="n"/>
      <c r="AK302" s="65" t="n"/>
      <c r="AL302" s="65" t="n"/>
      <c r="AM302" s="65" t="n"/>
      <c r="AN302" s="65" t="n"/>
      <c r="AO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5" t="n"/>
      <c r="AK303" s="65" t="n"/>
      <c r="AL303" s="65" t="n"/>
      <c r="AM303" s="65" t="n"/>
      <c r="AN303" s="65" t="n"/>
      <c r="AO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5" t="n"/>
      <c r="AK304" s="65" t="n"/>
      <c r="AL304" s="65" t="n"/>
      <c r="AM304" s="65" t="n"/>
      <c r="AN304" s="65" t="n"/>
      <c r="AO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5" t="n"/>
      <c r="AK305" s="65" t="n"/>
      <c r="AL305" s="65" t="n"/>
      <c r="AM305" s="65" t="n"/>
      <c r="AN305" s="65" t="n"/>
      <c r="AO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5" t="n"/>
      <c r="AK306" s="65" t="n"/>
      <c r="AL306" s="65" t="n"/>
      <c r="AM306" s="65" t="n"/>
      <c r="AN306" s="65" t="n"/>
      <c r="AO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5" t="n"/>
      <c r="AK307" s="65" t="n"/>
      <c r="AL307" s="65" t="n"/>
      <c r="AM307" s="65" t="n"/>
      <c r="AN307" s="65" t="n"/>
      <c r="AO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5" t="n"/>
      <c r="AK308" s="65" t="n"/>
      <c r="AL308" s="65" t="n"/>
      <c r="AM308" s="65" t="n"/>
      <c r="AN308" s="65" t="n"/>
      <c r="AO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5" t="n"/>
      <c r="AK309" s="65" t="n"/>
      <c r="AL309" s="65" t="n"/>
      <c r="AM309" s="65" t="n"/>
      <c r="AN309" s="65" t="n"/>
      <c r="AO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5" t="n"/>
      <c r="AK310" s="65" t="n"/>
      <c r="AL310" s="65" t="n"/>
      <c r="AM310" s="65" t="n"/>
      <c r="AN310" s="65" t="n"/>
      <c r="AO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5" t="n"/>
      <c r="AK311" s="65" t="n"/>
      <c r="AL311" s="65" t="n"/>
      <c r="AM311" s="65" t="n"/>
      <c r="AN311" s="65" t="n"/>
      <c r="AO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5" t="n"/>
      <c r="AK312" s="65" t="n"/>
      <c r="AL312" s="65" t="n"/>
      <c r="AM312" s="65" t="n"/>
      <c r="AN312" s="65" t="n"/>
      <c r="AO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5" t="n"/>
      <c r="AK313" s="65" t="n"/>
      <c r="AL313" s="65" t="n"/>
      <c r="AM313" s="65" t="n"/>
      <c r="AN313" s="65" t="n"/>
      <c r="AO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5" t="n"/>
      <c r="AK314" s="65" t="n"/>
      <c r="AL314" s="65" t="n"/>
      <c r="AM314" s="65" t="n"/>
      <c r="AN314" s="65" t="n"/>
      <c r="AO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5" t="n"/>
      <c r="AK315" s="65" t="n"/>
      <c r="AL315" s="65" t="n"/>
      <c r="AM315" s="65" t="n"/>
      <c r="AN315" s="65" t="n"/>
      <c r="AO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5" t="n"/>
      <c r="AK316" s="65" t="n"/>
      <c r="AL316" s="65" t="n"/>
      <c r="AM316" s="65" t="n"/>
      <c r="AN316" s="65" t="n"/>
      <c r="AO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5" t="n"/>
      <c r="AK317" s="65" t="n"/>
      <c r="AL317" s="65" t="n"/>
      <c r="AM317" s="65" t="n"/>
      <c r="AN317" s="65" t="n"/>
      <c r="AO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5" t="n"/>
      <c r="AK318" s="65" t="n"/>
      <c r="AL318" s="65" t="n"/>
      <c r="AM318" s="65" t="n"/>
      <c r="AN318" s="65" t="n"/>
      <c r="AO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5" t="n"/>
      <c r="AK319" s="65" t="n"/>
      <c r="AL319" s="65" t="n"/>
      <c r="AM319" s="65" t="n"/>
      <c r="AN319" s="65" t="n"/>
      <c r="AO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5" t="n"/>
      <c r="AK320" s="65" t="n"/>
      <c r="AL320" s="65" t="n"/>
      <c r="AM320" s="65" t="n"/>
      <c r="AN320" s="65" t="n"/>
      <c r="AO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5" t="n"/>
      <c r="AK321" s="65" t="n"/>
      <c r="AL321" s="65" t="n"/>
      <c r="AM321" s="65" t="n"/>
      <c r="AN321" s="65" t="n"/>
      <c r="AO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5" t="n"/>
      <c r="AK322" s="65" t="n"/>
      <c r="AL322" s="65" t="n"/>
      <c r="AM322" s="65" t="n"/>
      <c r="AN322" s="65" t="n"/>
      <c r="AO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5" t="n"/>
      <c r="AK323" s="65" t="n"/>
      <c r="AL323" s="65" t="n"/>
      <c r="AM323" s="65" t="n"/>
      <c r="AN323" s="65" t="n"/>
      <c r="AO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5" t="n"/>
      <c r="AK324" s="65" t="n"/>
      <c r="AL324" s="65" t="n"/>
      <c r="AM324" s="65" t="n"/>
      <c r="AN324" s="65" t="n"/>
      <c r="AO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5" t="n"/>
      <c r="AK325" s="65" t="n"/>
      <c r="AL325" s="65" t="n"/>
      <c r="AM325" s="65" t="n"/>
      <c r="AN325" s="65" t="n"/>
      <c r="AO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5" t="n"/>
      <c r="AK326" s="65" t="n"/>
      <c r="AL326" s="65" t="n"/>
      <c r="AM326" s="65" t="n"/>
      <c r="AN326" s="65" t="n"/>
      <c r="AO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5" t="n"/>
      <c r="AK327" s="65" t="n"/>
      <c r="AL327" s="65" t="n"/>
      <c r="AM327" s="65" t="n"/>
      <c r="AN327" s="65" t="n"/>
      <c r="AO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5" t="n"/>
      <c r="AK328" s="65" t="n"/>
      <c r="AL328" s="65" t="n"/>
      <c r="AM328" s="65" t="n"/>
      <c r="AN328" s="65" t="n"/>
      <c r="AO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5" t="n"/>
      <c r="AK329" s="65" t="n"/>
      <c r="AL329" s="65" t="n"/>
      <c r="AM329" s="65" t="n"/>
      <c r="AN329" s="65" t="n"/>
      <c r="AO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5" t="n"/>
      <c r="AK330" s="65" t="n"/>
      <c r="AL330" s="65" t="n"/>
      <c r="AM330" s="65" t="n"/>
      <c r="AN330" s="65" t="n"/>
      <c r="AO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5" t="n"/>
      <c r="AK331" s="65" t="n"/>
      <c r="AL331" s="65" t="n"/>
      <c r="AM331" s="65" t="n"/>
      <c r="AN331" s="65" t="n"/>
      <c r="AO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5" t="n"/>
      <c r="AK332" s="65" t="n"/>
      <c r="AL332" s="65" t="n"/>
      <c r="AM332" s="65" t="n"/>
      <c r="AN332" s="65" t="n"/>
      <c r="AO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5" t="n"/>
      <c r="AK333" s="65" t="n"/>
      <c r="AL333" s="65" t="n"/>
      <c r="AM333" s="65" t="n"/>
      <c r="AN333" s="65" t="n"/>
      <c r="AO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5" t="n"/>
      <c r="AK334" s="65" t="n"/>
      <c r="AL334" s="65" t="n"/>
      <c r="AM334" s="65" t="n"/>
      <c r="AN334" s="65" t="n"/>
      <c r="AO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5" t="n"/>
      <c r="AK335" s="65" t="n"/>
      <c r="AL335" s="65" t="n"/>
      <c r="AM335" s="65" t="n"/>
      <c r="AN335" s="65" t="n"/>
      <c r="AO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5" t="n"/>
      <c r="AK336" s="65" t="n"/>
      <c r="AL336" s="65" t="n"/>
      <c r="AM336" s="65" t="n"/>
      <c r="AN336" s="65" t="n"/>
      <c r="AO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5" t="n"/>
      <c r="AK337" s="65" t="n"/>
      <c r="AL337" s="65" t="n"/>
      <c r="AM337" s="65" t="n"/>
      <c r="AN337" s="65" t="n"/>
      <c r="AO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5" t="n"/>
      <c r="AK338" s="65" t="n"/>
      <c r="AL338" s="65" t="n"/>
      <c r="AM338" s="65" t="n"/>
      <c r="AN338" s="65" t="n"/>
      <c r="AO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5" t="n"/>
      <c r="AK339" s="65" t="n"/>
      <c r="AL339" s="65" t="n"/>
      <c r="AM339" s="65" t="n"/>
      <c r="AN339" s="65" t="n"/>
      <c r="AO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5" t="n"/>
      <c r="AK340" s="65" t="n"/>
      <c r="AL340" s="65" t="n"/>
      <c r="AM340" s="65" t="n"/>
      <c r="AN340" s="65" t="n"/>
      <c r="AO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5" t="n"/>
      <c r="AK341" s="65" t="n"/>
      <c r="AL341" s="65" t="n"/>
      <c r="AM341" s="65" t="n"/>
      <c r="AN341" s="65" t="n"/>
      <c r="AO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5" t="n"/>
      <c r="AK342" s="65" t="n"/>
      <c r="AL342" s="65" t="n"/>
      <c r="AM342" s="65" t="n"/>
      <c r="AN342" s="65" t="n"/>
      <c r="AO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5" t="n"/>
      <c r="AK343" s="65" t="n"/>
      <c r="AL343" s="65" t="n"/>
      <c r="AM343" s="65" t="n"/>
      <c r="AN343" s="65" t="n"/>
      <c r="AO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5" t="n"/>
      <c r="AK344" s="65" t="n"/>
      <c r="AL344" s="65" t="n"/>
      <c r="AM344" s="65" t="n"/>
      <c r="AN344" s="65" t="n"/>
      <c r="AO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5" t="n"/>
      <c r="AK345" s="65" t="n"/>
      <c r="AL345" s="65" t="n"/>
      <c r="AM345" s="65" t="n"/>
      <c r="AN345" s="65" t="n"/>
      <c r="AO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5" t="n"/>
      <c r="AK346" s="65" t="n"/>
      <c r="AL346" s="65" t="n"/>
      <c r="AM346" s="65" t="n"/>
      <c r="AN346" s="65" t="n"/>
      <c r="AO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5" t="n"/>
      <c r="AK347" s="65" t="n"/>
      <c r="AL347" s="65" t="n"/>
      <c r="AM347" s="65" t="n"/>
      <c r="AN347" s="65" t="n"/>
      <c r="AO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5" t="n"/>
      <c r="AK348" s="65" t="n"/>
      <c r="AL348" s="65" t="n"/>
      <c r="AM348" s="65" t="n"/>
      <c r="AN348" s="65" t="n"/>
      <c r="AO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5" t="n"/>
      <c r="AK349" s="65" t="n"/>
      <c r="AL349" s="65" t="n"/>
      <c r="AM349" s="65" t="n"/>
      <c r="AN349" s="65" t="n"/>
      <c r="AO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5" t="n"/>
      <c r="AK350" s="65" t="n"/>
      <c r="AL350" s="65" t="n"/>
      <c r="AM350" s="65" t="n"/>
      <c r="AN350" s="65" t="n"/>
      <c r="AO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5" t="n"/>
      <c r="AK351" s="65" t="n"/>
      <c r="AL351" s="65" t="n"/>
      <c r="AM351" s="65" t="n"/>
      <c r="AN351" s="65" t="n"/>
      <c r="AO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5" t="n"/>
      <c r="AK352" s="65" t="n"/>
      <c r="AL352" s="65" t="n"/>
      <c r="AM352" s="65" t="n"/>
      <c r="AN352" s="65" t="n"/>
      <c r="AO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5" t="n"/>
      <c r="AK353" s="65" t="n"/>
      <c r="AL353" s="65" t="n"/>
      <c r="AM353" s="65" t="n"/>
      <c r="AN353" s="65" t="n"/>
      <c r="AO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5" t="n"/>
      <c r="AK354" s="65" t="n"/>
      <c r="AL354" s="65" t="n"/>
      <c r="AM354" s="65" t="n"/>
      <c r="AN354" s="65" t="n"/>
      <c r="AO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5" t="n"/>
      <c r="AK355" s="65" t="n"/>
      <c r="AL355" s="65" t="n"/>
      <c r="AM355" s="65" t="n"/>
      <c r="AN355" s="65" t="n"/>
      <c r="AO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5" t="n"/>
      <c r="AK356" s="65" t="n"/>
      <c r="AL356" s="65" t="n"/>
      <c r="AM356" s="65" t="n"/>
      <c r="AN356" s="65" t="n"/>
      <c r="AO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5" t="n"/>
      <c r="AK357" s="65" t="n"/>
      <c r="AL357" s="65" t="n"/>
      <c r="AM357" s="65" t="n"/>
      <c r="AN357" s="65" t="n"/>
      <c r="AO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5" t="n"/>
      <c r="AK358" s="65" t="n"/>
      <c r="AL358" s="65" t="n"/>
      <c r="AM358" s="65" t="n"/>
      <c r="AN358" s="65" t="n"/>
      <c r="AO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5" t="n"/>
      <c r="AK359" s="65" t="n"/>
      <c r="AL359" s="65" t="n"/>
      <c r="AM359" s="65" t="n"/>
      <c r="AN359" s="65" t="n"/>
      <c r="AO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5" t="n"/>
      <c r="AK360" s="65" t="n"/>
      <c r="AL360" s="65" t="n"/>
      <c r="AM360" s="65" t="n"/>
      <c r="AN360" s="65" t="n"/>
      <c r="AO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5" t="n"/>
      <c r="AK361" s="65" t="n"/>
      <c r="AL361" s="65" t="n"/>
      <c r="AM361" s="65" t="n"/>
      <c r="AN361" s="65" t="n"/>
      <c r="AO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5" t="n"/>
      <c r="AK362" s="65" t="n"/>
      <c r="AL362" s="65" t="n"/>
      <c r="AM362" s="65" t="n"/>
      <c r="AN362" s="65" t="n"/>
      <c r="AO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5" t="n"/>
      <c r="AK363" s="65" t="n"/>
      <c r="AL363" s="65" t="n"/>
      <c r="AM363" s="65" t="n"/>
      <c r="AN363" s="65" t="n"/>
      <c r="AO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5" t="n"/>
      <c r="AK364" s="65" t="n"/>
      <c r="AL364" s="65" t="n"/>
      <c r="AM364" s="65" t="n"/>
      <c r="AN364" s="65" t="n"/>
      <c r="AO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5" t="n"/>
      <c r="AK365" s="65" t="n"/>
      <c r="AL365" s="65" t="n"/>
      <c r="AM365" s="65" t="n"/>
      <c r="AN365" s="65" t="n"/>
      <c r="AO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5" t="n"/>
      <c r="AK366" s="65" t="n"/>
      <c r="AL366" s="65" t="n"/>
      <c r="AM366" s="65" t="n"/>
      <c r="AN366" s="65" t="n"/>
      <c r="AO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5" t="n"/>
      <c r="AK367" s="65" t="n"/>
      <c r="AL367" s="65" t="n"/>
      <c r="AM367" s="65" t="n"/>
      <c r="AN367" s="65" t="n"/>
      <c r="AO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5" t="n"/>
      <c r="AK368" s="65" t="n"/>
      <c r="AL368" s="65" t="n"/>
      <c r="AM368" s="65" t="n"/>
      <c r="AN368" s="65" t="n"/>
      <c r="AO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5" t="n"/>
      <c r="AK369" s="65" t="n"/>
      <c r="AL369" s="65" t="n"/>
      <c r="AM369" s="65" t="n"/>
      <c r="AN369" s="65" t="n"/>
      <c r="AO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5" t="n"/>
      <c r="AK370" s="65" t="n"/>
      <c r="AL370" s="65" t="n"/>
      <c r="AM370" s="65" t="n"/>
      <c r="AN370" s="65" t="n"/>
      <c r="AO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5" t="n"/>
      <c r="AK371" s="65" t="n"/>
      <c r="AL371" s="65" t="n"/>
      <c r="AM371" s="65" t="n"/>
      <c r="AN371" s="65" t="n"/>
      <c r="AO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5" t="n"/>
      <c r="AK372" s="65" t="n"/>
      <c r="AL372" s="65" t="n"/>
      <c r="AM372" s="65" t="n"/>
      <c r="AN372" s="65" t="n"/>
      <c r="AO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5" t="n"/>
      <c r="AK373" s="65" t="n"/>
      <c r="AL373" s="65" t="n"/>
      <c r="AM373" s="65" t="n"/>
      <c r="AN373" s="65" t="n"/>
      <c r="AO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5" t="n"/>
      <c r="AK374" s="65" t="n"/>
      <c r="AL374" s="65" t="n"/>
      <c r="AM374" s="65" t="n"/>
      <c r="AN374" s="65" t="n"/>
      <c r="AO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5" t="n"/>
      <c r="AK375" s="65" t="n"/>
      <c r="AL375" s="65" t="n"/>
      <c r="AM375" s="65" t="n"/>
      <c r="AN375" s="65" t="n"/>
      <c r="AO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5" t="n"/>
      <c r="AK376" s="65" t="n"/>
      <c r="AL376" s="65" t="n"/>
      <c r="AM376" s="65" t="n"/>
      <c r="AN376" s="65" t="n"/>
      <c r="AO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5" t="n"/>
      <c r="AK377" s="65" t="n"/>
      <c r="AL377" s="65" t="n"/>
      <c r="AM377" s="65" t="n"/>
      <c r="AN377" s="65" t="n"/>
      <c r="AO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5" t="n"/>
      <c r="AK378" s="65" t="n"/>
      <c r="AL378" s="65" t="n"/>
      <c r="AM378" s="65" t="n"/>
      <c r="AN378" s="65" t="n"/>
      <c r="AO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5" t="n"/>
      <c r="AK379" s="65" t="n"/>
      <c r="AL379" s="65" t="n"/>
      <c r="AM379" s="65" t="n"/>
      <c r="AN379" s="65" t="n"/>
      <c r="AO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5" t="n"/>
      <c r="AK380" s="65" t="n"/>
      <c r="AL380" s="65" t="n"/>
      <c r="AM380" s="65" t="n"/>
      <c r="AN380" s="65" t="n"/>
      <c r="AO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5" t="n"/>
      <c r="AK381" s="65" t="n"/>
      <c r="AL381" s="65" t="n"/>
      <c r="AM381" s="65" t="n"/>
      <c r="AN381" s="65" t="n"/>
      <c r="AO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5" t="n"/>
      <c r="AK382" s="65" t="n"/>
      <c r="AL382" s="65" t="n"/>
      <c r="AM382" s="65" t="n"/>
      <c r="AN382" s="65" t="n"/>
      <c r="AO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5" t="n"/>
      <c r="AK383" s="65" t="n"/>
      <c r="AL383" s="65" t="n"/>
      <c r="AM383" s="65" t="n"/>
      <c r="AN383" s="65" t="n"/>
      <c r="AO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5" t="n"/>
      <c r="AK384" s="65" t="n"/>
      <c r="AL384" s="65" t="n"/>
      <c r="AM384" s="65" t="n"/>
      <c r="AN384" s="65" t="n"/>
      <c r="AO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5" t="n"/>
      <c r="AK385" s="65" t="n"/>
      <c r="AL385" s="65" t="n"/>
      <c r="AM385" s="65" t="n"/>
      <c r="AN385" s="65" t="n"/>
      <c r="AO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5" t="n"/>
      <c r="AK386" s="65" t="n"/>
      <c r="AL386" s="65" t="n"/>
      <c r="AM386" s="65" t="n"/>
      <c r="AN386" s="65" t="n"/>
      <c r="AO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5" t="n"/>
      <c r="AK387" s="65" t="n"/>
      <c r="AL387" s="65" t="n"/>
      <c r="AM387" s="65" t="n"/>
      <c r="AN387" s="65" t="n"/>
      <c r="AO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5" t="n"/>
      <c r="AK388" s="65" t="n"/>
      <c r="AL388" s="65" t="n"/>
      <c r="AM388" s="65" t="n"/>
      <c r="AN388" s="65" t="n"/>
      <c r="AO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5" t="n"/>
      <c r="AK389" s="65" t="n"/>
      <c r="AL389" s="65" t="n"/>
      <c r="AM389" s="65" t="n"/>
      <c r="AN389" s="65" t="n"/>
      <c r="AO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5" t="n"/>
      <c r="AK390" s="65" t="n"/>
      <c r="AL390" s="65" t="n"/>
      <c r="AM390" s="65" t="n"/>
      <c r="AN390" s="65" t="n"/>
      <c r="AO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5" t="n"/>
      <c r="AK391" s="65" t="n"/>
      <c r="AL391" s="65" t="n"/>
      <c r="AM391" s="65" t="n"/>
      <c r="AN391" s="65" t="n"/>
      <c r="AO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5" t="n"/>
      <c r="AK392" s="65" t="n"/>
      <c r="AL392" s="65" t="n"/>
      <c r="AM392" s="65" t="n"/>
      <c r="AN392" s="65" t="n"/>
      <c r="AO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5" t="n"/>
      <c r="AK393" s="65" t="n"/>
      <c r="AL393" s="65" t="n"/>
      <c r="AM393" s="65" t="n"/>
      <c r="AN393" s="65" t="n"/>
      <c r="AO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5" t="n"/>
      <c r="AK394" s="65" t="n"/>
      <c r="AL394" s="65" t="n"/>
      <c r="AM394" s="65" t="n"/>
      <c r="AN394" s="65" t="n"/>
      <c r="AO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5" t="n"/>
      <c r="AK395" s="65" t="n"/>
      <c r="AL395" s="65" t="n"/>
      <c r="AM395" s="65" t="n"/>
      <c r="AN395" s="65" t="n"/>
      <c r="AO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5" t="n"/>
      <c r="AK396" s="65" t="n"/>
      <c r="AL396" s="65" t="n"/>
      <c r="AM396" s="65" t="n"/>
      <c r="AN396" s="65" t="n"/>
      <c r="AO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5" t="n"/>
      <c r="AK397" s="65" t="n"/>
      <c r="AL397" s="65" t="n"/>
      <c r="AM397" s="65" t="n"/>
      <c r="AN397" s="65" t="n"/>
      <c r="AO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5" t="n"/>
      <c r="AK398" s="65" t="n"/>
      <c r="AL398" s="65" t="n"/>
      <c r="AM398" s="65" t="n"/>
      <c r="AN398" s="65" t="n"/>
      <c r="AO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5" t="n"/>
      <c r="AK399" s="65" t="n"/>
      <c r="AL399" s="65" t="n"/>
      <c r="AM399" s="65" t="n"/>
      <c r="AN399" s="65" t="n"/>
      <c r="AO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5" t="n"/>
      <c r="AK400" s="65" t="n"/>
      <c r="AL400" s="65" t="n"/>
      <c r="AM400" s="65" t="n"/>
      <c r="AN400" s="65" t="n"/>
      <c r="AO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5" t="n"/>
      <c r="AK401" s="65" t="n"/>
      <c r="AL401" s="65" t="n"/>
      <c r="AM401" s="65" t="n"/>
      <c r="AN401" s="65" t="n"/>
      <c r="AO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5" t="n"/>
      <c r="AK402" s="65" t="n"/>
      <c r="AL402" s="65" t="n"/>
      <c r="AM402" s="65" t="n"/>
      <c r="AN402" s="65" t="n"/>
      <c r="AO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5" t="n"/>
      <c r="AK403" s="65" t="n"/>
      <c r="AL403" s="65" t="n"/>
      <c r="AM403" s="65" t="n"/>
      <c r="AN403" s="65" t="n"/>
      <c r="AO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5" t="n"/>
      <c r="AK404" s="65" t="n"/>
      <c r="AL404" s="65" t="n"/>
      <c r="AM404" s="65" t="n"/>
      <c r="AN404" s="65" t="n"/>
      <c r="AO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7">
        <f>IF(C405="","",SUMIFS(tbl_Finance[Inc GST],tbl_Finance[Job Number],C405&amp;""))</f>
        <v/>
      </c>
      <c r="M405" s="24" t="n"/>
      <c r="N405" s="25">
        <f>IF(C405="","",IFERROR(INDEX(tbl_Finance[Description],MATCH(C405&amp;"",tbl_Finance[Job Number],0)),""))</f>
        <v/>
      </c>
      <c r="O405" s="24" t="n"/>
      <c r="P405" s="24" t="n"/>
      <c r="Q405" s="22" t="n"/>
      <c r="R405" s="24" t="n"/>
      <c r="S405" s="25">
        <f>IF(R405="","",IF(AND(LEFT(R405,4)&lt;&gt;"http",set_RMSBase=""),"",HYPERLINK(IF(LEFT(R405,4)="http",R405,set_RMSBase&amp;R405),"Open opportunity")))</f>
        <v/>
      </c>
      <c r="T405" s="24" t="n"/>
      <c r="U405" s="25">
        <f>IF(T405="","",HYPERLINK(IF(LEFT(T405,4)="http",T405,set_QwilrBase&amp;T405),"Open quote"))</f>
        <v/>
      </c>
      <c r="V405" s="25">
        <f>IF(C405="","",C405)</f>
        <v/>
      </c>
      <c r="W405" s="24" t="n"/>
      <c r="X405" s="26" t="n"/>
      <c r="Y405" s="27">
        <f>IF(C405="","",H405+N(X405))</f>
        <v/>
      </c>
      <c r="Z405" s="29">
        <f>IFERROR(X405/Y405,"")</f>
        <v/>
      </c>
      <c r="AA405" s="26" t="n"/>
      <c r="AB405" s="26" t="n"/>
      <c r="AC405" s="26" t="n"/>
      <c r="AD405" s="26" t="n"/>
      <c r="AE405" s="27">
        <f>IF(C405="","",SUMIFS(tbl_Finance[Ex GST],tbl_Finance[Job Number],C405&amp;"",tbl_Finance[Cost Centre],"VIDEO"))</f>
        <v/>
      </c>
      <c r="AF405" s="29">
        <f>IFERROR(AE405/H405,"")</f>
        <v/>
      </c>
      <c r="AG405" s="27">
        <f>IF(C405="","",N(AA405)+N(AB405)+N(AC405)+N(AD405))</f>
        <v/>
      </c>
      <c r="AH405" s="27">
        <f>IF(C405="","",H405-AG405)</f>
        <v/>
      </c>
      <c r="AI405" s="29">
        <f>IFERROR(AH405/H405,"")</f>
        <v/>
      </c>
      <c r="AJ405" s="65" t="n"/>
      <c r="AK405" s="65" t="n"/>
      <c r="AL405" s="65" t="n"/>
      <c r="AM405" s="65" t="n"/>
      <c r="AN405" s="65" t="n"/>
      <c r="AO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7">
        <f>IF(C406="","",SUMIFS(tbl_Finance[Inc GST],tbl_Finance[Job Number],C406&amp;""))</f>
        <v/>
      </c>
      <c r="M406" s="24" t="n"/>
      <c r="N406" s="25">
        <f>IF(C406="","",IFERROR(INDEX(tbl_Finance[Description],MATCH(C406&amp;"",tbl_Finance[Job Number],0)),""))</f>
        <v/>
      </c>
      <c r="O406" s="24" t="n"/>
      <c r="P406" s="24" t="n"/>
      <c r="Q406" s="22" t="n"/>
      <c r="R406" s="24" t="n"/>
      <c r="S406" s="25">
        <f>IF(R406="","",IF(AND(LEFT(R406,4)&lt;&gt;"http",set_RMSBase=""),"",HYPERLINK(IF(LEFT(R406,4)="http",R406,set_RMSBase&amp;R406),"Open opportunity")))</f>
        <v/>
      </c>
      <c r="T406" s="24" t="n"/>
      <c r="U406" s="25">
        <f>IF(T406="","",HYPERLINK(IF(LEFT(T406,4)="http",T406,set_QwilrBase&amp;T406),"Open quote"))</f>
        <v/>
      </c>
      <c r="V406" s="25">
        <f>IF(C406="","",C406)</f>
        <v/>
      </c>
      <c r="W406" s="24" t="n"/>
      <c r="X406" s="26" t="n"/>
      <c r="Y406" s="27">
        <f>IF(C406="","",H406+N(X406))</f>
        <v/>
      </c>
      <c r="Z406" s="29">
        <f>IFERROR(X406/Y406,"")</f>
        <v/>
      </c>
      <c r="AA406" s="26" t="n"/>
      <c r="AB406" s="26" t="n"/>
      <c r="AC406" s="26" t="n"/>
      <c r="AD406" s="26" t="n"/>
      <c r="AE406" s="27">
        <f>IF(C406="","",SUMIFS(tbl_Finance[Ex GST],tbl_Finance[Job Number],C406&amp;"",tbl_Finance[Cost Centre],"VIDEO"))</f>
        <v/>
      </c>
      <c r="AF406" s="29">
        <f>IFERROR(AE406/H406,"")</f>
        <v/>
      </c>
      <c r="AG406" s="27">
        <f>IF(C406="","",N(AA406)+N(AB406)+N(AC406)+N(AD406))</f>
        <v/>
      </c>
      <c r="AH406" s="27">
        <f>IF(C406="","",H406-AG406)</f>
        <v/>
      </c>
      <c r="AI406" s="29">
        <f>IFERROR(AH406/H406,"")</f>
        <v/>
      </c>
      <c r="AJ406" s="65" t="n"/>
      <c r="AK406" s="65" t="n"/>
      <c r="AL406" s="65" t="n"/>
      <c r="AM406" s="65" t="n"/>
      <c r="AN406" s="65" t="n"/>
      <c r="AO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7">
        <f>IF(C407="","",SUMIFS(tbl_Finance[Inc GST],tbl_Finance[Job Number],C407&amp;""))</f>
        <v/>
      </c>
      <c r="M407" s="24" t="n"/>
      <c r="N407" s="25">
        <f>IF(C407="","",IFERROR(INDEX(tbl_Finance[Description],MATCH(C407&amp;"",tbl_Finance[Job Number],0)),""))</f>
        <v/>
      </c>
      <c r="O407" s="24" t="n"/>
      <c r="P407" s="24" t="n"/>
      <c r="Q407" s="22" t="n"/>
      <c r="R407" s="24" t="n"/>
      <c r="S407" s="25">
        <f>IF(R407="","",IF(AND(LEFT(R407,4)&lt;&gt;"http",set_RMSBase=""),"",HYPERLINK(IF(LEFT(R407,4)="http",R407,set_RMSBase&amp;R407),"Open opportunity")))</f>
        <v/>
      </c>
      <c r="T407" s="24" t="n"/>
      <c r="U407" s="25">
        <f>IF(T407="","",HYPERLINK(IF(LEFT(T407,4)="http",T407,set_QwilrBase&amp;T407),"Open quote"))</f>
        <v/>
      </c>
      <c r="V407" s="25">
        <f>IF(C407="","",C407)</f>
        <v/>
      </c>
      <c r="W407" s="24" t="n"/>
      <c r="X407" s="26" t="n"/>
      <c r="Y407" s="27">
        <f>IF(C407="","",H407+N(X407))</f>
        <v/>
      </c>
      <c r="Z407" s="29">
        <f>IFERROR(X407/Y407,"")</f>
        <v/>
      </c>
      <c r="AA407" s="26" t="n"/>
      <c r="AB407" s="26" t="n"/>
      <c r="AC407" s="26" t="n"/>
      <c r="AD407" s="26" t="n"/>
      <c r="AE407" s="27">
        <f>IF(C407="","",SUMIFS(tbl_Finance[Ex GST],tbl_Finance[Job Number],C407&amp;"",tbl_Finance[Cost Centre],"VIDEO"))</f>
        <v/>
      </c>
      <c r="AF407" s="29">
        <f>IFERROR(AE407/H407,"")</f>
        <v/>
      </c>
      <c r="AG407" s="27">
        <f>IF(C407="","",N(AA407)+N(AB407)+N(AC407)+N(AD407))</f>
        <v/>
      </c>
      <c r="AH407" s="27">
        <f>IF(C407="","",H407-AG407)</f>
        <v/>
      </c>
      <c r="AI407" s="29">
        <f>IFERROR(AH407/H407,"")</f>
        <v/>
      </c>
      <c r="AJ407" s="65" t="n"/>
      <c r="AK407" s="65" t="n"/>
      <c r="AL407" s="65" t="n"/>
      <c r="AM407" s="65" t="n"/>
      <c r="AN407" s="65" t="n"/>
      <c r="AO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7">
        <f>IF(C408="","",SUMIFS(tbl_Finance[Inc GST],tbl_Finance[Job Number],C408&amp;""))</f>
        <v/>
      </c>
      <c r="M408" s="24" t="n"/>
      <c r="N408" s="25">
        <f>IF(C408="","",IFERROR(INDEX(tbl_Finance[Description],MATCH(C408&amp;"",tbl_Finance[Job Number],0)),""))</f>
        <v/>
      </c>
      <c r="O408" s="24" t="n"/>
      <c r="P408" s="24" t="n"/>
      <c r="Q408" s="22" t="n"/>
      <c r="R408" s="24" t="n"/>
      <c r="S408" s="25">
        <f>IF(R408="","",IF(AND(LEFT(R408,4)&lt;&gt;"http",set_RMSBase=""),"",HYPERLINK(IF(LEFT(R408,4)="http",R408,set_RMSBase&amp;R408),"Open opportunity")))</f>
        <v/>
      </c>
      <c r="T408" s="24" t="n"/>
      <c r="U408" s="25">
        <f>IF(T408="","",HYPERLINK(IF(LEFT(T408,4)="http",T408,set_QwilrBase&amp;T408),"Open quote"))</f>
        <v/>
      </c>
      <c r="V408" s="25">
        <f>IF(C408="","",C408)</f>
        <v/>
      </c>
      <c r="W408" s="24" t="n"/>
      <c r="X408" s="26" t="n"/>
      <c r="Y408" s="27">
        <f>IF(C408="","",H408+N(X408))</f>
        <v/>
      </c>
      <c r="Z408" s="29">
        <f>IFERROR(X408/Y408,"")</f>
        <v/>
      </c>
      <c r="AA408" s="26" t="n"/>
      <c r="AB408" s="26" t="n"/>
      <c r="AC408" s="26" t="n"/>
      <c r="AD408" s="26" t="n"/>
      <c r="AE408" s="27">
        <f>IF(C408="","",SUMIFS(tbl_Finance[Ex GST],tbl_Finance[Job Number],C408&amp;"",tbl_Finance[Cost Centre],"VIDEO"))</f>
        <v/>
      </c>
      <c r="AF408" s="29">
        <f>IFERROR(AE408/H408,"")</f>
        <v/>
      </c>
      <c r="AG408" s="27">
        <f>IF(C408="","",N(AA408)+N(AB408)+N(AC408)+N(AD408))</f>
        <v/>
      </c>
      <c r="AH408" s="27">
        <f>IF(C408="","",H408-AG408)</f>
        <v/>
      </c>
      <c r="AI408" s="29">
        <f>IFERROR(AH408/H408,"")</f>
        <v/>
      </c>
      <c r="AJ408" s="65" t="n"/>
      <c r="AK408" s="65" t="n"/>
      <c r="AL408" s="65" t="n"/>
      <c r="AM408" s="65" t="n"/>
      <c r="AN408" s="65" t="n"/>
      <c r="AO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7">
        <f>IF(C409="","",SUMIFS(tbl_Finance[Inc GST],tbl_Finance[Job Number],C409&amp;""))</f>
        <v/>
      </c>
      <c r="M409" s="24" t="n"/>
      <c r="N409" s="25">
        <f>IF(C409="","",IFERROR(INDEX(tbl_Finance[Description],MATCH(C409&amp;"",tbl_Finance[Job Number],0)),""))</f>
        <v/>
      </c>
      <c r="O409" s="24" t="n"/>
      <c r="P409" s="24" t="n"/>
      <c r="Q409" s="22" t="n"/>
      <c r="R409" s="24" t="n"/>
      <c r="S409" s="25">
        <f>IF(R409="","",IF(AND(LEFT(R409,4)&lt;&gt;"http",set_RMSBase=""),"",HYPERLINK(IF(LEFT(R409,4)="http",R409,set_RMSBase&amp;R409),"Open opportunity")))</f>
        <v/>
      </c>
      <c r="T409" s="24" t="n"/>
      <c r="U409" s="25">
        <f>IF(T409="","",HYPERLINK(IF(LEFT(T409,4)="http",T409,set_QwilrBase&amp;T409),"Open quote"))</f>
        <v/>
      </c>
      <c r="V409" s="25">
        <f>IF(C409="","",C409)</f>
        <v/>
      </c>
      <c r="W409" s="24" t="n"/>
      <c r="X409" s="26" t="n"/>
      <c r="Y409" s="27">
        <f>IF(C409="","",H409+N(X409))</f>
        <v/>
      </c>
      <c r="Z409" s="29">
        <f>IFERROR(X409/Y409,"")</f>
        <v/>
      </c>
      <c r="AA409" s="26" t="n"/>
      <c r="AB409" s="26" t="n"/>
      <c r="AC409" s="26" t="n"/>
      <c r="AD409" s="26" t="n"/>
      <c r="AE409" s="27">
        <f>IF(C409="","",SUMIFS(tbl_Finance[Ex GST],tbl_Finance[Job Number],C409&amp;"",tbl_Finance[Cost Centre],"VIDEO"))</f>
        <v/>
      </c>
      <c r="AF409" s="29">
        <f>IFERROR(AE409/H409,"")</f>
        <v/>
      </c>
      <c r="AG409" s="27">
        <f>IF(C409="","",N(AA409)+N(AB409)+N(AC409)+N(AD409))</f>
        <v/>
      </c>
      <c r="AH409" s="27">
        <f>IF(C409="","",H409-AG409)</f>
        <v/>
      </c>
      <c r="AI409" s="29">
        <f>IFERROR(AH409/H409,"")</f>
        <v/>
      </c>
      <c r="AJ409" s="65" t="n"/>
      <c r="AK409" s="65" t="n"/>
      <c r="AL409" s="65" t="n"/>
      <c r="AM409" s="65" t="n"/>
      <c r="AN409" s="65" t="n"/>
      <c r="AO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7">
        <f>IF(C410="","",SUMIFS(tbl_Finance[Inc GST],tbl_Finance[Job Number],C410&amp;""))</f>
        <v/>
      </c>
      <c r="M410" s="24" t="n"/>
      <c r="N410" s="25">
        <f>IF(C410="","",IFERROR(INDEX(tbl_Finance[Description],MATCH(C410&amp;"",tbl_Finance[Job Number],0)),""))</f>
        <v/>
      </c>
      <c r="O410" s="24" t="n"/>
      <c r="P410" s="24" t="n"/>
      <c r="Q410" s="22" t="n"/>
      <c r="R410" s="24" t="n"/>
      <c r="S410" s="25">
        <f>IF(R410="","",IF(AND(LEFT(R410,4)&lt;&gt;"http",set_RMSBase=""),"",HYPERLINK(IF(LEFT(R410,4)="http",R410,set_RMSBase&amp;R410),"Open opportunity")))</f>
        <v/>
      </c>
      <c r="T410" s="24" t="n"/>
      <c r="U410" s="25">
        <f>IF(T410="","",HYPERLINK(IF(LEFT(T410,4)="http",T410,set_QwilrBase&amp;T410),"Open quote"))</f>
        <v/>
      </c>
      <c r="V410" s="25">
        <f>IF(C410="","",C410)</f>
        <v/>
      </c>
      <c r="W410" s="24" t="n"/>
      <c r="X410" s="26" t="n"/>
      <c r="Y410" s="27">
        <f>IF(C410="","",H410+N(X410))</f>
        <v/>
      </c>
      <c r="Z410" s="29">
        <f>IFERROR(X410/Y410,"")</f>
        <v/>
      </c>
      <c r="AA410" s="26" t="n"/>
      <c r="AB410" s="26" t="n"/>
      <c r="AC410" s="26" t="n"/>
      <c r="AD410" s="26" t="n"/>
      <c r="AE410" s="27">
        <f>IF(C410="","",SUMIFS(tbl_Finance[Ex GST],tbl_Finance[Job Number],C410&amp;"",tbl_Finance[Cost Centre],"VIDEO"))</f>
        <v/>
      </c>
      <c r="AF410" s="29">
        <f>IFERROR(AE410/H410,"")</f>
        <v/>
      </c>
      <c r="AG410" s="27">
        <f>IF(C410="","",N(AA410)+N(AB410)+N(AC410)+N(AD410))</f>
        <v/>
      </c>
      <c r="AH410" s="27">
        <f>IF(C410="","",H410-AG410)</f>
        <v/>
      </c>
      <c r="AI410" s="29">
        <f>IFERROR(AH410/H410,"")</f>
        <v/>
      </c>
      <c r="AJ410" s="65" t="n"/>
      <c r="AK410" s="65" t="n"/>
      <c r="AL410" s="65" t="n"/>
      <c r="AM410" s="65" t="n"/>
      <c r="AN410" s="65" t="n"/>
      <c r="AO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7">
        <f>IF(C411="","",SUMIFS(tbl_Finance[Inc GST],tbl_Finance[Job Number],C411&amp;""))</f>
        <v/>
      </c>
      <c r="M411" s="24" t="n"/>
      <c r="N411" s="25">
        <f>IF(C411="","",IFERROR(INDEX(tbl_Finance[Description],MATCH(C411&amp;"",tbl_Finance[Job Number],0)),""))</f>
        <v/>
      </c>
      <c r="O411" s="24" t="n"/>
      <c r="P411" s="24" t="n"/>
      <c r="Q411" s="22" t="n"/>
      <c r="R411" s="24" t="n"/>
      <c r="S411" s="25">
        <f>IF(R411="","",IF(AND(LEFT(R411,4)&lt;&gt;"http",set_RMSBase=""),"",HYPERLINK(IF(LEFT(R411,4)="http",R411,set_RMSBase&amp;R411),"Open opportunity")))</f>
        <v/>
      </c>
      <c r="T411" s="24" t="n"/>
      <c r="U411" s="25">
        <f>IF(T411="","",HYPERLINK(IF(LEFT(T411,4)="http",T411,set_QwilrBase&amp;T411),"Open quote"))</f>
        <v/>
      </c>
      <c r="V411" s="25">
        <f>IF(C411="","",C411)</f>
        <v/>
      </c>
      <c r="W411" s="24" t="n"/>
      <c r="X411" s="26" t="n"/>
      <c r="Y411" s="27">
        <f>IF(C411="","",H411+N(X411))</f>
        <v/>
      </c>
      <c r="Z411" s="29">
        <f>IFERROR(X411/Y411,"")</f>
        <v/>
      </c>
      <c r="AA411" s="26" t="n"/>
      <c r="AB411" s="26" t="n"/>
      <c r="AC411" s="26" t="n"/>
      <c r="AD411" s="26" t="n"/>
      <c r="AE411" s="27">
        <f>IF(C411="","",SUMIFS(tbl_Finance[Ex GST],tbl_Finance[Job Number],C411&amp;"",tbl_Finance[Cost Centre],"VIDEO"))</f>
        <v/>
      </c>
      <c r="AF411" s="29">
        <f>IFERROR(AE411/H411,"")</f>
        <v/>
      </c>
      <c r="AG411" s="27">
        <f>IF(C411="","",N(AA411)+N(AB411)+N(AC411)+N(AD411))</f>
        <v/>
      </c>
      <c r="AH411" s="27">
        <f>IF(C411="","",H411-AG411)</f>
        <v/>
      </c>
      <c r="AI411" s="29">
        <f>IFERROR(AH411/H411,"")</f>
        <v/>
      </c>
      <c r="AJ411" s="65" t="n"/>
      <c r="AK411" s="65" t="n"/>
      <c r="AL411" s="65" t="n"/>
      <c r="AM411" s="65" t="n"/>
      <c r="AN411" s="65" t="n"/>
      <c r="AO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7">
        <f>IF(C412="","",SUMIFS(tbl_Finance[Inc GST],tbl_Finance[Job Number],C412&amp;""))</f>
        <v/>
      </c>
      <c r="M412" s="24" t="n"/>
      <c r="N412" s="25">
        <f>IF(C412="","",IFERROR(INDEX(tbl_Finance[Description],MATCH(C412&amp;"",tbl_Finance[Job Number],0)),""))</f>
        <v/>
      </c>
      <c r="O412" s="24" t="n"/>
      <c r="P412" s="24" t="n"/>
      <c r="Q412" s="22" t="n"/>
      <c r="R412" s="24" t="n"/>
      <c r="S412" s="25">
        <f>IF(R412="","",IF(AND(LEFT(R412,4)&lt;&gt;"http",set_RMSBase=""),"",HYPERLINK(IF(LEFT(R412,4)="http",R412,set_RMSBase&amp;R412),"Open opportunity")))</f>
        <v/>
      </c>
      <c r="T412" s="24" t="n"/>
      <c r="U412" s="25">
        <f>IF(T412="","",HYPERLINK(IF(LEFT(T412,4)="http",T412,set_QwilrBase&amp;T412),"Open quote"))</f>
        <v/>
      </c>
      <c r="V412" s="25">
        <f>IF(C412="","",C412)</f>
        <v/>
      </c>
      <c r="W412" s="24" t="n"/>
      <c r="X412" s="26" t="n"/>
      <c r="Y412" s="27">
        <f>IF(C412="","",H412+N(X412))</f>
        <v/>
      </c>
      <c r="Z412" s="29">
        <f>IFERROR(X412/Y412,"")</f>
        <v/>
      </c>
      <c r="AA412" s="26" t="n"/>
      <c r="AB412" s="26" t="n"/>
      <c r="AC412" s="26" t="n"/>
      <c r="AD412" s="26" t="n"/>
      <c r="AE412" s="27">
        <f>IF(C412="","",SUMIFS(tbl_Finance[Ex GST],tbl_Finance[Job Number],C412&amp;"",tbl_Finance[Cost Centre],"VIDEO"))</f>
        <v/>
      </c>
      <c r="AF412" s="29">
        <f>IFERROR(AE412/H412,"")</f>
        <v/>
      </c>
      <c r="AG412" s="27">
        <f>IF(C412="","",N(AA412)+N(AB412)+N(AC412)+N(AD412))</f>
        <v/>
      </c>
      <c r="AH412" s="27">
        <f>IF(C412="","",H412-AG412)</f>
        <v/>
      </c>
      <c r="AI412" s="29">
        <f>IFERROR(AH412/H412,"")</f>
        <v/>
      </c>
      <c r="AJ412" s="65" t="n"/>
      <c r="AK412" s="65" t="n"/>
      <c r="AL412" s="65" t="n"/>
      <c r="AM412" s="65" t="n"/>
      <c r="AN412" s="65" t="n"/>
      <c r="AO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7">
        <f>IF(C413="","",SUMIFS(tbl_Finance[Inc GST],tbl_Finance[Job Number],C413&amp;""))</f>
        <v/>
      </c>
      <c r="M413" s="24" t="n"/>
      <c r="N413" s="25">
        <f>IF(C413="","",IFERROR(INDEX(tbl_Finance[Description],MATCH(C413&amp;"",tbl_Finance[Job Number],0)),""))</f>
        <v/>
      </c>
      <c r="O413" s="24" t="n"/>
      <c r="P413" s="24" t="n"/>
      <c r="Q413" s="22" t="n"/>
      <c r="R413" s="24" t="n"/>
      <c r="S413" s="25">
        <f>IF(R413="","",IF(AND(LEFT(R413,4)&lt;&gt;"http",set_RMSBase=""),"",HYPERLINK(IF(LEFT(R413,4)="http",R413,set_RMSBase&amp;R413),"Open opportunity")))</f>
        <v/>
      </c>
      <c r="T413" s="24" t="n"/>
      <c r="U413" s="25">
        <f>IF(T413="","",HYPERLINK(IF(LEFT(T413,4)="http",T413,set_QwilrBase&amp;T413),"Open quote"))</f>
        <v/>
      </c>
      <c r="V413" s="25">
        <f>IF(C413="","",C413)</f>
        <v/>
      </c>
      <c r="W413" s="24" t="n"/>
      <c r="X413" s="26" t="n"/>
      <c r="Y413" s="27">
        <f>IF(C413="","",H413+N(X413))</f>
        <v/>
      </c>
      <c r="Z413" s="29">
        <f>IFERROR(X413/Y413,"")</f>
        <v/>
      </c>
      <c r="AA413" s="26" t="n"/>
      <c r="AB413" s="26" t="n"/>
      <c r="AC413" s="26" t="n"/>
      <c r="AD413" s="26" t="n"/>
      <c r="AE413" s="27">
        <f>IF(C413="","",SUMIFS(tbl_Finance[Ex GST],tbl_Finance[Job Number],C413&amp;"",tbl_Finance[Cost Centre],"VIDEO"))</f>
        <v/>
      </c>
      <c r="AF413" s="29">
        <f>IFERROR(AE413/H413,"")</f>
        <v/>
      </c>
      <c r="AG413" s="27">
        <f>IF(C413="","",N(AA413)+N(AB413)+N(AC413)+N(AD413))</f>
        <v/>
      </c>
      <c r="AH413" s="27">
        <f>IF(C413="","",H413-AG413)</f>
        <v/>
      </c>
      <c r="AI413" s="29">
        <f>IFERROR(AH413/H413,"")</f>
        <v/>
      </c>
      <c r="AJ413" s="65" t="n"/>
      <c r="AK413" s="65" t="n"/>
      <c r="AL413" s="65" t="n"/>
      <c r="AM413" s="65" t="n"/>
      <c r="AN413" s="65" t="n"/>
      <c r="AO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7">
        <f>IF(C414="","",SUMIFS(tbl_Finance[Inc GST],tbl_Finance[Job Number],C414&amp;""))</f>
        <v/>
      </c>
      <c r="M414" s="24" t="n"/>
      <c r="N414" s="25">
        <f>IF(C414="","",IFERROR(INDEX(tbl_Finance[Description],MATCH(C414&amp;"",tbl_Finance[Job Number],0)),""))</f>
        <v/>
      </c>
      <c r="O414" s="24" t="n"/>
      <c r="P414" s="24" t="n"/>
      <c r="Q414" s="22" t="n"/>
      <c r="R414" s="24" t="n"/>
      <c r="S414" s="25">
        <f>IF(R414="","",IF(AND(LEFT(R414,4)&lt;&gt;"http",set_RMSBase=""),"",HYPERLINK(IF(LEFT(R414,4)="http",R414,set_RMSBase&amp;R414),"Open opportunity")))</f>
        <v/>
      </c>
      <c r="T414" s="24" t="n"/>
      <c r="U414" s="25">
        <f>IF(T414="","",HYPERLINK(IF(LEFT(T414,4)="http",T414,set_QwilrBase&amp;T414),"Open quote"))</f>
        <v/>
      </c>
      <c r="V414" s="25">
        <f>IF(C414="","",C414)</f>
        <v/>
      </c>
      <c r="W414" s="24" t="n"/>
      <c r="X414" s="26" t="n"/>
      <c r="Y414" s="27">
        <f>IF(C414="","",H414+N(X414))</f>
        <v/>
      </c>
      <c r="Z414" s="29">
        <f>IFERROR(X414/Y414,"")</f>
        <v/>
      </c>
      <c r="AA414" s="26" t="n"/>
      <c r="AB414" s="26" t="n"/>
      <c r="AC414" s="26" t="n"/>
      <c r="AD414" s="26" t="n"/>
      <c r="AE414" s="27">
        <f>IF(C414="","",SUMIFS(tbl_Finance[Ex GST],tbl_Finance[Job Number],C414&amp;"",tbl_Finance[Cost Centre],"VIDEO"))</f>
        <v/>
      </c>
      <c r="AF414" s="29">
        <f>IFERROR(AE414/H414,"")</f>
        <v/>
      </c>
      <c r="AG414" s="27">
        <f>IF(C414="","",N(AA414)+N(AB414)+N(AC414)+N(AD414))</f>
        <v/>
      </c>
      <c r="AH414" s="27">
        <f>IF(C414="","",H414-AG414)</f>
        <v/>
      </c>
      <c r="AI414" s="29">
        <f>IFERROR(AH414/H414,"")</f>
        <v/>
      </c>
      <c r="AJ414" s="65" t="n"/>
      <c r="AK414" s="65" t="n"/>
      <c r="AL414" s="65" t="n"/>
      <c r="AM414" s="65" t="n"/>
      <c r="AN414" s="65" t="n"/>
      <c r="AO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7">
        <f>IF(C415="","",SUMIFS(tbl_Finance[Inc GST],tbl_Finance[Job Number],C415&amp;""))</f>
        <v/>
      </c>
      <c r="M415" s="24" t="n"/>
      <c r="N415" s="25">
        <f>IF(C415="","",IFERROR(INDEX(tbl_Finance[Description],MATCH(C415&amp;"",tbl_Finance[Job Number],0)),""))</f>
        <v/>
      </c>
      <c r="O415" s="24" t="n"/>
      <c r="P415" s="24" t="n"/>
      <c r="Q415" s="22" t="n"/>
      <c r="R415" s="24" t="n"/>
      <c r="S415" s="25">
        <f>IF(R415="","",IF(AND(LEFT(R415,4)&lt;&gt;"http",set_RMSBase=""),"",HYPERLINK(IF(LEFT(R415,4)="http",R415,set_RMSBase&amp;R415),"Open opportunity")))</f>
        <v/>
      </c>
      <c r="T415" s="24" t="n"/>
      <c r="U415" s="25">
        <f>IF(T415="","",HYPERLINK(IF(LEFT(T415,4)="http",T415,set_QwilrBase&amp;T415),"Open quote"))</f>
        <v/>
      </c>
      <c r="V415" s="25">
        <f>IF(C415="","",C415)</f>
        <v/>
      </c>
      <c r="W415" s="24" t="n"/>
      <c r="X415" s="26" t="n"/>
      <c r="Y415" s="27">
        <f>IF(C415="","",H415+N(X415))</f>
        <v/>
      </c>
      <c r="Z415" s="29">
        <f>IFERROR(X415/Y415,"")</f>
        <v/>
      </c>
      <c r="AA415" s="26" t="n"/>
      <c r="AB415" s="26" t="n"/>
      <c r="AC415" s="26" t="n"/>
      <c r="AD415" s="26" t="n"/>
      <c r="AE415" s="27">
        <f>IF(C415="","",SUMIFS(tbl_Finance[Ex GST],tbl_Finance[Job Number],C415&amp;"",tbl_Finance[Cost Centre],"VIDEO"))</f>
        <v/>
      </c>
      <c r="AF415" s="29">
        <f>IFERROR(AE415/H415,"")</f>
        <v/>
      </c>
      <c r="AG415" s="27">
        <f>IF(C415="","",N(AA415)+N(AB415)+N(AC415)+N(AD415))</f>
        <v/>
      </c>
      <c r="AH415" s="27">
        <f>IF(C415="","",H415-AG415)</f>
        <v/>
      </c>
      <c r="AI415" s="29">
        <f>IFERROR(AH415/H415,"")</f>
        <v/>
      </c>
      <c r="AJ415" s="65" t="n"/>
      <c r="AK415" s="65" t="n"/>
      <c r="AL415" s="65" t="n"/>
      <c r="AM415" s="65" t="n"/>
      <c r="AN415" s="65" t="n"/>
      <c r="AO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7">
        <f>IF(C416="","",SUMIFS(tbl_Finance[Inc GST],tbl_Finance[Job Number],C416&amp;""))</f>
        <v/>
      </c>
      <c r="M416" s="24" t="n"/>
      <c r="N416" s="25">
        <f>IF(C416="","",IFERROR(INDEX(tbl_Finance[Description],MATCH(C416&amp;"",tbl_Finance[Job Number],0)),""))</f>
        <v/>
      </c>
      <c r="O416" s="24" t="n"/>
      <c r="P416" s="24" t="n"/>
      <c r="Q416" s="22" t="n"/>
      <c r="R416" s="24" t="n"/>
      <c r="S416" s="25">
        <f>IF(R416="","",IF(AND(LEFT(R416,4)&lt;&gt;"http",set_RMSBase=""),"",HYPERLINK(IF(LEFT(R416,4)="http",R416,set_RMSBase&amp;R416),"Open opportunity")))</f>
        <v/>
      </c>
      <c r="T416" s="24" t="n"/>
      <c r="U416" s="25">
        <f>IF(T416="","",HYPERLINK(IF(LEFT(T416,4)="http",T416,set_QwilrBase&amp;T416),"Open quote"))</f>
        <v/>
      </c>
      <c r="V416" s="25">
        <f>IF(C416="","",C416)</f>
        <v/>
      </c>
      <c r="W416" s="24" t="n"/>
      <c r="X416" s="26" t="n"/>
      <c r="Y416" s="27">
        <f>IF(C416="","",H416+N(X416))</f>
        <v/>
      </c>
      <c r="Z416" s="29">
        <f>IFERROR(X416/Y416,"")</f>
        <v/>
      </c>
      <c r="AA416" s="26" t="n"/>
      <c r="AB416" s="26" t="n"/>
      <c r="AC416" s="26" t="n"/>
      <c r="AD416" s="26" t="n"/>
      <c r="AE416" s="27">
        <f>IF(C416="","",SUMIFS(tbl_Finance[Ex GST],tbl_Finance[Job Number],C416&amp;"",tbl_Finance[Cost Centre],"VIDEO"))</f>
        <v/>
      </c>
      <c r="AF416" s="29">
        <f>IFERROR(AE416/H416,"")</f>
        <v/>
      </c>
      <c r="AG416" s="27">
        <f>IF(C416="","",N(AA416)+N(AB416)+N(AC416)+N(AD416))</f>
        <v/>
      </c>
      <c r="AH416" s="27">
        <f>IF(C416="","",H416-AG416)</f>
        <v/>
      </c>
      <c r="AI416" s="29">
        <f>IFERROR(AH416/H416,"")</f>
        <v/>
      </c>
      <c r="AJ416" s="65" t="n"/>
      <c r="AK416" s="65" t="n"/>
      <c r="AL416" s="65" t="n"/>
      <c r="AM416" s="65" t="n"/>
      <c r="AN416" s="65" t="n"/>
      <c r="AO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7">
        <f>IF(C417="","",SUMIFS(tbl_Finance[Inc GST],tbl_Finance[Job Number],C417&amp;""))</f>
        <v/>
      </c>
      <c r="M417" s="24" t="n"/>
      <c r="N417" s="25">
        <f>IF(C417="","",IFERROR(INDEX(tbl_Finance[Description],MATCH(C417&amp;"",tbl_Finance[Job Number],0)),""))</f>
        <v/>
      </c>
      <c r="O417" s="24" t="n"/>
      <c r="P417" s="24" t="n"/>
      <c r="Q417" s="22" t="n"/>
      <c r="R417" s="24" t="n"/>
      <c r="S417" s="25">
        <f>IF(R417="","",IF(AND(LEFT(R417,4)&lt;&gt;"http",set_RMSBase=""),"",HYPERLINK(IF(LEFT(R417,4)="http",R417,set_RMSBase&amp;R417),"Open opportunity")))</f>
        <v/>
      </c>
      <c r="T417" s="24" t="n"/>
      <c r="U417" s="25">
        <f>IF(T417="","",HYPERLINK(IF(LEFT(T417,4)="http",T417,set_QwilrBase&amp;T417),"Open quote"))</f>
        <v/>
      </c>
      <c r="V417" s="25">
        <f>IF(C417="","",C417)</f>
        <v/>
      </c>
      <c r="W417" s="24" t="n"/>
      <c r="X417" s="26" t="n"/>
      <c r="Y417" s="27">
        <f>IF(C417="","",H417+N(X417))</f>
        <v/>
      </c>
      <c r="Z417" s="29">
        <f>IFERROR(X417/Y417,"")</f>
        <v/>
      </c>
      <c r="AA417" s="26" t="n"/>
      <c r="AB417" s="26" t="n"/>
      <c r="AC417" s="26" t="n"/>
      <c r="AD417" s="26" t="n"/>
      <c r="AE417" s="27">
        <f>IF(C417="","",SUMIFS(tbl_Finance[Ex GST],tbl_Finance[Job Number],C417&amp;"",tbl_Finance[Cost Centre],"VIDEO"))</f>
        <v/>
      </c>
      <c r="AF417" s="29">
        <f>IFERROR(AE417/H417,"")</f>
        <v/>
      </c>
      <c r="AG417" s="27">
        <f>IF(C417="","",N(AA417)+N(AB417)+N(AC417)+N(AD417))</f>
        <v/>
      </c>
      <c r="AH417" s="27">
        <f>IF(C417="","",H417-AG417)</f>
        <v/>
      </c>
      <c r="AI417" s="29">
        <f>IFERROR(AH417/H417,"")</f>
        <v/>
      </c>
      <c r="AJ417" s="65" t="n"/>
      <c r="AK417" s="65" t="n"/>
      <c r="AL417" s="65" t="n"/>
      <c r="AM417" s="65" t="n"/>
      <c r="AN417" s="65" t="n"/>
      <c r="AO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7">
        <f>IF(C418="","",SUMIFS(tbl_Finance[Inc GST],tbl_Finance[Job Number],C418&amp;""))</f>
        <v/>
      </c>
      <c r="M418" s="24" t="n"/>
      <c r="N418" s="25">
        <f>IF(C418="","",IFERROR(INDEX(tbl_Finance[Description],MATCH(C418&amp;"",tbl_Finance[Job Number],0)),""))</f>
        <v/>
      </c>
      <c r="O418" s="24" t="n"/>
      <c r="P418" s="24" t="n"/>
      <c r="Q418" s="22" t="n"/>
      <c r="R418" s="24" t="n"/>
      <c r="S418" s="25">
        <f>IF(R418="","",IF(AND(LEFT(R418,4)&lt;&gt;"http",set_RMSBase=""),"",HYPERLINK(IF(LEFT(R418,4)="http",R418,set_RMSBase&amp;R418),"Open opportunity")))</f>
        <v/>
      </c>
      <c r="T418" s="24" t="n"/>
      <c r="U418" s="25">
        <f>IF(T418="","",HYPERLINK(IF(LEFT(T418,4)="http",T418,set_QwilrBase&amp;T418),"Open quote"))</f>
        <v/>
      </c>
      <c r="V418" s="25">
        <f>IF(C418="","",C418)</f>
        <v/>
      </c>
      <c r="W418" s="24" t="n"/>
      <c r="X418" s="26" t="n"/>
      <c r="Y418" s="27">
        <f>IF(C418="","",H418+N(X418))</f>
        <v/>
      </c>
      <c r="Z418" s="29">
        <f>IFERROR(X418/Y418,"")</f>
        <v/>
      </c>
      <c r="AA418" s="26" t="n"/>
      <c r="AB418" s="26" t="n"/>
      <c r="AC418" s="26" t="n"/>
      <c r="AD418" s="26" t="n"/>
      <c r="AE418" s="27">
        <f>IF(C418="","",SUMIFS(tbl_Finance[Ex GST],tbl_Finance[Job Number],C418&amp;"",tbl_Finance[Cost Centre],"VIDEO"))</f>
        <v/>
      </c>
      <c r="AF418" s="29">
        <f>IFERROR(AE418/H418,"")</f>
        <v/>
      </c>
      <c r="AG418" s="27">
        <f>IF(C418="","",N(AA418)+N(AB418)+N(AC418)+N(AD418))</f>
        <v/>
      </c>
      <c r="AH418" s="27">
        <f>IF(C418="","",H418-AG418)</f>
        <v/>
      </c>
      <c r="AI418" s="29">
        <f>IFERROR(AH418/H418,"")</f>
        <v/>
      </c>
      <c r="AJ418" s="65" t="n"/>
      <c r="AK418" s="65" t="n"/>
      <c r="AL418" s="65" t="n"/>
      <c r="AM418" s="65" t="n"/>
      <c r="AN418" s="65" t="n"/>
      <c r="AO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7">
        <f>IF(C419="","",SUMIFS(tbl_Finance[Inc GST],tbl_Finance[Job Number],C419&amp;""))</f>
        <v/>
      </c>
      <c r="M419" s="24" t="n"/>
      <c r="N419" s="25">
        <f>IF(C419="","",IFERROR(INDEX(tbl_Finance[Description],MATCH(C419&amp;"",tbl_Finance[Job Number],0)),""))</f>
        <v/>
      </c>
      <c r="O419" s="24" t="n"/>
      <c r="P419" s="24" t="n"/>
      <c r="Q419" s="22" t="n"/>
      <c r="R419" s="24" t="n"/>
      <c r="S419" s="25">
        <f>IF(R419="","",IF(AND(LEFT(R419,4)&lt;&gt;"http",set_RMSBase=""),"",HYPERLINK(IF(LEFT(R419,4)="http",R419,set_RMSBase&amp;R419),"Open opportunity")))</f>
        <v/>
      </c>
      <c r="T419" s="24" t="n"/>
      <c r="U419" s="25">
        <f>IF(T419="","",HYPERLINK(IF(LEFT(T419,4)="http",T419,set_QwilrBase&amp;T419),"Open quote"))</f>
        <v/>
      </c>
      <c r="V419" s="25">
        <f>IF(C419="","",C419)</f>
        <v/>
      </c>
      <c r="W419" s="24" t="n"/>
      <c r="X419" s="26" t="n"/>
      <c r="Y419" s="27">
        <f>IF(C419="","",H419+N(X419))</f>
        <v/>
      </c>
      <c r="Z419" s="29">
        <f>IFERROR(X419/Y419,"")</f>
        <v/>
      </c>
      <c r="AA419" s="26" t="n"/>
      <c r="AB419" s="26" t="n"/>
      <c r="AC419" s="26" t="n"/>
      <c r="AD419" s="26" t="n"/>
      <c r="AE419" s="27">
        <f>IF(C419="","",SUMIFS(tbl_Finance[Ex GST],tbl_Finance[Job Number],C419&amp;"",tbl_Finance[Cost Centre],"VIDEO"))</f>
        <v/>
      </c>
      <c r="AF419" s="29">
        <f>IFERROR(AE419/H419,"")</f>
        <v/>
      </c>
      <c r="AG419" s="27">
        <f>IF(C419="","",N(AA419)+N(AB419)+N(AC419)+N(AD419))</f>
        <v/>
      </c>
      <c r="AH419" s="27">
        <f>IF(C419="","",H419-AG419)</f>
        <v/>
      </c>
      <c r="AI419" s="29">
        <f>IFERROR(AH419/H419,"")</f>
        <v/>
      </c>
      <c r="AJ419" s="65" t="n"/>
      <c r="AK419" s="65" t="n"/>
      <c r="AL419" s="65" t="n"/>
      <c r="AM419" s="65" t="n"/>
      <c r="AN419" s="65" t="n"/>
      <c r="AO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7">
        <f>IF(C420="","",SUMIFS(tbl_Finance[Inc GST],tbl_Finance[Job Number],C420&amp;""))</f>
        <v/>
      </c>
      <c r="M420" s="24" t="n"/>
      <c r="N420" s="25">
        <f>IF(C420="","",IFERROR(INDEX(tbl_Finance[Description],MATCH(C420&amp;"",tbl_Finance[Job Number],0)),""))</f>
        <v/>
      </c>
      <c r="O420" s="24" t="n"/>
      <c r="P420" s="24" t="n"/>
      <c r="Q420" s="22" t="n"/>
      <c r="R420" s="24" t="n"/>
      <c r="S420" s="25">
        <f>IF(R420="","",IF(AND(LEFT(R420,4)&lt;&gt;"http",set_RMSBase=""),"",HYPERLINK(IF(LEFT(R420,4)="http",R420,set_RMSBase&amp;R420),"Open opportunity")))</f>
        <v/>
      </c>
      <c r="T420" s="24" t="n"/>
      <c r="U420" s="25">
        <f>IF(T420="","",HYPERLINK(IF(LEFT(T420,4)="http",T420,set_QwilrBase&amp;T420),"Open quote"))</f>
        <v/>
      </c>
      <c r="V420" s="25">
        <f>IF(C420="","",C420)</f>
        <v/>
      </c>
      <c r="W420" s="24" t="n"/>
      <c r="X420" s="26" t="n"/>
      <c r="Y420" s="27">
        <f>IF(C420="","",H420+N(X420))</f>
        <v/>
      </c>
      <c r="Z420" s="29">
        <f>IFERROR(X420/Y420,"")</f>
        <v/>
      </c>
      <c r="AA420" s="26" t="n"/>
      <c r="AB420" s="26" t="n"/>
      <c r="AC420" s="26" t="n"/>
      <c r="AD420" s="26" t="n"/>
      <c r="AE420" s="27">
        <f>IF(C420="","",SUMIFS(tbl_Finance[Ex GST],tbl_Finance[Job Number],C420&amp;"",tbl_Finance[Cost Centre],"VIDEO"))</f>
        <v/>
      </c>
      <c r="AF420" s="29">
        <f>IFERROR(AE420/H420,"")</f>
        <v/>
      </c>
      <c r="AG420" s="27">
        <f>IF(C420="","",N(AA420)+N(AB420)+N(AC420)+N(AD420))</f>
        <v/>
      </c>
      <c r="AH420" s="27">
        <f>IF(C420="","",H420-AG420)</f>
        <v/>
      </c>
      <c r="AI420" s="29">
        <f>IFERROR(AH420/H420,"")</f>
        <v/>
      </c>
      <c r="AJ420" s="65" t="n"/>
      <c r="AK420" s="65" t="n"/>
      <c r="AL420" s="65" t="n"/>
      <c r="AM420" s="65" t="n"/>
      <c r="AN420" s="65" t="n"/>
      <c r="AO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7">
        <f>IF(C421="","",SUMIFS(tbl_Finance[Inc GST],tbl_Finance[Job Number],C421&amp;""))</f>
        <v/>
      </c>
      <c r="M421" s="24" t="n"/>
      <c r="N421" s="25">
        <f>IF(C421="","",IFERROR(INDEX(tbl_Finance[Description],MATCH(C421&amp;"",tbl_Finance[Job Number],0)),""))</f>
        <v/>
      </c>
      <c r="O421" s="24" t="n"/>
      <c r="P421" s="24" t="n"/>
      <c r="Q421" s="22" t="n"/>
      <c r="R421" s="24" t="n"/>
      <c r="S421" s="25">
        <f>IF(R421="","",IF(AND(LEFT(R421,4)&lt;&gt;"http",set_RMSBase=""),"",HYPERLINK(IF(LEFT(R421,4)="http",R421,set_RMSBase&amp;R421),"Open opportunity")))</f>
        <v/>
      </c>
      <c r="T421" s="24" t="n"/>
      <c r="U421" s="25">
        <f>IF(T421="","",HYPERLINK(IF(LEFT(T421,4)="http",T421,set_QwilrBase&amp;T421),"Open quote"))</f>
        <v/>
      </c>
      <c r="V421" s="25">
        <f>IF(C421="","",C421)</f>
        <v/>
      </c>
      <c r="W421" s="24" t="n"/>
      <c r="X421" s="26" t="n"/>
      <c r="Y421" s="27">
        <f>IF(C421="","",H421+N(X421))</f>
        <v/>
      </c>
      <c r="Z421" s="29">
        <f>IFERROR(X421/Y421,"")</f>
        <v/>
      </c>
      <c r="AA421" s="26" t="n"/>
      <c r="AB421" s="26" t="n"/>
      <c r="AC421" s="26" t="n"/>
      <c r="AD421" s="26" t="n"/>
      <c r="AE421" s="27">
        <f>IF(C421="","",SUMIFS(tbl_Finance[Ex GST],tbl_Finance[Job Number],C421&amp;"",tbl_Finance[Cost Centre],"VIDEO"))</f>
        <v/>
      </c>
      <c r="AF421" s="29">
        <f>IFERROR(AE421/H421,"")</f>
        <v/>
      </c>
      <c r="AG421" s="27">
        <f>IF(C421="","",N(AA421)+N(AB421)+N(AC421)+N(AD421))</f>
        <v/>
      </c>
      <c r="AH421" s="27">
        <f>IF(C421="","",H421-AG421)</f>
        <v/>
      </c>
      <c r="AI421" s="29">
        <f>IFERROR(AH421/H421,"")</f>
        <v/>
      </c>
      <c r="AJ421" s="65" t="n"/>
      <c r="AK421" s="65" t="n"/>
      <c r="AL421" s="65" t="n"/>
      <c r="AM421" s="65" t="n"/>
      <c r="AN421" s="65" t="n"/>
      <c r="AO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7">
        <f>IF(C422="","",SUMIFS(tbl_Finance[Inc GST],tbl_Finance[Job Number],C422&amp;""))</f>
        <v/>
      </c>
      <c r="M422" s="24" t="n"/>
      <c r="N422" s="25">
        <f>IF(C422="","",IFERROR(INDEX(tbl_Finance[Description],MATCH(C422&amp;"",tbl_Finance[Job Number],0)),""))</f>
        <v/>
      </c>
      <c r="O422" s="24" t="n"/>
      <c r="P422" s="24" t="n"/>
      <c r="Q422" s="22" t="n"/>
      <c r="R422" s="24" t="n"/>
      <c r="S422" s="25">
        <f>IF(R422="","",IF(AND(LEFT(R422,4)&lt;&gt;"http",set_RMSBase=""),"",HYPERLINK(IF(LEFT(R422,4)="http",R422,set_RMSBase&amp;R422),"Open opportunity")))</f>
        <v/>
      </c>
      <c r="T422" s="24" t="n"/>
      <c r="U422" s="25">
        <f>IF(T422="","",HYPERLINK(IF(LEFT(T422,4)="http",T422,set_QwilrBase&amp;T422),"Open quote"))</f>
        <v/>
      </c>
      <c r="V422" s="25">
        <f>IF(C422="","",C422)</f>
        <v/>
      </c>
      <c r="W422" s="24" t="n"/>
      <c r="X422" s="26" t="n"/>
      <c r="Y422" s="27">
        <f>IF(C422="","",H422+N(X422))</f>
        <v/>
      </c>
      <c r="Z422" s="29">
        <f>IFERROR(X422/Y422,"")</f>
        <v/>
      </c>
      <c r="AA422" s="26" t="n"/>
      <c r="AB422" s="26" t="n"/>
      <c r="AC422" s="26" t="n"/>
      <c r="AD422" s="26" t="n"/>
      <c r="AE422" s="27">
        <f>IF(C422="","",SUMIFS(tbl_Finance[Ex GST],tbl_Finance[Job Number],C422&amp;"",tbl_Finance[Cost Centre],"VIDEO"))</f>
        <v/>
      </c>
      <c r="AF422" s="29">
        <f>IFERROR(AE422/H422,"")</f>
        <v/>
      </c>
      <c r="AG422" s="27">
        <f>IF(C422="","",N(AA422)+N(AB422)+N(AC422)+N(AD422))</f>
        <v/>
      </c>
      <c r="AH422" s="27">
        <f>IF(C422="","",H422-AG422)</f>
        <v/>
      </c>
      <c r="AI422" s="29">
        <f>IFERROR(AH422/H422,"")</f>
        <v/>
      </c>
      <c r="AJ422" s="65" t="n"/>
      <c r="AK422" s="65" t="n"/>
      <c r="AL422" s="65" t="n"/>
      <c r="AM422" s="65" t="n"/>
      <c r="AN422" s="65" t="n"/>
      <c r="AO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7">
        <f>IF(C423="","",SUMIFS(tbl_Finance[Inc GST],tbl_Finance[Job Number],C423&amp;""))</f>
        <v/>
      </c>
      <c r="M423" s="24" t="n"/>
      <c r="N423" s="25">
        <f>IF(C423="","",IFERROR(INDEX(tbl_Finance[Description],MATCH(C423&amp;"",tbl_Finance[Job Number],0)),""))</f>
        <v/>
      </c>
      <c r="O423" s="24" t="n"/>
      <c r="P423" s="24" t="n"/>
      <c r="Q423" s="22" t="n"/>
      <c r="R423" s="24" t="n"/>
      <c r="S423" s="25">
        <f>IF(R423="","",IF(AND(LEFT(R423,4)&lt;&gt;"http",set_RMSBase=""),"",HYPERLINK(IF(LEFT(R423,4)="http",R423,set_RMSBase&amp;R423),"Open opportunity")))</f>
        <v/>
      </c>
      <c r="T423" s="24" t="n"/>
      <c r="U423" s="25">
        <f>IF(T423="","",HYPERLINK(IF(LEFT(T423,4)="http",T423,set_QwilrBase&amp;T423),"Open quote"))</f>
        <v/>
      </c>
      <c r="V423" s="25">
        <f>IF(C423="","",C423)</f>
        <v/>
      </c>
      <c r="W423" s="24" t="n"/>
      <c r="X423" s="26" t="n"/>
      <c r="Y423" s="27">
        <f>IF(C423="","",H423+N(X423))</f>
        <v/>
      </c>
      <c r="Z423" s="29">
        <f>IFERROR(X423/Y423,"")</f>
        <v/>
      </c>
      <c r="AA423" s="26" t="n"/>
      <c r="AB423" s="26" t="n"/>
      <c r="AC423" s="26" t="n"/>
      <c r="AD423" s="26" t="n"/>
      <c r="AE423" s="27">
        <f>IF(C423="","",SUMIFS(tbl_Finance[Ex GST],tbl_Finance[Job Number],C423&amp;"",tbl_Finance[Cost Centre],"VIDEO"))</f>
        <v/>
      </c>
      <c r="AF423" s="29">
        <f>IFERROR(AE423/H423,"")</f>
        <v/>
      </c>
      <c r="AG423" s="27">
        <f>IF(C423="","",N(AA423)+N(AB423)+N(AC423)+N(AD423))</f>
        <v/>
      </c>
      <c r="AH423" s="27">
        <f>IF(C423="","",H423-AG423)</f>
        <v/>
      </c>
      <c r="AI423" s="29">
        <f>IFERROR(AH423/H423,"")</f>
        <v/>
      </c>
      <c r="AJ423" s="65" t="n"/>
      <c r="AK423" s="65" t="n"/>
      <c r="AL423" s="65" t="n"/>
      <c r="AM423" s="65" t="n"/>
      <c r="AN423" s="65" t="n"/>
      <c r="AO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7">
        <f>IF(C424="","",SUMIFS(tbl_Finance[Inc GST],tbl_Finance[Job Number],C424&amp;""))</f>
        <v/>
      </c>
      <c r="M424" s="24" t="n"/>
      <c r="N424" s="25">
        <f>IF(C424="","",IFERROR(INDEX(tbl_Finance[Description],MATCH(C424&amp;"",tbl_Finance[Job Number],0)),""))</f>
        <v/>
      </c>
      <c r="O424" s="24" t="n"/>
      <c r="P424" s="24" t="n"/>
      <c r="Q424" s="22" t="n"/>
      <c r="R424" s="24" t="n"/>
      <c r="S424" s="25">
        <f>IF(R424="","",IF(AND(LEFT(R424,4)&lt;&gt;"http",set_RMSBase=""),"",HYPERLINK(IF(LEFT(R424,4)="http",R424,set_RMSBase&amp;R424),"Open opportunity")))</f>
        <v/>
      </c>
      <c r="T424" s="24" t="n"/>
      <c r="U424" s="25">
        <f>IF(T424="","",HYPERLINK(IF(LEFT(T424,4)="http",T424,set_QwilrBase&amp;T424),"Open quote"))</f>
        <v/>
      </c>
      <c r="V424" s="25">
        <f>IF(C424="","",C424)</f>
        <v/>
      </c>
      <c r="W424" s="24" t="n"/>
      <c r="X424" s="26" t="n"/>
      <c r="Y424" s="27">
        <f>IF(C424="","",H424+N(X424))</f>
        <v/>
      </c>
      <c r="Z424" s="29">
        <f>IFERROR(X424/Y424,"")</f>
        <v/>
      </c>
      <c r="AA424" s="26" t="n"/>
      <c r="AB424" s="26" t="n"/>
      <c r="AC424" s="26" t="n"/>
      <c r="AD424" s="26" t="n"/>
      <c r="AE424" s="27">
        <f>IF(C424="","",SUMIFS(tbl_Finance[Ex GST],tbl_Finance[Job Number],C424&amp;"",tbl_Finance[Cost Centre],"VIDEO"))</f>
        <v/>
      </c>
      <c r="AF424" s="29">
        <f>IFERROR(AE424/H424,"")</f>
        <v/>
      </c>
      <c r="AG424" s="27">
        <f>IF(C424="","",N(AA424)+N(AB424)+N(AC424)+N(AD424))</f>
        <v/>
      </c>
      <c r="AH424" s="27">
        <f>IF(C424="","",H424-AG424)</f>
        <v/>
      </c>
      <c r="AI424" s="29">
        <f>IFERROR(AH424/H424,"")</f>
        <v/>
      </c>
      <c r="AJ424" s="65" t="n"/>
      <c r="AK424" s="65" t="n"/>
      <c r="AL424" s="65" t="n"/>
      <c r="AM424" s="65" t="n"/>
      <c r="AN424" s="65" t="n"/>
      <c r="AO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7">
        <f>IF(C425="","",SUMIFS(tbl_Finance[Inc GST],tbl_Finance[Job Number],C425&amp;""))</f>
        <v/>
      </c>
      <c r="M425" s="24" t="n"/>
      <c r="N425" s="25">
        <f>IF(C425="","",IFERROR(INDEX(tbl_Finance[Description],MATCH(C425&amp;"",tbl_Finance[Job Number],0)),""))</f>
        <v/>
      </c>
      <c r="O425" s="24" t="n"/>
      <c r="P425" s="24" t="n"/>
      <c r="Q425" s="22" t="n"/>
      <c r="R425" s="24" t="n"/>
      <c r="S425" s="25">
        <f>IF(R425="","",IF(AND(LEFT(R425,4)&lt;&gt;"http",set_RMSBase=""),"",HYPERLINK(IF(LEFT(R425,4)="http",R425,set_RMSBase&amp;R425),"Open opportunity")))</f>
        <v/>
      </c>
      <c r="T425" s="24" t="n"/>
      <c r="U425" s="25">
        <f>IF(T425="","",HYPERLINK(IF(LEFT(T425,4)="http",T425,set_QwilrBase&amp;T425),"Open quote"))</f>
        <v/>
      </c>
      <c r="V425" s="25">
        <f>IF(C425="","",C425)</f>
        <v/>
      </c>
      <c r="W425" s="24" t="n"/>
      <c r="X425" s="26" t="n"/>
      <c r="Y425" s="27">
        <f>IF(C425="","",H425+N(X425))</f>
        <v/>
      </c>
      <c r="Z425" s="29">
        <f>IFERROR(X425/Y425,"")</f>
        <v/>
      </c>
      <c r="AA425" s="26" t="n"/>
      <c r="AB425" s="26" t="n"/>
      <c r="AC425" s="26" t="n"/>
      <c r="AD425" s="26" t="n"/>
      <c r="AE425" s="27">
        <f>IF(C425="","",SUMIFS(tbl_Finance[Ex GST],tbl_Finance[Job Number],C425&amp;"",tbl_Finance[Cost Centre],"VIDEO"))</f>
        <v/>
      </c>
      <c r="AF425" s="29">
        <f>IFERROR(AE425/H425,"")</f>
        <v/>
      </c>
      <c r="AG425" s="27">
        <f>IF(C425="","",N(AA425)+N(AB425)+N(AC425)+N(AD425))</f>
        <v/>
      </c>
      <c r="AH425" s="27">
        <f>IF(C425="","",H425-AG425)</f>
        <v/>
      </c>
      <c r="AI425" s="29">
        <f>IFERROR(AH425/H425,"")</f>
        <v/>
      </c>
      <c r="AJ425" s="65" t="n"/>
      <c r="AK425" s="65" t="n"/>
      <c r="AL425" s="65" t="n"/>
      <c r="AM425" s="65" t="n"/>
      <c r="AN425" s="65" t="n"/>
      <c r="AO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7">
        <f>IF(C426="","",SUMIFS(tbl_Finance[Inc GST],tbl_Finance[Job Number],C426&amp;""))</f>
        <v/>
      </c>
      <c r="M426" s="24" t="n"/>
      <c r="N426" s="25">
        <f>IF(C426="","",IFERROR(INDEX(tbl_Finance[Description],MATCH(C426&amp;"",tbl_Finance[Job Number],0)),""))</f>
        <v/>
      </c>
      <c r="O426" s="24" t="n"/>
      <c r="P426" s="24" t="n"/>
      <c r="Q426" s="22" t="n"/>
      <c r="R426" s="24" t="n"/>
      <c r="S426" s="25">
        <f>IF(R426="","",IF(AND(LEFT(R426,4)&lt;&gt;"http",set_RMSBase=""),"",HYPERLINK(IF(LEFT(R426,4)="http",R426,set_RMSBase&amp;R426),"Open opportunity")))</f>
        <v/>
      </c>
      <c r="T426" s="24" t="n"/>
      <c r="U426" s="25">
        <f>IF(T426="","",HYPERLINK(IF(LEFT(T426,4)="http",T426,set_QwilrBase&amp;T426),"Open quote"))</f>
        <v/>
      </c>
      <c r="V426" s="25">
        <f>IF(C426="","",C426)</f>
        <v/>
      </c>
      <c r="W426" s="24" t="n"/>
      <c r="X426" s="26" t="n"/>
      <c r="Y426" s="27">
        <f>IF(C426="","",H426+N(X426))</f>
        <v/>
      </c>
      <c r="Z426" s="29">
        <f>IFERROR(X426/Y426,"")</f>
        <v/>
      </c>
      <c r="AA426" s="26" t="n"/>
      <c r="AB426" s="26" t="n"/>
      <c r="AC426" s="26" t="n"/>
      <c r="AD426" s="26" t="n"/>
      <c r="AE426" s="27">
        <f>IF(C426="","",SUMIFS(tbl_Finance[Ex GST],tbl_Finance[Job Number],C426&amp;"",tbl_Finance[Cost Centre],"VIDEO"))</f>
        <v/>
      </c>
      <c r="AF426" s="29">
        <f>IFERROR(AE426/H426,"")</f>
        <v/>
      </c>
      <c r="AG426" s="27">
        <f>IF(C426="","",N(AA426)+N(AB426)+N(AC426)+N(AD426))</f>
        <v/>
      </c>
      <c r="AH426" s="27">
        <f>IF(C426="","",H426-AG426)</f>
        <v/>
      </c>
      <c r="AI426" s="29">
        <f>IFERROR(AH426/H426,"")</f>
        <v/>
      </c>
      <c r="AJ426" s="65" t="n"/>
      <c r="AK426" s="65" t="n"/>
      <c r="AL426" s="65" t="n"/>
      <c r="AM426" s="65" t="n"/>
      <c r="AN426" s="65" t="n"/>
      <c r="AO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7">
        <f>IF(C427="","",SUMIFS(tbl_Finance[Inc GST],tbl_Finance[Job Number],C427&amp;""))</f>
        <v/>
      </c>
      <c r="M427" s="24" t="n"/>
      <c r="N427" s="25">
        <f>IF(C427="","",IFERROR(INDEX(tbl_Finance[Description],MATCH(C427&amp;"",tbl_Finance[Job Number],0)),""))</f>
        <v/>
      </c>
      <c r="O427" s="24" t="n"/>
      <c r="P427" s="24" t="n"/>
      <c r="Q427" s="22" t="n"/>
      <c r="R427" s="24" t="n"/>
      <c r="S427" s="25">
        <f>IF(R427="","",IF(AND(LEFT(R427,4)&lt;&gt;"http",set_RMSBase=""),"",HYPERLINK(IF(LEFT(R427,4)="http",R427,set_RMSBase&amp;R427),"Open opportunity")))</f>
        <v/>
      </c>
      <c r="T427" s="24" t="n"/>
      <c r="U427" s="25">
        <f>IF(T427="","",HYPERLINK(IF(LEFT(T427,4)="http",T427,set_QwilrBase&amp;T427),"Open quote"))</f>
        <v/>
      </c>
      <c r="V427" s="25">
        <f>IF(C427="","",C427)</f>
        <v/>
      </c>
      <c r="W427" s="24" t="n"/>
      <c r="X427" s="26" t="n"/>
      <c r="Y427" s="27">
        <f>IF(C427="","",H427+N(X427))</f>
        <v/>
      </c>
      <c r="Z427" s="29">
        <f>IFERROR(X427/Y427,"")</f>
        <v/>
      </c>
      <c r="AA427" s="26" t="n"/>
      <c r="AB427" s="26" t="n"/>
      <c r="AC427" s="26" t="n"/>
      <c r="AD427" s="26" t="n"/>
      <c r="AE427" s="27">
        <f>IF(C427="","",SUMIFS(tbl_Finance[Ex GST],tbl_Finance[Job Number],C427&amp;"",tbl_Finance[Cost Centre],"VIDEO"))</f>
        <v/>
      </c>
      <c r="AF427" s="29">
        <f>IFERROR(AE427/H427,"")</f>
        <v/>
      </c>
      <c r="AG427" s="27">
        <f>IF(C427="","",N(AA427)+N(AB427)+N(AC427)+N(AD427))</f>
        <v/>
      </c>
      <c r="AH427" s="27">
        <f>IF(C427="","",H427-AG427)</f>
        <v/>
      </c>
      <c r="AI427" s="29">
        <f>IFERROR(AH427/H427,"")</f>
        <v/>
      </c>
      <c r="AJ427" s="65" t="n"/>
      <c r="AK427" s="65" t="n"/>
      <c r="AL427" s="65" t="n"/>
      <c r="AM427" s="65" t="n"/>
      <c r="AN427" s="65" t="n"/>
      <c r="AO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7">
        <f>IF(C428="","",SUMIFS(tbl_Finance[Inc GST],tbl_Finance[Job Number],C428&amp;""))</f>
        <v/>
      </c>
      <c r="M428" s="24" t="n"/>
      <c r="N428" s="25">
        <f>IF(C428="","",IFERROR(INDEX(tbl_Finance[Description],MATCH(C428&amp;"",tbl_Finance[Job Number],0)),""))</f>
        <v/>
      </c>
      <c r="O428" s="24" t="n"/>
      <c r="P428" s="24" t="n"/>
      <c r="Q428" s="22" t="n"/>
      <c r="R428" s="24" t="n"/>
      <c r="S428" s="25">
        <f>IF(R428="","",IF(AND(LEFT(R428,4)&lt;&gt;"http",set_RMSBase=""),"",HYPERLINK(IF(LEFT(R428,4)="http",R428,set_RMSBase&amp;R428),"Open opportunity")))</f>
        <v/>
      </c>
      <c r="T428" s="24" t="n"/>
      <c r="U428" s="25">
        <f>IF(T428="","",HYPERLINK(IF(LEFT(T428,4)="http",T428,set_QwilrBase&amp;T428),"Open quote"))</f>
        <v/>
      </c>
      <c r="V428" s="25">
        <f>IF(C428="","",C428)</f>
        <v/>
      </c>
      <c r="W428" s="24" t="n"/>
      <c r="X428" s="26" t="n"/>
      <c r="Y428" s="27">
        <f>IF(C428="","",H428+N(X428))</f>
        <v/>
      </c>
      <c r="Z428" s="29">
        <f>IFERROR(X428/Y428,"")</f>
        <v/>
      </c>
      <c r="AA428" s="26" t="n"/>
      <c r="AB428" s="26" t="n"/>
      <c r="AC428" s="26" t="n"/>
      <c r="AD428" s="26" t="n"/>
      <c r="AE428" s="27">
        <f>IF(C428="","",SUMIFS(tbl_Finance[Ex GST],tbl_Finance[Job Number],C428&amp;"",tbl_Finance[Cost Centre],"VIDEO"))</f>
        <v/>
      </c>
      <c r="AF428" s="29">
        <f>IFERROR(AE428/H428,"")</f>
        <v/>
      </c>
      <c r="AG428" s="27">
        <f>IF(C428="","",N(AA428)+N(AB428)+N(AC428)+N(AD428))</f>
        <v/>
      </c>
      <c r="AH428" s="27">
        <f>IF(C428="","",H428-AG428)</f>
        <v/>
      </c>
      <c r="AI428" s="29">
        <f>IFERROR(AH428/H428,"")</f>
        <v/>
      </c>
      <c r="AJ428" s="65" t="n"/>
      <c r="AK428" s="65" t="n"/>
      <c r="AL428" s="65" t="n"/>
      <c r="AM428" s="65" t="n"/>
      <c r="AN428" s="65" t="n"/>
      <c r="AO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7">
        <f>IF(C429="","",SUMIFS(tbl_Finance[Inc GST],tbl_Finance[Job Number],C429&amp;""))</f>
        <v/>
      </c>
      <c r="M429" s="24" t="n"/>
      <c r="N429" s="25">
        <f>IF(C429="","",IFERROR(INDEX(tbl_Finance[Description],MATCH(C429&amp;"",tbl_Finance[Job Number],0)),""))</f>
        <v/>
      </c>
      <c r="O429" s="24" t="n"/>
      <c r="P429" s="24" t="n"/>
      <c r="Q429" s="22" t="n"/>
      <c r="R429" s="24" t="n"/>
      <c r="S429" s="25">
        <f>IF(R429="","",IF(AND(LEFT(R429,4)&lt;&gt;"http",set_RMSBase=""),"",HYPERLINK(IF(LEFT(R429,4)="http",R429,set_RMSBase&amp;R429),"Open opportunity")))</f>
        <v/>
      </c>
      <c r="T429" s="24" t="n"/>
      <c r="U429" s="25">
        <f>IF(T429="","",HYPERLINK(IF(LEFT(T429,4)="http",T429,set_QwilrBase&amp;T429),"Open quote"))</f>
        <v/>
      </c>
      <c r="V429" s="25">
        <f>IF(C429="","",C429)</f>
        <v/>
      </c>
      <c r="W429" s="24" t="n"/>
      <c r="X429" s="26" t="n"/>
      <c r="Y429" s="27">
        <f>IF(C429="","",H429+N(X429))</f>
        <v/>
      </c>
      <c r="Z429" s="29">
        <f>IFERROR(X429/Y429,"")</f>
        <v/>
      </c>
      <c r="AA429" s="26" t="n"/>
      <c r="AB429" s="26" t="n"/>
      <c r="AC429" s="26" t="n"/>
      <c r="AD429" s="26" t="n"/>
      <c r="AE429" s="27">
        <f>IF(C429="","",SUMIFS(tbl_Finance[Ex GST],tbl_Finance[Job Number],C429&amp;"",tbl_Finance[Cost Centre],"VIDEO"))</f>
        <v/>
      </c>
      <c r="AF429" s="29">
        <f>IFERROR(AE429/H429,"")</f>
        <v/>
      </c>
      <c r="AG429" s="27">
        <f>IF(C429="","",N(AA429)+N(AB429)+N(AC429)+N(AD429))</f>
        <v/>
      </c>
      <c r="AH429" s="27">
        <f>IF(C429="","",H429-AG429)</f>
        <v/>
      </c>
      <c r="AI429" s="29">
        <f>IFERROR(AH429/H429,"")</f>
        <v/>
      </c>
      <c r="AJ429" s="65" t="n"/>
      <c r="AK429" s="65" t="n"/>
      <c r="AL429" s="65" t="n"/>
      <c r="AM429" s="65" t="n"/>
      <c r="AN429" s="65" t="n"/>
      <c r="AO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7">
        <f>IF(C430="","",SUMIFS(tbl_Finance[Inc GST],tbl_Finance[Job Number],C430&amp;""))</f>
        <v/>
      </c>
      <c r="M430" s="24" t="n"/>
      <c r="N430" s="25">
        <f>IF(C430="","",IFERROR(INDEX(tbl_Finance[Description],MATCH(C430&amp;"",tbl_Finance[Job Number],0)),""))</f>
        <v/>
      </c>
      <c r="O430" s="24" t="n"/>
      <c r="P430" s="24" t="n"/>
      <c r="Q430" s="22" t="n"/>
      <c r="R430" s="24" t="n"/>
      <c r="S430" s="25">
        <f>IF(R430="","",IF(AND(LEFT(R430,4)&lt;&gt;"http",set_RMSBase=""),"",HYPERLINK(IF(LEFT(R430,4)="http",R430,set_RMSBase&amp;R430),"Open opportunity")))</f>
        <v/>
      </c>
      <c r="T430" s="24" t="n"/>
      <c r="U430" s="25">
        <f>IF(T430="","",HYPERLINK(IF(LEFT(T430,4)="http",T430,set_QwilrBase&amp;T430),"Open quote"))</f>
        <v/>
      </c>
      <c r="V430" s="25">
        <f>IF(C430="","",C430)</f>
        <v/>
      </c>
      <c r="W430" s="24" t="n"/>
      <c r="X430" s="26" t="n"/>
      <c r="Y430" s="27">
        <f>IF(C430="","",H430+N(X430))</f>
        <v/>
      </c>
      <c r="Z430" s="29">
        <f>IFERROR(X430/Y430,"")</f>
        <v/>
      </c>
      <c r="AA430" s="26" t="n"/>
      <c r="AB430" s="26" t="n"/>
      <c r="AC430" s="26" t="n"/>
      <c r="AD430" s="26" t="n"/>
      <c r="AE430" s="27">
        <f>IF(C430="","",SUMIFS(tbl_Finance[Ex GST],tbl_Finance[Job Number],C430&amp;"",tbl_Finance[Cost Centre],"VIDEO"))</f>
        <v/>
      </c>
      <c r="AF430" s="29">
        <f>IFERROR(AE430/H430,"")</f>
        <v/>
      </c>
      <c r="AG430" s="27">
        <f>IF(C430="","",N(AA430)+N(AB430)+N(AC430)+N(AD430))</f>
        <v/>
      </c>
      <c r="AH430" s="27">
        <f>IF(C430="","",H430-AG430)</f>
        <v/>
      </c>
      <c r="AI430" s="29">
        <f>IFERROR(AH430/H430,"")</f>
        <v/>
      </c>
      <c r="AJ430" s="65" t="n"/>
      <c r="AK430" s="65" t="n"/>
      <c r="AL430" s="65" t="n"/>
      <c r="AM430" s="65" t="n"/>
      <c r="AN430" s="65" t="n"/>
      <c r="AO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7">
        <f>IF(C431="","",SUMIFS(tbl_Finance[Inc GST],tbl_Finance[Job Number],C431&amp;""))</f>
        <v/>
      </c>
      <c r="M431" s="24" t="n"/>
      <c r="N431" s="25">
        <f>IF(C431="","",IFERROR(INDEX(tbl_Finance[Description],MATCH(C431&amp;"",tbl_Finance[Job Number],0)),""))</f>
        <v/>
      </c>
      <c r="O431" s="24" t="n"/>
      <c r="P431" s="24" t="n"/>
      <c r="Q431" s="22" t="n"/>
      <c r="R431" s="24" t="n"/>
      <c r="S431" s="25">
        <f>IF(R431="","",IF(AND(LEFT(R431,4)&lt;&gt;"http",set_RMSBase=""),"",HYPERLINK(IF(LEFT(R431,4)="http",R431,set_RMSBase&amp;R431),"Open opportunity")))</f>
        <v/>
      </c>
      <c r="T431" s="24" t="n"/>
      <c r="U431" s="25">
        <f>IF(T431="","",HYPERLINK(IF(LEFT(T431,4)="http",T431,set_QwilrBase&amp;T431),"Open quote"))</f>
        <v/>
      </c>
      <c r="V431" s="25">
        <f>IF(C431="","",C431)</f>
        <v/>
      </c>
      <c r="W431" s="24" t="n"/>
      <c r="X431" s="26" t="n"/>
      <c r="Y431" s="27">
        <f>IF(C431="","",H431+N(X431))</f>
        <v/>
      </c>
      <c r="Z431" s="29">
        <f>IFERROR(X431/Y431,"")</f>
        <v/>
      </c>
      <c r="AA431" s="26" t="n"/>
      <c r="AB431" s="26" t="n"/>
      <c r="AC431" s="26" t="n"/>
      <c r="AD431" s="26" t="n"/>
      <c r="AE431" s="27">
        <f>IF(C431="","",SUMIFS(tbl_Finance[Ex GST],tbl_Finance[Job Number],C431&amp;"",tbl_Finance[Cost Centre],"VIDEO"))</f>
        <v/>
      </c>
      <c r="AF431" s="29">
        <f>IFERROR(AE431/H431,"")</f>
        <v/>
      </c>
      <c r="AG431" s="27">
        <f>IF(C431="","",N(AA431)+N(AB431)+N(AC431)+N(AD431))</f>
        <v/>
      </c>
      <c r="AH431" s="27">
        <f>IF(C431="","",H431-AG431)</f>
        <v/>
      </c>
      <c r="AI431" s="29">
        <f>IFERROR(AH431/H431,"")</f>
        <v/>
      </c>
      <c r="AJ431" s="65" t="n"/>
      <c r="AK431" s="65" t="n"/>
      <c r="AL431" s="65" t="n"/>
      <c r="AM431" s="65" t="n"/>
      <c r="AN431" s="65" t="n"/>
      <c r="AO431" s="24" t="n"/>
    </row>
    <row r="432" ht="15" customHeight="1">
      <c r="A432" s="64">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7">
        <f>IF(C432="","",SUMIFS(tbl_Finance[Inc GST],tbl_Finance[Job Number],C432&amp;""))</f>
        <v/>
      </c>
      <c r="M432" s="24" t="n"/>
      <c r="N432" s="25">
        <f>IF(C432="","",IFERROR(INDEX(tbl_Finance[Description],MATCH(C432&amp;"",tbl_Finance[Job Number],0)),""))</f>
        <v/>
      </c>
      <c r="O432" s="24" t="n"/>
      <c r="P432" s="24" t="n"/>
      <c r="Q432" s="22" t="n"/>
      <c r="R432" s="24" t="n"/>
      <c r="S432" s="25">
        <f>IF(R432="","",IF(AND(LEFT(R432,4)&lt;&gt;"http",set_RMSBase=""),"",HYPERLINK(IF(LEFT(R432,4)="http",R432,set_RMSBase&amp;R432),"Open opportunity")))</f>
        <v/>
      </c>
      <c r="T432" s="24" t="n"/>
      <c r="U432" s="25">
        <f>IF(T432="","",HYPERLINK(IF(LEFT(T432,4)="http",T432,set_QwilrBase&amp;T432),"Open quote"))</f>
        <v/>
      </c>
      <c r="V432" s="25">
        <f>IF(C432="","",C432)</f>
        <v/>
      </c>
      <c r="W432" s="24" t="n"/>
      <c r="X432" s="26" t="n"/>
      <c r="Y432" s="27">
        <f>IF(C432="","",H432+N(X432))</f>
        <v/>
      </c>
      <c r="Z432" s="29">
        <f>IFERROR(X432/Y432,"")</f>
        <v/>
      </c>
      <c r="AA432" s="26" t="n"/>
      <c r="AB432" s="26" t="n"/>
      <c r="AC432" s="26" t="n"/>
      <c r="AD432" s="26" t="n"/>
      <c r="AE432" s="27">
        <f>IF(C432="","",SUMIFS(tbl_Finance[Ex GST],tbl_Finance[Job Number],C432&amp;"",tbl_Finance[Cost Centre],"VIDEO"))</f>
        <v/>
      </c>
      <c r="AF432" s="29">
        <f>IFERROR(AE432/H432,"")</f>
        <v/>
      </c>
      <c r="AG432" s="27">
        <f>IF(C432="","",N(AA432)+N(AB432)+N(AC432)+N(AD432))</f>
        <v/>
      </c>
      <c r="AH432" s="27">
        <f>IF(C432="","",H432-AG432)</f>
        <v/>
      </c>
      <c r="AI432" s="29">
        <f>IFERROR(AH432/H432,"")</f>
        <v/>
      </c>
      <c r="AJ432" s="65" t="n"/>
      <c r="AK432" s="65" t="n"/>
      <c r="AL432" s="65" t="n"/>
      <c r="AM432" s="65" t="n"/>
      <c r="AN432" s="65" t="n"/>
      <c r="AO432" s="24" t="n"/>
    </row>
    <row r="433" ht="15" customHeight="1">
      <c r="A433" s="64">
        <f>IF(C433="","",IFERROR(IF(SUMPRODUCT(MAX((tbl_Finance[Job Number]=C433&amp;"")*(tbl_Finance[Xero Invoice No]&lt;&gt;"")*tbl_Finance[Date]))=0,"",SUMPRODUCT(MAX((tbl_Finance[Job Number]=C433&amp;"")*(tbl_Finance[Xero Invoice No]&lt;&gt;"")*tbl_Finance[Date]))),""))</f>
        <v/>
      </c>
      <c r="B433" s="25">
        <f>IF(C433="","",IF(COUNTIFS(tbl_Finance[Job Number],C433&amp;"",tbl_Finance[Xero Invoice No],"&lt;&gt;")=0,"",IFERROR(IF(COUNTIFS(tbl_Finance[Job Number],C433&amp;"",tbl_Finance[Xero Invoice No],LOOKUP(2,1/((tbl_Finance[Job Number]=C433&amp;"")*(tbl_Finance[Xero Invoice No]&lt;&gt;"")),tbl_Finance[Xero Invoice No]))=COUNTIFS(tbl_Finance[Job Number],C433&amp;"",tbl_Finance[Xero Invoice No],"&lt;&gt;"),LOOKUP(2,1/((tbl_Finance[Job Number]=C433&amp;"")*(tbl_Finance[Xero Invoice No]&lt;&gt;"")),tbl_Finance[Xero Invoice No]),LOOKUP(2,1/((tbl_Finance[Job Number]=C433&amp;"")*(tbl_Finance[Xero Invoice No]&lt;&gt;"")),tbl_Finance[Xero Invoice No])&amp;" +more"),"")))</f>
        <v/>
      </c>
      <c r="C433" s="24" t="n"/>
      <c r="D433" s="25">
        <f>IF(C433="","",IF(COUNTIF(lst_Jobs,C433&amp;"")&gt;0,"OK","CHECK"))</f>
        <v/>
      </c>
      <c r="E433" s="25">
        <f>IF(C433="","",IFERROR(INDEX(lst_JobName,MATCH(C433&amp;"",lst_Jobs,0)),""))</f>
        <v/>
      </c>
      <c r="F433" s="25">
        <f>IF(C433="","",IFERROR(INDEX(tbl_Finance[Client],MATCH(C433&amp;"",tbl_Finance[Job Number],0)),""))</f>
        <v/>
      </c>
      <c r="G433" s="28">
        <f>IF(C433="","",COUNTIFS(tbl_Finance[Job Number],C433&amp;"",tbl_Finance[Ex GST],"&lt;&gt;"))</f>
        <v/>
      </c>
      <c r="H433" s="27">
        <f>IF(C433="","",SUMIFS(tbl_Finance[Ex GST],tbl_Finance[Job Number],C433&amp;""))</f>
        <v/>
      </c>
      <c r="I433" s="27">
        <f>IF(C433="","",SUMIFS(tbl_Finance[Ex GST],tbl_Finance[Job Number],C433&amp;"",tbl_Finance[Xero Invoice No],"&lt;&gt;"))</f>
        <v/>
      </c>
      <c r="J433" s="27">
        <f>IF(C433="","",H433-I433)</f>
        <v/>
      </c>
      <c r="K433" s="25">
        <f>IF(C433="","",IF(G433=0,"not invoiced yet",SUBSTITUTE(TRIM(IF(COUNTIFS(tbl_Finance[Job Number],C433&amp;"",tbl_Finance[Cost Centre],"ONSITE")&gt;0,"ONSITE ","")&amp;IF(COUNTIFS(tbl_Finance[Job Number],C433&amp;"",tbl_Finance[Cost Centre],"PRODUCTION")&gt;0,"PRODUCTION ","")&amp;IF(COUNTIFS(tbl_Finance[Job Number],C433&amp;"",tbl_Finance[Cost Centre],"VIDEO")&gt;0,"VIDEO ","")&amp;IF(COUNTIFS(tbl_Finance[Job Number],C433&amp;"",tbl_Finance[Cost Centre],"INTEGRATION")&gt;0,"INTEGRATION ","")&amp;IF(COUNTIFS(tbl_Finance[Job Number],C433&amp;"",tbl_Finance[Cost Centre],"CONSULTING")&gt;0,"CONSULTING ","")&amp;IF(COUNTIFS(tbl_Finance[Job Number],C433&amp;"",tbl_Finance[Cost Centre],"CTS")&gt;0,"CTS ",""))," ",", ")))</f>
        <v/>
      </c>
      <c r="L433" s="27">
        <f>IF(C433="","",SUMIFS(tbl_Finance[Inc GST],tbl_Finance[Job Number],C433&amp;""))</f>
        <v/>
      </c>
      <c r="M433" s="24" t="n"/>
      <c r="N433" s="25">
        <f>IF(C433="","",IFERROR(INDEX(tbl_Finance[Description],MATCH(C433&amp;"",tbl_Finance[Job Number],0)),""))</f>
        <v/>
      </c>
      <c r="O433" s="24" t="n"/>
      <c r="P433" s="24" t="n"/>
      <c r="Q433" s="22" t="n"/>
      <c r="R433" s="24" t="n"/>
      <c r="S433" s="25">
        <f>IF(R433="","",IF(AND(LEFT(R433,4)&lt;&gt;"http",set_RMSBase=""),"",HYPERLINK(IF(LEFT(R433,4)="http",R433,set_RMSBase&amp;R433),"Open opportunity")))</f>
        <v/>
      </c>
      <c r="T433" s="24" t="n"/>
      <c r="U433" s="25">
        <f>IF(T433="","",HYPERLINK(IF(LEFT(T433,4)="http",T433,set_QwilrBase&amp;T433),"Open quote"))</f>
        <v/>
      </c>
      <c r="V433" s="25">
        <f>IF(C433="","",C433)</f>
        <v/>
      </c>
      <c r="W433" s="24" t="n"/>
      <c r="X433" s="26" t="n"/>
      <c r="Y433" s="27">
        <f>IF(C433="","",H433+N(X433))</f>
        <v/>
      </c>
      <c r="Z433" s="29">
        <f>IFERROR(X433/Y433,"")</f>
        <v/>
      </c>
      <c r="AA433" s="26" t="n"/>
      <c r="AB433" s="26" t="n"/>
      <c r="AC433" s="26" t="n"/>
      <c r="AD433" s="26" t="n"/>
      <c r="AE433" s="27">
        <f>IF(C433="","",SUMIFS(tbl_Finance[Ex GST],tbl_Finance[Job Number],C433&amp;"",tbl_Finance[Cost Centre],"VIDEO"))</f>
        <v/>
      </c>
      <c r="AF433" s="29">
        <f>IFERROR(AE433/H433,"")</f>
        <v/>
      </c>
      <c r="AG433" s="27">
        <f>IF(C433="","",N(AA433)+N(AB433)+N(AC433)+N(AD433))</f>
        <v/>
      </c>
      <c r="AH433" s="27">
        <f>IF(C433="","",H433-AG433)</f>
        <v/>
      </c>
      <c r="AI433" s="29">
        <f>IFERROR(AH433/H433,"")</f>
        <v/>
      </c>
      <c r="AJ433" s="65" t="n"/>
      <c r="AK433" s="65" t="n"/>
      <c r="AL433" s="65" t="n"/>
      <c r="AM433" s="65" t="n"/>
      <c r="AN433" s="65" t="n"/>
      <c r="AO433" s="24" t="n"/>
    </row>
    <row r="434" ht="15" customHeight="1">
      <c r="A434" s="64">
        <f>IF(C434="","",IFERROR(IF(SUMPRODUCT(MAX((tbl_Finance[Job Number]=C434&amp;"")*(tbl_Finance[Xero Invoice No]&lt;&gt;"")*tbl_Finance[Date]))=0,"",SUMPRODUCT(MAX((tbl_Finance[Job Number]=C434&amp;"")*(tbl_Finance[Xero Invoice No]&lt;&gt;"")*tbl_Finance[Date]))),""))</f>
        <v/>
      </c>
      <c r="B434" s="25">
        <f>IF(C434="","",IF(COUNTIFS(tbl_Finance[Job Number],C434&amp;"",tbl_Finance[Xero Invoice No],"&lt;&gt;")=0,"",IFERROR(IF(COUNTIFS(tbl_Finance[Job Number],C434&amp;"",tbl_Finance[Xero Invoice No],LOOKUP(2,1/((tbl_Finance[Job Number]=C434&amp;"")*(tbl_Finance[Xero Invoice No]&lt;&gt;"")),tbl_Finance[Xero Invoice No]))=COUNTIFS(tbl_Finance[Job Number],C434&amp;"",tbl_Finance[Xero Invoice No],"&lt;&gt;"),LOOKUP(2,1/((tbl_Finance[Job Number]=C434&amp;"")*(tbl_Finance[Xero Invoice No]&lt;&gt;"")),tbl_Finance[Xero Invoice No]),LOOKUP(2,1/((tbl_Finance[Job Number]=C434&amp;"")*(tbl_Finance[Xero Invoice No]&lt;&gt;"")),tbl_Finance[Xero Invoice No])&amp;" +more"),"")))</f>
        <v/>
      </c>
      <c r="C434" s="24" t="n"/>
      <c r="D434" s="25">
        <f>IF(C434="","",IF(COUNTIF(lst_Jobs,C434&amp;"")&gt;0,"OK","CHECK"))</f>
        <v/>
      </c>
      <c r="E434" s="25">
        <f>IF(C434="","",IFERROR(INDEX(lst_JobName,MATCH(C434&amp;"",lst_Jobs,0)),""))</f>
        <v/>
      </c>
      <c r="F434" s="25">
        <f>IF(C434="","",IFERROR(INDEX(tbl_Finance[Client],MATCH(C434&amp;"",tbl_Finance[Job Number],0)),""))</f>
        <v/>
      </c>
      <c r="G434" s="28">
        <f>IF(C434="","",COUNTIFS(tbl_Finance[Job Number],C434&amp;"",tbl_Finance[Ex GST],"&lt;&gt;"))</f>
        <v/>
      </c>
      <c r="H434" s="27">
        <f>IF(C434="","",SUMIFS(tbl_Finance[Ex GST],tbl_Finance[Job Number],C434&amp;""))</f>
        <v/>
      </c>
      <c r="I434" s="27">
        <f>IF(C434="","",SUMIFS(tbl_Finance[Ex GST],tbl_Finance[Job Number],C434&amp;"",tbl_Finance[Xero Invoice No],"&lt;&gt;"))</f>
        <v/>
      </c>
      <c r="J434" s="27">
        <f>IF(C434="","",H434-I434)</f>
        <v/>
      </c>
      <c r="K434" s="25">
        <f>IF(C434="","",IF(G434=0,"not invoiced yet",SUBSTITUTE(TRIM(IF(COUNTIFS(tbl_Finance[Job Number],C434&amp;"",tbl_Finance[Cost Centre],"ONSITE")&gt;0,"ONSITE ","")&amp;IF(COUNTIFS(tbl_Finance[Job Number],C434&amp;"",tbl_Finance[Cost Centre],"PRODUCTION")&gt;0,"PRODUCTION ","")&amp;IF(COUNTIFS(tbl_Finance[Job Number],C434&amp;"",tbl_Finance[Cost Centre],"VIDEO")&gt;0,"VIDEO ","")&amp;IF(COUNTIFS(tbl_Finance[Job Number],C434&amp;"",tbl_Finance[Cost Centre],"INTEGRATION")&gt;0,"INTEGRATION ","")&amp;IF(COUNTIFS(tbl_Finance[Job Number],C434&amp;"",tbl_Finance[Cost Centre],"CONSULTING")&gt;0,"CONSULTING ","")&amp;IF(COUNTIFS(tbl_Finance[Job Number],C434&amp;"",tbl_Finance[Cost Centre],"CTS")&gt;0,"CTS ",""))," ",", ")))</f>
        <v/>
      </c>
      <c r="L434" s="27">
        <f>IF(C434="","",SUMIFS(tbl_Finance[Inc GST],tbl_Finance[Job Number],C434&amp;""))</f>
        <v/>
      </c>
      <c r="M434" s="24" t="n"/>
      <c r="N434" s="25">
        <f>IF(C434="","",IFERROR(INDEX(tbl_Finance[Description],MATCH(C434&amp;"",tbl_Finance[Job Number],0)),""))</f>
        <v/>
      </c>
      <c r="O434" s="24" t="n"/>
      <c r="P434" s="24" t="n"/>
      <c r="Q434" s="22" t="n"/>
      <c r="R434" s="24" t="n"/>
      <c r="S434" s="25">
        <f>IF(R434="","",IF(AND(LEFT(R434,4)&lt;&gt;"http",set_RMSBase=""),"",HYPERLINK(IF(LEFT(R434,4)="http",R434,set_RMSBase&amp;R434),"Open opportunity")))</f>
        <v/>
      </c>
      <c r="T434" s="24" t="n"/>
      <c r="U434" s="25">
        <f>IF(T434="","",HYPERLINK(IF(LEFT(T434,4)="http",T434,set_QwilrBase&amp;T434),"Open quote"))</f>
        <v/>
      </c>
      <c r="V434" s="25">
        <f>IF(C434="","",C434)</f>
        <v/>
      </c>
      <c r="W434" s="24" t="n"/>
      <c r="X434" s="26" t="n"/>
      <c r="Y434" s="27">
        <f>IF(C434="","",H434+N(X434))</f>
        <v/>
      </c>
      <c r="Z434" s="29">
        <f>IFERROR(X434/Y434,"")</f>
        <v/>
      </c>
      <c r="AA434" s="26" t="n"/>
      <c r="AB434" s="26" t="n"/>
      <c r="AC434" s="26" t="n"/>
      <c r="AD434" s="26" t="n"/>
      <c r="AE434" s="27">
        <f>IF(C434="","",SUMIFS(tbl_Finance[Ex GST],tbl_Finance[Job Number],C434&amp;"",tbl_Finance[Cost Centre],"VIDEO"))</f>
        <v/>
      </c>
      <c r="AF434" s="29">
        <f>IFERROR(AE434/H434,"")</f>
        <v/>
      </c>
      <c r="AG434" s="27">
        <f>IF(C434="","",N(AA434)+N(AB434)+N(AC434)+N(AD434))</f>
        <v/>
      </c>
      <c r="AH434" s="27">
        <f>IF(C434="","",H434-AG434)</f>
        <v/>
      </c>
      <c r="AI434" s="29">
        <f>IFERROR(AH434/H434,"")</f>
        <v/>
      </c>
      <c r="AJ434" s="65" t="n"/>
      <c r="AK434" s="65" t="n"/>
      <c r="AL434" s="65" t="n"/>
      <c r="AM434" s="65" t="n"/>
      <c r="AN434" s="65" t="n"/>
      <c r="AO434" s="24" t="n"/>
    </row>
    <row r="435" ht="15" customHeight="1">
      <c r="A435" s="64">
        <f>IF(C435="","",IFERROR(IF(SUMPRODUCT(MAX((tbl_Finance[Job Number]=C435&amp;"")*(tbl_Finance[Xero Invoice No]&lt;&gt;"")*tbl_Finance[Date]))=0,"",SUMPRODUCT(MAX((tbl_Finance[Job Number]=C435&amp;"")*(tbl_Finance[Xero Invoice No]&lt;&gt;"")*tbl_Finance[Date]))),""))</f>
        <v/>
      </c>
      <c r="B435" s="25">
        <f>IF(C435="","",IF(COUNTIFS(tbl_Finance[Job Number],C435&amp;"",tbl_Finance[Xero Invoice No],"&lt;&gt;")=0,"",IFERROR(IF(COUNTIFS(tbl_Finance[Job Number],C435&amp;"",tbl_Finance[Xero Invoice No],LOOKUP(2,1/((tbl_Finance[Job Number]=C435&amp;"")*(tbl_Finance[Xero Invoice No]&lt;&gt;"")),tbl_Finance[Xero Invoice No]))=COUNTIFS(tbl_Finance[Job Number],C435&amp;"",tbl_Finance[Xero Invoice No],"&lt;&gt;"),LOOKUP(2,1/((tbl_Finance[Job Number]=C435&amp;"")*(tbl_Finance[Xero Invoice No]&lt;&gt;"")),tbl_Finance[Xero Invoice No]),LOOKUP(2,1/((tbl_Finance[Job Number]=C435&amp;"")*(tbl_Finance[Xero Invoice No]&lt;&gt;"")),tbl_Finance[Xero Invoice No])&amp;" +more"),"")))</f>
        <v/>
      </c>
      <c r="C435" s="24" t="n"/>
      <c r="D435" s="25">
        <f>IF(C435="","",IF(COUNTIF(lst_Jobs,C435&amp;"")&gt;0,"OK","CHECK"))</f>
        <v/>
      </c>
      <c r="E435" s="25">
        <f>IF(C435="","",IFERROR(INDEX(lst_JobName,MATCH(C435&amp;"",lst_Jobs,0)),""))</f>
        <v/>
      </c>
      <c r="F435" s="25">
        <f>IF(C435="","",IFERROR(INDEX(tbl_Finance[Client],MATCH(C435&amp;"",tbl_Finance[Job Number],0)),""))</f>
        <v/>
      </c>
      <c r="G435" s="28">
        <f>IF(C435="","",COUNTIFS(tbl_Finance[Job Number],C435&amp;"",tbl_Finance[Ex GST],"&lt;&gt;"))</f>
        <v/>
      </c>
      <c r="H435" s="27">
        <f>IF(C435="","",SUMIFS(tbl_Finance[Ex GST],tbl_Finance[Job Number],C435&amp;""))</f>
        <v/>
      </c>
      <c r="I435" s="27">
        <f>IF(C435="","",SUMIFS(tbl_Finance[Ex GST],tbl_Finance[Job Number],C435&amp;"",tbl_Finance[Xero Invoice No],"&lt;&gt;"))</f>
        <v/>
      </c>
      <c r="J435" s="27">
        <f>IF(C435="","",H435-I435)</f>
        <v/>
      </c>
      <c r="K435" s="25">
        <f>IF(C435="","",IF(G435=0,"not invoiced yet",SUBSTITUTE(TRIM(IF(COUNTIFS(tbl_Finance[Job Number],C435&amp;"",tbl_Finance[Cost Centre],"ONSITE")&gt;0,"ONSITE ","")&amp;IF(COUNTIFS(tbl_Finance[Job Number],C435&amp;"",tbl_Finance[Cost Centre],"PRODUCTION")&gt;0,"PRODUCTION ","")&amp;IF(COUNTIFS(tbl_Finance[Job Number],C435&amp;"",tbl_Finance[Cost Centre],"VIDEO")&gt;0,"VIDEO ","")&amp;IF(COUNTIFS(tbl_Finance[Job Number],C435&amp;"",tbl_Finance[Cost Centre],"INTEGRATION")&gt;0,"INTEGRATION ","")&amp;IF(COUNTIFS(tbl_Finance[Job Number],C435&amp;"",tbl_Finance[Cost Centre],"CONSULTING")&gt;0,"CONSULTING ","")&amp;IF(COUNTIFS(tbl_Finance[Job Number],C435&amp;"",tbl_Finance[Cost Centre],"CTS")&gt;0,"CTS ",""))," ",", ")))</f>
        <v/>
      </c>
      <c r="L435" s="27">
        <f>IF(C435="","",SUMIFS(tbl_Finance[Inc GST],tbl_Finance[Job Number],C435&amp;""))</f>
        <v/>
      </c>
      <c r="M435" s="24" t="n"/>
      <c r="N435" s="25">
        <f>IF(C435="","",IFERROR(INDEX(tbl_Finance[Description],MATCH(C435&amp;"",tbl_Finance[Job Number],0)),""))</f>
        <v/>
      </c>
      <c r="O435" s="24" t="n"/>
      <c r="P435" s="24" t="n"/>
      <c r="Q435" s="22" t="n"/>
      <c r="R435" s="24" t="n"/>
      <c r="S435" s="25">
        <f>IF(R435="","",IF(AND(LEFT(R435,4)&lt;&gt;"http",set_RMSBase=""),"",HYPERLINK(IF(LEFT(R435,4)="http",R435,set_RMSBase&amp;R435),"Open opportunity")))</f>
        <v/>
      </c>
      <c r="T435" s="24" t="n"/>
      <c r="U435" s="25">
        <f>IF(T435="","",HYPERLINK(IF(LEFT(T435,4)="http",T435,set_QwilrBase&amp;T435),"Open quote"))</f>
        <v/>
      </c>
      <c r="V435" s="25">
        <f>IF(C435="","",C435)</f>
        <v/>
      </c>
      <c r="W435" s="24" t="n"/>
      <c r="X435" s="26" t="n"/>
      <c r="Y435" s="27">
        <f>IF(C435="","",H435+N(X435))</f>
        <v/>
      </c>
      <c r="Z435" s="29">
        <f>IFERROR(X435/Y435,"")</f>
        <v/>
      </c>
      <c r="AA435" s="26" t="n"/>
      <c r="AB435" s="26" t="n"/>
      <c r="AC435" s="26" t="n"/>
      <c r="AD435" s="26" t="n"/>
      <c r="AE435" s="27">
        <f>IF(C435="","",SUMIFS(tbl_Finance[Ex GST],tbl_Finance[Job Number],C435&amp;"",tbl_Finance[Cost Centre],"VIDEO"))</f>
        <v/>
      </c>
      <c r="AF435" s="29">
        <f>IFERROR(AE435/H435,"")</f>
        <v/>
      </c>
      <c r="AG435" s="27">
        <f>IF(C435="","",N(AA435)+N(AB435)+N(AC435)+N(AD435))</f>
        <v/>
      </c>
      <c r="AH435" s="27">
        <f>IF(C435="","",H435-AG435)</f>
        <v/>
      </c>
      <c r="AI435" s="29">
        <f>IFERROR(AH435/H435,"")</f>
        <v/>
      </c>
      <c r="AJ435" s="65" t="n"/>
      <c r="AK435" s="65" t="n"/>
      <c r="AL435" s="65" t="n"/>
      <c r="AM435" s="65" t="n"/>
      <c r="AN435" s="65" t="n"/>
      <c r="AO435" s="24" t="n"/>
    </row>
    <row r="436" ht="15" customHeight="1">
      <c r="A436" s="64">
        <f>IF(C436="","",IFERROR(IF(SUMPRODUCT(MAX((tbl_Finance[Job Number]=C436&amp;"")*(tbl_Finance[Xero Invoice No]&lt;&gt;"")*tbl_Finance[Date]))=0,"",SUMPRODUCT(MAX((tbl_Finance[Job Number]=C436&amp;"")*(tbl_Finance[Xero Invoice No]&lt;&gt;"")*tbl_Finance[Date]))),""))</f>
        <v/>
      </c>
      <c r="B436" s="25">
        <f>IF(C436="","",IF(COUNTIFS(tbl_Finance[Job Number],C436&amp;"",tbl_Finance[Xero Invoice No],"&lt;&gt;")=0,"",IFERROR(IF(COUNTIFS(tbl_Finance[Job Number],C436&amp;"",tbl_Finance[Xero Invoice No],LOOKUP(2,1/((tbl_Finance[Job Number]=C436&amp;"")*(tbl_Finance[Xero Invoice No]&lt;&gt;"")),tbl_Finance[Xero Invoice No]))=COUNTIFS(tbl_Finance[Job Number],C436&amp;"",tbl_Finance[Xero Invoice No],"&lt;&gt;"),LOOKUP(2,1/((tbl_Finance[Job Number]=C436&amp;"")*(tbl_Finance[Xero Invoice No]&lt;&gt;"")),tbl_Finance[Xero Invoice No]),LOOKUP(2,1/((tbl_Finance[Job Number]=C436&amp;"")*(tbl_Finance[Xero Invoice No]&lt;&gt;"")),tbl_Finance[Xero Invoice No])&amp;" +more"),"")))</f>
        <v/>
      </c>
      <c r="C436" s="24" t="n"/>
      <c r="D436" s="25">
        <f>IF(C436="","",IF(COUNTIF(lst_Jobs,C436&amp;"")&gt;0,"OK","CHECK"))</f>
        <v/>
      </c>
      <c r="E436" s="25">
        <f>IF(C436="","",IFERROR(INDEX(lst_JobName,MATCH(C436&amp;"",lst_Jobs,0)),""))</f>
        <v/>
      </c>
      <c r="F436" s="25">
        <f>IF(C436="","",IFERROR(INDEX(tbl_Finance[Client],MATCH(C436&amp;"",tbl_Finance[Job Number],0)),""))</f>
        <v/>
      </c>
      <c r="G436" s="28">
        <f>IF(C436="","",COUNTIFS(tbl_Finance[Job Number],C436&amp;"",tbl_Finance[Ex GST],"&lt;&gt;"))</f>
        <v/>
      </c>
      <c r="H436" s="27">
        <f>IF(C436="","",SUMIFS(tbl_Finance[Ex GST],tbl_Finance[Job Number],C436&amp;""))</f>
        <v/>
      </c>
      <c r="I436" s="27">
        <f>IF(C436="","",SUMIFS(tbl_Finance[Ex GST],tbl_Finance[Job Number],C436&amp;"",tbl_Finance[Xero Invoice No],"&lt;&gt;"))</f>
        <v/>
      </c>
      <c r="J436" s="27">
        <f>IF(C436="","",H436-I436)</f>
        <v/>
      </c>
      <c r="K436" s="25">
        <f>IF(C436="","",IF(G436=0,"not invoiced yet",SUBSTITUTE(TRIM(IF(COUNTIFS(tbl_Finance[Job Number],C436&amp;"",tbl_Finance[Cost Centre],"ONSITE")&gt;0,"ONSITE ","")&amp;IF(COUNTIFS(tbl_Finance[Job Number],C436&amp;"",tbl_Finance[Cost Centre],"PRODUCTION")&gt;0,"PRODUCTION ","")&amp;IF(COUNTIFS(tbl_Finance[Job Number],C436&amp;"",tbl_Finance[Cost Centre],"VIDEO")&gt;0,"VIDEO ","")&amp;IF(COUNTIFS(tbl_Finance[Job Number],C436&amp;"",tbl_Finance[Cost Centre],"INTEGRATION")&gt;0,"INTEGRATION ","")&amp;IF(COUNTIFS(tbl_Finance[Job Number],C436&amp;"",tbl_Finance[Cost Centre],"CONSULTING")&gt;0,"CONSULTING ","")&amp;IF(COUNTIFS(tbl_Finance[Job Number],C436&amp;"",tbl_Finance[Cost Centre],"CTS")&gt;0,"CTS ",""))," ",", ")))</f>
        <v/>
      </c>
      <c r="L436" s="27">
        <f>IF(C436="","",SUMIFS(tbl_Finance[Inc GST],tbl_Finance[Job Number],C436&amp;""))</f>
        <v/>
      </c>
      <c r="M436" s="24" t="n"/>
      <c r="N436" s="25">
        <f>IF(C436="","",IFERROR(INDEX(tbl_Finance[Description],MATCH(C436&amp;"",tbl_Finance[Job Number],0)),""))</f>
        <v/>
      </c>
      <c r="O436" s="24" t="n"/>
      <c r="P436" s="24" t="n"/>
      <c r="Q436" s="22" t="n"/>
      <c r="R436" s="24" t="n"/>
      <c r="S436" s="25">
        <f>IF(R436="","",IF(AND(LEFT(R436,4)&lt;&gt;"http",set_RMSBase=""),"",HYPERLINK(IF(LEFT(R436,4)="http",R436,set_RMSBase&amp;R436),"Open opportunity")))</f>
        <v/>
      </c>
      <c r="T436" s="24" t="n"/>
      <c r="U436" s="25">
        <f>IF(T436="","",HYPERLINK(IF(LEFT(T436,4)="http",T436,set_QwilrBase&amp;T436),"Open quote"))</f>
        <v/>
      </c>
      <c r="V436" s="25">
        <f>IF(C436="","",C436)</f>
        <v/>
      </c>
      <c r="W436" s="24" t="n"/>
      <c r="X436" s="26" t="n"/>
      <c r="Y436" s="27">
        <f>IF(C436="","",H436+N(X436))</f>
        <v/>
      </c>
      <c r="Z436" s="29">
        <f>IFERROR(X436/Y436,"")</f>
        <v/>
      </c>
      <c r="AA436" s="26" t="n"/>
      <c r="AB436" s="26" t="n"/>
      <c r="AC436" s="26" t="n"/>
      <c r="AD436" s="26" t="n"/>
      <c r="AE436" s="27">
        <f>IF(C436="","",SUMIFS(tbl_Finance[Ex GST],tbl_Finance[Job Number],C436&amp;"",tbl_Finance[Cost Centre],"VIDEO"))</f>
        <v/>
      </c>
      <c r="AF436" s="29">
        <f>IFERROR(AE436/H436,"")</f>
        <v/>
      </c>
      <c r="AG436" s="27">
        <f>IF(C436="","",N(AA436)+N(AB436)+N(AC436)+N(AD436))</f>
        <v/>
      </c>
      <c r="AH436" s="27">
        <f>IF(C436="","",H436-AG436)</f>
        <v/>
      </c>
      <c r="AI436" s="29">
        <f>IFERROR(AH436/H436,"")</f>
        <v/>
      </c>
      <c r="AJ436" s="65" t="n"/>
      <c r="AK436" s="65" t="n"/>
      <c r="AL436" s="65" t="n"/>
      <c r="AM436" s="65" t="n"/>
      <c r="AN436" s="65" t="n"/>
      <c r="AO436" s="24" t="n"/>
    </row>
    <row r="437" ht="15" customHeight="1">
      <c r="A437" s="64">
        <f>IF(C437="","",IFERROR(IF(SUMPRODUCT(MAX((tbl_Finance[Job Number]=C437&amp;"")*(tbl_Finance[Xero Invoice No]&lt;&gt;"")*tbl_Finance[Date]))=0,"",SUMPRODUCT(MAX((tbl_Finance[Job Number]=C437&amp;"")*(tbl_Finance[Xero Invoice No]&lt;&gt;"")*tbl_Finance[Date]))),""))</f>
        <v/>
      </c>
      <c r="B437" s="25">
        <f>IF(C437="","",IF(COUNTIFS(tbl_Finance[Job Number],C437&amp;"",tbl_Finance[Xero Invoice No],"&lt;&gt;")=0,"",IFERROR(IF(COUNTIFS(tbl_Finance[Job Number],C437&amp;"",tbl_Finance[Xero Invoice No],LOOKUP(2,1/((tbl_Finance[Job Number]=C437&amp;"")*(tbl_Finance[Xero Invoice No]&lt;&gt;"")),tbl_Finance[Xero Invoice No]))=COUNTIFS(tbl_Finance[Job Number],C437&amp;"",tbl_Finance[Xero Invoice No],"&lt;&gt;"),LOOKUP(2,1/((tbl_Finance[Job Number]=C437&amp;"")*(tbl_Finance[Xero Invoice No]&lt;&gt;"")),tbl_Finance[Xero Invoice No]),LOOKUP(2,1/((tbl_Finance[Job Number]=C437&amp;"")*(tbl_Finance[Xero Invoice No]&lt;&gt;"")),tbl_Finance[Xero Invoice No])&amp;" +more"),"")))</f>
        <v/>
      </c>
      <c r="C437" s="24" t="n"/>
      <c r="D437" s="25">
        <f>IF(C437="","",IF(COUNTIF(lst_Jobs,C437&amp;"")&gt;0,"OK","CHECK"))</f>
        <v/>
      </c>
      <c r="E437" s="25">
        <f>IF(C437="","",IFERROR(INDEX(lst_JobName,MATCH(C437&amp;"",lst_Jobs,0)),""))</f>
        <v/>
      </c>
      <c r="F437" s="25">
        <f>IF(C437="","",IFERROR(INDEX(tbl_Finance[Client],MATCH(C437&amp;"",tbl_Finance[Job Number],0)),""))</f>
        <v/>
      </c>
      <c r="G437" s="28">
        <f>IF(C437="","",COUNTIFS(tbl_Finance[Job Number],C437&amp;"",tbl_Finance[Ex GST],"&lt;&gt;"))</f>
        <v/>
      </c>
      <c r="H437" s="27">
        <f>IF(C437="","",SUMIFS(tbl_Finance[Ex GST],tbl_Finance[Job Number],C437&amp;""))</f>
        <v/>
      </c>
      <c r="I437" s="27">
        <f>IF(C437="","",SUMIFS(tbl_Finance[Ex GST],tbl_Finance[Job Number],C437&amp;"",tbl_Finance[Xero Invoice No],"&lt;&gt;"))</f>
        <v/>
      </c>
      <c r="J437" s="27">
        <f>IF(C437="","",H437-I437)</f>
        <v/>
      </c>
      <c r="K437" s="25">
        <f>IF(C437="","",IF(G437=0,"not invoiced yet",SUBSTITUTE(TRIM(IF(COUNTIFS(tbl_Finance[Job Number],C437&amp;"",tbl_Finance[Cost Centre],"ONSITE")&gt;0,"ONSITE ","")&amp;IF(COUNTIFS(tbl_Finance[Job Number],C437&amp;"",tbl_Finance[Cost Centre],"PRODUCTION")&gt;0,"PRODUCTION ","")&amp;IF(COUNTIFS(tbl_Finance[Job Number],C437&amp;"",tbl_Finance[Cost Centre],"VIDEO")&gt;0,"VIDEO ","")&amp;IF(COUNTIFS(tbl_Finance[Job Number],C437&amp;"",tbl_Finance[Cost Centre],"INTEGRATION")&gt;0,"INTEGRATION ","")&amp;IF(COUNTIFS(tbl_Finance[Job Number],C437&amp;"",tbl_Finance[Cost Centre],"CONSULTING")&gt;0,"CONSULTING ","")&amp;IF(COUNTIFS(tbl_Finance[Job Number],C437&amp;"",tbl_Finance[Cost Centre],"CTS")&gt;0,"CTS ",""))," ",", ")))</f>
        <v/>
      </c>
      <c r="L437" s="27">
        <f>IF(C437="","",SUMIFS(tbl_Finance[Inc GST],tbl_Finance[Job Number],C437&amp;""))</f>
        <v/>
      </c>
      <c r="M437" s="24" t="n"/>
      <c r="N437" s="25">
        <f>IF(C437="","",IFERROR(INDEX(tbl_Finance[Description],MATCH(C437&amp;"",tbl_Finance[Job Number],0)),""))</f>
        <v/>
      </c>
      <c r="O437" s="24" t="n"/>
      <c r="P437" s="24" t="n"/>
      <c r="Q437" s="22" t="n"/>
      <c r="R437" s="24" t="n"/>
      <c r="S437" s="25">
        <f>IF(R437="","",IF(AND(LEFT(R437,4)&lt;&gt;"http",set_RMSBase=""),"",HYPERLINK(IF(LEFT(R437,4)="http",R437,set_RMSBase&amp;R437),"Open opportunity")))</f>
        <v/>
      </c>
      <c r="T437" s="24" t="n"/>
      <c r="U437" s="25">
        <f>IF(T437="","",HYPERLINK(IF(LEFT(T437,4)="http",T437,set_QwilrBase&amp;T437),"Open quote"))</f>
        <v/>
      </c>
      <c r="V437" s="25">
        <f>IF(C437="","",C437)</f>
        <v/>
      </c>
      <c r="W437" s="24" t="n"/>
      <c r="X437" s="26" t="n"/>
      <c r="Y437" s="27">
        <f>IF(C437="","",H437+N(X437))</f>
        <v/>
      </c>
      <c r="Z437" s="29">
        <f>IFERROR(X437/Y437,"")</f>
        <v/>
      </c>
      <c r="AA437" s="26" t="n"/>
      <c r="AB437" s="26" t="n"/>
      <c r="AC437" s="26" t="n"/>
      <c r="AD437" s="26" t="n"/>
      <c r="AE437" s="27">
        <f>IF(C437="","",SUMIFS(tbl_Finance[Ex GST],tbl_Finance[Job Number],C437&amp;"",tbl_Finance[Cost Centre],"VIDEO"))</f>
        <v/>
      </c>
      <c r="AF437" s="29">
        <f>IFERROR(AE437/H437,"")</f>
        <v/>
      </c>
      <c r="AG437" s="27">
        <f>IF(C437="","",N(AA437)+N(AB437)+N(AC437)+N(AD437))</f>
        <v/>
      </c>
      <c r="AH437" s="27">
        <f>IF(C437="","",H437-AG437)</f>
        <v/>
      </c>
      <c r="AI437" s="29">
        <f>IFERROR(AH437/H437,"")</f>
        <v/>
      </c>
      <c r="AJ437" s="65" t="n"/>
      <c r="AK437" s="65" t="n"/>
      <c r="AL437" s="65" t="n"/>
      <c r="AM437" s="65" t="n"/>
      <c r="AN437" s="65" t="n"/>
      <c r="AO437" s="24" t="n"/>
    </row>
    <row r="438" ht="15" customHeight="1">
      <c r="A438" s="64">
        <f>IF(C438="","",IFERROR(IF(SUMPRODUCT(MAX((tbl_Finance[Job Number]=C438&amp;"")*(tbl_Finance[Xero Invoice No]&lt;&gt;"")*tbl_Finance[Date]))=0,"",SUMPRODUCT(MAX((tbl_Finance[Job Number]=C438&amp;"")*(tbl_Finance[Xero Invoice No]&lt;&gt;"")*tbl_Finance[Date]))),""))</f>
        <v/>
      </c>
      <c r="B438" s="25">
        <f>IF(C438="","",IF(COUNTIFS(tbl_Finance[Job Number],C438&amp;"",tbl_Finance[Xero Invoice No],"&lt;&gt;")=0,"",IFERROR(IF(COUNTIFS(tbl_Finance[Job Number],C438&amp;"",tbl_Finance[Xero Invoice No],LOOKUP(2,1/((tbl_Finance[Job Number]=C438&amp;"")*(tbl_Finance[Xero Invoice No]&lt;&gt;"")),tbl_Finance[Xero Invoice No]))=COUNTIFS(tbl_Finance[Job Number],C438&amp;"",tbl_Finance[Xero Invoice No],"&lt;&gt;"),LOOKUP(2,1/((tbl_Finance[Job Number]=C438&amp;"")*(tbl_Finance[Xero Invoice No]&lt;&gt;"")),tbl_Finance[Xero Invoice No]),LOOKUP(2,1/((tbl_Finance[Job Number]=C438&amp;"")*(tbl_Finance[Xero Invoice No]&lt;&gt;"")),tbl_Finance[Xero Invoice No])&amp;" +more"),"")))</f>
        <v/>
      </c>
      <c r="C438" s="24" t="n"/>
      <c r="D438" s="25">
        <f>IF(C438="","",IF(COUNTIF(lst_Jobs,C438&amp;"")&gt;0,"OK","CHECK"))</f>
        <v/>
      </c>
      <c r="E438" s="25">
        <f>IF(C438="","",IFERROR(INDEX(lst_JobName,MATCH(C438&amp;"",lst_Jobs,0)),""))</f>
        <v/>
      </c>
      <c r="F438" s="25">
        <f>IF(C438="","",IFERROR(INDEX(tbl_Finance[Client],MATCH(C438&amp;"",tbl_Finance[Job Number],0)),""))</f>
        <v/>
      </c>
      <c r="G438" s="28">
        <f>IF(C438="","",COUNTIFS(tbl_Finance[Job Number],C438&amp;"",tbl_Finance[Ex GST],"&lt;&gt;"))</f>
        <v/>
      </c>
      <c r="H438" s="27">
        <f>IF(C438="","",SUMIFS(tbl_Finance[Ex GST],tbl_Finance[Job Number],C438&amp;""))</f>
        <v/>
      </c>
      <c r="I438" s="27">
        <f>IF(C438="","",SUMIFS(tbl_Finance[Ex GST],tbl_Finance[Job Number],C438&amp;"",tbl_Finance[Xero Invoice No],"&lt;&gt;"))</f>
        <v/>
      </c>
      <c r="J438" s="27">
        <f>IF(C438="","",H438-I438)</f>
        <v/>
      </c>
      <c r="K438" s="25">
        <f>IF(C438="","",IF(G438=0,"not invoiced yet",SUBSTITUTE(TRIM(IF(COUNTIFS(tbl_Finance[Job Number],C438&amp;"",tbl_Finance[Cost Centre],"ONSITE")&gt;0,"ONSITE ","")&amp;IF(COUNTIFS(tbl_Finance[Job Number],C438&amp;"",tbl_Finance[Cost Centre],"PRODUCTION")&gt;0,"PRODUCTION ","")&amp;IF(COUNTIFS(tbl_Finance[Job Number],C438&amp;"",tbl_Finance[Cost Centre],"VIDEO")&gt;0,"VIDEO ","")&amp;IF(COUNTIFS(tbl_Finance[Job Number],C438&amp;"",tbl_Finance[Cost Centre],"INTEGRATION")&gt;0,"INTEGRATION ","")&amp;IF(COUNTIFS(tbl_Finance[Job Number],C438&amp;"",tbl_Finance[Cost Centre],"CONSULTING")&gt;0,"CONSULTING ","")&amp;IF(COUNTIFS(tbl_Finance[Job Number],C438&amp;"",tbl_Finance[Cost Centre],"CTS")&gt;0,"CTS ",""))," ",", ")))</f>
        <v/>
      </c>
      <c r="L438" s="27">
        <f>IF(C438="","",SUMIFS(tbl_Finance[Inc GST],tbl_Finance[Job Number],C438&amp;""))</f>
        <v/>
      </c>
      <c r="M438" s="24" t="n"/>
      <c r="N438" s="25">
        <f>IF(C438="","",IFERROR(INDEX(tbl_Finance[Description],MATCH(C438&amp;"",tbl_Finance[Job Number],0)),""))</f>
        <v/>
      </c>
      <c r="O438" s="24" t="n"/>
      <c r="P438" s="24" t="n"/>
      <c r="Q438" s="22" t="n"/>
      <c r="R438" s="24" t="n"/>
      <c r="S438" s="25">
        <f>IF(R438="","",IF(AND(LEFT(R438,4)&lt;&gt;"http",set_RMSBase=""),"",HYPERLINK(IF(LEFT(R438,4)="http",R438,set_RMSBase&amp;R438),"Open opportunity")))</f>
        <v/>
      </c>
      <c r="T438" s="24" t="n"/>
      <c r="U438" s="25">
        <f>IF(T438="","",HYPERLINK(IF(LEFT(T438,4)="http",T438,set_QwilrBase&amp;T438),"Open quote"))</f>
        <v/>
      </c>
      <c r="V438" s="25">
        <f>IF(C438="","",C438)</f>
        <v/>
      </c>
      <c r="W438" s="24" t="n"/>
      <c r="X438" s="26" t="n"/>
      <c r="Y438" s="27">
        <f>IF(C438="","",H438+N(X438))</f>
        <v/>
      </c>
      <c r="Z438" s="29">
        <f>IFERROR(X438/Y438,"")</f>
        <v/>
      </c>
      <c r="AA438" s="26" t="n"/>
      <c r="AB438" s="26" t="n"/>
      <c r="AC438" s="26" t="n"/>
      <c r="AD438" s="26" t="n"/>
      <c r="AE438" s="27">
        <f>IF(C438="","",SUMIFS(tbl_Finance[Ex GST],tbl_Finance[Job Number],C438&amp;"",tbl_Finance[Cost Centre],"VIDEO"))</f>
        <v/>
      </c>
      <c r="AF438" s="29">
        <f>IFERROR(AE438/H438,"")</f>
        <v/>
      </c>
      <c r="AG438" s="27">
        <f>IF(C438="","",N(AA438)+N(AB438)+N(AC438)+N(AD438))</f>
        <v/>
      </c>
      <c r="AH438" s="27">
        <f>IF(C438="","",H438-AG438)</f>
        <v/>
      </c>
      <c r="AI438" s="29">
        <f>IFERROR(AH438/H438,"")</f>
        <v/>
      </c>
      <c r="AJ438" s="65" t="n"/>
      <c r="AK438" s="65" t="n"/>
      <c r="AL438" s="65" t="n"/>
      <c r="AM438" s="65" t="n"/>
      <c r="AN438" s="65" t="n"/>
      <c r="AO438" s="24" t="n"/>
    </row>
    <row r="439" ht="15" customHeight="1">
      <c r="A439" s="64">
        <f>IF(C439="","",IFERROR(IF(SUMPRODUCT(MAX((tbl_Finance[Job Number]=C439&amp;"")*(tbl_Finance[Xero Invoice No]&lt;&gt;"")*tbl_Finance[Date]))=0,"",SUMPRODUCT(MAX((tbl_Finance[Job Number]=C439&amp;"")*(tbl_Finance[Xero Invoice No]&lt;&gt;"")*tbl_Finance[Date]))),""))</f>
        <v/>
      </c>
      <c r="B439" s="25">
        <f>IF(C439="","",IF(COUNTIFS(tbl_Finance[Job Number],C439&amp;"",tbl_Finance[Xero Invoice No],"&lt;&gt;")=0,"",IFERROR(IF(COUNTIFS(tbl_Finance[Job Number],C439&amp;"",tbl_Finance[Xero Invoice No],LOOKUP(2,1/((tbl_Finance[Job Number]=C439&amp;"")*(tbl_Finance[Xero Invoice No]&lt;&gt;"")),tbl_Finance[Xero Invoice No]))=COUNTIFS(tbl_Finance[Job Number],C439&amp;"",tbl_Finance[Xero Invoice No],"&lt;&gt;"),LOOKUP(2,1/((tbl_Finance[Job Number]=C439&amp;"")*(tbl_Finance[Xero Invoice No]&lt;&gt;"")),tbl_Finance[Xero Invoice No]),LOOKUP(2,1/((tbl_Finance[Job Number]=C439&amp;"")*(tbl_Finance[Xero Invoice No]&lt;&gt;"")),tbl_Finance[Xero Invoice No])&amp;" +more"),"")))</f>
        <v/>
      </c>
      <c r="C439" s="24" t="n"/>
      <c r="D439" s="25">
        <f>IF(C439="","",IF(COUNTIF(lst_Jobs,C439&amp;"")&gt;0,"OK","CHECK"))</f>
        <v/>
      </c>
      <c r="E439" s="25">
        <f>IF(C439="","",IFERROR(INDEX(lst_JobName,MATCH(C439&amp;"",lst_Jobs,0)),""))</f>
        <v/>
      </c>
      <c r="F439" s="25">
        <f>IF(C439="","",IFERROR(INDEX(tbl_Finance[Client],MATCH(C439&amp;"",tbl_Finance[Job Number],0)),""))</f>
        <v/>
      </c>
      <c r="G439" s="28">
        <f>IF(C439="","",COUNTIFS(tbl_Finance[Job Number],C439&amp;"",tbl_Finance[Ex GST],"&lt;&gt;"))</f>
        <v/>
      </c>
      <c r="H439" s="27">
        <f>IF(C439="","",SUMIFS(tbl_Finance[Ex GST],tbl_Finance[Job Number],C439&amp;""))</f>
        <v/>
      </c>
      <c r="I439" s="27">
        <f>IF(C439="","",SUMIFS(tbl_Finance[Ex GST],tbl_Finance[Job Number],C439&amp;"",tbl_Finance[Xero Invoice No],"&lt;&gt;"))</f>
        <v/>
      </c>
      <c r="J439" s="27">
        <f>IF(C439="","",H439-I439)</f>
        <v/>
      </c>
      <c r="K439" s="25">
        <f>IF(C439="","",IF(G439=0,"not invoiced yet",SUBSTITUTE(TRIM(IF(COUNTIFS(tbl_Finance[Job Number],C439&amp;"",tbl_Finance[Cost Centre],"ONSITE")&gt;0,"ONSITE ","")&amp;IF(COUNTIFS(tbl_Finance[Job Number],C439&amp;"",tbl_Finance[Cost Centre],"PRODUCTION")&gt;0,"PRODUCTION ","")&amp;IF(COUNTIFS(tbl_Finance[Job Number],C439&amp;"",tbl_Finance[Cost Centre],"VIDEO")&gt;0,"VIDEO ","")&amp;IF(COUNTIFS(tbl_Finance[Job Number],C439&amp;"",tbl_Finance[Cost Centre],"INTEGRATION")&gt;0,"INTEGRATION ","")&amp;IF(COUNTIFS(tbl_Finance[Job Number],C439&amp;"",tbl_Finance[Cost Centre],"CONSULTING")&gt;0,"CONSULTING ","")&amp;IF(COUNTIFS(tbl_Finance[Job Number],C439&amp;"",tbl_Finance[Cost Centre],"CTS")&gt;0,"CTS ",""))," ",", ")))</f>
        <v/>
      </c>
      <c r="L439" s="27">
        <f>IF(C439="","",SUMIFS(tbl_Finance[Inc GST],tbl_Finance[Job Number],C439&amp;""))</f>
        <v/>
      </c>
      <c r="M439" s="24" t="n"/>
      <c r="N439" s="25">
        <f>IF(C439="","",IFERROR(INDEX(tbl_Finance[Description],MATCH(C439&amp;"",tbl_Finance[Job Number],0)),""))</f>
        <v/>
      </c>
      <c r="O439" s="24" t="n"/>
      <c r="P439" s="24" t="n"/>
      <c r="Q439" s="22" t="n"/>
      <c r="R439" s="24" t="n"/>
      <c r="S439" s="25">
        <f>IF(R439="","",IF(AND(LEFT(R439,4)&lt;&gt;"http",set_RMSBase=""),"",HYPERLINK(IF(LEFT(R439,4)="http",R439,set_RMSBase&amp;R439),"Open opportunity")))</f>
        <v/>
      </c>
      <c r="T439" s="24" t="n"/>
      <c r="U439" s="25">
        <f>IF(T439="","",HYPERLINK(IF(LEFT(T439,4)="http",T439,set_QwilrBase&amp;T439),"Open quote"))</f>
        <v/>
      </c>
      <c r="V439" s="25">
        <f>IF(C439="","",C439)</f>
        <v/>
      </c>
      <c r="W439" s="24" t="n"/>
      <c r="X439" s="26" t="n"/>
      <c r="Y439" s="27">
        <f>IF(C439="","",H439+N(X439))</f>
        <v/>
      </c>
      <c r="Z439" s="29">
        <f>IFERROR(X439/Y439,"")</f>
        <v/>
      </c>
      <c r="AA439" s="26" t="n"/>
      <c r="AB439" s="26" t="n"/>
      <c r="AC439" s="26" t="n"/>
      <c r="AD439" s="26" t="n"/>
      <c r="AE439" s="27">
        <f>IF(C439="","",SUMIFS(tbl_Finance[Ex GST],tbl_Finance[Job Number],C439&amp;"",tbl_Finance[Cost Centre],"VIDEO"))</f>
        <v/>
      </c>
      <c r="AF439" s="29">
        <f>IFERROR(AE439/H439,"")</f>
        <v/>
      </c>
      <c r="AG439" s="27">
        <f>IF(C439="","",N(AA439)+N(AB439)+N(AC439)+N(AD439))</f>
        <v/>
      </c>
      <c r="AH439" s="27">
        <f>IF(C439="","",H439-AG439)</f>
        <v/>
      </c>
      <c r="AI439" s="29">
        <f>IFERROR(AH439/H439,"")</f>
        <v/>
      </c>
      <c r="AJ439" s="65" t="n"/>
      <c r="AK439" s="65" t="n"/>
      <c r="AL439" s="65" t="n"/>
      <c r="AM439" s="65" t="n"/>
      <c r="AN439" s="65" t="n"/>
      <c r="AO439" s="24" t="n"/>
    </row>
    <row r="440" ht="15" customHeight="1">
      <c r="A440" s="64">
        <f>IF(C440="","",IFERROR(IF(SUMPRODUCT(MAX((tbl_Finance[Job Number]=C440&amp;"")*(tbl_Finance[Xero Invoice No]&lt;&gt;"")*tbl_Finance[Date]))=0,"",SUMPRODUCT(MAX((tbl_Finance[Job Number]=C440&amp;"")*(tbl_Finance[Xero Invoice No]&lt;&gt;"")*tbl_Finance[Date]))),""))</f>
        <v/>
      </c>
      <c r="B440" s="25">
        <f>IF(C440="","",IF(COUNTIFS(tbl_Finance[Job Number],C440&amp;"",tbl_Finance[Xero Invoice No],"&lt;&gt;")=0,"",IFERROR(IF(COUNTIFS(tbl_Finance[Job Number],C440&amp;"",tbl_Finance[Xero Invoice No],LOOKUP(2,1/((tbl_Finance[Job Number]=C440&amp;"")*(tbl_Finance[Xero Invoice No]&lt;&gt;"")),tbl_Finance[Xero Invoice No]))=COUNTIFS(tbl_Finance[Job Number],C440&amp;"",tbl_Finance[Xero Invoice No],"&lt;&gt;"),LOOKUP(2,1/((tbl_Finance[Job Number]=C440&amp;"")*(tbl_Finance[Xero Invoice No]&lt;&gt;"")),tbl_Finance[Xero Invoice No]),LOOKUP(2,1/((tbl_Finance[Job Number]=C440&amp;"")*(tbl_Finance[Xero Invoice No]&lt;&gt;"")),tbl_Finance[Xero Invoice No])&amp;" +more"),"")))</f>
        <v/>
      </c>
      <c r="C440" s="24" t="n"/>
      <c r="D440" s="25">
        <f>IF(C440="","",IF(COUNTIF(lst_Jobs,C440&amp;"")&gt;0,"OK","CHECK"))</f>
        <v/>
      </c>
      <c r="E440" s="25">
        <f>IF(C440="","",IFERROR(INDEX(lst_JobName,MATCH(C440&amp;"",lst_Jobs,0)),""))</f>
        <v/>
      </c>
      <c r="F440" s="25">
        <f>IF(C440="","",IFERROR(INDEX(tbl_Finance[Client],MATCH(C440&amp;"",tbl_Finance[Job Number],0)),""))</f>
        <v/>
      </c>
      <c r="G440" s="28">
        <f>IF(C440="","",COUNTIFS(tbl_Finance[Job Number],C440&amp;"",tbl_Finance[Ex GST],"&lt;&gt;"))</f>
        <v/>
      </c>
      <c r="H440" s="27">
        <f>IF(C440="","",SUMIFS(tbl_Finance[Ex GST],tbl_Finance[Job Number],C440&amp;""))</f>
        <v/>
      </c>
      <c r="I440" s="27">
        <f>IF(C440="","",SUMIFS(tbl_Finance[Ex GST],tbl_Finance[Job Number],C440&amp;"",tbl_Finance[Xero Invoice No],"&lt;&gt;"))</f>
        <v/>
      </c>
      <c r="J440" s="27">
        <f>IF(C440="","",H440-I440)</f>
        <v/>
      </c>
      <c r="K440" s="25">
        <f>IF(C440="","",IF(G440=0,"not invoiced yet",SUBSTITUTE(TRIM(IF(COUNTIFS(tbl_Finance[Job Number],C440&amp;"",tbl_Finance[Cost Centre],"ONSITE")&gt;0,"ONSITE ","")&amp;IF(COUNTIFS(tbl_Finance[Job Number],C440&amp;"",tbl_Finance[Cost Centre],"PRODUCTION")&gt;0,"PRODUCTION ","")&amp;IF(COUNTIFS(tbl_Finance[Job Number],C440&amp;"",tbl_Finance[Cost Centre],"VIDEO")&gt;0,"VIDEO ","")&amp;IF(COUNTIFS(tbl_Finance[Job Number],C440&amp;"",tbl_Finance[Cost Centre],"INTEGRATION")&gt;0,"INTEGRATION ","")&amp;IF(COUNTIFS(tbl_Finance[Job Number],C440&amp;"",tbl_Finance[Cost Centre],"CONSULTING")&gt;0,"CONSULTING ","")&amp;IF(COUNTIFS(tbl_Finance[Job Number],C440&amp;"",tbl_Finance[Cost Centre],"CTS")&gt;0,"CTS ",""))," ",", ")))</f>
        <v/>
      </c>
      <c r="L440" s="27">
        <f>IF(C440="","",SUMIFS(tbl_Finance[Inc GST],tbl_Finance[Job Number],C440&amp;""))</f>
        <v/>
      </c>
      <c r="M440" s="24" t="n"/>
      <c r="N440" s="25">
        <f>IF(C440="","",IFERROR(INDEX(tbl_Finance[Description],MATCH(C440&amp;"",tbl_Finance[Job Number],0)),""))</f>
        <v/>
      </c>
      <c r="O440" s="24" t="n"/>
      <c r="P440" s="24" t="n"/>
      <c r="Q440" s="22" t="n"/>
      <c r="R440" s="24" t="n"/>
      <c r="S440" s="25">
        <f>IF(R440="","",IF(AND(LEFT(R440,4)&lt;&gt;"http",set_RMSBase=""),"",HYPERLINK(IF(LEFT(R440,4)="http",R440,set_RMSBase&amp;R440),"Open opportunity")))</f>
        <v/>
      </c>
      <c r="T440" s="24" t="n"/>
      <c r="U440" s="25">
        <f>IF(T440="","",HYPERLINK(IF(LEFT(T440,4)="http",T440,set_QwilrBase&amp;T440),"Open quote"))</f>
        <v/>
      </c>
      <c r="V440" s="25">
        <f>IF(C440="","",C440)</f>
        <v/>
      </c>
      <c r="W440" s="24" t="n"/>
      <c r="X440" s="26" t="n"/>
      <c r="Y440" s="27">
        <f>IF(C440="","",H440+N(X440))</f>
        <v/>
      </c>
      <c r="Z440" s="29">
        <f>IFERROR(X440/Y440,"")</f>
        <v/>
      </c>
      <c r="AA440" s="26" t="n"/>
      <c r="AB440" s="26" t="n"/>
      <c r="AC440" s="26" t="n"/>
      <c r="AD440" s="26" t="n"/>
      <c r="AE440" s="27">
        <f>IF(C440="","",SUMIFS(tbl_Finance[Ex GST],tbl_Finance[Job Number],C440&amp;"",tbl_Finance[Cost Centre],"VIDEO"))</f>
        <v/>
      </c>
      <c r="AF440" s="29">
        <f>IFERROR(AE440/H440,"")</f>
        <v/>
      </c>
      <c r="AG440" s="27">
        <f>IF(C440="","",N(AA440)+N(AB440)+N(AC440)+N(AD440))</f>
        <v/>
      </c>
      <c r="AH440" s="27">
        <f>IF(C440="","",H440-AG440)</f>
        <v/>
      </c>
      <c r="AI440" s="29">
        <f>IFERROR(AH440/H440,"")</f>
        <v/>
      </c>
      <c r="AJ440" s="65" t="n"/>
      <c r="AK440" s="65" t="n"/>
      <c r="AL440" s="65" t="n"/>
      <c r="AM440" s="65" t="n"/>
      <c r="AN440" s="65" t="n"/>
      <c r="AO440" s="24" t="n"/>
    </row>
    <row r="441" ht="15" customHeight="1">
      <c r="A441" s="64">
        <f>IF(C441="","",IFERROR(IF(SUMPRODUCT(MAX((tbl_Finance[Job Number]=C441&amp;"")*(tbl_Finance[Xero Invoice No]&lt;&gt;"")*tbl_Finance[Date]))=0,"",SUMPRODUCT(MAX((tbl_Finance[Job Number]=C441&amp;"")*(tbl_Finance[Xero Invoice No]&lt;&gt;"")*tbl_Finance[Date]))),""))</f>
        <v/>
      </c>
      <c r="B441" s="25">
        <f>IF(C441="","",IF(COUNTIFS(tbl_Finance[Job Number],C441&amp;"",tbl_Finance[Xero Invoice No],"&lt;&gt;")=0,"",IFERROR(IF(COUNTIFS(tbl_Finance[Job Number],C441&amp;"",tbl_Finance[Xero Invoice No],LOOKUP(2,1/((tbl_Finance[Job Number]=C441&amp;"")*(tbl_Finance[Xero Invoice No]&lt;&gt;"")),tbl_Finance[Xero Invoice No]))=COUNTIFS(tbl_Finance[Job Number],C441&amp;"",tbl_Finance[Xero Invoice No],"&lt;&gt;"),LOOKUP(2,1/((tbl_Finance[Job Number]=C441&amp;"")*(tbl_Finance[Xero Invoice No]&lt;&gt;"")),tbl_Finance[Xero Invoice No]),LOOKUP(2,1/((tbl_Finance[Job Number]=C441&amp;"")*(tbl_Finance[Xero Invoice No]&lt;&gt;"")),tbl_Finance[Xero Invoice No])&amp;" +more"),"")))</f>
        <v/>
      </c>
      <c r="C441" s="24" t="n"/>
      <c r="D441" s="25">
        <f>IF(C441="","",IF(COUNTIF(lst_Jobs,C441&amp;"")&gt;0,"OK","CHECK"))</f>
        <v/>
      </c>
      <c r="E441" s="25">
        <f>IF(C441="","",IFERROR(INDEX(lst_JobName,MATCH(C441&amp;"",lst_Jobs,0)),""))</f>
        <v/>
      </c>
      <c r="F441" s="25">
        <f>IF(C441="","",IFERROR(INDEX(tbl_Finance[Client],MATCH(C441&amp;"",tbl_Finance[Job Number],0)),""))</f>
        <v/>
      </c>
      <c r="G441" s="28">
        <f>IF(C441="","",COUNTIFS(tbl_Finance[Job Number],C441&amp;"",tbl_Finance[Ex GST],"&lt;&gt;"))</f>
        <v/>
      </c>
      <c r="H441" s="27">
        <f>IF(C441="","",SUMIFS(tbl_Finance[Ex GST],tbl_Finance[Job Number],C441&amp;""))</f>
        <v/>
      </c>
      <c r="I441" s="27">
        <f>IF(C441="","",SUMIFS(tbl_Finance[Ex GST],tbl_Finance[Job Number],C441&amp;"",tbl_Finance[Xero Invoice No],"&lt;&gt;"))</f>
        <v/>
      </c>
      <c r="J441" s="27">
        <f>IF(C441="","",H441-I441)</f>
        <v/>
      </c>
      <c r="K441" s="25">
        <f>IF(C441="","",IF(G441=0,"not invoiced yet",SUBSTITUTE(TRIM(IF(COUNTIFS(tbl_Finance[Job Number],C441&amp;"",tbl_Finance[Cost Centre],"ONSITE")&gt;0,"ONSITE ","")&amp;IF(COUNTIFS(tbl_Finance[Job Number],C441&amp;"",tbl_Finance[Cost Centre],"PRODUCTION")&gt;0,"PRODUCTION ","")&amp;IF(COUNTIFS(tbl_Finance[Job Number],C441&amp;"",tbl_Finance[Cost Centre],"VIDEO")&gt;0,"VIDEO ","")&amp;IF(COUNTIFS(tbl_Finance[Job Number],C441&amp;"",tbl_Finance[Cost Centre],"INTEGRATION")&gt;0,"INTEGRATION ","")&amp;IF(COUNTIFS(tbl_Finance[Job Number],C441&amp;"",tbl_Finance[Cost Centre],"CONSULTING")&gt;0,"CONSULTING ","")&amp;IF(COUNTIFS(tbl_Finance[Job Number],C441&amp;"",tbl_Finance[Cost Centre],"CTS")&gt;0,"CTS ",""))," ",", ")))</f>
        <v/>
      </c>
      <c r="L441" s="27">
        <f>IF(C441="","",SUMIFS(tbl_Finance[Inc GST],tbl_Finance[Job Number],C441&amp;""))</f>
        <v/>
      </c>
      <c r="M441" s="24" t="n"/>
      <c r="N441" s="25">
        <f>IF(C441="","",IFERROR(INDEX(tbl_Finance[Description],MATCH(C441&amp;"",tbl_Finance[Job Number],0)),""))</f>
        <v/>
      </c>
      <c r="O441" s="24" t="n"/>
      <c r="P441" s="24" t="n"/>
      <c r="Q441" s="22" t="n"/>
      <c r="R441" s="24" t="n"/>
      <c r="S441" s="25">
        <f>IF(R441="","",IF(AND(LEFT(R441,4)&lt;&gt;"http",set_RMSBase=""),"",HYPERLINK(IF(LEFT(R441,4)="http",R441,set_RMSBase&amp;R441),"Open opportunity")))</f>
        <v/>
      </c>
      <c r="T441" s="24" t="n"/>
      <c r="U441" s="25">
        <f>IF(T441="","",HYPERLINK(IF(LEFT(T441,4)="http",T441,set_QwilrBase&amp;T441),"Open quote"))</f>
        <v/>
      </c>
      <c r="V441" s="25">
        <f>IF(C441="","",C441)</f>
        <v/>
      </c>
      <c r="W441" s="24" t="n"/>
      <c r="X441" s="26" t="n"/>
      <c r="Y441" s="27">
        <f>IF(C441="","",H441+N(X441))</f>
        <v/>
      </c>
      <c r="Z441" s="29">
        <f>IFERROR(X441/Y441,"")</f>
        <v/>
      </c>
      <c r="AA441" s="26" t="n"/>
      <c r="AB441" s="26" t="n"/>
      <c r="AC441" s="26" t="n"/>
      <c r="AD441" s="26" t="n"/>
      <c r="AE441" s="27">
        <f>IF(C441="","",SUMIFS(tbl_Finance[Ex GST],tbl_Finance[Job Number],C441&amp;"",tbl_Finance[Cost Centre],"VIDEO"))</f>
        <v/>
      </c>
      <c r="AF441" s="29">
        <f>IFERROR(AE441/H441,"")</f>
        <v/>
      </c>
      <c r="AG441" s="27">
        <f>IF(C441="","",N(AA441)+N(AB441)+N(AC441)+N(AD441))</f>
        <v/>
      </c>
      <c r="AH441" s="27">
        <f>IF(C441="","",H441-AG441)</f>
        <v/>
      </c>
      <c r="AI441" s="29">
        <f>IFERROR(AH441/H441,"")</f>
        <v/>
      </c>
      <c r="AJ441" s="65" t="n"/>
      <c r="AK441" s="65" t="n"/>
      <c r="AL441" s="65" t="n"/>
      <c r="AM441" s="65" t="n"/>
      <c r="AN441" s="65" t="n"/>
      <c r="AO441" s="24" t="n"/>
    </row>
    <row r="442" ht="15" customHeight="1">
      <c r="A442" s="64">
        <f>IF(C442="","",IFERROR(IF(SUMPRODUCT(MAX((tbl_Finance[Job Number]=C442&amp;"")*(tbl_Finance[Xero Invoice No]&lt;&gt;"")*tbl_Finance[Date]))=0,"",SUMPRODUCT(MAX((tbl_Finance[Job Number]=C442&amp;"")*(tbl_Finance[Xero Invoice No]&lt;&gt;"")*tbl_Finance[Date]))),""))</f>
        <v/>
      </c>
      <c r="B442" s="25">
        <f>IF(C442="","",IF(COUNTIFS(tbl_Finance[Job Number],C442&amp;"",tbl_Finance[Xero Invoice No],"&lt;&gt;")=0,"",IFERROR(IF(COUNTIFS(tbl_Finance[Job Number],C442&amp;"",tbl_Finance[Xero Invoice No],LOOKUP(2,1/((tbl_Finance[Job Number]=C442&amp;"")*(tbl_Finance[Xero Invoice No]&lt;&gt;"")),tbl_Finance[Xero Invoice No]))=COUNTIFS(tbl_Finance[Job Number],C442&amp;"",tbl_Finance[Xero Invoice No],"&lt;&gt;"),LOOKUP(2,1/((tbl_Finance[Job Number]=C442&amp;"")*(tbl_Finance[Xero Invoice No]&lt;&gt;"")),tbl_Finance[Xero Invoice No]),LOOKUP(2,1/((tbl_Finance[Job Number]=C442&amp;"")*(tbl_Finance[Xero Invoice No]&lt;&gt;"")),tbl_Finance[Xero Invoice No])&amp;" +more"),"")))</f>
        <v/>
      </c>
      <c r="C442" s="24" t="n"/>
      <c r="D442" s="25">
        <f>IF(C442="","",IF(COUNTIF(lst_Jobs,C442&amp;"")&gt;0,"OK","CHECK"))</f>
        <v/>
      </c>
      <c r="E442" s="25">
        <f>IF(C442="","",IFERROR(INDEX(lst_JobName,MATCH(C442&amp;"",lst_Jobs,0)),""))</f>
        <v/>
      </c>
      <c r="F442" s="25">
        <f>IF(C442="","",IFERROR(INDEX(tbl_Finance[Client],MATCH(C442&amp;"",tbl_Finance[Job Number],0)),""))</f>
        <v/>
      </c>
      <c r="G442" s="28">
        <f>IF(C442="","",COUNTIFS(tbl_Finance[Job Number],C442&amp;"",tbl_Finance[Ex GST],"&lt;&gt;"))</f>
        <v/>
      </c>
      <c r="H442" s="27">
        <f>IF(C442="","",SUMIFS(tbl_Finance[Ex GST],tbl_Finance[Job Number],C442&amp;""))</f>
        <v/>
      </c>
      <c r="I442" s="27">
        <f>IF(C442="","",SUMIFS(tbl_Finance[Ex GST],tbl_Finance[Job Number],C442&amp;"",tbl_Finance[Xero Invoice No],"&lt;&gt;"))</f>
        <v/>
      </c>
      <c r="J442" s="27">
        <f>IF(C442="","",H442-I442)</f>
        <v/>
      </c>
      <c r="K442" s="25">
        <f>IF(C442="","",IF(G442=0,"not invoiced yet",SUBSTITUTE(TRIM(IF(COUNTIFS(tbl_Finance[Job Number],C442&amp;"",tbl_Finance[Cost Centre],"ONSITE")&gt;0,"ONSITE ","")&amp;IF(COUNTIFS(tbl_Finance[Job Number],C442&amp;"",tbl_Finance[Cost Centre],"PRODUCTION")&gt;0,"PRODUCTION ","")&amp;IF(COUNTIFS(tbl_Finance[Job Number],C442&amp;"",tbl_Finance[Cost Centre],"VIDEO")&gt;0,"VIDEO ","")&amp;IF(COUNTIFS(tbl_Finance[Job Number],C442&amp;"",tbl_Finance[Cost Centre],"INTEGRATION")&gt;0,"INTEGRATION ","")&amp;IF(COUNTIFS(tbl_Finance[Job Number],C442&amp;"",tbl_Finance[Cost Centre],"CONSULTING")&gt;0,"CONSULTING ","")&amp;IF(COUNTIFS(tbl_Finance[Job Number],C442&amp;"",tbl_Finance[Cost Centre],"CTS")&gt;0,"CTS ",""))," ",", ")))</f>
        <v/>
      </c>
      <c r="L442" s="27">
        <f>IF(C442="","",SUMIFS(tbl_Finance[Inc GST],tbl_Finance[Job Number],C442&amp;""))</f>
        <v/>
      </c>
      <c r="M442" s="24" t="n"/>
      <c r="N442" s="25">
        <f>IF(C442="","",IFERROR(INDEX(tbl_Finance[Description],MATCH(C442&amp;"",tbl_Finance[Job Number],0)),""))</f>
        <v/>
      </c>
      <c r="O442" s="24" t="n"/>
      <c r="P442" s="24" t="n"/>
      <c r="Q442" s="22" t="n"/>
      <c r="R442" s="24" t="n"/>
      <c r="S442" s="25">
        <f>IF(R442="","",IF(AND(LEFT(R442,4)&lt;&gt;"http",set_RMSBase=""),"",HYPERLINK(IF(LEFT(R442,4)="http",R442,set_RMSBase&amp;R442),"Open opportunity")))</f>
        <v/>
      </c>
      <c r="T442" s="24" t="n"/>
      <c r="U442" s="25">
        <f>IF(T442="","",HYPERLINK(IF(LEFT(T442,4)="http",T442,set_QwilrBase&amp;T442),"Open quote"))</f>
        <v/>
      </c>
      <c r="V442" s="25">
        <f>IF(C442="","",C442)</f>
        <v/>
      </c>
      <c r="W442" s="24" t="n"/>
      <c r="X442" s="26" t="n"/>
      <c r="Y442" s="27">
        <f>IF(C442="","",H442+N(X442))</f>
        <v/>
      </c>
      <c r="Z442" s="29">
        <f>IFERROR(X442/Y442,"")</f>
        <v/>
      </c>
      <c r="AA442" s="26" t="n"/>
      <c r="AB442" s="26" t="n"/>
      <c r="AC442" s="26" t="n"/>
      <c r="AD442" s="26" t="n"/>
      <c r="AE442" s="27">
        <f>IF(C442="","",SUMIFS(tbl_Finance[Ex GST],tbl_Finance[Job Number],C442&amp;"",tbl_Finance[Cost Centre],"VIDEO"))</f>
        <v/>
      </c>
      <c r="AF442" s="29">
        <f>IFERROR(AE442/H442,"")</f>
        <v/>
      </c>
      <c r="AG442" s="27">
        <f>IF(C442="","",N(AA442)+N(AB442)+N(AC442)+N(AD442))</f>
        <v/>
      </c>
      <c r="AH442" s="27">
        <f>IF(C442="","",H442-AG442)</f>
        <v/>
      </c>
      <c r="AI442" s="29">
        <f>IFERROR(AH442/H442,"")</f>
        <v/>
      </c>
      <c r="AJ442" s="65" t="n"/>
      <c r="AK442" s="65" t="n"/>
      <c r="AL442" s="65" t="n"/>
      <c r="AM442" s="65" t="n"/>
      <c r="AN442" s="65" t="n"/>
      <c r="AO442" s="24" t="n"/>
    </row>
    <row r="443" ht="15" customHeight="1">
      <c r="A443" s="64">
        <f>IF(C443="","",IFERROR(IF(SUMPRODUCT(MAX((tbl_Finance[Job Number]=C443&amp;"")*(tbl_Finance[Xero Invoice No]&lt;&gt;"")*tbl_Finance[Date]))=0,"",SUMPRODUCT(MAX((tbl_Finance[Job Number]=C443&amp;"")*(tbl_Finance[Xero Invoice No]&lt;&gt;"")*tbl_Finance[Date]))),""))</f>
        <v/>
      </c>
      <c r="B443" s="25">
        <f>IF(C443="","",IF(COUNTIFS(tbl_Finance[Job Number],C443&amp;"",tbl_Finance[Xero Invoice No],"&lt;&gt;")=0,"",IFERROR(IF(COUNTIFS(tbl_Finance[Job Number],C443&amp;"",tbl_Finance[Xero Invoice No],LOOKUP(2,1/((tbl_Finance[Job Number]=C443&amp;"")*(tbl_Finance[Xero Invoice No]&lt;&gt;"")),tbl_Finance[Xero Invoice No]))=COUNTIFS(tbl_Finance[Job Number],C443&amp;"",tbl_Finance[Xero Invoice No],"&lt;&gt;"),LOOKUP(2,1/((tbl_Finance[Job Number]=C443&amp;"")*(tbl_Finance[Xero Invoice No]&lt;&gt;"")),tbl_Finance[Xero Invoice No]),LOOKUP(2,1/((tbl_Finance[Job Number]=C443&amp;"")*(tbl_Finance[Xero Invoice No]&lt;&gt;"")),tbl_Finance[Xero Invoice No])&amp;" +more"),"")))</f>
        <v/>
      </c>
      <c r="C443" s="24" t="n"/>
      <c r="D443" s="25">
        <f>IF(C443="","",IF(COUNTIF(lst_Jobs,C443&amp;"")&gt;0,"OK","CHECK"))</f>
        <v/>
      </c>
      <c r="E443" s="25">
        <f>IF(C443="","",IFERROR(INDEX(lst_JobName,MATCH(C443&amp;"",lst_Jobs,0)),""))</f>
        <v/>
      </c>
      <c r="F443" s="25">
        <f>IF(C443="","",IFERROR(INDEX(tbl_Finance[Client],MATCH(C443&amp;"",tbl_Finance[Job Number],0)),""))</f>
        <v/>
      </c>
      <c r="G443" s="28">
        <f>IF(C443="","",COUNTIFS(tbl_Finance[Job Number],C443&amp;"",tbl_Finance[Ex GST],"&lt;&gt;"))</f>
        <v/>
      </c>
      <c r="H443" s="27">
        <f>IF(C443="","",SUMIFS(tbl_Finance[Ex GST],tbl_Finance[Job Number],C443&amp;""))</f>
        <v/>
      </c>
      <c r="I443" s="27">
        <f>IF(C443="","",SUMIFS(tbl_Finance[Ex GST],tbl_Finance[Job Number],C443&amp;"",tbl_Finance[Xero Invoice No],"&lt;&gt;"))</f>
        <v/>
      </c>
      <c r="J443" s="27">
        <f>IF(C443="","",H443-I443)</f>
        <v/>
      </c>
      <c r="K443" s="25">
        <f>IF(C443="","",IF(G443=0,"not invoiced yet",SUBSTITUTE(TRIM(IF(COUNTIFS(tbl_Finance[Job Number],C443&amp;"",tbl_Finance[Cost Centre],"ONSITE")&gt;0,"ONSITE ","")&amp;IF(COUNTIFS(tbl_Finance[Job Number],C443&amp;"",tbl_Finance[Cost Centre],"PRODUCTION")&gt;0,"PRODUCTION ","")&amp;IF(COUNTIFS(tbl_Finance[Job Number],C443&amp;"",tbl_Finance[Cost Centre],"VIDEO")&gt;0,"VIDEO ","")&amp;IF(COUNTIFS(tbl_Finance[Job Number],C443&amp;"",tbl_Finance[Cost Centre],"INTEGRATION")&gt;0,"INTEGRATION ","")&amp;IF(COUNTIFS(tbl_Finance[Job Number],C443&amp;"",tbl_Finance[Cost Centre],"CONSULTING")&gt;0,"CONSULTING ","")&amp;IF(COUNTIFS(tbl_Finance[Job Number],C443&amp;"",tbl_Finance[Cost Centre],"CTS")&gt;0,"CTS ",""))," ",", ")))</f>
        <v/>
      </c>
      <c r="L443" s="27">
        <f>IF(C443="","",SUMIFS(tbl_Finance[Inc GST],tbl_Finance[Job Number],C443&amp;""))</f>
        <v/>
      </c>
      <c r="M443" s="24" t="n"/>
      <c r="N443" s="25">
        <f>IF(C443="","",IFERROR(INDEX(tbl_Finance[Description],MATCH(C443&amp;"",tbl_Finance[Job Number],0)),""))</f>
        <v/>
      </c>
      <c r="O443" s="24" t="n"/>
      <c r="P443" s="24" t="n"/>
      <c r="Q443" s="22" t="n"/>
      <c r="R443" s="24" t="n"/>
      <c r="S443" s="25">
        <f>IF(R443="","",IF(AND(LEFT(R443,4)&lt;&gt;"http",set_RMSBase=""),"",HYPERLINK(IF(LEFT(R443,4)="http",R443,set_RMSBase&amp;R443),"Open opportunity")))</f>
        <v/>
      </c>
      <c r="T443" s="24" t="n"/>
      <c r="U443" s="25">
        <f>IF(T443="","",HYPERLINK(IF(LEFT(T443,4)="http",T443,set_QwilrBase&amp;T443),"Open quote"))</f>
        <v/>
      </c>
      <c r="V443" s="25">
        <f>IF(C443="","",C443)</f>
        <v/>
      </c>
      <c r="W443" s="24" t="n"/>
      <c r="X443" s="26" t="n"/>
      <c r="Y443" s="27">
        <f>IF(C443="","",H443+N(X443))</f>
        <v/>
      </c>
      <c r="Z443" s="29">
        <f>IFERROR(X443/Y443,"")</f>
        <v/>
      </c>
      <c r="AA443" s="26" t="n"/>
      <c r="AB443" s="26" t="n"/>
      <c r="AC443" s="26" t="n"/>
      <c r="AD443" s="26" t="n"/>
      <c r="AE443" s="27">
        <f>IF(C443="","",SUMIFS(tbl_Finance[Ex GST],tbl_Finance[Job Number],C443&amp;"",tbl_Finance[Cost Centre],"VIDEO"))</f>
        <v/>
      </c>
      <c r="AF443" s="29">
        <f>IFERROR(AE443/H443,"")</f>
        <v/>
      </c>
      <c r="AG443" s="27">
        <f>IF(C443="","",N(AA443)+N(AB443)+N(AC443)+N(AD443))</f>
        <v/>
      </c>
      <c r="AH443" s="27">
        <f>IF(C443="","",H443-AG443)</f>
        <v/>
      </c>
      <c r="AI443" s="29">
        <f>IFERROR(AH443/H443,"")</f>
        <v/>
      </c>
      <c r="AJ443" s="65" t="n"/>
      <c r="AK443" s="65" t="n"/>
      <c r="AL443" s="65" t="n"/>
      <c r="AM443" s="65" t="n"/>
      <c r="AN443" s="65" t="n"/>
      <c r="AO443" s="24" t="n"/>
    </row>
    <row r="444" ht="15" customHeight="1">
      <c r="A444" s="64">
        <f>IF(C444="","",IFERROR(IF(SUMPRODUCT(MAX((tbl_Finance[Job Number]=C444&amp;"")*(tbl_Finance[Xero Invoice No]&lt;&gt;"")*tbl_Finance[Date]))=0,"",SUMPRODUCT(MAX((tbl_Finance[Job Number]=C444&amp;"")*(tbl_Finance[Xero Invoice No]&lt;&gt;"")*tbl_Finance[Date]))),""))</f>
        <v/>
      </c>
      <c r="B444" s="25">
        <f>IF(C444="","",IF(COUNTIFS(tbl_Finance[Job Number],C444&amp;"",tbl_Finance[Xero Invoice No],"&lt;&gt;")=0,"",IFERROR(IF(COUNTIFS(tbl_Finance[Job Number],C444&amp;"",tbl_Finance[Xero Invoice No],LOOKUP(2,1/((tbl_Finance[Job Number]=C444&amp;"")*(tbl_Finance[Xero Invoice No]&lt;&gt;"")),tbl_Finance[Xero Invoice No]))=COUNTIFS(tbl_Finance[Job Number],C444&amp;"",tbl_Finance[Xero Invoice No],"&lt;&gt;"),LOOKUP(2,1/((tbl_Finance[Job Number]=C444&amp;"")*(tbl_Finance[Xero Invoice No]&lt;&gt;"")),tbl_Finance[Xero Invoice No]),LOOKUP(2,1/((tbl_Finance[Job Number]=C444&amp;"")*(tbl_Finance[Xero Invoice No]&lt;&gt;"")),tbl_Finance[Xero Invoice No])&amp;" +more"),"")))</f>
        <v/>
      </c>
      <c r="C444" s="24" t="n"/>
      <c r="D444" s="25">
        <f>IF(C444="","",IF(COUNTIF(lst_Jobs,C444&amp;"")&gt;0,"OK","CHECK"))</f>
        <v/>
      </c>
      <c r="E444" s="25">
        <f>IF(C444="","",IFERROR(INDEX(lst_JobName,MATCH(C444&amp;"",lst_Jobs,0)),""))</f>
        <v/>
      </c>
      <c r="F444" s="25">
        <f>IF(C444="","",IFERROR(INDEX(tbl_Finance[Client],MATCH(C444&amp;"",tbl_Finance[Job Number],0)),""))</f>
        <v/>
      </c>
      <c r="G444" s="28">
        <f>IF(C444="","",COUNTIFS(tbl_Finance[Job Number],C444&amp;"",tbl_Finance[Ex GST],"&lt;&gt;"))</f>
        <v/>
      </c>
      <c r="H444" s="27">
        <f>IF(C444="","",SUMIFS(tbl_Finance[Ex GST],tbl_Finance[Job Number],C444&amp;""))</f>
        <v/>
      </c>
      <c r="I444" s="27">
        <f>IF(C444="","",SUMIFS(tbl_Finance[Ex GST],tbl_Finance[Job Number],C444&amp;"",tbl_Finance[Xero Invoice No],"&lt;&gt;"))</f>
        <v/>
      </c>
      <c r="J444" s="27">
        <f>IF(C444="","",H444-I444)</f>
        <v/>
      </c>
      <c r="K444" s="25">
        <f>IF(C444="","",IF(G444=0,"not invoiced yet",SUBSTITUTE(TRIM(IF(COUNTIFS(tbl_Finance[Job Number],C444&amp;"",tbl_Finance[Cost Centre],"ONSITE")&gt;0,"ONSITE ","")&amp;IF(COUNTIFS(tbl_Finance[Job Number],C444&amp;"",tbl_Finance[Cost Centre],"PRODUCTION")&gt;0,"PRODUCTION ","")&amp;IF(COUNTIFS(tbl_Finance[Job Number],C444&amp;"",tbl_Finance[Cost Centre],"VIDEO")&gt;0,"VIDEO ","")&amp;IF(COUNTIFS(tbl_Finance[Job Number],C444&amp;"",tbl_Finance[Cost Centre],"INTEGRATION")&gt;0,"INTEGRATION ","")&amp;IF(COUNTIFS(tbl_Finance[Job Number],C444&amp;"",tbl_Finance[Cost Centre],"CONSULTING")&gt;0,"CONSULTING ","")&amp;IF(COUNTIFS(tbl_Finance[Job Number],C444&amp;"",tbl_Finance[Cost Centre],"CTS")&gt;0,"CTS ",""))," ",", ")))</f>
        <v/>
      </c>
      <c r="L444" s="27">
        <f>IF(C444="","",SUMIFS(tbl_Finance[Inc GST],tbl_Finance[Job Number],C444&amp;""))</f>
        <v/>
      </c>
      <c r="M444" s="24" t="n"/>
      <c r="N444" s="25">
        <f>IF(C444="","",IFERROR(INDEX(tbl_Finance[Description],MATCH(C444&amp;"",tbl_Finance[Job Number],0)),""))</f>
        <v/>
      </c>
      <c r="O444" s="24" t="n"/>
      <c r="P444" s="24" t="n"/>
      <c r="Q444" s="22" t="n"/>
      <c r="R444" s="24" t="n"/>
      <c r="S444" s="25">
        <f>IF(R444="","",IF(AND(LEFT(R444,4)&lt;&gt;"http",set_RMSBase=""),"",HYPERLINK(IF(LEFT(R444,4)="http",R444,set_RMSBase&amp;R444),"Open opportunity")))</f>
        <v/>
      </c>
      <c r="T444" s="24" t="n"/>
      <c r="U444" s="25">
        <f>IF(T444="","",HYPERLINK(IF(LEFT(T444,4)="http",T444,set_QwilrBase&amp;T444),"Open quote"))</f>
        <v/>
      </c>
      <c r="V444" s="25">
        <f>IF(C444="","",C444)</f>
        <v/>
      </c>
      <c r="W444" s="24" t="n"/>
      <c r="X444" s="26" t="n"/>
      <c r="Y444" s="27">
        <f>IF(C444="","",H444+N(X444))</f>
        <v/>
      </c>
      <c r="Z444" s="29">
        <f>IFERROR(X444/Y444,"")</f>
        <v/>
      </c>
      <c r="AA444" s="26" t="n"/>
      <c r="AB444" s="26" t="n"/>
      <c r="AC444" s="26" t="n"/>
      <c r="AD444" s="26" t="n"/>
      <c r="AE444" s="27">
        <f>IF(C444="","",SUMIFS(tbl_Finance[Ex GST],tbl_Finance[Job Number],C444&amp;"",tbl_Finance[Cost Centre],"VIDEO"))</f>
        <v/>
      </c>
      <c r="AF444" s="29">
        <f>IFERROR(AE444/H444,"")</f>
        <v/>
      </c>
      <c r="AG444" s="27">
        <f>IF(C444="","",N(AA444)+N(AB444)+N(AC444)+N(AD444))</f>
        <v/>
      </c>
      <c r="AH444" s="27">
        <f>IF(C444="","",H444-AG444)</f>
        <v/>
      </c>
      <c r="AI444" s="29">
        <f>IFERROR(AH444/H444,"")</f>
        <v/>
      </c>
      <c r="AJ444" s="65" t="n"/>
      <c r="AK444" s="65" t="n"/>
      <c r="AL444" s="65" t="n"/>
      <c r="AM444" s="65" t="n"/>
      <c r="AN444" s="65" t="n"/>
      <c r="AO444" s="24" t="n"/>
    </row>
    <row r="445" ht="15" customHeight="1">
      <c r="A445" s="64">
        <f>IF(C445="","",IFERROR(IF(SUMPRODUCT(MAX((tbl_Finance[Job Number]=C445&amp;"")*(tbl_Finance[Xero Invoice No]&lt;&gt;"")*tbl_Finance[Date]))=0,"",SUMPRODUCT(MAX((tbl_Finance[Job Number]=C445&amp;"")*(tbl_Finance[Xero Invoice No]&lt;&gt;"")*tbl_Finance[Date]))),""))</f>
        <v/>
      </c>
      <c r="B445" s="25">
        <f>IF(C445="","",IF(COUNTIFS(tbl_Finance[Job Number],C445&amp;"",tbl_Finance[Xero Invoice No],"&lt;&gt;")=0,"",IFERROR(IF(COUNTIFS(tbl_Finance[Job Number],C445&amp;"",tbl_Finance[Xero Invoice No],LOOKUP(2,1/((tbl_Finance[Job Number]=C445&amp;"")*(tbl_Finance[Xero Invoice No]&lt;&gt;"")),tbl_Finance[Xero Invoice No]))=COUNTIFS(tbl_Finance[Job Number],C445&amp;"",tbl_Finance[Xero Invoice No],"&lt;&gt;"),LOOKUP(2,1/((tbl_Finance[Job Number]=C445&amp;"")*(tbl_Finance[Xero Invoice No]&lt;&gt;"")),tbl_Finance[Xero Invoice No]),LOOKUP(2,1/((tbl_Finance[Job Number]=C445&amp;"")*(tbl_Finance[Xero Invoice No]&lt;&gt;"")),tbl_Finance[Xero Invoice No])&amp;" +more"),"")))</f>
        <v/>
      </c>
      <c r="C445" s="24" t="n"/>
      <c r="D445" s="25">
        <f>IF(C445="","",IF(COUNTIF(lst_Jobs,C445&amp;"")&gt;0,"OK","CHECK"))</f>
        <v/>
      </c>
      <c r="E445" s="25">
        <f>IF(C445="","",IFERROR(INDEX(lst_JobName,MATCH(C445&amp;"",lst_Jobs,0)),""))</f>
        <v/>
      </c>
      <c r="F445" s="25">
        <f>IF(C445="","",IFERROR(INDEX(tbl_Finance[Client],MATCH(C445&amp;"",tbl_Finance[Job Number],0)),""))</f>
        <v/>
      </c>
      <c r="G445" s="28">
        <f>IF(C445="","",COUNTIFS(tbl_Finance[Job Number],C445&amp;"",tbl_Finance[Ex GST],"&lt;&gt;"))</f>
        <v/>
      </c>
      <c r="H445" s="27">
        <f>IF(C445="","",SUMIFS(tbl_Finance[Ex GST],tbl_Finance[Job Number],C445&amp;""))</f>
        <v/>
      </c>
      <c r="I445" s="27">
        <f>IF(C445="","",SUMIFS(tbl_Finance[Ex GST],tbl_Finance[Job Number],C445&amp;"",tbl_Finance[Xero Invoice No],"&lt;&gt;"))</f>
        <v/>
      </c>
      <c r="J445" s="27">
        <f>IF(C445="","",H445-I445)</f>
        <v/>
      </c>
      <c r="K445" s="25">
        <f>IF(C445="","",IF(G445=0,"not invoiced yet",SUBSTITUTE(TRIM(IF(COUNTIFS(tbl_Finance[Job Number],C445&amp;"",tbl_Finance[Cost Centre],"ONSITE")&gt;0,"ONSITE ","")&amp;IF(COUNTIFS(tbl_Finance[Job Number],C445&amp;"",tbl_Finance[Cost Centre],"PRODUCTION")&gt;0,"PRODUCTION ","")&amp;IF(COUNTIFS(tbl_Finance[Job Number],C445&amp;"",tbl_Finance[Cost Centre],"VIDEO")&gt;0,"VIDEO ","")&amp;IF(COUNTIFS(tbl_Finance[Job Number],C445&amp;"",tbl_Finance[Cost Centre],"INTEGRATION")&gt;0,"INTEGRATION ","")&amp;IF(COUNTIFS(tbl_Finance[Job Number],C445&amp;"",tbl_Finance[Cost Centre],"CONSULTING")&gt;0,"CONSULTING ","")&amp;IF(COUNTIFS(tbl_Finance[Job Number],C445&amp;"",tbl_Finance[Cost Centre],"CTS")&gt;0,"CTS ",""))," ",", ")))</f>
        <v/>
      </c>
      <c r="L445" s="27">
        <f>IF(C445="","",SUMIFS(tbl_Finance[Inc GST],tbl_Finance[Job Number],C445&amp;""))</f>
        <v/>
      </c>
      <c r="M445" s="24" t="n"/>
      <c r="N445" s="25">
        <f>IF(C445="","",IFERROR(INDEX(tbl_Finance[Description],MATCH(C445&amp;"",tbl_Finance[Job Number],0)),""))</f>
        <v/>
      </c>
      <c r="O445" s="24" t="n"/>
      <c r="P445" s="24" t="n"/>
      <c r="Q445" s="22" t="n"/>
      <c r="R445" s="24" t="n"/>
      <c r="S445" s="25">
        <f>IF(R445="","",IF(AND(LEFT(R445,4)&lt;&gt;"http",set_RMSBase=""),"",HYPERLINK(IF(LEFT(R445,4)="http",R445,set_RMSBase&amp;R445),"Open opportunity")))</f>
        <v/>
      </c>
      <c r="T445" s="24" t="n"/>
      <c r="U445" s="25">
        <f>IF(T445="","",HYPERLINK(IF(LEFT(T445,4)="http",T445,set_QwilrBase&amp;T445),"Open quote"))</f>
        <v/>
      </c>
      <c r="V445" s="25">
        <f>IF(C445="","",C445)</f>
        <v/>
      </c>
      <c r="W445" s="24" t="n"/>
      <c r="X445" s="26" t="n"/>
      <c r="Y445" s="27">
        <f>IF(C445="","",H445+N(X445))</f>
        <v/>
      </c>
      <c r="Z445" s="29">
        <f>IFERROR(X445/Y445,"")</f>
        <v/>
      </c>
      <c r="AA445" s="26" t="n"/>
      <c r="AB445" s="26" t="n"/>
      <c r="AC445" s="26" t="n"/>
      <c r="AD445" s="26" t="n"/>
      <c r="AE445" s="27">
        <f>IF(C445="","",SUMIFS(tbl_Finance[Ex GST],tbl_Finance[Job Number],C445&amp;"",tbl_Finance[Cost Centre],"VIDEO"))</f>
        <v/>
      </c>
      <c r="AF445" s="29">
        <f>IFERROR(AE445/H445,"")</f>
        <v/>
      </c>
      <c r="AG445" s="27">
        <f>IF(C445="","",N(AA445)+N(AB445)+N(AC445)+N(AD445))</f>
        <v/>
      </c>
      <c r="AH445" s="27">
        <f>IF(C445="","",H445-AG445)</f>
        <v/>
      </c>
      <c r="AI445" s="29">
        <f>IFERROR(AH445/H445,"")</f>
        <v/>
      </c>
      <c r="AJ445" s="65" t="n"/>
      <c r="AK445" s="65" t="n"/>
      <c r="AL445" s="65" t="n"/>
      <c r="AM445" s="65" t="n"/>
      <c r="AN445" s="65" t="n"/>
      <c r="AO445" s="24" t="n"/>
    </row>
    <row r="446" ht="15" customHeight="1">
      <c r="A446" s="64">
        <f>IF(C446="","",IFERROR(IF(SUMPRODUCT(MAX((tbl_Finance[Job Number]=C446&amp;"")*(tbl_Finance[Xero Invoice No]&lt;&gt;"")*tbl_Finance[Date]))=0,"",SUMPRODUCT(MAX((tbl_Finance[Job Number]=C446&amp;"")*(tbl_Finance[Xero Invoice No]&lt;&gt;"")*tbl_Finance[Date]))),""))</f>
        <v/>
      </c>
      <c r="B446" s="25">
        <f>IF(C446="","",IF(COUNTIFS(tbl_Finance[Job Number],C446&amp;"",tbl_Finance[Xero Invoice No],"&lt;&gt;")=0,"",IFERROR(IF(COUNTIFS(tbl_Finance[Job Number],C446&amp;"",tbl_Finance[Xero Invoice No],LOOKUP(2,1/((tbl_Finance[Job Number]=C446&amp;"")*(tbl_Finance[Xero Invoice No]&lt;&gt;"")),tbl_Finance[Xero Invoice No]))=COUNTIFS(tbl_Finance[Job Number],C446&amp;"",tbl_Finance[Xero Invoice No],"&lt;&gt;"),LOOKUP(2,1/((tbl_Finance[Job Number]=C446&amp;"")*(tbl_Finance[Xero Invoice No]&lt;&gt;"")),tbl_Finance[Xero Invoice No]),LOOKUP(2,1/((tbl_Finance[Job Number]=C446&amp;"")*(tbl_Finance[Xero Invoice No]&lt;&gt;"")),tbl_Finance[Xero Invoice No])&amp;" +more"),"")))</f>
        <v/>
      </c>
      <c r="C446" s="24" t="n"/>
      <c r="D446" s="25">
        <f>IF(C446="","",IF(COUNTIF(lst_Jobs,C446&amp;"")&gt;0,"OK","CHECK"))</f>
        <v/>
      </c>
      <c r="E446" s="25">
        <f>IF(C446="","",IFERROR(INDEX(lst_JobName,MATCH(C446&amp;"",lst_Jobs,0)),""))</f>
        <v/>
      </c>
      <c r="F446" s="25">
        <f>IF(C446="","",IFERROR(INDEX(tbl_Finance[Client],MATCH(C446&amp;"",tbl_Finance[Job Number],0)),""))</f>
        <v/>
      </c>
      <c r="G446" s="28">
        <f>IF(C446="","",COUNTIFS(tbl_Finance[Job Number],C446&amp;"",tbl_Finance[Ex GST],"&lt;&gt;"))</f>
        <v/>
      </c>
      <c r="H446" s="27">
        <f>IF(C446="","",SUMIFS(tbl_Finance[Ex GST],tbl_Finance[Job Number],C446&amp;""))</f>
        <v/>
      </c>
      <c r="I446" s="27">
        <f>IF(C446="","",SUMIFS(tbl_Finance[Ex GST],tbl_Finance[Job Number],C446&amp;"",tbl_Finance[Xero Invoice No],"&lt;&gt;"))</f>
        <v/>
      </c>
      <c r="J446" s="27">
        <f>IF(C446="","",H446-I446)</f>
        <v/>
      </c>
      <c r="K446" s="25">
        <f>IF(C446="","",IF(G446=0,"not invoiced yet",SUBSTITUTE(TRIM(IF(COUNTIFS(tbl_Finance[Job Number],C446&amp;"",tbl_Finance[Cost Centre],"ONSITE")&gt;0,"ONSITE ","")&amp;IF(COUNTIFS(tbl_Finance[Job Number],C446&amp;"",tbl_Finance[Cost Centre],"PRODUCTION")&gt;0,"PRODUCTION ","")&amp;IF(COUNTIFS(tbl_Finance[Job Number],C446&amp;"",tbl_Finance[Cost Centre],"VIDEO")&gt;0,"VIDEO ","")&amp;IF(COUNTIFS(tbl_Finance[Job Number],C446&amp;"",tbl_Finance[Cost Centre],"INTEGRATION")&gt;0,"INTEGRATION ","")&amp;IF(COUNTIFS(tbl_Finance[Job Number],C446&amp;"",tbl_Finance[Cost Centre],"CONSULTING")&gt;0,"CONSULTING ","")&amp;IF(COUNTIFS(tbl_Finance[Job Number],C446&amp;"",tbl_Finance[Cost Centre],"CTS")&gt;0,"CTS ",""))," ",", ")))</f>
        <v/>
      </c>
      <c r="L446" s="27">
        <f>IF(C446="","",SUMIFS(tbl_Finance[Inc GST],tbl_Finance[Job Number],C446&amp;""))</f>
        <v/>
      </c>
      <c r="M446" s="24" t="n"/>
      <c r="N446" s="25">
        <f>IF(C446="","",IFERROR(INDEX(tbl_Finance[Description],MATCH(C446&amp;"",tbl_Finance[Job Number],0)),""))</f>
        <v/>
      </c>
      <c r="O446" s="24" t="n"/>
      <c r="P446" s="24" t="n"/>
      <c r="Q446" s="22" t="n"/>
      <c r="R446" s="24" t="n"/>
      <c r="S446" s="25">
        <f>IF(R446="","",IF(AND(LEFT(R446,4)&lt;&gt;"http",set_RMSBase=""),"",HYPERLINK(IF(LEFT(R446,4)="http",R446,set_RMSBase&amp;R446),"Open opportunity")))</f>
        <v/>
      </c>
      <c r="T446" s="24" t="n"/>
      <c r="U446" s="25">
        <f>IF(T446="","",HYPERLINK(IF(LEFT(T446,4)="http",T446,set_QwilrBase&amp;T446),"Open quote"))</f>
        <v/>
      </c>
      <c r="V446" s="25">
        <f>IF(C446="","",C446)</f>
        <v/>
      </c>
      <c r="W446" s="24" t="n"/>
      <c r="X446" s="26" t="n"/>
      <c r="Y446" s="27">
        <f>IF(C446="","",H446+N(X446))</f>
        <v/>
      </c>
      <c r="Z446" s="29">
        <f>IFERROR(X446/Y446,"")</f>
        <v/>
      </c>
      <c r="AA446" s="26" t="n"/>
      <c r="AB446" s="26" t="n"/>
      <c r="AC446" s="26" t="n"/>
      <c r="AD446" s="26" t="n"/>
      <c r="AE446" s="27">
        <f>IF(C446="","",SUMIFS(tbl_Finance[Ex GST],tbl_Finance[Job Number],C446&amp;"",tbl_Finance[Cost Centre],"VIDEO"))</f>
        <v/>
      </c>
      <c r="AF446" s="29">
        <f>IFERROR(AE446/H446,"")</f>
        <v/>
      </c>
      <c r="AG446" s="27">
        <f>IF(C446="","",N(AA446)+N(AB446)+N(AC446)+N(AD446))</f>
        <v/>
      </c>
      <c r="AH446" s="27">
        <f>IF(C446="","",H446-AG446)</f>
        <v/>
      </c>
      <c r="AI446" s="29">
        <f>IFERROR(AH446/H446,"")</f>
        <v/>
      </c>
      <c r="AJ446" s="65" t="n"/>
      <c r="AK446" s="65" t="n"/>
      <c r="AL446" s="65" t="n"/>
      <c r="AM446" s="65" t="n"/>
      <c r="AN446" s="65" t="n"/>
      <c r="AO446" s="24" t="n"/>
    </row>
    <row r="447" ht="15" customHeight="1">
      <c r="A447" s="64">
        <f>IF(C447="","",IFERROR(IF(SUMPRODUCT(MAX((tbl_Finance[Job Number]=C447&amp;"")*(tbl_Finance[Xero Invoice No]&lt;&gt;"")*tbl_Finance[Date]))=0,"",SUMPRODUCT(MAX((tbl_Finance[Job Number]=C447&amp;"")*(tbl_Finance[Xero Invoice No]&lt;&gt;"")*tbl_Finance[Date]))),""))</f>
        <v/>
      </c>
      <c r="B447" s="25">
        <f>IF(C447="","",IF(COUNTIFS(tbl_Finance[Job Number],C447&amp;"",tbl_Finance[Xero Invoice No],"&lt;&gt;")=0,"",IFERROR(IF(COUNTIFS(tbl_Finance[Job Number],C447&amp;"",tbl_Finance[Xero Invoice No],LOOKUP(2,1/((tbl_Finance[Job Number]=C447&amp;"")*(tbl_Finance[Xero Invoice No]&lt;&gt;"")),tbl_Finance[Xero Invoice No]))=COUNTIFS(tbl_Finance[Job Number],C447&amp;"",tbl_Finance[Xero Invoice No],"&lt;&gt;"),LOOKUP(2,1/((tbl_Finance[Job Number]=C447&amp;"")*(tbl_Finance[Xero Invoice No]&lt;&gt;"")),tbl_Finance[Xero Invoice No]),LOOKUP(2,1/((tbl_Finance[Job Number]=C447&amp;"")*(tbl_Finance[Xero Invoice No]&lt;&gt;"")),tbl_Finance[Xero Invoice No])&amp;" +more"),"")))</f>
        <v/>
      </c>
      <c r="C447" s="24" t="n"/>
      <c r="D447" s="25">
        <f>IF(C447="","",IF(COUNTIF(lst_Jobs,C447&amp;"")&gt;0,"OK","CHECK"))</f>
        <v/>
      </c>
      <c r="E447" s="25">
        <f>IF(C447="","",IFERROR(INDEX(lst_JobName,MATCH(C447&amp;"",lst_Jobs,0)),""))</f>
        <v/>
      </c>
      <c r="F447" s="25">
        <f>IF(C447="","",IFERROR(INDEX(tbl_Finance[Client],MATCH(C447&amp;"",tbl_Finance[Job Number],0)),""))</f>
        <v/>
      </c>
      <c r="G447" s="28">
        <f>IF(C447="","",COUNTIFS(tbl_Finance[Job Number],C447&amp;"",tbl_Finance[Ex GST],"&lt;&gt;"))</f>
        <v/>
      </c>
      <c r="H447" s="27">
        <f>IF(C447="","",SUMIFS(tbl_Finance[Ex GST],tbl_Finance[Job Number],C447&amp;""))</f>
        <v/>
      </c>
      <c r="I447" s="27">
        <f>IF(C447="","",SUMIFS(tbl_Finance[Ex GST],tbl_Finance[Job Number],C447&amp;"",tbl_Finance[Xero Invoice No],"&lt;&gt;"))</f>
        <v/>
      </c>
      <c r="J447" s="27">
        <f>IF(C447="","",H447-I447)</f>
        <v/>
      </c>
      <c r="K447" s="25">
        <f>IF(C447="","",IF(G447=0,"not invoiced yet",SUBSTITUTE(TRIM(IF(COUNTIFS(tbl_Finance[Job Number],C447&amp;"",tbl_Finance[Cost Centre],"ONSITE")&gt;0,"ONSITE ","")&amp;IF(COUNTIFS(tbl_Finance[Job Number],C447&amp;"",tbl_Finance[Cost Centre],"PRODUCTION")&gt;0,"PRODUCTION ","")&amp;IF(COUNTIFS(tbl_Finance[Job Number],C447&amp;"",tbl_Finance[Cost Centre],"VIDEO")&gt;0,"VIDEO ","")&amp;IF(COUNTIFS(tbl_Finance[Job Number],C447&amp;"",tbl_Finance[Cost Centre],"INTEGRATION")&gt;0,"INTEGRATION ","")&amp;IF(COUNTIFS(tbl_Finance[Job Number],C447&amp;"",tbl_Finance[Cost Centre],"CONSULTING")&gt;0,"CONSULTING ","")&amp;IF(COUNTIFS(tbl_Finance[Job Number],C447&amp;"",tbl_Finance[Cost Centre],"CTS")&gt;0,"CTS ",""))," ",", ")))</f>
        <v/>
      </c>
      <c r="L447" s="27">
        <f>IF(C447="","",SUMIFS(tbl_Finance[Inc GST],tbl_Finance[Job Number],C447&amp;""))</f>
        <v/>
      </c>
      <c r="M447" s="24" t="n"/>
      <c r="N447" s="25">
        <f>IF(C447="","",IFERROR(INDEX(tbl_Finance[Description],MATCH(C447&amp;"",tbl_Finance[Job Number],0)),""))</f>
        <v/>
      </c>
      <c r="O447" s="24" t="n"/>
      <c r="P447" s="24" t="n"/>
      <c r="Q447" s="22" t="n"/>
      <c r="R447" s="24" t="n"/>
      <c r="S447" s="25">
        <f>IF(R447="","",IF(AND(LEFT(R447,4)&lt;&gt;"http",set_RMSBase=""),"",HYPERLINK(IF(LEFT(R447,4)="http",R447,set_RMSBase&amp;R447),"Open opportunity")))</f>
        <v/>
      </c>
      <c r="T447" s="24" t="n"/>
      <c r="U447" s="25">
        <f>IF(T447="","",HYPERLINK(IF(LEFT(T447,4)="http",T447,set_QwilrBase&amp;T447),"Open quote"))</f>
        <v/>
      </c>
      <c r="V447" s="25">
        <f>IF(C447="","",C447)</f>
        <v/>
      </c>
      <c r="W447" s="24" t="n"/>
      <c r="X447" s="26" t="n"/>
      <c r="Y447" s="27">
        <f>IF(C447="","",H447+N(X447))</f>
        <v/>
      </c>
      <c r="Z447" s="29">
        <f>IFERROR(X447/Y447,"")</f>
        <v/>
      </c>
      <c r="AA447" s="26" t="n"/>
      <c r="AB447" s="26" t="n"/>
      <c r="AC447" s="26" t="n"/>
      <c r="AD447" s="26" t="n"/>
      <c r="AE447" s="27">
        <f>IF(C447="","",SUMIFS(tbl_Finance[Ex GST],tbl_Finance[Job Number],C447&amp;"",tbl_Finance[Cost Centre],"VIDEO"))</f>
        <v/>
      </c>
      <c r="AF447" s="29">
        <f>IFERROR(AE447/H447,"")</f>
        <v/>
      </c>
      <c r="AG447" s="27">
        <f>IF(C447="","",N(AA447)+N(AB447)+N(AC447)+N(AD447))</f>
        <v/>
      </c>
      <c r="AH447" s="27">
        <f>IF(C447="","",H447-AG447)</f>
        <v/>
      </c>
      <c r="AI447" s="29">
        <f>IFERROR(AH447/H447,"")</f>
        <v/>
      </c>
      <c r="AJ447" s="65" t="n"/>
      <c r="AK447" s="65" t="n"/>
      <c r="AL447" s="65" t="n"/>
      <c r="AM447" s="65" t="n"/>
      <c r="AN447" s="65" t="n"/>
      <c r="AO447" s="24" t="n"/>
    </row>
    <row r="448" ht="15" customHeight="1">
      <c r="A448" s="64">
        <f>IF(C448="","",IFERROR(IF(SUMPRODUCT(MAX((tbl_Finance[Job Number]=C448&amp;"")*(tbl_Finance[Xero Invoice No]&lt;&gt;"")*tbl_Finance[Date]))=0,"",SUMPRODUCT(MAX((tbl_Finance[Job Number]=C448&amp;"")*(tbl_Finance[Xero Invoice No]&lt;&gt;"")*tbl_Finance[Date]))),""))</f>
        <v/>
      </c>
      <c r="B448" s="25">
        <f>IF(C448="","",IF(COUNTIFS(tbl_Finance[Job Number],C448&amp;"",tbl_Finance[Xero Invoice No],"&lt;&gt;")=0,"",IFERROR(IF(COUNTIFS(tbl_Finance[Job Number],C448&amp;"",tbl_Finance[Xero Invoice No],LOOKUP(2,1/((tbl_Finance[Job Number]=C448&amp;"")*(tbl_Finance[Xero Invoice No]&lt;&gt;"")),tbl_Finance[Xero Invoice No]))=COUNTIFS(tbl_Finance[Job Number],C448&amp;"",tbl_Finance[Xero Invoice No],"&lt;&gt;"),LOOKUP(2,1/((tbl_Finance[Job Number]=C448&amp;"")*(tbl_Finance[Xero Invoice No]&lt;&gt;"")),tbl_Finance[Xero Invoice No]),LOOKUP(2,1/((tbl_Finance[Job Number]=C448&amp;"")*(tbl_Finance[Xero Invoice No]&lt;&gt;"")),tbl_Finance[Xero Invoice No])&amp;" +more"),"")))</f>
        <v/>
      </c>
      <c r="C448" s="24" t="n"/>
      <c r="D448" s="25">
        <f>IF(C448="","",IF(COUNTIF(lst_Jobs,C448&amp;"")&gt;0,"OK","CHECK"))</f>
        <v/>
      </c>
      <c r="E448" s="25">
        <f>IF(C448="","",IFERROR(INDEX(lst_JobName,MATCH(C448&amp;"",lst_Jobs,0)),""))</f>
        <v/>
      </c>
      <c r="F448" s="25">
        <f>IF(C448="","",IFERROR(INDEX(tbl_Finance[Client],MATCH(C448&amp;"",tbl_Finance[Job Number],0)),""))</f>
        <v/>
      </c>
      <c r="G448" s="28">
        <f>IF(C448="","",COUNTIFS(tbl_Finance[Job Number],C448&amp;"",tbl_Finance[Ex GST],"&lt;&gt;"))</f>
        <v/>
      </c>
      <c r="H448" s="27">
        <f>IF(C448="","",SUMIFS(tbl_Finance[Ex GST],tbl_Finance[Job Number],C448&amp;""))</f>
        <v/>
      </c>
      <c r="I448" s="27">
        <f>IF(C448="","",SUMIFS(tbl_Finance[Ex GST],tbl_Finance[Job Number],C448&amp;"",tbl_Finance[Xero Invoice No],"&lt;&gt;"))</f>
        <v/>
      </c>
      <c r="J448" s="27">
        <f>IF(C448="","",H448-I448)</f>
        <v/>
      </c>
      <c r="K448" s="25">
        <f>IF(C448="","",IF(G448=0,"not invoiced yet",SUBSTITUTE(TRIM(IF(COUNTIFS(tbl_Finance[Job Number],C448&amp;"",tbl_Finance[Cost Centre],"ONSITE")&gt;0,"ONSITE ","")&amp;IF(COUNTIFS(tbl_Finance[Job Number],C448&amp;"",tbl_Finance[Cost Centre],"PRODUCTION")&gt;0,"PRODUCTION ","")&amp;IF(COUNTIFS(tbl_Finance[Job Number],C448&amp;"",tbl_Finance[Cost Centre],"VIDEO")&gt;0,"VIDEO ","")&amp;IF(COUNTIFS(tbl_Finance[Job Number],C448&amp;"",tbl_Finance[Cost Centre],"INTEGRATION")&gt;0,"INTEGRATION ","")&amp;IF(COUNTIFS(tbl_Finance[Job Number],C448&amp;"",tbl_Finance[Cost Centre],"CONSULTING")&gt;0,"CONSULTING ","")&amp;IF(COUNTIFS(tbl_Finance[Job Number],C448&amp;"",tbl_Finance[Cost Centre],"CTS")&gt;0,"CTS ",""))," ",", ")))</f>
        <v/>
      </c>
      <c r="L448" s="27">
        <f>IF(C448="","",SUMIFS(tbl_Finance[Inc GST],tbl_Finance[Job Number],C448&amp;""))</f>
        <v/>
      </c>
      <c r="M448" s="24" t="n"/>
      <c r="N448" s="25">
        <f>IF(C448="","",IFERROR(INDEX(tbl_Finance[Description],MATCH(C448&amp;"",tbl_Finance[Job Number],0)),""))</f>
        <v/>
      </c>
      <c r="O448" s="24" t="n"/>
      <c r="P448" s="24" t="n"/>
      <c r="Q448" s="22" t="n"/>
      <c r="R448" s="24" t="n"/>
      <c r="S448" s="25">
        <f>IF(R448="","",IF(AND(LEFT(R448,4)&lt;&gt;"http",set_RMSBase=""),"",HYPERLINK(IF(LEFT(R448,4)="http",R448,set_RMSBase&amp;R448),"Open opportunity")))</f>
        <v/>
      </c>
      <c r="T448" s="24" t="n"/>
      <c r="U448" s="25">
        <f>IF(T448="","",HYPERLINK(IF(LEFT(T448,4)="http",T448,set_QwilrBase&amp;T448),"Open quote"))</f>
        <v/>
      </c>
      <c r="V448" s="25">
        <f>IF(C448="","",C448)</f>
        <v/>
      </c>
      <c r="W448" s="24" t="n"/>
      <c r="X448" s="26" t="n"/>
      <c r="Y448" s="27">
        <f>IF(C448="","",H448+N(X448))</f>
        <v/>
      </c>
      <c r="Z448" s="29">
        <f>IFERROR(X448/Y448,"")</f>
        <v/>
      </c>
      <c r="AA448" s="26" t="n"/>
      <c r="AB448" s="26" t="n"/>
      <c r="AC448" s="26" t="n"/>
      <c r="AD448" s="26" t="n"/>
      <c r="AE448" s="27">
        <f>IF(C448="","",SUMIFS(tbl_Finance[Ex GST],tbl_Finance[Job Number],C448&amp;"",tbl_Finance[Cost Centre],"VIDEO"))</f>
        <v/>
      </c>
      <c r="AF448" s="29">
        <f>IFERROR(AE448/H448,"")</f>
        <v/>
      </c>
      <c r="AG448" s="27">
        <f>IF(C448="","",N(AA448)+N(AB448)+N(AC448)+N(AD448))</f>
        <v/>
      </c>
      <c r="AH448" s="27">
        <f>IF(C448="","",H448-AG448)</f>
        <v/>
      </c>
      <c r="AI448" s="29">
        <f>IFERROR(AH448/H448,"")</f>
        <v/>
      </c>
      <c r="AJ448" s="65" t="n"/>
      <c r="AK448" s="65" t="n"/>
      <c r="AL448" s="65" t="n"/>
      <c r="AM448" s="65" t="n"/>
      <c r="AN448" s="65" t="n"/>
      <c r="AO448" s="24" t="n"/>
    </row>
    <row r="449" ht="15" customHeight="1">
      <c r="A449" s="64">
        <f>IF(C449="","",IFERROR(IF(SUMPRODUCT(MAX((tbl_Finance[Job Number]=C449&amp;"")*(tbl_Finance[Xero Invoice No]&lt;&gt;"")*tbl_Finance[Date]))=0,"",SUMPRODUCT(MAX((tbl_Finance[Job Number]=C449&amp;"")*(tbl_Finance[Xero Invoice No]&lt;&gt;"")*tbl_Finance[Date]))),""))</f>
        <v/>
      </c>
      <c r="B449" s="25">
        <f>IF(C449="","",IF(COUNTIFS(tbl_Finance[Job Number],C449&amp;"",tbl_Finance[Xero Invoice No],"&lt;&gt;")=0,"",IFERROR(IF(COUNTIFS(tbl_Finance[Job Number],C449&amp;"",tbl_Finance[Xero Invoice No],LOOKUP(2,1/((tbl_Finance[Job Number]=C449&amp;"")*(tbl_Finance[Xero Invoice No]&lt;&gt;"")),tbl_Finance[Xero Invoice No]))=COUNTIFS(tbl_Finance[Job Number],C449&amp;"",tbl_Finance[Xero Invoice No],"&lt;&gt;"),LOOKUP(2,1/((tbl_Finance[Job Number]=C449&amp;"")*(tbl_Finance[Xero Invoice No]&lt;&gt;"")),tbl_Finance[Xero Invoice No]),LOOKUP(2,1/((tbl_Finance[Job Number]=C449&amp;"")*(tbl_Finance[Xero Invoice No]&lt;&gt;"")),tbl_Finance[Xero Invoice No])&amp;" +more"),"")))</f>
        <v/>
      </c>
      <c r="C449" s="24" t="n"/>
      <c r="D449" s="25">
        <f>IF(C449="","",IF(COUNTIF(lst_Jobs,C449&amp;"")&gt;0,"OK","CHECK"))</f>
        <v/>
      </c>
      <c r="E449" s="25">
        <f>IF(C449="","",IFERROR(INDEX(lst_JobName,MATCH(C449&amp;"",lst_Jobs,0)),""))</f>
        <v/>
      </c>
      <c r="F449" s="25">
        <f>IF(C449="","",IFERROR(INDEX(tbl_Finance[Client],MATCH(C449&amp;"",tbl_Finance[Job Number],0)),""))</f>
        <v/>
      </c>
      <c r="G449" s="28">
        <f>IF(C449="","",COUNTIFS(tbl_Finance[Job Number],C449&amp;"",tbl_Finance[Ex GST],"&lt;&gt;"))</f>
        <v/>
      </c>
      <c r="H449" s="27">
        <f>IF(C449="","",SUMIFS(tbl_Finance[Ex GST],tbl_Finance[Job Number],C449&amp;""))</f>
        <v/>
      </c>
      <c r="I449" s="27">
        <f>IF(C449="","",SUMIFS(tbl_Finance[Ex GST],tbl_Finance[Job Number],C449&amp;"",tbl_Finance[Xero Invoice No],"&lt;&gt;"))</f>
        <v/>
      </c>
      <c r="J449" s="27">
        <f>IF(C449="","",H449-I449)</f>
        <v/>
      </c>
      <c r="K449" s="25">
        <f>IF(C449="","",IF(G449=0,"not invoiced yet",SUBSTITUTE(TRIM(IF(COUNTIFS(tbl_Finance[Job Number],C449&amp;"",tbl_Finance[Cost Centre],"ONSITE")&gt;0,"ONSITE ","")&amp;IF(COUNTIFS(tbl_Finance[Job Number],C449&amp;"",tbl_Finance[Cost Centre],"PRODUCTION")&gt;0,"PRODUCTION ","")&amp;IF(COUNTIFS(tbl_Finance[Job Number],C449&amp;"",tbl_Finance[Cost Centre],"VIDEO")&gt;0,"VIDEO ","")&amp;IF(COUNTIFS(tbl_Finance[Job Number],C449&amp;"",tbl_Finance[Cost Centre],"INTEGRATION")&gt;0,"INTEGRATION ","")&amp;IF(COUNTIFS(tbl_Finance[Job Number],C449&amp;"",tbl_Finance[Cost Centre],"CONSULTING")&gt;0,"CONSULTING ","")&amp;IF(COUNTIFS(tbl_Finance[Job Number],C449&amp;"",tbl_Finance[Cost Centre],"CTS")&gt;0,"CTS ",""))," ",", ")))</f>
        <v/>
      </c>
      <c r="L449" s="27">
        <f>IF(C449="","",SUMIFS(tbl_Finance[Inc GST],tbl_Finance[Job Number],C449&amp;""))</f>
        <v/>
      </c>
      <c r="M449" s="24" t="n"/>
      <c r="N449" s="25">
        <f>IF(C449="","",IFERROR(INDEX(tbl_Finance[Description],MATCH(C449&amp;"",tbl_Finance[Job Number],0)),""))</f>
        <v/>
      </c>
      <c r="O449" s="24" t="n"/>
      <c r="P449" s="24" t="n"/>
      <c r="Q449" s="22" t="n"/>
      <c r="R449" s="24" t="n"/>
      <c r="S449" s="25">
        <f>IF(R449="","",IF(AND(LEFT(R449,4)&lt;&gt;"http",set_RMSBase=""),"",HYPERLINK(IF(LEFT(R449,4)="http",R449,set_RMSBase&amp;R449),"Open opportunity")))</f>
        <v/>
      </c>
      <c r="T449" s="24" t="n"/>
      <c r="U449" s="25">
        <f>IF(T449="","",HYPERLINK(IF(LEFT(T449,4)="http",T449,set_QwilrBase&amp;T449),"Open quote"))</f>
        <v/>
      </c>
      <c r="V449" s="25">
        <f>IF(C449="","",C449)</f>
        <v/>
      </c>
      <c r="W449" s="24" t="n"/>
      <c r="X449" s="26" t="n"/>
      <c r="Y449" s="27">
        <f>IF(C449="","",H449+N(X449))</f>
        <v/>
      </c>
      <c r="Z449" s="29">
        <f>IFERROR(X449/Y449,"")</f>
        <v/>
      </c>
      <c r="AA449" s="26" t="n"/>
      <c r="AB449" s="26" t="n"/>
      <c r="AC449" s="26" t="n"/>
      <c r="AD449" s="26" t="n"/>
      <c r="AE449" s="27">
        <f>IF(C449="","",SUMIFS(tbl_Finance[Ex GST],tbl_Finance[Job Number],C449&amp;"",tbl_Finance[Cost Centre],"VIDEO"))</f>
        <v/>
      </c>
      <c r="AF449" s="29">
        <f>IFERROR(AE449/H449,"")</f>
        <v/>
      </c>
      <c r="AG449" s="27">
        <f>IF(C449="","",N(AA449)+N(AB449)+N(AC449)+N(AD449))</f>
        <v/>
      </c>
      <c r="AH449" s="27">
        <f>IF(C449="","",H449-AG449)</f>
        <v/>
      </c>
      <c r="AI449" s="29">
        <f>IFERROR(AH449/H449,"")</f>
        <v/>
      </c>
      <c r="AJ449" s="65" t="n"/>
      <c r="AK449" s="65" t="n"/>
      <c r="AL449" s="65" t="n"/>
      <c r="AM449" s="65" t="n"/>
      <c r="AN449" s="65" t="n"/>
      <c r="AO449" s="24" t="n"/>
    </row>
    <row r="450" ht="15" customHeight="1">
      <c r="A450" s="64">
        <f>IF(C450="","",IFERROR(IF(SUMPRODUCT(MAX((tbl_Finance[Job Number]=C450&amp;"")*(tbl_Finance[Xero Invoice No]&lt;&gt;"")*tbl_Finance[Date]))=0,"",SUMPRODUCT(MAX((tbl_Finance[Job Number]=C450&amp;"")*(tbl_Finance[Xero Invoice No]&lt;&gt;"")*tbl_Finance[Date]))),""))</f>
        <v/>
      </c>
      <c r="B450" s="25">
        <f>IF(C450="","",IF(COUNTIFS(tbl_Finance[Job Number],C450&amp;"",tbl_Finance[Xero Invoice No],"&lt;&gt;")=0,"",IFERROR(IF(COUNTIFS(tbl_Finance[Job Number],C450&amp;"",tbl_Finance[Xero Invoice No],LOOKUP(2,1/((tbl_Finance[Job Number]=C450&amp;"")*(tbl_Finance[Xero Invoice No]&lt;&gt;"")),tbl_Finance[Xero Invoice No]))=COUNTIFS(tbl_Finance[Job Number],C450&amp;"",tbl_Finance[Xero Invoice No],"&lt;&gt;"),LOOKUP(2,1/((tbl_Finance[Job Number]=C450&amp;"")*(tbl_Finance[Xero Invoice No]&lt;&gt;"")),tbl_Finance[Xero Invoice No]),LOOKUP(2,1/((tbl_Finance[Job Number]=C450&amp;"")*(tbl_Finance[Xero Invoice No]&lt;&gt;"")),tbl_Finance[Xero Invoice No])&amp;" +more"),"")))</f>
        <v/>
      </c>
      <c r="C450" s="24" t="n"/>
      <c r="D450" s="25">
        <f>IF(C450="","",IF(COUNTIF(lst_Jobs,C450&amp;"")&gt;0,"OK","CHECK"))</f>
        <v/>
      </c>
      <c r="E450" s="25">
        <f>IF(C450="","",IFERROR(INDEX(lst_JobName,MATCH(C450&amp;"",lst_Jobs,0)),""))</f>
        <v/>
      </c>
      <c r="F450" s="25">
        <f>IF(C450="","",IFERROR(INDEX(tbl_Finance[Client],MATCH(C450&amp;"",tbl_Finance[Job Number],0)),""))</f>
        <v/>
      </c>
      <c r="G450" s="28">
        <f>IF(C450="","",COUNTIFS(tbl_Finance[Job Number],C450&amp;"",tbl_Finance[Ex GST],"&lt;&gt;"))</f>
        <v/>
      </c>
      <c r="H450" s="27">
        <f>IF(C450="","",SUMIFS(tbl_Finance[Ex GST],tbl_Finance[Job Number],C450&amp;""))</f>
        <v/>
      </c>
      <c r="I450" s="27">
        <f>IF(C450="","",SUMIFS(tbl_Finance[Ex GST],tbl_Finance[Job Number],C450&amp;"",tbl_Finance[Xero Invoice No],"&lt;&gt;"))</f>
        <v/>
      </c>
      <c r="J450" s="27">
        <f>IF(C450="","",H450-I450)</f>
        <v/>
      </c>
      <c r="K450" s="25">
        <f>IF(C450="","",IF(G450=0,"not invoiced yet",SUBSTITUTE(TRIM(IF(COUNTIFS(tbl_Finance[Job Number],C450&amp;"",tbl_Finance[Cost Centre],"ONSITE")&gt;0,"ONSITE ","")&amp;IF(COUNTIFS(tbl_Finance[Job Number],C450&amp;"",tbl_Finance[Cost Centre],"PRODUCTION")&gt;0,"PRODUCTION ","")&amp;IF(COUNTIFS(tbl_Finance[Job Number],C450&amp;"",tbl_Finance[Cost Centre],"VIDEO")&gt;0,"VIDEO ","")&amp;IF(COUNTIFS(tbl_Finance[Job Number],C450&amp;"",tbl_Finance[Cost Centre],"INTEGRATION")&gt;0,"INTEGRATION ","")&amp;IF(COUNTIFS(tbl_Finance[Job Number],C450&amp;"",tbl_Finance[Cost Centre],"CONSULTING")&gt;0,"CONSULTING ","")&amp;IF(COUNTIFS(tbl_Finance[Job Number],C450&amp;"",tbl_Finance[Cost Centre],"CTS")&gt;0,"CTS ",""))," ",", ")))</f>
        <v/>
      </c>
      <c r="L450" s="27">
        <f>IF(C450="","",SUMIFS(tbl_Finance[Inc GST],tbl_Finance[Job Number],C450&amp;""))</f>
        <v/>
      </c>
      <c r="M450" s="24" t="n"/>
      <c r="N450" s="25">
        <f>IF(C450="","",IFERROR(INDEX(tbl_Finance[Description],MATCH(C450&amp;"",tbl_Finance[Job Number],0)),""))</f>
        <v/>
      </c>
      <c r="O450" s="24" t="n"/>
      <c r="P450" s="24" t="n"/>
      <c r="Q450" s="22" t="n"/>
      <c r="R450" s="24" t="n"/>
      <c r="S450" s="25">
        <f>IF(R450="","",IF(AND(LEFT(R450,4)&lt;&gt;"http",set_RMSBase=""),"",HYPERLINK(IF(LEFT(R450,4)="http",R450,set_RMSBase&amp;R450),"Open opportunity")))</f>
        <v/>
      </c>
      <c r="T450" s="24" t="n"/>
      <c r="U450" s="25">
        <f>IF(T450="","",HYPERLINK(IF(LEFT(T450,4)="http",T450,set_QwilrBase&amp;T450),"Open quote"))</f>
        <v/>
      </c>
      <c r="V450" s="25">
        <f>IF(C450="","",C450)</f>
        <v/>
      </c>
      <c r="W450" s="24" t="n"/>
      <c r="X450" s="26" t="n"/>
      <c r="Y450" s="27">
        <f>IF(C450="","",H450+N(X450))</f>
        <v/>
      </c>
      <c r="Z450" s="29">
        <f>IFERROR(X450/Y450,"")</f>
        <v/>
      </c>
      <c r="AA450" s="26" t="n"/>
      <c r="AB450" s="26" t="n"/>
      <c r="AC450" s="26" t="n"/>
      <c r="AD450" s="26" t="n"/>
      <c r="AE450" s="27">
        <f>IF(C450="","",SUMIFS(tbl_Finance[Ex GST],tbl_Finance[Job Number],C450&amp;"",tbl_Finance[Cost Centre],"VIDEO"))</f>
        <v/>
      </c>
      <c r="AF450" s="29">
        <f>IFERROR(AE450/H450,"")</f>
        <v/>
      </c>
      <c r="AG450" s="27">
        <f>IF(C450="","",N(AA450)+N(AB450)+N(AC450)+N(AD450))</f>
        <v/>
      </c>
      <c r="AH450" s="27">
        <f>IF(C450="","",H450-AG450)</f>
        <v/>
      </c>
      <c r="AI450" s="29">
        <f>IFERROR(AH450/H450,"")</f>
        <v/>
      </c>
      <c r="AJ450" s="65" t="n"/>
      <c r="AK450" s="65" t="n"/>
      <c r="AL450" s="65" t="n"/>
      <c r="AM450" s="65" t="n"/>
      <c r="AN450" s="65" t="n"/>
      <c r="AO450" s="24" t="n"/>
    </row>
    <row r="451" ht="15" customHeight="1">
      <c r="A451" s="64">
        <f>IF(C451="","",IFERROR(IF(SUMPRODUCT(MAX((tbl_Finance[Job Number]=C451&amp;"")*(tbl_Finance[Xero Invoice No]&lt;&gt;"")*tbl_Finance[Date]))=0,"",SUMPRODUCT(MAX((tbl_Finance[Job Number]=C451&amp;"")*(tbl_Finance[Xero Invoice No]&lt;&gt;"")*tbl_Finance[Date]))),""))</f>
        <v/>
      </c>
      <c r="B451" s="25">
        <f>IF(C451="","",IF(COUNTIFS(tbl_Finance[Job Number],C451&amp;"",tbl_Finance[Xero Invoice No],"&lt;&gt;")=0,"",IFERROR(IF(COUNTIFS(tbl_Finance[Job Number],C451&amp;"",tbl_Finance[Xero Invoice No],LOOKUP(2,1/((tbl_Finance[Job Number]=C451&amp;"")*(tbl_Finance[Xero Invoice No]&lt;&gt;"")),tbl_Finance[Xero Invoice No]))=COUNTIFS(tbl_Finance[Job Number],C451&amp;"",tbl_Finance[Xero Invoice No],"&lt;&gt;"),LOOKUP(2,1/((tbl_Finance[Job Number]=C451&amp;"")*(tbl_Finance[Xero Invoice No]&lt;&gt;"")),tbl_Finance[Xero Invoice No]),LOOKUP(2,1/((tbl_Finance[Job Number]=C451&amp;"")*(tbl_Finance[Xero Invoice No]&lt;&gt;"")),tbl_Finance[Xero Invoice No])&amp;" +more"),"")))</f>
        <v/>
      </c>
      <c r="C451" s="24" t="n"/>
      <c r="D451" s="25">
        <f>IF(C451="","",IF(COUNTIF(lst_Jobs,C451&amp;"")&gt;0,"OK","CHECK"))</f>
        <v/>
      </c>
      <c r="E451" s="25">
        <f>IF(C451="","",IFERROR(INDEX(lst_JobName,MATCH(C451&amp;"",lst_Jobs,0)),""))</f>
        <v/>
      </c>
      <c r="F451" s="25">
        <f>IF(C451="","",IFERROR(INDEX(tbl_Finance[Client],MATCH(C451&amp;"",tbl_Finance[Job Number],0)),""))</f>
        <v/>
      </c>
      <c r="G451" s="28">
        <f>IF(C451="","",COUNTIFS(tbl_Finance[Job Number],C451&amp;"",tbl_Finance[Ex GST],"&lt;&gt;"))</f>
        <v/>
      </c>
      <c r="H451" s="27">
        <f>IF(C451="","",SUMIFS(tbl_Finance[Ex GST],tbl_Finance[Job Number],C451&amp;""))</f>
        <v/>
      </c>
      <c r="I451" s="27">
        <f>IF(C451="","",SUMIFS(tbl_Finance[Ex GST],tbl_Finance[Job Number],C451&amp;"",tbl_Finance[Xero Invoice No],"&lt;&gt;"))</f>
        <v/>
      </c>
      <c r="J451" s="27">
        <f>IF(C451="","",H451-I451)</f>
        <v/>
      </c>
      <c r="K451" s="25">
        <f>IF(C451="","",IF(G451=0,"not invoiced yet",SUBSTITUTE(TRIM(IF(COUNTIFS(tbl_Finance[Job Number],C451&amp;"",tbl_Finance[Cost Centre],"ONSITE")&gt;0,"ONSITE ","")&amp;IF(COUNTIFS(tbl_Finance[Job Number],C451&amp;"",tbl_Finance[Cost Centre],"PRODUCTION")&gt;0,"PRODUCTION ","")&amp;IF(COUNTIFS(tbl_Finance[Job Number],C451&amp;"",tbl_Finance[Cost Centre],"VIDEO")&gt;0,"VIDEO ","")&amp;IF(COUNTIFS(tbl_Finance[Job Number],C451&amp;"",tbl_Finance[Cost Centre],"INTEGRATION")&gt;0,"INTEGRATION ","")&amp;IF(COUNTIFS(tbl_Finance[Job Number],C451&amp;"",tbl_Finance[Cost Centre],"CONSULTING")&gt;0,"CONSULTING ","")&amp;IF(COUNTIFS(tbl_Finance[Job Number],C451&amp;"",tbl_Finance[Cost Centre],"CTS")&gt;0,"CTS ",""))," ",", ")))</f>
        <v/>
      </c>
      <c r="L451" s="27">
        <f>IF(C451="","",SUMIFS(tbl_Finance[Inc GST],tbl_Finance[Job Number],C451&amp;""))</f>
        <v/>
      </c>
      <c r="M451" s="24" t="n"/>
      <c r="N451" s="25">
        <f>IF(C451="","",IFERROR(INDEX(tbl_Finance[Description],MATCH(C451&amp;"",tbl_Finance[Job Number],0)),""))</f>
        <v/>
      </c>
      <c r="O451" s="24" t="n"/>
      <c r="P451" s="24" t="n"/>
      <c r="Q451" s="22" t="n"/>
      <c r="R451" s="24" t="n"/>
      <c r="S451" s="25">
        <f>IF(R451="","",IF(AND(LEFT(R451,4)&lt;&gt;"http",set_RMSBase=""),"",HYPERLINK(IF(LEFT(R451,4)="http",R451,set_RMSBase&amp;R451),"Open opportunity")))</f>
        <v/>
      </c>
      <c r="T451" s="24" t="n"/>
      <c r="U451" s="25">
        <f>IF(T451="","",HYPERLINK(IF(LEFT(T451,4)="http",T451,set_QwilrBase&amp;T451),"Open quote"))</f>
        <v/>
      </c>
      <c r="V451" s="25">
        <f>IF(C451="","",C451)</f>
        <v/>
      </c>
      <c r="W451" s="24" t="n"/>
      <c r="X451" s="26" t="n"/>
      <c r="Y451" s="27">
        <f>IF(C451="","",H451+N(X451))</f>
        <v/>
      </c>
      <c r="Z451" s="29">
        <f>IFERROR(X451/Y451,"")</f>
        <v/>
      </c>
      <c r="AA451" s="26" t="n"/>
      <c r="AB451" s="26" t="n"/>
      <c r="AC451" s="26" t="n"/>
      <c r="AD451" s="26" t="n"/>
      <c r="AE451" s="27">
        <f>IF(C451="","",SUMIFS(tbl_Finance[Ex GST],tbl_Finance[Job Number],C451&amp;"",tbl_Finance[Cost Centre],"VIDEO"))</f>
        <v/>
      </c>
      <c r="AF451" s="29">
        <f>IFERROR(AE451/H451,"")</f>
        <v/>
      </c>
      <c r="AG451" s="27">
        <f>IF(C451="","",N(AA451)+N(AB451)+N(AC451)+N(AD451))</f>
        <v/>
      </c>
      <c r="AH451" s="27">
        <f>IF(C451="","",H451-AG451)</f>
        <v/>
      </c>
      <c r="AI451" s="29">
        <f>IFERROR(AH451/H451,"")</f>
        <v/>
      </c>
      <c r="AJ451" s="65" t="n"/>
      <c r="AK451" s="65" t="n"/>
      <c r="AL451" s="65" t="n"/>
      <c r="AM451" s="65" t="n"/>
      <c r="AN451" s="65" t="n"/>
      <c r="AO451" s="24" t="n"/>
    </row>
    <row r="452" ht="15" customHeight="1">
      <c r="A452" s="64">
        <f>IF(C452="","",IFERROR(IF(SUMPRODUCT(MAX((tbl_Finance[Job Number]=C452&amp;"")*(tbl_Finance[Xero Invoice No]&lt;&gt;"")*tbl_Finance[Date]))=0,"",SUMPRODUCT(MAX((tbl_Finance[Job Number]=C452&amp;"")*(tbl_Finance[Xero Invoice No]&lt;&gt;"")*tbl_Finance[Date]))),""))</f>
        <v/>
      </c>
      <c r="B452" s="25">
        <f>IF(C452="","",IF(COUNTIFS(tbl_Finance[Job Number],C452&amp;"",tbl_Finance[Xero Invoice No],"&lt;&gt;")=0,"",IFERROR(IF(COUNTIFS(tbl_Finance[Job Number],C452&amp;"",tbl_Finance[Xero Invoice No],LOOKUP(2,1/((tbl_Finance[Job Number]=C452&amp;"")*(tbl_Finance[Xero Invoice No]&lt;&gt;"")),tbl_Finance[Xero Invoice No]))=COUNTIFS(tbl_Finance[Job Number],C452&amp;"",tbl_Finance[Xero Invoice No],"&lt;&gt;"),LOOKUP(2,1/((tbl_Finance[Job Number]=C452&amp;"")*(tbl_Finance[Xero Invoice No]&lt;&gt;"")),tbl_Finance[Xero Invoice No]),LOOKUP(2,1/((tbl_Finance[Job Number]=C452&amp;"")*(tbl_Finance[Xero Invoice No]&lt;&gt;"")),tbl_Finance[Xero Invoice No])&amp;" +more"),"")))</f>
        <v/>
      </c>
      <c r="C452" s="24" t="n"/>
      <c r="D452" s="25">
        <f>IF(C452="","",IF(COUNTIF(lst_Jobs,C452&amp;"")&gt;0,"OK","CHECK"))</f>
        <v/>
      </c>
      <c r="E452" s="25">
        <f>IF(C452="","",IFERROR(INDEX(lst_JobName,MATCH(C452&amp;"",lst_Jobs,0)),""))</f>
        <v/>
      </c>
      <c r="F452" s="25">
        <f>IF(C452="","",IFERROR(INDEX(tbl_Finance[Client],MATCH(C452&amp;"",tbl_Finance[Job Number],0)),""))</f>
        <v/>
      </c>
      <c r="G452" s="28">
        <f>IF(C452="","",COUNTIFS(tbl_Finance[Job Number],C452&amp;"",tbl_Finance[Ex GST],"&lt;&gt;"))</f>
        <v/>
      </c>
      <c r="H452" s="27">
        <f>IF(C452="","",SUMIFS(tbl_Finance[Ex GST],tbl_Finance[Job Number],C452&amp;""))</f>
        <v/>
      </c>
      <c r="I452" s="27">
        <f>IF(C452="","",SUMIFS(tbl_Finance[Ex GST],tbl_Finance[Job Number],C452&amp;"",tbl_Finance[Xero Invoice No],"&lt;&gt;"))</f>
        <v/>
      </c>
      <c r="J452" s="27">
        <f>IF(C452="","",H452-I452)</f>
        <v/>
      </c>
      <c r="K452" s="25">
        <f>IF(C452="","",IF(G452=0,"not invoiced yet",SUBSTITUTE(TRIM(IF(COUNTIFS(tbl_Finance[Job Number],C452&amp;"",tbl_Finance[Cost Centre],"ONSITE")&gt;0,"ONSITE ","")&amp;IF(COUNTIFS(tbl_Finance[Job Number],C452&amp;"",tbl_Finance[Cost Centre],"PRODUCTION")&gt;0,"PRODUCTION ","")&amp;IF(COUNTIFS(tbl_Finance[Job Number],C452&amp;"",tbl_Finance[Cost Centre],"VIDEO")&gt;0,"VIDEO ","")&amp;IF(COUNTIFS(tbl_Finance[Job Number],C452&amp;"",tbl_Finance[Cost Centre],"INTEGRATION")&gt;0,"INTEGRATION ","")&amp;IF(COUNTIFS(tbl_Finance[Job Number],C452&amp;"",tbl_Finance[Cost Centre],"CONSULTING")&gt;0,"CONSULTING ","")&amp;IF(COUNTIFS(tbl_Finance[Job Number],C452&amp;"",tbl_Finance[Cost Centre],"CTS")&gt;0,"CTS ",""))," ",", ")))</f>
        <v/>
      </c>
      <c r="L452" s="27">
        <f>IF(C452="","",SUMIFS(tbl_Finance[Inc GST],tbl_Finance[Job Number],C452&amp;""))</f>
        <v/>
      </c>
      <c r="M452" s="24" t="n"/>
      <c r="N452" s="25">
        <f>IF(C452="","",IFERROR(INDEX(tbl_Finance[Description],MATCH(C452&amp;"",tbl_Finance[Job Number],0)),""))</f>
        <v/>
      </c>
      <c r="O452" s="24" t="n"/>
      <c r="P452" s="24" t="n"/>
      <c r="Q452" s="22" t="n"/>
      <c r="R452" s="24" t="n"/>
      <c r="S452" s="25">
        <f>IF(R452="","",IF(AND(LEFT(R452,4)&lt;&gt;"http",set_RMSBase=""),"",HYPERLINK(IF(LEFT(R452,4)="http",R452,set_RMSBase&amp;R452),"Open opportunity")))</f>
        <v/>
      </c>
      <c r="T452" s="24" t="n"/>
      <c r="U452" s="25">
        <f>IF(T452="","",HYPERLINK(IF(LEFT(T452,4)="http",T452,set_QwilrBase&amp;T452),"Open quote"))</f>
        <v/>
      </c>
      <c r="V452" s="25">
        <f>IF(C452="","",C452)</f>
        <v/>
      </c>
      <c r="W452" s="24" t="n"/>
      <c r="X452" s="26" t="n"/>
      <c r="Y452" s="27">
        <f>IF(C452="","",H452+N(X452))</f>
        <v/>
      </c>
      <c r="Z452" s="29">
        <f>IFERROR(X452/Y452,"")</f>
        <v/>
      </c>
      <c r="AA452" s="26" t="n"/>
      <c r="AB452" s="26" t="n"/>
      <c r="AC452" s="26" t="n"/>
      <c r="AD452" s="26" t="n"/>
      <c r="AE452" s="27">
        <f>IF(C452="","",SUMIFS(tbl_Finance[Ex GST],tbl_Finance[Job Number],C452&amp;"",tbl_Finance[Cost Centre],"VIDEO"))</f>
        <v/>
      </c>
      <c r="AF452" s="29">
        <f>IFERROR(AE452/H452,"")</f>
        <v/>
      </c>
      <c r="AG452" s="27">
        <f>IF(C452="","",N(AA452)+N(AB452)+N(AC452)+N(AD452))</f>
        <v/>
      </c>
      <c r="AH452" s="27">
        <f>IF(C452="","",H452-AG452)</f>
        <v/>
      </c>
      <c r="AI452" s="29">
        <f>IFERROR(AH452/H452,"")</f>
        <v/>
      </c>
      <c r="AJ452" s="65" t="n"/>
      <c r="AK452" s="65" t="n"/>
      <c r="AL452" s="65" t="n"/>
      <c r="AM452" s="65" t="n"/>
      <c r="AN452" s="65" t="n"/>
      <c r="AO452" s="24" t="n"/>
    </row>
    <row r="453" ht="15" customHeight="1">
      <c r="A453" s="64">
        <f>IF(C453="","",IFERROR(IF(SUMPRODUCT(MAX((tbl_Finance[Job Number]=C453&amp;"")*(tbl_Finance[Xero Invoice No]&lt;&gt;"")*tbl_Finance[Date]))=0,"",SUMPRODUCT(MAX((tbl_Finance[Job Number]=C453&amp;"")*(tbl_Finance[Xero Invoice No]&lt;&gt;"")*tbl_Finance[Date]))),""))</f>
        <v/>
      </c>
      <c r="B453" s="25">
        <f>IF(C453="","",IF(COUNTIFS(tbl_Finance[Job Number],C453&amp;"",tbl_Finance[Xero Invoice No],"&lt;&gt;")=0,"",IFERROR(IF(COUNTIFS(tbl_Finance[Job Number],C453&amp;"",tbl_Finance[Xero Invoice No],LOOKUP(2,1/((tbl_Finance[Job Number]=C453&amp;"")*(tbl_Finance[Xero Invoice No]&lt;&gt;"")),tbl_Finance[Xero Invoice No]))=COUNTIFS(tbl_Finance[Job Number],C453&amp;"",tbl_Finance[Xero Invoice No],"&lt;&gt;"),LOOKUP(2,1/((tbl_Finance[Job Number]=C453&amp;"")*(tbl_Finance[Xero Invoice No]&lt;&gt;"")),tbl_Finance[Xero Invoice No]),LOOKUP(2,1/((tbl_Finance[Job Number]=C453&amp;"")*(tbl_Finance[Xero Invoice No]&lt;&gt;"")),tbl_Finance[Xero Invoice No])&amp;" +more"),"")))</f>
        <v/>
      </c>
      <c r="C453" s="24" t="n"/>
      <c r="D453" s="25">
        <f>IF(C453="","",IF(COUNTIF(lst_Jobs,C453&amp;"")&gt;0,"OK","CHECK"))</f>
        <v/>
      </c>
      <c r="E453" s="25">
        <f>IF(C453="","",IFERROR(INDEX(lst_JobName,MATCH(C453&amp;"",lst_Jobs,0)),""))</f>
        <v/>
      </c>
      <c r="F453" s="25">
        <f>IF(C453="","",IFERROR(INDEX(tbl_Finance[Client],MATCH(C453&amp;"",tbl_Finance[Job Number],0)),""))</f>
        <v/>
      </c>
      <c r="G453" s="28">
        <f>IF(C453="","",COUNTIFS(tbl_Finance[Job Number],C453&amp;"",tbl_Finance[Ex GST],"&lt;&gt;"))</f>
        <v/>
      </c>
      <c r="H453" s="27">
        <f>IF(C453="","",SUMIFS(tbl_Finance[Ex GST],tbl_Finance[Job Number],C453&amp;""))</f>
        <v/>
      </c>
      <c r="I453" s="27">
        <f>IF(C453="","",SUMIFS(tbl_Finance[Ex GST],tbl_Finance[Job Number],C453&amp;"",tbl_Finance[Xero Invoice No],"&lt;&gt;"))</f>
        <v/>
      </c>
      <c r="J453" s="27">
        <f>IF(C453="","",H453-I453)</f>
        <v/>
      </c>
      <c r="K453" s="25">
        <f>IF(C453="","",IF(G453=0,"not invoiced yet",SUBSTITUTE(TRIM(IF(COUNTIFS(tbl_Finance[Job Number],C453&amp;"",tbl_Finance[Cost Centre],"ONSITE")&gt;0,"ONSITE ","")&amp;IF(COUNTIFS(tbl_Finance[Job Number],C453&amp;"",tbl_Finance[Cost Centre],"PRODUCTION")&gt;0,"PRODUCTION ","")&amp;IF(COUNTIFS(tbl_Finance[Job Number],C453&amp;"",tbl_Finance[Cost Centre],"VIDEO")&gt;0,"VIDEO ","")&amp;IF(COUNTIFS(tbl_Finance[Job Number],C453&amp;"",tbl_Finance[Cost Centre],"INTEGRATION")&gt;0,"INTEGRATION ","")&amp;IF(COUNTIFS(tbl_Finance[Job Number],C453&amp;"",tbl_Finance[Cost Centre],"CONSULTING")&gt;0,"CONSULTING ","")&amp;IF(COUNTIFS(tbl_Finance[Job Number],C453&amp;"",tbl_Finance[Cost Centre],"CTS")&gt;0,"CTS ",""))," ",", ")))</f>
        <v/>
      </c>
      <c r="L453" s="27">
        <f>IF(C453="","",SUMIFS(tbl_Finance[Inc GST],tbl_Finance[Job Number],C453&amp;""))</f>
        <v/>
      </c>
      <c r="M453" s="24" t="n"/>
      <c r="N453" s="25">
        <f>IF(C453="","",IFERROR(INDEX(tbl_Finance[Description],MATCH(C453&amp;"",tbl_Finance[Job Number],0)),""))</f>
        <v/>
      </c>
      <c r="O453" s="24" t="n"/>
      <c r="P453" s="24" t="n"/>
      <c r="Q453" s="22" t="n"/>
      <c r="R453" s="24" t="n"/>
      <c r="S453" s="25">
        <f>IF(R453="","",IF(AND(LEFT(R453,4)&lt;&gt;"http",set_RMSBase=""),"",HYPERLINK(IF(LEFT(R453,4)="http",R453,set_RMSBase&amp;R453),"Open opportunity")))</f>
        <v/>
      </c>
      <c r="T453" s="24" t="n"/>
      <c r="U453" s="25">
        <f>IF(T453="","",HYPERLINK(IF(LEFT(T453,4)="http",T453,set_QwilrBase&amp;T453),"Open quote"))</f>
        <v/>
      </c>
      <c r="V453" s="25">
        <f>IF(C453="","",C453)</f>
        <v/>
      </c>
      <c r="W453" s="24" t="n"/>
      <c r="X453" s="26" t="n"/>
      <c r="Y453" s="27">
        <f>IF(C453="","",H453+N(X453))</f>
        <v/>
      </c>
      <c r="Z453" s="29">
        <f>IFERROR(X453/Y453,"")</f>
        <v/>
      </c>
      <c r="AA453" s="26" t="n"/>
      <c r="AB453" s="26" t="n"/>
      <c r="AC453" s="26" t="n"/>
      <c r="AD453" s="26" t="n"/>
      <c r="AE453" s="27">
        <f>IF(C453="","",SUMIFS(tbl_Finance[Ex GST],tbl_Finance[Job Number],C453&amp;"",tbl_Finance[Cost Centre],"VIDEO"))</f>
        <v/>
      </c>
      <c r="AF453" s="29">
        <f>IFERROR(AE453/H453,"")</f>
        <v/>
      </c>
      <c r="AG453" s="27">
        <f>IF(C453="","",N(AA453)+N(AB453)+N(AC453)+N(AD453))</f>
        <v/>
      </c>
      <c r="AH453" s="27">
        <f>IF(C453="","",H453-AG453)</f>
        <v/>
      </c>
      <c r="AI453" s="29">
        <f>IFERROR(AH453/H453,"")</f>
        <v/>
      </c>
      <c r="AJ453" s="65" t="n"/>
      <c r="AK453" s="65" t="n"/>
      <c r="AL453" s="65" t="n"/>
      <c r="AM453" s="65" t="n"/>
      <c r="AN453" s="65" t="n"/>
      <c r="AO453" s="24" t="n"/>
    </row>
    <row r="454" ht="15" customHeight="1">
      <c r="A454" s="64">
        <f>IF(C454="","",IFERROR(IF(SUMPRODUCT(MAX((tbl_Finance[Job Number]=C454&amp;"")*(tbl_Finance[Xero Invoice No]&lt;&gt;"")*tbl_Finance[Date]))=0,"",SUMPRODUCT(MAX((tbl_Finance[Job Number]=C454&amp;"")*(tbl_Finance[Xero Invoice No]&lt;&gt;"")*tbl_Finance[Date]))),""))</f>
        <v/>
      </c>
      <c r="B454" s="25">
        <f>IF(C454="","",IF(COUNTIFS(tbl_Finance[Job Number],C454&amp;"",tbl_Finance[Xero Invoice No],"&lt;&gt;")=0,"",IFERROR(IF(COUNTIFS(tbl_Finance[Job Number],C454&amp;"",tbl_Finance[Xero Invoice No],LOOKUP(2,1/((tbl_Finance[Job Number]=C454&amp;"")*(tbl_Finance[Xero Invoice No]&lt;&gt;"")),tbl_Finance[Xero Invoice No]))=COUNTIFS(tbl_Finance[Job Number],C454&amp;"",tbl_Finance[Xero Invoice No],"&lt;&gt;"),LOOKUP(2,1/((tbl_Finance[Job Number]=C454&amp;"")*(tbl_Finance[Xero Invoice No]&lt;&gt;"")),tbl_Finance[Xero Invoice No]),LOOKUP(2,1/((tbl_Finance[Job Number]=C454&amp;"")*(tbl_Finance[Xero Invoice No]&lt;&gt;"")),tbl_Finance[Xero Invoice No])&amp;" +more"),"")))</f>
        <v/>
      </c>
      <c r="C454" s="24" t="n"/>
      <c r="D454" s="25">
        <f>IF(C454="","",IF(COUNTIF(lst_Jobs,C454&amp;"")&gt;0,"OK","CHECK"))</f>
        <v/>
      </c>
      <c r="E454" s="25">
        <f>IF(C454="","",IFERROR(INDEX(lst_JobName,MATCH(C454&amp;"",lst_Jobs,0)),""))</f>
        <v/>
      </c>
      <c r="F454" s="25">
        <f>IF(C454="","",IFERROR(INDEX(tbl_Finance[Client],MATCH(C454&amp;"",tbl_Finance[Job Number],0)),""))</f>
        <v/>
      </c>
      <c r="G454" s="28">
        <f>IF(C454="","",COUNTIFS(tbl_Finance[Job Number],C454&amp;"",tbl_Finance[Ex GST],"&lt;&gt;"))</f>
        <v/>
      </c>
      <c r="H454" s="27">
        <f>IF(C454="","",SUMIFS(tbl_Finance[Ex GST],tbl_Finance[Job Number],C454&amp;""))</f>
        <v/>
      </c>
      <c r="I454" s="27">
        <f>IF(C454="","",SUMIFS(tbl_Finance[Ex GST],tbl_Finance[Job Number],C454&amp;"",tbl_Finance[Xero Invoice No],"&lt;&gt;"))</f>
        <v/>
      </c>
      <c r="J454" s="27">
        <f>IF(C454="","",H454-I454)</f>
        <v/>
      </c>
      <c r="K454" s="25">
        <f>IF(C454="","",IF(G454=0,"not invoiced yet",SUBSTITUTE(TRIM(IF(COUNTIFS(tbl_Finance[Job Number],C454&amp;"",tbl_Finance[Cost Centre],"ONSITE")&gt;0,"ONSITE ","")&amp;IF(COUNTIFS(tbl_Finance[Job Number],C454&amp;"",tbl_Finance[Cost Centre],"PRODUCTION")&gt;0,"PRODUCTION ","")&amp;IF(COUNTIFS(tbl_Finance[Job Number],C454&amp;"",tbl_Finance[Cost Centre],"VIDEO")&gt;0,"VIDEO ","")&amp;IF(COUNTIFS(tbl_Finance[Job Number],C454&amp;"",tbl_Finance[Cost Centre],"INTEGRATION")&gt;0,"INTEGRATION ","")&amp;IF(COUNTIFS(tbl_Finance[Job Number],C454&amp;"",tbl_Finance[Cost Centre],"CONSULTING")&gt;0,"CONSULTING ","")&amp;IF(COUNTIFS(tbl_Finance[Job Number],C454&amp;"",tbl_Finance[Cost Centre],"CTS")&gt;0,"CTS ",""))," ",", ")))</f>
        <v/>
      </c>
      <c r="L454" s="27">
        <f>IF(C454="","",SUMIFS(tbl_Finance[Inc GST],tbl_Finance[Job Number],C454&amp;""))</f>
        <v/>
      </c>
      <c r="M454" s="24" t="n"/>
      <c r="N454" s="25">
        <f>IF(C454="","",IFERROR(INDEX(tbl_Finance[Description],MATCH(C454&amp;"",tbl_Finance[Job Number],0)),""))</f>
        <v/>
      </c>
      <c r="O454" s="24" t="n"/>
      <c r="P454" s="24" t="n"/>
      <c r="Q454" s="22" t="n"/>
      <c r="R454" s="24" t="n"/>
      <c r="S454" s="25">
        <f>IF(R454="","",IF(AND(LEFT(R454,4)&lt;&gt;"http",set_RMSBase=""),"",HYPERLINK(IF(LEFT(R454,4)="http",R454,set_RMSBase&amp;R454),"Open opportunity")))</f>
        <v/>
      </c>
      <c r="T454" s="24" t="n"/>
      <c r="U454" s="25">
        <f>IF(T454="","",HYPERLINK(IF(LEFT(T454,4)="http",T454,set_QwilrBase&amp;T454),"Open quote"))</f>
        <v/>
      </c>
      <c r="V454" s="25">
        <f>IF(C454="","",C454)</f>
        <v/>
      </c>
      <c r="W454" s="24" t="n"/>
      <c r="X454" s="26" t="n"/>
      <c r="Y454" s="27">
        <f>IF(C454="","",H454+N(X454))</f>
        <v/>
      </c>
      <c r="Z454" s="29">
        <f>IFERROR(X454/Y454,"")</f>
        <v/>
      </c>
      <c r="AA454" s="26" t="n"/>
      <c r="AB454" s="26" t="n"/>
      <c r="AC454" s="26" t="n"/>
      <c r="AD454" s="26" t="n"/>
      <c r="AE454" s="27">
        <f>IF(C454="","",SUMIFS(tbl_Finance[Ex GST],tbl_Finance[Job Number],C454&amp;"",tbl_Finance[Cost Centre],"VIDEO"))</f>
        <v/>
      </c>
      <c r="AF454" s="29">
        <f>IFERROR(AE454/H454,"")</f>
        <v/>
      </c>
      <c r="AG454" s="27">
        <f>IF(C454="","",N(AA454)+N(AB454)+N(AC454)+N(AD454))</f>
        <v/>
      </c>
      <c r="AH454" s="27">
        <f>IF(C454="","",H454-AG454)</f>
        <v/>
      </c>
      <c r="AI454" s="29">
        <f>IFERROR(AH454/H454,"")</f>
        <v/>
      </c>
      <c r="AJ454" s="65" t="n"/>
      <c r="AK454" s="65" t="n"/>
      <c r="AL454" s="65" t="n"/>
      <c r="AM454" s="65" t="n"/>
      <c r="AN454" s="65" t="n"/>
      <c r="AO454" s="24" t="n"/>
    </row>
    <row r="455" ht="15" customHeight="1">
      <c r="A455" s="64">
        <f>IF(C455="","",IFERROR(IF(SUMPRODUCT(MAX((tbl_Finance[Job Number]=C455&amp;"")*(tbl_Finance[Xero Invoice No]&lt;&gt;"")*tbl_Finance[Date]))=0,"",SUMPRODUCT(MAX((tbl_Finance[Job Number]=C455&amp;"")*(tbl_Finance[Xero Invoice No]&lt;&gt;"")*tbl_Finance[Date]))),""))</f>
        <v/>
      </c>
      <c r="B455" s="25">
        <f>IF(C455="","",IF(COUNTIFS(tbl_Finance[Job Number],C455&amp;"",tbl_Finance[Xero Invoice No],"&lt;&gt;")=0,"",IFERROR(IF(COUNTIFS(tbl_Finance[Job Number],C455&amp;"",tbl_Finance[Xero Invoice No],LOOKUP(2,1/((tbl_Finance[Job Number]=C455&amp;"")*(tbl_Finance[Xero Invoice No]&lt;&gt;"")),tbl_Finance[Xero Invoice No]))=COUNTIFS(tbl_Finance[Job Number],C455&amp;"",tbl_Finance[Xero Invoice No],"&lt;&gt;"),LOOKUP(2,1/((tbl_Finance[Job Number]=C455&amp;"")*(tbl_Finance[Xero Invoice No]&lt;&gt;"")),tbl_Finance[Xero Invoice No]),LOOKUP(2,1/((tbl_Finance[Job Number]=C455&amp;"")*(tbl_Finance[Xero Invoice No]&lt;&gt;"")),tbl_Finance[Xero Invoice No])&amp;" +more"),"")))</f>
        <v/>
      </c>
      <c r="C455" s="24" t="n"/>
      <c r="D455" s="25">
        <f>IF(C455="","",IF(COUNTIF(lst_Jobs,C455&amp;"")&gt;0,"OK","CHECK"))</f>
        <v/>
      </c>
      <c r="E455" s="25">
        <f>IF(C455="","",IFERROR(INDEX(lst_JobName,MATCH(C455&amp;"",lst_Jobs,0)),""))</f>
        <v/>
      </c>
      <c r="F455" s="25">
        <f>IF(C455="","",IFERROR(INDEX(tbl_Finance[Client],MATCH(C455&amp;"",tbl_Finance[Job Number],0)),""))</f>
        <v/>
      </c>
      <c r="G455" s="28">
        <f>IF(C455="","",COUNTIFS(tbl_Finance[Job Number],C455&amp;"",tbl_Finance[Ex GST],"&lt;&gt;"))</f>
        <v/>
      </c>
      <c r="H455" s="27">
        <f>IF(C455="","",SUMIFS(tbl_Finance[Ex GST],tbl_Finance[Job Number],C455&amp;""))</f>
        <v/>
      </c>
      <c r="I455" s="27">
        <f>IF(C455="","",SUMIFS(tbl_Finance[Ex GST],tbl_Finance[Job Number],C455&amp;"",tbl_Finance[Xero Invoice No],"&lt;&gt;"))</f>
        <v/>
      </c>
      <c r="J455" s="27">
        <f>IF(C455="","",H455-I455)</f>
        <v/>
      </c>
      <c r="K455" s="25">
        <f>IF(C455="","",IF(G455=0,"not invoiced yet",SUBSTITUTE(TRIM(IF(COUNTIFS(tbl_Finance[Job Number],C455&amp;"",tbl_Finance[Cost Centre],"ONSITE")&gt;0,"ONSITE ","")&amp;IF(COUNTIFS(tbl_Finance[Job Number],C455&amp;"",tbl_Finance[Cost Centre],"PRODUCTION")&gt;0,"PRODUCTION ","")&amp;IF(COUNTIFS(tbl_Finance[Job Number],C455&amp;"",tbl_Finance[Cost Centre],"VIDEO")&gt;0,"VIDEO ","")&amp;IF(COUNTIFS(tbl_Finance[Job Number],C455&amp;"",tbl_Finance[Cost Centre],"INTEGRATION")&gt;0,"INTEGRATION ","")&amp;IF(COUNTIFS(tbl_Finance[Job Number],C455&amp;"",tbl_Finance[Cost Centre],"CONSULTING")&gt;0,"CONSULTING ","")&amp;IF(COUNTIFS(tbl_Finance[Job Number],C455&amp;"",tbl_Finance[Cost Centre],"CTS")&gt;0,"CTS ",""))," ",", ")))</f>
        <v/>
      </c>
      <c r="L455" s="27">
        <f>IF(C455="","",SUMIFS(tbl_Finance[Inc GST],tbl_Finance[Job Number],C455&amp;""))</f>
        <v/>
      </c>
      <c r="M455" s="24" t="n"/>
      <c r="N455" s="25">
        <f>IF(C455="","",IFERROR(INDEX(tbl_Finance[Description],MATCH(C455&amp;"",tbl_Finance[Job Number],0)),""))</f>
        <v/>
      </c>
      <c r="O455" s="24" t="n"/>
      <c r="P455" s="24" t="n"/>
      <c r="Q455" s="22" t="n"/>
      <c r="R455" s="24" t="n"/>
      <c r="S455" s="25">
        <f>IF(R455="","",IF(AND(LEFT(R455,4)&lt;&gt;"http",set_RMSBase=""),"",HYPERLINK(IF(LEFT(R455,4)="http",R455,set_RMSBase&amp;R455),"Open opportunity")))</f>
        <v/>
      </c>
      <c r="T455" s="24" t="n"/>
      <c r="U455" s="25">
        <f>IF(T455="","",HYPERLINK(IF(LEFT(T455,4)="http",T455,set_QwilrBase&amp;T455),"Open quote"))</f>
        <v/>
      </c>
      <c r="V455" s="25">
        <f>IF(C455="","",C455)</f>
        <v/>
      </c>
      <c r="W455" s="24" t="n"/>
      <c r="X455" s="26" t="n"/>
      <c r="Y455" s="27">
        <f>IF(C455="","",H455+N(X455))</f>
        <v/>
      </c>
      <c r="Z455" s="29">
        <f>IFERROR(X455/Y455,"")</f>
        <v/>
      </c>
      <c r="AA455" s="26" t="n"/>
      <c r="AB455" s="26" t="n"/>
      <c r="AC455" s="26" t="n"/>
      <c r="AD455" s="26" t="n"/>
      <c r="AE455" s="27">
        <f>IF(C455="","",SUMIFS(tbl_Finance[Ex GST],tbl_Finance[Job Number],C455&amp;"",tbl_Finance[Cost Centre],"VIDEO"))</f>
        <v/>
      </c>
      <c r="AF455" s="29">
        <f>IFERROR(AE455/H455,"")</f>
        <v/>
      </c>
      <c r="AG455" s="27">
        <f>IF(C455="","",N(AA455)+N(AB455)+N(AC455)+N(AD455))</f>
        <v/>
      </c>
      <c r="AH455" s="27">
        <f>IF(C455="","",H455-AG455)</f>
        <v/>
      </c>
      <c r="AI455" s="29">
        <f>IFERROR(AH455/H455,"")</f>
        <v/>
      </c>
      <c r="AJ455" s="65" t="n"/>
      <c r="AK455" s="65" t="n"/>
      <c r="AL455" s="65" t="n"/>
      <c r="AM455" s="65" t="n"/>
      <c r="AN455" s="65" t="n"/>
      <c r="AO455" s="24" t="n"/>
    </row>
    <row r="456" ht="15" customHeight="1">
      <c r="A456" s="64">
        <f>IF(C456="","",IFERROR(IF(SUMPRODUCT(MAX((tbl_Finance[Job Number]=C456&amp;"")*(tbl_Finance[Xero Invoice No]&lt;&gt;"")*tbl_Finance[Date]))=0,"",SUMPRODUCT(MAX((tbl_Finance[Job Number]=C456&amp;"")*(tbl_Finance[Xero Invoice No]&lt;&gt;"")*tbl_Finance[Date]))),""))</f>
        <v/>
      </c>
      <c r="B456" s="25">
        <f>IF(C456="","",IF(COUNTIFS(tbl_Finance[Job Number],C456&amp;"",tbl_Finance[Xero Invoice No],"&lt;&gt;")=0,"",IFERROR(IF(COUNTIFS(tbl_Finance[Job Number],C456&amp;"",tbl_Finance[Xero Invoice No],LOOKUP(2,1/((tbl_Finance[Job Number]=C456&amp;"")*(tbl_Finance[Xero Invoice No]&lt;&gt;"")),tbl_Finance[Xero Invoice No]))=COUNTIFS(tbl_Finance[Job Number],C456&amp;"",tbl_Finance[Xero Invoice No],"&lt;&gt;"),LOOKUP(2,1/((tbl_Finance[Job Number]=C456&amp;"")*(tbl_Finance[Xero Invoice No]&lt;&gt;"")),tbl_Finance[Xero Invoice No]),LOOKUP(2,1/((tbl_Finance[Job Number]=C456&amp;"")*(tbl_Finance[Xero Invoice No]&lt;&gt;"")),tbl_Finance[Xero Invoice No])&amp;" +more"),"")))</f>
        <v/>
      </c>
      <c r="C456" s="24" t="n"/>
      <c r="D456" s="25">
        <f>IF(C456="","",IF(COUNTIF(lst_Jobs,C456&amp;"")&gt;0,"OK","CHECK"))</f>
        <v/>
      </c>
      <c r="E456" s="25">
        <f>IF(C456="","",IFERROR(INDEX(lst_JobName,MATCH(C456&amp;"",lst_Jobs,0)),""))</f>
        <v/>
      </c>
      <c r="F456" s="25">
        <f>IF(C456="","",IFERROR(INDEX(tbl_Finance[Client],MATCH(C456&amp;"",tbl_Finance[Job Number],0)),""))</f>
        <v/>
      </c>
      <c r="G456" s="28">
        <f>IF(C456="","",COUNTIFS(tbl_Finance[Job Number],C456&amp;"",tbl_Finance[Ex GST],"&lt;&gt;"))</f>
        <v/>
      </c>
      <c r="H456" s="27">
        <f>IF(C456="","",SUMIFS(tbl_Finance[Ex GST],tbl_Finance[Job Number],C456&amp;""))</f>
        <v/>
      </c>
      <c r="I456" s="27">
        <f>IF(C456="","",SUMIFS(tbl_Finance[Ex GST],tbl_Finance[Job Number],C456&amp;"",tbl_Finance[Xero Invoice No],"&lt;&gt;"))</f>
        <v/>
      </c>
      <c r="J456" s="27">
        <f>IF(C456="","",H456-I456)</f>
        <v/>
      </c>
      <c r="K456" s="25">
        <f>IF(C456="","",IF(G456=0,"not invoiced yet",SUBSTITUTE(TRIM(IF(COUNTIFS(tbl_Finance[Job Number],C456&amp;"",tbl_Finance[Cost Centre],"ONSITE")&gt;0,"ONSITE ","")&amp;IF(COUNTIFS(tbl_Finance[Job Number],C456&amp;"",tbl_Finance[Cost Centre],"PRODUCTION")&gt;0,"PRODUCTION ","")&amp;IF(COUNTIFS(tbl_Finance[Job Number],C456&amp;"",tbl_Finance[Cost Centre],"VIDEO")&gt;0,"VIDEO ","")&amp;IF(COUNTIFS(tbl_Finance[Job Number],C456&amp;"",tbl_Finance[Cost Centre],"INTEGRATION")&gt;0,"INTEGRATION ","")&amp;IF(COUNTIFS(tbl_Finance[Job Number],C456&amp;"",tbl_Finance[Cost Centre],"CONSULTING")&gt;0,"CONSULTING ","")&amp;IF(COUNTIFS(tbl_Finance[Job Number],C456&amp;"",tbl_Finance[Cost Centre],"CTS")&gt;0,"CTS ",""))," ",", ")))</f>
        <v/>
      </c>
      <c r="L456" s="27">
        <f>IF(C456="","",SUMIFS(tbl_Finance[Inc GST],tbl_Finance[Job Number],C456&amp;""))</f>
        <v/>
      </c>
      <c r="M456" s="24" t="n"/>
      <c r="N456" s="25">
        <f>IF(C456="","",IFERROR(INDEX(tbl_Finance[Description],MATCH(C456&amp;"",tbl_Finance[Job Number],0)),""))</f>
        <v/>
      </c>
      <c r="O456" s="24" t="n"/>
      <c r="P456" s="24" t="n"/>
      <c r="Q456" s="22" t="n"/>
      <c r="R456" s="24" t="n"/>
      <c r="S456" s="25">
        <f>IF(R456="","",IF(AND(LEFT(R456,4)&lt;&gt;"http",set_RMSBase=""),"",HYPERLINK(IF(LEFT(R456,4)="http",R456,set_RMSBase&amp;R456),"Open opportunity")))</f>
        <v/>
      </c>
      <c r="T456" s="24" t="n"/>
      <c r="U456" s="25">
        <f>IF(T456="","",HYPERLINK(IF(LEFT(T456,4)="http",T456,set_QwilrBase&amp;T456),"Open quote"))</f>
        <v/>
      </c>
      <c r="V456" s="25">
        <f>IF(C456="","",C456)</f>
        <v/>
      </c>
      <c r="W456" s="24" t="n"/>
      <c r="X456" s="26" t="n"/>
      <c r="Y456" s="27">
        <f>IF(C456="","",H456+N(X456))</f>
        <v/>
      </c>
      <c r="Z456" s="29">
        <f>IFERROR(X456/Y456,"")</f>
        <v/>
      </c>
      <c r="AA456" s="26" t="n"/>
      <c r="AB456" s="26" t="n"/>
      <c r="AC456" s="26" t="n"/>
      <c r="AD456" s="26" t="n"/>
      <c r="AE456" s="27">
        <f>IF(C456="","",SUMIFS(tbl_Finance[Ex GST],tbl_Finance[Job Number],C456&amp;"",tbl_Finance[Cost Centre],"VIDEO"))</f>
        <v/>
      </c>
      <c r="AF456" s="29">
        <f>IFERROR(AE456/H456,"")</f>
        <v/>
      </c>
      <c r="AG456" s="27">
        <f>IF(C456="","",N(AA456)+N(AB456)+N(AC456)+N(AD456))</f>
        <v/>
      </c>
      <c r="AH456" s="27">
        <f>IF(C456="","",H456-AG456)</f>
        <v/>
      </c>
      <c r="AI456" s="29">
        <f>IFERROR(AH456/H456,"")</f>
        <v/>
      </c>
      <c r="AJ456" s="65" t="n"/>
      <c r="AK456" s="65" t="n"/>
      <c r="AL456" s="65" t="n"/>
      <c r="AM456" s="65" t="n"/>
      <c r="AN456" s="65" t="n"/>
      <c r="AO456" s="24" t="n"/>
    </row>
    <row r="457" ht="15" customHeight="1">
      <c r="A457" s="64">
        <f>IF(C457="","",IFERROR(IF(SUMPRODUCT(MAX((tbl_Finance[Job Number]=C457&amp;"")*(tbl_Finance[Xero Invoice No]&lt;&gt;"")*tbl_Finance[Date]))=0,"",SUMPRODUCT(MAX((tbl_Finance[Job Number]=C457&amp;"")*(tbl_Finance[Xero Invoice No]&lt;&gt;"")*tbl_Finance[Date]))),""))</f>
        <v/>
      </c>
      <c r="B457" s="25">
        <f>IF(C457="","",IF(COUNTIFS(tbl_Finance[Job Number],C457&amp;"",tbl_Finance[Xero Invoice No],"&lt;&gt;")=0,"",IFERROR(IF(COUNTIFS(tbl_Finance[Job Number],C457&amp;"",tbl_Finance[Xero Invoice No],LOOKUP(2,1/((tbl_Finance[Job Number]=C457&amp;"")*(tbl_Finance[Xero Invoice No]&lt;&gt;"")),tbl_Finance[Xero Invoice No]))=COUNTIFS(tbl_Finance[Job Number],C457&amp;"",tbl_Finance[Xero Invoice No],"&lt;&gt;"),LOOKUP(2,1/((tbl_Finance[Job Number]=C457&amp;"")*(tbl_Finance[Xero Invoice No]&lt;&gt;"")),tbl_Finance[Xero Invoice No]),LOOKUP(2,1/((tbl_Finance[Job Number]=C457&amp;"")*(tbl_Finance[Xero Invoice No]&lt;&gt;"")),tbl_Finance[Xero Invoice No])&amp;" +more"),"")))</f>
        <v/>
      </c>
      <c r="C457" s="24" t="n"/>
      <c r="D457" s="25">
        <f>IF(C457="","",IF(COUNTIF(lst_Jobs,C457&amp;"")&gt;0,"OK","CHECK"))</f>
        <v/>
      </c>
      <c r="E457" s="25">
        <f>IF(C457="","",IFERROR(INDEX(lst_JobName,MATCH(C457&amp;"",lst_Jobs,0)),""))</f>
        <v/>
      </c>
      <c r="F457" s="25">
        <f>IF(C457="","",IFERROR(INDEX(tbl_Finance[Client],MATCH(C457&amp;"",tbl_Finance[Job Number],0)),""))</f>
        <v/>
      </c>
      <c r="G457" s="28">
        <f>IF(C457="","",COUNTIFS(tbl_Finance[Job Number],C457&amp;"",tbl_Finance[Ex GST],"&lt;&gt;"))</f>
        <v/>
      </c>
      <c r="H457" s="27">
        <f>IF(C457="","",SUMIFS(tbl_Finance[Ex GST],tbl_Finance[Job Number],C457&amp;""))</f>
        <v/>
      </c>
      <c r="I457" s="27">
        <f>IF(C457="","",SUMIFS(tbl_Finance[Ex GST],tbl_Finance[Job Number],C457&amp;"",tbl_Finance[Xero Invoice No],"&lt;&gt;"))</f>
        <v/>
      </c>
      <c r="J457" s="27">
        <f>IF(C457="","",H457-I457)</f>
        <v/>
      </c>
      <c r="K457" s="25">
        <f>IF(C457="","",IF(G457=0,"not invoiced yet",SUBSTITUTE(TRIM(IF(COUNTIFS(tbl_Finance[Job Number],C457&amp;"",tbl_Finance[Cost Centre],"ONSITE")&gt;0,"ONSITE ","")&amp;IF(COUNTIFS(tbl_Finance[Job Number],C457&amp;"",tbl_Finance[Cost Centre],"PRODUCTION")&gt;0,"PRODUCTION ","")&amp;IF(COUNTIFS(tbl_Finance[Job Number],C457&amp;"",tbl_Finance[Cost Centre],"VIDEO")&gt;0,"VIDEO ","")&amp;IF(COUNTIFS(tbl_Finance[Job Number],C457&amp;"",tbl_Finance[Cost Centre],"INTEGRATION")&gt;0,"INTEGRATION ","")&amp;IF(COUNTIFS(tbl_Finance[Job Number],C457&amp;"",tbl_Finance[Cost Centre],"CONSULTING")&gt;0,"CONSULTING ","")&amp;IF(COUNTIFS(tbl_Finance[Job Number],C457&amp;"",tbl_Finance[Cost Centre],"CTS")&gt;0,"CTS ",""))," ",", ")))</f>
        <v/>
      </c>
      <c r="L457" s="27">
        <f>IF(C457="","",SUMIFS(tbl_Finance[Inc GST],tbl_Finance[Job Number],C457&amp;""))</f>
        <v/>
      </c>
      <c r="M457" s="24" t="n"/>
      <c r="N457" s="25">
        <f>IF(C457="","",IFERROR(INDEX(tbl_Finance[Description],MATCH(C457&amp;"",tbl_Finance[Job Number],0)),""))</f>
        <v/>
      </c>
      <c r="O457" s="24" t="n"/>
      <c r="P457" s="24" t="n"/>
      <c r="Q457" s="22" t="n"/>
      <c r="R457" s="24" t="n"/>
      <c r="S457" s="25">
        <f>IF(R457="","",IF(AND(LEFT(R457,4)&lt;&gt;"http",set_RMSBase=""),"",HYPERLINK(IF(LEFT(R457,4)="http",R457,set_RMSBase&amp;R457),"Open opportunity")))</f>
        <v/>
      </c>
      <c r="T457" s="24" t="n"/>
      <c r="U457" s="25">
        <f>IF(T457="","",HYPERLINK(IF(LEFT(T457,4)="http",T457,set_QwilrBase&amp;T457),"Open quote"))</f>
        <v/>
      </c>
      <c r="V457" s="25">
        <f>IF(C457="","",C457)</f>
        <v/>
      </c>
      <c r="W457" s="24" t="n"/>
      <c r="X457" s="26" t="n"/>
      <c r="Y457" s="27">
        <f>IF(C457="","",H457+N(X457))</f>
        <v/>
      </c>
      <c r="Z457" s="29">
        <f>IFERROR(X457/Y457,"")</f>
        <v/>
      </c>
      <c r="AA457" s="26" t="n"/>
      <c r="AB457" s="26" t="n"/>
      <c r="AC457" s="26" t="n"/>
      <c r="AD457" s="26" t="n"/>
      <c r="AE457" s="27">
        <f>IF(C457="","",SUMIFS(tbl_Finance[Ex GST],tbl_Finance[Job Number],C457&amp;"",tbl_Finance[Cost Centre],"VIDEO"))</f>
        <v/>
      </c>
      <c r="AF457" s="29">
        <f>IFERROR(AE457/H457,"")</f>
        <v/>
      </c>
      <c r="AG457" s="27">
        <f>IF(C457="","",N(AA457)+N(AB457)+N(AC457)+N(AD457))</f>
        <v/>
      </c>
      <c r="AH457" s="27">
        <f>IF(C457="","",H457-AG457)</f>
        <v/>
      </c>
      <c r="AI457" s="29">
        <f>IFERROR(AH457/H457,"")</f>
        <v/>
      </c>
      <c r="AJ457" s="65" t="n"/>
      <c r="AK457" s="65" t="n"/>
      <c r="AL457" s="65" t="n"/>
      <c r="AM457" s="65" t="n"/>
      <c r="AN457" s="65" t="n"/>
      <c r="AO457" s="24" t="n"/>
    </row>
    <row r="458" ht="15" customHeight="1">
      <c r="A458" s="64">
        <f>IF(C458="","",IFERROR(IF(SUMPRODUCT(MAX((tbl_Finance[Job Number]=C458&amp;"")*(tbl_Finance[Xero Invoice No]&lt;&gt;"")*tbl_Finance[Date]))=0,"",SUMPRODUCT(MAX((tbl_Finance[Job Number]=C458&amp;"")*(tbl_Finance[Xero Invoice No]&lt;&gt;"")*tbl_Finance[Date]))),""))</f>
        <v/>
      </c>
      <c r="B458" s="25">
        <f>IF(C458="","",IF(COUNTIFS(tbl_Finance[Job Number],C458&amp;"",tbl_Finance[Xero Invoice No],"&lt;&gt;")=0,"",IFERROR(IF(COUNTIFS(tbl_Finance[Job Number],C458&amp;"",tbl_Finance[Xero Invoice No],LOOKUP(2,1/((tbl_Finance[Job Number]=C458&amp;"")*(tbl_Finance[Xero Invoice No]&lt;&gt;"")),tbl_Finance[Xero Invoice No]))=COUNTIFS(tbl_Finance[Job Number],C458&amp;"",tbl_Finance[Xero Invoice No],"&lt;&gt;"),LOOKUP(2,1/((tbl_Finance[Job Number]=C458&amp;"")*(tbl_Finance[Xero Invoice No]&lt;&gt;"")),tbl_Finance[Xero Invoice No]),LOOKUP(2,1/((tbl_Finance[Job Number]=C458&amp;"")*(tbl_Finance[Xero Invoice No]&lt;&gt;"")),tbl_Finance[Xero Invoice No])&amp;" +more"),"")))</f>
        <v/>
      </c>
      <c r="C458" s="24" t="n"/>
      <c r="D458" s="25">
        <f>IF(C458="","",IF(COUNTIF(lst_Jobs,C458&amp;"")&gt;0,"OK","CHECK"))</f>
        <v/>
      </c>
      <c r="E458" s="25">
        <f>IF(C458="","",IFERROR(INDEX(lst_JobName,MATCH(C458&amp;"",lst_Jobs,0)),""))</f>
        <v/>
      </c>
      <c r="F458" s="25">
        <f>IF(C458="","",IFERROR(INDEX(tbl_Finance[Client],MATCH(C458&amp;"",tbl_Finance[Job Number],0)),""))</f>
        <v/>
      </c>
      <c r="G458" s="28">
        <f>IF(C458="","",COUNTIFS(tbl_Finance[Job Number],C458&amp;"",tbl_Finance[Ex GST],"&lt;&gt;"))</f>
        <v/>
      </c>
      <c r="H458" s="27">
        <f>IF(C458="","",SUMIFS(tbl_Finance[Ex GST],tbl_Finance[Job Number],C458&amp;""))</f>
        <v/>
      </c>
      <c r="I458" s="27">
        <f>IF(C458="","",SUMIFS(tbl_Finance[Ex GST],tbl_Finance[Job Number],C458&amp;"",tbl_Finance[Xero Invoice No],"&lt;&gt;"))</f>
        <v/>
      </c>
      <c r="J458" s="27">
        <f>IF(C458="","",H458-I458)</f>
        <v/>
      </c>
      <c r="K458" s="25">
        <f>IF(C458="","",IF(G458=0,"not invoiced yet",SUBSTITUTE(TRIM(IF(COUNTIFS(tbl_Finance[Job Number],C458&amp;"",tbl_Finance[Cost Centre],"ONSITE")&gt;0,"ONSITE ","")&amp;IF(COUNTIFS(tbl_Finance[Job Number],C458&amp;"",tbl_Finance[Cost Centre],"PRODUCTION")&gt;0,"PRODUCTION ","")&amp;IF(COUNTIFS(tbl_Finance[Job Number],C458&amp;"",tbl_Finance[Cost Centre],"VIDEO")&gt;0,"VIDEO ","")&amp;IF(COUNTIFS(tbl_Finance[Job Number],C458&amp;"",tbl_Finance[Cost Centre],"INTEGRATION")&gt;0,"INTEGRATION ","")&amp;IF(COUNTIFS(tbl_Finance[Job Number],C458&amp;"",tbl_Finance[Cost Centre],"CONSULTING")&gt;0,"CONSULTING ","")&amp;IF(COUNTIFS(tbl_Finance[Job Number],C458&amp;"",tbl_Finance[Cost Centre],"CTS")&gt;0,"CTS ",""))," ",", ")))</f>
        <v/>
      </c>
      <c r="L458" s="27">
        <f>IF(C458="","",SUMIFS(tbl_Finance[Inc GST],tbl_Finance[Job Number],C458&amp;""))</f>
        <v/>
      </c>
      <c r="M458" s="24" t="n"/>
      <c r="N458" s="25">
        <f>IF(C458="","",IFERROR(INDEX(tbl_Finance[Description],MATCH(C458&amp;"",tbl_Finance[Job Number],0)),""))</f>
        <v/>
      </c>
      <c r="O458" s="24" t="n"/>
      <c r="P458" s="24" t="n"/>
      <c r="Q458" s="22" t="n"/>
      <c r="R458" s="24" t="n"/>
      <c r="S458" s="25">
        <f>IF(R458="","",IF(AND(LEFT(R458,4)&lt;&gt;"http",set_RMSBase=""),"",HYPERLINK(IF(LEFT(R458,4)="http",R458,set_RMSBase&amp;R458),"Open opportunity")))</f>
        <v/>
      </c>
      <c r="T458" s="24" t="n"/>
      <c r="U458" s="25">
        <f>IF(T458="","",HYPERLINK(IF(LEFT(T458,4)="http",T458,set_QwilrBase&amp;T458),"Open quote"))</f>
        <v/>
      </c>
      <c r="V458" s="25">
        <f>IF(C458="","",C458)</f>
        <v/>
      </c>
      <c r="W458" s="24" t="n"/>
      <c r="X458" s="26" t="n"/>
      <c r="Y458" s="27">
        <f>IF(C458="","",H458+N(X458))</f>
        <v/>
      </c>
      <c r="Z458" s="29">
        <f>IFERROR(X458/Y458,"")</f>
        <v/>
      </c>
      <c r="AA458" s="26" t="n"/>
      <c r="AB458" s="26" t="n"/>
      <c r="AC458" s="26" t="n"/>
      <c r="AD458" s="26" t="n"/>
      <c r="AE458" s="27">
        <f>IF(C458="","",SUMIFS(tbl_Finance[Ex GST],tbl_Finance[Job Number],C458&amp;"",tbl_Finance[Cost Centre],"VIDEO"))</f>
        <v/>
      </c>
      <c r="AF458" s="29">
        <f>IFERROR(AE458/H458,"")</f>
        <v/>
      </c>
      <c r="AG458" s="27">
        <f>IF(C458="","",N(AA458)+N(AB458)+N(AC458)+N(AD458))</f>
        <v/>
      </c>
      <c r="AH458" s="27">
        <f>IF(C458="","",H458-AG458)</f>
        <v/>
      </c>
      <c r="AI458" s="29">
        <f>IFERROR(AH458/H458,"")</f>
        <v/>
      </c>
      <c r="AJ458" s="65" t="n"/>
      <c r="AK458" s="65" t="n"/>
      <c r="AL458" s="65" t="n"/>
      <c r="AM458" s="65" t="n"/>
      <c r="AN458" s="65" t="n"/>
      <c r="AO458" s="24" t="n"/>
    </row>
    <row r="459" ht="15" customHeight="1">
      <c r="A459" s="64">
        <f>IF(C459="","",IFERROR(IF(SUMPRODUCT(MAX((tbl_Finance[Job Number]=C459&amp;"")*(tbl_Finance[Xero Invoice No]&lt;&gt;"")*tbl_Finance[Date]))=0,"",SUMPRODUCT(MAX((tbl_Finance[Job Number]=C459&amp;"")*(tbl_Finance[Xero Invoice No]&lt;&gt;"")*tbl_Finance[Date]))),""))</f>
        <v/>
      </c>
      <c r="B459" s="25">
        <f>IF(C459="","",IF(COUNTIFS(tbl_Finance[Job Number],C459&amp;"",tbl_Finance[Xero Invoice No],"&lt;&gt;")=0,"",IFERROR(IF(COUNTIFS(tbl_Finance[Job Number],C459&amp;"",tbl_Finance[Xero Invoice No],LOOKUP(2,1/((tbl_Finance[Job Number]=C459&amp;"")*(tbl_Finance[Xero Invoice No]&lt;&gt;"")),tbl_Finance[Xero Invoice No]))=COUNTIFS(tbl_Finance[Job Number],C459&amp;"",tbl_Finance[Xero Invoice No],"&lt;&gt;"),LOOKUP(2,1/((tbl_Finance[Job Number]=C459&amp;"")*(tbl_Finance[Xero Invoice No]&lt;&gt;"")),tbl_Finance[Xero Invoice No]),LOOKUP(2,1/((tbl_Finance[Job Number]=C459&amp;"")*(tbl_Finance[Xero Invoice No]&lt;&gt;"")),tbl_Finance[Xero Invoice No])&amp;" +more"),"")))</f>
        <v/>
      </c>
      <c r="C459" s="24" t="n"/>
      <c r="D459" s="25">
        <f>IF(C459="","",IF(COUNTIF(lst_Jobs,C459&amp;"")&gt;0,"OK","CHECK"))</f>
        <v/>
      </c>
      <c r="E459" s="25">
        <f>IF(C459="","",IFERROR(INDEX(lst_JobName,MATCH(C459&amp;"",lst_Jobs,0)),""))</f>
        <v/>
      </c>
      <c r="F459" s="25">
        <f>IF(C459="","",IFERROR(INDEX(tbl_Finance[Client],MATCH(C459&amp;"",tbl_Finance[Job Number],0)),""))</f>
        <v/>
      </c>
      <c r="G459" s="28">
        <f>IF(C459="","",COUNTIFS(tbl_Finance[Job Number],C459&amp;"",tbl_Finance[Ex GST],"&lt;&gt;"))</f>
        <v/>
      </c>
      <c r="H459" s="27">
        <f>IF(C459="","",SUMIFS(tbl_Finance[Ex GST],tbl_Finance[Job Number],C459&amp;""))</f>
        <v/>
      </c>
      <c r="I459" s="27">
        <f>IF(C459="","",SUMIFS(tbl_Finance[Ex GST],tbl_Finance[Job Number],C459&amp;"",tbl_Finance[Xero Invoice No],"&lt;&gt;"))</f>
        <v/>
      </c>
      <c r="J459" s="27">
        <f>IF(C459="","",H459-I459)</f>
        <v/>
      </c>
      <c r="K459" s="25">
        <f>IF(C459="","",IF(G459=0,"not invoiced yet",SUBSTITUTE(TRIM(IF(COUNTIFS(tbl_Finance[Job Number],C459&amp;"",tbl_Finance[Cost Centre],"ONSITE")&gt;0,"ONSITE ","")&amp;IF(COUNTIFS(tbl_Finance[Job Number],C459&amp;"",tbl_Finance[Cost Centre],"PRODUCTION")&gt;0,"PRODUCTION ","")&amp;IF(COUNTIFS(tbl_Finance[Job Number],C459&amp;"",tbl_Finance[Cost Centre],"VIDEO")&gt;0,"VIDEO ","")&amp;IF(COUNTIFS(tbl_Finance[Job Number],C459&amp;"",tbl_Finance[Cost Centre],"INTEGRATION")&gt;0,"INTEGRATION ","")&amp;IF(COUNTIFS(tbl_Finance[Job Number],C459&amp;"",tbl_Finance[Cost Centre],"CONSULTING")&gt;0,"CONSULTING ","")&amp;IF(COUNTIFS(tbl_Finance[Job Number],C459&amp;"",tbl_Finance[Cost Centre],"CTS")&gt;0,"CTS ",""))," ",", ")))</f>
        <v/>
      </c>
      <c r="L459" s="27">
        <f>IF(C459="","",SUMIFS(tbl_Finance[Inc GST],tbl_Finance[Job Number],C459&amp;""))</f>
        <v/>
      </c>
      <c r="M459" s="24" t="n"/>
      <c r="N459" s="25">
        <f>IF(C459="","",IFERROR(INDEX(tbl_Finance[Description],MATCH(C459&amp;"",tbl_Finance[Job Number],0)),""))</f>
        <v/>
      </c>
      <c r="O459" s="24" t="n"/>
      <c r="P459" s="24" t="n"/>
      <c r="Q459" s="22" t="n"/>
      <c r="R459" s="24" t="n"/>
      <c r="S459" s="25">
        <f>IF(R459="","",IF(AND(LEFT(R459,4)&lt;&gt;"http",set_RMSBase=""),"",HYPERLINK(IF(LEFT(R459,4)="http",R459,set_RMSBase&amp;R459),"Open opportunity")))</f>
        <v/>
      </c>
      <c r="T459" s="24" t="n"/>
      <c r="U459" s="25">
        <f>IF(T459="","",HYPERLINK(IF(LEFT(T459,4)="http",T459,set_QwilrBase&amp;T459),"Open quote"))</f>
        <v/>
      </c>
      <c r="V459" s="25">
        <f>IF(C459="","",C459)</f>
        <v/>
      </c>
      <c r="W459" s="24" t="n"/>
      <c r="X459" s="26" t="n"/>
      <c r="Y459" s="27">
        <f>IF(C459="","",H459+N(X459))</f>
        <v/>
      </c>
      <c r="Z459" s="29">
        <f>IFERROR(X459/Y459,"")</f>
        <v/>
      </c>
      <c r="AA459" s="26" t="n"/>
      <c r="AB459" s="26" t="n"/>
      <c r="AC459" s="26" t="n"/>
      <c r="AD459" s="26" t="n"/>
      <c r="AE459" s="27">
        <f>IF(C459="","",SUMIFS(tbl_Finance[Ex GST],tbl_Finance[Job Number],C459&amp;"",tbl_Finance[Cost Centre],"VIDEO"))</f>
        <v/>
      </c>
      <c r="AF459" s="29">
        <f>IFERROR(AE459/H459,"")</f>
        <v/>
      </c>
      <c r="AG459" s="27">
        <f>IF(C459="","",N(AA459)+N(AB459)+N(AC459)+N(AD459))</f>
        <v/>
      </c>
      <c r="AH459" s="27">
        <f>IF(C459="","",H459-AG459)</f>
        <v/>
      </c>
      <c r="AI459" s="29">
        <f>IFERROR(AH459/H459,"")</f>
        <v/>
      </c>
      <c r="AJ459" s="65" t="n"/>
      <c r="AK459" s="65" t="n"/>
      <c r="AL459" s="65" t="n"/>
      <c r="AM459" s="65" t="n"/>
      <c r="AN459" s="65" t="n"/>
      <c r="AO459" s="24" t="n"/>
    </row>
    <row r="460" ht="15" customHeight="1">
      <c r="A460" s="64">
        <f>IF(C460="","",IFERROR(IF(SUMPRODUCT(MAX((tbl_Finance[Job Number]=C460&amp;"")*(tbl_Finance[Xero Invoice No]&lt;&gt;"")*tbl_Finance[Date]))=0,"",SUMPRODUCT(MAX((tbl_Finance[Job Number]=C460&amp;"")*(tbl_Finance[Xero Invoice No]&lt;&gt;"")*tbl_Finance[Date]))),""))</f>
        <v/>
      </c>
      <c r="B460" s="25">
        <f>IF(C460="","",IF(COUNTIFS(tbl_Finance[Job Number],C460&amp;"",tbl_Finance[Xero Invoice No],"&lt;&gt;")=0,"",IFERROR(IF(COUNTIFS(tbl_Finance[Job Number],C460&amp;"",tbl_Finance[Xero Invoice No],LOOKUP(2,1/((tbl_Finance[Job Number]=C460&amp;"")*(tbl_Finance[Xero Invoice No]&lt;&gt;"")),tbl_Finance[Xero Invoice No]))=COUNTIFS(tbl_Finance[Job Number],C460&amp;"",tbl_Finance[Xero Invoice No],"&lt;&gt;"),LOOKUP(2,1/((tbl_Finance[Job Number]=C460&amp;"")*(tbl_Finance[Xero Invoice No]&lt;&gt;"")),tbl_Finance[Xero Invoice No]),LOOKUP(2,1/((tbl_Finance[Job Number]=C460&amp;"")*(tbl_Finance[Xero Invoice No]&lt;&gt;"")),tbl_Finance[Xero Invoice No])&amp;" +more"),"")))</f>
        <v/>
      </c>
      <c r="C460" s="24" t="n"/>
      <c r="D460" s="25">
        <f>IF(C460="","",IF(COUNTIF(lst_Jobs,C460&amp;"")&gt;0,"OK","CHECK"))</f>
        <v/>
      </c>
      <c r="E460" s="25">
        <f>IF(C460="","",IFERROR(INDEX(lst_JobName,MATCH(C460&amp;"",lst_Jobs,0)),""))</f>
        <v/>
      </c>
      <c r="F460" s="25">
        <f>IF(C460="","",IFERROR(INDEX(tbl_Finance[Client],MATCH(C460&amp;"",tbl_Finance[Job Number],0)),""))</f>
        <v/>
      </c>
      <c r="G460" s="28">
        <f>IF(C460="","",COUNTIFS(tbl_Finance[Job Number],C460&amp;"",tbl_Finance[Ex GST],"&lt;&gt;"))</f>
        <v/>
      </c>
      <c r="H460" s="27">
        <f>IF(C460="","",SUMIFS(tbl_Finance[Ex GST],tbl_Finance[Job Number],C460&amp;""))</f>
        <v/>
      </c>
      <c r="I460" s="27">
        <f>IF(C460="","",SUMIFS(tbl_Finance[Ex GST],tbl_Finance[Job Number],C460&amp;"",tbl_Finance[Xero Invoice No],"&lt;&gt;"))</f>
        <v/>
      </c>
      <c r="J460" s="27">
        <f>IF(C460="","",H460-I460)</f>
        <v/>
      </c>
      <c r="K460" s="25">
        <f>IF(C460="","",IF(G460=0,"not invoiced yet",SUBSTITUTE(TRIM(IF(COUNTIFS(tbl_Finance[Job Number],C460&amp;"",tbl_Finance[Cost Centre],"ONSITE")&gt;0,"ONSITE ","")&amp;IF(COUNTIFS(tbl_Finance[Job Number],C460&amp;"",tbl_Finance[Cost Centre],"PRODUCTION")&gt;0,"PRODUCTION ","")&amp;IF(COUNTIFS(tbl_Finance[Job Number],C460&amp;"",tbl_Finance[Cost Centre],"VIDEO")&gt;0,"VIDEO ","")&amp;IF(COUNTIFS(tbl_Finance[Job Number],C460&amp;"",tbl_Finance[Cost Centre],"INTEGRATION")&gt;0,"INTEGRATION ","")&amp;IF(COUNTIFS(tbl_Finance[Job Number],C460&amp;"",tbl_Finance[Cost Centre],"CONSULTING")&gt;0,"CONSULTING ","")&amp;IF(COUNTIFS(tbl_Finance[Job Number],C460&amp;"",tbl_Finance[Cost Centre],"CTS")&gt;0,"CTS ",""))," ",", ")))</f>
        <v/>
      </c>
      <c r="L460" s="27">
        <f>IF(C460="","",SUMIFS(tbl_Finance[Inc GST],tbl_Finance[Job Number],C460&amp;""))</f>
        <v/>
      </c>
      <c r="M460" s="24" t="n"/>
      <c r="N460" s="25">
        <f>IF(C460="","",IFERROR(INDEX(tbl_Finance[Description],MATCH(C460&amp;"",tbl_Finance[Job Number],0)),""))</f>
        <v/>
      </c>
      <c r="O460" s="24" t="n"/>
      <c r="P460" s="24" t="n"/>
      <c r="Q460" s="22" t="n"/>
      <c r="R460" s="24" t="n"/>
      <c r="S460" s="25">
        <f>IF(R460="","",IF(AND(LEFT(R460,4)&lt;&gt;"http",set_RMSBase=""),"",HYPERLINK(IF(LEFT(R460,4)="http",R460,set_RMSBase&amp;R460),"Open opportunity")))</f>
        <v/>
      </c>
      <c r="T460" s="24" t="n"/>
      <c r="U460" s="25">
        <f>IF(T460="","",HYPERLINK(IF(LEFT(T460,4)="http",T460,set_QwilrBase&amp;T460),"Open quote"))</f>
        <v/>
      </c>
      <c r="V460" s="25">
        <f>IF(C460="","",C460)</f>
        <v/>
      </c>
      <c r="W460" s="24" t="n"/>
      <c r="X460" s="26" t="n"/>
      <c r="Y460" s="27">
        <f>IF(C460="","",H460+N(X460))</f>
        <v/>
      </c>
      <c r="Z460" s="29">
        <f>IFERROR(X460/Y460,"")</f>
        <v/>
      </c>
      <c r="AA460" s="26" t="n"/>
      <c r="AB460" s="26" t="n"/>
      <c r="AC460" s="26" t="n"/>
      <c r="AD460" s="26" t="n"/>
      <c r="AE460" s="27">
        <f>IF(C460="","",SUMIFS(tbl_Finance[Ex GST],tbl_Finance[Job Number],C460&amp;"",tbl_Finance[Cost Centre],"VIDEO"))</f>
        <v/>
      </c>
      <c r="AF460" s="29">
        <f>IFERROR(AE460/H460,"")</f>
        <v/>
      </c>
      <c r="AG460" s="27">
        <f>IF(C460="","",N(AA460)+N(AB460)+N(AC460)+N(AD460))</f>
        <v/>
      </c>
      <c r="AH460" s="27">
        <f>IF(C460="","",H460-AG460)</f>
        <v/>
      </c>
      <c r="AI460" s="29">
        <f>IFERROR(AH460/H460,"")</f>
        <v/>
      </c>
      <c r="AJ460" s="65" t="n"/>
      <c r="AK460" s="65" t="n"/>
      <c r="AL460" s="65" t="n"/>
      <c r="AM460" s="65" t="n"/>
      <c r="AN460" s="65" t="n"/>
      <c r="AO460" s="24" t="n"/>
    </row>
    <row r="461" ht="15" customHeight="1">
      <c r="A461" s="64">
        <f>IF(C461="","",IFERROR(IF(SUMPRODUCT(MAX((tbl_Finance[Job Number]=C461&amp;"")*(tbl_Finance[Xero Invoice No]&lt;&gt;"")*tbl_Finance[Date]))=0,"",SUMPRODUCT(MAX((tbl_Finance[Job Number]=C461&amp;"")*(tbl_Finance[Xero Invoice No]&lt;&gt;"")*tbl_Finance[Date]))),""))</f>
        <v/>
      </c>
      <c r="B461" s="25">
        <f>IF(C461="","",IF(COUNTIFS(tbl_Finance[Job Number],C461&amp;"",tbl_Finance[Xero Invoice No],"&lt;&gt;")=0,"",IFERROR(IF(COUNTIFS(tbl_Finance[Job Number],C461&amp;"",tbl_Finance[Xero Invoice No],LOOKUP(2,1/((tbl_Finance[Job Number]=C461&amp;"")*(tbl_Finance[Xero Invoice No]&lt;&gt;"")),tbl_Finance[Xero Invoice No]))=COUNTIFS(tbl_Finance[Job Number],C461&amp;"",tbl_Finance[Xero Invoice No],"&lt;&gt;"),LOOKUP(2,1/((tbl_Finance[Job Number]=C461&amp;"")*(tbl_Finance[Xero Invoice No]&lt;&gt;"")),tbl_Finance[Xero Invoice No]),LOOKUP(2,1/((tbl_Finance[Job Number]=C461&amp;"")*(tbl_Finance[Xero Invoice No]&lt;&gt;"")),tbl_Finance[Xero Invoice No])&amp;" +more"),"")))</f>
        <v/>
      </c>
      <c r="C461" s="24" t="n"/>
      <c r="D461" s="25">
        <f>IF(C461="","",IF(COUNTIF(lst_Jobs,C461&amp;"")&gt;0,"OK","CHECK"))</f>
        <v/>
      </c>
      <c r="E461" s="25">
        <f>IF(C461="","",IFERROR(INDEX(lst_JobName,MATCH(C461&amp;"",lst_Jobs,0)),""))</f>
        <v/>
      </c>
      <c r="F461" s="25">
        <f>IF(C461="","",IFERROR(INDEX(tbl_Finance[Client],MATCH(C461&amp;"",tbl_Finance[Job Number],0)),""))</f>
        <v/>
      </c>
      <c r="G461" s="28">
        <f>IF(C461="","",COUNTIFS(tbl_Finance[Job Number],C461&amp;"",tbl_Finance[Ex GST],"&lt;&gt;"))</f>
        <v/>
      </c>
      <c r="H461" s="27">
        <f>IF(C461="","",SUMIFS(tbl_Finance[Ex GST],tbl_Finance[Job Number],C461&amp;""))</f>
        <v/>
      </c>
      <c r="I461" s="27">
        <f>IF(C461="","",SUMIFS(tbl_Finance[Ex GST],tbl_Finance[Job Number],C461&amp;"",tbl_Finance[Xero Invoice No],"&lt;&gt;"))</f>
        <v/>
      </c>
      <c r="J461" s="27">
        <f>IF(C461="","",H461-I461)</f>
        <v/>
      </c>
      <c r="K461" s="25">
        <f>IF(C461="","",IF(G461=0,"not invoiced yet",SUBSTITUTE(TRIM(IF(COUNTIFS(tbl_Finance[Job Number],C461&amp;"",tbl_Finance[Cost Centre],"ONSITE")&gt;0,"ONSITE ","")&amp;IF(COUNTIFS(tbl_Finance[Job Number],C461&amp;"",tbl_Finance[Cost Centre],"PRODUCTION")&gt;0,"PRODUCTION ","")&amp;IF(COUNTIFS(tbl_Finance[Job Number],C461&amp;"",tbl_Finance[Cost Centre],"VIDEO")&gt;0,"VIDEO ","")&amp;IF(COUNTIFS(tbl_Finance[Job Number],C461&amp;"",tbl_Finance[Cost Centre],"INTEGRATION")&gt;0,"INTEGRATION ","")&amp;IF(COUNTIFS(tbl_Finance[Job Number],C461&amp;"",tbl_Finance[Cost Centre],"CONSULTING")&gt;0,"CONSULTING ","")&amp;IF(COUNTIFS(tbl_Finance[Job Number],C461&amp;"",tbl_Finance[Cost Centre],"CTS")&gt;0,"CTS ",""))," ",", ")))</f>
        <v/>
      </c>
      <c r="L461" s="27">
        <f>IF(C461="","",SUMIFS(tbl_Finance[Inc GST],tbl_Finance[Job Number],C461&amp;""))</f>
        <v/>
      </c>
      <c r="M461" s="24" t="n"/>
      <c r="N461" s="25">
        <f>IF(C461="","",IFERROR(INDEX(tbl_Finance[Description],MATCH(C461&amp;"",tbl_Finance[Job Number],0)),""))</f>
        <v/>
      </c>
      <c r="O461" s="24" t="n"/>
      <c r="P461" s="24" t="n"/>
      <c r="Q461" s="22" t="n"/>
      <c r="R461" s="24" t="n"/>
      <c r="S461" s="25">
        <f>IF(R461="","",IF(AND(LEFT(R461,4)&lt;&gt;"http",set_RMSBase=""),"",HYPERLINK(IF(LEFT(R461,4)="http",R461,set_RMSBase&amp;R461),"Open opportunity")))</f>
        <v/>
      </c>
      <c r="T461" s="24" t="n"/>
      <c r="U461" s="25">
        <f>IF(T461="","",HYPERLINK(IF(LEFT(T461,4)="http",T461,set_QwilrBase&amp;T461),"Open quote"))</f>
        <v/>
      </c>
      <c r="V461" s="25">
        <f>IF(C461="","",C461)</f>
        <v/>
      </c>
      <c r="W461" s="24" t="n"/>
      <c r="X461" s="26" t="n"/>
      <c r="Y461" s="27">
        <f>IF(C461="","",H461+N(X461))</f>
        <v/>
      </c>
      <c r="Z461" s="29">
        <f>IFERROR(X461/Y461,"")</f>
        <v/>
      </c>
      <c r="AA461" s="26" t="n"/>
      <c r="AB461" s="26" t="n"/>
      <c r="AC461" s="26" t="n"/>
      <c r="AD461" s="26" t="n"/>
      <c r="AE461" s="27">
        <f>IF(C461="","",SUMIFS(tbl_Finance[Ex GST],tbl_Finance[Job Number],C461&amp;"",tbl_Finance[Cost Centre],"VIDEO"))</f>
        <v/>
      </c>
      <c r="AF461" s="29">
        <f>IFERROR(AE461/H461,"")</f>
        <v/>
      </c>
      <c r="AG461" s="27">
        <f>IF(C461="","",N(AA461)+N(AB461)+N(AC461)+N(AD461))</f>
        <v/>
      </c>
      <c r="AH461" s="27">
        <f>IF(C461="","",H461-AG461)</f>
        <v/>
      </c>
      <c r="AI461" s="29">
        <f>IFERROR(AH461/H461,"")</f>
        <v/>
      </c>
      <c r="AJ461" s="65" t="n"/>
      <c r="AK461" s="65" t="n"/>
      <c r="AL461" s="65" t="n"/>
      <c r="AM461" s="65" t="n"/>
      <c r="AN461" s="65" t="n"/>
      <c r="AO461" s="24" t="n"/>
    </row>
    <row r="462" ht="15" customHeight="1">
      <c r="A462" s="64">
        <f>IF(C462="","",IFERROR(IF(SUMPRODUCT(MAX((tbl_Finance[Job Number]=C462&amp;"")*(tbl_Finance[Xero Invoice No]&lt;&gt;"")*tbl_Finance[Date]))=0,"",SUMPRODUCT(MAX((tbl_Finance[Job Number]=C462&amp;"")*(tbl_Finance[Xero Invoice No]&lt;&gt;"")*tbl_Finance[Date]))),""))</f>
        <v/>
      </c>
      <c r="B462" s="25">
        <f>IF(C462="","",IF(COUNTIFS(tbl_Finance[Job Number],C462&amp;"",tbl_Finance[Xero Invoice No],"&lt;&gt;")=0,"",IFERROR(IF(COUNTIFS(tbl_Finance[Job Number],C462&amp;"",tbl_Finance[Xero Invoice No],LOOKUP(2,1/((tbl_Finance[Job Number]=C462&amp;"")*(tbl_Finance[Xero Invoice No]&lt;&gt;"")),tbl_Finance[Xero Invoice No]))=COUNTIFS(tbl_Finance[Job Number],C462&amp;"",tbl_Finance[Xero Invoice No],"&lt;&gt;"),LOOKUP(2,1/((tbl_Finance[Job Number]=C462&amp;"")*(tbl_Finance[Xero Invoice No]&lt;&gt;"")),tbl_Finance[Xero Invoice No]),LOOKUP(2,1/((tbl_Finance[Job Number]=C462&amp;"")*(tbl_Finance[Xero Invoice No]&lt;&gt;"")),tbl_Finance[Xero Invoice No])&amp;" +more"),"")))</f>
        <v/>
      </c>
      <c r="C462" s="24" t="n"/>
      <c r="D462" s="25">
        <f>IF(C462="","",IF(COUNTIF(lst_Jobs,C462&amp;"")&gt;0,"OK","CHECK"))</f>
        <v/>
      </c>
      <c r="E462" s="25">
        <f>IF(C462="","",IFERROR(INDEX(lst_JobName,MATCH(C462&amp;"",lst_Jobs,0)),""))</f>
        <v/>
      </c>
      <c r="F462" s="25">
        <f>IF(C462="","",IFERROR(INDEX(tbl_Finance[Client],MATCH(C462&amp;"",tbl_Finance[Job Number],0)),""))</f>
        <v/>
      </c>
      <c r="G462" s="28">
        <f>IF(C462="","",COUNTIFS(tbl_Finance[Job Number],C462&amp;"",tbl_Finance[Ex GST],"&lt;&gt;"))</f>
        <v/>
      </c>
      <c r="H462" s="27">
        <f>IF(C462="","",SUMIFS(tbl_Finance[Ex GST],tbl_Finance[Job Number],C462&amp;""))</f>
        <v/>
      </c>
      <c r="I462" s="27">
        <f>IF(C462="","",SUMIFS(tbl_Finance[Ex GST],tbl_Finance[Job Number],C462&amp;"",tbl_Finance[Xero Invoice No],"&lt;&gt;"))</f>
        <v/>
      </c>
      <c r="J462" s="27">
        <f>IF(C462="","",H462-I462)</f>
        <v/>
      </c>
      <c r="K462" s="25">
        <f>IF(C462="","",IF(G462=0,"not invoiced yet",SUBSTITUTE(TRIM(IF(COUNTIFS(tbl_Finance[Job Number],C462&amp;"",tbl_Finance[Cost Centre],"ONSITE")&gt;0,"ONSITE ","")&amp;IF(COUNTIFS(tbl_Finance[Job Number],C462&amp;"",tbl_Finance[Cost Centre],"PRODUCTION")&gt;0,"PRODUCTION ","")&amp;IF(COUNTIFS(tbl_Finance[Job Number],C462&amp;"",tbl_Finance[Cost Centre],"VIDEO")&gt;0,"VIDEO ","")&amp;IF(COUNTIFS(tbl_Finance[Job Number],C462&amp;"",tbl_Finance[Cost Centre],"INTEGRATION")&gt;0,"INTEGRATION ","")&amp;IF(COUNTIFS(tbl_Finance[Job Number],C462&amp;"",tbl_Finance[Cost Centre],"CONSULTING")&gt;0,"CONSULTING ","")&amp;IF(COUNTIFS(tbl_Finance[Job Number],C462&amp;"",tbl_Finance[Cost Centre],"CTS")&gt;0,"CTS ",""))," ",", ")))</f>
        <v/>
      </c>
      <c r="L462" s="27">
        <f>IF(C462="","",SUMIFS(tbl_Finance[Inc GST],tbl_Finance[Job Number],C462&amp;""))</f>
        <v/>
      </c>
      <c r="M462" s="24" t="n"/>
      <c r="N462" s="25">
        <f>IF(C462="","",IFERROR(INDEX(tbl_Finance[Description],MATCH(C462&amp;"",tbl_Finance[Job Number],0)),""))</f>
        <v/>
      </c>
      <c r="O462" s="24" t="n"/>
      <c r="P462" s="24" t="n"/>
      <c r="Q462" s="22" t="n"/>
      <c r="R462" s="24" t="n"/>
      <c r="S462" s="25">
        <f>IF(R462="","",IF(AND(LEFT(R462,4)&lt;&gt;"http",set_RMSBase=""),"",HYPERLINK(IF(LEFT(R462,4)="http",R462,set_RMSBase&amp;R462),"Open opportunity")))</f>
        <v/>
      </c>
      <c r="T462" s="24" t="n"/>
      <c r="U462" s="25">
        <f>IF(T462="","",HYPERLINK(IF(LEFT(T462,4)="http",T462,set_QwilrBase&amp;T462),"Open quote"))</f>
        <v/>
      </c>
      <c r="V462" s="25">
        <f>IF(C462="","",C462)</f>
        <v/>
      </c>
      <c r="W462" s="24" t="n"/>
      <c r="X462" s="26" t="n"/>
      <c r="Y462" s="27">
        <f>IF(C462="","",H462+N(X462))</f>
        <v/>
      </c>
      <c r="Z462" s="29">
        <f>IFERROR(X462/Y462,"")</f>
        <v/>
      </c>
      <c r="AA462" s="26" t="n"/>
      <c r="AB462" s="26" t="n"/>
      <c r="AC462" s="26" t="n"/>
      <c r="AD462" s="26" t="n"/>
      <c r="AE462" s="27">
        <f>IF(C462="","",SUMIFS(tbl_Finance[Ex GST],tbl_Finance[Job Number],C462&amp;"",tbl_Finance[Cost Centre],"VIDEO"))</f>
        <v/>
      </c>
      <c r="AF462" s="29">
        <f>IFERROR(AE462/H462,"")</f>
        <v/>
      </c>
      <c r="AG462" s="27">
        <f>IF(C462="","",N(AA462)+N(AB462)+N(AC462)+N(AD462))</f>
        <v/>
      </c>
      <c r="AH462" s="27">
        <f>IF(C462="","",H462-AG462)</f>
        <v/>
      </c>
      <c r="AI462" s="29">
        <f>IFERROR(AH462/H462,"")</f>
        <v/>
      </c>
      <c r="AJ462" s="65" t="n"/>
      <c r="AK462" s="65" t="n"/>
      <c r="AL462" s="65" t="n"/>
      <c r="AM462" s="65" t="n"/>
      <c r="AN462" s="65" t="n"/>
      <c r="AO46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25021901</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inlineStr">
        <is>
          <t>https://cts.qwilr.com/25021901-DAFF-Technology-Standards-Evaluation-A7PRmNNwQ5Wn</t>
        </is>
      </c>
      <c r="M5" s="25">
        <f>IF(L5="","",HYPERLINK(IF(LEFT(L5,4)="http",L5,set_QwilrBase&amp;L5),"Open quote"))</f>
        <v/>
      </c>
      <c r="N5" s="26" t="n">
        <v>9875</v>
      </c>
      <c r="O5" s="26" t="n"/>
      <c r="P5" s="26" t="n"/>
      <c r="Q5" s="25">
        <f>IF(C5="","",IF(N(N5)+N(O5)+N(P5)=0,"Not split",IF(ROUND(N(N5)+N(O5)+N(P5),2)=ROUND(H5,2),"OK","MISMATCH")))</f>
        <v/>
      </c>
      <c r="R5" s="26" t="n"/>
      <c r="S5" s="26" t="n"/>
      <c r="T5" s="26" t="n"/>
      <c r="U5" s="27">
        <f>IF(C5="","",N(R5)+N(S5)+N(T5))</f>
        <v/>
      </c>
      <c r="V5" s="27">
        <f>IF(C5="","",H5-U5)</f>
        <v/>
      </c>
      <c r="W5" s="29">
        <f>IFERROR(V5/H5,"")</f>
        <v/>
      </c>
      <c r="X5" s="24" t="inlineStr">
        <is>
          <t>Revenue still in WIP</t>
        </is>
      </c>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25102701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inlineStr">
        <is>
          <t>https://cts.qwilr.com/25102701-DEWR-Studio-Upgrade-ESE25-143997-Rev-4-KTqWXx2QQz6f</t>
        </is>
      </c>
      <c r="M6" s="25">
        <f>IF(L6="","",HYPERLINK(IF(LEFT(L6,4)="http",L6,set_QwilrBase&amp;L6),"Open quote"))</f>
        <v/>
      </c>
      <c r="N6" s="26" t="n">
        <v>68273</v>
      </c>
      <c r="O6" s="26" t="n"/>
      <c r="P6" s="26" t="n"/>
      <c r="Q6" s="25">
        <f>IF(C6="","",IF(N(N6)+N(O6)+N(P6)=0,"Not split",IF(ROUND(N(N6)+N(O6)+N(P6),2)=ROUND(H6,2),"OK","MISMATCH")))</f>
        <v/>
      </c>
      <c r="R6" s="26" t="n"/>
      <c r="S6" s="26" t="n">
        <v>149604.26</v>
      </c>
      <c r="T6" s="26" t="n"/>
      <c r="U6" s="27">
        <f>IF(C6="","",N(R6)+N(S6)+N(T6))</f>
        <v/>
      </c>
      <c r="V6" s="27">
        <f>IF(C6="","",H6-U6)</f>
        <v/>
      </c>
      <c r="W6" s="29">
        <f>IFERROR(V6/H6,"")</f>
        <v/>
      </c>
      <c r="X6" s="24" t="inlineStr">
        <is>
          <t>Progress Claim 01</t>
        </is>
      </c>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26052002</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inlineStr">
        <is>
          <t>https://cts.qwilr.com/26052002-DeloitteBNE-Proposal-v1-0-Agx8wV5qTcax</t>
        </is>
      </c>
      <c r="M7" s="25">
        <f>IF(L7="","",HYPERLINK(IF(LEFT(L7,4)="http",L7,set_QwilrBase&amp;L7),"Open quote"))</f>
        <v/>
      </c>
      <c r="N7" s="26" t="n">
        <v>18262</v>
      </c>
      <c r="O7" s="26" t="n">
        <v>39444</v>
      </c>
      <c r="P7" s="26" t="n"/>
      <c r="Q7" s="25">
        <f>IF(C7="","",IF(N(N7)+N(O7)+N(P7)=0,"Not split",IF(ROUND(N(N7)+N(O7)+N(P7),2)=ROUND(H7,2),"OK","MISMATCH")))</f>
        <v/>
      </c>
      <c r="R7" s="26" t="n">
        <v>15600</v>
      </c>
      <c r="S7" s="26" t="n">
        <v>36400</v>
      </c>
      <c r="T7" s="26" t="n"/>
      <c r="U7" s="27">
        <f>IF(C7="","",N(R7)+N(S7)+N(T7))</f>
        <v/>
      </c>
      <c r="V7" s="27">
        <f>IF(C7="","",H7-U7)</f>
        <v/>
      </c>
      <c r="W7" s="29">
        <f>IFERROR(V7/H7,"")</f>
        <v/>
      </c>
      <c r="X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26052003</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inlineStr">
        <is>
          <t>https://cts.qwilr.com/26052003-DTTL-Costing-v1-0-0mJlWQroQJWo</t>
        </is>
      </c>
      <c r="M8" s="25">
        <f>IF(L8="","",HYPERLINK(IF(LEFT(L8,4)="http",L8,set_QwilrBase&amp;L8),"Open quote"))</f>
        <v/>
      </c>
      <c r="N8" s="26" t="n">
        <v>3054</v>
      </c>
      <c r="O8" s="26" t="n">
        <v>30885</v>
      </c>
      <c r="P8" s="26" t="n"/>
      <c r="Q8" s="25">
        <f>IF(C8="","",IF(N(N8)+N(O8)+N(P8)=0,"Not split",IF(ROUND(N(N8)+N(O8)+N(P8),2)=ROUND(H8,2),"OK","MISMATCH")))</f>
        <v/>
      </c>
      <c r="R8" s="26" t="n">
        <v>659.27</v>
      </c>
      <c r="S8" s="26" t="n">
        <v>24821.31</v>
      </c>
      <c r="T8" s="26" t="n"/>
      <c r="U8" s="27">
        <f>IF(C8="","",N(R8)+N(S8)+N(T8))</f>
        <v/>
      </c>
      <c r="V8" s="27">
        <f>IF(C8="","",H8-U8)</f>
        <v/>
      </c>
      <c r="W8" s="29">
        <f>IFERROR(V8/H8,"")</f>
        <v/>
      </c>
      <c r="X8" s="24" t="inlineStr">
        <is>
          <t>Variation for slot in PC's</t>
        </is>
      </c>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26051801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inlineStr">
        <is>
          <t>https://cts.qwilr.com/26051801-PwC-Costing-v3-0-HUL2JaYQCO39</t>
        </is>
      </c>
      <c r="M9" s="25">
        <f>IF(L9="","",HYPERLINK(IF(LEFT(L9,4)="http",L9,set_QwilrBase&amp;L9),"Open quote"))</f>
        <v/>
      </c>
      <c r="N9" s="26" t="n">
        <v>289</v>
      </c>
      <c r="O9" s="26" t="n">
        <v>11750</v>
      </c>
      <c r="P9" s="26" t="n"/>
      <c r="Q9" s="25">
        <f>IF(C9="","",IF(N(N9)+N(O9)+N(P9)=0,"Not split",IF(ROUND(N(N9)+N(O9)+N(P9),2)=ROUND(H9,2),"OK","MISMATCH")))</f>
        <v/>
      </c>
      <c r="R9" s="26" t="n">
        <v>237</v>
      </c>
      <c r="S9" s="26" t="n">
        <v>8810</v>
      </c>
      <c r="T9" s="26" t="n"/>
      <c r="U9" s="27">
        <f>IF(C9="","",N(R9)+N(S9)+N(T9))</f>
        <v/>
      </c>
      <c r="V9" s="27">
        <f>IF(C9="","",H9-U9)</f>
        <v/>
      </c>
      <c r="W9" s="29">
        <f>IFERROR(V9/H9,"")</f>
        <v/>
      </c>
      <c r="X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26043003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inlineStr">
        <is>
          <t>https://cts.qwilr.com/26043003-PwC-Costing-v1-0-LoPgcYilSIWh</t>
        </is>
      </c>
      <c r="M10" s="25">
        <f>IF(L10="","",HYPERLINK(IF(LEFT(L10,4)="http",L10,set_QwilrBase&amp;L10),"Open quote"))</f>
        <v/>
      </c>
      <c r="N10" s="26" t="n">
        <v>17766</v>
      </c>
      <c r="O10" s="26" t="n">
        <v>78301</v>
      </c>
      <c r="P10" s="26" t="n"/>
      <c r="Q10" s="25">
        <f>IF(C10="","",IF(N(N10)+N(O10)+N(P10)=0,"Not split",IF(ROUND(N(N10)+N(O10)+N(P10),2)=ROUND(H10,2),"OK","MISMATCH")))</f>
        <v/>
      </c>
      <c r="R10" s="26" t="n">
        <v>13439</v>
      </c>
      <c r="S10" s="26" t="n">
        <v>74537</v>
      </c>
      <c r="T10" s="26" t="n"/>
      <c r="U10" s="27">
        <f>IF(C10="","",N(R10)+N(S10)+N(T10))</f>
        <v/>
      </c>
      <c r="V10" s="27">
        <f>IF(C10="","",H10-U10)</f>
        <v/>
      </c>
      <c r="W10" s="29">
        <f>IFERROR(V10/H10,"")</f>
        <v/>
      </c>
      <c r="X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2606901</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inlineStr">
        <is>
          <t>https://app.qwilr.com/#/page-view/6a336995d5bfec1e1c7a08ed</t>
        </is>
      </c>
      <c r="M11" s="25">
        <f>IF(L11="","",HYPERLINK(IF(LEFT(L11,4)="http",L11,set_QwilrBase&amp;L11),"Open quote"))</f>
        <v/>
      </c>
      <c r="N11" s="26" t="n">
        <v>41</v>
      </c>
      <c r="O11" s="26" t="n">
        <v>520</v>
      </c>
      <c r="P11" s="26" t="n"/>
      <c r="Q11" s="25">
        <f>IF(C11="","",IF(N(N11)+N(O11)+N(P11)=0,"Not split",IF(ROUND(N(N11)+N(O11)+N(P11),2)=ROUND(H11,2),"OK","MISMATCH")))</f>
        <v/>
      </c>
      <c r="R11" s="26" t="n">
        <v>30.98</v>
      </c>
      <c r="S11" s="26" t="n">
        <v>389</v>
      </c>
      <c r="T11" s="26" t="n"/>
      <c r="U11" s="27">
        <f>IF(C11="","",N(R11)+N(S11)+N(T11))</f>
        <v/>
      </c>
      <c r="V11" s="27">
        <f>IF(C11="","",H11-U11)</f>
        <v/>
      </c>
      <c r="W11" s="29">
        <f>IFERROR(V11/H11,"")</f>
        <v/>
      </c>
      <c r="X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2602203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inlineStr">
        <is>
          <t>https://cts.qwilr.com/2602203-YSGStudio-Proposal-A-Yw8447MlTUK7</t>
        </is>
      </c>
      <c r="M12" s="25">
        <f>IF(L12="","",HYPERLINK(IF(LEFT(L12,4)="http",L12,set_QwilrBase&amp;L12),"Open quote"))</f>
        <v/>
      </c>
      <c r="N12" s="26" t="n">
        <v>2247.5</v>
      </c>
      <c r="O12" s="26" t="n"/>
      <c r="P12" s="26" t="n"/>
      <c r="Q12" s="25">
        <f>IF(C12="","",IF(N(N12)+N(O12)+N(P12)=0,"Not split",IF(ROUND(N(N12)+N(O12)+N(P12),2)=ROUND(H12,2),"OK","MISMATCH")))</f>
        <v/>
      </c>
      <c r="R12" s="26" t="n">
        <v>4840.96</v>
      </c>
      <c r="S12" s="26" t="n">
        <v>17621.33</v>
      </c>
      <c r="T12" s="26" t="n"/>
      <c r="U12" s="27">
        <f>IF(C12="","",N(R12)+N(S12)+N(T12))</f>
        <v/>
      </c>
      <c r="V12" s="27">
        <f>IF(C12="","",H12-U12)</f>
        <v/>
      </c>
      <c r="W12" s="29">
        <f>IFERROR(V12/H12,"")</f>
        <v/>
      </c>
      <c r="X12" s="24" t="inlineStr">
        <is>
          <t>Progress Claim 03</t>
        </is>
      </c>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25111203</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inlineStr">
        <is>
          <t>https://cts.qwilr.com/25111203-CoS-Proposal-v3-0-SyP1MwQ2TcKi</t>
        </is>
      </c>
      <c r="M13" s="25">
        <f>IF(L13="","",HYPERLINK(IF(LEFT(L13,4)="http",L13,set_QwilrBase&amp;L13),"Open quote"))</f>
        <v/>
      </c>
      <c r="N13" s="26" t="n"/>
      <c r="O13" s="26" t="n">
        <v>159150</v>
      </c>
      <c r="P13" s="26" t="n"/>
      <c r="Q13" s="25">
        <f>IF(C13="","",IF(N(N13)+N(O13)+N(P13)=0,"Not split",IF(ROUND(N(N13)+N(O13)+N(P13),2)=ROUND(H13,2),"OK","MISMATCH")))</f>
        <v/>
      </c>
      <c r="R13" s="26" t="n"/>
      <c r="S13" s="26" t="n">
        <v>149604.26</v>
      </c>
      <c r="T13" s="26" t="n"/>
      <c r="U13" s="27">
        <f>IF(C13="","",N(R13)+N(S13)+N(T13))</f>
        <v/>
      </c>
      <c r="V13" s="27">
        <f>IF(C13="","",H13-U13)</f>
        <v/>
      </c>
      <c r="W13" s="29">
        <f>IFERROR(V13/H13,"")</f>
        <v/>
      </c>
      <c r="X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26033003</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inlineStr">
        <is>
          <t>26033003-Deloitte-8PSQ-Dream-Big-Microphones-v1-0-E9jd4w9T62Y1</t>
        </is>
      </c>
      <c r="M14" s="25">
        <f>IF(L14="","",HYPERLINK(IF(LEFT(L14,4)="http",L14,set_QwilrBase&amp;L14),"Open quote"))</f>
        <v/>
      </c>
      <c r="N14" s="26" t="n">
        <v>5904</v>
      </c>
      <c r="O14" s="26" t="n">
        <v>21504</v>
      </c>
      <c r="P14" s="26" t="n"/>
      <c r="Q14" s="25">
        <f>IF(C14="","",IF(N(N14)+N(O14)+N(P14)=0,"Not split",IF(ROUND(N(N14)+N(O14)+N(P14),2)=ROUND(H14,2),"OK","MISMATCH")))</f>
        <v/>
      </c>
      <c r="R14" s="26" t="n">
        <v>4840.8</v>
      </c>
      <c r="S14" s="26" t="n">
        <v>17621.2</v>
      </c>
      <c r="T14" s="26" t="n"/>
      <c r="U14" s="27">
        <f>IF(C14="","",N(R14)+N(S14)+N(T14))</f>
        <v/>
      </c>
      <c r="V14" s="27">
        <f>IF(C14="","",H14-U14)</f>
        <v/>
      </c>
      <c r="W14" s="29">
        <f>IFERROR(V14/H14,"")</f>
        <v/>
      </c>
      <c r="X14" s="24" t="inlineStr">
        <is>
          <t>Invoiced in DTTL Additionals</t>
        </is>
      </c>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26033005</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inlineStr">
        <is>
          <t>26033005_Deloitte QQT &amp; 8PSQ_Crestron Connect Adaptor_v1.0</t>
        </is>
      </c>
      <c r="M15" s="25">
        <f>IF(L15="","",HYPERLINK(IF(LEFT(L15,4)="http",L15,set_QwilrBase&amp;L15),"Open quote"))</f>
        <v/>
      </c>
      <c r="N15" s="26" t="n">
        <v>4105</v>
      </c>
      <c r="O15" s="26" t="n">
        <v>16023</v>
      </c>
      <c r="P15" s="26" t="n"/>
      <c r="Q15" s="25">
        <f>IF(C15="","",IF(N(N15)+N(O15)+N(P15)=0,"Not split",IF(ROUND(N(N15)+N(O15)+N(P15),2)=ROUND(H15,2),"OK","MISMATCH")))</f>
        <v/>
      </c>
      <c r="R15" s="26" t="n">
        <v>3013.72</v>
      </c>
      <c r="S15" s="26" t="n">
        <v>13493.15</v>
      </c>
      <c r="T15" s="26" t="n"/>
      <c r="U15" s="27">
        <f>IF(C15="","",N(R15)+N(S15)+N(T15))</f>
        <v/>
      </c>
      <c r="V15" s="27">
        <f>IF(C15="","",H15-U15)</f>
        <v/>
      </c>
      <c r="W15" s="29">
        <f>IFERROR(V15/H15,"")</f>
        <v/>
      </c>
      <c r="X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26033006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inlineStr">
        <is>
          <t>26033006_Deloitte 8PSQ_Bluetooth Audio_v1.0</t>
        </is>
      </c>
      <c r="M16" s="25">
        <f>IF(L16="","",HYPERLINK(IF(LEFT(L16,4)="http",L16,set_QwilrBase&amp;L16),"Open quote"))</f>
        <v/>
      </c>
      <c r="N16" s="26" t="n">
        <v>2578</v>
      </c>
      <c r="O16" s="26" t="n">
        <v>2487</v>
      </c>
      <c r="P16" s="26" t="n"/>
      <c r="Q16" s="25">
        <f>IF(C16="","",IF(N(N16)+N(O16)+N(P16)=0,"Not split",IF(ROUND(N(N16)+N(O16)+N(P16),2)=ROUND(H16,2),"OK","MISMATCH")))</f>
        <v/>
      </c>
      <c r="R16" s="26" t="n">
        <v>2114</v>
      </c>
      <c r="S16" s="26" t="n">
        <v>2110</v>
      </c>
      <c r="T16" s="26" t="n"/>
      <c r="U16" s="27">
        <f>IF(C16="","",N(R16)+N(S16)+N(T16))</f>
        <v/>
      </c>
      <c r="V16" s="27">
        <f>IF(C16="","",H16-U16)</f>
        <v/>
      </c>
      <c r="W16" s="29">
        <f>IFERROR(V16/H16,"")</f>
        <v/>
      </c>
      <c r="X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26033007</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inlineStr">
        <is>
          <t>26033007_Deloitte QQT_Lv45 Seminar-Wheels repair_v1.0</t>
        </is>
      </c>
      <c r="M17" s="25">
        <f>IF(L17="","",HYPERLINK(IF(LEFT(L17,4)="http",L17,set_QwilrBase&amp;L17),"Open quote"))</f>
        <v/>
      </c>
      <c r="N17" s="26" t="n"/>
      <c r="O17" s="26" t="n">
        <v>354</v>
      </c>
      <c r="P17" s="26" t="n"/>
      <c r="Q17" s="25">
        <f>IF(C17="","",IF(N(N17)+N(O17)+N(P17)=0,"Not split",IF(ROUND(N(N17)+N(O17)+N(P17),2)=ROUND(H17,2),"OK","MISMATCH")))</f>
        <v/>
      </c>
      <c r="R17" s="26" t="n"/>
      <c r="S17" s="26" t="n">
        <v>289.42</v>
      </c>
      <c r="T17" s="26" t="n"/>
      <c r="U17" s="27">
        <f>IF(C17="","",N(R17)+N(S17)+N(T17))</f>
        <v/>
      </c>
      <c r="V17" s="27">
        <f>IF(C17="","",H17-U17)</f>
        <v/>
      </c>
      <c r="W17" s="29">
        <f>IFERROR(V17/H17,"")</f>
        <v/>
      </c>
      <c r="X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26051301</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inlineStr">
        <is>
          <t>https://cts.qwilr.com/26051301-HP-BAE-PhoneMod-v1-0-nL48O1eQt25h</t>
        </is>
      </c>
      <c r="M18" s="25">
        <f>IF(L18="","",HYPERLINK(IF(LEFT(L18,4)="http",L18,set_QwilrBase&amp;L18),"Open quote"))</f>
        <v/>
      </c>
      <c r="N18" s="26" t="n">
        <v>552</v>
      </c>
      <c r="O18" s="26" t="n">
        <v>609</v>
      </c>
      <c r="P18" s="26" t="n"/>
      <c r="Q18" s="25">
        <f>IF(C18="","",IF(N(N18)+N(O18)+N(P18)=0,"Not split",IF(ROUND(N(N18)+N(O18)+N(P18),2)=ROUND(H18,2),"OK","MISMATCH")))</f>
        <v/>
      </c>
      <c r="R18" s="26" t="n">
        <v>486</v>
      </c>
      <c r="S18" s="26" t="n">
        <v>402</v>
      </c>
      <c r="T18" s="26" t="n"/>
      <c r="U18" s="27">
        <f>IF(C18="","",N(R18)+N(S18)+N(T18))</f>
        <v/>
      </c>
      <c r="V18" s="27">
        <f>IF(C18="","",H18-U18)</f>
        <v/>
      </c>
      <c r="W18" s="29">
        <f>IFERROR(V18/H18,"")</f>
        <v/>
      </c>
      <c r="X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26061501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inlineStr">
        <is>
          <t>https://cts.qwilr.com/26061501-DTTL-Costing-v1-0-3HdQMOES9eDo</t>
        </is>
      </c>
      <c r="M19" s="25">
        <f>IF(L19="","",HYPERLINK(IF(LEFT(L19,4)="http",L19,set_QwilrBase&amp;L19),"Open quote"))</f>
        <v/>
      </c>
      <c r="N19" s="26" t="n">
        <v>1639</v>
      </c>
      <c r="O19" s="26" t="n">
        <v>2251</v>
      </c>
      <c r="P19" s="26" t="n"/>
      <c r="Q19" s="25">
        <f>IF(C19="","",IF(N(N19)+N(O19)+N(P19)=0,"Not split",IF(ROUND(N(N19)+N(O19)+N(P19),2)=ROUND(H19,2),"OK","MISMATCH")))</f>
        <v/>
      </c>
      <c r="R19" s="26" t="n">
        <v>1344.2</v>
      </c>
      <c r="S19" s="26" t="n">
        <v>1688.07</v>
      </c>
      <c r="T19" s="26" t="n"/>
      <c r="U19" s="27">
        <f>IF(C19="","",N(R19)+N(S19)+N(T19))</f>
        <v/>
      </c>
      <c r="V19" s="27">
        <f>IF(C19="","",H19-U19)</f>
        <v/>
      </c>
      <c r="W19" s="29">
        <f>IFERROR(V19/H19,"")</f>
        <v/>
      </c>
      <c r="X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2605605</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inlineStr">
        <is>
          <t>https://cts.qwilr.com/2605605-DTTL-Hobart-v3-2-6eP2dgISRMec</t>
        </is>
      </c>
      <c r="M20" s="25">
        <f>IF(L20="","",HYPERLINK(IF(LEFT(L20,4)="http",L20,set_QwilrBase&amp;L20),"Open quote"))</f>
        <v/>
      </c>
      <c r="N20" s="26" t="n">
        <v>12985</v>
      </c>
      <c r="O20" s="26" t="n">
        <v>47362</v>
      </c>
      <c r="P20" s="26" t="n"/>
      <c r="Q20" s="25">
        <f>IF(C20="","",IF(N(N20)+N(O20)+N(P20)=0,"Not split",IF(ROUND(N(N20)+N(O20)+N(P20),2)=ROUND(H20,2),"OK","MISMATCH")))</f>
        <v/>
      </c>
      <c r="R20" s="26" t="n">
        <v>10485</v>
      </c>
      <c r="S20" s="26" t="n">
        <v>25392</v>
      </c>
      <c r="T20" s="26" t="n"/>
      <c r="U20" s="27">
        <f>IF(C20="","",N(R20)+N(S20)+N(T20))</f>
        <v/>
      </c>
      <c r="V20" s="27">
        <f>IF(C20="","",H20-U20)</f>
        <v/>
      </c>
      <c r="W20" s="29">
        <f>IFERROR(V20/H20,"")</f>
        <v/>
      </c>
      <c r="X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26072101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inlineStr">
        <is>
          <t>https://corptechservices.sharepoint.com/:b:/s/TeamIntegration/IQBagqp7IMy9QaQ1UUIv4eRPASus3A84m0lYjrSHFwHEyt0?e=9PLTPA</t>
        </is>
      </c>
      <c r="M21" s="25">
        <f>IF(L21="","",HYPERLINK(IF(LEFT(L21,4)="http",L21,set_QwilrBase&amp;L21),"Open quote"))</f>
        <v/>
      </c>
      <c r="N21" s="26" t="n">
        <v>920</v>
      </c>
      <c r="O21" s="26" t="n">
        <v>5217</v>
      </c>
      <c r="P21" s="26" t="n"/>
      <c r="Q21" s="25">
        <f>IF(C21="","",IF(N(N21)+N(O21)+N(P21)=0,"Not split",IF(ROUND(N(N21)+N(O21)+N(P21),2)=ROUND(H21,2),"OK","MISMATCH")))</f>
        <v/>
      </c>
      <c r="R21" s="26" t="n">
        <v>549</v>
      </c>
      <c r="S21" s="26" t="n">
        <v>3913</v>
      </c>
      <c r="T21" s="26" t="n"/>
      <c r="U21" s="27">
        <f>IF(C21="","",N(R21)+N(S21)+N(T21))</f>
        <v/>
      </c>
      <c r="V21" s="27">
        <f>IF(C21="","",H21-U21)</f>
        <v/>
      </c>
      <c r="W21" s="29">
        <f>IFERROR(V21/H21,"")</f>
        <v/>
      </c>
      <c r="X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2606101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inlineStr">
        <is>
          <t>https://cts.qwilr.com/2606101-APA-Quotation-v1-0-QyyRipuR5uzy</t>
        </is>
      </c>
      <c r="M22" s="25">
        <f>IF(L22="","",HYPERLINK(IF(LEFT(L22,4)="http",L22,set_QwilrBase&amp;L22),"Open quote"))</f>
        <v/>
      </c>
      <c r="N22" s="26" t="n"/>
      <c r="O22" s="26" t="n"/>
      <c r="P22" s="26" t="n">
        <v>4205</v>
      </c>
      <c r="Q22" s="25">
        <f>IF(C22="","",IF(N(N22)+N(O22)+N(P22)=0,"Not split",IF(ROUND(N(N22)+N(O22)+N(P22),2)=ROUND(H22,2),"OK","MISMATCH")))</f>
        <v/>
      </c>
      <c r="R22" s="26" t="n"/>
      <c r="S22" s="26" t="n"/>
      <c r="T22" s="26" t="n">
        <v>3364</v>
      </c>
      <c r="U22" s="27">
        <f>IF(C22="","",N(R22)+N(S22)+N(T22))</f>
        <v/>
      </c>
      <c r="V22" s="27">
        <f>IF(C22="","",H22-U22)</f>
        <v/>
      </c>
      <c r="W22" s="29">
        <f>IFERROR(V22/H22,"")</f>
        <v/>
      </c>
      <c r="X22" s="24" t="inlineStr">
        <is>
          <t>01/03/2027 to 29/02/2028</t>
        </is>
      </c>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26071304</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inlineStr">
        <is>
          <t>https://cts.qwilr.com/26071304-YSG-Costing-v1-0-FTAgpF5RoWQK</t>
        </is>
      </c>
      <c r="M23" s="25">
        <f>IF(L23="","",HYPERLINK(IF(LEFT(L23,4)="http",L23,set_QwilrBase&amp;L23),"Open quote"))</f>
        <v/>
      </c>
      <c r="N23" s="26" t="n">
        <v>4462</v>
      </c>
      <c r="O23" s="26" t="n">
        <v>4702</v>
      </c>
      <c r="P23" s="26" t="n"/>
      <c r="Q23" s="25">
        <f>IF(C23="","",IF(N(N23)+N(O23)+N(P23)=0,"Not split",IF(ROUND(N(N23)+N(O23)+N(P23),2)=ROUND(H23,2),"OK","MISMATCH")))</f>
        <v/>
      </c>
      <c r="R23" s="26" t="n">
        <v>3659</v>
      </c>
      <c r="S23" s="26" t="n">
        <v>3327.49</v>
      </c>
      <c r="T23" s="26" t="n"/>
      <c r="U23" s="27">
        <f>IF(C23="","",N(R23)+N(S23)+N(T23))</f>
        <v/>
      </c>
      <c r="V23" s="27">
        <f>IF(C23="","",H23-U23)</f>
        <v/>
      </c>
      <c r="W23" s="29">
        <f>IFERROR(V23/H23,"")</f>
        <v/>
      </c>
      <c r="X23" s="24" t="inlineStr">
        <is>
          <t>Invoice 1/2 Equipment only</t>
        </is>
      </c>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2604704</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inlineStr">
        <is>
          <t>https://cts.qwilr.com/2604704-AwareSuper-Proposal-v4-0-ilNUnNxKQIui</t>
        </is>
      </c>
      <c r="M24" s="25">
        <f>IF(L24="","",HYPERLINK(IF(LEFT(L24,4)="http",L24,set_QwilrBase&amp;L24),"Open quote"))</f>
        <v/>
      </c>
      <c r="N24" s="26" t="n"/>
      <c r="O24" s="26" t="n"/>
      <c r="P24" s="26" t="n"/>
      <c r="Q24" s="25">
        <f>IF(C24="","",IF(N(N24)+N(O24)+N(P24)=0,"Not split",IF(ROUND(N(N24)+N(O24)+N(P24),2)=ROUND(H24,2),"OK","MISMATCH")))</f>
        <v/>
      </c>
      <c r="R24" s="26" t="n"/>
      <c r="S24" s="26" t="n">
        <v>177457.98</v>
      </c>
      <c r="T24" s="26" t="n"/>
      <c r="U24" s="27">
        <f>IF(C24="","",N(R24)+N(S24)+N(T24))</f>
        <v/>
      </c>
      <c r="V24" s="27">
        <f>IF(C24="","",H24-U24)</f>
        <v/>
      </c>
      <c r="W24" s="29">
        <f>IFERROR(V24/H24,"")</f>
        <v/>
      </c>
      <c r="X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26052102</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inlineStr">
        <is>
          <t>https://cts.qwilr.com/26052102-HP-D3-AustracPhoneMod-v3-0-PO-Received-4b9uvVwXSiqQ</t>
        </is>
      </c>
      <c r="M25" s="25">
        <f>IF(L25="","",HYPERLINK(IF(LEFT(L25,4)="http",L25,set_QwilrBase&amp;L25),"Open quote"))</f>
        <v/>
      </c>
      <c r="N25" s="26" t="n">
        <v>8009</v>
      </c>
      <c r="O25" s="26" t="n">
        <v>37900</v>
      </c>
      <c r="P25" s="26" t="n"/>
      <c r="Q25" s="25">
        <f>IF(C25="","",IF(N(N25)+N(O25)+N(P25)=0,"Not split",IF(ROUND(N(N25)+N(O25)+N(P25),2)=ROUND(H25,2),"OK","MISMATCH")))</f>
        <v/>
      </c>
      <c r="R25" s="26" t="n">
        <v>6567</v>
      </c>
      <c r="S25" s="26" t="n">
        <v>28409</v>
      </c>
      <c r="T25" s="26" t="n"/>
      <c r="U25" s="27">
        <f>IF(C25="","",N(R25)+N(S25)+N(T25))</f>
        <v/>
      </c>
      <c r="V25" s="27">
        <f>IF(C25="","",H25-U25)</f>
        <v/>
      </c>
      <c r="W25" s="29">
        <f>IFERROR(V25/H25,"")</f>
        <v/>
      </c>
      <c r="X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26052701</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inlineStr">
        <is>
          <t>https://cts.qwilr.com/26052701-Aware-Costing-v5-0-CGHaKT8iSxmf</t>
        </is>
      </c>
      <c r="M26" s="25">
        <f>IF(L26="","",HYPERLINK(IF(LEFT(L26,4)="http",L26,set_QwilrBase&amp;L26),"Open quote"))</f>
        <v/>
      </c>
      <c r="N26" s="26" t="n"/>
      <c r="O26" s="26" t="n"/>
      <c r="P26" s="26" t="n"/>
      <c r="Q26" s="25">
        <f>IF(C26="","",IF(N(N26)+N(O26)+N(P26)=0,"Not split",IF(ROUND(N(N26)+N(O26)+N(P26),2)=ROUND(H26,2),"OK","MISMATCH")))</f>
        <v/>
      </c>
      <c r="R26" s="26" t="n"/>
      <c r="S26" s="26" t="n">
        <v>8184.26</v>
      </c>
      <c r="T26" s="26" t="n"/>
      <c r="U26" s="27">
        <f>IF(C26="","",N(R26)+N(S26)+N(T26))</f>
        <v/>
      </c>
      <c r="V26" s="27">
        <f>IF(C26="","",H26-U26)</f>
        <v/>
      </c>
      <c r="W26" s="29">
        <f>IFERROR(V26/H26,"")</f>
        <v/>
      </c>
      <c r="X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26062902</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inlineStr">
        <is>
          <t>https://cts.qwilr.com/26062902-Aware-Costing-v2-0-Accepted-PDF-wrF7KzoUT8OK</t>
        </is>
      </c>
      <c r="M27" s="25">
        <f>IF(L27="","",HYPERLINK(IF(LEFT(L27,4)="http",L27,set_QwilrBase&amp;L27),"Open quote"))</f>
        <v/>
      </c>
      <c r="N27" s="26" t="n">
        <v>2707</v>
      </c>
      <c r="O27" s="26" t="n">
        <v>3489</v>
      </c>
      <c r="P27" s="26" t="n"/>
      <c r="Q27" s="25">
        <f>IF(C27="","",IF(N(N27)+N(O27)+N(P27)=0,"Not split",IF(ROUND(N(N27)+N(O27)+N(P27),2)=ROUND(H27,2),"OK","MISMATCH")))</f>
        <v/>
      </c>
      <c r="R27" s="26" t="n">
        <v>2140</v>
      </c>
      <c r="S27" s="26" t="n">
        <v>2604.9</v>
      </c>
      <c r="T27" s="26" t="n"/>
      <c r="U27" s="27">
        <f>IF(C27="","",N(R27)+N(S27)+N(T27))</f>
        <v/>
      </c>
      <c r="V27" s="27">
        <f>IF(C27="","",H27-U27)</f>
        <v/>
      </c>
      <c r="W27" s="29">
        <f>IFERROR(V27/H27,"")</f>
        <v/>
      </c>
      <c r="X27" s="24" t="inlineStr">
        <is>
          <t>Invoice 1/2 Equipment only</t>
        </is>
      </c>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26062901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inlineStr">
        <is>
          <t>https://corptechservices.sharepoint.com/:b:/s/TeamIntegration/IQAz4MvaxJkBRIexJJi1p2LTAVDk9PznGqnT-q1tS0i5o00?e=BH3DeT</t>
        </is>
      </c>
      <c r="M28" s="25">
        <f>IF(L28="","",HYPERLINK(IF(LEFT(L28,4)="http",L28,set_QwilrBase&amp;L28),"Open quote"))</f>
        <v/>
      </c>
      <c r="N28" s="26" t="n">
        <v>4631</v>
      </c>
      <c r="O28" s="26" t="n"/>
      <c r="P28" s="26" t="n"/>
      <c r="Q28" s="25">
        <f>IF(C28="","",IF(N(N28)+N(O28)+N(P28)=0,"Not split",IF(ROUND(N(N28)+N(O28)+N(P28),2)=ROUND(H28,2),"OK","MISMATCH")))</f>
        <v/>
      </c>
      <c r="R28" s="26" t="n">
        <v>3775.2</v>
      </c>
      <c r="S28" s="26" t="n"/>
      <c r="T28" s="26" t="n"/>
      <c r="U28" s="27">
        <f>IF(C28="","",N(R28)+N(S28)+N(T28))</f>
        <v/>
      </c>
      <c r="V28" s="27">
        <f>IF(C28="","",H28-U28)</f>
        <v/>
      </c>
      <c r="W28" s="29">
        <f>IFERROR(V28/H28,"")</f>
        <v/>
      </c>
      <c r="X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26081901</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inlineStr">
        <is>
          <t>https://cts.qwilr.com/26081901-AusPayNet-Quotation-v1-0-3RSgmysoSnit</t>
        </is>
      </c>
      <c r="M29" s="25">
        <f>IF(L29="","",HYPERLINK(IF(LEFT(L29,4)="http",L29,set_QwilrBase&amp;L29),"Open quote"))</f>
        <v/>
      </c>
      <c r="N29" s="26" t="n"/>
      <c r="O29" s="26" t="n"/>
      <c r="P29" s="26" t="n">
        <v>993</v>
      </c>
      <c r="Q29" s="25">
        <f>IF(C29="","",IF(N(N29)+N(O29)+N(P29)=0,"Not split",IF(ROUND(N(N29)+N(O29)+N(P29),2)=ROUND(H29,2),"OK","MISMATCH")))</f>
        <v/>
      </c>
      <c r="R29" s="26" t="n"/>
      <c r="S29" s="26" t="n">
        <v>745</v>
      </c>
      <c r="T29" s="26" t="n"/>
      <c r="U29" s="27">
        <f>IF(C29="","",N(R29)+N(S29)+N(T29))</f>
        <v/>
      </c>
      <c r="V29" s="27">
        <f>IF(C29="","",H29-U29)</f>
        <v/>
      </c>
      <c r="W29" s="29">
        <f>IFERROR(V29/H29,"")</f>
        <v/>
      </c>
      <c r="X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26071601</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inlineStr">
        <is>
          <t>https://cts.qwilr.com/26071601-Aware-Costing-v1-0-bOvhpPx4TTut</t>
        </is>
      </c>
      <c r="M30" s="25">
        <f>IF(L30="","",HYPERLINK(IF(LEFT(L30,4)="http",L30,set_QwilrBase&amp;L30),"Open quote"))</f>
        <v/>
      </c>
      <c r="N30" s="26" t="n">
        <v>903</v>
      </c>
      <c r="O30" s="26" t="n">
        <v>2054</v>
      </c>
      <c r="P30" s="26" t="n"/>
      <c r="Q30" s="25">
        <f>IF(C30="","",IF(N(N30)+N(O30)+N(P30)=0,"Not split",IF(ROUND(N(N30)+N(O30)+N(P30),2)=ROUND(H30,2),"OK","MISMATCH")))</f>
        <v/>
      </c>
      <c r="R30" s="26" t="n">
        <v>740</v>
      </c>
      <c r="S30" s="26" t="n">
        <v>1540</v>
      </c>
      <c r="T30" s="26" t="n"/>
      <c r="U30" s="27">
        <f>IF(C30="","",N(R30)+N(S30)+N(T30))</f>
        <v/>
      </c>
      <c r="V30" s="27">
        <f>IF(C30="","",H30-U30)</f>
        <v/>
      </c>
      <c r="W30" s="29">
        <f>IFERROR(V30/H30,"")</f>
        <v/>
      </c>
      <c r="X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26062503</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inlineStr">
        <is>
          <t>CTS order form - 24.16 UC Engine Reimaging</t>
        </is>
      </c>
      <c r="M31" s="25">
        <f>IF(L31="","",HYPERLINK(IF(LEFT(L31,4)="http",L31,set_QwilrBase&amp;L31),"Open quote"))</f>
        <v/>
      </c>
      <c r="N31" s="26" t="n">
        <v>500</v>
      </c>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25070702</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25">
        <f>IF(L32="","",HYPERLINK(IF(LEFT(L32,4)="http",L32,set_QwilrBase&amp;L32),"Open quote"))</f>
        <v/>
      </c>
      <c r="N32" s="26" t="n"/>
      <c r="O32" s="26" t="n"/>
      <c r="P32" s="26" t="n"/>
      <c r="Q32" s="25">
        <f>IF(C32="","",IF(N(N32)+N(O32)+N(P32)=0,"Not split",IF(ROUND(N(N32)+N(O32)+N(P32),2)=ROUND(H32,2),"OK","MISMATCH")))</f>
        <v/>
      </c>
      <c r="R32" s="26" t="n"/>
      <c r="S32" s="26" t="n">
        <v>3297.31</v>
      </c>
      <c r="T32" s="26" t="n"/>
      <c r="U32" s="27">
        <f>IF(C32="","",N(R32)+N(S32)+N(T32))</f>
        <v/>
      </c>
      <c r="V32" s="27">
        <f>IF(C32="","",H32-U32)</f>
        <v/>
      </c>
      <c r="W32" s="29">
        <f>IFERROR(V32/H32,"")</f>
        <v/>
      </c>
      <c r="X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5">
        <f>IF(L405="","",HYPERLINK(IF(LEFT(L405,4)="http",L405,set_QwilrBase&amp;L405),"Open quote"))</f>
        <v/>
      </c>
      <c r="N405" s="26" t="n"/>
      <c r="O405" s="26" t="n"/>
      <c r="P405" s="26" t="n"/>
      <c r="Q405" s="25">
        <f>IF(C405="","",IF(N(N405)+N(O405)+N(P405)=0,"Not split",IF(ROUND(N(N405)+N(O405)+N(P405),2)=ROUND(H405,2),"OK","MISMATCH")))</f>
        <v/>
      </c>
      <c r="R405" s="26" t="n"/>
      <c r="S405" s="26" t="n"/>
      <c r="T405" s="26" t="n"/>
      <c r="U405" s="27">
        <f>IF(C405="","",N(R405)+N(S405)+N(T405))</f>
        <v/>
      </c>
      <c r="V405" s="27">
        <f>IF(C405="","",H405-U405)</f>
        <v/>
      </c>
      <c r="W405" s="29">
        <f>IFERROR(V405/H405,"")</f>
        <v/>
      </c>
      <c r="X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5">
        <f>IF(L406="","",HYPERLINK(IF(LEFT(L406,4)="http",L406,set_QwilrBase&amp;L406),"Open quote"))</f>
        <v/>
      </c>
      <c r="N406" s="26" t="n"/>
      <c r="O406" s="26" t="n"/>
      <c r="P406" s="26" t="n"/>
      <c r="Q406" s="25">
        <f>IF(C406="","",IF(N(N406)+N(O406)+N(P406)=0,"Not split",IF(ROUND(N(N406)+N(O406)+N(P406),2)=ROUND(H406,2),"OK","MISMATCH")))</f>
        <v/>
      </c>
      <c r="R406" s="26" t="n"/>
      <c r="S406" s="26" t="n"/>
      <c r="T406" s="26" t="n"/>
      <c r="U406" s="27">
        <f>IF(C406="","",N(R406)+N(S406)+N(T406))</f>
        <v/>
      </c>
      <c r="V406" s="27">
        <f>IF(C406="","",H406-U406)</f>
        <v/>
      </c>
      <c r="W406" s="29">
        <f>IFERROR(V406/H406,"")</f>
        <v/>
      </c>
      <c r="X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5">
        <f>IF(L407="","",HYPERLINK(IF(LEFT(L407,4)="http",L407,set_QwilrBase&amp;L407),"Open quote"))</f>
        <v/>
      </c>
      <c r="N407" s="26" t="n"/>
      <c r="O407" s="26" t="n"/>
      <c r="P407" s="26" t="n"/>
      <c r="Q407" s="25">
        <f>IF(C407="","",IF(N(N407)+N(O407)+N(P407)=0,"Not split",IF(ROUND(N(N407)+N(O407)+N(P407),2)=ROUND(H407,2),"OK","MISMATCH")))</f>
        <v/>
      </c>
      <c r="R407" s="26" t="n"/>
      <c r="S407" s="26" t="n"/>
      <c r="T407" s="26" t="n"/>
      <c r="U407" s="27">
        <f>IF(C407="","",N(R407)+N(S407)+N(T407))</f>
        <v/>
      </c>
      <c r="V407" s="27">
        <f>IF(C407="","",H407-U407)</f>
        <v/>
      </c>
      <c r="W407" s="29">
        <f>IFERROR(V407/H407,"")</f>
        <v/>
      </c>
      <c r="X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5">
        <f>IF(L408="","",HYPERLINK(IF(LEFT(L408,4)="http",L408,set_QwilrBase&amp;L408),"Open quote"))</f>
        <v/>
      </c>
      <c r="N408" s="26" t="n"/>
      <c r="O408" s="26" t="n"/>
      <c r="P408" s="26" t="n"/>
      <c r="Q408" s="25">
        <f>IF(C408="","",IF(N(N408)+N(O408)+N(P408)=0,"Not split",IF(ROUND(N(N408)+N(O408)+N(P408),2)=ROUND(H408,2),"OK","MISMATCH")))</f>
        <v/>
      </c>
      <c r="R408" s="26" t="n"/>
      <c r="S408" s="26" t="n"/>
      <c r="T408" s="26" t="n"/>
      <c r="U408" s="27">
        <f>IF(C408="","",N(R408)+N(S408)+N(T408))</f>
        <v/>
      </c>
      <c r="V408" s="27">
        <f>IF(C408="","",H408-U408)</f>
        <v/>
      </c>
      <c r="W408" s="29">
        <f>IFERROR(V408/H408,"")</f>
        <v/>
      </c>
      <c r="X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5">
        <f>IF(L409="","",HYPERLINK(IF(LEFT(L409,4)="http",L409,set_QwilrBase&amp;L409),"Open quote"))</f>
        <v/>
      </c>
      <c r="N409" s="26" t="n"/>
      <c r="O409" s="26" t="n"/>
      <c r="P409" s="26" t="n"/>
      <c r="Q409" s="25">
        <f>IF(C409="","",IF(N(N409)+N(O409)+N(P409)=0,"Not split",IF(ROUND(N(N409)+N(O409)+N(P409),2)=ROUND(H409,2),"OK","MISMATCH")))</f>
        <v/>
      </c>
      <c r="R409" s="26" t="n"/>
      <c r="S409" s="26" t="n"/>
      <c r="T409" s="26" t="n"/>
      <c r="U409" s="27">
        <f>IF(C409="","",N(R409)+N(S409)+N(T409))</f>
        <v/>
      </c>
      <c r="V409" s="27">
        <f>IF(C409="","",H409-U409)</f>
        <v/>
      </c>
      <c r="W409" s="29">
        <f>IFERROR(V409/H409,"")</f>
        <v/>
      </c>
      <c r="X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5">
        <f>IF(L410="","",HYPERLINK(IF(LEFT(L410,4)="http",L410,set_QwilrBase&amp;L410),"Open quote"))</f>
        <v/>
      </c>
      <c r="N410" s="26" t="n"/>
      <c r="O410" s="26" t="n"/>
      <c r="P410" s="26" t="n"/>
      <c r="Q410" s="25">
        <f>IF(C410="","",IF(N(N410)+N(O410)+N(P410)=0,"Not split",IF(ROUND(N(N410)+N(O410)+N(P410),2)=ROUND(H410,2),"OK","MISMATCH")))</f>
        <v/>
      </c>
      <c r="R410" s="26" t="n"/>
      <c r="S410" s="26" t="n"/>
      <c r="T410" s="26" t="n"/>
      <c r="U410" s="27">
        <f>IF(C410="","",N(R410)+N(S410)+N(T410))</f>
        <v/>
      </c>
      <c r="V410" s="27">
        <f>IF(C410="","",H410-U410)</f>
        <v/>
      </c>
      <c r="W410" s="29">
        <f>IFERROR(V410/H410,"")</f>
        <v/>
      </c>
      <c r="X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5">
        <f>IF(L411="","",HYPERLINK(IF(LEFT(L411,4)="http",L411,set_QwilrBase&amp;L411),"Open quote"))</f>
        <v/>
      </c>
      <c r="N411" s="26" t="n"/>
      <c r="O411" s="26" t="n"/>
      <c r="P411" s="26" t="n"/>
      <c r="Q411" s="25">
        <f>IF(C411="","",IF(N(N411)+N(O411)+N(P411)=0,"Not split",IF(ROUND(N(N411)+N(O411)+N(P411),2)=ROUND(H411,2),"OK","MISMATCH")))</f>
        <v/>
      </c>
      <c r="R411" s="26" t="n"/>
      <c r="S411" s="26" t="n"/>
      <c r="T411" s="26" t="n"/>
      <c r="U411" s="27">
        <f>IF(C411="","",N(R411)+N(S411)+N(T411))</f>
        <v/>
      </c>
      <c r="V411" s="27">
        <f>IF(C411="","",H411-U411)</f>
        <v/>
      </c>
      <c r="W411" s="29">
        <f>IFERROR(V411/H411,"")</f>
        <v/>
      </c>
      <c r="X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5">
        <f>IF(L412="","",HYPERLINK(IF(LEFT(L412,4)="http",L412,set_QwilrBase&amp;L412),"Open quote"))</f>
        <v/>
      </c>
      <c r="N412" s="26" t="n"/>
      <c r="O412" s="26" t="n"/>
      <c r="P412" s="26" t="n"/>
      <c r="Q412" s="25">
        <f>IF(C412="","",IF(N(N412)+N(O412)+N(P412)=0,"Not split",IF(ROUND(N(N412)+N(O412)+N(P412),2)=ROUND(H412,2),"OK","MISMATCH")))</f>
        <v/>
      </c>
      <c r="R412" s="26" t="n"/>
      <c r="S412" s="26" t="n"/>
      <c r="T412" s="26" t="n"/>
      <c r="U412" s="27">
        <f>IF(C412="","",N(R412)+N(S412)+N(T412))</f>
        <v/>
      </c>
      <c r="V412" s="27">
        <f>IF(C412="","",H412-U412)</f>
        <v/>
      </c>
      <c r="W412" s="29">
        <f>IFERROR(V412/H412,"")</f>
        <v/>
      </c>
      <c r="X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5">
        <f>IF(L413="","",HYPERLINK(IF(LEFT(L413,4)="http",L413,set_QwilrBase&amp;L413),"Open quote"))</f>
        <v/>
      </c>
      <c r="N413" s="26" t="n"/>
      <c r="O413" s="26" t="n"/>
      <c r="P413" s="26" t="n"/>
      <c r="Q413" s="25">
        <f>IF(C413="","",IF(N(N413)+N(O413)+N(P413)=0,"Not split",IF(ROUND(N(N413)+N(O413)+N(P413),2)=ROUND(H413,2),"OK","MISMATCH")))</f>
        <v/>
      </c>
      <c r="R413" s="26" t="n"/>
      <c r="S413" s="26" t="n"/>
      <c r="T413" s="26" t="n"/>
      <c r="U413" s="27">
        <f>IF(C413="","",N(R413)+N(S413)+N(T413))</f>
        <v/>
      </c>
      <c r="V413" s="27">
        <f>IF(C413="","",H413-U413)</f>
        <v/>
      </c>
      <c r="W413" s="29">
        <f>IFERROR(V413/H413,"")</f>
        <v/>
      </c>
      <c r="X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5">
        <f>IF(L414="","",HYPERLINK(IF(LEFT(L414,4)="http",L414,set_QwilrBase&amp;L414),"Open quote"))</f>
        <v/>
      </c>
      <c r="N414" s="26" t="n"/>
      <c r="O414" s="26" t="n"/>
      <c r="P414" s="26" t="n"/>
      <c r="Q414" s="25">
        <f>IF(C414="","",IF(N(N414)+N(O414)+N(P414)=0,"Not split",IF(ROUND(N(N414)+N(O414)+N(P414),2)=ROUND(H414,2),"OK","MISMATCH")))</f>
        <v/>
      </c>
      <c r="R414" s="26" t="n"/>
      <c r="S414" s="26" t="n"/>
      <c r="T414" s="26" t="n"/>
      <c r="U414" s="27">
        <f>IF(C414="","",N(R414)+N(S414)+N(T414))</f>
        <v/>
      </c>
      <c r="V414" s="27">
        <f>IF(C414="","",H414-U414)</f>
        <v/>
      </c>
      <c r="W414" s="29">
        <f>IFERROR(V414/H414,"")</f>
        <v/>
      </c>
      <c r="X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5">
        <f>IF(L415="","",HYPERLINK(IF(LEFT(L415,4)="http",L415,set_QwilrBase&amp;L415),"Open quote"))</f>
        <v/>
      </c>
      <c r="N415" s="26" t="n"/>
      <c r="O415" s="26" t="n"/>
      <c r="P415" s="26" t="n"/>
      <c r="Q415" s="25">
        <f>IF(C415="","",IF(N(N415)+N(O415)+N(P415)=0,"Not split",IF(ROUND(N(N415)+N(O415)+N(P415),2)=ROUND(H415,2),"OK","MISMATCH")))</f>
        <v/>
      </c>
      <c r="R415" s="26" t="n"/>
      <c r="S415" s="26" t="n"/>
      <c r="T415" s="26" t="n"/>
      <c r="U415" s="27">
        <f>IF(C415="","",N(R415)+N(S415)+N(T415))</f>
        <v/>
      </c>
      <c r="V415" s="27">
        <f>IF(C415="","",H415-U415)</f>
        <v/>
      </c>
      <c r="W415" s="29">
        <f>IFERROR(V415/H415,"")</f>
        <v/>
      </c>
      <c r="X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5">
        <f>IF(L416="","",HYPERLINK(IF(LEFT(L416,4)="http",L416,set_QwilrBase&amp;L416),"Open quote"))</f>
        <v/>
      </c>
      <c r="N416" s="26" t="n"/>
      <c r="O416" s="26" t="n"/>
      <c r="P416" s="26" t="n"/>
      <c r="Q416" s="25">
        <f>IF(C416="","",IF(N(N416)+N(O416)+N(P416)=0,"Not split",IF(ROUND(N(N416)+N(O416)+N(P416),2)=ROUND(H416,2),"OK","MISMATCH")))</f>
        <v/>
      </c>
      <c r="R416" s="26" t="n"/>
      <c r="S416" s="26" t="n"/>
      <c r="T416" s="26" t="n"/>
      <c r="U416" s="27">
        <f>IF(C416="","",N(R416)+N(S416)+N(T416))</f>
        <v/>
      </c>
      <c r="V416" s="27">
        <f>IF(C416="","",H416-U416)</f>
        <v/>
      </c>
      <c r="W416" s="29">
        <f>IFERROR(V416/H416,"")</f>
        <v/>
      </c>
      <c r="X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5">
        <f>IF(L417="","",HYPERLINK(IF(LEFT(L417,4)="http",L417,set_QwilrBase&amp;L417),"Open quote"))</f>
        <v/>
      </c>
      <c r="N417" s="26" t="n"/>
      <c r="O417" s="26" t="n"/>
      <c r="P417" s="26" t="n"/>
      <c r="Q417" s="25">
        <f>IF(C417="","",IF(N(N417)+N(O417)+N(P417)=0,"Not split",IF(ROUND(N(N417)+N(O417)+N(P417),2)=ROUND(H417,2),"OK","MISMATCH")))</f>
        <v/>
      </c>
      <c r="R417" s="26" t="n"/>
      <c r="S417" s="26" t="n"/>
      <c r="T417" s="26" t="n"/>
      <c r="U417" s="27">
        <f>IF(C417="","",N(R417)+N(S417)+N(T417))</f>
        <v/>
      </c>
      <c r="V417" s="27">
        <f>IF(C417="","",H417-U417)</f>
        <v/>
      </c>
      <c r="W417" s="29">
        <f>IFERROR(V417/H417,"")</f>
        <v/>
      </c>
      <c r="X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5">
        <f>IF(L418="","",HYPERLINK(IF(LEFT(L418,4)="http",L418,set_QwilrBase&amp;L418),"Open quote"))</f>
        <v/>
      </c>
      <c r="N418" s="26" t="n"/>
      <c r="O418" s="26" t="n"/>
      <c r="P418" s="26" t="n"/>
      <c r="Q418" s="25">
        <f>IF(C418="","",IF(N(N418)+N(O418)+N(P418)=0,"Not split",IF(ROUND(N(N418)+N(O418)+N(P418),2)=ROUND(H418,2),"OK","MISMATCH")))</f>
        <v/>
      </c>
      <c r="R418" s="26" t="n"/>
      <c r="S418" s="26" t="n"/>
      <c r="T418" s="26" t="n"/>
      <c r="U418" s="27">
        <f>IF(C418="","",N(R418)+N(S418)+N(T418))</f>
        <v/>
      </c>
      <c r="V418" s="27">
        <f>IF(C418="","",H418-U418)</f>
        <v/>
      </c>
      <c r="W418" s="29">
        <f>IFERROR(V418/H418,"")</f>
        <v/>
      </c>
      <c r="X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5">
        <f>IF(L419="","",HYPERLINK(IF(LEFT(L419,4)="http",L419,set_QwilrBase&amp;L419),"Open quote"))</f>
        <v/>
      </c>
      <c r="N419" s="26" t="n"/>
      <c r="O419" s="26" t="n"/>
      <c r="P419" s="26" t="n"/>
      <c r="Q419" s="25">
        <f>IF(C419="","",IF(N(N419)+N(O419)+N(P419)=0,"Not split",IF(ROUND(N(N419)+N(O419)+N(P419),2)=ROUND(H419,2),"OK","MISMATCH")))</f>
        <v/>
      </c>
      <c r="R419" s="26" t="n"/>
      <c r="S419" s="26" t="n"/>
      <c r="T419" s="26" t="n"/>
      <c r="U419" s="27">
        <f>IF(C419="","",N(R419)+N(S419)+N(T419))</f>
        <v/>
      </c>
      <c r="V419" s="27">
        <f>IF(C419="","",H419-U419)</f>
        <v/>
      </c>
      <c r="W419" s="29">
        <f>IFERROR(V419/H419,"")</f>
        <v/>
      </c>
      <c r="X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5">
        <f>IF(L420="","",HYPERLINK(IF(LEFT(L420,4)="http",L420,set_QwilrBase&amp;L420),"Open quote"))</f>
        <v/>
      </c>
      <c r="N420" s="26" t="n"/>
      <c r="O420" s="26" t="n"/>
      <c r="P420" s="26" t="n"/>
      <c r="Q420" s="25">
        <f>IF(C420="","",IF(N(N420)+N(O420)+N(P420)=0,"Not split",IF(ROUND(N(N420)+N(O420)+N(P420),2)=ROUND(H420,2),"OK","MISMATCH")))</f>
        <v/>
      </c>
      <c r="R420" s="26" t="n"/>
      <c r="S420" s="26" t="n"/>
      <c r="T420" s="26" t="n"/>
      <c r="U420" s="27">
        <f>IF(C420="","",N(R420)+N(S420)+N(T420))</f>
        <v/>
      </c>
      <c r="V420" s="27">
        <f>IF(C420="","",H420-U420)</f>
        <v/>
      </c>
      <c r="W420" s="29">
        <f>IFERROR(V420/H420,"")</f>
        <v/>
      </c>
      <c r="X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5">
        <f>IF(L421="","",HYPERLINK(IF(LEFT(L421,4)="http",L421,set_QwilrBase&amp;L421),"Open quote"))</f>
        <v/>
      </c>
      <c r="N421" s="26" t="n"/>
      <c r="O421" s="26" t="n"/>
      <c r="P421" s="26" t="n"/>
      <c r="Q421" s="25">
        <f>IF(C421="","",IF(N(N421)+N(O421)+N(P421)=0,"Not split",IF(ROUND(N(N421)+N(O421)+N(P421),2)=ROUND(H421,2),"OK","MISMATCH")))</f>
        <v/>
      </c>
      <c r="R421" s="26" t="n"/>
      <c r="S421" s="26" t="n"/>
      <c r="T421" s="26" t="n"/>
      <c r="U421" s="27">
        <f>IF(C421="","",N(R421)+N(S421)+N(T421))</f>
        <v/>
      </c>
      <c r="V421" s="27">
        <f>IF(C421="","",H421-U421)</f>
        <v/>
      </c>
      <c r="W421" s="29">
        <f>IFERROR(V421/H421,"")</f>
        <v/>
      </c>
      <c r="X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5">
        <f>IF(L422="","",HYPERLINK(IF(LEFT(L422,4)="http",L422,set_QwilrBase&amp;L422),"Open quote"))</f>
        <v/>
      </c>
      <c r="N422" s="26" t="n"/>
      <c r="O422" s="26" t="n"/>
      <c r="P422" s="26" t="n"/>
      <c r="Q422" s="25">
        <f>IF(C422="","",IF(N(N422)+N(O422)+N(P422)=0,"Not split",IF(ROUND(N(N422)+N(O422)+N(P422),2)=ROUND(H422,2),"OK","MISMATCH")))</f>
        <v/>
      </c>
      <c r="R422" s="26" t="n"/>
      <c r="S422" s="26" t="n"/>
      <c r="T422" s="26" t="n"/>
      <c r="U422" s="27">
        <f>IF(C422="","",N(R422)+N(S422)+N(T422))</f>
        <v/>
      </c>
      <c r="V422" s="27">
        <f>IF(C422="","",H422-U422)</f>
        <v/>
      </c>
      <c r="W422" s="29">
        <f>IFERROR(V422/H422,"")</f>
        <v/>
      </c>
      <c r="X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5">
        <f>IF(L423="","",HYPERLINK(IF(LEFT(L423,4)="http",L423,set_QwilrBase&amp;L423),"Open quote"))</f>
        <v/>
      </c>
      <c r="N423" s="26" t="n"/>
      <c r="O423" s="26" t="n"/>
      <c r="P423" s="26" t="n"/>
      <c r="Q423" s="25">
        <f>IF(C423="","",IF(N(N423)+N(O423)+N(P423)=0,"Not split",IF(ROUND(N(N423)+N(O423)+N(P423),2)=ROUND(H423,2),"OK","MISMATCH")))</f>
        <v/>
      </c>
      <c r="R423" s="26" t="n"/>
      <c r="S423" s="26" t="n"/>
      <c r="T423" s="26" t="n"/>
      <c r="U423" s="27">
        <f>IF(C423="","",N(R423)+N(S423)+N(T423))</f>
        <v/>
      </c>
      <c r="V423" s="27">
        <f>IF(C423="","",H423-U423)</f>
        <v/>
      </c>
      <c r="W423" s="29">
        <f>IFERROR(V423/H423,"")</f>
        <v/>
      </c>
      <c r="X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5">
        <f>IF(L424="","",HYPERLINK(IF(LEFT(L424,4)="http",L424,set_QwilrBase&amp;L424),"Open quote"))</f>
        <v/>
      </c>
      <c r="N424" s="26" t="n"/>
      <c r="O424" s="26" t="n"/>
      <c r="P424" s="26" t="n"/>
      <c r="Q424" s="25">
        <f>IF(C424="","",IF(N(N424)+N(O424)+N(P424)=0,"Not split",IF(ROUND(N(N424)+N(O424)+N(P424),2)=ROUND(H424,2),"OK","MISMATCH")))</f>
        <v/>
      </c>
      <c r="R424" s="26" t="n"/>
      <c r="S424" s="26" t="n"/>
      <c r="T424" s="26" t="n"/>
      <c r="U424" s="27">
        <f>IF(C424="","",N(R424)+N(S424)+N(T424))</f>
        <v/>
      </c>
      <c r="V424" s="27">
        <f>IF(C424="","",H424-U424)</f>
        <v/>
      </c>
      <c r="W424" s="29">
        <f>IFERROR(V424/H424,"")</f>
        <v/>
      </c>
      <c r="X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5">
        <f>IF(L425="","",HYPERLINK(IF(LEFT(L425,4)="http",L425,set_QwilrBase&amp;L425),"Open quote"))</f>
        <v/>
      </c>
      <c r="N425" s="26" t="n"/>
      <c r="O425" s="26" t="n"/>
      <c r="P425" s="26" t="n"/>
      <c r="Q425" s="25">
        <f>IF(C425="","",IF(N(N425)+N(O425)+N(P425)=0,"Not split",IF(ROUND(N(N425)+N(O425)+N(P425),2)=ROUND(H425,2),"OK","MISMATCH")))</f>
        <v/>
      </c>
      <c r="R425" s="26" t="n"/>
      <c r="S425" s="26" t="n"/>
      <c r="T425" s="26" t="n"/>
      <c r="U425" s="27">
        <f>IF(C425="","",N(R425)+N(S425)+N(T425))</f>
        <v/>
      </c>
      <c r="V425" s="27">
        <f>IF(C425="","",H425-U425)</f>
        <v/>
      </c>
      <c r="W425" s="29">
        <f>IFERROR(V425/H425,"")</f>
        <v/>
      </c>
      <c r="X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5">
        <f>IF(L426="","",HYPERLINK(IF(LEFT(L426,4)="http",L426,set_QwilrBase&amp;L426),"Open quote"))</f>
        <v/>
      </c>
      <c r="N426" s="26" t="n"/>
      <c r="O426" s="26" t="n"/>
      <c r="P426" s="26" t="n"/>
      <c r="Q426" s="25">
        <f>IF(C426="","",IF(N(N426)+N(O426)+N(P426)=0,"Not split",IF(ROUND(N(N426)+N(O426)+N(P426),2)=ROUND(H426,2),"OK","MISMATCH")))</f>
        <v/>
      </c>
      <c r="R426" s="26" t="n"/>
      <c r="S426" s="26" t="n"/>
      <c r="T426" s="26" t="n"/>
      <c r="U426" s="27">
        <f>IF(C426="","",N(R426)+N(S426)+N(T426))</f>
        <v/>
      </c>
      <c r="V426" s="27">
        <f>IF(C426="","",H426-U426)</f>
        <v/>
      </c>
      <c r="W426" s="29">
        <f>IFERROR(V426/H426,"")</f>
        <v/>
      </c>
      <c r="X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5">
        <f>IF(L427="","",HYPERLINK(IF(LEFT(L427,4)="http",L427,set_QwilrBase&amp;L427),"Open quote"))</f>
        <v/>
      </c>
      <c r="N427" s="26" t="n"/>
      <c r="O427" s="26" t="n"/>
      <c r="P427" s="26" t="n"/>
      <c r="Q427" s="25">
        <f>IF(C427="","",IF(N(N427)+N(O427)+N(P427)=0,"Not split",IF(ROUND(N(N427)+N(O427)+N(P427),2)=ROUND(H427,2),"OK","MISMATCH")))</f>
        <v/>
      </c>
      <c r="R427" s="26" t="n"/>
      <c r="S427" s="26" t="n"/>
      <c r="T427" s="26" t="n"/>
      <c r="U427" s="27">
        <f>IF(C427="","",N(R427)+N(S427)+N(T427))</f>
        <v/>
      </c>
      <c r="V427" s="27">
        <f>IF(C427="","",H427-U427)</f>
        <v/>
      </c>
      <c r="W427" s="29">
        <f>IFERROR(V427/H427,"")</f>
        <v/>
      </c>
      <c r="X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5">
        <f>IF(L428="","",HYPERLINK(IF(LEFT(L428,4)="http",L428,set_QwilrBase&amp;L428),"Open quote"))</f>
        <v/>
      </c>
      <c r="N428" s="26" t="n"/>
      <c r="O428" s="26" t="n"/>
      <c r="P428" s="26" t="n"/>
      <c r="Q428" s="25">
        <f>IF(C428="","",IF(N(N428)+N(O428)+N(P428)=0,"Not split",IF(ROUND(N(N428)+N(O428)+N(P428),2)=ROUND(H428,2),"OK","MISMATCH")))</f>
        <v/>
      </c>
      <c r="R428" s="26" t="n"/>
      <c r="S428" s="26" t="n"/>
      <c r="T428" s="26" t="n"/>
      <c r="U428" s="27">
        <f>IF(C428="","",N(R428)+N(S428)+N(T428))</f>
        <v/>
      </c>
      <c r="V428" s="27">
        <f>IF(C428="","",H428-U428)</f>
        <v/>
      </c>
      <c r="W428" s="29">
        <f>IFERROR(V428/H428,"")</f>
        <v/>
      </c>
      <c r="X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5">
        <f>IF(L429="","",HYPERLINK(IF(LEFT(L429,4)="http",L429,set_QwilrBase&amp;L429),"Open quote"))</f>
        <v/>
      </c>
      <c r="N429" s="26" t="n"/>
      <c r="O429" s="26" t="n"/>
      <c r="P429" s="26" t="n"/>
      <c r="Q429" s="25">
        <f>IF(C429="","",IF(N(N429)+N(O429)+N(P429)=0,"Not split",IF(ROUND(N(N429)+N(O429)+N(P429),2)=ROUND(H429,2),"OK","MISMATCH")))</f>
        <v/>
      </c>
      <c r="R429" s="26" t="n"/>
      <c r="S429" s="26" t="n"/>
      <c r="T429" s="26" t="n"/>
      <c r="U429" s="27">
        <f>IF(C429="","",N(R429)+N(S429)+N(T429))</f>
        <v/>
      </c>
      <c r="V429" s="27">
        <f>IF(C429="","",H429-U429)</f>
        <v/>
      </c>
      <c r="W429" s="29">
        <f>IFERROR(V429/H429,"")</f>
        <v/>
      </c>
      <c r="X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5">
        <f>IF(L430="","",HYPERLINK(IF(LEFT(L430,4)="http",L430,set_QwilrBase&amp;L430),"Open quote"))</f>
        <v/>
      </c>
      <c r="N430" s="26" t="n"/>
      <c r="O430" s="26" t="n"/>
      <c r="P430" s="26" t="n"/>
      <c r="Q430" s="25">
        <f>IF(C430="","",IF(N(N430)+N(O430)+N(P430)=0,"Not split",IF(ROUND(N(N430)+N(O430)+N(P430),2)=ROUND(H430,2),"OK","MISMATCH")))</f>
        <v/>
      </c>
      <c r="R430" s="26" t="n"/>
      <c r="S430" s="26" t="n"/>
      <c r="T430" s="26" t="n"/>
      <c r="U430" s="27">
        <f>IF(C430="","",N(R430)+N(S430)+N(T430))</f>
        <v/>
      </c>
      <c r="V430" s="27">
        <f>IF(C430="","",H430-U430)</f>
        <v/>
      </c>
      <c r="W430" s="29">
        <f>IFERROR(V430/H430,"")</f>
        <v/>
      </c>
      <c r="X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5">
        <f>IF(L431="","",HYPERLINK(IF(LEFT(L431,4)="http",L431,set_QwilrBase&amp;L431),"Open quote"))</f>
        <v/>
      </c>
      <c r="N431" s="26" t="n"/>
      <c r="O431" s="26" t="n"/>
      <c r="P431" s="26" t="n"/>
      <c r="Q431" s="25">
        <f>IF(C431="","",IF(N(N431)+N(O431)+N(P431)=0,"Not split",IF(ROUND(N(N431)+N(O431)+N(P431),2)=ROUND(H431,2),"OK","MISMATCH")))</f>
        <v/>
      </c>
      <c r="R431" s="26" t="n"/>
      <c r="S431" s="26" t="n"/>
      <c r="T431" s="26" t="n"/>
      <c r="U431" s="27">
        <f>IF(C431="","",N(R431)+N(S431)+N(T431))</f>
        <v/>
      </c>
      <c r="V431" s="27">
        <f>IF(C431="","",H431-U431)</f>
        <v/>
      </c>
      <c r="W431" s="29">
        <f>IFERROR(V431/H431,"")</f>
        <v/>
      </c>
      <c r="X431" s="24" t="n"/>
    </row>
    <row r="432" ht="15" customHeight="1">
      <c r="A432" s="64">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4" t="n"/>
      <c r="M432" s="25">
        <f>IF(L432="","",HYPERLINK(IF(LEFT(L432,4)="http",L432,set_QwilrBase&amp;L432),"Open quote"))</f>
        <v/>
      </c>
      <c r="N432" s="26" t="n"/>
      <c r="O432" s="26" t="n"/>
      <c r="P432" s="26" t="n"/>
      <c r="Q432" s="25">
        <f>IF(C432="","",IF(N(N432)+N(O432)+N(P432)=0,"Not split",IF(ROUND(N(N432)+N(O432)+N(P432),2)=ROUND(H432,2),"OK","MISMATCH")))</f>
        <v/>
      </c>
      <c r="R432" s="26" t="n"/>
      <c r="S432" s="26" t="n"/>
      <c r="T432" s="26" t="n"/>
      <c r="U432" s="27">
        <f>IF(C432="","",N(R432)+N(S432)+N(T432))</f>
        <v/>
      </c>
      <c r="V432" s="27">
        <f>IF(C432="","",H432-U432)</f>
        <v/>
      </c>
      <c r="W432" s="29">
        <f>IFERROR(V432/H432,"")</f>
        <v/>
      </c>
      <c r="X43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Q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30" customWidth="1" min="11" max="11"/>
    <col width="30" customWidth="1" min="12" max="12"/>
    <col width="14" customWidth="1" min="13" max="13"/>
    <col width="52" customWidth="1" min="14" max="14"/>
    <col width="14" customWidth="1" min="15" max="15"/>
    <col width="14" customWidth="1" min="16" max="16"/>
    <col width="40" customWidth="1" min="17" max="17"/>
  </cols>
  <sheetData>
    <row r="1" ht="24" customHeight="1">
      <c r="A1" s="1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Amount</t>
        </is>
      </c>
      <c r="K4" s="21" t="inlineStr">
        <is>
          <t>Debit Account</t>
        </is>
      </c>
      <c r="L4" s="21" t="inlineStr">
        <is>
          <t>Credit Account</t>
        </is>
      </c>
      <c r="M4" s="21" t="inlineStr">
        <is>
          <t>Journal Amount</t>
        </is>
      </c>
      <c r="N4" s="21" t="inlineStr">
        <is>
          <t>Journal Narration</t>
        </is>
      </c>
      <c r="O4" s="20" t="inlineStr">
        <is>
          <t>Journal Ref</t>
        </is>
      </c>
      <c r="P4" s="20" t="inlineStr">
        <is>
          <t>Posted to Xero</t>
        </is>
      </c>
      <c r="Q4" s="20" t="inlineStr">
        <is>
          <t>Notes</t>
        </is>
      </c>
    </row>
    <row r="5" ht="15" customHeight="1">
      <c r="A5" s="66" t="n">
        <v>46234</v>
      </c>
      <c r="B5" s="64">
        <f>IF(C5="","",IFERROR(INDEX(tbl_Finance[Date],MATCH(C5&amp;"",tbl_Finance[Xero Invoice No],0)),""))</f>
        <v/>
      </c>
      <c r="C5" s="24" t="n"/>
      <c r="D5" s="24" t="inlineStr">
        <is>
          <t>2506208</t>
        </is>
      </c>
      <c r="E5" s="25">
        <f>IF(D5="","",IF(COUNTIF(lst_Jobs,D5&amp;"")&gt;0,"OK","CHECK"))</f>
        <v/>
      </c>
      <c r="F5" s="24" t="inlineStr">
        <is>
          <t>CBA</t>
        </is>
      </c>
      <c r="G5" s="24" t="inlineStr">
        <is>
          <t>PRODUCTION</t>
        </is>
      </c>
      <c r="H5" s="24" t="inlineStr">
        <is>
          <t>CBA AGM 2026 Pre-production work at $130ph</t>
        </is>
      </c>
      <c r="I5" s="24" t="inlineStr">
        <is>
          <t>Accrual - unbilled work</t>
        </is>
      </c>
      <c r="J5" s="26" t="n">
        <v>2535</v>
      </c>
      <c r="K5" s="25">
        <f>IF(N(J5)=0,"",IF(J5&gt;0,set_WIPAsset,set_WIPIncome))</f>
        <v/>
      </c>
      <c r="L5" s="25">
        <f>IF(N(J5)=0,"",IF(J5&gt;0,set_WIPIncome,set_WIPAsset))</f>
        <v/>
      </c>
      <c r="M5" s="27">
        <f>IF(N(J5)=0,"",ABS(J5))</f>
        <v/>
      </c>
      <c r="N5" s="25">
        <f>IF(N(J5)=0,"","WIP "&amp;I5&amp;IF(D5="",""," - "&amp;D5)&amp;IF(F5="",""," "&amp;F5)&amp;IF(H5="",""," - "&amp;H5))</f>
        <v/>
      </c>
      <c r="O5" s="24" t="n"/>
      <c r="P5" s="24" t="inlineStr">
        <is>
          <t>Y</t>
        </is>
      </c>
      <c r="Q5" s="24" t="inlineStr">
        <is>
          <t>Migrated from FY27 Revenue Tracker v2 - confirm type/sign</t>
        </is>
      </c>
    </row>
    <row r="6" ht="15" customHeight="1">
      <c r="A6" s="66" t="n">
        <v>46234</v>
      </c>
      <c r="B6" s="64">
        <f>IF(C6="","",IFERROR(INDEX(tbl_Finance[Date],MATCH(C6&amp;"",tbl_Finance[Xero Invoice No],0)),""))</f>
        <v/>
      </c>
      <c r="C6" s="24" t="n"/>
      <c r="D6" s="24" t="inlineStr">
        <is>
          <t>25070702</t>
        </is>
      </c>
      <c r="E6" s="25">
        <f>IF(D6="","",IF(COUNTIF(lst_Jobs,D6&amp;"")&gt;0,"OK","CHECK"))</f>
        <v/>
      </c>
      <c r="F6" s="24" t="inlineStr">
        <is>
          <t>APA</t>
        </is>
      </c>
      <c r="G6" s="24" t="inlineStr">
        <is>
          <t>INTEGRATION</t>
        </is>
      </c>
      <c r="H6" s="24" t="inlineStr">
        <is>
          <t>APA BNE &amp; NT Year 1/3 Inv9988 (Revenue) Sep 2025 - Aug 2026</t>
        </is>
      </c>
      <c r="I6" s="24" t="inlineStr">
        <is>
          <t>Accrual - unbilled work</t>
        </is>
      </c>
      <c r="J6" s="26" t="n">
        <v>308.16</v>
      </c>
      <c r="K6" s="25">
        <f>IF(N(J6)=0,"",IF(J6&gt;0,set_WIPAsset,set_WIPIncome))</f>
        <v/>
      </c>
      <c r="L6" s="25">
        <f>IF(N(J6)=0,"",IF(J6&gt;0,set_WIPIncome,set_WIPAsset))</f>
        <v/>
      </c>
      <c r="M6" s="27">
        <f>IF(N(J6)=0,"",ABS(J6))</f>
        <v/>
      </c>
      <c r="N6" s="25">
        <f>IF(N(J6)=0,"","WIP "&amp;I6&amp;IF(D6="",""," - "&amp;D6)&amp;IF(F6="",""," "&amp;F6)&amp;IF(H6="",""," - "&amp;H6))</f>
        <v/>
      </c>
      <c r="O6" s="24" t="n"/>
      <c r="P6" s="24" t="inlineStr">
        <is>
          <t>Y</t>
        </is>
      </c>
      <c r="Q6" s="24" t="inlineStr">
        <is>
          <t>Migrated from FY27 Revenue Tracker v2 - confirm type/sign</t>
        </is>
      </c>
    </row>
    <row r="7" ht="15" customHeight="1">
      <c r="A7" s="66" t="n">
        <v>46234</v>
      </c>
      <c r="B7" s="64">
        <f>IF(C7="","",IFERROR(INDEX(tbl_Finance[Date],MATCH(C7&amp;"",tbl_Finance[Xero Invoice No],0)),""))</f>
        <v/>
      </c>
      <c r="C7" s="24" t="n"/>
      <c r="D7" s="24" t="inlineStr">
        <is>
          <t>3072</t>
        </is>
      </c>
      <c r="E7" s="25">
        <f>IF(D7="","",IF(COUNTIF(lst_Jobs,D7&amp;"")&gt;0,"OK","CHECK"))</f>
        <v/>
      </c>
      <c r="F7" s="24" t="inlineStr">
        <is>
          <t>APA Thomastown</t>
        </is>
      </c>
      <c r="G7" s="24" t="inlineStr">
        <is>
          <t>INTEGRATION</t>
        </is>
      </c>
      <c r="H7" s="24" t="inlineStr">
        <is>
          <t>APA Thomastown INV-10133 Year 3 Licence (January - December 2026)</t>
        </is>
      </c>
      <c r="I7" s="24" t="inlineStr">
        <is>
          <t>Accrual - unbilled work</t>
        </is>
      </c>
      <c r="J7" s="26" t="n">
        <v>1033.06</v>
      </c>
      <c r="K7" s="25">
        <f>IF(N(J7)=0,"",IF(J7&gt;0,set_WIPAsset,set_WIPIncome))</f>
        <v/>
      </c>
      <c r="L7" s="25">
        <f>IF(N(J7)=0,"",IF(J7&gt;0,set_WIPIncome,set_WIPAsset))</f>
        <v/>
      </c>
      <c r="M7" s="27">
        <f>IF(N(J7)=0,"",ABS(J7))</f>
        <v/>
      </c>
      <c r="N7" s="25">
        <f>IF(N(J7)=0,"","WIP "&amp;I7&amp;IF(D7="",""," - "&amp;D7)&amp;IF(F7="",""," "&amp;F7)&amp;IF(H7="",""," - "&amp;H7))</f>
        <v/>
      </c>
      <c r="O7" s="24" t="n"/>
      <c r="P7" s="24" t="inlineStr">
        <is>
          <t>Y</t>
        </is>
      </c>
      <c r="Q7" s="24" t="inlineStr">
        <is>
          <t>Migrated from FY27 Revenue Tracker v2 - confirm type/sign</t>
        </is>
      </c>
    </row>
    <row r="8" ht="15" customHeight="1">
      <c r="A8" s="66" t="n">
        <v>46234</v>
      </c>
      <c r="B8" s="64">
        <f>IF(C8="","",IFERROR(INDEX(tbl_Finance[Date],MATCH(C8&amp;"",tbl_Finance[Xero Invoice No],0)),""))</f>
        <v/>
      </c>
      <c r="C8" s="24" t="n"/>
      <c r="D8" s="24" t="inlineStr">
        <is>
          <t>2519</t>
        </is>
      </c>
      <c r="E8" s="25">
        <f>IF(D8="","",IF(COUNTIF(lst_Jobs,D8&amp;"")&gt;0,"OK","CHECK"))</f>
        <v/>
      </c>
      <c r="F8" s="24" t="inlineStr">
        <is>
          <t>NSW Property</t>
        </is>
      </c>
      <c r="G8" s="24" t="inlineStr">
        <is>
          <t>INTEGRATION</t>
        </is>
      </c>
      <c r="H8" s="24" t="inlineStr">
        <is>
          <t>NSW Property 6PSQ Multi-Tennant Year 4 INV 10162 Revenue (November - October 2026)</t>
        </is>
      </c>
      <c r="I8" s="24" t="inlineStr">
        <is>
          <t>Accrual - unbilled work</t>
        </is>
      </c>
      <c r="J8" s="26" t="n">
        <v>929.33</v>
      </c>
      <c r="K8" s="25">
        <f>IF(N(J8)=0,"",IF(J8&gt;0,set_WIPAsset,set_WIPIncome))</f>
        <v/>
      </c>
      <c r="L8" s="25">
        <f>IF(N(J8)=0,"",IF(J8&gt;0,set_WIPIncome,set_WIPAsset))</f>
        <v/>
      </c>
      <c r="M8" s="27">
        <f>IF(N(J8)=0,"",ABS(J8))</f>
        <v/>
      </c>
      <c r="N8" s="25">
        <f>IF(N(J8)=0,"","WIP "&amp;I8&amp;IF(D8="",""," - "&amp;D8)&amp;IF(F8="",""," "&amp;F8)&amp;IF(H8="",""," - "&amp;H8))</f>
        <v/>
      </c>
      <c r="O8" s="24" t="n"/>
      <c r="P8" s="24" t="inlineStr">
        <is>
          <t>Y</t>
        </is>
      </c>
      <c r="Q8" s="24" t="inlineStr">
        <is>
          <t>Migrated from FY27 Revenue Tracker v2 - confirm type/sign</t>
        </is>
      </c>
    </row>
    <row r="9" ht="15" customHeight="1">
      <c r="A9" s="66" t="n">
        <v>46234</v>
      </c>
      <c r="B9" s="64">
        <f>IF(C9="","",IFERROR(INDEX(tbl_Finance[Date],MATCH(C9&amp;"",tbl_Finance[Xero Invoice No],0)),""))</f>
        <v/>
      </c>
      <c r="C9" s="24" t="n"/>
      <c r="D9" s="24" t="inlineStr">
        <is>
          <t>2510804</t>
        </is>
      </c>
      <c r="E9" s="25">
        <f>IF(D9="","",IF(COUNTIF(lst_Jobs,D9&amp;"")&gt;0,"OK","CHECK"))</f>
        <v/>
      </c>
      <c r="F9" s="24" t="inlineStr">
        <is>
          <t>Presynct</t>
        </is>
      </c>
      <c r="G9" s="24" t="inlineStr">
        <is>
          <t>INTEGRATION</t>
        </is>
      </c>
      <c r="H9" s="24" t="inlineStr">
        <is>
          <t>Presynct - QLD - Condeco Desk Booking System INV 10199 Revenue (Nov 2025 - Oct 2025)</t>
        </is>
      </c>
      <c r="I9" s="24" t="inlineStr">
        <is>
          <t>Accrual - unbilled work</t>
        </is>
      </c>
      <c r="J9" s="26" t="n">
        <v>439.33</v>
      </c>
      <c r="K9" s="25">
        <f>IF(N(J9)=0,"",IF(J9&gt;0,set_WIPAsset,set_WIPIncome))</f>
        <v/>
      </c>
      <c r="L9" s="25">
        <f>IF(N(J9)=0,"",IF(J9&gt;0,set_WIPIncome,set_WIPAsset))</f>
        <v/>
      </c>
      <c r="M9" s="27">
        <f>IF(N(J9)=0,"",ABS(J9))</f>
        <v/>
      </c>
      <c r="N9" s="25">
        <f>IF(N(J9)=0,"","WIP "&amp;I9&amp;IF(D9="",""," - "&amp;D9)&amp;IF(F9="",""," "&amp;F9)&amp;IF(H9="",""," - "&amp;H9))</f>
        <v/>
      </c>
      <c r="O9" s="24" t="n"/>
      <c r="P9" s="24" t="inlineStr">
        <is>
          <t>Y</t>
        </is>
      </c>
      <c r="Q9" s="24" t="inlineStr">
        <is>
          <t>Migrated from FY27 Revenue Tracker v2 - confirm type/sign</t>
        </is>
      </c>
    </row>
    <row r="10" ht="15" customHeight="1">
      <c r="A10" s="66" t="n">
        <v>46234</v>
      </c>
      <c r="B10" s="64">
        <f>IF(C10="","",IFERROR(INDEX(tbl_Finance[Date],MATCH(C10&amp;"",tbl_Finance[Xero Invoice No],0)),""))</f>
        <v/>
      </c>
      <c r="C10" s="24" t="n"/>
      <c r="D10" s="24" t="inlineStr">
        <is>
          <t>2719</t>
        </is>
      </c>
      <c r="E10" s="25">
        <f>IF(D10="","",IF(COUNTIF(lst_Jobs,D10&amp;"")&gt;0,"OK","CHECK"))</f>
        <v/>
      </c>
      <c r="F10" s="24" t="inlineStr">
        <is>
          <t>NSW Property</t>
        </is>
      </c>
      <c r="G10" s="24" t="inlineStr">
        <is>
          <t>INTEGRATION</t>
        </is>
      </c>
      <c r="H10" s="24" t="inlineStr">
        <is>
          <t>NSW Property GSP Proxyclick INV 10176 Revenue (Dec 2025 - Nov 2026)</t>
        </is>
      </c>
      <c r="I10" s="24" t="inlineStr">
        <is>
          <t>Accrual - unbilled work</t>
        </is>
      </c>
      <c r="J10" s="26" t="n">
        <v>381.15</v>
      </c>
      <c r="K10" s="25">
        <f>IF(N(J10)=0,"",IF(J10&gt;0,set_WIPAsset,set_WIPIncome))</f>
        <v/>
      </c>
      <c r="L10" s="25">
        <f>IF(N(J10)=0,"",IF(J10&gt;0,set_WIPIncome,set_WIPAsset))</f>
        <v/>
      </c>
      <c r="M10" s="27">
        <f>IF(N(J10)=0,"",ABS(J10))</f>
        <v/>
      </c>
      <c r="N10" s="25">
        <f>IF(N(J10)=0,"","WIP "&amp;I10&amp;IF(D10="",""," - "&amp;D10)&amp;IF(F10="",""," "&amp;F10)&amp;IF(H10="",""," - "&amp;H10))</f>
        <v/>
      </c>
      <c r="O10" s="24" t="n"/>
      <c r="P10" s="24" t="inlineStr">
        <is>
          <t>Y</t>
        </is>
      </c>
      <c r="Q10" s="24" t="inlineStr">
        <is>
          <t>Migrated from FY27 Revenue Tracker v2 - confirm type/sign</t>
        </is>
      </c>
    </row>
    <row r="11" ht="15" customHeight="1">
      <c r="A11" s="66" t="n">
        <v>46234</v>
      </c>
      <c r="B11" s="64">
        <f>IF(C11="","",IFERROR(INDEX(tbl_Finance[Date],MATCH(C11&amp;"",tbl_Finance[Xero Invoice No],0)),""))</f>
        <v/>
      </c>
      <c r="C11" s="24" t="n"/>
      <c r="D11" s="24" t="inlineStr">
        <is>
          <t>2834</t>
        </is>
      </c>
      <c r="E11" s="25">
        <f>IF(D11="","",IF(COUNTIF(lst_Jobs,D11&amp;"")&gt;0,"OK","CHECK"))</f>
        <v/>
      </c>
      <c r="F11" s="24" t="inlineStr">
        <is>
          <t>APA</t>
        </is>
      </c>
      <c r="G11" s="24" t="inlineStr">
        <is>
          <t>INTEGRATION</t>
        </is>
      </c>
      <c r="H11" s="24" t="inlineStr">
        <is>
          <t>APA Young Year 4 INV-10280 Revenue (Mar 2026 - Feb 2027)</t>
        </is>
      </c>
      <c r="I11" s="24" t="inlineStr">
        <is>
          <t>Accrual - unbilled work</t>
        </is>
      </c>
      <c r="J11" s="26" t="n">
        <v>312.9</v>
      </c>
      <c r="K11" s="25">
        <f>IF(N(J11)=0,"",IF(J11&gt;0,set_WIPAsset,set_WIPIncome))</f>
        <v/>
      </c>
      <c r="L11" s="25">
        <f>IF(N(J11)=0,"",IF(J11&gt;0,set_WIPIncome,set_WIPAsset))</f>
        <v/>
      </c>
      <c r="M11" s="27">
        <f>IF(N(J11)=0,"",ABS(J11))</f>
        <v/>
      </c>
      <c r="N11" s="25">
        <f>IF(N(J11)=0,"","WIP "&amp;I11&amp;IF(D11="",""," - "&amp;D11)&amp;IF(F11="",""," "&amp;F11)&amp;IF(H11="",""," - "&amp;H11))</f>
        <v/>
      </c>
      <c r="O11" s="24" t="n"/>
      <c r="P11" s="24" t="inlineStr">
        <is>
          <t>Y</t>
        </is>
      </c>
      <c r="Q11" s="24" t="inlineStr">
        <is>
          <t>Migrated from FY27 Revenue Tracker v2 - confirm type/sign</t>
        </is>
      </c>
    </row>
    <row r="12" ht="15" customHeight="1">
      <c r="A12" s="66" t="n">
        <v>46234</v>
      </c>
      <c r="B12" s="64">
        <f>IF(C12="","",IFERROR(INDEX(tbl_Finance[Date],MATCH(C12&amp;"",tbl_Finance[Xero Invoice No],0)),""))</f>
        <v/>
      </c>
      <c r="C12" s="24" t="n"/>
      <c r="D12" s="24" t="inlineStr">
        <is>
          <t>3027</t>
        </is>
      </c>
      <c r="E12" s="25">
        <f>IF(D12="","",IF(COUNTIF(lst_Jobs,D12&amp;"")&gt;0,"OK","CHECK"))</f>
        <v/>
      </c>
      <c r="F12" s="24" t="inlineStr">
        <is>
          <t>NSW Property</t>
        </is>
      </c>
      <c r="G12" s="24" t="inlineStr">
        <is>
          <t>INTEGRATION</t>
        </is>
      </c>
      <c r="H12" s="24" t="inlineStr">
        <is>
          <t>NSW Property  - 231 Eliz L13 Touchdown - Condeco Desk Booking System (INV10391 Revenue)</t>
        </is>
      </c>
      <c r="I12" s="24" t="inlineStr">
        <is>
          <t>Accrual - unbilled work</t>
        </is>
      </c>
      <c r="J12" s="26" t="n">
        <v>721.7</v>
      </c>
      <c r="K12" s="25">
        <f>IF(N(J12)=0,"",IF(J12&gt;0,set_WIPAsset,set_WIPIncome))</f>
        <v/>
      </c>
      <c r="L12" s="25">
        <f>IF(N(J12)=0,"",IF(J12&gt;0,set_WIPIncome,set_WIPAsset))</f>
        <v/>
      </c>
      <c r="M12" s="27">
        <f>IF(N(J12)=0,"",ABS(J12))</f>
        <v/>
      </c>
      <c r="N12" s="25">
        <f>IF(N(J12)=0,"","WIP "&amp;I12&amp;IF(D12="",""," - "&amp;D12)&amp;IF(F12="",""," "&amp;F12)&amp;IF(H12="",""," - "&amp;H12))</f>
        <v/>
      </c>
      <c r="O12" s="24" t="n"/>
      <c r="P12" s="24" t="inlineStr">
        <is>
          <t>Y</t>
        </is>
      </c>
      <c r="Q12" s="24" t="inlineStr">
        <is>
          <t>Migrated from FY27 Revenue Tracker v2 - confirm type/sign</t>
        </is>
      </c>
    </row>
    <row r="13" ht="15" customHeight="1">
      <c r="A13" s="66" t="n">
        <v>46234</v>
      </c>
      <c r="B13" s="64">
        <f>IF(C13="","",IFERROR(INDEX(tbl_Finance[Date],MATCH(C13&amp;"",tbl_Finance[Xero Invoice No],0)),""))</f>
        <v/>
      </c>
      <c r="C13" s="24" t="n"/>
      <c r="D13" s="24" t="inlineStr">
        <is>
          <t>3027</t>
        </is>
      </c>
      <c r="E13" s="25">
        <f>IF(D13="","",IF(COUNTIF(lst_Jobs,D13&amp;"")&gt;0,"OK","CHECK"))</f>
        <v/>
      </c>
      <c r="F13" s="24" t="inlineStr">
        <is>
          <t>NSW Property</t>
        </is>
      </c>
      <c r="G13" s="24" t="inlineStr">
        <is>
          <t>INTEGRATION</t>
        </is>
      </c>
      <c r="H13" s="24" t="inlineStr">
        <is>
          <t>NSW Property - 231 Eliz Workplace L1 (INV10392 Revenue)</t>
        </is>
      </c>
      <c r="I13" s="24" t="inlineStr">
        <is>
          <t>Accrual - unbilled work</t>
        </is>
      </c>
      <c r="J13" s="26" t="n">
        <v>876.35</v>
      </c>
      <c r="K13" s="25">
        <f>IF(N(J13)=0,"",IF(J13&gt;0,set_WIPAsset,set_WIPIncome))</f>
        <v/>
      </c>
      <c r="L13" s="25">
        <f>IF(N(J13)=0,"",IF(J13&gt;0,set_WIPIncome,set_WIPAsset))</f>
        <v/>
      </c>
      <c r="M13" s="27">
        <f>IF(N(J13)=0,"",ABS(J13))</f>
        <v/>
      </c>
      <c r="N13" s="25">
        <f>IF(N(J13)=0,"","WIP "&amp;I13&amp;IF(D13="",""," - "&amp;D13)&amp;IF(F13="",""," "&amp;F13)&amp;IF(H13="",""," - "&amp;H13))</f>
        <v/>
      </c>
      <c r="O13" s="24" t="n"/>
      <c r="P13" s="24" t="inlineStr">
        <is>
          <t>Y</t>
        </is>
      </c>
      <c r="Q13" s="24" t="inlineStr">
        <is>
          <t>Migrated from FY27 Revenue Tracker v2 - confirm type/sign</t>
        </is>
      </c>
    </row>
    <row r="14" ht="15" customHeight="1">
      <c r="A14" s="66" t="n">
        <v>46234</v>
      </c>
      <c r="B14" s="64">
        <f>IF(C14="","",IFERROR(INDEX(tbl_Finance[Date],MATCH(C14&amp;"",tbl_Finance[Xero Invoice No],0)),""))</f>
        <v/>
      </c>
      <c r="C14" s="24" t="n"/>
      <c r="D14" s="24" t="inlineStr">
        <is>
          <t>25060301</t>
        </is>
      </c>
      <c r="E14" s="25">
        <f>IF(D14="","",IF(COUNTIF(lst_Jobs,D14&amp;"")&gt;0,"OK","CHECK"))</f>
        <v/>
      </c>
      <c r="F14" s="24" t="inlineStr">
        <is>
          <t>NSW Property</t>
        </is>
      </c>
      <c r="G14" s="24" t="inlineStr">
        <is>
          <t>INTEGRATION</t>
        </is>
      </c>
      <c r="H14" s="24" t="inlineStr">
        <is>
          <t>NSW Property - 6PSQ Workplace L12 Hub (INV10393 Revenue)</t>
        </is>
      </c>
      <c r="I14" s="24" t="inlineStr">
        <is>
          <t>Accrual - unbilled work</t>
        </is>
      </c>
      <c r="J14" s="26" t="n">
        <v>2964.14</v>
      </c>
      <c r="K14" s="25">
        <f>IF(N(J14)=0,"",IF(J14&gt;0,set_WIPAsset,set_WIPIncome))</f>
        <v/>
      </c>
      <c r="L14" s="25">
        <f>IF(N(J14)=0,"",IF(J14&gt;0,set_WIPIncome,set_WIPAsset))</f>
        <v/>
      </c>
      <c r="M14" s="27">
        <f>IF(N(J14)=0,"",ABS(J14))</f>
        <v/>
      </c>
      <c r="N14" s="25">
        <f>IF(N(J14)=0,"","WIP "&amp;I14&amp;IF(D14="",""," - "&amp;D14)&amp;IF(F14="",""," "&amp;F14)&amp;IF(H14="",""," - "&amp;H14))</f>
        <v/>
      </c>
      <c r="O14" s="24" t="n"/>
      <c r="P14" s="24" t="inlineStr">
        <is>
          <t>Y</t>
        </is>
      </c>
      <c r="Q14" s="24" t="inlineStr">
        <is>
          <t>Migrated from FY27 Revenue Tracker v2 - confirm type/sign</t>
        </is>
      </c>
    </row>
    <row r="15" ht="15" customHeight="1">
      <c r="A15" s="66" t="n">
        <v>46234</v>
      </c>
      <c r="B15" s="64">
        <f>IF(C15="","",IFERROR(INDEX(tbl_Finance[Date],MATCH(C15&amp;"",tbl_Finance[Xero Invoice No],0)),""))</f>
        <v/>
      </c>
      <c r="C15" s="24" t="n"/>
      <c r="D15" s="24" t="inlineStr">
        <is>
          <t>2519</t>
        </is>
      </c>
      <c r="E15" s="25">
        <f>IF(D15="","",IF(COUNTIF(lst_Jobs,D15&amp;"")&gt;0,"OK","CHECK"))</f>
        <v/>
      </c>
      <c r="F15" s="24" t="inlineStr">
        <is>
          <t>NSW Property</t>
        </is>
      </c>
      <c r="G15" s="24" t="inlineStr">
        <is>
          <t>INTEGRATION</t>
        </is>
      </c>
      <c r="H15" s="24" t="inlineStr">
        <is>
          <t>NSW Property - 6PSQ L11 Touchdown (INV10394 Revenue)</t>
        </is>
      </c>
      <c r="I15" s="24" t="inlineStr">
        <is>
          <t>Accrual - unbilled work</t>
        </is>
      </c>
      <c r="J15" s="26" t="n">
        <v>799.03</v>
      </c>
      <c r="K15" s="25">
        <f>IF(N(J15)=0,"",IF(J15&gt;0,set_WIPAsset,set_WIPIncome))</f>
        <v/>
      </c>
      <c r="L15" s="25">
        <f>IF(N(J15)=0,"",IF(J15&gt;0,set_WIPIncome,set_WIPAsset))</f>
        <v/>
      </c>
      <c r="M15" s="27">
        <f>IF(N(J15)=0,"",ABS(J15))</f>
        <v/>
      </c>
      <c r="N15" s="25">
        <f>IF(N(J15)=0,"","WIP "&amp;I15&amp;IF(D15="",""," - "&amp;D15)&amp;IF(F15="",""," "&amp;F15)&amp;IF(H15="",""," - "&amp;H15))</f>
        <v/>
      </c>
      <c r="O15" s="24" t="n"/>
      <c r="P15" s="24" t="inlineStr">
        <is>
          <t>Y</t>
        </is>
      </c>
      <c r="Q15" s="24" t="inlineStr">
        <is>
          <t>Migrated from FY27 Revenue Tracker v2 - confirm type/sign</t>
        </is>
      </c>
    </row>
    <row r="16" ht="15" customHeight="1">
      <c r="A16" s="66" t="n">
        <v>46234</v>
      </c>
      <c r="B16" s="64">
        <f>IF(C16="","",IFERROR(INDEX(tbl_Finance[Date],MATCH(C16&amp;"",tbl_Finance[Xero Invoice No],0)),""))</f>
        <v/>
      </c>
      <c r="C16" s="24" t="n"/>
      <c r="D16" s="24" t="inlineStr">
        <is>
          <t>3068</t>
        </is>
      </c>
      <c r="E16" s="25">
        <f>IF(D16="","",IF(COUNTIF(lst_Jobs,D16&amp;"")&gt;0,"OK","CHECK"))</f>
        <v/>
      </c>
      <c r="F16" s="24" t="inlineStr">
        <is>
          <t>NSW Property</t>
        </is>
      </c>
      <c r="G16" s="24" t="inlineStr">
        <is>
          <t>INTEGRATION</t>
        </is>
      </c>
      <c r="H16" s="24" t="inlineStr">
        <is>
          <t>NSW Property  – Penrith 50 Belmore St – Workplace Hub (INV10395 Revenue)</t>
        </is>
      </c>
      <c r="I16" s="24" t="inlineStr">
        <is>
          <t>Accrual - unbilled work</t>
        </is>
      </c>
      <c r="J16" s="26" t="n">
        <v>154.65</v>
      </c>
      <c r="K16" s="25">
        <f>IF(N(J16)=0,"",IF(J16&gt;0,set_WIPAsset,set_WIPIncome))</f>
        <v/>
      </c>
      <c r="L16" s="25">
        <f>IF(N(J16)=0,"",IF(J16&gt;0,set_WIPIncome,set_WIPAsset))</f>
        <v/>
      </c>
      <c r="M16" s="27">
        <f>IF(N(J16)=0,"",ABS(J16))</f>
        <v/>
      </c>
      <c r="N16" s="25">
        <f>IF(N(J16)=0,"","WIP "&amp;I16&amp;IF(D16="",""," - "&amp;D16)&amp;IF(F16="",""," "&amp;F16)&amp;IF(H16="",""," - "&amp;H16))</f>
        <v/>
      </c>
      <c r="O16" s="24" t="n"/>
      <c r="P16" s="24" t="inlineStr">
        <is>
          <t>Y</t>
        </is>
      </c>
      <c r="Q16" s="24" t="inlineStr">
        <is>
          <t>Migrated from FY27 Revenue Tracker v2 - confirm type/sign</t>
        </is>
      </c>
    </row>
    <row r="17" ht="15" customHeight="1">
      <c r="A17" s="66" t="n">
        <v>46234</v>
      </c>
      <c r="B17" s="64">
        <f>IF(C17="","",IFERROR(INDEX(tbl_Finance[Date],MATCH(C17&amp;"",tbl_Finance[Xero Invoice No],0)),""))</f>
        <v/>
      </c>
      <c r="C17" s="24" t="n"/>
      <c r="D17" s="24" t="inlineStr">
        <is>
          <t>25051302</t>
        </is>
      </c>
      <c r="E17" s="25">
        <f>IF(D17="","",IF(COUNTIF(lst_Jobs,D17&amp;"")&gt;0,"OK","CHECK"))</f>
        <v/>
      </c>
      <c r="F17" s="24" t="inlineStr">
        <is>
          <t>NSW Property</t>
        </is>
      </c>
      <c r="G17" s="24" t="inlineStr">
        <is>
          <t>INTEGRATION</t>
        </is>
      </c>
      <c r="H17" s="24" t="inlineStr">
        <is>
          <t>NSW Property - Penrith BDA (INV10396)</t>
        </is>
      </c>
      <c r="I17" s="24" t="inlineStr">
        <is>
          <t>Accrual - unbilled work</t>
        </is>
      </c>
      <c r="J17" s="26" t="n">
        <v>1494.96</v>
      </c>
      <c r="K17" s="25">
        <f>IF(N(J17)=0,"",IF(J17&gt;0,set_WIPAsset,set_WIPIncome))</f>
        <v/>
      </c>
      <c r="L17" s="25">
        <f>IF(N(J17)=0,"",IF(J17&gt;0,set_WIPIncome,set_WIPAsset))</f>
        <v/>
      </c>
      <c r="M17" s="27">
        <f>IF(N(J17)=0,"",ABS(J17))</f>
        <v/>
      </c>
      <c r="N17" s="25">
        <f>IF(N(J17)=0,"","WIP "&amp;I17&amp;IF(D17="",""," - "&amp;D17)&amp;IF(F17="",""," "&amp;F17)&amp;IF(H17="",""," - "&amp;H17))</f>
        <v/>
      </c>
      <c r="O17" s="24" t="n"/>
      <c r="P17" s="24" t="inlineStr">
        <is>
          <t>Y</t>
        </is>
      </c>
      <c r="Q17" s="24" t="inlineStr">
        <is>
          <t>Migrated from FY27 Revenue Tracker v2 - confirm type/sign</t>
        </is>
      </c>
    </row>
    <row r="18" ht="15" customHeight="1">
      <c r="A18" s="66" t="n">
        <v>46234</v>
      </c>
      <c r="B18" s="64">
        <f>IF(C18="","",IFERROR(INDEX(tbl_Finance[Date],MATCH(C18&amp;"",tbl_Finance[Xero Invoice No],0)),""))</f>
        <v/>
      </c>
      <c r="C18" s="24" t="n"/>
      <c r="D18" s="24" t="inlineStr">
        <is>
          <t>25060307</t>
        </is>
      </c>
      <c r="E18" s="25">
        <f>IF(D18="","",IF(COUNTIF(lst_Jobs,D18&amp;"")&gt;0,"OK","CHECK"))</f>
        <v/>
      </c>
      <c r="F18" s="24" t="inlineStr">
        <is>
          <t>NSW Property</t>
        </is>
      </c>
      <c r="G18" s="24" t="inlineStr">
        <is>
          <t>INTEGRATION</t>
        </is>
      </c>
      <c r="H18" s="24" t="inlineStr">
        <is>
          <t>NSW Property - RA Molesworth St (INV10397 Revenue)</t>
        </is>
      </c>
      <c r="I18" s="24" t="inlineStr">
        <is>
          <t>Accrual - unbilled work</t>
        </is>
      </c>
      <c r="J18" s="26" t="n">
        <v>786.14</v>
      </c>
      <c r="K18" s="25">
        <f>IF(N(J18)=0,"",IF(J18&gt;0,set_WIPAsset,set_WIPIncome))</f>
        <v/>
      </c>
      <c r="L18" s="25">
        <f>IF(N(J18)=0,"",IF(J18&gt;0,set_WIPIncome,set_WIPAsset))</f>
        <v/>
      </c>
      <c r="M18" s="27">
        <f>IF(N(J18)=0,"",ABS(J18))</f>
        <v/>
      </c>
      <c r="N18" s="25">
        <f>IF(N(J18)=0,"","WIP "&amp;I18&amp;IF(D18="",""," - "&amp;D18)&amp;IF(F18="",""," "&amp;F18)&amp;IF(H18="",""," - "&amp;H18))</f>
        <v/>
      </c>
      <c r="O18" s="24" t="n"/>
      <c r="P18" s="24" t="inlineStr">
        <is>
          <t>Y</t>
        </is>
      </c>
      <c r="Q18" s="24" t="inlineStr">
        <is>
          <t>Migrated from FY27 Revenue Tracker v2 - confirm type/sign</t>
        </is>
      </c>
    </row>
    <row r="19" ht="15" customHeight="1">
      <c r="A19" s="66" t="n">
        <v>46234</v>
      </c>
      <c r="B19" s="64">
        <f>IF(C19="","",IFERROR(INDEX(tbl_Finance[Date],MATCH(C19&amp;"",tbl_Finance[Xero Invoice No],0)),""))</f>
        <v/>
      </c>
      <c r="C19" s="24" t="n"/>
      <c r="D19" s="24" t="inlineStr">
        <is>
          <t>2510805</t>
        </is>
      </c>
      <c r="E19" s="25">
        <f>IF(D19="","",IF(COUNTIF(lst_Jobs,D19&amp;"")&gt;0,"OK","CHECK"))</f>
        <v/>
      </c>
      <c r="F19" s="24" t="inlineStr">
        <is>
          <t>NSW Property</t>
        </is>
      </c>
      <c r="G19" s="24" t="inlineStr">
        <is>
          <t>INTEGRATION</t>
        </is>
      </c>
      <c r="H19" s="24" t="inlineStr">
        <is>
          <t>NSW Property - RA Newcastle Bellvue (INV10398 Revenue)</t>
        </is>
      </c>
      <c r="I19" s="24" t="inlineStr">
        <is>
          <t>Accrual - unbilled work</t>
        </is>
      </c>
      <c r="J19" s="26" t="n">
        <v>270.64</v>
      </c>
      <c r="K19" s="25">
        <f>IF(N(J19)=0,"",IF(J19&gt;0,set_WIPAsset,set_WIPIncome))</f>
        <v/>
      </c>
      <c r="L19" s="25">
        <f>IF(N(J19)=0,"",IF(J19&gt;0,set_WIPIncome,set_WIPAsset))</f>
        <v/>
      </c>
      <c r="M19" s="27">
        <f>IF(N(J19)=0,"",ABS(J19))</f>
        <v/>
      </c>
      <c r="N19" s="25">
        <f>IF(N(J19)=0,"","WIP "&amp;I19&amp;IF(D19="",""," - "&amp;D19)&amp;IF(F19="",""," "&amp;F19)&amp;IF(H19="",""," - "&amp;H19))</f>
        <v/>
      </c>
      <c r="O19" s="24" t="n"/>
      <c r="P19" s="24" t="inlineStr">
        <is>
          <t>Y</t>
        </is>
      </c>
      <c r="Q19" s="24" t="inlineStr">
        <is>
          <t>Migrated from FY27 Revenue Tracker v2 - confirm type/sign</t>
        </is>
      </c>
    </row>
    <row r="20" ht="15" customHeight="1">
      <c r="A20" s="66" t="n">
        <v>46234</v>
      </c>
      <c r="B20" s="64">
        <f>IF(C20="","",IFERROR(INDEX(tbl_Finance[Date],MATCH(C20&amp;"",tbl_Finance[Xero Invoice No],0)),""))</f>
        <v/>
      </c>
      <c r="C20" s="24" t="n"/>
      <c r="D20" s="24" t="inlineStr">
        <is>
          <t>2603202</t>
        </is>
      </c>
      <c r="E20" s="25">
        <f>IF(D20="","",IF(COUNTIF(lst_Jobs,D20&amp;"")&gt;0,"OK","CHECK"))</f>
        <v/>
      </c>
      <c r="F20" s="24" t="inlineStr">
        <is>
          <t>NSW Property</t>
        </is>
      </c>
      <c r="G20" s="24" t="inlineStr">
        <is>
          <t>INTEGRATION</t>
        </is>
      </c>
      <c r="H20" s="24" t="inlineStr">
        <is>
          <t>NSW Property - 5 O’Keefe Ave Nowra Workplace Hub (INV10399 Revenue)</t>
        </is>
      </c>
      <c r="I20" s="24" t="inlineStr">
        <is>
          <t>Accrual - unbilled work</t>
        </is>
      </c>
      <c r="J20" s="26" t="n">
        <v>2242.44</v>
      </c>
      <c r="K20" s="25">
        <f>IF(N(J20)=0,"",IF(J20&gt;0,set_WIPAsset,set_WIPIncome))</f>
        <v/>
      </c>
      <c r="L20" s="25">
        <f>IF(N(J20)=0,"",IF(J20&gt;0,set_WIPIncome,set_WIPAsset))</f>
        <v/>
      </c>
      <c r="M20" s="27">
        <f>IF(N(J20)=0,"",ABS(J20))</f>
        <v/>
      </c>
      <c r="N20" s="25">
        <f>IF(N(J20)=0,"","WIP "&amp;I20&amp;IF(D20="",""," - "&amp;D20)&amp;IF(F20="",""," "&amp;F20)&amp;IF(H20="",""," - "&amp;H20))</f>
        <v/>
      </c>
      <c r="O20" s="24" t="n"/>
      <c r="P20" s="24" t="inlineStr">
        <is>
          <t>Y</t>
        </is>
      </c>
      <c r="Q20" s="24" t="inlineStr">
        <is>
          <t>Migrated from FY27 Revenue Tracker v2 - confirm type/sign</t>
        </is>
      </c>
    </row>
    <row r="21" ht="15" customHeight="1">
      <c r="A21" s="66" t="n">
        <v>46234</v>
      </c>
      <c r="B21" s="64">
        <f>IF(C21="","",IFERROR(INDEX(tbl_Finance[Date],MATCH(C21&amp;"",tbl_Finance[Xero Invoice No],0)),""))</f>
        <v/>
      </c>
      <c r="C21" s="24" t="n"/>
      <c r="D21" s="24" t="inlineStr">
        <is>
          <t>25041502</t>
        </is>
      </c>
      <c r="E21" s="25">
        <f>IF(D21="","",IF(COUNTIF(lst_Jobs,D21&amp;"")&gt;0,"OK","CHECK"))</f>
        <v/>
      </c>
      <c r="F21" s="24" t="inlineStr">
        <is>
          <t>NSW Property</t>
        </is>
      </c>
      <c r="G21" s="24" t="inlineStr">
        <is>
          <t>INTEGRATION</t>
        </is>
      </c>
      <c r="H21" s="24" t="inlineStr">
        <is>
          <t>NSW Property -  Maitland 510-516 High St WP Services (INV10400 Revenue)</t>
        </is>
      </c>
      <c r="I21" s="24" t="inlineStr">
        <is>
          <t>Accrual - unbilled work</t>
        </is>
      </c>
      <c r="J21" s="26" t="n">
        <v>3041.47</v>
      </c>
      <c r="K21" s="25">
        <f>IF(N(J21)=0,"",IF(J21&gt;0,set_WIPAsset,set_WIPIncome))</f>
        <v/>
      </c>
      <c r="L21" s="25">
        <f>IF(N(J21)=0,"",IF(J21&gt;0,set_WIPIncome,set_WIPAsset))</f>
        <v/>
      </c>
      <c r="M21" s="27">
        <f>IF(N(J21)=0,"",ABS(J21))</f>
        <v/>
      </c>
      <c r="N21" s="25">
        <f>IF(N(J21)=0,"","WIP "&amp;I21&amp;IF(D21="",""," - "&amp;D21)&amp;IF(F21="",""," "&amp;F21)&amp;IF(H21="",""," - "&amp;H21))</f>
        <v/>
      </c>
      <c r="O21" s="24" t="n"/>
      <c r="P21" s="24" t="inlineStr">
        <is>
          <t>Y</t>
        </is>
      </c>
      <c r="Q21" s="24" t="inlineStr">
        <is>
          <t>Migrated from FY27 Revenue Tracker v2 - confirm type/sign</t>
        </is>
      </c>
    </row>
    <row r="22" ht="15" customHeight="1">
      <c r="A22" s="66" t="n">
        <v>46234</v>
      </c>
      <c r="B22" s="64">
        <f>IF(C22="","",IFERROR(INDEX(tbl_Finance[Date],MATCH(C22&amp;"",tbl_Finance[Xero Invoice No],0)),""))</f>
        <v/>
      </c>
      <c r="C22" s="24" t="n"/>
      <c r="D22" s="24" t="inlineStr">
        <is>
          <t>3068</t>
        </is>
      </c>
      <c r="E22" s="25">
        <f>IF(D22="","",IF(COUNTIF(lst_Jobs,D22&amp;"")&gt;0,"OK","CHECK"))</f>
        <v/>
      </c>
      <c r="F22" s="24" t="inlineStr">
        <is>
          <t>NSW Property</t>
        </is>
      </c>
      <c r="G22" s="24" t="inlineStr">
        <is>
          <t>INTEGRATION</t>
        </is>
      </c>
      <c r="H22" s="24" t="inlineStr">
        <is>
          <t>NSW Property -  252 Pitt St Parkline Workplace Hub (INV10401 Revenue)</t>
        </is>
      </c>
      <c r="I22" s="24" t="inlineStr">
        <is>
          <t>Accrual - unbilled work</t>
        </is>
      </c>
      <c r="J22" s="26" t="n">
        <v>4085.36</v>
      </c>
      <c r="K22" s="25">
        <f>IF(N(J22)=0,"",IF(J22&gt;0,set_WIPAsset,set_WIPIncome))</f>
        <v/>
      </c>
      <c r="L22" s="25">
        <f>IF(N(J22)=0,"",IF(J22&gt;0,set_WIPIncome,set_WIPAsset))</f>
        <v/>
      </c>
      <c r="M22" s="27">
        <f>IF(N(J22)=0,"",ABS(J22))</f>
        <v/>
      </c>
      <c r="N22" s="25">
        <f>IF(N(J22)=0,"","WIP "&amp;I22&amp;IF(D22="",""," - "&amp;D22)&amp;IF(F22="",""," "&amp;F22)&amp;IF(H22="",""," - "&amp;H22))</f>
        <v/>
      </c>
      <c r="O22" s="24" t="n"/>
      <c r="P22" s="24" t="inlineStr">
        <is>
          <t>Y</t>
        </is>
      </c>
      <c r="Q22" s="24" t="inlineStr">
        <is>
          <t>Migrated from FY27 Revenue Tracker v2 - confirm type/sign</t>
        </is>
      </c>
    </row>
    <row r="23" ht="15" customHeight="1">
      <c r="A23" s="66" t="n">
        <v>46234</v>
      </c>
      <c r="B23" s="64">
        <f>IF(C23="","",IFERROR(INDEX(tbl_Finance[Date],MATCH(C23&amp;"",tbl_Finance[Xero Invoice No],0)),""))</f>
        <v/>
      </c>
      <c r="C23" s="24" t="n"/>
      <c r="D23" s="24" t="inlineStr">
        <is>
          <t>2510205</t>
        </is>
      </c>
      <c r="E23" s="25">
        <f>IF(D23="","",IF(COUNTIF(lst_Jobs,D23&amp;"")&gt;0,"OK","CHECK"))</f>
        <v/>
      </c>
      <c r="F23" s="24" t="inlineStr">
        <is>
          <t>NSW Property</t>
        </is>
      </c>
      <c r="G23" s="24" t="inlineStr">
        <is>
          <t>INTEGRATION</t>
        </is>
      </c>
      <c r="H23" s="24" t="inlineStr">
        <is>
          <t>NSW Property - Sydney 1 Prince Albert Workplace Hub (INV10412 Revenue)</t>
        </is>
      </c>
      <c r="I23" s="24" t="inlineStr">
        <is>
          <t>Accrual - unbilled work</t>
        </is>
      </c>
      <c r="J23" s="26" t="n">
        <v>1868.7</v>
      </c>
      <c r="K23" s="25">
        <f>IF(N(J23)=0,"",IF(J23&gt;0,set_WIPAsset,set_WIPIncome))</f>
        <v/>
      </c>
      <c r="L23" s="25">
        <f>IF(N(J23)=0,"",IF(J23&gt;0,set_WIPIncome,set_WIPAsset))</f>
        <v/>
      </c>
      <c r="M23" s="27">
        <f>IF(N(J23)=0,"",ABS(J23))</f>
        <v/>
      </c>
      <c r="N23" s="25">
        <f>IF(N(J23)=0,"","WIP "&amp;I23&amp;IF(D23="",""," - "&amp;D23)&amp;IF(F23="",""," "&amp;F23)&amp;IF(H23="",""," - "&amp;H23))</f>
        <v/>
      </c>
      <c r="O23" s="24" t="n"/>
      <c r="P23" s="24" t="inlineStr">
        <is>
          <t>Y</t>
        </is>
      </c>
      <c r="Q23" s="24" t="inlineStr">
        <is>
          <t>Migrated from FY27 Revenue Tracker v2 - confirm type/sign</t>
        </is>
      </c>
    </row>
    <row r="24" ht="15" customHeight="1">
      <c r="A24" s="66" t="n">
        <v>46234</v>
      </c>
      <c r="B24" s="64">
        <f>IF(C24="","",IFERROR(INDEX(tbl_Finance[Date],MATCH(C24&amp;"",tbl_Finance[Xero Invoice No],0)),""))</f>
        <v/>
      </c>
      <c r="C24" s="24" t="n"/>
      <c r="D24" s="24" t="inlineStr">
        <is>
          <t>26043001</t>
        </is>
      </c>
      <c r="E24" s="25">
        <f>IF(D24="","",IF(COUNTIF(lst_Jobs,D24&amp;"")&gt;0,"OK","CHECK"))</f>
        <v/>
      </c>
      <c r="F24" s="24" t="inlineStr">
        <is>
          <t>CBA</t>
        </is>
      </c>
      <c r="G24" s="24" t="inlineStr">
        <is>
          <t>ONSITE</t>
        </is>
      </c>
      <c r="H24" s="24" t="inlineStr">
        <is>
          <t>CBA Melbourne Half of May 2026 not invoiced yet (Invoiced in June)</t>
        </is>
      </c>
      <c r="I24" s="24" t="inlineStr">
        <is>
          <t>Deferral - invoiced in advance</t>
        </is>
      </c>
      <c r="J24" s="26" t="n">
        <v>-5950</v>
      </c>
      <c r="K24" s="25">
        <f>IF(N(J24)=0,"",IF(J24&gt;0,set_WIPAsset,set_WIPIncome))</f>
        <v/>
      </c>
      <c r="L24" s="25">
        <f>IF(N(J24)=0,"",IF(J24&gt;0,set_WIPIncome,set_WIPAsset))</f>
        <v/>
      </c>
      <c r="M24" s="27">
        <f>IF(N(J24)=0,"",ABS(J24))</f>
        <v/>
      </c>
      <c r="N24" s="25">
        <f>IF(N(J24)=0,"","WIP "&amp;I24&amp;IF(D24="",""," - "&amp;D24)&amp;IF(F24="",""," "&amp;F24)&amp;IF(H24="",""," - "&amp;H24))</f>
        <v/>
      </c>
      <c r="O24" s="24" t="n"/>
      <c r="P24" s="24" t="inlineStr">
        <is>
          <t>Y</t>
        </is>
      </c>
      <c r="Q24" s="24" t="inlineStr">
        <is>
          <t>Migrated from FY27 Revenue Tracker v2 - confirm type/sign</t>
        </is>
      </c>
    </row>
    <row r="25" ht="15" customHeight="1">
      <c r="A25" s="66" t="n">
        <v>46234</v>
      </c>
      <c r="B25" s="64">
        <f>IF(C25="","",IFERROR(INDEX(tbl_Finance[Date],MATCH(C25&amp;"",tbl_Finance[Xero Invoice No],0)),""))</f>
        <v/>
      </c>
      <c r="C25" s="24" t="n"/>
      <c r="D25" s="24" t="inlineStr">
        <is>
          <t>2604704</t>
        </is>
      </c>
      <c r="E25" s="25">
        <f>IF(D25="","",IF(COUNTIF(lst_Jobs,D25&amp;"")&gt;0,"OK","CHECK"))</f>
        <v/>
      </c>
      <c r="F25" s="24" t="inlineStr">
        <is>
          <t>Aware Super</t>
        </is>
      </c>
      <c r="G25" s="24" t="inlineStr">
        <is>
          <t>INTEGRATION</t>
        </is>
      </c>
      <c r="H25" s="24" t="inlineStr">
        <is>
          <t>Aware Super Seminar Room Audio Upgrade [INT] Revenue</t>
        </is>
      </c>
      <c r="I25" s="24" t="inlineStr">
        <is>
          <t>Accrual - unbilled work</t>
        </is>
      </c>
      <c r="J25" s="26" t="n">
        <v>1821.25</v>
      </c>
      <c r="K25" s="25">
        <f>IF(N(J25)=0,"",IF(J25&gt;0,set_WIPAsset,set_WIPIncome))</f>
        <v/>
      </c>
      <c r="L25" s="25">
        <f>IF(N(J25)=0,"",IF(J25&gt;0,set_WIPIncome,set_WIPAsset))</f>
        <v/>
      </c>
      <c r="M25" s="27">
        <f>IF(N(J25)=0,"",ABS(J25))</f>
        <v/>
      </c>
      <c r="N25" s="25">
        <f>IF(N(J25)=0,"","WIP "&amp;I25&amp;IF(D25="",""," - "&amp;D25)&amp;IF(F25="",""," "&amp;F25)&amp;IF(H25="",""," - "&amp;H25))</f>
        <v/>
      </c>
      <c r="O25" s="24" t="n"/>
      <c r="P25" s="24" t="inlineStr">
        <is>
          <t>Y</t>
        </is>
      </c>
      <c r="Q25" s="24" t="inlineStr">
        <is>
          <t>Migrated from FY27 Revenue Tracker v2 - confirm type/sign</t>
        </is>
      </c>
    </row>
    <row r="26" ht="15" customHeight="1">
      <c r="A26" s="66" t="n">
        <v>46234</v>
      </c>
      <c r="B26" s="64">
        <f>IF(C26="","",IFERROR(INDEX(tbl_Finance[Date],MATCH(C26&amp;"",tbl_Finance[Xero Invoice No],0)),""))</f>
        <v/>
      </c>
      <c r="C26" s="24" t="n"/>
      <c r="D26" s="24" t="inlineStr">
        <is>
          <t>3028</t>
        </is>
      </c>
      <c r="E26" s="25">
        <f>IF(D26="","",IF(COUNTIF(lst_Jobs,D26&amp;"")&gt;0,"OK","CHECK"))</f>
        <v/>
      </c>
      <c r="F26" s="24" t="inlineStr">
        <is>
          <t>APA</t>
        </is>
      </c>
      <c r="G26" s="24" t="inlineStr">
        <is>
          <t>INTEGRATION</t>
        </is>
      </c>
      <c r="H26" s="24" t="inlineStr">
        <is>
          <t>APA Kidman Proxyclick Term 3 Jun26-Dec26 INV-10477 (Revenue)</t>
        </is>
      </c>
      <c r="I26" s="24" t="inlineStr">
        <is>
          <t>Accrual - unbilled work</t>
        </is>
      </c>
      <c r="J26" s="26" t="n">
        <v>996.74</v>
      </c>
      <c r="K26" s="25">
        <f>IF(N(J26)=0,"",IF(J26&gt;0,set_WIPAsset,set_WIPIncome))</f>
        <v/>
      </c>
      <c r="L26" s="25">
        <f>IF(N(J26)=0,"",IF(J26&gt;0,set_WIPIncome,set_WIPAsset))</f>
        <v/>
      </c>
      <c r="M26" s="27">
        <f>IF(N(J26)=0,"",ABS(J26))</f>
        <v/>
      </c>
      <c r="N26" s="25">
        <f>IF(N(J26)=0,"","WIP "&amp;I26&amp;IF(D26="",""," - "&amp;D26)&amp;IF(F26="",""," "&amp;F26)&amp;IF(H26="",""," - "&amp;H26))</f>
        <v/>
      </c>
      <c r="O26" s="24" t="n"/>
      <c r="P26" s="24" t="inlineStr">
        <is>
          <t>Y</t>
        </is>
      </c>
      <c r="Q26" s="24" t="inlineStr">
        <is>
          <t>Migrated from FY27 Revenue Tracker v2 - confirm type/sign</t>
        </is>
      </c>
    </row>
    <row r="27" ht="15" customHeight="1">
      <c r="A27" s="66" t="n">
        <v>46234</v>
      </c>
      <c r="B27" s="64">
        <f>IF(C27="","",IFERROR(INDEX(tbl_Finance[Date],MATCH(C27&amp;"",tbl_Finance[Xero Invoice No],0)),""))</f>
        <v/>
      </c>
      <c r="C27" s="24" t="n"/>
      <c r="D27" s="24" t="inlineStr">
        <is>
          <t>2855</t>
        </is>
      </c>
      <c r="E27" s="25">
        <f>IF(D27="","",IF(COUNTIF(lst_Jobs,D27&amp;"")&gt;0,"OK","CHECK"))</f>
        <v/>
      </c>
      <c r="F27" s="24" t="inlineStr">
        <is>
          <t>APA</t>
        </is>
      </c>
      <c r="G27" s="24" t="inlineStr">
        <is>
          <t>INTEGRATION</t>
        </is>
      </c>
      <c r="H27" s="24" t="inlineStr">
        <is>
          <t>APA Melbourne Proxyclick Jul26-Jun27 INV-10501(Revenue)</t>
        </is>
      </c>
      <c r="I27" s="24" t="inlineStr">
        <is>
          <t>Accrual - unbilled work</t>
        </is>
      </c>
      <c r="J27" s="26" t="n">
        <v>1357.33</v>
      </c>
      <c r="K27" s="25">
        <f>IF(N(J27)=0,"",IF(J27&gt;0,set_WIPAsset,set_WIPIncome))</f>
        <v/>
      </c>
      <c r="L27" s="25">
        <f>IF(N(J27)=0,"",IF(J27&gt;0,set_WIPIncome,set_WIPAsset))</f>
        <v/>
      </c>
      <c r="M27" s="27">
        <f>IF(N(J27)=0,"",ABS(J27))</f>
        <v/>
      </c>
      <c r="N27" s="25">
        <f>IF(N(J27)=0,"","WIP "&amp;I27&amp;IF(D27="",""," - "&amp;D27)&amp;IF(F27="",""," "&amp;F27)&amp;IF(H27="",""," - "&amp;H27))</f>
        <v/>
      </c>
      <c r="O27" s="24" t="n"/>
      <c r="P27" s="24" t="inlineStr">
        <is>
          <t>Y</t>
        </is>
      </c>
      <c r="Q27" s="24" t="inlineStr">
        <is>
          <t>Migrated from FY27 Revenue Tracker v2 - confirm type/sign</t>
        </is>
      </c>
    </row>
    <row r="28" ht="15" customHeight="1">
      <c r="A28" s="66" t="n">
        <v>46234</v>
      </c>
      <c r="B28" s="64">
        <f>IF(C28="","",IFERROR(INDEX(tbl_Finance[Date],MATCH(C28&amp;"",tbl_Finance[Xero Invoice No],0)),""))</f>
        <v/>
      </c>
      <c r="C28" s="24" t="n"/>
      <c r="D28" s="24" t="inlineStr">
        <is>
          <t>2857</t>
        </is>
      </c>
      <c r="E28" s="25">
        <f>IF(D28="","",IF(COUNTIF(lst_Jobs,D28&amp;"")&gt;0,"OK","CHECK"))</f>
        <v/>
      </c>
      <c r="F28" s="24" t="inlineStr">
        <is>
          <t>APA</t>
        </is>
      </c>
      <c r="G28" s="24" t="inlineStr">
        <is>
          <t>INTEGRATION</t>
        </is>
      </c>
      <c r="H28" s="24" t="inlineStr">
        <is>
          <t>APA Sydney Proxyclick Jul26-Jun27 INV-10502(Revenue)</t>
        </is>
      </c>
      <c r="I28" s="24" t="inlineStr">
        <is>
          <t>Accrual - unbilled work</t>
        </is>
      </c>
      <c r="J28" s="26" t="n">
        <v>1357.33</v>
      </c>
      <c r="K28" s="25">
        <f>IF(N(J28)=0,"",IF(J28&gt;0,set_WIPAsset,set_WIPIncome))</f>
        <v/>
      </c>
      <c r="L28" s="25">
        <f>IF(N(J28)=0,"",IF(J28&gt;0,set_WIPIncome,set_WIPAsset))</f>
        <v/>
      </c>
      <c r="M28" s="27">
        <f>IF(N(J28)=0,"",ABS(J28))</f>
        <v/>
      </c>
      <c r="N28" s="25">
        <f>IF(N(J28)=0,"","WIP "&amp;I28&amp;IF(D28="",""," - "&amp;D28)&amp;IF(F28="",""," "&amp;F28)&amp;IF(H28="",""," - "&amp;H28))</f>
        <v/>
      </c>
      <c r="O28" s="24" t="n"/>
      <c r="P28" s="24" t="inlineStr">
        <is>
          <t>Y</t>
        </is>
      </c>
      <c r="Q28" s="24" t="inlineStr">
        <is>
          <t>Migrated from FY27 Revenue Tracker v2 - confirm type/sign</t>
        </is>
      </c>
    </row>
    <row r="29" ht="15" customHeight="1">
      <c r="A29" s="66" t="n">
        <v>46234</v>
      </c>
      <c r="B29" s="64">
        <f>IF(C29="","",IFERROR(INDEX(tbl_Finance[Date],MATCH(C29&amp;"",tbl_Finance[Xero Invoice No],0)),""))</f>
        <v/>
      </c>
      <c r="C29" s="24" t="n"/>
      <c r="D29" s="24" t="inlineStr">
        <is>
          <t>2848</t>
        </is>
      </c>
      <c r="E29" s="25">
        <f>IF(D29="","",IF(COUNTIF(lst_Jobs,D29&amp;"")&gt;0,"OK","CHECK"))</f>
        <v/>
      </c>
      <c r="F29" s="24" t="inlineStr">
        <is>
          <t>APA</t>
        </is>
      </c>
      <c r="G29" s="24" t="inlineStr">
        <is>
          <t>INTEGRATION</t>
        </is>
      </c>
      <c r="H29" s="24" t="inlineStr">
        <is>
          <t>APA Adelaide Proxyclick INV-10514 Renewal Jul26-Jun27 (Revenue)</t>
        </is>
      </c>
      <c r="I29" s="24" t="inlineStr">
        <is>
          <t>Accrual - unbilled work</t>
        </is>
      </c>
      <c r="J29" s="26" t="n">
        <v>618.08</v>
      </c>
      <c r="K29" s="25">
        <f>IF(N(J29)=0,"",IF(J29&gt;0,set_WIPAsset,set_WIPIncome))</f>
        <v/>
      </c>
      <c r="L29" s="25">
        <f>IF(N(J29)=0,"",IF(J29&gt;0,set_WIPIncome,set_WIPAsset))</f>
        <v/>
      </c>
      <c r="M29" s="27">
        <f>IF(N(J29)=0,"",ABS(J29))</f>
        <v/>
      </c>
      <c r="N29" s="25">
        <f>IF(N(J29)=0,"","WIP "&amp;I29&amp;IF(D29="",""," - "&amp;D29)&amp;IF(F29="",""," "&amp;F29)&amp;IF(H29="",""," - "&amp;H29))</f>
        <v/>
      </c>
      <c r="O29" s="24" t="n"/>
      <c r="P29" s="24" t="inlineStr">
        <is>
          <t>Y</t>
        </is>
      </c>
      <c r="Q29" s="24" t="inlineStr">
        <is>
          <t>Migrated from FY27 Revenue Tracker v2 - confirm type/sign</t>
        </is>
      </c>
    </row>
    <row r="30" ht="15" customHeight="1">
      <c r="A30" s="66" t="n">
        <v>46234</v>
      </c>
      <c r="B30" s="64">
        <f>IF(C30="","",IFERROR(INDEX(tbl_Finance[Date],MATCH(C30&amp;"",tbl_Finance[Xero Invoice No],0)),""))</f>
        <v/>
      </c>
      <c r="C30" s="24" t="n"/>
      <c r="D30" s="24" t="inlineStr">
        <is>
          <t>2606101</t>
        </is>
      </c>
      <c r="E30" s="25">
        <f>IF(D30="","",IF(COUNTIF(lst_Jobs,D30&amp;"")&gt;0,"OK","CHECK"))</f>
        <v/>
      </c>
      <c r="F30" s="24" t="inlineStr">
        <is>
          <t>APA</t>
        </is>
      </c>
      <c r="G30" s="24" t="inlineStr">
        <is>
          <t>INTEGRATION</t>
        </is>
      </c>
      <c r="H30" s="24" t="inlineStr">
        <is>
          <t>APA | Young Eptura Proxyclick Licence Renewal Mar27-Feb28 INV-10548 (Revenue)</t>
        </is>
      </c>
      <c r="I30" s="24" t="inlineStr">
        <is>
          <t>Deferral - invoiced in advance</t>
        </is>
      </c>
      <c r="J30" s="26" t="n">
        <v>-4205</v>
      </c>
      <c r="K30" s="25">
        <f>IF(N(J30)=0,"",IF(J30&gt;0,set_WIPAsset,set_WIPIncome))</f>
        <v/>
      </c>
      <c r="L30" s="25">
        <f>IF(N(J30)=0,"",IF(J30&gt;0,set_WIPIncome,set_WIPAsset))</f>
        <v/>
      </c>
      <c r="M30" s="27">
        <f>IF(N(J30)=0,"",ABS(J30))</f>
        <v/>
      </c>
      <c r="N30" s="25">
        <f>IF(N(J30)=0,"","WIP "&amp;I30&amp;IF(D30="",""," - "&amp;D30)&amp;IF(F30="",""," "&amp;F30)&amp;IF(H30="",""," - "&amp;H30))</f>
        <v/>
      </c>
      <c r="O30" s="24" t="n"/>
      <c r="P30" s="24" t="inlineStr">
        <is>
          <t>Y</t>
        </is>
      </c>
      <c r="Q30" s="24" t="inlineStr">
        <is>
          <t>Migrated from FY27 Revenue Tracker v2 - confirm type/sign</t>
        </is>
      </c>
    </row>
    <row r="31" ht="15" customHeight="1">
      <c r="A31" s="66" t="n">
        <v>46234</v>
      </c>
      <c r="B31" s="64">
        <f>IF(C31="","",IFERROR(INDEX(tbl_Finance[Date],MATCH(C31&amp;"",tbl_Finance[Xero Invoice No],0)),""))</f>
        <v/>
      </c>
      <c r="C31" s="24" t="n"/>
      <c r="D31" s="24" t="inlineStr">
        <is>
          <t>2605402</t>
        </is>
      </c>
      <c r="E31" s="25">
        <f>IF(D31="","",IF(COUNTIF(lst_Jobs,D31&amp;"")&gt;0,"OK","CHECK"))</f>
        <v/>
      </c>
      <c r="F31" s="24" t="inlineStr">
        <is>
          <t>AGL</t>
        </is>
      </c>
      <c r="G31" s="24" t="inlineStr">
        <is>
          <t>PRODUCTION</t>
        </is>
      </c>
      <c r="H31" s="24" t="inlineStr">
        <is>
          <t>AGL FYR - Employee Town Hall [PRD] pre-prod work</t>
        </is>
      </c>
      <c r="I31" s="24" t="inlineStr">
        <is>
          <t>Accrual - unbilled work</t>
        </is>
      </c>
      <c r="J31" s="26" t="n">
        <v>1322.5</v>
      </c>
      <c r="K31" s="25">
        <f>IF(N(J31)=0,"",IF(J31&gt;0,set_WIPAsset,set_WIPIncome))</f>
        <v/>
      </c>
      <c r="L31" s="25">
        <f>IF(N(J31)=0,"",IF(J31&gt;0,set_WIPIncome,set_WIPAsset))</f>
        <v/>
      </c>
      <c r="M31" s="27">
        <f>IF(N(J31)=0,"",ABS(J31))</f>
        <v/>
      </c>
      <c r="N31" s="25">
        <f>IF(N(J31)=0,"","WIP "&amp;I31&amp;IF(D31="",""," - "&amp;D31)&amp;IF(F31="",""," "&amp;F31)&amp;IF(H31="",""," - "&amp;H31))</f>
        <v/>
      </c>
      <c r="O31" s="24" t="n"/>
      <c r="P31" s="24" t="inlineStr">
        <is>
          <t>Y</t>
        </is>
      </c>
      <c r="Q31" s="24" t="inlineStr">
        <is>
          <t>Migrated from FY27 Revenue Tracker v2 - confirm type/sign</t>
        </is>
      </c>
    </row>
    <row r="32" ht="15" customHeight="1">
      <c r="A32" s="66" t="n">
        <v>46234</v>
      </c>
      <c r="B32" s="64">
        <f>IF(C32="","",IFERROR(INDEX(tbl_Finance[Date],MATCH(C32&amp;"",tbl_Finance[Xero Invoice No],0)),""))</f>
        <v/>
      </c>
      <c r="C32" s="24" t="n"/>
      <c r="D32" s="24" t="inlineStr">
        <is>
          <t>26061105</t>
        </is>
      </c>
      <c r="E32" s="25">
        <f>IF(D32="","",IF(COUNTIF(lst_Jobs,D32&amp;"")&gt;0,"OK","CHECK"))</f>
        <v/>
      </c>
      <c r="F32" s="24" t="inlineStr">
        <is>
          <t>CBA</t>
        </is>
      </c>
      <c r="G32" s="24" t="inlineStr">
        <is>
          <t>PRODUCTION</t>
        </is>
      </c>
      <c r="H32" s="24" t="inlineStr">
        <is>
          <t>CBA - FYR 2026 - 12.8.26 [PRD] pre-prod work</t>
        </is>
      </c>
      <c r="I32" s="24" t="inlineStr">
        <is>
          <t>Accrual - unbilled work</t>
        </is>
      </c>
      <c r="J32" s="26" t="n">
        <v>417.5</v>
      </c>
      <c r="K32" s="25">
        <f>IF(N(J32)=0,"",IF(J32&gt;0,set_WIPAsset,set_WIPIncome))</f>
        <v/>
      </c>
      <c r="L32" s="25">
        <f>IF(N(J32)=0,"",IF(J32&gt;0,set_WIPIncome,set_WIPAsset))</f>
        <v/>
      </c>
      <c r="M32" s="27">
        <f>IF(N(J32)=0,"",ABS(J32))</f>
        <v/>
      </c>
      <c r="N32" s="25">
        <f>IF(N(J32)=0,"","WIP "&amp;I32&amp;IF(D32="",""," - "&amp;D32)&amp;IF(F32="",""," "&amp;F32)&amp;IF(H32="",""," - "&amp;H32))</f>
        <v/>
      </c>
      <c r="O32" s="24" t="n"/>
      <c r="P32" s="24" t="inlineStr">
        <is>
          <t>Y</t>
        </is>
      </c>
      <c r="Q32" s="24" t="inlineStr">
        <is>
          <t>Migrated from FY27 Revenue Tracker v2 - confirm type/sign</t>
        </is>
      </c>
    </row>
    <row r="33" ht="15" customHeight="1">
      <c r="A33" s="66" t="n">
        <v>46234</v>
      </c>
      <c r="B33" s="64">
        <f>IF(C33="","",IFERROR(INDEX(tbl_Finance[Date],MATCH(C33&amp;"",tbl_Finance[Xero Invoice No],0)),""))</f>
        <v/>
      </c>
      <c r="C33" s="24" t="n"/>
      <c r="D33" s="24" t="inlineStr">
        <is>
          <t>2606903</t>
        </is>
      </c>
      <c r="E33" s="25">
        <f>IF(D33="","",IF(COUNTIF(lst_Jobs,D33&amp;"")&gt;0,"OK","CHECK"))</f>
        <v/>
      </c>
      <c r="F33" s="24" t="inlineStr">
        <is>
          <t>Virgin</t>
        </is>
      </c>
      <c r="G33" s="24" t="inlineStr">
        <is>
          <t>PRODUCTION</t>
        </is>
      </c>
      <c r="H33" s="24" t="inlineStr">
        <is>
          <t>Virgin FY26 Results [PRD] pre-prod work</t>
        </is>
      </c>
      <c r="I33" s="24" t="inlineStr">
        <is>
          <t>Accrual - unbilled work</t>
        </is>
      </c>
      <c r="J33" s="26" t="n">
        <v>57.5</v>
      </c>
      <c r="K33" s="25">
        <f>IF(N(J33)=0,"",IF(J33&gt;0,set_WIPAsset,set_WIPIncome))</f>
        <v/>
      </c>
      <c r="L33" s="25">
        <f>IF(N(J33)=0,"",IF(J33&gt;0,set_WIPIncome,set_WIPAsset))</f>
        <v/>
      </c>
      <c r="M33" s="27">
        <f>IF(N(J33)=0,"",ABS(J33))</f>
        <v/>
      </c>
      <c r="N33" s="25">
        <f>IF(N(J33)=0,"","WIP "&amp;I33&amp;IF(D33="",""," - "&amp;D33)&amp;IF(F33="",""," "&amp;F33)&amp;IF(H33="",""," - "&amp;H33))</f>
        <v/>
      </c>
      <c r="O33" s="24" t="n"/>
      <c r="P33" s="24" t="inlineStr">
        <is>
          <t>Y</t>
        </is>
      </c>
      <c r="Q33" s="24" t="inlineStr">
        <is>
          <t>Migrated from FY27 Revenue Tracker v2 - confirm type/sign</t>
        </is>
      </c>
    </row>
    <row r="34" ht="15" customHeight="1">
      <c r="A34" s="66" t="n">
        <v>46234</v>
      </c>
      <c r="B34" s="64">
        <f>IF(C34="","",IFERROR(INDEX(tbl_Finance[Date],MATCH(C34&amp;"",tbl_Finance[Xero Invoice No],0)),""))</f>
        <v/>
      </c>
      <c r="C34" s="24" t="n"/>
      <c r="D34" s="24" t="inlineStr">
        <is>
          <t>26061109</t>
        </is>
      </c>
      <c r="E34" s="25">
        <f>IF(D34="","",IF(COUNTIF(lst_Jobs,D34&amp;"")&gt;0,"OK","CHECK"))</f>
        <v/>
      </c>
      <c r="F34" s="24" t="inlineStr">
        <is>
          <t>Ventia</t>
        </is>
      </c>
      <c r="G34" s="24" t="inlineStr">
        <is>
          <t>PRODUCTION</t>
        </is>
      </c>
      <c r="H34" s="24" t="inlineStr">
        <is>
          <t>Ventia - FYR26 - 24.8.26 [PRD] pre-prod work</t>
        </is>
      </c>
      <c r="I34" s="24" t="inlineStr">
        <is>
          <t>Accrual - unbilled work</t>
        </is>
      </c>
      <c r="J34" s="26" t="n">
        <v>862.5</v>
      </c>
      <c r="K34" s="25">
        <f>IF(N(J34)=0,"",IF(J34&gt;0,set_WIPAsset,set_WIPIncome))</f>
        <v/>
      </c>
      <c r="L34" s="25">
        <f>IF(N(J34)=0,"",IF(J34&gt;0,set_WIPIncome,set_WIPAsset))</f>
        <v/>
      </c>
      <c r="M34" s="27">
        <f>IF(N(J34)=0,"",ABS(J34))</f>
        <v/>
      </c>
      <c r="N34" s="25">
        <f>IF(N(J34)=0,"","WIP "&amp;I34&amp;IF(D34="",""," - "&amp;D34)&amp;IF(F34="",""," "&amp;F34)&amp;IF(H34="",""," - "&amp;H34))</f>
        <v/>
      </c>
      <c r="O34" s="24" t="n"/>
      <c r="P34" s="24" t="inlineStr">
        <is>
          <t>Y</t>
        </is>
      </c>
      <c r="Q34" s="24" t="inlineStr">
        <is>
          <t>Migrated from FY27 Revenue Tracker v2 - confirm type/sign</t>
        </is>
      </c>
    </row>
    <row r="35" ht="15" customHeight="1">
      <c r="A35" s="66" t="n">
        <v>46234</v>
      </c>
      <c r="B35" s="64">
        <f>IF(C35="","",IFERROR(INDEX(tbl_Finance[Date],MATCH(C35&amp;"",tbl_Finance[Xero Invoice No],0)),""))</f>
        <v/>
      </c>
      <c r="C35" s="24" t="n"/>
      <c r="D35" s="24" t="inlineStr">
        <is>
          <t>26061107</t>
        </is>
      </c>
      <c r="E35" s="25">
        <f>IF(D35="","",IF(COUNTIF(lst_Jobs,D35&amp;"")&gt;0,"OK","CHECK"))</f>
        <v/>
      </c>
      <c r="F35" s="24" t="inlineStr">
        <is>
          <t>Downer</t>
        </is>
      </c>
      <c r="G35" s="24" t="inlineStr">
        <is>
          <t>PRODUCTION</t>
        </is>
      </c>
      <c r="H35" s="24" t="inlineStr">
        <is>
          <t>Downer - FYR 2026 - 19.8.26 [PRD] pre-prod work</t>
        </is>
      </c>
      <c r="I35" s="24" t="inlineStr">
        <is>
          <t>Accrual - unbilled work</t>
        </is>
      </c>
      <c r="J35" s="26" t="n">
        <v>115</v>
      </c>
      <c r="K35" s="25">
        <f>IF(N(J35)=0,"",IF(J35&gt;0,set_WIPAsset,set_WIPIncome))</f>
        <v/>
      </c>
      <c r="L35" s="25">
        <f>IF(N(J35)=0,"",IF(J35&gt;0,set_WIPIncome,set_WIPAsset))</f>
        <v/>
      </c>
      <c r="M35" s="27">
        <f>IF(N(J35)=0,"",ABS(J35))</f>
        <v/>
      </c>
      <c r="N35" s="25">
        <f>IF(N(J35)=0,"","WIP "&amp;I35&amp;IF(D35="",""," - "&amp;D35)&amp;IF(F35="",""," "&amp;F35)&amp;IF(H35="",""," - "&amp;H35))</f>
        <v/>
      </c>
      <c r="O35" s="24" t="n"/>
      <c r="P35" s="24" t="inlineStr">
        <is>
          <t>Y</t>
        </is>
      </c>
      <c r="Q35" s="24" t="inlineStr">
        <is>
          <t>Migrated from FY27 Revenue Tracker v2 - confirm type/sign</t>
        </is>
      </c>
    </row>
    <row r="36" ht="15" customHeight="1">
      <c r="A36" s="66" t="n">
        <v>46234</v>
      </c>
      <c r="B36" s="64">
        <f>IF(C36="","",IFERROR(INDEX(tbl_Finance[Date],MATCH(C36&amp;"",tbl_Finance[Xero Invoice No],0)),""))</f>
        <v/>
      </c>
      <c r="C36" s="24" t="n"/>
      <c r="D36" s="24" t="inlineStr">
        <is>
          <t>26061108</t>
        </is>
      </c>
      <c r="E36" s="25">
        <f>IF(D36="","",IF(COUNTIF(lst_Jobs,D36&amp;"")&gt;0,"OK","CHECK"))</f>
        <v/>
      </c>
      <c r="F36" s="24" t="inlineStr">
        <is>
          <t>APA</t>
        </is>
      </c>
      <c r="G36" s="24" t="inlineStr">
        <is>
          <t>PRODUCTION</t>
        </is>
      </c>
      <c r="H36" s="24" t="inlineStr">
        <is>
          <t>APA FYR All Hands August 2026 Package - Conf Call (Revenue) INV-10521</t>
        </is>
      </c>
      <c r="I36" s="24" t="inlineStr">
        <is>
          <t>Deferral - invoiced in advance</t>
        </is>
      </c>
      <c r="J36" s="26" t="n">
        <v>-600</v>
      </c>
      <c r="K36" s="25">
        <f>IF(N(J36)=0,"",IF(J36&gt;0,set_WIPAsset,set_WIPIncome))</f>
        <v/>
      </c>
      <c r="L36" s="25">
        <f>IF(N(J36)=0,"",IF(J36&gt;0,set_WIPIncome,set_WIPAsset))</f>
        <v/>
      </c>
      <c r="M36" s="27">
        <f>IF(N(J36)=0,"",ABS(J36))</f>
        <v/>
      </c>
      <c r="N36" s="25">
        <f>IF(N(J36)=0,"","WIP "&amp;I36&amp;IF(D36="",""," - "&amp;D36)&amp;IF(F36="",""," "&amp;F36)&amp;IF(H36="",""," - "&amp;H36))</f>
        <v/>
      </c>
      <c r="O36" s="24" t="n"/>
      <c r="P36" s="24" t="inlineStr">
        <is>
          <t>Y</t>
        </is>
      </c>
      <c r="Q36" s="24" t="inlineStr">
        <is>
          <t>Migrated from FY27 Revenue Tracker v2 - confirm type/sign</t>
        </is>
      </c>
    </row>
    <row r="37" ht="15" customHeight="1">
      <c r="A37" s="66" t="n">
        <v>46234</v>
      </c>
      <c r="B37" s="64">
        <f>IF(C37="","",IFERROR(INDEX(tbl_Finance[Date],MATCH(C37&amp;"",tbl_Finance[Xero Invoice No],0)),""))</f>
        <v/>
      </c>
      <c r="C37" s="24" t="n"/>
      <c r="D37" s="24" t="inlineStr">
        <is>
          <t>26061108</t>
        </is>
      </c>
      <c r="E37" s="25">
        <f>IF(D37="","",IF(COUNTIF(lst_Jobs,D37&amp;"")&gt;0,"OK","CHECK"))</f>
        <v/>
      </c>
      <c r="F37" s="24" t="inlineStr">
        <is>
          <t>APA</t>
        </is>
      </c>
      <c r="G37" s="24" t="inlineStr">
        <is>
          <t>PRODUCTION</t>
        </is>
      </c>
      <c r="H37" s="24" t="inlineStr">
        <is>
          <t>APA FYR 20.7.26 [PRD]</t>
        </is>
      </c>
      <c r="I37" s="24" t="inlineStr">
        <is>
          <t>Deferral - invoiced in advance</t>
        </is>
      </c>
      <c r="J37" s="26" t="n">
        <v>-237.5</v>
      </c>
      <c r="K37" s="25">
        <f>IF(N(J37)=0,"",IF(J37&gt;0,set_WIPAsset,set_WIPIncome))</f>
        <v/>
      </c>
      <c r="L37" s="25">
        <f>IF(N(J37)=0,"",IF(J37&gt;0,set_WIPIncome,set_WIPAsset))</f>
        <v/>
      </c>
      <c r="M37" s="27">
        <f>IF(N(J37)=0,"",ABS(J37))</f>
        <v/>
      </c>
      <c r="N37" s="25">
        <f>IF(N(J37)=0,"","WIP "&amp;I37&amp;IF(D37="",""," - "&amp;D37)&amp;IF(F37="",""," "&amp;F37)&amp;IF(H37="",""," - "&amp;H37))</f>
        <v/>
      </c>
      <c r="O37" s="24" t="n"/>
      <c r="P37" s="24" t="inlineStr">
        <is>
          <t>Y</t>
        </is>
      </c>
      <c r="Q37" s="24" t="inlineStr">
        <is>
          <t>Migrated from FY27 Revenue Tracker v2 - confirm type/sign</t>
        </is>
      </c>
    </row>
    <row r="38" ht="15" customHeight="1">
      <c r="A38" s="66" t="n">
        <v>46234</v>
      </c>
      <c r="B38" s="64">
        <f>IF(C38="","",IFERROR(INDEX(tbl_Finance[Date],MATCH(C38&amp;"",tbl_Finance[Xero Invoice No],0)),""))</f>
        <v/>
      </c>
      <c r="C38" s="24" t="n"/>
      <c r="D38" s="24" t="inlineStr">
        <is>
          <t>26061108</t>
        </is>
      </c>
      <c r="E38" s="25">
        <f>IF(D38="","",IF(COUNTIF(lst_Jobs,D38&amp;"")&gt;0,"OK","CHECK"))</f>
        <v/>
      </c>
      <c r="F38" s="24" t="inlineStr">
        <is>
          <t>APA</t>
        </is>
      </c>
      <c r="G38" s="24" t="inlineStr">
        <is>
          <t>PRODUCTION</t>
        </is>
      </c>
      <c r="H38" s="24" t="inlineStr">
        <is>
          <t>APA FYR All Hands August 2026 Package - Prd Equipment Hire (Revenue) INV-10521</t>
        </is>
      </c>
      <c r="I38" s="24" t="inlineStr">
        <is>
          <t>Deferral - invoiced in advance</t>
        </is>
      </c>
      <c r="J38" s="26" t="n">
        <v>-5413.6</v>
      </c>
      <c r="K38" s="25">
        <f>IF(N(J38)=0,"",IF(J38&gt;0,set_WIPAsset,set_WIPIncome))</f>
        <v/>
      </c>
      <c r="L38" s="25">
        <f>IF(N(J38)=0,"",IF(J38&gt;0,set_WIPIncome,set_WIPAsset))</f>
        <v/>
      </c>
      <c r="M38" s="27">
        <f>IF(N(J38)=0,"",ABS(J38))</f>
        <v/>
      </c>
      <c r="N38" s="25">
        <f>IF(N(J38)=0,"","WIP "&amp;I38&amp;IF(D38="",""," - "&amp;D38)&amp;IF(F38="",""," "&amp;F38)&amp;IF(H38="",""," - "&amp;H38))</f>
        <v/>
      </c>
      <c r="O38" s="24" t="n"/>
      <c r="P38" s="24" t="inlineStr">
        <is>
          <t>Y</t>
        </is>
      </c>
      <c r="Q38" s="24" t="inlineStr">
        <is>
          <t>Migrated from FY27 Revenue Tracker v2 - confirm type/sign</t>
        </is>
      </c>
    </row>
    <row r="39" ht="15" customHeight="1">
      <c r="A39" s="66" t="n">
        <v>46234</v>
      </c>
      <c r="B39" s="64">
        <f>IF(C39="","",IFERROR(INDEX(tbl_Finance[Date],MATCH(C39&amp;"",tbl_Finance[Xero Invoice No],0)),""))</f>
        <v/>
      </c>
      <c r="C39" s="24" t="n"/>
      <c r="D39" s="24" t="inlineStr">
        <is>
          <t>26061108V</t>
        </is>
      </c>
      <c r="E39" s="25">
        <f>IF(D39="","",IF(COUNTIF(lst_Jobs,D39&amp;"")&gt;0,"OK","CHECK"))</f>
        <v/>
      </c>
      <c r="F39" s="24" t="inlineStr">
        <is>
          <t>APA</t>
        </is>
      </c>
      <c r="G39" s="24" t="inlineStr">
        <is>
          <t>VIDEO</t>
        </is>
      </c>
      <c r="H39" s="24" t="inlineStr">
        <is>
          <t>APA FYR All Hands August 2026 Package - Vid Equipment Hire (Revenue) INV-10521</t>
        </is>
      </c>
      <c r="I39" s="24" t="inlineStr">
        <is>
          <t>Deferral - invoiced in advance</t>
        </is>
      </c>
      <c r="J39" s="26" t="n">
        <v>-592</v>
      </c>
      <c r="K39" s="25">
        <f>IF(N(J39)=0,"",IF(J39&gt;0,set_WIPAsset,set_WIPIncome))</f>
        <v/>
      </c>
      <c r="L39" s="25">
        <f>IF(N(J39)=0,"",IF(J39&gt;0,set_WIPIncome,set_WIPAsset))</f>
        <v/>
      </c>
      <c r="M39" s="27">
        <f>IF(N(J39)=0,"",ABS(J39))</f>
        <v/>
      </c>
      <c r="N39" s="25">
        <f>IF(N(J39)=0,"","WIP "&amp;I39&amp;IF(D39="",""," - "&amp;D39)&amp;IF(F39="",""," "&amp;F39)&amp;IF(H39="",""," - "&amp;H39))</f>
        <v/>
      </c>
      <c r="O39" s="24" t="n"/>
      <c r="P39" s="24" t="inlineStr">
        <is>
          <t>Y</t>
        </is>
      </c>
      <c r="Q39" s="24" t="inlineStr">
        <is>
          <t>Migrated from FY27 Revenue Tracker v2 - confirm type/sign</t>
        </is>
      </c>
    </row>
    <row r="40" ht="15" customHeight="1">
      <c r="A40" s="66" t="n">
        <v>46234</v>
      </c>
      <c r="B40" s="64">
        <f>IF(C40="","",IFERROR(INDEX(tbl_Finance[Date],MATCH(C40&amp;"",tbl_Finance[Xero Invoice No],0)),""))</f>
        <v/>
      </c>
      <c r="C40" s="24" t="n"/>
      <c r="D40" s="24" t="inlineStr">
        <is>
          <t>26061108</t>
        </is>
      </c>
      <c r="E40" s="25">
        <f>IF(D40="","",IF(COUNTIF(lst_Jobs,D40&amp;"")&gt;0,"OK","CHECK"))</f>
        <v/>
      </c>
      <c r="F40" s="24" t="inlineStr">
        <is>
          <t>APA</t>
        </is>
      </c>
      <c r="G40" s="24" t="inlineStr">
        <is>
          <t>PRODUCTION</t>
        </is>
      </c>
      <c r="H40" s="24" t="inlineStr">
        <is>
          <t>APA FYR All Hands August 2026 Package - Prd Labour (Revenue) INV-10521</t>
        </is>
      </c>
      <c r="I40" s="24" t="inlineStr">
        <is>
          <t>Deferral - invoiced in advance</t>
        </is>
      </c>
      <c r="J40" s="26" t="n">
        <v>-4520</v>
      </c>
      <c r="K40" s="25">
        <f>IF(N(J40)=0,"",IF(J40&gt;0,set_WIPAsset,set_WIPIncome))</f>
        <v/>
      </c>
      <c r="L40" s="25">
        <f>IF(N(J40)=0,"",IF(J40&gt;0,set_WIPIncome,set_WIPAsset))</f>
        <v/>
      </c>
      <c r="M40" s="27">
        <f>IF(N(J40)=0,"",ABS(J40))</f>
        <v/>
      </c>
      <c r="N40" s="25">
        <f>IF(N(J40)=0,"","WIP "&amp;I40&amp;IF(D40="",""," - "&amp;D40)&amp;IF(F40="",""," "&amp;F40)&amp;IF(H40="",""," - "&amp;H40))</f>
        <v/>
      </c>
      <c r="O40" s="24" t="n"/>
      <c r="P40" s="24" t="inlineStr">
        <is>
          <t>Y</t>
        </is>
      </c>
      <c r="Q40" s="24" t="inlineStr">
        <is>
          <t>Migrated from FY27 Revenue Tracker v2 - confirm type/sign</t>
        </is>
      </c>
    </row>
    <row r="41" ht="15" customHeight="1">
      <c r="A41" s="66" t="n">
        <v>46234</v>
      </c>
      <c r="B41" s="64">
        <f>IF(C41="","",IFERROR(INDEX(tbl_Finance[Date],MATCH(C41&amp;"",tbl_Finance[Xero Invoice No],0)),""))</f>
        <v/>
      </c>
      <c r="C41" s="24" t="n"/>
      <c r="D41" s="24" t="inlineStr">
        <is>
          <t>26061108V</t>
        </is>
      </c>
      <c r="E41" s="25">
        <f>IF(D41="","",IF(COUNTIF(lst_Jobs,D41&amp;"")&gt;0,"OK","CHECK"))</f>
        <v/>
      </c>
      <c r="F41" s="24" t="inlineStr">
        <is>
          <t>APA</t>
        </is>
      </c>
      <c r="G41" s="24" t="inlineStr">
        <is>
          <t>VIDEO</t>
        </is>
      </c>
      <c r="H41" s="24" t="inlineStr">
        <is>
          <t>APA FYR All Hands August 2026 Package - Vid Labour (Revenue) INV-10521</t>
        </is>
      </c>
      <c r="I41" s="24" t="inlineStr">
        <is>
          <t>Deferral - invoiced in advance</t>
        </is>
      </c>
      <c r="J41" s="26" t="n">
        <v>-485</v>
      </c>
      <c r="K41" s="25">
        <f>IF(N(J41)=0,"",IF(J41&gt;0,set_WIPAsset,set_WIPIncome))</f>
        <v/>
      </c>
      <c r="L41" s="25">
        <f>IF(N(J41)=0,"",IF(J41&gt;0,set_WIPIncome,set_WIPAsset))</f>
        <v/>
      </c>
      <c r="M41" s="27">
        <f>IF(N(J41)=0,"",ABS(J41))</f>
        <v/>
      </c>
      <c r="N41" s="25">
        <f>IF(N(J41)=0,"","WIP "&amp;I41&amp;IF(D41="",""," - "&amp;D41)&amp;IF(F41="",""," "&amp;F41)&amp;IF(H41="",""," - "&amp;H41))</f>
        <v/>
      </c>
      <c r="O41" s="24" t="n"/>
      <c r="P41" s="24" t="inlineStr">
        <is>
          <t>Y</t>
        </is>
      </c>
      <c r="Q41" s="24" t="inlineStr">
        <is>
          <t>Migrated from FY27 Revenue Tracker v2 - confirm type/sign</t>
        </is>
      </c>
    </row>
    <row r="42" ht="15" customHeight="1">
      <c r="A42" s="66" t="n">
        <v>46234</v>
      </c>
      <c r="B42" s="64">
        <f>IF(C42="","",IFERROR(INDEX(tbl_Finance[Date],MATCH(C42&amp;"",tbl_Finance[Xero Invoice No],0)),""))</f>
        <v/>
      </c>
      <c r="C42" s="24" t="n"/>
      <c r="D42" s="24" t="inlineStr">
        <is>
          <t>26061108</t>
        </is>
      </c>
      <c r="E42" s="25">
        <f>IF(D42="","",IF(COUNTIF(lst_Jobs,D42&amp;"")&gt;0,"OK","CHECK"))</f>
        <v/>
      </c>
      <c r="F42" s="24" t="inlineStr">
        <is>
          <t>APA</t>
        </is>
      </c>
      <c r="G42" s="24" t="inlineStr">
        <is>
          <t>PRODUCTION</t>
        </is>
      </c>
      <c r="H42" s="24" t="inlineStr">
        <is>
          <t>APA FYR All Hands August 2026 Package - Transport (Revenue) INV-10521</t>
        </is>
      </c>
      <c r="I42" s="24" t="inlineStr">
        <is>
          <t>Deferral - invoiced in advance</t>
        </is>
      </c>
      <c r="J42" s="26" t="n">
        <v>-300</v>
      </c>
      <c r="K42" s="25">
        <f>IF(N(J42)=0,"",IF(J42&gt;0,set_WIPAsset,set_WIPIncome))</f>
        <v/>
      </c>
      <c r="L42" s="25">
        <f>IF(N(J42)=0,"",IF(J42&gt;0,set_WIPIncome,set_WIPAsset))</f>
        <v/>
      </c>
      <c r="M42" s="27">
        <f>IF(N(J42)=0,"",ABS(J42))</f>
        <v/>
      </c>
      <c r="N42" s="25">
        <f>IF(N(J42)=0,"","WIP "&amp;I42&amp;IF(D42="",""," - "&amp;D42)&amp;IF(F42="",""," "&amp;F42)&amp;IF(H42="",""," - "&amp;H42))</f>
        <v/>
      </c>
      <c r="O42" s="24" t="n"/>
      <c r="P42" s="24" t="inlineStr">
        <is>
          <t>Y</t>
        </is>
      </c>
      <c r="Q42" s="24" t="inlineStr">
        <is>
          <t>Migrated from FY27 Revenue Tracker v2 - confirm type/sign</t>
        </is>
      </c>
    </row>
    <row r="43" ht="15" customHeight="1">
      <c r="A43" s="66" t="n">
        <v>46234</v>
      </c>
      <c r="B43" s="64">
        <f>IF(C43="","",IFERROR(INDEX(tbl_Finance[Date],MATCH(C43&amp;"",tbl_Finance[Xero Invoice No],0)),""))</f>
        <v/>
      </c>
      <c r="C43" s="24" t="n"/>
      <c r="D43" s="24" t="inlineStr">
        <is>
          <t>26061108</t>
        </is>
      </c>
      <c r="E43" s="25">
        <f>IF(D43="","",IF(COUNTIF(lst_Jobs,D43&amp;"")&gt;0,"OK","CHECK"))</f>
        <v/>
      </c>
      <c r="F43" s="24" t="inlineStr">
        <is>
          <t>APA</t>
        </is>
      </c>
      <c r="G43" s="24" t="inlineStr">
        <is>
          <t>PRODUCTION</t>
        </is>
      </c>
      <c r="H43" s="24" t="inlineStr">
        <is>
          <t>APA FYR All Hands August 2026 Package - Tech  Event Mgmt (Revenue) INV-10521</t>
        </is>
      </c>
      <c r="I43" s="24" t="inlineStr">
        <is>
          <t>Deferral - invoiced in advance</t>
        </is>
      </c>
      <c r="J43" s="26" t="n">
        <v>-690</v>
      </c>
      <c r="K43" s="25">
        <f>IF(N(J43)=0,"",IF(J43&gt;0,set_WIPAsset,set_WIPIncome))</f>
        <v/>
      </c>
      <c r="L43" s="25">
        <f>IF(N(J43)=0,"",IF(J43&gt;0,set_WIPIncome,set_WIPAsset))</f>
        <v/>
      </c>
      <c r="M43" s="27">
        <f>IF(N(J43)=0,"",ABS(J43))</f>
        <v/>
      </c>
      <c r="N43" s="25">
        <f>IF(N(J43)=0,"","WIP "&amp;I43&amp;IF(D43="",""," - "&amp;D43)&amp;IF(F43="",""," "&amp;F43)&amp;IF(H43="",""," - "&amp;H43))</f>
        <v/>
      </c>
      <c r="O43" s="24" t="n"/>
      <c r="P43" s="24" t="inlineStr">
        <is>
          <t>Y</t>
        </is>
      </c>
      <c r="Q43" s="24" t="inlineStr">
        <is>
          <t>Migrated from FY27 Revenue Tracker v2 - confirm type/sign</t>
        </is>
      </c>
    </row>
    <row r="44" ht="15" customHeight="1">
      <c r="A44" s="66" t="n">
        <v>46234</v>
      </c>
      <c r="B44" s="64">
        <f>IF(C44="","",IFERROR(INDEX(tbl_Finance[Date],MATCH(C44&amp;"",tbl_Finance[Xero Invoice No],0)),""))</f>
        <v/>
      </c>
      <c r="C44" s="24" t="n"/>
      <c r="D44" s="24" t="inlineStr">
        <is>
          <t>26061607</t>
        </is>
      </c>
      <c r="E44" s="25">
        <f>IF(D44="","",IF(COUNTIF(lst_Jobs,D44&amp;"")&gt;0,"OK","CHECK"))</f>
        <v/>
      </c>
      <c r="F44" s="24" t="inlineStr">
        <is>
          <t>APA</t>
        </is>
      </c>
      <c r="G44" s="24" t="inlineStr">
        <is>
          <t>PRODUCTION</t>
        </is>
      </c>
      <c r="H44" s="24" t="inlineStr">
        <is>
          <t>APA Qtrly All Hands Nov 2026 Package - Prd Equipment Hire (Revenue) INV-10521</t>
        </is>
      </c>
      <c r="I44" s="24" t="inlineStr">
        <is>
          <t>Deferral - invoiced in advance</t>
        </is>
      </c>
      <c r="J44" s="26" t="n">
        <v>-5269.6</v>
      </c>
      <c r="K44" s="25">
        <f>IF(N(J44)=0,"",IF(J44&gt;0,set_WIPAsset,set_WIPIncome))</f>
        <v/>
      </c>
      <c r="L44" s="25">
        <f>IF(N(J44)=0,"",IF(J44&gt;0,set_WIPIncome,set_WIPAsset))</f>
        <v/>
      </c>
      <c r="M44" s="27">
        <f>IF(N(J44)=0,"",ABS(J44))</f>
        <v/>
      </c>
      <c r="N44" s="25">
        <f>IF(N(J44)=0,"","WIP "&amp;I44&amp;IF(D44="",""," - "&amp;D44)&amp;IF(F44="",""," "&amp;F44)&amp;IF(H44="",""," - "&amp;H44))</f>
        <v/>
      </c>
      <c r="O44" s="24" t="n"/>
      <c r="P44" s="24" t="inlineStr">
        <is>
          <t>Y</t>
        </is>
      </c>
      <c r="Q44" s="24" t="inlineStr">
        <is>
          <t>Migrated from FY27 Revenue Tracker v2 - confirm type/sign</t>
        </is>
      </c>
    </row>
    <row r="45" ht="15" customHeight="1">
      <c r="A45" s="66" t="n">
        <v>46234</v>
      </c>
      <c r="B45" s="64">
        <f>IF(C45="","",IFERROR(INDEX(tbl_Finance[Date],MATCH(C45&amp;"",tbl_Finance[Xero Invoice No],0)),""))</f>
        <v/>
      </c>
      <c r="C45" s="24" t="n"/>
      <c r="D45" s="24" t="inlineStr">
        <is>
          <t>26061607V</t>
        </is>
      </c>
      <c r="E45" s="25">
        <f>IF(D45="","",IF(COUNTIF(lst_Jobs,D45&amp;"")&gt;0,"OK","CHECK"))</f>
        <v/>
      </c>
      <c r="F45" s="24" t="inlineStr">
        <is>
          <t>APA</t>
        </is>
      </c>
      <c r="G45" s="24" t="inlineStr">
        <is>
          <t>VIDEO</t>
        </is>
      </c>
      <c r="H45" s="24" t="inlineStr">
        <is>
          <t>APA Qtrly All Hands Nov 2026 Package - Vid Equipment Hire (Revenue) INV-10521</t>
        </is>
      </c>
      <c r="I45" s="24" t="inlineStr">
        <is>
          <t>Deferral - invoiced in advance</t>
        </is>
      </c>
      <c r="J45" s="26" t="n">
        <v>-592</v>
      </c>
      <c r="K45" s="25">
        <f>IF(N(J45)=0,"",IF(J45&gt;0,set_WIPAsset,set_WIPIncome))</f>
        <v/>
      </c>
      <c r="L45" s="25">
        <f>IF(N(J45)=0,"",IF(J45&gt;0,set_WIPIncome,set_WIPAsset))</f>
        <v/>
      </c>
      <c r="M45" s="27">
        <f>IF(N(J45)=0,"",ABS(J45))</f>
        <v/>
      </c>
      <c r="N45" s="25">
        <f>IF(N(J45)=0,"","WIP "&amp;I45&amp;IF(D45="",""," - "&amp;D45)&amp;IF(F45="",""," "&amp;F45)&amp;IF(H45="",""," - "&amp;H45))</f>
        <v/>
      </c>
      <c r="O45" s="24" t="n"/>
      <c r="P45" s="24" t="inlineStr">
        <is>
          <t>Y</t>
        </is>
      </c>
      <c r="Q45" s="24" t="inlineStr">
        <is>
          <t>Migrated from FY27 Revenue Tracker v2 - confirm type/sign</t>
        </is>
      </c>
    </row>
    <row r="46" ht="15" customHeight="1">
      <c r="A46" s="66" t="n">
        <v>46234</v>
      </c>
      <c r="B46" s="64">
        <f>IF(C46="","",IFERROR(INDEX(tbl_Finance[Date],MATCH(C46&amp;"",tbl_Finance[Xero Invoice No],0)),""))</f>
        <v/>
      </c>
      <c r="C46" s="24" t="n"/>
      <c r="D46" s="24" t="inlineStr">
        <is>
          <t>26061607</t>
        </is>
      </c>
      <c r="E46" s="25">
        <f>IF(D46="","",IF(COUNTIF(lst_Jobs,D46&amp;"")&gt;0,"OK","CHECK"))</f>
        <v/>
      </c>
      <c r="F46" s="24" t="inlineStr">
        <is>
          <t>APA</t>
        </is>
      </c>
      <c r="G46" s="24" t="inlineStr">
        <is>
          <t>PRODUCTION</t>
        </is>
      </c>
      <c r="H46" s="24" t="inlineStr">
        <is>
          <t>APA Qtrly All Hands Nov 2026 Package - Prd Labour (Revenue) INV-10521</t>
        </is>
      </c>
      <c r="I46" s="24" t="inlineStr">
        <is>
          <t>Deferral - invoiced in advance</t>
        </is>
      </c>
      <c r="J46" s="26" t="n">
        <v>-4869</v>
      </c>
      <c r="K46" s="25">
        <f>IF(N(J46)=0,"",IF(J46&gt;0,set_WIPAsset,set_WIPIncome))</f>
        <v/>
      </c>
      <c r="L46" s="25">
        <f>IF(N(J46)=0,"",IF(J46&gt;0,set_WIPIncome,set_WIPAsset))</f>
        <v/>
      </c>
      <c r="M46" s="27">
        <f>IF(N(J46)=0,"",ABS(J46))</f>
        <v/>
      </c>
      <c r="N46" s="25">
        <f>IF(N(J46)=0,"","WIP "&amp;I46&amp;IF(D46="",""," - "&amp;D46)&amp;IF(F46="",""," "&amp;F46)&amp;IF(H46="",""," - "&amp;H46))</f>
        <v/>
      </c>
      <c r="O46" s="24" t="n"/>
      <c r="P46" s="24" t="inlineStr">
        <is>
          <t>Y</t>
        </is>
      </c>
      <c r="Q46" s="24" t="inlineStr">
        <is>
          <t>Migrated from FY27 Revenue Tracker v2 - confirm type/sign</t>
        </is>
      </c>
    </row>
    <row r="47" ht="15" customHeight="1">
      <c r="A47" s="66" t="n">
        <v>46234</v>
      </c>
      <c r="B47" s="64">
        <f>IF(C47="","",IFERROR(INDEX(tbl_Finance[Date],MATCH(C47&amp;"",tbl_Finance[Xero Invoice No],0)),""))</f>
        <v/>
      </c>
      <c r="C47" s="24" t="n"/>
      <c r="D47" s="24" t="inlineStr">
        <is>
          <t>26061607V</t>
        </is>
      </c>
      <c r="E47" s="25">
        <f>IF(D47="","",IF(COUNTIF(lst_Jobs,D47&amp;"")&gt;0,"OK","CHECK"))</f>
        <v/>
      </c>
      <c r="F47" s="24" t="inlineStr">
        <is>
          <t>APA</t>
        </is>
      </c>
      <c r="G47" s="24" t="inlineStr">
        <is>
          <t>VIDEO</t>
        </is>
      </c>
      <c r="H47" s="24" t="inlineStr">
        <is>
          <t>APA Qtrly All Hands Nov 2026 Package - Vid Labour (Revenue) INV-10521</t>
        </is>
      </c>
      <c r="I47" s="24" t="inlineStr">
        <is>
          <t>Deferral - invoiced in advance</t>
        </is>
      </c>
      <c r="J47" s="26" t="n">
        <v>-485</v>
      </c>
      <c r="K47" s="25">
        <f>IF(N(J47)=0,"",IF(J47&gt;0,set_WIPAsset,set_WIPIncome))</f>
        <v/>
      </c>
      <c r="L47" s="25">
        <f>IF(N(J47)=0,"",IF(J47&gt;0,set_WIPIncome,set_WIPAsset))</f>
        <v/>
      </c>
      <c r="M47" s="27">
        <f>IF(N(J47)=0,"",ABS(J47))</f>
        <v/>
      </c>
      <c r="N47" s="25">
        <f>IF(N(J47)=0,"","WIP "&amp;I47&amp;IF(D47="",""," - "&amp;D47)&amp;IF(F47="",""," "&amp;F47)&amp;IF(H47="",""," - "&amp;H47))</f>
        <v/>
      </c>
      <c r="O47" s="24" t="n"/>
      <c r="P47" s="24" t="inlineStr">
        <is>
          <t>Y</t>
        </is>
      </c>
      <c r="Q47" s="24" t="inlineStr">
        <is>
          <t>Migrated from FY27 Revenue Tracker v2 - confirm type/sign</t>
        </is>
      </c>
    </row>
    <row r="48" ht="15" customHeight="1">
      <c r="A48" s="66" t="n">
        <v>46234</v>
      </c>
      <c r="B48" s="64">
        <f>IF(C48="","",IFERROR(INDEX(tbl_Finance[Date],MATCH(C48&amp;"",tbl_Finance[Xero Invoice No],0)),""))</f>
        <v/>
      </c>
      <c r="C48" s="24" t="n"/>
      <c r="D48" s="24" t="inlineStr">
        <is>
          <t>26061607</t>
        </is>
      </c>
      <c r="E48" s="25">
        <f>IF(D48="","",IF(COUNTIF(lst_Jobs,D48&amp;"")&gt;0,"OK","CHECK"))</f>
        <v/>
      </c>
      <c r="F48" s="24" t="inlineStr">
        <is>
          <t>APA</t>
        </is>
      </c>
      <c r="G48" s="24" t="inlineStr">
        <is>
          <t>PRODUCTION</t>
        </is>
      </c>
      <c r="H48" s="24" t="inlineStr">
        <is>
          <t>APA Qtrly All Hands Nov 2026 Package - Conf Call (Revenue) INV-10521</t>
        </is>
      </c>
      <c r="I48" s="24" t="inlineStr">
        <is>
          <t>Deferral - invoiced in advance</t>
        </is>
      </c>
      <c r="J48" s="26" t="n">
        <v>-750</v>
      </c>
      <c r="K48" s="25">
        <f>IF(N(J48)=0,"",IF(J48&gt;0,set_WIPAsset,set_WIPIncome))</f>
        <v/>
      </c>
      <c r="L48" s="25">
        <f>IF(N(J48)=0,"",IF(J48&gt;0,set_WIPIncome,set_WIPAsset))</f>
        <v/>
      </c>
      <c r="M48" s="27">
        <f>IF(N(J48)=0,"",ABS(J48))</f>
        <v/>
      </c>
      <c r="N48" s="25">
        <f>IF(N(J48)=0,"","WIP "&amp;I48&amp;IF(D48="",""," - "&amp;D48)&amp;IF(F48="",""," "&amp;F48)&amp;IF(H48="",""," - "&amp;H48))</f>
        <v/>
      </c>
      <c r="O48" s="24" t="n"/>
      <c r="P48" s="24" t="inlineStr">
        <is>
          <t>Y</t>
        </is>
      </c>
      <c r="Q48" s="24" t="inlineStr">
        <is>
          <t>Migrated from FY27 Revenue Tracker v2 - confirm type/sign</t>
        </is>
      </c>
    </row>
    <row r="49" ht="15" customHeight="1">
      <c r="A49" s="66" t="n">
        <v>46234</v>
      </c>
      <c r="B49" s="64">
        <f>IF(C49="","",IFERROR(INDEX(tbl_Finance[Date],MATCH(C49&amp;"",tbl_Finance[Xero Invoice No],0)),""))</f>
        <v/>
      </c>
      <c r="C49" s="24" t="n"/>
      <c r="D49" s="24" t="inlineStr">
        <is>
          <t>26061607</t>
        </is>
      </c>
      <c r="E49" s="25">
        <f>IF(D49="","",IF(COUNTIF(lst_Jobs,D49&amp;"")&gt;0,"OK","CHECK"))</f>
        <v/>
      </c>
      <c r="F49" s="24" t="inlineStr">
        <is>
          <t>APA</t>
        </is>
      </c>
      <c r="G49" s="24" t="inlineStr">
        <is>
          <t>PRODUCTION</t>
        </is>
      </c>
      <c r="H49" s="24" t="inlineStr">
        <is>
          <t>APA Qtrly All Hands Nov 2026 Package - Transport (Revenue) INV-10521</t>
        </is>
      </c>
      <c r="I49" s="24" t="inlineStr">
        <is>
          <t>Deferral - invoiced in advance</t>
        </is>
      </c>
      <c r="J49" s="26" t="n">
        <v>-300</v>
      </c>
      <c r="K49" s="25">
        <f>IF(N(J49)=0,"",IF(J49&gt;0,set_WIPAsset,set_WIPIncome))</f>
        <v/>
      </c>
      <c r="L49" s="25">
        <f>IF(N(J49)=0,"",IF(J49&gt;0,set_WIPIncome,set_WIPAsset))</f>
        <v/>
      </c>
      <c r="M49" s="27">
        <f>IF(N(J49)=0,"",ABS(J49))</f>
        <v/>
      </c>
      <c r="N49" s="25">
        <f>IF(N(J49)=0,"","WIP "&amp;I49&amp;IF(D49="",""," - "&amp;D49)&amp;IF(F49="",""," "&amp;F49)&amp;IF(H49="",""," - "&amp;H49))</f>
        <v/>
      </c>
      <c r="O49" s="24" t="n"/>
      <c r="P49" s="24" t="inlineStr">
        <is>
          <t>Y</t>
        </is>
      </c>
      <c r="Q49" s="24" t="inlineStr">
        <is>
          <t>Migrated from FY27 Revenue Tracker v2 - confirm type/sign</t>
        </is>
      </c>
    </row>
    <row r="50" ht="15" customHeight="1">
      <c r="A50" s="66" t="n">
        <v>46234</v>
      </c>
      <c r="B50" s="64">
        <f>IF(C50="","",IFERROR(INDEX(tbl_Finance[Date],MATCH(C50&amp;"",tbl_Finance[Xero Invoice No],0)),""))</f>
        <v/>
      </c>
      <c r="C50" s="24" t="n"/>
      <c r="D50" s="24" t="inlineStr">
        <is>
          <t>26061607</t>
        </is>
      </c>
      <c r="E50" s="25">
        <f>IF(D50="","",IF(COUNTIF(lst_Jobs,D50&amp;"")&gt;0,"OK","CHECK"))</f>
        <v/>
      </c>
      <c r="F50" s="24" t="inlineStr">
        <is>
          <t>APA</t>
        </is>
      </c>
      <c r="G50" s="24" t="inlineStr">
        <is>
          <t>PRODUCTION</t>
        </is>
      </c>
      <c r="H50" s="24" t="inlineStr">
        <is>
          <t>APA Qtrly All Hands Nov 2026 Package - Tech  Event Mgmt (Revenue) INV-10521</t>
        </is>
      </c>
      <c r="I50" s="24" t="inlineStr">
        <is>
          <t>Deferral - invoiced in advance</t>
        </is>
      </c>
      <c r="J50" s="26" t="n">
        <v>-690</v>
      </c>
      <c r="K50" s="25">
        <f>IF(N(J50)=0,"",IF(J50&gt;0,set_WIPAsset,set_WIPIncome))</f>
        <v/>
      </c>
      <c r="L50" s="25">
        <f>IF(N(J50)=0,"",IF(J50&gt;0,set_WIPIncome,set_WIPAsset))</f>
        <v/>
      </c>
      <c r="M50" s="27">
        <f>IF(N(J50)=0,"",ABS(J50))</f>
        <v/>
      </c>
      <c r="N50" s="25">
        <f>IF(N(J50)=0,"","WIP "&amp;I50&amp;IF(D50="",""," - "&amp;D50)&amp;IF(F50="",""," "&amp;F50)&amp;IF(H50="",""," - "&amp;H50))</f>
        <v/>
      </c>
      <c r="O50" s="24" t="n"/>
      <c r="P50" s="24" t="inlineStr">
        <is>
          <t>Y</t>
        </is>
      </c>
      <c r="Q50" s="24" t="inlineStr">
        <is>
          <t>Migrated from FY27 Revenue Tracker v2 - confirm type/sign</t>
        </is>
      </c>
    </row>
    <row r="51" ht="15" customHeight="1">
      <c r="A51" s="66" t="n">
        <v>46234</v>
      </c>
      <c r="B51" s="64">
        <f>IF(C51="","",IFERROR(INDEX(tbl_Finance[Date],MATCH(C51&amp;"",tbl_Finance[Xero Invoice No],0)),""))</f>
        <v/>
      </c>
      <c r="C51" s="24" t="n"/>
      <c r="D51" s="24" t="inlineStr">
        <is>
          <t>26061607</t>
        </is>
      </c>
      <c r="E51" s="25">
        <f>IF(D51="","",IF(COUNTIF(lst_Jobs,D51&amp;"")&gt;0,"OK","CHECK"))</f>
        <v/>
      </c>
      <c r="F51" s="24" t="inlineStr">
        <is>
          <t>APA</t>
        </is>
      </c>
      <c r="G51" s="24" t="inlineStr">
        <is>
          <t>PRODUCTION</t>
        </is>
      </c>
      <c r="H51" s="24" t="inlineStr">
        <is>
          <t>APA Qtrly All Hands Nov 2026 Package - Travel (Revenue) INV-10521</t>
        </is>
      </c>
      <c r="I51" s="24" t="inlineStr">
        <is>
          <t>Deferral - invoiced in advance</t>
        </is>
      </c>
      <c r="J51" s="26" t="n">
        <v>-1025</v>
      </c>
      <c r="K51" s="25">
        <f>IF(N(J51)=0,"",IF(J51&gt;0,set_WIPAsset,set_WIPIncome))</f>
        <v/>
      </c>
      <c r="L51" s="25">
        <f>IF(N(J51)=0,"",IF(J51&gt;0,set_WIPIncome,set_WIPAsset))</f>
        <v/>
      </c>
      <c r="M51" s="27">
        <f>IF(N(J51)=0,"",ABS(J51))</f>
        <v/>
      </c>
      <c r="N51" s="25">
        <f>IF(N(J51)=0,"","WIP "&amp;I51&amp;IF(D51="",""," - "&amp;D51)&amp;IF(F51="",""," "&amp;F51)&amp;IF(H51="",""," - "&amp;H51))</f>
        <v/>
      </c>
      <c r="O51" s="24" t="n"/>
      <c r="P51" s="24" t="inlineStr">
        <is>
          <t>Y</t>
        </is>
      </c>
      <c r="Q51" s="24" t="inlineStr">
        <is>
          <t>Migrated from FY27 Revenue Tracker v2 - confirm type/sign</t>
        </is>
      </c>
    </row>
    <row r="52" ht="15" customHeight="1">
      <c r="A52" s="66" t="n">
        <v>46234</v>
      </c>
      <c r="B52" s="64">
        <f>IF(C52="","",IFERROR(INDEX(tbl_Finance[Date],MATCH(C52&amp;"",tbl_Finance[Xero Invoice No],0)),""))</f>
        <v/>
      </c>
      <c r="C52" s="24" t="n"/>
      <c r="D52" s="24" t="inlineStr">
        <is>
          <t>26061608</t>
        </is>
      </c>
      <c r="E52" s="25">
        <f>IF(D52="","",IF(COUNTIF(lst_Jobs,D52&amp;"")&gt;0,"OK","CHECK"))</f>
        <v/>
      </c>
      <c r="F52" s="24" t="inlineStr">
        <is>
          <t>APA</t>
        </is>
      </c>
      <c r="G52" s="24" t="inlineStr">
        <is>
          <t>PRODUCTION</t>
        </is>
      </c>
      <c r="H52" s="24" t="inlineStr">
        <is>
          <t>APA Qtrly All Hands Feb 2027 Package - Prd Equipment Hire (Revenue) INV-10521</t>
        </is>
      </c>
      <c r="I52" s="24" t="inlineStr">
        <is>
          <t>Deferral - invoiced in advance</t>
        </is>
      </c>
      <c r="J52" s="26" t="n">
        <v>-5857.6</v>
      </c>
      <c r="K52" s="25">
        <f>IF(N(J52)=0,"",IF(J52&gt;0,set_WIPAsset,set_WIPIncome))</f>
        <v/>
      </c>
      <c r="L52" s="25">
        <f>IF(N(J52)=0,"",IF(J52&gt;0,set_WIPIncome,set_WIPAsset))</f>
        <v/>
      </c>
      <c r="M52" s="27">
        <f>IF(N(J52)=0,"",ABS(J52))</f>
        <v/>
      </c>
      <c r="N52" s="25">
        <f>IF(N(J52)=0,"","WIP "&amp;I52&amp;IF(D52="",""," - "&amp;D52)&amp;IF(F52="",""," "&amp;F52)&amp;IF(H52="",""," - "&amp;H52))</f>
        <v/>
      </c>
      <c r="O52" s="24" t="n"/>
      <c r="P52" s="24" t="inlineStr">
        <is>
          <t>Y</t>
        </is>
      </c>
      <c r="Q52" s="24" t="inlineStr">
        <is>
          <t>Migrated from FY27 Revenue Tracker v2 - confirm type/sign</t>
        </is>
      </c>
    </row>
    <row r="53" ht="15" customHeight="1">
      <c r="A53" s="66" t="n">
        <v>46234</v>
      </c>
      <c r="B53" s="64">
        <f>IF(C53="","",IFERROR(INDEX(tbl_Finance[Date],MATCH(C53&amp;"",tbl_Finance[Xero Invoice No],0)),""))</f>
        <v/>
      </c>
      <c r="C53" s="24" t="n"/>
      <c r="D53" s="24" t="inlineStr">
        <is>
          <t>26061608V</t>
        </is>
      </c>
      <c r="E53" s="25">
        <f>IF(D53="","",IF(COUNTIF(lst_Jobs,D53&amp;"")&gt;0,"OK","CHECK"))</f>
        <v/>
      </c>
      <c r="F53" s="24" t="inlineStr">
        <is>
          <t>APA</t>
        </is>
      </c>
      <c r="G53" s="24" t="inlineStr">
        <is>
          <t>VIDEO</t>
        </is>
      </c>
      <c r="H53" s="24" t="inlineStr">
        <is>
          <t>APA Qtrly All Hands Feb 2027 Package - Vid Equipment Hire (Revenue) INV-10521</t>
        </is>
      </c>
      <c r="I53" s="24" t="inlineStr">
        <is>
          <t>Deferral - invoiced in advance</t>
        </is>
      </c>
      <c r="J53" s="26" t="n">
        <v>-592</v>
      </c>
      <c r="K53" s="25">
        <f>IF(N(J53)=0,"",IF(J53&gt;0,set_WIPAsset,set_WIPIncome))</f>
        <v/>
      </c>
      <c r="L53" s="25">
        <f>IF(N(J53)=0,"",IF(J53&gt;0,set_WIPIncome,set_WIPAsset))</f>
        <v/>
      </c>
      <c r="M53" s="27">
        <f>IF(N(J53)=0,"",ABS(J53))</f>
        <v/>
      </c>
      <c r="N53" s="25">
        <f>IF(N(J53)=0,"","WIP "&amp;I53&amp;IF(D53="",""," - "&amp;D53)&amp;IF(F53="",""," "&amp;F53)&amp;IF(H53="",""," - "&amp;H53))</f>
        <v/>
      </c>
      <c r="O53" s="24" t="n"/>
      <c r="P53" s="24" t="inlineStr">
        <is>
          <t>Y</t>
        </is>
      </c>
      <c r="Q53" s="24" t="inlineStr">
        <is>
          <t>Migrated from FY27 Revenue Tracker v2 - confirm type/sign</t>
        </is>
      </c>
    </row>
    <row r="54" ht="15" customHeight="1">
      <c r="A54" s="66" t="n">
        <v>46234</v>
      </c>
      <c r="B54" s="64">
        <f>IF(C54="","",IFERROR(INDEX(tbl_Finance[Date],MATCH(C54&amp;"",tbl_Finance[Xero Invoice No],0)),""))</f>
        <v/>
      </c>
      <c r="C54" s="24" t="n"/>
      <c r="D54" s="24" t="inlineStr">
        <is>
          <t>26061608</t>
        </is>
      </c>
      <c r="E54" s="25">
        <f>IF(D54="","",IF(COUNTIF(lst_Jobs,D54&amp;"")&gt;0,"OK","CHECK"))</f>
        <v/>
      </c>
      <c r="F54" s="24" t="inlineStr">
        <is>
          <t>APA</t>
        </is>
      </c>
      <c r="G54" s="24" t="inlineStr">
        <is>
          <t>PRODUCTION</t>
        </is>
      </c>
      <c r="H54" s="24" t="inlineStr">
        <is>
          <t>APA Qtrly All Hands Feb 2027 Package - Prd Labour (Revenue) INV-10521</t>
        </is>
      </c>
      <c r="I54" s="24" t="inlineStr">
        <is>
          <t>Deferral - invoiced in advance</t>
        </is>
      </c>
      <c r="J54" s="26" t="n">
        <v>-4076</v>
      </c>
      <c r="K54" s="25">
        <f>IF(N(J54)=0,"",IF(J54&gt;0,set_WIPAsset,set_WIPIncome))</f>
        <v/>
      </c>
      <c r="L54" s="25">
        <f>IF(N(J54)=0,"",IF(J54&gt;0,set_WIPIncome,set_WIPAsset))</f>
        <v/>
      </c>
      <c r="M54" s="27">
        <f>IF(N(J54)=0,"",ABS(J54))</f>
        <v/>
      </c>
      <c r="N54" s="25">
        <f>IF(N(J54)=0,"","WIP "&amp;I54&amp;IF(D54="",""," - "&amp;D54)&amp;IF(F54="",""," "&amp;F54)&amp;IF(H54="",""," - "&amp;H54))</f>
        <v/>
      </c>
      <c r="O54" s="24" t="n"/>
      <c r="P54" s="24" t="inlineStr">
        <is>
          <t>Y</t>
        </is>
      </c>
      <c r="Q54" s="24" t="inlineStr">
        <is>
          <t>Migrated from FY27 Revenue Tracker v2 - confirm type/sign</t>
        </is>
      </c>
    </row>
    <row r="55" ht="15" customHeight="1">
      <c r="A55" s="66" t="n">
        <v>46234</v>
      </c>
      <c r="B55" s="64">
        <f>IF(C55="","",IFERROR(INDEX(tbl_Finance[Date],MATCH(C55&amp;"",tbl_Finance[Xero Invoice No],0)),""))</f>
        <v/>
      </c>
      <c r="C55" s="24" t="n"/>
      <c r="D55" s="24" t="inlineStr">
        <is>
          <t>26061608V</t>
        </is>
      </c>
      <c r="E55" s="25">
        <f>IF(D55="","",IF(COUNTIF(lst_Jobs,D55&amp;"")&gt;0,"OK","CHECK"))</f>
        <v/>
      </c>
      <c r="F55" s="24" t="inlineStr">
        <is>
          <t>APA</t>
        </is>
      </c>
      <c r="G55" s="24" t="inlineStr">
        <is>
          <t>VIDEO</t>
        </is>
      </c>
      <c r="H55" s="24" t="inlineStr">
        <is>
          <t>APA Qtrly All Hands Feb 2027 Package - Vid Labour (Revenue) INV-10521</t>
        </is>
      </c>
      <c r="I55" s="24" t="inlineStr">
        <is>
          <t>Deferral - invoiced in advance</t>
        </is>
      </c>
      <c r="J55" s="26" t="n">
        <v>-485</v>
      </c>
      <c r="K55" s="25">
        <f>IF(N(J55)=0,"",IF(J55&gt;0,set_WIPAsset,set_WIPIncome))</f>
        <v/>
      </c>
      <c r="L55" s="25">
        <f>IF(N(J55)=0,"",IF(J55&gt;0,set_WIPIncome,set_WIPAsset))</f>
        <v/>
      </c>
      <c r="M55" s="27">
        <f>IF(N(J55)=0,"",ABS(J55))</f>
        <v/>
      </c>
      <c r="N55" s="25">
        <f>IF(N(J55)=0,"","WIP "&amp;I55&amp;IF(D55="",""," - "&amp;D55)&amp;IF(F55="",""," "&amp;F55)&amp;IF(H55="",""," - "&amp;H55))</f>
        <v/>
      </c>
      <c r="O55" s="24" t="n"/>
      <c r="P55" s="24" t="inlineStr">
        <is>
          <t>Y</t>
        </is>
      </c>
      <c r="Q55" s="24" t="inlineStr">
        <is>
          <t>Migrated from FY27 Revenue Tracker v2 - confirm type/sign</t>
        </is>
      </c>
    </row>
    <row r="56" ht="15" customHeight="1">
      <c r="A56" s="66" t="n">
        <v>46234</v>
      </c>
      <c r="B56" s="64">
        <f>IF(C56="","",IFERROR(INDEX(tbl_Finance[Date],MATCH(C56&amp;"",tbl_Finance[Xero Invoice No],0)),""))</f>
        <v/>
      </c>
      <c r="C56" s="24" t="n"/>
      <c r="D56" s="24" t="inlineStr">
        <is>
          <t>26061608</t>
        </is>
      </c>
      <c r="E56" s="25">
        <f>IF(D56="","",IF(COUNTIF(lst_Jobs,D56&amp;"")&gt;0,"OK","CHECK"))</f>
        <v/>
      </c>
      <c r="F56" s="24" t="inlineStr">
        <is>
          <t>APA</t>
        </is>
      </c>
      <c r="G56" s="24" t="inlineStr">
        <is>
          <t>PRODUCTION</t>
        </is>
      </c>
      <c r="H56" s="24" t="inlineStr">
        <is>
          <t>APA Qtrly All Hands Feb 2027 Package - Conf Call (Revenue) INV-10521</t>
        </is>
      </c>
      <c r="I56" s="24" t="inlineStr">
        <is>
          <t>Deferral - invoiced in advance</t>
        </is>
      </c>
      <c r="J56" s="26" t="n">
        <v>-600</v>
      </c>
      <c r="K56" s="25">
        <f>IF(N(J56)=0,"",IF(J56&gt;0,set_WIPAsset,set_WIPIncome))</f>
        <v/>
      </c>
      <c r="L56" s="25">
        <f>IF(N(J56)=0,"",IF(J56&gt;0,set_WIPIncome,set_WIPAsset))</f>
        <v/>
      </c>
      <c r="M56" s="27">
        <f>IF(N(J56)=0,"",ABS(J56))</f>
        <v/>
      </c>
      <c r="N56" s="25">
        <f>IF(N(J56)=0,"","WIP "&amp;I56&amp;IF(D56="",""," - "&amp;D56)&amp;IF(F56="",""," "&amp;F56)&amp;IF(H56="",""," - "&amp;H56))</f>
        <v/>
      </c>
      <c r="O56" s="24" t="n"/>
      <c r="P56" s="24" t="inlineStr">
        <is>
          <t>Y</t>
        </is>
      </c>
      <c r="Q56" s="24" t="inlineStr">
        <is>
          <t>Migrated from FY27 Revenue Tracker v2 - confirm type/sign</t>
        </is>
      </c>
    </row>
    <row r="57" ht="15" customHeight="1">
      <c r="A57" s="66" t="n">
        <v>46234</v>
      </c>
      <c r="B57" s="64">
        <f>IF(C57="","",IFERROR(INDEX(tbl_Finance[Date],MATCH(C57&amp;"",tbl_Finance[Xero Invoice No],0)),""))</f>
        <v/>
      </c>
      <c r="C57" s="24" t="n"/>
      <c r="D57" s="24" t="inlineStr">
        <is>
          <t>26061608</t>
        </is>
      </c>
      <c r="E57" s="25">
        <f>IF(D57="","",IF(COUNTIF(lst_Jobs,D57&amp;"")&gt;0,"OK","CHECK"))</f>
        <v/>
      </c>
      <c r="F57" s="24" t="inlineStr">
        <is>
          <t>APA</t>
        </is>
      </c>
      <c r="G57" s="24" t="inlineStr">
        <is>
          <t>PRODUCTION</t>
        </is>
      </c>
      <c r="H57" s="24" t="inlineStr">
        <is>
          <t>APA Qtrly All Hands Feb 2027 Package - Transport (Revenue) INV-10521</t>
        </is>
      </c>
      <c r="I57" s="24" t="inlineStr">
        <is>
          <t>Deferral - invoiced in advance</t>
        </is>
      </c>
      <c r="J57" s="26" t="n">
        <v>-300</v>
      </c>
      <c r="K57" s="25">
        <f>IF(N(J57)=0,"",IF(J57&gt;0,set_WIPAsset,set_WIPIncome))</f>
        <v/>
      </c>
      <c r="L57" s="25">
        <f>IF(N(J57)=0,"",IF(J57&gt;0,set_WIPIncome,set_WIPAsset))</f>
        <v/>
      </c>
      <c r="M57" s="27">
        <f>IF(N(J57)=0,"",ABS(J57))</f>
        <v/>
      </c>
      <c r="N57" s="25">
        <f>IF(N(J57)=0,"","WIP "&amp;I57&amp;IF(D57="",""," - "&amp;D57)&amp;IF(F57="",""," "&amp;F57)&amp;IF(H57="",""," - "&amp;H57))</f>
        <v/>
      </c>
      <c r="O57" s="24" t="n"/>
      <c r="P57" s="24" t="inlineStr">
        <is>
          <t>Y</t>
        </is>
      </c>
      <c r="Q57" s="24" t="inlineStr">
        <is>
          <t>Migrated from FY27 Revenue Tracker v2 - confirm type/sign</t>
        </is>
      </c>
    </row>
    <row r="58" ht="15" customHeight="1">
      <c r="A58" s="66" t="n">
        <v>46234</v>
      </c>
      <c r="B58" s="64">
        <f>IF(C58="","",IFERROR(INDEX(tbl_Finance[Date],MATCH(C58&amp;"",tbl_Finance[Xero Invoice No],0)),""))</f>
        <v/>
      </c>
      <c r="C58" s="24" t="n"/>
      <c r="D58" s="24" t="inlineStr">
        <is>
          <t>26061608</t>
        </is>
      </c>
      <c r="E58" s="25">
        <f>IF(D58="","",IF(COUNTIF(lst_Jobs,D58&amp;"")&gt;0,"OK","CHECK"))</f>
        <v/>
      </c>
      <c r="F58" s="24" t="inlineStr">
        <is>
          <t>APA</t>
        </is>
      </c>
      <c r="G58" s="24" t="inlineStr">
        <is>
          <t>PRODUCTION</t>
        </is>
      </c>
      <c r="H58" s="24" t="inlineStr">
        <is>
          <t>APA Qtrly All Hands Feb 2027 Package - Tech  Event Mgmt (Revenue) INV-10521</t>
        </is>
      </c>
      <c r="I58" s="24" t="inlineStr">
        <is>
          <t>Deferral - invoiced in advance</t>
        </is>
      </c>
      <c r="J58" s="26" t="n">
        <v>-690</v>
      </c>
      <c r="K58" s="25">
        <f>IF(N(J58)=0,"",IF(J58&gt;0,set_WIPAsset,set_WIPIncome))</f>
        <v/>
      </c>
      <c r="L58" s="25">
        <f>IF(N(J58)=0,"",IF(J58&gt;0,set_WIPIncome,set_WIPAsset))</f>
        <v/>
      </c>
      <c r="M58" s="27">
        <f>IF(N(J58)=0,"",ABS(J58))</f>
        <v/>
      </c>
      <c r="N58" s="25">
        <f>IF(N(J58)=0,"","WIP "&amp;I58&amp;IF(D58="",""," - "&amp;D58)&amp;IF(F58="",""," "&amp;F58)&amp;IF(H58="",""," - "&amp;H58))</f>
        <v/>
      </c>
      <c r="O58" s="24" t="n"/>
      <c r="P58" s="24" t="inlineStr">
        <is>
          <t>Y</t>
        </is>
      </c>
      <c r="Q58" s="24" t="inlineStr">
        <is>
          <t>Migrated from FY27 Revenue Tracker v2 - confirm type/sign</t>
        </is>
      </c>
    </row>
    <row r="59" ht="15" customHeight="1">
      <c r="A59" s="66" t="n">
        <v>46234</v>
      </c>
      <c r="B59" s="64">
        <f>IF(C59="","",IFERROR(INDEX(tbl_Finance[Date],MATCH(C59&amp;"",tbl_Finance[Xero Invoice No],0)),""))</f>
        <v/>
      </c>
      <c r="C59" s="24" t="n"/>
      <c r="D59" s="24" t="inlineStr">
        <is>
          <t>26061609</t>
        </is>
      </c>
      <c r="E59" s="25">
        <f>IF(D59="","",IF(COUNTIF(lst_Jobs,D59&amp;"")&gt;0,"OK","CHECK"))</f>
        <v/>
      </c>
      <c r="F59" s="24" t="inlineStr">
        <is>
          <t>APA</t>
        </is>
      </c>
      <c r="G59" s="24" t="inlineStr">
        <is>
          <t>PRODUCTION</t>
        </is>
      </c>
      <c r="H59" s="24" t="inlineStr">
        <is>
          <t>APA Qtrly All Hands May 2027 Package - Prd Equipment Hire (Revenue) INV-10521</t>
        </is>
      </c>
      <c r="I59" s="24" t="inlineStr">
        <is>
          <t>Deferral - invoiced in advance</t>
        </is>
      </c>
      <c r="J59" s="26" t="n">
        <v>-5857.6</v>
      </c>
      <c r="K59" s="25">
        <f>IF(N(J59)=0,"",IF(J59&gt;0,set_WIPAsset,set_WIPIncome))</f>
        <v/>
      </c>
      <c r="L59" s="25">
        <f>IF(N(J59)=0,"",IF(J59&gt;0,set_WIPIncome,set_WIPAsset))</f>
        <v/>
      </c>
      <c r="M59" s="27">
        <f>IF(N(J59)=0,"",ABS(J59))</f>
        <v/>
      </c>
      <c r="N59" s="25">
        <f>IF(N(J59)=0,"","WIP "&amp;I59&amp;IF(D59="",""," - "&amp;D59)&amp;IF(F59="",""," "&amp;F59)&amp;IF(H59="",""," - "&amp;H59))</f>
        <v/>
      </c>
      <c r="O59" s="24" t="n"/>
      <c r="P59" s="24" t="inlineStr">
        <is>
          <t>Y</t>
        </is>
      </c>
      <c r="Q59" s="24" t="inlineStr">
        <is>
          <t>Migrated from FY27 Revenue Tracker v2 - confirm type/sign</t>
        </is>
      </c>
    </row>
    <row r="60" ht="15" customHeight="1">
      <c r="A60" s="66" t="n">
        <v>46234</v>
      </c>
      <c r="B60" s="64">
        <f>IF(C60="","",IFERROR(INDEX(tbl_Finance[Date],MATCH(C60&amp;"",tbl_Finance[Xero Invoice No],0)),""))</f>
        <v/>
      </c>
      <c r="C60" s="24" t="n"/>
      <c r="D60" s="24" t="inlineStr">
        <is>
          <t>26061609V</t>
        </is>
      </c>
      <c r="E60" s="25">
        <f>IF(D60="","",IF(COUNTIF(lst_Jobs,D60&amp;"")&gt;0,"OK","CHECK"))</f>
        <v/>
      </c>
      <c r="F60" s="24" t="inlineStr">
        <is>
          <t>APA</t>
        </is>
      </c>
      <c r="G60" s="24" t="inlineStr">
        <is>
          <t>VIDEO</t>
        </is>
      </c>
      <c r="H60" s="24" t="inlineStr">
        <is>
          <t>APA Qtrly All Hands May 2027 Package - Vid Equipment Hire (Revenue) INV-10521</t>
        </is>
      </c>
      <c r="I60" s="24" t="inlineStr">
        <is>
          <t>Deferral - invoiced in advance</t>
        </is>
      </c>
      <c r="J60" s="26" t="n">
        <v>-592</v>
      </c>
      <c r="K60" s="25">
        <f>IF(N(J60)=0,"",IF(J60&gt;0,set_WIPAsset,set_WIPIncome))</f>
        <v/>
      </c>
      <c r="L60" s="25">
        <f>IF(N(J60)=0,"",IF(J60&gt;0,set_WIPIncome,set_WIPAsset))</f>
        <v/>
      </c>
      <c r="M60" s="27">
        <f>IF(N(J60)=0,"",ABS(J60))</f>
        <v/>
      </c>
      <c r="N60" s="25">
        <f>IF(N(J60)=0,"","WIP "&amp;I60&amp;IF(D60="",""," - "&amp;D60)&amp;IF(F60="",""," "&amp;F60)&amp;IF(H60="",""," - "&amp;H60))</f>
        <v/>
      </c>
      <c r="O60" s="24" t="n"/>
      <c r="P60" s="24" t="inlineStr">
        <is>
          <t>Y</t>
        </is>
      </c>
      <c r="Q60" s="24" t="inlineStr">
        <is>
          <t>Migrated from FY27 Revenue Tracker v2 - confirm type/sign</t>
        </is>
      </c>
    </row>
    <row r="61" ht="15" customHeight="1">
      <c r="A61" s="66" t="n">
        <v>46234</v>
      </c>
      <c r="B61" s="64">
        <f>IF(C61="","",IFERROR(INDEX(tbl_Finance[Date],MATCH(C61&amp;"",tbl_Finance[Xero Invoice No],0)),""))</f>
        <v/>
      </c>
      <c r="C61" s="24" t="n"/>
      <c r="D61" s="24" t="inlineStr">
        <is>
          <t>26061609</t>
        </is>
      </c>
      <c r="E61" s="25">
        <f>IF(D61="","",IF(COUNTIF(lst_Jobs,D61&amp;"")&gt;0,"OK","CHECK"))</f>
        <v/>
      </c>
      <c r="F61" s="24" t="inlineStr">
        <is>
          <t>APA</t>
        </is>
      </c>
      <c r="G61" s="24" t="inlineStr">
        <is>
          <t>PRODUCTION</t>
        </is>
      </c>
      <c r="H61" s="24" t="inlineStr">
        <is>
          <t>APA Qtrly All Hands May 2027 Package - Prd Labour (Revenue) INV-10521</t>
        </is>
      </c>
      <c r="I61" s="24" t="inlineStr">
        <is>
          <t>Deferral - invoiced in advance</t>
        </is>
      </c>
      <c r="J61" s="26" t="n">
        <v>-4995</v>
      </c>
      <c r="K61" s="25">
        <f>IF(N(J61)=0,"",IF(J61&gt;0,set_WIPAsset,set_WIPIncome))</f>
        <v/>
      </c>
      <c r="L61" s="25">
        <f>IF(N(J61)=0,"",IF(J61&gt;0,set_WIPIncome,set_WIPAsset))</f>
        <v/>
      </c>
      <c r="M61" s="27">
        <f>IF(N(J61)=0,"",ABS(J61))</f>
        <v/>
      </c>
      <c r="N61" s="25">
        <f>IF(N(J61)=0,"","WIP "&amp;I61&amp;IF(D61="",""," - "&amp;D61)&amp;IF(F61="",""," "&amp;F61)&amp;IF(H61="",""," - "&amp;H61))</f>
        <v/>
      </c>
      <c r="O61" s="24" t="n"/>
      <c r="P61" s="24" t="inlineStr">
        <is>
          <t>Y</t>
        </is>
      </c>
      <c r="Q61" s="24" t="inlineStr">
        <is>
          <t>Migrated from FY27 Revenue Tracker v2 - confirm type/sign</t>
        </is>
      </c>
    </row>
    <row r="62" ht="15" customHeight="1">
      <c r="A62" s="66" t="n">
        <v>46234</v>
      </c>
      <c r="B62" s="64">
        <f>IF(C62="","",IFERROR(INDEX(tbl_Finance[Date],MATCH(C62&amp;"",tbl_Finance[Xero Invoice No],0)),""))</f>
        <v/>
      </c>
      <c r="C62" s="24" t="n"/>
      <c r="D62" s="24" t="inlineStr">
        <is>
          <t>26061609V</t>
        </is>
      </c>
      <c r="E62" s="25">
        <f>IF(D62="","",IF(COUNTIF(lst_Jobs,D62&amp;"")&gt;0,"OK","CHECK"))</f>
        <v/>
      </c>
      <c r="F62" s="24" t="inlineStr">
        <is>
          <t>APA</t>
        </is>
      </c>
      <c r="G62" s="24" t="inlineStr">
        <is>
          <t>VIDEO</t>
        </is>
      </c>
      <c r="H62" s="24" t="inlineStr">
        <is>
          <t>APA Qtrly All Hands May 2027 Package - Vid Labour (Revenue) INV-10521</t>
        </is>
      </c>
      <c r="I62" s="24" t="inlineStr">
        <is>
          <t>Deferral - invoiced in advance</t>
        </is>
      </c>
      <c r="J62" s="26" t="n">
        <v>-485</v>
      </c>
      <c r="K62" s="25">
        <f>IF(N(J62)=0,"",IF(J62&gt;0,set_WIPAsset,set_WIPIncome))</f>
        <v/>
      </c>
      <c r="L62" s="25">
        <f>IF(N(J62)=0,"",IF(J62&gt;0,set_WIPIncome,set_WIPAsset))</f>
        <v/>
      </c>
      <c r="M62" s="27">
        <f>IF(N(J62)=0,"",ABS(J62))</f>
        <v/>
      </c>
      <c r="N62" s="25">
        <f>IF(N(J62)=0,"","WIP "&amp;I62&amp;IF(D62="",""," - "&amp;D62)&amp;IF(F62="",""," "&amp;F62)&amp;IF(H62="",""," - "&amp;H62))</f>
        <v/>
      </c>
      <c r="O62" s="24" t="n"/>
      <c r="P62" s="24" t="inlineStr">
        <is>
          <t>Y</t>
        </is>
      </c>
      <c r="Q62" s="24" t="inlineStr">
        <is>
          <t>Migrated from FY27 Revenue Tracker v2 - confirm type/sign</t>
        </is>
      </c>
    </row>
    <row r="63" ht="15" customHeight="1">
      <c r="A63" s="66" t="n">
        <v>46234</v>
      </c>
      <c r="B63" s="64">
        <f>IF(C63="","",IFERROR(INDEX(tbl_Finance[Date],MATCH(C63&amp;"",tbl_Finance[Xero Invoice No],0)),""))</f>
        <v/>
      </c>
      <c r="C63" s="24" t="n"/>
      <c r="D63" s="24" t="inlineStr">
        <is>
          <t>26061609</t>
        </is>
      </c>
      <c r="E63" s="25">
        <f>IF(D63="","",IF(COUNTIF(lst_Jobs,D63&amp;"")&gt;0,"OK","CHECK"))</f>
        <v/>
      </c>
      <c r="F63" s="24" t="inlineStr">
        <is>
          <t>APA</t>
        </is>
      </c>
      <c r="G63" s="24" t="inlineStr">
        <is>
          <t>PRODUCTION</t>
        </is>
      </c>
      <c r="H63" s="24" t="inlineStr">
        <is>
          <t>APA Qtrly All Hands May 2027 Package - Conf Call (Revenue) INV-10521</t>
        </is>
      </c>
      <c r="I63" s="24" t="inlineStr">
        <is>
          <t>Deferral - invoiced in advance</t>
        </is>
      </c>
      <c r="J63" s="26" t="n">
        <v>-750</v>
      </c>
      <c r="K63" s="25">
        <f>IF(N(J63)=0,"",IF(J63&gt;0,set_WIPAsset,set_WIPIncome))</f>
        <v/>
      </c>
      <c r="L63" s="25">
        <f>IF(N(J63)=0,"",IF(J63&gt;0,set_WIPIncome,set_WIPAsset))</f>
        <v/>
      </c>
      <c r="M63" s="27">
        <f>IF(N(J63)=0,"",ABS(J63))</f>
        <v/>
      </c>
      <c r="N63" s="25">
        <f>IF(N(J63)=0,"","WIP "&amp;I63&amp;IF(D63="",""," - "&amp;D63)&amp;IF(F63="",""," "&amp;F63)&amp;IF(H63="",""," - "&amp;H63))</f>
        <v/>
      </c>
      <c r="O63" s="24" t="n"/>
      <c r="P63" s="24" t="inlineStr">
        <is>
          <t>Y</t>
        </is>
      </c>
      <c r="Q63" s="24" t="inlineStr">
        <is>
          <t>Migrated from FY27 Revenue Tracker v2 - confirm type/sign</t>
        </is>
      </c>
    </row>
    <row r="64" ht="15" customHeight="1">
      <c r="A64" s="66" t="n">
        <v>46234</v>
      </c>
      <c r="B64" s="64">
        <f>IF(C64="","",IFERROR(INDEX(tbl_Finance[Date],MATCH(C64&amp;"",tbl_Finance[Xero Invoice No],0)),""))</f>
        <v/>
      </c>
      <c r="C64" s="24" t="n"/>
      <c r="D64" s="24" t="inlineStr">
        <is>
          <t>26061609</t>
        </is>
      </c>
      <c r="E64" s="25">
        <f>IF(D64="","",IF(COUNTIF(lst_Jobs,D64&amp;"")&gt;0,"OK","CHECK"))</f>
        <v/>
      </c>
      <c r="F64" s="24" t="inlineStr">
        <is>
          <t>APA</t>
        </is>
      </c>
      <c r="G64" s="24" t="inlineStr">
        <is>
          <t>PRODUCTION</t>
        </is>
      </c>
      <c r="H64" s="24" t="inlineStr">
        <is>
          <t>APA Qtrly All Hands May 2027 Package - Transport (Revenue) INV-10521</t>
        </is>
      </c>
      <c r="I64" s="24" t="inlineStr">
        <is>
          <t>Deferral - invoiced in advance</t>
        </is>
      </c>
      <c r="J64" s="26" t="n">
        <v>-300</v>
      </c>
      <c r="K64" s="25">
        <f>IF(N(J64)=0,"",IF(J64&gt;0,set_WIPAsset,set_WIPIncome))</f>
        <v/>
      </c>
      <c r="L64" s="25">
        <f>IF(N(J64)=0,"",IF(J64&gt;0,set_WIPIncome,set_WIPAsset))</f>
        <v/>
      </c>
      <c r="M64" s="27">
        <f>IF(N(J64)=0,"",ABS(J64))</f>
        <v/>
      </c>
      <c r="N64" s="25">
        <f>IF(N(J64)=0,"","WIP "&amp;I64&amp;IF(D64="",""," - "&amp;D64)&amp;IF(F64="",""," "&amp;F64)&amp;IF(H64="",""," - "&amp;H64))</f>
        <v/>
      </c>
      <c r="O64" s="24" t="n"/>
      <c r="P64" s="24" t="inlineStr">
        <is>
          <t>Y</t>
        </is>
      </c>
      <c r="Q64" s="24" t="inlineStr">
        <is>
          <t>Migrated from FY27 Revenue Tracker v2 - confirm type/sign</t>
        </is>
      </c>
    </row>
    <row r="65" ht="15" customHeight="1">
      <c r="A65" s="66" t="n">
        <v>46234</v>
      </c>
      <c r="B65" s="64">
        <f>IF(C65="","",IFERROR(INDEX(tbl_Finance[Date],MATCH(C65&amp;"",tbl_Finance[Xero Invoice No],0)),""))</f>
        <v/>
      </c>
      <c r="C65" s="24" t="n"/>
      <c r="D65" s="24" t="inlineStr">
        <is>
          <t>26061609</t>
        </is>
      </c>
      <c r="E65" s="25">
        <f>IF(D65="","",IF(COUNTIF(lst_Jobs,D65&amp;"")&gt;0,"OK","CHECK"))</f>
        <v/>
      </c>
      <c r="F65" s="24" t="inlineStr">
        <is>
          <t>APA</t>
        </is>
      </c>
      <c r="G65" s="24" t="inlineStr">
        <is>
          <t>PRODUCTION</t>
        </is>
      </c>
      <c r="H65" s="24" t="inlineStr">
        <is>
          <t>APA Qtrly All Hands May 2027 Package - Tech  Event Mgmt (Revenue) INV-10521</t>
        </is>
      </c>
      <c r="I65" s="24" t="inlineStr">
        <is>
          <t>Deferral - invoiced in advance</t>
        </is>
      </c>
      <c r="J65" s="26" t="n">
        <v>-690</v>
      </c>
      <c r="K65" s="25">
        <f>IF(N(J65)=0,"",IF(J65&gt;0,set_WIPAsset,set_WIPIncome))</f>
        <v/>
      </c>
      <c r="L65" s="25">
        <f>IF(N(J65)=0,"",IF(J65&gt;0,set_WIPIncome,set_WIPAsset))</f>
        <v/>
      </c>
      <c r="M65" s="27">
        <f>IF(N(J65)=0,"",ABS(J65))</f>
        <v/>
      </c>
      <c r="N65" s="25">
        <f>IF(N(J65)=0,"","WIP "&amp;I65&amp;IF(D65="",""," - "&amp;D65)&amp;IF(F65="",""," "&amp;F65)&amp;IF(H65="",""," - "&amp;H65))</f>
        <v/>
      </c>
      <c r="O65" s="24" t="n"/>
      <c r="P65" s="24" t="inlineStr">
        <is>
          <t>Y</t>
        </is>
      </c>
      <c r="Q65" s="24" t="inlineStr">
        <is>
          <t>Migrated from FY27 Revenue Tracker v2 - confirm type/sign</t>
        </is>
      </c>
    </row>
    <row r="66" ht="15" customHeight="1">
      <c r="A66" s="66" t="n">
        <v>46234</v>
      </c>
      <c r="B66" s="64">
        <f>IF(C66="","",IFERROR(INDEX(tbl_Finance[Date],MATCH(C66&amp;"",tbl_Finance[Xero Invoice No],0)),""))</f>
        <v/>
      </c>
      <c r="C66" s="24" t="n"/>
      <c r="D66" s="24" t="inlineStr">
        <is>
          <t>26061609</t>
        </is>
      </c>
      <c r="E66" s="25">
        <f>IF(D66="","",IF(COUNTIF(lst_Jobs,D66&amp;"")&gt;0,"OK","CHECK"))</f>
        <v/>
      </c>
      <c r="F66" s="24" t="inlineStr">
        <is>
          <t>APA</t>
        </is>
      </c>
      <c r="G66" s="24" t="inlineStr">
        <is>
          <t>PRODUCTION</t>
        </is>
      </c>
      <c r="H66" s="24" t="inlineStr">
        <is>
          <t>APA Qtrly All Hands May 2027 Package - Travel (Revenue) INV-10521</t>
        </is>
      </c>
      <c r="I66" s="24" t="inlineStr">
        <is>
          <t>Deferral - invoiced in advance</t>
        </is>
      </c>
      <c r="J66" s="26" t="n">
        <v>-1200</v>
      </c>
      <c r="K66" s="25">
        <f>IF(N(J66)=0,"",IF(J66&gt;0,set_WIPAsset,set_WIPIncome))</f>
        <v/>
      </c>
      <c r="L66" s="25">
        <f>IF(N(J66)=0,"",IF(J66&gt;0,set_WIPIncome,set_WIPAsset))</f>
        <v/>
      </c>
      <c r="M66" s="27">
        <f>IF(N(J66)=0,"",ABS(J66))</f>
        <v/>
      </c>
      <c r="N66" s="25">
        <f>IF(N(J66)=0,"","WIP "&amp;I66&amp;IF(D66="",""," - "&amp;D66)&amp;IF(F66="",""," "&amp;F66)&amp;IF(H66="",""," - "&amp;H66))</f>
        <v/>
      </c>
      <c r="O66" s="24" t="n"/>
      <c r="P66" s="24" t="inlineStr">
        <is>
          <t>Y</t>
        </is>
      </c>
      <c r="Q66" s="24" t="inlineStr">
        <is>
          <t>Migrated from FY27 Revenue Tracker v2 - confirm type/sign</t>
        </is>
      </c>
    </row>
    <row r="67" ht="15" customHeight="1">
      <c r="A67" s="66" t="n">
        <v>46234</v>
      </c>
      <c r="B67" s="64">
        <f>IF(C67="","",IFERROR(INDEX(tbl_Finance[Date],MATCH(C67&amp;"",tbl_Finance[Xero Invoice No],0)),""))</f>
        <v/>
      </c>
      <c r="C67" s="24" t="n"/>
      <c r="D67" s="24" t="inlineStr">
        <is>
          <t>2603104</t>
        </is>
      </c>
      <c r="E67" s="25">
        <f>IF(D67="","",IF(COUNTIF(lst_Jobs,D67&amp;"")&gt;0,"OK","CHECK"))</f>
        <v/>
      </c>
      <c r="F67" s="24" t="inlineStr">
        <is>
          <t>Cochlear</t>
        </is>
      </c>
      <c r="G67" s="24" t="inlineStr">
        <is>
          <t>PRODUCTION</t>
        </is>
      </c>
      <c r="H67" s="24" t="inlineStr">
        <is>
          <t>Cochlear FY26 Results 18.8.26 [PRD] pre-prod work</t>
        </is>
      </c>
      <c r="I67" s="24" t="inlineStr">
        <is>
          <t>Accrual - unbilled work</t>
        </is>
      </c>
      <c r="J67" s="26" t="n">
        <v>172.5</v>
      </c>
      <c r="K67" s="25">
        <f>IF(N(J67)=0,"",IF(J67&gt;0,set_WIPAsset,set_WIPIncome))</f>
        <v/>
      </c>
      <c r="L67" s="25">
        <f>IF(N(J67)=0,"",IF(J67&gt;0,set_WIPIncome,set_WIPAsset))</f>
        <v/>
      </c>
      <c r="M67" s="27">
        <f>IF(N(J67)=0,"",ABS(J67))</f>
        <v/>
      </c>
      <c r="N67" s="25">
        <f>IF(N(J67)=0,"","WIP "&amp;I67&amp;IF(D67="",""," - "&amp;D67)&amp;IF(F67="",""," "&amp;F67)&amp;IF(H67="",""," - "&amp;H67))</f>
        <v/>
      </c>
      <c r="O67" s="24" t="n"/>
      <c r="P67" s="24" t="inlineStr">
        <is>
          <t>Y</t>
        </is>
      </c>
      <c r="Q67" s="24" t="inlineStr">
        <is>
          <t>Migrated from FY27 Revenue Tracker v2 - confirm type/sign</t>
        </is>
      </c>
    </row>
    <row r="68" ht="15" customHeight="1">
      <c r="A68" s="66" t="n">
        <v>46234</v>
      </c>
      <c r="B68" s="64">
        <f>IF(C68="","",IFERROR(INDEX(tbl_Finance[Date],MATCH(C68&amp;"",tbl_Finance[Xero Invoice No],0)),""))</f>
        <v/>
      </c>
      <c r="C68" s="24" t="n"/>
      <c r="D68" s="24" t="inlineStr">
        <is>
          <t>2512804</t>
        </is>
      </c>
      <c r="E68" s="25">
        <f>IF(D68="","",IF(COUNTIF(lst_Jobs,D68&amp;"")&gt;0,"OK","CHECK"))</f>
        <v/>
      </c>
      <c r="F68" s="24" t="inlineStr">
        <is>
          <t>RSNSW</t>
        </is>
      </c>
      <c r="G68" s="24" t="inlineStr">
        <is>
          <t>PRODUCTION</t>
        </is>
      </c>
      <c r="H68" s="24" t="inlineStr">
        <is>
          <t>RSNSW Ordinary General Meeting 5.8.26 [PRD] pre-prod work</t>
        </is>
      </c>
      <c r="I68" s="24" t="inlineStr">
        <is>
          <t>Accrual - unbilled work</t>
        </is>
      </c>
      <c r="J68" s="26" t="n">
        <v>115</v>
      </c>
      <c r="K68" s="25">
        <f>IF(N(J68)=0,"",IF(J68&gt;0,set_WIPAsset,set_WIPIncome))</f>
        <v/>
      </c>
      <c r="L68" s="25">
        <f>IF(N(J68)=0,"",IF(J68&gt;0,set_WIPIncome,set_WIPAsset))</f>
        <v/>
      </c>
      <c r="M68" s="27">
        <f>IF(N(J68)=0,"",ABS(J68))</f>
        <v/>
      </c>
      <c r="N68" s="25">
        <f>IF(N(J68)=0,"","WIP "&amp;I68&amp;IF(D68="",""," - "&amp;D68)&amp;IF(F68="",""," "&amp;F68)&amp;IF(H68="",""," - "&amp;H68))</f>
        <v/>
      </c>
      <c r="O68" s="24" t="n"/>
      <c r="P68" s="24" t="inlineStr">
        <is>
          <t>Y</t>
        </is>
      </c>
      <c r="Q68" s="24" t="inlineStr">
        <is>
          <t>Migrated from FY27 Revenue Tracker v2 - confirm type/sign</t>
        </is>
      </c>
    </row>
    <row r="69" ht="15" customHeight="1">
      <c r="A69" s="66" t="n">
        <v>46234</v>
      </c>
      <c r="B69" s="64">
        <f>IF(C69="","",IFERROR(INDEX(tbl_Finance[Date],MATCH(C69&amp;"",tbl_Finance[Xero Invoice No],0)),""))</f>
        <v/>
      </c>
      <c r="C69" s="24" t="n"/>
      <c r="D69" s="24" t="inlineStr">
        <is>
          <t>26061108</t>
        </is>
      </c>
      <c r="E69" s="25">
        <f>IF(D69="","",IF(COUNTIF(lst_Jobs,D69&amp;"")&gt;0,"OK","CHECK"))</f>
        <v/>
      </c>
      <c r="F69" s="24" t="inlineStr">
        <is>
          <t>APA</t>
        </is>
      </c>
      <c r="G69" s="24" t="inlineStr">
        <is>
          <t>PRODUCTION</t>
        </is>
      </c>
      <c r="H69" s="24" t="inlineStr">
        <is>
          <t>APA - Qtly All Hands FYR26 - 20.8.26 [PRD] pre-prod work</t>
        </is>
      </c>
      <c r="I69" s="24" t="inlineStr">
        <is>
          <t>Accrual - unbilled work</t>
        </is>
      </c>
      <c r="J69" s="26" t="n">
        <v>172.5</v>
      </c>
      <c r="K69" s="25">
        <f>IF(N(J69)=0,"",IF(J69&gt;0,set_WIPAsset,set_WIPIncome))</f>
        <v/>
      </c>
      <c r="L69" s="25">
        <f>IF(N(J69)=0,"",IF(J69&gt;0,set_WIPIncome,set_WIPAsset))</f>
        <v/>
      </c>
      <c r="M69" s="27">
        <f>IF(N(J69)=0,"",ABS(J69))</f>
        <v/>
      </c>
      <c r="N69" s="25">
        <f>IF(N(J69)=0,"","WIP "&amp;I69&amp;IF(D69="",""," - "&amp;D69)&amp;IF(F69="",""," "&amp;F69)&amp;IF(H69="",""," - "&amp;H69))</f>
        <v/>
      </c>
      <c r="O69" s="24" t="n"/>
      <c r="P69" s="24" t="inlineStr">
        <is>
          <t>Y</t>
        </is>
      </c>
      <c r="Q69" s="24" t="inlineStr">
        <is>
          <t>Migrated from FY27 Revenue Tracker v2 - confirm type/sign</t>
        </is>
      </c>
    </row>
    <row r="70" ht="15" customHeight="1">
      <c r="A70" s="66" t="n">
        <v>46265</v>
      </c>
      <c r="B70" s="64">
        <f>IF(C70="","",IFERROR(INDEX(tbl_Finance[Date],MATCH(C70&amp;"",tbl_Finance[Xero Invoice No],0)),""))</f>
        <v/>
      </c>
      <c r="C70" s="24" t="n"/>
      <c r="D70" s="24" t="inlineStr">
        <is>
          <t>26062503</t>
        </is>
      </c>
      <c r="E70" s="25">
        <f>IF(D70="","",IF(COUNTIF(lst_Jobs,D70&amp;"")&gt;0,"OK","CHECK"))</f>
        <v/>
      </c>
      <c r="F70" s="24" t="inlineStr">
        <is>
          <t>Aware Super</t>
        </is>
      </c>
      <c r="G70" s="24" t="inlineStr">
        <is>
          <t>INTEGRATION</t>
        </is>
      </c>
      <c r="H70" s="24" t="inlineStr">
        <is>
          <t>Aware Super 24.16 UC Engine Replacement [INT] Labour Revenue INV-10619 | Pre work</t>
        </is>
      </c>
      <c r="I70" s="24" t="inlineStr">
        <is>
          <t>Accrual - unbilled work</t>
        </is>
      </c>
      <c r="J70" s="26" t="n">
        <v>671</v>
      </c>
      <c r="K70" s="25">
        <f>IF(N(J70)=0,"",IF(J70&gt;0,set_WIPAsset,set_WIPIncome))</f>
        <v/>
      </c>
      <c r="L70" s="25">
        <f>IF(N(J70)=0,"",IF(J70&gt;0,set_WIPIncome,set_WIPAsset))</f>
        <v/>
      </c>
      <c r="M70" s="27">
        <f>IF(N(J70)=0,"",ABS(J70))</f>
        <v/>
      </c>
      <c r="N70" s="25">
        <f>IF(N(J70)=0,"","WIP "&amp;I70&amp;IF(D70="",""," - "&amp;D70)&amp;IF(F70="",""," "&amp;F70)&amp;IF(H70="",""," - "&amp;H70))</f>
        <v/>
      </c>
      <c r="O70" s="24" t="n"/>
      <c r="P70" s="24" t="inlineStr">
        <is>
          <t>Y</t>
        </is>
      </c>
      <c r="Q70" s="24" t="inlineStr">
        <is>
          <t>Migrated from FY27 Revenue Tracker v2 - confirm type/sign</t>
        </is>
      </c>
    </row>
    <row r="71" ht="15" customHeight="1">
      <c r="A71" s="66" t="n">
        <v>46265</v>
      </c>
      <c r="B71" s="64">
        <f>IF(C71="","",IFERROR(INDEX(tbl_Finance[Date],MATCH(C71&amp;"",tbl_Finance[Xero Invoice No],0)),""))</f>
        <v/>
      </c>
      <c r="C71" s="24" t="n"/>
      <c r="D71" s="24" t="inlineStr">
        <is>
          <t>26062901</t>
        </is>
      </c>
      <c r="E71" s="25">
        <f>IF(D71="","",IF(COUNTIF(lst_Jobs,D71&amp;"")&gt;0,"OK","CHECK"))</f>
        <v/>
      </c>
      <c r="F71" s="24" t="inlineStr">
        <is>
          <t>Aware Super</t>
        </is>
      </c>
      <c r="G71" s="24" t="inlineStr">
        <is>
          <t>INTEGRATION</t>
        </is>
      </c>
      <c r="H71" s="24" t="inlineStr">
        <is>
          <t>Aware | SYD 28.06 Services [INT] Labour Revenue Pre work</t>
        </is>
      </c>
      <c r="I71" s="24" t="inlineStr">
        <is>
          <t>Deferral - invoiced in advance</t>
        </is>
      </c>
      <c r="J71" s="26" t="n">
        <v>-1450</v>
      </c>
      <c r="K71" s="25">
        <f>IF(N(J71)=0,"",IF(J71&gt;0,set_WIPAsset,set_WIPIncome))</f>
        <v/>
      </c>
      <c r="L71" s="25">
        <f>IF(N(J71)=0,"",IF(J71&gt;0,set_WIPIncome,set_WIPAsset))</f>
        <v/>
      </c>
      <c r="M71" s="27">
        <f>IF(N(J71)=0,"",ABS(J71))</f>
        <v/>
      </c>
      <c r="N71" s="25">
        <f>IF(N(J71)=0,"","WIP "&amp;I71&amp;IF(D71="",""," - "&amp;D71)&amp;IF(F71="",""," "&amp;F71)&amp;IF(H71="",""," - "&amp;H71))</f>
        <v/>
      </c>
      <c r="O71" s="24" t="n"/>
      <c r="P71" s="24" t="inlineStr">
        <is>
          <t>Y</t>
        </is>
      </c>
      <c r="Q71" s="24" t="inlineStr">
        <is>
          <t>Migrated from FY27 Revenue Tracker v2 - confirm type/sign</t>
        </is>
      </c>
    </row>
    <row r="72" ht="15" customHeight="1">
      <c r="A72" s="66" t="n"/>
      <c r="B72" s="64">
        <f>IF(C72="","",IFERROR(INDEX(tbl_Finance[Date],MATCH(C72&amp;"",tbl_Finance[Xero Invoice No],0)),""))</f>
        <v/>
      </c>
      <c r="C72" s="24" t="n"/>
      <c r="D72" s="24" t="inlineStr">
        <is>
          <t>2604704</t>
        </is>
      </c>
      <c r="E72" s="25">
        <f>IF(D72="","",IF(COUNTIF(lst_Jobs,D72&amp;"")&gt;0,"OK","CHECK"))</f>
        <v/>
      </c>
      <c r="F72" s="24" t="inlineStr">
        <is>
          <t>Aware Super</t>
        </is>
      </c>
      <c r="G72" s="24" t="inlineStr">
        <is>
          <t>INTEGRATION</t>
        </is>
      </c>
      <c r="H72" s="24" t="inlineStr">
        <is>
          <t>Aware Super Seminar Room Audio Upgrade [INT] Labour Revenue INV-10596 | Pre work</t>
        </is>
      </c>
      <c r="I72" s="24" t="inlineStr">
        <is>
          <t>Accrual - unbilled work</t>
        </is>
      </c>
      <c r="J72" s="26" t="n"/>
      <c r="K72" s="25">
        <f>IF(N(J72)=0,"",IF(J72&gt;0,set_WIPAsset,set_WIPIncome))</f>
        <v/>
      </c>
      <c r="L72" s="25">
        <f>IF(N(J72)=0,"",IF(J72&gt;0,set_WIPIncome,set_WIPAsset))</f>
        <v/>
      </c>
      <c r="M72" s="27">
        <f>IF(N(J72)=0,"",ABS(J72))</f>
        <v/>
      </c>
      <c r="N72" s="25">
        <f>IF(N(J72)=0,"","WIP "&amp;I72&amp;IF(D72="",""," - "&amp;D72)&amp;IF(F72="",""," "&amp;F72)&amp;IF(H72="",""," - "&amp;H72))</f>
        <v/>
      </c>
      <c r="O72" s="24" t="n"/>
      <c r="P72" s="24" t="inlineStr">
        <is>
          <t>Y</t>
        </is>
      </c>
      <c r="Q72" s="24" t="inlineStr">
        <is>
          <t>Migrated from FY27 Revenue Tracker v2 - confirm type/sign</t>
        </is>
      </c>
    </row>
    <row r="73" ht="15" customHeight="1">
      <c r="A73" s="66" t="n">
        <v>46265</v>
      </c>
      <c r="B73" s="64">
        <f>IF(C73="","",IFERROR(INDEX(tbl_Finance[Date],MATCH(C73&amp;"",tbl_Finance[Xero Invoice No],0)),""))</f>
        <v/>
      </c>
      <c r="C73" s="24" t="n"/>
      <c r="D73" s="24" t="inlineStr">
        <is>
          <t>26061602</t>
        </is>
      </c>
      <c r="E73" s="25">
        <f>IF(D73="","",IF(COUNTIF(lst_Jobs,D73&amp;"")&gt;0,"OK","CHECK"))</f>
        <v/>
      </c>
      <c r="F73" s="24" t="inlineStr">
        <is>
          <t>ASX</t>
        </is>
      </c>
      <c r="G73" s="24" t="inlineStr">
        <is>
          <t>PRODUCTION</t>
        </is>
      </c>
      <c r="H73" s="24" t="inlineStr">
        <is>
          <t>ASX CEO Connect (Extended Results) 1.9.26 [PRD] Pre-prod labour</t>
        </is>
      </c>
      <c r="I73" s="24" t="inlineStr">
        <is>
          <t>Accrual - unbilled work</t>
        </is>
      </c>
      <c r="J73" s="26" t="n">
        <v>1852.5</v>
      </c>
      <c r="K73" s="25">
        <f>IF(N(J73)=0,"",IF(J73&gt;0,set_WIPAsset,set_WIPIncome))</f>
        <v/>
      </c>
      <c r="L73" s="25">
        <f>IF(N(J73)=0,"",IF(J73&gt;0,set_WIPIncome,set_WIPAsset))</f>
        <v/>
      </c>
      <c r="M73" s="27">
        <f>IF(N(J73)=0,"",ABS(J73))</f>
        <v/>
      </c>
      <c r="N73" s="25">
        <f>IF(N(J73)=0,"","WIP "&amp;I73&amp;IF(D73="",""," - "&amp;D73)&amp;IF(F73="",""," "&amp;F73)&amp;IF(H73="",""," - "&amp;H73))</f>
        <v/>
      </c>
      <c r="O73" s="24" t="n"/>
      <c r="P73" s="24" t="inlineStr">
        <is>
          <t>Y</t>
        </is>
      </c>
      <c r="Q73" s="24" t="inlineStr">
        <is>
          <t>Migrated from FY27 Revenue Tracker v2 - confirm type/sign</t>
        </is>
      </c>
    </row>
    <row r="74" ht="15" customHeight="1">
      <c r="A74" s="66" t="n">
        <v>46265</v>
      </c>
      <c r="B74" s="64">
        <f>IF(C74="","",IFERROR(INDEX(tbl_Finance[Date],MATCH(C74&amp;"",tbl_Finance[Xero Invoice No],0)),""))</f>
        <v/>
      </c>
      <c r="C74" s="24" t="n"/>
      <c r="D74" s="24" t="inlineStr">
        <is>
          <t>26071701</t>
        </is>
      </c>
      <c r="E74" s="25">
        <f>IF(D74="","",IF(COUNTIF(lst_Jobs,D74&amp;"")&gt;0,"OK","CHECK"))</f>
        <v/>
      </c>
      <c r="F74" s="24" t="inlineStr">
        <is>
          <t>ASX</t>
        </is>
      </c>
      <c r="G74" s="24" t="inlineStr">
        <is>
          <t>PRODUCTION</t>
        </is>
      </c>
      <c r="H74" s="24" t="inlineStr">
        <is>
          <t>ASX Live - 9.9.26 [PRD] Pre-prod labour</t>
        </is>
      </c>
      <c r="I74" s="24" t="inlineStr">
        <is>
          <t>Accrual - unbilled work</t>
        </is>
      </c>
      <c r="J74" s="26" t="n">
        <v>1885</v>
      </c>
      <c r="K74" s="25">
        <f>IF(N(J74)=0,"",IF(J74&gt;0,set_WIPAsset,set_WIPIncome))</f>
        <v/>
      </c>
      <c r="L74" s="25">
        <f>IF(N(J74)=0,"",IF(J74&gt;0,set_WIPIncome,set_WIPAsset))</f>
        <v/>
      </c>
      <c r="M74" s="27">
        <f>IF(N(J74)=0,"",ABS(J74))</f>
        <v/>
      </c>
      <c r="N74" s="25">
        <f>IF(N(J74)=0,"","WIP "&amp;I74&amp;IF(D74="",""," - "&amp;D74)&amp;IF(F74="",""," "&amp;F74)&amp;IF(H74="",""," - "&amp;H74))</f>
        <v/>
      </c>
      <c r="O74" s="24" t="n"/>
      <c r="P74" s="24" t="inlineStr">
        <is>
          <t>Y</t>
        </is>
      </c>
      <c r="Q74" s="24" t="inlineStr">
        <is>
          <t>Migrated from FY27 Revenue Tracker v2 - confirm type/sign</t>
        </is>
      </c>
    </row>
    <row r="75" ht="15" customHeight="1">
      <c r="A75" s="66" t="n">
        <v>46265</v>
      </c>
      <c r="B75" s="64">
        <f>IF(C75="","",IFERROR(INDEX(tbl_Finance[Date],MATCH(C75&amp;"",tbl_Finance[Xero Invoice No],0)),""))</f>
        <v/>
      </c>
      <c r="C75" s="24" t="n"/>
      <c r="D75" s="24" t="inlineStr">
        <is>
          <t>26072102</t>
        </is>
      </c>
      <c r="E75" s="25">
        <f>IF(D75="","",IF(COUNTIF(lst_Jobs,D75&amp;"")&gt;0,"OK","CHECK"))</f>
        <v/>
      </c>
      <c r="F75" s="24" t="inlineStr">
        <is>
          <t>Ventia</t>
        </is>
      </c>
      <c r="G75" s="24" t="inlineStr">
        <is>
          <t>PRODUCTION</t>
        </is>
      </c>
      <c r="H75" s="24" t="inlineStr">
        <is>
          <t>Ventia - RUOK? Day - 10.09.2026 [PRD] pre-prd labour</t>
        </is>
      </c>
      <c r="I75" s="24" t="inlineStr">
        <is>
          <t>Accrual - unbilled work</t>
        </is>
      </c>
      <c r="J75" s="26" t="n">
        <v>585</v>
      </c>
      <c r="K75" s="25">
        <f>IF(N(J75)=0,"",IF(J75&gt;0,set_WIPAsset,set_WIPIncome))</f>
        <v/>
      </c>
      <c r="L75" s="25">
        <f>IF(N(J75)=0,"",IF(J75&gt;0,set_WIPIncome,set_WIPAsset))</f>
        <v/>
      </c>
      <c r="M75" s="27">
        <f>IF(N(J75)=0,"",ABS(J75))</f>
        <v/>
      </c>
      <c r="N75" s="25">
        <f>IF(N(J75)=0,"","WIP "&amp;I75&amp;IF(D75="",""," - "&amp;D75)&amp;IF(F75="",""," "&amp;F75)&amp;IF(H75="",""," - "&amp;H75))</f>
        <v/>
      </c>
      <c r="O75" s="24" t="n"/>
      <c r="P75" s="24" t="inlineStr">
        <is>
          <t>Y</t>
        </is>
      </c>
      <c r="Q75" s="24" t="inlineStr">
        <is>
          <t>Migrated from FY27 Revenue Tracker v2 - confirm type/sign</t>
        </is>
      </c>
    </row>
    <row r="76" ht="15" customHeight="1">
      <c r="A76" s="66" t="n">
        <v>46265</v>
      </c>
      <c r="B76" s="64">
        <f>IF(C76="","",IFERROR(INDEX(tbl_Finance[Date],MATCH(C76&amp;"",tbl_Finance[Xero Invoice No],0)),""))</f>
        <v/>
      </c>
      <c r="C76" s="24" t="n"/>
      <c r="D76" s="24" t="inlineStr">
        <is>
          <t>26082502</t>
        </is>
      </c>
      <c r="E76" s="25">
        <f>IF(D76="","",IF(COUNTIF(lst_Jobs,D76&amp;"")&gt;0,"OK","CHECK"))</f>
        <v/>
      </c>
      <c r="F76" s="24" t="inlineStr">
        <is>
          <t>ICC</t>
        </is>
      </c>
      <c r="G76" s="24" t="inlineStr">
        <is>
          <t>PRODUCTION</t>
        </is>
      </c>
      <c r="H76" s="24" t="inlineStr">
        <is>
          <t>ICC - Presenter &amp; Speaker Preparation - September 2026 [PRD] pre-prod labour</t>
        </is>
      </c>
      <c r="I76" s="24" t="inlineStr">
        <is>
          <t>Accrual - unbilled work</t>
        </is>
      </c>
      <c r="J76" s="26" t="n">
        <v>292.5</v>
      </c>
      <c r="K76" s="25">
        <f>IF(N(J76)=0,"",IF(J76&gt;0,set_WIPAsset,set_WIPIncome))</f>
        <v/>
      </c>
      <c r="L76" s="25">
        <f>IF(N(J76)=0,"",IF(J76&gt;0,set_WIPIncome,set_WIPAsset))</f>
        <v/>
      </c>
      <c r="M76" s="27">
        <f>IF(N(J76)=0,"",ABS(J76))</f>
        <v/>
      </c>
      <c r="N76" s="25">
        <f>IF(N(J76)=0,"","WIP "&amp;I76&amp;IF(D76="",""," - "&amp;D76)&amp;IF(F76="",""," "&amp;F76)&amp;IF(H76="",""," - "&amp;H76))</f>
        <v/>
      </c>
      <c r="O76" s="24" t="n"/>
      <c r="P76" s="24" t="inlineStr">
        <is>
          <t>Y</t>
        </is>
      </c>
      <c r="Q76" s="24" t="inlineStr">
        <is>
          <t>Migrated from FY27 Revenue Tracker v2 - confirm type/sign</t>
        </is>
      </c>
    </row>
    <row r="77" ht="15" customHeight="1">
      <c r="A77" s="66" t="n">
        <v>46265</v>
      </c>
      <c r="B77" s="64">
        <f>IF(C77="","",IFERROR(INDEX(tbl_Finance[Date],MATCH(C77&amp;"",tbl_Finance[Xero Invoice No],0)),""))</f>
        <v/>
      </c>
      <c r="C77" s="24" t="n"/>
      <c r="D77" s="24" t="inlineStr">
        <is>
          <t>26032302</t>
        </is>
      </c>
      <c r="E77" s="25">
        <f>IF(D77="","",IF(COUNTIF(lst_Jobs,D77&amp;"")&gt;0,"OK","CHECK"))</f>
        <v/>
      </c>
      <c r="F77" s="24" t="inlineStr">
        <is>
          <t>RSNSW</t>
        </is>
      </c>
      <c r="G77" s="24" t="inlineStr">
        <is>
          <t>PRODUCTION</t>
        </is>
      </c>
      <c r="H77" s="24" t="inlineStr">
        <is>
          <t>RSNSW - OGM - 2.9.2026 [PRD] pre-prod labour</t>
        </is>
      </c>
      <c r="I77" s="24" t="inlineStr">
        <is>
          <t>Accrual - unbilled work</t>
        </is>
      </c>
      <c r="J77" s="26" t="n">
        <v>260</v>
      </c>
      <c r="K77" s="25">
        <f>IF(N(J77)=0,"",IF(J77&gt;0,set_WIPAsset,set_WIPIncome))</f>
        <v/>
      </c>
      <c r="L77" s="25">
        <f>IF(N(J77)=0,"",IF(J77&gt;0,set_WIPIncome,set_WIPAsset))</f>
        <v/>
      </c>
      <c r="M77" s="27">
        <f>IF(N(J77)=0,"",ABS(J77))</f>
        <v/>
      </c>
      <c r="N77" s="25">
        <f>IF(N(J77)=0,"","WIP "&amp;I77&amp;IF(D77="",""," - "&amp;D77)&amp;IF(F77="",""," "&amp;F77)&amp;IF(H77="",""," - "&amp;H77))</f>
        <v/>
      </c>
      <c r="O77" s="24" t="n"/>
      <c r="P77" s="24" t="inlineStr">
        <is>
          <t>Y</t>
        </is>
      </c>
      <c r="Q77" s="24" t="inlineStr">
        <is>
          <t>Migrated from FY27 Revenue Tracker v2 - confirm type/sign</t>
        </is>
      </c>
    </row>
    <row r="78" ht="15" customHeight="1">
      <c r="A78" s="66" t="n">
        <v>46265</v>
      </c>
      <c r="B78" s="64">
        <f>IF(C78="","",IFERROR(INDEX(tbl_Finance[Date],MATCH(C78&amp;"",tbl_Finance[Xero Invoice No],0)),""))</f>
        <v/>
      </c>
      <c r="C78" s="24" t="n"/>
      <c r="D78" s="24" t="inlineStr">
        <is>
          <t>26061602V</t>
        </is>
      </c>
      <c r="E78" s="25">
        <f>IF(D78="","",IF(COUNTIF(lst_Jobs,D78&amp;"")&gt;0,"OK","CHECK"))</f>
        <v/>
      </c>
      <c r="F78" s="24" t="inlineStr">
        <is>
          <t>ASX</t>
        </is>
      </c>
      <c r="G78" s="24" t="inlineStr">
        <is>
          <t>VIDEO</t>
        </is>
      </c>
      <c r="H78" s="24" t="inlineStr">
        <is>
          <t>ASX CEO Connect (Extended Results) 1.9.26 [VID] pre-vid labour</t>
        </is>
      </c>
      <c r="I78" s="24" t="inlineStr">
        <is>
          <t>Accrual - unbilled work</t>
        </is>
      </c>
      <c r="J78" s="26" t="n">
        <v>190</v>
      </c>
      <c r="K78" s="25">
        <f>IF(N(J78)=0,"",IF(J78&gt;0,set_WIPAsset,set_WIPIncome))</f>
        <v/>
      </c>
      <c r="L78" s="25">
        <f>IF(N(J78)=0,"",IF(J78&gt;0,set_WIPIncome,set_WIPAsset))</f>
        <v/>
      </c>
      <c r="M78" s="27">
        <f>IF(N(J78)=0,"",ABS(J78))</f>
        <v/>
      </c>
      <c r="N78" s="25">
        <f>IF(N(J78)=0,"","WIP "&amp;I78&amp;IF(D78="",""," - "&amp;D78)&amp;IF(F78="",""," "&amp;F78)&amp;IF(H78="",""," - "&amp;H78))</f>
        <v/>
      </c>
      <c r="O78" s="24" t="n"/>
      <c r="P78" s="24" t="inlineStr">
        <is>
          <t>Y</t>
        </is>
      </c>
      <c r="Q78" s="24" t="inlineStr">
        <is>
          <t>Migrated from FY27 Revenue Tracker v2 - confirm type/sign</t>
        </is>
      </c>
    </row>
    <row r="79" ht="15" customHeight="1">
      <c r="A79" s="66" t="n">
        <v>46265</v>
      </c>
      <c r="B79" s="64">
        <f>IF(C79="","",IFERROR(INDEX(tbl_Finance[Date],MATCH(C79&amp;"",tbl_Finance[Xero Invoice No],0)),""))</f>
        <v/>
      </c>
      <c r="C79" s="24" t="n"/>
      <c r="D79" s="24" t="inlineStr">
        <is>
          <t>2591012C</t>
        </is>
      </c>
      <c r="E79" s="25">
        <f>IF(D79="","",IF(COUNTIF(lst_Jobs,D79&amp;"")&gt;0,"OK","CHECK"))</f>
        <v/>
      </c>
      <c r="F79" s="24" t="inlineStr">
        <is>
          <t>St Luke</t>
        </is>
      </c>
      <c r="G79" s="24" t="inlineStr">
        <is>
          <t>PRODUCTION</t>
        </is>
      </c>
      <c r="H79" s="24" t="inlineStr">
        <is>
          <t>St Luke Equipment Sale | DL to advise to invoice in SEPT26 | Indicative Revenue</t>
        </is>
      </c>
      <c r="I79" s="24" t="inlineStr">
        <is>
          <t>Deferral - invoiced in advance</t>
        </is>
      </c>
      <c r="J79" s="26" t="n">
        <v>-4227.27</v>
      </c>
      <c r="K79" s="25">
        <f>IF(N(J79)=0,"",IF(J79&gt;0,set_WIPAsset,set_WIPIncome))</f>
        <v/>
      </c>
      <c r="L79" s="25">
        <f>IF(N(J79)=0,"",IF(J79&gt;0,set_WIPIncome,set_WIPAsset))</f>
        <v/>
      </c>
      <c r="M79" s="27">
        <f>IF(N(J79)=0,"",ABS(J79))</f>
        <v/>
      </c>
      <c r="N79" s="25">
        <f>IF(N(J79)=0,"","WIP "&amp;I79&amp;IF(D79="",""," - "&amp;D79)&amp;IF(F79="",""," "&amp;F79)&amp;IF(H79="",""," - "&amp;H79))</f>
        <v/>
      </c>
      <c r="O79" s="24" t="n"/>
      <c r="P79" s="24" t="inlineStr">
        <is>
          <t>Y</t>
        </is>
      </c>
      <c r="Q79" s="24" t="inlineStr">
        <is>
          <t>Migrated from FY27 Revenue Tracker v2 - confirm type/sign</t>
        </is>
      </c>
    </row>
    <row r="80" ht="15" customHeight="1">
      <c r="A80" s="66" t="n">
        <v>46265</v>
      </c>
      <c r="B80" s="64">
        <f>IF(C80="","",IFERROR(INDEX(tbl_Finance[Date],MATCH(C80&amp;"",tbl_Finance[Xero Invoice No],0)),""))</f>
        <v/>
      </c>
      <c r="C80" s="24" t="n"/>
      <c r="D80" s="24" t="inlineStr">
        <is>
          <t>26061108</t>
        </is>
      </c>
      <c r="E80" s="25">
        <f>IF(D80="","",IF(COUNTIF(lst_Jobs,D80&amp;"")&gt;0,"OK","CHECK"))</f>
        <v/>
      </c>
      <c r="F80" s="24" t="inlineStr">
        <is>
          <t>APA</t>
        </is>
      </c>
      <c r="G80" s="24" t="inlineStr">
        <is>
          <t>PRODUCTION</t>
        </is>
      </c>
      <c r="H80" s="24" t="inlineStr">
        <is>
          <t>APA FYR All Hands August 2026 Package - Prd Equipment Hire (Revenue) INV-10521</t>
        </is>
      </c>
      <c r="I80" s="24" t="inlineStr">
        <is>
          <t>Accrual - unbilled work</t>
        </is>
      </c>
      <c r="J80" s="26" t="n">
        <v>5413.6</v>
      </c>
      <c r="K80" s="25">
        <f>IF(N(J80)=0,"",IF(J80&gt;0,set_WIPAsset,set_WIPIncome))</f>
        <v/>
      </c>
      <c r="L80" s="25">
        <f>IF(N(J80)=0,"",IF(J80&gt;0,set_WIPIncome,set_WIPAsset))</f>
        <v/>
      </c>
      <c r="M80" s="27">
        <f>IF(N(J80)=0,"",ABS(J80))</f>
        <v/>
      </c>
      <c r="N80" s="25">
        <f>IF(N(J80)=0,"","WIP "&amp;I80&amp;IF(D80="",""," - "&amp;D80)&amp;IF(F80="",""," "&amp;F80)&amp;IF(H80="",""," - "&amp;H80))</f>
        <v/>
      </c>
      <c r="O80" s="24" t="n"/>
      <c r="P80" s="24" t="inlineStr">
        <is>
          <t>Y</t>
        </is>
      </c>
      <c r="Q80" s="24" t="inlineStr">
        <is>
          <t>Migrated from FY27 Revenue Tracker v2 - confirm type/sign</t>
        </is>
      </c>
    </row>
    <row r="81" ht="15" customHeight="1">
      <c r="A81" s="66" t="n">
        <v>46265</v>
      </c>
      <c r="B81" s="64">
        <f>IF(C81="","",IFERROR(INDEX(tbl_Finance[Date],MATCH(C81&amp;"",tbl_Finance[Xero Invoice No],0)),""))</f>
        <v/>
      </c>
      <c r="C81" s="24" t="n"/>
      <c r="D81" s="24" t="inlineStr">
        <is>
          <t>26061108V</t>
        </is>
      </c>
      <c r="E81" s="25">
        <f>IF(D81="","",IF(COUNTIF(lst_Jobs,D81&amp;"")&gt;0,"OK","CHECK"))</f>
        <v/>
      </c>
      <c r="F81" s="24" t="inlineStr">
        <is>
          <t>APA</t>
        </is>
      </c>
      <c r="G81" s="24" t="inlineStr">
        <is>
          <t>VIDEO</t>
        </is>
      </c>
      <c r="H81" s="24" t="inlineStr">
        <is>
          <t>APA FYR All Hands August 2026 Package - Vid Equipment Hire (Revenue) INV-10521</t>
        </is>
      </c>
      <c r="I81" s="24" t="inlineStr">
        <is>
          <t>Accrual - unbilled work</t>
        </is>
      </c>
      <c r="J81" s="26" t="n">
        <v>592</v>
      </c>
      <c r="K81" s="25">
        <f>IF(N(J81)=0,"",IF(J81&gt;0,set_WIPAsset,set_WIPIncome))</f>
        <v/>
      </c>
      <c r="L81" s="25">
        <f>IF(N(J81)=0,"",IF(J81&gt;0,set_WIPIncome,set_WIPAsset))</f>
        <v/>
      </c>
      <c r="M81" s="27">
        <f>IF(N(J81)=0,"",ABS(J81))</f>
        <v/>
      </c>
      <c r="N81" s="25">
        <f>IF(N(J81)=0,"","WIP "&amp;I81&amp;IF(D81="",""," - "&amp;D81)&amp;IF(F81="",""," "&amp;F81)&amp;IF(H81="",""," - "&amp;H81))</f>
        <v/>
      </c>
      <c r="O81" s="24" t="n"/>
      <c r="P81" s="24" t="inlineStr">
        <is>
          <t>Y</t>
        </is>
      </c>
      <c r="Q81" s="24" t="inlineStr">
        <is>
          <t>Migrated from FY27 Revenue Tracker v2 - confirm type/sign</t>
        </is>
      </c>
    </row>
    <row r="82" ht="15" customHeight="1">
      <c r="A82" s="66" t="n">
        <v>46265</v>
      </c>
      <c r="B82" s="64">
        <f>IF(C82="","",IFERROR(INDEX(tbl_Finance[Date],MATCH(C82&amp;"",tbl_Finance[Xero Invoice No],0)),""))</f>
        <v/>
      </c>
      <c r="C82" s="24" t="n"/>
      <c r="D82" s="24" t="inlineStr">
        <is>
          <t>26061108</t>
        </is>
      </c>
      <c r="E82" s="25">
        <f>IF(D82="","",IF(COUNTIF(lst_Jobs,D82&amp;"")&gt;0,"OK","CHECK"))</f>
        <v/>
      </c>
      <c r="F82" s="24" t="inlineStr">
        <is>
          <t>APA</t>
        </is>
      </c>
      <c r="G82" s="24" t="inlineStr">
        <is>
          <t>PRODUCTION</t>
        </is>
      </c>
      <c r="H82" s="24" t="inlineStr">
        <is>
          <t>APA FYR All Hands August 2026 Package - Prd Labour (Revenue) INV-10521</t>
        </is>
      </c>
      <c r="I82" s="24" t="inlineStr">
        <is>
          <t>Accrual - unbilled work</t>
        </is>
      </c>
      <c r="J82" s="26" t="n">
        <v>4520</v>
      </c>
      <c r="K82" s="25">
        <f>IF(N(J82)=0,"",IF(J82&gt;0,set_WIPAsset,set_WIPIncome))</f>
        <v/>
      </c>
      <c r="L82" s="25">
        <f>IF(N(J82)=0,"",IF(J82&gt;0,set_WIPIncome,set_WIPAsset))</f>
        <v/>
      </c>
      <c r="M82" s="27">
        <f>IF(N(J82)=0,"",ABS(J82))</f>
        <v/>
      </c>
      <c r="N82" s="25">
        <f>IF(N(J82)=0,"","WIP "&amp;I82&amp;IF(D82="",""," - "&amp;D82)&amp;IF(F82="",""," "&amp;F82)&amp;IF(H82="",""," - "&amp;H82))</f>
        <v/>
      </c>
      <c r="O82" s="24" t="n"/>
      <c r="P82" s="24" t="inlineStr">
        <is>
          <t>Y</t>
        </is>
      </c>
      <c r="Q82" s="24" t="inlineStr">
        <is>
          <t>Migrated from FY27 Revenue Tracker v2 - confirm type/sign</t>
        </is>
      </c>
    </row>
    <row r="83" ht="15" customHeight="1">
      <c r="A83" s="66" t="n">
        <v>46265</v>
      </c>
      <c r="B83" s="64">
        <f>IF(C83="","",IFERROR(INDEX(tbl_Finance[Date],MATCH(C83&amp;"",tbl_Finance[Xero Invoice No],0)),""))</f>
        <v/>
      </c>
      <c r="C83" s="24" t="n"/>
      <c r="D83" s="24" t="inlineStr">
        <is>
          <t>26061108V</t>
        </is>
      </c>
      <c r="E83" s="25">
        <f>IF(D83="","",IF(COUNTIF(lst_Jobs,D83&amp;"")&gt;0,"OK","CHECK"))</f>
        <v/>
      </c>
      <c r="F83" s="24" t="inlineStr">
        <is>
          <t>APA</t>
        </is>
      </c>
      <c r="G83" s="24" t="inlineStr">
        <is>
          <t>VIDEO</t>
        </is>
      </c>
      <c r="H83" s="24" t="inlineStr">
        <is>
          <t>APA FYR All Hands August 2026 Package - Vid Labour (Revenue) INV-10521</t>
        </is>
      </c>
      <c r="I83" s="24" t="inlineStr">
        <is>
          <t>Accrual - unbilled work</t>
        </is>
      </c>
      <c r="J83" s="26" t="n">
        <v>485</v>
      </c>
      <c r="K83" s="25">
        <f>IF(N(J83)=0,"",IF(J83&gt;0,set_WIPAsset,set_WIPIncome))</f>
        <v/>
      </c>
      <c r="L83" s="25">
        <f>IF(N(J83)=0,"",IF(J83&gt;0,set_WIPIncome,set_WIPAsset))</f>
        <v/>
      </c>
      <c r="M83" s="27">
        <f>IF(N(J83)=0,"",ABS(J83))</f>
        <v/>
      </c>
      <c r="N83" s="25">
        <f>IF(N(J83)=0,"","WIP "&amp;I83&amp;IF(D83="",""," - "&amp;D83)&amp;IF(F83="",""," "&amp;F83)&amp;IF(H83="",""," - "&amp;H83))</f>
        <v/>
      </c>
      <c r="O83" s="24" t="n"/>
      <c r="P83" s="24" t="inlineStr">
        <is>
          <t>Y</t>
        </is>
      </c>
      <c r="Q83" s="24" t="inlineStr">
        <is>
          <t>Migrated from FY27 Revenue Tracker v2 - confirm type/sign</t>
        </is>
      </c>
    </row>
    <row r="84" ht="15" customHeight="1">
      <c r="A84" s="66" t="n">
        <v>46265</v>
      </c>
      <c r="B84" s="64">
        <f>IF(C84="","",IFERROR(INDEX(tbl_Finance[Date],MATCH(C84&amp;"",tbl_Finance[Xero Invoice No],0)),""))</f>
        <v/>
      </c>
      <c r="C84" s="24" t="n"/>
      <c r="D84" s="24" t="inlineStr">
        <is>
          <t>26061108</t>
        </is>
      </c>
      <c r="E84" s="25">
        <f>IF(D84="","",IF(COUNTIF(lst_Jobs,D84&amp;"")&gt;0,"OK","CHECK"))</f>
        <v/>
      </c>
      <c r="F84" s="24" t="inlineStr">
        <is>
          <t>APA</t>
        </is>
      </c>
      <c r="G84" s="24" t="inlineStr">
        <is>
          <t>PRODUCTION</t>
        </is>
      </c>
      <c r="H84" s="24" t="inlineStr">
        <is>
          <t>APA FYR All Hands August 2026 Package - Conf Call (Revenue) INV-10521</t>
        </is>
      </c>
      <c r="I84" s="24" t="inlineStr">
        <is>
          <t>Accrual - unbilled work</t>
        </is>
      </c>
      <c r="J84" s="26" t="n">
        <v>600</v>
      </c>
      <c r="K84" s="25">
        <f>IF(N(J84)=0,"",IF(J84&gt;0,set_WIPAsset,set_WIPIncome))</f>
        <v/>
      </c>
      <c r="L84" s="25">
        <f>IF(N(J84)=0,"",IF(J84&gt;0,set_WIPIncome,set_WIPAsset))</f>
        <v/>
      </c>
      <c r="M84" s="27">
        <f>IF(N(J84)=0,"",ABS(J84))</f>
        <v/>
      </c>
      <c r="N84" s="25">
        <f>IF(N(J84)=0,"","WIP "&amp;I84&amp;IF(D84="",""," - "&amp;D84)&amp;IF(F84="",""," "&amp;F84)&amp;IF(H84="",""," - "&amp;H84))</f>
        <v/>
      </c>
      <c r="O84" s="24" t="n"/>
      <c r="P84" s="24" t="inlineStr">
        <is>
          <t>Y</t>
        </is>
      </c>
      <c r="Q84" s="24" t="inlineStr">
        <is>
          <t>Migrated from FY27 Revenue Tracker v2 - confirm type/sign</t>
        </is>
      </c>
    </row>
    <row r="85" ht="15" customHeight="1">
      <c r="A85" s="66" t="n">
        <v>46265</v>
      </c>
      <c r="B85" s="64">
        <f>IF(C85="","",IFERROR(INDEX(tbl_Finance[Date],MATCH(C85&amp;"",tbl_Finance[Xero Invoice No],0)),""))</f>
        <v/>
      </c>
      <c r="C85" s="24" t="n"/>
      <c r="D85" s="24" t="inlineStr">
        <is>
          <t>26061108</t>
        </is>
      </c>
      <c r="E85" s="25">
        <f>IF(D85="","",IF(COUNTIF(lst_Jobs,D85&amp;"")&gt;0,"OK","CHECK"))</f>
        <v/>
      </c>
      <c r="F85" s="24" t="inlineStr">
        <is>
          <t>APA</t>
        </is>
      </c>
      <c r="G85" s="24" t="inlineStr">
        <is>
          <t>PRODUCTION</t>
        </is>
      </c>
      <c r="H85" s="24" t="inlineStr">
        <is>
          <t>APA FYR All Hands August 2026 Package - Transport (Revenue) INV-10521</t>
        </is>
      </c>
      <c r="I85" s="24" t="inlineStr">
        <is>
          <t>Accrual - unbilled work</t>
        </is>
      </c>
      <c r="J85" s="26" t="n">
        <v>300</v>
      </c>
      <c r="K85" s="25">
        <f>IF(N(J85)=0,"",IF(J85&gt;0,set_WIPAsset,set_WIPIncome))</f>
        <v/>
      </c>
      <c r="L85" s="25">
        <f>IF(N(J85)=0,"",IF(J85&gt;0,set_WIPIncome,set_WIPAsset))</f>
        <v/>
      </c>
      <c r="M85" s="27">
        <f>IF(N(J85)=0,"",ABS(J85))</f>
        <v/>
      </c>
      <c r="N85" s="25">
        <f>IF(N(J85)=0,"","WIP "&amp;I85&amp;IF(D85="",""," - "&amp;D85)&amp;IF(F85="",""," "&amp;F85)&amp;IF(H85="",""," - "&amp;H85))</f>
        <v/>
      </c>
      <c r="O85" s="24" t="n"/>
      <c r="P85" s="24" t="inlineStr">
        <is>
          <t>Y</t>
        </is>
      </c>
      <c r="Q85" s="24" t="inlineStr">
        <is>
          <t>Migrated from FY27 Revenue Tracker v2 - confirm type/sign</t>
        </is>
      </c>
    </row>
    <row r="86" ht="15" customHeight="1">
      <c r="A86" s="66" t="n">
        <v>46265</v>
      </c>
      <c r="B86" s="64">
        <f>IF(C86="","",IFERROR(INDEX(tbl_Finance[Date],MATCH(C86&amp;"",tbl_Finance[Xero Invoice No],0)),""))</f>
        <v/>
      </c>
      <c r="C86" s="24" t="n"/>
      <c r="D86" s="24" t="inlineStr">
        <is>
          <t>26061108</t>
        </is>
      </c>
      <c r="E86" s="25">
        <f>IF(D86="","",IF(COUNTIF(lst_Jobs,D86&amp;"")&gt;0,"OK","CHECK"))</f>
        <v/>
      </c>
      <c r="F86" s="24" t="inlineStr">
        <is>
          <t>APA</t>
        </is>
      </c>
      <c r="G86" s="24" t="inlineStr">
        <is>
          <t>PRODUCTION</t>
        </is>
      </c>
      <c r="H86" s="24" t="inlineStr">
        <is>
          <t>APA FYR All Hands August 2026 Package - Tech  Event Mgmt (Revenue) INV-10521</t>
        </is>
      </c>
      <c r="I86" s="24" t="inlineStr">
        <is>
          <t>Accrual - unbilled work</t>
        </is>
      </c>
      <c r="J86" s="26" t="n">
        <v>690</v>
      </c>
      <c r="K86" s="25">
        <f>IF(N(J86)=0,"",IF(J86&gt;0,set_WIPAsset,set_WIPIncome))</f>
        <v/>
      </c>
      <c r="L86" s="25">
        <f>IF(N(J86)=0,"",IF(J86&gt;0,set_WIPIncome,set_WIPAsset))</f>
        <v/>
      </c>
      <c r="M86" s="27">
        <f>IF(N(J86)=0,"",ABS(J86))</f>
        <v/>
      </c>
      <c r="N86" s="25">
        <f>IF(N(J86)=0,"","WIP "&amp;I86&amp;IF(D86="",""," - "&amp;D86)&amp;IF(F86="",""," "&amp;F86)&amp;IF(H86="",""," - "&amp;H86))</f>
        <v/>
      </c>
      <c r="O86" s="24" t="n"/>
      <c r="P86" s="24" t="inlineStr">
        <is>
          <t>Y</t>
        </is>
      </c>
      <c r="Q86" s="24" t="inlineStr">
        <is>
          <t>Migrated from FY27 Revenue Tracker v2 - confirm type/sign</t>
        </is>
      </c>
    </row>
    <row r="87" ht="15" customHeight="1">
      <c r="A87" s="66" t="n">
        <v>46265</v>
      </c>
      <c r="B87" s="64">
        <f>IF(C87="","",IFERROR(INDEX(tbl_Finance[Date],MATCH(C87&amp;"",tbl_Finance[Xero Invoice No],0)),""))</f>
        <v/>
      </c>
      <c r="C87" s="24" t="n"/>
      <c r="D87" s="24" t="inlineStr">
        <is>
          <t>2605402</t>
        </is>
      </c>
      <c r="E87" s="25">
        <f>IF(D87="","",IF(COUNTIF(lst_Jobs,D87&amp;"")&gt;0,"OK","CHECK"))</f>
        <v/>
      </c>
      <c r="F87" s="24" t="inlineStr">
        <is>
          <t>AGL</t>
        </is>
      </c>
      <c r="G87" s="24" t="inlineStr">
        <is>
          <t>PRODUCTION</t>
        </is>
      </c>
      <c r="H87" s="24" t="inlineStr">
        <is>
          <t>AGL FYR - Employee Town Hall [PRD] pre-prod work</t>
        </is>
      </c>
      <c r="I87" s="24" t="inlineStr">
        <is>
          <t>Deferral - invoiced in advance</t>
        </is>
      </c>
      <c r="J87" s="26" t="n">
        <v>-1322.5</v>
      </c>
      <c r="K87" s="25">
        <f>IF(N(J87)=0,"",IF(J87&gt;0,set_WIPAsset,set_WIPIncome))</f>
        <v/>
      </c>
      <c r="L87" s="25">
        <f>IF(N(J87)=0,"",IF(J87&gt;0,set_WIPIncome,set_WIPAsset))</f>
        <v/>
      </c>
      <c r="M87" s="27">
        <f>IF(N(J87)=0,"",ABS(J87))</f>
        <v/>
      </c>
      <c r="N87" s="25">
        <f>IF(N(J87)=0,"","WIP "&amp;I87&amp;IF(D87="",""," - "&amp;D87)&amp;IF(F87="",""," "&amp;F87)&amp;IF(H87="",""," - "&amp;H87))</f>
        <v/>
      </c>
      <c r="O87" s="24" t="n"/>
      <c r="P87" s="24" t="inlineStr">
        <is>
          <t>Y</t>
        </is>
      </c>
      <c r="Q87" s="24" t="inlineStr">
        <is>
          <t>Migrated from FY27 Revenue Tracker v2 - confirm type/sign</t>
        </is>
      </c>
    </row>
    <row r="88" ht="15" customHeight="1">
      <c r="A88" s="66" t="n">
        <v>46265</v>
      </c>
      <c r="B88" s="64">
        <f>IF(C88="","",IFERROR(INDEX(tbl_Finance[Date],MATCH(C88&amp;"",tbl_Finance[Xero Invoice No],0)),""))</f>
        <v/>
      </c>
      <c r="C88" s="24" t="n"/>
      <c r="D88" s="24" t="inlineStr">
        <is>
          <t>26061105</t>
        </is>
      </c>
      <c r="E88" s="25">
        <f>IF(D88="","",IF(COUNTIF(lst_Jobs,D88&amp;"")&gt;0,"OK","CHECK"))</f>
        <v/>
      </c>
      <c r="F88" s="24" t="inlineStr">
        <is>
          <t>CBA</t>
        </is>
      </c>
      <c r="G88" s="24" t="inlineStr">
        <is>
          <t>PRODUCTION</t>
        </is>
      </c>
      <c r="H88" s="24" t="inlineStr">
        <is>
          <t>CBA - FYR 2026 - 12.8.26 [PRD] pre-prod work</t>
        </is>
      </c>
      <c r="I88" s="24" t="inlineStr">
        <is>
          <t>Deferral - invoiced in advance</t>
        </is>
      </c>
      <c r="J88" s="26" t="n">
        <v>-417.5</v>
      </c>
      <c r="K88" s="25">
        <f>IF(N(J88)=0,"",IF(J88&gt;0,set_WIPAsset,set_WIPIncome))</f>
        <v/>
      </c>
      <c r="L88" s="25">
        <f>IF(N(J88)=0,"",IF(J88&gt;0,set_WIPIncome,set_WIPAsset))</f>
        <v/>
      </c>
      <c r="M88" s="27">
        <f>IF(N(J88)=0,"",ABS(J88))</f>
        <v/>
      </c>
      <c r="N88" s="25">
        <f>IF(N(J88)=0,"","WIP "&amp;I88&amp;IF(D88="",""," - "&amp;D88)&amp;IF(F88="",""," "&amp;F88)&amp;IF(H88="",""," - "&amp;H88))</f>
        <v/>
      </c>
      <c r="O88" s="24" t="n"/>
      <c r="P88" s="24" t="inlineStr">
        <is>
          <t>Y</t>
        </is>
      </c>
      <c r="Q88" s="24" t="inlineStr">
        <is>
          <t>Migrated from FY27 Revenue Tracker v2 - confirm type/sign</t>
        </is>
      </c>
    </row>
    <row r="89" ht="15" customHeight="1">
      <c r="A89" s="66" t="n">
        <v>46265</v>
      </c>
      <c r="B89" s="64">
        <f>IF(C89="","",IFERROR(INDEX(tbl_Finance[Date],MATCH(C89&amp;"",tbl_Finance[Xero Invoice No],0)),""))</f>
        <v/>
      </c>
      <c r="C89" s="24" t="n"/>
      <c r="D89" s="24" t="inlineStr">
        <is>
          <t>2606903</t>
        </is>
      </c>
      <c r="E89" s="25">
        <f>IF(D89="","",IF(COUNTIF(lst_Jobs,D89&amp;"")&gt;0,"OK","CHECK"))</f>
        <v/>
      </c>
      <c r="F89" s="24" t="inlineStr">
        <is>
          <t>Virgin</t>
        </is>
      </c>
      <c r="G89" s="24" t="inlineStr">
        <is>
          <t>PRODUCTION</t>
        </is>
      </c>
      <c r="H89" s="24" t="inlineStr">
        <is>
          <t>Virgin FY26 Results [PRD] pre-prod work</t>
        </is>
      </c>
      <c r="I89" s="24" t="inlineStr">
        <is>
          <t>Deferral - invoiced in advance</t>
        </is>
      </c>
      <c r="J89" s="26" t="n">
        <v>-57.5</v>
      </c>
      <c r="K89" s="25">
        <f>IF(N(J89)=0,"",IF(J89&gt;0,set_WIPAsset,set_WIPIncome))</f>
        <v/>
      </c>
      <c r="L89" s="25">
        <f>IF(N(J89)=0,"",IF(J89&gt;0,set_WIPIncome,set_WIPAsset))</f>
        <v/>
      </c>
      <c r="M89" s="27">
        <f>IF(N(J89)=0,"",ABS(J89))</f>
        <v/>
      </c>
      <c r="N89" s="25">
        <f>IF(N(J89)=0,"","WIP "&amp;I89&amp;IF(D89="",""," - "&amp;D89)&amp;IF(F89="",""," "&amp;F89)&amp;IF(H89="",""," - "&amp;H89))</f>
        <v/>
      </c>
      <c r="O89" s="24" t="n"/>
      <c r="P89" s="24" t="inlineStr">
        <is>
          <t>Y</t>
        </is>
      </c>
      <c r="Q89" s="24" t="inlineStr">
        <is>
          <t>Migrated from FY27 Revenue Tracker v2 - confirm type/sign</t>
        </is>
      </c>
    </row>
    <row r="90" ht="15" customHeight="1">
      <c r="A90" s="66" t="n">
        <v>46265</v>
      </c>
      <c r="B90" s="64">
        <f>IF(C90="","",IFERROR(INDEX(tbl_Finance[Date],MATCH(C90&amp;"",tbl_Finance[Xero Invoice No],0)),""))</f>
        <v/>
      </c>
      <c r="C90" s="24" t="n"/>
      <c r="D90" s="24" t="inlineStr">
        <is>
          <t>26061109</t>
        </is>
      </c>
      <c r="E90" s="25">
        <f>IF(D90="","",IF(COUNTIF(lst_Jobs,D90&amp;"")&gt;0,"OK","CHECK"))</f>
        <v/>
      </c>
      <c r="F90" s="24" t="inlineStr">
        <is>
          <t>Ventia</t>
        </is>
      </c>
      <c r="G90" s="24" t="inlineStr">
        <is>
          <t>PRODUCTION</t>
        </is>
      </c>
      <c r="H90" s="24" t="inlineStr">
        <is>
          <t>Ventia - FYR26 - 24.8.26 [PRD] pre-prod work</t>
        </is>
      </c>
      <c r="I90" s="24" t="inlineStr">
        <is>
          <t>Deferral - invoiced in advance</t>
        </is>
      </c>
      <c r="J90" s="26" t="n">
        <v>-862.5</v>
      </c>
      <c r="K90" s="25">
        <f>IF(N(J90)=0,"",IF(J90&gt;0,set_WIPAsset,set_WIPIncome))</f>
        <v/>
      </c>
      <c r="L90" s="25">
        <f>IF(N(J90)=0,"",IF(J90&gt;0,set_WIPIncome,set_WIPAsset))</f>
        <v/>
      </c>
      <c r="M90" s="27">
        <f>IF(N(J90)=0,"",ABS(J90))</f>
        <v/>
      </c>
      <c r="N90" s="25">
        <f>IF(N(J90)=0,"","WIP "&amp;I90&amp;IF(D90="",""," - "&amp;D90)&amp;IF(F90="",""," "&amp;F90)&amp;IF(H90="",""," - "&amp;H90))</f>
        <v/>
      </c>
      <c r="O90" s="24" t="n"/>
      <c r="P90" s="24" t="inlineStr">
        <is>
          <t>Y</t>
        </is>
      </c>
      <c r="Q90" s="24" t="inlineStr">
        <is>
          <t>Migrated from FY27 Revenue Tracker v2 - confirm type/sign</t>
        </is>
      </c>
    </row>
    <row r="91" ht="15" customHeight="1">
      <c r="A91" s="66" t="n">
        <v>46265</v>
      </c>
      <c r="B91" s="64">
        <f>IF(C91="","",IFERROR(INDEX(tbl_Finance[Date],MATCH(C91&amp;"",tbl_Finance[Xero Invoice No],0)),""))</f>
        <v/>
      </c>
      <c r="C91" s="24" t="n"/>
      <c r="D91" s="24" t="inlineStr">
        <is>
          <t>26061107</t>
        </is>
      </c>
      <c r="E91" s="25">
        <f>IF(D91="","",IF(COUNTIF(lst_Jobs,D91&amp;"")&gt;0,"OK","CHECK"))</f>
        <v/>
      </c>
      <c r="F91" s="24" t="inlineStr">
        <is>
          <t>Downer</t>
        </is>
      </c>
      <c r="G91" s="24" t="inlineStr">
        <is>
          <t>PRODUCTION</t>
        </is>
      </c>
      <c r="H91" s="24" t="inlineStr">
        <is>
          <t>Downer - FYR 2026 - 19.8.26 [PRD] pre-prod work</t>
        </is>
      </c>
      <c r="I91" s="24" t="inlineStr">
        <is>
          <t>Deferral - invoiced in advance</t>
        </is>
      </c>
      <c r="J91" s="26" t="n">
        <v>-115</v>
      </c>
      <c r="K91" s="25">
        <f>IF(N(J91)=0,"",IF(J91&gt;0,set_WIPAsset,set_WIPIncome))</f>
        <v/>
      </c>
      <c r="L91" s="25">
        <f>IF(N(J91)=0,"",IF(J91&gt;0,set_WIPIncome,set_WIPAsset))</f>
        <v/>
      </c>
      <c r="M91" s="27">
        <f>IF(N(J91)=0,"",ABS(J91))</f>
        <v/>
      </c>
      <c r="N91" s="25">
        <f>IF(N(J91)=0,"","WIP "&amp;I91&amp;IF(D91="",""," - "&amp;D91)&amp;IF(F91="",""," "&amp;F91)&amp;IF(H91="",""," - "&amp;H91))</f>
        <v/>
      </c>
      <c r="O91" s="24" t="n"/>
      <c r="P91" s="24" t="inlineStr">
        <is>
          <t>Y</t>
        </is>
      </c>
      <c r="Q91" s="24" t="inlineStr">
        <is>
          <t>Migrated from FY27 Revenue Tracker v2 - confirm type/sign</t>
        </is>
      </c>
    </row>
    <row r="92" ht="15" customHeight="1">
      <c r="A92" s="66" t="n">
        <v>46265</v>
      </c>
      <c r="B92" s="64">
        <f>IF(C92="","",IFERROR(INDEX(tbl_Finance[Date],MATCH(C92&amp;"",tbl_Finance[Xero Invoice No],0)),""))</f>
        <v/>
      </c>
      <c r="C92" s="24" t="n"/>
      <c r="D92" s="24" t="inlineStr">
        <is>
          <t>2603104</t>
        </is>
      </c>
      <c r="E92" s="25">
        <f>IF(D92="","",IF(COUNTIF(lst_Jobs,D92&amp;"")&gt;0,"OK","CHECK"))</f>
        <v/>
      </c>
      <c r="F92" s="24" t="inlineStr">
        <is>
          <t>Cochlear</t>
        </is>
      </c>
      <c r="G92" s="24" t="inlineStr">
        <is>
          <t>PRODUCTION</t>
        </is>
      </c>
      <c r="H92" s="24" t="inlineStr">
        <is>
          <t>Cochlear FY26 Results 18.8.26 [PRD] pre-prod work</t>
        </is>
      </c>
      <c r="I92" s="24" t="inlineStr">
        <is>
          <t>Deferral - invoiced in advance</t>
        </is>
      </c>
      <c r="J92" s="26" t="n">
        <v>-172.5</v>
      </c>
      <c r="K92" s="25">
        <f>IF(N(J92)=0,"",IF(J92&gt;0,set_WIPAsset,set_WIPIncome))</f>
        <v/>
      </c>
      <c r="L92" s="25">
        <f>IF(N(J92)=0,"",IF(J92&gt;0,set_WIPIncome,set_WIPAsset))</f>
        <v/>
      </c>
      <c r="M92" s="27">
        <f>IF(N(J92)=0,"",ABS(J92))</f>
        <v/>
      </c>
      <c r="N92" s="25">
        <f>IF(N(J92)=0,"","WIP "&amp;I92&amp;IF(D92="",""," - "&amp;D92)&amp;IF(F92="",""," "&amp;F92)&amp;IF(H92="",""," - "&amp;H92))</f>
        <v/>
      </c>
      <c r="O92" s="24" t="n"/>
      <c r="P92" s="24" t="inlineStr">
        <is>
          <t>Y</t>
        </is>
      </c>
      <c r="Q92" s="24" t="inlineStr">
        <is>
          <t>Migrated from FY27 Revenue Tracker v2 - confirm type/sign</t>
        </is>
      </c>
    </row>
    <row r="93" ht="15" customHeight="1">
      <c r="A93" s="66" t="n">
        <v>46265</v>
      </c>
      <c r="B93" s="64">
        <f>IF(C93="","",IFERROR(INDEX(tbl_Finance[Date],MATCH(C93&amp;"",tbl_Finance[Xero Invoice No],0)),""))</f>
        <v/>
      </c>
      <c r="C93" s="24" t="n"/>
      <c r="D93" s="24" t="inlineStr">
        <is>
          <t>2512804</t>
        </is>
      </c>
      <c r="E93" s="25">
        <f>IF(D93="","",IF(COUNTIF(lst_Jobs,D93&amp;"")&gt;0,"OK","CHECK"))</f>
        <v/>
      </c>
      <c r="F93" s="24" t="inlineStr">
        <is>
          <t>RSNSW</t>
        </is>
      </c>
      <c r="G93" s="24" t="inlineStr">
        <is>
          <t>PRODUCTION</t>
        </is>
      </c>
      <c r="H93" s="24" t="inlineStr">
        <is>
          <t>RSNSW Ordinary General Meeting 5.8.26 [PRD] pre-prod work</t>
        </is>
      </c>
      <c r="I93" s="24" t="inlineStr">
        <is>
          <t>Deferral - invoiced in advance</t>
        </is>
      </c>
      <c r="J93" s="26" t="n">
        <v>-115</v>
      </c>
      <c r="K93" s="25">
        <f>IF(N(J93)=0,"",IF(J93&gt;0,set_WIPAsset,set_WIPIncome))</f>
        <v/>
      </c>
      <c r="L93" s="25">
        <f>IF(N(J93)=0,"",IF(J93&gt;0,set_WIPIncome,set_WIPAsset))</f>
        <v/>
      </c>
      <c r="M93" s="27">
        <f>IF(N(J93)=0,"",ABS(J93))</f>
        <v/>
      </c>
      <c r="N93" s="25">
        <f>IF(N(J93)=0,"","WIP "&amp;I93&amp;IF(D93="",""," - "&amp;D93)&amp;IF(F93="",""," "&amp;F93)&amp;IF(H93="",""," - "&amp;H93))</f>
        <v/>
      </c>
      <c r="O93" s="24" t="n"/>
      <c r="P93" s="24" t="inlineStr">
        <is>
          <t>Y</t>
        </is>
      </c>
      <c r="Q93" s="24" t="inlineStr">
        <is>
          <t>Migrated from FY27 Revenue Tracker v2 - confirm type/sign</t>
        </is>
      </c>
    </row>
    <row r="94" ht="15" customHeight="1">
      <c r="A94" s="66" t="n">
        <v>46265</v>
      </c>
      <c r="B94" s="64">
        <f>IF(C94="","",IFERROR(INDEX(tbl_Finance[Date],MATCH(C94&amp;"",tbl_Finance[Xero Invoice No],0)),""))</f>
        <v/>
      </c>
      <c r="C94" s="24" t="n"/>
      <c r="D94" s="24" t="inlineStr">
        <is>
          <t>26061108</t>
        </is>
      </c>
      <c r="E94" s="25">
        <f>IF(D94="","",IF(COUNTIF(lst_Jobs,D94&amp;"")&gt;0,"OK","CHECK"))</f>
        <v/>
      </c>
      <c r="F94" s="24" t="inlineStr">
        <is>
          <t>APA</t>
        </is>
      </c>
      <c r="G94" s="24" t="inlineStr">
        <is>
          <t>PRODUCTION</t>
        </is>
      </c>
      <c r="H94" s="24" t="inlineStr">
        <is>
          <t>APA - Qtly All Hands FYR26 - 20.8.26 [PRD] pre-prod work</t>
        </is>
      </c>
      <c r="I94" s="24" t="inlineStr">
        <is>
          <t>Deferral - invoiced in advance</t>
        </is>
      </c>
      <c r="J94" s="26" t="n">
        <v>-172.5</v>
      </c>
      <c r="K94" s="25">
        <f>IF(N(J94)=0,"",IF(J94&gt;0,set_WIPAsset,set_WIPIncome))</f>
        <v/>
      </c>
      <c r="L94" s="25">
        <f>IF(N(J94)=0,"",IF(J94&gt;0,set_WIPIncome,set_WIPAsset))</f>
        <v/>
      </c>
      <c r="M94" s="27">
        <f>IF(N(J94)=0,"",ABS(J94))</f>
        <v/>
      </c>
      <c r="N94" s="25">
        <f>IF(N(J94)=0,"","WIP "&amp;I94&amp;IF(D94="",""," - "&amp;D94)&amp;IF(F94="",""," "&amp;F94)&amp;IF(H94="",""," - "&amp;H94))</f>
        <v/>
      </c>
      <c r="O94" s="24" t="n"/>
      <c r="P94" s="24" t="inlineStr">
        <is>
          <t>Y</t>
        </is>
      </c>
      <c r="Q94" s="24" t="inlineStr">
        <is>
          <t>Migrated from FY27 Revenue Tracker v2 - confirm type/sign</t>
        </is>
      </c>
    </row>
    <row r="95" ht="15" customHeight="1">
      <c r="A95" s="66" t="n">
        <v>46265</v>
      </c>
      <c r="B95" s="64">
        <f>IF(C95="","",IFERROR(INDEX(tbl_Finance[Date],MATCH(C95&amp;"",tbl_Finance[Xero Invoice No],0)),""))</f>
        <v/>
      </c>
      <c r="C95" s="24" t="n"/>
      <c r="D95" s="24" t="inlineStr">
        <is>
          <t>2606101</t>
        </is>
      </c>
      <c r="E95" s="25">
        <f>IF(D95="","",IF(COUNTIF(lst_Jobs,D95&amp;"")&gt;0,"OK","CHECK"))</f>
        <v/>
      </c>
      <c r="F95" s="24" t="inlineStr">
        <is>
          <t>APA</t>
        </is>
      </c>
      <c r="G95" s="24" t="inlineStr">
        <is>
          <t>INTEGRATION</t>
        </is>
      </c>
      <c r="H95" s="24" t="inlineStr">
        <is>
          <t>APA | Young Eptura Proxyclick Licence Renewal Mar27-Feb28 INV-10548 (Revenue)</t>
        </is>
      </c>
      <c r="I95" s="24" t="inlineStr">
        <is>
          <t>Accrual - unbilled work</t>
        </is>
      </c>
      <c r="J95" s="26" t="n">
        <v>0</v>
      </c>
      <c r="K95" s="25">
        <f>IF(N(J95)=0,"",IF(J95&gt;0,set_WIPAsset,set_WIPIncome))</f>
        <v/>
      </c>
      <c r="L95" s="25">
        <f>IF(N(J95)=0,"",IF(J95&gt;0,set_WIPIncome,set_WIPAsset))</f>
        <v/>
      </c>
      <c r="M95" s="27">
        <f>IF(N(J95)=0,"",ABS(J95))</f>
        <v/>
      </c>
      <c r="N95" s="25">
        <f>IF(N(J95)=0,"","WIP "&amp;I95&amp;IF(D95="",""," - "&amp;D95)&amp;IF(F95="",""," "&amp;F95)&amp;IF(H95="",""," - "&amp;H95))</f>
        <v/>
      </c>
      <c r="O95" s="24" t="n"/>
      <c r="P95" s="24" t="inlineStr">
        <is>
          <t>Y</t>
        </is>
      </c>
      <c r="Q95" s="24" t="inlineStr">
        <is>
          <t>Migrated from FY27 Revenue Tracker v2 - confirm type/sign</t>
        </is>
      </c>
    </row>
    <row r="96" ht="15" customHeight="1">
      <c r="A96" s="66" t="n">
        <v>46265</v>
      </c>
      <c r="B96" s="64">
        <f>IF(C96="","",IFERROR(INDEX(tbl_Finance[Date],MATCH(C96&amp;"",tbl_Finance[Xero Invoice No],0)),""))</f>
        <v/>
      </c>
      <c r="C96" s="24" t="n"/>
      <c r="D96" s="24" t="inlineStr">
        <is>
          <t>3028</t>
        </is>
      </c>
      <c r="E96" s="25">
        <f>IF(D96="","",IF(COUNTIF(lst_Jobs,D96&amp;"")&gt;0,"OK","CHECK"))</f>
        <v/>
      </c>
      <c r="F96" s="24" t="inlineStr">
        <is>
          <t>APA</t>
        </is>
      </c>
      <c r="G96" s="24" t="inlineStr">
        <is>
          <t>INTEGRATION</t>
        </is>
      </c>
      <c r="H96" s="24" t="inlineStr">
        <is>
          <t>APA Kidman Proxyclick Term 3 Jun26-Dec26 INV-10477 (Revenue)</t>
        </is>
      </c>
      <c r="I96" s="24" t="inlineStr">
        <is>
          <t>Accrual - unbilled work</t>
        </is>
      </c>
      <c r="J96" s="26" t="n">
        <v>996.74</v>
      </c>
      <c r="K96" s="25">
        <f>IF(N(J96)=0,"",IF(J96&gt;0,set_WIPAsset,set_WIPIncome))</f>
        <v/>
      </c>
      <c r="L96" s="25">
        <f>IF(N(J96)=0,"",IF(J96&gt;0,set_WIPIncome,set_WIPAsset))</f>
        <v/>
      </c>
      <c r="M96" s="27">
        <f>IF(N(J96)=0,"",ABS(J96))</f>
        <v/>
      </c>
      <c r="N96" s="25">
        <f>IF(N(J96)=0,"","WIP "&amp;I96&amp;IF(D96="",""," - "&amp;D96)&amp;IF(F96="",""," "&amp;F96)&amp;IF(H96="",""," - "&amp;H96))</f>
        <v/>
      </c>
      <c r="O96" s="24" t="n"/>
      <c r="P96" s="24" t="inlineStr">
        <is>
          <t>Y</t>
        </is>
      </c>
      <c r="Q96" s="24" t="inlineStr">
        <is>
          <t>Migrated from FY27 Revenue Tracker v2 - confirm type/sign</t>
        </is>
      </c>
    </row>
    <row r="97" ht="15" customHeight="1">
      <c r="A97" s="66" t="n">
        <v>46265</v>
      </c>
      <c r="B97" s="64">
        <f>IF(C97="","",IFERROR(INDEX(tbl_Finance[Date],MATCH(C97&amp;"",tbl_Finance[Xero Invoice No],0)),""))</f>
        <v/>
      </c>
      <c r="C97" s="24" t="n"/>
      <c r="D97" s="24" t="inlineStr">
        <is>
          <t>2855</t>
        </is>
      </c>
      <c r="E97" s="25">
        <f>IF(D97="","",IF(COUNTIF(lst_Jobs,D97&amp;"")&gt;0,"OK","CHECK"))</f>
        <v/>
      </c>
      <c r="F97" s="24" t="inlineStr">
        <is>
          <t>APA</t>
        </is>
      </c>
      <c r="G97" s="24" t="inlineStr">
        <is>
          <t>INTEGRATION</t>
        </is>
      </c>
      <c r="H97" s="24" t="inlineStr">
        <is>
          <t>APA Melbourne Proxyclick Jul26-Jun27 INV-10501(Revenue)</t>
        </is>
      </c>
      <c r="I97" s="24" t="inlineStr">
        <is>
          <t>Accrual - unbilled work</t>
        </is>
      </c>
      <c r="J97" s="26" t="n">
        <v>1357.33</v>
      </c>
      <c r="K97" s="25">
        <f>IF(N(J97)=0,"",IF(J97&gt;0,set_WIPAsset,set_WIPIncome))</f>
        <v/>
      </c>
      <c r="L97" s="25">
        <f>IF(N(J97)=0,"",IF(J97&gt;0,set_WIPIncome,set_WIPAsset))</f>
        <v/>
      </c>
      <c r="M97" s="27">
        <f>IF(N(J97)=0,"",ABS(J97))</f>
        <v/>
      </c>
      <c r="N97" s="25">
        <f>IF(N(J97)=0,"","WIP "&amp;I97&amp;IF(D97="",""," - "&amp;D97)&amp;IF(F97="",""," "&amp;F97)&amp;IF(H97="",""," - "&amp;H97))</f>
        <v/>
      </c>
      <c r="O97" s="24" t="n"/>
      <c r="P97" s="24" t="inlineStr">
        <is>
          <t>Y</t>
        </is>
      </c>
      <c r="Q97" s="24" t="inlineStr">
        <is>
          <t>Migrated from FY27 Revenue Tracker v2 - confirm type/sign</t>
        </is>
      </c>
    </row>
    <row r="98" ht="15" customHeight="1">
      <c r="A98" s="66" t="n">
        <v>46265</v>
      </c>
      <c r="B98" s="64">
        <f>IF(C98="","",IFERROR(INDEX(tbl_Finance[Date],MATCH(C98&amp;"",tbl_Finance[Xero Invoice No],0)),""))</f>
        <v/>
      </c>
      <c r="C98" s="24" t="n"/>
      <c r="D98" s="24" t="inlineStr">
        <is>
          <t>2857</t>
        </is>
      </c>
      <c r="E98" s="25">
        <f>IF(D98="","",IF(COUNTIF(lst_Jobs,D98&amp;"")&gt;0,"OK","CHECK"))</f>
        <v/>
      </c>
      <c r="F98" s="24" t="inlineStr">
        <is>
          <t>APA</t>
        </is>
      </c>
      <c r="G98" s="24" t="inlineStr">
        <is>
          <t>INTEGRATION</t>
        </is>
      </c>
      <c r="H98" s="24" t="inlineStr">
        <is>
          <t>APA Sydney Proxyclick Jul26-Jun27 INV-10502(Revenue)</t>
        </is>
      </c>
      <c r="I98" s="24" t="inlineStr">
        <is>
          <t>Accrual - unbilled work</t>
        </is>
      </c>
      <c r="J98" s="26" t="n">
        <v>1357.33</v>
      </c>
      <c r="K98" s="25">
        <f>IF(N(J98)=0,"",IF(J98&gt;0,set_WIPAsset,set_WIPIncome))</f>
        <v/>
      </c>
      <c r="L98" s="25">
        <f>IF(N(J98)=0,"",IF(J98&gt;0,set_WIPIncome,set_WIPAsset))</f>
        <v/>
      </c>
      <c r="M98" s="27">
        <f>IF(N(J98)=0,"",ABS(J98))</f>
        <v/>
      </c>
      <c r="N98" s="25">
        <f>IF(N(J98)=0,"","WIP "&amp;I98&amp;IF(D98="",""," - "&amp;D98)&amp;IF(F98="",""," "&amp;F98)&amp;IF(H98="",""," - "&amp;H98))</f>
        <v/>
      </c>
      <c r="O98" s="24" t="n"/>
      <c r="P98" s="24" t="inlineStr">
        <is>
          <t>Y</t>
        </is>
      </c>
      <c r="Q98" s="24" t="inlineStr">
        <is>
          <t>Migrated from FY27 Revenue Tracker v2 - confirm type/sign</t>
        </is>
      </c>
    </row>
    <row r="99" ht="15" customHeight="1">
      <c r="A99" s="66" t="n">
        <v>46265</v>
      </c>
      <c r="B99" s="64">
        <f>IF(C99="","",IFERROR(INDEX(tbl_Finance[Date],MATCH(C99&amp;"",tbl_Finance[Xero Invoice No],0)),""))</f>
        <v/>
      </c>
      <c r="C99" s="24" t="n"/>
      <c r="D99" s="24" t="inlineStr">
        <is>
          <t>2848</t>
        </is>
      </c>
      <c r="E99" s="25">
        <f>IF(D99="","",IF(COUNTIF(lst_Jobs,D99&amp;"")&gt;0,"OK","CHECK"))</f>
        <v/>
      </c>
      <c r="F99" s="24" t="inlineStr">
        <is>
          <t>APA</t>
        </is>
      </c>
      <c r="G99" s="24" t="inlineStr">
        <is>
          <t>INTEGRATION</t>
        </is>
      </c>
      <c r="H99" s="24" t="inlineStr">
        <is>
          <t>APA Adelaide Proxyclick INV-10514 Renewal Jul26-Jun27 (Revenue)</t>
        </is>
      </c>
      <c r="I99" s="24" t="inlineStr">
        <is>
          <t>Accrual - unbilled work</t>
        </is>
      </c>
      <c r="J99" s="26" t="n">
        <v>618.08</v>
      </c>
      <c r="K99" s="25">
        <f>IF(N(J99)=0,"",IF(J99&gt;0,set_WIPAsset,set_WIPIncome))</f>
        <v/>
      </c>
      <c r="L99" s="25">
        <f>IF(N(J99)=0,"",IF(J99&gt;0,set_WIPIncome,set_WIPAsset))</f>
        <v/>
      </c>
      <c r="M99" s="27">
        <f>IF(N(J99)=0,"",ABS(J99))</f>
        <v/>
      </c>
      <c r="N99" s="25">
        <f>IF(N(J99)=0,"","WIP "&amp;I99&amp;IF(D99="",""," - "&amp;D99)&amp;IF(F99="",""," "&amp;F99)&amp;IF(H99="",""," - "&amp;H99))</f>
        <v/>
      </c>
      <c r="O99" s="24" t="n"/>
      <c r="P99" s="24" t="inlineStr">
        <is>
          <t>Y</t>
        </is>
      </c>
      <c r="Q99" s="24" t="inlineStr">
        <is>
          <t>Migrated from FY27 Revenue Tracker v2 - confirm type/sign</t>
        </is>
      </c>
    </row>
    <row r="100" ht="15" customHeight="1">
      <c r="A100" s="66" t="n">
        <v>46265</v>
      </c>
      <c r="B100" s="64">
        <f>IF(C100="","",IFERROR(INDEX(tbl_Finance[Date],MATCH(C100&amp;"",tbl_Finance[Xero Invoice No],0)),""))</f>
        <v/>
      </c>
      <c r="C100" s="24" t="n"/>
      <c r="D100" s="24" t="inlineStr">
        <is>
          <t>2604704</t>
        </is>
      </c>
      <c r="E100" s="25">
        <f>IF(D100="","",IF(COUNTIF(lst_Jobs,D100&amp;"")&gt;0,"OK","CHECK"))</f>
        <v/>
      </c>
      <c r="F100" s="24" t="inlineStr">
        <is>
          <t>Aware Super</t>
        </is>
      </c>
      <c r="G100" s="24" t="inlineStr">
        <is>
          <t>INTEGRATION</t>
        </is>
      </c>
      <c r="H100" s="24" t="inlineStr">
        <is>
          <t>Aware Super Seminar Room Audio Upgrade [INT] Revenue</t>
        </is>
      </c>
      <c r="I100" s="24" t="inlineStr">
        <is>
          <t>Accrual - unbilled work</t>
        </is>
      </c>
      <c r="J100" s="26" t="n">
        <v>1361.25</v>
      </c>
      <c r="K100" s="25">
        <f>IF(N(J100)=0,"",IF(J100&gt;0,set_WIPAsset,set_WIPIncome))</f>
        <v/>
      </c>
      <c r="L100" s="25">
        <f>IF(N(J100)=0,"",IF(J100&gt;0,set_WIPIncome,set_WIPAsset))</f>
        <v/>
      </c>
      <c r="M100" s="27">
        <f>IF(N(J100)=0,"",ABS(J100))</f>
        <v/>
      </c>
      <c r="N100" s="25">
        <f>IF(N(J100)=0,"","WIP "&amp;I100&amp;IF(D100="",""," - "&amp;D100)&amp;IF(F100="",""," "&amp;F100)&amp;IF(H100="",""," - "&amp;H100))</f>
        <v/>
      </c>
      <c r="O100" s="24" t="n"/>
      <c r="P100" s="24" t="inlineStr">
        <is>
          <t>Y</t>
        </is>
      </c>
      <c r="Q100" s="24" t="inlineStr">
        <is>
          <t>Migrated from FY27 Revenue Tracker v2 - confirm type/sign</t>
        </is>
      </c>
    </row>
    <row r="101" ht="15" customHeight="1">
      <c r="A101" s="66" t="n">
        <v>46265</v>
      </c>
      <c r="B101" s="64">
        <f>IF(C101="","",IFERROR(INDEX(tbl_Finance[Date],MATCH(C101&amp;"",tbl_Finance[Xero Invoice No],0)),""))</f>
        <v/>
      </c>
      <c r="C101" s="24" t="n"/>
      <c r="D101" s="24" t="inlineStr">
        <is>
          <t>26061105</t>
        </is>
      </c>
      <c r="E101" s="25">
        <f>IF(D101="","",IF(COUNTIF(lst_Jobs,D101&amp;"")&gt;0,"OK","CHECK"))</f>
        <v/>
      </c>
      <c r="F101" s="24" t="inlineStr">
        <is>
          <t>CBA</t>
        </is>
      </c>
      <c r="G101" s="24" t="inlineStr">
        <is>
          <t>PRODUCTION</t>
        </is>
      </c>
      <c r="H101" s="24" t="inlineStr">
        <is>
          <t>CBA - FYR 2026 - 12.8.26 [PRD] pre-prod work</t>
        </is>
      </c>
      <c r="I101" s="24" t="inlineStr">
        <is>
          <t>Deferral - invoiced in advance</t>
        </is>
      </c>
      <c r="J101" s="26" t="n">
        <v>-285</v>
      </c>
      <c r="K101" s="25">
        <f>IF(N(J101)=0,"",IF(J101&gt;0,set_WIPAsset,set_WIPIncome))</f>
        <v/>
      </c>
      <c r="L101" s="25">
        <f>IF(N(J101)=0,"",IF(J101&gt;0,set_WIPIncome,set_WIPAsset))</f>
        <v/>
      </c>
      <c r="M101" s="27">
        <f>IF(N(J101)=0,"",ABS(J101))</f>
        <v/>
      </c>
      <c r="N101" s="25">
        <f>IF(N(J101)=0,"","WIP "&amp;I101&amp;IF(D101="",""," - "&amp;D101)&amp;IF(F101="",""," "&amp;F101)&amp;IF(H101="",""," - "&amp;H101))</f>
        <v/>
      </c>
      <c r="O101" s="24" t="n"/>
      <c r="P101" s="24" t="inlineStr">
        <is>
          <t>Y</t>
        </is>
      </c>
      <c r="Q101" s="24" t="inlineStr">
        <is>
          <t>Migrated from FY27 Revenue Tracker v2 - confirm type/sign</t>
        </is>
      </c>
    </row>
    <row r="102" ht="15" customHeight="1">
      <c r="A102" s="66" t="n">
        <v>46265</v>
      </c>
      <c r="B102" s="64">
        <f>IF(C102="","",IFERROR(INDEX(tbl_Finance[Date],MATCH(C102&amp;"",tbl_Finance[Xero Invoice No],0)),""))</f>
        <v/>
      </c>
      <c r="C102" s="24" t="n"/>
      <c r="D102" s="24" t="inlineStr">
        <is>
          <t>2603104</t>
        </is>
      </c>
      <c r="E102" s="25">
        <f>IF(D102="","",IF(COUNTIF(lst_Jobs,D102&amp;"")&gt;0,"OK","CHECK"))</f>
        <v/>
      </c>
      <c r="F102" s="24" t="inlineStr">
        <is>
          <t>Cochlear</t>
        </is>
      </c>
      <c r="G102" s="24" t="inlineStr">
        <is>
          <t>PRODUCTION</t>
        </is>
      </c>
      <c r="H102" s="24" t="inlineStr">
        <is>
          <t>Cochlear FY26 Results 18.8.26 [PRD] pre-prod work</t>
        </is>
      </c>
      <c r="I102" s="24" t="inlineStr">
        <is>
          <t>Deferral - invoiced in advance</t>
        </is>
      </c>
      <c r="J102" s="26" t="n">
        <v>-95</v>
      </c>
      <c r="K102" s="25">
        <f>IF(N(J102)=0,"",IF(J102&gt;0,set_WIPAsset,set_WIPIncome))</f>
        <v/>
      </c>
      <c r="L102" s="25">
        <f>IF(N(J102)=0,"",IF(J102&gt;0,set_WIPIncome,set_WIPAsset))</f>
        <v/>
      </c>
      <c r="M102" s="27">
        <f>IF(N(J102)=0,"",ABS(J102))</f>
        <v/>
      </c>
      <c r="N102" s="25">
        <f>IF(N(J102)=0,"","WIP "&amp;I102&amp;IF(D102="",""," - "&amp;D102)&amp;IF(F102="",""," "&amp;F102)&amp;IF(H102="",""," - "&amp;H102))</f>
        <v/>
      </c>
      <c r="O102" s="24" t="n"/>
      <c r="P102" s="24" t="inlineStr">
        <is>
          <t>Y</t>
        </is>
      </c>
      <c r="Q102" s="24" t="inlineStr">
        <is>
          <t>Migrated from FY27 Revenue Tracker v2 - confirm type/sign</t>
        </is>
      </c>
    </row>
    <row r="103" ht="15" customHeight="1">
      <c r="A103" s="66" t="n">
        <v>46265</v>
      </c>
      <c r="B103" s="64">
        <f>IF(C103="","",IFERROR(INDEX(tbl_Finance[Date],MATCH(C103&amp;"",tbl_Finance[Xero Invoice No],0)),""))</f>
        <v/>
      </c>
      <c r="C103" s="24" t="n"/>
      <c r="D103" s="24" t="inlineStr">
        <is>
          <t>26052702</t>
        </is>
      </c>
      <c r="E103" s="25">
        <f>IF(D103="","",IF(COUNTIF(lst_Jobs,D103&amp;"")&gt;0,"OK","CHECK"))</f>
        <v/>
      </c>
      <c r="F103" s="24" t="inlineStr">
        <is>
          <t>ASX</t>
        </is>
      </c>
      <c r="G103" s="24" t="inlineStr">
        <is>
          <t>PRODUCTION</t>
        </is>
      </c>
      <c r="H103" s="24" t="inlineStr">
        <is>
          <t>ASX - FYR - 13.8.26 [PRD]</t>
        </is>
      </c>
      <c r="I103" s="24" t="inlineStr">
        <is>
          <t>Deferral - invoiced in advance</t>
        </is>
      </c>
      <c r="J103" s="26" t="n">
        <v>-95</v>
      </c>
      <c r="K103" s="25">
        <f>IF(N(J103)=0,"",IF(J103&gt;0,set_WIPAsset,set_WIPIncome))</f>
        <v/>
      </c>
      <c r="L103" s="25">
        <f>IF(N(J103)=0,"",IF(J103&gt;0,set_WIPIncome,set_WIPAsset))</f>
        <v/>
      </c>
      <c r="M103" s="27">
        <f>IF(N(J103)=0,"",ABS(J103))</f>
        <v/>
      </c>
      <c r="N103" s="25">
        <f>IF(N(J103)=0,"","WIP "&amp;I103&amp;IF(D103="",""," - "&amp;D103)&amp;IF(F103="",""," "&amp;F103)&amp;IF(H103="",""," - "&amp;H103))</f>
        <v/>
      </c>
      <c r="O103" s="24" t="n"/>
      <c r="P103" s="24" t="inlineStr">
        <is>
          <t>Y</t>
        </is>
      </c>
      <c r="Q103" s="24" t="inlineStr">
        <is>
          <t>Migrated from FY27 Revenue Tracker v2 - confirm type/sign</t>
        </is>
      </c>
    </row>
    <row r="104" ht="15" customHeight="1">
      <c r="A104" s="66" t="n">
        <v>46265</v>
      </c>
      <c r="B104" s="64">
        <f>IF(C104="","",IFERROR(INDEX(tbl_Finance[Date],MATCH(C104&amp;"",tbl_Finance[Xero Invoice No],0)),""))</f>
        <v/>
      </c>
      <c r="C104" s="24" t="n"/>
      <c r="D104" s="24" t="inlineStr">
        <is>
          <t>2606904</t>
        </is>
      </c>
      <c r="E104" s="25">
        <f>IF(D104="","",IF(COUNTIF(lst_Jobs,D104&amp;"")&gt;0,"OK","CHECK"))</f>
        <v/>
      </c>
      <c r="F104" s="24" t="inlineStr">
        <is>
          <t>Symal</t>
        </is>
      </c>
      <c r="G104" s="24" t="inlineStr">
        <is>
          <t>PRODUCTION</t>
        </is>
      </c>
      <c r="H104" s="24" t="inlineStr">
        <is>
          <t>Symal - FYR26 (Melb) - 24.8.26 [PRD]</t>
        </is>
      </c>
      <c r="I104" s="24" t="inlineStr">
        <is>
          <t>Deferral - invoiced in advance</t>
        </is>
      </c>
      <c r="J104" s="26" t="n">
        <v>-71.25</v>
      </c>
      <c r="K104" s="25">
        <f>IF(N(J104)=0,"",IF(J104&gt;0,set_WIPAsset,set_WIPIncome))</f>
        <v/>
      </c>
      <c r="L104" s="25">
        <f>IF(N(J104)=0,"",IF(J104&gt;0,set_WIPIncome,set_WIPAsset))</f>
        <v/>
      </c>
      <c r="M104" s="27">
        <f>IF(N(J104)=0,"",ABS(J104))</f>
        <v/>
      </c>
      <c r="N104" s="25">
        <f>IF(N(J104)=0,"","WIP "&amp;I104&amp;IF(D104="",""," - "&amp;D104)&amp;IF(F104="",""," "&amp;F104)&amp;IF(H104="",""," - "&amp;H104))</f>
        <v/>
      </c>
      <c r="O104" s="24" t="n"/>
      <c r="P104" s="24" t="inlineStr">
        <is>
          <t>Y</t>
        </is>
      </c>
      <c r="Q104" s="24" t="inlineStr">
        <is>
          <t>Migrated from FY27 Revenue Tracker v2 - confirm type/sign</t>
        </is>
      </c>
    </row>
    <row r="105" ht="15" customHeight="1">
      <c r="A105" s="66" t="n">
        <v>46265</v>
      </c>
      <c r="B105" s="64">
        <f>IF(C105="","",IFERROR(INDEX(tbl_Finance[Date],MATCH(C105&amp;"",tbl_Finance[Xero Invoice No],0)),""))</f>
        <v/>
      </c>
      <c r="C105" s="24" t="n"/>
      <c r="D105" s="24" t="inlineStr">
        <is>
          <t>3027</t>
        </is>
      </c>
      <c r="E105" s="25">
        <f>IF(D105="","",IF(COUNTIF(lst_Jobs,D105&amp;"")&gt;0,"OK","CHECK"))</f>
        <v/>
      </c>
      <c r="F105" s="24" t="inlineStr">
        <is>
          <t>NSW Property</t>
        </is>
      </c>
      <c r="G105" s="24" t="inlineStr">
        <is>
          <t>INTEGRATION</t>
        </is>
      </c>
      <c r="H105" s="24" t="inlineStr">
        <is>
          <t>NSW Property  - 231 Eliz L13 Touchdown - Condeco Desk Booking System (INV10391 Revenue)</t>
        </is>
      </c>
      <c r="I105" s="24" t="inlineStr">
        <is>
          <t>Accrual - unbilled work</t>
        </is>
      </c>
      <c r="J105" s="26" t="n">
        <v>721.7</v>
      </c>
      <c r="K105" s="25">
        <f>IF(N(J105)=0,"",IF(J105&gt;0,set_WIPAsset,set_WIPIncome))</f>
        <v/>
      </c>
      <c r="L105" s="25">
        <f>IF(N(J105)=0,"",IF(J105&gt;0,set_WIPIncome,set_WIPAsset))</f>
        <v/>
      </c>
      <c r="M105" s="27">
        <f>IF(N(J105)=0,"",ABS(J105))</f>
        <v/>
      </c>
      <c r="N105" s="25">
        <f>IF(N(J105)=0,"","WIP "&amp;I105&amp;IF(D105="",""," - "&amp;D105)&amp;IF(F105="",""," "&amp;F105)&amp;IF(H105="",""," - "&amp;H105))</f>
        <v/>
      </c>
      <c r="O105" s="24" t="n"/>
      <c r="P105" s="24" t="inlineStr">
        <is>
          <t>Y</t>
        </is>
      </c>
      <c r="Q105" s="24" t="inlineStr">
        <is>
          <t>Migrated from FY27 Revenue Tracker v2 - confirm type/sign</t>
        </is>
      </c>
    </row>
    <row r="106" ht="15" customHeight="1">
      <c r="A106" s="66" t="n">
        <v>46265</v>
      </c>
      <c r="B106" s="64">
        <f>IF(C106="","",IFERROR(INDEX(tbl_Finance[Date],MATCH(C106&amp;"",tbl_Finance[Xero Invoice No],0)),""))</f>
        <v/>
      </c>
      <c r="C106" s="24" t="n"/>
      <c r="D106" s="24" t="inlineStr">
        <is>
          <t>3027</t>
        </is>
      </c>
      <c r="E106" s="25">
        <f>IF(D106="","",IF(COUNTIF(lst_Jobs,D106&amp;"")&gt;0,"OK","CHECK"))</f>
        <v/>
      </c>
      <c r="F106" s="24" t="inlineStr">
        <is>
          <t>NSW Property</t>
        </is>
      </c>
      <c r="G106" s="24" t="inlineStr">
        <is>
          <t>INTEGRATION</t>
        </is>
      </c>
      <c r="H106" s="24" t="inlineStr">
        <is>
          <t>NSW Property - 231 Eliz Workplace L1 (INV10392 Revenue)</t>
        </is>
      </c>
      <c r="I106" s="24" t="inlineStr">
        <is>
          <t>Accrual - unbilled work</t>
        </is>
      </c>
      <c r="J106" s="26" t="n">
        <v>876.35</v>
      </c>
      <c r="K106" s="25">
        <f>IF(N(J106)=0,"",IF(J106&gt;0,set_WIPAsset,set_WIPIncome))</f>
        <v/>
      </c>
      <c r="L106" s="25">
        <f>IF(N(J106)=0,"",IF(J106&gt;0,set_WIPIncome,set_WIPAsset))</f>
        <v/>
      </c>
      <c r="M106" s="27">
        <f>IF(N(J106)=0,"",ABS(J106))</f>
        <v/>
      </c>
      <c r="N106" s="25">
        <f>IF(N(J106)=0,"","WIP "&amp;I106&amp;IF(D106="",""," - "&amp;D106)&amp;IF(F106="",""," "&amp;F106)&amp;IF(H106="",""," - "&amp;H106))</f>
        <v/>
      </c>
      <c r="O106" s="24" t="n"/>
      <c r="P106" s="24" t="inlineStr">
        <is>
          <t>Y</t>
        </is>
      </c>
      <c r="Q106" s="24" t="inlineStr">
        <is>
          <t>Migrated from FY27 Revenue Tracker v2 - confirm type/sign</t>
        </is>
      </c>
    </row>
    <row r="107" ht="15" customHeight="1">
      <c r="A107" s="66" t="n">
        <v>46265</v>
      </c>
      <c r="B107" s="64">
        <f>IF(C107="","",IFERROR(INDEX(tbl_Finance[Date],MATCH(C107&amp;"",tbl_Finance[Xero Invoice No],0)),""))</f>
        <v/>
      </c>
      <c r="C107" s="24" t="n"/>
      <c r="D107" s="24" t="inlineStr">
        <is>
          <t>25060301</t>
        </is>
      </c>
      <c r="E107" s="25">
        <f>IF(D107="","",IF(COUNTIF(lst_Jobs,D107&amp;"")&gt;0,"OK","CHECK"))</f>
        <v/>
      </c>
      <c r="F107" s="24" t="inlineStr">
        <is>
          <t>NSW Property</t>
        </is>
      </c>
      <c r="G107" s="24" t="inlineStr">
        <is>
          <t>INTEGRATION</t>
        </is>
      </c>
      <c r="H107" s="24" t="inlineStr">
        <is>
          <t>NSW Property - 6PSQ Workplace L12 Hub (INV10393 Revenue)</t>
        </is>
      </c>
      <c r="I107" s="24" t="inlineStr">
        <is>
          <t>Accrual - unbilled work</t>
        </is>
      </c>
      <c r="J107" s="26" t="n">
        <v>2964.14</v>
      </c>
      <c r="K107" s="25">
        <f>IF(N(J107)=0,"",IF(J107&gt;0,set_WIPAsset,set_WIPIncome))</f>
        <v/>
      </c>
      <c r="L107" s="25">
        <f>IF(N(J107)=0,"",IF(J107&gt;0,set_WIPIncome,set_WIPAsset))</f>
        <v/>
      </c>
      <c r="M107" s="27">
        <f>IF(N(J107)=0,"",ABS(J107))</f>
        <v/>
      </c>
      <c r="N107" s="25">
        <f>IF(N(J107)=0,"","WIP "&amp;I107&amp;IF(D107="",""," - "&amp;D107)&amp;IF(F107="",""," "&amp;F107)&amp;IF(H107="",""," - "&amp;H107))</f>
        <v/>
      </c>
      <c r="O107" s="24" t="n"/>
      <c r="P107" s="24" t="inlineStr">
        <is>
          <t>Y</t>
        </is>
      </c>
      <c r="Q107" s="24" t="inlineStr">
        <is>
          <t>Migrated from FY27 Revenue Tracker v2 - confirm type/sign</t>
        </is>
      </c>
    </row>
    <row r="108" ht="15" customHeight="1">
      <c r="A108" s="66" t="n">
        <v>46265</v>
      </c>
      <c r="B108" s="64">
        <f>IF(C108="","",IFERROR(INDEX(tbl_Finance[Date],MATCH(C108&amp;"",tbl_Finance[Xero Invoice No],0)),""))</f>
        <v/>
      </c>
      <c r="C108" s="24" t="n"/>
      <c r="D108" s="24" t="inlineStr">
        <is>
          <t>2519</t>
        </is>
      </c>
      <c r="E108" s="25">
        <f>IF(D108="","",IF(COUNTIF(lst_Jobs,D108&amp;"")&gt;0,"OK","CHECK"))</f>
        <v/>
      </c>
      <c r="F108" s="24" t="inlineStr">
        <is>
          <t>NSW Property</t>
        </is>
      </c>
      <c r="G108" s="24" t="inlineStr">
        <is>
          <t>INTEGRATION</t>
        </is>
      </c>
      <c r="H108" s="24" t="inlineStr">
        <is>
          <t>NSW Property - 6PSQ L11 Touchdown (INV10394 Revenue)</t>
        </is>
      </c>
      <c r="I108" s="24" t="inlineStr">
        <is>
          <t>Accrual - unbilled work</t>
        </is>
      </c>
      <c r="J108" s="26" t="n">
        <v>799.03</v>
      </c>
      <c r="K108" s="25">
        <f>IF(N(J108)=0,"",IF(J108&gt;0,set_WIPAsset,set_WIPIncome))</f>
        <v/>
      </c>
      <c r="L108" s="25">
        <f>IF(N(J108)=0,"",IF(J108&gt;0,set_WIPIncome,set_WIPAsset))</f>
        <v/>
      </c>
      <c r="M108" s="27">
        <f>IF(N(J108)=0,"",ABS(J108))</f>
        <v/>
      </c>
      <c r="N108" s="25">
        <f>IF(N(J108)=0,"","WIP "&amp;I108&amp;IF(D108="",""," - "&amp;D108)&amp;IF(F108="",""," "&amp;F108)&amp;IF(H108="",""," - "&amp;H108))</f>
        <v/>
      </c>
      <c r="O108" s="24" t="n"/>
      <c r="P108" s="24" t="inlineStr">
        <is>
          <t>Y</t>
        </is>
      </c>
      <c r="Q108" s="24" t="inlineStr">
        <is>
          <t>Migrated from FY27 Revenue Tracker v2 - confirm type/sign</t>
        </is>
      </c>
    </row>
    <row r="109" ht="15" customHeight="1">
      <c r="A109" s="66" t="n">
        <v>46265</v>
      </c>
      <c r="B109" s="64">
        <f>IF(C109="","",IFERROR(INDEX(tbl_Finance[Date],MATCH(C109&amp;"",tbl_Finance[Xero Invoice No],0)),""))</f>
        <v/>
      </c>
      <c r="C109" s="24" t="n"/>
      <c r="D109" s="24" t="inlineStr">
        <is>
          <t>3068</t>
        </is>
      </c>
      <c r="E109" s="25">
        <f>IF(D109="","",IF(COUNTIF(lst_Jobs,D109&amp;"")&gt;0,"OK","CHECK"))</f>
        <v/>
      </c>
      <c r="F109" s="24" t="inlineStr">
        <is>
          <t>NSW Property</t>
        </is>
      </c>
      <c r="G109" s="24" t="inlineStr">
        <is>
          <t>INTEGRATION</t>
        </is>
      </c>
      <c r="H109" s="24" t="inlineStr">
        <is>
          <t>NSW Property  – Penrith 50 Belmore St – Workplace Hub (INV10395 Revenue)</t>
        </is>
      </c>
      <c r="I109" s="24" t="inlineStr">
        <is>
          <t>Accrual - unbilled work</t>
        </is>
      </c>
      <c r="J109" s="26" t="n">
        <v>154.65</v>
      </c>
      <c r="K109" s="25">
        <f>IF(N(J109)=0,"",IF(J109&gt;0,set_WIPAsset,set_WIPIncome))</f>
        <v/>
      </c>
      <c r="L109" s="25">
        <f>IF(N(J109)=0,"",IF(J109&gt;0,set_WIPIncome,set_WIPAsset))</f>
        <v/>
      </c>
      <c r="M109" s="27">
        <f>IF(N(J109)=0,"",ABS(J109))</f>
        <v/>
      </c>
      <c r="N109" s="25">
        <f>IF(N(J109)=0,"","WIP "&amp;I109&amp;IF(D109="",""," - "&amp;D109)&amp;IF(F109="",""," "&amp;F109)&amp;IF(H109="",""," - "&amp;H109))</f>
        <v/>
      </c>
      <c r="O109" s="24" t="n"/>
      <c r="P109" s="24" t="inlineStr">
        <is>
          <t>Y</t>
        </is>
      </c>
      <c r="Q109" s="24" t="inlineStr">
        <is>
          <t>Migrated from FY27 Revenue Tracker v2 - confirm type/sign</t>
        </is>
      </c>
    </row>
    <row r="110" ht="15" customHeight="1">
      <c r="A110" s="66" t="n">
        <v>46265</v>
      </c>
      <c r="B110" s="64">
        <f>IF(C110="","",IFERROR(INDEX(tbl_Finance[Date],MATCH(C110&amp;"",tbl_Finance[Xero Invoice No],0)),""))</f>
        <v/>
      </c>
      <c r="C110" s="24" t="n"/>
      <c r="D110" s="24" t="inlineStr">
        <is>
          <t>25051302</t>
        </is>
      </c>
      <c r="E110" s="25">
        <f>IF(D110="","",IF(COUNTIF(lst_Jobs,D110&amp;"")&gt;0,"OK","CHECK"))</f>
        <v/>
      </c>
      <c r="F110" s="24" t="inlineStr">
        <is>
          <t>NSW Property</t>
        </is>
      </c>
      <c r="G110" s="24" t="inlineStr">
        <is>
          <t>INTEGRATION</t>
        </is>
      </c>
      <c r="H110" s="24" t="inlineStr">
        <is>
          <t>NSW Property - Penrith BDA (INV10396)</t>
        </is>
      </c>
      <c r="I110" s="24" t="inlineStr">
        <is>
          <t>Accrual - unbilled work</t>
        </is>
      </c>
      <c r="J110" s="26" t="n">
        <v>1494.96</v>
      </c>
      <c r="K110" s="25">
        <f>IF(N(J110)=0,"",IF(J110&gt;0,set_WIPAsset,set_WIPIncome))</f>
        <v/>
      </c>
      <c r="L110" s="25">
        <f>IF(N(J110)=0,"",IF(J110&gt;0,set_WIPIncome,set_WIPAsset))</f>
        <v/>
      </c>
      <c r="M110" s="27">
        <f>IF(N(J110)=0,"",ABS(J110))</f>
        <v/>
      </c>
      <c r="N110" s="25">
        <f>IF(N(J110)=0,"","WIP "&amp;I110&amp;IF(D110="",""," - "&amp;D110)&amp;IF(F110="",""," "&amp;F110)&amp;IF(H110="",""," - "&amp;H110))</f>
        <v/>
      </c>
      <c r="O110" s="24" t="n"/>
      <c r="P110" s="24" t="inlineStr">
        <is>
          <t>Y</t>
        </is>
      </c>
      <c r="Q110" s="24" t="inlineStr">
        <is>
          <t>Migrated from FY27 Revenue Tracker v2 - confirm type/sign</t>
        </is>
      </c>
    </row>
    <row r="111" ht="15" customHeight="1">
      <c r="A111" s="66" t="n">
        <v>46265</v>
      </c>
      <c r="B111" s="64">
        <f>IF(C111="","",IFERROR(INDEX(tbl_Finance[Date],MATCH(C111&amp;"",tbl_Finance[Xero Invoice No],0)),""))</f>
        <v/>
      </c>
      <c r="C111" s="24" t="n"/>
      <c r="D111" s="24" t="inlineStr">
        <is>
          <t>25051302</t>
        </is>
      </c>
      <c r="E111" s="25">
        <f>IF(D111="","",IF(COUNTIF(lst_Jobs,D111&amp;"")&gt;0,"OK","CHECK"))</f>
        <v/>
      </c>
      <c r="F111" s="24" t="inlineStr">
        <is>
          <t>NSW Property</t>
        </is>
      </c>
      <c r="G111" s="24" t="inlineStr">
        <is>
          <t>INTEGRATION</t>
        </is>
      </c>
      <c r="H111" s="24" t="inlineStr">
        <is>
          <t>NSW Property - RA Molesworth St (INV10397 Revenue)</t>
        </is>
      </c>
      <c r="I111" s="24" t="inlineStr">
        <is>
          <t>Accrual - unbilled work</t>
        </is>
      </c>
      <c r="J111" s="26" t="n">
        <v>786.14</v>
      </c>
      <c r="K111" s="25">
        <f>IF(N(J111)=0,"",IF(J111&gt;0,set_WIPAsset,set_WIPIncome))</f>
        <v/>
      </c>
      <c r="L111" s="25">
        <f>IF(N(J111)=0,"",IF(J111&gt;0,set_WIPIncome,set_WIPAsset))</f>
        <v/>
      </c>
      <c r="M111" s="27">
        <f>IF(N(J111)=0,"",ABS(J111))</f>
        <v/>
      </c>
      <c r="N111" s="25">
        <f>IF(N(J111)=0,"","WIP "&amp;I111&amp;IF(D111="",""," - "&amp;D111)&amp;IF(F111="",""," "&amp;F111)&amp;IF(H111="",""," - "&amp;H111))</f>
        <v/>
      </c>
      <c r="O111" s="24" t="n"/>
      <c r="P111" s="24" t="inlineStr">
        <is>
          <t>Y</t>
        </is>
      </c>
      <c r="Q111" s="24" t="inlineStr">
        <is>
          <t>Migrated from FY27 Revenue Tracker v2 - confirm type/sign</t>
        </is>
      </c>
    </row>
    <row r="112" ht="15" customHeight="1">
      <c r="A112" s="66" t="n">
        <v>46265</v>
      </c>
      <c r="B112" s="64">
        <f>IF(C112="","",IFERROR(INDEX(tbl_Finance[Date],MATCH(C112&amp;"",tbl_Finance[Xero Invoice No],0)),""))</f>
        <v/>
      </c>
      <c r="C112" s="24" t="n"/>
      <c r="D112" s="24" t="inlineStr">
        <is>
          <t>25060307</t>
        </is>
      </c>
      <c r="E112" s="25">
        <f>IF(D112="","",IF(COUNTIF(lst_Jobs,D112&amp;"")&gt;0,"OK","CHECK"))</f>
        <v/>
      </c>
      <c r="F112" s="24" t="inlineStr">
        <is>
          <t>NSW Property</t>
        </is>
      </c>
      <c r="G112" s="24" t="inlineStr">
        <is>
          <t>INTEGRATION</t>
        </is>
      </c>
      <c r="H112" s="24" t="inlineStr">
        <is>
          <t>NSW Property - RA Newcastle Bellvue (INV10398 Revenue)</t>
        </is>
      </c>
      <c r="I112" s="24" t="inlineStr">
        <is>
          <t>Accrual - unbilled work</t>
        </is>
      </c>
      <c r="J112" s="26" t="n">
        <v>270.64</v>
      </c>
      <c r="K112" s="25">
        <f>IF(N(J112)=0,"",IF(J112&gt;0,set_WIPAsset,set_WIPIncome))</f>
        <v/>
      </c>
      <c r="L112" s="25">
        <f>IF(N(J112)=0,"",IF(J112&gt;0,set_WIPIncome,set_WIPAsset))</f>
        <v/>
      </c>
      <c r="M112" s="27">
        <f>IF(N(J112)=0,"",ABS(J112))</f>
        <v/>
      </c>
      <c r="N112" s="25">
        <f>IF(N(J112)=0,"","WIP "&amp;I112&amp;IF(D112="",""," - "&amp;D112)&amp;IF(F112="",""," "&amp;F112)&amp;IF(H112="",""," - "&amp;H112))</f>
        <v/>
      </c>
      <c r="O112" s="24" t="n"/>
      <c r="P112" s="24" t="inlineStr">
        <is>
          <t>Y</t>
        </is>
      </c>
      <c r="Q112" s="24" t="inlineStr">
        <is>
          <t>Migrated from FY27 Revenue Tracker v2 - confirm type/sign</t>
        </is>
      </c>
    </row>
    <row r="113" ht="15" customHeight="1">
      <c r="A113" s="66" t="n">
        <v>46265</v>
      </c>
      <c r="B113" s="64">
        <f>IF(C113="","",IFERROR(INDEX(tbl_Finance[Date],MATCH(C113&amp;"",tbl_Finance[Xero Invoice No],0)),""))</f>
        <v/>
      </c>
      <c r="C113" s="24" t="n"/>
      <c r="D113" s="24" t="inlineStr">
        <is>
          <t>2510805</t>
        </is>
      </c>
      <c r="E113" s="25">
        <f>IF(D113="","",IF(COUNTIF(lst_Jobs,D113&amp;"")&gt;0,"OK","CHECK"))</f>
        <v/>
      </c>
      <c r="F113" s="24" t="inlineStr">
        <is>
          <t>NSW Property</t>
        </is>
      </c>
      <c r="G113" s="24" t="inlineStr">
        <is>
          <t>INTEGRATION</t>
        </is>
      </c>
      <c r="H113" s="24" t="inlineStr">
        <is>
          <t>NSW Property - 5 O’Keefe Ave Nowra Workplace Hub (INV10399 Revenue)</t>
        </is>
      </c>
      <c r="I113" s="24" t="inlineStr">
        <is>
          <t>Accrual - unbilled work</t>
        </is>
      </c>
      <c r="J113" s="26" t="n">
        <v>2242.44</v>
      </c>
      <c r="K113" s="25">
        <f>IF(N(J113)=0,"",IF(J113&gt;0,set_WIPAsset,set_WIPIncome))</f>
        <v/>
      </c>
      <c r="L113" s="25">
        <f>IF(N(J113)=0,"",IF(J113&gt;0,set_WIPIncome,set_WIPAsset))</f>
        <v/>
      </c>
      <c r="M113" s="27">
        <f>IF(N(J113)=0,"",ABS(J113))</f>
        <v/>
      </c>
      <c r="N113" s="25">
        <f>IF(N(J113)=0,"","WIP "&amp;I113&amp;IF(D113="",""," - "&amp;D113)&amp;IF(F113="",""," "&amp;F113)&amp;IF(H113="",""," - "&amp;H113))</f>
        <v/>
      </c>
      <c r="O113" s="24" t="n"/>
      <c r="P113" s="24" t="inlineStr">
        <is>
          <t>Y</t>
        </is>
      </c>
      <c r="Q113" s="24" t="inlineStr">
        <is>
          <t>Migrated from FY27 Revenue Tracker v2 - confirm type/sign</t>
        </is>
      </c>
    </row>
    <row r="114" ht="15" customHeight="1">
      <c r="A114" s="66" t="n">
        <v>46265</v>
      </c>
      <c r="B114" s="64">
        <f>IF(C114="","",IFERROR(INDEX(tbl_Finance[Date],MATCH(C114&amp;"",tbl_Finance[Xero Invoice No],0)),""))</f>
        <v/>
      </c>
      <c r="C114" s="24" t="n"/>
      <c r="D114" s="24" t="inlineStr">
        <is>
          <t>2603202</t>
        </is>
      </c>
      <c r="E114" s="25">
        <f>IF(D114="","",IF(COUNTIF(lst_Jobs,D114&amp;"")&gt;0,"OK","CHECK"))</f>
        <v/>
      </c>
      <c r="F114" s="24" t="inlineStr">
        <is>
          <t>NSW Property</t>
        </is>
      </c>
      <c r="G114" s="24" t="inlineStr">
        <is>
          <t>INTEGRATION</t>
        </is>
      </c>
      <c r="H114" s="24" t="inlineStr">
        <is>
          <t>NSW Property -  Maitland 510-516 High St WP Services (INV10400 Revenue)</t>
        </is>
      </c>
      <c r="I114" s="24" t="inlineStr">
        <is>
          <t>Accrual - unbilled work</t>
        </is>
      </c>
      <c r="J114" s="26" t="n">
        <v>3041.47</v>
      </c>
      <c r="K114" s="25">
        <f>IF(N(J114)=0,"",IF(J114&gt;0,set_WIPAsset,set_WIPIncome))</f>
        <v/>
      </c>
      <c r="L114" s="25">
        <f>IF(N(J114)=0,"",IF(J114&gt;0,set_WIPIncome,set_WIPAsset))</f>
        <v/>
      </c>
      <c r="M114" s="27">
        <f>IF(N(J114)=0,"",ABS(J114))</f>
        <v/>
      </c>
      <c r="N114" s="25">
        <f>IF(N(J114)=0,"","WIP "&amp;I114&amp;IF(D114="",""," - "&amp;D114)&amp;IF(F114="",""," "&amp;F114)&amp;IF(H114="",""," - "&amp;H114))</f>
        <v/>
      </c>
      <c r="O114" s="24" t="n"/>
      <c r="P114" s="24" t="inlineStr">
        <is>
          <t>Y</t>
        </is>
      </c>
      <c r="Q114" s="24" t="inlineStr">
        <is>
          <t>Migrated from FY27 Revenue Tracker v2 - confirm type/sign</t>
        </is>
      </c>
    </row>
    <row r="115" ht="15" customHeight="1">
      <c r="A115" s="66" t="n">
        <v>46265</v>
      </c>
      <c r="B115" s="64">
        <f>IF(C115="","",IFERROR(INDEX(tbl_Finance[Date],MATCH(C115&amp;"",tbl_Finance[Xero Invoice No],0)),""))</f>
        <v/>
      </c>
      <c r="C115" s="24" t="n"/>
      <c r="D115" s="24" t="inlineStr">
        <is>
          <t>25041502</t>
        </is>
      </c>
      <c r="E115" s="25">
        <f>IF(D115="","",IF(COUNTIF(lst_Jobs,D115&amp;"")&gt;0,"OK","CHECK"))</f>
        <v/>
      </c>
      <c r="F115" s="24" t="inlineStr">
        <is>
          <t>NSW Property</t>
        </is>
      </c>
      <c r="G115" s="24" t="inlineStr">
        <is>
          <t>INTEGRATION</t>
        </is>
      </c>
      <c r="H115" s="24" t="inlineStr">
        <is>
          <t>NSW Property -  252 Pitt St Parkline Workplace Hub (INV10401 Revenue)</t>
        </is>
      </c>
      <c r="I115" s="24" t="inlineStr">
        <is>
          <t>Accrual - unbilled work</t>
        </is>
      </c>
      <c r="J115" s="26" t="n">
        <v>4085.36</v>
      </c>
      <c r="K115" s="25">
        <f>IF(N(J115)=0,"",IF(J115&gt;0,set_WIPAsset,set_WIPIncome))</f>
        <v/>
      </c>
      <c r="L115" s="25">
        <f>IF(N(J115)=0,"",IF(J115&gt;0,set_WIPIncome,set_WIPAsset))</f>
        <v/>
      </c>
      <c r="M115" s="27">
        <f>IF(N(J115)=0,"",ABS(J115))</f>
        <v/>
      </c>
      <c r="N115" s="25">
        <f>IF(N(J115)=0,"","WIP "&amp;I115&amp;IF(D115="",""," - "&amp;D115)&amp;IF(F115="",""," "&amp;F115)&amp;IF(H115="",""," - "&amp;H115))</f>
        <v/>
      </c>
      <c r="O115" s="24" t="n"/>
      <c r="P115" s="24" t="inlineStr">
        <is>
          <t>Y</t>
        </is>
      </c>
      <c r="Q115" s="24" t="inlineStr">
        <is>
          <t>Migrated from FY27 Revenue Tracker v2 - confirm type/sign</t>
        </is>
      </c>
    </row>
    <row r="116" ht="15" customHeight="1">
      <c r="A116" s="66" t="n">
        <v>46265</v>
      </c>
      <c r="B116" s="64">
        <f>IF(C116="","",IFERROR(INDEX(tbl_Finance[Date],MATCH(C116&amp;"",tbl_Finance[Xero Invoice No],0)),""))</f>
        <v/>
      </c>
      <c r="C116" s="24" t="n"/>
      <c r="D116" s="24" t="inlineStr">
        <is>
          <t>3068</t>
        </is>
      </c>
      <c r="E116" s="25">
        <f>IF(D116="","",IF(COUNTIF(lst_Jobs,D116&amp;"")&gt;0,"OK","CHECK"))</f>
        <v/>
      </c>
      <c r="F116" s="24" t="inlineStr">
        <is>
          <t>NSW Property</t>
        </is>
      </c>
      <c r="G116" s="24" t="inlineStr">
        <is>
          <t>INTEGRATION</t>
        </is>
      </c>
      <c r="H116" s="24" t="inlineStr">
        <is>
          <t>NSW Property - Sydney 1 Prince Albert Workplace Hub (INV10412 Revenue)</t>
        </is>
      </c>
      <c r="I116" s="24" t="inlineStr">
        <is>
          <t>Accrual - unbilled work</t>
        </is>
      </c>
      <c r="J116" s="26" t="n">
        <v>1868.7</v>
      </c>
      <c r="K116" s="25">
        <f>IF(N(J116)=0,"",IF(J116&gt;0,set_WIPAsset,set_WIPIncome))</f>
        <v/>
      </c>
      <c r="L116" s="25">
        <f>IF(N(J116)=0,"",IF(J116&gt;0,set_WIPIncome,set_WIPAsset))</f>
        <v/>
      </c>
      <c r="M116" s="27">
        <f>IF(N(J116)=0,"",ABS(J116))</f>
        <v/>
      </c>
      <c r="N116" s="25">
        <f>IF(N(J116)=0,"","WIP "&amp;I116&amp;IF(D116="",""," - "&amp;D116)&amp;IF(F116="",""," "&amp;F116)&amp;IF(H116="",""," - "&amp;H116))</f>
        <v/>
      </c>
      <c r="O116" s="24" t="n"/>
      <c r="P116" s="24" t="inlineStr">
        <is>
          <t>Y</t>
        </is>
      </c>
      <c r="Q116" s="24" t="inlineStr">
        <is>
          <t>Migrated from FY27 Revenue Tracker v2 - confirm type/sign</t>
        </is>
      </c>
    </row>
    <row r="117" ht="15" customHeight="1">
      <c r="A117" s="66" t="n">
        <v>46265</v>
      </c>
      <c r="B117" s="64">
        <f>IF(C117="","",IFERROR(INDEX(tbl_Finance[Date],MATCH(C117&amp;"",tbl_Finance[Xero Invoice No],0)),""))</f>
        <v/>
      </c>
      <c r="C117" s="24" t="n"/>
      <c r="D117" s="24" t="inlineStr">
        <is>
          <t>25121208</t>
        </is>
      </c>
      <c r="E117" s="25">
        <f>IF(D117="","",IF(COUNTIF(lst_Jobs,D117&amp;"")&gt;0,"OK","CHECK"))</f>
        <v/>
      </c>
      <c r="F117" s="24" t="inlineStr">
        <is>
          <t>APA</t>
        </is>
      </c>
      <c r="G117" s="24" t="inlineStr">
        <is>
          <t>PRODUCTION</t>
        </is>
      </c>
      <c r="H117" s="24" t="inlineStr">
        <is>
          <t>APA FYR August 2026 Package - Equipment Hire (Revenue)</t>
        </is>
      </c>
      <c r="I117" s="24" t="inlineStr">
        <is>
          <t>Accrual - unbilled work</t>
        </is>
      </c>
      <c r="J117" s="26" t="n">
        <v>2737.5</v>
      </c>
      <c r="K117" s="25">
        <f>IF(N(J117)=0,"",IF(J117&gt;0,set_WIPAsset,set_WIPIncome))</f>
        <v/>
      </c>
      <c r="L117" s="25">
        <f>IF(N(J117)=0,"",IF(J117&gt;0,set_WIPIncome,set_WIPAsset))</f>
        <v/>
      </c>
      <c r="M117" s="27">
        <f>IF(N(J117)=0,"",ABS(J117))</f>
        <v/>
      </c>
      <c r="N117" s="25">
        <f>IF(N(J117)=0,"","WIP "&amp;I117&amp;IF(D117="",""," - "&amp;D117)&amp;IF(F117="",""," "&amp;F117)&amp;IF(H117="",""," - "&amp;H117))</f>
        <v/>
      </c>
      <c r="O117" s="24" t="n"/>
      <c r="P117" s="24" t="inlineStr">
        <is>
          <t>Y</t>
        </is>
      </c>
      <c r="Q117" s="24" t="inlineStr">
        <is>
          <t>Migrated from FY27 Revenue Tracker v2 - confirm type/sign</t>
        </is>
      </c>
    </row>
    <row r="118" ht="15" customHeight="1">
      <c r="A118" s="66" t="n">
        <v>46265</v>
      </c>
      <c r="B118" s="64">
        <f>IF(C118="","",IFERROR(INDEX(tbl_Finance[Date],MATCH(C118&amp;"",tbl_Finance[Xero Invoice No],0)),""))</f>
        <v/>
      </c>
      <c r="C118" s="24" t="n"/>
      <c r="D118" s="24" t="inlineStr">
        <is>
          <t>25121208</t>
        </is>
      </c>
      <c r="E118" s="25">
        <f>IF(D118="","",IF(COUNTIF(lst_Jobs,D118&amp;"")&gt;0,"OK","CHECK"))</f>
        <v/>
      </c>
      <c r="F118" s="24" t="inlineStr">
        <is>
          <t>APA</t>
        </is>
      </c>
      <c r="G118" s="24" t="inlineStr">
        <is>
          <t>PRODUCTION</t>
        </is>
      </c>
      <c r="H118" s="24" t="inlineStr">
        <is>
          <t>APA FYR August 2026 Package - Prod Labour (Revenue)</t>
        </is>
      </c>
      <c r="I118" s="24" t="inlineStr">
        <is>
          <t>Accrual - unbilled work</t>
        </is>
      </c>
      <c r="J118" s="26" t="n">
        <v>1900</v>
      </c>
      <c r="K118" s="25">
        <f>IF(N(J118)=0,"",IF(J118&gt;0,set_WIPAsset,set_WIPIncome))</f>
        <v/>
      </c>
      <c r="L118" s="25">
        <f>IF(N(J118)=0,"",IF(J118&gt;0,set_WIPIncome,set_WIPAsset))</f>
        <v/>
      </c>
      <c r="M118" s="27">
        <f>IF(N(J118)=0,"",ABS(J118))</f>
        <v/>
      </c>
      <c r="N118" s="25">
        <f>IF(N(J118)=0,"","WIP "&amp;I118&amp;IF(D118="",""," - "&amp;D118)&amp;IF(F118="",""," "&amp;F118)&amp;IF(H118="",""," - "&amp;H118))</f>
        <v/>
      </c>
      <c r="O118" s="24" t="n"/>
      <c r="P118" s="24" t="inlineStr">
        <is>
          <t>Y</t>
        </is>
      </c>
      <c r="Q118" s="24" t="inlineStr">
        <is>
          <t>Migrated from FY27 Revenue Tracker v2 - confirm type/sign</t>
        </is>
      </c>
    </row>
    <row r="119" ht="15" customHeight="1">
      <c r="A119" s="66" t="n">
        <v>46265</v>
      </c>
      <c r="B119" s="64">
        <f>IF(C119="","",IFERROR(INDEX(tbl_Finance[Date],MATCH(C119&amp;"",tbl_Finance[Xero Invoice No],0)),""))</f>
        <v/>
      </c>
      <c r="C119" s="24" t="n"/>
      <c r="D119" s="24" t="inlineStr">
        <is>
          <t>25121208</t>
        </is>
      </c>
      <c r="E119" s="25">
        <f>IF(D119="","",IF(COUNTIF(lst_Jobs,D119&amp;"")&gt;0,"OK","CHECK"))</f>
        <v/>
      </c>
      <c r="F119" s="24" t="inlineStr">
        <is>
          <t>APA</t>
        </is>
      </c>
      <c r="G119" s="24" t="inlineStr">
        <is>
          <t>PRODUCTION</t>
        </is>
      </c>
      <c r="H119" s="24" t="inlineStr">
        <is>
          <t>APA FYR August 2026 Package - Conference Call (Revenue)</t>
        </is>
      </c>
      <c r="I119" s="24" t="inlineStr">
        <is>
          <t>Accrual - unbilled work</t>
        </is>
      </c>
      <c r="J119" s="26" t="n">
        <v>3575</v>
      </c>
      <c r="K119" s="25">
        <f>IF(N(J119)=0,"",IF(J119&gt;0,set_WIPAsset,set_WIPIncome))</f>
        <v/>
      </c>
      <c r="L119" s="25">
        <f>IF(N(J119)=0,"",IF(J119&gt;0,set_WIPIncome,set_WIPAsset))</f>
        <v/>
      </c>
      <c r="M119" s="27">
        <f>IF(N(J119)=0,"",ABS(J119))</f>
        <v/>
      </c>
      <c r="N119" s="25">
        <f>IF(N(J119)=0,"","WIP "&amp;I119&amp;IF(D119="",""," - "&amp;D119)&amp;IF(F119="",""," "&amp;F119)&amp;IF(H119="",""," - "&amp;H119))</f>
        <v/>
      </c>
      <c r="O119" s="24" t="n"/>
      <c r="P119" s="24" t="inlineStr">
        <is>
          <t>Y</t>
        </is>
      </c>
      <c r="Q119" s="24" t="inlineStr">
        <is>
          <t>Migrated from FY27 Revenue Tracker v2 - confirm type/sign</t>
        </is>
      </c>
    </row>
    <row r="120" ht="15" customHeight="1">
      <c r="A120" s="66" t="n">
        <v>46265</v>
      </c>
      <c r="B120" s="64">
        <f>IF(C120="","",IFERROR(INDEX(tbl_Finance[Date],MATCH(C120&amp;"",tbl_Finance[Xero Invoice No],0)),""))</f>
        <v/>
      </c>
      <c r="C120" s="24" t="n"/>
      <c r="D120" s="24" t="inlineStr">
        <is>
          <t>25121208</t>
        </is>
      </c>
      <c r="E120" s="25">
        <f>IF(D120="","",IF(COUNTIF(lst_Jobs,D120&amp;"")&gt;0,"OK","CHECK"))</f>
        <v/>
      </c>
      <c r="F120" s="24" t="inlineStr">
        <is>
          <t>APA</t>
        </is>
      </c>
      <c r="G120" s="24" t="inlineStr">
        <is>
          <t>PRODUCTION</t>
        </is>
      </c>
      <c r="H120" s="24" t="inlineStr">
        <is>
          <t>APA FYR August 2026 Package - Tech Event Mgmt (Revenue)</t>
        </is>
      </c>
      <c r="I120" s="24" t="inlineStr">
        <is>
          <t>Accrual - unbilled work</t>
        </is>
      </c>
      <c r="J120" s="26" t="n">
        <v>230</v>
      </c>
      <c r="K120" s="25">
        <f>IF(N(J120)=0,"",IF(J120&gt;0,set_WIPAsset,set_WIPIncome))</f>
        <v/>
      </c>
      <c r="L120" s="25">
        <f>IF(N(J120)=0,"",IF(J120&gt;0,set_WIPIncome,set_WIPAsset))</f>
        <v/>
      </c>
      <c r="M120" s="27">
        <f>IF(N(J120)=0,"",ABS(J120))</f>
        <v/>
      </c>
      <c r="N120" s="25">
        <f>IF(N(J120)=0,"","WIP "&amp;I120&amp;IF(D120="",""," - "&amp;D120)&amp;IF(F120="",""," "&amp;F120)&amp;IF(H120="",""," - "&amp;H120))</f>
        <v/>
      </c>
      <c r="O120" s="24" t="n"/>
      <c r="P120" s="24" t="inlineStr">
        <is>
          <t>Y</t>
        </is>
      </c>
      <c r="Q120" s="24" t="inlineStr">
        <is>
          <t>Migrated from FY27 Revenue Tracker v2 - confirm type/sign</t>
        </is>
      </c>
    </row>
    <row r="121" ht="15" customHeight="1">
      <c r="A121" s="66" t="n">
        <v>46265</v>
      </c>
      <c r="B121" s="64">
        <f>IF(C121="","",IFERROR(INDEX(tbl_Finance[Date],MATCH(C121&amp;"",tbl_Finance[Xero Invoice No],0)),""))</f>
        <v/>
      </c>
      <c r="C121" s="24" t="n"/>
      <c r="D121" s="24" t="inlineStr">
        <is>
          <t>25121208</t>
        </is>
      </c>
      <c r="E121" s="25">
        <f>IF(D121="","",IF(COUNTIF(lst_Jobs,D121&amp;"")&gt;0,"OK","CHECK"))</f>
        <v/>
      </c>
      <c r="F121" s="24" t="inlineStr">
        <is>
          <t>APA</t>
        </is>
      </c>
      <c r="G121" s="24" t="inlineStr">
        <is>
          <t>PRODUCTION</t>
        </is>
      </c>
      <c r="H121" s="24" t="inlineStr">
        <is>
          <t>APA FYR August 2026 Package - Freight (Revenue)</t>
        </is>
      </c>
      <c r="I121" s="24" t="inlineStr">
        <is>
          <t>Accrual - unbilled work</t>
        </is>
      </c>
      <c r="J121" s="26" t="n">
        <v>300</v>
      </c>
      <c r="K121" s="25">
        <f>IF(N(J121)=0,"",IF(J121&gt;0,set_WIPAsset,set_WIPIncome))</f>
        <v/>
      </c>
      <c r="L121" s="25">
        <f>IF(N(J121)=0,"",IF(J121&gt;0,set_WIPIncome,set_WIPAsset))</f>
        <v/>
      </c>
      <c r="M121" s="27">
        <f>IF(N(J121)=0,"",ABS(J121))</f>
        <v/>
      </c>
      <c r="N121" s="25">
        <f>IF(N(J121)=0,"","WIP "&amp;I121&amp;IF(D121="",""," - "&amp;D121)&amp;IF(F121="",""," "&amp;F121)&amp;IF(H121="",""," - "&amp;H121))</f>
        <v/>
      </c>
      <c r="O121" s="24" t="n"/>
      <c r="P121" s="24" t="inlineStr">
        <is>
          <t>Y</t>
        </is>
      </c>
      <c r="Q121" s="24" t="inlineStr">
        <is>
          <t>Migrated from FY27 Revenue Tracker v2 - confirm type/sign</t>
        </is>
      </c>
    </row>
    <row r="122" ht="15" customHeight="1">
      <c r="A122" s="66" t="n">
        <v>46265</v>
      </c>
      <c r="B122" s="64">
        <f>IF(C122="","",IFERROR(INDEX(tbl_Finance[Date],MATCH(C122&amp;"",tbl_Finance[Xero Invoice No],0)),""))</f>
        <v/>
      </c>
      <c r="C122" s="24" t="n"/>
      <c r="D122" s="24" t="inlineStr">
        <is>
          <t>2506208</t>
        </is>
      </c>
      <c r="E122" s="25">
        <f>IF(D122="","",IF(COUNTIF(lst_Jobs,D122&amp;"")&gt;0,"OK","CHECK"))</f>
        <v/>
      </c>
      <c r="F122" s="24" t="inlineStr">
        <is>
          <t>CBA</t>
        </is>
      </c>
      <c r="G122" s="24" t="inlineStr">
        <is>
          <t>PRODUCTION</t>
        </is>
      </c>
      <c r="H122" s="24" t="inlineStr">
        <is>
          <t>CBA AGM 2026 Pre-production work at $130ph</t>
        </is>
      </c>
      <c r="I122" s="24" t="inlineStr">
        <is>
          <t>Accrual - unbilled work</t>
        </is>
      </c>
      <c r="J122" s="26" t="n">
        <v>1787.5</v>
      </c>
      <c r="K122" s="25">
        <f>IF(N(J122)=0,"",IF(J122&gt;0,set_WIPAsset,set_WIPIncome))</f>
        <v/>
      </c>
      <c r="L122" s="25">
        <f>IF(N(J122)=0,"",IF(J122&gt;0,set_WIPIncome,set_WIPAsset))</f>
        <v/>
      </c>
      <c r="M122" s="27">
        <f>IF(N(J122)=0,"",ABS(J122))</f>
        <v/>
      </c>
      <c r="N122" s="25">
        <f>IF(N(J122)=0,"","WIP "&amp;I122&amp;IF(D122="",""," - "&amp;D122)&amp;IF(F122="",""," "&amp;F122)&amp;IF(H122="",""," - "&amp;H122))</f>
        <v/>
      </c>
      <c r="O122" s="24" t="n"/>
      <c r="P122" s="24" t="inlineStr">
        <is>
          <t>Y</t>
        </is>
      </c>
      <c r="Q122" s="24" t="inlineStr">
        <is>
          <t>Migrated from FY27 Revenue Tracker v2 - confirm type/sign</t>
        </is>
      </c>
    </row>
    <row r="123" ht="15" customHeight="1">
      <c r="A123" s="66" t="n">
        <v>46265</v>
      </c>
      <c r="B123" s="64">
        <f>IF(C123="","",IFERROR(INDEX(tbl_Finance[Date],MATCH(C123&amp;"",tbl_Finance[Xero Invoice No],0)),""))</f>
        <v/>
      </c>
      <c r="C123" s="24" t="n"/>
      <c r="D123" s="24" t="inlineStr">
        <is>
          <t>25070702</t>
        </is>
      </c>
      <c r="E123" s="25">
        <f>IF(D123="","",IF(COUNTIF(lst_Jobs,D123&amp;"")&gt;0,"OK","CHECK"))</f>
        <v/>
      </c>
      <c r="F123" s="24" t="inlineStr">
        <is>
          <t>APA</t>
        </is>
      </c>
      <c r="G123" s="24" t="inlineStr">
        <is>
          <t>INTEGRATION</t>
        </is>
      </c>
      <c r="H123" s="24" t="inlineStr">
        <is>
          <t>APA BNE &amp; NT Year 1/3 Inv9988 (Revenue) Sep 2025 - Aug 2026</t>
        </is>
      </c>
      <c r="I123" s="24" t="inlineStr">
        <is>
          <t>Accrual - unbilled work</t>
        </is>
      </c>
      <c r="J123" s="26" t="n">
        <v>308.16</v>
      </c>
      <c r="K123" s="25">
        <f>IF(N(J123)=0,"",IF(J123&gt;0,set_WIPAsset,set_WIPIncome))</f>
        <v/>
      </c>
      <c r="L123" s="25">
        <f>IF(N(J123)=0,"",IF(J123&gt;0,set_WIPIncome,set_WIPAsset))</f>
        <v/>
      </c>
      <c r="M123" s="27">
        <f>IF(N(J123)=0,"",ABS(J123))</f>
        <v/>
      </c>
      <c r="N123" s="25">
        <f>IF(N(J123)=0,"","WIP "&amp;I123&amp;IF(D123="",""," - "&amp;D123)&amp;IF(F123="",""," "&amp;F123)&amp;IF(H123="",""," - "&amp;H123))</f>
        <v/>
      </c>
      <c r="O123" s="24" t="n"/>
      <c r="P123" s="24" t="inlineStr">
        <is>
          <t>Y</t>
        </is>
      </c>
      <c r="Q123" s="24" t="inlineStr">
        <is>
          <t>Migrated from FY27 Revenue Tracker v2 - confirm type/sign</t>
        </is>
      </c>
    </row>
    <row r="124" ht="15" customHeight="1">
      <c r="A124" s="66" t="n">
        <v>46265</v>
      </c>
      <c r="B124" s="64">
        <f>IF(C124="","",IFERROR(INDEX(tbl_Finance[Date],MATCH(C124&amp;"",tbl_Finance[Xero Invoice No],0)),""))</f>
        <v/>
      </c>
      <c r="C124" s="24" t="n"/>
      <c r="D124" s="24" t="inlineStr">
        <is>
          <t>3072</t>
        </is>
      </c>
      <c r="E124" s="25">
        <f>IF(D124="","",IF(COUNTIF(lst_Jobs,D124&amp;"")&gt;0,"OK","CHECK"))</f>
        <v/>
      </c>
      <c r="F124" s="24" t="inlineStr">
        <is>
          <t>APA Thomastown</t>
        </is>
      </c>
      <c r="G124" s="24" t="inlineStr">
        <is>
          <t>INTEGRATION</t>
        </is>
      </c>
      <c r="H124" s="24" t="inlineStr">
        <is>
          <t>APA Thomastown INV-10133 Year 3 Licence (January - December 2026)</t>
        </is>
      </c>
      <c r="I124" s="24" t="inlineStr">
        <is>
          <t>Accrual - unbilled work</t>
        </is>
      </c>
      <c r="J124" s="26" t="n">
        <v>1033.06</v>
      </c>
      <c r="K124" s="25">
        <f>IF(N(J124)=0,"",IF(J124&gt;0,set_WIPAsset,set_WIPIncome))</f>
        <v/>
      </c>
      <c r="L124" s="25">
        <f>IF(N(J124)=0,"",IF(J124&gt;0,set_WIPIncome,set_WIPAsset))</f>
        <v/>
      </c>
      <c r="M124" s="27">
        <f>IF(N(J124)=0,"",ABS(J124))</f>
        <v/>
      </c>
      <c r="N124" s="25">
        <f>IF(N(J124)=0,"","WIP "&amp;I124&amp;IF(D124="",""," - "&amp;D124)&amp;IF(F124="",""," "&amp;F124)&amp;IF(H124="",""," - "&amp;H124))</f>
        <v/>
      </c>
      <c r="O124" s="24" t="n"/>
      <c r="P124" s="24" t="inlineStr">
        <is>
          <t>Y</t>
        </is>
      </c>
      <c r="Q124" s="24" t="inlineStr">
        <is>
          <t>Migrated from FY27 Revenue Tracker v2 - confirm type/sign</t>
        </is>
      </c>
    </row>
    <row r="125" ht="15" customHeight="1">
      <c r="A125" s="66" t="n">
        <v>46265</v>
      </c>
      <c r="B125" s="64">
        <f>IF(C125="","",IFERROR(INDEX(tbl_Finance[Date],MATCH(C125&amp;"",tbl_Finance[Xero Invoice No],0)),""))</f>
        <v/>
      </c>
      <c r="C125" s="24" t="n"/>
      <c r="D125" s="24" t="inlineStr">
        <is>
          <t>2519</t>
        </is>
      </c>
      <c r="E125" s="25">
        <f>IF(D125="","",IF(COUNTIF(lst_Jobs,D125&amp;"")&gt;0,"OK","CHECK"))</f>
        <v/>
      </c>
      <c r="F125" s="24" t="inlineStr">
        <is>
          <t>NSW Property</t>
        </is>
      </c>
      <c r="G125" s="24" t="inlineStr">
        <is>
          <t>INTEGRATION</t>
        </is>
      </c>
      <c r="H125" s="24" t="inlineStr">
        <is>
          <t>NSW Property 6PSQ Multi-Tennant Year 4 INV 10162 Revenue (November - October 2026)</t>
        </is>
      </c>
      <c r="I125" s="24" t="inlineStr">
        <is>
          <t>Accrual - unbilled work</t>
        </is>
      </c>
      <c r="J125" s="26" t="n">
        <v>929.33</v>
      </c>
      <c r="K125" s="25">
        <f>IF(N(J125)=0,"",IF(J125&gt;0,set_WIPAsset,set_WIPIncome))</f>
        <v/>
      </c>
      <c r="L125" s="25">
        <f>IF(N(J125)=0,"",IF(J125&gt;0,set_WIPIncome,set_WIPAsset))</f>
        <v/>
      </c>
      <c r="M125" s="27">
        <f>IF(N(J125)=0,"",ABS(J125))</f>
        <v/>
      </c>
      <c r="N125" s="25">
        <f>IF(N(J125)=0,"","WIP "&amp;I125&amp;IF(D125="",""," - "&amp;D125)&amp;IF(F125="",""," "&amp;F125)&amp;IF(H125="",""," - "&amp;H125))</f>
        <v/>
      </c>
      <c r="O125" s="24" t="n"/>
      <c r="P125" s="24" t="inlineStr">
        <is>
          <t>Y</t>
        </is>
      </c>
      <c r="Q125" s="24" t="inlineStr">
        <is>
          <t>Migrated from FY27 Revenue Tracker v2 - confirm type/sign</t>
        </is>
      </c>
    </row>
    <row r="126" ht="15" customHeight="1">
      <c r="A126" s="66" t="n">
        <v>46265</v>
      </c>
      <c r="B126" s="64">
        <f>IF(C126="","",IFERROR(INDEX(tbl_Finance[Date],MATCH(C126&amp;"",tbl_Finance[Xero Invoice No],0)),""))</f>
        <v/>
      </c>
      <c r="C126" s="24" t="n"/>
      <c r="D126" s="24" t="inlineStr">
        <is>
          <t>2510804</t>
        </is>
      </c>
      <c r="E126" s="25">
        <f>IF(D126="","",IF(COUNTIF(lst_Jobs,D126&amp;"")&gt;0,"OK","CHECK"))</f>
        <v/>
      </c>
      <c r="F126" s="24" t="inlineStr">
        <is>
          <t>Presynct</t>
        </is>
      </c>
      <c r="G126" s="24" t="inlineStr">
        <is>
          <t>INTEGRATION</t>
        </is>
      </c>
      <c r="H126" s="24" t="inlineStr">
        <is>
          <t>Presynct - QLD - Condeco Desk Booking System INV 10199 Revenue (Nov 2025 - Oct 2025)</t>
        </is>
      </c>
      <c r="I126" s="24" t="inlineStr">
        <is>
          <t>Accrual - unbilled work</t>
        </is>
      </c>
      <c r="J126" s="26" t="n">
        <v>439.33</v>
      </c>
      <c r="K126" s="25">
        <f>IF(N(J126)=0,"",IF(J126&gt;0,set_WIPAsset,set_WIPIncome))</f>
        <v/>
      </c>
      <c r="L126" s="25">
        <f>IF(N(J126)=0,"",IF(J126&gt;0,set_WIPIncome,set_WIPAsset))</f>
        <v/>
      </c>
      <c r="M126" s="27">
        <f>IF(N(J126)=0,"",ABS(J126))</f>
        <v/>
      </c>
      <c r="N126" s="25">
        <f>IF(N(J126)=0,"","WIP "&amp;I126&amp;IF(D126="",""," - "&amp;D126)&amp;IF(F126="",""," "&amp;F126)&amp;IF(H126="",""," - "&amp;H126))</f>
        <v/>
      </c>
      <c r="O126" s="24" t="n"/>
      <c r="P126" s="24" t="inlineStr">
        <is>
          <t>Y</t>
        </is>
      </c>
      <c r="Q126" s="24" t="inlineStr">
        <is>
          <t>Migrated from FY27 Revenue Tracker v2 - confirm type/sign</t>
        </is>
      </c>
    </row>
    <row r="127" ht="15" customHeight="1">
      <c r="A127" s="66" t="n">
        <v>46265</v>
      </c>
      <c r="B127" s="64">
        <f>IF(C127="","",IFERROR(INDEX(tbl_Finance[Date],MATCH(C127&amp;"",tbl_Finance[Xero Invoice No],0)),""))</f>
        <v/>
      </c>
      <c r="C127" s="24" t="n"/>
      <c r="D127" s="24" t="inlineStr">
        <is>
          <t>2719</t>
        </is>
      </c>
      <c r="E127" s="25">
        <f>IF(D127="","",IF(COUNTIF(lst_Jobs,D127&amp;"")&gt;0,"OK","CHECK"))</f>
        <v/>
      </c>
      <c r="F127" s="24" t="inlineStr">
        <is>
          <t>NSW Property</t>
        </is>
      </c>
      <c r="G127" s="24" t="inlineStr">
        <is>
          <t>INTEGRATION</t>
        </is>
      </c>
      <c r="H127" s="24" t="inlineStr">
        <is>
          <t>NSW Property GSP Proxyclick INV 10176 Revenue (Dec 2025 - Nov 2026)</t>
        </is>
      </c>
      <c r="I127" s="24" t="inlineStr">
        <is>
          <t>Accrual - unbilled work</t>
        </is>
      </c>
      <c r="J127" s="26" t="n">
        <v>381.15</v>
      </c>
      <c r="K127" s="25">
        <f>IF(N(J127)=0,"",IF(J127&gt;0,set_WIPAsset,set_WIPIncome))</f>
        <v/>
      </c>
      <c r="L127" s="25">
        <f>IF(N(J127)=0,"",IF(J127&gt;0,set_WIPIncome,set_WIPAsset))</f>
        <v/>
      </c>
      <c r="M127" s="27">
        <f>IF(N(J127)=0,"",ABS(J127))</f>
        <v/>
      </c>
      <c r="N127" s="25">
        <f>IF(N(J127)=0,"","WIP "&amp;I127&amp;IF(D127="",""," - "&amp;D127)&amp;IF(F127="",""," "&amp;F127)&amp;IF(H127="",""," - "&amp;H127))</f>
        <v/>
      </c>
      <c r="O127" s="24" t="n"/>
      <c r="P127" s="24" t="inlineStr">
        <is>
          <t>Y</t>
        </is>
      </c>
      <c r="Q127" s="24" t="inlineStr">
        <is>
          <t>Migrated from FY27 Revenue Tracker v2 - confirm type/sign</t>
        </is>
      </c>
    </row>
    <row r="128" ht="15" customHeight="1">
      <c r="A128" s="66" t="n">
        <v>46265</v>
      </c>
      <c r="B128" s="64">
        <f>IF(C128="","",IFERROR(INDEX(tbl_Finance[Date],MATCH(C128&amp;"",tbl_Finance[Xero Invoice No],0)),""))</f>
        <v/>
      </c>
      <c r="C128" s="24" t="n"/>
      <c r="D128" s="24" t="inlineStr">
        <is>
          <t>2834</t>
        </is>
      </c>
      <c r="E128" s="25">
        <f>IF(D128="","",IF(COUNTIF(lst_Jobs,D128&amp;"")&gt;0,"OK","CHECK"))</f>
        <v/>
      </c>
      <c r="F128" s="24" t="inlineStr">
        <is>
          <t>APA</t>
        </is>
      </c>
      <c r="G128" s="24" t="inlineStr">
        <is>
          <t>INTEGRATION</t>
        </is>
      </c>
      <c r="H128" s="24" t="inlineStr">
        <is>
          <t>APA Young Year 4 INV-10280 Revenue (Mar 2026 - Feb 2027)</t>
        </is>
      </c>
      <c r="I128" s="24" t="inlineStr">
        <is>
          <t>Accrual - unbilled work</t>
        </is>
      </c>
      <c r="J128" s="26" t="n">
        <v>312.9</v>
      </c>
      <c r="K128" s="25">
        <f>IF(N(J128)=0,"",IF(J128&gt;0,set_WIPAsset,set_WIPIncome))</f>
        <v/>
      </c>
      <c r="L128" s="25">
        <f>IF(N(J128)=0,"",IF(J128&gt;0,set_WIPIncome,set_WIPAsset))</f>
        <v/>
      </c>
      <c r="M128" s="27">
        <f>IF(N(J128)=0,"",ABS(J128))</f>
        <v/>
      </c>
      <c r="N128" s="25">
        <f>IF(N(J128)=0,"","WIP "&amp;I128&amp;IF(D128="",""," - "&amp;D128)&amp;IF(F128="",""," "&amp;F128)&amp;IF(H128="",""," - "&amp;H128))</f>
        <v/>
      </c>
      <c r="O128" s="24" t="n"/>
      <c r="P128" s="24" t="inlineStr">
        <is>
          <t>Y</t>
        </is>
      </c>
      <c r="Q128" s="24" t="inlineStr">
        <is>
          <t>Migrated from FY27 Revenue Tracker v2 - confirm type/sign</t>
        </is>
      </c>
    </row>
    <row r="129" ht="15" customHeight="1">
      <c r="A129" s="66" t="n">
        <v>46265</v>
      </c>
      <c r="B129" s="64">
        <f>IF(C129="","",IFERROR(INDEX(tbl_Finance[Date],MATCH(C129&amp;"",tbl_Finance[Xero Invoice No],0)),""))</f>
        <v/>
      </c>
      <c r="C129" s="24" t="n"/>
      <c r="D129" s="24" t="inlineStr">
        <is>
          <t>25021901</t>
        </is>
      </c>
      <c r="E129" s="25">
        <f>IF(D129="","",IF(COUNTIF(lst_Jobs,D129&amp;"")&gt;0,"OK","CHECK"))</f>
        <v/>
      </c>
      <c r="F129" s="24" t="inlineStr">
        <is>
          <t>DaFF</t>
        </is>
      </c>
      <c r="G129" s="24" t="inlineStr">
        <is>
          <t>INTEGRATION</t>
        </is>
      </c>
      <c r="H129" s="24" t="inlineStr">
        <is>
          <t>DAFF Consulting services invoiced in advance (INV9860)</t>
        </is>
      </c>
      <c r="I129" s="24" t="inlineStr">
        <is>
          <t>Accrual - unbilled work</t>
        </is>
      </c>
      <c r="J129" s="26" t="n">
        <v>536.25</v>
      </c>
      <c r="K129" s="25">
        <f>IF(N(J129)=0,"",IF(J129&gt;0,set_WIPAsset,set_WIPIncome))</f>
        <v/>
      </c>
      <c r="L129" s="25">
        <f>IF(N(J129)=0,"",IF(J129&gt;0,set_WIPIncome,set_WIPAsset))</f>
        <v/>
      </c>
      <c r="M129" s="27">
        <f>IF(N(J129)=0,"",ABS(J129))</f>
        <v/>
      </c>
      <c r="N129" s="25">
        <f>IF(N(J129)=0,"","WIP "&amp;I129&amp;IF(D129="",""," - "&amp;D129)&amp;IF(F129="",""," "&amp;F129)&amp;IF(H129="",""," - "&amp;H129))</f>
        <v/>
      </c>
      <c r="O129" s="24" t="n"/>
      <c r="P129" s="24" t="inlineStr">
        <is>
          <t>Y</t>
        </is>
      </c>
      <c r="Q129" s="24" t="inlineStr">
        <is>
          <t>Migrated from FY27 Revenue Tracker v2 - confirm type/sign</t>
        </is>
      </c>
    </row>
    <row r="130" ht="15" customHeight="1">
      <c r="A130" s="66" t="n">
        <v>46265</v>
      </c>
      <c r="B130" s="64">
        <f>IF(C130="","",IFERROR(INDEX(tbl_Finance[Date],MATCH(C130&amp;"",tbl_Finance[Xero Invoice No],0)),""))</f>
        <v/>
      </c>
      <c r="C130" s="24" t="n"/>
      <c r="D130" s="24" t="inlineStr">
        <is>
          <t>26081901</t>
        </is>
      </c>
      <c r="E130" s="25">
        <f>IF(D130="","",IF(COUNTIF(lst_Jobs,D130&amp;"")&gt;0,"OK","CHECK"))</f>
        <v/>
      </c>
      <c r="F130" s="24" t="inlineStr">
        <is>
          <t>Auspost</t>
        </is>
      </c>
      <c r="G130" s="24" t="inlineStr">
        <is>
          <t>INTEGRATION</t>
        </is>
      </c>
      <c r="H130" s="24" t="inlineStr">
        <is>
          <t>AusPayNet | Logitech Room Essentials Subscription [INT] License Revenue INV-10574 (12 months lincense)</t>
        </is>
      </c>
      <c r="I130" s="24" t="inlineStr">
        <is>
          <t>Deferral - invoiced in advance</t>
        </is>
      </c>
      <c r="J130" s="26" t="n">
        <v>-993</v>
      </c>
      <c r="K130" s="25">
        <f>IF(N(J130)=0,"",IF(J130&gt;0,set_WIPAsset,set_WIPIncome))</f>
        <v/>
      </c>
      <c r="L130" s="25">
        <f>IF(N(J130)=0,"",IF(J130&gt;0,set_WIPIncome,set_WIPAsset))</f>
        <v/>
      </c>
      <c r="M130" s="27">
        <f>IF(N(J130)=0,"",ABS(J130))</f>
        <v/>
      </c>
      <c r="N130" s="25">
        <f>IF(N(J130)=0,"","WIP "&amp;I130&amp;IF(D130="",""," - "&amp;D130)&amp;IF(F130="",""," "&amp;F130)&amp;IF(H130="",""," - "&amp;H130))</f>
        <v/>
      </c>
      <c r="O130" s="24" t="n"/>
      <c r="P130" s="24" t="inlineStr">
        <is>
          <t>Y</t>
        </is>
      </c>
      <c r="Q130" s="24" t="inlineStr">
        <is>
          <t>Migrated from FY27 Revenue Tracker v2 - confirm type/sign</t>
        </is>
      </c>
    </row>
    <row r="131" ht="15" customHeight="1">
      <c r="A131" s="66" t="n"/>
      <c r="B131" s="64">
        <f>IF(C131="","",IFERROR(INDEX(tbl_Finance[Date],MATCH(C131&amp;"",tbl_Finance[Xero Invoice No],0)),""))</f>
        <v/>
      </c>
      <c r="C131" s="24" t="n"/>
      <c r="D131" s="24" t="n"/>
      <c r="E131" s="25">
        <f>IF(D131="","",IF(COUNTIF(lst_Jobs,D131&amp;"")&gt;0,"OK","CHECK"))</f>
        <v/>
      </c>
      <c r="F131" s="24" t="n"/>
      <c r="G131" s="24" t="n"/>
      <c r="H131" s="24" t="n"/>
      <c r="I131" s="24" t="n"/>
      <c r="J131" s="26" t="n"/>
      <c r="K131" s="25">
        <f>IF(N(J131)=0,"",IF(J131&gt;0,set_WIPAsset,set_WIPIncome))</f>
        <v/>
      </c>
      <c r="L131" s="25">
        <f>IF(N(J131)=0,"",IF(J131&gt;0,set_WIPIncome,set_WIPAsset))</f>
        <v/>
      </c>
      <c r="M131" s="27">
        <f>IF(N(J131)=0,"",ABS(J131))</f>
        <v/>
      </c>
      <c r="N131" s="25">
        <f>IF(N(J131)=0,"","WIP "&amp;I131&amp;IF(D131="",""," - "&amp;D131)&amp;IF(F131="",""," "&amp;F131)&amp;IF(H131="",""," - "&amp;H131))</f>
        <v/>
      </c>
      <c r="O131" s="24" t="n"/>
      <c r="P131" s="24" t="n"/>
      <c r="Q131" s="24" t="n"/>
    </row>
    <row r="132" ht="15" customHeight="1">
      <c r="A132" s="66" t="n"/>
      <c r="B132" s="64">
        <f>IF(C132="","",IFERROR(INDEX(tbl_Finance[Date],MATCH(C132&amp;"",tbl_Finance[Xero Invoice No],0)),""))</f>
        <v/>
      </c>
      <c r="C132" s="24" t="n"/>
      <c r="D132" s="24" t="n"/>
      <c r="E132" s="25">
        <f>IF(D132="","",IF(COUNTIF(lst_Jobs,D132&amp;"")&gt;0,"OK","CHECK"))</f>
        <v/>
      </c>
      <c r="F132" s="24" t="n"/>
      <c r="G132" s="24" t="n"/>
      <c r="H132" s="24" t="n"/>
      <c r="I132" s="24" t="n"/>
      <c r="J132" s="26" t="n"/>
      <c r="K132" s="25">
        <f>IF(N(J132)=0,"",IF(J132&gt;0,set_WIPAsset,set_WIPIncome))</f>
        <v/>
      </c>
      <c r="L132" s="25">
        <f>IF(N(J132)=0,"",IF(J132&gt;0,set_WIPIncome,set_WIPAsset))</f>
        <v/>
      </c>
      <c r="M132" s="27">
        <f>IF(N(J132)=0,"",ABS(J132))</f>
        <v/>
      </c>
      <c r="N132" s="25">
        <f>IF(N(J132)=0,"","WIP "&amp;I132&amp;IF(D132="",""," - "&amp;D132)&amp;IF(F132="",""," "&amp;F132)&amp;IF(H132="",""," - "&amp;H132))</f>
        <v/>
      </c>
      <c r="O132" s="24" t="n"/>
      <c r="P132" s="24" t="n"/>
      <c r="Q132" s="24" t="n"/>
    </row>
    <row r="133" ht="15" customHeight="1">
      <c r="A133" s="66" t="n"/>
      <c r="B133" s="64">
        <f>IF(C133="","",IFERROR(INDEX(tbl_Finance[Date],MATCH(C133&amp;"",tbl_Finance[Xero Invoice No],0)),""))</f>
        <v/>
      </c>
      <c r="C133" s="24" t="n"/>
      <c r="D133" s="24" t="n"/>
      <c r="E133" s="25">
        <f>IF(D133="","",IF(COUNTIF(lst_Jobs,D133&amp;"")&gt;0,"OK","CHECK"))</f>
        <v/>
      </c>
      <c r="F133" s="24" t="n"/>
      <c r="G133" s="24" t="n"/>
      <c r="H133" s="24" t="n"/>
      <c r="I133" s="24" t="n"/>
      <c r="J133" s="26" t="n"/>
      <c r="K133" s="25">
        <f>IF(N(J133)=0,"",IF(J133&gt;0,set_WIPAsset,set_WIPIncome))</f>
        <v/>
      </c>
      <c r="L133" s="25">
        <f>IF(N(J133)=0,"",IF(J133&gt;0,set_WIPIncome,set_WIPAsset))</f>
        <v/>
      </c>
      <c r="M133" s="27">
        <f>IF(N(J133)=0,"",ABS(J133))</f>
        <v/>
      </c>
      <c r="N133" s="25">
        <f>IF(N(J133)=0,"","WIP "&amp;I133&amp;IF(D133="",""," - "&amp;D133)&amp;IF(F133="",""," "&amp;F133)&amp;IF(H133="",""," - "&amp;H133))</f>
        <v/>
      </c>
      <c r="O133" s="24" t="n"/>
      <c r="P133" s="24" t="n"/>
      <c r="Q133" s="24" t="n"/>
    </row>
    <row r="134" ht="15" customHeight="1">
      <c r="A134" s="66" t="n"/>
      <c r="B134" s="64">
        <f>IF(C134="","",IFERROR(INDEX(tbl_Finance[Date],MATCH(C134&amp;"",tbl_Finance[Xero Invoice No],0)),""))</f>
        <v/>
      </c>
      <c r="C134" s="24" t="n"/>
      <c r="D134" s="24" t="n"/>
      <c r="E134" s="25">
        <f>IF(D134="","",IF(COUNTIF(lst_Jobs,D134&amp;"")&gt;0,"OK","CHECK"))</f>
        <v/>
      </c>
      <c r="F134" s="24" t="n"/>
      <c r="G134" s="24" t="n"/>
      <c r="H134" s="24" t="n"/>
      <c r="I134" s="24" t="n"/>
      <c r="J134" s="26" t="n"/>
      <c r="K134" s="25">
        <f>IF(N(J134)=0,"",IF(J134&gt;0,set_WIPAsset,set_WIPIncome))</f>
        <v/>
      </c>
      <c r="L134" s="25">
        <f>IF(N(J134)=0,"",IF(J134&gt;0,set_WIPIncome,set_WIPAsset))</f>
        <v/>
      </c>
      <c r="M134" s="27">
        <f>IF(N(J134)=0,"",ABS(J134))</f>
        <v/>
      </c>
      <c r="N134" s="25">
        <f>IF(N(J134)=0,"","WIP "&amp;I134&amp;IF(D134="",""," - "&amp;D134)&amp;IF(F134="",""," "&amp;F134)&amp;IF(H134="",""," - "&amp;H134))</f>
        <v/>
      </c>
      <c r="O134" s="24" t="n"/>
      <c r="P134" s="24" t="n"/>
      <c r="Q134" s="24" t="n"/>
    </row>
    <row r="135" ht="15" customHeight="1">
      <c r="A135" s="66" t="n"/>
      <c r="B135" s="64">
        <f>IF(C135="","",IFERROR(INDEX(tbl_Finance[Date],MATCH(C135&amp;"",tbl_Finance[Xero Invoice No],0)),""))</f>
        <v/>
      </c>
      <c r="C135" s="24" t="n"/>
      <c r="D135" s="24" t="n"/>
      <c r="E135" s="25">
        <f>IF(D135="","",IF(COUNTIF(lst_Jobs,D135&amp;"")&gt;0,"OK","CHECK"))</f>
        <v/>
      </c>
      <c r="F135" s="24" t="n"/>
      <c r="G135" s="24" t="n"/>
      <c r="H135" s="24" t="n"/>
      <c r="I135" s="24" t="n"/>
      <c r="J135" s="26" t="n"/>
      <c r="K135" s="25">
        <f>IF(N(J135)=0,"",IF(J135&gt;0,set_WIPAsset,set_WIPIncome))</f>
        <v/>
      </c>
      <c r="L135" s="25">
        <f>IF(N(J135)=0,"",IF(J135&gt;0,set_WIPIncome,set_WIPAsset))</f>
        <v/>
      </c>
      <c r="M135" s="27">
        <f>IF(N(J135)=0,"",ABS(J135))</f>
        <v/>
      </c>
      <c r="N135" s="25">
        <f>IF(N(J135)=0,"","WIP "&amp;I135&amp;IF(D135="",""," - "&amp;D135)&amp;IF(F135="",""," "&amp;F135)&amp;IF(H135="",""," - "&amp;H135))</f>
        <v/>
      </c>
      <c r="O135" s="24" t="n"/>
      <c r="P135" s="24" t="n"/>
      <c r="Q135" s="24" t="n"/>
    </row>
    <row r="136" ht="15" customHeight="1">
      <c r="A136" s="66" t="n"/>
      <c r="B136" s="64">
        <f>IF(C136="","",IFERROR(INDEX(tbl_Finance[Date],MATCH(C136&amp;"",tbl_Finance[Xero Invoice No],0)),""))</f>
        <v/>
      </c>
      <c r="C136" s="24" t="n"/>
      <c r="D136" s="24" t="n"/>
      <c r="E136" s="25">
        <f>IF(D136="","",IF(COUNTIF(lst_Jobs,D136&amp;"")&gt;0,"OK","CHECK"))</f>
        <v/>
      </c>
      <c r="F136" s="24" t="n"/>
      <c r="G136" s="24" t="n"/>
      <c r="H136" s="24" t="n"/>
      <c r="I136" s="24" t="n"/>
      <c r="J136" s="26" t="n"/>
      <c r="K136" s="25">
        <f>IF(N(J136)=0,"",IF(J136&gt;0,set_WIPAsset,set_WIPIncome))</f>
        <v/>
      </c>
      <c r="L136" s="25">
        <f>IF(N(J136)=0,"",IF(J136&gt;0,set_WIPIncome,set_WIPAsset))</f>
        <v/>
      </c>
      <c r="M136" s="27">
        <f>IF(N(J136)=0,"",ABS(J136))</f>
        <v/>
      </c>
      <c r="N136" s="25">
        <f>IF(N(J136)=0,"","WIP "&amp;I136&amp;IF(D136="",""," - "&amp;D136)&amp;IF(F136="",""," "&amp;F136)&amp;IF(H136="",""," - "&amp;H136))</f>
        <v/>
      </c>
      <c r="O136" s="24" t="n"/>
      <c r="P136" s="24" t="n"/>
      <c r="Q136" s="24" t="n"/>
    </row>
    <row r="137" ht="15" customHeight="1">
      <c r="A137" s="66" t="n"/>
      <c r="B137" s="64">
        <f>IF(C137="","",IFERROR(INDEX(tbl_Finance[Date],MATCH(C137&amp;"",tbl_Finance[Xero Invoice No],0)),""))</f>
        <v/>
      </c>
      <c r="C137" s="24" t="n"/>
      <c r="D137" s="24" t="n"/>
      <c r="E137" s="25">
        <f>IF(D137="","",IF(COUNTIF(lst_Jobs,D137&amp;"")&gt;0,"OK","CHECK"))</f>
        <v/>
      </c>
      <c r="F137" s="24" t="n"/>
      <c r="G137" s="24" t="n"/>
      <c r="H137" s="24" t="n"/>
      <c r="I137" s="24" t="n"/>
      <c r="J137" s="26" t="n"/>
      <c r="K137" s="25">
        <f>IF(N(J137)=0,"",IF(J137&gt;0,set_WIPAsset,set_WIPIncome))</f>
        <v/>
      </c>
      <c r="L137" s="25">
        <f>IF(N(J137)=0,"",IF(J137&gt;0,set_WIPIncome,set_WIPAsset))</f>
        <v/>
      </c>
      <c r="M137" s="27">
        <f>IF(N(J137)=0,"",ABS(J137))</f>
        <v/>
      </c>
      <c r="N137" s="25">
        <f>IF(N(J137)=0,"","WIP "&amp;I137&amp;IF(D137="",""," - "&amp;D137)&amp;IF(F137="",""," "&amp;F137)&amp;IF(H137="",""," - "&amp;H137))</f>
        <v/>
      </c>
      <c r="O137" s="24" t="n"/>
      <c r="P137" s="24" t="n"/>
      <c r="Q137" s="24" t="n"/>
    </row>
    <row r="138" ht="15" customHeight="1">
      <c r="A138" s="66" t="n"/>
      <c r="B138" s="64">
        <f>IF(C138="","",IFERROR(INDEX(tbl_Finance[Date],MATCH(C138&amp;"",tbl_Finance[Xero Invoice No],0)),""))</f>
        <v/>
      </c>
      <c r="C138" s="24" t="n"/>
      <c r="D138" s="24" t="n"/>
      <c r="E138" s="25">
        <f>IF(D138="","",IF(COUNTIF(lst_Jobs,D138&amp;"")&gt;0,"OK","CHECK"))</f>
        <v/>
      </c>
      <c r="F138" s="24" t="n"/>
      <c r="G138" s="24" t="n"/>
      <c r="H138" s="24" t="n"/>
      <c r="I138" s="24" t="n"/>
      <c r="J138" s="26" t="n"/>
      <c r="K138" s="25">
        <f>IF(N(J138)=0,"",IF(J138&gt;0,set_WIPAsset,set_WIPIncome))</f>
        <v/>
      </c>
      <c r="L138" s="25">
        <f>IF(N(J138)=0,"",IF(J138&gt;0,set_WIPIncome,set_WIPAsset))</f>
        <v/>
      </c>
      <c r="M138" s="27">
        <f>IF(N(J138)=0,"",ABS(J138))</f>
        <v/>
      </c>
      <c r="N138" s="25">
        <f>IF(N(J138)=0,"","WIP "&amp;I138&amp;IF(D138="",""," - "&amp;D138)&amp;IF(F138="",""," "&amp;F138)&amp;IF(H138="",""," - "&amp;H138))</f>
        <v/>
      </c>
      <c r="O138" s="24" t="n"/>
      <c r="P138" s="24" t="n"/>
      <c r="Q138" s="24" t="n"/>
    </row>
    <row r="139" ht="15" customHeight="1">
      <c r="A139" s="66" t="n"/>
      <c r="B139" s="64">
        <f>IF(C139="","",IFERROR(INDEX(tbl_Finance[Date],MATCH(C139&amp;"",tbl_Finance[Xero Invoice No],0)),""))</f>
        <v/>
      </c>
      <c r="C139" s="24" t="n"/>
      <c r="D139" s="24" t="n"/>
      <c r="E139" s="25">
        <f>IF(D139="","",IF(COUNTIF(lst_Jobs,D139&amp;"")&gt;0,"OK","CHECK"))</f>
        <v/>
      </c>
      <c r="F139" s="24" t="n"/>
      <c r="G139" s="24" t="n"/>
      <c r="H139" s="24" t="n"/>
      <c r="I139" s="24" t="n"/>
      <c r="J139" s="26" t="n"/>
      <c r="K139" s="25">
        <f>IF(N(J139)=0,"",IF(J139&gt;0,set_WIPAsset,set_WIPIncome))</f>
        <v/>
      </c>
      <c r="L139" s="25">
        <f>IF(N(J139)=0,"",IF(J139&gt;0,set_WIPIncome,set_WIPAsset))</f>
        <v/>
      </c>
      <c r="M139" s="27">
        <f>IF(N(J139)=0,"",ABS(J139))</f>
        <v/>
      </c>
      <c r="N139" s="25">
        <f>IF(N(J139)=0,"","WIP "&amp;I139&amp;IF(D139="",""," - "&amp;D139)&amp;IF(F139="",""," "&amp;F139)&amp;IF(H139="",""," - "&amp;H139))</f>
        <v/>
      </c>
      <c r="O139" s="24" t="n"/>
      <c r="P139" s="24" t="n"/>
      <c r="Q139" s="24" t="n"/>
    </row>
    <row r="140" ht="15" customHeight="1">
      <c r="A140" s="66" t="n"/>
      <c r="B140" s="64">
        <f>IF(C140="","",IFERROR(INDEX(tbl_Finance[Date],MATCH(C140&amp;"",tbl_Finance[Xero Invoice No],0)),""))</f>
        <v/>
      </c>
      <c r="C140" s="24" t="n"/>
      <c r="D140" s="24" t="n"/>
      <c r="E140" s="25">
        <f>IF(D140="","",IF(COUNTIF(lst_Jobs,D140&amp;"")&gt;0,"OK","CHECK"))</f>
        <v/>
      </c>
      <c r="F140" s="24" t="n"/>
      <c r="G140" s="24" t="n"/>
      <c r="H140" s="24" t="n"/>
      <c r="I140" s="24" t="n"/>
      <c r="J140" s="26" t="n"/>
      <c r="K140" s="25">
        <f>IF(N(J140)=0,"",IF(J140&gt;0,set_WIPAsset,set_WIPIncome))</f>
        <v/>
      </c>
      <c r="L140" s="25">
        <f>IF(N(J140)=0,"",IF(J140&gt;0,set_WIPIncome,set_WIPAsset))</f>
        <v/>
      </c>
      <c r="M140" s="27">
        <f>IF(N(J140)=0,"",ABS(J140))</f>
        <v/>
      </c>
      <c r="N140" s="25">
        <f>IF(N(J140)=0,"","WIP "&amp;I140&amp;IF(D140="",""," - "&amp;D140)&amp;IF(F140="",""," "&amp;F140)&amp;IF(H140="",""," - "&amp;H140))</f>
        <v/>
      </c>
      <c r="O140" s="24" t="n"/>
      <c r="P140" s="24" t="n"/>
      <c r="Q140" s="24" t="n"/>
    </row>
    <row r="141" ht="15" customHeight="1">
      <c r="A141" s="66" t="n"/>
      <c r="B141" s="64">
        <f>IF(C141="","",IFERROR(INDEX(tbl_Finance[Date],MATCH(C141&amp;"",tbl_Finance[Xero Invoice No],0)),""))</f>
        <v/>
      </c>
      <c r="C141" s="24" t="n"/>
      <c r="D141" s="24" t="n"/>
      <c r="E141" s="25">
        <f>IF(D141="","",IF(COUNTIF(lst_Jobs,D141&amp;"")&gt;0,"OK","CHECK"))</f>
        <v/>
      </c>
      <c r="F141" s="24" t="n"/>
      <c r="G141" s="24" t="n"/>
      <c r="H141" s="24" t="n"/>
      <c r="I141" s="24" t="n"/>
      <c r="J141" s="26" t="n"/>
      <c r="K141" s="25">
        <f>IF(N(J141)=0,"",IF(J141&gt;0,set_WIPAsset,set_WIPIncome))</f>
        <v/>
      </c>
      <c r="L141" s="25">
        <f>IF(N(J141)=0,"",IF(J141&gt;0,set_WIPIncome,set_WIPAsset))</f>
        <v/>
      </c>
      <c r="M141" s="27">
        <f>IF(N(J141)=0,"",ABS(J141))</f>
        <v/>
      </c>
      <c r="N141" s="25">
        <f>IF(N(J141)=0,"","WIP "&amp;I141&amp;IF(D141="",""," - "&amp;D141)&amp;IF(F141="",""," "&amp;F141)&amp;IF(H141="",""," - "&amp;H141))</f>
        <v/>
      </c>
      <c r="O141" s="24" t="n"/>
      <c r="P141" s="24" t="n"/>
      <c r="Q141" s="24" t="n"/>
    </row>
    <row r="142" ht="15" customHeight="1">
      <c r="A142" s="66" t="n"/>
      <c r="B142" s="64">
        <f>IF(C142="","",IFERROR(INDEX(tbl_Finance[Date],MATCH(C142&amp;"",tbl_Finance[Xero Invoice No],0)),""))</f>
        <v/>
      </c>
      <c r="C142" s="24" t="n"/>
      <c r="D142" s="24" t="n"/>
      <c r="E142" s="25">
        <f>IF(D142="","",IF(COUNTIF(lst_Jobs,D142&amp;"")&gt;0,"OK","CHECK"))</f>
        <v/>
      </c>
      <c r="F142" s="24" t="n"/>
      <c r="G142" s="24" t="n"/>
      <c r="H142" s="24" t="n"/>
      <c r="I142" s="24" t="n"/>
      <c r="J142" s="26" t="n"/>
      <c r="K142" s="25">
        <f>IF(N(J142)=0,"",IF(J142&gt;0,set_WIPAsset,set_WIPIncome))</f>
        <v/>
      </c>
      <c r="L142" s="25">
        <f>IF(N(J142)=0,"",IF(J142&gt;0,set_WIPIncome,set_WIPAsset))</f>
        <v/>
      </c>
      <c r="M142" s="27">
        <f>IF(N(J142)=0,"",ABS(J142))</f>
        <v/>
      </c>
      <c r="N142" s="25">
        <f>IF(N(J142)=0,"","WIP "&amp;I142&amp;IF(D142="",""," - "&amp;D142)&amp;IF(F142="",""," "&amp;F142)&amp;IF(H142="",""," - "&amp;H142))</f>
        <v/>
      </c>
      <c r="O142" s="24" t="n"/>
      <c r="P142" s="24" t="n"/>
      <c r="Q142" s="24" t="n"/>
    </row>
    <row r="143" ht="15" customHeight="1">
      <c r="A143" s="66" t="n"/>
      <c r="B143" s="64">
        <f>IF(C143="","",IFERROR(INDEX(tbl_Finance[Date],MATCH(C143&amp;"",tbl_Finance[Xero Invoice No],0)),""))</f>
        <v/>
      </c>
      <c r="C143" s="24" t="n"/>
      <c r="D143" s="24" t="n"/>
      <c r="E143" s="25">
        <f>IF(D143="","",IF(COUNTIF(lst_Jobs,D143&amp;"")&gt;0,"OK","CHECK"))</f>
        <v/>
      </c>
      <c r="F143" s="24" t="n"/>
      <c r="G143" s="24" t="n"/>
      <c r="H143" s="24" t="n"/>
      <c r="I143" s="24" t="n"/>
      <c r="J143" s="26" t="n"/>
      <c r="K143" s="25">
        <f>IF(N(J143)=0,"",IF(J143&gt;0,set_WIPAsset,set_WIPIncome))</f>
        <v/>
      </c>
      <c r="L143" s="25">
        <f>IF(N(J143)=0,"",IF(J143&gt;0,set_WIPIncome,set_WIPAsset))</f>
        <v/>
      </c>
      <c r="M143" s="27">
        <f>IF(N(J143)=0,"",ABS(J143))</f>
        <v/>
      </c>
      <c r="N143" s="25">
        <f>IF(N(J143)=0,"","WIP "&amp;I143&amp;IF(D143="",""," - "&amp;D143)&amp;IF(F143="",""," "&amp;F143)&amp;IF(H143="",""," - "&amp;H143))</f>
        <v/>
      </c>
      <c r="O143" s="24" t="n"/>
      <c r="P143" s="24" t="n"/>
      <c r="Q143" s="24" t="n"/>
    </row>
    <row r="144" ht="15" customHeight="1">
      <c r="A144" s="66" t="n"/>
      <c r="B144" s="64">
        <f>IF(C144="","",IFERROR(INDEX(tbl_Finance[Date],MATCH(C144&amp;"",tbl_Finance[Xero Invoice No],0)),""))</f>
        <v/>
      </c>
      <c r="C144" s="24" t="n"/>
      <c r="D144" s="24" t="n"/>
      <c r="E144" s="25">
        <f>IF(D144="","",IF(COUNTIF(lst_Jobs,D144&amp;"")&gt;0,"OK","CHECK"))</f>
        <v/>
      </c>
      <c r="F144" s="24" t="n"/>
      <c r="G144" s="24" t="n"/>
      <c r="H144" s="24" t="n"/>
      <c r="I144" s="24" t="n"/>
      <c r="J144" s="26" t="n"/>
      <c r="K144" s="25">
        <f>IF(N(J144)=0,"",IF(J144&gt;0,set_WIPAsset,set_WIPIncome))</f>
        <v/>
      </c>
      <c r="L144" s="25">
        <f>IF(N(J144)=0,"",IF(J144&gt;0,set_WIPIncome,set_WIPAsset))</f>
        <v/>
      </c>
      <c r="M144" s="27">
        <f>IF(N(J144)=0,"",ABS(J144))</f>
        <v/>
      </c>
      <c r="N144" s="25">
        <f>IF(N(J144)=0,"","WIP "&amp;I144&amp;IF(D144="",""," - "&amp;D144)&amp;IF(F144="",""," "&amp;F144)&amp;IF(H144="",""," - "&amp;H144))</f>
        <v/>
      </c>
      <c r="O144" s="24" t="n"/>
      <c r="P144" s="24" t="n"/>
      <c r="Q144" s="24" t="n"/>
    </row>
    <row r="145" ht="15" customHeight="1">
      <c r="A145" s="66" t="n"/>
      <c r="B145" s="64">
        <f>IF(C145="","",IFERROR(INDEX(tbl_Finance[Date],MATCH(C145&amp;"",tbl_Finance[Xero Invoice No],0)),""))</f>
        <v/>
      </c>
      <c r="C145" s="24" t="n"/>
      <c r="D145" s="24" t="n"/>
      <c r="E145" s="25">
        <f>IF(D145="","",IF(COUNTIF(lst_Jobs,D145&amp;"")&gt;0,"OK","CHECK"))</f>
        <v/>
      </c>
      <c r="F145" s="24" t="n"/>
      <c r="G145" s="24" t="n"/>
      <c r="H145" s="24" t="n"/>
      <c r="I145" s="24" t="n"/>
      <c r="J145" s="26" t="n"/>
      <c r="K145" s="25">
        <f>IF(N(J145)=0,"",IF(J145&gt;0,set_WIPAsset,set_WIPIncome))</f>
        <v/>
      </c>
      <c r="L145" s="25">
        <f>IF(N(J145)=0,"",IF(J145&gt;0,set_WIPIncome,set_WIPAsset))</f>
        <v/>
      </c>
      <c r="M145" s="27">
        <f>IF(N(J145)=0,"",ABS(J145))</f>
        <v/>
      </c>
      <c r="N145" s="25">
        <f>IF(N(J145)=0,"","WIP "&amp;I145&amp;IF(D145="",""," - "&amp;D145)&amp;IF(F145="",""," "&amp;F145)&amp;IF(H145="",""," - "&amp;H145))</f>
        <v/>
      </c>
      <c r="O145" s="24" t="n"/>
      <c r="P145" s="24" t="n"/>
      <c r="Q145" s="24" t="n"/>
    </row>
    <row r="146" ht="15" customHeight="1">
      <c r="A146" s="66" t="n"/>
      <c r="B146" s="64">
        <f>IF(C146="","",IFERROR(INDEX(tbl_Finance[Date],MATCH(C146&amp;"",tbl_Finance[Xero Invoice No],0)),""))</f>
        <v/>
      </c>
      <c r="C146" s="24" t="n"/>
      <c r="D146" s="24" t="n"/>
      <c r="E146" s="25">
        <f>IF(D146="","",IF(COUNTIF(lst_Jobs,D146&amp;"")&gt;0,"OK","CHECK"))</f>
        <v/>
      </c>
      <c r="F146" s="24" t="n"/>
      <c r="G146" s="24" t="n"/>
      <c r="H146" s="24" t="n"/>
      <c r="I146" s="24" t="n"/>
      <c r="J146" s="26" t="n"/>
      <c r="K146" s="25">
        <f>IF(N(J146)=0,"",IF(J146&gt;0,set_WIPAsset,set_WIPIncome))</f>
        <v/>
      </c>
      <c r="L146" s="25">
        <f>IF(N(J146)=0,"",IF(J146&gt;0,set_WIPIncome,set_WIPAsset))</f>
        <v/>
      </c>
      <c r="M146" s="27">
        <f>IF(N(J146)=0,"",ABS(J146))</f>
        <v/>
      </c>
      <c r="N146" s="25">
        <f>IF(N(J146)=0,"","WIP "&amp;I146&amp;IF(D146="",""," - "&amp;D146)&amp;IF(F146="",""," "&amp;F146)&amp;IF(H146="",""," - "&amp;H146))</f>
        <v/>
      </c>
      <c r="O146" s="24" t="n"/>
      <c r="P146" s="24" t="n"/>
      <c r="Q146" s="24" t="n"/>
    </row>
    <row r="147" ht="15" customHeight="1">
      <c r="A147" s="66" t="n"/>
      <c r="B147" s="64">
        <f>IF(C147="","",IFERROR(INDEX(tbl_Finance[Date],MATCH(C147&amp;"",tbl_Finance[Xero Invoice No],0)),""))</f>
        <v/>
      </c>
      <c r="C147" s="24" t="n"/>
      <c r="D147" s="24" t="n"/>
      <c r="E147" s="25">
        <f>IF(D147="","",IF(COUNTIF(lst_Jobs,D147&amp;"")&gt;0,"OK","CHECK"))</f>
        <v/>
      </c>
      <c r="F147" s="24" t="n"/>
      <c r="G147" s="24" t="n"/>
      <c r="H147" s="24" t="n"/>
      <c r="I147" s="24" t="n"/>
      <c r="J147" s="26" t="n"/>
      <c r="K147" s="25">
        <f>IF(N(J147)=0,"",IF(J147&gt;0,set_WIPAsset,set_WIPIncome))</f>
        <v/>
      </c>
      <c r="L147" s="25">
        <f>IF(N(J147)=0,"",IF(J147&gt;0,set_WIPIncome,set_WIPAsset))</f>
        <v/>
      </c>
      <c r="M147" s="27">
        <f>IF(N(J147)=0,"",ABS(J147))</f>
        <v/>
      </c>
      <c r="N147" s="25">
        <f>IF(N(J147)=0,"","WIP "&amp;I147&amp;IF(D147="",""," - "&amp;D147)&amp;IF(F147="",""," "&amp;F147)&amp;IF(H147="",""," - "&amp;H147))</f>
        <v/>
      </c>
      <c r="O147" s="24" t="n"/>
      <c r="P147" s="24" t="n"/>
      <c r="Q147" s="24" t="n"/>
    </row>
    <row r="148" ht="15" customHeight="1">
      <c r="A148" s="66" t="n"/>
      <c r="B148" s="64">
        <f>IF(C148="","",IFERROR(INDEX(tbl_Finance[Date],MATCH(C148&amp;"",tbl_Finance[Xero Invoice No],0)),""))</f>
        <v/>
      </c>
      <c r="C148" s="24" t="n"/>
      <c r="D148" s="24" t="n"/>
      <c r="E148" s="25">
        <f>IF(D148="","",IF(COUNTIF(lst_Jobs,D148&amp;"")&gt;0,"OK","CHECK"))</f>
        <v/>
      </c>
      <c r="F148" s="24" t="n"/>
      <c r="G148" s="24" t="n"/>
      <c r="H148" s="24" t="n"/>
      <c r="I148" s="24" t="n"/>
      <c r="J148" s="26" t="n"/>
      <c r="K148" s="25">
        <f>IF(N(J148)=0,"",IF(J148&gt;0,set_WIPAsset,set_WIPIncome))</f>
        <v/>
      </c>
      <c r="L148" s="25">
        <f>IF(N(J148)=0,"",IF(J148&gt;0,set_WIPIncome,set_WIPAsset))</f>
        <v/>
      </c>
      <c r="M148" s="27">
        <f>IF(N(J148)=0,"",ABS(J148))</f>
        <v/>
      </c>
      <c r="N148" s="25">
        <f>IF(N(J148)=0,"","WIP "&amp;I148&amp;IF(D148="",""," - "&amp;D148)&amp;IF(F148="",""," "&amp;F148)&amp;IF(H148="",""," - "&amp;H148))</f>
        <v/>
      </c>
      <c r="O148" s="24" t="n"/>
      <c r="P148" s="24" t="n"/>
      <c r="Q148" s="24" t="n"/>
    </row>
    <row r="149" ht="15" customHeight="1">
      <c r="A149" s="66" t="n"/>
      <c r="B149" s="64">
        <f>IF(C149="","",IFERROR(INDEX(tbl_Finance[Date],MATCH(C149&amp;"",tbl_Finance[Xero Invoice No],0)),""))</f>
        <v/>
      </c>
      <c r="C149" s="24" t="n"/>
      <c r="D149" s="24" t="n"/>
      <c r="E149" s="25">
        <f>IF(D149="","",IF(COUNTIF(lst_Jobs,D149&amp;"")&gt;0,"OK","CHECK"))</f>
        <v/>
      </c>
      <c r="F149" s="24" t="n"/>
      <c r="G149" s="24" t="n"/>
      <c r="H149" s="24" t="n"/>
      <c r="I149" s="24" t="n"/>
      <c r="J149" s="26" t="n"/>
      <c r="K149" s="25">
        <f>IF(N(J149)=0,"",IF(J149&gt;0,set_WIPAsset,set_WIPIncome))</f>
        <v/>
      </c>
      <c r="L149" s="25">
        <f>IF(N(J149)=0,"",IF(J149&gt;0,set_WIPIncome,set_WIPAsset))</f>
        <v/>
      </c>
      <c r="M149" s="27">
        <f>IF(N(J149)=0,"",ABS(J149))</f>
        <v/>
      </c>
      <c r="N149" s="25">
        <f>IF(N(J149)=0,"","WIP "&amp;I149&amp;IF(D149="",""," - "&amp;D149)&amp;IF(F149="",""," "&amp;F149)&amp;IF(H149="",""," - "&amp;H149))</f>
        <v/>
      </c>
      <c r="O149" s="24" t="n"/>
      <c r="P149" s="24" t="n"/>
      <c r="Q149" s="24" t="n"/>
    </row>
    <row r="150" ht="15" customHeight="1">
      <c r="A150" s="66" t="n"/>
      <c r="B150" s="64">
        <f>IF(C150="","",IFERROR(INDEX(tbl_Finance[Date],MATCH(C150&amp;"",tbl_Finance[Xero Invoice No],0)),""))</f>
        <v/>
      </c>
      <c r="C150" s="24" t="n"/>
      <c r="D150" s="24" t="n"/>
      <c r="E150" s="25">
        <f>IF(D150="","",IF(COUNTIF(lst_Jobs,D150&amp;"")&gt;0,"OK","CHECK"))</f>
        <v/>
      </c>
      <c r="F150" s="24" t="n"/>
      <c r="G150" s="24" t="n"/>
      <c r="H150" s="24" t="n"/>
      <c r="I150" s="24" t="n"/>
      <c r="J150" s="26" t="n"/>
      <c r="K150" s="25">
        <f>IF(N(J150)=0,"",IF(J150&gt;0,set_WIPAsset,set_WIPIncome))</f>
        <v/>
      </c>
      <c r="L150" s="25">
        <f>IF(N(J150)=0,"",IF(J150&gt;0,set_WIPIncome,set_WIPAsset))</f>
        <v/>
      </c>
      <c r="M150" s="27">
        <f>IF(N(J150)=0,"",ABS(J150))</f>
        <v/>
      </c>
      <c r="N150" s="25">
        <f>IF(N(J150)=0,"","WIP "&amp;I150&amp;IF(D150="",""," - "&amp;D150)&amp;IF(F150="",""," "&amp;F150)&amp;IF(H150="",""," - "&amp;H150))</f>
        <v/>
      </c>
      <c r="O150" s="24" t="n"/>
      <c r="P150" s="24" t="n"/>
      <c r="Q150" s="24" t="n"/>
    </row>
    <row r="151" ht="15" customHeight="1">
      <c r="A151" s="66" t="n"/>
      <c r="B151" s="64">
        <f>IF(C151="","",IFERROR(INDEX(tbl_Finance[Date],MATCH(C151&amp;"",tbl_Finance[Xero Invoice No],0)),""))</f>
        <v/>
      </c>
      <c r="C151" s="24" t="n"/>
      <c r="D151" s="24" t="n"/>
      <c r="E151" s="25">
        <f>IF(D151="","",IF(COUNTIF(lst_Jobs,D151&amp;"")&gt;0,"OK","CHECK"))</f>
        <v/>
      </c>
      <c r="F151" s="24" t="n"/>
      <c r="G151" s="24" t="n"/>
      <c r="H151" s="24" t="n"/>
      <c r="I151" s="24" t="n"/>
      <c r="J151" s="26" t="n"/>
      <c r="K151" s="25">
        <f>IF(N(J151)=0,"",IF(J151&gt;0,set_WIPAsset,set_WIPIncome))</f>
        <v/>
      </c>
      <c r="L151" s="25">
        <f>IF(N(J151)=0,"",IF(J151&gt;0,set_WIPIncome,set_WIPAsset))</f>
        <v/>
      </c>
      <c r="M151" s="27">
        <f>IF(N(J151)=0,"",ABS(J151))</f>
        <v/>
      </c>
      <c r="N151" s="25">
        <f>IF(N(J151)=0,"","WIP "&amp;I151&amp;IF(D151="",""," - "&amp;D151)&amp;IF(F151="",""," "&amp;F151)&amp;IF(H151="",""," - "&amp;H151))</f>
        <v/>
      </c>
      <c r="O151" s="24" t="n"/>
      <c r="P151" s="24" t="n"/>
      <c r="Q151" s="24" t="n"/>
    </row>
    <row r="152" ht="15" customHeight="1">
      <c r="A152" s="66" t="n"/>
      <c r="B152" s="64">
        <f>IF(C152="","",IFERROR(INDEX(tbl_Finance[Date],MATCH(C152&amp;"",tbl_Finance[Xero Invoice No],0)),""))</f>
        <v/>
      </c>
      <c r="C152" s="24" t="n"/>
      <c r="D152" s="24" t="n"/>
      <c r="E152" s="25">
        <f>IF(D152="","",IF(COUNTIF(lst_Jobs,D152&amp;"")&gt;0,"OK","CHECK"))</f>
        <v/>
      </c>
      <c r="F152" s="24" t="n"/>
      <c r="G152" s="24" t="n"/>
      <c r="H152" s="24" t="n"/>
      <c r="I152" s="24" t="n"/>
      <c r="J152" s="26" t="n"/>
      <c r="K152" s="25">
        <f>IF(N(J152)=0,"",IF(J152&gt;0,set_WIPAsset,set_WIPIncome))</f>
        <v/>
      </c>
      <c r="L152" s="25">
        <f>IF(N(J152)=0,"",IF(J152&gt;0,set_WIPIncome,set_WIPAsset))</f>
        <v/>
      </c>
      <c r="M152" s="27">
        <f>IF(N(J152)=0,"",ABS(J152))</f>
        <v/>
      </c>
      <c r="N152" s="25">
        <f>IF(N(J152)=0,"","WIP "&amp;I152&amp;IF(D152="",""," - "&amp;D152)&amp;IF(F152="",""," "&amp;F152)&amp;IF(H152="",""," - "&amp;H152))</f>
        <v/>
      </c>
      <c r="O152" s="24" t="n"/>
      <c r="P152" s="24" t="n"/>
      <c r="Q152" s="24" t="n"/>
    </row>
    <row r="153" ht="15" customHeight="1">
      <c r="A153" s="66" t="n"/>
      <c r="B153" s="64">
        <f>IF(C153="","",IFERROR(INDEX(tbl_Finance[Date],MATCH(C153&amp;"",tbl_Finance[Xero Invoice No],0)),""))</f>
        <v/>
      </c>
      <c r="C153" s="24" t="n"/>
      <c r="D153" s="24" t="n"/>
      <c r="E153" s="25">
        <f>IF(D153="","",IF(COUNTIF(lst_Jobs,D153&amp;"")&gt;0,"OK","CHECK"))</f>
        <v/>
      </c>
      <c r="F153" s="24" t="n"/>
      <c r="G153" s="24" t="n"/>
      <c r="H153" s="24" t="n"/>
      <c r="I153" s="24" t="n"/>
      <c r="J153" s="26" t="n"/>
      <c r="K153" s="25">
        <f>IF(N(J153)=0,"",IF(J153&gt;0,set_WIPAsset,set_WIPIncome))</f>
        <v/>
      </c>
      <c r="L153" s="25">
        <f>IF(N(J153)=0,"",IF(J153&gt;0,set_WIPIncome,set_WIPAsset))</f>
        <v/>
      </c>
      <c r="M153" s="27">
        <f>IF(N(J153)=0,"",ABS(J153))</f>
        <v/>
      </c>
      <c r="N153" s="25">
        <f>IF(N(J153)=0,"","WIP "&amp;I153&amp;IF(D153="",""," - "&amp;D153)&amp;IF(F153="",""," "&amp;F153)&amp;IF(H153="",""," - "&amp;H153))</f>
        <v/>
      </c>
      <c r="O153" s="24" t="n"/>
      <c r="P153" s="24" t="n"/>
      <c r="Q153" s="24" t="n"/>
    </row>
    <row r="154" ht="15" customHeight="1">
      <c r="A154" s="66" t="n"/>
      <c r="B154" s="64">
        <f>IF(C154="","",IFERROR(INDEX(tbl_Finance[Date],MATCH(C154&amp;"",tbl_Finance[Xero Invoice No],0)),""))</f>
        <v/>
      </c>
      <c r="C154" s="24" t="n"/>
      <c r="D154" s="24" t="n"/>
      <c r="E154" s="25">
        <f>IF(D154="","",IF(COUNTIF(lst_Jobs,D154&amp;"")&gt;0,"OK","CHECK"))</f>
        <v/>
      </c>
      <c r="F154" s="24" t="n"/>
      <c r="G154" s="24" t="n"/>
      <c r="H154" s="24" t="n"/>
      <c r="I154" s="24" t="n"/>
      <c r="J154" s="26" t="n"/>
      <c r="K154" s="25">
        <f>IF(N(J154)=0,"",IF(J154&gt;0,set_WIPAsset,set_WIPIncome))</f>
        <v/>
      </c>
      <c r="L154" s="25">
        <f>IF(N(J154)=0,"",IF(J154&gt;0,set_WIPIncome,set_WIPAsset))</f>
        <v/>
      </c>
      <c r="M154" s="27">
        <f>IF(N(J154)=0,"",ABS(J154))</f>
        <v/>
      </c>
      <c r="N154" s="25">
        <f>IF(N(J154)=0,"","WIP "&amp;I154&amp;IF(D154="",""," - "&amp;D154)&amp;IF(F154="",""," "&amp;F154)&amp;IF(H154="",""," - "&amp;H154))</f>
        <v/>
      </c>
      <c r="O154" s="24" t="n"/>
      <c r="P154" s="24" t="n"/>
      <c r="Q154" s="24" t="n"/>
    </row>
    <row r="155" ht="15" customHeight="1">
      <c r="A155" s="66" t="n"/>
      <c r="B155" s="64">
        <f>IF(C155="","",IFERROR(INDEX(tbl_Finance[Date],MATCH(C155&amp;"",tbl_Finance[Xero Invoice No],0)),""))</f>
        <v/>
      </c>
      <c r="C155" s="24" t="n"/>
      <c r="D155" s="24" t="n"/>
      <c r="E155" s="25">
        <f>IF(D155="","",IF(COUNTIF(lst_Jobs,D155&amp;"")&gt;0,"OK","CHECK"))</f>
        <v/>
      </c>
      <c r="F155" s="24" t="n"/>
      <c r="G155" s="24" t="n"/>
      <c r="H155" s="24" t="n"/>
      <c r="I155" s="24" t="n"/>
      <c r="J155" s="26" t="n"/>
      <c r="K155" s="25">
        <f>IF(N(J155)=0,"",IF(J155&gt;0,set_WIPAsset,set_WIPIncome))</f>
        <v/>
      </c>
      <c r="L155" s="25">
        <f>IF(N(J155)=0,"",IF(J155&gt;0,set_WIPIncome,set_WIPAsset))</f>
        <v/>
      </c>
      <c r="M155" s="27">
        <f>IF(N(J155)=0,"",ABS(J155))</f>
        <v/>
      </c>
      <c r="N155" s="25">
        <f>IF(N(J155)=0,"","WIP "&amp;I155&amp;IF(D155="",""," - "&amp;D155)&amp;IF(F155="",""," "&amp;F155)&amp;IF(H155="",""," - "&amp;H155))</f>
        <v/>
      </c>
      <c r="O155" s="24" t="n"/>
      <c r="P155" s="24" t="n"/>
      <c r="Q155" s="24" t="n"/>
    </row>
    <row r="156" ht="15" customHeight="1">
      <c r="A156" s="66" t="n"/>
      <c r="B156" s="64">
        <f>IF(C156="","",IFERROR(INDEX(tbl_Finance[Date],MATCH(C156&amp;"",tbl_Finance[Xero Invoice No],0)),""))</f>
        <v/>
      </c>
      <c r="C156" s="24" t="n"/>
      <c r="D156" s="24" t="n"/>
      <c r="E156" s="25">
        <f>IF(D156="","",IF(COUNTIF(lst_Jobs,D156&amp;"")&gt;0,"OK","CHECK"))</f>
        <v/>
      </c>
      <c r="F156" s="24" t="n"/>
      <c r="G156" s="24" t="n"/>
      <c r="H156" s="24" t="n"/>
      <c r="I156" s="24" t="n"/>
      <c r="J156" s="26" t="n"/>
      <c r="K156" s="25">
        <f>IF(N(J156)=0,"",IF(J156&gt;0,set_WIPAsset,set_WIPIncome))</f>
        <v/>
      </c>
      <c r="L156" s="25">
        <f>IF(N(J156)=0,"",IF(J156&gt;0,set_WIPIncome,set_WIPAsset))</f>
        <v/>
      </c>
      <c r="M156" s="27">
        <f>IF(N(J156)=0,"",ABS(J156))</f>
        <v/>
      </c>
      <c r="N156" s="25">
        <f>IF(N(J156)=0,"","WIP "&amp;I156&amp;IF(D156="",""," - "&amp;D156)&amp;IF(F156="",""," "&amp;F156)&amp;IF(H156="",""," - "&amp;H156))</f>
        <v/>
      </c>
      <c r="O156" s="24" t="n"/>
      <c r="P156" s="24" t="n"/>
      <c r="Q156" s="24" t="n"/>
    </row>
    <row r="157" ht="15" customHeight="1">
      <c r="A157" s="66" t="n"/>
      <c r="B157" s="64">
        <f>IF(C157="","",IFERROR(INDEX(tbl_Finance[Date],MATCH(C157&amp;"",tbl_Finance[Xero Invoice No],0)),""))</f>
        <v/>
      </c>
      <c r="C157" s="24" t="n"/>
      <c r="D157" s="24" t="n"/>
      <c r="E157" s="25">
        <f>IF(D157="","",IF(COUNTIF(lst_Jobs,D157&amp;"")&gt;0,"OK","CHECK"))</f>
        <v/>
      </c>
      <c r="F157" s="24" t="n"/>
      <c r="G157" s="24" t="n"/>
      <c r="H157" s="24" t="n"/>
      <c r="I157" s="24" t="n"/>
      <c r="J157" s="26" t="n"/>
      <c r="K157" s="25">
        <f>IF(N(J157)=0,"",IF(J157&gt;0,set_WIPAsset,set_WIPIncome))</f>
        <v/>
      </c>
      <c r="L157" s="25">
        <f>IF(N(J157)=0,"",IF(J157&gt;0,set_WIPIncome,set_WIPAsset))</f>
        <v/>
      </c>
      <c r="M157" s="27">
        <f>IF(N(J157)=0,"",ABS(J157))</f>
        <v/>
      </c>
      <c r="N157" s="25">
        <f>IF(N(J157)=0,"","WIP "&amp;I157&amp;IF(D157="",""," - "&amp;D157)&amp;IF(F157="",""," "&amp;F157)&amp;IF(H157="",""," - "&amp;H157))</f>
        <v/>
      </c>
      <c r="O157" s="24" t="n"/>
      <c r="P157" s="24" t="n"/>
      <c r="Q157" s="24" t="n"/>
    </row>
    <row r="158" ht="15" customHeight="1">
      <c r="A158" s="66" t="n"/>
      <c r="B158" s="64">
        <f>IF(C158="","",IFERROR(INDEX(tbl_Finance[Date],MATCH(C158&amp;"",tbl_Finance[Xero Invoice No],0)),""))</f>
        <v/>
      </c>
      <c r="C158" s="24" t="n"/>
      <c r="D158" s="24" t="n"/>
      <c r="E158" s="25">
        <f>IF(D158="","",IF(COUNTIF(lst_Jobs,D158&amp;"")&gt;0,"OK","CHECK"))</f>
        <v/>
      </c>
      <c r="F158" s="24" t="n"/>
      <c r="G158" s="24" t="n"/>
      <c r="H158" s="24" t="n"/>
      <c r="I158" s="24" t="n"/>
      <c r="J158" s="26" t="n"/>
      <c r="K158" s="25">
        <f>IF(N(J158)=0,"",IF(J158&gt;0,set_WIPAsset,set_WIPIncome))</f>
        <v/>
      </c>
      <c r="L158" s="25">
        <f>IF(N(J158)=0,"",IF(J158&gt;0,set_WIPIncome,set_WIPAsset))</f>
        <v/>
      </c>
      <c r="M158" s="27">
        <f>IF(N(J158)=0,"",ABS(J158))</f>
        <v/>
      </c>
      <c r="N158" s="25">
        <f>IF(N(J158)=0,"","WIP "&amp;I158&amp;IF(D158="",""," - "&amp;D158)&amp;IF(F158="",""," "&amp;F158)&amp;IF(H158="",""," - "&amp;H158))</f>
        <v/>
      </c>
      <c r="O158" s="24" t="n"/>
      <c r="P158" s="24" t="n"/>
      <c r="Q158" s="24" t="n"/>
    </row>
    <row r="159" ht="15" customHeight="1">
      <c r="A159" s="66" t="n"/>
      <c r="B159" s="64">
        <f>IF(C159="","",IFERROR(INDEX(tbl_Finance[Date],MATCH(C159&amp;"",tbl_Finance[Xero Invoice No],0)),""))</f>
        <v/>
      </c>
      <c r="C159" s="24" t="n"/>
      <c r="D159" s="24" t="n"/>
      <c r="E159" s="25">
        <f>IF(D159="","",IF(COUNTIF(lst_Jobs,D159&amp;"")&gt;0,"OK","CHECK"))</f>
        <v/>
      </c>
      <c r="F159" s="24" t="n"/>
      <c r="G159" s="24" t="n"/>
      <c r="H159" s="24" t="n"/>
      <c r="I159" s="24" t="n"/>
      <c r="J159" s="26" t="n"/>
      <c r="K159" s="25">
        <f>IF(N(J159)=0,"",IF(J159&gt;0,set_WIPAsset,set_WIPIncome))</f>
        <v/>
      </c>
      <c r="L159" s="25">
        <f>IF(N(J159)=0,"",IF(J159&gt;0,set_WIPIncome,set_WIPAsset))</f>
        <v/>
      </c>
      <c r="M159" s="27">
        <f>IF(N(J159)=0,"",ABS(J159))</f>
        <v/>
      </c>
      <c r="N159" s="25">
        <f>IF(N(J159)=0,"","WIP "&amp;I159&amp;IF(D159="",""," - "&amp;D159)&amp;IF(F159="",""," "&amp;F159)&amp;IF(H159="",""," - "&amp;H159))</f>
        <v/>
      </c>
      <c r="O159" s="24" t="n"/>
      <c r="P159" s="24" t="n"/>
      <c r="Q159" s="24" t="n"/>
    </row>
    <row r="160" ht="15" customHeight="1">
      <c r="A160" s="66" t="n"/>
      <c r="B160" s="64">
        <f>IF(C160="","",IFERROR(INDEX(tbl_Finance[Date],MATCH(C160&amp;"",tbl_Finance[Xero Invoice No],0)),""))</f>
        <v/>
      </c>
      <c r="C160" s="24" t="n"/>
      <c r="D160" s="24" t="n"/>
      <c r="E160" s="25">
        <f>IF(D160="","",IF(COUNTIF(lst_Jobs,D160&amp;"")&gt;0,"OK","CHECK"))</f>
        <v/>
      </c>
      <c r="F160" s="24" t="n"/>
      <c r="G160" s="24" t="n"/>
      <c r="H160" s="24" t="n"/>
      <c r="I160" s="24" t="n"/>
      <c r="J160" s="26" t="n"/>
      <c r="K160" s="25">
        <f>IF(N(J160)=0,"",IF(J160&gt;0,set_WIPAsset,set_WIPIncome))</f>
        <v/>
      </c>
      <c r="L160" s="25">
        <f>IF(N(J160)=0,"",IF(J160&gt;0,set_WIPIncome,set_WIPAsset))</f>
        <v/>
      </c>
      <c r="M160" s="27">
        <f>IF(N(J160)=0,"",ABS(J160))</f>
        <v/>
      </c>
      <c r="N160" s="25">
        <f>IF(N(J160)=0,"","WIP "&amp;I160&amp;IF(D160="",""," - "&amp;D160)&amp;IF(F160="",""," "&amp;F160)&amp;IF(H160="",""," - "&amp;H160))</f>
        <v/>
      </c>
      <c r="O160" s="24" t="n"/>
      <c r="P160" s="24" t="n"/>
      <c r="Q160" s="24" t="n"/>
    </row>
    <row r="161" ht="15" customHeight="1">
      <c r="A161" s="66" t="n"/>
      <c r="B161" s="64">
        <f>IF(C161="","",IFERROR(INDEX(tbl_Finance[Date],MATCH(C161&amp;"",tbl_Finance[Xero Invoice No],0)),""))</f>
        <v/>
      </c>
      <c r="C161" s="24" t="n"/>
      <c r="D161" s="24" t="n"/>
      <c r="E161" s="25">
        <f>IF(D161="","",IF(COUNTIF(lst_Jobs,D161&amp;"")&gt;0,"OK","CHECK"))</f>
        <v/>
      </c>
      <c r="F161" s="24" t="n"/>
      <c r="G161" s="24" t="n"/>
      <c r="H161" s="24" t="n"/>
      <c r="I161" s="24" t="n"/>
      <c r="J161" s="26" t="n"/>
      <c r="K161" s="25">
        <f>IF(N(J161)=0,"",IF(J161&gt;0,set_WIPAsset,set_WIPIncome))</f>
        <v/>
      </c>
      <c r="L161" s="25">
        <f>IF(N(J161)=0,"",IF(J161&gt;0,set_WIPIncome,set_WIPAsset))</f>
        <v/>
      </c>
      <c r="M161" s="27">
        <f>IF(N(J161)=0,"",ABS(J161))</f>
        <v/>
      </c>
      <c r="N161" s="25">
        <f>IF(N(J161)=0,"","WIP "&amp;I161&amp;IF(D161="",""," - "&amp;D161)&amp;IF(F161="",""," "&amp;F161)&amp;IF(H161="",""," - "&amp;H161))</f>
        <v/>
      </c>
      <c r="O161" s="24" t="n"/>
      <c r="P161" s="24" t="n"/>
      <c r="Q161" s="24" t="n"/>
    </row>
    <row r="162" ht="15" customHeight="1">
      <c r="A162" s="66" t="n"/>
      <c r="B162" s="64">
        <f>IF(C162="","",IFERROR(INDEX(tbl_Finance[Date],MATCH(C162&amp;"",tbl_Finance[Xero Invoice No],0)),""))</f>
        <v/>
      </c>
      <c r="C162" s="24" t="n"/>
      <c r="D162" s="24" t="n"/>
      <c r="E162" s="25">
        <f>IF(D162="","",IF(COUNTIF(lst_Jobs,D162&amp;"")&gt;0,"OK","CHECK"))</f>
        <v/>
      </c>
      <c r="F162" s="24" t="n"/>
      <c r="G162" s="24" t="n"/>
      <c r="H162" s="24" t="n"/>
      <c r="I162" s="24" t="n"/>
      <c r="J162" s="26" t="n"/>
      <c r="K162" s="25">
        <f>IF(N(J162)=0,"",IF(J162&gt;0,set_WIPAsset,set_WIPIncome))</f>
        <v/>
      </c>
      <c r="L162" s="25">
        <f>IF(N(J162)=0,"",IF(J162&gt;0,set_WIPIncome,set_WIPAsset))</f>
        <v/>
      </c>
      <c r="M162" s="27">
        <f>IF(N(J162)=0,"",ABS(J162))</f>
        <v/>
      </c>
      <c r="N162" s="25">
        <f>IF(N(J162)=0,"","WIP "&amp;I162&amp;IF(D162="",""," - "&amp;D162)&amp;IF(F162="",""," "&amp;F162)&amp;IF(H162="",""," - "&amp;H162))</f>
        <v/>
      </c>
      <c r="O162" s="24" t="n"/>
      <c r="P162" s="24" t="n"/>
      <c r="Q162" s="24" t="n"/>
    </row>
    <row r="163" ht="15" customHeight="1">
      <c r="A163" s="66" t="n"/>
      <c r="B163" s="64">
        <f>IF(C163="","",IFERROR(INDEX(tbl_Finance[Date],MATCH(C163&amp;"",tbl_Finance[Xero Invoice No],0)),""))</f>
        <v/>
      </c>
      <c r="C163" s="24" t="n"/>
      <c r="D163" s="24" t="n"/>
      <c r="E163" s="25">
        <f>IF(D163="","",IF(COUNTIF(lst_Jobs,D163&amp;"")&gt;0,"OK","CHECK"))</f>
        <v/>
      </c>
      <c r="F163" s="24" t="n"/>
      <c r="G163" s="24" t="n"/>
      <c r="H163" s="24" t="n"/>
      <c r="I163" s="24" t="n"/>
      <c r="J163" s="26" t="n"/>
      <c r="K163" s="25">
        <f>IF(N(J163)=0,"",IF(J163&gt;0,set_WIPAsset,set_WIPIncome))</f>
        <v/>
      </c>
      <c r="L163" s="25">
        <f>IF(N(J163)=0,"",IF(J163&gt;0,set_WIPIncome,set_WIPAsset))</f>
        <v/>
      </c>
      <c r="M163" s="27">
        <f>IF(N(J163)=0,"",ABS(J163))</f>
        <v/>
      </c>
      <c r="N163" s="25">
        <f>IF(N(J163)=0,"","WIP "&amp;I163&amp;IF(D163="",""," - "&amp;D163)&amp;IF(F163="",""," "&amp;F163)&amp;IF(H163="",""," - "&amp;H163))</f>
        <v/>
      </c>
      <c r="O163" s="24" t="n"/>
      <c r="P163" s="24" t="n"/>
      <c r="Q163" s="24" t="n"/>
    </row>
    <row r="164" ht="15" customHeight="1">
      <c r="A164" s="66" t="n"/>
      <c r="B164" s="64">
        <f>IF(C164="","",IFERROR(INDEX(tbl_Finance[Date],MATCH(C164&amp;"",tbl_Finance[Xero Invoice No],0)),""))</f>
        <v/>
      </c>
      <c r="C164" s="24" t="n"/>
      <c r="D164" s="24" t="n"/>
      <c r="E164" s="25">
        <f>IF(D164="","",IF(COUNTIF(lst_Jobs,D164&amp;"")&gt;0,"OK","CHECK"))</f>
        <v/>
      </c>
      <c r="F164" s="24" t="n"/>
      <c r="G164" s="24" t="n"/>
      <c r="H164" s="24" t="n"/>
      <c r="I164" s="24" t="n"/>
      <c r="J164" s="26" t="n"/>
      <c r="K164" s="25">
        <f>IF(N(J164)=0,"",IF(J164&gt;0,set_WIPAsset,set_WIPIncome))</f>
        <v/>
      </c>
      <c r="L164" s="25">
        <f>IF(N(J164)=0,"",IF(J164&gt;0,set_WIPIncome,set_WIPAsset))</f>
        <v/>
      </c>
      <c r="M164" s="27">
        <f>IF(N(J164)=0,"",ABS(J164))</f>
        <v/>
      </c>
      <c r="N164" s="25">
        <f>IF(N(J164)=0,"","WIP "&amp;I164&amp;IF(D164="",""," - "&amp;D164)&amp;IF(F164="",""," "&amp;F164)&amp;IF(H164="",""," - "&amp;H164))</f>
        <v/>
      </c>
      <c r="O164" s="24" t="n"/>
      <c r="P164" s="24" t="n"/>
      <c r="Q164" s="24" t="n"/>
    </row>
    <row r="165" ht="15" customHeight="1">
      <c r="A165" s="66" t="n"/>
      <c r="B165" s="64">
        <f>IF(C165="","",IFERROR(INDEX(tbl_Finance[Date],MATCH(C165&amp;"",tbl_Finance[Xero Invoice No],0)),""))</f>
        <v/>
      </c>
      <c r="C165" s="24" t="n"/>
      <c r="D165" s="24" t="n"/>
      <c r="E165" s="25">
        <f>IF(D165="","",IF(COUNTIF(lst_Jobs,D165&amp;"")&gt;0,"OK","CHECK"))</f>
        <v/>
      </c>
      <c r="F165" s="24" t="n"/>
      <c r="G165" s="24" t="n"/>
      <c r="H165" s="24" t="n"/>
      <c r="I165" s="24" t="n"/>
      <c r="J165" s="26" t="n"/>
      <c r="K165" s="25">
        <f>IF(N(J165)=0,"",IF(J165&gt;0,set_WIPAsset,set_WIPIncome))</f>
        <v/>
      </c>
      <c r="L165" s="25">
        <f>IF(N(J165)=0,"",IF(J165&gt;0,set_WIPIncome,set_WIPAsset))</f>
        <v/>
      </c>
      <c r="M165" s="27">
        <f>IF(N(J165)=0,"",ABS(J165))</f>
        <v/>
      </c>
      <c r="N165" s="25">
        <f>IF(N(J165)=0,"","WIP "&amp;I165&amp;IF(D165="",""," - "&amp;D165)&amp;IF(F165="",""," "&amp;F165)&amp;IF(H165="",""," - "&amp;H165))</f>
        <v/>
      </c>
      <c r="O165" s="24" t="n"/>
      <c r="P165" s="24" t="n"/>
      <c r="Q165" s="24" t="n"/>
    </row>
    <row r="166" ht="15" customHeight="1">
      <c r="A166" s="66" t="n"/>
      <c r="B166" s="64">
        <f>IF(C166="","",IFERROR(INDEX(tbl_Finance[Date],MATCH(C166&amp;"",tbl_Finance[Xero Invoice No],0)),""))</f>
        <v/>
      </c>
      <c r="C166" s="24" t="n"/>
      <c r="D166" s="24" t="n"/>
      <c r="E166" s="25">
        <f>IF(D166="","",IF(COUNTIF(lst_Jobs,D166&amp;"")&gt;0,"OK","CHECK"))</f>
        <v/>
      </c>
      <c r="F166" s="24" t="n"/>
      <c r="G166" s="24" t="n"/>
      <c r="H166" s="24" t="n"/>
      <c r="I166" s="24" t="n"/>
      <c r="J166" s="26" t="n"/>
      <c r="K166" s="25">
        <f>IF(N(J166)=0,"",IF(J166&gt;0,set_WIPAsset,set_WIPIncome))</f>
        <v/>
      </c>
      <c r="L166" s="25">
        <f>IF(N(J166)=0,"",IF(J166&gt;0,set_WIPIncome,set_WIPAsset))</f>
        <v/>
      </c>
      <c r="M166" s="27">
        <f>IF(N(J166)=0,"",ABS(J166))</f>
        <v/>
      </c>
      <c r="N166" s="25">
        <f>IF(N(J166)=0,"","WIP "&amp;I166&amp;IF(D166="",""," - "&amp;D166)&amp;IF(F166="",""," "&amp;F166)&amp;IF(H166="",""," - "&amp;H166))</f>
        <v/>
      </c>
      <c r="O166" s="24" t="n"/>
      <c r="P166" s="24" t="n"/>
      <c r="Q166" s="24" t="n"/>
    </row>
    <row r="167" ht="15" customHeight="1">
      <c r="A167" s="66" t="n"/>
      <c r="B167" s="64">
        <f>IF(C167="","",IFERROR(INDEX(tbl_Finance[Date],MATCH(C167&amp;"",tbl_Finance[Xero Invoice No],0)),""))</f>
        <v/>
      </c>
      <c r="C167" s="24" t="n"/>
      <c r="D167" s="24" t="n"/>
      <c r="E167" s="25">
        <f>IF(D167="","",IF(COUNTIF(lst_Jobs,D167&amp;"")&gt;0,"OK","CHECK"))</f>
        <v/>
      </c>
      <c r="F167" s="24" t="n"/>
      <c r="G167" s="24" t="n"/>
      <c r="H167" s="24" t="n"/>
      <c r="I167" s="24" t="n"/>
      <c r="J167" s="26" t="n"/>
      <c r="K167" s="25">
        <f>IF(N(J167)=0,"",IF(J167&gt;0,set_WIPAsset,set_WIPIncome))</f>
        <v/>
      </c>
      <c r="L167" s="25">
        <f>IF(N(J167)=0,"",IF(J167&gt;0,set_WIPIncome,set_WIPAsset))</f>
        <v/>
      </c>
      <c r="M167" s="27">
        <f>IF(N(J167)=0,"",ABS(J167))</f>
        <v/>
      </c>
      <c r="N167" s="25">
        <f>IF(N(J167)=0,"","WIP "&amp;I167&amp;IF(D167="",""," - "&amp;D167)&amp;IF(F167="",""," "&amp;F167)&amp;IF(H167="",""," - "&amp;H167))</f>
        <v/>
      </c>
      <c r="O167" s="24" t="n"/>
      <c r="P167" s="24" t="n"/>
      <c r="Q167" s="24" t="n"/>
    </row>
    <row r="168" ht="15" customHeight="1">
      <c r="A168" s="66" t="n"/>
      <c r="B168" s="64">
        <f>IF(C168="","",IFERROR(INDEX(tbl_Finance[Date],MATCH(C168&amp;"",tbl_Finance[Xero Invoice No],0)),""))</f>
        <v/>
      </c>
      <c r="C168" s="24" t="n"/>
      <c r="D168" s="24" t="n"/>
      <c r="E168" s="25">
        <f>IF(D168="","",IF(COUNTIF(lst_Jobs,D168&amp;"")&gt;0,"OK","CHECK"))</f>
        <v/>
      </c>
      <c r="F168" s="24" t="n"/>
      <c r="G168" s="24" t="n"/>
      <c r="H168" s="24" t="n"/>
      <c r="I168" s="24" t="n"/>
      <c r="J168" s="26" t="n"/>
      <c r="K168" s="25">
        <f>IF(N(J168)=0,"",IF(J168&gt;0,set_WIPAsset,set_WIPIncome))</f>
        <v/>
      </c>
      <c r="L168" s="25">
        <f>IF(N(J168)=0,"",IF(J168&gt;0,set_WIPIncome,set_WIPAsset))</f>
        <v/>
      </c>
      <c r="M168" s="27">
        <f>IF(N(J168)=0,"",ABS(J168))</f>
        <v/>
      </c>
      <c r="N168" s="25">
        <f>IF(N(J168)=0,"","WIP "&amp;I168&amp;IF(D168="",""," - "&amp;D168)&amp;IF(F168="",""," "&amp;F168)&amp;IF(H168="",""," - "&amp;H168))</f>
        <v/>
      </c>
      <c r="O168" s="24" t="n"/>
      <c r="P168" s="24" t="n"/>
      <c r="Q168" s="24" t="n"/>
    </row>
    <row r="169" ht="15" customHeight="1">
      <c r="A169" s="66" t="n"/>
      <c r="B169" s="64">
        <f>IF(C169="","",IFERROR(INDEX(tbl_Finance[Date],MATCH(C169&amp;"",tbl_Finance[Xero Invoice No],0)),""))</f>
        <v/>
      </c>
      <c r="C169" s="24" t="n"/>
      <c r="D169" s="24" t="n"/>
      <c r="E169" s="25">
        <f>IF(D169="","",IF(COUNTIF(lst_Jobs,D169&amp;"")&gt;0,"OK","CHECK"))</f>
        <v/>
      </c>
      <c r="F169" s="24" t="n"/>
      <c r="G169" s="24" t="n"/>
      <c r="H169" s="24" t="n"/>
      <c r="I169" s="24" t="n"/>
      <c r="J169" s="26" t="n"/>
      <c r="K169" s="25">
        <f>IF(N(J169)=0,"",IF(J169&gt;0,set_WIPAsset,set_WIPIncome))</f>
        <v/>
      </c>
      <c r="L169" s="25">
        <f>IF(N(J169)=0,"",IF(J169&gt;0,set_WIPIncome,set_WIPAsset))</f>
        <v/>
      </c>
      <c r="M169" s="27">
        <f>IF(N(J169)=0,"",ABS(J169))</f>
        <v/>
      </c>
      <c r="N169" s="25">
        <f>IF(N(J169)=0,"","WIP "&amp;I169&amp;IF(D169="",""," - "&amp;D169)&amp;IF(F169="",""," "&amp;F169)&amp;IF(H169="",""," - "&amp;H169))</f>
        <v/>
      </c>
      <c r="O169" s="24" t="n"/>
      <c r="P169" s="24" t="n"/>
      <c r="Q169" s="24" t="n"/>
    </row>
    <row r="170" ht="15" customHeight="1">
      <c r="A170" s="66" t="n"/>
      <c r="B170" s="64">
        <f>IF(C170="","",IFERROR(INDEX(tbl_Finance[Date],MATCH(C170&amp;"",tbl_Finance[Xero Invoice No],0)),""))</f>
        <v/>
      </c>
      <c r="C170" s="24" t="n"/>
      <c r="D170" s="24" t="n"/>
      <c r="E170" s="25">
        <f>IF(D170="","",IF(COUNTIF(lst_Jobs,D170&amp;"")&gt;0,"OK","CHECK"))</f>
        <v/>
      </c>
      <c r="F170" s="24" t="n"/>
      <c r="G170" s="24" t="n"/>
      <c r="H170" s="24" t="n"/>
      <c r="I170" s="24" t="n"/>
      <c r="J170" s="26" t="n"/>
      <c r="K170" s="25">
        <f>IF(N(J170)=0,"",IF(J170&gt;0,set_WIPAsset,set_WIPIncome))</f>
        <v/>
      </c>
      <c r="L170" s="25">
        <f>IF(N(J170)=0,"",IF(J170&gt;0,set_WIPIncome,set_WIPAsset))</f>
        <v/>
      </c>
      <c r="M170" s="27">
        <f>IF(N(J170)=0,"",ABS(J170))</f>
        <v/>
      </c>
      <c r="N170" s="25">
        <f>IF(N(J170)=0,"","WIP "&amp;I170&amp;IF(D170="",""," - "&amp;D170)&amp;IF(F170="",""," "&amp;F170)&amp;IF(H170="",""," - "&amp;H170))</f>
        <v/>
      </c>
      <c r="O170" s="24" t="n"/>
      <c r="P170" s="24" t="n"/>
      <c r="Q170" s="24" t="n"/>
    </row>
    <row r="171" ht="15" customHeight="1">
      <c r="A171" s="66" t="n"/>
      <c r="B171" s="64">
        <f>IF(C171="","",IFERROR(INDEX(tbl_Finance[Date],MATCH(C171&amp;"",tbl_Finance[Xero Invoice No],0)),""))</f>
        <v/>
      </c>
      <c r="C171" s="24" t="n"/>
      <c r="D171" s="24" t="n"/>
      <c r="E171" s="25">
        <f>IF(D171="","",IF(COUNTIF(lst_Jobs,D171&amp;"")&gt;0,"OK","CHECK"))</f>
        <v/>
      </c>
      <c r="F171" s="24" t="n"/>
      <c r="G171" s="24" t="n"/>
      <c r="H171" s="24" t="n"/>
      <c r="I171" s="24" t="n"/>
      <c r="J171" s="26" t="n"/>
      <c r="K171" s="25">
        <f>IF(N(J171)=0,"",IF(J171&gt;0,set_WIPAsset,set_WIPIncome))</f>
        <v/>
      </c>
      <c r="L171" s="25">
        <f>IF(N(J171)=0,"",IF(J171&gt;0,set_WIPIncome,set_WIPAsset))</f>
        <v/>
      </c>
      <c r="M171" s="27">
        <f>IF(N(J171)=0,"",ABS(J171))</f>
        <v/>
      </c>
      <c r="N171" s="25">
        <f>IF(N(J171)=0,"","WIP "&amp;I171&amp;IF(D171="",""," - "&amp;D171)&amp;IF(F171="",""," "&amp;F171)&amp;IF(H171="",""," - "&amp;H171))</f>
        <v/>
      </c>
      <c r="O171" s="24" t="n"/>
      <c r="P171" s="24" t="n"/>
      <c r="Q171" s="24" t="n"/>
    </row>
    <row r="172" ht="15" customHeight="1">
      <c r="A172" s="66" t="n"/>
      <c r="B172" s="64">
        <f>IF(C172="","",IFERROR(INDEX(tbl_Finance[Date],MATCH(C172&amp;"",tbl_Finance[Xero Invoice No],0)),""))</f>
        <v/>
      </c>
      <c r="C172" s="24" t="n"/>
      <c r="D172" s="24" t="n"/>
      <c r="E172" s="25">
        <f>IF(D172="","",IF(COUNTIF(lst_Jobs,D172&amp;"")&gt;0,"OK","CHECK"))</f>
        <v/>
      </c>
      <c r="F172" s="24" t="n"/>
      <c r="G172" s="24" t="n"/>
      <c r="H172" s="24" t="n"/>
      <c r="I172" s="24" t="n"/>
      <c r="J172" s="26" t="n"/>
      <c r="K172" s="25">
        <f>IF(N(J172)=0,"",IF(J172&gt;0,set_WIPAsset,set_WIPIncome))</f>
        <v/>
      </c>
      <c r="L172" s="25">
        <f>IF(N(J172)=0,"",IF(J172&gt;0,set_WIPIncome,set_WIPAsset))</f>
        <v/>
      </c>
      <c r="M172" s="27">
        <f>IF(N(J172)=0,"",ABS(J172))</f>
        <v/>
      </c>
      <c r="N172" s="25">
        <f>IF(N(J172)=0,"","WIP "&amp;I172&amp;IF(D172="",""," - "&amp;D172)&amp;IF(F172="",""," "&amp;F172)&amp;IF(H172="",""," - "&amp;H172))</f>
        <v/>
      </c>
      <c r="O172" s="24" t="n"/>
      <c r="P172" s="24" t="n"/>
      <c r="Q172" s="24" t="n"/>
    </row>
    <row r="173" ht="15" customHeight="1">
      <c r="A173" s="66" t="n"/>
      <c r="B173" s="64">
        <f>IF(C173="","",IFERROR(INDEX(tbl_Finance[Date],MATCH(C173&amp;"",tbl_Finance[Xero Invoice No],0)),""))</f>
        <v/>
      </c>
      <c r="C173" s="24" t="n"/>
      <c r="D173" s="24" t="n"/>
      <c r="E173" s="25">
        <f>IF(D173="","",IF(COUNTIF(lst_Jobs,D173&amp;"")&gt;0,"OK","CHECK"))</f>
        <v/>
      </c>
      <c r="F173" s="24" t="n"/>
      <c r="G173" s="24" t="n"/>
      <c r="H173" s="24" t="n"/>
      <c r="I173" s="24" t="n"/>
      <c r="J173" s="26" t="n"/>
      <c r="K173" s="25">
        <f>IF(N(J173)=0,"",IF(J173&gt;0,set_WIPAsset,set_WIPIncome))</f>
        <v/>
      </c>
      <c r="L173" s="25">
        <f>IF(N(J173)=0,"",IF(J173&gt;0,set_WIPIncome,set_WIPAsset))</f>
        <v/>
      </c>
      <c r="M173" s="27">
        <f>IF(N(J173)=0,"",ABS(J173))</f>
        <v/>
      </c>
      <c r="N173" s="25">
        <f>IF(N(J173)=0,"","WIP "&amp;I173&amp;IF(D173="",""," - "&amp;D173)&amp;IF(F173="",""," "&amp;F173)&amp;IF(H173="",""," - "&amp;H173))</f>
        <v/>
      </c>
      <c r="O173" s="24" t="n"/>
      <c r="P173" s="24" t="n"/>
      <c r="Q173" s="24" t="n"/>
    </row>
    <row r="174" ht="15" customHeight="1">
      <c r="A174" s="66" t="n"/>
      <c r="B174" s="64">
        <f>IF(C174="","",IFERROR(INDEX(tbl_Finance[Date],MATCH(C174&amp;"",tbl_Finance[Xero Invoice No],0)),""))</f>
        <v/>
      </c>
      <c r="C174" s="24" t="n"/>
      <c r="D174" s="24" t="n"/>
      <c r="E174" s="25">
        <f>IF(D174="","",IF(COUNTIF(lst_Jobs,D174&amp;"")&gt;0,"OK","CHECK"))</f>
        <v/>
      </c>
      <c r="F174" s="24" t="n"/>
      <c r="G174" s="24" t="n"/>
      <c r="H174" s="24" t="n"/>
      <c r="I174" s="24" t="n"/>
      <c r="J174" s="26" t="n"/>
      <c r="K174" s="25">
        <f>IF(N(J174)=0,"",IF(J174&gt;0,set_WIPAsset,set_WIPIncome))</f>
        <v/>
      </c>
      <c r="L174" s="25">
        <f>IF(N(J174)=0,"",IF(J174&gt;0,set_WIPIncome,set_WIPAsset))</f>
        <v/>
      </c>
      <c r="M174" s="27">
        <f>IF(N(J174)=0,"",ABS(J174))</f>
        <v/>
      </c>
      <c r="N174" s="25">
        <f>IF(N(J174)=0,"","WIP "&amp;I174&amp;IF(D174="",""," - "&amp;D174)&amp;IF(F174="",""," "&amp;F174)&amp;IF(H174="",""," - "&amp;H174))</f>
        <v/>
      </c>
      <c r="O174" s="24" t="n"/>
      <c r="P174" s="24" t="n"/>
      <c r="Q174" s="24" t="n"/>
    </row>
    <row r="175" ht="15" customHeight="1">
      <c r="A175" s="66" t="n"/>
      <c r="B175" s="64">
        <f>IF(C175="","",IFERROR(INDEX(tbl_Finance[Date],MATCH(C175&amp;"",tbl_Finance[Xero Invoice No],0)),""))</f>
        <v/>
      </c>
      <c r="C175" s="24" t="n"/>
      <c r="D175" s="24" t="n"/>
      <c r="E175" s="25">
        <f>IF(D175="","",IF(COUNTIF(lst_Jobs,D175&amp;"")&gt;0,"OK","CHECK"))</f>
        <v/>
      </c>
      <c r="F175" s="24" t="n"/>
      <c r="G175" s="24" t="n"/>
      <c r="H175" s="24" t="n"/>
      <c r="I175" s="24" t="n"/>
      <c r="J175" s="26" t="n"/>
      <c r="K175" s="25">
        <f>IF(N(J175)=0,"",IF(J175&gt;0,set_WIPAsset,set_WIPIncome))</f>
        <v/>
      </c>
      <c r="L175" s="25">
        <f>IF(N(J175)=0,"",IF(J175&gt;0,set_WIPIncome,set_WIPAsset))</f>
        <v/>
      </c>
      <c r="M175" s="27">
        <f>IF(N(J175)=0,"",ABS(J175))</f>
        <v/>
      </c>
      <c r="N175" s="25">
        <f>IF(N(J175)=0,"","WIP "&amp;I175&amp;IF(D175="",""," - "&amp;D175)&amp;IF(F175="",""," "&amp;F175)&amp;IF(H175="",""," - "&amp;H175))</f>
        <v/>
      </c>
      <c r="O175" s="24" t="n"/>
      <c r="P175" s="24" t="n"/>
      <c r="Q175" s="24" t="n"/>
    </row>
    <row r="176" ht="15" customHeight="1">
      <c r="A176" s="66" t="n"/>
      <c r="B176" s="64">
        <f>IF(C176="","",IFERROR(INDEX(tbl_Finance[Date],MATCH(C176&amp;"",tbl_Finance[Xero Invoice No],0)),""))</f>
        <v/>
      </c>
      <c r="C176" s="24" t="n"/>
      <c r="D176" s="24" t="n"/>
      <c r="E176" s="25">
        <f>IF(D176="","",IF(COUNTIF(lst_Jobs,D176&amp;"")&gt;0,"OK","CHECK"))</f>
        <v/>
      </c>
      <c r="F176" s="24" t="n"/>
      <c r="G176" s="24" t="n"/>
      <c r="H176" s="24" t="n"/>
      <c r="I176" s="24" t="n"/>
      <c r="J176" s="26" t="n"/>
      <c r="K176" s="25">
        <f>IF(N(J176)=0,"",IF(J176&gt;0,set_WIPAsset,set_WIPIncome))</f>
        <v/>
      </c>
      <c r="L176" s="25">
        <f>IF(N(J176)=0,"",IF(J176&gt;0,set_WIPIncome,set_WIPAsset))</f>
        <v/>
      </c>
      <c r="M176" s="27">
        <f>IF(N(J176)=0,"",ABS(J176))</f>
        <v/>
      </c>
      <c r="N176" s="25">
        <f>IF(N(J176)=0,"","WIP "&amp;I176&amp;IF(D176="",""," - "&amp;D176)&amp;IF(F176="",""," "&amp;F176)&amp;IF(H176="",""," - "&amp;H176))</f>
        <v/>
      </c>
      <c r="O176" s="24" t="n"/>
      <c r="P176" s="24" t="n"/>
      <c r="Q176" s="24" t="n"/>
    </row>
    <row r="177" ht="15" customHeight="1">
      <c r="A177" s="66" t="n"/>
      <c r="B177" s="64">
        <f>IF(C177="","",IFERROR(INDEX(tbl_Finance[Date],MATCH(C177&amp;"",tbl_Finance[Xero Invoice No],0)),""))</f>
        <v/>
      </c>
      <c r="C177" s="24" t="n"/>
      <c r="D177" s="24" t="n"/>
      <c r="E177" s="25">
        <f>IF(D177="","",IF(COUNTIF(lst_Jobs,D177&amp;"")&gt;0,"OK","CHECK"))</f>
        <v/>
      </c>
      <c r="F177" s="24" t="n"/>
      <c r="G177" s="24" t="n"/>
      <c r="H177" s="24" t="n"/>
      <c r="I177" s="24" t="n"/>
      <c r="J177" s="26" t="n"/>
      <c r="K177" s="25">
        <f>IF(N(J177)=0,"",IF(J177&gt;0,set_WIPAsset,set_WIPIncome))</f>
        <v/>
      </c>
      <c r="L177" s="25">
        <f>IF(N(J177)=0,"",IF(J177&gt;0,set_WIPIncome,set_WIPAsset))</f>
        <v/>
      </c>
      <c r="M177" s="27">
        <f>IF(N(J177)=0,"",ABS(J177))</f>
        <v/>
      </c>
      <c r="N177" s="25">
        <f>IF(N(J177)=0,"","WIP "&amp;I177&amp;IF(D177="",""," - "&amp;D177)&amp;IF(F177="",""," "&amp;F177)&amp;IF(H177="",""," - "&amp;H177))</f>
        <v/>
      </c>
      <c r="O177" s="24" t="n"/>
      <c r="P177" s="24" t="n"/>
      <c r="Q177" s="24" t="n"/>
    </row>
    <row r="178" ht="15" customHeight="1">
      <c r="A178" s="66" t="n"/>
      <c r="B178" s="64">
        <f>IF(C178="","",IFERROR(INDEX(tbl_Finance[Date],MATCH(C178&amp;"",tbl_Finance[Xero Invoice No],0)),""))</f>
        <v/>
      </c>
      <c r="C178" s="24" t="n"/>
      <c r="D178" s="24" t="n"/>
      <c r="E178" s="25">
        <f>IF(D178="","",IF(COUNTIF(lst_Jobs,D178&amp;"")&gt;0,"OK","CHECK"))</f>
        <v/>
      </c>
      <c r="F178" s="24" t="n"/>
      <c r="G178" s="24" t="n"/>
      <c r="H178" s="24" t="n"/>
      <c r="I178" s="24" t="n"/>
      <c r="J178" s="26" t="n"/>
      <c r="K178" s="25">
        <f>IF(N(J178)=0,"",IF(J178&gt;0,set_WIPAsset,set_WIPIncome))</f>
        <v/>
      </c>
      <c r="L178" s="25">
        <f>IF(N(J178)=0,"",IF(J178&gt;0,set_WIPIncome,set_WIPAsset))</f>
        <v/>
      </c>
      <c r="M178" s="27">
        <f>IF(N(J178)=0,"",ABS(J178))</f>
        <v/>
      </c>
      <c r="N178" s="25">
        <f>IF(N(J178)=0,"","WIP "&amp;I178&amp;IF(D178="",""," - "&amp;D178)&amp;IF(F178="",""," "&amp;F178)&amp;IF(H178="",""," - "&amp;H178))</f>
        <v/>
      </c>
      <c r="O178" s="24" t="n"/>
      <c r="P178" s="24" t="n"/>
      <c r="Q178" s="24" t="n"/>
    </row>
    <row r="179" ht="15" customHeight="1">
      <c r="A179" s="66" t="n"/>
      <c r="B179" s="64">
        <f>IF(C179="","",IFERROR(INDEX(tbl_Finance[Date],MATCH(C179&amp;"",tbl_Finance[Xero Invoice No],0)),""))</f>
        <v/>
      </c>
      <c r="C179" s="24" t="n"/>
      <c r="D179" s="24" t="n"/>
      <c r="E179" s="25">
        <f>IF(D179="","",IF(COUNTIF(lst_Jobs,D179&amp;"")&gt;0,"OK","CHECK"))</f>
        <v/>
      </c>
      <c r="F179" s="24" t="n"/>
      <c r="G179" s="24" t="n"/>
      <c r="H179" s="24" t="n"/>
      <c r="I179" s="24" t="n"/>
      <c r="J179" s="26" t="n"/>
      <c r="K179" s="25">
        <f>IF(N(J179)=0,"",IF(J179&gt;0,set_WIPAsset,set_WIPIncome))</f>
        <v/>
      </c>
      <c r="L179" s="25">
        <f>IF(N(J179)=0,"",IF(J179&gt;0,set_WIPIncome,set_WIPAsset))</f>
        <v/>
      </c>
      <c r="M179" s="27">
        <f>IF(N(J179)=0,"",ABS(J179))</f>
        <v/>
      </c>
      <c r="N179" s="25">
        <f>IF(N(J179)=0,"","WIP "&amp;I179&amp;IF(D179="",""," - "&amp;D179)&amp;IF(F179="",""," "&amp;F179)&amp;IF(H179="",""," - "&amp;H179))</f>
        <v/>
      </c>
      <c r="O179" s="24" t="n"/>
      <c r="P179" s="24" t="n"/>
      <c r="Q179" s="24" t="n"/>
    </row>
    <row r="180" ht="15" customHeight="1">
      <c r="A180" s="66" t="n"/>
      <c r="B180" s="64">
        <f>IF(C180="","",IFERROR(INDEX(tbl_Finance[Date],MATCH(C180&amp;"",tbl_Finance[Xero Invoice No],0)),""))</f>
        <v/>
      </c>
      <c r="C180" s="24" t="n"/>
      <c r="D180" s="24" t="n"/>
      <c r="E180" s="25">
        <f>IF(D180="","",IF(COUNTIF(lst_Jobs,D180&amp;"")&gt;0,"OK","CHECK"))</f>
        <v/>
      </c>
      <c r="F180" s="24" t="n"/>
      <c r="G180" s="24" t="n"/>
      <c r="H180" s="24" t="n"/>
      <c r="I180" s="24" t="n"/>
      <c r="J180" s="26" t="n"/>
      <c r="K180" s="25">
        <f>IF(N(J180)=0,"",IF(J180&gt;0,set_WIPAsset,set_WIPIncome))</f>
        <v/>
      </c>
      <c r="L180" s="25">
        <f>IF(N(J180)=0,"",IF(J180&gt;0,set_WIPIncome,set_WIPAsset))</f>
        <v/>
      </c>
      <c r="M180" s="27">
        <f>IF(N(J180)=0,"",ABS(J180))</f>
        <v/>
      </c>
      <c r="N180" s="25">
        <f>IF(N(J180)=0,"","WIP "&amp;I180&amp;IF(D180="",""," - "&amp;D180)&amp;IF(F180="",""," "&amp;F180)&amp;IF(H180="",""," - "&amp;H180))</f>
        <v/>
      </c>
      <c r="O180" s="24" t="n"/>
      <c r="P180" s="24" t="n"/>
      <c r="Q180" s="24" t="n"/>
    </row>
    <row r="181" ht="15" customHeight="1">
      <c r="A181" s="66" t="n"/>
      <c r="B181" s="64">
        <f>IF(C181="","",IFERROR(INDEX(tbl_Finance[Date],MATCH(C181&amp;"",tbl_Finance[Xero Invoice No],0)),""))</f>
        <v/>
      </c>
      <c r="C181" s="24" t="n"/>
      <c r="D181" s="24" t="n"/>
      <c r="E181" s="25">
        <f>IF(D181="","",IF(COUNTIF(lst_Jobs,D181&amp;"")&gt;0,"OK","CHECK"))</f>
        <v/>
      </c>
      <c r="F181" s="24" t="n"/>
      <c r="G181" s="24" t="n"/>
      <c r="H181" s="24" t="n"/>
      <c r="I181" s="24" t="n"/>
      <c r="J181" s="26" t="n"/>
      <c r="K181" s="25">
        <f>IF(N(J181)=0,"",IF(J181&gt;0,set_WIPAsset,set_WIPIncome))</f>
        <v/>
      </c>
      <c r="L181" s="25">
        <f>IF(N(J181)=0,"",IF(J181&gt;0,set_WIPIncome,set_WIPAsset))</f>
        <v/>
      </c>
      <c r="M181" s="27">
        <f>IF(N(J181)=0,"",ABS(J181))</f>
        <v/>
      </c>
      <c r="N181" s="25">
        <f>IF(N(J181)=0,"","WIP "&amp;I181&amp;IF(D181="",""," - "&amp;D181)&amp;IF(F181="",""," "&amp;F181)&amp;IF(H181="",""," - "&amp;H181))</f>
        <v/>
      </c>
      <c r="O181" s="24" t="n"/>
      <c r="P181" s="24" t="n"/>
      <c r="Q181" s="24" t="n"/>
    </row>
    <row r="182" ht="15" customHeight="1">
      <c r="A182" s="66" t="n"/>
      <c r="B182" s="64">
        <f>IF(C182="","",IFERROR(INDEX(tbl_Finance[Date],MATCH(C182&amp;"",tbl_Finance[Xero Invoice No],0)),""))</f>
        <v/>
      </c>
      <c r="C182" s="24" t="n"/>
      <c r="D182" s="24" t="n"/>
      <c r="E182" s="25">
        <f>IF(D182="","",IF(COUNTIF(lst_Jobs,D182&amp;"")&gt;0,"OK","CHECK"))</f>
        <v/>
      </c>
      <c r="F182" s="24" t="n"/>
      <c r="G182" s="24" t="n"/>
      <c r="H182" s="24" t="n"/>
      <c r="I182" s="24" t="n"/>
      <c r="J182" s="26" t="n"/>
      <c r="K182" s="25">
        <f>IF(N(J182)=0,"",IF(J182&gt;0,set_WIPAsset,set_WIPIncome))</f>
        <v/>
      </c>
      <c r="L182" s="25">
        <f>IF(N(J182)=0,"",IF(J182&gt;0,set_WIPIncome,set_WIPAsset))</f>
        <v/>
      </c>
      <c r="M182" s="27">
        <f>IF(N(J182)=0,"",ABS(J182))</f>
        <v/>
      </c>
      <c r="N182" s="25">
        <f>IF(N(J182)=0,"","WIP "&amp;I182&amp;IF(D182="",""," - "&amp;D182)&amp;IF(F182="",""," "&amp;F182)&amp;IF(H182="",""," - "&amp;H182))</f>
        <v/>
      </c>
      <c r="O182" s="24" t="n"/>
      <c r="P182" s="24" t="n"/>
      <c r="Q182" s="24" t="n"/>
    </row>
    <row r="183" ht="15" customHeight="1">
      <c r="A183" s="66" t="n"/>
      <c r="B183" s="64">
        <f>IF(C183="","",IFERROR(INDEX(tbl_Finance[Date],MATCH(C183&amp;"",tbl_Finance[Xero Invoice No],0)),""))</f>
        <v/>
      </c>
      <c r="C183" s="24" t="n"/>
      <c r="D183" s="24" t="n"/>
      <c r="E183" s="25">
        <f>IF(D183="","",IF(COUNTIF(lst_Jobs,D183&amp;"")&gt;0,"OK","CHECK"))</f>
        <v/>
      </c>
      <c r="F183" s="24" t="n"/>
      <c r="G183" s="24" t="n"/>
      <c r="H183" s="24" t="n"/>
      <c r="I183" s="24" t="n"/>
      <c r="J183" s="26" t="n"/>
      <c r="K183" s="25">
        <f>IF(N(J183)=0,"",IF(J183&gt;0,set_WIPAsset,set_WIPIncome))</f>
        <v/>
      </c>
      <c r="L183" s="25">
        <f>IF(N(J183)=0,"",IF(J183&gt;0,set_WIPIncome,set_WIPAsset))</f>
        <v/>
      </c>
      <c r="M183" s="27">
        <f>IF(N(J183)=0,"",ABS(J183))</f>
        <v/>
      </c>
      <c r="N183" s="25">
        <f>IF(N(J183)=0,"","WIP "&amp;I183&amp;IF(D183="",""," - "&amp;D183)&amp;IF(F183="",""," "&amp;F183)&amp;IF(H183="",""," - "&amp;H183))</f>
        <v/>
      </c>
      <c r="O183" s="24" t="n"/>
      <c r="P183" s="24" t="n"/>
      <c r="Q183" s="24" t="n"/>
    </row>
    <row r="184" ht="15" customHeight="1">
      <c r="A184" s="66" t="n"/>
      <c r="B184" s="64">
        <f>IF(C184="","",IFERROR(INDEX(tbl_Finance[Date],MATCH(C184&amp;"",tbl_Finance[Xero Invoice No],0)),""))</f>
        <v/>
      </c>
      <c r="C184" s="24" t="n"/>
      <c r="D184" s="24" t="n"/>
      <c r="E184" s="25">
        <f>IF(D184="","",IF(COUNTIF(lst_Jobs,D184&amp;"")&gt;0,"OK","CHECK"))</f>
        <v/>
      </c>
      <c r="F184" s="24" t="n"/>
      <c r="G184" s="24" t="n"/>
      <c r="H184" s="24" t="n"/>
      <c r="I184" s="24" t="n"/>
      <c r="J184" s="26" t="n"/>
      <c r="K184" s="25">
        <f>IF(N(J184)=0,"",IF(J184&gt;0,set_WIPAsset,set_WIPIncome))</f>
        <v/>
      </c>
      <c r="L184" s="25">
        <f>IF(N(J184)=0,"",IF(J184&gt;0,set_WIPIncome,set_WIPAsset))</f>
        <v/>
      </c>
      <c r="M184" s="27">
        <f>IF(N(J184)=0,"",ABS(J184))</f>
        <v/>
      </c>
      <c r="N184" s="25">
        <f>IF(N(J184)=0,"","WIP "&amp;I184&amp;IF(D184="",""," - "&amp;D184)&amp;IF(F184="",""," "&amp;F184)&amp;IF(H184="",""," - "&amp;H184))</f>
        <v/>
      </c>
      <c r="O184" s="24" t="n"/>
      <c r="P184" s="24" t="n"/>
      <c r="Q184" s="24" t="n"/>
    </row>
    <row r="185" ht="15" customHeight="1">
      <c r="A185" s="66" t="n"/>
      <c r="B185" s="64">
        <f>IF(C185="","",IFERROR(INDEX(tbl_Finance[Date],MATCH(C185&amp;"",tbl_Finance[Xero Invoice No],0)),""))</f>
        <v/>
      </c>
      <c r="C185" s="24" t="n"/>
      <c r="D185" s="24" t="n"/>
      <c r="E185" s="25">
        <f>IF(D185="","",IF(COUNTIF(lst_Jobs,D185&amp;"")&gt;0,"OK","CHECK"))</f>
        <v/>
      </c>
      <c r="F185" s="24" t="n"/>
      <c r="G185" s="24" t="n"/>
      <c r="H185" s="24" t="n"/>
      <c r="I185" s="24" t="n"/>
      <c r="J185" s="26" t="n"/>
      <c r="K185" s="25">
        <f>IF(N(J185)=0,"",IF(J185&gt;0,set_WIPAsset,set_WIPIncome))</f>
        <v/>
      </c>
      <c r="L185" s="25">
        <f>IF(N(J185)=0,"",IF(J185&gt;0,set_WIPIncome,set_WIPAsset))</f>
        <v/>
      </c>
      <c r="M185" s="27">
        <f>IF(N(J185)=0,"",ABS(J185))</f>
        <v/>
      </c>
      <c r="N185" s="25">
        <f>IF(N(J185)=0,"","WIP "&amp;I185&amp;IF(D185="",""," - "&amp;D185)&amp;IF(F185="",""," "&amp;F185)&amp;IF(H185="",""," - "&amp;H185))</f>
        <v/>
      </c>
      <c r="O185" s="24" t="n"/>
      <c r="P185" s="24" t="n"/>
      <c r="Q185" s="24" t="n"/>
    </row>
    <row r="186" ht="15" customHeight="1">
      <c r="A186" s="66" t="n"/>
      <c r="B186" s="64">
        <f>IF(C186="","",IFERROR(INDEX(tbl_Finance[Date],MATCH(C186&amp;"",tbl_Finance[Xero Invoice No],0)),""))</f>
        <v/>
      </c>
      <c r="C186" s="24" t="n"/>
      <c r="D186" s="24" t="n"/>
      <c r="E186" s="25">
        <f>IF(D186="","",IF(COUNTIF(lst_Jobs,D186&amp;"")&gt;0,"OK","CHECK"))</f>
        <v/>
      </c>
      <c r="F186" s="24" t="n"/>
      <c r="G186" s="24" t="n"/>
      <c r="H186" s="24" t="n"/>
      <c r="I186" s="24" t="n"/>
      <c r="J186" s="26" t="n"/>
      <c r="K186" s="25">
        <f>IF(N(J186)=0,"",IF(J186&gt;0,set_WIPAsset,set_WIPIncome))</f>
        <v/>
      </c>
      <c r="L186" s="25">
        <f>IF(N(J186)=0,"",IF(J186&gt;0,set_WIPIncome,set_WIPAsset))</f>
        <v/>
      </c>
      <c r="M186" s="27">
        <f>IF(N(J186)=0,"",ABS(J186))</f>
        <v/>
      </c>
      <c r="N186" s="25">
        <f>IF(N(J186)=0,"","WIP "&amp;I186&amp;IF(D186="",""," - "&amp;D186)&amp;IF(F186="",""," "&amp;F186)&amp;IF(H186="",""," - "&amp;H186))</f>
        <v/>
      </c>
      <c r="O186" s="24" t="n"/>
      <c r="P186" s="24" t="n"/>
      <c r="Q186" s="24" t="n"/>
    </row>
    <row r="187" ht="15" customHeight="1">
      <c r="A187" s="66" t="n"/>
      <c r="B187" s="64">
        <f>IF(C187="","",IFERROR(INDEX(tbl_Finance[Date],MATCH(C187&amp;"",tbl_Finance[Xero Invoice No],0)),""))</f>
        <v/>
      </c>
      <c r="C187" s="24" t="n"/>
      <c r="D187" s="24" t="n"/>
      <c r="E187" s="25">
        <f>IF(D187="","",IF(COUNTIF(lst_Jobs,D187&amp;"")&gt;0,"OK","CHECK"))</f>
        <v/>
      </c>
      <c r="F187" s="24" t="n"/>
      <c r="G187" s="24" t="n"/>
      <c r="H187" s="24" t="n"/>
      <c r="I187" s="24" t="n"/>
      <c r="J187" s="26" t="n"/>
      <c r="K187" s="25">
        <f>IF(N(J187)=0,"",IF(J187&gt;0,set_WIPAsset,set_WIPIncome))</f>
        <v/>
      </c>
      <c r="L187" s="25">
        <f>IF(N(J187)=0,"",IF(J187&gt;0,set_WIPIncome,set_WIPAsset))</f>
        <v/>
      </c>
      <c r="M187" s="27">
        <f>IF(N(J187)=0,"",ABS(J187))</f>
        <v/>
      </c>
      <c r="N187" s="25">
        <f>IF(N(J187)=0,"","WIP "&amp;I187&amp;IF(D187="",""," - "&amp;D187)&amp;IF(F187="",""," "&amp;F187)&amp;IF(H187="",""," - "&amp;H187))</f>
        <v/>
      </c>
      <c r="O187" s="24" t="n"/>
      <c r="P187" s="24" t="n"/>
      <c r="Q187" s="24" t="n"/>
    </row>
    <row r="188" ht="15" customHeight="1">
      <c r="A188" s="66" t="n"/>
      <c r="B188" s="64">
        <f>IF(C188="","",IFERROR(INDEX(tbl_Finance[Date],MATCH(C188&amp;"",tbl_Finance[Xero Invoice No],0)),""))</f>
        <v/>
      </c>
      <c r="C188" s="24" t="n"/>
      <c r="D188" s="24" t="n"/>
      <c r="E188" s="25">
        <f>IF(D188="","",IF(COUNTIF(lst_Jobs,D188&amp;"")&gt;0,"OK","CHECK"))</f>
        <v/>
      </c>
      <c r="F188" s="24" t="n"/>
      <c r="G188" s="24" t="n"/>
      <c r="H188" s="24" t="n"/>
      <c r="I188" s="24" t="n"/>
      <c r="J188" s="26" t="n"/>
      <c r="K188" s="25">
        <f>IF(N(J188)=0,"",IF(J188&gt;0,set_WIPAsset,set_WIPIncome))</f>
        <v/>
      </c>
      <c r="L188" s="25">
        <f>IF(N(J188)=0,"",IF(J188&gt;0,set_WIPIncome,set_WIPAsset))</f>
        <v/>
      </c>
      <c r="M188" s="27">
        <f>IF(N(J188)=0,"",ABS(J188))</f>
        <v/>
      </c>
      <c r="N188" s="25">
        <f>IF(N(J188)=0,"","WIP "&amp;I188&amp;IF(D188="",""," - "&amp;D188)&amp;IF(F188="",""," "&amp;F188)&amp;IF(H188="",""," - "&amp;H188))</f>
        <v/>
      </c>
      <c r="O188" s="24" t="n"/>
      <c r="P188" s="24" t="n"/>
      <c r="Q188" s="24" t="n"/>
    </row>
    <row r="189" ht="15" customHeight="1">
      <c r="A189" s="66" t="n"/>
      <c r="B189" s="64">
        <f>IF(C189="","",IFERROR(INDEX(tbl_Finance[Date],MATCH(C189&amp;"",tbl_Finance[Xero Invoice No],0)),""))</f>
        <v/>
      </c>
      <c r="C189" s="24" t="n"/>
      <c r="D189" s="24" t="n"/>
      <c r="E189" s="25">
        <f>IF(D189="","",IF(COUNTIF(lst_Jobs,D189&amp;"")&gt;0,"OK","CHECK"))</f>
        <v/>
      </c>
      <c r="F189" s="24" t="n"/>
      <c r="G189" s="24" t="n"/>
      <c r="H189" s="24" t="n"/>
      <c r="I189" s="24" t="n"/>
      <c r="J189" s="26" t="n"/>
      <c r="K189" s="25">
        <f>IF(N(J189)=0,"",IF(J189&gt;0,set_WIPAsset,set_WIPIncome))</f>
        <v/>
      </c>
      <c r="L189" s="25">
        <f>IF(N(J189)=0,"",IF(J189&gt;0,set_WIPIncome,set_WIPAsset))</f>
        <v/>
      </c>
      <c r="M189" s="27">
        <f>IF(N(J189)=0,"",ABS(J189))</f>
        <v/>
      </c>
      <c r="N189" s="25">
        <f>IF(N(J189)=0,"","WIP "&amp;I189&amp;IF(D189="",""," - "&amp;D189)&amp;IF(F189="",""," "&amp;F189)&amp;IF(H189="",""," - "&amp;H189))</f>
        <v/>
      </c>
      <c r="O189" s="24" t="n"/>
      <c r="P189" s="24" t="n"/>
      <c r="Q189" s="24" t="n"/>
    </row>
    <row r="190" ht="15" customHeight="1">
      <c r="A190" s="66" t="n"/>
      <c r="B190" s="64">
        <f>IF(C190="","",IFERROR(INDEX(tbl_Finance[Date],MATCH(C190&amp;"",tbl_Finance[Xero Invoice No],0)),""))</f>
        <v/>
      </c>
      <c r="C190" s="24" t="n"/>
      <c r="D190" s="24" t="n"/>
      <c r="E190" s="25">
        <f>IF(D190="","",IF(COUNTIF(lst_Jobs,D190&amp;"")&gt;0,"OK","CHECK"))</f>
        <v/>
      </c>
      <c r="F190" s="24" t="n"/>
      <c r="G190" s="24" t="n"/>
      <c r="H190" s="24" t="n"/>
      <c r="I190" s="24" t="n"/>
      <c r="J190" s="26" t="n"/>
      <c r="K190" s="25">
        <f>IF(N(J190)=0,"",IF(J190&gt;0,set_WIPAsset,set_WIPIncome))</f>
        <v/>
      </c>
      <c r="L190" s="25">
        <f>IF(N(J190)=0,"",IF(J190&gt;0,set_WIPIncome,set_WIPAsset))</f>
        <v/>
      </c>
      <c r="M190" s="27">
        <f>IF(N(J190)=0,"",ABS(J190))</f>
        <v/>
      </c>
      <c r="N190" s="25">
        <f>IF(N(J190)=0,"","WIP "&amp;I190&amp;IF(D190="",""," - "&amp;D190)&amp;IF(F190="",""," "&amp;F190)&amp;IF(H190="",""," - "&amp;H190))</f>
        <v/>
      </c>
      <c r="O190" s="24" t="n"/>
      <c r="P190" s="24" t="n"/>
      <c r="Q190" s="24" t="n"/>
    </row>
    <row r="191" ht="15" customHeight="1">
      <c r="A191" s="66" t="n"/>
      <c r="B191" s="64">
        <f>IF(C191="","",IFERROR(INDEX(tbl_Finance[Date],MATCH(C191&amp;"",tbl_Finance[Xero Invoice No],0)),""))</f>
        <v/>
      </c>
      <c r="C191" s="24" t="n"/>
      <c r="D191" s="24" t="n"/>
      <c r="E191" s="25">
        <f>IF(D191="","",IF(COUNTIF(lst_Jobs,D191&amp;"")&gt;0,"OK","CHECK"))</f>
        <v/>
      </c>
      <c r="F191" s="24" t="n"/>
      <c r="G191" s="24" t="n"/>
      <c r="H191" s="24" t="n"/>
      <c r="I191" s="24" t="n"/>
      <c r="J191" s="26" t="n"/>
      <c r="K191" s="25">
        <f>IF(N(J191)=0,"",IF(J191&gt;0,set_WIPAsset,set_WIPIncome))</f>
        <v/>
      </c>
      <c r="L191" s="25">
        <f>IF(N(J191)=0,"",IF(J191&gt;0,set_WIPIncome,set_WIPAsset))</f>
        <v/>
      </c>
      <c r="M191" s="27">
        <f>IF(N(J191)=0,"",ABS(J191))</f>
        <v/>
      </c>
      <c r="N191" s="25">
        <f>IF(N(J191)=0,"","WIP "&amp;I191&amp;IF(D191="",""," - "&amp;D191)&amp;IF(F191="",""," "&amp;F191)&amp;IF(H191="",""," - "&amp;H191))</f>
        <v/>
      </c>
      <c r="O191" s="24" t="n"/>
      <c r="P191" s="24" t="n"/>
      <c r="Q191" s="24" t="n"/>
    </row>
    <row r="192" ht="15" customHeight="1">
      <c r="A192" s="66" t="n"/>
      <c r="B192" s="64">
        <f>IF(C192="","",IFERROR(INDEX(tbl_Finance[Date],MATCH(C192&amp;"",tbl_Finance[Xero Invoice No],0)),""))</f>
        <v/>
      </c>
      <c r="C192" s="24" t="n"/>
      <c r="D192" s="24" t="n"/>
      <c r="E192" s="25">
        <f>IF(D192="","",IF(COUNTIF(lst_Jobs,D192&amp;"")&gt;0,"OK","CHECK"))</f>
        <v/>
      </c>
      <c r="F192" s="24" t="n"/>
      <c r="G192" s="24" t="n"/>
      <c r="H192" s="24" t="n"/>
      <c r="I192" s="24" t="n"/>
      <c r="J192" s="26" t="n"/>
      <c r="K192" s="25">
        <f>IF(N(J192)=0,"",IF(J192&gt;0,set_WIPAsset,set_WIPIncome))</f>
        <v/>
      </c>
      <c r="L192" s="25">
        <f>IF(N(J192)=0,"",IF(J192&gt;0,set_WIPIncome,set_WIPAsset))</f>
        <v/>
      </c>
      <c r="M192" s="27">
        <f>IF(N(J192)=0,"",ABS(J192))</f>
        <v/>
      </c>
      <c r="N192" s="25">
        <f>IF(N(J192)=0,"","WIP "&amp;I192&amp;IF(D192="",""," - "&amp;D192)&amp;IF(F192="",""," "&amp;F192)&amp;IF(H192="",""," - "&amp;H192))</f>
        <v/>
      </c>
      <c r="O192" s="24" t="n"/>
      <c r="P192" s="24" t="n"/>
      <c r="Q192" s="24" t="n"/>
    </row>
    <row r="193" ht="15" customHeight="1">
      <c r="A193" s="66" t="n"/>
      <c r="B193" s="64">
        <f>IF(C193="","",IFERROR(INDEX(tbl_Finance[Date],MATCH(C193&amp;"",tbl_Finance[Xero Invoice No],0)),""))</f>
        <v/>
      </c>
      <c r="C193" s="24" t="n"/>
      <c r="D193" s="24" t="n"/>
      <c r="E193" s="25">
        <f>IF(D193="","",IF(COUNTIF(lst_Jobs,D193&amp;"")&gt;0,"OK","CHECK"))</f>
        <v/>
      </c>
      <c r="F193" s="24" t="n"/>
      <c r="G193" s="24" t="n"/>
      <c r="H193" s="24" t="n"/>
      <c r="I193" s="24" t="n"/>
      <c r="J193" s="26" t="n"/>
      <c r="K193" s="25">
        <f>IF(N(J193)=0,"",IF(J193&gt;0,set_WIPAsset,set_WIPIncome))</f>
        <v/>
      </c>
      <c r="L193" s="25">
        <f>IF(N(J193)=0,"",IF(J193&gt;0,set_WIPIncome,set_WIPAsset))</f>
        <v/>
      </c>
      <c r="M193" s="27">
        <f>IF(N(J193)=0,"",ABS(J193))</f>
        <v/>
      </c>
      <c r="N193" s="25">
        <f>IF(N(J193)=0,"","WIP "&amp;I193&amp;IF(D193="",""," - "&amp;D193)&amp;IF(F193="",""," "&amp;F193)&amp;IF(H193="",""," - "&amp;H193))</f>
        <v/>
      </c>
      <c r="O193" s="24" t="n"/>
      <c r="P193" s="24" t="n"/>
      <c r="Q193" s="24" t="n"/>
    </row>
    <row r="194" ht="15" customHeight="1">
      <c r="A194" s="66" t="n"/>
      <c r="B194" s="64">
        <f>IF(C194="","",IFERROR(INDEX(tbl_Finance[Date],MATCH(C194&amp;"",tbl_Finance[Xero Invoice No],0)),""))</f>
        <v/>
      </c>
      <c r="C194" s="24" t="n"/>
      <c r="D194" s="24" t="n"/>
      <c r="E194" s="25">
        <f>IF(D194="","",IF(COUNTIF(lst_Jobs,D194&amp;"")&gt;0,"OK","CHECK"))</f>
        <v/>
      </c>
      <c r="F194" s="24" t="n"/>
      <c r="G194" s="24" t="n"/>
      <c r="H194" s="24" t="n"/>
      <c r="I194" s="24" t="n"/>
      <c r="J194" s="26" t="n"/>
      <c r="K194" s="25">
        <f>IF(N(J194)=0,"",IF(J194&gt;0,set_WIPAsset,set_WIPIncome))</f>
        <v/>
      </c>
      <c r="L194" s="25">
        <f>IF(N(J194)=0,"",IF(J194&gt;0,set_WIPIncome,set_WIPAsset))</f>
        <v/>
      </c>
      <c r="M194" s="27">
        <f>IF(N(J194)=0,"",ABS(J194))</f>
        <v/>
      </c>
      <c r="N194" s="25">
        <f>IF(N(J194)=0,"","WIP "&amp;I194&amp;IF(D194="",""," - "&amp;D194)&amp;IF(F194="",""," "&amp;F194)&amp;IF(H194="",""," - "&amp;H194))</f>
        <v/>
      </c>
      <c r="O194" s="24" t="n"/>
      <c r="P194" s="24" t="n"/>
      <c r="Q194" s="24" t="n"/>
    </row>
    <row r="195" ht="15" customHeight="1">
      <c r="A195" s="66" t="n"/>
      <c r="B195" s="64">
        <f>IF(C195="","",IFERROR(INDEX(tbl_Finance[Date],MATCH(C195&amp;"",tbl_Finance[Xero Invoice No],0)),""))</f>
        <v/>
      </c>
      <c r="C195" s="24" t="n"/>
      <c r="D195" s="24" t="n"/>
      <c r="E195" s="25">
        <f>IF(D195="","",IF(COUNTIF(lst_Jobs,D195&amp;"")&gt;0,"OK","CHECK"))</f>
        <v/>
      </c>
      <c r="F195" s="24" t="n"/>
      <c r="G195" s="24" t="n"/>
      <c r="H195" s="24" t="n"/>
      <c r="I195" s="24" t="n"/>
      <c r="J195" s="26" t="n"/>
      <c r="K195" s="25">
        <f>IF(N(J195)=0,"",IF(J195&gt;0,set_WIPAsset,set_WIPIncome))</f>
        <v/>
      </c>
      <c r="L195" s="25">
        <f>IF(N(J195)=0,"",IF(J195&gt;0,set_WIPIncome,set_WIPAsset))</f>
        <v/>
      </c>
      <c r="M195" s="27">
        <f>IF(N(J195)=0,"",ABS(J195))</f>
        <v/>
      </c>
      <c r="N195" s="25">
        <f>IF(N(J195)=0,"","WIP "&amp;I195&amp;IF(D195="",""," - "&amp;D195)&amp;IF(F195="",""," "&amp;F195)&amp;IF(H195="",""," - "&amp;H195))</f>
        <v/>
      </c>
      <c r="O195" s="24" t="n"/>
      <c r="P195" s="24" t="n"/>
      <c r="Q195" s="24" t="n"/>
    </row>
    <row r="196" ht="15" customHeight="1">
      <c r="A196" s="66" t="n"/>
      <c r="B196" s="64">
        <f>IF(C196="","",IFERROR(INDEX(tbl_Finance[Date],MATCH(C196&amp;"",tbl_Finance[Xero Invoice No],0)),""))</f>
        <v/>
      </c>
      <c r="C196" s="24" t="n"/>
      <c r="D196" s="24" t="n"/>
      <c r="E196" s="25">
        <f>IF(D196="","",IF(COUNTIF(lst_Jobs,D196&amp;"")&gt;0,"OK","CHECK"))</f>
        <v/>
      </c>
      <c r="F196" s="24" t="n"/>
      <c r="G196" s="24" t="n"/>
      <c r="H196" s="24" t="n"/>
      <c r="I196" s="24" t="n"/>
      <c r="J196" s="26" t="n"/>
      <c r="K196" s="25">
        <f>IF(N(J196)=0,"",IF(J196&gt;0,set_WIPAsset,set_WIPIncome))</f>
        <v/>
      </c>
      <c r="L196" s="25">
        <f>IF(N(J196)=0,"",IF(J196&gt;0,set_WIPIncome,set_WIPAsset))</f>
        <v/>
      </c>
      <c r="M196" s="27">
        <f>IF(N(J196)=0,"",ABS(J196))</f>
        <v/>
      </c>
      <c r="N196" s="25">
        <f>IF(N(J196)=0,"","WIP "&amp;I196&amp;IF(D196="",""," - "&amp;D196)&amp;IF(F196="",""," "&amp;F196)&amp;IF(H196="",""," - "&amp;H196))</f>
        <v/>
      </c>
      <c r="O196" s="24" t="n"/>
      <c r="P196" s="24" t="n"/>
      <c r="Q196" s="24" t="n"/>
    </row>
    <row r="197" ht="15" customHeight="1">
      <c r="A197" s="66" t="n"/>
      <c r="B197" s="64">
        <f>IF(C197="","",IFERROR(INDEX(tbl_Finance[Date],MATCH(C197&amp;"",tbl_Finance[Xero Invoice No],0)),""))</f>
        <v/>
      </c>
      <c r="C197" s="24" t="n"/>
      <c r="D197" s="24" t="n"/>
      <c r="E197" s="25">
        <f>IF(D197="","",IF(COUNTIF(lst_Jobs,D197&amp;"")&gt;0,"OK","CHECK"))</f>
        <v/>
      </c>
      <c r="F197" s="24" t="n"/>
      <c r="G197" s="24" t="n"/>
      <c r="H197" s="24" t="n"/>
      <c r="I197" s="24" t="n"/>
      <c r="J197" s="26" t="n"/>
      <c r="K197" s="25">
        <f>IF(N(J197)=0,"",IF(J197&gt;0,set_WIPAsset,set_WIPIncome))</f>
        <v/>
      </c>
      <c r="L197" s="25">
        <f>IF(N(J197)=0,"",IF(J197&gt;0,set_WIPIncome,set_WIPAsset))</f>
        <v/>
      </c>
      <c r="M197" s="27">
        <f>IF(N(J197)=0,"",ABS(J197))</f>
        <v/>
      </c>
      <c r="N197" s="25">
        <f>IF(N(J197)=0,"","WIP "&amp;I197&amp;IF(D197="",""," - "&amp;D197)&amp;IF(F197="",""," "&amp;F197)&amp;IF(H197="",""," - "&amp;H197))</f>
        <v/>
      </c>
      <c r="O197" s="24" t="n"/>
      <c r="P197" s="24" t="n"/>
      <c r="Q197" s="24" t="n"/>
    </row>
    <row r="198" ht="15" customHeight="1">
      <c r="A198" s="66" t="n"/>
      <c r="B198" s="64">
        <f>IF(C198="","",IFERROR(INDEX(tbl_Finance[Date],MATCH(C198&amp;"",tbl_Finance[Xero Invoice No],0)),""))</f>
        <v/>
      </c>
      <c r="C198" s="24" t="n"/>
      <c r="D198" s="24" t="n"/>
      <c r="E198" s="25">
        <f>IF(D198="","",IF(COUNTIF(lst_Jobs,D198&amp;"")&gt;0,"OK","CHECK"))</f>
        <v/>
      </c>
      <c r="F198" s="24" t="n"/>
      <c r="G198" s="24" t="n"/>
      <c r="H198" s="24" t="n"/>
      <c r="I198" s="24" t="n"/>
      <c r="J198" s="26" t="n"/>
      <c r="K198" s="25">
        <f>IF(N(J198)=0,"",IF(J198&gt;0,set_WIPAsset,set_WIPIncome))</f>
        <v/>
      </c>
      <c r="L198" s="25">
        <f>IF(N(J198)=0,"",IF(J198&gt;0,set_WIPIncome,set_WIPAsset))</f>
        <v/>
      </c>
      <c r="M198" s="27">
        <f>IF(N(J198)=0,"",ABS(J198))</f>
        <v/>
      </c>
      <c r="N198" s="25">
        <f>IF(N(J198)=0,"","WIP "&amp;I198&amp;IF(D198="",""," - "&amp;D198)&amp;IF(F198="",""," "&amp;F198)&amp;IF(H198="",""," - "&amp;H198))</f>
        <v/>
      </c>
      <c r="O198" s="24" t="n"/>
      <c r="P198" s="24" t="n"/>
      <c r="Q198" s="24" t="n"/>
    </row>
    <row r="199" ht="15" customHeight="1">
      <c r="A199" s="66" t="n"/>
      <c r="B199" s="64">
        <f>IF(C199="","",IFERROR(INDEX(tbl_Finance[Date],MATCH(C199&amp;"",tbl_Finance[Xero Invoice No],0)),""))</f>
        <v/>
      </c>
      <c r="C199" s="24" t="n"/>
      <c r="D199" s="24" t="n"/>
      <c r="E199" s="25">
        <f>IF(D199="","",IF(COUNTIF(lst_Jobs,D199&amp;"")&gt;0,"OK","CHECK"))</f>
        <v/>
      </c>
      <c r="F199" s="24" t="n"/>
      <c r="G199" s="24" t="n"/>
      <c r="H199" s="24" t="n"/>
      <c r="I199" s="24" t="n"/>
      <c r="J199" s="26" t="n"/>
      <c r="K199" s="25">
        <f>IF(N(J199)=0,"",IF(J199&gt;0,set_WIPAsset,set_WIPIncome))</f>
        <v/>
      </c>
      <c r="L199" s="25">
        <f>IF(N(J199)=0,"",IF(J199&gt;0,set_WIPIncome,set_WIPAsset))</f>
        <v/>
      </c>
      <c r="M199" s="27">
        <f>IF(N(J199)=0,"",ABS(J199))</f>
        <v/>
      </c>
      <c r="N199" s="25">
        <f>IF(N(J199)=0,"","WIP "&amp;I199&amp;IF(D199="",""," - "&amp;D199)&amp;IF(F199="",""," "&amp;F199)&amp;IF(H199="",""," - "&amp;H199))</f>
        <v/>
      </c>
      <c r="O199" s="24" t="n"/>
      <c r="P199" s="24" t="n"/>
      <c r="Q199" s="24" t="n"/>
    </row>
    <row r="200" ht="15" customHeight="1">
      <c r="A200" s="66" t="n"/>
      <c r="B200" s="64">
        <f>IF(C200="","",IFERROR(INDEX(tbl_Finance[Date],MATCH(C200&amp;"",tbl_Finance[Xero Invoice No],0)),""))</f>
        <v/>
      </c>
      <c r="C200" s="24" t="n"/>
      <c r="D200" s="24" t="n"/>
      <c r="E200" s="25">
        <f>IF(D200="","",IF(COUNTIF(lst_Jobs,D200&amp;"")&gt;0,"OK","CHECK"))</f>
        <v/>
      </c>
      <c r="F200" s="24" t="n"/>
      <c r="G200" s="24" t="n"/>
      <c r="H200" s="24" t="n"/>
      <c r="I200" s="24" t="n"/>
      <c r="J200" s="26" t="n"/>
      <c r="K200" s="25">
        <f>IF(N(J200)=0,"",IF(J200&gt;0,set_WIPAsset,set_WIPIncome))</f>
        <v/>
      </c>
      <c r="L200" s="25">
        <f>IF(N(J200)=0,"",IF(J200&gt;0,set_WIPIncome,set_WIPAsset))</f>
        <v/>
      </c>
      <c r="M200" s="27">
        <f>IF(N(J200)=0,"",ABS(J200))</f>
        <v/>
      </c>
      <c r="N200" s="25">
        <f>IF(N(J200)=0,"","WIP "&amp;I200&amp;IF(D200="",""," - "&amp;D200)&amp;IF(F200="",""," "&amp;F200)&amp;IF(H200="",""," - "&amp;H200))</f>
        <v/>
      </c>
      <c r="O200" s="24" t="n"/>
      <c r="P200" s="24" t="n"/>
      <c r="Q200" s="24" t="n"/>
    </row>
    <row r="201" ht="15" customHeight="1">
      <c r="A201" s="66" t="n"/>
      <c r="B201" s="64">
        <f>IF(C201="","",IFERROR(INDEX(tbl_Finance[Date],MATCH(C201&amp;"",tbl_Finance[Xero Invoice No],0)),""))</f>
        <v/>
      </c>
      <c r="C201" s="24" t="n"/>
      <c r="D201" s="24" t="n"/>
      <c r="E201" s="25">
        <f>IF(D201="","",IF(COUNTIF(lst_Jobs,D201&amp;"")&gt;0,"OK","CHECK"))</f>
        <v/>
      </c>
      <c r="F201" s="24" t="n"/>
      <c r="G201" s="24" t="n"/>
      <c r="H201" s="24" t="n"/>
      <c r="I201" s="24" t="n"/>
      <c r="J201" s="26" t="n"/>
      <c r="K201" s="25">
        <f>IF(N(J201)=0,"",IF(J201&gt;0,set_WIPAsset,set_WIPIncome))</f>
        <v/>
      </c>
      <c r="L201" s="25">
        <f>IF(N(J201)=0,"",IF(J201&gt;0,set_WIPIncome,set_WIPAsset))</f>
        <v/>
      </c>
      <c r="M201" s="27">
        <f>IF(N(J201)=0,"",ABS(J201))</f>
        <v/>
      </c>
      <c r="N201" s="25">
        <f>IF(N(J201)=0,"","WIP "&amp;I201&amp;IF(D201="",""," - "&amp;D201)&amp;IF(F201="",""," "&amp;F201)&amp;IF(H201="",""," - "&amp;H201))</f>
        <v/>
      </c>
      <c r="O201" s="24" t="n"/>
      <c r="P201" s="24" t="n"/>
      <c r="Q201" s="24" t="n"/>
    </row>
    <row r="202" ht="15" customHeight="1">
      <c r="A202" s="66" t="n"/>
      <c r="B202" s="64">
        <f>IF(C202="","",IFERROR(INDEX(tbl_Finance[Date],MATCH(C202&amp;"",tbl_Finance[Xero Invoice No],0)),""))</f>
        <v/>
      </c>
      <c r="C202" s="24" t="n"/>
      <c r="D202" s="24" t="n"/>
      <c r="E202" s="25">
        <f>IF(D202="","",IF(COUNTIF(lst_Jobs,D202&amp;"")&gt;0,"OK","CHECK"))</f>
        <v/>
      </c>
      <c r="F202" s="24" t="n"/>
      <c r="G202" s="24" t="n"/>
      <c r="H202" s="24" t="n"/>
      <c r="I202" s="24" t="n"/>
      <c r="J202" s="26" t="n"/>
      <c r="K202" s="25">
        <f>IF(N(J202)=0,"",IF(J202&gt;0,set_WIPAsset,set_WIPIncome))</f>
        <v/>
      </c>
      <c r="L202" s="25">
        <f>IF(N(J202)=0,"",IF(J202&gt;0,set_WIPIncome,set_WIPAsset))</f>
        <v/>
      </c>
      <c r="M202" s="27">
        <f>IF(N(J202)=0,"",ABS(J202))</f>
        <v/>
      </c>
      <c r="N202" s="25">
        <f>IF(N(J202)=0,"","WIP "&amp;I202&amp;IF(D202="",""," - "&amp;D202)&amp;IF(F202="",""," "&amp;F202)&amp;IF(H202="",""," - "&amp;H202))</f>
        <v/>
      </c>
      <c r="O202" s="24" t="n"/>
      <c r="P202" s="24" t="n"/>
      <c r="Q202" s="24" t="n"/>
    </row>
    <row r="203" ht="15" customHeight="1">
      <c r="A203" s="66" t="n"/>
      <c r="B203" s="64">
        <f>IF(C203="","",IFERROR(INDEX(tbl_Finance[Date],MATCH(C203&amp;"",tbl_Finance[Xero Invoice No],0)),""))</f>
        <v/>
      </c>
      <c r="C203" s="24" t="n"/>
      <c r="D203" s="24" t="n"/>
      <c r="E203" s="25">
        <f>IF(D203="","",IF(COUNTIF(lst_Jobs,D203&amp;"")&gt;0,"OK","CHECK"))</f>
        <v/>
      </c>
      <c r="F203" s="24" t="n"/>
      <c r="G203" s="24" t="n"/>
      <c r="H203" s="24" t="n"/>
      <c r="I203" s="24" t="n"/>
      <c r="J203" s="26" t="n"/>
      <c r="K203" s="25">
        <f>IF(N(J203)=0,"",IF(J203&gt;0,set_WIPAsset,set_WIPIncome))</f>
        <v/>
      </c>
      <c r="L203" s="25">
        <f>IF(N(J203)=0,"",IF(J203&gt;0,set_WIPIncome,set_WIPAsset))</f>
        <v/>
      </c>
      <c r="M203" s="27">
        <f>IF(N(J203)=0,"",ABS(J203))</f>
        <v/>
      </c>
      <c r="N203" s="25">
        <f>IF(N(J203)=0,"","WIP "&amp;I203&amp;IF(D203="",""," - "&amp;D203)&amp;IF(F203="",""," "&amp;F203)&amp;IF(H203="",""," - "&amp;H203))</f>
        <v/>
      </c>
      <c r="O203" s="24" t="n"/>
      <c r="P203" s="24" t="n"/>
      <c r="Q203" s="24" t="n"/>
    </row>
    <row r="204" ht="15" customHeight="1">
      <c r="A204" s="66" t="n"/>
      <c r="B204" s="64">
        <f>IF(C204="","",IFERROR(INDEX(tbl_Finance[Date],MATCH(C204&amp;"",tbl_Finance[Xero Invoice No],0)),""))</f>
        <v/>
      </c>
      <c r="C204" s="24" t="n"/>
      <c r="D204" s="24" t="n"/>
      <c r="E204" s="25">
        <f>IF(D204="","",IF(COUNTIF(lst_Jobs,D204&amp;"")&gt;0,"OK","CHECK"))</f>
        <v/>
      </c>
      <c r="F204" s="24" t="n"/>
      <c r="G204" s="24" t="n"/>
      <c r="H204" s="24" t="n"/>
      <c r="I204" s="24" t="n"/>
      <c r="J204" s="26" t="n"/>
      <c r="K204" s="25">
        <f>IF(N(J204)=0,"",IF(J204&gt;0,set_WIPAsset,set_WIPIncome))</f>
        <v/>
      </c>
      <c r="L204" s="25">
        <f>IF(N(J204)=0,"",IF(J204&gt;0,set_WIPIncome,set_WIPAsset))</f>
        <v/>
      </c>
      <c r="M204" s="27">
        <f>IF(N(J204)=0,"",ABS(J204))</f>
        <v/>
      </c>
      <c r="N204" s="25">
        <f>IF(N(J204)=0,"","WIP "&amp;I204&amp;IF(D204="",""," - "&amp;D204)&amp;IF(F204="",""," "&amp;F204)&amp;IF(H204="",""," - "&amp;H204))</f>
        <v/>
      </c>
      <c r="O204" s="24" t="n"/>
      <c r="P204" s="24" t="n"/>
      <c r="Q204" s="24" t="n"/>
    </row>
    <row r="205" ht="15" customHeight="1">
      <c r="A205" s="66" t="n"/>
      <c r="B205" s="64">
        <f>IF(C205="","",IFERROR(INDEX(tbl_Finance[Date],MATCH(C205&amp;"",tbl_Finance[Xero Invoice No],0)),""))</f>
        <v/>
      </c>
      <c r="C205" s="24" t="n"/>
      <c r="D205" s="24" t="n"/>
      <c r="E205" s="25">
        <f>IF(D205="","",IF(COUNTIF(lst_Jobs,D205&amp;"")&gt;0,"OK","CHECK"))</f>
        <v/>
      </c>
      <c r="F205" s="24" t="n"/>
      <c r="G205" s="24" t="n"/>
      <c r="H205" s="24" t="n"/>
      <c r="I205" s="24" t="n"/>
      <c r="J205" s="26" t="n"/>
      <c r="K205" s="25">
        <f>IF(N(J205)=0,"",IF(J205&gt;0,set_WIPAsset,set_WIPIncome))</f>
        <v/>
      </c>
      <c r="L205" s="25">
        <f>IF(N(J205)=0,"",IF(J205&gt;0,set_WIPIncome,set_WIPAsset))</f>
        <v/>
      </c>
      <c r="M205" s="27">
        <f>IF(N(J205)=0,"",ABS(J205))</f>
        <v/>
      </c>
      <c r="N205" s="25">
        <f>IF(N(J205)=0,"","WIP "&amp;I205&amp;IF(D205="",""," - "&amp;D205)&amp;IF(F205="",""," "&amp;F205)&amp;IF(H205="",""," - "&amp;H205))</f>
        <v/>
      </c>
      <c r="O205" s="24" t="n"/>
      <c r="P205" s="24" t="n"/>
      <c r="Q205" s="24" t="n"/>
    </row>
    <row r="206" ht="15" customHeight="1">
      <c r="A206" s="66" t="n"/>
      <c r="B206" s="64">
        <f>IF(C206="","",IFERROR(INDEX(tbl_Finance[Date],MATCH(C206&amp;"",tbl_Finance[Xero Invoice No],0)),""))</f>
        <v/>
      </c>
      <c r="C206" s="24" t="n"/>
      <c r="D206" s="24" t="n"/>
      <c r="E206" s="25">
        <f>IF(D206="","",IF(COUNTIF(lst_Jobs,D206&amp;"")&gt;0,"OK","CHECK"))</f>
        <v/>
      </c>
      <c r="F206" s="24" t="n"/>
      <c r="G206" s="24" t="n"/>
      <c r="H206" s="24" t="n"/>
      <c r="I206" s="24" t="n"/>
      <c r="J206" s="26" t="n"/>
      <c r="K206" s="25">
        <f>IF(N(J206)=0,"",IF(J206&gt;0,set_WIPAsset,set_WIPIncome))</f>
        <v/>
      </c>
      <c r="L206" s="25">
        <f>IF(N(J206)=0,"",IF(J206&gt;0,set_WIPIncome,set_WIPAsset))</f>
        <v/>
      </c>
      <c r="M206" s="27">
        <f>IF(N(J206)=0,"",ABS(J206))</f>
        <v/>
      </c>
      <c r="N206" s="25">
        <f>IF(N(J206)=0,"","WIP "&amp;I206&amp;IF(D206="",""," - "&amp;D206)&amp;IF(F206="",""," "&amp;F206)&amp;IF(H206="",""," - "&amp;H206))</f>
        <v/>
      </c>
      <c r="O206" s="24" t="n"/>
      <c r="P206" s="24" t="n"/>
      <c r="Q206" s="24" t="n"/>
    </row>
    <row r="207" ht="15" customHeight="1">
      <c r="A207" s="66" t="n"/>
      <c r="B207" s="64">
        <f>IF(C207="","",IFERROR(INDEX(tbl_Finance[Date],MATCH(C207&amp;"",tbl_Finance[Xero Invoice No],0)),""))</f>
        <v/>
      </c>
      <c r="C207" s="24" t="n"/>
      <c r="D207" s="24" t="n"/>
      <c r="E207" s="25">
        <f>IF(D207="","",IF(COUNTIF(lst_Jobs,D207&amp;"")&gt;0,"OK","CHECK"))</f>
        <v/>
      </c>
      <c r="F207" s="24" t="n"/>
      <c r="G207" s="24" t="n"/>
      <c r="H207" s="24" t="n"/>
      <c r="I207" s="24" t="n"/>
      <c r="J207" s="26" t="n"/>
      <c r="K207" s="25">
        <f>IF(N(J207)=0,"",IF(J207&gt;0,set_WIPAsset,set_WIPIncome))</f>
        <v/>
      </c>
      <c r="L207" s="25">
        <f>IF(N(J207)=0,"",IF(J207&gt;0,set_WIPIncome,set_WIPAsset))</f>
        <v/>
      </c>
      <c r="M207" s="27">
        <f>IF(N(J207)=0,"",ABS(J207))</f>
        <v/>
      </c>
      <c r="N207" s="25">
        <f>IF(N(J207)=0,"","WIP "&amp;I207&amp;IF(D207="",""," - "&amp;D207)&amp;IF(F207="",""," "&amp;F207)&amp;IF(H207="",""," - "&amp;H207))</f>
        <v/>
      </c>
      <c r="O207" s="24" t="n"/>
      <c r="P207" s="24" t="n"/>
      <c r="Q207" s="24" t="n"/>
    </row>
    <row r="208" ht="15" customHeight="1">
      <c r="A208" s="66" t="n"/>
      <c r="B208" s="64">
        <f>IF(C208="","",IFERROR(INDEX(tbl_Finance[Date],MATCH(C208&amp;"",tbl_Finance[Xero Invoice No],0)),""))</f>
        <v/>
      </c>
      <c r="C208" s="24" t="n"/>
      <c r="D208" s="24" t="n"/>
      <c r="E208" s="25">
        <f>IF(D208="","",IF(COUNTIF(lst_Jobs,D208&amp;"")&gt;0,"OK","CHECK"))</f>
        <v/>
      </c>
      <c r="F208" s="24" t="n"/>
      <c r="G208" s="24" t="n"/>
      <c r="H208" s="24" t="n"/>
      <c r="I208" s="24" t="n"/>
      <c r="J208" s="26" t="n"/>
      <c r="K208" s="25">
        <f>IF(N(J208)=0,"",IF(J208&gt;0,set_WIPAsset,set_WIPIncome))</f>
        <v/>
      </c>
      <c r="L208" s="25">
        <f>IF(N(J208)=0,"",IF(J208&gt;0,set_WIPIncome,set_WIPAsset))</f>
        <v/>
      </c>
      <c r="M208" s="27">
        <f>IF(N(J208)=0,"",ABS(J208))</f>
        <v/>
      </c>
      <c r="N208" s="25">
        <f>IF(N(J208)=0,"","WIP "&amp;I208&amp;IF(D208="",""," - "&amp;D208)&amp;IF(F208="",""," "&amp;F208)&amp;IF(H208="",""," - "&amp;H208))</f>
        <v/>
      </c>
      <c r="O208" s="24" t="n"/>
      <c r="P208" s="24" t="n"/>
      <c r="Q208" s="24" t="n"/>
    </row>
    <row r="209" ht="15" customHeight="1">
      <c r="A209" s="66" t="n"/>
      <c r="B209" s="64">
        <f>IF(C209="","",IFERROR(INDEX(tbl_Finance[Date],MATCH(C209&amp;"",tbl_Finance[Xero Invoice No],0)),""))</f>
        <v/>
      </c>
      <c r="C209" s="24" t="n"/>
      <c r="D209" s="24" t="n"/>
      <c r="E209" s="25">
        <f>IF(D209="","",IF(COUNTIF(lst_Jobs,D209&amp;"")&gt;0,"OK","CHECK"))</f>
        <v/>
      </c>
      <c r="F209" s="24" t="n"/>
      <c r="G209" s="24" t="n"/>
      <c r="H209" s="24" t="n"/>
      <c r="I209" s="24" t="n"/>
      <c r="J209" s="26" t="n"/>
      <c r="K209" s="25">
        <f>IF(N(J209)=0,"",IF(J209&gt;0,set_WIPAsset,set_WIPIncome))</f>
        <v/>
      </c>
      <c r="L209" s="25">
        <f>IF(N(J209)=0,"",IF(J209&gt;0,set_WIPIncome,set_WIPAsset))</f>
        <v/>
      </c>
      <c r="M209" s="27">
        <f>IF(N(J209)=0,"",ABS(J209))</f>
        <v/>
      </c>
      <c r="N209" s="25">
        <f>IF(N(J209)=0,"","WIP "&amp;I209&amp;IF(D209="",""," - "&amp;D209)&amp;IF(F209="",""," "&amp;F209)&amp;IF(H209="",""," - "&amp;H209))</f>
        <v/>
      </c>
      <c r="O209" s="24" t="n"/>
      <c r="P209" s="24" t="n"/>
      <c r="Q209" s="24" t="n"/>
    </row>
    <row r="210" ht="15" customHeight="1">
      <c r="A210" s="66" t="n"/>
      <c r="B210" s="64">
        <f>IF(C210="","",IFERROR(INDEX(tbl_Finance[Date],MATCH(C210&amp;"",tbl_Finance[Xero Invoice No],0)),""))</f>
        <v/>
      </c>
      <c r="C210" s="24" t="n"/>
      <c r="D210" s="24" t="n"/>
      <c r="E210" s="25">
        <f>IF(D210="","",IF(COUNTIF(lst_Jobs,D210&amp;"")&gt;0,"OK","CHECK"))</f>
        <v/>
      </c>
      <c r="F210" s="24" t="n"/>
      <c r="G210" s="24" t="n"/>
      <c r="H210" s="24" t="n"/>
      <c r="I210" s="24" t="n"/>
      <c r="J210" s="26" t="n"/>
      <c r="K210" s="25">
        <f>IF(N(J210)=0,"",IF(J210&gt;0,set_WIPAsset,set_WIPIncome))</f>
        <v/>
      </c>
      <c r="L210" s="25">
        <f>IF(N(J210)=0,"",IF(J210&gt;0,set_WIPIncome,set_WIPAsset))</f>
        <v/>
      </c>
      <c r="M210" s="27">
        <f>IF(N(J210)=0,"",ABS(J210))</f>
        <v/>
      </c>
      <c r="N210" s="25">
        <f>IF(N(J210)=0,"","WIP "&amp;I210&amp;IF(D210="",""," - "&amp;D210)&amp;IF(F210="",""," "&amp;F210)&amp;IF(H210="",""," - "&amp;H210))</f>
        <v/>
      </c>
      <c r="O210" s="24" t="n"/>
      <c r="P210" s="24" t="n"/>
      <c r="Q210" s="24" t="n"/>
    </row>
    <row r="211" ht="15" customHeight="1">
      <c r="A211" s="66" t="n"/>
      <c r="B211" s="64">
        <f>IF(C211="","",IFERROR(INDEX(tbl_Finance[Date],MATCH(C211&amp;"",tbl_Finance[Xero Invoice No],0)),""))</f>
        <v/>
      </c>
      <c r="C211" s="24" t="n"/>
      <c r="D211" s="24" t="n"/>
      <c r="E211" s="25">
        <f>IF(D211="","",IF(COUNTIF(lst_Jobs,D211&amp;"")&gt;0,"OK","CHECK"))</f>
        <v/>
      </c>
      <c r="F211" s="24" t="n"/>
      <c r="G211" s="24" t="n"/>
      <c r="H211" s="24" t="n"/>
      <c r="I211" s="24" t="n"/>
      <c r="J211" s="26" t="n"/>
      <c r="K211" s="25">
        <f>IF(N(J211)=0,"",IF(J211&gt;0,set_WIPAsset,set_WIPIncome))</f>
        <v/>
      </c>
      <c r="L211" s="25">
        <f>IF(N(J211)=0,"",IF(J211&gt;0,set_WIPIncome,set_WIPAsset))</f>
        <v/>
      </c>
      <c r="M211" s="27">
        <f>IF(N(J211)=0,"",ABS(J211))</f>
        <v/>
      </c>
      <c r="N211" s="25">
        <f>IF(N(J211)=0,"","WIP "&amp;I211&amp;IF(D211="",""," - "&amp;D211)&amp;IF(F211="",""," "&amp;F211)&amp;IF(H211="",""," - "&amp;H211))</f>
        <v/>
      </c>
      <c r="O211" s="24" t="n"/>
      <c r="P211" s="24" t="n"/>
      <c r="Q211" s="24" t="n"/>
    </row>
    <row r="212" ht="15" customHeight="1">
      <c r="A212" s="66" t="n"/>
      <c r="B212" s="64">
        <f>IF(C212="","",IFERROR(INDEX(tbl_Finance[Date],MATCH(C212&amp;"",tbl_Finance[Xero Invoice No],0)),""))</f>
        <v/>
      </c>
      <c r="C212" s="24" t="n"/>
      <c r="D212" s="24" t="n"/>
      <c r="E212" s="25">
        <f>IF(D212="","",IF(COUNTIF(lst_Jobs,D212&amp;"")&gt;0,"OK","CHECK"))</f>
        <v/>
      </c>
      <c r="F212" s="24" t="n"/>
      <c r="G212" s="24" t="n"/>
      <c r="H212" s="24" t="n"/>
      <c r="I212" s="24" t="n"/>
      <c r="J212" s="26" t="n"/>
      <c r="K212" s="25">
        <f>IF(N(J212)=0,"",IF(J212&gt;0,set_WIPAsset,set_WIPIncome))</f>
        <v/>
      </c>
      <c r="L212" s="25">
        <f>IF(N(J212)=0,"",IF(J212&gt;0,set_WIPIncome,set_WIPAsset))</f>
        <v/>
      </c>
      <c r="M212" s="27">
        <f>IF(N(J212)=0,"",ABS(J212))</f>
        <v/>
      </c>
      <c r="N212" s="25">
        <f>IF(N(J212)=0,"","WIP "&amp;I212&amp;IF(D212="",""," - "&amp;D212)&amp;IF(F212="",""," "&amp;F212)&amp;IF(H212="",""," - "&amp;H212))</f>
        <v/>
      </c>
      <c r="O212" s="24" t="n"/>
      <c r="P212" s="24" t="n"/>
      <c r="Q212" s="24" t="n"/>
    </row>
    <row r="213" ht="15" customHeight="1">
      <c r="A213" s="66" t="n"/>
      <c r="B213" s="64">
        <f>IF(C213="","",IFERROR(INDEX(tbl_Finance[Date],MATCH(C213&amp;"",tbl_Finance[Xero Invoice No],0)),""))</f>
        <v/>
      </c>
      <c r="C213" s="24" t="n"/>
      <c r="D213" s="24" t="n"/>
      <c r="E213" s="25">
        <f>IF(D213="","",IF(COUNTIF(lst_Jobs,D213&amp;"")&gt;0,"OK","CHECK"))</f>
        <v/>
      </c>
      <c r="F213" s="24" t="n"/>
      <c r="G213" s="24" t="n"/>
      <c r="H213" s="24" t="n"/>
      <c r="I213" s="24" t="n"/>
      <c r="J213" s="26" t="n"/>
      <c r="K213" s="25">
        <f>IF(N(J213)=0,"",IF(J213&gt;0,set_WIPAsset,set_WIPIncome))</f>
        <v/>
      </c>
      <c r="L213" s="25">
        <f>IF(N(J213)=0,"",IF(J213&gt;0,set_WIPIncome,set_WIPAsset))</f>
        <v/>
      </c>
      <c r="M213" s="27">
        <f>IF(N(J213)=0,"",ABS(J213))</f>
        <v/>
      </c>
      <c r="N213" s="25">
        <f>IF(N(J213)=0,"","WIP "&amp;I213&amp;IF(D213="",""," - "&amp;D213)&amp;IF(F213="",""," "&amp;F213)&amp;IF(H213="",""," - "&amp;H213))</f>
        <v/>
      </c>
      <c r="O213" s="24" t="n"/>
      <c r="P213" s="24" t="n"/>
      <c r="Q213" s="24" t="n"/>
    </row>
    <row r="214" ht="15" customHeight="1">
      <c r="A214" s="66" t="n"/>
      <c r="B214" s="64">
        <f>IF(C214="","",IFERROR(INDEX(tbl_Finance[Date],MATCH(C214&amp;"",tbl_Finance[Xero Invoice No],0)),""))</f>
        <v/>
      </c>
      <c r="C214" s="24" t="n"/>
      <c r="D214" s="24" t="n"/>
      <c r="E214" s="25">
        <f>IF(D214="","",IF(COUNTIF(lst_Jobs,D214&amp;"")&gt;0,"OK","CHECK"))</f>
        <v/>
      </c>
      <c r="F214" s="24" t="n"/>
      <c r="G214" s="24" t="n"/>
      <c r="H214" s="24" t="n"/>
      <c r="I214" s="24" t="n"/>
      <c r="J214" s="26" t="n"/>
      <c r="K214" s="25">
        <f>IF(N(J214)=0,"",IF(J214&gt;0,set_WIPAsset,set_WIPIncome))</f>
        <v/>
      </c>
      <c r="L214" s="25">
        <f>IF(N(J214)=0,"",IF(J214&gt;0,set_WIPIncome,set_WIPAsset))</f>
        <v/>
      </c>
      <c r="M214" s="27">
        <f>IF(N(J214)=0,"",ABS(J214))</f>
        <v/>
      </c>
      <c r="N214" s="25">
        <f>IF(N(J214)=0,"","WIP "&amp;I214&amp;IF(D214="",""," - "&amp;D214)&amp;IF(F214="",""," "&amp;F214)&amp;IF(H214="",""," - "&amp;H214))</f>
        <v/>
      </c>
      <c r="O214" s="24" t="n"/>
      <c r="P214" s="24" t="n"/>
      <c r="Q214" s="24" t="n"/>
    </row>
    <row r="215" ht="15" customHeight="1">
      <c r="A215" s="66" t="n"/>
      <c r="B215" s="64">
        <f>IF(C215="","",IFERROR(INDEX(tbl_Finance[Date],MATCH(C215&amp;"",tbl_Finance[Xero Invoice No],0)),""))</f>
        <v/>
      </c>
      <c r="C215" s="24" t="n"/>
      <c r="D215" s="24" t="n"/>
      <c r="E215" s="25">
        <f>IF(D215="","",IF(COUNTIF(lst_Jobs,D215&amp;"")&gt;0,"OK","CHECK"))</f>
        <v/>
      </c>
      <c r="F215" s="24" t="n"/>
      <c r="G215" s="24" t="n"/>
      <c r="H215" s="24" t="n"/>
      <c r="I215" s="24" t="n"/>
      <c r="J215" s="26" t="n"/>
      <c r="K215" s="25">
        <f>IF(N(J215)=0,"",IF(J215&gt;0,set_WIPAsset,set_WIPIncome))</f>
        <v/>
      </c>
      <c r="L215" s="25">
        <f>IF(N(J215)=0,"",IF(J215&gt;0,set_WIPIncome,set_WIPAsset))</f>
        <v/>
      </c>
      <c r="M215" s="27">
        <f>IF(N(J215)=0,"",ABS(J215))</f>
        <v/>
      </c>
      <c r="N215" s="25">
        <f>IF(N(J215)=0,"","WIP "&amp;I215&amp;IF(D215="",""," - "&amp;D215)&amp;IF(F215="",""," "&amp;F215)&amp;IF(H215="",""," - "&amp;H215))</f>
        <v/>
      </c>
      <c r="O215" s="24" t="n"/>
      <c r="P215" s="24" t="n"/>
      <c r="Q215" s="24" t="n"/>
    </row>
    <row r="216" ht="15" customHeight="1">
      <c r="A216" s="66" t="n"/>
      <c r="B216" s="64">
        <f>IF(C216="","",IFERROR(INDEX(tbl_Finance[Date],MATCH(C216&amp;"",tbl_Finance[Xero Invoice No],0)),""))</f>
        <v/>
      </c>
      <c r="C216" s="24" t="n"/>
      <c r="D216" s="24" t="n"/>
      <c r="E216" s="25">
        <f>IF(D216="","",IF(COUNTIF(lst_Jobs,D216&amp;"")&gt;0,"OK","CHECK"))</f>
        <v/>
      </c>
      <c r="F216" s="24" t="n"/>
      <c r="G216" s="24" t="n"/>
      <c r="H216" s="24" t="n"/>
      <c r="I216" s="24" t="n"/>
      <c r="J216" s="26" t="n"/>
      <c r="K216" s="25">
        <f>IF(N(J216)=0,"",IF(J216&gt;0,set_WIPAsset,set_WIPIncome))</f>
        <v/>
      </c>
      <c r="L216" s="25">
        <f>IF(N(J216)=0,"",IF(J216&gt;0,set_WIPIncome,set_WIPAsset))</f>
        <v/>
      </c>
      <c r="M216" s="27">
        <f>IF(N(J216)=0,"",ABS(J216))</f>
        <v/>
      </c>
      <c r="N216" s="25">
        <f>IF(N(J216)=0,"","WIP "&amp;I216&amp;IF(D216="",""," - "&amp;D216)&amp;IF(F216="",""," "&amp;F216)&amp;IF(H216="",""," - "&amp;H216))</f>
        <v/>
      </c>
      <c r="O216" s="24" t="n"/>
      <c r="P216" s="24" t="n"/>
      <c r="Q216" s="24" t="n"/>
    </row>
    <row r="217" ht="15" customHeight="1">
      <c r="A217" s="66" t="n"/>
      <c r="B217" s="64">
        <f>IF(C217="","",IFERROR(INDEX(tbl_Finance[Date],MATCH(C217&amp;"",tbl_Finance[Xero Invoice No],0)),""))</f>
        <v/>
      </c>
      <c r="C217" s="24" t="n"/>
      <c r="D217" s="24" t="n"/>
      <c r="E217" s="25">
        <f>IF(D217="","",IF(COUNTIF(lst_Jobs,D217&amp;"")&gt;0,"OK","CHECK"))</f>
        <v/>
      </c>
      <c r="F217" s="24" t="n"/>
      <c r="G217" s="24" t="n"/>
      <c r="H217" s="24" t="n"/>
      <c r="I217" s="24" t="n"/>
      <c r="J217" s="26" t="n"/>
      <c r="K217" s="25">
        <f>IF(N(J217)=0,"",IF(J217&gt;0,set_WIPAsset,set_WIPIncome))</f>
        <v/>
      </c>
      <c r="L217" s="25">
        <f>IF(N(J217)=0,"",IF(J217&gt;0,set_WIPIncome,set_WIPAsset))</f>
        <v/>
      </c>
      <c r="M217" s="27">
        <f>IF(N(J217)=0,"",ABS(J217))</f>
        <v/>
      </c>
      <c r="N217" s="25">
        <f>IF(N(J217)=0,"","WIP "&amp;I217&amp;IF(D217="",""," - "&amp;D217)&amp;IF(F217="",""," "&amp;F217)&amp;IF(H217="",""," - "&amp;H217))</f>
        <v/>
      </c>
      <c r="O217" s="24" t="n"/>
      <c r="P217" s="24" t="n"/>
      <c r="Q217" s="24" t="n"/>
    </row>
    <row r="218" ht="15" customHeight="1">
      <c r="A218" s="66" t="n"/>
      <c r="B218" s="64">
        <f>IF(C218="","",IFERROR(INDEX(tbl_Finance[Date],MATCH(C218&amp;"",tbl_Finance[Xero Invoice No],0)),""))</f>
        <v/>
      </c>
      <c r="C218" s="24" t="n"/>
      <c r="D218" s="24" t="n"/>
      <c r="E218" s="25">
        <f>IF(D218="","",IF(COUNTIF(lst_Jobs,D218&amp;"")&gt;0,"OK","CHECK"))</f>
        <v/>
      </c>
      <c r="F218" s="24" t="n"/>
      <c r="G218" s="24" t="n"/>
      <c r="H218" s="24" t="n"/>
      <c r="I218" s="24" t="n"/>
      <c r="J218" s="26" t="n"/>
      <c r="K218" s="25">
        <f>IF(N(J218)=0,"",IF(J218&gt;0,set_WIPAsset,set_WIPIncome))</f>
        <v/>
      </c>
      <c r="L218" s="25">
        <f>IF(N(J218)=0,"",IF(J218&gt;0,set_WIPIncome,set_WIPAsset))</f>
        <v/>
      </c>
      <c r="M218" s="27">
        <f>IF(N(J218)=0,"",ABS(J218))</f>
        <v/>
      </c>
      <c r="N218" s="25">
        <f>IF(N(J218)=0,"","WIP "&amp;I218&amp;IF(D218="",""," - "&amp;D218)&amp;IF(F218="",""," "&amp;F218)&amp;IF(H218="",""," - "&amp;H218))</f>
        <v/>
      </c>
      <c r="O218" s="24" t="n"/>
      <c r="P218" s="24" t="n"/>
      <c r="Q218" s="24" t="n"/>
    </row>
    <row r="219" ht="15" customHeight="1">
      <c r="A219" s="66" t="n"/>
      <c r="B219" s="64">
        <f>IF(C219="","",IFERROR(INDEX(tbl_Finance[Date],MATCH(C219&amp;"",tbl_Finance[Xero Invoice No],0)),""))</f>
        <v/>
      </c>
      <c r="C219" s="24" t="n"/>
      <c r="D219" s="24" t="n"/>
      <c r="E219" s="25">
        <f>IF(D219="","",IF(COUNTIF(lst_Jobs,D219&amp;"")&gt;0,"OK","CHECK"))</f>
        <v/>
      </c>
      <c r="F219" s="24" t="n"/>
      <c r="G219" s="24" t="n"/>
      <c r="H219" s="24" t="n"/>
      <c r="I219" s="24" t="n"/>
      <c r="J219" s="26" t="n"/>
      <c r="K219" s="25">
        <f>IF(N(J219)=0,"",IF(J219&gt;0,set_WIPAsset,set_WIPIncome))</f>
        <v/>
      </c>
      <c r="L219" s="25">
        <f>IF(N(J219)=0,"",IF(J219&gt;0,set_WIPIncome,set_WIPAsset))</f>
        <v/>
      </c>
      <c r="M219" s="27">
        <f>IF(N(J219)=0,"",ABS(J219))</f>
        <v/>
      </c>
      <c r="N219" s="25">
        <f>IF(N(J219)=0,"","WIP "&amp;I219&amp;IF(D219="",""," - "&amp;D219)&amp;IF(F219="",""," "&amp;F219)&amp;IF(H219="",""," - "&amp;H219))</f>
        <v/>
      </c>
      <c r="O219" s="24" t="n"/>
      <c r="P219" s="24" t="n"/>
      <c r="Q219" s="24" t="n"/>
    </row>
    <row r="220" ht="15" customHeight="1">
      <c r="A220" s="66" t="n"/>
      <c r="B220" s="64">
        <f>IF(C220="","",IFERROR(INDEX(tbl_Finance[Date],MATCH(C220&amp;"",tbl_Finance[Xero Invoice No],0)),""))</f>
        <v/>
      </c>
      <c r="C220" s="24" t="n"/>
      <c r="D220" s="24" t="n"/>
      <c r="E220" s="25">
        <f>IF(D220="","",IF(COUNTIF(lst_Jobs,D220&amp;"")&gt;0,"OK","CHECK"))</f>
        <v/>
      </c>
      <c r="F220" s="24" t="n"/>
      <c r="G220" s="24" t="n"/>
      <c r="H220" s="24" t="n"/>
      <c r="I220" s="24" t="n"/>
      <c r="J220" s="26" t="n"/>
      <c r="K220" s="25">
        <f>IF(N(J220)=0,"",IF(J220&gt;0,set_WIPAsset,set_WIPIncome))</f>
        <v/>
      </c>
      <c r="L220" s="25">
        <f>IF(N(J220)=0,"",IF(J220&gt;0,set_WIPIncome,set_WIPAsset))</f>
        <v/>
      </c>
      <c r="M220" s="27">
        <f>IF(N(J220)=0,"",ABS(J220))</f>
        <v/>
      </c>
      <c r="N220" s="25">
        <f>IF(N(J220)=0,"","WIP "&amp;I220&amp;IF(D220="",""," - "&amp;D220)&amp;IF(F220="",""," "&amp;F220)&amp;IF(H220="",""," - "&amp;H220))</f>
        <v/>
      </c>
      <c r="O220" s="24" t="n"/>
      <c r="P220" s="24" t="n"/>
      <c r="Q220" s="24" t="n"/>
    </row>
    <row r="221" ht="15" customHeight="1">
      <c r="A221" s="66" t="n"/>
      <c r="B221" s="64">
        <f>IF(C221="","",IFERROR(INDEX(tbl_Finance[Date],MATCH(C221&amp;"",tbl_Finance[Xero Invoice No],0)),""))</f>
        <v/>
      </c>
      <c r="C221" s="24" t="n"/>
      <c r="D221" s="24" t="n"/>
      <c r="E221" s="25">
        <f>IF(D221="","",IF(COUNTIF(lst_Jobs,D221&amp;"")&gt;0,"OK","CHECK"))</f>
        <v/>
      </c>
      <c r="F221" s="24" t="n"/>
      <c r="G221" s="24" t="n"/>
      <c r="H221" s="24" t="n"/>
      <c r="I221" s="24" t="n"/>
      <c r="J221" s="26" t="n"/>
      <c r="K221" s="25">
        <f>IF(N(J221)=0,"",IF(J221&gt;0,set_WIPAsset,set_WIPIncome))</f>
        <v/>
      </c>
      <c r="L221" s="25">
        <f>IF(N(J221)=0,"",IF(J221&gt;0,set_WIPIncome,set_WIPAsset))</f>
        <v/>
      </c>
      <c r="M221" s="27">
        <f>IF(N(J221)=0,"",ABS(J221))</f>
        <v/>
      </c>
      <c r="N221" s="25">
        <f>IF(N(J221)=0,"","WIP "&amp;I221&amp;IF(D221="",""," - "&amp;D221)&amp;IF(F221="",""," "&amp;F221)&amp;IF(H221="",""," - "&amp;H221))</f>
        <v/>
      </c>
      <c r="O221" s="24" t="n"/>
      <c r="P221" s="24" t="n"/>
      <c r="Q221" s="24" t="n"/>
    </row>
    <row r="222" ht="15" customHeight="1">
      <c r="A222" s="66" t="n"/>
      <c r="B222" s="64">
        <f>IF(C222="","",IFERROR(INDEX(tbl_Finance[Date],MATCH(C222&amp;"",tbl_Finance[Xero Invoice No],0)),""))</f>
        <v/>
      </c>
      <c r="C222" s="24" t="n"/>
      <c r="D222" s="24" t="n"/>
      <c r="E222" s="25">
        <f>IF(D222="","",IF(COUNTIF(lst_Jobs,D222&amp;"")&gt;0,"OK","CHECK"))</f>
        <v/>
      </c>
      <c r="F222" s="24" t="n"/>
      <c r="G222" s="24" t="n"/>
      <c r="H222" s="24" t="n"/>
      <c r="I222" s="24" t="n"/>
      <c r="J222" s="26" t="n"/>
      <c r="K222" s="25">
        <f>IF(N(J222)=0,"",IF(J222&gt;0,set_WIPAsset,set_WIPIncome))</f>
        <v/>
      </c>
      <c r="L222" s="25">
        <f>IF(N(J222)=0,"",IF(J222&gt;0,set_WIPIncome,set_WIPAsset))</f>
        <v/>
      </c>
      <c r="M222" s="27">
        <f>IF(N(J222)=0,"",ABS(J222))</f>
        <v/>
      </c>
      <c r="N222" s="25">
        <f>IF(N(J222)=0,"","WIP "&amp;I222&amp;IF(D222="",""," - "&amp;D222)&amp;IF(F222="",""," "&amp;F222)&amp;IF(H222="",""," - "&amp;H222))</f>
        <v/>
      </c>
      <c r="O222" s="24" t="n"/>
      <c r="P222" s="24" t="n"/>
      <c r="Q222" s="24" t="n"/>
    </row>
    <row r="223" ht="15" customHeight="1">
      <c r="A223" s="66" t="n"/>
      <c r="B223" s="64">
        <f>IF(C223="","",IFERROR(INDEX(tbl_Finance[Date],MATCH(C223&amp;"",tbl_Finance[Xero Invoice No],0)),""))</f>
        <v/>
      </c>
      <c r="C223" s="24" t="n"/>
      <c r="D223" s="24" t="n"/>
      <c r="E223" s="25">
        <f>IF(D223="","",IF(COUNTIF(lst_Jobs,D223&amp;"")&gt;0,"OK","CHECK"))</f>
        <v/>
      </c>
      <c r="F223" s="24" t="n"/>
      <c r="G223" s="24" t="n"/>
      <c r="H223" s="24" t="n"/>
      <c r="I223" s="24" t="n"/>
      <c r="J223" s="26" t="n"/>
      <c r="K223" s="25">
        <f>IF(N(J223)=0,"",IF(J223&gt;0,set_WIPAsset,set_WIPIncome))</f>
        <v/>
      </c>
      <c r="L223" s="25">
        <f>IF(N(J223)=0,"",IF(J223&gt;0,set_WIPIncome,set_WIPAsset))</f>
        <v/>
      </c>
      <c r="M223" s="27">
        <f>IF(N(J223)=0,"",ABS(J223))</f>
        <v/>
      </c>
      <c r="N223" s="25">
        <f>IF(N(J223)=0,"","WIP "&amp;I223&amp;IF(D223="",""," - "&amp;D223)&amp;IF(F223="",""," "&amp;F223)&amp;IF(H223="",""," - "&amp;H223))</f>
        <v/>
      </c>
      <c r="O223" s="24" t="n"/>
      <c r="P223" s="24" t="n"/>
      <c r="Q223" s="24" t="n"/>
    </row>
    <row r="224" ht="15" customHeight="1">
      <c r="A224" s="66" t="n"/>
      <c r="B224" s="64">
        <f>IF(C224="","",IFERROR(INDEX(tbl_Finance[Date],MATCH(C224&amp;"",tbl_Finance[Xero Invoice No],0)),""))</f>
        <v/>
      </c>
      <c r="C224" s="24" t="n"/>
      <c r="D224" s="24" t="n"/>
      <c r="E224" s="25">
        <f>IF(D224="","",IF(COUNTIF(lst_Jobs,D224&amp;"")&gt;0,"OK","CHECK"))</f>
        <v/>
      </c>
      <c r="F224" s="24" t="n"/>
      <c r="G224" s="24" t="n"/>
      <c r="H224" s="24" t="n"/>
      <c r="I224" s="24" t="n"/>
      <c r="J224" s="26" t="n"/>
      <c r="K224" s="25">
        <f>IF(N(J224)=0,"",IF(J224&gt;0,set_WIPAsset,set_WIPIncome))</f>
        <v/>
      </c>
      <c r="L224" s="25">
        <f>IF(N(J224)=0,"",IF(J224&gt;0,set_WIPIncome,set_WIPAsset))</f>
        <v/>
      </c>
      <c r="M224" s="27">
        <f>IF(N(J224)=0,"",ABS(J224))</f>
        <v/>
      </c>
      <c r="N224" s="25">
        <f>IF(N(J224)=0,"","WIP "&amp;I224&amp;IF(D224="",""," - "&amp;D224)&amp;IF(F224="",""," "&amp;F224)&amp;IF(H224="",""," - "&amp;H224))</f>
        <v/>
      </c>
      <c r="O224" s="24" t="n"/>
      <c r="P224" s="24" t="n"/>
      <c r="Q224" s="24" t="n"/>
    </row>
    <row r="225" ht="15" customHeight="1">
      <c r="A225" s="66" t="n"/>
      <c r="B225" s="64">
        <f>IF(C225="","",IFERROR(INDEX(tbl_Finance[Date],MATCH(C225&amp;"",tbl_Finance[Xero Invoice No],0)),""))</f>
        <v/>
      </c>
      <c r="C225" s="24" t="n"/>
      <c r="D225" s="24" t="n"/>
      <c r="E225" s="25">
        <f>IF(D225="","",IF(COUNTIF(lst_Jobs,D225&amp;"")&gt;0,"OK","CHECK"))</f>
        <v/>
      </c>
      <c r="F225" s="24" t="n"/>
      <c r="G225" s="24" t="n"/>
      <c r="H225" s="24" t="n"/>
      <c r="I225" s="24" t="n"/>
      <c r="J225" s="26" t="n"/>
      <c r="K225" s="25">
        <f>IF(N(J225)=0,"",IF(J225&gt;0,set_WIPAsset,set_WIPIncome))</f>
        <v/>
      </c>
      <c r="L225" s="25">
        <f>IF(N(J225)=0,"",IF(J225&gt;0,set_WIPIncome,set_WIPAsset))</f>
        <v/>
      </c>
      <c r="M225" s="27">
        <f>IF(N(J225)=0,"",ABS(J225))</f>
        <v/>
      </c>
      <c r="N225" s="25">
        <f>IF(N(J225)=0,"","WIP "&amp;I225&amp;IF(D225="",""," - "&amp;D225)&amp;IF(F225="",""," "&amp;F225)&amp;IF(H225="",""," - "&amp;H225))</f>
        <v/>
      </c>
      <c r="O225" s="24" t="n"/>
      <c r="P225" s="24" t="n"/>
      <c r="Q225" s="24" t="n"/>
    </row>
    <row r="226" ht="15" customHeight="1">
      <c r="A226" s="66" t="n"/>
      <c r="B226" s="64">
        <f>IF(C226="","",IFERROR(INDEX(tbl_Finance[Date],MATCH(C226&amp;"",tbl_Finance[Xero Invoice No],0)),""))</f>
        <v/>
      </c>
      <c r="C226" s="24" t="n"/>
      <c r="D226" s="24" t="n"/>
      <c r="E226" s="25">
        <f>IF(D226="","",IF(COUNTIF(lst_Jobs,D226&amp;"")&gt;0,"OK","CHECK"))</f>
        <v/>
      </c>
      <c r="F226" s="24" t="n"/>
      <c r="G226" s="24" t="n"/>
      <c r="H226" s="24" t="n"/>
      <c r="I226" s="24" t="n"/>
      <c r="J226" s="26" t="n"/>
      <c r="K226" s="25">
        <f>IF(N(J226)=0,"",IF(J226&gt;0,set_WIPAsset,set_WIPIncome))</f>
        <v/>
      </c>
      <c r="L226" s="25">
        <f>IF(N(J226)=0,"",IF(J226&gt;0,set_WIPIncome,set_WIPAsset))</f>
        <v/>
      </c>
      <c r="M226" s="27">
        <f>IF(N(J226)=0,"",ABS(J226))</f>
        <v/>
      </c>
      <c r="N226" s="25">
        <f>IF(N(J226)=0,"","WIP "&amp;I226&amp;IF(D226="",""," - "&amp;D226)&amp;IF(F226="",""," "&amp;F226)&amp;IF(H226="",""," - "&amp;H226))</f>
        <v/>
      </c>
      <c r="O226" s="24" t="n"/>
      <c r="P226" s="24" t="n"/>
      <c r="Q226" s="24" t="n"/>
    </row>
    <row r="227" ht="15" customHeight="1">
      <c r="A227" s="66" t="n"/>
      <c r="B227" s="64">
        <f>IF(C227="","",IFERROR(INDEX(tbl_Finance[Date],MATCH(C227&amp;"",tbl_Finance[Xero Invoice No],0)),""))</f>
        <v/>
      </c>
      <c r="C227" s="24" t="n"/>
      <c r="D227" s="24" t="n"/>
      <c r="E227" s="25">
        <f>IF(D227="","",IF(COUNTIF(lst_Jobs,D227&amp;"")&gt;0,"OK","CHECK"))</f>
        <v/>
      </c>
      <c r="F227" s="24" t="n"/>
      <c r="G227" s="24" t="n"/>
      <c r="H227" s="24" t="n"/>
      <c r="I227" s="24" t="n"/>
      <c r="J227" s="26" t="n"/>
      <c r="K227" s="25">
        <f>IF(N(J227)=0,"",IF(J227&gt;0,set_WIPAsset,set_WIPIncome))</f>
        <v/>
      </c>
      <c r="L227" s="25">
        <f>IF(N(J227)=0,"",IF(J227&gt;0,set_WIPIncome,set_WIPAsset))</f>
        <v/>
      </c>
      <c r="M227" s="27">
        <f>IF(N(J227)=0,"",ABS(J227))</f>
        <v/>
      </c>
      <c r="N227" s="25">
        <f>IF(N(J227)=0,"","WIP "&amp;I227&amp;IF(D227="",""," - "&amp;D227)&amp;IF(F227="",""," "&amp;F227)&amp;IF(H227="",""," - "&amp;H227))</f>
        <v/>
      </c>
      <c r="O227" s="24" t="n"/>
      <c r="P227" s="24" t="n"/>
      <c r="Q227" s="24" t="n"/>
    </row>
    <row r="228" ht="15" customHeight="1">
      <c r="A228" s="66" t="n"/>
      <c r="B228" s="64">
        <f>IF(C228="","",IFERROR(INDEX(tbl_Finance[Date],MATCH(C228&amp;"",tbl_Finance[Xero Invoice No],0)),""))</f>
        <v/>
      </c>
      <c r="C228" s="24" t="n"/>
      <c r="D228" s="24" t="n"/>
      <c r="E228" s="25">
        <f>IF(D228="","",IF(COUNTIF(lst_Jobs,D228&amp;"")&gt;0,"OK","CHECK"))</f>
        <v/>
      </c>
      <c r="F228" s="24" t="n"/>
      <c r="G228" s="24" t="n"/>
      <c r="H228" s="24" t="n"/>
      <c r="I228" s="24" t="n"/>
      <c r="J228" s="26" t="n"/>
      <c r="K228" s="25">
        <f>IF(N(J228)=0,"",IF(J228&gt;0,set_WIPAsset,set_WIPIncome))</f>
        <v/>
      </c>
      <c r="L228" s="25">
        <f>IF(N(J228)=0,"",IF(J228&gt;0,set_WIPIncome,set_WIPAsset))</f>
        <v/>
      </c>
      <c r="M228" s="27">
        <f>IF(N(J228)=0,"",ABS(J228))</f>
        <v/>
      </c>
      <c r="N228" s="25">
        <f>IF(N(J228)=0,"","WIP "&amp;I228&amp;IF(D228="",""," - "&amp;D228)&amp;IF(F228="",""," "&amp;F228)&amp;IF(H228="",""," - "&amp;H228))</f>
        <v/>
      </c>
      <c r="O228" s="24" t="n"/>
      <c r="P228" s="24" t="n"/>
      <c r="Q228" s="24" t="n"/>
    </row>
    <row r="229" ht="15" customHeight="1">
      <c r="A229" s="66" t="n"/>
      <c r="B229" s="64">
        <f>IF(C229="","",IFERROR(INDEX(tbl_Finance[Date],MATCH(C229&amp;"",tbl_Finance[Xero Invoice No],0)),""))</f>
        <v/>
      </c>
      <c r="C229" s="24" t="n"/>
      <c r="D229" s="24" t="n"/>
      <c r="E229" s="25">
        <f>IF(D229="","",IF(COUNTIF(lst_Jobs,D229&amp;"")&gt;0,"OK","CHECK"))</f>
        <v/>
      </c>
      <c r="F229" s="24" t="n"/>
      <c r="G229" s="24" t="n"/>
      <c r="H229" s="24" t="n"/>
      <c r="I229" s="24" t="n"/>
      <c r="J229" s="26" t="n"/>
      <c r="K229" s="25">
        <f>IF(N(J229)=0,"",IF(J229&gt;0,set_WIPAsset,set_WIPIncome))</f>
        <v/>
      </c>
      <c r="L229" s="25">
        <f>IF(N(J229)=0,"",IF(J229&gt;0,set_WIPIncome,set_WIPAsset))</f>
        <v/>
      </c>
      <c r="M229" s="27">
        <f>IF(N(J229)=0,"",ABS(J229))</f>
        <v/>
      </c>
      <c r="N229" s="25">
        <f>IF(N(J229)=0,"","WIP "&amp;I229&amp;IF(D229="",""," - "&amp;D229)&amp;IF(F229="",""," "&amp;F229)&amp;IF(H229="",""," - "&amp;H229))</f>
        <v/>
      </c>
      <c r="O229" s="24" t="n"/>
      <c r="P229" s="24" t="n"/>
      <c r="Q229" s="24" t="n"/>
    </row>
    <row r="230" ht="15" customHeight="1">
      <c r="A230" s="66" t="n"/>
      <c r="B230" s="64">
        <f>IF(C230="","",IFERROR(INDEX(tbl_Finance[Date],MATCH(C230&amp;"",tbl_Finance[Xero Invoice No],0)),""))</f>
        <v/>
      </c>
      <c r="C230" s="24" t="n"/>
      <c r="D230" s="24" t="n"/>
      <c r="E230" s="25">
        <f>IF(D230="","",IF(COUNTIF(lst_Jobs,D230&amp;"")&gt;0,"OK","CHECK"))</f>
        <v/>
      </c>
      <c r="F230" s="24" t="n"/>
      <c r="G230" s="24" t="n"/>
      <c r="H230" s="24" t="n"/>
      <c r="I230" s="24" t="n"/>
      <c r="J230" s="26" t="n"/>
      <c r="K230" s="25">
        <f>IF(N(J230)=0,"",IF(J230&gt;0,set_WIPAsset,set_WIPIncome))</f>
        <v/>
      </c>
      <c r="L230" s="25">
        <f>IF(N(J230)=0,"",IF(J230&gt;0,set_WIPIncome,set_WIPAsset))</f>
        <v/>
      </c>
      <c r="M230" s="27">
        <f>IF(N(J230)=0,"",ABS(J230))</f>
        <v/>
      </c>
      <c r="N230" s="25">
        <f>IF(N(J230)=0,"","WIP "&amp;I230&amp;IF(D230="",""," - "&amp;D230)&amp;IF(F230="",""," "&amp;F230)&amp;IF(H230="",""," - "&amp;H230))</f>
        <v/>
      </c>
      <c r="O230" s="24" t="n"/>
      <c r="P230" s="24" t="n"/>
      <c r="Q230" s="24" t="n"/>
    </row>
    <row r="231" ht="15" customHeight="1">
      <c r="A231" s="66" t="n"/>
      <c r="B231" s="64">
        <f>IF(C231="","",IFERROR(INDEX(tbl_Finance[Date],MATCH(C231&amp;"",tbl_Finance[Xero Invoice No],0)),""))</f>
        <v/>
      </c>
      <c r="C231" s="24" t="n"/>
      <c r="D231" s="24" t="n"/>
      <c r="E231" s="25">
        <f>IF(D231="","",IF(COUNTIF(lst_Jobs,D231&amp;"")&gt;0,"OK","CHECK"))</f>
        <v/>
      </c>
      <c r="F231" s="24" t="n"/>
      <c r="G231" s="24" t="n"/>
      <c r="H231" s="24" t="n"/>
      <c r="I231" s="24" t="n"/>
      <c r="J231" s="26" t="n"/>
      <c r="K231" s="25">
        <f>IF(N(J231)=0,"",IF(J231&gt;0,set_WIPAsset,set_WIPIncome))</f>
        <v/>
      </c>
      <c r="L231" s="25">
        <f>IF(N(J231)=0,"",IF(J231&gt;0,set_WIPIncome,set_WIPAsset))</f>
        <v/>
      </c>
      <c r="M231" s="27">
        <f>IF(N(J231)=0,"",ABS(J231))</f>
        <v/>
      </c>
      <c r="N231" s="25">
        <f>IF(N(J231)=0,"","WIP "&amp;I231&amp;IF(D231="",""," - "&amp;D231)&amp;IF(F231="",""," "&amp;F231)&amp;IF(H231="",""," - "&amp;H231))</f>
        <v/>
      </c>
      <c r="O231" s="24" t="n"/>
      <c r="P231" s="24" t="n"/>
      <c r="Q231" s="24" t="n"/>
    </row>
    <row r="232" ht="15" customHeight="1">
      <c r="A232" s="66" t="n"/>
      <c r="B232" s="64">
        <f>IF(C232="","",IFERROR(INDEX(tbl_Finance[Date],MATCH(C232&amp;"",tbl_Finance[Xero Invoice No],0)),""))</f>
        <v/>
      </c>
      <c r="C232" s="24" t="n"/>
      <c r="D232" s="24" t="n"/>
      <c r="E232" s="25">
        <f>IF(D232="","",IF(COUNTIF(lst_Jobs,D232&amp;"")&gt;0,"OK","CHECK"))</f>
        <v/>
      </c>
      <c r="F232" s="24" t="n"/>
      <c r="G232" s="24" t="n"/>
      <c r="H232" s="24" t="n"/>
      <c r="I232" s="24" t="n"/>
      <c r="J232" s="26" t="n"/>
      <c r="K232" s="25">
        <f>IF(N(J232)=0,"",IF(J232&gt;0,set_WIPAsset,set_WIPIncome))</f>
        <v/>
      </c>
      <c r="L232" s="25">
        <f>IF(N(J232)=0,"",IF(J232&gt;0,set_WIPIncome,set_WIPAsset))</f>
        <v/>
      </c>
      <c r="M232" s="27">
        <f>IF(N(J232)=0,"",ABS(J232))</f>
        <v/>
      </c>
      <c r="N232" s="25">
        <f>IF(N(J232)=0,"","WIP "&amp;I232&amp;IF(D232="",""," - "&amp;D232)&amp;IF(F232="",""," "&amp;F232)&amp;IF(H232="",""," - "&amp;H232))</f>
        <v/>
      </c>
      <c r="O232" s="24" t="n"/>
      <c r="P232" s="24" t="n"/>
      <c r="Q232" s="24" t="n"/>
    </row>
    <row r="233" ht="15" customHeight="1">
      <c r="A233" s="66" t="n"/>
      <c r="B233" s="64">
        <f>IF(C233="","",IFERROR(INDEX(tbl_Finance[Date],MATCH(C233&amp;"",tbl_Finance[Xero Invoice No],0)),""))</f>
        <v/>
      </c>
      <c r="C233" s="24" t="n"/>
      <c r="D233" s="24" t="n"/>
      <c r="E233" s="25">
        <f>IF(D233="","",IF(COUNTIF(lst_Jobs,D233&amp;"")&gt;0,"OK","CHECK"))</f>
        <v/>
      </c>
      <c r="F233" s="24" t="n"/>
      <c r="G233" s="24" t="n"/>
      <c r="H233" s="24" t="n"/>
      <c r="I233" s="24" t="n"/>
      <c r="J233" s="26" t="n"/>
      <c r="K233" s="25">
        <f>IF(N(J233)=0,"",IF(J233&gt;0,set_WIPAsset,set_WIPIncome))</f>
        <v/>
      </c>
      <c r="L233" s="25">
        <f>IF(N(J233)=0,"",IF(J233&gt;0,set_WIPIncome,set_WIPAsset))</f>
        <v/>
      </c>
      <c r="M233" s="27">
        <f>IF(N(J233)=0,"",ABS(J233))</f>
        <v/>
      </c>
      <c r="N233" s="25">
        <f>IF(N(J233)=0,"","WIP "&amp;I233&amp;IF(D233="",""," - "&amp;D233)&amp;IF(F233="",""," "&amp;F233)&amp;IF(H233="",""," - "&amp;H233))</f>
        <v/>
      </c>
      <c r="O233" s="24" t="n"/>
      <c r="P233" s="24" t="n"/>
      <c r="Q233" s="24" t="n"/>
    </row>
    <row r="234" ht="15" customHeight="1">
      <c r="A234" s="66" t="n"/>
      <c r="B234" s="64">
        <f>IF(C234="","",IFERROR(INDEX(tbl_Finance[Date],MATCH(C234&amp;"",tbl_Finance[Xero Invoice No],0)),""))</f>
        <v/>
      </c>
      <c r="C234" s="24" t="n"/>
      <c r="D234" s="24" t="n"/>
      <c r="E234" s="25">
        <f>IF(D234="","",IF(COUNTIF(lst_Jobs,D234&amp;"")&gt;0,"OK","CHECK"))</f>
        <v/>
      </c>
      <c r="F234" s="24" t="n"/>
      <c r="G234" s="24" t="n"/>
      <c r="H234" s="24" t="n"/>
      <c r="I234" s="24" t="n"/>
      <c r="J234" s="26" t="n"/>
      <c r="K234" s="25">
        <f>IF(N(J234)=0,"",IF(J234&gt;0,set_WIPAsset,set_WIPIncome))</f>
        <v/>
      </c>
      <c r="L234" s="25">
        <f>IF(N(J234)=0,"",IF(J234&gt;0,set_WIPIncome,set_WIPAsset))</f>
        <v/>
      </c>
      <c r="M234" s="27">
        <f>IF(N(J234)=0,"",ABS(J234))</f>
        <v/>
      </c>
      <c r="N234" s="25">
        <f>IF(N(J234)=0,"","WIP "&amp;I234&amp;IF(D234="",""," - "&amp;D234)&amp;IF(F234="",""," "&amp;F234)&amp;IF(H234="",""," - "&amp;H234))</f>
        <v/>
      </c>
      <c r="O234" s="24" t="n"/>
      <c r="P234" s="24" t="n"/>
      <c r="Q234" s="24" t="n"/>
    </row>
    <row r="235" ht="15" customHeight="1">
      <c r="A235" s="66" t="n"/>
      <c r="B235" s="64">
        <f>IF(C235="","",IFERROR(INDEX(tbl_Finance[Date],MATCH(C235&amp;"",tbl_Finance[Xero Invoice No],0)),""))</f>
        <v/>
      </c>
      <c r="C235" s="24" t="n"/>
      <c r="D235" s="24" t="n"/>
      <c r="E235" s="25">
        <f>IF(D235="","",IF(COUNTIF(lst_Jobs,D235&amp;"")&gt;0,"OK","CHECK"))</f>
        <v/>
      </c>
      <c r="F235" s="24" t="n"/>
      <c r="G235" s="24" t="n"/>
      <c r="H235" s="24" t="n"/>
      <c r="I235" s="24" t="n"/>
      <c r="J235" s="26" t="n"/>
      <c r="K235" s="25">
        <f>IF(N(J235)=0,"",IF(J235&gt;0,set_WIPAsset,set_WIPIncome))</f>
        <v/>
      </c>
      <c r="L235" s="25">
        <f>IF(N(J235)=0,"",IF(J235&gt;0,set_WIPIncome,set_WIPAsset))</f>
        <v/>
      </c>
      <c r="M235" s="27">
        <f>IF(N(J235)=0,"",ABS(J235))</f>
        <v/>
      </c>
      <c r="N235" s="25">
        <f>IF(N(J235)=0,"","WIP "&amp;I235&amp;IF(D235="",""," - "&amp;D235)&amp;IF(F235="",""," "&amp;F235)&amp;IF(H235="",""," - "&amp;H235))</f>
        <v/>
      </c>
      <c r="O235" s="24" t="n"/>
      <c r="P235" s="24" t="n"/>
      <c r="Q235" s="24" t="n"/>
    </row>
    <row r="236" ht="15" customHeight="1">
      <c r="A236" s="66" t="n"/>
      <c r="B236" s="64">
        <f>IF(C236="","",IFERROR(INDEX(tbl_Finance[Date],MATCH(C236&amp;"",tbl_Finance[Xero Invoice No],0)),""))</f>
        <v/>
      </c>
      <c r="C236" s="24" t="n"/>
      <c r="D236" s="24" t="n"/>
      <c r="E236" s="25">
        <f>IF(D236="","",IF(COUNTIF(lst_Jobs,D236&amp;"")&gt;0,"OK","CHECK"))</f>
        <v/>
      </c>
      <c r="F236" s="24" t="n"/>
      <c r="G236" s="24" t="n"/>
      <c r="H236" s="24" t="n"/>
      <c r="I236" s="24" t="n"/>
      <c r="J236" s="26" t="n"/>
      <c r="K236" s="25">
        <f>IF(N(J236)=0,"",IF(J236&gt;0,set_WIPAsset,set_WIPIncome))</f>
        <v/>
      </c>
      <c r="L236" s="25">
        <f>IF(N(J236)=0,"",IF(J236&gt;0,set_WIPIncome,set_WIPAsset))</f>
        <v/>
      </c>
      <c r="M236" s="27">
        <f>IF(N(J236)=0,"",ABS(J236))</f>
        <v/>
      </c>
      <c r="N236" s="25">
        <f>IF(N(J236)=0,"","WIP "&amp;I236&amp;IF(D236="",""," - "&amp;D236)&amp;IF(F236="",""," "&amp;F236)&amp;IF(H236="",""," - "&amp;H236))</f>
        <v/>
      </c>
      <c r="O236" s="24" t="n"/>
      <c r="P236" s="24" t="n"/>
      <c r="Q236" s="24" t="n"/>
    </row>
    <row r="237" ht="15" customHeight="1">
      <c r="A237" s="66" t="n"/>
      <c r="B237" s="64">
        <f>IF(C237="","",IFERROR(INDEX(tbl_Finance[Date],MATCH(C237&amp;"",tbl_Finance[Xero Invoice No],0)),""))</f>
        <v/>
      </c>
      <c r="C237" s="24" t="n"/>
      <c r="D237" s="24" t="n"/>
      <c r="E237" s="25">
        <f>IF(D237="","",IF(COUNTIF(lst_Jobs,D237&amp;"")&gt;0,"OK","CHECK"))</f>
        <v/>
      </c>
      <c r="F237" s="24" t="n"/>
      <c r="G237" s="24" t="n"/>
      <c r="H237" s="24" t="n"/>
      <c r="I237" s="24" t="n"/>
      <c r="J237" s="26" t="n"/>
      <c r="K237" s="25">
        <f>IF(N(J237)=0,"",IF(J237&gt;0,set_WIPAsset,set_WIPIncome))</f>
        <v/>
      </c>
      <c r="L237" s="25">
        <f>IF(N(J237)=0,"",IF(J237&gt;0,set_WIPIncome,set_WIPAsset))</f>
        <v/>
      </c>
      <c r="M237" s="27">
        <f>IF(N(J237)=0,"",ABS(J237))</f>
        <v/>
      </c>
      <c r="N237" s="25">
        <f>IF(N(J237)=0,"","WIP "&amp;I237&amp;IF(D237="",""," - "&amp;D237)&amp;IF(F237="",""," "&amp;F237)&amp;IF(H237="",""," - "&amp;H237))</f>
        <v/>
      </c>
      <c r="O237" s="24" t="n"/>
      <c r="P237" s="24" t="n"/>
      <c r="Q237" s="24" t="n"/>
    </row>
    <row r="238" ht="15" customHeight="1">
      <c r="A238" s="66" t="n"/>
      <c r="B238" s="64">
        <f>IF(C238="","",IFERROR(INDEX(tbl_Finance[Date],MATCH(C238&amp;"",tbl_Finance[Xero Invoice No],0)),""))</f>
        <v/>
      </c>
      <c r="C238" s="24" t="n"/>
      <c r="D238" s="24" t="n"/>
      <c r="E238" s="25">
        <f>IF(D238="","",IF(COUNTIF(lst_Jobs,D238&amp;"")&gt;0,"OK","CHECK"))</f>
        <v/>
      </c>
      <c r="F238" s="24" t="n"/>
      <c r="G238" s="24" t="n"/>
      <c r="H238" s="24" t="n"/>
      <c r="I238" s="24" t="n"/>
      <c r="J238" s="26" t="n"/>
      <c r="K238" s="25">
        <f>IF(N(J238)=0,"",IF(J238&gt;0,set_WIPAsset,set_WIPIncome))</f>
        <v/>
      </c>
      <c r="L238" s="25">
        <f>IF(N(J238)=0,"",IF(J238&gt;0,set_WIPIncome,set_WIPAsset))</f>
        <v/>
      </c>
      <c r="M238" s="27">
        <f>IF(N(J238)=0,"",ABS(J238))</f>
        <v/>
      </c>
      <c r="N238" s="25">
        <f>IF(N(J238)=0,"","WIP "&amp;I238&amp;IF(D238="",""," - "&amp;D238)&amp;IF(F238="",""," "&amp;F238)&amp;IF(H238="",""," - "&amp;H238))</f>
        <v/>
      </c>
      <c r="O238" s="24" t="n"/>
      <c r="P238" s="24" t="n"/>
      <c r="Q238" s="24" t="n"/>
    </row>
    <row r="239" ht="15" customHeight="1">
      <c r="A239" s="66" t="n"/>
      <c r="B239" s="64">
        <f>IF(C239="","",IFERROR(INDEX(tbl_Finance[Date],MATCH(C239&amp;"",tbl_Finance[Xero Invoice No],0)),""))</f>
        <v/>
      </c>
      <c r="C239" s="24" t="n"/>
      <c r="D239" s="24" t="n"/>
      <c r="E239" s="25">
        <f>IF(D239="","",IF(COUNTIF(lst_Jobs,D239&amp;"")&gt;0,"OK","CHECK"))</f>
        <v/>
      </c>
      <c r="F239" s="24" t="n"/>
      <c r="G239" s="24" t="n"/>
      <c r="H239" s="24" t="n"/>
      <c r="I239" s="24" t="n"/>
      <c r="J239" s="26" t="n"/>
      <c r="K239" s="25">
        <f>IF(N(J239)=0,"",IF(J239&gt;0,set_WIPAsset,set_WIPIncome))</f>
        <v/>
      </c>
      <c r="L239" s="25">
        <f>IF(N(J239)=0,"",IF(J239&gt;0,set_WIPIncome,set_WIPAsset))</f>
        <v/>
      </c>
      <c r="M239" s="27">
        <f>IF(N(J239)=0,"",ABS(J239))</f>
        <v/>
      </c>
      <c r="N239" s="25">
        <f>IF(N(J239)=0,"","WIP "&amp;I239&amp;IF(D239="",""," - "&amp;D239)&amp;IF(F239="",""," "&amp;F239)&amp;IF(H239="",""," - "&amp;H239))</f>
        <v/>
      </c>
      <c r="O239" s="24" t="n"/>
      <c r="P239" s="24" t="n"/>
      <c r="Q239" s="24" t="n"/>
    </row>
    <row r="240" ht="15" customHeight="1">
      <c r="A240" s="66" t="n"/>
      <c r="B240" s="64">
        <f>IF(C240="","",IFERROR(INDEX(tbl_Finance[Date],MATCH(C240&amp;"",tbl_Finance[Xero Invoice No],0)),""))</f>
        <v/>
      </c>
      <c r="C240" s="24" t="n"/>
      <c r="D240" s="24" t="n"/>
      <c r="E240" s="25">
        <f>IF(D240="","",IF(COUNTIF(lst_Jobs,D240&amp;"")&gt;0,"OK","CHECK"))</f>
        <v/>
      </c>
      <c r="F240" s="24" t="n"/>
      <c r="G240" s="24" t="n"/>
      <c r="H240" s="24" t="n"/>
      <c r="I240" s="24" t="n"/>
      <c r="J240" s="26" t="n"/>
      <c r="K240" s="25">
        <f>IF(N(J240)=0,"",IF(J240&gt;0,set_WIPAsset,set_WIPIncome))</f>
        <v/>
      </c>
      <c r="L240" s="25">
        <f>IF(N(J240)=0,"",IF(J240&gt;0,set_WIPIncome,set_WIPAsset))</f>
        <v/>
      </c>
      <c r="M240" s="27">
        <f>IF(N(J240)=0,"",ABS(J240))</f>
        <v/>
      </c>
      <c r="N240" s="25">
        <f>IF(N(J240)=0,"","WIP "&amp;I240&amp;IF(D240="",""," - "&amp;D240)&amp;IF(F240="",""," "&amp;F240)&amp;IF(H240="",""," - "&amp;H240))</f>
        <v/>
      </c>
      <c r="O240" s="24" t="n"/>
      <c r="P240" s="24" t="n"/>
      <c r="Q240" s="24" t="n"/>
    </row>
    <row r="241" ht="15" customHeight="1">
      <c r="A241" s="66" t="n"/>
      <c r="B241" s="64">
        <f>IF(C241="","",IFERROR(INDEX(tbl_Finance[Date],MATCH(C241&amp;"",tbl_Finance[Xero Invoice No],0)),""))</f>
        <v/>
      </c>
      <c r="C241" s="24" t="n"/>
      <c r="D241" s="24" t="n"/>
      <c r="E241" s="25">
        <f>IF(D241="","",IF(COUNTIF(lst_Jobs,D241&amp;"")&gt;0,"OK","CHECK"))</f>
        <v/>
      </c>
      <c r="F241" s="24" t="n"/>
      <c r="G241" s="24" t="n"/>
      <c r="H241" s="24" t="n"/>
      <c r="I241" s="24" t="n"/>
      <c r="J241" s="26" t="n"/>
      <c r="K241" s="25">
        <f>IF(N(J241)=0,"",IF(J241&gt;0,set_WIPAsset,set_WIPIncome))</f>
        <v/>
      </c>
      <c r="L241" s="25">
        <f>IF(N(J241)=0,"",IF(J241&gt;0,set_WIPIncome,set_WIPAsset))</f>
        <v/>
      </c>
      <c r="M241" s="27">
        <f>IF(N(J241)=0,"",ABS(J241))</f>
        <v/>
      </c>
      <c r="N241" s="25">
        <f>IF(N(J241)=0,"","WIP "&amp;I241&amp;IF(D241="",""," - "&amp;D241)&amp;IF(F241="",""," "&amp;F241)&amp;IF(H241="",""," - "&amp;H241))</f>
        <v/>
      </c>
      <c r="O241" s="24" t="n"/>
      <c r="P241" s="24" t="n"/>
      <c r="Q241" s="24" t="n"/>
    </row>
    <row r="242" ht="15" customHeight="1">
      <c r="A242" s="66" t="n"/>
      <c r="B242" s="64">
        <f>IF(C242="","",IFERROR(INDEX(tbl_Finance[Date],MATCH(C242&amp;"",tbl_Finance[Xero Invoice No],0)),""))</f>
        <v/>
      </c>
      <c r="C242" s="24" t="n"/>
      <c r="D242" s="24" t="n"/>
      <c r="E242" s="25">
        <f>IF(D242="","",IF(COUNTIF(lst_Jobs,D242&amp;"")&gt;0,"OK","CHECK"))</f>
        <v/>
      </c>
      <c r="F242" s="24" t="n"/>
      <c r="G242" s="24" t="n"/>
      <c r="H242" s="24" t="n"/>
      <c r="I242" s="24" t="n"/>
      <c r="J242" s="26" t="n"/>
      <c r="K242" s="25">
        <f>IF(N(J242)=0,"",IF(J242&gt;0,set_WIPAsset,set_WIPIncome))</f>
        <v/>
      </c>
      <c r="L242" s="25">
        <f>IF(N(J242)=0,"",IF(J242&gt;0,set_WIPIncome,set_WIPAsset))</f>
        <v/>
      </c>
      <c r="M242" s="27">
        <f>IF(N(J242)=0,"",ABS(J242))</f>
        <v/>
      </c>
      <c r="N242" s="25">
        <f>IF(N(J242)=0,"","WIP "&amp;I242&amp;IF(D242="",""," - "&amp;D242)&amp;IF(F242="",""," "&amp;F242)&amp;IF(H242="",""," - "&amp;H242))</f>
        <v/>
      </c>
      <c r="O242" s="24" t="n"/>
      <c r="P242" s="24" t="n"/>
      <c r="Q242" s="24" t="n"/>
    </row>
    <row r="243" ht="15" customHeight="1">
      <c r="A243" s="66" t="n"/>
      <c r="B243" s="64">
        <f>IF(C243="","",IFERROR(INDEX(tbl_Finance[Date],MATCH(C243&amp;"",tbl_Finance[Xero Invoice No],0)),""))</f>
        <v/>
      </c>
      <c r="C243" s="24" t="n"/>
      <c r="D243" s="24" t="n"/>
      <c r="E243" s="25">
        <f>IF(D243="","",IF(COUNTIF(lst_Jobs,D243&amp;"")&gt;0,"OK","CHECK"))</f>
        <v/>
      </c>
      <c r="F243" s="24" t="n"/>
      <c r="G243" s="24" t="n"/>
      <c r="H243" s="24" t="n"/>
      <c r="I243" s="24" t="n"/>
      <c r="J243" s="26" t="n"/>
      <c r="K243" s="25">
        <f>IF(N(J243)=0,"",IF(J243&gt;0,set_WIPAsset,set_WIPIncome))</f>
        <v/>
      </c>
      <c r="L243" s="25">
        <f>IF(N(J243)=0,"",IF(J243&gt;0,set_WIPIncome,set_WIPAsset))</f>
        <v/>
      </c>
      <c r="M243" s="27">
        <f>IF(N(J243)=0,"",ABS(J243))</f>
        <v/>
      </c>
      <c r="N243" s="25">
        <f>IF(N(J243)=0,"","WIP "&amp;I243&amp;IF(D243="",""," - "&amp;D243)&amp;IF(F243="",""," "&amp;F243)&amp;IF(H243="",""," - "&amp;H243))</f>
        <v/>
      </c>
      <c r="O243" s="24" t="n"/>
      <c r="P243" s="24" t="n"/>
      <c r="Q243" s="24" t="n"/>
    </row>
    <row r="244" ht="15" customHeight="1">
      <c r="A244" s="66" t="n"/>
      <c r="B244" s="64">
        <f>IF(C244="","",IFERROR(INDEX(tbl_Finance[Date],MATCH(C244&amp;"",tbl_Finance[Xero Invoice No],0)),""))</f>
        <v/>
      </c>
      <c r="C244" s="24" t="n"/>
      <c r="D244" s="24" t="n"/>
      <c r="E244" s="25">
        <f>IF(D244="","",IF(COUNTIF(lst_Jobs,D244&amp;"")&gt;0,"OK","CHECK"))</f>
        <v/>
      </c>
      <c r="F244" s="24" t="n"/>
      <c r="G244" s="24" t="n"/>
      <c r="H244" s="24" t="n"/>
      <c r="I244" s="24" t="n"/>
      <c r="J244" s="26" t="n"/>
      <c r="K244" s="25">
        <f>IF(N(J244)=0,"",IF(J244&gt;0,set_WIPAsset,set_WIPIncome))</f>
        <v/>
      </c>
      <c r="L244" s="25">
        <f>IF(N(J244)=0,"",IF(J244&gt;0,set_WIPIncome,set_WIPAsset))</f>
        <v/>
      </c>
      <c r="M244" s="27">
        <f>IF(N(J244)=0,"",ABS(J244))</f>
        <v/>
      </c>
      <c r="N244" s="25">
        <f>IF(N(J244)=0,"","WIP "&amp;I244&amp;IF(D244="",""," - "&amp;D244)&amp;IF(F244="",""," "&amp;F244)&amp;IF(H244="",""," - "&amp;H244))</f>
        <v/>
      </c>
      <c r="O244" s="24" t="n"/>
      <c r="P244" s="24" t="n"/>
      <c r="Q244" s="24" t="n"/>
    </row>
    <row r="245" ht="15" customHeight="1">
      <c r="A245" s="66" t="n"/>
      <c r="B245" s="64">
        <f>IF(C245="","",IFERROR(INDEX(tbl_Finance[Date],MATCH(C245&amp;"",tbl_Finance[Xero Invoice No],0)),""))</f>
        <v/>
      </c>
      <c r="C245" s="24" t="n"/>
      <c r="D245" s="24" t="n"/>
      <c r="E245" s="25">
        <f>IF(D245="","",IF(COUNTIF(lst_Jobs,D245&amp;"")&gt;0,"OK","CHECK"))</f>
        <v/>
      </c>
      <c r="F245" s="24" t="n"/>
      <c r="G245" s="24" t="n"/>
      <c r="H245" s="24" t="n"/>
      <c r="I245" s="24" t="n"/>
      <c r="J245" s="26" t="n"/>
      <c r="K245" s="25">
        <f>IF(N(J245)=0,"",IF(J245&gt;0,set_WIPAsset,set_WIPIncome))</f>
        <v/>
      </c>
      <c r="L245" s="25">
        <f>IF(N(J245)=0,"",IF(J245&gt;0,set_WIPIncome,set_WIPAsset))</f>
        <v/>
      </c>
      <c r="M245" s="27">
        <f>IF(N(J245)=0,"",ABS(J245))</f>
        <v/>
      </c>
      <c r="N245" s="25">
        <f>IF(N(J245)=0,"","WIP "&amp;I245&amp;IF(D245="",""," - "&amp;D245)&amp;IF(F245="",""," "&amp;F245)&amp;IF(H245="",""," - "&amp;H245))</f>
        <v/>
      </c>
      <c r="O245" s="24" t="n"/>
      <c r="P245" s="24" t="n"/>
      <c r="Q245" s="24" t="n"/>
    </row>
    <row r="246" ht="15" customHeight="1">
      <c r="A246" s="66" t="n"/>
      <c r="B246" s="64">
        <f>IF(C246="","",IFERROR(INDEX(tbl_Finance[Date],MATCH(C246&amp;"",tbl_Finance[Xero Invoice No],0)),""))</f>
        <v/>
      </c>
      <c r="C246" s="24" t="n"/>
      <c r="D246" s="24" t="n"/>
      <c r="E246" s="25">
        <f>IF(D246="","",IF(COUNTIF(lst_Jobs,D246&amp;"")&gt;0,"OK","CHECK"))</f>
        <v/>
      </c>
      <c r="F246" s="24" t="n"/>
      <c r="G246" s="24" t="n"/>
      <c r="H246" s="24" t="n"/>
      <c r="I246" s="24" t="n"/>
      <c r="J246" s="26" t="n"/>
      <c r="K246" s="25">
        <f>IF(N(J246)=0,"",IF(J246&gt;0,set_WIPAsset,set_WIPIncome))</f>
        <v/>
      </c>
      <c r="L246" s="25">
        <f>IF(N(J246)=0,"",IF(J246&gt;0,set_WIPIncome,set_WIPAsset))</f>
        <v/>
      </c>
      <c r="M246" s="27">
        <f>IF(N(J246)=0,"",ABS(J246))</f>
        <v/>
      </c>
      <c r="N246" s="25">
        <f>IF(N(J246)=0,"","WIP "&amp;I246&amp;IF(D246="",""," - "&amp;D246)&amp;IF(F246="",""," "&amp;F246)&amp;IF(H246="",""," - "&amp;H246))</f>
        <v/>
      </c>
      <c r="O246" s="24" t="n"/>
      <c r="P246" s="24" t="n"/>
      <c r="Q246" s="24" t="n"/>
    </row>
    <row r="247" ht="15" customHeight="1">
      <c r="A247" s="66" t="n"/>
      <c r="B247" s="64">
        <f>IF(C247="","",IFERROR(INDEX(tbl_Finance[Date],MATCH(C247&amp;"",tbl_Finance[Xero Invoice No],0)),""))</f>
        <v/>
      </c>
      <c r="C247" s="24" t="n"/>
      <c r="D247" s="24" t="n"/>
      <c r="E247" s="25">
        <f>IF(D247="","",IF(COUNTIF(lst_Jobs,D247&amp;"")&gt;0,"OK","CHECK"))</f>
        <v/>
      </c>
      <c r="F247" s="24" t="n"/>
      <c r="G247" s="24" t="n"/>
      <c r="H247" s="24" t="n"/>
      <c r="I247" s="24" t="n"/>
      <c r="J247" s="26" t="n"/>
      <c r="K247" s="25">
        <f>IF(N(J247)=0,"",IF(J247&gt;0,set_WIPAsset,set_WIPIncome))</f>
        <v/>
      </c>
      <c r="L247" s="25">
        <f>IF(N(J247)=0,"",IF(J247&gt;0,set_WIPIncome,set_WIPAsset))</f>
        <v/>
      </c>
      <c r="M247" s="27">
        <f>IF(N(J247)=0,"",ABS(J247))</f>
        <v/>
      </c>
      <c r="N247" s="25">
        <f>IF(N(J247)=0,"","WIP "&amp;I247&amp;IF(D247="",""," - "&amp;D247)&amp;IF(F247="",""," "&amp;F247)&amp;IF(H247="",""," - "&amp;H247))</f>
        <v/>
      </c>
      <c r="O247" s="24" t="n"/>
      <c r="P247" s="24" t="n"/>
      <c r="Q247" s="24" t="n"/>
    </row>
    <row r="248" ht="15" customHeight="1">
      <c r="A248" s="66" t="n"/>
      <c r="B248" s="64">
        <f>IF(C248="","",IFERROR(INDEX(tbl_Finance[Date],MATCH(C248&amp;"",tbl_Finance[Xero Invoice No],0)),""))</f>
        <v/>
      </c>
      <c r="C248" s="24" t="n"/>
      <c r="D248" s="24" t="n"/>
      <c r="E248" s="25">
        <f>IF(D248="","",IF(COUNTIF(lst_Jobs,D248&amp;"")&gt;0,"OK","CHECK"))</f>
        <v/>
      </c>
      <c r="F248" s="24" t="n"/>
      <c r="G248" s="24" t="n"/>
      <c r="H248" s="24" t="n"/>
      <c r="I248" s="24" t="n"/>
      <c r="J248" s="26" t="n"/>
      <c r="K248" s="25">
        <f>IF(N(J248)=0,"",IF(J248&gt;0,set_WIPAsset,set_WIPIncome))</f>
        <v/>
      </c>
      <c r="L248" s="25">
        <f>IF(N(J248)=0,"",IF(J248&gt;0,set_WIPIncome,set_WIPAsset))</f>
        <v/>
      </c>
      <c r="M248" s="27">
        <f>IF(N(J248)=0,"",ABS(J248))</f>
        <v/>
      </c>
      <c r="N248" s="25">
        <f>IF(N(J248)=0,"","WIP "&amp;I248&amp;IF(D248="",""," - "&amp;D248)&amp;IF(F248="",""," "&amp;F248)&amp;IF(H248="",""," - "&amp;H248))</f>
        <v/>
      </c>
      <c r="O248" s="24" t="n"/>
      <c r="P248" s="24" t="n"/>
      <c r="Q248" s="24" t="n"/>
    </row>
    <row r="249" ht="15" customHeight="1">
      <c r="A249" s="66" t="n"/>
      <c r="B249" s="64">
        <f>IF(C249="","",IFERROR(INDEX(tbl_Finance[Date],MATCH(C249&amp;"",tbl_Finance[Xero Invoice No],0)),""))</f>
        <v/>
      </c>
      <c r="C249" s="24" t="n"/>
      <c r="D249" s="24" t="n"/>
      <c r="E249" s="25">
        <f>IF(D249="","",IF(COUNTIF(lst_Jobs,D249&amp;"")&gt;0,"OK","CHECK"))</f>
        <v/>
      </c>
      <c r="F249" s="24" t="n"/>
      <c r="G249" s="24" t="n"/>
      <c r="H249" s="24" t="n"/>
      <c r="I249" s="24" t="n"/>
      <c r="J249" s="26" t="n"/>
      <c r="K249" s="25">
        <f>IF(N(J249)=0,"",IF(J249&gt;0,set_WIPAsset,set_WIPIncome))</f>
        <v/>
      </c>
      <c r="L249" s="25">
        <f>IF(N(J249)=0,"",IF(J249&gt;0,set_WIPIncome,set_WIPAsset))</f>
        <v/>
      </c>
      <c r="M249" s="27">
        <f>IF(N(J249)=0,"",ABS(J249))</f>
        <v/>
      </c>
      <c r="N249" s="25">
        <f>IF(N(J249)=0,"","WIP "&amp;I249&amp;IF(D249="",""," - "&amp;D249)&amp;IF(F249="",""," "&amp;F249)&amp;IF(H249="",""," - "&amp;H249))</f>
        <v/>
      </c>
      <c r="O249" s="24" t="n"/>
      <c r="P249" s="24" t="n"/>
      <c r="Q249" s="24" t="n"/>
    </row>
    <row r="250" ht="15" customHeight="1">
      <c r="A250" s="66" t="n"/>
      <c r="B250" s="64">
        <f>IF(C250="","",IFERROR(INDEX(tbl_Finance[Date],MATCH(C250&amp;"",tbl_Finance[Xero Invoice No],0)),""))</f>
        <v/>
      </c>
      <c r="C250" s="24" t="n"/>
      <c r="D250" s="24" t="n"/>
      <c r="E250" s="25">
        <f>IF(D250="","",IF(COUNTIF(lst_Jobs,D250&amp;"")&gt;0,"OK","CHECK"))</f>
        <v/>
      </c>
      <c r="F250" s="24" t="n"/>
      <c r="G250" s="24" t="n"/>
      <c r="H250" s="24" t="n"/>
      <c r="I250" s="24" t="n"/>
      <c r="J250" s="26" t="n"/>
      <c r="K250" s="25">
        <f>IF(N(J250)=0,"",IF(J250&gt;0,set_WIPAsset,set_WIPIncome))</f>
        <v/>
      </c>
      <c r="L250" s="25">
        <f>IF(N(J250)=0,"",IF(J250&gt;0,set_WIPIncome,set_WIPAsset))</f>
        <v/>
      </c>
      <c r="M250" s="27">
        <f>IF(N(J250)=0,"",ABS(J250))</f>
        <v/>
      </c>
      <c r="N250" s="25">
        <f>IF(N(J250)=0,"","WIP "&amp;I250&amp;IF(D250="",""," - "&amp;D250)&amp;IF(F250="",""," "&amp;F250)&amp;IF(H250="",""," - "&amp;H250))</f>
        <v/>
      </c>
      <c r="O250" s="24" t="n"/>
      <c r="P250" s="24" t="n"/>
      <c r="Q250" s="24" t="n"/>
    </row>
    <row r="251" ht="15" customHeight="1">
      <c r="A251" s="66" t="n"/>
      <c r="B251" s="64">
        <f>IF(C251="","",IFERROR(INDEX(tbl_Finance[Date],MATCH(C251&amp;"",tbl_Finance[Xero Invoice No],0)),""))</f>
        <v/>
      </c>
      <c r="C251" s="24" t="n"/>
      <c r="D251" s="24" t="n"/>
      <c r="E251" s="25">
        <f>IF(D251="","",IF(COUNTIF(lst_Jobs,D251&amp;"")&gt;0,"OK","CHECK"))</f>
        <v/>
      </c>
      <c r="F251" s="24" t="n"/>
      <c r="G251" s="24" t="n"/>
      <c r="H251" s="24" t="n"/>
      <c r="I251" s="24" t="n"/>
      <c r="J251" s="26" t="n"/>
      <c r="K251" s="25">
        <f>IF(N(J251)=0,"",IF(J251&gt;0,set_WIPAsset,set_WIPIncome))</f>
        <v/>
      </c>
      <c r="L251" s="25">
        <f>IF(N(J251)=0,"",IF(J251&gt;0,set_WIPIncome,set_WIPAsset))</f>
        <v/>
      </c>
      <c r="M251" s="27">
        <f>IF(N(J251)=0,"",ABS(J251))</f>
        <v/>
      </c>
      <c r="N251" s="25">
        <f>IF(N(J251)=0,"","WIP "&amp;I251&amp;IF(D251="",""," - "&amp;D251)&amp;IF(F251="",""," "&amp;F251)&amp;IF(H251="",""," - "&amp;H251))</f>
        <v/>
      </c>
      <c r="O251" s="24" t="n"/>
      <c r="P251" s="24" t="n"/>
      <c r="Q251" s="24" t="n"/>
    </row>
    <row r="252" ht="15" customHeight="1">
      <c r="A252" s="66" t="n"/>
      <c r="B252" s="64">
        <f>IF(C252="","",IFERROR(INDEX(tbl_Finance[Date],MATCH(C252&amp;"",tbl_Finance[Xero Invoice No],0)),""))</f>
        <v/>
      </c>
      <c r="C252" s="24" t="n"/>
      <c r="D252" s="24" t="n"/>
      <c r="E252" s="25">
        <f>IF(D252="","",IF(COUNTIF(lst_Jobs,D252&amp;"")&gt;0,"OK","CHECK"))</f>
        <v/>
      </c>
      <c r="F252" s="24" t="n"/>
      <c r="G252" s="24" t="n"/>
      <c r="H252" s="24" t="n"/>
      <c r="I252" s="24" t="n"/>
      <c r="J252" s="26" t="n"/>
      <c r="K252" s="25">
        <f>IF(N(J252)=0,"",IF(J252&gt;0,set_WIPAsset,set_WIPIncome))</f>
        <v/>
      </c>
      <c r="L252" s="25">
        <f>IF(N(J252)=0,"",IF(J252&gt;0,set_WIPIncome,set_WIPAsset))</f>
        <v/>
      </c>
      <c r="M252" s="27">
        <f>IF(N(J252)=0,"",ABS(J252))</f>
        <v/>
      </c>
      <c r="N252" s="25">
        <f>IF(N(J252)=0,"","WIP "&amp;I252&amp;IF(D252="",""," - "&amp;D252)&amp;IF(F252="",""," "&amp;F252)&amp;IF(H252="",""," - "&amp;H252))</f>
        <v/>
      </c>
      <c r="O252" s="24" t="n"/>
      <c r="P252" s="24" t="n"/>
      <c r="Q252" s="24" t="n"/>
    </row>
    <row r="253" ht="15" customHeight="1">
      <c r="A253" s="66" t="n"/>
      <c r="B253" s="64">
        <f>IF(C253="","",IFERROR(INDEX(tbl_Finance[Date],MATCH(C253&amp;"",tbl_Finance[Xero Invoice No],0)),""))</f>
        <v/>
      </c>
      <c r="C253" s="24" t="n"/>
      <c r="D253" s="24" t="n"/>
      <c r="E253" s="25">
        <f>IF(D253="","",IF(COUNTIF(lst_Jobs,D253&amp;"")&gt;0,"OK","CHECK"))</f>
        <v/>
      </c>
      <c r="F253" s="24" t="n"/>
      <c r="G253" s="24" t="n"/>
      <c r="H253" s="24" t="n"/>
      <c r="I253" s="24" t="n"/>
      <c r="J253" s="26" t="n"/>
      <c r="K253" s="25">
        <f>IF(N(J253)=0,"",IF(J253&gt;0,set_WIPAsset,set_WIPIncome))</f>
        <v/>
      </c>
      <c r="L253" s="25">
        <f>IF(N(J253)=0,"",IF(J253&gt;0,set_WIPIncome,set_WIPAsset))</f>
        <v/>
      </c>
      <c r="M253" s="27">
        <f>IF(N(J253)=0,"",ABS(J253))</f>
        <v/>
      </c>
      <c r="N253" s="25">
        <f>IF(N(J253)=0,"","WIP "&amp;I253&amp;IF(D253="",""," - "&amp;D253)&amp;IF(F253="",""," "&amp;F253)&amp;IF(H253="",""," - "&amp;H253))</f>
        <v/>
      </c>
      <c r="O253" s="24" t="n"/>
      <c r="P253" s="24" t="n"/>
      <c r="Q253" s="24" t="n"/>
    </row>
    <row r="254" ht="15" customHeight="1">
      <c r="A254" s="66" t="n"/>
      <c r="B254" s="64">
        <f>IF(C254="","",IFERROR(INDEX(tbl_Finance[Date],MATCH(C254&amp;"",tbl_Finance[Xero Invoice No],0)),""))</f>
        <v/>
      </c>
      <c r="C254" s="24" t="n"/>
      <c r="D254" s="24" t="n"/>
      <c r="E254" s="25">
        <f>IF(D254="","",IF(COUNTIF(lst_Jobs,D254&amp;"")&gt;0,"OK","CHECK"))</f>
        <v/>
      </c>
      <c r="F254" s="24" t="n"/>
      <c r="G254" s="24" t="n"/>
      <c r="H254" s="24" t="n"/>
      <c r="I254" s="24" t="n"/>
      <c r="J254" s="26" t="n"/>
      <c r="K254" s="25">
        <f>IF(N(J254)=0,"",IF(J254&gt;0,set_WIPAsset,set_WIPIncome))</f>
        <v/>
      </c>
      <c r="L254" s="25">
        <f>IF(N(J254)=0,"",IF(J254&gt;0,set_WIPIncome,set_WIPAsset))</f>
        <v/>
      </c>
      <c r="M254" s="27">
        <f>IF(N(J254)=0,"",ABS(J254))</f>
        <v/>
      </c>
      <c r="N254" s="25">
        <f>IF(N(J254)=0,"","WIP "&amp;I254&amp;IF(D254="",""," - "&amp;D254)&amp;IF(F254="",""," "&amp;F254)&amp;IF(H254="",""," - "&amp;H254))</f>
        <v/>
      </c>
      <c r="O254" s="24" t="n"/>
      <c r="P254" s="24" t="n"/>
      <c r="Q254" s="24" t="n"/>
    </row>
    <row r="255" ht="15" customHeight="1">
      <c r="A255" s="66" t="n"/>
      <c r="B255" s="64">
        <f>IF(C255="","",IFERROR(INDEX(tbl_Finance[Date],MATCH(C255&amp;"",tbl_Finance[Xero Invoice No],0)),""))</f>
        <v/>
      </c>
      <c r="C255" s="24" t="n"/>
      <c r="D255" s="24" t="n"/>
      <c r="E255" s="25">
        <f>IF(D255="","",IF(COUNTIF(lst_Jobs,D255&amp;"")&gt;0,"OK","CHECK"))</f>
        <v/>
      </c>
      <c r="F255" s="24" t="n"/>
      <c r="G255" s="24" t="n"/>
      <c r="H255" s="24" t="n"/>
      <c r="I255" s="24" t="n"/>
      <c r="J255" s="26" t="n"/>
      <c r="K255" s="25">
        <f>IF(N(J255)=0,"",IF(J255&gt;0,set_WIPAsset,set_WIPIncome))</f>
        <v/>
      </c>
      <c r="L255" s="25">
        <f>IF(N(J255)=0,"",IF(J255&gt;0,set_WIPIncome,set_WIPAsset))</f>
        <v/>
      </c>
      <c r="M255" s="27">
        <f>IF(N(J255)=0,"",ABS(J255))</f>
        <v/>
      </c>
      <c r="N255" s="25">
        <f>IF(N(J255)=0,"","WIP "&amp;I255&amp;IF(D255="",""," - "&amp;D255)&amp;IF(F255="",""," "&amp;F255)&amp;IF(H255="",""," - "&amp;H255))</f>
        <v/>
      </c>
      <c r="O255" s="24" t="n"/>
      <c r="P255" s="24" t="n"/>
      <c r="Q255" s="24" t="n"/>
    </row>
    <row r="256" ht="15" customHeight="1">
      <c r="A256" s="66" t="n"/>
      <c r="B256" s="64">
        <f>IF(C256="","",IFERROR(INDEX(tbl_Finance[Date],MATCH(C256&amp;"",tbl_Finance[Xero Invoice No],0)),""))</f>
        <v/>
      </c>
      <c r="C256" s="24" t="n"/>
      <c r="D256" s="24" t="n"/>
      <c r="E256" s="25">
        <f>IF(D256="","",IF(COUNTIF(lst_Jobs,D256&amp;"")&gt;0,"OK","CHECK"))</f>
        <v/>
      </c>
      <c r="F256" s="24" t="n"/>
      <c r="G256" s="24" t="n"/>
      <c r="H256" s="24" t="n"/>
      <c r="I256" s="24" t="n"/>
      <c r="J256" s="26" t="n"/>
      <c r="K256" s="25">
        <f>IF(N(J256)=0,"",IF(J256&gt;0,set_WIPAsset,set_WIPIncome))</f>
        <v/>
      </c>
      <c r="L256" s="25">
        <f>IF(N(J256)=0,"",IF(J256&gt;0,set_WIPIncome,set_WIPAsset))</f>
        <v/>
      </c>
      <c r="M256" s="27">
        <f>IF(N(J256)=0,"",ABS(J256))</f>
        <v/>
      </c>
      <c r="N256" s="25">
        <f>IF(N(J256)=0,"","WIP "&amp;I256&amp;IF(D256="",""," - "&amp;D256)&amp;IF(F256="",""," "&amp;F256)&amp;IF(H256="",""," - "&amp;H256))</f>
        <v/>
      </c>
      <c r="O256" s="24" t="n"/>
      <c r="P256" s="24" t="n"/>
      <c r="Q256" s="24" t="n"/>
    </row>
    <row r="257" ht="15" customHeight="1">
      <c r="A257" s="66" t="n"/>
      <c r="B257" s="64">
        <f>IF(C257="","",IFERROR(INDEX(tbl_Finance[Date],MATCH(C257&amp;"",tbl_Finance[Xero Invoice No],0)),""))</f>
        <v/>
      </c>
      <c r="C257" s="24" t="n"/>
      <c r="D257" s="24" t="n"/>
      <c r="E257" s="25">
        <f>IF(D257="","",IF(COUNTIF(lst_Jobs,D257&amp;"")&gt;0,"OK","CHECK"))</f>
        <v/>
      </c>
      <c r="F257" s="24" t="n"/>
      <c r="G257" s="24" t="n"/>
      <c r="H257" s="24" t="n"/>
      <c r="I257" s="24" t="n"/>
      <c r="J257" s="26" t="n"/>
      <c r="K257" s="25">
        <f>IF(N(J257)=0,"",IF(J257&gt;0,set_WIPAsset,set_WIPIncome))</f>
        <v/>
      </c>
      <c r="L257" s="25">
        <f>IF(N(J257)=0,"",IF(J257&gt;0,set_WIPIncome,set_WIPAsset))</f>
        <v/>
      </c>
      <c r="M257" s="27">
        <f>IF(N(J257)=0,"",ABS(J257))</f>
        <v/>
      </c>
      <c r="N257" s="25">
        <f>IF(N(J257)=0,"","WIP "&amp;I257&amp;IF(D257="",""," - "&amp;D257)&amp;IF(F257="",""," "&amp;F257)&amp;IF(H257="",""," - "&amp;H257))</f>
        <v/>
      </c>
      <c r="O257" s="24" t="n"/>
      <c r="P257" s="24" t="n"/>
      <c r="Q257" s="24" t="n"/>
    </row>
    <row r="258" ht="15" customHeight="1">
      <c r="A258" s="66" t="n"/>
      <c r="B258" s="64">
        <f>IF(C258="","",IFERROR(INDEX(tbl_Finance[Date],MATCH(C258&amp;"",tbl_Finance[Xero Invoice No],0)),""))</f>
        <v/>
      </c>
      <c r="C258" s="24" t="n"/>
      <c r="D258" s="24" t="n"/>
      <c r="E258" s="25">
        <f>IF(D258="","",IF(COUNTIF(lst_Jobs,D258&amp;"")&gt;0,"OK","CHECK"))</f>
        <v/>
      </c>
      <c r="F258" s="24" t="n"/>
      <c r="G258" s="24" t="n"/>
      <c r="H258" s="24" t="n"/>
      <c r="I258" s="24" t="n"/>
      <c r="J258" s="26" t="n"/>
      <c r="K258" s="25">
        <f>IF(N(J258)=0,"",IF(J258&gt;0,set_WIPAsset,set_WIPIncome))</f>
        <v/>
      </c>
      <c r="L258" s="25">
        <f>IF(N(J258)=0,"",IF(J258&gt;0,set_WIPIncome,set_WIPAsset))</f>
        <v/>
      </c>
      <c r="M258" s="27">
        <f>IF(N(J258)=0,"",ABS(J258))</f>
        <v/>
      </c>
      <c r="N258" s="25">
        <f>IF(N(J258)=0,"","WIP "&amp;I258&amp;IF(D258="",""," - "&amp;D258)&amp;IF(F258="",""," "&amp;F258)&amp;IF(H258="",""," - "&amp;H258))</f>
        <v/>
      </c>
      <c r="O258" s="24" t="n"/>
      <c r="P258" s="24" t="n"/>
      <c r="Q258" s="24" t="n"/>
    </row>
    <row r="259" ht="15" customHeight="1">
      <c r="A259" s="66" t="n"/>
      <c r="B259" s="64">
        <f>IF(C259="","",IFERROR(INDEX(tbl_Finance[Date],MATCH(C259&amp;"",tbl_Finance[Xero Invoice No],0)),""))</f>
        <v/>
      </c>
      <c r="C259" s="24" t="n"/>
      <c r="D259" s="24" t="n"/>
      <c r="E259" s="25">
        <f>IF(D259="","",IF(COUNTIF(lst_Jobs,D259&amp;"")&gt;0,"OK","CHECK"))</f>
        <v/>
      </c>
      <c r="F259" s="24" t="n"/>
      <c r="G259" s="24" t="n"/>
      <c r="H259" s="24" t="n"/>
      <c r="I259" s="24" t="n"/>
      <c r="J259" s="26" t="n"/>
      <c r="K259" s="25">
        <f>IF(N(J259)=0,"",IF(J259&gt;0,set_WIPAsset,set_WIPIncome))</f>
        <v/>
      </c>
      <c r="L259" s="25">
        <f>IF(N(J259)=0,"",IF(J259&gt;0,set_WIPIncome,set_WIPAsset))</f>
        <v/>
      </c>
      <c r="M259" s="27">
        <f>IF(N(J259)=0,"",ABS(J259))</f>
        <v/>
      </c>
      <c r="N259" s="25">
        <f>IF(N(J259)=0,"","WIP "&amp;I259&amp;IF(D259="",""," - "&amp;D259)&amp;IF(F259="",""," "&amp;F259)&amp;IF(H259="",""," - "&amp;H259))</f>
        <v/>
      </c>
      <c r="O259" s="24" t="n"/>
      <c r="P259" s="24" t="n"/>
      <c r="Q259" s="24" t="n"/>
    </row>
    <row r="260" ht="15" customHeight="1">
      <c r="A260" s="66" t="n"/>
      <c r="B260" s="64">
        <f>IF(C260="","",IFERROR(INDEX(tbl_Finance[Date],MATCH(C260&amp;"",tbl_Finance[Xero Invoice No],0)),""))</f>
        <v/>
      </c>
      <c r="C260" s="24" t="n"/>
      <c r="D260" s="24" t="n"/>
      <c r="E260" s="25">
        <f>IF(D260="","",IF(COUNTIF(lst_Jobs,D260&amp;"")&gt;0,"OK","CHECK"))</f>
        <v/>
      </c>
      <c r="F260" s="24" t="n"/>
      <c r="G260" s="24" t="n"/>
      <c r="H260" s="24" t="n"/>
      <c r="I260" s="24" t="n"/>
      <c r="J260" s="26" t="n"/>
      <c r="K260" s="25">
        <f>IF(N(J260)=0,"",IF(J260&gt;0,set_WIPAsset,set_WIPIncome))</f>
        <v/>
      </c>
      <c r="L260" s="25">
        <f>IF(N(J260)=0,"",IF(J260&gt;0,set_WIPIncome,set_WIPAsset))</f>
        <v/>
      </c>
      <c r="M260" s="27">
        <f>IF(N(J260)=0,"",ABS(J260))</f>
        <v/>
      </c>
      <c r="N260" s="25">
        <f>IF(N(J260)=0,"","WIP "&amp;I260&amp;IF(D260="",""," - "&amp;D260)&amp;IF(F260="",""," "&amp;F260)&amp;IF(H260="",""," - "&amp;H260))</f>
        <v/>
      </c>
      <c r="O260" s="24" t="n"/>
      <c r="P260" s="24" t="n"/>
      <c r="Q260" s="24" t="n"/>
    </row>
    <row r="261" ht="15" customHeight="1">
      <c r="A261" s="66" t="n"/>
      <c r="B261" s="64">
        <f>IF(C261="","",IFERROR(INDEX(tbl_Finance[Date],MATCH(C261&amp;"",tbl_Finance[Xero Invoice No],0)),""))</f>
        <v/>
      </c>
      <c r="C261" s="24" t="n"/>
      <c r="D261" s="24" t="n"/>
      <c r="E261" s="25">
        <f>IF(D261="","",IF(COUNTIF(lst_Jobs,D261&amp;"")&gt;0,"OK","CHECK"))</f>
        <v/>
      </c>
      <c r="F261" s="24" t="n"/>
      <c r="G261" s="24" t="n"/>
      <c r="H261" s="24" t="n"/>
      <c r="I261" s="24" t="n"/>
      <c r="J261" s="26" t="n"/>
      <c r="K261" s="25">
        <f>IF(N(J261)=0,"",IF(J261&gt;0,set_WIPAsset,set_WIPIncome))</f>
        <v/>
      </c>
      <c r="L261" s="25">
        <f>IF(N(J261)=0,"",IF(J261&gt;0,set_WIPIncome,set_WIPAsset))</f>
        <v/>
      </c>
      <c r="M261" s="27">
        <f>IF(N(J261)=0,"",ABS(J261))</f>
        <v/>
      </c>
      <c r="N261" s="25">
        <f>IF(N(J261)=0,"","WIP "&amp;I261&amp;IF(D261="",""," - "&amp;D261)&amp;IF(F261="",""," "&amp;F261)&amp;IF(H261="",""," - "&amp;H261))</f>
        <v/>
      </c>
      <c r="O261" s="24" t="n"/>
      <c r="P261" s="24" t="n"/>
      <c r="Q261" s="24" t="n"/>
    </row>
    <row r="262" ht="15" customHeight="1">
      <c r="A262" s="66" t="n"/>
      <c r="B262" s="64">
        <f>IF(C262="","",IFERROR(INDEX(tbl_Finance[Date],MATCH(C262&amp;"",tbl_Finance[Xero Invoice No],0)),""))</f>
        <v/>
      </c>
      <c r="C262" s="24" t="n"/>
      <c r="D262" s="24" t="n"/>
      <c r="E262" s="25">
        <f>IF(D262="","",IF(COUNTIF(lst_Jobs,D262&amp;"")&gt;0,"OK","CHECK"))</f>
        <v/>
      </c>
      <c r="F262" s="24" t="n"/>
      <c r="G262" s="24" t="n"/>
      <c r="H262" s="24" t="n"/>
      <c r="I262" s="24" t="n"/>
      <c r="J262" s="26" t="n"/>
      <c r="K262" s="25">
        <f>IF(N(J262)=0,"",IF(J262&gt;0,set_WIPAsset,set_WIPIncome))</f>
        <v/>
      </c>
      <c r="L262" s="25">
        <f>IF(N(J262)=0,"",IF(J262&gt;0,set_WIPIncome,set_WIPAsset))</f>
        <v/>
      </c>
      <c r="M262" s="27">
        <f>IF(N(J262)=0,"",ABS(J262))</f>
        <v/>
      </c>
      <c r="N262" s="25">
        <f>IF(N(J262)=0,"","WIP "&amp;I262&amp;IF(D262="",""," - "&amp;D262)&amp;IF(F262="",""," "&amp;F262)&amp;IF(H262="",""," - "&amp;H262))</f>
        <v/>
      </c>
      <c r="O262" s="24" t="n"/>
      <c r="P262" s="24" t="n"/>
      <c r="Q262" s="24" t="n"/>
    </row>
    <row r="263" ht="15" customHeight="1">
      <c r="A263" s="66" t="n"/>
      <c r="B263" s="64">
        <f>IF(C263="","",IFERROR(INDEX(tbl_Finance[Date],MATCH(C263&amp;"",tbl_Finance[Xero Invoice No],0)),""))</f>
        <v/>
      </c>
      <c r="C263" s="24" t="n"/>
      <c r="D263" s="24" t="n"/>
      <c r="E263" s="25">
        <f>IF(D263="","",IF(COUNTIF(lst_Jobs,D263&amp;"")&gt;0,"OK","CHECK"))</f>
        <v/>
      </c>
      <c r="F263" s="24" t="n"/>
      <c r="G263" s="24" t="n"/>
      <c r="H263" s="24" t="n"/>
      <c r="I263" s="24" t="n"/>
      <c r="J263" s="26" t="n"/>
      <c r="K263" s="25">
        <f>IF(N(J263)=0,"",IF(J263&gt;0,set_WIPAsset,set_WIPIncome))</f>
        <v/>
      </c>
      <c r="L263" s="25">
        <f>IF(N(J263)=0,"",IF(J263&gt;0,set_WIPIncome,set_WIPAsset))</f>
        <v/>
      </c>
      <c r="M263" s="27">
        <f>IF(N(J263)=0,"",ABS(J263))</f>
        <v/>
      </c>
      <c r="N263" s="25">
        <f>IF(N(J263)=0,"","WIP "&amp;I263&amp;IF(D263="",""," - "&amp;D263)&amp;IF(F263="",""," "&amp;F263)&amp;IF(H263="",""," - "&amp;H263))</f>
        <v/>
      </c>
      <c r="O263" s="24" t="n"/>
      <c r="P263" s="24" t="n"/>
      <c r="Q263" s="24" t="n"/>
    </row>
    <row r="264" ht="15" customHeight="1">
      <c r="A264" s="66" t="n"/>
      <c r="B264" s="64">
        <f>IF(C264="","",IFERROR(INDEX(tbl_Finance[Date],MATCH(C264&amp;"",tbl_Finance[Xero Invoice No],0)),""))</f>
        <v/>
      </c>
      <c r="C264" s="24" t="n"/>
      <c r="D264" s="24" t="n"/>
      <c r="E264" s="25">
        <f>IF(D264="","",IF(COUNTIF(lst_Jobs,D264&amp;"")&gt;0,"OK","CHECK"))</f>
        <v/>
      </c>
      <c r="F264" s="24" t="n"/>
      <c r="G264" s="24" t="n"/>
      <c r="H264" s="24" t="n"/>
      <c r="I264" s="24" t="n"/>
      <c r="J264" s="26" t="n"/>
      <c r="K264" s="25">
        <f>IF(N(J264)=0,"",IF(J264&gt;0,set_WIPAsset,set_WIPIncome))</f>
        <v/>
      </c>
      <c r="L264" s="25">
        <f>IF(N(J264)=0,"",IF(J264&gt;0,set_WIPIncome,set_WIPAsset))</f>
        <v/>
      </c>
      <c r="M264" s="27">
        <f>IF(N(J264)=0,"",ABS(J264))</f>
        <v/>
      </c>
      <c r="N264" s="25">
        <f>IF(N(J264)=0,"","WIP "&amp;I264&amp;IF(D264="",""," - "&amp;D264)&amp;IF(F264="",""," "&amp;F264)&amp;IF(H264="",""," - "&amp;H264))</f>
        <v/>
      </c>
      <c r="O264" s="24" t="n"/>
      <c r="P264" s="24" t="n"/>
      <c r="Q264" s="24" t="n"/>
    </row>
    <row r="265" ht="15" customHeight="1">
      <c r="A265" s="66" t="n"/>
      <c r="B265" s="64">
        <f>IF(C265="","",IFERROR(INDEX(tbl_Finance[Date],MATCH(C265&amp;"",tbl_Finance[Xero Invoice No],0)),""))</f>
        <v/>
      </c>
      <c r="C265" s="24" t="n"/>
      <c r="D265" s="24" t="n"/>
      <c r="E265" s="25">
        <f>IF(D265="","",IF(COUNTIF(lst_Jobs,D265&amp;"")&gt;0,"OK","CHECK"))</f>
        <v/>
      </c>
      <c r="F265" s="24" t="n"/>
      <c r="G265" s="24" t="n"/>
      <c r="H265" s="24" t="n"/>
      <c r="I265" s="24" t="n"/>
      <c r="J265" s="26" t="n"/>
      <c r="K265" s="25">
        <f>IF(N(J265)=0,"",IF(J265&gt;0,set_WIPAsset,set_WIPIncome))</f>
        <v/>
      </c>
      <c r="L265" s="25">
        <f>IF(N(J265)=0,"",IF(J265&gt;0,set_WIPIncome,set_WIPAsset))</f>
        <v/>
      </c>
      <c r="M265" s="27">
        <f>IF(N(J265)=0,"",ABS(J265))</f>
        <v/>
      </c>
      <c r="N265" s="25">
        <f>IF(N(J265)=0,"","WIP "&amp;I265&amp;IF(D265="",""," - "&amp;D265)&amp;IF(F265="",""," "&amp;F265)&amp;IF(H265="",""," - "&amp;H265))</f>
        <v/>
      </c>
      <c r="O265" s="24" t="n"/>
      <c r="P265" s="24" t="n"/>
      <c r="Q265" s="24" t="n"/>
    </row>
    <row r="266" ht="15" customHeight="1">
      <c r="A266" s="66" t="n"/>
      <c r="B266" s="64">
        <f>IF(C266="","",IFERROR(INDEX(tbl_Finance[Date],MATCH(C266&amp;"",tbl_Finance[Xero Invoice No],0)),""))</f>
        <v/>
      </c>
      <c r="C266" s="24" t="n"/>
      <c r="D266" s="24" t="n"/>
      <c r="E266" s="25">
        <f>IF(D266="","",IF(COUNTIF(lst_Jobs,D266&amp;"")&gt;0,"OK","CHECK"))</f>
        <v/>
      </c>
      <c r="F266" s="24" t="n"/>
      <c r="G266" s="24" t="n"/>
      <c r="H266" s="24" t="n"/>
      <c r="I266" s="24" t="n"/>
      <c r="J266" s="26" t="n"/>
      <c r="K266" s="25">
        <f>IF(N(J266)=0,"",IF(J266&gt;0,set_WIPAsset,set_WIPIncome))</f>
        <v/>
      </c>
      <c r="L266" s="25">
        <f>IF(N(J266)=0,"",IF(J266&gt;0,set_WIPIncome,set_WIPAsset))</f>
        <v/>
      </c>
      <c r="M266" s="27">
        <f>IF(N(J266)=0,"",ABS(J266))</f>
        <v/>
      </c>
      <c r="N266" s="25">
        <f>IF(N(J266)=0,"","WIP "&amp;I266&amp;IF(D266="",""," - "&amp;D266)&amp;IF(F266="",""," "&amp;F266)&amp;IF(H266="",""," - "&amp;H266))</f>
        <v/>
      </c>
      <c r="O266" s="24" t="n"/>
      <c r="P266" s="24" t="n"/>
      <c r="Q266" s="24" t="n"/>
    </row>
    <row r="267" ht="15" customHeight="1">
      <c r="A267" s="66" t="n"/>
      <c r="B267" s="64">
        <f>IF(C267="","",IFERROR(INDEX(tbl_Finance[Date],MATCH(C267&amp;"",tbl_Finance[Xero Invoice No],0)),""))</f>
        <v/>
      </c>
      <c r="C267" s="24" t="n"/>
      <c r="D267" s="24" t="n"/>
      <c r="E267" s="25">
        <f>IF(D267="","",IF(COUNTIF(lst_Jobs,D267&amp;"")&gt;0,"OK","CHECK"))</f>
        <v/>
      </c>
      <c r="F267" s="24" t="n"/>
      <c r="G267" s="24" t="n"/>
      <c r="H267" s="24" t="n"/>
      <c r="I267" s="24" t="n"/>
      <c r="J267" s="26" t="n"/>
      <c r="K267" s="25">
        <f>IF(N(J267)=0,"",IF(J267&gt;0,set_WIPAsset,set_WIPIncome))</f>
        <v/>
      </c>
      <c r="L267" s="25">
        <f>IF(N(J267)=0,"",IF(J267&gt;0,set_WIPIncome,set_WIPAsset))</f>
        <v/>
      </c>
      <c r="M267" s="27">
        <f>IF(N(J267)=0,"",ABS(J267))</f>
        <v/>
      </c>
      <c r="N267" s="25">
        <f>IF(N(J267)=0,"","WIP "&amp;I267&amp;IF(D267="",""," - "&amp;D267)&amp;IF(F267="",""," "&amp;F267)&amp;IF(H267="",""," - "&amp;H267))</f>
        <v/>
      </c>
      <c r="O267" s="24" t="n"/>
      <c r="P267" s="24" t="n"/>
      <c r="Q267" s="24" t="n"/>
    </row>
    <row r="268" ht="15" customHeight="1">
      <c r="A268" s="66" t="n"/>
      <c r="B268" s="64">
        <f>IF(C268="","",IFERROR(INDEX(tbl_Finance[Date],MATCH(C268&amp;"",tbl_Finance[Xero Invoice No],0)),""))</f>
        <v/>
      </c>
      <c r="C268" s="24" t="n"/>
      <c r="D268" s="24" t="n"/>
      <c r="E268" s="25">
        <f>IF(D268="","",IF(COUNTIF(lst_Jobs,D268&amp;"")&gt;0,"OK","CHECK"))</f>
        <v/>
      </c>
      <c r="F268" s="24" t="n"/>
      <c r="G268" s="24" t="n"/>
      <c r="H268" s="24" t="n"/>
      <c r="I268" s="24" t="n"/>
      <c r="J268" s="26" t="n"/>
      <c r="K268" s="25">
        <f>IF(N(J268)=0,"",IF(J268&gt;0,set_WIPAsset,set_WIPIncome))</f>
        <v/>
      </c>
      <c r="L268" s="25">
        <f>IF(N(J268)=0,"",IF(J268&gt;0,set_WIPIncome,set_WIPAsset))</f>
        <v/>
      </c>
      <c r="M268" s="27">
        <f>IF(N(J268)=0,"",ABS(J268))</f>
        <v/>
      </c>
      <c r="N268" s="25">
        <f>IF(N(J268)=0,"","WIP "&amp;I268&amp;IF(D268="",""," - "&amp;D268)&amp;IF(F268="",""," "&amp;F268)&amp;IF(H268="",""," - "&amp;H268))</f>
        <v/>
      </c>
      <c r="O268" s="24" t="n"/>
      <c r="P268" s="24" t="n"/>
      <c r="Q268" s="24" t="n"/>
    </row>
    <row r="269" ht="15" customHeight="1">
      <c r="A269" s="66" t="n"/>
      <c r="B269" s="64">
        <f>IF(C269="","",IFERROR(INDEX(tbl_Finance[Date],MATCH(C269&amp;"",tbl_Finance[Xero Invoice No],0)),""))</f>
        <v/>
      </c>
      <c r="C269" s="24" t="n"/>
      <c r="D269" s="24" t="n"/>
      <c r="E269" s="25">
        <f>IF(D269="","",IF(COUNTIF(lst_Jobs,D269&amp;"")&gt;0,"OK","CHECK"))</f>
        <v/>
      </c>
      <c r="F269" s="24" t="n"/>
      <c r="G269" s="24" t="n"/>
      <c r="H269" s="24" t="n"/>
      <c r="I269" s="24" t="n"/>
      <c r="J269" s="26" t="n"/>
      <c r="K269" s="25">
        <f>IF(N(J269)=0,"",IF(J269&gt;0,set_WIPAsset,set_WIPIncome))</f>
        <v/>
      </c>
      <c r="L269" s="25">
        <f>IF(N(J269)=0,"",IF(J269&gt;0,set_WIPIncome,set_WIPAsset))</f>
        <v/>
      </c>
      <c r="M269" s="27">
        <f>IF(N(J269)=0,"",ABS(J269))</f>
        <v/>
      </c>
      <c r="N269" s="25">
        <f>IF(N(J269)=0,"","WIP "&amp;I269&amp;IF(D269="",""," - "&amp;D269)&amp;IF(F269="",""," "&amp;F269)&amp;IF(H269="",""," - "&amp;H269))</f>
        <v/>
      </c>
      <c r="O269" s="24" t="n"/>
      <c r="P269" s="24" t="n"/>
      <c r="Q269" s="24" t="n"/>
    </row>
    <row r="270" ht="15" customHeight="1">
      <c r="A270" s="66" t="n"/>
      <c r="B270" s="64">
        <f>IF(C270="","",IFERROR(INDEX(tbl_Finance[Date],MATCH(C270&amp;"",tbl_Finance[Xero Invoice No],0)),""))</f>
        <v/>
      </c>
      <c r="C270" s="24" t="n"/>
      <c r="D270" s="24" t="n"/>
      <c r="E270" s="25">
        <f>IF(D270="","",IF(COUNTIF(lst_Jobs,D270&amp;"")&gt;0,"OK","CHECK"))</f>
        <v/>
      </c>
      <c r="F270" s="24" t="n"/>
      <c r="G270" s="24" t="n"/>
      <c r="H270" s="24" t="n"/>
      <c r="I270" s="24" t="n"/>
      <c r="J270" s="26" t="n"/>
      <c r="K270" s="25">
        <f>IF(N(J270)=0,"",IF(J270&gt;0,set_WIPAsset,set_WIPIncome))</f>
        <v/>
      </c>
      <c r="L270" s="25">
        <f>IF(N(J270)=0,"",IF(J270&gt;0,set_WIPIncome,set_WIPAsset))</f>
        <v/>
      </c>
      <c r="M270" s="27">
        <f>IF(N(J270)=0,"",ABS(J270))</f>
        <v/>
      </c>
      <c r="N270" s="25">
        <f>IF(N(J270)=0,"","WIP "&amp;I270&amp;IF(D270="",""," - "&amp;D270)&amp;IF(F270="",""," "&amp;F270)&amp;IF(H270="",""," - "&amp;H270))</f>
        <v/>
      </c>
      <c r="O270" s="24" t="n"/>
      <c r="P270" s="24" t="n"/>
      <c r="Q270" s="24" t="n"/>
    </row>
    <row r="271" ht="15" customHeight="1">
      <c r="A271" s="66" t="n"/>
      <c r="B271" s="64">
        <f>IF(C271="","",IFERROR(INDEX(tbl_Finance[Date],MATCH(C271&amp;"",tbl_Finance[Xero Invoice No],0)),""))</f>
        <v/>
      </c>
      <c r="C271" s="24" t="n"/>
      <c r="D271" s="24" t="n"/>
      <c r="E271" s="25">
        <f>IF(D271="","",IF(COUNTIF(lst_Jobs,D271&amp;"")&gt;0,"OK","CHECK"))</f>
        <v/>
      </c>
      <c r="F271" s="24" t="n"/>
      <c r="G271" s="24" t="n"/>
      <c r="H271" s="24" t="n"/>
      <c r="I271" s="24" t="n"/>
      <c r="J271" s="26" t="n"/>
      <c r="K271" s="25">
        <f>IF(N(J271)=0,"",IF(J271&gt;0,set_WIPAsset,set_WIPIncome))</f>
        <v/>
      </c>
      <c r="L271" s="25">
        <f>IF(N(J271)=0,"",IF(J271&gt;0,set_WIPIncome,set_WIPAsset))</f>
        <v/>
      </c>
      <c r="M271" s="27">
        <f>IF(N(J271)=0,"",ABS(J271))</f>
        <v/>
      </c>
      <c r="N271" s="25">
        <f>IF(N(J271)=0,"","WIP "&amp;I271&amp;IF(D271="",""," - "&amp;D271)&amp;IF(F271="",""," "&amp;F271)&amp;IF(H271="",""," - "&amp;H271))</f>
        <v/>
      </c>
      <c r="O271" s="24" t="n"/>
      <c r="P271" s="24" t="n"/>
      <c r="Q271" s="24" t="n"/>
    </row>
    <row r="272" ht="15" customHeight="1">
      <c r="A272" s="66" t="n"/>
      <c r="B272" s="64">
        <f>IF(C272="","",IFERROR(INDEX(tbl_Finance[Date],MATCH(C272&amp;"",tbl_Finance[Xero Invoice No],0)),""))</f>
        <v/>
      </c>
      <c r="C272" s="24" t="n"/>
      <c r="D272" s="24" t="n"/>
      <c r="E272" s="25">
        <f>IF(D272="","",IF(COUNTIF(lst_Jobs,D272&amp;"")&gt;0,"OK","CHECK"))</f>
        <v/>
      </c>
      <c r="F272" s="24" t="n"/>
      <c r="G272" s="24" t="n"/>
      <c r="H272" s="24" t="n"/>
      <c r="I272" s="24" t="n"/>
      <c r="J272" s="26" t="n"/>
      <c r="K272" s="25">
        <f>IF(N(J272)=0,"",IF(J272&gt;0,set_WIPAsset,set_WIPIncome))</f>
        <v/>
      </c>
      <c r="L272" s="25">
        <f>IF(N(J272)=0,"",IF(J272&gt;0,set_WIPIncome,set_WIPAsset))</f>
        <v/>
      </c>
      <c r="M272" s="27">
        <f>IF(N(J272)=0,"",ABS(J272))</f>
        <v/>
      </c>
      <c r="N272" s="25">
        <f>IF(N(J272)=0,"","WIP "&amp;I272&amp;IF(D272="",""," - "&amp;D272)&amp;IF(F272="",""," "&amp;F272)&amp;IF(H272="",""," - "&amp;H272))</f>
        <v/>
      </c>
      <c r="O272" s="24" t="n"/>
      <c r="P272" s="24" t="n"/>
      <c r="Q272" s="24" t="n"/>
    </row>
    <row r="273" ht="15" customHeight="1">
      <c r="A273" s="66" t="n"/>
      <c r="B273" s="64">
        <f>IF(C273="","",IFERROR(INDEX(tbl_Finance[Date],MATCH(C273&amp;"",tbl_Finance[Xero Invoice No],0)),""))</f>
        <v/>
      </c>
      <c r="C273" s="24" t="n"/>
      <c r="D273" s="24" t="n"/>
      <c r="E273" s="25">
        <f>IF(D273="","",IF(COUNTIF(lst_Jobs,D273&amp;"")&gt;0,"OK","CHECK"))</f>
        <v/>
      </c>
      <c r="F273" s="24" t="n"/>
      <c r="G273" s="24" t="n"/>
      <c r="H273" s="24" t="n"/>
      <c r="I273" s="24" t="n"/>
      <c r="J273" s="26" t="n"/>
      <c r="K273" s="25">
        <f>IF(N(J273)=0,"",IF(J273&gt;0,set_WIPAsset,set_WIPIncome))</f>
        <v/>
      </c>
      <c r="L273" s="25">
        <f>IF(N(J273)=0,"",IF(J273&gt;0,set_WIPIncome,set_WIPAsset))</f>
        <v/>
      </c>
      <c r="M273" s="27">
        <f>IF(N(J273)=0,"",ABS(J273))</f>
        <v/>
      </c>
      <c r="N273" s="25">
        <f>IF(N(J273)=0,"","WIP "&amp;I273&amp;IF(D273="",""," - "&amp;D273)&amp;IF(F273="",""," "&amp;F273)&amp;IF(H273="",""," - "&amp;H273))</f>
        <v/>
      </c>
      <c r="O273" s="24" t="n"/>
      <c r="P273" s="24" t="n"/>
      <c r="Q273" s="24" t="n"/>
    </row>
    <row r="274" ht="15" customHeight="1">
      <c r="A274" s="66" t="n"/>
      <c r="B274" s="64">
        <f>IF(C274="","",IFERROR(INDEX(tbl_Finance[Date],MATCH(C274&amp;"",tbl_Finance[Xero Invoice No],0)),""))</f>
        <v/>
      </c>
      <c r="C274" s="24" t="n"/>
      <c r="D274" s="24" t="n"/>
      <c r="E274" s="25">
        <f>IF(D274="","",IF(COUNTIF(lst_Jobs,D274&amp;"")&gt;0,"OK","CHECK"))</f>
        <v/>
      </c>
      <c r="F274" s="24" t="n"/>
      <c r="G274" s="24" t="n"/>
      <c r="H274" s="24" t="n"/>
      <c r="I274" s="24" t="n"/>
      <c r="J274" s="26" t="n"/>
      <c r="K274" s="25">
        <f>IF(N(J274)=0,"",IF(J274&gt;0,set_WIPAsset,set_WIPIncome))</f>
        <v/>
      </c>
      <c r="L274" s="25">
        <f>IF(N(J274)=0,"",IF(J274&gt;0,set_WIPIncome,set_WIPAsset))</f>
        <v/>
      </c>
      <c r="M274" s="27">
        <f>IF(N(J274)=0,"",ABS(J274))</f>
        <v/>
      </c>
      <c r="N274" s="25">
        <f>IF(N(J274)=0,"","WIP "&amp;I274&amp;IF(D274="",""," - "&amp;D274)&amp;IF(F274="",""," "&amp;F274)&amp;IF(H274="",""," - "&amp;H274))</f>
        <v/>
      </c>
      <c r="O274" s="24" t="n"/>
      <c r="P274" s="24" t="n"/>
      <c r="Q274" s="24" t="n"/>
    </row>
    <row r="275" ht="15" customHeight="1">
      <c r="A275" s="66" t="n"/>
      <c r="B275" s="64">
        <f>IF(C275="","",IFERROR(INDEX(tbl_Finance[Date],MATCH(C275&amp;"",tbl_Finance[Xero Invoice No],0)),""))</f>
        <v/>
      </c>
      <c r="C275" s="24" t="n"/>
      <c r="D275" s="24" t="n"/>
      <c r="E275" s="25">
        <f>IF(D275="","",IF(COUNTIF(lst_Jobs,D275&amp;"")&gt;0,"OK","CHECK"))</f>
        <v/>
      </c>
      <c r="F275" s="24" t="n"/>
      <c r="G275" s="24" t="n"/>
      <c r="H275" s="24" t="n"/>
      <c r="I275" s="24" t="n"/>
      <c r="J275" s="26" t="n"/>
      <c r="K275" s="25">
        <f>IF(N(J275)=0,"",IF(J275&gt;0,set_WIPAsset,set_WIPIncome))</f>
        <v/>
      </c>
      <c r="L275" s="25">
        <f>IF(N(J275)=0,"",IF(J275&gt;0,set_WIPIncome,set_WIPAsset))</f>
        <v/>
      </c>
      <c r="M275" s="27">
        <f>IF(N(J275)=0,"",ABS(J275))</f>
        <v/>
      </c>
      <c r="N275" s="25">
        <f>IF(N(J275)=0,"","WIP "&amp;I275&amp;IF(D275="",""," - "&amp;D275)&amp;IF(F275="",""," "&amp;F275)&amp;IF(H275="",""," - "&amp;H275))</f>
        <v/>
      </c>
      <c r="O275" s="24" t="n"/>
      <c r="P275" s="24" t="n"/>
      <c r="Q275" s="24" t="n"/>
    </row>
    <row r="276" ht="15" customHeight="1">
      <c r="A276" s="66" t="n"/>
      <c r="B276" s="64">
        <f>IF(C276="","",IFERROR(INDEX(tbl_Finance[Date],MATCH(C276&amp;"",tbl_Finance[Xero Invoice No],0)),""))</f>
        <v/>
      </c>
      <c r="C276" s="24" t="n"/>
      <c r="D276" s="24" t="n"/>
      <c r="E276" s="25">
        <f>IF(D276="","",IF(COUNTIF(lst_Jobs,D276&amp;"")&gt;0,"OK","CHECK"))</f>
        <v/>
      </c>
      <c r="F276" s="24" t="n"/>
      <c r="G276" s="24" t="n"/>
      <c r="H276" s="24" t="n"/>
      <c r="I276" s="24" t="n"/>
      <c r="J276" s="26" t="n"/>
      <c r="K276" s="25">
        <f>IF(N(J276)=0,"",IF(J276&gt;0,set_WIPAsset,set_WIPIncome))</f>
        <v/>
      </c>
      <c r="L276" s="25">
        <f>IF(N(J276)=0,"",IF(J276&gt;0,set_WIPIncome,set_WIPAsset))</f>
        <v/>
      </c>
      <c r="M276" s="27">
        <f>IF(N(J276)=0,"",ABS(J276))</f>
        <v/>
      </c>
      <c r="N276" s="25">
        <f>IF(N(J276)=0,"","WIP "&amp;I276&amp;IF(D276="",""," - "&amp;D276)&amp;IF(F276="",""," "&amp;F276)&amp;IF(H276="",""," - "&amp;H276))</f>
        <v/>
      </c>
      <c r="O276" s="24" t="n"/>
      <c r="P276" s="24" t="n"/>
      <c r="Q276" s="24" t="n"/>
    </row>
    <row r="277" ht="15" customHeight="1">
      <c r="A277" s="66" t="n"/>
      <c r="B277" s="64">
        <f>IF(C277="","",IFERROR(INDEX(tbl_Finance[Date],MATCH(C277&amp;"",tbl_Finance[Xero Invoice No],0)),""))</f>
        <v/>
      </c>
      <c r="C277" s="24" t="n"/>
      <c r="D277" s="24" t="n"/>
      <c r="E277" s="25">
        <f>IF(D277="","",IF(COUNTIF(lst_Jobs,D277&amp;"")&gt;0,"OK","CHECK"))</f>
        <v/>
      </c>
      <c r="F277" s="24" t="n"/>
      <c r="G277" s="24" t="n"/>
      <c r="H277" s="24" t="n"/>
      <c r="I277" s="24" t="n"/>
      <c r="J277" s="26" t="n"/>
      <c r="K277" s="25">
        <f>IF(N(J277)=0,"",IF(J277&gt;0,set_WIPAsset,set_WIPIncome))</f>
        <v/>
      </c>
      <c r="L277" s="25">
        <f>IF(N(J277)=0,"",IF(J277&gt;0,set_WIPIncome,set_WIPAsset))</f>
        <v/>
      </c>
      <c r="M277" s="27">
        <f>IF(N(J277)=0,"",ABS(J277))</f>
        <v/>
      </c>
      <c r="N277" s="25">
        <f>IF(N(J277)=0,"","WIP "&amp;I277&amp;IF(D277="",""," - "&amp;D277)&amp;IF(F277="",""," "&amp;F277)&amp;IF(H277="",""," - "&amp;H277))</f>
        <v/>
      </c>
      <c r="O277" s="24" t="n"/>
      <c r="P277" s="24" t="n"/>
      <c r="Q277" s="24" t="n"/>
    </row>
    <row r="278" ht="15" customHeight="1">
      <c r="A278" s="66" t="n"/>
      <c r="B278" s="64">
        <f>IF(C278="","",IFERROR(INDEX(tbl_Finance[Date],MATCH(C278&amp;"",tbl_Finance[Xero Invoice No],0)),""))</f>
        <v/>
      </c>
      <c r="C278" s="24" t="n"/>
      <c r="D278" s="24" t="n"/>
      <c r="E278" s="25">
        <f>IF(D278="","",IF(COUNTIF(lst_Jobs,D278&amp;"")&gt;0,"OK","CHECK"))</f>
        <v/>
      </c>
      <c r="F278" s="24" t="n"/>
      <c r="G278" s="24" t="n"/>
      <c r="H278" s="24" t="n"/>
      <c r="I278" s="24" t="n"/>
      <c r="J278" s="26" t="n"/>
      <c r="K278" s="25">
        <f>IF(N(J278)=0,"",IF(J278&gt;0,set_WIPAsset,set_WIPIncome))</f>
        <v/>
      </c>
      <c r="L278" s="25">
        <f>IF(N(J278)=0,"",IF(J278&gt;0,set_WIPIncome,set_WIPAsset))</f>
        <v/>
      </c>
      <c r="M278" s="27">
        <f>IF(N(J278)=0,"",ABS(J278))</f>
        <v/>
      </c>
      <c r="N278" s="25">
        <f>IF(N(J278)=0,"","WIP "&amp;I278&amp;IF(D278="",""," - "&amp;D278)&amp;IF(F278="",""," "&amp;F278)&amp;IF(H278="",""," - "&amp;H278))</f>
        <v/>
      </c>
      <c r="O278" s="24" t="n"/>
      <c r="P278" s="24" t="n"/>
      <c r="Q278" s="24" t="n"/>
    </row>
    <row r="279" ht="15" customHeight="1">
      <c r="A279" s="66" t="n"/>
      <c r="B279" s="64">
        <f>IF(C279="","",IFERROR(INDEX(tbl_Finance[Date],MATCH(C279&amp;"",tbl_Finance[Xero Invoice No],0)),""))</f>
        <v/>
      </c>
      <c r="C279" s="24" t="n"/>
      <c r="D279" s="24" t="n"/>
      <c r="E279" s="25">
        <f>IF(D279="","",IF(COUNTIF(lst_Jobs,D279&amp;"")&gt;0,"OK","CHECK"))</f>
        <v/>
      </c>
      <c r="F279" s="24" t="n"/>
      <c r="G279" s="24" t="n"/>
      <c r="H279" s="24" t="n"/>
      <c r="I279" s="24" t="n"/>
      <c r="J279" s="26" t="n"/>
      <c r="K279" s="25">
        <f>IF(N(J279)=0,"",IF(J279&gt;0,set_WIPAsset,set_WIPIncome))</f>
        <v/>
      </c>
      <c r="L279" s="25">
        <f>IF(N(J279)=0,"",IF(J279&gt;0,set_WIPIncome,set_WIPAsset))</f>
        <v/>
      </c>
      <c r="M279" s="27">
        <f>IF(N(J279)=0,"",ABS(J279))</f>
        <v/>
      </c>
      <c r="N279" s="25">
        <f>IF(N(J279)=0,"","WIP "&amp;I279&amp;IF(D279="",""," - "&amp;D279)&amp;IF(F279="",""," "&amp;F279)&amp;IF(H279="",""," - "&amp;H279))</f>
        <v/>
      </c>
      <c r="O279" s="24" t="n"/>
      <c r="P279" s="24" t="n"/>
      <c r="Q279" s="24" t="n"/>
    </row>
    <row r="280" ht="15" customHeight="1">
      <c r="A280" s="66" t="n"/>
      <c r="B280" s="64">
        <f>IF(C280="","",IFERROR(INDEX(tbl_Finance[Date],MATCH(C280&amp;"",tbl_Finance[Xero Invoice No],0)),""))</f>
        <v/>
      </c>
      <c r="C280" s="24" t="n"/>
      <c r="D280" s="24" t="n"/>
      <c r="E280" s="25">
        <f>IF(D280="","",IF(COUNTIF(lst_Jobs,D280&amp;"")&gt;0,"OK","CHECK"))</f>
        <v/>
      </c>
      <c r="F280" s="24" t="n"/>
      <c r="G280" s="24" t="n"/>
      <c r="H280" s="24" t="n"/>
      <c r="I280" s="24" t="n"/>
      <c r="J280" s="26" t="n"/>
      <c r="K280" s="25">
        <f>IF(N(J280)=0,"",IF(J280&gt;0,set_WIPAsset,set_WIPIncome))</f>
        <v/>
      </c>
      <c r="L280" s="25">
        <f>IF(N(J280)=0,"",IF(J280&gt;0,set_WIPIncome,set_WIPAsset))</f>
        <v/>
      </c>
      <c r="M280" s="27">
        <f>IF(N(J280)=0,"",ABS(J280))</f>
        <v/>
      </c>
      <c r="N280" s="25">
        <f>IF(N(J280)=0,"","WIP "&amp;I280&amp;IF(D280="",""," - "&amp;D280)&amp;IF(F280="",""," "&amp;F280)&amp;IF(H280="",""," - "&amp;H280))</f>
        <v/>
      </c>
      <c r="O280" s="24" t="n"/>
      <c r="P280" s="24" t="n"/>
      <c r="Q280" s="24" t="n"/>
    </row>
    <row r="281" ht="15" customHeight="1">
      <c r="A281" s="66" t="n"/>
      <c r="B281" s="64">
        <f>IF(C281="","",IFERROR(INDEX(tbl_Finance[Date],MATCH(C281&amp;"",tbl_Finance[Xero Invoice No],0)),""))</f>
        <v/>
      </c>
      <c r="C281" s="24" t="n"/>
      <c r="D281" s="24" t="n"/>
      <c r="E281" s="25">
        <f>IF(D281="","",IF(COUNTIF(lst_Jobs,D281&amp;"")&gt;0,"OK","CHECK"))</f>
        <v/>
      </c>
      <c r="F281" s="24" t="n"/>
      <c r="G281" s="24" t="n"/>
      <c r="H281" s="24" t="n"/>
      <c r="I281" s="24" t="n"/>
      <c r="J281" s="26" t="n"/>
      <c r="K281" s="25">
        <f>IF(N(J281)=0,"",IF(J281&gt;0,set_WIPAsset,set_WIPIncome))</f>
        <v/>
      </c>
      <c r="L281" s="25">
        <f>IF(N(J281)=0,"",IF(J281&gt;0,set_WIPIncome,set_WIPAsset))</f>
        <v/>
      </c>
      <c r="M281" s="27">
        <f>IF(N(J281)=0,"",ABS(J281))</f>
        <v/>
      </c>
      <c r="N281" s="25">
        <f>IF(N(J281)=0,"","WIP "&amp;I281&amp;IF(D281="",""," - "&amp;D281)&amp;IF(F281="",""," "&amp;F281)&amp;IF(H281="",""," - "&amp;H281))</f>
        <v/>
      </c>
      <c r="O281" s="24" t="n"/>
      <c r="P281" s="24" t="n"/>
      <c r="Q281" s="24" t="n"/>
    </row>
    <row r="282" ht="15" customHeight="1">
      <c r="A282" s="66" t="n"/>
      <c r="B282" s="64">
        <f>IF(C282="","",IFERROR(INDEX(tbl_Finance[Date],MATCH(C282&amp;"",tbl_Finance[Xero Invoice No],0)),""))</f>
        <v/>
      </c>
      <c r="C282" s="24" t="n"/>
      <c r="D282" s="24" t="n"/>
      <c r="E282" s="25">
        <f>IF(D282="","",IF(COUNTIF(lst_Jobs,D282&amp;"")&gt;0,"OK","CHECK"))</f>
        <v/>
      </c>
      <c r="F282" s="24" t="n"/>
      <c r="G282" s="24" t="n"/>
      <c r="H282" s="24" t="n"/>
      <c r="I282" s="24" t="n"/>
      <c r="J282" s="26" t="n"/>
      <c r="K282" s="25">
        <f>IF(N(J282)=0,"",IF(J282&gt;0,set_WIPAsset,set_WIPIncome))</f>
        <v/>
      </c>
      <c r="L282" s="25">
        <f>IF(N(J282)=0,"",IF(J282&gt;0,set_WIPIncome,set_WIPAsset))</f>
        <v/>
      </c>
      <c r="M282" s="27">
        <f>IF(N(J282)=0,"",ABS(J282))</f>
        <v/>
      </c>
      <c r="N282" s="25">
        <f>IF(N(J282)=0,"","WIP "&amp;I282&amp;IF(D282="",""," - "&amp;D282)&amp;IF(F282="",""," "&amp;F282)&amp;IF(H282="",""," - "&amp;H282))</f>
        <v/>
      </c>
      <c r="O282" s="24" t="n"/>
      <c r="P282" s="24" t="n"/>
      <c r="Q282" s="24" t="n"/>
    </row>
    <row r="283" ht="15" customHeight="1">
      <c r="A283" s="66" t="n"/>
      <c r="B283" s="64">
        <f>IF(C283="","",IFERROR(INDEX(tbl_Finance[Date],MATCH(C283&amp;"",tbl_Finance[Xero Invoice No],0)),""))</f>
        <v/>
      </c>
      <c r="C283" s="24" t="n"/>
      <c r="D283" s="24" t="n"/>
      <c r="E283" s="25">
        <f>IF(D283="","",IF(COUNTIF(lst_Jobs,D283&amp;"")&gt;0,"OK","CHECK"))</f>
        <v/>
      </c>
      <c r="F283" s="24" t="n"/>
      <c r="G283" s="24" t="n"/>
      <c r="H283" s="24" t="n"/>
      <c r="I283" s="24" t="n"/>
      <c r="J283" s="26" t="n"/>
      <c r="K283" s="25">
        <f>IF(N(J283)=0,"",IF(J283&gt;0,set_WIPAsset,set_WIPIncome))</f>
        <v/>
      </c>
      <c r="L283" s="25">
        <f>IF(N(J283)=0,"",IF(J283&gt;0,set_WIPIncome,set_WIPAsset))</f>
        <v/>
      </c>
      <c r="M283" s="27">
        <f>IF(N(J283)=0,"",ABS(J283))</f>
        <v/>
      </c>
      <c r="N283" s="25">
        <f>IF(N(J283)=0,"","WIP "&amp;I283&amp;IF(D283="",""," - "&amp;D283)&amp;IF(F283="",""," "&amp;F283)&amp;IF(H283="",""," - "&amp;H283))</f>
        <v/>
      </c>
      <c r="O283" s="24" t="n"/>
      <c r="P283" s="24" t="n"/>
      <c r="Q283" s="24" t="n"/>
    </row>
    <row r="284" ht="15" customHeight="1">
      <c r="A284" s="66" t="n"/>
      <c r="B284" s="64">
        <f>IF(C284="","",IFERROR(INDEX(tbl_Finance[Date],MATCH(C284&amp;"",tbl_Finance[Xero Invoice No],0)),""))</f>
        <v/>
      </c>
      <c r="C284" s="24" t="n"/>
      <c r="D284" s="24" t="n"/>
      <c r="E284" s="25">
        <f>IF(D284="","",IF(COUNTIF(lst_Jobs,D284&amp;"")&gt;0,"OK","CHECK"))</f>
        <v/>
      </c>
      <c r="F284" s="24" t="n"/>
      <c r="G284" s="24" t="n"/>
      <c r="H284" s="24" t="n"/>
      <c r="I284" s="24" t="n"/>
      <c r="J284" s="26" t="n"/>
      <c r="K284" s="25">
        <f>IF(N(J284)=0,"",IF(J284&gt;0,set_WIPAsset,set_WIPIncome))</f>
        <v/>
      </c>
      <c r="L284" s="25">
        <f>IF(N(J284)=0,"",IF(J284&gt;0,set_WIPIncome,set_WIPAsset))</f>
        <v/>
      </c>
      <c r="M284" s="27">
        <f>IF(N(J284)=0,"",ABS(J284))</f>
        <v/>
      </c>
      <c r="N284" s="25">
        <f>IF(N(J284)=0,"","WIP "&amp;I284&amp;IF(D284="",""," - "&amp;D284)&amp;IF(F284="",""," "&amp;F284)&amp;IF(H284="",""," - "&amp;H284))</f>
        <v/>
      </c>
      <c r="O284" s="24" t="n"/>
      <c r="P284" s="24" t="n"/>
      <c r="Q284" s="24" t="n"/>
    </row>
    <row r="285" ht="15" customHeight="1">
      <c r="A285" s="66" t="n"/>
      <c r="B285" s="64">
        <f>IF(C285="","",IFERROR(INDEX(tbl_Finance[Date],MATCH(C285&amp;"",tbl_Finance[Xero Invoice No],0)),""))</f>
        <v/>
      </c>
      <c r="C285" s="24" t="n"/>
      <c r="D285" s="24" t="n"/>
      <c r="E285" s="25">
        <f>IF(D285="","",IF(COUNTIF(lst_Jobs,D285&amp;"")&gt;0,"OK","CHECK"))</f>
        <v/>
      </c>
      <c r="F285" s="24" t="n"/>
      <c r="G285" s="24" t="n"/>
      <c r="H285" s="24" t="n"/>
      <c r="I285" s="24" t="n"/>
      <c r="J285" s="26" t="n"/>
      <c r="K285" s="25">
        <f>IF(N(J285)=0,"",IF(J285&gt;0,set_WIPAsset,set_WIPIncome))</f>
        <v/>
      </c>
      <c r="L285" s="25">
        <f>IF(N(J285)=0,"",IF(J285&gt;0,set_WIPIncome,set_WIPAsset))</f>
        <v/>
      </c>
      <c r="M285" s="27">
        <f>IF(N(J285)=0,"",ABS(J285))</f>
        <v/>
      </c>
      <c r="N285" s="25">
        <f>IF(N(J285)=0,"","WIP "&amp;I285&amp;IF(D285="",""," - "&amp;D285)&amp;IF(F285="",""," "&amp;F285)&amp;IF(H285="",""," - "&amp;H285))</f>
        <v/>
      </c>
      <c r="O285" s="24" t="n"/>
      <c r="P285" s="24" t="n"/>
      <c r="Q285" s="24" t="n"/>
    </row>
    <row r="286" ht="15" customHeight="1">
      <c r="A286" s="66" t="n"/>
      <c r="B286" s="64">
        <f>IF(C286="","",IFERROR(INDEX(tbl_Finance[Date],MATCH(C286&amp;"",tbl_Finance[Xero Invoice No],0)),""))</f>
        <v/>
      </c>
      <c r="C286" s="24" t="n"/>
      <c r="D286" s="24" t="n"/>
      <c r="E286" s="25">
        <f>IF(D286="","",IF(COUNTIF(lst_Jobs,D286&amp;"")&gt;0,"OK","CHECK"))</f>
        <v/>
      </c>
      <c r="F286" s="24" t="n"/>
      <c r="G286" s="24" t="n"/>
      <c r="H286" s="24" t="n"/>
      <c r="I286" s="24" t="n"/>
      <c r="J286" s="26" t="n"/>
      <c r="K286" s="25">
        <f>IF(N(J286)=0,"",IF(J286&gt;0,set_WIPAsset,set_WIPIncome))</f>
        <v/>
      </c>
      <c r="L286" s="25">
        <f>IF(N(J286)=0,"",IF(J286&gt;0,set_WIPIncome,set_WIPAsset))</f>
        <v/>
      </c>
      <c r="M286" s="27">
        <f>IF(N(J286)=0,"",ABS(J286))</f>
        <v/>
      </c>
      <c r="N286" s="25">
        <f>IF(N(J286)=0,"","WIP "&amp;I286&amp;IF(D286="",""," - "&amp;D286)&amp;IF(F286="",""," "&amp;F286)&amp;IF(H286="",""," - "&amp;H286))</f>
        <v/>
      </c>
      <c r="O286" s="24" t="n"/>
      <c r="P286" s="24" t="n"/>
      <c r="Q286" s="24" t="n"/>
    </row>
    <row r="287" ht="15" customHeight="1">
      <c r="A287" s="66" t="n"/>
      <c r="B287" s="64">
        <f>IF(C287="","",IFERROR(INDEX(tbl_Finance[Date],MATCH(C287&amp;"",tbl_Finance[Xero Invoice No],0)),""))</f>
        <v/>
      </c>
      <c r="C287" s="24" t="n"/>
      <c r="D287" s="24" t="n"/>
      <c r="E287" s="25">
        <f>IF(D287="","",IF(COUNTIF(lst_Jobs,D287&amp;"")&gt;0,"OK","CHECK"))</f>
        <v/>
      </c>
      <c r="F287" s="24" t="n"/>
      <c r="G287" s="24" t="n"/>
      <c r="H287" s="24" t="n"/>
      <c r="I287" s="24" t="n"/>
      <c r="J287" s="26" t="n"/>
      <c r="K287" s="25">
        <f>IF(N(J287)=0,"",IF(J287&gt;0,set_WIPAsset,set_WIPIncome))</f>
        <v/>
      </c>
      <c r="L287" s="25">
        <f>IF(N(J287)=0,"",IF(J287&gt;0,set_WIPIncome,set_WIPAsset))</f>
        <v/>
      </c>
      <c r="M287" s="27">
        <f>IF(N(J287)=0,"",ABS(J287))</f>
        <v/>
      </c>
      <c r="N287" s="25">
        <f>IF(N(J287)=0,"","WIP "&amp;I287&amp;IF(D287="",""," - "&amp;D287)&amp;IF(F287="",""," "&amp;F287)&amp;IF(H287="",""," - "&amp;H287))</f>
        <v/>
      </c>
      <c r="O287" s="24" t="n"/>
      <c r="P287" s="24" t="n"/>
      <c r="Q287" s="24" t="n"/>
    </row>
    <row r="288" ht="15" customHeight="1">
      <c r="A288" s="66" t="n"/>
      <c r="B288" s="64">
        <f>IF(C288="","",IFERROR(INDEX(tbl_Finance[Date],MATCH(C288&amp;"",tbl_Finance[Xero Invoice No],0)),""))</f>
        <v/>
      </c>
      <c r="C288" s="24" t="n"/>
      <c r="D288" s="24" t="n"/>
      <c r="E288" s="25">
        <f>IF(D288="","",IF(COUNTIF(lst_Jobs,D288&amp;"")&gt;0,"OK","CHECK"))</f>
        <v/>
      </c>
      <c r="F288" s="24" t="n"/>
      <c r="G288" s="24" t="n"/>
      <c r="H288" s="24" t="n"/>
      <c r="I288" s="24" t="n"/>
      <c r="J288" s="26" t="n"/>
      <c r="K288" s="25">
        <f>IF(N(J288)=0,"",IF(J288&gt;0,set_WIPAsset,set_WIPIncome))</f>
        <v/>
      </c>
      <c r="L288" s="25">
        <f>IF(N(J288)=0,"",IF(J288&gt;0,set_WIPIncome,set_WIPAsset))</f>
        <v/>
      </c>
      <c r="M288" s="27">
        <f>IF(N(J288)=0,"",ABS(J288))</f>
        <v/>
      </c>
      <c r="N288" s="25">
        <f>IF(N(J288)=0,"","WIP "&amp;I288&amp;IF(D288="",""," - "&amp;D288)&amp;IF(F288="",""," "&amp;F288)&amp;IF(H288="",""," - "&amp;H288))</f>
        <v/>
      </c>
      <c r="O288" s="24" t="n"/>
      <c r="P288" s="24" t="n"/>
      <c r="Q288" s="24" t="n"/>
    </row>
    <row r="289" ht="15" customHeight="1">
      <c r="A289" s="66" t="n"/>
      <c r="B289" s="64">
        <f>IF(C289="","",IFERROR(INDEX(tbl_Finance[Date],MATCH(C289&amp;"",tbl_Finance[Xero Invoice No],0)),""))</f>
        <v/>
      </c>
      <c r="C289" s="24" t="n"/>
      <c r="D289" s="24" t="n"/>
      <c r="E289" s="25">
        <f>IF(D289="","",IF(COUNTIF(lst_Jobs,D289&amp;"")&gt;0,"OK","CHECK"))</f>
        <v/>
      </c>
      <c r="F289" s="24" t="n"/>
      <c r="G289" s="24" t="n"/>
      <c r="H289" s="24" t="n"/>
      <c r="I289" s="24" t="n"/>
      <c r="J289" s="26" t="n"/>
      <c r="K289" s="25">
        <f>IF(N(J289)=0,"",IF(J289&gt;0,set_WIPAsset,set_WIPIncome))</f>
        <v/>
      </c>
      <c r="L289" s="25">
        <f>IF(N(J289)=0,"",IF(J289&gt;0,set_WIPIncome,set_WIPAsset))</f>
        <v/>
      </c>
      <c r="M289" s="27">
        <f>IF(N(J289)=0,"",ABS(J289))</f>
        <v/>
      </c>
      <c r="N289" s="25">
        <f>IF(N(J289)=0,"","WIP "&amp;I289&amp;IF(D289="",""," - "&amp;D289)&amp;IF(F289="",""," "&amp;F289)&amp;IF(H289="",""," - "&amp;H289))</f>
        <v/>
      </c>
      <c r="O289" s="24" t="n"/>
      <c r="P289" s="24" t="n"/>
      <c r="Q289" s="24" t="n"/>
    </row>
    <row r="290" ht="15" customHeight="1">
      <c r="A290" s="66" t="n"/>
      <c r="B290" s="64">
        <f>IF(C290="","",IFERROR(INDEX(tbl_Finance[Date],MATCH(C290&amp;"",tbl_Finance[Xero Invoice No],0)),""))</f>
        <v/>
      </c>
      <c r="C290" s="24" t="n"/>
      <c r="D290" s="24" t="n"/>
      <c r="E290" s="25">
        <f>IF(D290="","",IF(COUNTIF(lst_Jobs,D290&amp;"")&gt;0,"OK","CHECK"))</f>
        <v/>
      </c>
      <c r="F290" s="24" t="n"/>
      <c r="G290" s="24" t="n"/>
      <c r="H290" s="24" t="n"/>
      <c r="I290" s="24" t="n"/>
      <c r="J290" s="26" t="n"/>
      <c r="K290" s="25">
        <f>IF(N(J290)=0,"",IF(J290&gt;0,set_WIPAsset,set_WIPIncome))</f>
        <v/>
      </c>
      <c r="L290" s="25">
        <f>IF(N(J290)=0,"",IF(J290&gt;0,set_WIPIncome,set_WIPAsset))</f>
        <v/>
      </c>
      <c r="M290" s="27">
        <f>IF(N(J290)=0,"",ABS(J290))</f>
        <v/>
      </c>
      <c r="N290" s="25">
        <f>IF(N(J290)=0,"","WIP "&amp;I290&amp;IF(D290="",""," - "&amp;D290)&amp;IF(F290="",""," "&amp;F290)&amp;IF(H290="",""," - "&amp;H290))</f>
        <v/>
      </c>
      <c r="O290" s="24" t="n"/>
      <c r="P290" s="24" t="n"/>
      <c r="Q290" s="24" t="n"/>
    </row>
    <row r="291" ht="15" customHeight="1">
      <c r="A291" s="66" t="n"/>
      <c r="B291" s="64">
        <f>IF(C291="","",IFERROR(INDEX(tbl_Finance[Date],MATCH(C291&amp;"",tbl_Finance[Xero Invoice No],0)),""))</f>
        <v/>
      </c>
      <c r="C291" s="24" t="n"/>
      <c r="D291" s="24" t="n"/>
      <c r="E291" s="25">
        <f>IF(D291="","",IF(COUNTIF(lst_Jobs,D291&amp;"")&gt;0,"OK","CHECK"))</f>
        <v/>
      </c>
      <c r="F291" s="24" t="n"/>
      <c r="G291" s="24" t="n"/>
      <c r="H291" s="24" t="n"/>
      <c r="I291" s="24" t="n"/>
      <c r="J291" s="26" t="n"/>
      <c r="K291" s="25">
        <f>IF(N(J291)=0,"",IF(J291&gt;0,set_WIPAsset,set_WIPIncome))</f>
        <v/>
      </c>
      <c r="L291" s="25">
        <f>IF(N(J291)=0,"",IF(J291&gt;0,set_WIPIncome,set_WIPAsset))</f>
        <v/>
      </c>
      <c r="M291" s="27">
        <f>IF(N(J291)=0,"",ABS(J291))</f>
        <v/>
      </c>
      <c r="N291" s="25">
        <f>IF(N(J291)=0,"","WIP "&amp;I291&amp;IF(D291="",""," - "&amp;D291)&amp;IF(F291="",""," "&amp;F291)&amp;IF(H291="",""," - "&amp;H291))</f>
        <v/>
      </c>
      <c r="O291" s="24" t="n"/>
      <c r="P291" s="24" t="n"/>
      <c r="Q291" s="24" t="n"/>
    </row>
    <row r="292" ht="15" customHeight="1">
      <c r="A292" s="66" t="n"/>
      <c r="B292" s="64">
        <f>IF(C292="","",IFERROR(INDEX(tbl_Finance[Date],MATCH(C292&amp;"",tbl_Finance[Xero Invoice No],0)),""))</f>
        <v/>
      </c>
      <c r="C292" s="24" t="n"/>
      <c r="D292" s="24" t="n"/>
      <c r="E292" s="25">
        <f>IF(D292="","",IF(COUNTIF(lst_Jobs,D292&amp;"")&gt;0,"OK","CHECK"))</f>
        <v/>
      </c>
      <c r="F292" s="24" t="n"/>
      <c r="G292" s="24" t="n"/>
      <c r="H292" s="24" t="n"/>
      <c r="I292" s="24" t="n"/>
      <c r="J292" s="26" t="n"/>
      <c r="K292" s="25">
        <f>IF(N(J292)=0,"",IF(J292&gt;0,set_WIPAsset,set_WIPIncome))</f>
        <v/>
      </c>
      <c r="L292" s="25">
        <f>IF(N(J292)=0,"",IF(J292&gt;0,set_WIPIncome,set_WIPAsset))</f>
        <v/>
      </c>
      <c r="M292" s="27">
        <f>IF(N(J292)=0,"",ABS(J292))</f>
        <v/>
      </c>
      <c r="N292" s="25">
        <f>IF(N(J292)=0,"","WIP "&amp;I292&amp;IF(D292="",""," - "&amp;D292)&amp;IF(F292="",""," "&amp;F292)&amp;IF(H292="",""," - "&amp;H292))</f>
        <v/>
      </c>
      <c r="O292" s="24" t="n"/>
      <c r="P292" s="24" t="n"/>
      <c r="Q292" s="24" t="n"/>
    </row>
    <row r="293" ht="15" customHeight="1">
      <c r="A293" s="66" t="n"/>
      <c r="B293" s="64">
        <f>IF(C293="","",IFERROR(INDEX(tbl_Finance[Date],MATCH(C293&amp;"",tbl_Finance[Xero Invoice No],0)),""))</f>
        <v/>
      </c>
      <c r="C293" s="24" t="n"/>
      <c r="D293" s="24" t="n"/>
      <c r="E293" s="25">
        <f>IF(D293="","",IF(COUNTIF(lst_Jobs,D293&amp;"")&gt;0,"OK","CHECK"))</f>
        <v/>
      </c>
      <c r="F293" s="24" t="n"/>
      <c r="G293" s="24" t="n"/>
      <c r="H293" s="24" t="n"/>
      <c r="I293" s="24" t="n"/>
      <c r="J293" s="26" t="n"/>
      <c r="K293" s="25">
        <f>IF(N(J293)=0,"",IF(J293&gt;0,set_WIPAsset,set_WIPIncome))</f>
        <v/>
      </c>
      <c r="L293" s="25">
        <f>IF(N(J293)=0,"",IF(J293&gt;0,set_WIPIncome,set_WIPAsset))</f>
        <v/>
      </c>
      <c r="M293" s="27">
        <f>IF(N(J293)=0,"",ABS(J293))</f>
        <v/>
      </c>
      <c r="N293" s="25">
        <f>IF(N(J293)=0,"","WIP "&amp;I293&amp;IF(D293="",""," - "&amp;D293)&amp;IF(F293="",""," "&amp;F293)&amp;IF(H293="",""," - "&amp;H293))</f>
        <v/>
      </c>
      <c r="O293" s="24" t="n"/>
      <c r="P293" s="24" t="n"/>
      <c r="Q293" s="24" t="n"/>
    </row>
    <row r="294" ht="15" customHeight="1">
      <c r="A294" s="66" t="n"/>
      <c r="B294" s="64">
        <f>IF(C294="","",IFERROR(INDEX(tbl_Finance[Date],MATCH(C294&amp;"",tbl_Finance[Xero Invoice No],0)),""))</f>
        <v/>
      </c>
      <c r="C294" s="24" t="n"/>
      <c r="D294" s="24" t="n"/>
      <c r="E294" s="25">
        <f>IF(D294="","",IF(COUNTIF(lst_Jobs,D294&amp;"")&gt;0,"OK","CHECK"))</f>
        <v/>
      </c>
      <c r="F294" s="24" t="n"/>
      <c r="G294" s="24" t="n"/>
      <c r="H294" s="24" t="n"/>
      <c r="I294" s="24" t="n"/>
      <c r="J294" s="26" t="n"/>
      <c r="K294" s="25">
        <f>IF(N(J294)=0,"",IF(J294&gt;0,set_WIPAsset,set_WIPIncome))</f>
        <v/>
      </c>
      <c r="L294" s="25">
        <f>IF(N(J294)=0,"",IF(J294&gt;0,set_WIPIncome,set_WIPAsset))</f>
        <v/>
      </c>
      <c r="M294" s="27">
        <f>IF(N(J294)=0,"",ABS(J294))</f>
        <v/>
      </c>
      <c r="N294" s="25">
        <f>IF(N(J294)=0,"","WIP "&amp;I294&amp;IF(D294="",""," - "&amp;D294)&amp;IF(F294="",""," "&amp;F294)&amp;IF(H294="",""," - "&amp;H294))</f>
        <v/>
      </c>
      <c r="O294" s="24" t="n"/>
      <c r="P294" s="24" t="n"/>
      <c r="Q294" s="24" t="n"/>
    </row>
    <row r="295" ht="15" customHeight="1">
      <c r="A295" s="66" t="n"/>
      <c r="B295" s="64">
        <f>IF(C295="","",IFERROR(INDEX(tbl_Finance[Date],MATCH(C295&amp;"",tbl_Finance[Xero Invoice No],0)),""))</f>
        <v/>
      </c>
      <c r="C295" s="24" t="n"/>
      <c r="D295" s="24" t="n"/>
      <c r="E295" s="25">
        <f>IF(D295="","",IF(COUNTIF(lst_Jobs,D295&amp;"")&gt;0,"OK","CHECK"))</f>
        <v/>
      </c>
      <c r="F295" s="24" t="n"/>
      <c r="G295" s="24" t="n"/>
      <c r="H295" s="24" t="n"/>
      <c r="I295" s="24" t="n"/>
      <c r="J295" s="26" t="n"/>
      <c r="K295" s="25">
        <f>IF(N(J295)=0,"",IF(J295&gt;0,set_WIPAsset,set_WIPIncome))</f>
        <v/>
      </c>
      <c r="L295" s="25">
        <f>IF(N(J295)=0,"",IF(J295&gt;0,set_WIPIncome,set_WIPAsset))</f>
        <v/>
      </c>
      <c r="M295" s="27">
        <f>IF(N(J295)=0,"",ABS(J295))</f>
        <v/>
      </c>
      <c r="N295" s="25">
        <f>IF(N(J295)=0,"","WIP "&amp;I295&amp;IF(D295="",""," - "&amp;D295)&amp;IF(F295="",""," "&amp;F295)&amp;IF(H295="",""," - "&amp;H295))</f>
        <v/>
      </c>
      <c r="O295" s="24" t="n"/>
      <c r="P295" s="24" t="n"/>
      <c r="Q295" s="24" t="n"/>
    </row>
    <row r="296" ht="15" customHeight="1">
      <c r="A296" s="66" t="n"/>
      <c r="B296" s="64">
        <f>IF(C296="","",IFERROR(INDEX(tbl_Finance[Date],MATCH(C296&amp;"",tbl_Finance[Xero Invoice No],0)),""))</f>
        <v/>
      </c>
      <c r="C296" s="24" t="n"/>
      <c r="D296" s="24" t="n"/>
      <c r="E296" s="25">
        <f>IF(D296="","",IF(COUNTIF(lst_Jobs,D296&amp;"")&gt;0,"OK","CHECK"))</f>
        <v/>
      </c>
      <c r="F296" s="24" t="n"/>
      <c r="G296" s="24" t="n"/>
      <c r="H296" s="24" t="n"/>
      <c r="I296" s="24" t="n"/>
      <c r="J296" s="26" t="n"/>
      <c r="K296" s="25">
        <f>IF(N(J296)=0,"",IF(J296&gt;0,set_WIPAsset,set_WIPIncome))</f>
        <v/>
      </c>
      <c r="L296" s="25">
        <f>IF(N(J296)=0,"",IF(J296&gt;0,set_WIPIncome,set_WIPAsset))</f>
        <v/>
      </c>
      <c r="M296" s="27">
        <f>IF(N(J296)=0,"",ABS(J296))</f>
        <v/>
      </c>
      <c r="N296" s="25">
        <f>IF(N(J296)=0,"","WIP "&amp;I296&amp;IF(D296="",""," - "&amp;D296)&amp;IF(F296="",""," "&amp;F296)&amp;IF(H296="",""," - "&amp;H296))</f>
        <v/>
      </c>
      <c r="O296" s="24" t="n"/>
      <c r="P296" s="24" t="n"/>
      <c r="Q296" s="24" t="n"/>
    </row>
    <row r="297" ht="15" customHeight="1">
      <c r="A297" s="66" t="n"/>
      <c r="B297" s="64">
        <f>IF(C297="","",IFERROR(INDEX(tbl_Finance[Date],MATCH(C297&amp;"",tbl_Finance[Xero Invoice No],0)),""))</f>
        <v/>
      </c>
      <c r="C297" s="24" t="n"/>
      <c r="D297" s="24" t="n"/>
      <c r="E297" s="25">
        <f>IF(D297="","",IF(COUNTIF(lst_Jobs,D297&amp;"")&gt;0,"OK","CHECK"))</f>
        <v/>
      </c>
      <c r="F297" s="24" t="n"/>
      <c r="G297" s="24" t="n"/>
      <c r="H297" s="24" t="n"/>
      <c r="I297" s="24" t="n"/>
      <c r="J297" s="26" t="n"/>
      <c r="K297" s="25">
        <f>IF(N(J297)=0,"",IF(J297&gt;0,set_WIPAsset,set_WIPIncome))</f>
        <v/>
      </c>
      <c r="L297" s="25">
        <f>IF(N(J297)=0,"",IF(J297&gt;0,set_WIPIncome,set_WIPAsset))</f>
        <v/>
      </c>
      <c r="M297" s="27">
        <f>IF(N(J297)=0,"",ABS(J297))</f>
        <v/>
      </c>
      <c r="N297" s="25">
        <f>IF(N(J297)=0,"","WIP "&amp;I297&amp;IF(D297="",""," - "&amp;D297)&amp;IF(F297="",""," "&amp;F297)&amp;IF(H297="",""," - "&amp;H297))</f>
        <v/>
      </c>
      <c r="O297" s="24" t="n"/>
      <c r="P297" s="24" t="n"/>
      <c r="Q297" s="24" t="n"/>
    </row>
    <row r="298" ht="15" customHeight="1">
      <c r="A298" s="66" t="n"/>
      <c r="B298" s="64">
        <f>IF(C298="","",IFERROR(INDEX(tbl_Finance[Date],MATCH(C298&amp;"",tbl_Finance[Xero Invoice No],0)),""))</f>
        <v/>
      </c>
      <c r="C298" s="24" t="n"/>
      <c r="D298" s="24" t="n"/>
      <c r="E298" s="25">
        <f>IF(D298="","",IF(COUNTIF(lst_Jobs,D298&amp;"")&gt;0,"OK","CHECK"))</f>
        <v/>
      </c>
      <c r="F298" s="24" t="n"/>
      <c r="G298" s="24" t="n"/>
      <c r="H298" s="24" t="n"/>
      <c r="I298" s="24" t="n"/>
      <c r="J298" s="26" t="n"/>
      <c r="K298" s="25">
        <f>IF(N(J298)=0,"",IF(J298&gt;0,set_WIPAsset,set_WIPIncome))</f>
        <v/>
      </c>
      <c r="L298" s="25">
        <f>IF(N(J298)=0,"",IF(J298&gt;0,set_WIPIncome,set_WIPAsset))</f>
        <v/>
      </c>
      <c r="M298" s="27">
        <f>IF(N(J298)=0,"",ABS(J298))</f>
        <v/>
      </c>
      <c r="N298" s="25">
        <f>IF(N(J298)=0,"","WIP "&amp;I298&amp;IF(D298="",""," - "&amp;D298)&amp;IF(F298="",""," "&amp;F298)&amp;IF(H298="",""," - "&amp;H298))</f>
        <v/>
      </c>
      <c r="O298" s="24" t="n"/>
      <c r="P298" s="24" t="n"/>
      <c r="Q298" s="24" t="n"/>
    </row>
    <row r="299" ht="15" customHeight="1">
      <c r="A299" s="66" t="n"/>
      <c r="B299" s="64">
        <f>IF(C299="","",IFERROR(INDEX(tbl_Finance[Date],MATCH(C299&amp;"",tbl_Finance[Xero Invoice No],0)),""))</f>
        <v/>
      </c>
      <c r="C299" s="24" t="n"/>
      <c r="D299" s="24" t="n"/>
      <c r="E299" s="25">
        <f>IF(D299="","",IF(COUNTIF(lst_Jobs,D299&amp;"")&gt;0,"OK","CHECK"))</f>
        <v/>
      </c>
      <c r="F299" s="24" t="n"/>
      <c r="G299" s="24" t="n"/>
      <c r="H299" s="24" t="n"/>
      <c r="I299" s="24" t="n"/>
      <c r="J299" s="26" t="n"/>
      <c r="K299" s="25">
        <f>IF(N(J299)=0,"",IF(J299&gt;0,set_WIPAsset,set_WIPIncome))</f>
        <v/>
      </c>
      <c r="L299" s="25">
        <f>IF(N(J299)=0,"",IF(J299&gt;0,set_WIPIncome,set_WIPAsset))</f>
        <v/>
      </c>
      <c r="M299" s="27">
        <f>IF(N(J299)=0,"",ABS(J299))</f>
        <v/>
      </c>
      <c r="N299" s="25">
        <f>IF(N(J299)=0,"","WIP "&amp;I299&amp;IF(D299="",""," - "&amp;D299)&amp;IF(F299="",""," "&amp;F299)&amp;IF(H299="",""," - "&amp;H299))</f>
        <v/>
      </c>
      <c r="O299" s="24" t="n"/>
      <c r="P299" s="24" t="n"/>
      <c r="Q299" s="24" t="n"/>
    </row>
    <row r="300" ht="15" customHeight="1">
      <c r="A300" s="66" t="n"/>
      <c r="B300" s="64">
        <f>IF(C300="","",IFERROR(INDEX(tbl_Finance[Date],MATCH(C300&amp;"",tbl_Finance[Xero Invoice No],0)),""))</f>
        <v/>
      </c>
      <c r="C300" s="24" t="n"/>
      <c r="D300" s="24" t="n"/>
      <c r="E300" s="25">
        <f>IF(D300="","",IF(COUNTIF(lst_Jobs,D300&amp;"")&gt;0,"OK","CHECK"))</f>
        <v/>
      </c>
      <c r="F300" s="24" t="n"/>
      <c r="G300" s="24" t="n"/>
      <c r="H300" s="24" t="n"/>
      <c r="I300" s="24" t="n"/>
      <c r="J300" s="26" t="n"/>
      <c r="K300" s="25">
        <f>IF(N(J300)=0,"",IF(J300&gt;0,set_WIPAsset,set_WIPIncome))</f>
        <v/>
      </c>
      <c r="L300" s="25">
        <f>IF(N(J300)=0,"",IF(J300&gt;0,set_WIPIncome,set_WIPAsset))</f>
        <v/>
      </c>
      <c r="M300" s="27">
        <f>IF(N(J300)=0,"",ABS(J300))</f>
        <v/>
      </c>
      <c r="N300" s="25">
        <f>IF(N(J300)=0,"","WIP "&amp;I300&amp;IF(D300="",""," - "&amp;D300)&amp;IF(F300="",""," "&amp;F300)&amp;IF(H300="",""," - "&amp;H300))</f>
        <v/>
      </c>
      <c r="O300" s="24" t="n"/>
      <c r="P300" s="24" t="n"/>
      <c r="Q300" s="24" t="n"/>
    </row>
    <row r="301" ht="15" customHeight="1">
      <c r="A301" s="66" t="n"/>
      <c r="B301" s="64">
        <f>IF(C301="","",IFERROR(INDEX(tbl_Finance[Date],MATCH(C301&amp;"",tbl_Finance[Xero Invoice No],0)),""))</f>
        <v/>
      </c>
      <c r="C301" s="24" t="n"/>
      <c r="D301" s="24" t="n"/>
      <c r="E301" s="25">
        <f>IF(D301="","",IF(COUNTIF(lst_Jobs,D301&amp;"")&gt;0,"OK","CHECK"))</f>
        <v/>
      </c>
      <c r="F301" s="24" t="n"/>
      <c r="G301" s="24" t="n"/>
      <c r="H301" s="24" t="n"/>
      <c r="I301" s="24" t="n"/>
      <c r="J301" s="26" t="n"/>
      <c r="K301" s="25">
        <f>IF(N(J301)=0,"",IF(J301&gt;0,set_WIPAsset,set_WIPIncome))</f>
        <v/>
      </c>
      <c r="L301" s="25">
        <f>IF(N(J301)=0,"",IF(J301&gt;0,set_WIPIncome,set_WIPAsset))</f>
        <v/>
      </c>
      <c r="M301" s="27">
        <f>IF(N(J301)=0,"",ABS(J301))</f>
        <v/>
      </c>
      <c r="N301" s="25">
        <f>IF(N(J301)=0,"","WIP "&amp;I301&amp;IF(D301="",""," - "&amp;D301)&amp;IF(F301="",""," "&amp;F301)&amp;IF(H301="",""," - "&amp;H301))</f>
        <v/>
      </c>
      <c r="O301" s="24" t="n"/>
      <c r="P301" s="24" t="n"/>
      <c r="Q301" s="24" t="n"/>
    </row>
    <row r="302" ht="15" customHeight="1">
      <c r="A302" s="66" t="n"/>
      <c r="B302" s="64">
        <f>IF(C302="","",IFERROR(INDEX(tbl_Finance[Date],MATCH(C302&amp;"",tbl_Finance[Xero Invoice No],0)),""))</f>
        <v/>
      </c>
      <c r="C302" s="24" t="n"/>
      <c r="D302" s="24" t="n"/>
      <c r="E302" s="25">
        <f>IF(D302="","",IF(COUNTIF(lst_Jobs,D302&amp;"")&gt;0,"OK","CHECK"))</f>
        <v/>
      </c>
      <c r="F302" s="24" t="n"/>
      <c r="G302" s="24" t="n"/>
      <c r="H302" s="24" t="n"/>
      <c r="I302" s="24" t="n"/>
      <c r="J302" s="26" t="n"/>
      <c r="K302" s="25">
        <f>IF(N(J302)=0,"",IF(J302&gt;0,set_WIPAsset,set_WIPIncome))</f>
        <v/>
      </c>
      <c r="L302" s="25">
        <f>IF(N(J302)=0,"",IF(J302&gt;0,set_WIPIncome,set_WIPAsset))</f>
        <v/>
      </c>
      <c r="M302" s="27">
        <f>IF(N(J302)=0,"",ABS(J302))</f>
        <v/>
      </c>
      <c r="N302" s="25">
        <f>IF(N(J302)=0,"","WIP "&amp;I302&amp;IF(D302="",""," - "&amp;D302)&amp;IF(F302="",""," "&amp;F302)&amp;IF(H302="",""," - "&amp;H302))</f>
        <v/>
      </c>
      <c r="O302" s="24" t="n"/>
      <c r="P302" s="24" t="n"/>
      <c r="Q302" s="24" t="n"/>
    </row>
    <row r="303" ht="15" customHeight="1">
      <c r="A303" s="66" t="n"/>
      <c r="B303" s="64">
        <f>IF(C303="","",IFERROR(INDEX(tbl_Finance[Date],MATCH(C303&amp;"",tbl_Finance[Xero Invoice No],0)),""))</f>
        <v/>
      </c>
      <c r="C303" s="24" t="n"/>
      <c r="D303" s="24" t="n"/>
      <c r="E303" s="25">
        <f>IF(D303="","",IF(COUNTIF(lst_Jobs,D303&amp;"")&gt;0,"OK","CHECK"))</f>
        <v/>
      </c>
      <c r="F303" s="24" t="n"/>
      <c r="G303" s="24" t="n"/>
      <c r="H303" s="24" t="n"/>
      <c r="I303" s="24" t="n"/>
      <c r="J303" s="26" t="n"/>
      <c r="K303" s="25">
        <f>IF(N(J303)=0,"",IF(J303&gt;0,set_WIPAsset,set_WIPIncome))</f>
        <v/>
      </c>
      <c r="L303" s="25">
        <f>IF(N(J303)=0,"",IF(J303&gt;0,set_WIPIncome,set_WIPAsset))</f>
        <v/>
      </c>
      <c r="M303" s="27">
        <f>IF(N(J303)=0,"",ABS(J303))</f>
        <v/>
      </c>
      <c r="N303" s="25">
        <f>IF(N(J303)=0,"","WIP "&amp;I303&amp;IF(D303="",""," - "&amp;D303)&amp;IF(F303="",""," "&amp;F303)&amp;IF(H303="",""," - "&amp;H303))</f>
        <v/>
      </c>
      <c r="O303" s="24" t="n"/>
      <c r="P303" s="24" t="n"/>
      <c r="Q303" s="24" t="n"/>
    </row>
    <row r="304" ht="15" customHeight="1">
      <c r="A304" s="66" t="n"/>
      <c r="B304" s="64">
        <f>IF(C304="","",IFERROR(INDEX(tbl_Finance[Date],MATCH(C304&amp;"",tbl_Finance[Xero Invoice No],0)),""))</f>
        <v/>
      </c>
      <c r="C304" s="24" t="n"/>
      <c r="D304" s="24" t="n"/>
      <c r="E304" s="25">
        <f>IF(D304="","",IF(COUNTIF(lst_Jobs,D304&amp;"")&gt;0,"OK","CHECK"))</f>
        <v/>
      </c>
      <c r="F304" s="24" t="n"/>
      <c r="G304" s="24" t="n"/>
      <c r="H304" s="24" t="n"/>
      <c r="I304" s="24" t="n"/>
      <c r="J304" s="26" t="n"/>
      <c r="K304" s="25">
        <f>IF(N(J304)=0,"",IF(J304&gt;0,set_WIPAsset,set_WIPIncome))</f>
        <v/>
      </c>
      <c r="L304" s="25">
        <f>IF(N(J304)=0,"",IF(J304&gt;0,set_WIPIncome,set_WIPAsset))</f>
        <v/>
      </c>
      <c r="M304" s="27">
        <f>IF(N(J304)=0,"",ABS(J304))</f>
        <v/>
      </c>
      <c r="N304" s="25">
        <f>IF(N(J304)=0,"","WIP "&amp;I304&amp;IF(D304="",""," - "&amp;D304)&amp;IF(F304="",""," "&amp;F304)&amp;IF(H304="",""," - "&amp;H304))</f>
        <v/>
      </c>
      <c r="O304" s="24" t="n"/>
      <c r="P304" s="24" t="n"/>
      <c r="Q304" s="24" t="n"/>
    </row>
    <row r="305" ht="15" customHeight="1">
      <c r="A305" s="66" t="n"/>
      <c r="B305" s="64">
        <f>IF(C305="","",IFERROR(INDEX(tbl_Finance[Date],MATCH(C305&amp;"",tbl_Finance[Xero Invoice No],0)),""))</f>
        <v/>
      </c>
      <c r="C305" s="24" t="n"/>
      <c r="D305" s="24" t="n"/>
      <c r="E305" s="25">
        <f>IF(D305="","",IF(COUNTIF(lst_Jobs,D305&amp;"")&gt;0,"OK","CHECK"))</f>
        <v/>
      </c>
      <c r="F305" s="24" t="n"/>
      <c r="G305" s="24" t="n"/>
      <c r="H305" s="24" t="n"/>
      <c r="I305" s="24" t="n"/>
      <c r="J305" s="26" t="n"/>
      <c r="K305" s="25">
        <f>IF(N(J305)=0,"",IF(J305&gt;0,set_WIPAsset,set_WIPIncome))</f>
        <v/>
      </c>
      <c r="L305" s="25">
        <f>IF(N(J305)=0,"",IF(J305&gt;0,set_WIPIncome,set_WIPAsset))</f>
        <v/>
      </c>
      <c r="M305" s="27">
        <f>IF(N(J305)=0,"",ABS(J305))</f>
        <v/>
      </c>
      <c r="N305" s="25">
        <f>IF(N(J305)=0,"","WIP "&amp;I305&amp;IF(D305="",""," - "&amp;D305)&amp;IF(F305="",""," "&amp;F305)&amp;IF(H305="",""," - "&amp;H305))</f>
        <v/>
      </c>
      <c r="O305" s="24" t="n"/>
      <c r="P305" s="24" t="n"/>
      <c r="Q305" s="24" t="n"/>
    </row>
    <row r="306" ht="15" customHeight="1">
      <c r="A306" s="66" t="n"/>
      <c r="B306" s="64">
        <f>IF(C306="","",IFERROR(INDEX(tbl_Finance[Date],MATCH(C306&amp;"",tbl_Finance[Xero Invoice No],0)),""))</f>
        <v/>
      </c>
      <c r="C306" s="24" t="n"/>
      <c r="D306" s="24" t="n"/>
      <c r="E306" s="25">
        <f>IF(D306="","",IF(COUNTIF(lst_Jobs,D306&amp;"")&gt;0,"OK","CHECK"))</f>
        <v/>
      </c>
      <c r="F306" s="24" t="n"/>
      <c r="G306" s="24" t="n"/>
      <c r="H306" s="24" t="n"/>
      <c r="I306" s="24" t="n"/>
      <c r="J306" s="26" t="n"/>
      <c r="K306" s="25">
        <f>IF(N(J306)=0,"",IF(J306&gt;0,set_WIPAsset,set_WIPIncome))</f>
        <v/>
      </c>
      <c r="L306" s="25">
        <f>IF(N(J306)=0,"",IF(J306&gt;0,set_WIPIncome,set_WIPAsset))</f>
        <v/>
      </c>
      <c r="M306" s="27">
        <f>IF(N(J306)=0,"",ABS(J306))</f>
        <v/>
      </c>
      <c r="N306" s="25">
        <f>IF(N(J306)=0,"","WIP "&amp;I306&amp;IF(D306="",""," - "&amp;D306)&amp;IF(F306="",""," "&amp;F306)&amp;IF(H306="",""," - "&amp;H306))</f>
        <v/>
      </c>
      <c r="O306" s="24" t="n"/>
      <c r="P306" s="24" t="n"/>
      <c r="Q306" s="24" t="n"/>
    </row>
    <row r="307" ht="15" customHeight="1">
      <c r="A307" s="66" t="n"/>
      <c r="B307" s="64">
        <f>IF(C307="","",IFERROR(INDEX(tbl_Finance[Date],MATCH(C307&amp;"",tbl_Finance[Xero Invoice No],0)),""))</f>
        <v/>
      </c>
      <c r="C307" s="24" t="n"/>
      <c r="D307" s="24" t="n"/>
      <c r="E307" s="25">
        <f>IF(D307="","",IF(COUNTIF(lst_Jobs,D307&amp;"")&gt;0,"OK","CHECK"))</f>
        <v/>
      </c>
      <c r="F307" s="24" t="n"/>
      <c r="G307" s="24" t="n"/>
      <c r="H307" s="24" t="n"/>
      <c r="I307" s="24" t="n"/>
      <c r="J307" s="26" t="n"/>
      <c r="K307" s="25">
        <f>IF(N(J307)=0,"",IF(J307&gt;0,set_WIPAsset,set_WIPIncome))</f>
        <v/>
      </c>
      <c r="L307" s="25">
        <f>IF(N(J307)=0,"",IF(J307&gt;0,set_WIPIncome,set_WIPAsset))</f>
        <v/>
      </c>
      <c r="M307" s="27">
        <f>IF(N(J307)=0,"",ABS(J307))</f>
        <v/>
      </c>
      <c r="N307" s="25">
        <f>IF(N(J307)=0,"","WIP "&amp;I307&amp;IF(D307="",""," - "&amp;D307)&amp;IF(F307="",""," "&amp;F307)&amp;IF(H307="",""," - "&amp;H307))</f>
        <v/>
      </c>
      <c r="O307" s="24" t="n"/>
      <c r="P307" s="24" t="n"/>
      <c r="Q307" s="24" t="n"/>
    </row>
    <row r="308" ht="15" customHeight="1">
      <c r="A308" s="66" t="n"/>
      <c r="B308" s="64">
        <f>IF(C308="","",IFERROR(INDEX(tbl_Finance[Date],MATCH(C308&amp;"",tbl_Finance[Xero Invoice No],0)),""))</f>
        <v/>
      </c>
      <c r="C308" s="24" t="n"/>
      <c r="D308" s="24" t="n"/>
      <c r="E308" s="25">
        <f>IF(D308="","",IF(COUNTIF(lst_Jobs,D308&amp;"")&gt;0,"OK","CHECK"))</f>
        <v/>
      </c>
      <c r="F308" s="24" t="n"/>
      <c r="G308" s="24" t="n"/>
      <c r="H308" s="24" t="n"/>
      <c r="I308" s="24" t="n"/>
      <c r="J308" s="26" t="n"/>
      <c r="K308" s="25">
        <f>IF(N(J308)=0,"",IF(J308&gt;0,set_WIPAsset,set_WIPIncome))</f>
        <v/>
      </c>
      <c r="L308" s="25">
        <f>IF(N(J308)=0,"",IF(J308&gt;0,set_WIPIncome,set_WIPAsset))</f>
        <v/>
      </c>
      <c r="M308" s="27">
        <f>IF(N(J308)=0,"",ABS(J308))</f>
        <v/>
      </c>
      <c r="N308" s="25">
        <f>IF(N(J308)=0,"","WIP "&amp;I308&amp;IF(D308="",""," - "&amp;D308)&amp;IF(F308="",""," "&amp;F308)&amp;IF(H308="",""," - "&amp;H308))</f>
        <v/>
      </c>
      <c r="O308" s="24" t="n"/>
      <c r="P308" s="24" t="n"/>
      <c r="Q308" s="24" t="n"/>
    </row>
    <row r="309" ht="15" customHeight="1">
      <c r="A309" s="66" t="n"/>
      <c r="B309" s="64">
        <f>IF(C309="","",IFERROR(INDEX(tbl_Finance[Date],MATCH(C309&amp;"",tbl_Finance[Xero Invoice No],0)),""))</f>
        <v/>
      </c>
      <c r="C309" s="24" t="n"/>
      <c r="D309" s="24" t="n"/>
      <c r="E309" s="25">
        <f>IF(D309="","",IF(COUNTIF(lst_Jobs,D309&amp;"")&gt;0,"OK","CHECK"))</f>
        <v/>
      </c>
      <c r="F309" s="24" t="n"/>
      <c r="G309" s="24" t="n"/>
      <c r="H309" s="24" t="n"/>
      <c r="I309" s="24" t="n"/>
      <c r="J309" s="26" t="n"/>
      <c r="K309" s="25">
        <f>IF(N(J309)=0,"",IF(J309&gt;0,set_WIPAsset,set_WIPIncome))</f>
        <v/>
      </c>
      <c r="L309" s="25">
        <f>IF(N(J309)=0,"",IF(J309&gt;0,set_WIPIncome,set_WIPAsset))</f>
        <v/>
      </c>
      <c r="M309" s="27">
        <f>IF(N(J309)=0,"",ABS(J309))</f>
        <v/>
      </c>
      <c r="N309" s="25">
        <f>IF(N(J309)=0,"","WIP "&amp;I309&amp;IF(D309="",""," - "&amp;D309)&amp;IF(F309="",""," "&amp;F309)&amp;IF(H309="",""," - "&amp;H309))</f>
        <v/>
      </c>
      <c r="O309" s="24" t="n"/>
      <c r="P309" s="24" t="n"/>
      <c r="Q309" s="24" t="n"/>
    </row>
    <row r="310" ht="15" customHeight="1">
      <c r="A310" s="66" t="n"/>
      <c r="B310" s="64">
        <f>IF(C310="","",IFERROR(INDEX(tbl_Finance[Date],MATCH(C310&amp;"",tbl_Finance[Xero Invoice No],0)),""))</f>
        <v/>
      </c>
      <c r="C310" s="24" t="n"/>
      <c r="D310" s="24" t="n"/>
      <c r="E310" s="25">
        <f>IF(D310="","",IF(COUNTIF(lst_Jobs,D310&amp;"")&gt;0,"OK","CHECK"))</f>
        <v/>
      </c>
      <c r="F310" s="24" t="n"/>
      <c r="G310" s="24" t="n"/>
      <c r="H310" s="24" t="n"/>
      <c r="I310" s="24" t="n"/>
      <c r="J310" s="26" t="n"/>
      <c r="K310" s="25">
        <f>IF(N(J310)=0,"",IF(J310&gt;0,set_WIPAsset,set_WIPIncome))</f>
        <v/>
      </c>
      <c r="L310" s="25">
        <f>IF(N(J310)=0,"",IF(J310&gt;0,set_WIPIncome,set_WIPAsset))</f>
        <v/>
      </c>
      <c r="M310" s="27">
        <f>IF(N(J310)=0,"",ABS(J310))</f>
        <v/>
      </c>
      <c r="N310" s="25">
        <f>IF(N(J310)=0,"","WIP "&amp;I310&amp;IF(D310="",""," - "&amp;D310)&amp;IF(F310="",""," "&amp;F310)&amp;IF(H310="",""," - "&amp;H310))</f>
        <v/>
      </c>
      <c r="O310" s="24" t="n"/>
      <c r="P310" s="24" t="n"/>
      <c r="Q310" s="24" t="n"/>
    </row>
    <row r="311" ht="15" customHeight="1">
      <c r="A311" s="66" t="n"/>
      <c r="B311" s="64">
        <f>IF(C311="","",IFERROR(INDEX(tbl_Finance[Date],MATCH(C311&amp;"",tbl_Finance[Xero Invoice No],0)),""))</f>
        <v/>
      </c>
      <c r="C311" s="24" t="n"/>
      <c r="D311" s="24" t="n"/>
      <c r="E311" s="25">
        <f>IF(D311="","",IF(COUNTIF(lst_Jobs,D311&amp;"")&gt;0,"OK","CHECK"))</f>
        <v/>
      </c>
      <c r="F311" s="24" t="n"/>
      <c r="G311" s="24" t="n"/>
      <c r="H311" s="24" t="n"/>
      <c r="I311" s="24" t="n"/>
      <c r="J311" s="26" t="n"/>
      <c r="K311" s="25">
        <f>IF(N(J311)=0,"",IF(J311&gt;0,set_WIPAsset,set_WIPIncome))</f>
        <v/>
      </c>
      <c r="L311" s="25">
        <f>IF(N(J311)=0,"",IF(J311&gt;0,set_WIPIncome,set_WIPAsset))</f>
        <v/>
      </c>
      <c r="M311" s="27">
        <f>IF(N(J311)=0,"",ABS(J311))</f>
        <v/>
      </c>
      <c r="N311" s="25">
        <f>IF(N(J311)=0,"","WIP "&amp;I311&amp;IF(D311="",""," - "&amp;D311)&amp;IF(F311="",""," "&amp;F311)&amp;IF(H311="",""," - "&amp;H311))</f>
        <v/>
      </c>
      <c r="O311" s="24" t="n"/>
      <c r="P311" s="24" t="n"/>
      <c r="Q311" s="24" t="n"/>
    </row>
    <row r="312" ht="15" customHeight="1">
      <c r="A312" s="66" t="n"/>
      <c r="B312" s="64">
        <f>IF(C312="","",IFERROR(INDEX(tbl_Finance[Date],MATCH(C312&amp;"",tbl_Finance[Xero Invoice No],0)),""))</f>
        <v/>
      </c>
      <c r="C312" s="24" t="n"/>
      <c r="D312" s="24" t="n"/>
      <c r="E312" s="25">
        <f>IF(D312="","",IF(COUNTIF(lst_Jobs,D312&amp;"")&gt;0,"OK","CHECK"))</f>
        <v/>
      </c>
      <c r="F312" s="24" t="n"/>
      <c r="G312" s="24" t="n"/>
      <c r="H312" s="24" t="n"/>
      <c r="I312" s="24" t="n"/>
      <c r="J312" s="26" t="n"/>
      <c r="K312" s="25">
        <f>IF(N(J312)=0,"",IF(J312&gt;0,set_WIPAsset,set_WIPIncome))</f>
        <v/>
      </c>
      <c r="L312" s="25">
        <f>IF(N(J312)=0,"",IF(J312&gt;0,set_WIPIncome,set_WIPAsset))</f>
        <v/>
      </c>
      <c r="M312" s="27">
        <f>IF(N(J312)=0,"",ABS(J312))</f>
        <v/>
      </c>
      <c r="N312" s="25">
        <f>IF(N(J312)=0,"","WIP "&amp;I312&amp;IF(D312="",""," - "&amp;D312)&amp;IF(F312="",""," "&amp;F312)&amp;IF(H312="",""," - "&amp;H312))</f>
        <v/>
      </c>
      <c r="O312" s="24" t="n"/>
      <c r="P312" s="24" t="n"/>
      <c r="Q312" s="24" t="n"/>
    </row>
    <row r="313" ht="15" customHeight="1">
      <c r="A313" s="66" t="n"/>
      <c r="B313" s="64">
        <f>IF(C313="","",IFERROR(INDEX(tbl_Finance[Date],MATCH(C313&amp;"",tbl_Finance[Xero Invoice No],0)),""))</f>
        <v/>
      </c>
      <c r="C313" s="24" t="n"/>
      <c r="D313" s="24" t="n"/>
      <c r="E313" s="25">
        <f>IF(D313="","",IF(COUNTIF(lst_Jobs,D313&amp;"")&gt;0,"OK","CHECK"))</f>
        <v/>
      </c>
      <c r="F313" s="24" t="n"/>
      <c r="G313" s="24" t="n"/>
      <c r="H313" s="24" t="n"/>
      <c r="I313" s="24" t="n"/>
      <c r="J313" s="26" t="n"/>
      <c r="K313" s="25">
        <f>IF(N(J313)=0,"",IF(J313&gt;0,set_WIPAsset,set_WIPIncome))</f>
        <v/>
      </c>
      <c r="L313" s="25">
        <f>IF(N(J313)=0,"",IF(J313&gt;0,set_WIPIncome,set_WIPAsset))</f>
        <v/>
      </c>
      <c r="M313" s="27">
        <f>IF(N(J313)=0,"",ABS(J313))</f>
        <v/>
      </c>
      <c r="N313" s="25">
        <f>IF(N(J313)=0,"","WIP "&amp;I313&amp;IF(D313="",""," - "&amp;D313)&amp;IF(F313="",""," "&amp;F313)&amp;IF(H313="",""," - "&amp;H313))</f>
        <v/>
      </c>
      <c r="O313" s="24" t="n"/>
      <c r="P313" s="24" t="n"/>
      <c r="Q313" s="24" t="n"/>
    </row>
    <row r="314" ht="15" customHeight="1">
      <c r="A314" s="66" t="n"/>
      <c r="B314" s="64">
        <f>IF(C314="","",IFERROR(INDEX(tbl_Finance[Date],MATCH(C314&amp;"",tbl_Finance[Xero Invoice No],0)),""))</f>
        <v/>
      </c>
      <c r="C314" s="24" t="n"/>
      <c r="D314" s="24" t="n"/>
      <c r="E314" s="25">
        <f>IF(D314="","",IF(COUNTIF(lst_Jobs,D314&amp;"")&gt;0,"OK","CHECK"))</f>
        <v/>
      </c>
      <c r="F314" s="24" t="n"/>
      <c r="G314" s="24" t="n"/>
      <c r="H314" s="24" t="n"/>
      <c r="I314" s="24" t="n"/>
      <c r="J314" s="26" t="n"/>
      <c r="K314" s="25">
        <f>IF(N(J314)=0,"",IF(J314&gt;0,set_WIPAsset,set_WIPIncome))</f>
        <v/>
      </c>
      <c r="L314" s="25">
        <f>IF(N(J314)=0,"",IF(J314&gt;0,set_WIPIncome,set_WIPAsset))</f>
        <v/>
      </c>
      <c r="M314" s="27">
        <f>IF(N(J314)=0,"",ABS(J314))</f>
        <v/>
      </c>
      <c r="N314" s="25">
        <f>IF(N(J314)=0,"","WIP "&amp;I314&amp;IF(D314="",""," - "&amp;D314)&amp;IF(F314="",""," "&amp;F314)&amp;IF(H314="",""," - "&amp;H314))</f>
        <v/>
      </c>
      <c r="O314" s="24" t="n"/>
      <c r="P314" s="24" t="n"/>
      <c r="Q314" s="24" t="n"/>
    </row>
    <row r="315" ht="15" customHeight="1">
      <c r="A315" s="66" t="n"/>
      <c r="B315" s="64">
        <f>IF(C315="","",IFERROR(INDEX(tbl_Finance[Date],MATCH(C315&amp;"",tbl_Finance[Xero Invoice No],0)),""))</f>
        <v/>
      </c>
      <c r="C315" s="24" t="n"/>
      <c r="D315" s="24" t="n"/>
      <c r="E315" s="25">
        <f>IF(D315="","",IF(COUNTIF(lst_Jobs,D315&amp;"")&gt;0,"OK","CHECK"))</f>
        <v/>
      </c>
      <c r="F315" s="24" t="n"/>
      <c r="G315" s="24" t="n"/>
      <c r="H315" s="24" t="n"/>
      <c r="I315" s="24" t="n"/>
      <c r="J315" s="26" t="n"/>
      <c r="K315" s="25">
        <f>IF(N(J315)=0,"",IF(J315&gt;0,set_WIPAsset,set_WIPIncome))</f>
        <v/>
      </c>
      <c r="L315" s="25">
        <f>IF(N(J315)=0,"",IF(J315&gt;0,set_WIPIncome,set_WIPAsset))</f>
        <v/>
      </c>
      <c r="M315" s="27">
        <f>IF(N(J315)=0,"",ABS(J315))</f>
        <v/>
      </c>
      <c r="N315" s="25">
        <f>IF(N(J315)=0,"","WIP "&amp;I315&amp;IF(D315="",""," - "&amp;D315)&amp;IF(F315="",""," "&amp;F315)&amp;IF(H315="",""," - "&amp;H315))</f>
        <v/>
      </c>
      <c r="O315" s="24" t="n"/>
      <c r="P315" s="24" t="n"/>
      <c r="Q315" s="24" t="n"/>
    </row>
    <row r="316" ht="15" customHeight="1">
      <c r="A316" s="66" t="n"/>
      <c r="B316" s="64">
        <f>IF(C316="","",IFERROR(INDEX(tbl_Finance[Date],MATCH(C316&amp;"",tbl_Finance[Xero Invoice No],0)),""))</f>
        <v/>
      </c>
      <c r="C316" s="24" t="n"/>
      <c r="D316" s="24" t="n"/>
      <c r="E316" s="25">
        <f>IF(D316="","",IF(COUNTIF(lst_Jobs,D316&amp;"")&gt;0,"OK","CHECK"))</f>
        <v/>
      </c>
      <c r="F316" s="24" t="n"/>
      <c r="G316" s="24" t="n"/>
      <c r="H316" s="24" t="n"/>
      <c r="I316" s="24" t="n"/>
      <c r="J316" s="26" t="n"/>
      <c r="K316" s="25">
        <f>IF(N(J316)=0,"",IF(J316&gt;0,set_WIPAsset,set_WIPIncome))</f>
        <v/>
      </c>
      <c r="L316" s="25">
        <f>IF(N(J316)=0,"",IF(J316&gt;0,set_WIPIncome,set_WIPAsset))</f>
        <v/>
      </c>
      <c r="M316" s="27">
        <f>IF(N(J316)=0,"",ABS(J316))</f>
        <v/>
      </c>
      <c r="N316" s="25">
        <f>IF(N(J316)=0,"","WIP "&amp;I316&amp;IF(D316="",""," - "&amp;D316)&amp;IF(F316="",""," "&amp;F316)&amp;IF(H316="",""," - "&amp;H316))</f>
        <v/>
      </c>
      <c r="O316" s="24" t="n"/>
      <c r="P316" s="24" t="n"/>
      <c r="Q316" s="24" t="n"/>
    </row>
    <row r="317" ht="15" customHeight="1">
      <c r="A317" s="66" t="n"/>
      <c r="B317" s="64">
        <f>IF(C317="","",IFERROR(INDEX(tbl_Finance[Date],MATCH(C317&amp;"",tbl_Finance[Xero Invoice No],0)),""))</f>
        <v/>
      </c>
      <c r="C317" s="24" t="n"/>
      <c r="D317" s="24" t="n"/>
      <c r="E317" s="25">
        <f>IF(D317="","",IF(COUNTIF(lst_Jobs,D317&amp;"")&gt;0,"OK","CHECK"))</f>
        <v/>
      </c>
      <c r="F317" s="24" t="n"/>
      <c r="G317" s="24" t="n"/>
      <c r="H317" s="24" t="n"/>
      <c r="I317" s="24" t="n"/>
      <c r="J317" s="26" t="n"/>
      <c r="K317" s="25">
        <f>IF(N(J317)=0,"",IF(J317&gt;0,set_WIPAsset,set_WIPIncome))</f>
        <v/>
      </c>
      <c r="L317" s="25">
        <f>IF(N(J317)=0,"",IF(J317&gt;0,set_WIPIncome,set_WIPAsset))</f>
        <v/>
      </c>
      <c r="M317" s="27">
        <f>IF(N(J317)=0,"",ABS(J317))</f>
        <v/>
      </c>
      <c r="N317" s="25">
        <f>IF(N(J317)=0,"","WIP "&amp;I317&amp;IF(D317="",""," - "&amp;D317)&amp;IF(F317="",""," "&amp;F317)&amp;IF(H317="",""," - "&amp;H317))</f>
        <v/>
      </c>
      <c r="O317" s="24" t="n"/>
      <c r="P317" s="24" t="n"/>
      <c r="Q317" s="24" t="n"/>
    </row>
    <row r="318" ht="15" customHeight="1">
      <c r="A318" s="66" t="n"/>
      <c r="B318" s="64">
        <f>IF(C318="","",IFERROR(INDEX(tbl_Finance[Date],MATCH(C318&amp;"",tbl_Finance[Xero Invoice No],0)),""))</f>
        <v/>
      </c>
      <c r="C318" s="24" t="n"/>
      <c r="D318" s="24" t="n"/>
      <c r="E318" s="25">
        <f>IF(D318="","",IF(COUNTIF(lst_Jobs,D318&amp;"")&gt;0,"OK","CHECK"))</f>
        <v/>
      </c>
      <c r="F318" s="24" t="n"/>
      <c r="G318" s="24" t="n"/>
      <c r="H318" s="24" t="n"/>
      <c r="I318" s="24" t="n"/>
      <c r="J318" s="26" t="n"/>
      <c r="K318" s="25">
        <f>IF(N(J318)=0,"",IF(J318&gt;0,set_WIPAsset,set_WIPIncome))</f>
        <v/>
      </c>
      <c r="L318" s="25">
        <f>IF(N(J318)=0,"",IF(J318&gt;0,set_WIPIncome,set_WIPAsset))</f>
        <v/>
      </c>
      <c r="M318" s="27">
        <f>IF(N(J318)=0,"",ABS(J318))</f>
        <v/>
      </c>
      <c r="N318" s="25">
        <f>IF(N(J318)=0,"","WIP "&amp;I318&amp;IF(D318="",""," - "&amp;D318)&amp;IF(F318="",""," "&amp;F318)&amp;IF(H318="",""," - "&amp;H318))</f>
        <v/>
      </c>
      <c r="O318" s="24" t="n"/>
      <c r="P318" s="24" t="n"/>
      <c r="Q318" s="24" t="n"/>
    </row>
    <row r="319" ht="15" customHeight="1">
      <c r="A319" s="66" t="n"/>
      <c r="B319" s="64">
        <f>IF(C319="","",IFERROR(INDEX(tbl_Finance[Date],MATCH(C319&amp;"",tbl_Finance[Xero Invoice No],0)),""))</f>
        <v/>
      </c>
      <c r="C319" s="24" t="n"/>
      <c r="D319" s="24" t="n"/>
      <c r="E319" s="25">
        <f>IF(D319="","",IF(COUNTIF(lst_Jobs,D319&amp;"")&gt;0,"OK","CHECK"))</f>
        <v/>
      </c>
      <c r="F319" s="24" t="n"/>
      <c r="G319" s="24" t="n"/>
      <c r="H319" s="24" t="n"/>
      <c r="I319" s="24" t="n"/>
      <c r="J319" s="26" t="n"/>
      <c r="K319" s="25">
        <f>IF(N(J319)=0,"",IF(J319&gt;0,set_WIPAsset,set_WIPIncome))</f>
        <v/>
      </c>
      <c r="L319" s="25">
        <f>IF(N(J319)=0,"",IF(J319&gt;0,set_WIPIncome,set_WIPAsset))</f>
        <v/>
      </c>
      <c r="M319" s="27">
        <f>IF(N(J319)=0,"",ABS(J319))</f>
        <v/>
      </c>
      <c r="N319" s="25">
        <f>IF(N(J319)=0,"","WIP "&amp;I319&amp;IF(D319="",""," - "&amp;D319)&amp;IF(F319="",""," "&amp;F319)&amp;IF(H319="",""," - "&amp;H319))</f>
        <v/>
      </c>
      <c r="O319" s="24" t="n"/>
      <c r="P319" s="24" t="n"/>
      <c r="Q319" s="24" t="n"/>
    </row>
    <row r="320" ht="15" customHeight="1">
      <c r="A320" s="66" t="n"/>
      <c r="B320" s="64">
        <f>IF(C320="","",IFERROR(INDEX(tbl_Finance[Date],MATCH(C320&amp;"",tbl_Finance[Xero Invoice No],0)),""))</f>
        <v/>
      </c>
      <c r="C320" s="24" t="n"/>
      <c r="D320" s="24" t="n"/>
      <c r="E320" s="25">
        <f>IF(D320="","",IF(COUNTIF(lst_Jobs,D320&amp;"")&gt;0,"OK","CHECK"))</f>
        <v/>
      </c>
      <c r="F320" s="24" t="n"/>
      <c r="G320" s="24" t="n"/>
      <c r="H320" s="24" t="n"/>
      <c r="I320" s="24" t="n"/>
      <c r="J320" s="26" t="n"/>
      <c r="K320" s="25">
        <f>IF(N(J320)=0,"",IF(J320&gt;0,set_WIPAsset,set_WIPIncome))</f>
        <v/>
      </c>
      <c r="L320" s="25">
        <f>IF(N(J320)=0,"",IF(J320&gt;0,set_WIPIncome,set_WIPAsset))</f>
        <v/>
      </c>
      <c r="M320" s="27">
        <f>IF(N(J320)=0,"",ABS(J320))</f>
        <v/>
      </c>
      <c r="N320" s="25">
        <f>IF(N(J320)=0,"","WIP "&amp;I320&amp;IF(D320="",""," - "&amp;D320)&amp;IF(F320="",""," "&amp;F320)&amp;IF(H320="",""," - "&amp;H320))</f>
        <v/>
      </c>
      <c r="O320" s="24" t="n"/>
      <c r="P320" s="24" t="n"/>
      <c r="Q320" s="24" t="n"/>
    </row>
    <row r="321" ht="15" customHeight="1">
      <c r="A321" s="66" t="n"/>
      <c r="B321" s="64">
        <f>IF(C321="","",IFERROR(INDEX(tbl_Finance[Date],MATCH(C321&amp;"",tbl_Finance[Xero Invoice No],0)),""))</f>
        <v/>
      </c>
      <c r="C321" s="24" t="n"/>
      <c r="D321" s="24" t="n"/>
      <c r="E321" s="25">
        <f>IF(D321="","",IF(COUNTIF(lst_Jobs,D321&amp;"")&gt;0,"OK","CHECK"))</f>
        <v/>
      </c>
      <c r="F321" s="24" t="n"/>
      <c r="G321" s="24" t="n"/>
      <c r="H321" s="24" t="n"/>
      <c r="I321" s="24" t="n"/>
      <c r="J321" s="26" t="n"/>
      <c r="K321" s="25">
        <f>IF(N(J321)=0,"",IF(J321&gt;0,set_WIPAsset,set_WIPIncome))</f>
        <v/>
      </c>
      <c r="L321" s="25">
        <f>IF(N(J321)=0,"",IF(J321&gt;0,set_WIPIncome,set_WIPAsset))</f>
        <v/>
      </c>
      <c r="M321" s="27">
        <f>IF(N(J321)=0,"",ABS(J321))</f>
        <v/>
      </c>
      <c r="N321" s="25">
        <f>IF(N(J321)=0,"","WIP "&amp;I321&amp;IF(D321="",""," - "&amp;D321)&amp;IF(F321="",""," "&amp;F321)&amp;IF(H321="",""," - "&amp;H321))</f>
        <v/>
      </c>
      <c r="O321" s="24" t="n"/>
      <c r="P321" s="24" t="n"/>
      <c r="Q321" s="24" t="n"/>
    </row>
    <row r="322" ht="15" customHeight="1">
      <c r="A322" s="66" t="n"/>
      <c r="B322" s="64">
        <f>IF(C322="","",IFERROR(INDEX(tbl_Finance[Date],MATCH(C322&amp;"",tbl_Finance[Xero Invoice No],0)),""))</f>
        <v/>
      </c>
      <c r="C322" s="24" t="n"/>
      <c r="D322" s="24" t="n"/>
      <c r="E322" s="25">
        <f>IF(D322="","",IF(COUNTIF(lst_Jobs,D322&amp;"")&gt;0,"OK","CHECK"))</f>
        <v/>
      </c>
      <c r="F322" s="24" t="n"/>
      <c r="G322" s="24" t="n"/>
      <c r="H322" s="24" t="n"/>
      <c r="I322" s="24" t="n"/>
      <c r="J322" s="26" t="n"/>
      <c r="K322" s="25">
        <f>IF(N(J322)=0,"",IF(J322&gt;0,set_WIPAsset,set_WIPIncome))</f>
        <v/>
      </c>
      <c r="L322" s="25">
        <f>IF(N(J322)=0,"",IF(J322&gt;0,set_WIPIncome,set_WIPAsset))</f>
        <v/>
      </c>
      <c r="M322" s="27">
        <f>IF(N(J322)=0,"",ABS(J322))</f>
        <v/>
      </c>
      <c r="N322" s="25">
        <f>IF(N(J322)=0,"","WIP "&amp;I322&amp;IF(D322="",""," - "&amp;D322)&amp;IF(F322="",""," "&amp;F322)&amp;IF(H322="",""," - "&amp;H322))</f>
        <v/>
      </c>
      <c r="O322" s="24" t="n"/>
      <c r="P322" s="24" t="n"/>
      <c r="Q322" s="24" t="n"/>
    </row>
    <row r="323" ht="15" customHeight="1">
      <c r="A323" s="66" t="n"/>
      <c r="B323" s="64">
        <f>IF(C323="","",IFERROR(INDEX(tbl_Finance[Date],MATCH(C323&amp;"",tbl_Finance[Xero Invoice No],0)),""))</f>
        <v/>
      </c>
      <c r="C323" s="24" t="n"/>
      <c r="D323" s="24" t="n"/>
      <c r="E323" s="25">
        <f>IF(D323="","",IF(COUNTIF(lst_Jobs,D323&amp;"")&gt;0,"OK","CHECK"))</f>
        <v/>
      </c>
      <c r="F323" s="24" t="n"/>
      <c r="G323" s="24" t="n"/>
      <c r="H323" s="24" t="n"/>
      <c r="I323" s="24" t="n"/>
      <c r="J323" s="26" t="n"/>
      <c r="K323" s="25">
        <f>IF(N(J323)=0,"",IF(J323&gt;0,set_WIPAsset,set_WIPIncome))</f>
        <v/>
      </c>
      <c r="L323" s="25">
        <f>IF(N(J323)=0,"",IF(J323&gt;0,set_WIPIncome,set_WIPAsset))</f>
        <v/>
      </c>
      <c r="M323" s="27">
        <f>IF(N(J323)=0,"",ABS(J323))</f>
        <v/>
      </c>
      <c r="N323" s="25">
        <f>IF(N(J323)=0,"","WIP "&amp;I323&amp;IF(D323="",""," - "&amp;D323)&amp;IF(F323="",""," "&amp;F323)&amp;IF(H323="",""," - "&amp;H323))</f>
        <v/>
      </c>
      <c r="O323" s="24" t="n"/>
      <c r="P323" s="24" t="n"/>
      <c r="Q323" s="24" t="n"/>
    </row>
    <row r="324" ht="15" customHeight="1">
      <c r="A324" s="66" t="n"/>
      <c r="B324" s="64">
        <f>IF(C324="","",IFERROR(INDEX(tbl_Finance[Date],MATCH(C324&amp;"",tbl_Finance[Xero Invoice No],0)),""))</f>
        <v/>
      </c>
      <c r="C324" s="24" t="n"/>
      <c r="D324" s="24" t="n"/>
      <c r="E324" s="25">
        <f>IF(D324="","",IF(COUNTIF(lst_Jobs,D324&amp;"")&gt;0,"OK","CHECK"))</f>
        <v/>
      </c>
      <c r="F324" s="24" t="n"/>
      <c r="G324" s="24" t="n"/>
      <c r="H324" s="24" t="n"/>
      <c r="I324" s="24" t="n"/>
      <c r="J324" s="26" t="n"/>
      <c r="K324" s="25">
        <f>IF(N(J324)=0,"",IF(J324&gt;0,set_WIPAsset,set_WIPIncome))</f>
        <v/>
      </c>
      <c r="L324" s="25">
        <f>IF(N(J324)=0,"",IF(J324&gt;0,set_WIPIncome,set_WIPAsset))</f>
        <v/>
      </c>
      <c r="M324" s="27">
        <f>IF(N(J324)=0,"",ABS(J324))</f>
        <v/>
      </c>
      <c r="N324" s="25">
        <f>IF(N(J324)=0,"","WIP "&amp;I324&amp;IF(D324="",""," - "&amp;D324)&amp;IF(F324="",""," "&amp;F324)&amp;IF(H324="",""," - "&amp;H324))</f>
        <v/>
      </c>
      <c r="O324" s="24" t="n"/>
      <c r="P324" s="24" t="n"/>
      <c r="Q324" s="24" t="n"/>
    </row>
    <row r="325" ht="15" customHeight="1">
      <c r="A325" s="66" t="n"/>
      <c r="B325" s="64">
        <f>IF(C325="","",IFERROR(INDEX(tbl_Finance[Date],MATCH(C325&amp;"",tbl_Finance[Xero Invoice No],0)),""))</f>
        <v/>
      </c>
      <c r="C325" s="24" t="n"/>
      <c r="D325" s="24" t="n"/>
      <c r="E325" s="25">
        <f>IF(D325="","",IF(COUNTIF(lst_Jobs,D325&amp;"")&gt;0,"OK","CHECK"))</f>
        <v/>
      </c>
      <c r="F325" s="24" t="n"/>
      <c r="G325" s="24" t="n"/>
      <c r="H325" s="24" t="n"/>
      <c r="I325" s="24" t="n"/>
      <c r="J325" s="26" t="n"/>
      <c r="K325" s="25">
        <f>IF(N(J325)=0,"",IF(J325&gt;0,set_WIPAsset,set_WIPIncome))</f>
        <v/>
      </c>
      <c r="L325" s="25">
        <f>IF(N(J325)=0,"",IF(J325&gt;0,set_WIPIncome,set_WIPAsset))</f>
        <v/>
      </c>
      <c r="M325" s="27">
        <f>IF(N(J325)=0,"",ABS(J325))</f>
        <v/>
      </c>
      <c r="N325" s="25">
        <f>IF(N(J325)=0,"","WIP "&amp;I325&amp;IF(D325="",""," - "&amp;D325)&amp;IF(F325="",""," "&amp;F325)&amp;IF(H325="",""," - "&amp;H325))</f>
        <v/>
      </c>
      <c r="O325" s="24" t="n"/>
      <c r="P325" s="24" t="n"/>
      <c r="Q325" s="24" t="n"/>
    </row>
    <row r="326" ht="15" customHeight="1">
      <c r="A326" s="66" t="n"/>
      <c r="B326" s="64">
        <f>IF(C326="","",IFERROR(INDEX(tbl_Finance[Date],MATCH(C326&amp;"",tbl_Finance[Xero Invoice No],0)),""))</f>
        <v/>
      </c>
      <c r="C326" s="24" t="n"/>
      <c r="D326" s="24" t="n"/>
      <c r="E326" s="25">
        <f>IF(D326="","",IF(COUNTIF(lst_Jobs,D326&amp;"")&gt;0,"OK","CHECK"))</f>
        <v/>
      </c>
      <c r="F326" s="24" t="n"/>
      <c r="G326" s="24" t="n"/>
      <c r="H326" s="24" t="n"/>
      <c r="I326" s="24" t="n"/>
      <c r="J326" s="26" t="n"/>
      <c r="K326" s="25">
        <f>IF(N(J326)=0,"",IF(J326&gt;0,set_WIPAsset,set_WIPIncome))</f>
        <v/>
      </c>
      <c r="L326" s="25">
        <f>IF(N(J326)=0,"",IF(J326&gt;0,set_WIPIncome,set_WIPAsset))</f>
        <v/>
      </c>
      <c r="M326" s="27">
        <f>IF(N(J326)=0,"",ABS(J326))</f>
        <v/>
      </c>
      <c r="N326" s="25">
        <f>IF(N(J326)=0,"","WIP "&amp;I326&amp;IF(D326="",""," - "&amp;D326)&amp;IF(F326="",""," "&amp;F326)&amp;IF(H326="",""," - "&amp;H326))</f>
        <v/>
      </c>
      <c r="O326" s="24" t="n"/>
      <c r="P326" s="24" t="n"/>
      <c r="Q326" s="24" t="n"/>
    </row>
    <row r="327" ht="15" customHeight="1">
      <c r="A327" s="66" t="n"/>
      <c r="B327" s="64">
        <f>IF(C327="","",IFERROR(INDEX(tbl_Finance[Date],MATCH(C327&amp;"",tbl_Finance[Xero Invoice No],0)),""))</f>
        <v/>
      </c>
      <c r="C327" s="24" t="n"/>
      <c r="D327" s="24" t="n"/>
      <c r="E327" s="25">
        <f>IF(D327="","",IF(COUNTIF(lst_Jobs,D327&amp;"")&gt;0,"OK","CHECK"))</f>
        <v/>
      </c>
      <c r="F327" s="24" t="n"/>
      <c r="G327" s="24" t="n"/>
      <c r="H327" s="24" t="n"/>
      <c r="I327" s="24" t="n"/>
      <c r="J327" s="26" t="n"/>
      <c r="K327" s="25">
        <f>IF(N(J327)=0,"",IF(J327&gt;0,set_WIPAsset,set_WIPIncome))</f>
        <v/>
      </c>
      <c r="L327" s="25">
        <f>IF(N(J327)=0,"",IF(J327&gt;0,set_WIPIncome,set_WIPAsset))</f>
        <v/>
      </c>
      <c r="M327" s="27">
        <f>IF(N(J327)=0,"",ABS(J327))</f>
        <v/>
      </c>
      <c r="N327" s="25">
        <f>IF(N(J327)=0,"","WIP "&amp;I327&amp;IF(D327="",""," - "&amp;D327)&amp;IF(F327="",""," "&amp;F327)&amp;IF(H327="",""," - "&amp;H327))</f>
        <v/>
      </c>
      <c r="O327" s="24" t="n"/>
      <c r="P327" s="24" t="n"/>
      <c r="Q327" s="24" t="n"/>
    </row>
    <row r="328" ht="15" customHeight="1">
      <c r="A328" s="66" t="n"/>
      <c r="B328" s="64">
        <f>IF(C328="","",IFERROR(INDEX(tbl_Finance[Date],MATCH(C328&amp;"",tbl_Finance[Xero Invoice No],0)),""))</f>
        <v/>
      </c>
      <c r="C328" s="24" t="n"/>
      <c r="D328" s="24" t="n"/>
      <c r="E328" s="25">
        <f>IF(D328="","",IF(COUNTIF(lst_Jobs,D328&amp;"")&gt;0,"OK","CHECK"))</f>
        <v/>
      </c>
      <c r="F328" s="24" t="n"/>
      <c r="G328" s="24" t="n"/>
      <c r="H328" s="24" t="n"/>
      <c r="I328" s="24" t="n"/>
      <c r="J328" s="26" t="n"/>
      <c r="K328" s="25">
        <f>IF(N(J328)=0,"",IF(J328&gt;0,set_WIPAsset,set_WIPIncome))</f>
        <v/>
      </c>
      <c r="L328" s="25">
        <f>IF(N(J328)=0,"",IF(J328&gt;0,set_WIPIncome,set_WIPAsset))</f>
        <v/>
      </c>
      <c r="M328" s="27">
        <f>IF(N(J328)=0,"",ABS(J328))</f>
        <v/>
      </c>
      <c r="N328" s="25">
        <f>IF(N(J328)=0,"","WIP "&amp;I328&amp;IF(D328="",""," - "&amp;D328)&amp;IF(F328="",""," "&amp;F328)&amp;IF(H328="",""," - "&amp;H328))</f>
        <v/>
      </c>
      <c r="O328" s="24" t="n"/>
      <c r="P328" s="24" t="n"/>
      <c r="Q328" s="24" t="n"/>
    </row>
    <row r="329" ht="15" customHeight="1">
      <c r="A329" s="66" t="n"/>
      <c r="B329" s="64">
        <f>IF(C329="","",IFERROR(INDEX(tbl_Finance[Date],MATCH(C329&amp;"",tbl_Finance[Xero Invoice No],0)),""))</f>
        <v/>
      </c>
      <c r="C329" s="24" t="n"/>
      <c r="D329" s="24" t="n"/>
      <c r="E329" s="25">
        <f>IF(D329="","",IF(COUNTIF(lst_Jobs,D329&amp;"")&gt;0,"OK","CHECK"))</f>
        <v/>
      </c>
      <c r="F329" s="24" t="n"/>
      <c r="G329" s="24" t="n"/>
      <c r="H329" s="24" t="n"/>
      <c r="I329" s="24" t="n"/>
      <c r="J329" s="26" t="n"/>
      <c r="K329" s="25">
        <f>IF(N(J329)=0,"",IF(J329&gt;0,set_WIPAsset,set_WIPIncome))</f>
        <v/>
      </c>
      <c r="L329" s="25">
        <f>IF(N(J329)=0,"",IF(J329&gt;0,set_WIPIncome,set_WIPAsset))</f>
        <v/>
      </c>
      <c r="M329" s="27">
        <f>IF(N(J329)=0,"",ABS(J329))</f>
        <v/>
      </c>
      <c r="N329" s="25">
        <f>IF(N(J329)=0,"","WIP "&amp;I329&amp;IF(D329="",""," - "&amp;D329)&amp;IF(F329="",""," "&amp;F329)&amp;IF(H329="",""," - "&amp;H329))</f>
        <v/>
      </c>
      <c r="O329" s="24" t="n"/>
      <c r="P329" s="24" t="n"/>
      <c r="Q329" s="24" t="n"/>
    </row>
    <row r="330" ht="15" customHeight="1">
      <c r="A330" s="66" t="n"/>
      <c r="B330" s="64">
        <f>IF(C330="","",IFERROR(INDEX(tbl_Finance[Date],MATCH(C330&amp;"",tbl_Finance[Xero Invoice No],0)),""))</f>
        <v/>
      </c>
      <c r="C330" s="24" t="n"/>
      <c r="D330" s="24" t="n"/>
      <c r="E330" s="25">
        <f>IF(D330="","",IF(COUNTIF(lst_Jobs,D330&amp;"")&gt;0,"OK","CHECK"))</f>
        <v/>
      </c>
      <c r="F330" s="24" t="n"/>
      <c r="G330" s="24" t="n"/>
      <c r="H330" s="24" t="n"/>
      <c r="I330" s="24" t="n"/>
      <c r="J330" s="26" t="n"/>
      <c r="K330" s="25">
        <f>IF(N(J330)=0,"",IF(J330&gt;0,set_WIPAsset,set_WIPIncome))</f>
        <v/>
      </c>
      <c r="L330" s="25">
        <f>IF(N(J330)=0,"",IF(J330&gt;0,set_WIPIncome,set_WIPAsset))</f>
        <v/>
      </c>
      <c r="M330" s="27">
        <f>IF(N(J330)=0,"",ABS(J330))</f>
        <v/>
      </c>
      <c r="N330" s="25">
        <f>IF(N(J330)=0,"","WIP "&amp;I330&amp;IF(D330="",""," - "&amp;D330)&amp;IF(F330="",""," "&amp;F330)&amp;IF(H330="",""," - "&amp;H330))</f>
        <v/>
      </c>
      <c r="O330" s="24" t="n"/>
      <c r="P330" s="24" t="n"/>
      <c r="Q330"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P5:P5000">
    <cfRule type="expression" priority="2" dxfId="1" stopIfTrue="0">
      <formula>P5="N"</formula>
    </cfRule>
  </conditionalFormatting>
  <dataValidations count="3">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K4" s="21" t="inlineStr">
        <is>
          <t>Revenue GL</t>
        </is>
      </c>
      <c r="L4" s="21" t="inlineStr">
        <is>
          <t>GL Account Name (from Xero)</t>
        </is>
      </c>
      <c r="N4" s="21" t="inlineStr">
        <is>
          <t>Month (period end)</t>
        </is>
      </c>
      <c r="P4" s="21" t="inlineStr">
        <is>
          <t>Job Number</t>
        </is>
      </c>
      <c r="Q4" s="21" t="inlineStr">
        <is>
          <t>Job Name (from Xero)</t>
        </is>
      </c>
      <c r="R4" s="21" t="inlineStr">
        <is>
          <t>CC</t>
        </is>
      </c>
      <c r="T4" s="21" t="inlineStr">
        <is>
          <t>Settings</t>
        </is>
      </c>
    </row>
    <row r="5">
      <c r="A5" s="67" t="inlineStr">
        <is>
          <t>ONSITE</t>
        </is>
      </c>
      <c r="B5" s="67" t="inlineStr">
        <is>
          <t>Contract</t>
        </is>
      </c>
      <c r="C5" s="67" t="inlineStr">
        <is>
          <t>GST 10%</t>
        </is>
      </c>
      <c r="D5" s="67" t="inlineStr">
        <is>
          <t>To Invoice</t>
        </is>
      </c>
      <c r="E5" s="67" t="inlineStr">
        <is>
          <t>Y</t>
        </is>
      </c>
      <c r="F5" s="67" t="inlineStr">
        <is>
          <t>N/A</t>
        </is>
      </c>
      <c r="G5" s="67" t="inlineStr">
        <is>
          <t>Accrual - unbilled work</t>
        </is>
      </c>
      <c r="H5" s="67" t="inlineStr">
        <is>
          <t>11300</t>
        </is>
      </c>
      <c r="I5" s="67" t="inlineStr">
        <is>
          <t>Onsite</t>
        </is>
      </c>
      <c r="K5" s="67" t="inlineStr">
        <is>
          <t>41100</t>
        </is>
      </c>
      <c r="L5" s="67" t="inlineStr">
        <is>
          <t>Contract Support Staff</t>
        </is>
      </c>
      <c r="N5" s="68" t="n">
        <v>45138</v>
      </c>
      <c r="P5" s="67" t="inlineStr">
        <is>
          <t>1144</t>
        </is>
      </c>
      <c r="Q5" s="67" t="inlineStr">
        <is>
          <t>Bankwest PER Half Tech</t>
        </is>
      </c>
      <c r="R5" s="67" t="inlineStr">
        <is>
          <t>ONSITE</t>
        </is>
      </c>
      <c r="T5" s="43" t="inlineStr">
        <is>
          <t>Qwilr base address</t>
        </is>
      </c>
      <c r="U5" s="69" t="inlineStr">
        <is>
          <t>https://cts.qwilr.com/</t>
        </is>
      </c>
    </row>
    <row r="6">
      <c r="A6" s="67" t="inlineStr">
        <is>
          <t>PRODUCTION</t>
        </is>
      </c>
      <c r="B6" s="67" t="inlineStr">
        <is>
          <t>Chargeback</t>
        </is>
      </c>
      <c r="C6" s="67" t="inlineStr">
        <is>
          <t>GST Free</t>
        </is>
      </c>
      <c r="D6" s="67" t="inlineStr">
        <is>
          <t>Draft</t>
        </is>
      </c>
      <c r="E6" s="67" t="inlineStr">
        <is>
          <t>N</t>
        </is>
      </c>
      <c r="F6" s="67" t="inlineStr">
        <is>
          <t>Awaiting PO</t>
        </is>
      </c>
      <c r="G6" s="67" t="inlineStr">
        <is>
          <t>Reversal of prior accrual</t>
        </is>
      </c>
      <c r="H6" s="67" t="inlineStr">
        <is>
          <t>44100</t>
        </is>
      </c>
      <c r="I6" s="67" t="inlineStr">
        <is>
          <t>Production</t>
        </is>
      </c>
      <c r="K6" s="67" t="inlineStr">
        <is>
          <t>41150</t>
        </is>
      </c>
      <c r="L6" s="67" t="inlineStr">
        <is>
          <t>Mobile Phone Plans</t>
        </is>
      </c>
      <c r="N6" s="68" t="n">
        <v>45169</v>
      </c>
      <c r="P6" s="67" t="inlineStr">
        <is>
          <t>1350</t>
        </is>
      </c>
      <c r="Q6" s="67" t="inlineStr">
        <is>
          <t>CBA Brisbane ONS</t>
        </is>
      </c>
      <c r="R6" s="67" t="inlineStr">
        <is>
          <t>ONSITE</t>
        </is>
      </c>
      <c r="T6" s="43" t="inlineStr">
        <is>
          <t>Current RMS base address</t>
        </is>
      </c>
      <c r="U6" s="69" t="inlineStr"/>
    </row>
    <row r="7">
      <c r="A7" s="67" t="inlineStr">
        <is>
          <t>VIDEO</t>
        </is>
      </c>
      <c r="B7" s="67" t="inlineStr">
        <is>
          <t>Ad-hoc</t>
        </is>
      </c>
      <c r="C7" s="67" t="inlineStr">
        <is>
          <t>Export (0%)</t>
        </is>
      </c>
      <c r="D7" s="67" t="inlineStr">
        <is>
          <t>Awaiting Approval</t>
        </is>
      </c>
      <c r="E7" s="67" t="inlineStr">
        <is>
          <t>N/A</t>
        </is>
      </c>
      <c r="F7" s="67" t="inlineStr">
        <is>
          <t>To Upload</t>
        </is>
      </c>
      <c r="G7" s="67" t="inlineStr">
        <is>
          <t>Deferral - invoiced in advance</t>
        </is>
      </c>
      <c r="H7" s="67" t="inlineStr">
        <is>
          <t>44200</t>
        </is>
      </c>
      <c r="I7" s="67" t="inlineStr">
        <is>
          <t>Consulting</t>
        </is>
      </c>
      <c r="K7" s="67" t="inlineStr">
        <is>
          <t>41175</t>
        </is>
      </c>
      <c r="L7" s="67" t="inlineStr">
        <is>
          <t>Subscriptions &amp; Licences - Income</t>
        </is>
      </c>
      <c r="N7" s="68" t="n">
        <v>45199</v>
      </c>
      <c r="P7" s="67" t="inlineStr">
        <is>
          <t>1400</t>
        </is>
      </c>
      <c r="Q7" s="67" t="inlineStr">
        <is>
          <t>DTTL Mel Tech FT 2</t>
        </is>
      </c>
      <c r="R7" s="67" t="inlineStr">
        <is>
          <t>ONSITE</t>
        </is>
      </c>
      <c r="T7" s="32" t="inlineStr">
        <is>
          <t>Optional. Paste the whole Current RMS address straight onto the Production sheet and it links without this. Fill this in only if you would rather type the bare opportunity number - end it with a slash.</t>
        </is>
      </c>
    </row>
    <row r="8">
      <c r="A8" s="67" t="inlineStr">
        <is>
          <t>INTEGRATION</t>
        </is>
      </c>
      <c r="B8" s="67" t="inlineStr">
        <is>
          <t>Project</t>
        </is>
      </c>
      <c r="C8" s="67" t="inlineStr">
        <is>
          <t>BAS Excluded</t>
        </is>
      </c>
      <c r="D8" s="67" t="inlineStr">
        <is>
          <t>Invoiced</t>
        </is>
      </c>
      <c r="F8" s="67" t="inlineStr">
        <is>
          <t>Uploaded</t>
        </is>
      </c>
      <c r="G8" s="67" t="inlineStr">
        <is>
          <t>Release of deferral</t>
        </is>
      </c>
      <c r="I8" s="67" t="inlineStr">
        <is>
          <t>Other</t>
        </is>
      </c>
      <c r="K8" s="67" t="inlineStr">
        <is>
          <t>41200</t>
        </is>
      </c>
      <c r="L8" s="67" t="inlineStr">
        <is>
          <t>Contract Maintenance</t>
        </is>
      </c>
      <c r="N8" s="68" t="n">
        <v>45230</v>
      </c>
      <c r="P8" s="67" t="inlineStr">
        <is>
          <t>1401</t>
        </is>
      </c>
      <c r="Q8" s="67" t="inlineStr">
        <is>
          <t>DTTL SYD FT Tech 2</t>
        </is>
      </c>
      <c r="R8" s="67" t="inlineStr">
        <is>
          <t>ONSITE</t>
        </is>
      </c>
      <c r="T8" s="43" t="inlineStr">
        <is>
          <t>GST rate</t>
        </is>
      </c>
      <c r="U8" s="70" t="n">
        <v>0.1</v>
      </c>
    </row>
    <row r="9">
      <c r="A9" s="67" t="inlineStr">
        <is>
          <t>CONSULTING</t>
        </is>
      </c>
      <c r="B9" s="67" t="inlineStr">
        <is>
          <t>Progress Claim</t>
        </is>
      </c>
      <c r="D9" s="67" t="inlineStr">
        <is>
          <t>Sent</t>
        </is>
      </c>
      <c r="F9" s="67" t="inlineStr">
        <is>
          <t>Approved</t>
        </is>
      </c>
      <c r="G9" s="67" t="inlineStr">
        <is>
          <t>Adjustment / correction</t>
        </is>
      </c>
      <c r="K9" s="67" t="inlineStr">
        <is>
          <t>41500</t>
        </is>
      </c>
      <c r="L9" s="67" t="inlineStr">
        <is>
          <t>Contract Help Desk</t>
        </is>
      </c>
      <c r="N9" s="68" t="n">
        <v>45260</v>
      </c>
      <c r="P9" s="67" t="inlineStr">
        <is>
          <t>1530</t>
        </is>
      </c>
      <c r="Q9" s="67" t="inlineStr">
        <is>
          <t>DTTL BNE Onsite</t>
        </is>
      </c>
      <c r="R9" s="67" t="inlineStr">
        <is>
          <t>ONSITE</t>
        </is>
      </c>
      <c r="T9" t="inlineStr">
        <is>
          <t>WIP balance sheet account</t>
        </is>
      </c>
      <c r="U9" s="53" t="inlineStr">
        <is>
          <t>11300 Work in Progress</t>
        </is>
      </c>
    </row>
    <row r="10">
      <c r="A10" s="67" t="inlineStr">
        <is>
          <t>CTS</t>
        </is>
      </c>
      <c r="B10" s="67" t="inlineStr">
        <is>
          <t>Milestone</t>
        </is>
      </c>
      <c r="D10" s="67" t="inlineStr">
        <is>
          <t>Paid</t>
        </is>
      </c>
      <c r="F10" s="67" t="inlineStr">
        <is>
          <t>Rejected</t>
        </is>
      </c>
      <c r="G10" s="67" t="inlineStr">
        <is>
          <t>Migrated opening balance</t>
        </is>
      </c>
      <c r="K10" s="67" t="inlineStr">
        <is>
          <t>42100</t>
        </is>
      </c>
      <c r="L10" s="67" t="inlineStr">
        <is>
          <t>Production Labour</t>
        </is>
      </c>
      <c r="N10" s="68" t="n">
        <v>45291</v>
      </c>
      <c r="P10" s="67" t="inlineStr">
        <is>
          <t>1668</t>
        </is>
      </c>
      <c r="Q10" s="67" t="inlineStr">
        <is>
          <t>CBA Dedicated Tech</t>
        </is>
      </c>
      <c r="R10" s="67" t="inlineStr">
        <is>
          <t>ONSITE</t>
        </is>
      </c>
      <c r="T10" t="inlineStr">
        <is>
          <t>WIP P&amp;L account</t>
        </is>
      </c>
      <c r="U10" s="53" t="inlineStr">
        <is>
          <t>44200 Closing Work in Progress</t>
        </is>
      </c>
    </row>
    <row r="11">
      <c r="B11" s="67" t="inlineStr">
        <is>
          <t>Subscription</t>
        </is>
      </c>
      <c r="D11" s="67" t="inlineStr">
        <is>
          <t>On Hold</t>
        </is>
      </c>
      <c r="K11" s="67" t="inlineStr">
        <is>
          <t>42150</t>
        </is>
      </c>
      <c r="L11" s="67" t="inlineStr">
        <is>
          <t>Video Labour</t>
        </is>
      </c>
      <c r="N11" s="68" t="n">
        <v>45322</v>
      </c>
      <c r="P11" s="67" t="inlineStr">
        <is>
          <t>1750</t>
        </is>
      </c>
      <c r="Q11" s="67" t="inlineStr">
        <is>
          <t>Bankwest Spotify</t>
        </is>
      </c>
      <c r="R11" s="67" t="inlineStr"/>
      <c r="T11" s="32" t="inlineStr">
        <is>
          <t>The two accounts the WIP journal uses. Change them here and every Debit / Credit on WIP Movements and Month-End follows.</t>
        </is>
      </c>
    </row>
    <row r="12">
      <c r="B12" s="67" t="inlineStr">
        <is>
          <t>Equipment Sale</t>
        </is>
      </c>
      <c r="D12" s="67" t="inlineStr">
        <is>
          <t>Cancelled</t>
        </is>
      </c>
      <c r="K12" s="67" t="inlineStr">
        <is>
          <t>42200</t>
        </is>
      </c>
      <c r="L12" s="67" t="inlineStr">
        <is>
          <t>Ad Hoc Service Labour</t>
        </is>
      </c>
      <c r="N12" s="68" t="n">
        <v>45351</v>
      </c>
      <c r="P12" s="67" t="inlineStr">
        <is>
          <t>1755</t>
        </is>
      </c>
      <c r="Q12" s="67" t="inlineStr">
        <is>
          <t>CBA Spotify</t>
        </is>
      </c>
      <c r="R12" s="67" t="inlineStr">
        <is>
          <t>ONSITE</t>
        </is>
      </c>
    </row>
    <row r="13">
      <c r="B13" s="67" t="inlineStr">
        <is>
          <t>Recharge</t>
        </is>
      </c>
      <c r="D13" s="67" t="inlineStr">
        <is>
          <t>Credited</t>
        </is>
      </c>
      <c r="K13" s="67" t="inlineStr">
        <is>
          <t>42300</t>
        </is>
      </c>
      <c r="L13" s="67" t="inlineStr">
        <is>
          <t>Installation Labour</t>
        </is>
      </c>
      <c r="N13" s="68" t="n">
        <v>45382</v>
      </c>
      <c r="P13" s="67" t="inlineStr">
        <is>
          <t>1771</t>
        </is>
      </c>
      <c r="Q13" s="67" t="inlineStr">
        <is>
          <t>Integration - Training</t>
        </is>
      </c>
      <c r="R13" s="67" t="inlineStr">
        <is>
          <t>INTEGRATION</t>
        </is>
      </c>
    </row>
    <row r="14">
      <c r="B14" s="67" t="inlineStr">
        <is>
          <t>Credit Note</t>
        </is>
      </c>
      <c r="K14" s="67" t="inlineStr">
        <is>
          <t>42500</t>
        </is>
      </c>
      <c r="L14" s="67" t="inlineStr">
        <is>
          <t>Equipment Hires</t>
        </is>
      </c>
      <c r="N14" s="68" t="n">
        <v>45412</v>
      </c>
      <c r="P14" s="67" t="inlineStr">
        <is>
          <t>1862</t>
        </is>
      </c>
      <c r="Q14" s="67" t="inlineStr">
        <is>
          <t>DTTL ADL Onsite</t>
        </is>
      </c>
      <c r="R14" s="67" t="inlineStr">
        <is>
          <t>ONSITE</t>
        </is>
      </c>
    </row>
    <row r="15">
      <c r="K15" s="67" t="inlineStr">
        <is>
          <t>42600</t>
        </is>
      </c>
      <c r="L15" s="67" t="inlineStr">
        <is>
          <t>Equipment Sales</t>
        </is>
      </c>
      <c r="N15" s="68" t="n">
        <v>45443</v>
      </c>
      <c r="P15" s="67" t="inlineStr">
        <is>
          <t>20250731</t>
        </is>
      </c>
      <c r="Q15" s="67" t="inlineStr">
        <is>
          <t>PWC National Pool of Hours</t>
        </is>
      </c>
      <c r="R15" s="67" t="inlineStr">
        <is>
          <t>ONSITE</t>
        </is>
      </c>
    </row>
    <row r="16">
      <c r="K16" s="67" t="inlineStr">
        <is>
          <t>42700</t>
        </is>
      </c>
      <c r="L16" s="67" t="inlineStr">
        <is>
          <t>Conference Call Charge</t>
        </is>
      </c>
      <c r="N16" s="68" t="n">
        <v>45473</v>
      </c>
      <c r="P16" s="67" t="inlineStr">
        <is>
          <t>2026021101</t>
        </is>
      </c>
      <c r="Q16" s="67" t="inlineStr">
        <is>
          <t>AusPayNet Quarterly AV Support &amp; Maintenance 2026</t>
        </is>
      </c>
      <c r="R16" s="67" t="inlineStr">
        <is>
          <t>ONSITE</t>
        </is>
      </c>
    </row>
    <row r="17">
      <c r="K17" s="67" t="inlineStr">
        <is>
          <t>42800</t>
        </is>
      </c>
      <c r="L17" s="67" t="inlineStr">
        <is>
          <t>Tech Consulting/Project Manage</t>
        </is>
      </c>
      <c r="N17" s="68" t="n">
        <v>45504</v>
      </c>
      <c r="P17" s="67" t="inlineStr">
        <is>
          <t>20260801</t>
        </is>
      </c>
      <c r="Q17" s="67" t="inlineStr">
        <is>
          <t>CTS Day 2026</t>
        </is>
      </c>
      <c r="R17" s="67" t="inlineStr">
        <is>
          <t>CTS</t>
        </is>
      </c>
    </row>
    <row r="18">
      <c r="K18" s="67" t="inlineStr">
        <is>
          <t>42900</t>
        </is>
      </c>
      <c r="L18" s="67" t="inlineStr">
        <is>
          <t>Tech Event Management</t>
        </is>
      </c>
      <c r="N18" s="68" t="n">
        <v>45535</v>
      </c>
      <c r="P18" s="67" t="inlineStr">
        <is>
          <t>2192</t>
        </is>
      </c>
      <c r="Q18" s="67" t="inlineStr">
        <is>
          <t>Bankwest Additional Tech</t>
        </is>
      </c>
      <c r="R18" s="67" t="inlineStr">
        <is>
          <t>ONSITE</t>
        </is>
      </c>
    </row>
    <row r="19">
      <c r="K19" s="67" t="inlineStr">
        <is>
          <t>44100</t>
        </is>
      </c>
      <c r="L19" s="67" t="inlineStr">
        <is>
          <t>Opening Work in Progress</t>
        </is>
      </c>
      <c r="N19" s="68" t="n">
        <v>45565</v>
      </c>
      <c r="P19" s="67" t="inlineStr">
        <is>
          <t>2347</t>
        </is>
      </c>
      <c r="Q19" s="67" t="inlineStr">
        <is>
          <t>DTTL Dedicated Tech</t>
        </is>
      </c>
      <c r="R19" s="67" t="inlineStr">
        <is>
          <t>ONSITE</t>
        </is>
      </c>
    </row>
    <row r="20">
      <c r="K20" s="67" t="inlineStr">
        <is>
          <t>44200</t>
        </is>
      </c>
      <c r="L20" s="67" t="inlineStr">
        <is>
          <t>Closing Work in Progress</t>
        </is>
      </c>
      <c r="N20" s="68" t="n">
        <v>45596</v>
      </c>
      <c r="P20" s="67" t="inlineStr">
        <is>
          <t>2392</t>
        </is>
      </c>
      <c r="Q20" s="67" t="inlineStr">
        <is>
          <t>PWC – MEL Technician</t>
        </is>
      </c>
      <c r="R20" s="67" t="inlineStr">
        <is>
          <t>ONSITE</t>
        </is>
      </c>
    </row>
    <row r="21">
      <c r="K21" s="67" t="inlineStr">
        <is>
          <t>45005</t>
        </is>
      </c>
      <c r="L21" s="67" t="inlineStr">
        <is>
          <t>Freight &amp; Travel - ADMIN</t>
        </is>
      </c>
      <c r="N21" s="68" t="n">
        <v>45626</v>
      </c>
      <c r="P21" s="67" t="inlineStr">
        <is>
          <t>2402</t>
        </is>
      </c>
      <c r="Q21" s="67" t="inlineStr">
        <is>
          <t>DTTL SYD FT Tech 1</t>
        </is>
      </c>
      <c r="R21" s="67" t="inlineStr">
        <is>
          <t>ONSITE</t>
        </is>
      </c>
    </row>
    <row r="22">
      <c r="K22" s="67" t="inlineStr">
        <is>
          <t>45010</t>
        </is>
      </c>
      <c r="L22" s="67" t="inlineStr">
        <is>
          <t>Freight &amp; Travel - ONS</t>
        </is>
      </c>
      <c r="N22" s="68" t="n">
        <v>45657</v>
      </c>
      <c r="P22" s="67" t="inlineStr">
        <is>
          <t>2407312</t>
        </is>
      </c>
      <c r="Q22" s="67" t="inlineStr">
        <is>
          <t>Hills Performance Centre</t>
        </is>
      </c>
      <c r="R22" s="67" t="inlineStr">
        <is>
          <t>CONSULTING</t>
        </is>
      </c>
    </row>
    <row r="23">
      <c r="K23" s="67" t="inlineStr">
        <is>
          <t>45015</t>
        </is>
      </c>
      <c r="L23" s="67" t="inlineStr">
        <is>
          <t>Freight &amp; Travel - PRD</t>
        </is>
      </c>
      <c r="N23" s="68" t="n">
        <v>45688</v>
      </c>
      <c r="P23" s="67" t="inlineStr">
        <is>
          <t>24102501</t>
        </is>
      </c>
      <c r="Q23" s="67" t="inlineStr">
        <is>
          <t>PWC - MEL Tech 12Months</t>
        </is>
      </c>
      <c r="R23" s="67" t="inlineStr">
        <is>
          <t>ONSITE</t>
        </is>
      </c>
    </row>
    <row r="24">
      <c r="K24" s="67" t="inlineStr">
        <is>
          <t>45020</t>
        </is>
      </c>
      <c r="L24" s="67" t="inlineStr">
        <is>
          <t>Freight &amp; Travel - VID</t>
        </is>
      </c>
      <c r="N24" s="68" t="n">
        <v>45716</v>
      </c>
      <c r="P24" s="67" t="inlineStr">
        <is>
          <t>24121001</t>
        </is>
      </c>
      <c r="Q24" s="67" t="inlineStr">
        <is>
          <t>BW PER Studio Equipment Supply</t>
        </is>
      </c>
      <c r="R24" s="67" t="inlineStr">
        <is>
          <t>INTEGRATION</t>
        </is>
      </c>
    </row>
    <row r="25">
      <c r="K25" s="67" t="inlineStr">
        <is>
          <t>45025</t>
        </is>
      </c>
      <c r="L25" s="67" t="inlineStr">
        <is>
          <t>Freight &amp; Travel - INTEGRATION</t>
        </is>
      </c>
      <c r="N25" s="68" t="n">
        <v>45747</v>
      </c>
      <c r="P25" s="67" t="inlineStr">
        <is>
          <t>2479</t>
        </is>
      </c>
      <c r="Q25" s="67" t="inlineStr">
        <is>
          <t>CONSULTING - Quotes</t>
        </is>
      </c>
      <c r="R25" s="67" t="inlineStr">
        <is>
          <t>CONSULTING</t>
        </is>
      </c>
    </row>
    <row r="26">
      <c r="K26" s="67" t="inlineStr">
        <is>
          <t>45030</t>
        </is>
      </c>
      <c r="L26" s="67" t="inlineStr">
        <is>
          <t>Freight &amp; Travel - CONS</t>
        </is>
      </c>
      <c r="N26" s="68" t="n">
        <v>45777</v>
      </c>
      <c r="P26" s="67" t="inlineStr">
        <is>
          <t>2480</t>
        </is>
      </c>
      <c r="Q26" s="67" t="inlineStr">
        <is>
          <t>ONSITE - Quotes</t>
        </is>
      </c>
      <c r="R26" s="67" t="inlineStr">
        <is>
          <t>ONSITE</t>
        </is>
      </c>
    </row>
    <row r="27">
      <c r="K27" s="67" t="inlineStr">
        <is>
          <t>46005</t>
        </is>
      </c>
      <c r="L27" s="67" t="inlineStr">
        <is>
          <t>Credit Card Fees - ADMIN</t>
        </is>
      </c>
      <c r="N27" s="68" t="n">
        <v>45808</v>
      </c>
      <c r="P27" s="67" t="inlineStr">
        <is>
          <t>2481</t>
        </is>
      </c>
      <c r="Q27" s="67" t="inlineStr">
        <is>
          <t>Production - Quotes</t>
        </is>
      </c>
      <c r="R27" s="67" t="inlineStr">
        <is>
          <t>PRODUCTION</t>
        </is>
      </c>
    </row>
    <row r="28">
      <c r="K28" s="67" t="inlineStr">
        <is>
          <t>46010</t>
        </is>
      </c>
      <c r="L28" s="67" t="inlineStr">
        <is>
          <t>Credit Card Collected - ONS</t>
        </is>
      </c>
      <c r="N28" s="68" t="n">
        <v>45838</v>
      </c>
      <c r="P28" s="67" t="inlineStr">
        <is>
          <t>2482</t>
        </is>
      </c>
      <c r="Q28" s="67" t="inlineStr">
        <is>
          <t>VIDEO - Quotes</t>
        </is>
      </c>
      <c r="R28" s="67" t="inlineStr">
        <is>
          <t>VIDEO</t>
        </is>
      </c>
    </row>
    <row r="29">
      <c r="K29" s="67" t="inlineStr">
        <is>
          <t>46015</t>
        </is>
      </c>
      <c r="L29" s="67" t="inlineStr">
        <is>
          <t>Credit Card Collected - PRD</t>
        </is>
      </c>
      <c r="N29" s="68" t="n">
        <v>45869</v>
      </c>
      <c r="P29" s="67" t="inlineStr">
        <is>
          <t>2488</t>
        </is>
      </c>
      <c r="Q29" s="67" t="inlineStr">
        <is>
          <t>PWC IT P/T BNE</t>
        </is>
      </c>
      <c r="R29" s="67" t="inlineStr">
        <is>
          <t>ONSITE</t>
        </is>
      </c>
    </row>
    <row r="30">
      <c r="K30" s="67" t="inlineStr">
        <is>
          <t>46020</t>
        </is>
      </c>
      <c r="L30" s="67" t="inlineStr">
        <is>
          <t>Credit Card Collected - VID</t>
        </is>
      </c>
      <c r="N30" s="68" t="n">
        <v>45900</v>
      </c>
      <c r="P30" s="67" t="inlineStr">
        <is>
          <t>25011601</t>
        </is>
      </c>
      <c r="Q30" s="67" t="inlineStr">
        <is>
          <t>DTTL Hobart ITS AV Ref</t>
        </is>
      </c>
      <c r="R30" s="67" t="inlineStr">
        <is>
          <t>INTEGRATION</t>
        </is>
      </c>
    </row>
    <row r="31">
      <c r="K31" s="67" t="inlineStr">
        <is>
          <t>46025</t>
        </is>
      </c>
      <c r="L31" s="67" t="inlineStr">
        <is>
          <t>Credit Card Collected - INTEGRATION</t>
        </is>
      </c>
      <c r="N31" s="68" t="n">
        <v>45930</v>
      </c>
      <c r="P31" s="67" t="inlineStr">
        <is>
          <t>2501738</t>
        </is>
      </c>
      <c r="Q31" s="67" t="inlineStr">
        <is>
          <t>APA HYR25 &amp; FYR25</t>
        </is>
      </c>
      <c r="R31" s="67" t="inlineStr">
        <is>
          <t>PRODUCTION</t>
        </is>
      </c>
    </row>
    <row r="32">
      <c r="K32" s="67" t="inlineStr">
        <is>
          <t>46030</t>
        </is>
      </c>
      <c r="L32" s="67" t="inlineStr">
        <is>
          <t>Credit Card Collected - CONS</t>
        </is>
      </c>
      <c r="N32" s="68" t="n">
        <v>45961</v>
      </c>
      <c r="P32" s="67" t="inlineStr">
        <is>
          <t>2502</t>
        </is>
      </c>
      <c r="Q32" s="67" t="inlineStr">
        <is>
          <t>ONS CBA (non-chargeable)</t>
        </is>
      </c>
      <c r="R32" s="67" t="inlineStr"/>
    </row>
    <row r="33">
      <c r="K33" s="67" t="inlineStr">
        <is>
          <t>47005</t>
        </is>
      </c>
      <c r="L33" s="67" t="inlineStr">
        <is>
          <t>Meal &amp; Travel - ADMIN</t>
        </is>
      </c>
      <c r="N33" s="68" t="n">
        <v>45991</v>
      </c>
      <c r="P33" s="67" t="inlineStr">
        <is>
          <t>25021901</t>
        </is>
      </c>
      <c r="Q33" s="67" t="inlineStr">
        <is>
          <t>DAFF Technology Standard</t>
        </is>
      </c>
      <c r="R33" s="67" t="inlineStr">
        <is>
          <t>CONSULTING</t>
        </is>
      </c>
    </row>
    <row r="34">
      <c r="K34" s="67" t="inlineStr">
        <is>
          <t>47010</t>
        </is>
      </c>
      <c r="L34" s="67" t="inlineStr">
        <is>
          <t>Meal &amp; Travel - ONS</t>
        </is>
      </c>
      <c r="N34" s="68" t="n">
        <v>46022</v>
      </c>
      <c r="P34" s="67" t="inlineStr">
        <is>
          <t>2503</t>
        </is>
      </c>
      <c r="Q34" s="67" t="inlineStr">
        <is>
          <t>ONS DTTL (non-chargeable)</t>
        </is>
      </c>
      <c r="R34" s="67" t="inlineStr"/>
    </row>
    <row r="35">
      <c r="K35" s="67" t="inlineStr">
        <is>
          <t>47015</t>
        </is>
      </c>
      <c r="L35" s="67" t="inlineStr">
        <is>
          <t>Meal &amp; Travel - PRD</t>
        </is>
      </c>
      <c r="N35" s="68" t="n">
        <v>46053</v>
      </c>
      <c r="P35" s="67" t="inlineStr">
        <is>
          <t>25032701</t>
        </is>
      </c>
      <c r="Q35" s="67" t="inlineStr">
        <is>
          <t>St Catherines Chargeable</t>
        </is>
      </c>
      <c r="R35" s="67" t="inlineStr">
        <is>
          <t>ONSITE</t>
        </is>
      </c>
    </row>
    <row r="36">
      <c r="K36" s="67" t="inlineStr">
        <is>
          <t>47020</t>
        </is>
      </c>
      <c r="L36" s="67" t="inlineStr">
        <is>
          <t>Meal &amp; Travel - VID</t>
        </is>
      </c>
      <c r="N36" s="68" t="n">
        <v>46081</v>
      </c>
      <c r="P36" s="67" t="inlineStr">
        <is>
          <t>25032701NC</t>
        </is>
      </c>
      <c r="Q36" s="67" t="inlineStr">
        <is>
          <t>St Catherines Non-Chgble</t>
        </is>
      </c>
      <c r="R36" s="67" t="inlineStr">
        <is>
          <t>ONSITE</t>
        </is>
      </c>
    </row>
    <row r="37">
      <c r="K37" s="67" t="inlineStr">
        <is>
          <t>47025</t>
        </is>
      </c>
      <c r="L37" s="67" t="inlineStr">
        <is>
          <t>Meal &amp; Travel - INTEGRATION</t>
        </is>
      </c>
      <c r="N37" s="68" t="n">
        <v>46112</v>
      </c>
      <c r="P37" s="67" t="inlineStr">
        <is>
          <t>2504</t>
        </is>
      </c>
      <c r="Q37" s="67" t="inlineStr">
        <is>
          <t>ONS WBC (non-chargeable)</t>
        </is>
      </c>
      <c r="R37" s="67" t="inlineStr"/>
    </row>
    <row r="38">
      <c r="K38" s="67" t="inlineStr">
        <is>
          <t>47030</t>
        </is>
      </c>
      <c r="L38" s="67" t="inlineStr">
        <is>
          <t>Meal &amp; Travel - CONS</t>
        </is>
      </c>
      <c r="N38" s="68" t="n">
        <v>46142</v>
      </c>
      <c r="P38" s="67" t="inlineStr">
        <is>
          <t>25041502</t>
        </is>
      </c>
      <c r="Q38" s="67" t="inlineStr">
        <is>
          <t>PDNSW DB License Ext</t>
        </is>
      </c>
      <c r="R38" s="67" t="inlineStr">
        <is>
          <t>INTEGRATION</t>
        </is>
      </c>
    </row>
    <row r="39">
      <c r="K39" s="67" t="inlineStr">
        <is>
          <t>48000</t>
        </is>
      </c>
      <c r="L39" s="67" t="inlineStr">
        <is>
          <t>Miscellaneous Income</t>
        </is>
      </c>
      <c r="N39" s="68" t="n">
        <v>46173</v>
      </c>
      <c r="P39" s="67" t="inlineStr">
        <is>
          <t>2505</t>
        </is>
      </c>
      <c r="Q39" s="67" t="inlineStr">
        <is>
          <t>ONS PWC (non-chargeable)</t>
        </is>
      </c>
      <c r="R39" s="67" t="inlineStr"/>
    </row>
    <row r="40">
      <c r="N40" s="68" t="n">
        <v>46203</v>
      </c>
      <c r="P40" s="67" t="inlineStr">
        <is>
          <t>25051302</t>
        </is>
      </c>
      <c r="Q40" s="67" t="inlineStr">
        <is>
          <t>NSW Prop Bradfield Desk Booking + Penrith Additional</t>
        </is>
      </c>
      <c r="R40" s="67" t="inlineStr">
        <is>
          <t>INTEGRATION</t>
        </is>
      </c>
    </row>
    <row r="41">
      <c r="N41" s="68" t="n">
        <v>46234</v>
      </c>
      <c r="P41" s="67" t="inlineStr">
        <is>
          <t>25051403</t>
        </is>
      </c>
      <c r="Q41" s="67" t="inlineStr">
        <is>
          <t>DTTL SYD Tech Supp TMT AP</t>
        </is>
      </c>
      <c r="R41" s="67" t="inlineStr">
        <is>
          <t>ONSITE</t>
        </is>
      </c>
    </row>
    <row r="42">
      <c r="N42" s="68" t="n">
        <v>46265</v>
      </c>
      <c r="P42" s="67" t="inlineStr">
        <is>
          <t>25052802</t>
        </is>
      </c>
      <c r="Q42" s="67" t="inlineStr">
        <is>
          <t>Aus Retirement Trust Members Meeting 2025</t>
        </is>
      </c>
      <c r="R42" s="67" t="inlineStr">
        <is>
          <t>PRODUCTION</t>
        </is>
      </c>
    </row>
    <row r="43">
      <c r="N43" s="68" t="n">
        <v>46295</v>
      </c>
      <c r="P43" s="67" t="inlineStr">
        <is>
          <t>2505901</t>
        </is>
      </c>
      <c r="Q43" s="67" t="inlineStr">
        <is>
          <t>COS Projector Lens Supply</t>
        </is>
      </c>
      <c r="R43" s="67" t="inlineStr">
        <is>
          <t>INTEGRATION</t>
        </is>
      </c>
    </row>
    <row r="44">
      <c r="N44" s="68" t="n">
        <v>46326</v>
      </c>
      <c r="P44" s="67" t="inlineStr">
        <is>
          <t>2506</t>
        </is>
      </c>
      <c r="Q44" s="67" t="inlineStr">
        <is>
          <t>ONS BWEST (non-chargeable)</t>
        </is>
      </c>
      <c r="R44" s="67" t="inlineStr"/>
    </row>
    <row r="45">
      <c r="N45" s="68" t="n">
        <v>46356</v>
      </c>
      <c r="P45" s="67" t="inlineStr">
        <is>
          <t>25060301</t>
        </is>
      </c>
      <c r="Q45" s="67" t="inlineStr">
        <is>
          <t>6PSQ L12 Desk Booking</t>
        </is>
      </c>
      <c r="R45" s="67" t="inlineStr">
        <is>
          <t>INTEGRATION</t>
        </is>
      </c>
    </row>
    <row r="46">
      <c r="N46" s="68" t="n">
        <v>46387</v>
      </c>
      <c r="P46" s="67" t="inlineStr">
        <is>
          <t>25060307</t>
        </is>
      </c>
      <c r="Q46" s="67" t="inlineStr">
        <is>
          <t>DPIE Molesworth St D/B</t>
        </is>
      </c>
      <c r="R46" s="67" t="inlineStr">
        <is>
          <t>INTEGRATION</t>
        </is>
      </c>
    </row>
    <row r="47">
      <c r="N47" s="68" t="n">
        <v>46418</v>
      </c>
      <c r="P47" s="67" t="inlineStr">
        <is>
          <t>2506208</t>
        </is>
      </c>
      <c r="Q47" s="67" t="inlineStr">
        <is>
          <t>CBA AGM 2026</t>
        </is>
      </c>
      <c r="R47" s="67" t="inlineStr">
        <is>
          <t>PRODUCTION</t>
        </is>
      </c>
    </row>
    <row r="48">
      <c r="N48" s="68" t="n">
        <v>46446</v>
      </c>
      <c r="P48" s="67" t="inlineStr">
        <is>
          <t>2506208V</t>
        </is>
      </c>
      <c r="Q48" s="67" t="inlineStr">
        <is>
          <t>CBA AGM 2026</t>
        </is>
      </c>
      <c r="R48" s="67" t="inlineStr">
        <is>
          <t>VIDEO</t>
        </is>
      </c>
    </row>
    <row r="49">
      <c r="N49" s="68" t="n">
        <v>46477</v>
      </c>
      <c r="P49" s="67" t="inlineStr">
        <is>
          <t>25063001V</t>
        </is>
      </c>
      <c r="Q49" s="67" t="inlineStr">
        <is>
          <t>APA All Hands Staff</t>
        </is>
      </c>
      <c r="R49" s="67" t="inlineStr">
        <is>
          <t>VIDEO</t>
        </is>
      </c>
    </row>
    <row r="50">
      <c r="N50" s="68" t="n">
        <v>46507</v>
      </c>
      <c r="P50" s="67" t="inlineStr">
        <is>
          <t>25070702</t>
        </is>
      </c>
      <c r="Q50" s="67" t="inlineStr">
        <is>
          <t>APA VMS Brisbane &amp; Darwin</t>
        </is>
      </c>
      <c r="R50" s="67" t="inlineStr">
        <is>
          <t>INTEGRATION</t>
        </is>
      </c>
    </row>
    <row r="51">
      <c r="N51" s="68" t="n">
        <v>46538</v>
      </c>
      <c r="P51" s="67" t="inlineStr">
        <is>
          <t>2507203</t>
        </is>
      </c>
      <c r="Q51" s="67" t="inlineStr">
        <is>
          <t>Hills Grammar Airmedia Supply</t>
        </is>
      </c>
      <c r="R51" s="67" t="inlineStr">
        <is>
          <t>INTEGRATION</t>
        </is>
      </c>
    </row>
    <row r="52">
      <c r="N52" s="68" t="n">
        <v>46568</v>
      </c>
      <c r="P52" s="67" t="inlineStr">
        <is>
          <t>25081402</t>
        </is>
      </c>
      <c r="Q52" s="67" t="inlineStr">
        <is>
          <t>Hills Grammar Loan Airmedia Purchase</t>
        </is>
      </c>
      <c r="R52" s="67" t="inlineStr">
        <is>
          <t>INTEGRATION</t>
        </is>
      </c>
    </row>
    <row r="53">
      <c r="N53" s="68" t="n">
        <v>46599</v>
      </c>
      <c r="P53" s="67" t="inlineStr">
        <is>
          <t>25082501</t>
        </is>
      </c>
      <c r="Q53" s="67" t="inlineStr">
        <is>
          <t>APA Sydney Tablet Brackets</t>
        </is>
      </c>
      <c r="R53" s="67" t="inlineStr">
        <is>
          <t>INTEGRATION</t>
        </is>
      </c>
    </row>
    <row r="54">
      <c r="N54" s="68" t="n">
        <v>46630</v>
      </c>
      <c r="P54" s="67" t="inlineStr">
        <is>
          <t>25091703</t>
        </is>
      </c>
      <c r="Q54" s="67" t="inlineStr">
        <is>
          <t>Scentre Group Marion Superscreen (D10396) Test and Cert</t>
        </is>
      </c>
      <c r="R54" s="67" t="inlineStr">
        <is>
          <t>CONSULTING</t>
        </is>
      </c>
    </row>
    <row r="55">
      <c r="N55" s="68" t="n">
        <v>46660</v>
      </c>
      <c r="P55" s="67" t="inlineStr">
        <is>
          <t>25101301</t>
        </is>
      </c>
      <c r="Q55" s="67" t="inlineStr">
        <is>
          <t>PWC IT Support – Melbourne</t>
        </is>
      </c>
      <c r="R55" s="67" t="inlineStr">
        <is>
          <t>ONSITE</t>
        </is>
      </c>
    </row>
    <row r="56">
      <c r="N56" s="68" t="n">
        <v>46691</v>
      </c>
      <c r="P56" s="67" t="inlineStr">
        <is>
          <t>25101301B</t>
        </is>
      </c>
      <c r="Q56" s="67" t="inlineStr">
        <is>
          <t>PWC IT Support – Sydney</t>
        </is>
      </c>
      <c r="R56" s="67" t="inlineStr">
        <is>
          <t>ONSITE</t>
        </is>
      </c>
    </row>
    <row r="57">
      <c r="N57" s="68" t="n">
        <v>46721</v>
      </c>
      <c r="P57" s="67" t="inlineStr">
        <is>
          <t>2510202</t>
        </is>
      </c>
      <c r="Q57" s="67" t="inlineStr">
        <is>
          <t>HP Poly Room Assessment</t>
        </is>
      </c>
      <c r="R57" s="67" t="inlineStr">
        <is>
          <t>CONSULTING</t>
        </is>
      </c>
    </row>
    <row r="58">
      <c r="N58" s="68" t="n">
        <v>46752</v>
      </c>
      <c r="P58" s="67" t="inlineStr">
        <is>
          <t>2510205</t>
        </is>
      </c>
      <c r="Q58" s="67" t="inlineStr">
        <is>
          <t>NSW Property RGB Desk Booking</t>
        </is>
      </c>
      <c r="R58" s="67" t="inlineStr">
        <is>
          <t>INTEGRATION</t>
        </is>
      </c>
    </row>
    <row r="59">
      <c r="N59" s="68" t="n">
        <v>46783</v>
      </c>
      <c r="P59" s="67" t="inlineStr">
        <is>
          <t>2510210</t>
        </is>
      </c>
      <c r="Q59" s="67" t="inlineStr">
        <is>
          <t>Scentre Group Westfield Bondi Screen Tests</t>
        </is>
      </c>
      <c r="R59" s="67" t="inlineStr">
        <is>
          <t>CONSULTING</t>
        </is>
      </c>
    </row>
    <row r="60">
      <c r="N60" s="68" t="n">
        <v>46812</v>
      </c>
      <c r="P60" s="67" t="inlineStr">
        <is>
          <t>25102701</t>
        </is>
      </c>
      <c r="Q60" s="67" t="inlineStr">
        <is>
          <t>DEWR - Studio Upgrade - Consulting, Design</t>
        </is>
      </c>
      <c r="R60" s="67" t="inlineStr">
        <is>
          <t>CONSULTING</t>
        </is>
      </c>
    </row>
    <row r="61">
      <c r="N61" s="68" t="n">
        <v>46843</v>
      </c>
      <c r="P61" s="67" t="inlineStr">
        <is>
          <t>25102801</t>
        </is>
      </c>
      <c r="Q61" s="67" t="inlineStr">
        <is>
          <t>DTTL SYD QQT Additional Mics Install in L45 Seminar Space</t>
        </is>
      </c>
      <c r="R61" s="67" t="inlineStr">
        <is>
          <t>INTEGRATION</t>
        </is>
      </c>
    </row>
    <row r="62">
      <c r="N62" s="68" t="n">
        <v>46873</v>
      </c>
      <c r="P62" s="67" t="inlineStr">
        <is>
          <t>25102802</t>
        </is>
      </c>
      <c r="Q62" s="67" t="inlineStr">
        <is>
          <t>Novigi Meeting Space Inspection</t>
        </is>
      </c>
      <c r="R62" s="67" t="inlineStr">
        <is>
          <t>CONSULTING</t>
        </is>
      </c>
    </row>
    <row r="63">
      <c r="N63" s="68" t="n">
        <v>46904</v>
      </c>
      <c r="P63" s="67" t="inlineStr">
        <is>
          <t>2510804</t>
        </is>
      </c>
      <c r="Q63" s="67" t="inlineStr">
        <is>
          <t>CommSecurity Presynct QLD Desk Booking</t>
        </is>
      </c>
      <c r="R63" s="67" t="inlineStr">
        <is>
          <t>INTEGRATION</t>
        </is>
      </c>
    </row>
    <row r="64">
      <c r="N64" s="68" t="n">
        <v>46934</v>
      </c>
      <c r="P64" s="67" t="inlineStr">
        <is>
          <t>2510805</t>
        </is>
      </c>
      <c r="Q64" s="67" t="inlineStr">
        <is>
          <t>PNSW Reconstruction Authority Newcastle</t>
        </is>
      </c>
      <c r="R64" s="67" t="inlineStr">
        <is>
          <t>INTEGRATION</t>
        </is>
      </c>
    </row>
    <row r="65">
      <c r="N65" s="68" t="n">
        <v>46965</v>
      </c>
      <c r="P65" s="67" t="inlineStr">
        <is>
          <t>25111203</t>
        </is>
      </c>
      <c r="Q65" s="67" t="inlineStr">
        <is>
          <t>CoS | Barco E3 Sale</t>
        </is>
      </c>
      <c r="R65" s="67" t="inlineStr">
        <is>
          <t>INTEGRATION</t>
        </is>
      </c>
    </row>
    <row r="66">
      <c r="N66" s="68" t="n">
        <v>46996</v>
      </c>
      <c r="P66" s="67" t="inlineStr">
        <is>
          <t>25112801</t>
        </is>
      </c>
      <c r="Q66" s="67" t="inlineStr">
        <is>
          <t>APA MEL - iPad &amp; Bouncepad Sale</t>
        </is>
      </c>
      <c r="R66" s="67" t="inlineStr">
        <is>
          <t>INTEGRATION</t>
        </is>
      </c>
    </row>
    <row r="67">
      <c r="N67" s="68" t="n">
        <v>47026</v>
      </c>
      <c r="P67" s="67" t="inlineStr">
        <is>
          <t>25121001</t>
        </is>
      </c>
      <c r="Q67" s="67" t="inlineStr">
        <is>
          <t>HP Poly Mic System Sale and Install at Mission Australia</t>
        </is>
      </c>
      <c r="R67" s="67" t="inlineStr">
        <is>
          <t>INTEGRATION</t>
        </is>
      </c>
    </row>
    <row r="68">
      <c r="N68" s="68" t="n">
        <v>47057</v>
      </c>
      <c r="P68" s="67" t="inlineStr">
        <is>
          <t>25121007</t>
        </is>
      </c>
      <c r="Q68" s="67" t="inlineStr">
        <is>
          <t>Novigi SYD/MEL boardroom Mic upgrade + Cable Tidy</t>
        </is>
      </c>
      <c r="R68" s="67" t="inlineStr">
        <is>
          <t>INTEGRATION</t>
        </is>
      </c>
    </row>
    <row r="69">
      <c r="N69" s="68" t="n">
        <v>47087</v>
      </c>
      <c r="P69" s="67" t="inlineStr">
        <is>
          <t>25121208</t>
        </is>
      </c>
      <c r="Q69" s="67" t="inlineStr">
        <is>
          <t>APA HYR &amp; FYR Package 2026</t>
        </is>
      </c>
      <c r="R69" s="67" t="inlineStr">
        <is>
          <t>PRODUCTION</t>
        </is>
      </c>
    </row>
    <row r="70">
      <c r="N70" s="68" t="n">
        <v>47118</v>
      </c>
      <c r="P70" s="67" t="inlineStr">
        <is>
          <t>2512503</t>
        </is>
      </c>
      <c r="Q70" s="67" t="inlineStr">
        <is>
          <t>Ventia EOY Town Hall 10.12.2025</t>
        </is>
      </c>
      <c r="R70" s="67" t="inlineStr">
        <is>
          <t>PRODUCTION</t>
        </is>
      </c>
    </row>
    <row r="71">
      <c r="N71" s="68" t="n">
        <v>47149</v>
      </c>
      <c r="P71" s="67" t="inlineStr">
        <is>
          <t>2512503V</t>
        </is>
      </c>
      <c r="Q71" s="67" t="inlineStr">
        <is>
          <t>Ventia EOY Town Hall 10.12.2025</t>
        </is>
      </c>
      <c r="R71" s="67" t="inlineStr">
        <is>
          <t>VIDEO</t>
        </is>
      </c>
    </row>
    <row r="72">
      <c r="N72" s="68" t="n">
        <v>47177</v>
      </c>
      <c r="P72" s="67" t="inlineStr">
        <is>
          <t>2512804</t>
        </is>
      </c>
      <c r="Q72" s="67" t="inlineStr">
        <is>
          <t>RSNSW Ordinary General Meeting 5.8.26</t>
        </is>
      </c>
      <c r="R72" s="67" t="inlineStr">
        <is>
          <t>PRODUCTION</t>
        </is>
      </c>
    </row>
    <row r="73">
      <c r="N73" s="68" t="n">
        <v>47208</v>
      </c>
      <c r="P73" s="67" t="inlineStr">
        <is>
          <t>2512804V</t>
        </is>
      </c>
      <c r="Q73" s="67" t="inlineStr">
        <is>
          <t>RSNSW Ordinary General Meeting 5.8.26</t>
        </is>
      </c>
      <c r="R73" s="67" t="inlineStr">
        <is>
          <t>VIDEO</t>
        </is>
      </c>
    </row>
    <row r="74">
      <c r="N74" s="68" t="n">
        <v>47238</v>
      </c>
      <c r="P74" s="67" t="inlineStr">
        <is>
          <t>2512805</t>
        </is>
      </c>
      <c r="Q74" s="67" t="inlineStr">
        <is>
          <t>RSNSW Ordinary General Meeting 7.10.2026</t>
        </is>
      </c>
      <c r="R74" s="67" t="inlineStr">
        <is>
          <t>PRODUCTION</t>
        </is>
      </c>
    </row>
    <row r="75">
      <c r="N75" s="68" t="n">
        <v>47269</v>
      </c>
      <c r="P75" s="67" t="inlineStr">
        <is>
          <t>2512805V</t>
        </is>
      </c>
      <c r="Q75" s="67" t="inlineStr">
        <is>
          <t>RSNSW Ordinary General Meeting 7.10.2026</t>
        </is>
      </c>
      <c r="R75" s="67" t="inlineStr">
        <is>
          <t>VIDEO</t>
        </is>
      </c>
    </row>
    <row r="76">
      <c r="N76" s="68" t="n">
        <v>47299</v>
      </c>
      <c r="P76" s="67" t="inlineStr">
        <is>
          <t>2512806</t>
        </is>
      </c>
      <c r="Q76" s="67" t="inlineStr">
        <is>
          <t>RSNSW Ordinary General Meeting 2.12.26</t>
        </is>
      </c>
      <c r="R76" s="67" t="inlineStr">
        <is>
          <t>PRODUCTION</t>
        </is>
      </c>
    </row>
    <row r="77">
      <c r="N77" s="68" t="n">
        <v>47330</v>
      </c>
      <c r="P77" s="67" t="inlineStr">
        <is>
          <t>2512806V</t>
        </is>
      </c>
      <c r="Q77" s="67" t="inlineStr">
        <is>
          <t>RSNSW Ordinary General Meeting 2.12.26</t>
        </is>
      </c>
      <c r="R77" s="67" t="inlineStr">
        <is>
          <t>VIDEO</t>
        </is>
      </c>
    </row>
    <row r="78">
      <c r="N78" s="68" t="n">
        <v>47361</v>
      </c>
      <c r="P78" s="67" t="inlineStr">
        <is>
          <t>2519</t>
        </is>
      </c>
      <c r="Q78" s="67" t="inlineStr">
        <is>
          <t>NSW Prop-6PSQ Visitor MG</t>
        </is>
      </c>
      <c r="R78" s="67" t="inlineStr">
        <is>
          <t>INTEGRATION</t>
        </is>
      </c>
    </row>
    <row r="79">
      <c r="N79" s="68" t="n">
        <v>47391</v>
      </c>
      <c r="P79" s="67" t="inlineStr">
        <is>
          <t>2521</t>
        </is>
      </c>
      <c r="Q79" s="67" t="inlineStr">
        <is>
          <t>PWC - PER Tech</t>
        </is>
      </c>
      <c r="R79" s="67" t="inlineStr">
        <is>
          <t>ONSITE</t>
        </is>
      </c>
    </row>
    <row r="80">
      <c r="N80" s="68" t="n">
        <v>47422</v>
      </c>
      <c r="P80" s="67" t="inlineStr">
        <is>
          <t>2540</t>
        </is>
      </c>
      <c r="Q80" s="67" t="inlineStr">
        <is>
          <t>PWC - SYD Tech</t>
        </is>
      </c>
      <c r="R80" s="67" t="inlineStr">
        <is>
          <t>ONSITE</t>
        </is>
      </c>
    </row>
    <row r="81">
      <c r="N81" s="68" t="n">
        <v>47452</v>
      </c>
      <c r="P81" s="67" t="inlineStr">
        <is>
          <t>2543</t>
        </is>
      </c>
      <c r="Q81" s="67" t="inlineStr">
        <is>
          <t>DTTL MEL Tech (PT)</t>
        </is>
      </c>
      <c r="R81" s="67" t="inlineStr">
        <is>
          <t>ONSITE</t>
        </is>
      </c>
    </row>
    <row r="82">
      <c r="N82" s="68" t="n">
        <v>47483</v>
      </c>
      <c r="P82" s="67" t="inlineStr">
        <is>
          <t>2591012</t>
        </is>
      </c>
      <c r="Q82" s="67" t="inlineStr">
        <is>
          <t>St. Luke's Non-chargeable</t>
        </is>
      </c>
      <c r="R82" s="67" t="inlineStr">
        <is>
          <t>PRODUCTION</t>
        </is>
      </c>
    </row>
    <row r="83">
      <c r="N83" s="68" t="n">
        <v>47514</v>
      </c>
      <c r="P83" s="67" t="inlineStr">
        <is>
          <t>2591012C</t>
        </is>
      </c>
      <c r="Q83" s="67" t="inlineStr">
        <is>
          <t>St. Luke's Church</t>
        </is>
      </c>
      <c r="R83" s="67" t="inlineStr">
        <is>
          <t>PRODUCTION</t>
        </is>
      </c>
    </row>
    <row r="84">
      <c r="N84" s="68" t="n">
        <v>47542</v>
      </c>
      <c r="P84" s="67" t="inlineStr">
        <is>
          <t>2593</t>
        </is>
      </c>
      <c r="Q84" s="67" t="inlineStr">
        <is>
          <t>PWC CBR Technician</t>
        </is>
      </c>
      <c r="R84" s="67" t="inlineStr">
        <is>
          <t>ONSITE</t>
        </is>
      </c>
    </row>
    <row r="85">
      <c r="N85" s="68" t="n">
        <v>47573</v>
      </c>
      <c r="P85" s="67" t="inlineStr">
        <is>
          <t>2598</t>
        </is>
      </c>
      <c r="Q85" s="67" t="inlineStr">
        <is>
          <t>DTTL WA Tech</t>
        </is>
      </c>
      <c r="R85" s="67" t="inlineStr">
        <is>
          <t>ONSITE</t>
        </is>
      </c>
    </row>
    <row r="86">
      <c r="N86" s="68" t="n">
        <v>47603</v>
      </c>
      <c r="P86" s="67" t="inlineStr">
        <is>
          <t>26011404</t>
        </is>
      </c>
      <c r="Q86" s="67" t="inlineStr">
        <is>
          <t>ASX CEO Connect (Extended Results) 1.9.26</t>
        </is>
      </c>
      <c r="R86" s="67" t="inlineStr">
        <is>
          <t>PRODUCTION</t>
        </is>
      </c>
    </row>
    <row r="87">
      <c r="N87" s="68" t="n">
        <v>47634</v>
      </c>
      <c r="P87" s="67" t="inlineStr">
        <is>
          <t>26011404V</t>
        </is>
      </c>
      <c r="Q87" s="67" t="inlineStr">
        <is>
          <t>ASX CEO Connect (Extended Results) 1.9.26</t>
        </is>
      </c>
      <c r="R87" s="67" t="inlineStr">
        <is>
          <t>VIDEO</t>
        </is>
      </c>
    </row>
    <row r="88">
      <c r="N88" s="68" t="n">
        <v>47664</v>
      </c>
      <c r="P88" s="67" t="inlineStr">
        <is>
          <t>26011407</t>
        </is>
      </c>
      <c r="Q88" s="67" t="inlineStr">
        <is>
          <t>ASX CEO Connect 27.10.26</t>
        </is>
      </c>
      <c r="R88" s="67" t="inlineStr">
        <is>
          <t>PRODUCTION</t>
        </is>
      </c>
    </row>
    <row r="89">
      <c r="N89" s="68" t="n">
        <v>47695</v>
      </c>
      <c r="P89" s="67" t="inlineStr">
        <is>
          <t>26011407V</t>
        </is>
      </c>
      <c r="Q89" s="67" t="inlineStr">
        <is>
          <t>ASX CEO Connect 27.10.26</t>
        </is>
      </c>
      <c r="R89" s="67" t="inlineStr">
        <is>
          <t>VIDEO</t>
        </is>
      </c>
    </row>
    <row r="90">
      <c r="N90" s="68" t="n">
        <v>47726</v>
      </c>
      <c r="P90" s="67" t="inlineStr">
        <is>
          <t>26011408</t>
        </is>
      </c>
      <c r="Q90" s="67" t="inlineStr">
        <is>
          <t>ASX CEO Connect 1.12.26</t>
        </is>
      </c>
      <c r="R90" s="67" t="inlineStr">
        <is>
          <t>PRODUCTION</t>
        </is>
      </c>
    </row>
    <row r="91">
      <c r="N91" s="68" t="n">
        <v>47756</v>
      </c>
      <c r="P91" s="67" t="inlineStr">
        <is>
          <t>26011408V</t>
        </is>
      </c>
      <c r="Q91" s="67" t="inlineStr">
        <is>
          <t>ASX CEO Connect 1.12.26</t>
        </is>
      </c>
      <c r="R91" s="67" t="inlineStr">
        <is>
          <t>VIDEO</t>
        </is>
      </c>
    </row>
    <row r="92">
      <c r="N92" s="68" t="n">
        <v>47787</v>
      </c>
      <c r="P92" s="67" t="inlineStr">
        <is>
          <t>26011409</t>
        </is>
      </c>
      <c r="Q92" s="67" t="inlineStr">
        <is>
          <t>ASX Investor Days Sydney &amp; Melbourne 2026</t>
        </is>
      </c>
      <c r="R92" s="67" t="inlineStr">
        <is>
          <t>PRODUCTION</t>
        </is>
      </c>
    </row>
    <row r="93">
      <c r="N93" s="68" t="n">
        <v>47817</v>
      </c>
      <c r="P93" s="67" t="inlineStr">
        <is>
          <t>26011501</t>
        </is>
      </c>
      <c r="Q93" s="67" t="inlineStr">
        <is>
          <t>ASX Refinitiv Charity Golf Classic H/L Vid 2026</t>
        </is>
      </c>
      <c r="R93" s="67" t="inlineStr">
        <is>
          <t>VIDEO</t>
        </is>
      </c>
    </row>
    <row r="94">
      <c r="N94" s="68" t="n">
        <v>47848</v>
      </c>
      <c r="P94" s="67" t="inlineStr">
        <is>
          <t>26011502</t>
        </is>
      </c>
      <c r="Q94" s="67" t="inlineStr">
        <is>
          <t>ASX Charity Regatta Highlights Video 2026</t>
        </is>
      </c>
      <c r="R94" s="67" t="inlineStr">
        <is>
          <t>VIDEO</t>
        </is>
      </c>
    </row>
    <row r="95">
      <c r="N95" s="68" t="n">
        <v>47879</v>
      </c>
      <c r="P95" s="67" t="inlineStr">
        <is>
          <t>26012301</t>
        </is>
      </c>
      <c r="Q95" s="67" t="inlineStr">
        <is>
          <t>PWC IT Support - Brisbane</t>
        </is>
      </c>
      <c r="R95" s="67" t="inlineStr">
        <is>
          <t>ONSITE</t>
        </is>
      </c>
    </row>
    <row r="96">
      <c r="N96" s="68" t="n">
        <v>47907</v>
      </c>
      <c r="P96" s="67" t="inlineStr">
        <is>
          <t>2601701</t>
        </is>
      </c>
      <c r="Q96" s="67" t="inlineStr">
        <is>
          <t>CEOi - TLP Brand Video</t>
        </is>
      </c>
      <c r="R96" s="67" t="inlineStr">
        <is>
          <t>VIDEO</t>
        </is>
      </c>
    </row>
    <row r="97">
      <c r="N97" s="68" t="n">
        <v>47938</v>
      </c>
      <c r="P97" s="67" t="inlineStr">
        <is>
          <t>26021602</t>
        </is>
      </c>
      <c r="Q97" s="67" t="inlineStr">
        <is>
          <t>Gen E ABS AV Support (Canberra)</t>
        </is>
      </c>
      <c r="R97" s="67" t="inlineStr">
        <is>
          <t>ONSITE</t>
        </is>
      </c>
    </row>
    <row r="98">
      <c r="N98" s="68" t="n">
        <v>47968</v>
      </c>
      <c r="P98" s="67" t="inlineStr">
        <is>
          <t>26021602N</t>
        </is>
      </c>
      <c r="Q98" s="67" t="inlineStr">
        <is>
          <t>Gen E ABS AV Support (Canberra) [ONS non-chargeable]</t>
        </is>
      </c>
      <c r="R98" s="67" t="inlineStr"/>
    </row>
    <row r="99">
      <c r="N99" s="68" t="n">
        <v>47999</v>
      </c>
      <c r="P99" s="67" t="inlineStr">
        <is>
          <t>26021801</t>
        </is>
      </c>
      <c r="Q99" s="67" t="inlineStr">
        <is>
          <t>Aware Super Seminar Room AV Upgrade</t>
        </is>
      </c>
      <c r="R99" s="67" t="inlineStr">
        <is>
          <t>INTEGRATION</t>
        </is>
      </c>
    </row>
    <row r="100">
      <c r="N100" s="68" t="n">
        <v>48029</v>
      </c>
      <c r="P100" s="67" t="inlineStr">
        <is>
          <t>2602203</t>
        </is>
      </c>
      <c r="Q100" s="67" t="inlineStr">
        <is>
          <t>YSG Studio Orange Room Upgrade</t>
        </is>
      </c>
      <c r="R100" s="67" t="inlineStr">
        <is>
          <t>CONSULTING</t>
        </is>
      </c>
    </row>
    <row r="101">
      <c r="P101" s="67" t="inlineStr">
        <is>
          <t>26022301</t>
        </is>
      </c>
      <c r="Q101" s="67" t="inlineStr">
        <is>
          <t>Aware Super AV Maintenance</t>
        </is>
      </c>
      <c r="R101" s="67" t="inlineStr">
        <is>
          <t>ONSITE</t>
        </is>
      </c>
    </row>
    <row r="102">
      <c r="P102" s="67" t="inlineStr">
        <is>
          <t>26022301C</t>
        </is>
      </c>
      <c r="Q102" s="67" t="inlineStr">
        <is>
          <t>Aware Super AV Maintenance</t>
        </is>
      </c>
      <c r="R102" s="67" t="inlineStr">
        <is>
          <t>CONSULTING</t>
        </is>
      </c>
    </row>
    <row r="103">
      <c r="P103" s="67" t="inlineStr">
        <is>
          <t>26022301NC</t>
        </is>
      </c>
      <c r="Q103" s="67" t="inlineStr">
        <is>
          <t>Aware Super AV Maintenance Non-chargeable</t>
        </is>
      </c>
      <c r="R103" s="67" t="inlineStr">
        <is>
          <t>ONSITE</t>
        </is>
      </c>
    </row>
    <row r="104">
      <c r="P104" s="67" t="inlineStr">
        <is>
          <t>26022301P</t>
        </is>
      </c>
      <c r="Q104" s="67" t="inlineStr">
        <is>
          <t>Aware Super AV Maintenance</t>
        </is>
      </c>
      <c r="R104" s="67" t="inlineStr">
        <is>
          <t>PRODUCTION</t>
        </is>
      </c>
    </row>
    <row r="105">
      <c r="P105" s="67" t="inlineStr">
        <is>
          <t>26022302</t>
        </is>
      </c>
      <c r="Q105" s="67" t="inlineStr">
        <is>
          <t>GP - Talking Philanthropy - 18.9.26</t>
        </is>
      </c>
      <c r="R105" s="67" t="inlineStr">
        <is>
          <t>PRODUCTION</t>
        </is>
      </c>
    </row>
    <row r="106">
      <c r="P106" s="67" t="inlineStr">
        <is>
          <t>26022302V</t>
        </is>
      </c>
      <c r="Q106" s="67" t="inlineStr">
        <is>
          <t>GP - Talking Philanthropy - 18.9.26</t>
        </is>
      </c>
      <c r="R106" s="67" t="inlineStr">
        <is>
          <t>VIDEO</t>
        </is>
      </c>
    </row>
    <row r="107">
      <c r="P107" s="67" t="inlineStr">
        <is>
          <t>26022601</t>
        </is>
      </c>
      <c r="Q107" s="67" t="inlineStr">
        <is>
          <t>ART - Annual Members Meeting - 25.11.26</t>
        </is>
      </c>
      <c r="R107" s="67" t="inlineStr">
        <is>
          <t>PRODUCTION</t>
        </is>
      </c>
    </row>
    <row r="108">
      <c r="P108" s="67" t="inlineStr">
        <is>
          <t>26022601V</t>
        </is>
      </c>
      <c r="Q108" s="67" t="inlineStr">
        <is>
          <t>ART - Annual Members Meeting - 25.11.26</t>
        </is>
      </c>
      <c r="R108" s="67" t="inlineStr">
        <is>
          <t>VIDEO</t>
        </is>
      </c>
    </row>
    <row r="109">
      <c r="P109" s="67" t="inlineStr">
        <is>
          <t>2602901</t>
        </is>
      </c>
      <c r="Q109" s="67" t="inlineStr">
        <is>
          <t>HP-Telstra: Phone Modification</t>
        </is>
      </c>
      <c r="R109" s="67" t="inlineStr">
        <is>
          <t>INTEGRATION</t>
        </is>
      </c>
    </row>
    <row r="110">
      <c r="P110" s="67" t="inlineStr">
        <is>
          <t>2603104</t>
        </is>
      </c>
      <c r="Q110" s="67" t="inlineStr">
        <is>
          <t>Cochlear FY26 Results 18.8.26</t>
        </is>
      </c>
      <c r="R110" s="67" t="inlineStr">
        <is>
          <t>PRODUCTION</t>
        </is>
      </c>
    </row>
    <row r="111">
      <c r="P111" s="67" t="inlineStr">
        <is>
          <t>2603104V</t>
        </is>
      </c>
      <c r="Q111" s="67" t="inlineStr">
        <is>
          <t>Cochlear FY26 Results 18.8.26</t>
        </is>
      </c>
      <c r="R111" s="67" t="inlineStr">
        <is>
          <t>VIDEO</t>
        </is>
      </c>
    </row>
    <row r="112">
      <c r="P112" s="67" t="inlineStr">
        <is>
          <t>2603105</t>
        </is>
      </c>
      <c r="Q112" s="67" t="inlineStr">
        <is>
          <t>Cochlear - AGM - 26.10.26</t>
        </is>
      </c>
      <c r="R112" s="67" t="inlineStr">
        <is>
          <t>PRODUCTION</t>
        </is>
      </c>
    </row>
    <row r="113">
      <c r="P113" s="67" t="inlineStr">
        <is>
          <t>2603105V</t>
        </is>
      </c>
      <c r="Q113" s="67" t="inlineStr">
        <is>
          <t>Cochlear - AGM - 26.10.26</t>
        </is>
      </c>
      <c r="R113" s="67" t="inlineStr">
        <is>
          <t>VIDEO</t>
        </is>
      </c>
    </row>
    <row r="114">
      <c r="P114" s="67" t="inlineStr">
        <is>
          <t>2603202</t>
        </is>
      </c>
      <c r="Q114" s="67" t="inlineStr">
        <is>
          <t>Property NSW 5 O’Keefe Ave Nowra Workplace Hub</t>
        </is>
      </c>
      <c r="R114" s="67" t="inlineStr">
        <is>
          <t>INTEGRATION</t>
        </is>
      </c>
    </row>
    <row r="115">
      <c r="P115" s="67" t="inlineStr">
        <is>
          <t>26032301</t>
        </is>
      </c>
      <c r="Q115" s="67" t="inlineStr">
        <is>
          <t>RSNSW - OGM - 1.7.2026</t>
        </is>
      </c>
      <c r="R115" s="67" t="inlineStr">
        <is>
          <t>PRODUCTION</t>
        </is>
      </c>
    </row>
    <row r="116">
      <c r="P116" s="67" t="inlineStr">
        <is>
          <t>26032301V</t>
        </is>
      </c>
      <c r="Q116" s="67" t="inlineStr">
        <is>
          <t>RSNSW - OGM - 1.7.2026</t>
        </is>
      </c>
      <c r="R116" s="67" t="inlineStr">
        <is>
          <t>VIDEO</t>
        </is>
      </c>
    </row>
    <row r="117">
      <c r="P117" s="67" t="inlineStr">
        <is>
          <t>26032302</t>
        </is>
      </c>
      <c r="Q117" s="67" t="inlineStr">
        <is>
          <t>RSNSW - OGM - 2.9.2026</t>
        </is>
      </c>
      <c r="R117" s="67" t="inlineStr">
        <is>
          <t>PRODUCTION</t>
        </is>
      </c>
    </row>
    <row r="118">
      <c r="P118" s="67" t="inlineStr">
        <is>
          <t>26032302V</t>
        </is>
      </c>
      <c r="Q118" s="67" t="inlineStr">
        <is>
          <t>RSNSW - OGM - 2.9.2026</t>
        </is>
      </c>
      <c r="R118" s="67" t="inlineStr">
        <is>
          <t>VIDEO</t>
        </is>
      </c>
    </row>
    <row r="119">
      <c r="P119" s="67" t="inlineStr">
        <is>
          <t>26032501</t>
        </is>
      </c>
      <c r="Q119" s="67" t="inlineStr">
        <is>
          <t>ChorusCall - Regal Partners AGM - 28.5.26</t>
        </is>
      </c>
      <c r="R119" s="67" t="inlineStr">
        <is>
          <t>PRODUCTION</t>
        </is>
      </c>
    </row>
    <row r="120">
      <c r="P120" s="67" t="inlineStr">
        <is>
          <t>26032502</t>
        </is>
      </c>
      <c r="Q120" s="67" t="inlineStr">
        <is>
          <t>3YS Owls - Governance Top 100 2026 - 30.10.26</t>
        </is>
      </c>
      <c r="R120" s="67" t="inlineStr">
        <is>
          <t>PRODUCTION</t>
        </is>
      </c>
    </row>
    <row r="121">
      <c r="P121" s="67" t="inlineStr">
        <is>
          <t>26032502V</t>
        </is>
      </c>
      <c r="Q121" s="67" t="inlineStr">
        <is>
          <t>3YS Owls - Governance Top 100 2026 - 30.10.26</t>
        </is>
      </c>
      <c r="R121" s="67" t="inlineStr">
        <is>
          <t>VIDEO</t>
        </is>
      </c>
    </row>
    <row r="122">
      <c r="P122" s="67" t="inlineStr">
        <is>
          <t>26032701</t>
        </is>
      </c>
      <c r="Q122" s="67" t="inlineStr">
        <is>
          <t>MUFG - A1N AGM - 7.5.26</t>
        </is>
      </c>
      <c r="R122" s="67" t="inlineStr">
        <is>
          <t>PRODUCTION</t>
        </is>
      </c>
    </row>
    <row r="123">
      <c r="P123" s="67" t="inlineStr">
        <is>
          <t>26032701V</t>
        </is>
      </c>
      <c r="Q123" s="67" t="inlineStr">
        <is>
          <t>MUFG - A1N AGM - 7.5.26</t>
        </is>
      </c>
      <c r="R123" s="67" t="inlineStr">
        <is>
          <t>VIDEO</t>
        </is>
      </c>
    </row>
    <row r="124">
      <c r="P124" s="67" t="inlineStr">
        <is>
          <t>26032702</t>
        </is>
      </c>
      <c r="Q124" s="67" t="inlineStr">
        <is>
          <t>Ventia Transport Australia and Ventia Networking 6.5.26</t>
        </is>
      </c>
      <c r="R124" s="67" t="inlineStr">
        <is>
          <t>PRODUCTION</t>
        </is>
      </c>
    </row>
    <row r="125">
      <c r="P125" s="67" t="inlineStr">
        <is>
          <t>26032704</t>
        </is>
      </c>
      <c r="Q125" s="67" t="inlineStr">
        <is>
          <t>CBA LES - April 2026</t>
        </is>
      </c>
      <c r="R125" s="67" t="inlineStr">
        <is>
          <t>PRODUCTION</t>
        </is>
      </c>
    </row>
    <row r="126">
      <c r="P126" s="67" t="inlineStr">
        <is>
          <t>26033003</t>
        </is>
      </c>
      <c r="Q126" s="67" t="inlineStr">
        <is>
          <t>DTTL 8PSQ Dream Big Microphones</t>
        </is>
      </c>
      <c r="R126" s="67" t="inlineStr">
        <is>
          <t>INTEGRATION</t>
        </is>
      </c>
    </row>
    <row r="127">
      <c r="P127" s="67" t="inlineStr">
        <is>
          <t>26033004</t>
        </is>
      </c>
      <c r="Q127" s="67" t="inlineStr">
        <is>
          <t>DTTL Melbourne Bluetooth Audio</t>
        </is>
      </c>
      <c r="R127" s="67" t="inlineStr">
        <is>
          <t>INTEGRATION</t>
        </is>
      </c>
    </row>
    <row r="128">
      <c r="P128" s="67" t="inlineStr">
        <is>
          <t>26033005</t>
        </is>
      </c>
      <c r="Q128" s="67" t="inlineStr">
        <is>
          <t>DTTL QQT &amp; 8PSQ Crestron Connect Adaptor</t>
        </is>
      </c>
      <c r="R128" s="67" t="inlineStr">
        <is>
          <t>INTEGRATION</t>
        </is>
      </c>
    </row>
    <row r="129">
      <c r="P129" s="67" t="inlineStr">
        <is>
          <t>26033006</t>
        </is>
      </c>
      <c r="Q129" s="67" t="inlineStr">
        <is>
          <t>DTTL 8PSQ Bluetooth Audio</t>
        </is>
      </c>
      <c r="R129" s="67" t="inlineStr">
        <is>
          <t>INTEGRATION</t>
        </is>
      </c>
    </row>
    <row r="130">
      <c r="P130" s="67" t="inlineStr">
        <is>
          <t>26033007</t>
        </is>
      </c>
      <c r="Q130" s="67" t="inlineStr">
        <is>
          <t>DTTL QQT Lv45 Seminar Wheels repair</t>
        </is>
      </c>
      <c r="R130" s="67" t="inlineStr">
        <is>
          <t>INTEGRATION</t>
        </is>
      </c>
    </row>
    <row r="131">
      <c r="P131" s="67" t="inlineStr">
        <is>
          <t>26033008</t>
        </is>
      </c>
      <c r="Q131" s="67" t="inlineStr">
        <is>
          <t>DTTL MEL Repair of Lv31 LED panels</t>
        </is>
      </c>
      <c r="R131" s="67" t="inlineStr">
        <is>
          <t>INTEGRATION</t>
        </is>
      </c>
    </row>
    <row r="132">
      <c r="P132" s="67" t="inlineStr">
        <is>
          <t>26041603</t>
        </is>
      </c>
      <c r="Q132" s="67" t="inlineStr">
        <is>
          <t>Optiver - Town Hall - 23.7.26</t>
        </is>
      </c>
      <c r="R132" s="67" t="inlineStr">
        <is>
          <t>PRODUCTION</t>
        </is>
      </c>
    </row>
    <row r="133">
      <c r="P133" s="67" t="inlineStr">
        <is>
          <t>26041603V</t>
        </is>
      </c>
      <c r="Q133" s="67" t="inlineStr">
        <is>
          <t>Optiver - Town Hall - 23.7.26</t>
        </is>
      </c>
      <c r="R133" s="67" t="inlineStr">
        <is>
          <t>VIDEO</t>
        </is>
      </c>
    </row>
    <row r="134">
      <c r="P134" s="67" t="inlineStr">
        <is>
          <t>26041701</t>
        </is>
      </c>
      <c r="Q134" s="67" t="inlineStr">
        <is>
          <t>N2 Dance End of Year Concert Videos 2026</t>
        </is>
      </c>
      <c r="R134" s="67" t="inlineStr">
        <is>
          <t>VIDEO</t>
        </is>
      </c>
    </row>
    <row r="135">
      <c r="P135" s="67" t="inlineStr">
        <is>
          <t>26042001</t>
        </is>
      </c>
      <c r="Q135" s="67" t="inlineStr">
        <is>
          <t>ASX - AGM - 22.10.26</t>
        </is>
      </c>
      <c r="R135" s="67" t="inlineStr">
        <is>
          <t>PRODUCTION</t>
        </is>
      </c>
    </row>
    <row r="136">
      <c r="P136" s="67" t="inlineStr">
        <is>
          <t>26042001V</t>
        </is>
      </c>
      <c r="Q136" s="67" t="inlineStr">
        <is>
          <t>ASX - AGM - 22.10.26</t>
        </is>
      </c>
      <c r="R136" s="67" t="inlineStr">
        <is>
          <t>VIDEO</t>
        </is>
      </c>
    </row>
    <row r="137">
      <c r="P137" s="67" t="inlineStr">
        <is>
          <t>2604201</t>
        </is>
      </c>
      <c r="Q137" s="67" t="inlineStr">
        <is>
          <t>Bankwest - Stage Hire - 27.5.2026</t>
        </is>
      </c>
      <c r="R137" s="67" t="inlineStr">
        <is>
          <t>PRODUCTION</t>
        </is>
      </c>
    </row>
    <row r="138">
      <c r="P138" s="67" t="inlineStr">
        <is>
          <t>2604202</t>
        </is>
      </c>
      <c r="Q138" s="67" t="inlineStr">
        <is>
          <t>Ventia - Ventia Awards - 30.7.26</t>
        </is>
      </c>
      <c r="R138" s="67" t="inlineStr">
        <is>
          <t>PRODUCTION</t>
        </is>
      </c>
    </row>
    <row r="139">
      <c r="P139" s="67" t="inlineStr">
        <is>
          <t>2604202V</t>
        </is>
      </c>
      <c r="Q139" s="67" t="inlineStr">
        <is>
          <t>Ventia - Ventia Awards - 30.7.26</t>
        </is>
      </c>
      <c r="R139" s="67" t="inlineStr">
        <is>
          <t>VIDEO</t>
        </is>
      </c>
    </row>
    <row r="140">
      <c r="P140" s="67" t="inlineStr">
        <is>
          <t>2604203V</t>
        </is>
      </c>
      <c r="Q140" s="67" t="inlineStr">
        <is>
          <t>Ventia - Investor Day - 4.5.2026</t>
        </is>
      </c>
      <c r="R140" s="67" t="inlineStr">
        <is>
          <t>VIDEO</t>
        </is>
      </c>
    </row>
    <row r="141">
      <c r="P141" s="67" t="inlineStr">
        <is>
          <t>2604204</t>
        </is>
      </c>
      <c r="Q141" s="67" t="inlineStr">
        <is>
          <t>Ventia - AGM - 21.5.26</t>
        </is>
      </c>
      <c r="R141" s="67" t="inlineStr">
        <is>
          <t>PRODUCTION</t>
        </is>
      </c>
    </row>
    <row r="142">
      <c r="P142" s="67" t="inlineStr">
        <is>
          <t>2604204V</t>
        </is>
      </c>
      <c r="Q142" s="67" t="inlineStr">
        <is>
          <t>Ventia - AGM - 21.5.26</t>
        </is>
      </c>
      <c r="R142" s="67" t="inlineStr">
        <is>
          <t>VIDEO</t>
        </is>
      </c>
    </row>
    <row r="143">
      <c r="P143" s="67" t="inlineStr">
        <is>
          <t>26042802</t>
        </is>
      </c>
      <c r="Q143" s="67" t="inlineStr">
        <is>
          <t>DTTL DAR Meeting Room Extension Cable Install</t>
        </is>
      </c>
      <c r="R143" s="67" t="inlineStr">
        <is>
          <t>INTEGRATION</t>
        </is>
      </c>
    </row>
    <row r="144">
      <c r="P144" s="67" t="inlineStr">
        <is>
          <t>26043001</t>
        </is>
      </c>
      <c r="Q144" s="67" t="inlineStr">
        <is>
          <t>CBA FT Tech MEL - 12 months</t>
        </is>
      </c>
      <c r="R144" s="67" t="inlineStr">
        <is>
          <t>ONSITE</t>
        </is>
      </c>
    </row>
    <row r="145">
      <c r="P145" s="67" t="inlineStr">
        <is>
          <t>26043002</t>
        </is>
      </c>
      <c r="Q145" s="67" t="inlineStr">
        <is>
          <t>CTS Town Hall</t>
        </is>
      </c>
      <c r="R145" s="67" t="inlineStr">
        <is>
          <t>CTS</t>
        </is>
      </c>
    </row>
    <row r="146">
      <c r="P146" s="67" t="inlineStr">
        <is>
          <t>26043003</t>
        </is>
      </c>
      <c r="Q146" s="67" t="inlineStr">
        <is>
          <t>PwC Screen Replacements SYD+MEL</t>
        </is>
      </c>
      <c r="R146" s="67" t="inlineStr">
        <is>
          <t>INTEGRATION</t>
        </is>
      </c>
    </row>
    <row r="147">
      <c r="P147" s="67" t="inlineStr">
        <is>
          <t>2604704</t>
        </is>
      </c>
      <c r="Q147" s="67" t="inlineStr">
        <is>
          <t>Aware Super Seminar Room Audio Upgrade</t>
        </is>
      </c>
      <c r="R147" s="67" t="inlineStr">
        <is>
          <t>INTEGRATION</t>
        </is>
      </c>
    </row>
    <row r="148">
      <c r="P148" s="67" t="inlineStr">
        <is>
          <t>2604802</t>
        </is>
      </c>
      <c r="Q148" s="67" t="inlineStr">
        <is>
          <t>PwC - Audio Support - 29.4.26</t>
        </is>
      </c>
      <c r="R148" s="67" t="inlineStr">
        <is>
          <t>PRODUCTION</t>
        </is>
      </c>
    </row>
    <row r="149">
      <c r="P149" s="67" t="inlineStr">
        <is>
          <t>26051101</t>
        </is>
      </c>
      <c r="Q149" s="67" t="inlineStr">
        <is>
          <t>DTTL Mardi Gras/Vivid Event 27/05/26</t>
        </is>
      </c>
      <c r="R149" s="67" t="inlineStr">
        <is>
          <t>PRODUCTION</t>
        </is>
      </c>
    </row>
    <row r="150">
      <c r="P150" s="67" t="inlineStr">
        <is>
          <t>26051101V</t>
        </is>
      </c>
      <c r="Q150" s="67" t="inlineStr">
        <is>
          <t>DTTL Mardi Gras/Vivid Event 27/05/26</t>
        </is>
      </c>
      <c r="R150" s="67" t="inlineStr">
        <is>
          <t>VIDEO</t>
        </is>
      </c>
    </row>
    <row r="151">
      <c r="P151" s="67" t="inlineStr">
        <is>
          <t>26051102</t>
        </is>
      </c>
      <c r="Q151" s="67" t="inlineStr">
        <is>
          <t>DTTL - CEO Roadshow - 1.6.26</t>
        </is>
      </c>
      <c r="R151" s="67" t="inlineStr">
        <is>
          <t>PRODUCTION</t>
        </is>
      </c>
    </row>
    <row r="152">
      <c r="P152" s="67" t="inlineStr">
        <is>
          <t>26051102V</t>
        </is>
      </c>
      <c r="Q152" s="67" t="inlineStr">
        <is>
          <t>DTTL - CEO Roadshow - 1.6.26</t>
        </is>
      </c>
      <c r="R152" s="67" t="inlineStr">
        <is>
          <t>VIDEO</t>
        </is>
      </c>
    </row>
    <row r="153">
      <c r="P153" s="67" t="inlineStr">
        <is>
          <t>26051103</t>
        </is>
      </c>
      <c r="Q153" s="67" t="inlineStr">
        <is>
          <t>PwC PER Studio Support 25.05.26</t>
        </is>
      </c>
      <c r="R153" s="67" t="inlineStr">
        <is>
          <t>PRODUCTION</t>
        </is>
      </c>
    </row>
    <row r="154">
      <c r="P154" s="67" t="inlineStr">
        <is>
          <t>26051103V</t>
        </is>
      </c>
      <c r="Q154" s="67" t="inlineStr">
        <is>
          <t>PwC PER Studio Support 25.05.26</t>
        </is>
      </c>
      <c r="R154" s="67" t="inlineStr">
        <is>
          <t>VIDEO</t>
        </is>
      </c>
    </row>
    <row r="155">
      <c r="P155" s="67" t="inlineStr">
        <is>
          <t>26051201</t>
        </is>
      </c>
      <c r="Q155" s="67" t="inlineStr">
        <is>
          <t>ASX CEO Farewell Highlights</t>
        </is>
      </c>
      <c r="R155" s="67" t="inlineStr">
        <is>
          <t>VIDEO</t>
        </is>
      </c>
    </row>
    <row r="156">
      <c r="P156" s="67" t="inlineStr">
        <is>
          <t>26051301</t>
        </is>
      </c>
      <c r="Q156" s="67" t="inlineStr">
        <is>
          <t>HP-BAE | Phone Mod</t>
        </is>
      </c>
      <c r="R156" s="67" t="inlineStr">
        <is>
          <t>INTEGRATION</t>
        </is>
      </c>
    </row>
    <row r="157">
      <c r="P157" s="67" t="inlineStr">
        <is>
          <t>26051401</t>
        </is>
      </c>
      <c r="Q157" s="67" t="inlineStr">
        <is>
          <t>ASX - Business Meeting - 27.5.26</t>
        </is>
      </c>
      <c r="R157" s="67" t="inlineStr">
        <is>
          <t>PRODUCTION</t>
        </is>
      </c>
    </row>
    <row r="158">
      <c r="P158" s="67" t="inlineStr">
        <is>
          <t>26051401V</t>
        </is>
      </c>
      <c r="Q158" s="67" t="inlineStr">
        <is>
          <t>ASX - Business Meeting - 27.5.26</t>
        </is>
      </c>
      <c r="R158" s="67" t="inlineStr">
        <is>
          <t>VIDEO</t>
        </is>
      </c>
    </row>
    <row r="159">
      <c r="P159" s="67" t="inlineStr">
        <is>
          <t>26051402</t>
        </is>
      </c>
      <c r="Q159" s="67" t="inlineStr">
        <is>
          <t>PwC Foldback Monitor Hire</t>
        </is>
      </c>
      <c r="R159" s="67" t="inlineStr">
        <is>
          <t>PRODUCTION</t>
        </is>
      </c>
    </row>
    <row r="160">
      <c r="P160" s="67" t="inlineStr">
        <is>
          <t>26051801</t>
        </is>
      </c>
      <c r="Q160" s="67" t="inlineStr">
        <is>
          <t>PwC | Mel Studio Equipment</t>
        </is>
      </c>
      <c r="R160" s="67" t="inlineStr">
        <is>
          <t>INTEGRATION</t>
        </is>
      </c>
    </row>
    <row r="161">
      <c r="P161" s="67" t="inlineStr">
        <is>
          <t>26051803</t>
        </is>
      </c>
      <c r="Q161" s="67" t="inlineStr">
        <is>
          <t>AVIT - Taronga ZOO AV Support - May 2026</t>
        </is>
      </c>
      <c r="R161" s="67" t="inlineStr">
        <is>
          <t>PRODUCTION</t>
        </is>
      </c>
    </row>
    <row r="162">
      <c r="P162" s="67" t="inlineStr">
        <is>
          <t>26052001</t>
        </is>
      </c>
      <c r="Q162" s="67" t="inlineStr">
        <is>
          <t>MeetMagic - AI Behaviour Event - 29.5.26</t>
        </is>
      </c>
      <c r="R162" s="67" t="inlineStr">
        <is>
          <t>PRODUCTION</t>
        </is>
      </c>
    </row>
    <row r="163">
      <c r="P163" s="67" t="inlineStr">
        <is>
          <t>26052001V</t>
        </is>
      </c>
      <c r="Q163" s="67" t="inlineStr">
        <is>
          <t>MeetMagic - AI Behaviour Event - 29.5.26</t>
        </is>
      </c>
      <c r="R163" s="67" t="inlineStr">
        <is>
          <t>VIDEO</t>
        </is>
      </c>
    </row>
    <row r="164">
      <c r="P164" s="67" t="inlineStr">
        <is>
          <t>26052002</t>
        </is>
      </c>
      <c r="Q164" s="67" t="inlineStr">
        <is>
          <t>DTTL BNE L23 Training Rooms Upgrade</t>
        </is>
      </c>
      <c r="R164" s="67" t="inlineStr">
        <is>
          <t>INTEGRATION</t>
        </is>
      </c>
    </row>
    <row r="165">
      <c r="P165" s="67" t="inlineStr">
        <is>
          <t>26052003</t>
        </is>
      </c>
      <c r="Q165" s="67" t="inlineStr">
        <is>
          <t>DTTL Mobile Commbox Displays</t>
        </is>
      </c>
      <c r="R165" s="67" t="inlineStr">
        <is>
          <t>INTEGRATION</t>
        </is>
      </c>
    </row>
    <row r="166">
      <c r="P166" s="67" t="inlineStr">
        <is>
          <t>26052004</t>
        </is>
      </c>
      <c r="Q166" s="67" t="inlineStr">
        <is>
          <t>CBA - Live Event Support - June 2026</t>
        </is>
      </c>
      <c r="R166" s="67" t="inlineStr">
        <is>
          <t>PRODUCTION</t>
        </is>
      </c>
    </row>
    <row r="167">
      <c r="P167" s="67" t="inlineStr">
        <is>
          <t>26052101</t>
        </is>
      </c>
      <c r="Q167" s="67" t="inlineStr">
        <is>
          <t>MeetMagic - Human AI Event Highlights</t>
        </is>
      </c>
      <c r="R167" s="67" t="inlineStr">
        <is>
          <t>VIDEO</t>
        </is>
      </c>
    </row>
    <row r="168">
      <c r="P168" s="67" t="inlineStr">
        <is>
          <t>26052102</t>
        </is>
      </c>
      <c r="Q168" s="67" t="inlineStr">
        <is>
          <t>HP-D3 | Austrac Phone Mods</t>
        </is>
      </c>
      <c r="R168" s="67" t="inlineStr">
        <is>
          <t>INTEGRATION</t>
        </is>
      </c>
    </row>
    <row r="169">
      <c r="P169" s="67" t="inlineStr">
        <is>
          <t>26052103</t>
        </is>
      </c>
      <c r="Q169" s="67" t="inlineStr">
        <is>
          <t>Ventia - LTI FY26 Video Record</t>
        </is>
      </c>
      <c r="R169" s="67" t="inlineStr">
        <is>
          <t>VIDEO</t>
        </is>
      </c>
    </row>
    <row r="170">
      <c r="P170" s="67" t="inlineStr">
        <is>
          <t>26052501V</t>
        </is>
      </c>
      <c r="Q170" s="67" t="inlineStr">
        <is>
          <t>AVIT - Taronga AV Event Support - 26-27.5.26</t>
        </is>
      </c>
      <c r="R170" s="67" t="inlineStr">
        <is>
          <t>VIDEO</t>
        </is>
      </c>
    </row>
    <row r="171">
      <c r="P171" s="67" t="inlineStr">
        <is>
          <t>26052502</t>
        </is>
      </c>
      <c r="Q171" s="67" t="inlineStr">
        <is>
          <t>AVIT - Taronga AV Event Support 4-5.06.26</t>
        </is>
      </c>
      <c r="R171" s="67" t="inlineStr">
        <is>
          <t>PRODUCTION</t>
        </is>
      </c>
    </row>
    <row r="172">
      <c r="P172" s="67" t="inlineStr">
        <is>
          <t>26052502V</t>
        </is>
      </c>
      <c r="Q172" s="67" t="inlineStr">
        <is>
          <t>AVIT - Taronga AV Event Support 4-5.06.26</t>
        </is>
      </c>
      <c r="R172" s="67" t="inlineStr">
        <is>
          <t>VIDEO</t>
        </is>
      </c>
    </row>
    <row r="173">
      <c r="P173" s="67" t="inlineStr">
        <is>
          <t>26052602</t>
        </is>
      </c>
      <c r="Q173" s="67" t="inlineStr">
        <is>
          <t>DTTL MEL Display Supply</t>
        </is>
      </c>
      <c r="R173" s="67" t="inlineStr">
        <is>
          <t>INTEGRATION</t>
        </is>
      </c>
    </row>
    <row r="174">
      <c r="P174" s="67" t="inlineStr">
        <is>
          <t>26052701</t>
        </is>
      </c>
      <c r="Q174" s="67" t="inlineStr">
        <is>
          <t>Aware | SYD 28.06 Equipment</t>
        </is>
      </c>
      <c r="R174" s="67" t="inlineStr">
        <is>
          <t>INTEGRATION</t>
        </is>
      </c>
    </row>
    <row r="175">
      <c r="P175" s="67" t="inlineStr">
        <is>
          <t>26052702</t>
        </is>
      </c>
      <c r="Q175" s="67" t="inlineStr">
        <is>
          <t>ASX - FYR - 13.8.26</t>
        </is>
      </c>
      <c r="R175" s="67" t="inlineStr">
        <is>
          <t>PRODUCTION</t>
        </is>
      </c>
    </row>
    <row r="176">
      <c r="P176" s="67" t="inlineStr">
        <is>
          <t>26052702V</t>
        </is>
      </c>
      <c r="Q176" s="67" t="inlineStr">
        <is>
          <t>ASX - FYR - 13.8.26</t>
        </is>
      </c>
      <c r="R176" s="67" t="inlineStr">
        <is>
          <t>VIDEO</t>
        </is>
      </c>
    </row>
    <row r="177">
      <c r="P177" s="67" t="inlineStr">
        <is>
          <t>26052703</t>
        </is>
      </c>
      <c r="Q177" s="67" t="inlineStr">
        <is>
          <t>Microsoft Town Hall - 21.7.26</t>
        </is>
      </c>
      <c r="R177" s="67" t="inlineStr">
        <is>
          <t>PRODUCTION</t>
        </is>
      </c>
    </row>
    <row r="178">
      <c r="P178" s="67" t="inlineStr">
        <is>
          <t>26052703V</t>
        </is>
      </c>
      <c r="Q178" s="67" t="inlineStr">
        <is>
          <t>Microsoft Town Hall - 21.7.26</t>
        </is>
      </c>
      <c r="R178" s="67" t="inlineStr">
        <is>
          <t>VIDEO</t>
        </is>
      </c>
    </row>
    <row r="179">
      <c r="P179" s="67" t="inlineStr">
        <is>
          <t>26052704</t>
        </is>
      </c>
      <c r="Q179" s="67" t="inlineStr">
        <is>
          <t>AVIT - Pinsent Masons Technician Callout</t>
        </is>
      </c>
      <c r="R179" s="67" t="inlineStr">
        <is>
          <t>ONSITE</t>
        </is>
      </c>
    </row>
    <row r="180">
      <c r="P180" s="67" t="inlineStr">
        <is>
          <t>26052901</t>
        </is>
      </c>
      <c r="Q180" s="67" t="inlineStr">
        <is>
          <t>Causeway Productions - Stool Hire - 1.6.27</t>
        </is>
      </c>
      <c r="R180" s="67" t="inlineStr">
        <is>
          <t>PRODUCTION</t>
        </is>
      </c>
    </row>
    <row r="181">
      <c r="P181" s="67" t="inlineStr">
        <is>
          <t>26052901V</t>
        </is>
      </c>
      <c r="Q181" s="67" t="inlineStr">
        <is>
          <t>Causeway Productions - Stool Hire - 1.6.27</t>
        </is>
      </c>
      <c r="R181" s="67" t="inlineStr">
        <is>
          <t>VIDEO</t>
        </is>
      </c>
    </row>
    <row r="182">
      <c r="P182" s="67" t="inlineStr">
        <is>
          <t>2605401</t>
        </is>
      </c>
      <c r="Q182" s="67" t="inlineStr">
        <is>
          <t>AGL FYR - Investor Briefing - 12.8.26</t>
        </is>
      </c>
      <c r="R182" s="67" t="inlineStr">
        <is>
          <t>PRODUCTION</t>
        </is>
      </c>
    </row>
    <row r="183">
      <c r="P183" s="67" t="inlineStr">
        <is>
          <t>2605401V</t>
        </is>
      </c>
      <c r="Q183" s="67" t="inlineStr">
        <is>
          <t>AGL FYR - Investor Briefing - 12.8.26</t>
        </is>
      </c>
      <c r="R183" s="67" t="inlineStr">
        <is>
          <t>VIDEO</t>
        </is>
      </c>
    </row>
    <row r="184">
      <c r="P184" s="67" t="inlineStr">
        <is>
          <t>2605402</t>
        </is>
      </c>
      <c r="Q184" s="67" t="inlineStr">
        <is>
          <t>AGL FYR - Employee Town Hall - 12.8.26</t>
        </is>
      </c>
      <c r="R184" s="67" t="inlineStr">
        <is>
          <t>PRODUCTION</t>
        </is>
      </c>
    </row>
    <row r="185">
      <c r="P185" s="67" t="inlineStr">
        <is>
          <t>2605402V</t>
        </is>
      </c>
      <c r="Q185" s="67" t="inlineStr">
        <is>
          <t>AGL FYR - Employee Town Hall - 12.8.26</t>
        </is>
      </c>
      <c r="R185" s="67" t="inlineStr">
        <is>
          <t>VIDEO</t>
        </is>
      </c>
    </row>
    <row r="186">
      <c r="P186" s="67" t="inlineStr">
        <is>
          <t>2605403</t>
        </is>
      </c>
      <c r="Q186" s="67" t="inlineStr">
        <is>
          <t>ARUP - Oves Awards - 23.7.26</t>
        </is>
      </c>
      <c r="R186" s="67" t="inlineStr">
        <is>
          <t>PRODUCTION</t>
        </is>
      </c>
    </row>
    <row r="187">
      <c r="P187" s="67" t="inlineStr">
        <is>
          <t>2605403V</t>
        </is>
      </c>
      <c r="Q187" s="67" t="inlineStr">
        <is>
          <t>ARUP - Oves Awards - 23.7.26</t>
        </is>
      </c>
      <c r="R187" s="67" t="inlineStr">
        <is>
          <t>VIDEO</t>
        </is>
      </c>
    </row>
    <row r="188">
      <c r="P188" s="67" t="inlineStr">
        <is>
          <t>2605501</t>
        </is>
      </c>
      <c r="Q188" s="67" t="inlineStr">
        <is>
          <t>DTTL Tech Support AWS AP AI Symposium</t>
        </is>
      </c>
      <c r="R188" s="67" t="inlineStr">
        <is>
          <t>ONSITE</t>
        </is>
      </c>
    </row>
    <row r="189">
      <c r="P189" s="67" t="inlineStr">
        <is>
          <t>2605502</t>
        </is>
      </c>
      <c r="Q189" s="67" t="inlineStr">
        <is>
          <t>CBA BNE - Event Support - 13.5.26</t>
        </is>
      </c>
      <c r="R189" s="67" t="inlineStr">
        <is>
          <t>PRODUCTION</t>
        </is>
      </c>
    </row>
    <row r="190">
      <c r="P190" s="67" t="inlineStr">
        <is>
          <t>2605502V</t>
        </is>
      </c>
      <c r="Q190" s="67" t="inlineStr">
        <is>
          <t>CBA BNE - Event Support - 13.5.26</t>
        </is>
      </c>
      <c r="R190" s="67" t="inlineStr">
        <is>
          <t>VIDEO</t>
        </is>
      </c>
    </row>
    <row r="191">
      <c r="P191" s="67" t="inlineStr">
        <is>
          <t>2605503</t>
        </is>
      </c>
      <c r="Q191" s="67" t="inlineStr">
        <is>
          <t>DTTL L31 reception Led Wall Audio DSP Repair</t>
        </is>
      </c>
      <c r="R191" s="67" t="inlineStr">
        <is>
          <t>INTEGRATION</t>
        </is>
      </c>
    </row>
    <row r="192">
      <c r="P192" s="67" t="inlineStr">
        <is>
          <t>2605605</t>
        </is>
      </c>
      <c r="Q192" s="67" t="inlineStr">
        <is>
          <t>DTTL Hobart AV Fitout</t>
        </is>
      </c>
      <c r="R192" s="67" t="inlineStr">
        <is>
          <t>INTEGRATION</t>
        </is>
      </c>
    </row>
    <row r="193">
      <c r="P193" s="67" t="inlineStr">
        <is>
          <t>2605606</t>
        </is>
      </c>
      <c r="Q193" s="67" t="inlineStr">
        <is>
          <t>Ventia Internal Townhall 8.05.26</t>
        </is>
      </c>
      <c r="R193" s="67" t="inlineStr">
        <is>
          <t>PRODUCTION</t>
        </is>
      </c>
    </row>
    <row r="194">
      <c r="P194" s="67" t="inlineStr">
        <is>
          <t>2605606V</t>
        </is>
      </c>
      <c r="Q194" s="67" t="inlineStr">
        <is>
          <t>Ventia Internal Townhall 8.05.26</t>
        </is>
      </c>
      <c r="R194" s="67" t="inlineStr">
        <is>
          <t>VIDEO</t>
        </is>
      </c>
    </row>
    <row r="195">
      <c r="P195" s="67" t="inlineStr">
        <is>
          <t>2605609</t>
        </is>
      </c>
      <c r="Q195" s="67" t="inlineStr">
        <is>
          <t>ASX - CEO Farewell - 27.5.26</t>
        </is>
      </c>
      <c r="R195" s="67" t="inlineStr">
        <is>
          <t>PRODUCTION</t>
        </is>
      </c>
    </row>
    <row r="196">
      <c r="P196" s="67" t="inlineStr">
        <is>
          <t>2605609V</t>
        </is>
      </c>
      <c r="Q196" s="67" t="inlineStr">
        <is>
          <t>ASX - CEO Farewell - 27.5.26</t>
        </is>
      </c>
      <c r="R196" s="67" t="inlineStr">
        <is>
          <t>VIDEO</t>
        </is>
      </c>
    </row>
    <row r="197">
      <c r="P197" s="67" t="inlineStr">
        <is>
          <t>2605610</t>
        </is>
      </c>
      <c r="Q197" s="67" t="inlineStr">
        <is>
          <t>ASX CEO Farewell Additional Costs</t>
        </is>
      </c>
      <c r="R197" s="67" t="inlineStr">
        <is>
          <t>PRODUCTION</t>
        </is>
      </c>
    </row>
    <row r="198">
      <c r="P198" s="67" t="inlineStr">
        <is>
          <t>2605704</t>
        </is>
      </c>
      <c r="Q198" s="67" t="inlineStr">
        <is>
          <t>CBA CBPS Auditorium Upgrade</t>
        </is>
      </c>
      <c r="R198" s="67" t="inlineStr">
        <is>
          <t>INTEGRATION</t>
        </is>
      </c>
    </row>
    <row r="199">
      <c r="P199" s="67" t="inlineStr">
        <is>
          <t>2605801</t>
        </is>
      </c>
      <c r="Q199" s="67" t="inlineStr">
        <is>
          <t>Dimensional - AV Support - 3-4.6.26</t>
        </is>
      </c>
      <c r="R199" s="67" t="inlineStr">
        <is>
          <t>PRODUCTION</t>
        </is>
      </c>
    </row>
    <row r="200">
      <c r="P200" s="67" t="inlineStr">
        <is>
          <t>2605803</t>
        </is>
      </c>
      <c r="Q200" s="67" t="inlineStr">
        <is>
          <t>St Catherine's - Dedicated Tech - 12.6.26</t>
        </is>
      </c>
      <c r="R200" s="67" t="inlineStr">
        <is>
          <t>PRODUCTION</t>
        </is>
      </c>
    </row>
    <row r="201">
      <c r="P201" s="67" t="inlineStr">
        <is>
          <t>2605804</t>
        </is>
      </c>
      <c r="Q201" s="67" t="inlineStr">
        <is>
          <t>City of Sydney Supply of Barco Projector Shutters</t>
        </is>
      </c>
      <c r="R201" s="67" t="inlineStr">
        <is>
          <t>INTEGRATION</t>
        </is>
      </c>
    </row>
    <row r="202">
      <c r="P202" s="67" t="inlineStr">
        <is>
          <t>2605806</t>
        </is>
      </c>
      <c r="Q202" s="67" t="inlineStr">
        <is>
          <t>Aware Super AV Fitout @ 555 Collins Street MEL</t>
        </is>
      </c>
      <c r="R202" s="67" t="inlineStr">
        <is>
          <t>INTEGRATION</t>
        </is>
      </c>
    </row>
    <row r="203">
      <c r="P203" s="67" t="inlineStr">
        <is>
          <t>26061001</t>
        </is>
      </c>
      <c r="Q203" s="67" t="inlineStr">
        <is>
          <t>Garvan August All Clear Event 25.8.26</t>
        </is>
      </c>
      <c r="R203" s="67" t="inlineStr">
        <is>
          <t>PRODUCTION</t>
        </is>
      </c>
    </row>
    <row r="204">
      <c r="P204" s="67" t="inlineStr">
        <is>
          <t>26061002</t>
        </is>
      </c>
      <c r="Q204" s="67" t="inlineStr">
        <is>
          <t>Optiver - Fireside Event Support - 18.6.26</t>
        </is>
      </c>
      <c r="R204" s="67" t="inlineStr">
        <is>
          <t>PRODUCTION</t>
        </is>
      </c>
    </row>
    <row r="205">
      <c r="P205" s="67" t="inlineStr">
        <is>
          <t>26061002V</t>
        </is>
      </c>
      <c r="Q205" s="67" t="inlineStr">
        <is>
          <t>Optiver - Fireside Event Support - 18.6.26</t>
        </is>
      </c>
      <c r="R205" s="67" t="inlineStr">
        <is>
          <t>VIDEO</t>
        </is>
      </c>
    </row>
    <row r="206">
      <c r="P206" s="67" t="inlineStr">
        <is>
          <t>26061102</t>
        </is>
      </c>
      <c r="Q206" s="67" t="inlineStr">
        <is>
          <t>CSE Invest Sri Lanka | 16.8.26</t>
        </is>
      </c>
      <c r="R206" s="67" t="inlineStr">
        <is>
          <t>PRODUCTION</t>
        </is>
      </c>
    </row>
    <row r="207">
      <c r="P207" s="67" t="inlineStr">
        <is>
          <t>26061102V</t>
        </is>
      </c>
      <c r="Q207" s="67" t="inlineStr">
        <is>
          <t>CSE Invest Sri Lanka | 16.8.26</t>
        </is>
      </c>
      <c r="R207" s="67" t="inlineStr">
        <is>
          <t>VIDEO</t>
        </is>
      </c>
    </row>
    <row r="208">
      <c r="P208" s="67" t="inlineStr">
        <is>
          <t>26061103</t>
        </is>
      </c>
      <c r="Q208" s="67" t="inlineStr">
        <is>
          <t>Circadia Australia Elevate | 14.8.26</t>
        </is>
      </c>
      <c r="R208" s="67" t="inlineStr">
        <is>
          <t>PRODUCTION</t>
        </is>
      </c>
    </row>
    <row r="209">
      <c r="P209" s="67" t="inlineStr">
        <is>
          <t>26061103V</t>
        </is>
      </c>
      <c r="Q209" s="67" t="inlineStr">
        <is>
          <t>Circadia Australia Elevate | 14.8.26</t>
        </is>
      </c>
      <c r="R209" s="67" t="inlineStr">
        <is>
          <t>VIDEO</t>
        </is>
      </c>
    </row>
    <row r="210">
      <c r="P210" s="67" t="inlineStr">
        <is>
          <t>26061104</t>
        </is>
      </c>
      <c r="Q210" s="67" t="inlineStr">
        <is>
          <t>MUFG - FYR26 - 12.8.26</t>
        </is>
      </c>
      <c r="R210" s="67" t="inlineStr">
        <is>
          <t>PRODUCTION</t>
        </is>
      </c>
    </row>
    <row r="211">
      <c r="P211" s="67" t="inlineStr">
        <is>
          <t>26061104V</t>
        </is>
      </c>
      <c r="Q211" s="67" t="inlineStr">
        <is>
          <t>MUFG - FYR26 - 12.8.26</t>
        </is>
      </c>
      <c r="R211" s="67" t="inlineStr">
        <is>
          <t>VIDEO</t>
        </is>
      </c>
    </row>
    <row r="212">
      <c r="P212" s="67" t="inlineStr">
        <is>
          <t>26061105</t>
        </is>
      </c>
      <c r="Q212" s="67" t="inlineStr">
        <is>
          <t>CBA - FYR 2026 - 12.8.26</t>
        </is>
      </c>
      <c r="R212" s="67" t="inlineStr">
        <is>
          <t>PRODUCTION</t>
        </is>
      </c>
    </row>
    <row r="213">
      <c r="P213" s="67" t="inlineStr">
        <is>
          <t>26061105V</t>
        </is>
      </c>
      <c r="Q213" s="67" t="inlineStr">
        <is>
          <t>CBA - FYR 2026 - 12.8.26</t>
        </is>
      </c>
      <c r="R213" s="67" t="inlineStr">
        <is>
          <t>VIDEO</t>
        </is>
      </c>
    </row>
    <row r="214">
      <c r="P214" s="67" t="inlineStr">
        <is>
          <t>26061106</t>
        </is>
      </c>
      <c r="Q214" s="67" t="inlineStr">
        <is>
          <t>TLC Full Year Results MEL</t>
        </is>
      </c>
      <c r="R214" s="67" t="inlineStr">
        <is>
          <t>PRODUCTION</t>
        </is>
      </c>
    </row>
    <row r="215">
      <c r="P215" s="67" t="inlineStr">
        <is>
          <t>26061106V</t>
        </is>
      </c>
      <c r="Q215" s="67" t="inlineStr">
        <is>
          <t>TLC Full Year Results MEL</t>
        </is>
      </c>
      <c r="R215" s="67" t="inlineStr">
        <is>
          <t>VIDEO</t>
        </is>
      </c>
    </row>
    <row r="216">
      <c r="P216" s="67" t="inlineStr">
        <is>
          <t>26061107</t>
        </is>
      </c>
      <c r="Q216" s="67" t="inlineStr">
        <is>
          <t>Downer - FYR 2026 - 20.8.26</t>
        </is>
      </c>
      <c r="R216" s="67" t="inlineStr">
        <is>
          <t>PRODUCTION</t>
        </is>
      </c>
    </row>
    <row r="217">
      <c r="P217" s="67" t="inlineStr">
        <is>
          <t>26061107V</t>
        </is>
      </c>
      <c r="Q217" s="67" t="inlineStr">
        <is>
          <t>Downer - FYR 2026 - 20.8.26</t>
        </is>
      </c>
      <c r="R217" s="67" t="inlineStr">
        <is>
          <t>VIDEO</t>
        </is>
      </c>
    </row>
    <row r="218">
      <c r="P218" s="67" t="inlineStr">
        <is>
          <t>26061108</t>
        </is>
      </c>
      <c r="Q218" s="67" t="inlineStr">
        <is>
          <t>APA - Qtly All Hands FYR26 - 20.8.26</t>
        </is>
      </c>
      <c r="R218" s="67" t="inlineStr">
        <is>
          <t>PRODUCTION</t>
        </is>
      </c>
    </row>
    <row r="219">
      <c r="P219" s="67" t="inlineStr">
        <is>
          <t>26061108V</t>
        </is>
      </c>
      <c r="Q219" s="67" t="inlineStr">
        <is>
          <t>APA - Qtly All Hands FYR26 - 20.8.26</t>
        </is>
      </c>
      <c r="R219" s="67" t="inlineStr">
        <is>
          <t>VIDEO</t>
        </is>
      </c>
    </row>
    <row r="220">
      <c r="P220" s="67" t="inlineStr">
        <is>
          <t>26061109</t>
        </is>
      </c>
      <c r="Q220" s="67" t="inlineStr">
        <is>
          <t>Ventia - FYR26 - 24.8.26</t>
        </is>
      </c>
      <c r="R220" s="67" t="inlineStr">
        <is>
          <t>PRODUCTION</t>
        </is>
      </c>
    </row>
    <row r="221">
      <c r="P221" s="67" t="inlineStr">
        <is>
          <t>26061109V</t>
        </is>
      </c>
      <c r="Q221" s="67" t="inlineStr">
        <is>
          <t>Ventia - FYR26 - 24.8.26</t>
        </is>
      </c>
      <c r="R221" s="67" t="inlineStr">
        <is>
          <t>VIDEO</t>
        </is>
      </c>
    </row>
    <row r="222">
      <c r="P222" s="67" t="inlineStr">
        <is>
          <t>26061201</t>
        </is>
      </c>
      <c r="Q222" s="67" t="inlineStr">
        <is>
          <t>PWC - Firmwide Webcast - 30.6.26</t>
        </is>
      </c>
      <c r="R222" s="67" t="inlineStr">
        <is>
          <t>PRODUCTION</t>
        </is>
      </c>
    </row>
    <row r="223">
      <c r="P223" s="67" t="inlineStr">
        <is>
          <t>26061201V</t>
        </is>
      </c>
      <c r="Q223" s="67" t="inlineStr">
        <is>
          <t>PWC - Firmwide Webcast - 30.6.26</t>
        </is>
      </c>
      <c r="R223" s="67" t="inlineStr">
        <is>
          <t>VIDEO</t>
        </is>
      </c>
    </row>
    <row r="224">
      <c r="P224" s="67" t="inlineStr">
        <is>
          <t>26061202</t>
        </is>
      </c>
      <c r="Q224" s="67" t="inlineStr">
        <is>
          <t>CBA AGM 2027</t>
        </is>
      </c>
      <c r="R224" s="67" t="inlineStr">
        <is>
          <t>PRODUCTION</t>
        </is>
      </c>
    </row>
    <row r="225">
      <c r="P225" s="67" t="inlineStr">
        <is>
          <t>26061202V</t>
        </is>
      </c>
      <c r="Q225" s="67" t="inlineStr">
        <is>
          <t>CBA AGM 2027</t>
        </is>
      </c>
      <c r="R225" s="67" t="inlineStr">
        <is>
          <t>VIDEO</t>
        </is>
      </c>
    </row>
    <row r="226">
      <c r="P226" s="67" t="inlineStr">
        <is>
          <t>26061501</t>
        </is>
      </c>
      <c r="Q226" s="67" t="inlineStr">
        <is>
          <t>DTTL MEL Lv29 Display Supply</t>
        </is>
      </c>
      <c r="R226" s="67" t="inlineStr">
        <is>
          <t>INTEGRATION</t>
        </is>
      </c>
    </row>
    <row r="227">
      <c r="P227" s="67" t="inlineStr">
        <is>
          <t>26061602</t>
        </is>
      </c>
      <c r="Q227" s="67" t="inlineStr">
        <is>
          <t>ASX - CEO Connect (Extended) - 1.9.26</t>
        </is>
      </c>
      <c r="R227" s="67" t="inlineStr">
        <is>
          <t>PRODUCTION</t>
        </is>
      </c>
    </row>
    <row r="228">
      <c r="P228" s="67" t="inlineStr">
        <is>
          <t>26061602V</t>
        </is>
      </c>
      <c r="Q228" s="67" t="inlineStr">
        <is>
          <t>ASX - CEO Connect (Extended) - 1.9.26</t>
        </is>
      </c>
      <c r="R228" s="67" t="inlineStr">
        <is>
          <t>VIDEO</t>
        </is>
      </c>
    </row>
    <row r="229">
      <c r="P229" s="67" t="inlineStr">
        <is>
          <t>26061605</t>
        </is>
      </c>
      <c r="Q229" s="67" t="inlineStr">
        <is>
          <t>MUFG - IBM Ltd AGM - 27.10.26</t>
        </is>
      </c>
      <c r="R229" s="67" t="inlineStr">
        <is>
          <t>PRODUCTION</t>
        </is>
      </c>
    </row>
    <row r="230">
      <c r="P230" s="67" t="inlineStr">
        <is>
          <t>26061605V</t>
        </is>
      </c>
      <c r="Q230" s="67" t="inlineStr">
        <is>
          <t>MUFG - IBM Ltd AGM - 27.10.26</t>
        </is>
      </c>
      <c r="R230" s="67" t="inlineStr">
        <is>
          <t>VIDEO</t>
        </is>
      </c>
    </row>
    <row r="231">
      <c r="P231" s="67" t="inlineStr">
        <is>
          <t>26061606</t>
        </is>
      </c>
      <c r="Q231" s="67" t="inlineStr">
        <is>
          <t>MUFG - Endeavour AGM - 30.10.26</t>
        </is>
      </c>
      <c r="R231" s="67" t="inlineStr">
        <is>
          <t>PRODUCTION</t>
        </is>
      </c>
    </row>
    <row r="232">
      <c r="P232" s="67" t="inlineStr">
        <is>
          <t>26061606V</t>
        </is>
      </c>
      <c r="Q232" s="67" t="inlineStr">
        <is>
          <t>MUFG - Endeavour AGM - 30.10.26</t>
        </is>
      </c>
      <c r="R232" s="67" t="inlineStr">
        <is>
          <t>VIDEO</t>
        </is>
      </c>
    </row>
    <row r="233">
      <c r="P233" s="67" t="inlineStr">
        <is>
          <t>26061607</t>
        </is>
      </c>
      <c r="Q233" s="67" t="inlineStr">
        <is>
          <t>APA - Qtly All Hands (BNE) - 4.11.26</t>
        </is>
      </c>
      <c r="R233" s="67" t="inlineStr">
        <is>
          <t>PRODUCTION</t>
        </is>
      </c>
    </row>
    <row r="234">
      <c r="P234" s="67" t="inlineStr">
        <is>
          <t>26061607V</t>
        </is>
      </c>
      <c r="Q234" s="67" t="inlineStr">
        <is>
          <t>APA - Qtly All Hands (BNE) - 4.11.26</t>
        </is>
      </c>
      <c r="R234" s="67" t="inlineStr">
        <is>
          <t>VIDEO</t>
        </is>
      </c>
    </row>
    <row r="235">
      <c r="P235" s="67" t="inlineStr">
        <is>
          <t>26061608</t>
        </is>
      </c>
      <c r="Q235" s="67" t="inlineStr">
        <is>
          <t>APA - Qtly All Hands Sydney - Feb 27</t>
        </is>
      </c>
      <c r="R235" s="67" t="inlineStr">
        <is>
          <t>PRODUCTION</t>
        </is>
      </c>
    </row>
    <row r="236">
      <c r="P236" s="67" t="inlineStr">
        <is>
          <t>26061608V</t>
        </is>
      </c>
      <c r="Q236" s="67" t="inlineStr">
        <is>
          <t>APA - Qtly All Hands Sydney - Feb 27</t>
        </is>
      </c>
      <c r="R236" s="67" t="inlineStr">
        <is>
          <t>VIDEO</t>
        </is>
      </c>
    </row>
    <row r="237">
      <c r="P237" s="67" t="inlineStr">
        <is>
          <t>26061609</t>
        </is>
      </c>
      <c r="Q237" s="67" t="inlineStr">
        <is>
          <t>APA Qtly All Hands Perth - May 2027</t>
        </is>
      </c>
      <c r="R237" s="67" t="inlineStr">
        <is>
          <t>PRODUCTION</t>
        </is>
      </c>
    </row>
    <row r="238">
      <c r="P238" s="67" t="inlineStr">
        <is>
          <t>26061609V</t>
        </is>
      </c>
      <c r="Q238" s="67" t="inlineStr">
        <is>
          <t>APA Qtly All Hands Perth - May 2027</t>
        </is>
      </c>
      <c r="R238" s="67" t="inlineStr">
        <is>
          <t>VIDEO</t>
        </is>
      </c>
    </row>
    <row r="239">
      <c r="P239" s="67" t="inlineStr">
        <is>
          <t>26061611</t>
        </is>
      </c>
      <c r="Q239" s="67" t="inlineStr">
        <is>
          <t>QBE - Keynote Event - 27.10.26</t>
        </is>
      </c>
      <c r="R239" s="67" t="inlineStr">
        <is>
          <t>PRODUCTION</t>
        </is>
      </c>
    </row>
    <row r="240">
      <c r="P240" s="67" t="inlineStr">
        <is>
          <t>26061611V</t>
        </is>
      </c>
      <c r="Q240" s="67" t="inlineStr">
        <is>
          <t>QBE - Keynote Event - 27.10.26</t>
        </is>
      </c>
      <c r="R240" s="67" t="inlineStr">
        <is>
          <t>VIDEO</t>
        </is>
      </c>
    </row>
    <row r="241">
      <c r="P241" s="67" t="inlineStr">
        <is>
          <t>26061612</t>
        </is>
      </c>
      <c r="Q241" s="67" t="inlineStr">
        <is>
          <t>Chorus Call - Redox AGM - 7.10.26</t>
        </is>
      </c>
      <c r="R241" s="67" t="inlineStr">
        <is>
          <t>PRODUCTION</t>
        </is>
      </c>
    </row>
    <row r="242">
      <c r="P242" s="67" t="inlineStr">
        <is>
          <t>26061612V</t>
        </is>
      </c>
      <c r="Q242" s="67" t="inlineStr">
        <is>
          <t>Chorus Call - Redox AGM - 7.10.26</t>
        </is>
      </c>
      <c r="R242" s="67" t="inlineStr">
        <is>
          <t>VIDEO</t>
        </is>
      </c>
    </row>
    <row r="243">
      <c r="P243" s="67" t="inlineStr">
        <is>
          <t>26061701</t>
        </is>
      </c>
      <c r="Q243" s="67" t="inlineStr">
        <is>
          <t>CBA - LES - July 2026</t>
        </is>
      </c>
      <c r="R243" s="67" t="inlineStr">
        <is>
          <t>PRODUCTION</t>
        </is>
      </c>
    </row>
    <row r="244">
      <c r="P244" s="67" t="inlineStr">
        <is>
          <t>26061702</t>
        </is>
      </c>
      <c r="Q244" s="67" t="inlineStr">
        <is>
          <t>Garvan - Morning Tea Event - 31.7.26</t>
        </is>
      </c>
      <c r="R244" s="67" t="inlineStr">
        <is>
          <t>PRODUCTION</t>
        </is>
      </c>
    </row>
    <row r="245">
      <c r="P245" s="67" t="inlineStr">
        <is>
          <t>26061801</t>
        </is>
      </c>
      <c r="Q245" s="67" t="inlineStr">
        <is>
          <t>APA - Investor Briefing FYR26 - 20.8.26</t>
        </is>
      </c>
      <c r="R245" s="67" t="inlineStr">
        <is>
          <t>PRODUCTION</t>
        </is>
      </c>
    </row>
    <row r="246">
      <c r="P246" s="67" t="inlineStr">
        <is>
          <t>26061801V</t>
        </is>
      </c>
      <c r="Q246" s="67" t="inlineStr">
        <is>
          <t>APA - Investor Briefing FYR26 - 20.8.26</t>
        </is>
      </c>
      <c r="R246" s="67" t="inlineStr">
        <is>
          <t>VIDEO</t>
        </is>
      </c>
    </row>
    <row r="247">
      <c r="P247" s="67" t="inlineStr">
        <is>
          <t>26062201</t>
        </is>
      </c>
      <c r="Q247" s="67" t="inlineStr">
        <is>
          <t>PWC - Tax &amp; Legal Webcast 02.07.26</t>
        </is>
      </c>
      <c r="R247" s="67" t="inlineStr">
        <is>
          <t>PRODUCTION</t>
        </is>
      </c>
    </row>
    <row r="248">
      <c r="P248" s="67" t="inlineStr">
        <is>
          <t>26062201V</t>
        </is>
      </c>
      <c r="Q248" s="67" t="inlineStr">
        <is>
          <t>PWC - Tax &amp; Legal Webcast 02.07.26</t>
        </is>
      </c>
      <c r="R248" s="67" t="inlineStr">
        <is>
          <t>VIDEO</t>
        </is>
      </c>
    </row>
    <row r="249">
      <c r="P249" s="67" t="inlineStr">
        <is>
          <t>26062202</t>
        </is>
      </c>
      <c r="Q249" s="67" t="inlineStr">
        <is>
          <t>PWC - Early Careers Webcast - 29.7.26</t>
        </is>
      </c>
      <c r="R249" s="67" t="inlineStr">
        <is>
          <t>PRODUCTION</t>
        </is>
      </c>
    </row>
    <row r="250">
      <c r="P250" s="67" t="inlineStr">
        <is>
          <t>26062202V</t>
        </is>
      </c>
      <c r="Q250" s="67" t="inlineStr">
        <is>
          <t>PWC - Early Careers Webcast - 29.7.26</t>
        </is>
      </c>
      <c r="R250" s="67" t="inlineStr">
        <is>
          <t>VIDEO</t>
        </is>
      </c>
    </row>
    <row r="251">
      <c r="P251" s="67" t="inlineStr">
        <is>
          <t>26062403</t>
        </is>
      </c>
      <c r="Q251" s="67" t="inlineStr">
        <is>
          <t>CBA - CommBank Private Hosting 25.6.26</t>
        </is>
      </c>
      <c r="R251" s="67" t="inlineStr">
        <is>
          <t>PRODUCTION</t>
        </is>
      </c>
    </row>
    <row r="252">
      <c r="P252" s="67" t="inlineStr">
        <is>
          <t>26062403V</t>
        </is>
      </c>
      <c r="Q252" s="67" t="inlineStr">
        <is>
          <t>CBA - CommBank Private Hosting 25.6.26</t>
        </is>
      </c>
      <c r="R252" s="67" t="inlineStr">
        <is>
          <t>VIDEO</t>
        </is>
      </c>
    </row>
    <row r="253">
      <c r="P253" s="67" t="inlineStr">
        <is>
          <t>26062501</t>
        </is>
      </c>
      <c r="Q253" s="67" t="inlineStr">
        <is>
          <t>DTTL STL Travel (SYD-MEL Return)</t>
        </is>
      </c>
      <c r="R253" s="67" t="inlineStr">
        <is>
          <t>ONSITE</t>
        </is>
      </c>
    </row>
    <row r="254">
      <c r="P254" s="67" t="inlineStr">
        <is>
          <t>26062503</t>
        </is>
      </c>
      <c r="Q254" s="67" t="inlineStr">
        <is>
          <t>Aware Super 24.16 UC Engine Replacement</t>
        </is>
      </c>
      <c r="R254" s="67" t="inlineStr">
        <is>
          <t>INTEGRATION</t>
        </is>
      </c>
    </row>
    <row r="255">
      <c r="P255" s="67" t="inlineStr">
        <is>
          <t>26062601</t>
        </is>
      </c>
      <c r="Q255" s="67" t="inlineStr">
        <is>
          <t>Ventia - XELT Event - 29.6.26</t>
        </is>
      </c>
      <c r="R255" s="67" t="inlineStr">
        <is>
          <t>PRODUCTION</t>
        </is>
      </c>
    </row>
    <row r="256">
      <c r="P256" s="67" t="inlineStr">
        <is>
          <t>26062601V</t>
        </is>
      </c>
      <c r="Q256" s="67" t="inlineStr">
        <is>
          <t>Ventia - XELT Event - 29.6.26</t>
        </is>
      </c>
      <c r="R256" s="67" t="inlineStr">
        <is>
          <t>VIDEO</t>
        </is>
      </c>
    </row>
    <row r="257">
      <c r="P257" s="67" t="inlineStr">
        <is>
          <t>26062901</t>
        </is>
      </c>
      <c r="Q257" s="67" t="inlineStr">
        <is>
          <t>Aware | SYD 28.06 Services</t>
        </is>
      </c>
      <c r="R257" s="67" t="inlineStr">
        <is>
          <t>INTEGRATION</t>
        </is>
      </c>
    </row>
    <row r="258">
      <c r="P258" s="67" t="inlineStr">
        <is>
          <t>26062902</t>
        </is>
      </c>
      <c r="Q258" s="67" t="inlineStr">
        <is>
          <t>Aware | SYD Occupancy Sensors</t>
        </is>
      </c>
      <c r="R258" s="67" t="inlineStr">
        <is>
          <t>INTEGRATION</t>
        </is>
      </c>
    </row>
    <row r="259">
      <c r="P259" s="67" t="inlineStr">
        <is>
          <t>26063002</t>
        </is>
      </c>
      <c r="Q259" s="67" t="inlineStr">
        <is>
          <t>CEOi - CEO Connect - 11.8.26</t>
        </is>
      </c>
      <c r="R259" s="67" t="inlineStr">
        <is>
          <t>PRODUCTION</t>
        </is>
      </c>
    </row>
    <row r="260">
      <c r="P260" s="67" t="inlineStr">
        <is>
          <t>26063002V</t>
        </is>
      </c>
      <c r="Q260" s="67" t="inlineStr">
        <is>
          <t>CEOi - CEO Connect - 11.8.26</t>
        </is>
      </c>
      <c r="R260" s="67" t="inlineStr">
        <is>
          <t>VIDEO</t>
        </is>
      </c>
    </row>
    <row r="261">
      <c r="P261" s="67" t="inlineStr">
        <is>
          <t>2606401V</t>
        </is>
      </c>
      <c r="Q261" s="67" t="inlineStr">
        <is>
          <t>PWC - NRW Webcast - 11.6.26</t>
        </is>
      </c>
      <c r="R261" s="67" t="inlineStr">
        <is>
          <t>VIDEO</t>
        </is>
      </c>
    </row>
    <row r="262">
      <c r="P262" s="67" t="inlineStr">
        <is>
          <t>2606901</t>
        </is>
      </c>
      <c r="Q262" s="67" t="inlineStr">
        <is>
          <t>PwC | Syd Studio Equipment</t>
        </is>
      </c>
      <c r="R262" s="67" t="inlineStr">
        <is>
          <t>INTEGRATION</t>
        </is>
      </c>
    </row>
    <row r="263">
      <c r="P263" s="67" t="inlineStr">
        <is>
          <t>2606902</t>
        </is>
      </c>
      <c r="Q263" s="67" t="inlineStr">
        <is>
          <t>AVIT - Taronga AV Support - 9-11.6.26</t>
        </is>
      </c>
      <c r="R263" s="67" t="inlineStr">
        <is>
          <t>PRODUCTION</t>
        </is>
      </c>
    </row>
    <row r="264">
      <c r="P264" s="67" t="inlineStr">
        <is>
          <t>2606903</t>
        </is>
      </c>
      <c r="Q264" s="67" t="inlineStr">
        <is>
          <t>Virgin FY26 Results</t>
        </is>
      </c>
      <c r="R264" s="67" t="inlineStr">
        <is>
          <t>PRODUCTION</t>
        </is>
      </c>
    </row>
    <row r="265">
      <c r="P265" s="67" t="inlineStr">
        <is>
          <t>2606903V</t>
        </is>
      </c>
      <c r="Q265" s="67" t="inlineStr">
        <is>
          <t>Virgin FY26 Results</t>
        </is>
      </c>
      <c r="R265" s="67" t="inlineStr">
        <is>
          <t>VIDEO</t>
        </is>
      </c>
    </row>
    <row r="266">
      <c r="P266" s="67" t="inlineStr">
        <is>
          <t>2606904</t>
        </is>
      </c>
      <c r="Q266" s="67" t="inlineStr">
        <is>
          <t>Symal - FYR26 (Melb) - 24.8.26</t>
        </is>
      </c>
      <c r="R266" s="67" t="inlineStr">
        <is>
          <t>PRODUCTION</t>
        </is>
      </c>
    </row>
    <row r="267">
      <c r="P267" s="67" t="inlineStr">
        <is>
          <t>2606904V</t>
        </is>
      </c>
      <c r="Q267" s="67" t="inlineStr">
        <is>
          <t>Symal - FYR26 (Melb) - 24.8.26</t>
        </is>
      </c>
      <c r="R267" s="67" t="inlineStr">
        <is>
          <t>VIDEO</t>
        </is>
      </c>
    </row>
    <row r="268">
      <c r="P268" s="67" t="inlineStr">
        <is>
          <t>2606905</t>
        </is>
      </c>
      <c r="Q268" s="67" t="inlineStr">
        <is>
          <t>Dimensional - Audio Tech Support - 22.6.26</t>
        </is>
      </c>
      <c r="R268" s="67" t="inlineStr">
        <is>
          <t>PRODUCTION</t>
        </is>
      </c>
    </row>
    <row r="269">
      <c r="P269" s="67" t="inlineStr">
        <is>
          <t>2606906</t>
        </is>
      </c>
      <c r="Q269" s="67" t="inlineStr">
        <is>
          <t>St Catherines Case Study Video Non-Chrgable</t>
        </is>
      </c>
      <c r="R269" s="67" t="inlineStr">
        <is>
          <t>VIDEO</t>
        </is>
      </c>
    </row>
    <row r="270">
      <c r="P270" s="67" t="inlineStr">
        <is>
          <t>26071303</t>
        </is>
      </c>
      <c r="Q270" s="67" t="inlineStr">
        <is>
          <t>Ventia - Melbourne Office Event - 30.7.26</t>
        </is>
      </c>
      <c r="R270" s="67" t="inlineStr">
        <is>
          <t>PRODUCTION</t>
        </is>
      </c>
    </row>
    <row r="271">
      <c r="P271" s="67" t="inlineStr">
        <is>
          <t>26071304</t>
        </is>
      </c>
      <c r="Q271" s="67" t="inlineStr">
        <is>
          <t>YSG | Orange Room Upgrade</t>
        </is>
      </c>
      <c r="R271" s="67" t="inlineStr">
        <is>
          <t>INTEGRATION</t>
        </is>
      </c>
    </row>
    <row r="272">
      <c r="P272" s="67" t="inlineStr">
        <is>
          <t>26071403</t>
        </is>
      </c>
      <c r="Q272" s="67" t="inlineStr">
        <is>
          <t>Elkiem - Studio Support - 4.11.26</t>
        </is>
      </c>
      <c r="R272" s="67" t="inlineStr">
        <is>
          <t>PRODUCTION</t>
        </is>
      </c>
    </row>
    <row r="273">
      <c r="P273" s="67" t="inlineStr">
        <is>
          <t>26071404</t>
        </is>
      </c>
      <c r="Q273" s="67" t="inlineStr">
        <is>
          <t>Elkiem - Studio Support - 9.12.26</t>
        </is>
      </c>
      <c r="R273" s="67" t="inlineStr">
        <is>
          <t>PRODUCTION</t>
        </is>
      </c>
    </row>
    <row r="274">
      <c r="P274" s="67" t="inlineStr">
        <is>
          <t>26071405</t>
        </is>
      </c>
      <c r="Q274" s="67" t="inlineStr">
        <is>
          <t>PWC - Event Technician - 29.7.26</t>
        </is>
      </c>
      <c r="R274" s="67" t="inlineStr">
        <is>
          <t>PRODUCTION</t>
        </is>
      </c>
    </row>
    <row r="275">
      <c r="P275" s="67" t="inlineStr">
        <is>
          <t>26071501</t>
        </is>
      </c>
      <c r="Q275" s="67" t="inlineStr">
        <is>
          <t>Ventia - Half Year Results Briefing - 24.8.26</t>
        </is>
      </c>
      <c r="R275" s="67" t="inlineStr">
        <is>
          <t>PRODUCTION</t>
        </is>
      </c>
    </row>
    <row r="276">
      <c r="P276" s="67" t="inlineStr">
        <is>
          <t>26071501V</t>
        </is>
      </c>
      <c r="Q276" s="67" t="inlineStr">
        <is>
          <t>Ventia - Half Year Results Briefing - 24.8.26</t>
        </is>
      </c>
      <c r="R276" s="67" t="inlineStr">
        <is>
          <t>VIDEO</t>
        </is>
      </c>
    </row>
    <row r="277">
      <c r="P277" s="67" t="inlineStr">
        <is>
          <t>26071601</t>
        </is>
      </c>
      <c r="Q277" s="67" t="inlineStr">
        <is>
          <t>Aware | PER | Barry Marshall and Albany Rooms BYOD USB-C Replcmnt</t>
        </is>
      </c>
      <c r="R277" s="67" t="inlineStr">
        <is>
          <t>INTEGRATION</t>
        </is>
      </c>
    </row>
    <row r="278">
      <c r="P278" s="67" t="inlineStr">
        <is>
          <t>26071701</t>
        </is>
      </c>
      <c r="Q278" s="67" t="inlineStr">
        <is>
          <t>ASX Live - 9.9.26</t>
        </is>
      </c>
      <c r="R278" s="67" t="inlineStr">
        <is>
          <t>PRODUCTION</t>
        </is>
      </c>
    </row>
    <row r="279">
      <c r="P279" s="67" t="inlineStr">
        <is>
          <t>26071701V</t>
        </is>
      </c>
      <c r="Q279" s="67" t="inlineStr">
        <is>
          <t>ASX Live - 9.9.26</t>
        </is>
      </c>
      <c r="R279" s="67" t="inlineStr">
        <is>
          <t>VIDEO</t>
        </is>
      </c>
    </row>
    <row r="280">
      <c r="P280" s="67" t="inlineStr">
        <is>
          <t>26071901</t>
        </is>
      </c>
      <c r="Q280" s="67" t="inlineStr">
        <is>
          <t>Elkiem - Studio Support - 11.8.26</t>
        </is>
      </c>
      <c r="R280" s="67" t="inlineStr">
        <is>
          <t>PRODUCTION</t>
        </is>
      </c>
    </row>
    <row r="281">
      <c r="P281" s="67" t="inlineStr">
        <is>
          <t>26072003</t>
        </is>
      </c>
      <c r="Q281" s="67" t="inlineStr">
        <is>
          <t>CBA Live Event Support August 2026</t>
        </is>
      </c>
      <c r="R281" s="67" t="inlineStr">
        <is>
          <t>PRODUCTION</t>
        </is>
      </c>
    </row>
    <row r="282">
      <c r="P282" s="67" t="inlineStr">
        <is>
          <t>26072101</t>
        </is>
      </c>
      <c r="Q282" s="67" t="inlineStr">
        <is>
          <t>Aware MEL 17.02 Amp Replacement</t>
        </is>
      </c>
      <c r="R282" s="67" t="inlineStr">
        <is>
          <t>INTEGRATION</t>
        </is>
      </c>
    </row>
    <row r="283">
      <c r="P283" s="67" t="inlineStr">
        <is>
          <t>26072101</t>
        </is>
      </c>
      <c r="Q283" s="67" t="inlineStr">
        <is>
          <t>Aware_Mel 17.02 Amp Replacement</t>
        </is>
      </c>
      <c r="R283" s="67" t="inlineStr">
        <is>
          <t>INTEGRATION</t>
        </is>
      </c>
    </row>
    <row r="284">
      <c r="P284" s="67" t="inlineStr">
        <is>
          <t>26072102</t>
        </is>
      </c>
      <c r="Q284" s="67" t="inlineStr">
        <is>
          <t>Ventia - RUOK? Day - 10.09.2026</t>
        </is>
      </c>
      <c r="R284" s="67" t="inlineStr">
        <is>
          <t>PRODUCTION</t>
        </is>
      </c>
    </row>
    <row r="285">
      <c r="P285" s="67" t="inlineStr">
        <is>
          <t>26072102V</t>
        </is>
      </c>
      <c r="Q285" s="67" t="inlineStr">
        <is>
          <t>Ventia - RUOK? Day - 10.09.2026</t>
        </is>
      </c>
      <c r="R285" s="67" t="inlineStr">
        <is>
          <t>VIDEO</t>
        </is>
      </c>
    </row>
    <row r="286">
      <c r="P286" s="67" t="inlineStr">
        <is>
          <t>26072802</t>
        </is>
      </c>
      <c r="Q286" s="67" t="inlineStr">
        <is>
          <t>ON24 KWM Sydney Event - 18.08.2026</t>
        </is>
      </c>
      <c r="R286" s="67" t="inlineStr">
        <is>
          <t>PRODUCTION</t>
        </is>
      </c>
    </row>
    <row r="287">
      <c r="P287" s="67" t="inlineStr">
        <is>
          <t>26072802V</t>
        </is>
      </c>
      <c r="Q287" s="67" t="inlineStr">
        <is>
          <t>ON24 KWM Sydney Event - 18.08.2026</t>
        </is>
      </c>
      <c r="R287" s="67" t="inlineStr">
        <is>
          <t>VIDEO</t>
        </is>
      </c>
    </row>
    <row r="288">
      <c r="P288" s="67" t="inlineStr">
        <is>
          <t>26072902</t>
        </is>
      </c>
      <c r="Q288" s="67" t="inlineStr">
        <is>
          <t>PWC AI Townhall 6.8.26</t>
        </is>
      </c>
      <c r="R288" s="67" t="inlineStr">
        <is>
          <t>PRODUCTION</t>
        </is>
      </c>
    </row>
    <row r="289">
      <c r="P289" s="67" t="inlineStr">
        <is>
          <t>26072902V</t>
        </is>
      </c>
      <c r="Q289" s="67" t="inlineStr">
        <is>
          <t>PWC AI Townhall 6.8.26</t>
        </is>
      </c>
      <c r="R289" s="67" t="inlineStr">
        <is>
          <t>VIDEO</t>
        </is>
      </c>
    </row>
    <row r="290">
      <c r="P290" s="67" t="inlineStr">
        <is>
          <t>26072903</t>
        </is>
      </c>
      <c r="Q290" s="67" t="inlineStr">
        <is>
          <t>PWC - GB Webcast - 11.8.26</t>
        </is>
      </c>
      <c r="R290" s="67" t="inlineStr">
        <is>
          <t>PRODUCTION</t>
        </is>
      </c>
    </row>
    <row r="291">
      <c r="P291" s="67" t="inlineStr">
        <is>
          <t>26072903V</t>
        </is>
      </c>
      <c r="Q291" s="67" t="inlineStr">
        <is>
          <t>PWC - GB Webcast - 11.8.26</t>
        </is>
      </c>
      <c r="R291" s="67" t="inlineStr">
        <is>
          <t>VIDEO</t>
        </is>
      </c>
    </row>
    <row r="292">
      <c r="P292" s="67" t="inlineStr">
        <is>
          <t>26072906</t>
        </is>
      </c>
      <c r="Q292" s="67" t="inlineStr">
        <is>
          <t>ASX Advisory Group on Corporate Governance</t>
        </is>
      </c>
      <c r="R292" s="67" t="inlineStr">
        <is>
          <t>PRODUCTION</t>
        </is>
      </c>
    </row>
    <row r="293">
      <c r="P293" s="67" t="inlineStr">
        <is>
          <t>26072906V</t>
        </is>
      </c>
      <c r="Q293" s="67" t="inlineStr">
        <is>
          <t>ASX Advisory Group on Corporate Governance</t>
        </is>
      </c>
      <c r="R293" s="67" t="inlineStr">
        <is>
          <t>VIDEO</t>
        </is>
      </c>
    </row>
    <row r="294">
      <c r="P294" s="67" t="inlineStr">
        <is>
          <t>26073103</t>
        </is>
      </c>
      <c r="Q294" s="67" t="inlineStr">
        <is>
          <t>DTTL PER AV &amp; Hospitality Tech (SEP26-FEB27)</t>
        </is>
      </c>
      <c r="R294" s="67" t="inlineStr">
        <is>
          <t>ONSITE</t>
        </is>
      </c>
    </row>
    <row r="295">
      <c r="P295" s="67" t="inlineStr">
        <is>
          <t>26073103N</t>
        </is>
      </c>
      <c r="Q295" s="67" t="inlineStr">
        <is>
          <t>DTTL PER AV &amp; Hospitality Tech (SEP26-FEB27) [ONS] non-chargeable</t>
        </is>
      </c>
      <c r="R295" s="67" t="inlineStr"/>
    </row>
    <row r="296">
      <c r="P296" s="67" t="inlineStr">
        <is>
          <t>26073105</t>
        </is>
      </c>
      <c r="Q296" s="67" t="inlineStr">
        <is>
          <t>Elkiem - Studio Support - 25.8.26</t>
        </is>
      </c>
      <c r="R296" s="67" t="inlineStr">
        <is>
          <t>PRODUCTION</t>
        </is>
      </c>
    </row>
    <row r="297">
      <c r="P297" s="67" t="inlineStr">
        <is>
          <t>26073106</t>
        </is>
      </c>
      <c r="Q297" s="67" t="inlineStr">
        <is>
          <t>Elkiem - Studio Support - 18.9.26</t>
        </is>
      </c>
      <c r="R297" s="67" t="inlineStr">
        <is>
          <t>PRODUCTION</t>
        </is>
      </c>
    </row>
    <row r="298">
      <c r="P298" s="67" t="inlineStr">
        <is>
          <t>26073107</t>
        </is>
      </c>
      <c r="Q298" s="67" t="inlineStr">
        <is>
          <t>DTTL Travel for Technician &amp; Coverage ADL-HOB</t>
        </is>
      </c>
      <c r="R298" s="67" t="inlineStr">
        <is>
          <t>ONSITE</t>
        </is>
      </c>
    </row>
    <row r="299">
      <c r="P299" s="67" t="inlineStr">
        <is>
          <t>26073110</t>
        </is>
      </c>
      <c r="Q299" s="67" t="inlineStr">
        <is>
          <t>Garvan - Weizmann Dinner Event - 20.8.26</t>
        </is>
      </c>
      <c r="R299" s="67" t="inlineStr">
        <is>
          <t>PRODUCTION</t>
        </is>
      </c>
    </row>
    <row r="300">
      <c r="P300" s="67" t="inlineStr">
        <is>
          <t>26073110V</t>
        </is>
      </c>
      <c r="Q300" s="67" t="inlineStr">
        <is>
          <t>Garvan - Weizmann Dinner Event - 20.8.26</t>
        </is>
      </c>
      <c r="R300" s="67" t="inlineStr">
        <is>
          <t>VIDEO</t>
        </is>
      </c>
    </row>
    <row r="301">
      <c r="P301" s="67" t="inlineStr">
        <is>
          <t>26073111</t>
        </is>
      </c>
      <c r="Q301" s="67" t="inlineStr">
        <is>
          <t>Downer - FYR &amp; Employee Webcast - 25.8.26</t>
        </is>
      </c>
      <c r="R301" s="67" t="inlineStr">
        <is>
          <t>PRODUCTION</t>
        </is>
      </c>
    </row>
    <row r="302">
      <c r="P302" s="67" t="inlineStr">
        <is>
          <t>26073111V</t>
        </is>
      </c>
      <c r="Q302" s="67" t="inlineStr">
        <is>
          <t>Downer - FYR &amp; Employee Webcast - 25.8.26</t>
        </is>
      </c>
      <c r="R302" s="67" t="inlineStr">
        <is>
          <t>VIDEO</t>
        </is>
      </c>
    </row>
    <row r="303">
      <c r="P303" s="67" t="inlineStr">
        <is>
          <t>2607703</t>
        </is>
      </c>
      <c r="Q303" s="67" t="inlineStr">
        <is>
          <t>Garvan - YPO Event - 6.8.2026</t>
        </is>
      </c>
      <c r="R303" s="67" t="inlineStr">
        <is>
          <t>PRODUCTION</t>
        </is>
      </c>
    </row>
    <row r="304">
      <c r="P304" s="67" t="inlineStr">
        <is>
          <t>2607703V</t>
        </is>
      </c>
      <c r="Q304" s="67" t="inlineStr">
        <is>
          <t>Garvan - YPO Event - 6.8.2026</t>
        </is>
      </c>
      <c r="R304" s="67" t="inlineStr">
        <is>
          <t>VIDEO</t>
        </is>
      </c>
    </row>
    <row r="305">
      <c r="P305" s="67" t="inlineStr">
        <is>
          <t>2608101</t>
        </is>
      </c>
      <c r="Q305" s="67" t="inlineStr">
        <is>
          <t>ART - AMM Captioning - 25.11.26</t>
        </is>
      </c>
      <c r="R305" s="67" t="inlineStr">
        <is>
          <t>PRODUCTION</t>
        </is>
      </c>
    </row>
    <row r="306">
      <c r="P306" s="67" t="inlineStr">
        <is>
          <t>2608101V</t>
        </is>
      </c>
      <c r="Q306" s="67" t="inlineStr">
        <is>
          <t>ART - AMM Captioning - 25.11.26</t>
        </is>
      </c>
      <c r="R306" s="67" t="inlineStr">
        <is>
          <t>VIDEO</t>
        </is>
      </c>
    </row>
    <row r="307">
      <c r="P307" s="67" t="inlineStr">
        <is>
          <t>2608102</t>
        </is>
      </c>
      <c r="Q307" s="67" t="inlineStr">
        <is>
          <t>ART - Education Session Captioning - 25.11.26</t>
        </is>
      </c>
      <c r="R307" s="67" t="inlineStr">
        <is>
          <t>PRODUCTION</t>
        </is>
      </c>
    </row>
    <row r="308">
      <c r="P308" s="67" t="inlineStr">
        <is>
          <t>26081101</t>
        </is>
      </c>
      <c r="Q308" s="67" t="inlineStr">
        <is>
          <t>Vega Global - Payments Forum - 17.9.26</t>
        </is>
      </c>
      <c r="R308" s="67" t="inlineStr">
        <is>
          <t>PRODUCTION</t>
        </is>
      </c>
    </row>
    <row r="309">
      <c r="P309" s="67" t="inlineStr">
        <is>
          <t>26081302</t>
        </is>
      </c>
      <c r="Q309" s="67" t="inlineStr">
        <is>
          <t>Ubank - Volunteer Day - 11.11.26</t>
        </is>
      </c>
      <c r="R309" s="67" t="inlineStr">
        <is>
          <t>PRODUCTION</t>
        </is>
      </c>
    </row>
    <row r="310">
      <c r="P310" s="67" t="inlineStr">
        <is>
          <t>26081302V</t>
        </is>
      </c>
      <c r="Q310" s="67" t="inlineStr">
        <is>
          <t>Ubank - Volunteer Day - 11.11.26</t>
        </is>
      </c>
      <c r="R310" s="67" t="inlineStr">
        <is>
          <t>VIDEO</t>
        </is>
      </c>
    </row>
    <row r="311">
      <c r="P311" s="67" t="inlineStr">
        <is>
          <t>26081402</t>
        </is>
      </c>
      <c r="Q311" s="67" t="inlineStr">
        <is>
          <t>Dimensional - AV Support - 19.8.26</t>
        </is>
      </c>
      <c r="R311" s="67" t="inlineStr">
        <is>
          <t>PRODUCTION</t>
        </is>
      </c>
    </row>
    <row r="312">
      <c r="P312" s="67" t="inlineStr">
        <is>
          <t>26081801</t>
        </is>
      </c>
      <c r="Q312" s="67" t="inlineStr">
        <is>
          <t>Microsoft - SME&amp;C Town Hall 14.10.2026</t>
        </is>
      </c>
      <c r="R312" s="67" t="inlineStr">
        <is>
          <t>PRODUCTION</t>
        </is>
      </c>
    </row>
    <row r="313">
      <c r="P313" s="67" t="inlineStr">
        <is>
          <t>26081801V</t>
        </is>
      </c>
      <c r="Q313" s="67" t="inlineStr">
        <is>
          <t>Microsoft - SME&amp;C Town Hall 14.10.2026</t>
        </is>
      </c>
      <c r="R313" s="67" t="inlineStr">
        <is>
          <t>VIDEO</t>
        </is>
      </c>
    </row>
    <row r="314">
      <c r="P314" s="67" t="inlineStr">
        <is>
          <t>26081901</t>
        </is>
      </c>
      <c r="Q314" s="67" t="inlineStr">
        <is>
          <t>AusPayNet Logitech Essentials for Room License Renewal</t>
        </is>
      </c>
      <c r="R314" s="67" t="inlineStr">
        <is>
          <t>INTEGRATION</t>
        </is>
      </c>
    </row>
    <row r="315">
      <c r="P315" s="67" t="inlineStr">
        <is>
          <t>26081904</t>
        </is>
      </c>
      <c r="Q315" s="67" t="inlineStr">
        <is>
          <t>Garvan - AllClear Program Meeting - 2.9.26</t>
        </is>
      </c>
      <c r="R315" s="67" t="inlineStr">
        <is>
          <t>PRODUCTION</t>
        </is>
      </c>
    </row>
    <row r="316">
      <c r="P316" s="67" t="inlineStr">
        <is>
          <t>26082402</t>
        </is>
      </c>
      <c r="Q316" s="67" t="inlineStr">
        <is>
          <t>TLC - 2026 AGM - 14.10.26</t>
        </is>
      </c>
      <c r="R316" s="67" t="inlineStr">
        <is>
          <t>PRODUCTION</t>
        </is>
      </c>
    </row>
    <row r="317">
      <c r="P317" s="67" t="inlineStr">
        <is>
          <t>26082402V</t>
        </is>
      </c>
      <c r="Q317" s="67" t="inlineStr">
        <is>
          <t>TLC - 2026 AGM - 14.10.26</t>
        </is>
      </c>
      <c r="R317" s="67" t="inlineStr">
        <is>
          <t>VIDEO</t>
        </is>
      </c>
    </row>
    <row r="318">
      <c r="P318" s="67" t="inlineStr">
        <is>
          <t>26082501</t>
        </is>
      </c>
      <c r="Q318" s="67" t="inlineStr">
        <is>
          <t>CBA - LES - September 2026</t>
        </is>
      </c>
      <c r="R318" s="67" t="inlineStr">
        <is>
          <t>PRODUCTION</t>
        </is>
      </c>
    </row>
    <row r="319">
      <c r="P319" s="67" t="inlineStr">
        <is>
          <t>26082502</t>
        </is>
      </c>
      <c r="Q319" s="67" t="inlineStr">
        <is>
          <t>ICC - Presenter &amp; Speaker Preparation - September 2026</t>
        </is>
      </c>
      <c r="R319" s="67" t="inlineStr">
        <is>
          <t>PRODUCTION</t>
        </is>
      </c>
    </row>
    <row r="320">
      <c r="P320" s="67" t="inlineStr">
        <is>
          <t>26082502V</t>
        </is>
      </c>
      <c r="Q320" s="67" t="inlineStr">
        <is>
          <t>ICC - Presenter &amp; Speaker Preparation - September 2026</t>
        </is>
      </c>
      <c r="R320" s="67" t="inlineStr">
        <is>
          <t>VIDEO</t>
        </is>
      </c>
    </row>
    <row r="321">
      <c r="P321" s="67" t="inlineStr">
        <is>
          <t>26082702</t>
        </is>
      </c>
      <c r="Q321" s="67" t="inlineStr">
        <is>
          <t>Garvan - Breast Cancer Public Lecture - 1.10.26</t>
        </is>
      </c>
      <c r="R321" s="67" t="inlineStr">
        <is>
          <t>PRODUCTION</t>
        </is>
      </c>
    </row>
    <row r="322">
      <c r="P322" s="67" t="inlineStr">
        <is>
          <t>26082703</t>
        </is>
      </c>
      <c r="Q322" s="67" t="inlineStr">
        <is>
          <t>APA - RUOK Day - 10.9.26</t>
        </is>
      </c>
      <c r="R322" s="67" t="inlineStr">
        <is>
          <t>PRODUCTION</t>
        </is>
      </c>
    </row>
    <row r="323">
      <c r="P323" s="67" t="inlineStr">
        <is>
          <t>26082703V</t>
        </is>
      </c>
      <c r="Q323" s="67" t="inlineStr">
        <is>
          <t>APA - RUOK Day - 10.9.26</t>
        </is>
      </c>
      <c r="R323" s="67" t="inlineStr">
        <is>
          <t>VIDEO</t>
        </is>
      </c>
    </row>
    <row r="324">
      <c r="P324" s="67" t="inlineStr">
        <is>
          <t>26082704</t>
        </is>
      </c>
      <c r="Q324" s="67" t="inlineStr">
        <is>
          <t>DTTL Travel for National STL &amp; Coverage SYD-PER</t>
        </is>
      </c>
      <c r="R324" s="67" t="inlineStr">
        <is>
          <t>ONSITE</t>
        </is>
      </c>
    </row>
    <row r="325">
      <c r="P325" s="67" t="inlineStr">
        <is>
          <t>26082801</t>
        </is>
      </c>
      <c r="Q325" s="67" t="inlineStr">
        <is>
          <t>Ricoh Australia - SHELL AV Support</t>
        </is>
      </c>
      <c r="R325" s="67" t="inlineStr">
        <is>
          <t>ONSITE</t>
        </is>
      </c>
    </row>
    <row r="326">
      <c r="P326" s="67" t="inlineStr">
        <is>
          <t>2608402</t>
        </is>
      </c>
      <c r="Q326" s="67" t="inlineStr">
        <is>
          <t>Garvan - Suttons Event - 15.10.26</t>
        </is>
      </c>
      <c r="R326" s="67" t="inlineStr">
        <is>
          <t>PRODUCTION</t>
        </is>
      </c>
    </row>
    <row r="327">
      <c r="P327" s="67" t="inlineStr">
        <is>
          <t>2608404</t>
        </is>
      </c>
      <c r="Q327" s="67" t="inlineStr">
        <is>
          <t>St Vincents Public Hospital - Awards Night - 26.8.25</t>
        </is>
      </c>
      <c r="R327" s="67" t="inlineStr">
        <is>
          <t>PRODUCTION</t>
        </is>
      </c>
    </row>
    <row r="328">
      <c r="P328" s="67" t="inlineStr">
        <is>
          <t>2608404V</t>
        </is>
      </c>
      <c r="Q328" s="67" t="inlineStr">
        <is>
          <t>St Vincents Public Hospital - Awards Night - 26.8.25</t>
        </is>
      </c>
      <c r="R328" s="67" t="inlineStr">
        <is>
          <t>VIDEO</t>
        </is>
      </c>
    </row>
    <row r="329">
      <c r="P329" s="67" t="inlineStr">
        <is>
          <t>2608604</t>
        </is>
      </c>
      <c r="Q329" s="67" t="inlineStr">
        <is>
          <t>ASX - FYR Employee Town Hall - 13.8.26</t>
        </is>
      </c>
      <c r="R329" s="67" t="inlineStr">
        <is>
          <t>PRODUCTION</t>
        </is>
      </c>
    </row>
    <row r="330">
      <c r="P330" s="67" t="inlineStr">
        <is>
          <t>2608604V</t>
        </is>
      </c>
      <c r="Q330" s="67" t="inlineStr">
        <is>
          <t>ASX - FYR Employee Town Hall - 13.8.26</t>
        </is>
      </c>
      <c r="R330" s="67" t="inlineStr">
        <is>
          <t>VIDEO</t>
        </is>
      </c>
    </row>
    <row r="331">
      <c r="P331" s="67" t="inlineStr">
        <is>
          <t>2608701</t>
        </is>
      </c>
      <c r="Q331" s="67" t="inlineStr">
        <is>
          <t>Elkeim - Studio Support - 10.9.26</t>
        </is>
      </c>
      <c r="R331" s="67" t="inlineStr">
        <is>
          <t>PRODUCTION</t>
        </is>
      </c>
    </row>
    <row r="332">
      <c r="P332" s="67" t="inlineStr">
        <is>
          <t>2608702</t>
        </is>
      </c>
      <c r="Q332" s="67" t="inlineStr">
        <is>
          <t>APA - Qtly All Hands SYD Screen Hire - 20.8.26</t>
        </is>
      </c>
      <c r="R332" s="67" t="inlineStr">
        <is>
          <t>PRODUCTION</t>
        </is>
      </c>
    </row>
    <row r="333">
      <c r="P333" s="67" t="inlineStr">
        <is>
          <t>26091002</t>
        </is>
      </c>
      <c r="Q333" s="67" t="inlineStr">
        <is>
          <t>GP - Talking Philanthropy - Event Videography 18.9.26</t>
        </is>
      </c>
      <c r="R333" s="67" t="inlineStr">
        <is>
          <t>PRODUCTION</t>
        </is>
      </c>
    </row>
    <row r="334">
      <c r="P334" s="67" t="inlineStr">
        <is>
          <t>26091002V</t>
        </is>
      </c>
      <c r="Q334" s="67" t="inlineStr">
        <is>
          <t>GP - Talking Philanthropy - Event Videography 18.9.26</t>
        </is>
      </c>
      <c r="R334" s="67" t="inlineStr">
        <is>
          <t>VIDEO</t>
        </is>
      </c>
    </row>
    <row r="335">
      <c r="P335" s="67" t="inlineStr">
        <is>
          <t>26091601</t>
        </is>
      </c>
      <c r="Q335" s="67" t="inlineStr">
        <is>
          <t>Automic - September All Hands - 25.9.26</t>
        </is>
      </c>
      <c r="R335" s="67" t="inlineStr">
        <is>
          <t>PRODUCTION</t>
        </is>
      </c>
    </row>
    <row r="336">
      <c r="P336" s="67" t="inlineStr">
        <is>
          <t>26091601V</t>
        </is>
      </c>
      <c r="Q336" s="67" t="inlineStr">
        <is>
          <t>Automic - September All Hands - 25.9.26</t>
        </is>
      </c>
      <c r="R336" s="67" t="inlineStr">
        <is>
          <t>VIDEO</t>
        </is>
      </c>
    </row>
    <row r="337">
      <c r="P337" s="67" t="inlineStr">
        <is>
          <t>26091604</t>
        </is>
      </c>
      <c r="Q337" s="67" t="inlineStr">
        <is>
          <t>The George Institute - SYD CV Symposium - 29-30.10.26</t>
        </is>
      </c>
      <c r="R337" s="67" t="inlineStr">
        <is>
          <t>PRODUCTION</t>
        </is>
      </c>
    </row>
    <row r="338">
      <c r="P338" s="67" t="inlineStr">
        <is>
          <t>26091604V</t>
        </is>
      </c>
      <c r="Q338" s="67" t="inlineStr">
        <is>
          <t>The George Institute - SYD CV Symposium - 29-30.10.26</t>
        </is>
      </c>
      <c r="R338" s="67" t="inlineStr">
        <is>
          <t>VIDEO</t>
        </is>
      </c>
    </row>
    <row r="339">
      <c r="P339" s="67" t="inlineStr">
        <is>
          <t>2609402</t>
        </is>
      </c>
      <c r="Q339" s="67" t="inlineStr">
        <is>
          <t>MUFG - SUN Investor Day - 29.10.26</t>
        </is>
      </c>
      <c r="R339" s="67" t="inlineStr">
        <is>
          <t>PRODUCTION</t>
        </is>
      </c>
    </row>
    <row r="340">
      <c r="P340" s="67" t="inlineStr">
        <is>
          <t>2609402V</t>
        </is>
      </c>
      <c r="Q340" s="67" t="inlineStr">
        <is>
          <t>MUFG - SUN Investor Day - 29.10.26</t>
        </is>
      </c>
      <c r="R340" s="67" t="inlineStr">
        <is>
          <t>VIDEO</t>
        </is>
      </c>
    </row>
    <row r="341">
      <c r="P341" s="67" t="inlineStr">
        <is>
          <t>2609801</t>
        </is>
      </c>
      <c r="Q341" s="67" t="inlineStr">
        <is>
          <t>Elkiem - Studio Support - 16.9.26</t>
        </is>
      </c>
      <c r="R341" s="67" t="inlineStr">
        <is>
          <t>PRODUCTION</t>
        </is>
      </c>
    </row>
    <row r="342">
      <c r="P342" s="67" t="inlineStr">
        <is>
          <t>2645</t>
        </is>
      </c>
      <c r="Q342" s="67" t="inlineStr">
        <is>
          <t>EY SYD Tech Support</t>
        </is>
      </c>
      <c r="R342" s="67" t="inlineStr">
        <is>
          <t>ONSITE</t>
        </is>
      </c>
    </row>
    <row r="343">
      <c r="P343" s="67" t="inlineStr">
        <is>
          <t>2648</t>
        </is>
      </c>
      <c r="Q343" s="67" t="inlineStr">
        <is>
          <t>DTTL MEL Additional Tech</t>
        </is>
      </c>
      <c r="R343" s="67" t="inlineStr">
        <is>
          <t>ONSITE</t>
        </is>
      </c>
    </row>
    <row r="344">
      <c r="P344" s="67" t="inlineStr">
        <is>
          <t>2658</t>
        </is>
      </c>
      <c r="Q344" s="67" t="inlineStr">
        <is>
          <t>EY MELB Tech</t>
        </is>
      </c>
      <c r="R344" s="67" t="inlineStr">
        <is>
          <t>ONSITE</t>
        </is>
      </c>
    </row>
    <row r="345">
      <c r="P345" s="67" t="inlineStr">
        <is>
          <t>2675</t>
        </is>
      </c>
      <c r="Q345" s="67" t="inlineStr">
        <is>
          <t>ONS EY (non-chargeable)</t>
        </is>
      </c>
      <c r="R345" s="67" t="inlineStr"/>
    </row>
    <row r="346">
      <c r="P346" s="67" t="inlineStr">
        <is>
          <t>2685</t>
        </is>
      </c>
      <c r="Q346" s="67" t="inlineStr">
        <is>
          <t>APA Proxyclick BNE &amp; DRW</t>
        </is>
      </c>
      <c r="R346" s="67" t="inlineStr">
        <is>
          <t>INTEGRATION</t>
        </is>
      </c>
    </row>
    <row r="347">
      <c r="P347" s="67" t="inlineStr">
        <is>
          <t>2706</t>
        </is>
      </c>
      <c r="Q347" s="67" t="inlineStr">
        <is>
          <t>EPA 6PSQ Proxyclick VMS</t>
        </is>
      </c>
      <c r="R347" s="67" t="inlineStr">
        <is>
          <t>INTEGRATION</t>
        </is>
      </c>
    </row>
    <row r="348">
      <c r="P348" s="67" t="inlineStr">
        <is>
          <t>2719</t>
        </is>
      </c>
      <c r="Q348" s="67" t="inlineStr">
        <is>
          <t>GSP - 6PSQProxyclickOnb</t>
        </is>
      </c>
      <c r="R348" s="67" t="inlineStr">
        <is>
          <t>INTEGRATION</t>
        </is>
      </c>
    </row>
    <row r="349">
      <c r="P349" s="67" t="inlineStr">
        <is>
          <t>2722</t>
        </is>
      </c>
      <c r="Q349" s="67" t="inlineStr">
        <is>
          <t>PWC Monthly Consulting</t>
        </is>
      </c>
      <c r="R349" s="67" t="inlineStr">
        <is>
          <t>CONSULTING</t>
        </is>
      </c>
    </row>
    <row r="350">
      <c r="P350" s="67" t="inlineStr">
        <is>
          <t>2726</t>
        </is>
      </c>
      <c r="Q350" s="67" t="inlineStr">
        <is>
          <t>KPMG MEL Tech</t>
        </is>
      </c>
      <c r="R350" s="67" t="inlineStr">
        <is>
          <t>ONSITE</t>
        </is>
      </c>
    </row>
    <row r="351">
      <c r="P351" s="67" t="inlineStr">
        <is>
          <t>2756</t>
        </is>
      </c>
      <c r="Q351" s="67" t="inlineStr">
        <is>
          <t>CTS Mgmt Meetings</t>
        </is>
      </c>
      <c r="R351" s="67" t="inlineStr">
        <is>
          <t>CTS</t>
        </is>
      </c>
    </row>
    <row r="352">
      <c r="P352" s="67" t="inlineStr">
        <is>
          <t>2834</t>
        </is>
      </c>
      <c r="Q352" s="67" t="inlineStr">
        <is>
          <t>APA Young - Visitor Mgmt</t>
        </is>
      </c>
      <c r="R352" s="67" t="inlineStr">
        <is>
          <t>INTEGRATION</t>
        </is>
      </c>
    </row>
    <row r="353">
      <c r="P353" s="67" t="inlineStr">
        <is>
          <t>2838</t>
        </is>
      </c>
      <c r="Q353" s="67" t="inlineStr">
        <is>
          <t>KPMG SYD Tech</t>
        </is>
      </c>
      <c r="R353" s="67" t="inlineStr">
        <is>
          <t>ONSITE</t>
        </is>
      </c>
    </row>
    <row r="354">
      <c r="P354" s="67" t="inlineStr">
        <is>
          <t>2846</t>
        </is>
      </c>
      <c r="Q354" s="67" t="inlineStr">
        <is>
          <t>DTTL National STL</t>
        </is>
      </c>
      <c r="R354" s="67" t="inlineStr">
        <is>
          <t>ONSITE</t>
        </is>
      </c>
    </row>
    <row r="355">
      <c r="P355" s="67" t="inlineStr">
        <is>
          <t>2848</t>
        </is>
      </c>
      <c r="Q355" s="67" t="inlineStr">
        <is>
          <t>APA ADL Visitor Mgmt</t>
        </is>
      </c>
      <c r="R355" s="67" t="inlineStr">
        <is>
          <t>INTEGRATION</t>
        </is>
      </c>
    </row>
    <row r="356">
      <c r="P356" s="67" t="inlineStr">
        <is>
          <t>2849</t>
        </is>
      </c>
      <c r="Q356" s="67" t="inlineStr">
        <is>
          <t>DTTL SYD Internal</t>
        </is>
      </c>
      <c r="R356" s="67" t="inlineStr">
        <is>
          <t>ONSITE</t>
        </is>
      </c>
    </row>
    <row r="357">
      <c r="P357" s="67" t="inlineStr">
        <is>
          <t>2855</t>
        </is>
      </c>
      <c r="Q357" s="67" t="inlineStr">
        <is>
          <t>APA Melbourne VMS</t>
        </is>
      </c>
      <c r="R357" s="67" t="inlineStr">
        <is>
          <t>INTEGRATION</t>
        </is>
      </c>
    </row>
    <row r="358">
      <c r="P358" s="67" t="inlineStr">
        <is>
          <t>2857</t>
        </is>
      </c>
      <c r="Q358" s="67" t="inlineStr">
        <is>
          <t>APA Sydney Visitor Mgmt</t>
        </is>
      </c>
      <c r="R358" s="67" t="inlineStr">
        <is>
          <t>INTEGRATION</t>
        </is>
      </c>
    </row>
    <row r="359">
      <c r="P359" s="67" t="inlineStr">
        <is>
          <t>2877</t>
        </is>
      </c>
      <c r="Q359" s="67" t="inlineStr">
        <is>
          <t>DEWR Maintenance Ext</t>
        </is>
      </c>
      <c r="R359" s="67" t="inlineStr">
        <is>
          <t>INTEGRATION</t>
        </is>
      </c>
    </row>
    <row r="360">
      <c r="P360" s="67" t="inlineStr">
        <is>
          <t>2879</t>
        </is>
      </c>
      <c r="Q360" s="67" t="inlineStr">
        <is>
          <t>ONS Ricoh-QANTAS (non-chgble)</t>
        </is>
      </c>
      <c r="R360" s="67" t="inlineStr"/>
    </row>
    <row r="361">
      <c r="P361" s="67" t="inlineStr">
        <is>
          <t>2880</t>
        </is>
      </c>
      <c r="Q361" s="67" t="inlineStr">
        <is>
          <t>Ricoh - QANTAS</t>
        </is>
      </c>
      <c r="R361" s="67" t="inlineStr">
        <is>
          <t>ONSITE</t>
        </is>
      </c>
    </row>
    <row r="362">
      <c r="P362" s="67" t="inlineStr">
        <is>
          <t>2892</t>
        </is>
      </c>
      <c r="Q362" s="67" t="inlineStr">
        <is>
          <t>JP Morgan Onsite Tech</t>
        </is>
      </c>
      <c r="R362" s="67" t="inlineStr">
        <is>
          <t>ONSITE</t>
        </is>
      </c>
    </row>
    <row r="363">
      <c r="P363" s="67" t="inlineStr">
        <is>
          <t>2896</t>
        </is>
      </c>
      <c r="Q363" s="67" t="inlineStr">
        <is>
          <t>ONS KPMG (non-chargeable)</t>
        </is>
      </c>
      <c r="R363" s="67" t="inlineStr"/>
    </row>
    <row r="364">
      <c r="P364" s="67" t="inlineStr">
        <is>
          <t>2897</t>
        </is>
      </c>
      <c r="Q364" s="67" t="inlineStr">
        <is>
          <t>ONS JPM (non-chargeable)</t>
        </is>
      </c>
      <c r="R364" s="67" t="inlineStr"/>
    </row>
    <row r="365">
      <c r="P365" s="67" t="inlineStr">
        <is>
          <t>2900</t>
        </is>
      </c>
      <c r="Q365" s="67" t="inlineStr">
        <is>
          <t>ONS Ammacus-Woolworths (non-chargeable)</t>
        </is>
      </c>
      <c r="R365" s="67" t="inlineStr"/>
    </row>
    <row r="366">
      <c r="P366" s="67" t="inlineStr">
        <is>
          <t>2906</t>
        </is>
      </c>
      <c r="Q366" s="67" t="inlineStr">
        <is>
          <t>KPMG BNE Tech</t>
        </is>
      </c>
      <c r="R366" s="67" t="inlineStr">
        <is>
          <t>ONSITE</t>
        </is>
      </c>
    </row>
    <row r="367">
      <c r="P367" s="67" t="inlineStr">
        <is>
          <t>2907</t>
        </is>
      </c>
      <c r="Q367" s="67" t="inlineStr">
        <is>
          <t>Ammacus-Woolworths Tech</t>
        </is>
      </c>
      <c r="R367" s="67" t="inlineStr">
        <is>
          <t>ONSITE</t>
        </is>
      </c>
    </row>
    <row r="368">
      <c r="P368" s="67" t="inlineStr">
        <is>
          <t>2910</t>
        </is>
      </c>
      <c r="Q368" s="67" t="inlineStr">
        <is>
          <t>Office Move 2024</t>
        </is>
      </c>
      <c r="R368" s="67" t="inlineStr">
        <is>
          <t>CTS</t>
        </is>
      </c>
    </row>
    <row r="369">
      <c r="P369" s="67" t="inlineStr">
        <is>
          <t>2977</t>
        </is>
      </c>
      <c r="Q369" s="67" t="inlineStr">
        <is>
          <t>St Catherine's School (CONS)</t>
        </is>
      </c>
      <c r="R369" s="67" t="inlineStr"/>
    </row>
    <row r="370">
      <c r="P370" s="67" t="inlineStr">
        <is>
          <t>3014</t>
        </is>
      </c>
      <c r="Q370" s="67" t="inlineStr">
        <is>
          <t>ONS Ricoh/Campari (Chargeable)</t>
        </is>
      </c>
      <c r="R370" s="67" t="inlineStr"/>
    </row>
    <row r="371">
      <c r="P371" s="67" t="inlineStr">
        <is>
          <t>3015</t>
        </is>
      </c>
      <c r="Q371" s="67" t="inlineStr">
        <is>
          <t>ONS Ricoh/Campari (Non Chgble)</t>
        </is>
      </c>
      <c r="R371" s="67" t="inlineStr"/>
    </row>
    <row r="372">
      <c r="P372" s="67" t="inlineStr">
        <is>
          <t>3027</t>
        </is>
      </c>
      <c r="Q372" s="67" t="inlineStr">
        <is>
          <t>DPIE Elizabeth St Booking</t>
        </is>
      </c>
      <c r="R372" s="67" t="inlineStr">
        <is>
          <t>INTEGRATION</t>
        </is>
      </c>
    </row>
    <row r="373">
      <c r="P373" s="67" t="inlineStr">
        <is>
          <t>3028</t>
        </is>
      </c>
      <c r="Q373" s="67" t="inlineStr">
        <is>
          <t>APA Kidman Park VMS</t>
        </is>
      </c>
      <c r="R373" s="67" t="inlineStr">
        <is>
          <t>INTEGRATION</t>
        </is>
      </c>
    </row>
    <row r="374">
      <c r="P374" s="67" t="inlineStr">
        <is>
          <t>3034</t>
        </is>
      </c>
      <c r="Q374" s="67" t="inlineStr">
        <is>
          <t>ARUP ONS (non-chargeable)</t>
        </is>
      </c>
      <c r="R374" s="67" t="inlineStr"/>
    </row>
    <row r="375">
      <c r="P375" s="67" t="inlineStr">
        <is>
          <t>3035</t>
        </is>
      </c>
      <c r="Q375" s="67" t="inlineStr">
        <is>
          <t>ARUP ONS National (Chargeable)</t>
        </is>
      </c>
      <c r="R375" s="67" t="inlineStr"/>
    </row>
    <row r="376">
      <c r="P376" s="67" t="inlineStr">
        <is>
          <t>3040</t>
        </is>
      </c>
      <c r="Q376" s="67" t="inlineStr">
        <is>
          <t>Corrs MELB Office Reloc</t>
        </is>
      </c>
      <c r="R376" s="67" t="inlineStr">
        <is>
          <t>CONSULTING</t>
        </is>
      </c>
    </row>
    <row r="377">
      <c r="P377" s="67" t="inlineStr">
        <is>
          <t>3042</t>
        </is>
      </c>
      <c r="Q377" s="67" t="inlineStr">
        <is>
          <t>Corrs-PER Office Reloc</t>
        </is>
      </c>
      <c r="R377" s="67" t="inlineStr">
        <is>
          <t>CONSULTING</t>
        </is>
      </c>
    </row>
    <row r="378">
      <c r="P378" s="67" t="inlineStr">
        <is>
          <t>3046</t>
        </is>
      </c>
      <c r="Q378" s="67" t="inlineStr">
        <is>
          <t>Stone&amp;Chalk ONS [chargeable]</t>
        </is>
      </c>
      <c r="R378" s="67" t="inlineStr"/>
    </row>
    <row r="379">
      <c r="P379" s="67" t="inlineStr">
        <is>
          <t>3047</t>
        </is>
      </c>
      <c r="Q379" s="67" t="inlineStr">
        <is>
          <t>Stone&amp;Chalk ONS [non-chargable]</t>
        </is>
      </c>
      <c r="R379" s="67" t="inlineStr"/>
    </row>
    <row r="380">
      <c r="P380" s="67" t="inlineStr">
        <is>
          <t>3048</t>
        </is>
      </c>
      <c r="Q380" s="67" t="inlineStr">
        <is>
          <t>Stone &amp; Chalk Audit 2</t>
        </is>
      </c>
      <c r="R380" s="67" t="inlineStr">
        <is>
          <t>CONSULTING</t>
        </is>
      </c>
    </row>
    <row r="381">
      <c r="P381" s="67" t="inlineStr">
        <is>
          <t>3056</t>
        </is>
      </c>
      <c r="Q381" s="67" t="inlineStr">
        <is>
          <t>AusPayNet Onsite [Chargeable]</t>
        </is>
      </c>
      <c r="R381" s="67" t="inlineStr"/>
    </row>
    <row r="382">
      <c r="P382" s="67" t="inlineStr">
        <is>
          <t>3057</t>
        </is>
      </c>
      <c r="Q382" s="67" t="inlineStr">
        <is>
          <t>AusPayNet ONS[Non-Chargeable]</t>
        </is>
      </c>
      <c r="R382" s="67" t="inlineStr"/>
    </row>
    <row r="383">
      <c r="P383" s="67" t="inlineStr">
        <is>
          <t>3059</t>
        </is>
      </c>
      <c r="Q383" s="67" t="inlineStr">
        <is>
          <t>CBA AGM 2025</t>
        </is>
      </c>
      <c r="R383" s="67" t="inlineStr">
        <is>
          <t>PRODUCTION</t>
        </is>
      </c>
    </row>
    <row r="384">
      <c r="P384" s="67" t="inlineStr">
        <is>
          <t>3068</t>
        </is>
      </c>
      <c r="Q384" s="67" t="inlineStr">
        <is>
          <t>DPIE Pitt and Penrith</t>
        </is>
      </c>
      <c r="R384" s="67" t="inlineStr">
        <is>
          <t>INTEGRATION</t>
        </is>
      </c>
    </row>
    <row r="385">
      <c r="P385" s="67" t="inlineStr">
        <is>
          <t>3072</t>
        </is>
      </c>
      <c r="Q385" s="67" t="inlineStr">
        <is>
          <t>APA Thomastown</t>
        </is>
      </c>
      <c r="R385" s="67" t="inlineStr">
        <is>
          <t>INTEGRATION</t>
        </is>
      </c>
    </row>
    <row r="386">
      <c r="P386" s="67" t="inlineStr">
        <is>
          <t>585</t>
        </is>
      </c>
      <c r="Q386" s="67" t="inlineStr">
        <is>
          <t>CBA Team Leader</t>
        </is>
      </c>
      <c r="R386" s="67" t="inlineStr">
        <is>
          <t>ONSITE</t>
        </is>
      </c>
    </row>
    <row r="387">
      <c r="P387" s="67" t="inlineStr">
        <is>
          <t>586</t>
        </is>
      </c>
      <c r="Q387" s="67" t="inlineStr">
        <is>
          <t>CBA Tech NP</t>
        </is>
      </c>
      <c r="R387" s="67" t="inlineStr">
        <is>
          <t>ONSITE</t>
        </is>
      </c>
    </row>
    <row r="388">
      <c r="P388" s="67" t="inlineStr">
        <is>
          <t>587</t>
        </is>
      </c>
      <c r="Q388" s="67" t="inlineStr">
        <is>
          <t>CBA Tech TN</t>
        </is>
      </c>
      <c r="R388" s="67" t="inlineStr">
        <is>
          <t>ONSITE</t>
        </is>
      </c>
    </row>
    <row r="389">
      <c r="P389" s="67" t="inlineStr">
        <is>
          <t>724</t>
        </is>
      </c>
      <c r="Q389" s="67" t="inlineStr">
        <is>
          <t>DTTL SYD NTSL</t>
        </is>
      </c>
      <c r="R389" s="67" t="inlineStr">
        <is>
          <t>ONSITE</t>
        </is>
      </c>
    </row>
    <row r="390">
      <c r="P390" s="67" t="inlineStr">
        <is>
          <t>725</t>
        </is>
      </c>
      <c r="Q390" s="67" t="inlineStr">
        <is>
          <t>DTTL Mel Tech FT 1</t>
        </is>
      </c>
      <c r="R390" s="67" t="inlineStr">
        <is>
          <t>ONSITE</t>
        </is>
      </c>
    </row>
    <row r="391">
      <c r="P391" s="67" t="inlineStr">
        <is>
          <t>729</t>
        </is>
      </c>
      <c r="Q391" s="67" t="inlineStr">
        <is>
          <t>DTTL Consulting</t>
        </is>
      </c>
      <c r="R391" s="67" t="inlineStr">
        <is>
          <t>CONSULTING</t>
        </is>
      </c>
    </row>
    <row r="392">
      <c r="P392" s="67" t="inlineStr">
        <is>
          <t>732</t>
        </is>
      </c>
      <c r="Q392" s="67" t="inlineStr">
        <is>
          <t>Bank West Contract</t>
        </is>
      </c>
      <c r="R392" s="67" t="inlineStr">
        <is>
          <t>ONSITE</t>
        </is>
      </c>
    </row>
    <row r="393">
      <c r="P393" s="67" t="inlineStr">
        <is>
          <t>9000</t>
        </is>
      </c>
      <c r="Q393" s="67" t="inlineStr">
        <is>
          <t>OFFICE / ADMIN</t>
        </is>
      </c>
      <c r="R393" s="67" t="inlineStr">
        <is>
          <t>CTS</t>
        </is>
      </c>
    </row>
    <row r="394">
      <c r="P394" s="67" t="inlineStr">
        <is>
          <t>9001</t>
        </is>
      </c>
      <c r="Q394" s="67" t="inlineStr">
        <is>
          <t>OFFICE/ADMIN Orientation</t>
        </is>
      </c>
      <c r="R394" s="67" t="inlineStr">
        <is>
          <t>CTS</t>
        </is>
      </c>
    </row>
    <row r="395">
      <c r="P395" s="67" t="inlineStr">
        <is>
          <t>9050</t>
        </is>
      </c>
      <c r="Q395" s="67" t="inlineStr">
        <is>
          <t>OFFICE ASSETS</t>
        </is>
      </c>
      <c r="R395" s="67" t="inlineStr">
        <is>
          <t>CTS</t>
        </is>
      </c>
    </row>
    <row r="396">
      <c r="P396" s="67" t="inlineStr">
        <is>
          <t>9100</t>
        </is>
      </c>
      <c r="Q396" s="67" t="inlineStr">
        <is>
          <t>PRODUCTION</t>
        </is>
      </c>
      <c r="R396" s="67" t="inlineStr">
        <is>
          <t>PRODUCTION</t>
        </is>
      </c>
    </row>
    <row r="397">
      <c r="P397" s="67" t="inlineStr">
        <is>
          <t>9101</t>
        </is>
      </c>
      <c r="Q397" s="67" t="inlineStr">
        <is>
          <t>PRODUCTION - Orientation</t>
        </is>
      </c>
      <c r="R397" s="67" t="inlineStr">
        <is>
          <t>PRODUCTION</t>
        </is>
      </c>
    </row>
    <row r="398">
      <c r="P398" s="67" t="inlineStr">
        <is>
          <t>9102</t>
        </is>
      </c>
      <c r="Q398" s="67" t="inlineStr">
        <is>
          <t>Production - Training</t>
        </is>
      </c>
      <c r="R398" s="67" t="inlineStr">
        <is>
          <t>PRODUCTION</t>
        </is>
      </c>
    </row>
    <row r="399">
      <c r="P399" s="67" t="inlineStr">
        <is>
          <t>9105</t>
        </is>
      </c>
      <c r="Q399" s="67" t="inlineStr">
        <is>
          <t>ONSITE (including PROD backup)</t>
        </is>
      </c>
      <c r="R399" s="67" t="inlineStr"/>
    </row>
    <row r="400">
      <c r="P400" s="67" t="inlineStr">
        <is>
          <t>9106</t>
        </is>
      </c>
      <c r="Q400" s="67" t="inlineStr">
        <is>
          <t>ONSITE - Orientation</t>
        </is>
      </c>
      <c r="R400" s="67" t="inlineStr">
        <is>
          <t>ONSITE</t>
        </is>
      </c>
    </row>
    <row r="401">
      <c r="P401" s="67" t="inlineStr">
        <is>
          <t>9107</t>
        </is>
      </c>
      <c r="Q401" s="67" t="inlineStr">
        <is>
          <t>ONSITE - Assets</t>
        </is>
      </c>
      <c r="R401" s="67" t="inlineStr">
        <is>
          <t>ONSITE</t>
        </is>
      </c>
    </row>
    <row r="402">
      <c r="P402" s="67" t="inlineStr">
        <is>
          <t>9108</t>
        </is>
      </c>
      <c r="Q402" s="67" t="inlineStr">
        <is>
          <t>ONSITE - Sales</t>
        </is>
      </c>
      <c r="R402" s="67" t="inlineStr">
        <is>
          <t>ONSITE</t>
        </is>
      </c>
    </row>
    <row r="403">
      <c r="P403" s="67" t="inlineStr">
        <is>
          <t>9109</t>
        </is>
      </c>
      <c r="Q403" s="67" t="inlineStr">
        <is>
          <t>ONSITE - Marketing</t>
        </is>
      </c>
      <c r="R403" s="67" t="inlineStr">
        <is>
          <t>ONSITE</t>
        </is>
      </c>
    </row>
    <row r="404">
      <c r="P404" s="67" t="inlineStr">
        <is>
          <t>9125</t>
        </is>
      </c>
      <c r="Q404" s="67" t="inlineStr">
        <is>
          <t>VIDEO DEPT</t>
        </is>
      </c>
      <c r="R404" s="67" t="inlineStr">
        <is>
          <t>VIDEO</t>
        </is>
      </c>
    </row>
    <row r="405">
      <c r="P405" s="67" t="inlineStr">
        <is>
          <t>9126</t>
        </is>
      </c>
      <c r="Q405" s="67" t="inlineStr">
        <is>
          <t>VIDEO - Orientation</t>
        </is>
      </c>
      <c r="R405" s="67" t="inlineStr">
        <is>
          <t>VIDEO</t>
        </is>
      </c>
    </row>
    <row r="406">
      <c r="P406" s="67" t="inlineStr">
        <is>
          <t>9127</t>
        </is>
      </c>
      <c r="Q406" s="67" t="inlineStr">
        <is>
          <t>VIDEO - Assets</t>
        </is>
      </c>
      <c r="R406" s="67" t="inlineStr">
        <is>
          <t>VIDEO</t>
        </is>
      </c>
    </row>
    <row r="407">
      <c r="P407" s="67" t="inlineStr">
        <is>
          <t>9128</t>
        </is>
      </c>
      <c r="Q407" s="67" t="inlineStr">
        <is>
          <t>VIDEO - Sales</t>
        </is>
      </c>
      <c r="R407" s="67" t="inlineStr">
        <is>
          <t>VIDEO</t>
        </is>
      </c>
    </row>
    <row r="408">
      <c r="P408" s="67" t="inlineStr">
        <is>
          <t>9129</t>
        </is>
      </c>
      <c r="Q408" s="67" t="inlineStr">
        <is>
          <t>VIDEO - Marketing</t>
        </is>
      </c>
      <c r="R408" s="67" t="inlineStr">
        <is>
          <t>VIDEO</t>
        </is>
      </c>
    </row>
    <row r="409">
      <c r="P409" s="67" t="inlineStr">
        <is>
          <t>9150</t>
        </is>
      </c>
      <c r="Q409" s="67" t="inlineStr">
        <is>
          <t>PRODUCTION - Assets</t>
        </is>
      </c>
      <c r="R409" s="67" t="inlineStr">
        <is>
          <t>PRODUCTION</t>
        </is>
      </c>
    </row>
    <row r="410">
      <c r="P410" s="67" t="inlineStr">
        <is>
          <t>9175</t>
        </is>
      </c>
      <c r="Q410" s="67" t="inlineStr">
        <is>
          <t>PRODUCTION - Sales</t>
        </is>
      </c>
      <c r="R410" s="67" t="inlineStr">
        <is>
          <t>PRODUCTION</t>
        </is>
      </c>
    </row>
    <row r="411">
      <c r="P411" s="67" t="inlineStr">
        <is>
          <t>9176</t>
        </is>
      </c>
      <c r="Q411" s="67" t="inlineStr">
        <is>
          <t>Production - Marketing</t>
        </is>
      </c>
      <c r="R411" s="67" t="inlineStr">
        <is>
          <t>PRODUCTION</t>
        </is>
      </c>
    </row>
    <row r="412">
      <c r="P412" s="67" t="inlineStr">
        <is>
          <t>9178</t>
        </is>
      </c>
      <c r="Q412" s="67" t="inlineStr">
        <is>
          <t>Production – Webcasts</t>
        </is>
      </c>
      <c r="R412" s="67" t="inlineStr">
        <is>
          <t>PRODUCTION</t>
        </is>
      </c>
    </row>
    <row r="413">
      <c r="P413" s="67" t="inlineStr">
        <is>
          <t>9200</t>
        </is>
      </c>
      <c r="Q413" s="67" t="inlineStr">
        <is>
          <t>INTEGRATION</t>
        </is>
      </c>
      <c r="R413" s="67" t="inlineStr">
        <is>
          <t>INTEGRATION</t>
        </is>
      </c>
    </row>
    <row r="414">
      <c r="P414" s="67" t="inlineStr">
        <is>
          <t>9201</t>
        </is>
      </c>
      <c r="Q414" s="67" t="inlineStr">
        <is>
          <t>INTEGRATION - Orientation [INT</t>
        </is>
      </c>
      <c r="R414" s="67" t="inlineStr"/>
    </row>
    <row r="415">
      <c r="P415" s="67" t="inlineStr">
        <is>
          <t>9202</t>
        </is>
      </c>
      <c r="Q415" s="67" t="inlineStr">
        <is>
          <t>INTEGRATION - Quotes</t>
        </is>
      </c>
      <c r="R415" s="67" t="inlineStr">
        <is>
          <t>INTEGRATION</t>
        </is>
      </c>
    </row>
    <row r="416">
      <c r="P416" s="67" t="inlineStr">
        <is>
          <t>9225</t>
        </is>
      </c>
      <c r="Q416" s="67" t="inlineStr">
        <is>
          <t>Integration - SALES</t>
        </is>
      </c>
      <c r="R416" s="67" t="inlineStr">
        <is>
          <t>INTEGRATION</t>
        </is>
      </c>
    </row>
    <row r="417">
      <c r="P417" s="67" t="inlineStr">
        <is>
          <t>9226</t>
        </is>
      </c>
      <c r="Q417" s="67" t="inlineStr">
        <is>
          <t>Integration - Marketing</t>
        </is>
      </c>
      <c r="R417" s="67" t="inlineStr">
        <is>
          <t>INTEGRATION</t>
        </is>
      </c>
    </row>
    <row r="418">
      <c r="P418" s="67" t="inlineStr">
        <is>
          <t>9300</t>
        </is>
      </c>
      <c r="Q418" s="67" t="inlineStr">
        <is>
          <t>HUMAN RESOURCES</t>
        </is>
      </c>
      <c r="R418" s="67" t="inlineStr">
        <is>
          <t>CTS</t>
        </is>
      </c>
    </row>
    <row r="419">
      <c r="P419" s="67" t="inlineStr">
        <is>
          <t>9301</t>
        </is>
      </c>
      <c r="Q419" s="67" t="inlineStr">
        <is>
          <t>Recruitment</t>
        </is>
      </c>
      <c r="R419" s="67" t="inlineStr">
        <is>
          <t>CTS</t>
        </is>
      </c>
    </row>
    <row r="420">
      <c r="P420" s="67" t="inlineStr">
        <is>
          <t>9350</t>
        </is>
      </c>
      <c r="Q420" s="67" t="inlineStr">
        <is>
          <t>MARKETING (external)</t>
        </is>
      </c>
      <c r="R420" s="67" t="inlineStr">
        <is>
          <t>CTS</t>
        </is>
      </c>
    </row>
    <row r="421">
      <c r="P421" s="67" t="inlineStr">
        <is>
          <t>9375</t>
        </is>
      </c>
      <c r="Q421" s="67" t="inlineStr">
        <is>
          <t>MARKETING / COMMS</t>
        </is>
      </c>
      <c r="R421" s="67" t="inlineStr">
        <is>
          <t>CTS</t>
        </is>
      </c>
    </row>
    <row r="422">
      <c r="P422" s="67" t="inlineStr">
        <is>
          <t>9400</t>
        </is>
      </c>
      <c r="Q422" s="67" t="inlineStr">
        <is>
          <t>CONSULTING</t>
        </is>
      </c>
      <c r="R422" s="67" t="inlineStr">
        <is>
          <t>CONSULTING</t>
        </is>
      </c>
    </row>
    <row r="423">
      <c r="P423" s="67" t="inlineStr">
        <is>
          <t>9402</t>
        </is>
      </c>
      <c r="Q423" s="67" t="inlineStr">
        <is>
          <t>CONSULTING - Assets</t>
        </is>
      </c>
      <c r="R423" s="67" t="inlineStr">
        <is>
          <t>CONSULTING</t>
        </is>
      </c>
    </row>
    <row r="424">
      <c r="P424" s="67" t="inlineStr">
        <is>
          <t>9403</t>
        </is>
      </c>
      <c r="Q424" s="67" t="inlineStr">
        <is>
          <t>CONSULTING - Sales</t>
        </is>
      </c>
      <c r="R424" s="67" t="inlineStr">
        <is>
          <t>CONSULTING</t>
        </is>
      </c>
    </row>
    <row r="425">
      <c r="P425" s="67" t="inlineStr">
        <is>
          <t>9405</t>
        </is>
      </c>
      <c r="Q425" s="67" t="inlineStr">
        <is>
          <t>CONSULTING - Marketing</t>
        </is>
      </c>
      <c r="R425" s="67" t="inlineStr">
        <is>
          <t>CONSULTING</t>
        </is>
      </c>
    </row>
    <row r="426">
      <c r="P426" s="67" t="inlineStr">
        <is>
          <t>9407</t>
        </is>
      </c>
      <c r="Q426" s="67" t="inlineStr">
        <is>
          <t>CONSULTING - Training</t>
        </is>
      </c>
      <c r="R426" s="67" t="inlineStr">
        <is>
          <t>CONSULTING</t>
        </is>
      </c>
    </row>
    <row r="427">
      <c r="P427" s="67" t="inlineStr">
        <is>
          <t>974</t>
        </is>
      </c>
      <c r="Q427" s="67" t="inlineStr">
        <is>
          <t>DTTL 1300 Number</t>
        </is>
      </c>
      <c r="R427" s="6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2026-09-24T01:42:47Z</dcterms:created>
  <dcterms:modified xsi:type="dcterms:W3CDTF">2026-09-24T01:42:53Z</dcterms:modified>
</cp:coreProperties>
</file>